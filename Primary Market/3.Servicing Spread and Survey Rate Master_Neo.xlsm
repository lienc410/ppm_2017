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4240" windowHeight="15390" activeTab="1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newDataPoint">'Dynamic Pivot'!$P$3</definedName>
    <definedName name="PDFReportDir">Report!$T$3</definedName>
    <definedName name="PDFReportName">Report!$T$4</definedName>
    <definedName name="_xlnm.Print_Area" localSheetId="0">Report!$D$7:$Q$59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Query'!$A$4:$C$3392</definedName>
    <definedName name="SaveRatesToDB">Report!$V$1</definedName>
  </definedNames>
  <calcPr calcId="145621"/>
  <pivotCaches>
    <pivotCache cacheId="0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E8" i="5" s="1"/>
  <c r="D9" i="5"/>
  <c r="D10" i="5"/>
  <c r="D11" i="5"/>
  <c r="D12" i="5"/>
  <c r="D13" i="5"/>
  <c r="D14" i="5"/>
  <c r="D15" i="5"/>
  <c r="D16" i="5"/>
  <c r="E16" i="5" s="1"/>
  <c r="D17" i="5"/>
  <c r="D18" i="5"/>
  <c r="D19" i="5"/>
  <c r="D20" i="5"/>
  <c r="D21" i="5"/>
  <c r="D22" i="5"/>
  <c r="D23" i="5"/>
  <c r="D24" i="5"/>
  <c r="E24" i="5" s="1"/>
  <c r="D25" i="5"/>
  <c r="D26" i="5"/>
  <c r="D27" i="5"/>
  <c r="D28" i="5"/>
  <c r="D29" i="5"/>
  <c r="D30" i="5"/>
  <c r="D31" i="5"/>
  <c r="D32" i="5"/>
  <c r="E32" i="5" s="1"/>
  <c r="D33" i="5"/>
  <c r="D34" i="5"/>
  <c r="D35" i="5"/>
  <c r="D36" i="5"/>
  <c r="D37" i="5"/>
  <c r="D38" i="5"/>
  <c r="D39" i="5"/>
  <c r="D40" i="5"/>
  <c r="E40" i="5" s="1"/>
  <c r="D41" i="5"/>
  <c r="D42" i="5"/>
  <c r="D43" i="5"/>
  <c r="D44" i="5"/>
  <c r="D45" i="5"/>
  <c r="D46" i="5"/>
  <c r="D47" i="5"/>
  <c r="D48" i="5"/>
  <c r="E48" i="5" s="1"/>
  <c r="D49" i="5"/>
  <c r="D50" i="5"/>
  <c r="D51" i="5"/>
  <c r="D52" i="5"/>
  <c r="D53" i="5"/>
  <c r="D54" i="5"/>
  <c r="D55" i="5"/>
  <c r="D56" i="5"/>
  <c r="E56" i="5" s="1"/>
  <c r="D57" i="5"/>
  <c r="D58" i="5"/>
  <c r="D59" i="5"/>
  <c r="D60" i="5"/>
  <c r="D61" i="5"/>
  <c r="D62" i="5"/>
  <c r="D63" i="5"/>
  <c r="D64" i="5"/>
  <c r="E64" i="5" s="1"/>
  <c r="D65" i="5"/>
  <c r="D66" i="5"/>
  <c r="D67" i="5"/>
  <c r="D68" i="5"/>
  <c r="D69" i="5"/>
  <c r="D70" i="5"/>
  <c r="D71" i="5"/>
  <c r="D72" i="5"/>
  <c r="E72" i="5" s="1"/>
  <c r="D73" i="5"/>
  <c r="D74" i="5"/>
  <c r="D75" i="5"/>
  <c r="D76" i="5"/>
  <c r="D77" i="5"/>
  <c r="D78" i="5"/>
  <c r="D79" i="5"/>
  <c r="D80" i="5"/>
  <c r="E80" i="5" s="1"/>
  <c r="D81" i="5"/>
  <c r="D82" i="5"/>
  <c r="D83" i="5"/>
  <c r="D84" i="5"/>
  <c r="D85" i="5"/>
  <c r="D86" i="5"/>
  <c r="D87" i="5"/>
  <c r="D88" i="5"/>
  <c r="E88" i="5" s="1"/>
  <c r="D89" i="5"/>
  <c r="D90" i="5"/>
  <c r="D91" i="5"/>
  <c r="D92" i="5"/>
  <c r="D93" i="5"/>
  <c r="D94" i="5"/>
  <c r="D95" i="5"/>
  <c r="D96" i="5"/>
  <c r="E96" i="5" s="1"/>
  <c r="D97" i="5"/>
  <c r="D98" i="5"/>
  <c r="D99" i="5"/>
  <c r="D100" i="5"/>
  <c r="D101" i="5"/>
  <c r="D102" i="5"/>
  <c r="D103" i="5"/>
  <c r="D104" i="5"/>
  <c r="E104" i="5" s="1"/>
  <c r="D105" i="5"/>
  <c r="D106" i="5"/>
  <c r="D107" i="5"/>
  <c r="D108" i="5"/>
  <c r="D109" i="5"/>
  <c r="D110" i="5"/>
  <c r="D111" i="5"/>
  <c r="D112" i="5"/>
  <c r="E112" i="5" s="1"/>
  <c r="D113" i="5"/>
  <c r="D114" i="5"/>
  <c r="D115" i="5"/>
  <c r="D116" i="5"/>
  <c r="D117" i="5"/>
  <c r="D118" i="5"/>
  <c r="D119" i="5"/>
  <c r="D120" i="5"/>
  <c r="E120" i="5" s="1"/>
  <c r="D121" i="5"/>
  <c r="D122" i="5"/>
  <c r="D123" i="5"/>
  <c r="D124" i="5"/>
  <c r="D125" i="5"/>
  <c r="D126" i="5"/>
  <c r="D127" i="5"/>
  <c r="D128" i="5"/>
  <c r="E128" i="5" s="1"/>
  <c r="D129" i="5"/>
  <c r="D130" i="5"/>
  <c r="D131" i="5"/>
  <c r="D132" i="5"/>
  <c r="D133" i="5"/>
  <c r="D134" i="5"/>
  <c r="D135" i="5"/>
  <c r="D136" i="5"/>
  <c r="E136" i="5" s="1"/>
  <c r="D137" i="5"/>
  <c r="D138" i="5"/>
  <c r="D139" i="5"/>
  <c r="D140" i="5"/>
  <c r="D141" i="5"/>
  <c r="D142" i="5"/>
  <c r="D143" i="5"/>
  <c r="D144" i="5"/>
  <c r="E144" i="5" s="1"/>
  <c r="D145" i="5"/>
  <c r="D146" i="5"/>
  <c r="D147" i="5"/>
  <c r="D148" i="5"/>
  <c r="D149" i="5"/>
  <c r="D150" i="5"/>
  <c r="D151" i="5"/>
  <c r="D152" i="5"/>
  <c r="E152" i="5" s="1"/>
  <c r="D153" i="5"/>
  <c r="D154" i="5"/>
  <c r="D155" i="5"/>
  <c r="D156" i="5"/>
  <c r="D157" i="5"/>
  <c r="D158" i="5"/>
  <c r="D159" i="5"/>
  <c r="D160" i="5"/>
  <c r="E160" i="5" s="1"/>
  <c r="D161" i="5"/>
  <c r="D162" i="5"/>
  <c r="D163" i="5"/>
  <c r="D164" i="5"/>
  <c r="D165" i="5"/>
  <c r="D166" i="5"/>
  <c r="D167" i="5"/>
  <c r="D168" i="5"/>
  <c r="E168" i="5" s="1"/>
  <c r="D169" i="5"/>
  <c r="D170" i="5"/>
  <c r="D171" i="5"/>
  <c r="D172" i="5"/>
  <c r="D173" i="5"/>
  <c r="D174" i="5"/>
  <c r="D175" i="5"/>
  <c r="D176" i="5"/>
  <c r="E176" i="5" s="1"/>
  <c r="D177" i="5"/>
  <c r="D178" i="5"/>
  <c r="D179" i="5"/>
  <c r="D180" i="5"/>
  <c r="D181" i="5"/>
  <c r="D182" i="5"/>
  <c r="D183" i="5"/>
  <c r="D184" i="5"/>
  <c r="E184" i="5" s="1"/>
  <c r="D185" i="5"/>
  <c r="D186" i="5"/>
  <c r="D187" i="5"/>
  <c r="D188" i="5"/>
  <c r="D189" i="5"/>
  <c r="D190" i="5"/>
  <c r="D191" i="5"/>
  <c r="D192" i="5"/>
  <c r="E192" i="5" s="1"/>
  <c r="D193" i="5"/>
  <c r="D194" i="5"/>
  <c r="D195" i="5"/>
  <c r="D196" i="5"/>
  <c r="D197" i="5"/>
  <c r="D198" i="5"/>
  <c r="D199" i="5"/>
  <c r="D200" i="5"/>
  <c r="E200" i="5" s="1"/>
  <c r="D201" i="5"/>
  <c r="D202" i="5"/>
  <c r="D203" i="5"/>
  <c r="D204" i="5"/>
  <c r="D205" i="5"/>
  <c r="D206" i="5"/>
  <c r="D207" i="5"/>
  <c r="D208" i="5"/>
  <c r="E208" i="5" s="1"/>
  <c r="D209" i="5"/>
  <c r="D210" i="5"/>
  <c r="D211" i="5"/>
  <c r="D212" i="5"/>
  <c r="D213" i="5"/>
  <c r="D214" i="5"/>
  <c r="D215" i="5"/>
  <c r="D216" i="5"/>
  <c r="E216" i="5" s="1"/>
  <c r="D217" i="5"/>
  <c r="D218" i="5"/>
  <c r="D219" i="5"/>
  <c r="D220" i="5"/>
  <c r="D221" i="5"/>
  <c r="D222" i="5"/>
  <c r="D223" i="5"/>
  <c r="D224" i="5"/>
  <c r="E224" i="5" s="1"/>
  <c r="D225" i="5"/>
  <c r="D226" i="5"/>
  <c r="D227" i="5"/>
  <c r="D228" i="5"/>
  <c r="D229" i="5"/>
  <c r="D230" i="5"/>
  <c r="D231" i="5"/>
  <c r="D232" i="5"/>
  <c r="E232" i="5" s="1"/>
  <c r="D233" i="5"/>
  <c r="D234" i="5"/>
  <c r="D235" i="5"/>
  <c r="D236" i="5"/>
  <c r="D237" i="5"/>
  <c r="D238" i="5"/>
  <c r="D239" i="5"/>
  <c r="D240" i="5"/>
  <c r="E240" i="5" s="1"/>
  <c r="D241" i="5"/>
  <c r="D242" i="5"/>
  <c r="D243" i="5"/>
  <c r="D244" i="5"/>
  <c r="D245" i="5"/>
  <c r="D246" i="5"/>
  <c r="D247" i="5"/>
  <c r="D248" i="5"/>
  <c r="E248" i="5" s="1"/>
  <c r="D249" i="5"/>
  <c r="D250" i="5"/>
  <c r="D251" i="5"/>
  <c r="D252" i="5"/>
  <c r="D253" i="5"/>
  <c r="D254" i="5"/>
  <c r="D255" i="5"/>
  <c r="D256" i="5"/>
  <c r="E256" i="5" s="1"/>
  <c r="D257" i="5"/>
  <c r="D258" i="5"/>
  <c r="D259" i="5"/>
  <c r="D260" i="5"/>
  <c r="D261" i="5"/>
  <c r="D262" i="5"/>
  <c r="D263" i="5"/>
  <c r="D264" i="5"/>
  <c r="E264" i="5" s="1"/>
  <c r="D265" i="5"/>
  <c r="D266" i="5"/>
  <c r="D267" i="5"/>
  <c r="D268" i="5"/>
  <c r="D269" i="5"/>
  <c r="D270" i="5"/>
  <c r="D271" i="5"/>
  <c r="D272" i="5"/>
  <c r="E272" i="5" s="1"/>
  <c r="D273" i="5"/>
  <c r="D274" i="5"/>
  <c r="D275" i="5"/>
  <c r="D276" i="5"/>
  <c r="D277" i="5"/>
  <c r="D278" i="5"/>
  <c r="D279" i="5"/>
  <c r="D280" i="5"/>
  <c r="E280" i="5" s="1"/>
  <c r="D281" i="5"/>
  <c r="D282" i="5"/>
  <c r="D283" i="5"/>
  <c r="D284" i="5"/>
  <c r="D285" i="5"/>
  <c r="D286" i="5"/>
  <c r="D287" i="5"/>
  <c r="D288" i="5"/>
  <c r="E288" i="5" s="1"/>
  <c r="D289" i="5"/>
  <c r="D290" i="5"/>
  <c r="D291" i="5"/>
  <c r="D292" i="5"/>
  <c r="D293" i="5"/>
  <c r="D294" i="5"/>
  <c r="D295" i="5"/>
  <c r="D296" i="5"/>
  <c r="E296" i="5" s="1"/>
  <c r="D297" i="5"/>
  <c r="D298" i="5"/>
  <c r="D299" i="5"/>
  <c r="D300" i="5"/>
  <c r="D301" i="5"/>
  <c r="D302" i="5"/>
  <c r="D303" i="5"/>
  <c r="D304" i="5"/>
  <c r="E304" i="5" s="1"/>
  <c r="D305" i="5"/>
  <c r="D306" i="5"/>
  <c r="D307" i="5"/>
  <c r="D308" i="5"/>
  <c r="D309" i="5"/>
  <c r="D310" i="5"/>
  <c r="D311" i="5"/>
  <c r="D312" i="5"/>
  <c r="E312" i="5" s="1"/>
  <c r="D313" i="5"/>
  <c r="D314" i="5"/>
  <c r="D315" i="5"/>
  <c r="D316" i="5"/>
  <c r="D317" i="5"/>
  <c r="D318" i="5"/>
  <c r="D319" i="5"/>
  <c r="D320" i="5"/>
  <c r="E320" i="5" s="1"/>
  <c r="D321" i="5"/>
  <c r="D322" i="5"/>
  <c r="D323" i="5"/>
  <c r="D324" i="5"/>
  <c r="D325" i="5"/>
  <c r="D326" i="5"/>
  <c r="D327" i="5"/>
  <c r="D328" i="5"/>
  <c r="E328" i="5" s="1"/>
  <c r="D329" i="5"/>
  <c r="D330" i="5"/>
  <c r="D331" i="5"/>
  <c r="D332" i="5"/>
  <c r="D333" i="5"/>
  <c r="D334" i="5"/>
  <c r="D335" i="5"/>
  <c r="D336" i="5"/>
  <c r="E336" i="5" s="1"/>
  <c r="D337" i="5"/>
  <c r="D338" i="5"/>
  <c r="D339" i="5"/>
  <c r="D340" i="5"/>
  <c r="D341" i="5"/>
  <c r="D342" i="5"/>
  <c r="D343" i="5"/>
  <c r="D344" i="5"/>
  <c r="E344" i="5" s="1"/>
  <c r="D345" i="5"/>
  <c r="D346" i="5"/>
  <c r="D347" i="5"/>
  <c r="D348" i="5"/>
  <c r="D349" i="5"/>
  <c r="D350" i="5"/>
  <c r="D351" i="5"/>
  <c r="D352" i="5"/>
  <c r="E352" i="5" s="1"/>
  <c r="D353" i="5"/>
  <c r="D354" i="5"/>
  <c r="D355" i="5"/>
  <c r="D356" i="5"/>
  <c r="D357" i="5"/>
  <c r="D358" i="5"/>
  <c r="D359" i="5"/>
  <c r="D360" i="5"/>
  <c r="E360" i="5" s="1"/>
  <c r="D361" i="5"/>
  <c r="D362" i="5"/>
  <c r="D363" i="5"/>
  <c r="D364" i="5"/>
  <c r="D365" i="5"/>
  <c r="D366" i="5"/>
  <c r="D367" i="5"/>
  <c r="D368" i="5"/>
  <c r="E368" i="5" s="1"/>
  <c r="D369" i="5"/>
  <c r="D370" i="5"/>
  <c r="D371" i="5"/>
  <c r="D372" i="5"/>
  <c r="D373" i="5"/>
  <c r="D374" i="5"/>
  <c r="D375" i="5"/>
  <c r="D376" i="5"/>
  <c r="E376" i="5" s="1"/>
  <c r="D377" i="5"/>
  <c r="D378" i="5"/>
  <c r="D379" i="5"/>
  <c r="D380" i="5"/>
  <c r="D381" i="5"/>
  <c r="D382" i="5"/>
  <c r="D383" i="5"/>
  <c r="D384" i="5"/>
  <c r="E384" i="5" s="1"/>
  <c r="D385" i="5"/>
  <c r="D386" i="5"/>
  <c r="D387" i="5"/>
  <c r="D388" i="5"/>
  <c r="D389" i="5"/>
  <c r="D390" i="5"/>
  <c r="D391" i="5"/>
  <c r="D392" i="5"/>
  <c r="E392" i="5" s="1"/>
  <c r="D393" i="5"/>
  <c r="D394" i="5"/>
  <c r="D395" i="5"/>
  <c r="D396" i="5"/>
  <c r="D397" i="5"/>
  <c r="D398" i="5"/>
  <c r="D399" i="5"/>
  <c r="D400" i="5"/>
  <c r="E400" i="5" s="1"/>
  <c r="D401" i="5"/>
  <c r="D402" i="5"/>
  <c r="D403" i="5"/>
  <c r="D404" i="5"/>
  <c r="D405" i="5"/>
  <c r="D406" i="5"/>
  <c r="D407" i="5"/>
  <c r="D408" i="5"/>
  <c r="E408" i="5" s="1"/>
  <c r="D409" i="5"/>
  <c r="D410" i="5"/>
  <c r="D411" i="5"/>
  <c r="D412" i="5"/>
  <c r="D413" i="5"/>
  <c r="D414" i="5"/>
  <c r="D415" i="5"/>
  <c r="D416" i="5"/>
  <c r="E416" i="5" s="1"/>
  <c r="D417" i="5"/>
  <c r="D418" i="5"/>
  <c r="D419" i="5"/>
  <c r="D420" i="5"/>
  <c r="D421" i="5"/>
  <c r="D422" i="5"/>
  <c r="D423" i="5"/>
  <c r="D424" i="5"/>
  <c r="E424" i="5" s="1"/>
  <c r="D425" i="5"/>
  <c r="D426" i="5"/>
  <c r="D427" i="5"/>
  <c r="D428" i="5"/>
  <c r="D429" i="5"/>
  <c r="D430" i="5"/>
  <c r="D431" i="5"/>
  <c r="D432" i="5"/>
  <c r="E432" i="5" s="1"/>
  <c r="D433" i="5"/>
  <c r="D434" i="5"/>
  <c r="D435" i="5"/>
  <c r="D436" i="5"/>
  <c r="D437" i="5"/>
  <c r="D438" i="5"/>
  <c r="D439" i="5"/>
  <c r="D440" i="5"/>
  <c r="E440" i="5" s="1"/>
  <c r="D441" i="5"/>
  <c r="D442" i="5"/>
  <c r="D443" i="5"/>
  <c r="D444" i="5"/>
  <c r="D445" i="5"/>
  <c r="D446" i="5"/>
  <c r="D447" i="5"/>
  <c r="D448" i="5"/>
  <c r="E448" i="5" s="1"/>
  <c r="D449" i="5"/>
  <c r="D450" i="5"/>
  <c r="D451" i="5"/>
  <c r="D452" i="5"/>
  <c r="D453" i="5"/>
  <c r="D454" i="5"/>
  <c r="D455" i="5"/>
  <c r="D456" i="5"/>
  <c r="E456" i="5" s="1"/>
  <c r="D457" i="5"/>
  <c r="D458" i="5"/>
  <c r="D459" i="5"/>
  <c r="D460" i="5"/>
  <c r="D461" i="5"/>
  <c r="D462" i="5"/>
  <c r="D463" i="5"/>
  <c r="D464" i="5"/>
  <c r="E464" i="5" s="1"/>
  <c r="D465" i="5"/>
  <c r="D466" i="5"/>
  <c r="D467" i="5"/>
  <c r="D468" i="5"/>
  <c r="D469" i="5"/>
  <c r="D470" i="5"/>
  <c r="D471" i="5"/>
  <c r="D472" i="5"/>
  <c r="E472" i="5" s="1"/>
  <c r="D473" i="5"/>
  <c r="D474" i="5"/>
  <c r="D475" i="5"/>
  <c r="D476" i="5"/>
  <c r="D477" i="5"/>
  <c r="D478" i="5"/>
  <c r="D479" i="5"/>
  <c r="D480" i="5"/>
  <c r="E480" i="5" s="1"/>
  <c r="D481" i="5"/>
  <c r="D482" i="5"/>
  <c r="D483" i="5"/>
  <c r="D484" i="5"/>
  <c r="D485" i="5"/>
  <c r="D486" i="5"/>
  <c r="D487" i="5"/>
  <c r="D488" i="5"/>
  <c r="E488" i="5" s="1"/>
  <c r="D489" i="5"/>
  <c r="D490" i="5"/>
  <c r="D491" i="5"/>
  <c r="D492" i="5"/>
  <c r="D493" i="5"/>
  <c r="D494" i="5"/>
  <c r="D495" i="5"/>
  <c r="D496" i="5"/>
  <c r="E496" i="5" s="1"/>
  <c r="D497" i="5"/>
  <c r="D498" i="5"/>
  <c r="D499" i="5"/>
  <c r="D500" i="5"/>
  <c r="D501" i="5"/>
  <c r="D502" i="5"/>
  <c r="D503" i="5"/>
  <c r="D504" i="5"/>
  <c r="E504" i="5" s="1"/>
  <c r="D505" i="5"/>
  <c r="D506" i="5"/>
  <c r="D507" i="5"/>
  <c r="D508" i="5"/>
  <c r="D509" i="5"/>
  <c r="D510" i="5"/>
  <c r="D511" i="5"/>
  <c r="D512" i="5"/>
  <c r="E512" i="5" s="1"/>
  <c r="D513" i="5"/>
  <c r="D514" i="5"/>
  <c r="D515" i="5"/>
  <c r="D516" i="5"/>
  <c r="D517" i="5"/>
  <c r="D518" i="5"/>
  <c r="D519" i="5"/>
  <c r="D520" i="5"/>
  <c r="E520" i="5" s="1"/>
  <c r="D521" i="5"/>
  <c r="D522" i="5"/>
  <c r="D523" i="5"/>
  <c r="D524" i="5"/>
  <c r="D525" i="5"/>
  <c r="D526" i="5"/>
  <c r="D527" i="5"/>
  <c r="D528" i="5"/>
  <c r="E528" i="5" s="1"/>
  <c r="D529" i="5"/>
  <c r="D530" i="5"/>
  <c r="D531" i="5"/>
  <c r="D532" i="5"/>
  <c r="D533" i="5"/>
  <c r="D534" i="5"/>
  <c r="D535" i="5"/>
  <c r="D536" i="5"/>
  <c r="E536" i="5" s="1"/>
  <c r="D537" i="5"/>
  <c r="D538" i="5"/>
  <c r="D539" i="5"/>
  <c r="D540" i="5"/>
  <c r="D541" i="5"/>
  <c r="D542" i="5"/>
  <c r="D543" i="5"/>
  <c r="D544" i="5"/>
  <c r="E544" i="5" s="1"/>
  <c r="D545" i="5"/>
  <c r="D546" i="5"/>
  <c r="D547" i="5"/>
  <c r="D548" i="5"/>
  <c r="D549" i="5"/>
  <c r="D550" i="5"/>
  <c r="D551" i="5"/>
  <c r="D552" i="5"/>
  <c r="E552" i="5" s="1"/>
  <c r="D553" i="5"/>
  <c r="D554" i="5"/>
  <c r="D555" i="5"/>
  <c r="D556" i="5"/>
  <c r="D557" i="5"/>
  <c r="D558" i="5"/>
  <c r="D559" i="5"/>
  <c r="D560" i="5"/>
  <c r="E560" i="5" s="1"/>
  <c r="D561" i="5"/>
  <c r="D562" i="5"/>
  <c r="D563" i="5"/>
  <c r="D564" i="5"/>
  <c r="D565" i="5"/>
  <c r="D566" i="5"/>
  <c r="D567" i="5"/>
  <c r="D568" i="5"/>
  <c r="E568" i="5" s="1"/>
  <c r="D569" i="5"/>
  <c r="D570" i="5"/>
  <c r="D571" i="5"/>
  <c r="D572" i="5"/>
  <c r="D573" i="5"/>
  <c r="D574" i="5"/>
  <c r="D575" i="5"/>
  <c r="D576" i="5"/>
  <c r="E576" i="5" s="1"/>
  <c r="D577" i="5"/>
  <c r="D578" i="5"/>
  <c r="D579" i="5"/>
  <c r="D580" i="5"/>
  <c r="D581" i="5"/>
  <c r="D582" i="5"/>
  <c r="D583" i="5"/>
  <c r="D584" i="5"/>
  <c r="E584" i="5" s="1"/>
  <c r="D585" i="5"/>
  <c r="D586" i="5"/>
  <c r="D587" i="5"/>
  <c r="D588" i="5"/>
  <c r="D589" i="5"/>
  <c r="D590" i="5"/>
  <c r="D591" i="5"/>
  <c r="D592" i="5"/>
  <c r="E592" i="5" s="1"/>
  <c r="D593" i="5"/>
  <c r="D594" i="5"/>
  <c r="D595" i="5"/>
  <c r="D596" i="5"/>
  <c r="D597" i="5"/>
  <c r="D598" i="5"/>
  <c r="D599" i="5"/>
  <c r="D600" i="5"/>
  <c r="E600" i="5" s="1"/>
  <c r="D601" i="5"/>
  <c r="D602" i="5"/>
  <c r="D603" i="5"/>
  <c r="D604" i="5"/>
  <c r="D605" i="5"/>
  <c r="D606" i="5"/>
  <c r="D607" i="5"/>
  <c r="D608" i="5"/>
  <c r="E608" i="5" s="1"/>
  <c r="D609" i="5"/>
  <c r="D610" i="5"/>
  <c r="D611" i="5"/>
  <c r="D612" i="5"/>
  <c r="D613" i="5"/>
  <c r="D614" i="5"/>
  <c r="D615" i="5"/>
  <c r="D616" i="5"/>
  <c r="E616" i="5" s="1"/>
  <c r="D617" i="5"/>
  <c r="D618" i="5"/>
  <c r="D619" i="5"/>
  <c r="D620" i="5"/>
  <c r="D621" i="5"/>
  <c r="D622" i="5"/>
  <c r="D623" i="5"/>
  <c r="D624" i="5"/>
  <c r="E624" i="5" s="1"/>
  <c r="D625" i="5"/>
  <c r="D626" i="5"/>
  <c r="D627" i="5"/>
  <c r="D628" i="5"/>
  <c r="D629" i="5"/>
  <c r="D630" i="5"/>
  <c r="D631" i="5"/>
  <c r="D632" i="5"/>
  <c r="E632" i="5" s="1"/>
  <c r="D633" i="5"/>
  <c r="D634" i="5"/>
  <c r="D635" i="5"/>
  <c r="D636" i="5"/>
  <c r="D637" i="5"/>
  <c r="D638" i="5"/>
  <c r="D639" i="5"/>
  <c r="D640" i="5"/>
  <c r="E640" i="5" s="1"/>
  <c r="D641" i="5"/>
  <c r="D642" i="5"/>
  <c r="D643" i="5"/>
  <c r="D644" i="5"/>
  <c r="D645" i="5"/>
  <c r="D646" i="5"/>
  <c r="D647" i="5"/>
  <c r="D648" i="5"/>
  <c r="E648" i="5" s="1"/>
  <c r="D649" i="5"/>
  <c r="D650" i="5"/>
  <c r="D651" i="5"/>
  <c r="D652" i="5"/>
  <c r="D653" i="5"/>
  <c r="D654" i="5"/>
  <c r="D655" i="5"/>
  <c r="D656" i="5"/>
  <c r="E656" i="5" s="1"/>
  <c r="D657" i="5"/>
  <c r="D658" i="5"/>
  <c r="D659" i="5"/>
  <c r="D660" i="5"/>
  <c r="D661" i="5"/>
  <c r="D662" i="5"/>
  <c r="D663" i="5"/>
  <c r="D664" i="5"/>
  <c r="E664" i="5" s="1"/>
  <c r="D665" i="5"/>
  <c r="D666" i="5"/>
  <c r="D667" i="5"/>
  <c r="D668" i="5"/>
  <c r="D669" i="5"/>
  <c r="D670" i="5"/>
  <c r="D671" i="5"/>
  <c r="D672" i="5"/>
  <c r="E672" i="5" s="1"/>
  <c r="D673" i="5"/>
  <c r="D674" i="5"/>
  <c r="D675" i="5"/>
  <c r="D676" i="5"/>
  <c r="D677" i="5"/>
  <c r="D678" i="5"/>
  <c r="D679" i="5"/>
  <c r="D680" i="5"/>
  <c r="E680" i="5" s="1"/>
  <c r="D681" i="5"/>
  <c r="D682" i="5"/>
  <c r="D683" i="5"/>
  <c r="D684" i="5"/>
  <c r="D685" i="5"/>
  <c r="D686" i="5"/>
  <c r="D687" i="5"/>
  <c r="D688" i="5"/>
  <c r="E688" i="5" s="1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E2688" i="5" s="1"/>
  <c r="D2689" i="5"/>
  <c r="D2690" i="5"/>
  <c r="D2691" i="5"/>
  <c r="D2692" i="5"/>
  <c r="D2693" i="5"/>
  <c r="D2694" i="5"/>
  <c r="D2695" i="5"/>
  <c r="D2696" i="5"/>
  <c r="E2696" i="5" s="1"/>
  <c r="D2697" i="5"/>
  <c r="D2698" i="5"/>
  <c r="D2699" i="5"/>
  <c r="D2700" i="5"/>
  <c r="D2701" i="5"/>
  <c r="D2702" i="5"/>
  <c r="D2703" i="5"/>
  <c r="D2704" i="5"/>
  <c r="E2704" i="5" s="1"/>
  <c r="D2705" i="5"/>
  <c r="D2706" i="5"/>
  <c r="D2707" i="5"/>
  <c r="D2708" i="5"/>
  <c r="D2709" i="5"/>
  <c r="D2710" i="5"/>
  <c r="D2711" i="5"/>
  <c r="D2712" i="5"/>
  <c r="E2712" i="5" s="1"/>
  <c r="D2713" i="5"/>
  <c r="D2714" i="5"/>
  <c r="D2715" i="5"/>
  <c r="D2716" i="5"/>
  <c r="D2717" i="5"/>
  <c r="D2718" i="5"/>
  <c r="D2719" i="5"/>
  <c r="D2720" i="5"/>
  <c r="E2720" i="5" s="1"/>
  <c r="D2721" i="5"/>
  <c r="D2722" i="5"/>
  <c r="D2723" i="5"/>
  <c r="D2724" i="5"/>
  <c r="D2725" i="5"/>
  <c r="D2726" i="5"/>
  <c r="D2727" i="5"/>
  <c r="D2728" i="5"/>
  <c r="E2728" i="5" s="1"/>
  <c r="D2729" i="5"/>
  <c r="D2730" i="5"/>
  <c r="D2731" i="5"/>
  <c r="D2732" i="5"/>
  <c r="D2733" i="5"/>
  <c r="D2734" i="5"/>
  <c r="D2735" i="5"/>
  <c r="D2736" i="5"/>
  <c r="E2736" i="5" s="1"/>
  <c r="D2737" i="5"/>
  <c r="D2738" i="5"/>
  <c r="D2739" i="5"/>
  <c r="D2740" i="5"/>
  <c r="D2741" i="5"/>
  <c r="D2742" i="5"/>
  <c r="D2743" i="5"/>
  <c r="D2744" i="5"/>
  <c r="E2744" i="5" s="1"/>
  <c r="D2745" i="5"/>
  <c r="D2746" i="5"/>
  <c r="D2747" i="5"/>
  <c r="D2748" i="5"/>
  <c r="D2749" i="5"/>
  <c r="D2750" i="5"/>
  <c r="D2751" i="5"/>
  <c r="D2752" i="5"/>
  <c r="E2752" i="5" s="1"/>
  <c r="D2753" i="5"/>
  <c r="D2754" i="5"/>
  <c r="D2755" i="5"/>
  <c r="D2756" i="5"/>
  <c r="D2757" i="5"/>
  <c r="D2758" i="5"/>
  <c r="D2759" i="5"/>
  <c r="D2760" i="5"/>
  <c r="E2760" i="5" s="1"/>
  <c r="D2761" i="5"/>
  <c r="D2762" i="5"/>
  <c r="D2763" i="5"/>
  <c r="D2764" i="5"/>
  <c r="D2765" i="5"/>
  <c r="D2766" i="5"/>
  <c r="D2767" i="5"/>
  <c r="D2768" i="5"/>
  <c r="E2768" i="5" s="1"/>
  <c r="D2769" i="5"/>
  <c r="D2770" i="5"/>
  <c r="D2771" i="5"/>
  <c r="D2772" i="5"/>
  <c r="D2773" i="5"/>
  <c r="D2774" i="5"/>
  <c r="D2775" i="5"/>
  <c r="D2776" i="5"/>
  <c r="E2776" i="5" s="1"/>
  <c r="D2777" i="5"/>
  <c r="D2778" i="5"/>
  <c r="D2779" i="5"/>
  <c r="D2780" i="5"/>
  <c r="D2781" i="5"/>
  <c r="D2782" i="5"/>
  <c r="D2783" i="5"/>
  <c r="D2784" i="5"/>
  <c r="E2784" i="5" s="1"/>
  <c r="D2785" i="5"/>
  <c r="D2786" i="5"/>
  <c r="D2787" i="5"/>
  <c r="D2788" i="5"/>
  <c r="D2789" i="5"/>
  <c r="D2790" i="5"/>
  <c r="D2791" i="5"/>
  <c r="D2792" i="5"/>
  <c r="E2792" i="5" s="1"/>
  <c r="D2793" i="5"/>
  <c r="D2794" i="5"/>
  <c r="D2795" i="5"/>
  <c r="D2796" i="5"/>
  <c r="D2797" i="5"/>
  <c r="D2798" i="5"/>
  <c r="D2799" i="5"/>
  <c r="D2800" i="5"/>
  <c r="E2800" i="5" s="1"/>
  <c r="D2801" i="5"/>
  <c r="D2802" i="5"/>
  <c r="D2803" i="5"/>
  <c r="D2804" i="5"/>
  <c r="D2805" i="5"/>
  <c r="D2806" i="5"/>
  <c r="D2807" i="5"/>
  <c r="D2808" i="5"/>
  <c r="E2808" i="5" s="1"/>
  <c r="D2809" i="5"/>
  <c r="D2810" i="5"/>
  <c r="D2811" i="5"/>
  <c r="D2812" i="5"/>
  <c r="D2813" i="5"/>
  <c r="D2814" i="5"/>
  <c r="D2815" i="5"/>
  <c r="D2816" i="5"/>
  <c r="E2816" i="5" s="1"/>
  <c r="D2817" i="5"/>
  <c r="D2818" i="5"/>
  <c r="D2819" i="5"/>
  <c r="D2820" i="5"/>
  <c r="D2821" i="5"/>
  <c r="D2822" i="5"/>
  <c r="D2823" i="5"/>
  <c r="D2824" i="5"/>
  <c r="E2824" i="5" s="1"/>
  <c r="D2825" i="5"/>
  <c r="D2826" i="5"/>
  <c r="D2827" i="5"/>
  <c r="D2828" i="5"/>
  <c r="D2829" i="5"/>
  <c r="D2830" i="5"/>
  <c r="D2831" i="5"/>
  <c r="D2832" i="5"/>
  <c r="E2832" i="5" s="1"/>
  <c r="D2833" i="5"/>
  <c r="D2834" i="5"/>
  <c r="D2835" i="5"/>
  <c r="D2836" i="5"/>
  <c r="D2837" i="5"/>
  <c r="D2838" i="5"/>
  <c r="D2839" i="5"/>
  <c r="D2840" i="5"/>
  <c r="E2840" i="5" s="1"/>
  <c r="D2841" i="5"/>
  <c r="D2842" i="5"/>
  <c r="D2843" i="5"/>
  <c r="D2844" i="5"/>
  <c r="D2845" i="5"/>
  <c r="D2846" i="5"/>
  <c r="D2847" i="5"/>
  <c r="D2848" i="5"/>
  <c r="E2848" i="5" s="1"/>
  <c r="D2849" i="5"/>
  <c r="D2850" i="5"/>
  <c r="D2851" i="5"/>
  <c r="D2852" i="5"/>
  <c r="D2853" i="5"/>
  <c r="D2854" i="5"/>
  <c r="D2855" i="5"/>
  <c r="D2856" i="5"/>
  <c r="E2856" i="5" s="1"/>
  <c r="D2857" i="5"/>
  <c r="D2858" i="5"/>
  <c r="D2859" i="5"/>
  <c r="D2860" i="5"/>
  <c r="D2861" i="5"/>
  <c r="D2862" i="5"/>
  <c r="D2863" i="5"/>
  <c r="D2864" i="5"/>
  <c r="E2864" i="5" s="1"/>
  <c r="D2865" i="5"/>
  <c r="D2866" i="5"/>
  <c r="D2867" i="5"/>
  <c r="D2868" i="5"/>
  <c r="D2869" i="5"/>
  <c r="D2870" i="5"/>
  <c r="D2871" i="5"/>
  <c r="D2872" i="5"/>
  <c r="E2872" i="5" s="1"/>
  <c r="D2873" i="5"/>
  <c r="D2874" i="5"/>
  <c r="D2875" i="5"/>
  <c r="D2876" i="5"/>
  <c r="D2877" i="5"/>
  <c r="D2878" i="5"/>
  <c r="D2879" i="5"/>
  <c r="D2880" i="5"/>
  <c r="E2880" i="5" s="1"/>
  <c r="D2881" i="5"/>
  <c r="D2882" i="5"/>
  <c r="D2883" i="5"/>
  <c r="D2884" i="5"/>
  <c r="D2885" i="5"/>
  <c r="D2886" i="5"/>
  <c r="D2887" i="5"/>
  <c r="D2888" i="5"/>
  <c r="E2888" i="5" s="1"/>
  <c r="D2889" i="5"/>
  <c r="D2890" i="5"/>
  <c r="D2891" i="5"/>
  <c r="D2892" i="5"/>
  <c r="D2893" i="5"/>
  <c r="D2894" i="5"/>
  <c r="D2895" i="5"/>
  <c r="D2896" i="5"/>
  <c r="E2896" i="5" s="1"/>
  <c r="D2897" i="5"/>
  <c r="D2898" i="5"/>
  <c r="D2899" i="5"/>
  <c r="D2900" i="5"/>
  <c r="D2901" i="5"/>
  <c r="D2902" i="5"/>
  <c r="D2903" i="5"/>
  <c r="D2904" i="5"/>
  <c r="E2904" i="5" s="1"/>
  <c r="D2905" i="5"/>
  <c r="D2906" i="5"/>
  <c r="D2907" i="5"/>
  <c r="D2908" i="5"/>
  <c r="D2909" i="5"/>
  <c r="D2910" i="5"/>
  <c r="D2911" i="5"/>
  <c r="D2912" i="5"/>
  <c r="E2912" i="5" s="1"/>
  <c r="D2913" i="5"/>
  <c r="D2914" i="5"/>
  <c r="D2915" i="5"/>
  <c r="D2916" i="5"/>
  <c r="D2917" i="5"/>
  <c r="D2918" i="5"/>
  <c r="D2919" i="5"/>
  <c r="D2920" i="5"/>
  <c r="E2920" i="5" s="1"/>
  <c r="D2921" i="5"/>
  <c r="D2922" i="5"/>
  <c r="D2923" i="5"/>
  <c r="D2924" i="5"/>
  <c r="D2925" i="5"/>
  <c r="D2926" i="5"/>
  <c r="D2927" i="5"/>
  <c r="D2928" i="5"/>
  <c r="E2928" i="5" s="1"/>
  <c r="D2929" i="5"/>
  <c r="D2930" i="5"/>
  <c r="D2931" i="5"/>
  <c r="D2932" i="5"/>
  <c r="D2933" i="5"/>
  <c r="D2934" i="5"/>
  <c r="D2935" i="5"/>
  <c r="D2936" i="5"/>
  <c r="E2936" i="5" s="1"/>
  <c r="D2937" i="5"/>
  <c r="D2938" i="5"/>
  <c r="D2939" i="5"/>
  <c r="D2940" i="5"/>
  <c r="D2941" i="5"/>
  <c r="D2942" i="5"/>
  <c r="D2943" i="5"/>
  <c r="D2944" i="5"/>
  <c r="E2944" i="5" s="1"/>
  <c r="D2945" i="5"/>
  <c r="D2946" i="5"/>
  <c r="D2947" i="5"/>
  <c r="D2948" i="5"/>
  <c r="D2949" i="5"/>
  <c r="D2950" i="5"/>
  <c r="D2951" i="5"/>
  <c r="D2952" i="5"/>
  <c r="E2952" i="5" s="1"/>
  <c r="D2953" i="5"/>
  <c r="D2954" i="5"/>
  <c r="D2955" i="5"/>
  <c r="D2956" i="5"/>
  <c r="D2957" i="5"/>
  <c r="D2958" i="5"/>
  <c r="D2959" i="5"/>
  <c r="D2960" i="5"/>
  <c r="E2960" i="5" s="1"/>
  <c r="D2961" i="5"/>
  <c r="D2962" i="5"/>
  <c r="D2963" i="5"/>
  <c r="D2964" i="5"/>
  <c r="D2965" i="5"/>
  <c r="D2966" i="5"/>
  <c r="D2967" i="5"/>
  <c r="D2968" i="5"/>
  <c r="E2968" i="5" s="1"/>
  <c r="D2969" i="5"/>
  <c r="D2970" i="5"/>
  <c r="D2971" i="5"/>
  <c r="D2972" i="5"/>
  <c r="D2973" i="5"/>
  <c r="D2974" i="5"/>
  <c r="D2975" i="5"/>
  <c r="D2976" i="5"/>
  <c r="E2976" i="5" s="1"/>
  <c r="D2977" i="5"/>
  <c r="D2978" i="5"/>
  <c r="D2979" i="5"/>
  <c r="D2980" i="5"/>
  <c r="D2981" i="5"/>
  <c r="D2982" i="5"/>
  <c r="D2983" i="5"/>
  <c r="D2984" i="5"/>
  <c r="E2984" i="5" s="1"/>
  <c r="D2985" i="5"/>
  <c r="D2986" i="5"/>
  <c r="D2987" i="5"/>
  <c r="D2988" i="5"/>
  <c r="D2989" i="5"/>
  <c r="D2990" i="5"/>
  <c r="D2991" i="5"/>
  <c r="D2992" i="5"/>
  <c r="E2992" i="5" s="1"/>
  <c r="D2993" i="5"/>
  <c r="D2994" i="5"/>
  <c r="D2995" i="5"/>
  <c r="D2996" i="5"/>
  <c r="D2997" i="5"/>
  <c r="D2998" i="5"/>
  <c r="D2999" i="5"/>
  <c r="D3000" i="5"/>
  <c r="E3000" i="5" s="1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E3338" i="5" s="1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E5" i="5"/>
  <c r="E6" i="5"/>
  <c r="E7" i="5"/>
  <c r="E9" i="5"/>
  <c r="E10" i="5"/>
  <c r="E11" i="5"/>
  <c r="E12" i="5"/>
  <c r="E13" i="5"/>
  <c r="E14" i="5"/>
  <c r="E15" i="5"/>
  <c r="E17" i="5"/>
  <c r="E18" i="5"/>
  <c r="E19" i="5"/>
  <c r="E20" i="5"/>
  <c r="E21" i="5"/>
  <c r="E22" i="5"/>
  <c r="E23" i="5"/>
  <c r="E25" i="5"/>
  <c r="E26" i="5"/>
  <c r="E27" i="5"/>
  <c r="E28" i="5"/>
  <c r="E29" i="5"/>
  <c r="E30" i="5"/>
  <c r="E31" i="5"/>
  <c r="E33" i="5"/>
  <c r="E34" i="5"/>
  <c r="E35" i="5"/>
  <c r="E36" i="5"/>
  <c r="E37" i="5"/>
  <c r="E38" i="5"/>
  <c r="E39" i="5"/>
  <c r="E41" i="5"/>
  <c r="E42" i="5"/>
  <c r="E43" i="5"/>
  <c r="E44" i="5"/>
  <c r="E45" i="5"/>
  <c r="E46" i="5"/>
  <c r="E47" i="5"/>
  <c r="E49" i="5"/>
  <c r="E50" i="5"/>
  <c r="E51" i="5"/>
  <c r="E52" i="5"/>
  <c r="E53" i="5"/>
  <c r="E54" i="5"/>
  <c r="E55" i="5"/>
  <c r="E57" i="5"/>
  <c r="E58" i="5"/>
  <c r="E59" i="5"/>
  <c r="E60" i="5"/>
  <c r="E61" i="5"/>
  <c r="E62" i="5"/>
  <c r="E63" i="5"/>
  <c r="E65" i="5"/>
  <c r="E66" i="5"/>
  <c r="E67" i="5"/>
  <c r="E68" i="5"/>
  <c r="E69" i="5"/>
  <c r="E70" i="5"/>
  <c r="E71" i="5"/>
  <c r="E73" i="5"/>
  <c r="E74" i="5"/>
  <c r="E75" i="5"/>
  <c r="E76" i="5"/>
  <c r="E77" i="5"/>
  <c r="E78" i="5"/>
  <c r="E79" i="5"/>
  <c r="E81" i="5"/>
  <c r="E82" i="5"/>
  <c r="E83" i="5"/>
  <c r="E84" i="5"/>
  <c r="E85" i="5"/>
  <c r="E86" i="5"/>
  <c r="E87" i="5"/>
  <c r="E89" i="5"/>
  <c r="E90" i="5"/>
  <c r="E91" i="5"/>
  <c r="E92" i="5"/>
  <c r="E93" i="5"/>
  <c r="E94" i="5"/>
  <c r="E95" i="5"/>
  <c r="E97" i="5"/>
  <c r="E98" i="5"/>
  <c r="E99" i="5"/>
  <c r="E100" i="5"/>
  <c r="E101" i="5"/>
  <c r="E102" i="5"/>
  <c r="E103" i="5"/>
  <c r="E105" i="5"/>
  <c r="E106" i="5"/>
  <c r="E107" i="5"/>
  <c r="E108" i="5"/>
  <c r="E109" i="5"/>
  <c r="E110" i="5"/>
  <c r="E111" i="5"/>
  <c r="E113" i="5"/>
  <c r="E114" i="5"/>
  <c r="E115" i="5"/>
  <c r="E116" i="5"/>
  <c r="E117" i="5"/>
  <c r="E118" i="5"/>
  <c r="E119" i="5"/>
  <c r="E121" i="5"/>
  <c r="E122" i="5"/>
  <c r="E123" i="5"/>
  <c r="E124" i="5"/>
  <c r="E125" i="5"/>
  <c r="E126" i="5"/>
  <c r="E127" i="5"/>
  <c r="E129" i="5"/>
  <c r="E130" i="5"/>
  <c r="E131" i="5"/>
  <c r="E132" i="5"/>
  <c r="E133" i="5"/>
  <c r="E134" i="5"/>
  <c r="E135" i="5"/>
  <c r="E137" i="5"/>
  <c r="E138" i="5"/>
  <c r="E139" i="5"/>
  <c r="E140" i="5"/>
  <c r="E141" i="5"/>
  <c r="E142" i="5"/>
  <c r="E143" i="5"/>
  <c r="E145" i="5"/>
  <c r="E146" i="5"/>
  <c r="E147" i="5"/>
  <c r="E148" i="5"/>
  <c r="E149" i="5"/>
  <c r="E150" i="5"/>
  <c r="E151" i="5"/>
  <c r="E153" i="5"/>
  <c r="E154" i="5"/>
  <c r="E155" i="5"/>
  <c r="E156" i="5"/>
  <c r="E157" i="5"/>
  <c r="E158" i="5"/>
  <c r="E159" i="5"/>
  <c r="E161" i="5"/>
  <c r="E162" i="5"/>
  <c r="E163" i="5"/>
  <c r="E164" i="5"/>
  <c r="E165" i="5"/>
  <c r="E166" i="5"/>
  <c r="E167" i="5"/>
  <c r="E169" i="5"/>
  <c r="E170" i="5"/>
  <c r="E171" i="5"/>
  <c r="E172" i="5"/>
  <c r="E173" i="5"/>
  <c r="E174" i="5"/>
  <c r="E175" i="5"/>
  <c r="E177" i="5"/>
  <c r="E178" i="5"/>
  <c r="E179" i="5"/>
  <c r="E180" i="5"/>
  <c r="E181" i="5"/>
  <c r="E182" i="5"/>
  <c r="E183" i="5"/>
  <c r="E185" i="5"/>
  <c r="E186" i="5"/>
  <c r="E187" i="5"/>
  <c r="E188" i="5"/>
  <c r="E189" i="5"/>
  <c r="E190" i="5"/>
  <c r="E191" i="5"/>
  <c r="E193" i="5"/>
  <c r="E194" i="5"/>
  <c r="E195" i="5"/>
  <c r="E196" i="5"/>
  <c r="E197" i="5"/>
  <c r="E198" i="5"/>
  <c r="E199" i="5"/>
  <c r="E201" i="5"/>
  <c r="E202" i="5"/>
  <c r="E203" i="5"/>
  <c r="E204" i="5"/>
  <c r="E205" i="5"/>
  <c r="E206" i="5"/>
  <c r="E207" i="5"/>
  <c r="E209" i="5"/>
  <c r="E210" i="5"/>
  <c r="E211" i="5"/>
  <c r="E212" i="5"/>
  <c r="E213" i="5"/>
  <c r="E214" i="5"/>
  <c r="E215" i="5"/>
  <c r="E217" i="5"/>
  <c r="E218" i="5"/>
  <c r="E219" i="5"/>
  <c r="E220" i="5"/>
  <c r="E221" i="5"/>
  <c r="E222" i="5"/>
  <c r="E223" i="5"/>
  <c r="E225" i="5"/>
  <c r="E226" i="5"/>
  <c r="E227" i="5"/>
  <c r="E228" i="5"/>
  <c r="E229" i="5"/>
  <c r="E230" i="5"/>
  <c r="E231" i="5"/>
  <c r="E233" i="5"/>
  <c r="E234" i="5"/>
  <c r="E235" i="5"/>
  <c r="E236" i="5"/>
  <c r="E237" i="5"/>
  <c r="E238" i="5"/>
  <c r="E239" i="5"/>
  <c r="E241" i="5"/>
  <c r="E242" i="5"/>
  <c r="E243" i="5"/>
  <c r="E244" i="5"/>
  <c r="E245" i="5"/>
  <c r="E246" i="5"/>
  <c r="E247" i="5"/>
  <c r="E249" i="5"/>
  <c r="E250" i="5"/>
  <c r="E251" i="5"/>
  <c r="E252" i="5"/>
  <c r="E253" i="5"/>
  <c r="E254" i="5"/>
  <c r="E255" i="5"/>
  <c r="E257" i="5"/>
  <c r="E258" i="5"/>
  <c r="E259" i="5"/>
  <c r="E260" i="5"/>
  <c r="E261" i="5"/>
  <c r="E262" i="5"/>
  <c r="E263" i="5"/>
  <c r="E265" i="5"/>
  <c r="E266" i="5"/>
  <c r="E267" i="5"/>
  <c r="E268" i="5"/>
  <c r="E269" i="5"/>
  <c r="E270" i="5"/>
  <c r="E271" i="5"/>
  <c r="E273" i="5"/>
  <c r="E274" i="5"/>
  <c r="E275" i="5"/>
  <c r="E276" i="5"/>
  <c r="E277" i="5"/>
  <c r="E278" i="5"/>
  <c r="E279" i="5"/>
  <c r="E281" i="5"/>
  <c r="E282" i="5"/>
  <c r="E283" i="5"/>
  <c r="E284" i="5"/>
  <c r="E285" i="5"/>
  <c r="E286" i="5"/>
  <c r="E287" i="5"/>
  <c r="E289" i="5"/>
  <c r="E290" i="5"/>
  <c r="E291" i="5"/>
  <c r="E292" i="5"/>
  <c r="E293" i="5"/>
  <c r="E294" i="5"/>
  <c r="E295" i="5"/>
  <c r="E297" i="5"/>
  <c r="E298" i="5"/>
  <c r="E299" i="5"/>
  <c r="E300" i="5"/>
  <c r="E301" i="5"/>
  <c r="E302" i="5"/>
  <c r="E303" i="5"/>
  <c r="E305" i="5"/>
  <c r="E306" i="5"/>
  <c r="E307" i="5"/>
  <c r="E308" i="5"/>
  <c r="E309" i="5"/>
  <c r="E310" i="5"/>
  <c r="E311" i="5"/>
  <c r="E313" i="5"/>
  <c r="E314" i="5"/>
  <c r="E315" i="5"/>
  <c r="E316" i="5"/>
  <c r="E317" i="5"/>
  <c r="E318" i="5"/>
  <c r="E319" i="5"/>
  <c r="E321" i="5"/>
  <c r="E322" i="5"/>
  <c r="E323" i="5"/>
  <c r="E324" i="5"/>
  <c r="E325" i="5"/>
  <c r="E326" i="5"/>
  <c r="E327" i="5"/>
  <c r="E329" i="5"/>
  <c r="E330" i="5"/>
  <c r="E331" i="5"/>
  <c r="E332" i="5"/>
  <c r="E333" i="5"/>
  <c r="E334" i="5"/>
  <c r="E335" i="5"/>
  <c r="E337" i="5"/>
  <c r="E338" i="5"/>
  <c r="E339" i="5"/>
  <c r="E340" i="5"/>
  <c r="E341" i="5"/>
  <c r="E342" i="5"/>
  <c r="E343" i="5"/>
  <c r="E345" i="5"/>
  <c r="E346" i="5"/>
  <c r="E347" i="5"/>
  <c r="E348" i="5"/>
  <c r="E349" i="5"/>
  <c r="E350" i="5"/>
  <c r="E351" i="5"/>
  <c r="E353" i="5"/>
  <c r="E354" i="5"/>
  <c r="E355" i="5"/>
  <c r="E356" i="5"/>
  <c r="E357" i="5"/>
  <c r="E358" i="5"/>
  <c r="E359" i="5"/>
  <c r="E361" i="5"/>
  <c r="E362" i="5"/>
  <c r="E363" i="5"/>
  <c r="E364" i="5"/>
  <c r="E365" i="5"/>
  <c r="E366" i="5"/>
  <c r="E367" i="5"/>
  <c r="E369" i="5"/>
  <c r="E370" i="5"/>
  <c r="E371" i="5"/>
  <c r="E372" i="5"/>
  <c r="E373" i="5"/>
  <c r="E374" i="5"/>
  <c r="E375" i="5"/>
  <c r="E377" i="5"/>
  <c r="E378" i="5"/>
  <c r="E379" i="5"/>
  <c r="E380" i="5"/>
  <c r="E381" i="5"/>
  <c r="E382" i="5"/>
  <c r="E383" i="5"/>
  <c r="E385" i="5"/>
  <c r="E386" i="5"/>
  <c r="E387" i="5"/>
  <c r="E388" i="5"/>
  <c r="E389" i="5"/>
  <c r="E390" i="5"/>
  <c r="E391" i="5"/>
  <c r="E393" i="5"/>
  <c r="E394" i="5"/>
  <c r="E395" i="5"/>
  <c r="E396" i="5"/>
  <c r="E397" i="5"/>
  <c r="E398" i="5"/>
  <c r="E399" i="5"/>
  <c r="E401" i="5"/>
  <c r="E402" i="5"/>
  <c r="E403" i="5"/>
  <c r="E404" i="5"/>
  <c r="E405" i="5"/>
  <c r="E406" i="5"/>
  <c r="E407" i="5"/>
  <c r="E409" i="5"/>
  <c r="E410" i="5"/>
  <c r="E411" i="5"/>
  <c r="E412" i="5"/>
  <c r="E413" i="5"/>
  <c r="E414" i="5"/>
  <c r="E415" i="5"/>
  <c r="E417" i="5"/>
  <c r="E418" i="5"/>
  <c r="E419" i="5"/>
  <c r="E420" i="5"/>
  <c r="E421" i="5"/>
  <c r="E422" i="5"/>
  <c r="E423" i="5"/>
  <c r="E425" i="5"/>
  <c r="E426" i="5"/>
  <c r="E427" i="5"/>
  <c r="E428" i="5"/>
  <c r="E429" i="5"/>
  <c r="E430" i="5"/>
  <c r="E431" i="5"/>
  <c r="E433" i="5"/>
  <c r="E434" i="5"/>
  <c r="E435" i="5"/>
  <c r="E436" i="5"/>
  <c r="E437" i="5"/>
  <c r="E438" i="5"/>
  <c r="E439" i="5"/>
  <c r="E441" i="5"/>
  <c r="E442" i="5"/>
  <c r="E443" i="5"/>
  <c r="E444" i="5"/>
  <c r="E445" i="5"/>
  <c r="E446" i="5"/>
  <c r="E447" i="5"/>
  <c r="E449" i="5"/>
  <c r="E450" i="5"/>
  <c r="E451" i="5"/>
  <c r="E452" i="5"/>
  <c r="E453" i="5"/>
  <c r="E454" i="5"/>
  <c r="E455" i="5"/>
  <c r="E457" i="5"/>
  <c r="E458" i="5"/>
  <c r="E459" i="5"/>
  <c r="E460" i="5"/>
  <c r="E461" i="5"/>
  <c r="E462" i="5"/>
  <c r="E463" i="5"/>
  <c r="E465" i="5"/>
  <c r="E466" i="5"/>
  <c r="E467" i="5"/>
  <c r="E468" i="5"/>
  <c r="E469" i="5"/>
  <c r="E470" i="5"/>
  <c r="E471" i="5"/>
  <c r="E473" i="5"/>
  <c r="E474" i="5"/>
  <c r="E475" i="5"/>
  <c r="E476" i="5"/>
  <c r="E477" i="5"/>
  <c r="E478" i="5"/>
  <c r="E479" i="5"/>
  <c r="E481" i="5"/>
  <c r="E482" i="5"/>
  <c r="E483" i="5"/>
  <c r="E484" i="5"/>
  <c r="E485" i="5"/>
  <c r="E486" i="5"/>
  <c r="E487" i="5"/>
  <c r="E489" i="5"/>
  <c r="E490" i="5"/>
  <c r="E491" i="5"/>
  <c r="E492" i="5"/>
  <c r="E493" i="5"/>
  <c r="E494" i="5"/>
  <c r="E495" i="5"/>
  <c r="E497" i="5"/>
  <c r="E498" i="5"/>
  <c r="E499" i="5"/>
  <c r="E500" i="5"/>
  <c r="E501" i="5"/>
  <c r="E502" i="5"/>
  <c r="E503" i="5"/>
  <c r="E505" i="5"/>
  <c r="E506" i="5"/>
  <c r="E507" i="5"/>
  <c r="E508" i="5"/>
  <c r="E509" i="5"/>
  <c r="E510" i="5"/>
  <c r="E511" i="5"/>
  <c r="E513" i="5"/>
  <c r="E514" i="5"/>
  <c r="E515" i="5"/>
  <c r="E516" i="5"/>
  <c r="E517" i="5"/>
  <c r="E518" i="5"/>
  <c r="E519" i="5"/>
  <c r="E521" i="5"/>
  <c r="E522" i="5"/>
  <c r="E523" i="5"/>
  <c r="E524" i="5"/>
  <c r="E525" i="5"/>
  <c r="E526" i="5"/>
  <c r="E527" i="5"/>
  <c r="E529" i="5"/>
  <c r="E530" i="5"/>
  <c r="E531" i="5"/>
  <c r="E532" i="5"/>
  <c r="E533" i="5"/>
  <c r="E534" i="5"/>
  <c r="E535" i="5"/>
  <c r="E537" i="5"/>
  <c r="E538" i="5"/>
  <c r="E539" i="5"/>
  <c r="E540" i="5"/>
  <c r="E541" i="5"/>
  <c r="E542" i="5"/>
  <c r="E543" i="5"/>
  <c r="E545" i="5"/>
  <c r="E546" i="5"/>
  <c r="E547" i="5"/>
  <c r="E548" i="5"/>
  <c r="E549" i="5"/>
  <c r="E550" i="5"/>
  <c r="E551" i="5"/>
  <c r="E553" i="5"/>
  <c r="E554" i="5"/>
  <c r="E555" i="5"/>
  <c r="E556" i="5"/>
  <c r="E557" i="5"/>
  <c r="E558" i="5"/>
  <c r="E559" i="5"/>
  <c r="E561" i="5"/>
  <c r="E562" i="5"/>
  <c r="E563" i="5"/>
  <c r="E564" i="5"/>
  <c r="E565" i="5"/>
  <c r="E566" i="5"/>
  <c r="E567" i="5"/>
  <c r="E569" i="5"/>
  <c r="E570" i="5"/>
  <c r="E571" i="5"/>
  <c r="E572" i="5"/>
  <c r="E573" i="5"/>
  <c r="E574" i="5"/>
  <c r="E575" i="5"/>
  <c r="E577" i="5"/>
  <c r="E578" i="5"/>
  <c r="E579" i="5"/>
  <c r="E580" i="5"/>
  <c r="E581" i="5"/>
  <c r="E582" i="5"/>
  <c r="E583" i="5"/>
  <c r="E585" i="5"/>
  <c r="E586" i="5"/>
  <c r="E587" i="5"/>
  <c r="E588" i="5"/>
  <c r="E589" i="5"/>
  <c r="E590" i="5"/>
  <c r="E591" i="5"/>
  <c r="E593" i="5"/>
  <c r="E594" i="5"/>
  <c r="E595" i="5"/>
  <c r="E596" i="5"/>
  <c r="E597" i="5"/>
  <c r="E598" i="5"/>
  <c r="E599" i="5"/>
  <c r="E601" i="5"/>
  <c r="E602" i="5"/>
  <c r="E603" i="5"/>
  <c r="E604" i="5"/>
  <c r="E605" i="5"/>
  <c r="E606" i="5"/>
  <c r="E607" i="5"/>
  <c r="E609" i="5"/>
  <c r="E610" i="5"/>
  <c r="E611" i="5"/>
  <c r="E612" i="5"/>
  <c r="E613" i="5"/>
  <c r="E614" i="5"/>
  <c r="E615" i="5"/>
  <c r="E617" i="5"/>
  <c r="E618" i="5"/>
  <c r="E619" i="5"/>
  <c r="E620" i="5"/>
  <c r="E621" i="5"/>
  <c r="E622" i="5"/>
  <c r="E623" i="5"/>
  <c r="E625" i="5"/>
  <c r="E626" i="5"/>
  <c r="E627" i="5"/>
  <c r="E628" i="5"/>
  <c r="E629" i="5"/>
  <c r="E630" i="5"/>
  <c r="E631" i="5"/>
  <c r="E633" i="5"/>
  <c r="E634" i="5"/>
  <c r="E635" i="5"/>
  <c r="E636" i="5"/>
  <c r="E637" i="5"/>
  <c r="E638" i="5"/>
  <c r="E639" i="5"/>
  <c r="E641" i="5"/>
  <c r="E642" i="5"/>
  <c r="E643" i="5"/>
  <c r="E644" i="5"/>
  <c r="E645" i="5"/>
  <c r="E646" i="5"/>
  <c r="E647" i="5"/>
  <c r="E649" i="5"/>
  <c r="E650" i="5"/>
  <c r="E651" i="5"/>
  <c r="E652" i="5"/>
  <c r="E653" i="5"/>
  <c r="E654" i="5"/>
  <c r="E655" i="5"/>
  <c r="E657" i="5"/>
  <c r="E658" i="5"/>
  <c r="E659" i="5"/>
  <c r="E660" i="5"/>
  <c r="E661" i="5"/>
  <c r="E662" i="5"/>
  <c r="E663" i="5"/>
  <c r="E665" i="5"/>
  <c r="E666" i="5"/>
  <c r="E667" i="5"/>
  <c r="E668" i="5"/>
  <c r="E669" i="5"/>
  <c r="E670" i="5"/>
  <c r="E671" i="5"/>
  <c r="E673" i="5"/>
  <c r="E674" i="5"/>
  <c r="E675" i="5"/>
  <c r="E676" i="5"/>
  <c r="E677" i="5"/>
  <c r="E678" i="5"/>
  <c r="E679" i="5"/>
  <c r="E681" i="5"/>
  <c r="E682" i="5"/>
  <c r="E683" i="5"/>
  <c r="E684" i="5"/>
  <c r="E685" i="5"/>
  <c r="E686" i="5"/>
  <c r="E687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9" i="5"/>
  <c r="E2690" i="5"/>
  <c r="E2691" i="5"/>
  <c r="E2692" i="5"/>
  <c r="E2693" i="5"/>
  <c r="E2694" i="5"/>
  <c r="E2695" i="5"/>
  <c r="E2697" i="5"/>
  <c r="E2698" i="5"/>
  <c r="E2699" i="5"/>
  <c r="E2700" i="5"/>
  <c r="E2701" i="5"/>
  <c r="E2702" i="5"/>
  <c r="E2703" i="5"/>
  <c r="E2705" i="5"/>
  <c r="E2706" i="5"/>
  <c r="E2707" i="5"/>
  <c r="E2708" i="5"/>
  <c r="E2709" i="5"/>
  <c r="E2710" i="5"/>
  <c r="E2711" i="5"/>
  <c r="E2713" i="5"/>
  <c r="E2714" i="5"/>
  <c r="E2715" i="5"/>
  <c r="E2716" i="5"/>
  <c r="E2717" i="5"/>
  <c r="E2718" i="5"/>
  <c r="E2719" i="5"/>
  <c r="E2721" i="5"/>
  <c r="E2722" i="5"/>
  <c r="E2723" i="5"/>
  <c r="E2724" i="5"/>
  <c r="E2725" i="5"/>
  <c r="E2726" i="5"/>
  <c r="E2727" i="5"/>
  <c r="E2729" i="5"/>
  <c r="E2730" i="5"/>
  <c r="E2731" i="5"/>
  <c r="E2732" i="5"/>
  <c r="E2733" i="5"/>
  <c r="E2734" i="5"/>
  <c r="E2735" i="5"/>
  <c r="E2737" i="5"/>
  <c r="E2738" i="5"/>
  <c r="E2739" i="5"/>
  <c r="E2740" i="5"/>
  <c r="E2741" i="5"/>
  <c r="E2742" i="5"/>
  <c r="E2743" i="5"/>
  <c r="E2745" i="5"/>
  <c r="E2746" i="5"/>
  <c r="E2747" i="5"/>
  <c r="E2748" i="5"/>
  <c r="E2749" i="5"/>
  <c r="E2750" i="5"/>
  <c r="E2751" i="5"/>
  <c r="E2753" i="5"/>
  <c r="E2754" i="5"/>
  <c r="E2755" i="5"/>
  <c r="E2756" i="5"/>
  <c r="E2757" i="5"/>
  <c r="E2758" i="5"/>
  <c r="E2759" i="5"/>
  <c r="E2761" i="5"/>
  <c r="E2762" i="5"/>
  <c r="E2763" i="5"/>
  <c r="E2764" i="5"/>
  <c r="E2765" i="5"/>
  <c r="E2766" i="5"/>
  <c r="E2767" i="5"/>
  <c r="E2769" i="5"/>
  <c r="E2770" i="5"/>
  <c r="E2771" i="5"/>
  <c r="E2772" i="5"/>
  <c r="E2773" i="5"/>
  <c r="E2774" i="5"/>
  <c r="E2775" i="5"/>
  <c r="E2777" i="5"/>
  <c r="E2778" i="5"/>
  <c r="E2779" i="5"/>
  <c r="E2780" i="5"/>
  <c r="E2781" i="5"/>
  <c r="E2782" i="5"/>
  <c r="E2783" i="5"/>
  <c r="E2785" i="5"/>
  <c r="E2786" i="5"/>
  <c r="E2787" i="5"/>
  <c r="E2788" i="5"/>
  <c r="E2789" i="5"/>
  <c r="E2790" i="5"/>
  <c r="E2791" i="5"/>
  <c r="E2793" i="5"/>
  <c r="E2794" i="5"/>
  <c r="E2795" i="5"/>
  <c r="E2796" i="5"/>
  <c r="E2797" i="5"/>
  <c r="E2798" i="5"/>
  <c r="E2799" i="5"/>
  <c r="E2801" i="5"/>
  <c r="E2802" i="5"/>
  <c r="E2803" i="5"/>
  <c r="E2804" i="5"/>
  <c r="E2805" i="5"/>
  <c r="E2806" i="5"/>
  <c r="E2807" i="5"/>
  <c r="E2809" i="5"/>
  <c r="E2810" i="5"/>
  <c r="E2811" i="5"/>
  <c r="E2812" i="5"/>
  <c r="E2813" i="5"/>
  <c r="E2814" i="5"/>
  <c r="E2815" i="5"/>
  <c r="E2817" i="5"/>
  <c r="E2818" i="5"/>
  <c r="E2819" i="5"/>
  <c r="E2820" i="5"/>
  <c r="E2821" i="5"/>
  <c r="E2822" i="5"/>
  <c r="E2823" i="5"/>
  <c r="E2825" i="5"/>
  <c r="E2826" i="5"/>
  <c r="E2827" i="5"/>
  <c r="E2828" i="5"/>
  <c r="E2829" i="5"/>
  <c r="E2830" i="5"/>
  <c r="E2831" i="5"/>
  <c r="E2833" i="5"/>
  <c r="E2834" i="5"/>
  <c r="E2835" i="5"/>
  <c r="E2836" i="5"/>
  <c r="E2837" i="5"/>
  <c r="E2838" i="5"/>
  <c r="E2839" i="5"/>
  <c r="E2841" i="5"/>
  <c r="E2842" i="5"/>
  <c r="E2843" i="5"/>
  <c r="E2844" i="5"/>
  <c r="E2845" i="5"/>
  <c r="E2846" i="5"/>
  <c r="E2847" i="5"/>
  <c r="E2849" i="5"/>
  <c r="E2850" i="5"/>
  <c r="E2851" i="5"/>
  <c r="E2852" i="5"/>
  <c r="E2853" i="5"/>
  <c r="E2854" i="5"/>
  <c r="E2855" i="5"/>
  <c r="E2857" i="5"/>
  <c r="E2858" i="5"/>
  <c r="E2859" i="5"/>
  <c r="E2860" i="5"/>
  <c r="E2861" i="5"/>
  <c r="E2862" i="5"/>
  <c r="E2863" i="5"/>
  <c r="E2865" i="5"/>
  <c r="E2866" i="5"/>
  <c r="E2867" i="5"/>
  <c r="E2868" i="5"/>
  <c r="E2869" i="5"/>
  <c r="E2870" i="5"/>
  <c r="E2871" i="5"/>
  <c r="E2873" i="5"/>
  <c r="E2874" i="5"/>
  <c r="E2875" i="5"/>
  <c r="E2876" i="5"/>
  <c r="E2877" i="5"/>
  <c r="E2878" i="5"/>
  <c r="E2879" i="5"/>
  <c r="E2881" i="5"/>
  <c r="E2882" i="5"/>
  <c r="E2883" i="5"/>
  <c r="E2884" i="5"/>
  <c r="E2885" i="5"/>
  <c r="E2886" i="5"/>
  <c r="E2887" i="5"/>
  <c r="E2889" i="5"/>
  <c r="E2890" i="5"/>
  <c r="E2891" i="5"/>
  <c r="E2892" i="5"/>
  <c r="E2893" i="5"/>
  <c r="E2894" i="5"/>
  <c r="E2895" i="5"/>
  <c r="E2897" i="5"/>
  <c r="E2898" i="5"/>
  <c r="E2899" i="5"/>
  <c r="E2900" i="5"/>
  <c r="E2901" i="5"/>
  <c r="E2902" i="5"/>
  <c r="E2903" i="5"/>
  <c r="E2905" i="5"/>
  <c r="E2906" i="5"/>
  <c r="E2907" i="5"/>
  <c r="E2908" i="5"/>
  <c r="E2909" i="5"/>
  <c r="E2910" i="5"/>
  <c r="E2911" i="5"/>
  <c r="E2913" i="5"/>
  <c r="E2914" i="5"/>
  <c r="E2915" i="5"/>
  <c r="E2916" i="5"/>
  <c r="E2917" i="5"/>
  <c r="E2918" i="5"/>
  <c r="E2919" i="5"/>
  <c r="E2921" i="5"/>
  <c r="E2922" i="5"/>
  <c r="E2923" i="5"/>
  <c r="E2924" i="5"/>
  <c r="E2925" i="5"/>
  <c r="E2926" i="5"/>
  <c r="E2927" i="5"/>
  <c r="E2929" i="5"/>
  <c r="E2930" i="5"/>
  <c r="E2931" i="5"/>
  <c r="E2932" i="5"/>
  <c r="E2933" i="5"/>
  <c r="E2934" i="5"/>
  <c r="E2935" i="5"/>
  <c r="E2937" i="5"/>
  <c r="E2938" i="5"/>
  <c r="E2939" i="5"/>
  <c r="E2940" i="5"/>
  <c r="E2941" i="5"/>
  <c r="E2942" i="5"/>
  <c r="E2943" i="5"/>
  <c r="E2945" i="5"/>
  <c r="E2946" i="5"/>
  <c r="E2947" i="5"/>
  <c r="E2948" i="5"/>
  <c r="E2949" i="5"/>
  <c r="E2950" i="5"/>
  <c r="E2951" i="5"/>
  <c r="E2953" i="5"/>
  <c r="E2954" i="5"/>
  <c r="E2955" i="5"/>
  <c r="E2956" i="5"/>
  <c r="E2957" i="5"/>
  <c r="E2958" i="5"/>
  <c r="E2959" i="5"/>
  <c r="E2961" i="5"/>
  <c r="E2962" i="5"/>
  <c r="E2963" i="5"/>
  <c r="E2964" i="5"/>
  <c r="E2965" i="5"/>
  <c r="E2966" i="5"/>
  <c r="E2967" i="5"/>
  <c r="E2969" i="5"/>
  <c r="E2970" i="5"/>
  <c r="E2971" i="5"/>
  <c r="E2972" i="5"/>
  <c r="E2973" i="5"/>
  <c r="E2974" i="5"/>
  <c r="E2975" i="5"/>
  <c r="E2977" i="5"/>
  <c r="E2978" i="5"/>
  <c r="E2979" i="5"/>
  <c r="E2980" i="5"/>
  <c r="E2981" i="5"/>
  <c r="E2982" i="5"/>
  <c r="E2983" i="5"/>
  <c r="E2985" i="5"/>
  <c r="E2986" i="5"/>
  <c r="E2987" i="5"/>
  <c r="E2988" i="5"/>
  <c r="E2989" i="5"/>
  <c r="E2990" i="5"/>
  <c r="E2991" i="5"/>
  <c r="E2993" i="5"/>
  <c r="E2994" i="5"/>
  <c r="E2995" i="5"/>
  <c r="E2996" i="5"/>
  <c r="E2997" i="5"/>
  <c r="E2998" i="5"/>
  <c r="E2999" i="5"/>
  <c r="E3001" i="5"/>
  <c r="E3002" i="5"/>
  <c r="E3003" i="5"/>
  <c r="E3004" i="5"/>
  <c r="E3005" i="5"/>
  <c r="E3006" i="5"/>
  <c r="E3007" i="5"/>
  <c r="E3009" i="5"/>
  <c r="E3010" i="5"/>
  <c r="E3011" i="5"/>
  <c r="E3012" i="5"/>
  <c r="E3013" i="5"/>
  <c r="E3014" i="5"/>
  <c r="E3015" i="5"/>
  <c r="E3017" i="5"/>
  <c r="E3018" i="5"/>
  <c r="E3019" i="5"/>
  <c r="E3020" i="5"/>
  <c r="E3021" i="5"/>
  <c r="E3022" i="5"/>
  <c r="E3023" i="5"/>
  <c r="E3025" i="5"/>
  <c r="E3026" i="5"/>
  <c r="E3027" i="5"/>
  <c r="E3028" i="5"/>
  <c r="E3029" i="5"/>
  <c r="E3030" i="5"/>
  <c r="E3031" i="5"/>
  <c r="E3033" i="5"/>
  <c r="E3034" i="5"/>
  <c r="E3035" i="5"/>
  <c r="E3036" i="5"/>
  <c r="E3037" i="5"/>
  <c r="E3038" i="5"/>
  <c r="E3039" i="5"/>
  <c r="E3041" i="5"/>
  <c r="E3042" i="5"/>
  <c r="E3043" i="5"/>
  <c r="E3044" i="5"/>
  <c r="E3045" i="5"/>
  <c r="E3046" i="5"/>
  <c r="E3047" i="5"/>
  <c r="E3049" i="5"/>
  <c r="E3050" i="5"/>
  <c r="E3051" i="5"/>
  <c r="E3052" i="5"/>
  <c r="E3053" i="5"/>
  <c r="E3054" i="5"/>
  <c r="E3055" i="5"/>
  <c r="E3057" i="5"/>
  <c r="E3058" i="5"/>
  <c r="E3059" i="5"/>
  <c r="E3060" i="5"/>
  <c r="E3061" i="5"/>
  <c r="E3062" i="5"/>
  <c r="E3063" i="5"/>
  <c r="E3065" i="5"/>
  <c r="E3066" i="5"/>
  <c r="E3067" i="5"/>
  <c r="E3068" i="5"/>
  <c r="E3069" i="5"/>
  <c r="E3070" i="5"/>
  <c r="E3071" i="5"/>
  <c r="E3073" i="5"/>
  <c r="E3074" i="5"/>
  <c r="E3075" i="5"/>
  <c r="E3076" i="5"/>
  <c r="E3077" i="5"/>
  <c r="E3078" i="5"/>
  <c r="E3079" i="5"/>
  <c r="E3081" i="5"/>
  <c r="E3082" i="5"/>
  <c r="E3083" i="5"/>
  <c r="E3084" i="5"/>
  <c r="E3085" i="5"/>
  <c r="E3086" i="5"/>
  <c r="E3087" i="5"/>
  <c r="E3089" i="5"/>
  <c r="E3090" i="5"/>
  <c r="E3091" i="5"/>
  <c r="E3092" i="5"/>
  <c r="E3093" i="5"/>
  <c r="E3094" i="5"/>
  <c r="E3095" i="5"/>
  <c r="E3097" i="5"/>
  <c r="E3098" i="5"/>
  <c r="E3099" i="5"/>
  <c r="E3100" i="5"/>
  <c r="E3101" i="5"/>
  <c r="E3102" i="5"/>
  <c r="E3103" i="5"/>
  <c r="E3105" i="5"/>
  <c r="E3106" i="5"/>
  <c r="E3107" i="5"/>
  <c r="E3108" i="5"/>
  <c r="E3109" i="5"/>
  <c r="E3110" i="5"/>
  <c r="E3111" i="5"/>
  <c r="E3113" i="5"/>
  <c r="E3114" i="5"/>
  <c r="E3115" i="5"/>
  <c r="E3116" i="5"/>
  <c r="E3117" i="5"/>
  <c r="E3118" i="5"/>
  <c r="E3119" i="5"/>
  <c r="E3121" i="5"/>
  <c r="E3122" i="5"/>
  <c r="E3123" i="5"/>
  <c r="E3124" i="5"/>
  <c r="E3125" i="5"/>
  <c r="E3126" i="5"/>
  <c r="E3127" i="5"/>
  <c r="E3129" i="5"/>
  <c r="E3130" i="5"/>
  <c r="E3131" i="5"/>
  <c r="E3132" i="5"/>
  <c r="E3133" i="5"/>
  <c r="E3134" i="5"/>
  <c r="E3135" i="5"/>
  <c r="E3137" i="5"/>
  <c r="E3138" i="5"/>
  <c r="E3139" i="5"/>
  <c r="E3140" i="5"/>
  <c r="E3141" i="5"/>
  <c r="E3142" i="5"/>
  <c r="E3143" i="5"/>
  <c r="E3145" i="5"/>
  <c r="E3146" i="5"/>
  <c r="E3147" i="5"/>
  <c r="E3148" i="5"/>
  <c r="E3149" i="5"/>
  <c r="E3150" i="5"/>
  <c r="E3151" i="5"/>
  <c r="E3153" i="5"/>
  <c r="E3154" i="5"/>
  <c r="E3155" i="5"/>
  <c r="E3156" i="5"/>
  <c r="E3157" i="5"/>
  <c r="E3158" i="5"/>
  <c r="E3159" i="5"/>
  <c r="E3161" i="5"/>
  <c r="E3162" i="5"/>
  <c r="E3163" i="5"/>
  <c r="E3164" i="5"/>
  <c r="E3165" i="5"/>
  <c r="E3166" i="5"/>
  <c r="E3167" i="5"/>
  <c r="E3169" i="5"/>
  <c r="E3170" i="5"/>
  <c r="E3171" i="5"/>
  <c r="E3172" i="5"/>
  <c r="E3173" i="5"/>
  <c r="E3174" i="5"/>
  <c r="E3175" i="5"/>
  <c r="E3177" i="5"/>
  <c r="E3178" i="5"/>
  <c r="E3179" i="5"/>
  <c r="E3180" i="5"/>
  <c r="E3181" i="5"/>
  <c r="E3182" i="5"/>
  <c r="E3183" i="5"/>
  <c r="E3185" i="5"/>
  <c r="E3186" i="5"/>
  <c r="E3187" i="5"/>
  <c r="E3188" i="5"/>
  <c r="E3189" i="5"/>
  <c r="E3190" i="5"/>
  <c r="E3191" i="5"/>
  <c r="E3193" i="5"/>
  <c r="E3194" i="5"/>
  <c r="E3195" i="5"/>
  <c r="E3196" i="5"/>
  <c r="E3197" i="5"/>
  <c r="E3198" i="5"/>
  <c r="E3199" i="5"/>
  <c r="E3201" i="5"/>
  <c r="E3202" i="5"/>
  <c r="E3203" i="5"/>
  <c r="E3204" i="5"/>
  <c r="E3205" i="5"/>
  <c r="E3206" i="5"/>
  <c r="E3207" i="5"/>
  <c r="E3209" i="5"/>
  <c r="E3210" i="5"/>
  <c r="E3211" i="5"/>
  <c r="E3212" i="5"/>
  <c r="E3213" i="5"/>
  <c r="E3214" i="5"/>
  <c r="E3215" i="5"/>
  <c r="E3217" i="5"/>
  <c r="E3218" i="5"/>
  <c r="E3219" i="5"/>
  <c r="E3220" i="5"/>
  <c r="E3221" i="5"/>
  <c r="E3222" i="5"/>
  <c r="E3223" i="5"/>
  <c r="E3225" i="5"/>
  <c r="E3226" i="5"/>
  <c r="E3227" i="5"/>
  <c r="E3228" i="5"/>
  <c r="E3229" i="5"/>
  <c r="E3230" i="5"/>
  <c r="E3231" i="5"/>
  <c r="E3233" i="5"/>
  <c r="E3234" i="5"/>
  <c r="E3235" i="5"/>
  <c r="E3236" i="5"/>
  <c r="E3237" i="5"/>
  <c r="E3238" i="5"/>
  <c r="E3239" i="5"/>
  <c r="E3241" i="5"/>
  <c r="E3242" i="5"/>
  <c r="E3243" i="5"/>
  <c r="E3244" i="5"/>
  <c r="E3245" i="5"/>
  <c r="E3246" i="5"/>
  <c r="E3247" i="5"/>
  <c r="E3249" i="5"/>
  <c r="E3250" i="5"/>
  <c r="E3251" i="5"/>
  <c r="E3252" i="5"/>
  <c r="E3253" i="5"/>
  <c r="E3254" i="5"/>
  <c r="E3255" i="5"/>
  <c r="E3257" i="5"/>
  <c r="E3258" i="5"/>
  <c r="E3259" i="5"/>
  <c r="E3260" i="5"/>
  <c r="E3261" i="5"/>
  <c r="E3262" i="5"/>
  <c r="E3263" i="5"/>
  <c r="E3265" i="5"/>
  <c r="E3266" i="5"/>
  <c r="E3267" i="5"/>
  <c r="E3268" i="5"/>
  <c r="E3269" i="5"/>
  <c r="E3270" i="5"/>
  <c r="E3271" i="5"/>
  <c r="E3273" i="5"/>
  <c r="E3274" i="5"/>
  <c r="E3275" i="5"/>
  <c r="E3276" i="5"/>
  <c r="E3277" i="5"/>
  <c r="E3278" i="5"/>
  <c r="E3279" i="5"/>
  <c r="E3281" i="5"/>
  <c r="E3282" i="5"/>
  <c r="E3283" i="5"/>
  <c r="E3284" i="5"/>
  <c r="E3285" i="5"/>
  <c r="E3286" i="5"/>
  <c r="E3287" i="5"/>
  <c r="E3289" i="5"/>
  <c r="E3290" i="5"/>
  <c r="E3291" i="5"/>
  <c r="E3292" i="5"/>
  <c r="E3293" i="5"/>
  <c r="E3294" i="5"/>
  <c r="E3295" i="5"/>
  <c r="E3297" i="5"/>
  <c r="E3298" i="5"/>
  <c r="E3299" i="5"/>
  <c r="E3300" i="5"/>
  <c r="E3301" i="5"/>
  <c r="E3302" i="5"/>
  <c r="E3303" i="5"/>
  <c r="E3305" i="5"/>
  <c r="E3306" i="5"/>
  <c r="E3307" i="5"/>
  <c r="E3308" i="5"/>
  <c r="E3309" i="5"/>
  <c r="E3310" i="5"/>
  <c r="E3311" i="5"/>
  <c r="E3313" i="5"/>
  <c r="E3314" i="5"/>
  <c r="E3315" i="5"/>
  <c r="E3316" i="5"/>
  <c r="E3317" i="5"/>
  <c r="E3318" i="5"/>
  <c r="E3319" i="5"/>
  <c r="E3321" i="5"/>
  <c r="E3322" i="5"/>
  <c r="E3323" i="5"/>
  <c r="E3324" i="5"/>
  <c r="E3325" i="5"/>
  <c r="E3326" i="5"/>
  <c r="E3327" i="5"/>
  <c r="E3329" i="5"/>
  <c r="E3330" i="5"/>
  <c r="E3331" i="5"/>
  <c r="E3332" i="5"/>
  <c r="E3333" i="5"/>
  <c r="E3334" i="5"/>
  <c r="E3335" i="5"/>
  <c r="E3337" i="5"/>
  <c r="E3339" i="5"/>
  <c r="E3340" i="5"/>
  <c r="E3341" i="5"/>
  <c r="E3342" i="5"/>
  <c r="E3343" i="5"/>
  <c r="E3345" i="5"/>
  <c r="E3346" i="5"/>
  <c r="E3347" i="5"/>
  <c r="E3348" i="5"/>
  <c r="E3349" i="5"/>
  <c r="E3350" i="5"/>
  <c r="E3351" i="5"/>
  <c r="E3353" i="5"/>
  <c r="E3354" i="5"/>
  <c r="E3355" i="5"/>
  <c r="E3356" i="5"/>
  <c r="E3357" i="5"/>
  <c r="E3358" i="5"/>
  <c r="E3359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F5" i="5"/>
  <c r="N5" i="5"/>
  <c r="F6" i="5" l="1"/>
  <c r="G5" i="5"/>
  <c r="H5" i="5"/>
  <c r="I5" i="5"/>
  <c r="J5" i="5"/>
  <c r="E3360" i="5"/>
  <c r="E3352" i="5"/>
  <c r="E3344" i="5"/>
  <c r="E3336" i="5"/>
  <c r="E3328" i="5"/>
  <c r="E3232" i="5"/>
  <c r="E3224" i="5"/>
  <c r="E3320" i="5"/>
  <c r="E3304" i="5"/>
  <c r="E3288" i="5"/>
  <c r="E3272" i="5"/>
  <c r="E3256" i="5"/>
  <c r="E3240" i="5"/>
  <c r="E3208" i="5"/>
  <c r="E3192" i="5"/>
  <c r="E3176" i="5"/>
  <c r="E3160" i="5"/>
  <c r="E3144" i="5"/>
  <c r="E3128" i="5"/>
  <c r="E3112" i="5"/>
  <c r="E3096" i="5"/>
  <c r="E3080" i="5"/>
  <c r="E3072" i="5"/>
  <c r="E3056" i="5"/>
  <c r="E3040" i="5"/>
  <c r="E3032" i="5"/>
  <c r="E3024" i="5"/>
  <c r="E3016" i="5"/>
  <c r="E3312" i="5"/>
  <c r="E3296" i="5"/>
  <c r="E3280" i="5"/>
  <c r="E3264" i="5"/>
  <c r="E3248" i="5"/>
  <c r="E3216" i="5"/>
  <c r="E3200" i="5"/>
  <c r="E3184" i="5"/>
  <c r="E3168" i="5"/>
  <c r="E3152" i="5"/>
  <c r="E3136" i="5"/>
  <c r="E3120" i="5"/>
  <c r="E3104" i="5"/>
  <c r="E3088" i="5"/>
  <c r="E3064" i="5"/>
  <c r="E3048" i="5"/>
  <c r="E3008" i="5"/>
  <c r="D2" i="12"/>
  <c r="G2" i="12"/>
  <c r="F2" i="12"/>
  <c r="T8" i="4"/>
  <c r="F7" i="5" l="1"/>
  <c r="G6" i="5"/>
  <c r="H6" i="5"/>
  <c r="I6" i="5"/>
  <c r="J6" i="5"/>
  <c r="K5" i="5"/>
  <c r="L5" i="5" s="1"/>
  <c r="N6" i="5"/>
  <c r="T4" i="4"/>
  <c r="K6" i="5" l="1"/>
  <c r="L6" i="5" s="1"/>
  <c r="M6" i="5" s="1"/>
  <c r="N7" i="5"/>
  <c r="F8" i="5"/>
  <c r="J7" i="5" s="1"/>
  <c r="G7" i="5"/>
  <c r="I7" i="5"/>
  <c r="H7" i="5"/>
  <c r="M5" i="5"/>
  <c r="C11" i="12"/>
  <c r="C12" i="12"/>
  <c r="C13" i="12"/>
  <c r="C14" i="12"/>
  <c r="C15" i="12"/>
  <c r="C16" i="12"/>
  <c r="C17" i="12"/>
  <c r="C18" i="12"/>
  <c r="C10" i="12"/>
  <c r="D11" i="12"/>
  <c r="D12" i="12"/>
  <c r="D13" i="12"/>
  <c r="D14" i="12"/>
  <c r="D15" i="12"/>
  <c r="D16" i="12"/>
  <c r="D17" i="12"/>
  <c r="D18" i="12"/>
  <c r="D10" i="12"/>
  <c r="B18" i="12"/>
  <c r="B17" i="12"/>
  <c r="B16" i="12"/>
  <c r="B15" i="12"/>
  <c r="B14" i="12"/>
  <c r="B13" i="12"/>
  <c r="B12" i="12"/>
  <c r="B11" i="12"/>
  <c r="B10" i="12"/>
  <c r="K7" i="5" l="1"/>
  <c r="L7" i="5" s="1"/>
  <c r="N8" i="5"/>
  <c r="F9" i="5"/>
  <c r="J8" i="5" s="1"/>
  <c r="G8" i="5"/>
  <c r="I8" i="5"/>
  <c r="H8" i="5"/>
  <c r="T9" i="4"/>
  <c r="G54" i="4"/>
  <c r="K8" i="5" l="1"/>
  <c r="L8" i="5" s="1"/>
  <c r="N9" i="5"/>
  <c r="M8" i="5"/>
  <c r="M7" i="5"/>
  <c r="F10" i="5"/>
  <c r="G9" i="5"/>
  <c r="H9" i="5"/>
  <c r="O3" i="11"/>
  <c r="H2" i="12"/>
  <c r="I2" i="12"/>
  <c r="C4" i="12"/>
  <c r="G56" i="4" s="1"/>
  <c r="E2" i="12"/>
  <c r="F11" i="5" l="1"/>
  <c r="G10" i="5"/>
  <c r="H10" i="5"/>
  <c r="J10" i="5"/>
  <c r="I10" i="5"/>
  <c r="I9" i="5"/>
  <c r="J9" i="5"/>
  <c r="G4" i="12"/>
  <c r="J56" i="4" s="1"/>
  <c r="I4" i="12"/>
  <c r="L56" i="4" s="1"/>
  <c r="F4" i="12"/>
  <c r="I56" i="4" s="1"/>
  <c r="D4" i="12"/>
  <c r="E4" i="12"/>
  <c r="H56" i="4" s="1"/>
  <c r="H4" i="12"/>
  <c r="K56" i="4" s="1"/>
  <c r="K10" i="5" l="1"/>
  <c r="L10" i="5" s="1"/>
  <c r="N11" i="5"/>
  <c r="K9" i="5"/>
  <c r="L9" i="5" s="1"/>
  <c r="N10" i="5"/>
  <c r="F12" i="5"/>
  <c r="I11" i="5" s="1"/>
  <c r="H11" i="5"/>
  <c r="G11" i="5"/>
  <c r="J11" i="5" l="1"/>
  <c r="F13" i="5"/>
  <c r="I12" i="5" s="1"/>
  <c r="G12" i="5"/>
  <c r="H12" i="5"/>
  <c r="M10" i="5"/>
  <c r="M9" i="5"/>
  <c r="K11" i="5" l="1"/>
  <c r="L11" i="5" s="1"/>
  <c r="N12" i="5"/>
  <c r="F14" i="5"/>
  <c r="J13" i="5" s="1"/>
  <c r="H13" i="5"/>
  <c r="G13" i="5"/>
  <c r="J12" i="5"/>
  <c r="K13" i="5" l="1"/>
  <c r="L13" i="5" s="1"/>
  <c r="N14" i="5"/>
  <c r="F15" i="5"/>
  <c r="G14" i="5"/>
  <c r="H14" i="5"/>
  <c r="I14" i="5"/>
  <c r="J14" i="5"/>
  <c r="M11" i="5"/>
  <c r="K12" i="5"/>
  <c r="L12" i="5" s="1"/>
  <c r="M13" i="5" s="1"/>
  <c r="N13" i="5"/>
  <c r="I13" i="5"/>
  <c r="M14" i="5" l="1"/>
  <c r="M12" i="5"/>
  <c r="K14" i="5"/>
  <c r="L14" i="5" s="1"/>
  <c r="N15" i="5"/>
  <c r="F16" i="5"/>
  <c r="G15" i="5"/>
  <c r="I15" i="5"/>
  <c r="H15" i="5"/>
  <c r="J15" i="5"/>
  <c r="K15" i="5" l="1"/>
  <c r="L15" i="5" s="1"/>
  <c r="N16" i="5"/>
  <c r="F17" i="5"/>
  <c r="G16" i="5"/>
  <c r="I16" i="5"/>
  <c r="J16" i="5"/>
  <c r="H16" i="5"/>
  <c r="M15" i="5"/>
  <c r="K16" i="5" l="1"/>
  <c r="L16" i="5" s="1"/>
  <c r="N17" i="5"/>
  <c r="F18" i="5"/>
  <c r="G17" i="5"/>
  <c r="H17" i="5"/>
  <c r="M16" i="5"/>
  <c r="F19" i="5" l="1"/>
  <c r="G18" i="5"/>
  <c r="H18" i="5"/>
  <c r="I18" i="5"/>
  <c r="J18" i="5"/>
  <c r="J17" i="5"/>
  <c r="I17" i="5"/>
  <c r="K17" i="5" l="1"/>
  <c r="L17" i="5" s="1"/>
  <c r="N18" i="5"/>
  <c r="K18" i="5"/>
  <c r="L18" i="5" s="1"/>
  <c r="N19" i="5"/>
  <c r="F20" i="5"/>
  <c r="G19" i="5"/>
  <c r="H19" i="5"/>
  <c r="I19" i="5"/>
  <c r="F21" i="5" l="1"/>
  <c r="G20" i="5"/>
  <c r="H20" i="5"/>
  <c r="I20" i="5"/>
  <c r="J20" i="5"/>
  <c r="J19" i="5"/>
  <c r="M18" i="5"/>
  <c r="M17" i="5"/>
  <c r="K20" i="5" l="1"/>
  <c r="K19" i="5"/>
  <c r="L19" i="5" s="1"/>
  <c r="N20" i="5"/>
  <c r="N21" i="5" s="1"/>
  <c r="F22" i="5"/>
  <c r="G21" i="5"/>
  <c r="H21" i="5"/>
  <c r="F23" i="5" l="1"/>
  <c r="G22" i="5"/>
  <c r="H22" i="5"/>
  <c r="I22" i="5"/>
  <c r="J22" i="5"/>
  <c r="I21" i="5"/>
  <c r="M20" i="5"/>
  <c r="M19" i="5"/>
  <c r="J21" i="5"/>
  <c r="L20" i="5"/>
  <c r="K22" i="5" l="1"/>
  <c r="L22" i="5" s="1"/>
  <c r="N23" i="5"/>
  <c r="K21" i="5"/>
  <c r="L21" i="5" s="1"/>
  <c r="M22" i="5" s="1"/>
  <c r="N22" i="5"/>
  <c r="F24" i="5"/>
  <c r="G23" i="5"/>
  <c r="I23" i="5"/>
  <c r="H23" i="5"/>
  <c r="F25" i="5" l="1"/>
  <c r="G24" i="5"/>
  <c r="I24" i="5"/>
  <c r="H24" i="5"/>
  <c r="J24" i="5"/>
  <c r="M21" i="5"/>
  <c r="J23" i="5"/>
  <c r="K24" i="5" l="1"/>
  <c r="K23" i="5"/>
  <c r="L23" i="5" s="1"/>
  <c r="N24" i="5"/>
  <c r="N25" i="5" s="1"/>
  <c r="F26" i="5"/>
  <c r="H25" i="5"/>
  <c r="G25" i="5"/>
  <c r="I25" i="5"/>
  <c r="F27" i="5" l="1"/>
  <c r="G26" i="5"/>
  <c r="H26" i="5"/>
  <c r="J26" i="5" s="1"/>
  <c r="I26" i="5"/>
  <c r="M24" i="5"/>
  <c r="M23" i="5"/>
  <c r="J25" i="5"/>
  <c r="L24" i="5"/>
  <c r="K26" i="5" l="1"/>
  <c r="L26" i="5" s="1"/>
  <c r="N27" i="5"/>
  <c r="K25" i="5"/>
  <c r="L25" i="5" s="1"/>
  <c r="M26" i="5" s="1"/>
  <c r="N26" i="5"/>
  <c r="F28" i="5"/>
  <c r="G27" i="5"/>
  <c r="H27" i="5"/>
  <c r="F29" i="5" l="1"/>
  <c r="G28" i="5"/>
  <c r="H28" i="5"/>
  <c r="I28" i="5"/>
  <c r="J28" i="5"/>
  <c r="M25" i="5"/>
  <c r="I27" i="5"/>
  <c r="J27" i="5"/>
  <c r="N28" i="5" l="1"/>
  <c r="K27" i="5"/>
  <c r="L27" i="5" s="1"/>
  <c r="K28" i="5"/>
  <c r="L28" i="5" s="1"/>
  <c r="N29" i="5"/>
  <c r="F30" i="5"/>
  <c r="G29" i="5"/>
  <c r="H29" i="5"/>
  <c r="I29" i="5"/>
  <c r="F31" i="5" l="1"/>
  <c r="G30" i="5"/>
  <c r="H30" i="5"/>
  <c r="I30" i="5"/>
  <c r="J30" i="5"/>
  <c r="M28" i="5"/>
  <c r="M27" i="5"/>
  <c r="J29" i="5"/>
  <c r="K30" i="5" l="1"/>
  <c r="L30" i="5" s="1"/>
  <c r="N31" i="5"/>
  <c r="K29" i="5"/>
  <c r="L29" i="5" s="1"/>
  <c r="N30" i="5"/>
  <c r="F32" i="5"/>
  <c r="G31" i="5"/>
  <c r="H31" i="5"/>
  <c r="F33" i="5" l="1"/>
  <c r="G32" i="5"/>
  <c r="I32" i="5"/>
  <c r="J32" i="5"/>
  <c r="H32" i="5"/>
  <c r="M30" i="5"/>
  <c r="M29" i="5"/>
  <c r="I31" i="5"/>
  <c r="J31" i="5"/>
  <c r="K32" i="5" l="1"/>
  <c r="K31" i="5"/>
  <c r="L31" i="5" s="1"/>
  <c r="N32" i="5"/>
  <c r="N33" i="5" s="1"/>
  <c r="F34" i="5"/>
  <c r="G33" i="5"/>
  <c r="H33" i="5"/>
  <c r="J33" i="5"/>
  <c r="K33" i="5" l="1"/>
  <c r="N34" i="5"/>
  <c r="F35" i="5"/>
  <c r="G34" i="5"/>
  <c r="H34" i="5"/>
  <c r="J34" i="5"/>
  <c r="M32" i="5"/>
  <c r="M31" i="5"/>
  <c r="I33" i="5"/>
  <c r="L32" i="5"/>
  <c r="F36" i="5" l="1"/>
  <c r="G35" i="5"/>
  <c r="H35" i="5"/>
  <c r="I35" i="5"/>
  <c r="J35" i="5"/>
  <c r="K34" i="5"/>
  <c r="L34" i="5" s="1"/>
  <c r="N35" i="5"/>
  <c r="I34" i="5"/>
  <c r="L33" i="5"/>
  <c r="K35" i="5" l="1"/>
  <c r="L35" i="5" s="1"/>
  <c r="N36" i="5"/>
  <c r="M35" i="5"/>
  <c r="M34" i="5"/>
  <c r="M33" i="5"/>
  <c r="F37" i="5"/>
  <c r="H36" i="5"/>
  <c r="G36" i="5"/>
  <c r="F38" i="5" l="1"/>
  <c r="G37" i="5"/>
  <c r="H37" i="5"/>
  <c r="I37" i="5"/>
  <c r="J37" i="5"/>
  <c r="J36" i="5"/>
  <c r="I36" i="5"/>
  <c r="K36" i="5" l="1"/>
  <c r="L36" i="5" s="1"/>
  <c r="N37" i="5"/>
  <c r="K37" i="5"/>
  <c r="L37" i="5" s="1"/>
  <c r="N38" i="5"/>
  <c r="F39" i="5"/>
  <c r="G38" i="5"/>
  <c r="H38" i="5"/>
  <c r="I38" i="5"/>
  <c r="F40" i="5" l="1"/>
  <c r="I39" i="5"/>
  <c r="H39" i="5"/>
  <c r="G39" i="5"/>
  <c r="J39" i="5"/>
  <c r="J38" i="5"/>
  <c r="M37" i="5"/>
  <c r="M36" i="5"/>
  <c r="K38" i="5" l="1"/>
  <c r="L38" i="5" s="1"/>
  <c r="N39" i="5"/>
  <c r="K39" i="5"/>
  <c r="L39" i="5" s="1"/>
  <c r="N40" i="5"/>
  <c r="F41" i="5"/>
  <c r="G40" i="5"/>
  <c r="H40" i="5"/>
  <c r="F42" i="5" l="1"/>
  <c r="G41" i="5"/>
  <c r="H41" i="5"/>
  <c r="I41" i="5"/>
  <c r="J41" i="5"/>
  <c r="I40" i="5"/>
  <c r="J40" i="5"/>
  <c r="M39" i="5"/>
  <c r="M38" i="5"/>
  <c r="K40" i="5" l="1"/>
  <c r="L40" i="5" s="1"/>
  <c r="N41" i="5"/>
  <c r="K41" i="5"/>
  <c r="L41" i="5" s="1"/>
  <c r="N42" i="5"/>
  <c r="F43" i="5"/>
  <c r="G42" i="5"/>
  <c r="H42" i="5"/>
  <c r="F44" i="5" l="1"/>
  <c r="G43" i="5"/>
  <c r="H43" i="5"/>
  <c r="J43" i="5"/>
  <c r="I43" i="5"/>
  <c r="J42" i="5"/>
  <c r="I42" i="5"/>
  <c r="M41" i="5"/>
  <c r="M40" i="5"/>
  <c r="K43" i="5" l="1"/>
  <c r="K42" i="5"/>
  <c r="L42" i="5" s="1"/>
  <c r="N43" i="5"/>
  <c r="N44" i="5" s="1"/>
  <c r="F45" i="5"/>
  <c r="G44" i="5"/>
  <c r="H44" i="5"/>
  <c r="F46" i="5" l="1"/>
  <c r="G45" i="5"/>
  <c r="H45" i="5"/>
  <c r="I45" i="5"/>
  <c r="J45" i="5"/>
  <c r="I44" i="5"/>
  <c r="M43" i="5"/>
  <c r="M42" i="5"/>
  <c r="J44" i="5"/>
  <c r="L43" i="5"/>
  <c r="K45" i="5" l="1"/>
  <c r="K44" i="5"/>
  <c r="L44" i="5" s="1"/>
  <c r="N45" i="5"/>
  <c r="N46" i="5" s="1"/>
  <c r="F47" i="5"/>
  <c r="J46" i="5" s="1"/>
  <c r="G46" i="5"/>
  <c r="H46" i="5"/>
  <c r="K46" i="5" l="1"/>
  <c r="N47" i="5"/>
  <c r="M44" i="5"/>
  <c r="F48" i="5"/>
  <c r="G47" i="5"/>
  <c r="I47" i="5"/>
  <c r="H47" i="5"/>
  <c r="I46" i="5"/>
  <c r="L45" i="5"/>
  <c r="F49" i="5" l="1"/>
  <c r="G48" i="5"/>
  <c r="I48" i="5"/>
  <c r="J48" i="5"/>
  <c r="H48" i="5"/>
  <c r="M46" i="5"/>
  <c r="M45" i="5"/>
  <c r="J47" i="5"/>
  <c r="L46" i="5"/>
  <c r="K47" i="5" l="1"/>
  <c r="L47" i="5" s="1"/>
  <c r="N48" i="5"/>
  <c r="K48" i="5"/>
  <c r="L48" i="5" s="1"/>
  <c r="N49" i="5"/>
  <c r="M47" i="5"/>
  <c r="F50" i="5"/>
  <c r="G49" i="5"/>
  <c r="H49" i="5"/>
  <c r="F51" i="5" l="1"/>
  <c r="G50" i="5"/>
  <c r="H50" i="5"/>
  <c r="I50" i="5"/>
  <c r="J50" i="5"/>
  <c r="J49" i="5"/>
  <c r="I49" i="5"/>
  <c r="M48" i="5"/>
  <c r="K49" i="5" l="1"/>
  <c r="L49" i="5" s="1"/>
  <c r="N50" i="5"/>
  <c r="K50" i="5"/>
  <c r="L50" i="5" s="1"/>
  <c r="N51" i="5"/>
  <c r="F52" i="5"/>
  <c r="G51" i="5"/>
  <c r="H51" i="5"/>
  <c r="F53" i="5" l="1"/>
  <c r="G52" i="5"/>
  <c r="H52" i="5"/>
  <c r="I52" i="5"/>
  <c r="J52" i="5"/>
  <c r="I51" i="5"/>
  <c r="J51" i="5"/>
  <c r="M50" i="5"/>
  <c r="M49" i="5"/>
  <c r="K52" i="5" l="1"/>
  <c r="K51" i="5"/>
  <c r="L51" i="5" s="1"/>
  <c r="N52" i="5"/>
  <c r="N53" i="5" s="1"/>
  <c r="F54" i="5"/>
  <c r="G53" i="5"/>
  <c r="H53" i="5"/>
  <c r="I53" i="5"/>
  <c r="F55" i="5" l="1"/>
  <c r="G54" i="5"/>
  <c r="H54" i="5"/>
  <c r="I54" i="5"/>
  <c r="J54" i="5"/>
  <c r="M52" i="5"/>
  <c r="M51" i="5"/>
  <c r="J53" i="5"/>
  <c r="L52" i="5"/>
  <c r="K53" i="5" l="1"/>
  <c r="L53" i="5" s="1"/>
  <c r="N54" i="5"/>
  <c r="K54" i="5"/>
  <c r="L54" i="5" s="1"/>
  <c r="N55" i="5"/>
  <c r="M53" i="5"/>
  <c r="F56" i="5"/>
  <c r="J55" i="5" s="1"/>
  <c r="G55" i="5"/>
  <c r="I55" i="5"/>
  <c r="H55" i="5"/>
  <c r="K55" i="5" l="1"/>
  <c r="L55" i="5" s="1"/>
  <c r="N56" i="5"/>
  <c r="M55" i="5"/>
  <c r="F57" i="5"/>
  <c r="G56" i="5"/>
  <c r="I56" i="5"/>
  <c r="H56" i="5"/>
  <c r="J56" i="5"/>
  <c r="M54" i="5"/>
  <c r="K56" i="5" l="1"/>
  <c r="L56" i="5" s="1"/>
  <c r="N57" i="5"/>
  <c r="F58" i="5"/>
  <c r="G57" i="5"/>
  <c r="H57" i="5"/>
  <c r="I57" i="5"/>
  <c r="J57" i="5"/>
  <c r="M56" i="5"/>
  <c r="K57" i="5" l="1"/>
  <c r="L57" i="5" s="1"/>
  <c r="N58" i="5"/>
  <c r="F59" i="5"/>
  <c r="G58" i="5"/>
  <c r="H58" i="5"/>
  <c r="J58" i="5" s="1"/>
  <c r="I58" i="5"/>
  <c r="M57" i="5"/>
  <c r="K58" i="5" l="1"/>
  <c r="L58" i="5" s="1"/>
  <c r="N59" i="5"/>
  <c r="F60" i="5"/>
  <c r="G59" i="5"/>
  <c r="H59" i="5"/>
  <c r="I59" i="5"/>
  <c r="J59" i="5"/>
  <c r="M58" i="5"/>
  <c r="N60" i="5" l="1"/>
  <c r="K59" i="5"/>
  <c r="L59" i="5" s="1"/>
  <c r="F61" i="5"/>
  <c r="G60" i="5"/>
  <c r="H60" i="5"/>
  <c r="I60" i="5"/>
  <c r="J60" i="5"/>
  <c r="M59" i="5"/>
  <c r="N61" i="5" l="1"/>
  <c r="K60" i="5"/>
  <c r="L60" i="5" s="1"/>
  <c r="F62" i="5"/>
  <c r="H61" i="5"/>
  <c r="G61" i="5"/>
  <c r="I61" i="5"/>
  <c r="J61" i="5"/>
  <c r="M60" i="5"/>
  <c r="F63" i="5" l="1"/>
  <c r="G62" i="5"/>
  <c r="H62" i="5"/>
  <c r="J62" i="5"/>
  <c r="I62" i="5"/>
  <c r="K61" i="5"/>
  <c r="L61" i="5" s="1"/>
  <c r="N62" i="5"/>
  <c r="M61" i="5"/>
  <c r="K62" i="5" l="1"/>
  <c r="L62" i="5" s="1"/>
  <c r="N63" i="5"/>
  <c r="F64" i="5"/>
  <c r="G63" i="5"/>
  <c r="H63" i="5"/>
  <c r="J63" i="5" s="1"/>
  <c r="K63" i="5" l="1"/>
  <c r="L63" i="5" s="1"/>
  <c r="N64" i="5"/>
  <c r="F65" i="5"/>
  <c r="G64" i="5"/>
  <c r="H64" i="5"/>
  <c r="I63" i="5"/>
  <c r="M63" i="5"/>
  <c r="M62" i="5"/>
  <c r="F66" i="5" l="1"/>
  <c r="G65" i="5"/>
  <c r="J65" i="5"/>
  <c r="H65" i="5"/>
  <c r="I65" i="5"/>
  <c r="J64" i="5"/>
  <c r="I64" i="5"/>
  <c r="K64" i="5" l="1"/>
  <c r="L64" i="5" s="1"/>
  <c r="N65" i="5"/>
  <c r="K65" i="5"/>
  <c r="L65" i="5" s="1"/>
  <c r="N66" i="5"/>
  <c r="F67" i="5"/>
  <c r="G66" i="5"/>
  <c r="H66" i="5"/>
  <c r="J66" i="5"/>
  <c r="K66" i="5" l="1"/>
  <c r="L66" i="5" s="1"/>
  <c r="N67" i="5"/>
  <c r="F68" i="5"/>
  <c r="G67" i="5"/>
  <c r="H67" i="5"/>
  <c r="I67" i="5"/>
  <c r="J67" i="5"/>
  <c r="M66" i="5"/>
  <c r="I66" i="5"/>
  <c r="M65" i="5"/>
  <c r="M64" i="5"/>
  <c r="K67" i="5" l="1"/>
  <c r="L67" i="5" s="1"/>
  <c r="N68" i="5"/>
  <c r="F69" i="5"/>
  <c r="G68" i="5"/>
  <c r="H68" i="5"/>
  <c r="I68" i="5"/>
  <c r="J68" i="5"/>
  <c r="M67" i="5"/>
  <c r="K68" i="5" l="1"/>
  <c r="L68" i="5" s="1"/>
  <c r="N69" i="5"/>
  <c r="F70" i="5"/>
  <c r="G69" i="5"/>
  <c r="H69" i="5"/>
  <c r="I69" i="5"/>
  <c r="J69" i="5"/>
  <c r="M68" i="5"/>
  <c r="K69" i="5" l="1"/>
  <c r="L69" i="5" s="1"/>
  <c r="N70" i="5"/>
  <c r="F71" i="5"/>
  <c r="G70" i="5"/>
  <c r="H70" i="5"/>
  <c r="I70" i="5"/>
  <c r="J70" i="5"/>
  <c r="M69" i="5"/>
  <c r="K70" i="5" l="1"/>
  <c r="L70" i="5" s="1"/>
  <c r="N71" i="5"/>
  <c r="F72" i="5"/>
  <c r="I71" i="5" s="1"/>
  <c r="G71" i="5"/>
  <c r="H71" i="5"/>
  <c r="J71" i="5"/>
  <c r="M70" i="5"/>
  <c r="K71" i="5" l="1"/>
  <c r="L71" i="5" s="1"/>
  <c r="N72" i="5"/>
  <c r="F73" i="5"/>
  <c r="G72" i="5"/>
  <c r="I72" i="5"/>
  <c r="H72" i="5"/>
  <c r="J72" i="5"/>
  <c r="M71" i="5"/>
  <c r="K72" i="5" l="1"/>
  <c r="L72" i="5" s="1"/>
  <c r="N73" i="5"/>
  <c r="F74" i="5"/>
  <c r="G73" i="5"/>
  <c r="H73" i="5"/>
  <c r="I73" i="5"/>
  <c r="J73" i="5"/>
  <c r="M72" i="5"/>
  <c r="K73" i="5" l="1"/>
  <c r="L73" i="5" s="1"/>
  <c r="N74" i="5"/>
  <c r="F75" i="5"/>
  <c r="G74" i="5"/>
  <c r="H74" i="5"/>
  <c r="J74" i="5"/>
  <c r="I74" i="5"/>
  <c r="M73" i="5"/>
  <c r="K74" i="5" l="1"/>
  <c r="L74" i="5" s="1"/>
  <c r="N75" i="5"/>
  <c r="F76" i="5"/>
  <c r="H75" i="5"/>
  <c r="G75" i="5"/>
  <c r="I75" i="5"/>
  <c r="J75" i="5"/>
  <c r="M74" i="5"/>
  <c r="K75" i="5" l="1"/>
  <c r="L75" i="5" s="1"/>
  <c r="N76" i="5"/>
  <c r="F77" i="5"/>
  <c r="G76" i="5"/>
  <c r="H76" i="5"/>
  <c r="I76" i="5"/>
  <c r="J76" i="5"/>
  <c r="M75" i="5"/>
  <c r="K76" i="5" l="1"/>
  <c r="L76" i="5" s="1"/>
  <c r="N77" i="5"/>
  <c r="F78" i="5"/>
  <c r="G77" i="5"/>
  <c r="H77" i="5"/>
  <c r="I77" i="5"/>
  <c r="J77" i="5"/>
  <c r="M76" i="5"/>
  <c r="K77" i="5" l="1"/>
  <c r="L77" i="5" s="1"/>
  <c r="N78" i="5"/>
  <c r="F79" i="5"/>
  <c r="G78" i="5"/>
  <c r="H78" i="5"/>
  <c r="I78" i="5"/>
  <c r="J78" i="5"/>
  <c r="M77" i="5"/>
  <c r="K78" i="5" l="1"/>
  <c r="L78" i="5" s="1"/>
  <c r="N79" i="5"/>
  <c r="F80" i="5"/>
  <c r="G79" i="5"/>
  <c r="I79" i="5"/>
  <c r="H79" i="5"/>
  <c r="J79" i="5"/>
  <c r="M78" i="5"/>
  <c r="K79" i="5" l="1"/>
  <c r="L79" i="5" s="1"/>
  <c r="N80" i="5"/>
  <c r="F81" i="5"/>
  <c r="G80" i="5"/>
  <c r="I80" i="5"/>
  <c r="J80" i="5"/>
  <c r="H80" i="5"/>
  <c r="M79" i="5"/>
  <c r="K80" i="5" l="1"/>
  <c r="L80" i="5" s="1"/>
  <c r="N81" i="5"/>
  <c r="F82" i="5"/>
  <c r="G81" i="5"/>
  <c r="H81" i="5"/>
  <c r="I81" i="5"/>
  <c r="J81" i="5"/>
  <c r="M80" i="5"/>
  <c r="K81" i="5" l="1"/>
  <c r="L81" i="5" s="1"/>
  <c r="N82" i="5"/>
  <c r="F83" i="5"/>
  <c r="G82" i="5"/>
  <c r="H82" i="5"/>
  <c r="I82" i="5"/>
  <c r="J82" i="5"/>
  <c r="M81" i="5"/>
  <c r="K82" i="5" l="1"/>
  <c r="L82" i="5" s="1"/>
  <c r="N83" i="5"/>
  <c r="F84" i="5"/>
  <c r="G83" i="5"/>
  <c r="H83" i="5"/>
  <c r="I83" i="5"/>
  <c r="J83" i="5"/>
  <c r="M82" i="5"/>
  <c r="K83" i="5" l="1"/>
  <c r="L83" i="5" s="1"/>
  <c r="N84" i="5"/>
  <c r="F85" i="5"/>
  <c r="H84" i="5"/>
  <c r="G84" i="5"/>
  <c r="I84" i="5"/>
  <c r="J84" i="5"/>
  <c r="M83" i="5"/>
  <c r="K84" i="5" l="1"/>
  <c r="L84" i="5" s="1"/>
  <c r="N85" i="5"/>
  <c r="F86" i="5"/>
  <c r="H85" i="5"/>
  <c r="G85" i="5"/>
  <c r="J85" i="5"/>
  <c r="I85" i="5"/>
  <c r="M84" i="5"/>
  <c r="K85" i="5" l="1"/>
  <c r="L85" i="5" s="1"/>
  <c r="N86" i="5"/>
  <c r="F87" i="5"/>
  <c r="G86" i="5"/>
  <c r="H86" i="5"/>
  <c r="I86" i="5"/>
  <c r="J86" i="5"/>
  <c r="M85" i="5"/>
  <c r="K86" i="5" l="1"/>
  <c r="L86" i="5" s="1"/>
  <c r="N87" i="5"/>
  <c r="F88" i="5"/>
  <c r="G87" i="5"/>
  <c r="I87" i="5"/>
  <c r="H87" i="5"/>
  <c r="J87" i="5"/>
  <c r="M86" i="5"/>
  <c r="K87" i="5" l="1"/>
  <c r="L87" i="5" s="1"/>
  <c r="N88" i="5"/>
  <c r="F89" i="5"/>
  <c r="G88" i="5"/>
  <c r="I88" i="5"/>
  <c r="H88" i="5"/>
  <c r="J88" i="5" s="1"/>
  <c r="M87" i="5"/>
  <c r="K88" i="5" l="1"/>
  <c r="L88" i="5" s="1"/>
  <c r="N89" i="5"/>
  <c r="F90" i="5"/>
  <c r="G89" i="5"/>
  <c r="H89" i="5"/>
  <c r="I89" i="5"/>
  <c r="J89" i="5"/>
  <c r="M88" i="5"/>
  <c r="K89" i="5" l="1"/>
  <c r="L89" i="5" s="1"/>
  <c r="N90" i="5"/>
  <c r="F91" i="5"/>
  <c r="G90" i="5"/>
  <c r="H90" i="5"/>
  <c r="I90" i="5"/>
  <c r="J90" i="5"/>
  <c r="M89" i="5"/>
  <c r="K90" i="5" l="1"/>
  <c r="L90" i="5" s="1"/>
  <c r="N91" i="5"/>
  <c r="F92" i="5"/>
  <c r="G91" i="5"/>
  <c r="H91" i="5"/>
  <c r="J91" i="5"/>
  <c r="I91" i="5"/>
  <c r="M90" i="5"/>
  <c r="N92" i="5" l="1"/>
  <c r="K91" i="5"/>
  <c r="L91" i="5" s="1"/>
  <c r="F93" i="5"/>
  <c r="G92" i="5"/>
  <c r="H92" i="5"/>
  <c r="I92" i="5"/>
  <c r="J92" i="5"/>
  <c r="M91" i="5"/>
  <c r="F94" i="5" l="1"/>
  <c r="G93" i="5"/>
  <c r="H93" i="5"/>
  <c r="I93" i="5"/>
  <c r="J93" i="5"/>
  <c r="K92" i="5"/>
  <c r="L92" i="5" s="1"/>
  <c r="N93" i="5"/>
  <c r="M92" i="5"/>
  <c r="K93" i="5" l="1"/>
  <c r="L93" i="5" s="1"/>
  <c r="N94" i="5"/>
  <c r="M93" i="5"/>
  <c r="F95" i="5"/>
  <c r="G94" i="5"/>
  <c r="H94" i="5"/>
  <c r="I94" i="5"/>
  <c r="J94" i="5"/>
  <c r="K94" i="5" l="1"/>
  <c r="L94" i="5" s="1"/>
  <c r="N95" i="5"/>
  <c r="F96" i="5"/>
  <c r="G95" i="5"/>
  <c r="I95" i="5"/>
  <c r="H95" i="5"/>
  <c r="J95" i="5"/>
  <c r="M94" i="5"/>
  <c r="K95" i="5" l="1"/>
  <c r="L95" i="5" s="1"/>
  <c r="N96" i="5"/>
  <c r="F97" i="5"/>
  <c r="G96" i="5"/>
  <c r="I96" i="5"/>
  <c r="J96" i="5"/>
  <c r="H96" i="5"/>
  <c r="M95" i="5"/>
  <c r="K96" i="5" l="1"/>
  <c r="L96" i="5" s="1"/>
  <c r="N97" i="5"/>
  <c r="F98" i="5"/>
  <c r="G97" i="5"/>
  <c r="H97" i="5"/>
  <c r="J97" i="5" s="1"/>
  <c r="I97" i="5"/>
  <c r="M96" i="5"/>
  <c r="K97" i="5" l="1"/>
  <c r="L97" i="5" s="1"/>
  <c r="N98" i="5"/>
  <c r="F99" i="5"/>
  <c r="H98" i="5"/>
  <c r="G98" i="5"/>
  <c r="I98" i="5"/>
  <c r="J98" i="5"/>
  <c r="M97" i="5"/>
  <c r="K98" i="5" l="1"/>
  <c r="L98" i="5" s="1"/>
  <c r="N99" i="5"/>
  <c r="F100" i="5"/>
  <c r="H99" i="5"/>
  <c r="G99" i="5"/>
  <c r="J99" i="5"/>
  <c r="M98" i="5"/>
  <c r="F101" i="5" l="1"/>
  <c r="G100" i="5"/>
  <c r="H100" i="5"/>
  <c r="I100" i="5"/>
  <c r="J100" i="5"/>
  <c r="K99" i="5"/>
  <c r="L99" i="5" s="1"/>
  <c r="N100" i="5"/>
  <c r="I99" i="5"/>
  <c r="K100" i="5" l="1"/>
  <c r="L100" i="5" s="1"/>
  <c r="N101" i="5"/>
  <c r="M100" i="5"/>
  <c r="M99" i="5"/>
  <c r="F102" i="5"/>
  <c r="G101" i="5"/>
  <c r="H101" i="5"/>
  <c r="I101" i="5"/>
  <c r="F103" i="5" l="1"/>
  <c r="G102" i="5"/>
  <c r="H102" i="5"/>
  <c r="I102" i="5"/>
  <c r="J102" i="5"/>
  <c r="J101" i="5"/>
  <c r="K102" i="5" l="1"/>
  <c r="L102" i="5" s="1"/>
  <c r="N103" i="5"/>
  <c r="K101" i="5"/>
  <c r="L101" i="5" s="1"/>
  <c r="N102" i="5"/>
  <c r="F104" i="5"/>
  <c r="G103" i="5"/>
  <c r="H103" i="5"/>
  <c r="F105" i="5" l="1"/>
  <c r="G104" i="5"/>
  <c r="I104" i="5"/>
  <c r="H104" i="5"/>
  <c r="J104" i="5"/>
  <c r="I103" i="5"/>
  <c r="M102" i="5"/>
  <c r="M101" i="5"/>
  <c r="J103" i="5"/>
  <c r="K104" i="5" l="1"/>
  <c r="K103" i="5"/>
  <c r="L103" i="5" s="1"/>
  <c r="N104" i="5"/>
  <c r="N105" i="5" s="1"/>
  <c r="F106" i="5"/>
  <c r="G105" i="5"/>
  <c r="H105" i="5"/>
  <c r="I105" i="5"/>
  <c r="F107" i="5" l="1"/>
  <c r="G106" i="5"/>
  <c r="H106" i="5"/>
  <c r="J106" i="5"/>
  <c r="I106" i="5"/>
  <c r="M104" i="5"/>
  <c r="M103" i="5"/>
  <c r="J105" i="5"/>
  <c r="L104" i="5"/>
  <c r="K105" i="5" l="1"/>
  <c r="L105" i="5" s="1"/>
  <c r="N106" i="5"/>
  <c r="K106" i="5"/>
  <c r="L106" i="5" s="1"/>
  <c r="N107" i="5"/>
  <c r="M105" i="5"/>
  <c r="F108" i="5"/>
  <c r="I107" i="5" s="1"/>
  <c r="G107" i="5"/>
  <c r="H107" i="5"/>
  <c r="F109" i="5" l="1"/>
  <c r="G108" i="5"/>
  <c r="H108" i="5"/>
  <c r="J108" i="5"/>
  <c r="I108" i="5"/>
  <c r="J107" i="5"/>
  <c r="M106" i="5"/>
  <c r="K107" i="5" l="1"/>
  <c r="L107" i="5" s="1"/>
  <c r="N108" i="5"/>
  <c r="K108" i="5"/>
  <c r="L108" i="5" s="1"/>
  <c r="N109" i="5"/>
  <c r="F110" i="5"/>
  <c r="H109" i="5"/>
  <c r="G109" i="5"/>
  <c r="F111" i="5" l="1"/>
  <c r="G110" i="5"/>
  <c r="H110" i="5"/>
  <c r="I110" i="5"/>
  <c r="J110" i="5"/>
  <c r="I109" i="5"/>
  <c r="J109" i="5"/>
  <c r="M108" i="5"/>
  <c r="M107" i="5"/>
  <c r="K109" i="5" l="1"/>
  <c r="L109" i="5" s="1"/>
  <c r="N110" i="5"/>
  <c r="K110" i="5"/>
  <c r="L110" i="5" s="1"/>
  <c r="N111" i="5"/>
  <c r="F112" i="5"/>
  <c r="G111" i="5"/>
  <c r="H111" i="5"/>
  <c r="F113" i="5" l="1"/>
  <c r="I112" i="5"/>
  <c r="H112" i="5"/>
  <c r="G112" i="5"/>
  <c r="J112" i="5" s="1"/>
  <c r="I111" i="5"/>
  <c r="J111" i="5"/>
  <c r="M110" i="5"/>
  <c r="M109" i="5"/>
  <c r="K112" i="5" l="1"/>
  <c r="L112" i="5" s="1"/>
  <c r="N113" i="5"/>
  <c r="K111" i="5"/>
  <c r="L111" i="5" s="1"/>
  <c r="N112" i="5"/>
  <c r="F114" i="5"/>
  <c r="G113" i="5"/>
  <c r="H113" i="5"/>
  <c r="F115" i="5" l="1"/>
  <c r="G114" i="5"/>
  <c r="H114" i="5"/>
  <c r="I114" i="5"/>
  <c r="J114" i="5"/>
  <c r="M112" i="5"/>
  <c r="M111" i="5"/>
  <c r="I113" i="5"/>
  <c r="J113" i="5"/>
  <c r="K114" i="5" l="1"/>
  <c r="N115" i="5"/>
  <c r="K113" i="5"/>
  <c r="L113" i="5" s="1"/>
  <c r="N114" i="5"/>
  <c r="F116" i="5"/>
  <c r="G115" i="5"/>
  <c r="H115" i="5"/>
  <c r="F117" i="5" l="1"/>
  <c r="G116" i="5"/>
  <c r="H116" i="5"/>
  <c r="I116" i="5"/>
  <c r="J116" i="5"/>
  <c r="I115" i="5"/>
  <c r="M114" i="5"/>
  <c r="M113" i="5"/>
  <c r="J115" i="5"/>
  <c r="L114" i="5"/>
  <c r="K116" i="5" l="1"/>
  <c r="K115" i="5"/>
  <c r="L115" i="5" s="1"/>
  <c r="M115" i="5" s="1"/>
  <c r="N116" i="5"/>
  <c r="N117" i="5" s="1"/>
  <c r="F118" i="5"/>
  <c r="G117" i="5"/>
  <c r="H117" i="5"/>
  <c r="F119" i="5" l="1"/>
  <c r="G118" i="5"/>
  <c r="H118" i="5"/>
  <c r="I118" i="5"/>
  <c r="J118" i="5"/>
  <c r="M116" i="5"/>
  <c r="J117" i="5"/>
  <c r="I117" i="5"/>
  <c r="L116" i="5"/>
  <c r="K117" i="5" l="1"/>
  <c r="L117" i="5" s="1"/>
  <c r="N118" i="5"/>
  <c r="N119" i="5" s="1"/>
  <c r="K118" i="5"/>
  <c r="L118" i="5" s="1"/>
  <c r="M117" i="5"/>
  <c r="F120" i="5"/>
  <c r="G119" i="5"/>
  <c r="H119" i="5"/>
  <c r="F121" i="5" l="1"/>
  <c r="G120" i="5"/>
  <c r="I120" i="5"/>
  <c r="H120" i="5"/>
  <c r="J120" i="5"/>
  <c r="I119" i="5"/>
  <c r="J119" i="5"/>
  <c r="M118" i="5"/>
  <c r="K119" i="5" l="1"/>
  <c r="L119" i="5" s="1"/>
  <c r="N120" i="5"/>
  <c r="K120" i="5"/>
  <c r="L120" i="5" s="1"/>
  <c r="N121" i="5"/>
  <c r="F122" i="5"/>
  <c r="H121" i="5"/>
  <c r="I121" i="5"/>
  <c r="G121" i="5"/>
  <c r="F123" i="5" l="1"/>
  <c r="H122" i="5"/>
  <c r="I122" i="5"/>
  <c r="G122" i="5"/>
  <c r="J122" i="5"/>
  <c r="J121" i="5"/>
  <c r="M120" i="5"/>
  <c r="M119" i="5"/>
  <c r="K121" i="5" l="1"/>
  <c r="L121" i="5" s="1"/>
  <c r="N122" i="5"/>
  <c r="F124" i="5"/>
  <c r="G123" i="5"/>
  <c r="H123" i="5"/>
  <c r="I123" i="5"/>
  <c r="J123" i="5"/>
  <c r="K122" i="5"/>
  <c r="L122" i="5" s="1"/>
  <c r="N123" i="5"/>
  <c r="N124" i="5" l="1"/>
  <c r="K123" i="5"/>
  <c r="L123" i="5" s="1"/>
  <c r="F125" i="5"/>
  <c r="G124" i="5"/>
  <c r="H124" i="5"/>
  <c r="I124" i="5"/>
  <c r="J124" i="5"/>
  <c r="M122" i="5"/>
  <c r="M121" i="5"/>
  <c r="N125" i="5" l="1"/>
  <c r="K124" i="5"/>
  <c r="L124" i="5" s="1"/>
  <c r="F126" i="5"/>
  <c r="G125" i="5"/>
  <c r="H125" i="5"/>
  <c r="I125" i="5"/>
  <c r="J125" i="5"/>
  <c r="M123" i="5"/>
  <c r="F127" i="5" l="1"/>
  <c r="G126" i="5"/>
  <c r="H126" i="5"/>
  <c r="J126" i="5"/>
  <c r="I126" i="5"/>
  <c r="K125" i="5"/>
  <c r="L125" i="5" s="1"/>
  <c r="N126" i="5"/>
  <c r="M124" i="5"/>
  <c r="K126" i="5" l="1"/>
  <c r="L126" i="5" s="1"/>
  <c r="N127" i="5"/>
  <c r="M125" i="5"/>
  <c r="F128" i="5"/>
  <c r="G127" i="5"/>
  <c r="I127" i="5"/>
  <c r="J127" i="5"/>
  <c r="H127" i="5"/>
  <c r="K127" i="5" l="1"/>
  <c r="L127" i="5" s="1"/>
  <c r="N128" i="5"/>
  <c r="F129" i="5"/>
  <c r="G128" i="5"/>
  <c r="I128" i="5"/>
  <c r="H128" i="5"/>
  <c r="J128" i="5"/>
  <c r="M126" i="5"/>
  <c r="K128" i="5" l="1"/>
  <c r="L128" i="5" s="1"/>
  <c r="N129" i="5"/>
  <c r="M128" i="5"/>
  <c r="F130" i="5"/>
  <c r="G129" i="5"/>
  <c r="H129" i="5"/>
  <c r="I129" i="5"/>
  <c r="J129" i="5"/>
  <c r="M127" i="5"/>
  <c r="K129" i="5" l="1"/>
  <c r="L129" i="5" s="1"/>
  <c r="N130" i="5"/>
  <c r="F131" i="5"/>
  <c r="G130" i="5"/>
  <c r="H130" i="5"/>
  <c r="I130" i="5"/>
  <c r="J130" i="5"/>
  <c r="M129" i="5"/>
  <c r="K130" i="5" l="1"/>
  <c r="L130" i="5" s="1"/>
  <c r="N131" i="5"/>
  <c r="F132" i="5"/>
  <c r="G131" i="5"/>
  <c r="H131" i="5"/>
  <c r="I131" i="5"/>
  <c r="J131" i="5"/>
  <c r="M130" i="5"/>
  <c r="K131" i="5" l="1"/>
  <c r="L131" i="5" s="1"/>
  <c r="N132" i="5"/>
  <c r="F133" i="5"/>
  <c r="G132" i="5"/>
  <c r="H132" i="5"/>
  <c r="I132" i="5"/>
  <c r="J132" i="5"/>
  <c r="M131" i="5"/>
  <c r="K132" i="5" l="1"/>
  <c r="L132" i="5" s="1"/>
  <c r="N133" i="5"/>
  <c r="F134" i="5"/>
  <c r="G133" i="5"/>
  <c r="H133" i="5"/>
  <c r="I133" i="5"/>
  <c r="J133" i="5"/>
  <c r="M132" i="5"/>
  <c r="K133" i="5" l="1"/>
  <c r="L133" i="5" s="1"/>
  <c r="N134" i="5"/>
  <c r="F135" i="5"/>
  <c r="G134" i="5"/>
  <c r="H134" i="5"/>
  <c r="I134" i="5"/>
  <c r="J134" i="5"/>
  <c r="M133" i="5"/>
  <c r="K134" i="5" l="1"/>
  <c r="L134" i="5" s="1"/>
  <c r="N135" i="5"/>
  <c r="F136" i="5"/>
  <c r="G135" i="5"/>
  <c r="I135" i="5"/>
  <c r="H135" i="5"/>
  <c r="J135" i="5"/>
  <c r="M134" i="5"/>
  <c r="K135" i="5" l="1"/>
  <c r="L135" i="5" s="1"/>
  <c r="N136" i="5"/>
  <c r="F137" i="5"/>
  <c r="G136" i="5"/>
  <c r="I136" i="5"/>
  <c r="H136" i="5"/>
  <c r="J136" i="5" s="1"/>
  <c r="M135" i="5"/>
  <c r="K136" i="5" l="1"/>
  <c r="L136" i="5" s="1"/>
  <c r="N137" i="5"/>
  <c r="F138" i="5"/>
  <c r="G137" i="5"/>
  <c r="H137" i="5"/>
  <c r="I137" i="5"/>
  <c r="J137" i="5"/>
  <c r="M136" i="5"/>
  <c r="K137" i="5" l="1"/>
  <c r="L137" i="5" s="1"/>
  <c r="N138" i="5"/>
  <c r="F139" i="5"/>
  <c r="G138" i="5"/>
  <c r="H138" i="5"/>
  <c r="I138" i="5"/>
  <c r="J138" i="5"/>
  <c r="M137" i="5"/>
  <c r="K138" i="5" l="1"/>
  <c r="L138" i="5" s="1"/>
  <c r="N139" i="5"/>
  <c r="F140" i="5"/>
  <c r="G139" i="5"/>
  <c r="H139" i="5"/>
  <c r="J139" i="5"/>
  <c r="I139" i="5"/>
  <c r="M138" i="5"/>
  <c r="K139" i="5" l="1"/>
  <c r="L139" i="5" s="1"/>
  <c r="N140" i="5"/>
  <c r="F141" i="5"/>
  <c r="G140" i="5"/>
  <c r="H140" i="5"/>
  <c r="I140" i="5"/>
  <c r="J140" i="5"/>
  <c r="M139" i="5"/>
  <c r="K140" i="5" l="1"/>
  <c r="L140" i="5" s="1"/>
  <c r="N141" i="5"/>
  <c r="F142" i="5"/>
  <c r="G141" i="5"/>
  <c r="H141" i="5"/>
  <c r="I141" i="5"/>
  <c r="J141" i="5"/>
  <c r="M140" i="5"/>
  <c r="K141" i="5" l="1"/>
  <c r="L141" i="5" s="1"/>
  <c r="N142" i="5"/>
  <c r="F143" i="5"/>
  <c r="G142" i="5"/>
  <c r="H142" i="5"/>
  <c r="I142" i="5"/>
  <c r="J142" i="5"/>
  <c r="M141" i="5"/>
  <c r="K142" i="5" l="1"/>
  <c r="L142" i="5" s="1"/>
  <c r="N143" i="5"/>
  <c r="F144" i="5"/>
  <c r="G143" i="5"/>
  <c r="I143" i="5"/>
  <c r="H143" i="5"/>
  <c r="J143" i="5"/>
  <c r="M142" i="5"/>
  <c r="F145" i="5" l="1"/>
  <c r="G144" i="5"/>
  <c r="I144" i="5"/>
  <c r="H144" i="5"/>
  <c r="J144" i="5"/>
  <c r="K143" i="5"/>
  <c r="L143" i="5" s="1"/>
  <c r="N144" i="5"/>
  <c r="M143" i="5"/>
  <c r="K144" i="5" l="1"/>
  <c r="L144" i="5" s="1"/>
  <c r="N145" i="5"/>
  <c r="M144" i="5"/>
  <c r="F146" i="5"/>
  <c r="G145" i="5"/>
  <c r="H145" i="5"/>
  <c r="I145" i="5"/>
  <c r="J145" i="5"/>
  <c r="K145" i="5" l="1"/>
  <c r="L145" i="5" s="1"/>
  <c r="N146" i="5"/>
  <c r="F147" i="5"/>
  <c r="G146" i="5"/>
  <c r="H146" i="5"/>
  <c r="I146" i="5"/>
  <c r="J146" i="5"/>
  <c r="M145" i="5"/>
  <c r="K146" i="5" l="1"/>
  <c r="L146" i="5" s="1"/>
  <c r="N147" i="5"/>
  <c r="F148" i="5"/>
  <c r="G147" i="5"/>
  <c r="H147" i="5"/>
  <c r="I147" i="5"/>
  <c r="J147" i="5"/>
  <c r="M146" i="5"/>
  <c r="K147" i="5" l="1"/>
  <c r="L147" i="5" s="1"/>
  <c r="N148" i="5"/>
  <c r="F149" i="5"/>
  <c r="G148" i="5"/>
  <c r="H148" i="5"/>
  <c r="J148" i="5"/>
  <c r="I148" i="5"/>
  <c r="M147" i="5"/>
  <c r="K148" i="5" l="1"/>
  <c r="L148" i="5" s="1"/>
  <c r="N149" i="5"/>
  <c r="F150" i="5"/>
  <c r="G149" i="5"/>
  <c r="H149" i="5"/>
  <c r="J149" i="5"/>
  <c r="I149" i="5"/>
  <c r="M148" i="5"/>
  <c r="K149" i="5" l="1"/>
  <c r="L149" i="5" s="1"/>
  <c r="N150" i="5"/>
  <c r="F151" i="5"/>
  <c r="G150" i="5"/>
  <c r="H150" i="5"/>
  <c r="J150" i="5"/>
  <c r="I150" i="5"/>
  <c r="M149" i="5"/>
  <c r="K150" i="5" l="1"/>
  <c r="L150" i="5" s="1"/>
  <c r="N151" i="5"/>
  <c r="F152" i="5"/>
  <c r="I151" i="5" s="1"/>
  <c r="G151" i="5"/>
  <c r="H151" i="5"/>
  <c r="J151" i="5" s="1"/>
  <c r="M150" i="5"/>
  <c r="K151" i="5" l="1"/>
  <c r="L151" i="5" s="1"/>
  <c r="N152" i="5"/>
  <c r="F153" i="5"/>
  <c r="I152" i="5"/>
  <c r="H152" i="5"/>
  <c r="G152" i="5"/>
  <c r="J152" i="5"/>
  <c r="M151" i="5"/>
  <c r="K152" i="5" l="1"/>
  <c r="L152" i="5" s="1"/>
  <c r="N153" i="5"/>
  <c r="F154" i="5"/>
  <c r="G153" i="5"/>
  <c r="H153" i="5"/>
  <c r="I153" i="5"/>
  <c r="J153" i="5"/>
  <c r="M152" i="5"/>
  <c r="K153" i="5" l="1"/>
  <c r="L153" i="5" s="1"/>
  <c r="N154" i="5"/>
  <c r="F155" i="5"/>
  <c r="G154" i="5"/>
  <c r="H154" i="5"/>
  <c r="I154" i="5"/>
  <c r="J154" i="5"/>
  <c r="M153" i="5"/>
  <c r="K154" i="5" l="1"/>
  <c r="L154" i="5" s="1"/>
  <c r="N155" i="5"/>
  <c r="F156" i="5"/>
  <c r="G155" i="5"/>
  <c r="H155" i="5"/>
  <c r="I155" i="5"/>
  <c r="J155" i="5"/>
  <c r="M154" i="5"/>
  <c r="N156" i="5" l="1"/>
  <c r="K155" i="5"/>
  <c r="L155" i="5" s="1"/>
  <c r="F157" i="5"/>
  <c r="G156" i="5"/>
  <c r="H156" i="5"/>
  <c r="I156" i="5"/>
  <c r="J156" i="5"/>
  <c r="M155" i="5"/>
  <c r="K156" i="5" l="1"/>
  <c r="L156" i="5" s="1"/>
  <c r="N157" i="5"/>
  <c r="F158" i="5"/>
  <c r="G157" i="5"/>
  <c r="H157" i="5"/>
  <c r="I157" i="5"/>
  <c r="J157" i="5"/>
  <c r="K157" i="5" l="1"/>
  <c r="L157" i="5" s="1"/>
  <c r="N158" i="5"/>
  <c r="M157" i="5"/>
  <c r="F159" i="5"/>
  <c r="G158" i="5"/>
  <c r="H158" i="5"/>
  <c r="J158" i="5"/>
  <c r="I158" i="5"/>
  <c r="M156" i="5"/>
  <c r="K158" i="5" l="1"/>
  <c r="L158" i="5" s="1"/>
  <c r="N159" i="5"/>
  <c r="F160" i="5"/>
  <c r="G159" i="5"/>
  <c r="I159" i="5"/>
  <c r="J159" i="5"/>
  <c r="H159" i="5"/>
  <c r="M158" i="5"/>
  <c r="K159" i="5" l="1"/>
  <c r="L159" i="5" s="1"/>
  <c r="N160" i="5"/>
  <c r="F161" i="5"/>
  <c r="G160" i="5"/>
  <c r="I160" i="5"/>
  <c r="H160" i="5"/>
  <c r="J160" i="5"/>
  <c r="M159" i="5"/>
  <c r="K160" i="5" l="1"/>
  <c r="L160" i="5" s="1"/>
  <c r="N161" i="5"/>
  <c r="F162" i="5"/>
  <c r="G161" i="5"/>
  <c r="H161" i="5"/>
  <c r="I161" i="5"/>
  <c r="J161" i="5"/>
  <c r="M160" i="5"/>
  <c r="K161" i="5" l="1"/>
  <c r="L161" i="5" s="1"/>
  <c r="N162" i="5"/>
  <c r="F163" i="5"/>
  <c r="G162" i="5"/>
  <c r="H162" i="5"/>
  <c r="I162" i="5"/>
  <c r="J162" i="5"/>
  <c r="M161" i="5"/>
  <c r="K162" i="5" l="1"/>
  <c r="L162" i="5" s="1"/>
  <c r="N163" i="5"/>
  <c r="F164" i="5"/>
  <c r="G163" i="5"/>
  <c r="H163" i="5"/>
  <c r="I163" i="5"/>
  <c r="J163" i="5"/>
  <c r="M162" i="5"/>
  <c r="K163" i="5" l="1"/>
  <c r="L163" i="5" s="1"/>
  <c r="N164" i="5"/>
  <c r="F165" i="5"/>
  <c r="G164" i="5"/>
  <c r="H164" i="5"/>
  <c r="I164" i="5"/>
  <c r="J164" i="5"/>
  <c r="M163" i="5"/>
  <c r="K164" i="5" l="1"/>
  <c r="L164" i="5" s="1"/>
  <c r="N165" i="5"/>
  <c r="F166" i="5"/>
  <c r="G165" i="5"/>
  <c r="H165" i="5"/>
  <c r="I165" i="5"/>
  <c r="J165" i="5"/>
  <c r="M164" i="5"/>
  <c r="K165" i="5" l="1"/>
  <c r="L165" i="5" s="1"/>
  <c r="N166" i="5"/>
  <c r="F167" i="5"/>
  <c r="G166" i="5"/>
  <c r="H166" i="5"/>
  <c r="I166" i="5"/>
  <c r="J166" i="5"/>
  <c r="M165" i="5"/>
  <c r="K166" i="5" l="1"/>
  <c r="L166" i="5" s="1"/>
  <c r="N167" i="5"/>
  <c r="F168" i="5"/>
  <c r="G167" i="5"/>
  <c r="I167" i="5"/>
  <c r="H167" i="5"/>
  <c r="J167" i="5"/>
  <c r="M166" i="5"/>
  <c r="F169" i="5" l="1"/>
  <c r="G168" i="5"/>
  <c r="I168" i="5"/>
  <c r="H168" i="5"/>
  <c r="J168" i="5"/>
  <c r="K167" i="5"/>
  <c r="L167" i="5" s="1"/>
  <c r="N168" i="5"/>
  <c r="M167" i="5"/>
  <c r="K168" i="5" l="1"/>
  <c r="L168" i="5" s="1"/>
  <c r="N169" i="5"/>
  <c r="M168" i="5"/>
  <c r="F170" i="5"/>
  <c r="G169" i="5"/>
  <c r="H169" i="5"/>
  <c r="I169" i="5"/>
  <c r="J169" i="5"/>
  <c r="K169" i="5" l="1"/>
  <c r="L169" i="5" s="1"/>
  <c r="N170" i="5"/>
  <c r="F171" i="5"/>
  <c r="G170" i="5"/>
  <c r="H170" i="5"/>
  <c r="J170" i="5" s="1"/>
  <c r="I170" i="5"/>
  <c r="M169" i="5"/>
  <c r="K170" i="5" l="1"/>
  <c r="L170" i="5" s="1"/>
  <c r="N171" i="5"/>
  <c r="F172" i="5"/>
  <c r="H171" i="5"/>
  <c r="G171" i="5"/>
  <c r="I171" i="5"/>
  <c r="M170" i="5"/>
  <c r="F173" i="5" l="1"/>
  <c r="G172" i="5"/>
  <c r="H172" i="5"/>
  <c r="J172" i="5"/>
  <c r="I172" i="5"/>
  <c r="J171" i="5"/>
  <c r="K171" i="5" l="1"/>
  <c r="L171" i="5" s="1"/>
  <c r="N172" i="5"/>
  <c r="K172" i="5"/>
  <c r="L172" i="5" s="1"/>
  <c r="N173" i="5"/>
  <c r="F174" i="5"/>
  <c r="H173" i="5"/>
  <c r="G173" i="5"/>
  <c r="I173" i="5"/>
  <c r="F175" i="5" l="1"/>
  <c r="G174" i="5"/>
  <c r="H174" i="5"/>
  <c r="I174" i="5"/>
  <c r="J174" i="5"/>
  <c r="J173" i="5"/>
  <c r="M172" i="5"/>
  <c r="M171" i="5"/>
  <c r="K173" i="5" l="1"/>
  <c r="L173" i="5" s="1"/>
  <c r="N174" i="5"/>
  <c r="K174" i="5"/>
  <c r="L174" i="5" s="1"/>
  <c r="N175" i="5"/>
  <c r="F176" i="5"/>
  <c r="G175" i="5"/>
  <c r="I175" i="5"/>
  <c r="H175" i="5"/>
  <c r="F177" i="5" l="1"/>
  <c r="G176" i="5"/>
  <c r="I176" i="5"/>
  <c r="H176" i="5"/>
  <c r="J176" i="5"/>
  <c r="J175" i="5"/>
  <c r="M174" i="5"/>
  <c r="M173" i="5"/>
  <c r="K175" i="5" l="1"/>
  <c r="L175" i="5" s="1"/>
  <c r="N176" i="5"/>
  <c r="K176" i="5"/>
  <c r="L176" i="5" s="1"/>
  <c r="N177" i="5"/>
  <c r="F178" i="5"/>
  <c r="G177" i="5"/>
  <c r="H177" i="5"/>
  <c r="I177" i="5"/>
  <c r="F179" i="5" l="1"/>
  <c r="G178" i="5"/>
  <c r="H178" i="5"/>
  <c r="I178" i="5"/>
  <c r="J178" i="5"/>
  <c r="J177" i="5"/>
  <c r="M176" i="5"/>
  <c r="M175" i="5"/>
  <c r="K178" i="5" l="1"/>
  <c r="N179" i="5"/>
  <c r="F180" i="5"/>
  <c r="G179" i="5"/>
  <c r="H179" i="5"/>
  <c r="I179" i="5"/>
  <c r="J179" i="5"/>
  <c r="K177" i="5"/>
  <c r="L177" i="5" s="1"/>
  <c r="N178" i="5"/>
  <c r="K179" i="5" l="1"/>
  <c r="N180" i="5"/>
  <c r="M177" i="5"/>
  <c r="F181" i="5"/>
  <c r="G180" i="5"/>
  <c r="H180" i="5"/>
  <c r="I180" i="5"/>
  <c r="L178" i="5"/>
  <c r="F182" i="5" l="1"/>
  <c r="G181" i="5"/>
  <c r="H181" i="5"/>
  <c r="I181" i="5"/>
  <c r="J181" i="5"/>
  <c r="M178" i="5"/>
  <c r="J180" i="5"/>
  <c r="L179" i="5"/>
  <c r="F183" i="5" l="1"/>
  <c r="G182" i="5"/>
  <c r="H182" i="5"/>
  <c r="I182" i="5"/>
  <c r="J182" i="5"/>
  <c r="K180" i="5"/>
  <c r="L180" i="5" s="1"/>
  <c r="M180" i="5" s="1"/>
  <c r="N181" i="5"/>
  <c r="N182" i="5" s="1"/>
  <c r="K181" i="5"/>
  <c r="L181" i="5" s="1"/>
  <c r="M179" i="5"/>
  <c r="K182" i="5" l="1"/>
  <c r="L182" i="5" s="1"/>
  <c r="N183" i="5"/>
  <c r="M181" i="5"/>
  <c r="F184" i="5"/>
  <c r="I183" i="5" s="1"/>
  <c r="H183" i="5"/>
  <c r="G183" i="5"/>
  <c r="F185" i="5" l="1"/>
  <c r="G184" i="5"/>
  <c r="H184" i="5"/>
  <c r="J184" i="5"/>
  <c r="J183" i="5"/>
  <c r="M182" i="5"/>
  <c r="K183" i="5" l="1"/>
  <c r="L183" i="5" s="1"/>
  <c r="N184" i="5"/>
  <c r="K184" i="5"/>
  <c r="L184" i="5" s="1"/>
  <c r="N185" i="5"/>
  <c r="F186" i="5"/>
  <c r="H185" i="5"/>
  <c r="I185" i="5"/>
  <c r="G185" i="5"/>
  <c r="I184" i="5"/>
  <c r="F187" i="5" l="1"/>
  <c r="G186" i="5"/>
  <c r="H186" i="5"/>
  <c r="I186" i="5"/>
  <c r="J186" i="5"/>
  <c r="J185" i="5"/>
  <c r="M184" i="5"/>
  <c r="M183" i="5"/>
  <c r="K185" i="5" l="1"/>
  <c r="L185" i="5" s="1"/>
  <c r="N186" i="5"/>
  <c r="K186" i="5"/>
  <c r="L186" i="5" s="1"/>
  <c r="N187" i="5"/>
  <c r="F188" i="5"/>
  <c r="G187" i="5"/>
  <c r="H187" i="5"/>
  <c r="I187" i="5"/>
  <c r="F189" i="5" l="1"/>
  <c r="G188" i="5"/>
  <c r="H188" i="5"/>
  <c r="I188" i="5"/>
  <c r="J188" i="5"/>
  <c r="J187" i="5"/>
  <c r="M186" i="5"/>
  <c r="M185" i="5"/>
  <c r="K188" i="5" l="1"/>
  <c r="N188" i="5"/>
  <c r="N189" i="5" s="1"/>
  <c r="K187" i="5"/>
  <c r="L187" i="5" s="1"/>
  <c r="F190" i="5"/>
  <c r="G189" i="5"/>
  <c r="H189" i="5"/>
  <c r="I189" i="5"/>
  <c r="M187" i="5" l="1"/>
  <c r="F191" i="5"/>
  <c r="G190" i="5"/>
  <c r="H190" i="5"/>
  <c r="J190" i="5" s="1"/>
  <c r="I190" i="5"/>
  <c r="J189" i="5"/>
  <c r="L188" i="5"/>
  <c r="K190" i="5" l="1"/>
  <c r="L190" i="5" s="1"/>
  <c r="N191" i="5"/>
  <c r="N190" i="5"/>
  <c r="K189" i="5"/>
  <c r="L189" i="5" s="1"/>
  <c r="M190" i="5" s="1"/>
  <c r="F192" i="5"/>
  <c r="G191" i="5"/>
  <c r="H191" i="5"/>
  <c r="M189" i="5"/>
  <c r="M188" i="5"/>
  <c r="F193" i="5" l="1"/>
  <c r="I192" i="5"/>
  <c r="G192" i="5"/>
  <c r="H192" i="5"/>
  <c r="J192" i="5"/>
  <c r="J191" i="5"/>
  <c r="I191" i="5"/>
  <c r="K192" i="5" l="1"/>
  <c r="K191" i="5"/>
  <c r="L191" i="5" s="1"/>
  <c r="N192" i="5"/>
  <c r="N193" i="5" s="1"/>
  <c r="F194" i="5"/>
  <c r="G193" i="5"/>
  <c r="H193" i="5"/>
  <c r="I193" i="5"/>
  <c r="F195" i="5" l="1"/>
  <c r="G194" i="5"/>
  <c r="H194" i="5"/>
  <c r="I194" i="5"/>
  <c r="J194" i="5"/>
  <c r="M192" i="5"/>
  <c r="M191" i="5"/>
  <c r="J193" i="5"/>
  <c r="L192" i="5"/>
  <c r="K193" i="5" l="1"/>
  <c r="L193" i="5" s="1"/>
  <c r="N194" i="5"/>
  <c r="K194" i="5"/>
  <c r="L194" i="5" s="1"/>
  <c r="N195" i="5"/>
  <c r="M193" i="5"/>
  <c r="F196" i="5"/>
  <c r="G195" i="5"/>
  <c r="H195" i="5"/>
  <c r="F197" i="5" l="1"/>
  <c r="G196" i="5"/>
  <c r="H196" i="5"/>
  <c r="I196" i="5"/>
  <c r="J196" i="5"/>
  <c r="J195" i="5"/>
  <c r="I195" i="5"/>
  <c r="M194" i="5"/>
  <c r="K195" i="5" l="1"/>
  <c r="L195" i="5" s="1"/>
  <c r="N196" i="5"/>
  <c r="K196" i="5"/>
  <c r="L196" i="5" s="1"/>
  <c r="N197" i="5"/>
  <c r="F198" i="5"/>
  <c r="G197" i="5"/>
  <c r="H197" i="5"/>
  <c r="I197" i="5"/>
  <c r="F199" i="5" l="1"/>
  <c r="G198" i="5"/>
  <c r="H198" i="5"/>
  <c r="I198" i="5"/>
  <c r="J198" i="5"/>
  <c r="J197" i="5"/>
  <c r="M196" i="5"/>
  <c r="M195" i="5"/>
  <c r="K197" i="5" l="1"/>
  <c r="L197" i="5" s="1"/>
  <c r="N198" i="5"/>
  <c r="K198" i="5"/>
  <c r="L198" i="5" s="1"/>
  <c r="N199" i="5"/>
  <c r="F200" i="5"/>
  <c r="G199" i="5"/>
  <c r="I199" i="5"/>
  <c r="H199" i="5"/>
  <c r="F201" i="5" l="1"/>
  <c r="G200" i="5"/>
  <c r="I200" i="5"/>
  <c r="H200" i="5"/>
  <c r="J200" i="5"/>
  <c r="J199" i="5"/>
  <c r="M198" i="5"/>
  <c r="M197" i="5"/>
  <c r="K199" i="5" l="1"/>
  <c r="L199" i="5" s="1"/>
  <c r="N200" i="5"/>
  <c r="K200" i="5"/>
  <c r="L200" i="5" s="1"/>
  <c r="N201" i="5"/>
  <c r="F202" i="5"/>
  <c r="G201" i="5"/>
  <c r="H201" i="5"/>
  <c r="I201" i="5"/>
  <c r="F203" i="5" l="1"/>
  <c r="G202" i="5"/>
  <c r="H202" i="5"/>
  <c r="I202" i="5"/>
  <c r="J202" i="5"/>
  <c r="J201" i="5"/>
  <c r="M200" i="5"/>
  <c r="M199" i="5"/>
  <c r="K201" i="5" l="1"/>
  <c r="L201" i="5" s="1"/>
  <c r="N202" i="5"/>
  <c r="K202" i="5"/>
  <c r="L202" i="5" s="1"/>
  <c r="N203" i="5"/>
  <c r="F204" i="5"/>
  <c r="G203" i="5"/>
  <c r="H203" i="5"/>
  <c r="J203" i="5"/>
  <c r="K203" i="5" l="1"/>
  <c r="L203" i="5" s="1"/>
  <c r="N204" i="5"/>
  <c r="F205" i="5"/>
  <c r="H204" i="5"/>
  <c r="G204" i="5"/>
  <c r="I204" i="5"/>
  <c r="J204" i="5"/>
  <c r="I203" i="5"/>
  <c r="M202" i="5"/>
  <c r="M201" i="5"/>
  <c r="K204" i="5" l="1"/>
  <c r="L204" i="5" s="1"/>
  <c r="N205" i="5"/>
  <c r="F206" i="5"/>
  <c r="G205" i="5"/>
  <c r="H205" i="5"/>
  <c r="I205" i="5"/>
  <c r="J205" i="5"/>
  <c r="M203" i="5"/>
  <c r="K205" i="5" l="1"/>
  <c r="L205" i="5" s="1"/>
  <c r="N206" i="5"/>
  <c r="M205" i="5"/>
  <c r="F207" i="5"/>
  <c r="G206" i="5"/>
  <c r="H206" i="5"/>
  <c r="I206" i="5"/>
  <c r="J206" i="5"/>
  <c r="M204" i="5"/>
  <c r="K206" i="5" l="1"/>
  <c r="L206" i="5" s="1"/>
  <c r="N207" i="5"/>
  <c r="F208" i="5"/>
  <c r="G207" i="5"/>
  <c r="I207" i="5"/>
  <c r="H207" i="5"/>
  <c r="J207" i="5"/>
  <c r="M206" i="5"/>
  <c r="K207" i="5" l="1"/>
  <c r="L207" i="5" s="1"/>
  <c r="N208" i="5"/>
  <c r="F209" i="5"/>
  <c r="G208" i="5"/>
  <c r="I208" i="5"/>
  <c r="H208" i="5"/>
  <c r="J208" i="5"/>
  <c r="M207" i="5"/>
  <c r="K208" i="5" l="1"/>
  <c r="L208" i="5" s="1"/>
  <c r="N209" i="5"/>
  <c r="F210" i="5"/>
  <c r="G209" i="5"/>
  <c r="H209" i="5"/>
  <c r="J209" i="5" s="1"/>
  <c r="I209" i="5"/>
  <c r="M208" i="5"/>
  <c r="K209" i="5" l="1"/>
  <c r="L209" i="5" s="1"/>
  <c r="N210" i="5"/>
  <c r="F211" i="5"/>
  <c r="G210" i="5"/>
  <c r="H210" i="5"/>
  <c r="I210" i="5"/>
  <c r="J210" i="5"/>
  <c r="M209" i="5"/>
  <c r="K210" i="5" l="1"/>
  <c r="L210" i="5" s="1"/>
  <c r="N211" i="5"/>
  <c r="F212" i="5"/>
  <c r="G211" i="5"/>
  <c r="H211" i="5"/>
  <c r="I211" i="5"/>
  <c r="J211" i="5"/>
  <c r="M210" i="5"/>
  <c r="K211" i="5" l="1"/>
  <c r="L211" i="5" s="1"/>
  <c r="N212" i="5"/>
  <c r="F213" i="5"/>
  <c r="G212" i="5"/>
  <c r="H212" i="5"/>
  <c r="J212" i="5"/>
  <c r="I212" i="5"/>
  <c r="M211" i="5"/>
  <c r="K212" i="5" l="1"/>
  <c r="L212" i="5" s="1"/>
  <c r="N213" i="5"/>
  <c r="F214" i="5"/>
  <c r="H213" i="5"/>
  <c r="G213" i="5"/>
  <c r="J213" i="5"/>
  <c r="I213" i="5"/>
  <c r="M212" i="5"/>
  <c r="K213" i="5" l="1"/>
  <c r="L213" i="5" s="1"/>
  <c r="N214" i="5"/>
  <c r="F215" i="5"/>
  <c r="G214" i="5"/>
  <c r="H214" i="5"/>
  <c r="J214" i="5"/>
  <c r="I214" i="5"/>
  <c r="M213" i="5"/>
  <c r="K214" i="5" l="1"/>
  <c r="L214" i="5" s="1"/>
  <c r="N215" i="5"/>
  <c r="F216" i="5"/>
  <c r="I215" i="5"/>
  <c r="G215" i="5"/>
  <c r="H215" i="5"/>
  <c r="J215" i="5"/>
  <c r="M214" i="5"/>
  <c r="K215" i="5" l="1"/>
  <c r="L215" i="5" s="1"/>
  <c r="N216" i="5"/>
  <c r="F217" i="5"/>
  <c r="I216" i="5"/>
  <c r="G216" i="5"/>
  <c r="H216" i="5"/>
  <c r="J216" i="5"/>
  <c r="M215" i="5"/>
  <c r="K216" i="5" l="1"/>
  <c r="L216" i="5" s="1"/>
  <c r="N217" i="5"/>
  <c r="F218" i="5"/>
  <c r="G217" i="5"/>
  <c r="H217" i="5"/>
  <c r="I217" i="5"/>
  <c r="J217" i="5"/>
  <c r="M216" i="5"/>
  <c r="K217" i="5" l="1"/>
  <c r="L217" i="5" s="1"/>
  <c r="N218" i="5"/>
  <c r="F219" i="5"/>
  <c r="G218" i="5"/>
  <c r="H218" i="5"/>
  <c r="I218" i="5"/>
  <c r="J218" i="5"/>
  <c r="M217" i="5"/>
  <c r="K218" i="5" l="1"/>
  <c r="L218" i="5" s="1"/>
  <c r="N219" i="5"/>
  <c r="F220" i="5"/>
  <c r="G219" i="5"/>
  <c r="H219" i="5"/>
  <c r="I219" i="5"/>
  <c r="J219" i="5"/>
  <c r="M218" i="5"/>
  <c r="N220" i="5" l="1"/>
  <c r="K219" i="5"/>
  <c r="L219" i="5" s="1"/>
  <c r="F221" i="5"/>
  <c r="G220" i="5"/>
  <c r="H220" i="5"/>
  <c r="I220" i="5"/>
  <c r="J220" i="5"/>
  <c r="M219" i="5"/>
  <c r="K220" i="5" l="1"/>
  <c r="L220" i="5" s="1"/>
  <c r="N221" i="5"/>
  <c r="F222" i="5"/>
  <c r="G221" i="5"/>
  <c r="H221" i="5"/>
  <c r="I221" i="5"/>
  <c r="J221" i="5"/>
  <c r="K221" i="5" l="1"/>
  <c r="L221" i="5" s="1"/>
  <c r="N222" i="5"/>
  <c r="F223" i="5"/>
  <c r="G222" i="5"/>
  <c r="H222" i="5"/>
  <c r="J222" i="5"/>
  <c r="I222" i="5"/>
  <c r="M220" i="5"/>
  <c r="K222" i="5" l="1"/>
  <c r="L222" i="5" s="1"/>
  <c r="N223" i="5"/>
  <c r="M222" i="5"/>
  <c r="F224" i="5"/>
  <c r="G223" i="5"/>
  <c r="I223" i="5"/>
  <c r="H223" i="5"/>
  <c r="J223" i="5" s="1"/>
  <c r="M221" i="5"/>
  <c r="K223" i="5" l="1"/>
  <c r="L223" i="5" s="1"/>
  <c r="N224" i="5"/>
  <c r="F225" i="5"/>
  <c r="G224" i="5"/>
  <c r="I224" i="5"/>
  <c r="H224" i="5"/>
  <c r="J224" i="5"/>
  <c r="M223" i="5"/>
  <c r="K224" i="5" l="1"/>
  <c r="L224" i="5" s="1"/>
  <c r="N225" i="5"/>
  <c r="F226" i="5"/>
  <c r="G225" i="5"/>
  <c r="H225" i="5"/>
  <c r="I225" i="5"/>
  <c r="J225" i="5"/>
  <c r="M224" i="5"/>
  <c r="K225" i="5" l="1"/>
  <c r="L225" i="5" s="1"/>
  <c r="N226" i="5"/>
  <c r="F227" i="5"/>
  <c r="G226" i="5"/>
  <c r="H226" i="5"/>
  <c r="I226" i="5"/>
  <c r="J226" i="5"/>
  <c r="M225" i="5"/>
  <c r="K226" i="5" l="1"/>
  <c r="L226" i="5" s="1"/>
  <c r="N227" i="5"/>
  <c r="F228" i="5"/>
  <c r="G227" i="5"/>
  <c r="H227" i="5"/>
  <c r="I227" i="5"/>
  <c r="J227" i="5"/>
  <c r="M226" i="5"/>
  <c r="K227" i="5" l="1"/>
  <c r="L227" i="5" s="1"/>
  <c r="N228" i="5"/>
  <c r="F229" i="5"/>
  <c r="G228" i="5"/>
  <c r="H228" i="5"/>
  <c r="I228" i="5"/>
  <c r="J228" i="5"/>
  <c r="M227" i="5"/>
  <c r="F230" i="5" l="1"/>
  <c r="G229" i="5"/>
  <c r="H229" i="5"/>
  <c r="I229" i="5"/>
  <c r="J229" i="5"/>
  <c r="K228" i="5"/>
  <c r="L228" i="5" s="1"/>
  <c r="M228" i="5" s="1"/>
  <c r="N229" i="5"/>
  <c r="K229" i="5" l="1"/>
  <c r="L229" i="5" s="1"/>
  <c r="N230" i="5"/>
  <c r="F231" i="5"/>
  <c r="G230" i="5"/>
  <c r="H230" i="5"/>
  <c r="I230" i="5"/>
  <c r="J230" i="5"/>
  <c r="K230" i="5" l="1"/>
  <c r="L230" i="5" s="1"/>
  <c r="N231" i="5"/>
  <c r="F232" i="5"/>
  <c r="G231" i="5"/>
  <c r="I231" i="5"/>
  <c r="H231" i="5"/>
  <c r="J231" i="5"/>
  <c r="M230" i="5"/>
  <c r="M229" i="5"/>
  <c r="K231" i="5" l="1"/>
  <c r="L231" i="5" s="1"/>
  <c r="N232" i="5"/>
  <c r="F233" i="5"/>
  <c r="G232" i="5"/>
  <c r="H232" i="5"/>
  <c r="J232" i="5"/>
  <c r="M231" i="5"/>
  <c r="K232" i="5" l="1"/>
  <c r="L232" i="5" s="1"/>
  <c r="N233" i="5"/>
  <c r="F234" i="5"/>
  <c r="G233" i="5"/>
  <c r="H233" i="5"/>
  <c r="I233" i="5"/>
  <c r="J233" i="5"/>
  <c r="I232" i="5"/>
  <c r="M232" i="5"/>
  <c r="F235" i="5" l="1"/>
  <c r="H234" i="5"/>
  <c r="G234" i="5"/>
  <c r="J234" i="5"/>
  <c r="I234" i="5"/>
  <c r="K233" i="5"/>
  <c r="L233" i="5" s="1"/>
  <c r="N234" i="5"/>
  <c r="M233" i="5"/>
  <c r="K234" i="5" l="1"/>
  <c r="L234" i="5" s="1"/>
  <c r="N235" i="5"/>
  <c r="M234" i="5"/>
  <c r="F236" i="5"/>
  <c r="H235" i="5"/>
  <c r="G235" i="5"/>
  <c r="J235" i="5"/>
  <c r="I235" i="5"/>
  <c r="K235" i="5" l="1"/>
  <c r="L235" i="5" s="1"/>
  <c r="N236" i="5"/>
  <c r="F237" i="5"/>
  <c r="G236" i="5"/>
  <c r="H236" i="5"/>
  <c r="J236" i="5"/>
  <c r="I236" i="5"/>
  <c r="M235" i="5"/>
  <c r="F238" i="5" l="1"/>
  <c r="G237" i="5"/>
  <c r="H237" i="5"/>
  <c r="I237" i="5"/>
  <c r="J237" i="5"/>
  <c r="K236" i="5"/>
  <c r="L236" i="5" s="1"/>
  <c r="N237" i="5"/>
  <c r="M236" i="5"/>
  <c r="K237" i="5" l="1"/>
  <c r="L237" i="5" s="1"/>
  <c r="N238" i="5"/>
  <c r="F239" i="5"/>
  <c r="G238" i="5"/>
  <c r="H238" i="5"/>
  <c r="I238" i="5"/>
  <c r="J238" i="5"/>
  <c r="K238" i="5" l="1"/>
  <c r="L238" i="5" s="1"/>
  <c r="N239" i="5"/>
  <c r="F240" i="5"/>
  <c r="G239" i="5"/>
  <c r="I239" i="5"/>
  <c r="H239" i="5"/>
  <c r="J239" i="5"/>
  <c r="M238" i="5"/>
  <c r="M237" i="5"/>
  <c r="F241" i="5" l="1"/>
  <c r="G240" i="5"/>
  <c r="I240" i="5"/>
  <c r="H240" i="5"/>
  <c r="J240" i="5"/>
  <c r="K239" i="5"/>
  <c r="L239" i="5" s="1"/>
  <c r="N240" i="5"/>
  <c r="M239" i="5"/>
  <c r="K240" i="5" l="1"/>
  <c r="L240" i="5" s="1"/>
  <c r="N241" i="5"/>
  <c r="M240" i="5"/>
  <c r="F242" i="5"/>
  <c r="G241" i="5"/>
  <c r="H241" i="5"/>
  <c r="I241" i="5"/>
  <c r="J241" i="5"/>
  <c r="K241" i="5" l="1"/>
  <c r="L241" i="5" s="1"/>
  <c r="N242" i="5"/>
  <c r="F243" i="5"/>
  <c r="G242" i="5"/>
  <c r="H242" i="5"/>
  <c r="I242" i="5"/>
  <c r="J242" i="5"/>
  <c r="M241" i="5"/>
  <c r="K242" i="5" l="1"/>
  <c r="L242" i="5" s="1"/>
  <c r="N243" i="5"/>
  <c r="F244" i="5"/>
  <c r="G243" i="5"/>
  <c r="H243" i="5"/>
  <c r="I243" i="5"/>
  <c r="J243" i="5"/>
  <c r="M242" i="5"/>
  <c r="F245" i="5" l="1"/>
  <c r="G244" i="5"/>
  <c r="H244" i="5"/>
  <c r="I244" i="5"/>
  <c r="J244" i="5"/>
  <c r="K243" i="5"/>
  <c r="L243" i="5" s="1"/>
  <c r="N244" i="5"/>
  <c r="M243" i="5"/>
  <c r="K244" i="5" l="1"/>
  <c r="L244" i="5" s="1"/>
  <c r="N245" i="5"/>
  <c r="F246" i="5"/>
  <c r="H245" i="5"/>
  <c r="G245" i="5"/>
  <c r="I245" i="5"/>
  <c r="J245" i="5"/>
  <c r="K245" i="5" l="1"/>
  <c r="L245" i="5" s="1"/>
  <c r="N246" i="5"/>
  <c r="F247" i="5"/>
  <c r="G246" i="5"/>
  <c r="H246" i="5"/>
  <c r="I246" i="5"/>
  <c r="J246" i="5"/>
  <c r="M245" i="5"/>
  <c r="M244" i="5"/>
  <c r="K246" i="5" l="1"/>
  <c r="L246" i="5" s="1"/>
  <c r="N247" i="5"/>
  <c r="F248" i="5"/>
  <c r="H247" i="5"/>
  <c r="G247" i="5"/>
  <c r="J247" i="5" s="1"/>
  <c r="M246" i="5"/>
  <c r="K247" i="5" l="1"/>
  <c r="L247" i="5" s="1"/>
  <c r="N248" i="5"/>
  <c r="F249" i="5"/>
  <c r="G248" i="5"/>
  <c r="I248" i="5"/>
  <c r="H248" i="5"/>
  <c r="J248" i="5"/>
  <c r="I247" i="5"/>
  <c r="M247" i="5"/>
  <c r="K248" i="5" l="1"/>
  <c r="L248" i="5" s="1"/>
  <c r="N249" i="5"/>
  <c r="F250" i="5"/>
  <c r="G249" i="5"/>
  <c r="H249" i="5"/>
  <c r="I249" i="5"/>
  <c r="J249" i="5"/>
  <c r="M248" i="5"/>
  <c r="K249" i="5" l="1"/>
  <c r="L249" i="5" s="1"/>
  <c r="N250" i="5"/>
  <c r="F251" i="5"/>
  <c r="G250" i="5"/>
  <c r="H250" i="5"/>
  <c r="I250" i="5"/>
  <c r="J250" i="5"/>
  <c r="M249" i="5"/>
  <c r="K250" i="5" l="1"/>
  <c r="L250" i="5" s="1"/>
  <c r="N251" i="5"/>
  <c r="F252" i="5"/>
  <c r="G251" i="5"/>
  <c r="H251" i="5"/>
  <c r="I251" i="5"/>
  <c r="J251" i="5"/>
  <c r="M250" i="5"/>
  <c r="F253" i="5" l="1"/>
  <c r="G252" i="5"/>
  <c r="H252" i="5"/>
  <c r="I252" i="5"/>
  <c r="J252" i="5"/>
  <c r="N252" i="5"/>
  <c r="K251" i="5"/>
  <c r="L251" i="5" s="1"/>
  <c r="M251" i="5" s="1"/>
  <c r="N253" i="5" l="1"/>
  <c r="K252" i="5"/>
  <c r="L252" i="5" s="1"/>
  <c r="F254" i="5"/>
  <c r="G253" i="5"/>
  <c r="H253" i="5"/>
  <c r="I253" i="5"/>
  <c r="J253" i="5"/>
  <c r="K253" i="5" l="1"/>
  <c r="L253" i="5" s="1"/>
  <c r="N254" i="5"/>
  <c r="F255" i="5"/>
  <c r="G254" i="5"/>
  <c r="H254" i="5"/>
  <c r="J254" i="5"/>
  <c r="I254" i="5"/>
  <c r="M252" i="5"/>
  <c r="K254" i="5" l="1"/>
  <c r="L254" i="5" s="1"/>
  <c r="N255" i="5"/>
  <c r="M254" i="5"/>
  <c r="F256" i="5"/>
  <c r="I255" i="5" s="1"/>
  <c r="J255" i="5"/>
  <c r="G255" i="5"/>
  <c r="H255" i="5"/>
  <c r="M253" i="5"/>
  <c r="K255" i="5" l="1"/>
  <c r="L255" i="5" s="1"/>
  <c r="N256" i="5"/>
  <c r="F257" i="5"/>
  <c r="G256" i="5"/>
  <c r="H256" i="5"/>
  <c r="J256" i="5" s="1"/>
  <c r="M255" i="5"/>
  <c r="K256" i="5" l="1"/>
  <c r="L256" i="5" s="1"/>
  <c r="N257" i="5"/>
  <c r="F258" i="5"/>
  <c r="G257" i="5"/>
  <c r="H257" i="5"/>
  <c r="I257" i="5"/>
  <c r="J257" i="5"/>
  <c r="I256" i="5"/>
  <c r="M256" i="5"/>
  <c r="F259" i="5" l="1"/>
  <c r="G258" i="5"/>
  <c r="H258" i="5"/>
  <c r="I258" i="5"/>
  <c r="J258" i="5"/>
  <c r="K257" i="5"/>
  <c r="L257" i="5" s="1"/>
  <c r="N258" i="5"/>
  <c r="M257" i="5"/>
  <c r="K258" i="5" l="1"/>
  <c r="L258" i="5" s="1"/>
  <c r="N259" i="5"/>
  <c r="M258" i="5"/>
  <c r="F260" i="5"/>
  <c r="G259" i="5"/>
  <c r="H259" i="5"/>
  <c r="I259" i="5"/>
  <c r="J259" i="5"/>
  <c r="K259" i="5" l="1"/>
  <c r="L259" i="5" s="1"/>
  <c r="N260" i="5"/>
  <c r="G260" i="5"/>
  <c r="F261" i="5"/>
  <c r="H260" i="5"/>
  <c r="I260" i="5"/>
  <c r="J260" i="5"/>
  <c r="M259" i="5"/>
  <c r="K260" i="5" l="1"/>
  <c r="L260" i="5" s="1"/>
  <c r="N261" i="5"/>
  <c r="F262" i="5"/>
  <c r="G261" i="5"/>
  <c r="H261" i="5"/>
  <c r="J261" i="5" s="1"/>
  <c r="I261" i="5"/>
  <c r="M260" i="5"/>
  <c r="K261" i="5" l="1"/>
  <c r="L261" i="5" s="1"/>
  <c r="N262" i="5"/>
  <c r="F263" i="5"/>
  <c r="G262" i="5"/>
  <c r="H262" i="5"/>
  <c r="I262" i="5"/>
  <c r="J262" i="5"/>
  <c r="M261" i="5"/>
  <c r="K262" i="5" l="1"/>
  <c r="L262" i="5" s="1"/>
  <c r="N263" i="5"/>
  <c r="F264" i="5"/>
  <c r="G263" i="5"/>
  <c r="I263" i="5"/>
  <c r="H263" i="5"/>
  <c r="J263" i="5"/>
  <c r="M262" i="5"/>
  <c r="K263" i="5" l="1"/>
  <c r="L263" i="5" s="1"/>
  <c r="N264" i="5"/>
  <c r="F265" i="5"/>
  <c r="G264" i="5"/>
  <c r="I264" i="5"/>
  <c r="H264" i="5"/>
  <c r="J264" i="5"/>
  <c r="M263" i="5"/>
  <c r="K264" i="5" l="1"/>
  <c r="L264" i="5" s="1"/>
  <c r="N265" i="5"/>
  <c r="F266" i="5"/>
  <c r="G265" i="5"/>
  <c r="H265" i="5"/>
  <c r="I265" i="5"/>
  <c r="J265" i="5"/>
  <c r="M264" i="5"/>
  <c r="K265" i="5" l="1"/>
  <c r="L265" i="5" s="1"/>
  <c r="N266" i="5"/>
  <c r="F267" i="5"/>
  <c r="G266" i="5"/>
  <c r="H266" i="5"/>
  <c r="I266" i="5"/>
  <c r="J266" i="5"/>
  <c r="M265" i="5"/>
  <c r="K266" i="5" l="1"/>
  <c r="L266" i="5" s="1"/>
  <c r="N267" i="5"/>
  <c r="F268" i="5"/>
  <c r="G267" i="5"/>
  <c r="H267" i="5"/>
  <c r="J267" i="5"/>
  <c r="I267" i="5"/>
  <c r="M266" i="5"/>
  <c r="K267" i="5" l="1"/>
  <c r="L267" i="5" s="1"/>
  <c r="N268" i="5"/>
  <c r="F269" i="5"/>
  <c r="H268" i="5"/>
  <c r="G268" i="5"/>
  <c r="I268" i="5"/>
  <c r="J268" i="5"/>
  <c r="M267" i="5"/>
  <c r="K268" i="5" l="1"/>
  <c r="L268" i="5" s="1"/>
  <c r="N269" i="5"/>
  <c r="F270" i="5"/>
  <c r="G269" i="5"/>
  <c r="H269" i="5"/>
  <c r="I269" i="5"/>
  <c r="J269" i="5"/>
  <c r="M268" i="5"/>
  <c r="K269" i="5" l="1"/>
  <c r="L269" i="5" s="1"/>
  <c r="N270" i="5"/>
  <c r="F271" i="5"/>
  <c r="G270" i="5"/>
  <c r="H270" i="5"/>
  <c r="I270" i="5"/>
  <c r="J270" i="5"/>
  <c r="M269" i="5"/>
  <c r="K270" i="5" l="1"/>
  <c r="L270" i="5" s="1"/>
  <c r="N271" i="5"/>
  <c r="F272" i="5"/>
  <c r="G271" i="5"/>
  <c r="H271" i="5"/>
  <c r="J271" i="5"/>
  <c r="M270" i="5"/>
  <c r="K271" i="5" l="1"/>
  <c r="L271" i="5" s="1"/>
  <c r="N272" i="5"/>
  <c r="F273" i="5"/>
  <c r="G272" i="5"/>
  <c r="I272" i="5"/>
  <c r="H272" i="5"/>
  <c r="J272" i="5"/>
  <c r="I271" i="5"/>
  <c r="M271" i="5"/>
  <c r="K272" i="5" l="1"/>
  <c r="L272" i="5" s="1"/>
  <c r="N273" i="5"/>
  <c r="F274" i="5"/>
  <c r="G273" i="5"/>
  <c r="H273" i="5"/>
  <c r="I273" i="5"/>
  <c r="J273" i="5"/>
  <c r="M272" i="5"/>
  <c r="K273" i="5" l="1"/>
  <c r="L273" i="5" s="1"/>
  <c r="N274" i="5"/>
  <c r="F275" i="5"/>
  <c r="G274" i="5"/>
  <c r="H274" i="5"/>
  <c r="I274" i="5"/>
  <c r="J274" i="5"/>
  <c r="M273" i="5"/>
  <c r="K274" i="5" l="1"/>
  <c r="L274" i="5" s="1"/>
  <c r="N275" i="5"/>
  <c r="F276" i="5"/>
  <c r="G275" i="5"/>
  <c r="H275" i="5"/>
  <c r="J275" i="5" s="1"/>
  <c r="I275" i="5"/>
  <c r="M274" i="5"/>
  <c r="K275" i="5" l="1"/>
  <c r="L275" i="5" s="1"/>
  <c r="N276" i="5"/>
  <c r="F277" i="5"/>
  <c r="G276" i="5"/>
  <c r="H276" i="5"/>
  <c r="J276" i="5"/>
  <c r="I276" i="5"/>
  <c r="M275" i="5"/>
  <c r="K276" i="5" l="1"/>
  <c r="L276" i="5" s="1"/>
  <c r="N277" i="5"/>
  <c r="F278" i="5"/>
  <c r="H277" i="5"/>
  <c r="G277" i="5"/>
  <c r="J277" i="5"/>
  <c r="I277" i="5"/>
  <c r="M276" i="5"/>
  <c r="K277" i="5" l="1"/>
  <c r="L277" i="5" s="1"/>
  <c r="N278" i="5"/>
  <c r="F279" i="5"/>
  <c r="G278" i="5"/>
  <c r="H278" i="5"/>
  <c r="J278" i="5"/>
  <c r="I278" i="5"/>
  <c r="M277" i="5"/>
  <c r="K278" i="5" l="1"/>
  <c r="L278" i="5" s="1"/>
  <c r="N279" i="5"/>
  <c r="F280" i="5"/>
  <c r="I279" i="5"/>
  <c r="G279" i="5"/>
  <c r="H279" i="5"/>
  <c r="J279" i="5"/>
  <c r="M278" i="5"/>
  <c r="K279" i="5" l="1"/>
  <c r="L279" i="5" s="1"/>
  <c r="N280" i="5"/>
  <c r="F281" i="5"/>
  <c r="G280" i="5"/>
  <c r="H280" i="5"/>
  <c r="J280" i="5"/>
  <c r="M279" i="5"/>
  <c r="K280" i="5" l="1"/>
  <c r="L280" i="5" s="1"/>
  <c r="N281" i="5"/>
  <c r="F282" i="5"/>
  <c r="G281" i="5"/>
  <c r="H281" i="5"/>
  <c r="I281" i="5"/>
  <c r="J281" i="5"/>
  <c r="I280" i="5"/>
  <c r="M280" i="5"/>
  <c r="F283" i="5" l="1"/>
  <c r="G282" i="5"/>
  <c r="H282" i="5"/>
  <c r="I282" i="5"/>
  <c r="J282" i="5"/>
  <c r="K281" i="5"/>
  <c r="L281" i="5" s="1"/>
  <c r="N282" i="5"/>
  <c r="M281" i="5"/>
  <c r="K282" i="5" l="1"/>
  <c r="L282" i="5" s="1"/>
  <c r="N283" i="5"/>
  <c r="F284" i="5"/>
  <c r="G283" i="5"/>
  <c r="H283" i="5"/>
  <c r="I283" i="5"/>
  <c r="J283" i="5"/>
  <c r="N284" i="5" l="1"/>
  <c r="K283" i="5"/>
  <c r="L283" i="5" s="1"/>
  <c r="F285" i="5"/>
  <c r="G284" i="5"/>
  <c r="H284" i="5"/>
  <c r="I284" i="5"/>
  <c r="J284" i="5"/>
  <c r="M283" i="5"/>
  <c r="M282" i="5"/>
  <c r="F286" i="5" l="1"/>
  <c r="G285" i="5"/>
  <c r="H285" i="5"/>
  <c r="I285" i="5"/>
  <c r="J285" i="5"/>
  <c r="K284" i="5"/>
  <c r="L284" i="5" s="1"/>
  <c r="N285" i="5"/>
  <c r="M284" i="5" l="1"/>
  <c r="K285" i="5"/>
  <c r="L285" i="5" s="1"/>
  <c r="N286" i="5"/>
  <c r="F287" i="5"/>
  <c r="G286" i="5"/>
  <c r="H286" i="5"/>
  <c r="J286" i="5"/>
  <c r="K286" i="5" l="1"/>
  <c r="L286" i="5" s="1"/>
  <c r="N287" i="5"/>
  <c r="M286" i="5"/>
  <c r="F288" i="5"/>
  <c r="G287" i="5"/>
  <c r="H287" i="5"/>
  <c r="I286" i="5"/>
  <c r="M285" i="5"/>
  <c r="F289" i="5" l="1"/>
  <c r="I288" i="5"/>
  <c r="G288" i="5"/>
  <c r="H288" i="5"/>
  <c r="J288" i="5"/>
  <c r="J287" i="5"/>
  <c r="I287" i="5"/>
  <c r="K287" i="5" l="1"/>
  <c r="L287" i="5" s="1"/>
  <c r="N288" i="5"/>
  <c r="K288" i="5"/>
  <c r="L288" i="5" s="1"/>
  <c r="N289" i="5"/>
  <c r="F290" i="5"/>
  <c r="G289" i="5"/>
  <c r="H289" i="5"/>
  <c r="I289" i="5"/>
  <c r="F291" i="5" l="1"/>
  <c r="G290" i="5"/>
  <c r="H290" i="5"/>
  <c r="I290" i="5"/>
  <c r="J290" i="5"/>
  <c r="J289" i="5"/>
  <c r="M288" i="5"/>
  <c r="M287" i="5"/>
  <c r="K289" i="5" l="1"/>
  <c r="L289" i="5" s="1"/>
  <c r="N290" i="5"/>
  <c r="K290" i="5"/>
  <c r="L290" i="5" s="1"/>
  <c r="N291" i="5"/>
  <c r="F292" i="5"/>
  <c r="G291" i="5"/>
  <c r="H291" i="5"/>
  <c r="I291" i="5"/>
  <c r="F293" i="5" l="1"/>
  <c r="G292" i="5"/>
  <c r="H292" i="5"/>
  <c r="I292" i="5"/>
  <c r="J292" i="5"/>
  <c r="J291" i="5"/>
  <c r="M290" i="5"/>
  <c r="M289" i="5"/>
  <c r="K292" i="5" l="1"/>
  <c r="K291" i="5"/>
  <c r="L291" i="5" s="1"/>
  <c r="N292" i="5"/>
  <c r="N293" i="5" s="1"/>
  <c r="F294" i="5"/>
  <c r="G293" i="5"/>
  <c r="H293" i="5"/>
  <c r="I293" i="5"/>
  <c r="F295" i="5" l="1"/>
  <c r="G294" i="5"/>
  <c r="H294" i="5"/>
  <c r="I294" i="5"/>
  <c r="J294" i="5"/>
  <c r="M292" i="5"/>
  <c r="M291" i="5"/>
  <c r="J293" i="5"/>
  <c r="L292" i="5"/>
  <c r="K293" i="5" l="1"/>
  <c r="L293" i="5" s="1"/>
  <c r="N294" i="5"/>
  <c r="K294" i="5"/>
  <c r="L294" i="5" s="1"/>
  <c r="N295" i="5"/>
  <c r="M293" i="5"/>
  <c r="F296" i="5"/>
  <c r="G295" i="5"/>
  <c r="H295" i="5"/>
  <c r="F297" i="5" l="1"/>
  <c r="G296" i="5"/>
  <c r="I296" i="5"/>
  <c r="H296" i="5"/>
  <c r="J296" i="5"/>
  <c r="J295" i="5"/>
  <c r="I295" i="5"/>
  <c r="M294" i="5"/>
  <c r="K295" i="5" l="1"/>
  <c r="L295" i="5" s="1"/>
  <c r="N296" i="5"/>
  <c r="K296" i="5"/>
  <c r="L296" i="5" s="1"/>
  <c r="N297" i="5"/>
  <c r="F298" i="5"/>
  <c r="G297" i="5"/>
  <c r="H297" i="5"/>
  <c r="I297" i="5"/>
  <c r="F299" i="5" l="1"/>
  <c r="H298" i="5"/>
  <c r="G298" i="5"/>
  <c r="J298" i="5"/>
  <c r="I298" i="5"/>
  <c r="J297" i="5"/>
  <c r="M296" i="5"/>
  <c r="M295" i="5"/>
  <c r="K297" i="5" l="1"/>
  <c r="L297" i="5" s="1"/>
  <c r="N298" i="5"/>
  <c r="K298" i="5"/>
  <c r="L298" i="5" s="1"/>
  <c r="N299" i="5"/>
  <c r="F300" i="5"/>
  <c r="H299" i="5"/>
  <c r="G299" i="5"/>
  <c r="J299" i="5" s="1"/>
  <c r="K299" i="5" l="1"/>
  <c r="L299" i="5" s="1"/>
  <c r="N300" i="5"/>
  <c r="F301" i="5"/>
  <c r="G300" i="5"/>
  <c r="H300" i="5"/>
  <c r="J300" i="5"/>
  <c r="I300" i="5"/>
  <c r="M299" i="5"/>
  <c r="I299" i="5"/>
  <c r="M298" i="5"/>
  <c r="M297" i="5"/>
  <c r="K300" i="5" l="1"/>
  <c r="L300" i="5" s="1"/>
  <c r="N301" i="5"/>
  <c r="F302" i="5"/>
  <c r="G301" i="5"/>
  <c r="H301" i="5"/>
  <c r="I301" i="5"/>
  <c r="J301" i="5"/>
  <c r="M300" i="5"/>
  <c r="K301" i="5" l="1"/>
  <c r="L301" i="5" s="1"/>
  <c r="N302" i="5"/>
  <c r="F303" i="5"/>
  <c r="G302" i="5"/>
  <c r="H302" i="5"/>
  <c r="I302" i="5"/>
  <c r="J302" i="5"/>
  <c r="M301" i="5"/>
  <c r="K302" i="5" l="1"/>
  <c r="L302" i="5" s="1"/>
  <c r="N303" i="5"/>
  <c r="F304" i="5"/>
  <c r="G303" i="5"/>
  <c r="H303" i="5"/>
  <c r="J303" i="5"/>
  <c r="M302" i="5"/>
  <c r="K303" i="5" l="1"/>
  <c r="L303" i="5" s="1"/>
  <c r="N304" i="5"/>
  <c r="F305" i="5"/>
  <c r="G304" i="5"/>
  <c r="H304" i="5"/>
  <c r="J304" i="5" s="1"/>
  <c r="I303" i="5"/>
  <c r="M303" i="5"/>
  <c r="K304" i="5" l="1"/>
  <c r="L304" i="5" s="1"/>
  <c r="N305" i="5"/>
  <c r="F306" i="5"/>
  <c r="G305" i="5"/>
  <c r="H305" i="5"/>
  <c r="I305" i="5"/>
  <c r="J305" i="5"/>
  <c r="I304" i="5"/>
  <c r="M304" i="5"/>
  <c r="F307" i="5" l="1"/>
  <c r="G306" i="5"/>
  <c r="H306" i="5"/>
  <c r="I306" i="5"/>
  <c r="J306" i="5"/>
  <c r="K305" i="5"/>
  <c r="L305" i="5" s="1"/>
  <c r="N306" i="5"/>
  <c r="M305" i="5"/>
  <c r="K306" i="5" l="1"/>
  <c r="L306" i="5" s="1"/>
  <c r="N307" i="5"/>
  <c r="M306" i="5"/>
  <c r="F308" i="5"/>
  <c r="G307" i="5"/>
  <c r="H307" i="5"/>
  <c r="I307" i="5"/>
  <c r="J307" i="5"/>
  <c r="K307" i="5" l="1"/>
  <c r="L307" i="5" s="1"/>
  <c r="N308" i="5"/>
  <c r="F309" i="5"/>
  <c r="G308" i="5"/>
  <c r="H308" i="5"/>
  <c r="I308" i="5"/>
  <c r="J308" i="5"/>
  <c r="M307" i="5"/>
  <c r="K308" i="5" l="1"/>
  <c r="L308" i="5" s="1"/>
  <c r="N309" i="5"/>
  <c r="F310" i="5"/>
  <c r="H309" i="5"/>
  <c r="G309" i="5"/>
  <c r="I309" i="5"/>
  <c r="J309" i="5"/>
  <c r="M308" i="5"/>
  <c r="F311" i="5" l="1"/>
  <c r="G310" i="5"/>
  <c r="H310" i="5"/>
  <c r="I310" i="5"/>
  <c r="J310" i="5"/>
  <c r="K309" i="5"/>
  <c r="L309" i="5" s="1"/>
  <c r="M309" i="5" s="1"/>
  <c r="N310" i="5"/>
  <c r="K310" i="5" l="1"/>
  <c r="L310" i="5" s="1"/>
  <c r="N311" i="5"/>
  <c r="F312" i="5"/>
  <c r="G311" i="5"/>
  <c r="I311" i="5"/>
  <c r="H311" i="5"/>
  <c r="J311" i="5"/>
  <c r="K311" i="5" l="1"/>
  <c r="L311" i="5" s="1"/>
  <c r="N312" i="5"/>
  <c r="M311" i="5"/>
  <c r="F313" i="5"/>
  <c r="G312" i="5"/>
  <c r="I312" i="5"/>
  <c r="H312" i="5"/>
  <c r="J312" i="5"/>
  <c r="M310" i="5"/>
  <c r="K312" i="5" l="1"/>
  <c r="L312" i="5" s="1"/>
  <c r="N313" i="5"/>
  <c r="F314" i="5"/>
  <c r="G313" i="5"/>
  <c r="H313" i="5"/>
  <c r="I313" i="5"/>
  <c r="J313" i="5"/>
  <c r="M312" i="5"/>
  <c r="K313" i="5" l="1"/>
  <c r="L313" i="5" s="1"/>
  <c r="N314" i="5"/>
  <c r="F315" i="5"/>
  <c r="G314" i="5"/>
  <c r="H314" i="5"/>
  <c r="I314" i="5"/>
  <c r="J314" i="5"/>
  <c r="M313" i="5"/>
  <c r="K314" i="5" l="1"/>
  <c r="L314" i="5" s="1"/>
  <c r="N315" i="5"/>
  <c r="F316" i="5"/>
  <c r="G315" i="5"/>
  <c r="H315" i="5"/>
  <c r="I315" i="5"/>
  <c r="J315" i="5"/>
  <c r="M314" i="5"/>
  <c r="N316" i="5" l="1"/>
  <c r="K315" i="5"/>
  <c r="L315" i="5" s="1"/>
  <c r="F317" i="5"/>
  <c r="G316" i="5"/>
  <c r="H316" i="5"/>
  <c r="I316" i="5"/>
  <c r="J316" i="5"/>
  <c r="M315" i="5"/>
  <c r="F318" i="5" l="1"/>
  <c r="H317" i="5"/>
  <c r="I317" i="5"/>
  <c r="G317" i="5"/>
  <c r="J317" i="5"/>
  <c r="N317" i="5"/>
  <c r="K316" i="5"/>
  <c r="L316" i="5" s="1"/>
  <c r="M316" i="5" l="1"/>
  <c r="K317" i="5"/>
  <c r="L317" i="5" s="1"/>
  <c r="N318" i="5"/>
  <c r="F319" i="5"/>
  <c r="G318" i="5"/>
  <c r="H318" i="5"/>
  <c r="J318" i="5" s="1"/>
  <c r="K318" i="5" l="1"/>
  <c r="L318" i="5" s="1"/>
  <c r="N319" i="5"/>
  <c r="F320" i="5"/>
  <c r="I319" i="5" s="1"/>
  <c r="G319" i="5"/>
  <c r="H319" i="5"/>
  <c r="M318" i="5"/>
  <c r="I318" i="5"/>
  <c r="M317" i="5"/>
  <c r="J319" i="5" l="1"/>
  <c r="F321" i="5"/>
  <c r="I320" i="5" s="1"/>
  <c r="G320" i="5"/>
  <c r="H320" i="5"/>
  <c r="J320" i="5"/>
  <c r="K320" i="5" l="1"/>
  <c r="F322" i="5"/>
  <c r="G321" i="5"/>
  <c r="H321" i="5"/>
  <c r="I321" i="5"/>
  <c r="J321" i="5"/>
  <c r="K319" i="5"/>
  <c r="L319" i="5" s="1"/>
  <c r="N320" i="5"/>
  <c r="N321" i="5" s="1"/>
  <c r="M319" i="5" l="1"/>
  <c r="K321" i="5"/>
  <c r="L321" i="5" s="1"/>
  <c r="N322" i="5"/>
  <c r="F323" i="5"/>
  <c r="G322" i="5"/>
  <c r="H322" i="5"/>
  <c r="I322" i="5"/>
  <c r="L320" i="5"/>
  <c r="F324" i="5" l="1"/>
  <c r="G323" i="5"/>
  <c r="H323" i="5"/>
  <c r="J323" i="5" s="1"/>
  <c r="I323" i="5"/>
  <c r="M321" i="5"/>
  <c r="J322" i="5"/>
  <c r="M320" i="5"/>
  <c r="K323" i="5" l="1"/>
  <c r="L323" i="5" s="1"/>
  <c r="N324" i="5"/>
  <c r="F325" i="5"/>
  <c r="G324" i="5"/>
  <c r="H324" i="5"/>
  <c r="I324" i="5"/>
  <c r="J324" i="5"/>
  <c r="K322" i="5"/>
  <c r="L322" i="5" s="1"/>
  <c r="N323" i="5"/>
  <c r="K324" i="5" l="1"/>
  <c r="L324" i="5" s="1"/>
  <c r="N325" i="5"/>
  <c r="G325" i="5"/>
  <c r="F326" i="5"/>
  <c r="H325" i="5"/>
  <c r="J325" i="5"/>
  <c r="M323" i="5"/>
  <c r="M322" i="5"/>
  <c r="M324" i="5"/>
  <c r="F327" i="5" l="1"/>
  <c r="G326" i="5"/>
  <c r="H326" i="5"/>
  <c r="I326" i="5"/>
  <c r="J326" i="5"/>
  <c r="I325" i="5"/>
  <c r="K325" i="5"/>
  <c r="L325" i="5" s="1"/>
  <c r="N326" i="5"/>
  <c r="K326" i="5" l="1"/>
  <c r="L326" i="5" s="1"/>
  <c r="N327" i="5"/>
  <c r="M325" i="5"/>
  <c r="F328" i="5"/>
  <c r="G327" i="5"/>
  <c r="I327" i="5"/>
  <c r="H327" i="5"/>
  <c r="F329" i="5" l="1"/>
  <c r="G328" i="5"/>
  <c r="I328" i="5"/>
  <c r="H328" i="5"/>
  <c r="J328" i="5"/>
  <c r="J327" i="5"/>
  <c r="M326" i="5"/>
  <c r="K328" i="5" l="1"/>
  <c r="L328" i="5" s="1"/>
  <c r="N329" i="5"/>
  <c r="K327" i="5"/>
  <c r="L327" i="5" s="1"/>
  <c r="N328" i="5"/>
  <c r="F330" i="5"/>
  <c r="G329" i="5"/>
  <c r="H329" i="5"/>
  <c r="I329" i="5"/>
  <c r="F331" i="5" l="1"/>
  <c r="G330" i="5"/>
  <c r="H330" i="5"/>
  <c r="I330" i="5"/>
  <c r="J330" i="5"/>
  <c r="M328" i="5"/>
  <c r="M327" i="5"/>
  <c r="J329" i="5"/>
  <c r="K329" i="5" l="1"/>
  <c r="L329" i="5" s="1"/>
  <c r="N330" i="5"/>
  <c r="K330" i="5"/>
  <c r="L330" i="5" s="1"/>
  <c r="N331" i="5"/>
  <c r="F332" i="5"/>
  <c r="G331" i="5"/>
  <c r="H331" i="5"/>
  <c r="J331" i="5"/>
  <c r="K331" i="5" l="1"/>
  <c r="L331" i="5" s="1"/>
  <c r="N332" i="5"/>
  <c r="F333" i="5"/>
  <c r="G332" i="5"/>
  <c r="H332" i="5"/>
  <c r="I332" i="5"/>
  <c r="J332" i="5"/>
  <c r="M331" i="5"/>
  <c r="I331" i="5"/>
  <c r="M330" i="5"/>
  <c r="M329" i="5"/>
  <c r="K332" i="5" l="1"/>
  <c r="L332" i="5" s="1"/>
  <c r="N333" i="5"/>
  <c r="F334" i="5"/>
  <c r="G333" i="5"/>
  <c r="H333" i="5"/>
  <c r="I333" i="5"/>
  <c r="J333" i="5"/>
  <c r="M332" i="5"/>
  <c r="K333" i="5" l="1"/>
  <c r="L333" i="5" s="1"/>
  <c r="N334" i="5"/>
  <c r="F335" i="5"/>
  <c r="G334" i="5"/>
  <c r="H334" i="5"/>
  <c r="I334" i="5"/>
  <c r="J334" i="5"/>
  <c r="M333" i="5"/>
  <c r="K334" i="5" l="1"/>
  <c r="L334" i="5" s="1"/>
  <c r="N335" i="5"/>
  <c r="F336" i="5"/>
  <c r="G335" i="5"/>
  <c r="H335" i="5"/>
  <c r="J335" i="5"/>
  <c r="M334" i="5"/>
  <c r="K335" i="5" l="1"/>
  <c r="L335" i="5" s="1"/>
  <c r="N336" i="5"/>
  <c r="F337" i="5"/>
  <c r="G336" i="5"/>
  <c r="H336" i="5"/>
  <c r="J336" i="5"/>
  <c r="I335" i="5"/>
  <c r="M335" i="5"/>
  <c r="K336" i="5" l="1"/>
  <c r="L336" i="5" s="1"/>
  <c r="N337" i="5"/>
  <c r="F338" i="5"/>
  <c r="G337" i="5"/>
  <c r="H337" i="5"/>
  <c r="I337" i="5"/>
  <c r="J337" i="5"/>
  <c r="I336" i="5"/>
  <c r="M336" i="5"/>
  <c r="K337" i="5" l="1"/>
  <c r="L337" i="5" s="1"/>
  <c r="N338" i="5"/>
  <c r="F339" i="5"/>
  <c r="H338" i="5"/>
  <c r="G338" i="5"/>
  <c r="I338" i="5"/>
  <c r="J338" i="5"/>
  <c r="M337" i="5"/>
  <c r="K338" i="5" l="1"/>
  <c r="L338" i="5" s="1"/>
  <c r="N339" i="5"/>
  <c r="F340" i="5"/>
  <c r="G339" i="5"/>
  <c r="H339" i="5"/>
  <c r="I339" i="5"/>
  <c r="J339" i="5"/>
  <c r="M338" i="5"/>
  <c r="F341" i="5" l="1"/>
  <c r="G340" i="5"/>
  <c r="H340" i="5"/>
  <c r="J340" i="5"/>
  <c r="I340" i="5"/>
  <c r="K339" i="5"/>
  <c r="L339" i="5" s="1"/>
  <c r="N340" i="5"/>
  <c r="M339" i="5" l="1"/>
  <c r="K340" i="5"/>
  <c r="L340" i="5" s="1"/>
  <c r="N341" i="5"/>
  <c r="F342" i="5"/>
  <c r="H341" i="5"/>
  <c r="G341" i="5"/>
  <c r="J341" i="5"/>
  <c r="K341" i="5" l="1"/>
  <c r="L341" i="5" s="1"/>
  <c r="N342" i="5"/>
  <c r="F343" i="5"/>
  <c r="G342" i="5"/>
  <c r="H342" i="5"/>
  <c r="J342" i="5" s="1"/>
  <c r="I342" i="5"/>
  <c r="M341" i="5"/>
  <c r="I341" i="5"/>
  <c r="M340" i="5"/>
  <c r="K342" i="5" l="1"/>
  <c r="L342" i="5" s="1"/>
  <c r="N343" i="5"/>
  <c r="F344" i="5"/>
  <c r="I343" i="5" s="1"/>
  <c r="G343" i="5"/>
  <c r="H343" i="5"/>
  <c r="J343" i="5"/>
  <c r="M342" i="5"/>
  <c r="K343" i="5" l="1"/>
  <c r="L343" i="5" s="1"/>
  <c r="N344" i="5"/>
  <c r="F345" i="5"/>
  <c r="G344" i="5"/>
  <c r="I344" i="5"/>
  <c r="H344" i="5"/>
  <c r="J344" i="5"/>
  <c r="M343" i="5"/>
  <c r="K344" i="5" l="1"/>
  <c r="L344" i="5" s="1"/>
  <c r="N345" i="5"/>
  <c r="F346" i="5"/>
  <c r="G345" i="5"/>
  <c r="H345" i="5"/>
  <c r="I345" i="5"/>
  <c r="J345" i="5"/>
  <c r="M344" i="5"/>
  <c r="K345" i="5" l="1"/>
  <c r="L345" i="5" s="1"/>
  <c r="N346" i="5"/>
  <c r="F347" i="5"/>
  <c r="G346" i="5"/>
  <c r="H346" i="5"/>
  <c r="I346" i="5"/>
  <c r="J346" i="5"/>
  <c r="M345" i="5"/>
  <c r="K346" i="5" l="1"/>
  <c r="L346" i="5" s="1"/>
  <c r="N347" i="5"/>
  <c r="F348" i="5"/>
  <c r="G347" i="5"/>
  <c r="H347" i="5"/>
  <c r="J347" i="5" s="1"/>
  <c r="I347" i="5"/>
  <c r="M346" i="5"/>
  <c r="N348" i="5" l="1"/>
  <c r="K347" i="5"/>
  <c r="L347" i="5" s="1"/>
  <c r="F349" i="5"/>
  <c r="G348" i="5"/>
  <c r="H348" i="5"/>
  <c r="I348" i="5"/>
  <c r="J348" i="5"/>
  <c r="M347" i="5"/>
  <c r="K348" i="5" l="1"/>
  <c r="L348" i="5" s="1"/>
  <c r="N349" i="5"/>
  <c r="M348" i="5"/>
  <c r="F350" i="5"/>
  <c r="G349" i="5"/>
  <c r="H349" i="5"/>
  <c r="I349" i="5"/>
  <c r="J349" i="5"/>
  <c r="K349" i="5" l="1"/>
  <c r="L349" i="5" s="1"/>
  <c r="N350" i="5"/>
  <c r="F351" i="5"/>
  <c r="G350" i="5"/>
  <c r="H350" i="5"/>
  <c r="J350" i="5"/>
  <c r="I350" i="5"/>
  <c r="M349" i="5"/>
  <c r="K350" i="5" l="1"/>
  <c r="L350" i="5" s="1"/>
  <c r="N351" i="5"/>
  <c r="F352" i="5"/>
  <c r="G351" i="5"/>
  <c r="J351" i="5"/>
  <c r="H351" i="5"/>
  <c r="M350" i="5"/>
  <c r="K351" i="5" l="1"/>
  <c r="L351" i="5" s="1"/>
  <c r="N352" i="5"/>
  <c r="F353" i="5"/>
  <c r="G352" i="5"/>
  <c r="H352" i="5"/>
  <c r="J352" i="5" s="1"/>
  <c r="I351" i="5"/>
  <c r="M351" i="5"/>
  <c r="K352" i="5" l="1"/>
  <c r="L352" i="5" s="1"/>
  <c r="N353" i="5"/>
  <c r="F354" i="5"/>
  <c r="G353" i="5"/>
  <c r="H353" i="5"/>
  <c r="I353" i="5"/>
  <c r="J353" i="5"/>
  <c r="I352" i="5"/>
  <c r="M352" i="5"/>
  <c r="K353" i="5" l="1"/>
  <c r="L353" i="5" s="1"/>
  <c r="N354" i="5"/>
  <c r="F355" i="5"/>
  <c r="G354" i="5"/>
  <c r="H354" i="5"/>
  <c r="I354" i="5"/>
  <c r="J354" i="5"/>
  <c r="M353" i="5"/>
  <c r="K354" i="5" l="1"/>
  <c r="L354" i="5" s="1"/>
  <c r="N355" i="5"/>
  <c r="F356" i="5"/>
  <c r="G355" i="5"/>
  <c r="H355" i="5"/>
  <c r="I355" i="5"/>
  <c r="J355" i="5"/>
  <c r="M354" i="5"/>
  <c r="K355" i="5" l="1"/>
  <c r="L355" i="5" s="1"/>
  <c r="N356" i="5"/>
  <c r="F357" i="5"/>
  <c r="G356" i="5"/>
  <c r="H356" i="5"/>
  <c r="I356" i="5"/>
  <c r="J356" i="5"/>
  <c r="M355" i="5"/>
  <c r="K356" i="5" l="1"/>
  <c r="L356" i="5" s="1"/>
  <c r="N357" i="5"/>
  <c r="F358" i="5"/>
  <c r="G357" i="5"/>
  <c r="H357" i="5"/>
  <c r="I357" i="5"/>
  <c r="J357" i="5"/>
  <c r="M356" i="5"/>
  <c r="K357" i="5" l="1"/>
  <c r="L357" i="5" s="1"/>
  <c r="N358" i="5"/>
  <c r="F359" i="5"/>
  <c r="G358" i="5"/>
  <c r="H358" i="5"/>
  <c r="I358" i="5"/>
  <c r="J358" i="5"/>
  <c r="M357" i="5"/>
  <c r="K358" i="5" l="1"/>
  <c r="L358" i="5" s="1"/>
  <c r="N359" i="5"/>
  <c r="F360" i="5"/>
  <c r="G359" i="5"/>
  <c r="I359" i="5"/>
  <c r="H359" i="5"/>
  <c r="J359" i="5"/>
  <c r="M358" i="5"/>
  <c r="K359" i="5" l="1"/>
  <c r="L359" i="5" s="1"/>
  <c r="N360" i="5"/>
  <c r="F361" i="5"/>
  <c r="G360" i="5"/>
  <c r="I360" i="5"/>
  <c r="H360" i="5"/>
  <c r="J360" i="5"/>
  <c r="M359" i="5"/>
  <c r="K360" i="5" l="1"/>
  <c r="L360" i="5" s="1"/>
  <c r="N361" i="5"/>
  <c r="F362" i="5"/>
  <c r="G361" i="5"/>
  <c r="H361" i="5"/>
  <c r="I361" i="5"/>
  <c r="J361" i="5"/>
  <c r="M360" i="5"/>
  <c r="K361" i="5" l="1"/>
  <c r="L361" i="5" s="1"/>
  <c r="N362" i="5"/>
  <c r="F363" i="5"/>
  <c r="H362" i="5"/>
  <c r="J362" i="5" s="1"/>
  <c r="G362" i="5"/>
  <c r="I362" i="5"/>
  <c r="M361" i="5"/>
  <c r="K362" i="5" l="1"/>
  <c r="L362" i="5" s="1"/>
  <c r="N363" i="5"/>
  <c r="F364" i="5"/>
  <c r="I363" i="5" s="1"/>
  <c r="G363" i="5"/>
  <c r="H363" i="5"/>
  <c r="J363" i="5"/>
  <c r="M362" i="5"/>
  <c r="K363" i="5" l="1"/>
  <c r="L363" i="5" s="1"/>
  <c r="N364" i="5"/>
  <c r="F365" i="5"/>
  <c r="G364" i="5"/>
  <c r="H364" i="5"/>
  <c r="J364" i="5"/>
  <c r="I364" i="5"/>
  <c r="M363" i="5"/>
  <c r="K364" i="5" l="1"/>
  <c r="L364" i="5" s="1"/>
  <c r="N365" i="5"/>
  <c r="F366" i="5"/>
  <c r="G365" i="5"/>
  <c r="H365" i="5"/>
  <c r="I365" i="5"/>
  <c r="J365" i="5"/>
  <c r="M364" i="5"/>
  <c r="K365" i="5" l="1"/>
  <c r="L365" i="5" s="1"/>
  <c r="N366" i="5"/>
  <c r="F367" i="5"/>
  <c r="G366" i="5"/>
  <c r="H366" i="5"/>
  <c r="I366" i="5"/>
  <c r="J366" i="5"/>
  <c r="M365" i="5"/>
  <c r="K366" i="5" l="1"/>
  <c r="L366" i="5" s="1"/>
  <c r="N367" i="5"/>
  <c r="F368" i="5"/>
  <c r="G367" i="5"/>
  <c r="I367" i="5"/>
  <c r="H367" i="5"/>
  <c r="J367" i="5"/>
  <c r="M366" i="5"/>
  <c r="K367" i="5" l="1"/>
  <c r="L367" i="5" s="1"/>
  <c r="N368" i="5"/>
  <c r="F369" i="5"/>
  <c r="G368" i="5"/>
  <c r="I368" i="5"/>
  <c r="H368" i="5"/>
  <c r="J368" i="5"/>
  <c r="M367" i="5"/>
  <c r="K368" i="5" l="1"/>
  <c r="L368" i="5" s="1"/>
  <c r="N369" i="5"/>
  <c r="F370" i="5"/>
  <c r="G369" i="5"/>
  <c r="H369" i="5"/>
  <c r="I369" i="5"/>
  <c r="J369" i="5"/>
  <c r="M368" i="5"/>
  <c r="K369" i="5" l="1"/>
  <c r="L369" i="5" s="1"/>
  <c r="N370" i="5"/>
  <c r="F371" i="5"/>
  <c r="G370" i="5"/>
  <c r="H370" i="5"/>
  <c r="I370" i="5"/>
  <c r="J370" i="5"/>
  <c r="M369" i="5"/>
  <c r="K370" i="5" l="1"/>
  <c r="L370" i="5" s="1"/>
  <c r="N371" i="5"/>
  <c r="F372" i="5"/>
  <c r="H371" i="5"/>
  <c r="G371" i="5"/>
  <c r="I371" i="5"/>
  <c r="J371" i="5"/>
  <c r="M370" i="5"/>
  <c r="K371" i="5" l="1"/>
  <c r="L371" i="5" s="1"/>
  <c r="N372" i="5"/>
  <c r="F373" i="5"/>
  <c r="G372" i="5"/>
  <c r="H372" i="5"/>
  <c r="I372" i="5"/>
  <c r="J372" i="5"/>
  <c r="M371" i="5"/>
  <c r="K372" i="5" l="1"/>
  <c r="L372" i="5" s="1"/>
  <c r="N373" i="5"/>
  <c r="F374" i="5"/>
  <c r="G373" i="5"/>
  <c r="H373" i="5"/>
  <c r="I373" i="5"/>
  <c r="J373" i="5"/>
  <c r="M372" i="5"/>
  <c r="K373" i="5" l="1"/>
  <c r="L373" i="5" s="1"/>
  <c r="N374" i="5"/>
  <c r="F375" i="5"/>
  <c r="G374" i="5"/>
  <c r="H374" i="5"/>
  <c r="I374" i="5"/>
  <c r="J374" i="5"/>
  <c r="M373" i="5"/>
  <c r="K374" i="5" l="1"/>
  <c r="L374" i="5" s="1"/>
  <c r="N375" i="5"/>
  <c r="F376" i="5"/>
  <c r="G375" i="5"/>
  <c r="I375" i="5"/>
  <c r="H375" i="5"/>
  <c r="J375" i="5"/>
  <c r="M374" i="5"/>
  <c r="K375" i="5" l="1"/>
  <c r="L375" i="5" s="1"/>
  <c r="N376" i="5"/>
  <c r="F377" i="5"/>
  <c r="G376" i="5"/>
  <c r="I376" i="5"/>
  <c r="H376" i="5"/>
  <c r="J376" i="5"/>
  <c r="M375" i="5"/>
  <c r="K376" i="5" l="1"/>
  <c r="L376" i="5" s="1"/>
  <c r="N377" i="5"/>
  <c r="F378" i="5"/>
  <c r="G377" i="5"/>
  <c r="H377" i="5"/>
  <c r="I377" i="5"/>
  <c r="J377" i="5"/>
  <c r="M376" i="5"/>
  <c r="K377" i="5" l="1"/>
  <c r="L377" i="5" s="1"/>
  <c r="N378" i="5"/>
  <c r="F379" i="5"/>
  <c r="G378" i="5"/>
  <c r="H378" i="5"/>
  <c r="I378" i="5"/>
  <c r="J378" i="5"/>
  <c r="M377" i="5"/>
  <c r="K378" i="5" l="1"/>
  <c r="L378" i="5" s="1"/>
  <c r="N379" i="5"/>
  <c r="F380" i="5"/>
  <c r="G379" i="5"/>
  <c r="H379" i="5"/>
  <c r="I379" i="5"/>
  <c r="J379" i="5"/>
  <c r="M378" i="5"/>
  <c r="N380" i="5" l="1"/>
  <c r="K379" i="5"/>
  <c r="L379" i="5" s="1"/>
  <c r="F381" i="5"/>
  <c r="G380" i="5"/>
  <c r="H380" i="5"/>
  <c r="I380" i="5"/>
  <c r="J380" i="5"/>
  <c r="M379" i="5"/>
  <c r="N381" i="5" l="1"/>
  <c r="K380" i="5"/>
  <c r="L380" i="5" s="1"/>
  <c r="F382" i="5"/>
  <c r="H381" i="5"/>
  <c r="I381" i="5"/>
  <c r="G381" i="5"/>
  <c r="J381" i="5" s="1"/>
  <c r="M380" i="5"/>
  <c r="K381" i="5" l="1"/>
  <c r="L381" i="5" s="1"/>
  <c r="N382" i="5"/>
  <c r="F383" i="5"/>
  <c r="G382" i="5"/>
  <c r="H382" i="5"/>
  <c r="J382" i="5"/>
  <c r="I382" i="5"/>
  <c r="M381" i="5"/>
  <c r="K382" i="5" l="1"/>
  <c r="L382" i="5" s="1"/>
  <c r="N383" i="5"/>
  <c r="F384" i="5"/>
  <c r="I383" i="5"/>
  <c r="J383" i="5"/>
  <c r="H383" i="5"/>
  <c r="G383" i="5"/>
  <c r="M382" i="5"/>
  <c r="K383" i="5" l="1"/>
  <c r="L383" i="5" s="1"/>
  <c r="N384" i="5"/>
  <c r="F385" i="5"/>
  <c r="G384" i="5"/>
  <c r="I384" i="5"/>
  <c r="H384" i="5"/>
  <c r="J384" i="5"/>
  <c r="M383" i="5"/>
  <c r="K384" i="5" l="1"/>
  <c r="L384" i="5" s="1"/>
  <c r="N385" i="5"/>
  <c r="F386" i="5"/>
  <c r="G385" i="5"/>
  <c r="H385" i="5"/>
  <c r="I385" i="5"/>
  <c r="J385" i="5"/>
  <c r="M384" i="5"/>
  <c r="K385" i="5" l="1"/>
  <c r="L385" i="5" s="1"/>
  <c r="N386" i="5"/>
  <c r="F387" i="5"/>
  <c r="G386" i="5"/>
  <c r="H386" i="5"/>
  <c r="J386" i="5" s="1"/>
  <c r="I386" i="5"/>
  <c r="M385" i="5"/>
  <c r="K386" i="5" l="1"/>
  <c r="L386" i="5" s="1"/>
  <c r="N387" i="5"/>
  <c r="F388" i="5"/>
  <c r="G387" i="5"/>
  <c r="H387" i="5"/>
  <c r="I387" i="5"/>
  <c r="J387" i="5"/>
  <c r="M386" i="5"/>
  <c r="K387" i="5" l="1"/>
  <c r="L387" i="5" s="1"/>
  <c r="N388" i="5"/>
  <c r="F389" i="5"/>
  <c r="G388" i="5"/>
  <c r="H388" i="5"/>
  <c r="I388" i="5"/>
  <c r="J388" i="5"/>
  <c r="M387" i="5"/>
  <c r="K388" i="5" l="1"/>
  <c r="L388" i="5" s="1"/>
  <c r="N389" i="5"/>
  <c r="F390" i="5"/>
  <c r="G389" i="5"/>
  <c r="H389" i="5"/>
  <c r="I389" i="5"/>
  <c r="J389" i="5"/>
  <c r="M388" i="5"/>
  <c r="K389" i="5" l="1"/>
  <c r="L389" i="5" s="1"/>
  <c r="N390" i="5"/>
  <c r="F391" i="5"/>
  <c r="G390" i="5"/>
  <c r="H390" i="5"/>
  <c r="I390" i="5"/>
  <c r="J390" i="5"/>
  <c r="M389" i="5"/>
  <c r="K390" i="5" l="1"/>
  <c r="L390" i="5" s="1"/>
  <c r="N391" i="5"/>
  <c r="F392" i="5"/>
  <c r="G391" i="5"/>
  <c r="I391" i="5"/>
  <c r="H391" i="5"/>
  <c r="J391" i="5" s="1"/>
  <c r="M390" i="5"/>
  <c r="K391" i="5" l="1"/>
  <c r="L391" i="5" s="1"/>
  <c r="N392" i="5"/>
  <c r="F393" i="5"/>
  <c r="H392" i="5"/>
  <c r="J392" i="5"/>
  <c r="G392" i="5"/>
  <c r="M391" i="5"/>
  <c r="K392" i="5" l="1"/>
  <c r="L392" i="5" s="1"/>
  <c r="N393" i="5"/>
  <c r="F394" i="5"/>
  <c r="G393" i="5"/>
  <c r="H393" i="5"/>
  <c r="I393" i="5"/>
  <c r="J393" i="5"/>
  <c r="I392" i="5"/>
  <c r="M392" i="5"/>
  <c r="K393" i="5" l="1"/>
  <c r="L393" i="5" s="1"/>
  <c r="N394" i="5"/>
  <c r="F395" i="5"/>
  <c r="G394" i="5"/>
  <c r="H394" i="5"/>
  <c r="I394" i="5"/>
  <c r="J394" i="5"/>
  <c r="M393" i="5"/>
  <c r="K394" i="5" l="1"/>
  <c r="L394" i="5" s="1"/>
  <c r="N395" i="5"/>
  <c r="F396" i="5"/>
  <c r="G395" i="5"/>
  <c r="H395" i="5"/>
  <c r="J395" i="5"/>
  <c r="I395" i="5"/>
  <c r="M394" i="5"/>
  <c r="K395" i="5" l="1"/>
  <c r="L395" i="5" s="1"/>
  <c r="N396" i="5"/>
  <c r="F397" i="5"/>
  <c r="G396" i="5"/>
  <c r="H396" i="5"/>
  <c r="I396" i="5"/>
  <c r="J396" i="5"/>
  <c r="M395" i="5"/>
  <c r="F398" i="5" l="1"/>
  <c r="G397" i="5"/>
  <c r="H397" i="5"/>
  <c r="I397" i="5"/>
  <c r="J397" i="5"/>
  <c r="K396" i="5"/>
  <c r="L396" i="5" s="1"/>
  <c r="M396" i="5" s="1"/>
  <c r="N397" i="5"/>
  <c r="K397" i="5" l="1"/>
  <c r="L397" i="5" s="1"/>
  <c r="N398" i="5"/>
  <c r="F399" i="5"/>
  <c r="G398" i="5"/>
  <c r="H398" i="5"/>
  <c r="I398" i="5"/>
  <c r="J398" i="5"/>
  <c r="K398" i="5" l="1"/>
  <c r="L398" i="5" s="1"/>
  <c r="N399" i="5"/>
  <c r="F400" i="5"/>
  <c r="I399" i="5" s="1"/>
  <c r="G399" i="5"/>
  <c r="H399" i="5"/>
  <c r="J399" i="5"/>
  <c r="M398" i="5"/>
  <c r="M397" i="5"/>
  <c r="K399" i="5" l="1"/>
  <c r="L399" i="5" s="1"/>
  <c r="N400" i="5"/>
  <c r="F401" i="5"/>
  <c r="G400" i="5"/>
  <c r="I400" i="5"/>
  <c r="H400" i="5"/>
  <c r="J400" i="5"/>
  <c r="M399" i="5"/>
  <c r="K400" i="5" l="1"/>
  <c r="L400" i="5" s="1"/>
  <c r="N401" i="5"/>
  <c r="F402" i="5"/>
  <c r="G401" i="5"/>
  <c r="H401" i="5"/>
  <c r="I401" i="5"/>
  <c r="J401" i="5"/>
  <c r="M400" i="5"/>
  <c r="K401" i="5" l="1"/>
  <c r="L401" i="5" s="1"/>
  <c r="N402" i="5"/>
  <c r="F403" i="5"/>
  <c r="H402" i="5"/>
  <c r="G402" i="5"/>
  <c r="I402" i="5"/>
  <c r="J402" i="5"/>
  <c r="M401" i="5"/>
  <c r="K402" i="5" l="1"/>
  <c r="L402" i="5" s="1"/>
  <c r="N403" i="5"/>
  <c r="F404" i="5"/>
  <c r="G403" i="5"/>
  <c r="H403" i="5"/>
  <c r="I403" i="5"/>
  <c r="J403" i="5"/>
  <c r="M402" i="5"/>
  <c r="K403" i="5" l="1"/>
  <c r="L403" i="5" s="1"/>
  <c r="N404" i="5"/>
  <c r="F405" i="5"/>
  <c r="G404" i="5"/>
  <c r="H404" i="5"/>
  <c r="J404" i="5"/>
  <c r="I404" i="5"/>
  <c r="M403" i="5"/>
  <c r="F406" i="5" l="1"/>
  <c r="G405" i="5"/>
  <c r="H405" i="5"/>
  <c r="J405" i="5"/>
  <c r="I405" i="5"/>
  <c r="K404" i="5"/>
  <c r="L404" i="5" s="1"/>
  <c r="N405" i="5"/>
  <c r="M404" i="5"/>
  <c r="K405" i="5" l="1"/>
  <c r="L405" i="5" s="1"/>
  <c r="N406" i="5"/>
  <c r="M405" i="5"/>
  <c r="F407" i="5"/>
  <c r="G406" i="5"/>
  <c r="H406" i="5"/>
  <c r="J406" i="5"/>
  <c r="I406" i="5"/>
  <c r="K406" i="5" l="1"/>
  <c r="L406" i="5" s="1"/>
  <c r="N407" i="5"/>
  <c r="F408" i="5"/>
  <c r="G407" i="5"/>
  <c r="H407" i="5"/>
  <c r="J407" i="5"/>
  <c r="M406" i="5"/>
  <c r="F409" i="5" l="1"/>
  <c r="G408" i="5"/>
  <c r="I408" i="5"/>
  <c r="H408" i="5"/>
  <c r="J408" i="5"/>
  <c r="K407" i="5"/>
  <c r="L407" i="5" s="1"/>
  <c r="N408" i="5"/>
  <c r="I407" i="5"/>
  <c r="K408" i="5" l="1"/>
  <c r="L408" i="5" s="1"/>
  <c r="N409" i="5"/>
  <c r="M408" i="5"/>
  <c r="M407" i="5"/>
  <c r="F410" i="5"/>
  <c r="G409" i="5"/>
  <c r="H409" i="5"/>
  <c r="I409" i="5"/>
  <c r="F411" i="5" l="1"/>
  <c r="G410" i="5"/>
  <c r="H410" i="5"/>
  <c r="I410" i="5"/>
  <c r="J410" i="5"/>
  <c r="J409" i="5"/>
  <c r="K409" i="5" l="1"/>
  <c r="L409" i="5" s="1"/>
  <c r="N410" i="5"/>
  <c r="K410" i="5"/>
  <c r="L410" i="5" s="1"/>
  <c r="N411" i="5"/>
  <c r="F412" i="5"/>
  <c r="I411" i="5" s="1"/>
  <c r="G411" i="5"/>
  <c r="H411" i="5"/>
  <c r="F413" i="5" l="1"/>
  <c r="G412" i="5"/>
  <c r="H412" i="5"/>
  <c r="I412" i="5"/>
  <c r="J412" i="5"/>
  <c r="J411" i="5"/>
  <c r="M410" i="5"/>
  <c r="M409" i="5"/>
  <c r="N412" i="5" l="1"/>
  <c r="K411" i="5"/>
  <c r="L411" i="5" s="1"/>
  <c r="K412" i="5"/>
  <c r="N413" i="5"/>
  <c r="F414" i="5"/>
  <c r="H413" i="5"/>
  <c r="G413" i="5"/>
  <c r="I413" i="5"/>
  <c r="M411" i="5" l="1"/>
  <c r="F415" i="5"/>
  <c r="G414" i="5"/>
  <c r="H414" i="5"/>
  <c r="J414" i="5"/>
  <c r="I414" i="5"/>
  <c r="L412" i="5"/>
  <c r="J413" i="5"/>
  <c r="K414" i="5" l="1"/>
  <c r="L414" i="5" s="1"/>
  <c r="N415" i="5"/>
  <c r="F416" i="5"/>
  <c r="I415" i="5" s="1"/>
  <c r="G415" i="5"/>
  <c r="J415" i="5" s="1"/>
  <c r="H415" i="5"/>
  <c r="K413" i="5"/>
  <c r="L413" i="5" s="1"/>
  <c r="N414" i="5"/>
  <c r="M412" i="5"/>
  <c r="K415" i="5" l="1"/>
  <c r="L415" i="5" s="1"/>
  <c r="N416" i="5"/>
  <c r="M415" i="5"/>
  <c r="G416" i="5"/>
  <c r="F417" i="5"/>
  <c r="I416" i="5" s="1"/>
  <c r="H416" i="5"/>
  <c r="J416" i="5"/>
  <c r="M414" i="5"/>
  <c r="M413" i="5"/>
  <c r="K416" i="5" l="1"/>
  <c r="L416" i="5" s="1"/>
  <c r="N417" i="5"/>
  <c r="F418" i="5"/>
  <c r="G417" i="5"/>
  <c r="H417" i="5"/>
  <c r="I417" i="5"/>
  <c r="J417" i="5"/>
  <c r="M416" i="5"/>
  <c r="K417" i="5" l="1"/>
  <c r="L417" i="5" s="1"/>
  <c r="N418" i="5"/>
  <c r="F419" i="5"/>
  <c r="G418" i="5"/>
  <c r="H418" i="5"/>
  <c r="I418" i="5"/>
  <c r="J418" i="5"/>
  <c r="M417" i="5"/>
  <c r="K418" i="5" l="1"/>
  <c r="L418" i="5" s="1"/>
  <c r="N419" i="5"/>
  <c r="F420" i="5"/>
  <c r="G419" i="5"/>
  <c r="H419" i="5"/>
  <c r="I419" i="5"/>
  <c r="J419" i="5"/>
  <c r="M418" i="5"/>
  <c r="K419" i="5" l="1"/>
  <c r="L419" i="5" s="1"/>
  <c r="N420" i="5"/>
  <c r="F421" i="5"/>
  <c r="G420" i="5"/>
  <c r="H420" i="5"/>
  <c r="I420" i="5"/>
  <c r="J420" i="5"/>
  <c r="M419" i="5"/>
  <c r="K420" i="5" l="1"/>
  <c r="L420" i="5" s="1"/>
  <c r="N421" i="5"/>
  <c r="F422" i="5"/>
  <c r="G421" i="5"/>
  <c r="H421" i="5"/>
  <c r="I421" i="5"/>
  <c r="J421" i="5"/>
  <c r="M420" i="5"/>
  <c r="K421" i="5" l="1"/>
  <c r="L421" i="5" s="1"/>
  <c r="N422" i="5"/>
  <c r="F423" i="5"/>
  <c r="G422" i="5"/>
  <c r="H422" i="5"/>
  <c r="I422" i="5"/>
  <c r="J422" i="5"/>
  <c r="M421" i="5"/>
  <c r="K422" i="5" l="1"/>
  <c r="L422" i="5" s="1"/>
  <c r="N423" i="5"/>
  <c r="F424" i="5"/>
  <c r="H423" i="5"/>
  <c r="G423" i="5"/>
  <c r="J423" i="5"/>
  <c r="M422" i="5"/>
  <c r="F425" i="5" l="1"/>
  <c r="G424" i="5"/>
  <c r="I424" i="5"/>
  <c r="H424" i="5"/>
  <c r="J424" i="5"/>
  <c r="K423" i="5"/>
  <c r="L423" i="5" s="1"/>
  <c r="N424" i="5"/>
  <c r="I423" i="5"/>
  <c r="K424" i="5" l="1"/>
  <c r="L424" i="5" s="1"/>
  <c r="N425" i="5"/>
  <c r="M424" i="5"/>
  <c r="M423" i="5"/>
  <c r="F426" i="5"/>
  <c r="G425" i="5"/>
  <c r="H425" i="5"/>
  <c r="I425" i="5"/>
  <c r="F427" i="5" l="1"/>
  <c r="G426" i="5"/>
  <c r="H426" i="5"/>
  <c r="J426" i="5"/>
  <c r="I426" i="5"/>
  <c r="J425" i="5"/>
  <c r="K426" i="5" l="1"/>
  <c r="K425" i="5"/>
  <c r="L425" i="5" s="1"/>
  <c r="N426" i="5"/>
  <c r="N427" i="5" s="1"/>
  <c r="F428" i="5"/>
  <c r="G427" i="5"/>
  <c r="H427" i="5"/>
  <c r="J427" i="5"/>
  <c r="K427" i="5" l="1"/>
  <c r="N428" i="5"/>
  <c r="F429" i="5"/>
  <c r="G428" i="5"/>
  <c r="H428" i="5"/>
  <c r="J428" i="5"/>
  <c r="I428" i="5"/>
  <c r="M426" i="5"/>
  <c r="M425" i="5"/>
  <c r="I427" i="5"/>
  <c r="L426" i="5"/>
  <c r="K428" i="5" l="1"/>
  <c r="N429" i="5"/>
  <c r="M427" i="5"/>
  <c r="F430" i="5"/>
  <c r="G429" i="5"/>
  <c r="H429" i="5"/>
  <c r="I429" i="5"/>
  <c r="J429" i="5"/>
  <c r="L427" i="5"/>
  <c r="K429" i="5" l="1"/>
  <c r="N430" i="5"/>
  <c r="F431" i="5"/>
  <c r="G430" i="5"/>
  <c r="H430" i="5"/>
  <c r="I430" i="5"/>
  <c r="J430" i="5"/>
  <c r="M428" i="5"/>
  <c r="L428" i="5"/>
  <c r="K430" i="5" l="1"/>
  <c r="L430" i="5" s="1"/>
  <c r="N431" i="5"/>
  <c r="F432" i="5"/>
  <c r="G431" i="5"/>
  <c r="I431" i="5"/>
  <c r="H431" i="5"/>
  <c r="J431" i="5"/>
  <c r="M429" i="5"/>
  <c r="L429" i="5"/>
  <c r="M430" i="5" s="1"/>
  <c r="F433" i="5" l="1"/>
  <c r="G432" i="5"/>
  <c r="I432" i="5"/>
  <c r="H432" i="5"/>
  <c r="J432" i="5"/>
  <c r="K431" i="5"/>
  <c r="L431" i="5" s="1"/>
  <c r="N432" i="5"/>
  <c r="M431" i="5" l="1"/>
  <c r="K432" i="5"/>
  <c r="L432" i="5" s="1"/>
  <c r="N433" i="5"/>
  <c r="F434" i="5"/>
  <c r="G433" i="5"/>
  <c r="H433" i="5"/>
  <c r="I433" i="5"/>
  <c r="F435" i="5" l="1"/>
  <c r="H434" i="5"/>
  <c r="G434" i="5"/>
  <c r="I434" i="5"/>
  <c r="J434" i="5"/>
  <c r="J433" i="5"/>
  <c r="M432" i="5"/>
  <c r="K433" i="5" l="1"/>
  <c r="L433" i="5" s="1"/>
  <c r="N434" i="5"/>
  <c r="K434" i="5"/>
  <c r="L434" i="5" s="1"/>
  <c r="N435" i="5"/>
  <c r="F436" i="5"/>
  <c r="H435" i="5"/>
  <c r="G435" i="5"/>
  <c r="I435" i="5"/>
  <c r="F437" i="5" l="1"/>
  <c r="G436" i="5"/>
  <c r="H436" i="5"/>
  <c r="I436" i="5"/>
  <c r="J436" i="5"/>
  <c r="J435" i="5"/>
  <c r="M434" i="5"/>
  <c r="M433" i="5"/>
  <c r="K435" i="5" l="1"/>
  <c r="L435" i="5" s="1"/>
  <c r="N436" i="5"/>
  <c r="K436" i="5"/>
  <c r="L436" i="5" s="1"/>
  <c r="N437" i="5"/>
  <c r="F438" i="5"/>
  <c r="G437" i="5"/>
  <c r="H437" i="5"/>
  <c r="I437" i="5"/>
  <c r="F439" i="5" l="1"/>
  <c r="G438" i="5"/>
  <c r="H438" i="5"/>
  <c r="I438" i="5"/>
  <c r="J438" i="5"/>
  <c r="J437" i="5"/>
  <c r="M436" i="5"/>
  <c r="M435" i="5"/>
  <c r="K437" i="5" l="1"/>
  <c r="L437" i="5" s="1"/>
  <c r="N438" i="5"/>
  <c r="K438" i="5"/>
  <c r="L438" i="5" s="1"/>
  <c r="N439" i="5"/>
  <c r="F440" i="5"/>
  <c r="G439" i="5"/>
  <c r="I439" i="5"/>
  <c r="H439" i="5"/>
  <c r="F441" i="5" l="1"/>
  <c r="G440" i="5"/>
  <c r="I440" i="5"/>
  <c r="H440" i="5"/>
  <c r="J440" i="5"/>
  <c r="J439" i="5"/>
  <c r="M438" i="5"/>
  <c r="M437" i="5"/>
  <c r="K439" i="5" l="1"/>
  <c r="L439" i="5" s="1"/>
  <c r="N440" i="5"/>
  <c r="K440" i="5"/>
  <c r="L440" i="5" s="1"/>
  <c r="N441" i="5"/>
  <c r="F442" i="5"/>
  <c r="G441" i="5"/>
  <c r="H441" i="5"/>
  <c r="I441" i="5"/>
  <c r="F443" i="5" l="1"/>
  <c r="G442" i="5"/>
  <c r="H442" i="5"/>
  <c r="I442" i="5"/>
  <c r="J442" i="5"/>
  <c r="J441" i="5"/>
  <c r="M440" i="5"/>
  <c r="M439" i="5"/>
  <c r="K442" i="5" l="1"/>
  <c r="K441" i="5"/>
  <c r="L441" i="5" s="1"/>
  <c r="N442" i="5"/>
  <c r="N443" i="5" s="1"/>
  <c r="F444" i="5"/>
  <c r="G443" i="5"/>
  <c r="H443" i="5"/>
  <c r="I443" i="5"/>
  <c r="F445" i="5" l="1"/>
  <c r="G444" i="5"/>
  <c r="H444" i="5"/>
  <c r="I444" i="5"/>
  <c r="J444" i="5"/>
  <c r="M442" i="5"/>
  <c r="M441" i="5"/>
  <c r="J443" i="5"/>
  <c r="L442" i="5"/>
  <c r="N444" i="5" l="1"/>
  <c r="K443" i="5"/>
  <c r="L443" i="5" s="1"/>
  <c r="K444" i="5"/>
  <c r="L444" i="5" s="1"/>
  <c r="N445" i="5"/>
  <c r="M443" i="5"/>
  <c r="F446" i="5"/>
  <c r="H445" i="5"/>
  <c r="I445" i="5"/>
  <c r="G445" i="5"/>
  <c r="F447" i="5" l="1"/>
  <c r="G446" i="5"/>
  <c r="H446" i="5"/>
  <c r="J446" i="5"/>
  <c r="I446" i="5"/>
  <c r="J445" i="5"/>
  <c r="M444" i="5"/>
  <c r="N446" i="5" l="1"/>
  <c r="K445" i="5"/>
  <c r="L445" i="5" s="1"/>
  <c r="K446" i="5"/>
  <c r="L446" i="5" s="1"/>
  <c r="N447" i="5"/>
  <c r="F448" i="5"/>
  <c r="G447" i="5"/>
  <c r="I447" i="5"/>
  <c r="J447" i="5"/>
  <c r="H447" i="5"/>
  <c r="K447" i="5" l="1"/>
  <c r="L447" i="5" s="1"/>
  <c r="N448" i="5"/>
  <c r="F449" i="5"/>
  <c r="G448" i="5"/>
  <c r="I448" i="5"/>
  <c r="H448" i="5"/>
  <c r="J448" i="5"/>
  <c r="M447" i="5"/>
  <c r="M446" i="5"/>
  <c r="M445" i="5"/>
  <c r="K448" i="5" l="1"/>
  <c r="L448" i="5" s="1"/>
  <c r="N449" i="5"/>
  <c r="F450" i="5"/>
  <c r="G449" i="5"/>
  <c r="I449" i="5"/>
  <c r="H449" i="5"/>
  <c r="J449" i="5"/>
  <c r="M448" i="5"/>
  <c r="K449" i="5" l="1"/>
  <c r="L449" i="5" s="1"/>
  <c r="N450" i="5"/>
  <c r="F451" i="5"/>
  <c r="G450" i="5"/>
  <c r="H450" i="5"/>
  <c r="I450" i="5"/>
  <c r="J450" i="5"/>
  <c r="M449" i="5"/>
  <c r="K450" i="5" l="1"/>
  <c r="L450" i="5" s="1"/>
  <c r="N451" i="5"/>
  <c r="F452" i="5"/>
  <c r="G451" i="5"/>
  <c r="H451" i="5"/>
  <c r="I451" i="5"/>
  <c r="J451" i="5"/>
  <c r="M450" i="5"/>
  <c r="K451" i="5" l="1"/>
  <c r="L451" i="5" s="1"/>
  <c r="N452" i="5"/>
  <c r="F453" i="5"/>
  <c r="G452" i="5"/>
  <c r="H452" i="5"/>
  <c r="I452" i="5"/>
  <c r="J452" i="5"/>
  <c r="M451" i="5"/>
  <c r="K452" i="5" l="1"/>
  <c r="L452" i="5" s="1"/>
  <c r="N453" i="5"/>
  <c r="F454" i="5"/>
  <c r="G453" i="5"/>
  <c r="H453" i="5"/>
  <c r="I453" i="5"/>
  <c r="J453" i="5"/>
  <c r="M452" i="5"/>
  <c r="K453" i="5" l="1"/>
  <c r="L453" i="5" s="1"/>
  <c r="N454" i="5"/>
  <c r="F455" i="5"/>
  <c r="G454" i="5"/>
  <c r="H454" i="5"/>
  <c r="J454" i="5" s="1"/>
  <c r="I454" i="5"/>
  <c r="M453" i="5"/>
  <c r="K454" i="5" l="1"/>
  <c r="L454" i="5" s="1"/>
  <c r="N455" i="5"/>
  <c r="F456" i="5"/>
  <c r="I455" i="5" s="1"/>
  <c r="H455" i="5"/>
  <c r="J455" i="5"/>
  <c r="G455" i="5"/>
  <c r="M454" i="5"/>
  <c r="K455" i="5" l="1"/>
  <c r="L455" i="5" s="1"/>
  <c r="N456" i="5"/>
  <c r="F457" i="5"/>
  <c r="I456" i="5" s="1"/>
  <c r="G456" i="5"/>
  <c r="H456" i="5"/>
  <c r="J456" i="5"/>
  <c r="M455" i="5"/>
  <c r="K456" i="5" l="1"/>
  <c r="L456" i="5" s="1"/>
  <c r="N457" i="5"/>
  <c r="F458" i="5"/>
  <c r="G457" i="5"/>
  <c r="H457" i="5"/>
  <c r="I457" i="5"/>
  <c r="J457" i="5"/>
  <c r="M456" i="5"/>
  <c r="K457" i="5" l="1"/>
  <c r="L457" i="5" s="1"/>
  <c r="N458" i="5"/>
  <c r="G458" i="5"/>
  <c r="F459" i="5"/>
  <c r="H458" i="5"/>
  <c r="I458" i="5"/>
  <c r="J458" i="5"/>
  <c r="M457" i="5"/>
  <c r="K458" i="5" l="1"/>
  <c r="L458" i="5" s="1"/>
  <c r="N459" i="5"/>
  <c r="F460" i="5"/>
  <c r="G459" i="5"/>
  <c r="H459" i="5"/>
  <c r="J459" i="5" s="1"/>
  <c r="I459" i="5"/>
  <c r="M458" i="5"/>
  <c r="K459" i="5" l="1"/>
  <c r="L459" i="5" s="1"/>
  <c r="N460" i="5"/>
  <c r="F461" i="5"/>
  <c r="G460" i="5"/>
  <c r="H460" i="5"/>
  <c r="I460" i="5"/>
  <c r="J460" i="5"/>
  <c r="M459" i="5"/>
  <c r="K460" i="5" l="1"/>
  <c r="L460" i="5" s="1"/>
  <c r="N461" i="5"/>
  <c r="F462" i="5"/>
  <c r="G461" i="5"/>
  <c r="H461" i="5"/>
  <c r="I461" i="5"/>
  <c r="J461" i="5"/>
  <c r="M460" i="5"/>
  <c r="K461" i="5" l="1"/>
  <c r="L461" i="5" s="1"/>
  <c r="N462" i="5"/>
  <c r="F463" i="5"/>
  <c r="G462" i="5"/>
  <c r="H462" i="5"/>
  <c r="I462" i="5"/>
  <c r="J462" i="5"/>
  <c r="M461" i="5"/>
  <c r="K462" i="5" l="1"/>
  <c r="L462" i="5" s="1"/>
  <c r="N463" i="5"/>
  <c r="F464" i="5"/>
  <c r="G463" i="5"/>
  <c r="H463" i="5"/>
  <c r="I463" i="5"/>
  <c r="J463" i="5"/>
  <c r="M462" i="5"/>
  <c r="K463" i="5" l="1"/>
  <c r="L463" i="5" s="1"/>
  <c r="N464" i="5"/>
  <c r="F465" i="5"/>
  <c r="G464" i="5"/>
  <c r="I464" i="5"/>
  <c r="H464" i="5"/>
  <c r="J464" i="5" s="1"/>
  <c r="M463" i="5"/>
  <c r="K464" i="5" l="1"/>
  <c r="L464" i="5" s="1"/>
  <c r="N465" i="5"/>
  <c r="F466" i="5"/>
  <c r="G465" i="5"/>
  <c r="H465" i="5"/>
  <c r="I465" i="5"/>
  <c r="J465" i="5"/>
  <c r="M464" i="5"/>
  <c r="F467" i="5" l="1"/>
  <c r="H466" i="5"/>
  <c r="G466" i="5"/>
  <c r="I466" i="5"/>
  <c r="J466" i="5"/>
  <c r="K465" i="5"/>
  <c r="L465" i="5" s="1"/>
  <c r="N466" i="5"/>
  <c r="M465" i="5"/>
  <c r="K466" i="5" l="1"/>
  <c r="L466" i="5" s="1"/>
  <c r="N467" i="5"/>
  <c r="F468" i="5"/>
  <c r="G467" i="5"/>
  <c r="H467" i="5"/>
  <c r="J467" i="5"/>
  <c r="I467" i="5"/>
  <c r="K467" i="5" l="1"/>
  <c r="L467" i="5" s="1"/>
  <c r="N468" i="5"/>
  <c r="F469" i="5"/>
  <c r="G468" i="5"/>
  <c r="H468" i="5"/>
  <c r="J468" i="5"/>
  <c r="I468" i="5"/>
  <c r="M467" i="5"/>
  <c r="M466" i="5"/>
  <c r="K468" i="5" l="1"/>
  <c r="L468" i="5" s="1"/>
  <c r="N469" i="5"/>
  <c r="F470" i="5"/>
  <c r="G469" i="5"/>
  <c r="H469" i="5"/>
  <c r="I469" i="5"/>
  <c r="J469" i="5"/>
  <c r="M468" i="5"/>
  <c r="F471" i="5" l="1"/>
  <c r="G470" i="5"/>
  <c r="H470" i="5"/>
  <c r="I470" i="5"/>
  <c r="J470" i="5"/>
  <c r="K469" i="5"/>
  <c r="L469" i="5" s="1"/>
  <c r="N470" i="5"/>
  <c r="M469" i="5"/>
  <c r="K470" i="5" l="1"/>
  <c r="L470" i="5" s="1"/>
  <c r="N471" i="5"/>
  <c r="F472" i="5"/>
  <c r="G471" i="5"/>
  <c r="H471" i="5"/>
  <c r="I471" i="5"/>
  <c r="J471" i="5"/>
  <c r="K471" i="5" l="1"/>
  <c r="L471" i="5" s="1"/>
  <c r="N472" i="5"/>
  <c r="F473" i="5"/>
  <c r="G472" i="5"/>
  <c r="I472" i="5"/>
  <c r="H472" i="5"/>
  <c r="J472" i="5"/>
  <c r="M471" i="5"/>
  <c r="M470" i="5"/>
  <c r="F474" i="5" l="1"/>
  <c r="G473" i="5"/>
  <c r="H473" i="5"/>
  <c r="I473" i="5"/>
  <c r="J473" i="5"/>
  <c r="K472" i="5"/>
  <c r="L472" i="5" s="1"/>
  <c r="N473" i="5"/>
  <c r="M472" i="5"/>
  <c r="K473" i="5" l="1"/>
  <c r="L473" i="5" s="1"/>
  <c r="N474" i="5"/>
  <c r="F475" i="5"/>
  <c r="G474" i="5"/>
  <c r="H474" i="5"/>
  <c r="I474" i="5"/>
  <c r="J474" i="5"/>
  <c r="K474" i="5" l="1"/>
  <c r="L474" i="5" s="1"/>
  <c r="N475" i="5"/>
  <c r="F476" i="5"/>
  <c r="G475" i="5"/>
  <c r="H475" i="5"/>
  <c r="I475" i="5"/>
  <c r="J475" i="5"/>
  <c r="M474" i="5"/>
  <c r="M473" i="5"/>
  <c r="F477" i="5" l="1"/>
  <c r="G476" i="5"/>
  <c r="H476" i="5"/>
  <c r="I476" i="5"/>
  <c r="J476" i="5"/>
  <c r="N476" i="5"/>
  <c r="K475" i="5"/>
  <c r="L475" i="5" s="1"/>
  <c r="M475" i="5" s="1"/>
  <c r="K476" i="5" l="1"/>
  <c r="L476" i="5" s="1"/>
  <c r="N477" i="5"/>
  <c r="F478" i="5"/>
  <c r="H477" i="5"/>
  <c r="G477" i="5"/>
  <c r="I477" i="5"/>
  <c r="J477" i="5"/>
  <c r="K477" i="5" l="1"/>
  <c r="L477" i="5" s="1"/>
  <c r="N478" i="5"/>
  <c r="M477" i="5"/>
  <c r="F479" i="5"/>
  <c r="G478" i="5"/>
  <c r="H478" i="5"/>
  <c r="I478" i="5"/>
  <c r="J478" i="5"/>
  <c r="M476" i="5"/>
  <c r="K478" i="5" l="1"/>
  <c r="L478" i="5" s="1"/>
  <c r="N479" i="5"/>
  <c r="F480" i="5"/>
  <c r="I479" i="5" s="1"/>
  <c r="G479" i="5"/>
  <c r="J479" i="5"/>
  <c r="H479" i="5"/>
  <c r="M478" i="5"/>
  <c r="K479" i="5" l="1"/>
  <c r="L479" i="5" s="1"/>
  <c r="N480" i="5"/>
  <c r="F481" i="5"/>
  <c r="G480" i="5"/>
  <c r="I480" i="5"/>
  <c r="H480" i="5"/>
  <c r="J480" i="5"/>
  <c r="M479" i="5"/>
  <c r="F482" i="5" l="1"/>
  <c r="G481" i="5"/>
  <c r="I481" i="5"/>
  <c r="H481" i="5"/>
  <c r="J481" i="5"/>
  <c r="K480" i="5"/>
  <c r="L480" i="5" s="1"/>
  <c r="N481" i="5"/>
  <c r="M480" i="5"/>
  <c r="K481" i="5" l="1"/>
  <c r="L481" i="5" s="1"/>
  <c r="N482" i="5"/>
  <c r="M481" i="5"/>
  <c r="F483" i="5"/>
  <c r="G482" i="5"/>
  <c r="H482" i="5"/>
  <c r="I482" i="5"/>
  <c r="J482" i="5"/>
  <c r="K482" i="5" l="1"/>
  <c r="L482" i="5" s="1"/>
  <c r="N483" i="5"/>
  <c r="F484" i="5"/>
  <c r="G483" i="5"/>
  <c r="H483" i="5"/>
  <c r="I483" i="5"/>
  <c r="J483" i="5"/>
  <c r="M482" i="5"/>
  <c r="F485" i="5" l="1"/>
  <c r="H484" i="5"/>
  <c r="G484" i="5"/>
  <c r="I484" i="5"/>
  <c r="J484" i="5"/>
  <c r="K483" i="5"/>
  <c r="L483" i="5" s="1"/>
  <c r="N484" i="5"/>
  <c r="M483" i="5" l="1"/>
  <c r="K484" i="5"/>
  <c r="L484" i="5" s="1"/>
  <c r="N485" i="5"/>
  <c r="F486" i="5"/>
  <c r="G485" i="5"/>
  <c r="H485" i="5"/>
  <c r="J485" i="5"/>
  <c r="F487" i="5" l="1"/>
  <c r="G486" i="5"/>
  <c r="H486" i="5"/>
  <c r="J486" i="5"/>
  <c r="I486" i="5"/>
  <c r="K485" i="5"/>
  <c r="L485" i="5" s="1"/>
  <c r="N486" i="5"/>
  <c r="M485" i="5"/>
  <c r="I485" i="5"/>
  <c r="M484" i="5"/>
  <c r="K486" i="5" l="1"/>
  <c r="L486" i="5" s="1"/>
  <c r="N487" i="5"/>
  <c r="M486" i="5"/>
  <c r="F488" i="5"/>
  <c r="H487" i="5"/>
  <c r="G487" i="5"/>
  <c r="J487" i="5"/>
  <c r="I487" i="5"/>
  <c r="K487" i="5" l="1"/>
  <c r="L487" i="5" s="1"/>
  <c r="N488" i="5"/>
  <c r="F489" i="5"/>
  <c r="G488" i="5"/>
  <c r="H488" i="5"/>
  <c r="J488" i="5"/>
  <c r="M487" i="5"/>
  <c r="K488" i="5" l="1"/>
  <c r="L488" i="5" s="1"/>
  <c r="N489" i="5"/>
  <c r="F490" i="5"/>
  <c r="G489" i="5"/>
  <c r="H489" i="5"/>
  <c r="I489" i="5"/>
  <c r="J489" i="5"/>
  <c r="I488" i="5"/>
  <c r="M488" i="5"/>
  <c r="F491" i="5" l="1"/>
  <c r="G490" i="5"/>
  <c r="H490" i="5"/>
  <c r="I490" i="5"/>
  <c r="J490" i="5"/>
  <c r="K489" i="5"/>
  <c r="L489" i="5" s="1"/>
  <c r="N490" i="5"/>
  <c r="M489" i="5"/>
  <c r="K490" i="5" l="1"/>
  <c r="L490" i="5" s="1"/>
  <c r="N491" i="5"/>
  <c r="F492" i="5"/>
  <c r="G491" i="5"/>
  <c r="H491" i="5"/>
  <c r="I491" i="5"/>
  <c r="J491" i="5"/>
  <c r="K491" i="5" l="1"/>
  <c r="L491" i="5" s="1"/>
  <c r="N492" i="5"/>
  <c r="F493" i="5"/>
  <c r="G492" i="5"/>
  <c r="H492" i="5"/>
  <c r="I492" i="5"/>
  <c r="J492" i="5"/>
  <c r="M491" i="5"/>
  <c r="M490" i="5"/>
  <c r="K492" i="5" l="1"/>
  <c r="L492" i="5" s="1"/>
  <c r="N493" i="5"/>
  <c r="F494" i="5"/>
  <c r="G493" i="5"/>
  <c r="H493" i="5"/>
  <c r="I493" i="5"/>
  <c r="J493" i="5"/>
  <c r="M492" i="5"/>
  <c r="F495" i="5" l="1"/>
  <c r="G494" i="5"/>
  <c r="H494" i="5"/>
  <c r="J494" i="5"/>
  <c r="I494" i="5"/>
  <c r="K493" i="5"/>
  <c r="L493" i="5" s="1"/>
  <c r="N494" i="5"/>
  <c r="M493" i="5"/>
  <c r="K494" i="5" l="1"/>
  <c r="L494" i="5" s="1"/>
  <c r="N495" i="5"/>
  <c r="F496" i="5"/>
  <c r="G495" i="5"/>
  <c r="H495" i="5"/>
  <c r="J495" i="5"/>
  <c r="I495" i="5"/>
  <c r="K495" i="5" l="1"/>
  <c r="L495" i="5" s="1"/>
  <c r="N496" i="5"/>
  <c r="F497" i="5"/>
  <c r="G496" i="5"/>
  <c r="I496" i="5"/>
  <c r="H496" i="5"/>
  <c r="J496" i="5"/>
  <c r="M495" i="5"/>
  <c r="M494" i="5"/>
  <c r="K496" i="5" l="1"/>
  <c r="L496" i="5" s="1"/>
  <c r="N497" i="5"/>
  <c r="F498" i="5"/>
  <c r="G497" i="5"/>
  <c r="H497" i="5"/>
  <c r="J497" i="5" s="1"/>
  <c r="I497" i="5"/>
  <c r="M496" i="5"/>
  <c r="K497" i="5" l="1"/>
  <c r="L497" i="5" s="1"/>
  <c r="N498" i="5"/>
  <c r="F499" i="5"/>
  <c r="H498" i="5"/>
  <c r="G498" i="5"/>
  <c r="I498" i="5"/>
  <c r="J498" i="5"/>
  <c r="M497" i="5"/>
  <c r="K498" i="5" l="1"/>
  <c r="L498" i="5" s="1"/>
  <c r="N499" i="5"/>
  <c r="F500" i="5"/>
  <c r="G499" i="5"/>
  <c r="H499" i="5"/>
  <c r="I499" i="5"/>
  <c r="J499" i="5"/>
  <c r="M498" i="5"/>
  <c r="K499" i="5" l="1"/>
  <c r="L499" i="5" s="1"/>
  <c r="N500" i="5"/>
  <c r="F501" i="5"/>
  <c r="G500" i="5"/>
  <c r="H500" i="5"/>
  <c r="I500" i="5"/>
  <c r="J500" i="5"/>
  <c r="M499" i="5"/>
  <c r="K500" i="5" l="1"/>
  <c r="L500" i="5" s="1"/>
  <c r="N501" i="5"/>
  <c r="F502" i="5"/>
  <c r="G501" i="5"/>
  <c r="H501" i="5"/>
  <c r="I501" i="5"/>
  <c r="J501" i="5"/>
  <c r="M500" i="5"/>
  <c r="F503" i="5" l="1"/>
  <c r="G502" i="5"/>
  <c r="H502" i="5"/>
  <c r="I502" i="5"/>
  <c r="J502" i="5"/>
  <c r="K501" i="5"/>
  <c r="L501" i="5" s="1"/>
  <c r="N502" i="5"/>
  <c r="M501" i="5"/>
  <c r="K502" i="5" l="1"/>
  <c r="L502" i="5" s="1"/>
  <c r="N503" i="5"/>
  <c r="F504" i="5"/>
  <c r="G503" i="5"/>
  <c r="H503" i="5"/>
  <c r="J503" i="5"/>
  <c r="I503" i="5"/>
  <c r="K503" i="5" l="1"/>
  <c r="L503" i="5" s="1"/>
  <c r="N504" i="5"/>
  <c r="F505" i="5"/>
  <c r="G504" i="5"/>
  <c r="H504" i="5"/>
  <c r="J504" i="5"/>
  <c r="M503" i="5"/>
  <c r="M502" i="5"/>
  <c r="K504" i="5" l="1"/>
  <c r="L504" i="5" s="1"/>
  <c r="N505" i="5"/>
  <c r="F506" i="5"/>
  <c r="G505" i="5"/>
  <c r="H505" i="5"/>
  <c r="J505" i="5"/>
  <c r="I505" i="5"/>
  <c r="I504" i="5"/>
  <c r="M504" i="5"/>
  <c r="K505" i="5" l="1"/>
  <c r="L505" i="5" s="1"/>
  <c r="N506" i="5"/>
  <c r="F507" i="5"/>
  <c r="H506" i="5"/>
  <c r="G506" i="5"/>
  <c r="I506" i="5"/>
  <c r="J506" i="5"/>
  <c r="M505" i="5"/>
  <c r="F508" i="5" l="1"/>
  <c r="G507" i="5"/>
  <c r="H507" i="5"/>
  <c r="I507" i="5"/>
  <c r="J507" i="5"/>
  <c r="K506" i="5"/>
  <c r="L506" i="5" s="1"/>
  <c r="N507" i="5"/>
  <c r="M506" i="5"/>
  <c r="N508" i="5" l="1"/>
  <c r="K507" i="5"/>
  <c r="L507" i="5" s="1"/>
  <c r="F509" i="5"/>
  <c r="G508" i="5"/>
  <c r="H508" i="5"/>
  <c r="I508" i="5"/>
  <c r="J508" i="5"/>
  <c r="F510" i="5" l="1"/>
  <c r="G509" i="5"/>
  <c r="H509" i="5"/>
  <c r="I509" i="5"/>
  <c r="J509" i="5"/>
  <c r="N509" i="5"/>
  <c r="K508" i="5"/>
  <c r="L508" i="5" s="1"/>
  <c r="M508" i="5"/>
  <c r="M507" i="5"/>
  <c r="K509" i="5" l="1"/>
  <c r="L509" i="5" s="1"/>
  <c r="N510" i="5"/>
  <c r="F511" i="5"/>
  <c r="G510" i="5"/>
  <c r="H510" i="5"/>
  <c r="I510" i="5"/>
  <c r="J510" i="5"/>
  <c r="K510" i="5" l="1"/>
  <c r="L510" i="5" s="1"/>
  <c r="N511" i="5"/>
  <c r="F512" i="5"/>
  <c r="G511" i="5"/>
  <c r="H511" i="5"/>
  <c r="M510" i="5"/>
  <c r="M509" i="5"/>
  <c r="F513" i="5" l="1"/>
  <c r="G512" i="5"/>
  <c r="I512" i="5"/>
  <c r="H512" i="5"/>
  <c r="J512" i="5"/>
  <c r="J511" i="5"/>
  <c r="I511" i="5"/>
  <c r="K512" i="5" l="1"/>
  <c r="K511" i="5"/>
  <c r="L511" i="5" s="1"/>
  <c r="N512" i="5"/>
  <c r="N513" i="5" s="1"/>
  <c r="F514" i="5"/>
  <c r="G513" i="5"/>
  <c r="I513" i="5"/>
  <c r="H513" i="5"/>
  <c r="F515" i="5" l="1"/>
  <c r="G514" i="5"/>
  <c r="H514" i="5"/>
  <c r="I514" i="5"/>
  <c r="J514" i="5"/>
  <c r="M512" i="5"/>
  <c r="M511" i="5"/>
  <c r="J513" i="5"/>
  <c r="L512" i="5"/>
  <c r="K514" i="5" l="1"/>
  <c r="K513" i="5"/>
  <c r="L513" i="5" s="1"/>
  <c r="N514" i="5"/>
  <c r="N515" i="5" s="1"/>
  <c r="M513" i="5"/>
  <c r="F516" i="5"/>
  <c r="G515" i="5"/>
  <c r="H515" i="5"/>
  <c r="F517" i="5" l="1"/>
  <c r="G516" i="5"/>
  <c r="H516" i="5"/>
  <c r="I516" i="5"/>
  <c r="J516" i="5"/>
  <c r="M514" i="5"/>
  <c r="J515" i="5"/>
  <c r="I515" i="5"/>
  <c r="L514" i="5"/>
  <c r="K515" i="5" l="1"/>
  <c r="L515" i="5" s="1"/>
  <c r="N516" i="5"/>
  <c r="K516" i="5"/>
  <c r="L516" i="5" s="1"/>
  <c r="N517" i="5"/>
  <c r="M515" i="5"/>
  <c r="F518" i="5"/>
  <c r="J517" i="5" s="1"/>
  <c r="H517" i="5"/>
  <c r="I517" i="5"/>
  <c r="G517" i="5"/>
  <c r="K517" i="5" l="1"/>
  <c r="L517" i="5" s="1"/>
  <c r="N518" i="5"/>
  <c r="F519" i="5"/>
  <c r="G518" i="5"/>
  <c r="H518" i="5"/>
  <c r="J518" i="5"/>
  <c r="I518" i="5"/>
  <c r="M517" i="5"/>
  <c r="M516" i="5"/>
  <c r="K518" i="5" l="1"/>
  <c r="L518" i="5" s="1"/>
  <c r="N519" i="5"/>
  <c r="F520" i="5"/>
  <c r="H519" i="5"/>
  <c r="I519" i="5"/>
  <c r="J519" i="5"/>
  <c r="G519" i="5"/>
  <c r="M518" i="5"/>
  <c r="K519" i="5" l="1"/>
  <c r="L519" i="5" s="1"/>
  <c r="N520" i="5"/>
  <c r="F521" i="5"/>
  <c r="G520" i="5"/>
  <c r="I520" i="5"/>
  <c r="H520" i="5"/>
  <c r="J520" i="5"/>
  <c r="M519" i="5"/>
  <c r="K520" i="5" l="1"/>
  <c r="L520" i="5" s="1"/>
  <c r="N521" i="5"/>
  <c r="F522" i="5"/>
  <c r="G521" i="5"/>
  <c r="H521" i="5"/>
  <c r="I521" i="5"/>
  <c r="J521" i="5"/>
  <c r="M520" i="5"/>
  <c r="K521" i="5" l="1"/>
  <c r="L521" i="5" s="1"/>
  <c r="N522" i="5"/>
  <c r="F523" i="5"/>
  <c r="G522" i="5"/>
  <c r="H522" i="5"/>
  <c r="J522" i="5"/>
  <c r="I522" i="5"/>
  <c r="M521" i="5"/>
  <c r="K522" i="5" l="1"/>
  <c r="L522" i="5" s="1"/>
  <c r="N523" i="5"/>
  <c r="F524" i="5"/>
  <c r="G523" i="5"/>
  <c r="H523" i="5"/>
  <c r="J523" i="5"/>
  <c r="I523" i="5"/>
  <c r="M522" i="5"/>
  <c r="K523" i="5" l="1"/>
  <c r="L523" i="5" s="1"/>
  <c r="N524" i="5"/>
  <c r="F525" i="5"/>
  <c r="G524" i="5"/>
  <c r="H524" i="5"/>
  <c r="J524" i="5"/>
  <c r="I524" i="5"/>
  <c r="M523" i="5"/>
  <c r="K524" i="5" l="1"/>
  <c r="L524" i="5" s="1"/>
  <c r="N525" i="5"/>
  <c r="F526" i="5"/>
  <c r="G525" i="5"/>
  <c r="H525" i="5"/>
  <c r="I525" i="5"/>
  <c r="J525" i="5"/>
  <c r="M524" i="5"/>
  <c r="F527" i="5" l="1"/>
  <c r="G526" i="5"/>
  <c r="H526" i="5"/>
  <c r="I526" i="5"/>
  <c r="J526" i="5"/>
  <c r="K525" i="5"/>
  <c r="L525" i="5" s="1"/>
  <c r="M525" i="5" s="1"/>
  <c r="N526" i="5"/>
  <c r="K526" i="5" l="1"/>
  <c r="L526" i="5" s="1"/>
  <c r="N527" i="5"/>
  <c r="F528" i="5"/>
  <c r="H527" i="5"/>
  <c r="G527" i="5"/>
  <c r="J527" i="5"/>
  <c r="I527" i="5"/>
  <c r="K527" i="5" l="1"/>
  <c r="L527" i="5" s="1"/>
  <c r="N528" i="5"/>
  <c r="F529" i="5"/>
  <c r="G528" i="5"/>
  <c r="I528" i="5"/>
  <c r="H528" i="5"/>
  <c r="J528" i="5"/>
  <c r="M527" i="5"/>
  <c r="M526" i="5"/>
  <c r="K528" i="5" l="1"/>
  <c r="L528" i="5" s="1"/>
  <c r="N529" i="5"/>
  <c r="F530" i="5"/>
  <c r="G529" i="5"/>
  <c r="H529" i="5"/>
  <c r="J529" i="5" s="1"/>
  <c r="I529" i="5"/>
  <c r="M528" i="5"/>
  <c r="K529" i="5" l="1"/>
  <c r="L529" i="5" s="1"/>
  <c r="N530" i="5"/>
  <c r="F531" i="5"/>
  <c r="G530" i="5"/>
  <c r="H530" i="5"/>
  <c r="I530" i="5"/>
  <c r="J530" i="5"/>
  <c r="M529" i="5"/>
  <c r="K530" i="5" l="1"/>
  <c r="L530" i="5" s="1"/>
  <c r="N531" i="5"/>
  <c r="F532" i="5"/>
  <c r="G531" i="5"/>
  <c r="H531" i="5"/>
  <c r="J531" i="5"/>
  <c r="I531" i="5"/>
  <c r="M530" i="5"/>
  <c r="K531" i="5" l="1"/>
  <c r="L531" i="5" s="1"/>
  <c r="N532" i="5"/>
  <c r="F533" i="5"/>
  <c r="G532" i="5"/>
  <c r="H532" i="5"/>
  <c r="I532" i="5"/>
  <c r="M531" i="5"/>
  <c r="F534" i="5" l="1"/>
  <c r="G533" i="5"/>
  <c r="H533" i="5"/>
  <c r="I533" i="5"/>
  <c r="J533" i="5"/>
  <c r="J532" i="5"/>
  <c r="K532" i="5" l="1"/>
  <c r="L532" i="5" s="1"/>
  <c r="N533" i="5"/>
  <c r="K533" i="5"/>
  <c r="L533" i="5" s="1"/>
  <c r="N534" i="5"/>
  <c r="F535" i="5"/>
  <c r="G534" i="5"/>
  <c r="H534" i="5"/>
  <c r="I534" i="5"/>
  <c r="F536" i="5" l="1"/>
  <c r="G535" i="5"/>
  <c r="H535" i="5"/>
  <c r="I535" i="5"/>
  <c r="J535" i="5"/>
  <c r="J534" i="5"/>
  <c r="M533" i="5"/>
  <c r="M532" i="5"/>
  <c r="K534" i="5" l="1"/>
  <c r="L534" i="5" s="1"/>
  <c r="N535" i="5"/>
  <c r="K535" i="5"/>
  <c r="L535" i="5" s="1"/>
  <c r="N536" i="5"/>
  <c r="F537" i="5"/>
  <c r="G536" i="5"/>
  <c r="I536" i="5"/>
  <c r="H536" i="5"/>
  <c r="G537" i="5" l="1"/>
  <c r="H537" i="5"/>
  <c r="F538" i="5"/>
  <c r="I537" i="5"/>
  <c r="J537" i="5"/>
  <c r="J536" i="5"/>
  <c r="M535" i="5"/>
  <c r="M534" i="5"/>
  <c r="K536" i="5" l="1"/>
  <c r="L536" i="5" s="1"/>
  <c r="N537" i="5"/>
  <c r="K537" i="5"/>
  <c r="L537" i="5" s="1"/>
  <c r="N538" i="5"/>
  <c r="F539" i="5"/>
  <c r="H538" i="5"/>
  <c r="G538" i="5"/>
  <c r="I538" i="5"/>
  <c r="F540" i="5" l="1"/>
  <c r="G539" i="5"/>
  <c r="H539" i="5"/>
  <c r="I539" i="5"/>
  <c r="J539" i="5"/>
  <c r="J538" i="5"/>
  <c r="M537" i="5"/>
  <c r="M536" i="5"/>
  <c r="K539" i="5" l="1"/>
  <c r="F541" i="5"/>
  <c r="G540" i="5"/>
  <c r="H540" i="5"/>
  <c r="J540" i="5"/>
  <c r="I540" i="5"/>
  <c r="K538" i="5"/>
  <c r="L538" i="5" s="1"/>
  <c r="N539" i="5"/>
  <c r="N540" i="5" s="1"/>
  <c r="M538" i="5" l="1"/>
  <c r="K540" i="5"/>
  <c r="L540" i="5" s="1"/>
  <c r="N541" i="5"/>
  <c r="F542" i="5"/>
  <c r="G541" i="5"/>
  <c r="H541" i="5"/>
  <c r="J541" i="5"/>
  <c r="L539" i="5"/>
  <c r="K541" i="5" l="1"/>
  <c r="L541" i="5" s="1"/>
  <c r="N542" i="5"/>
  <c r="F543" i="5"/>
  <c r="G542" i="5"/>
  <c r="H542" i="5"/>
  <c r="J542" i="5"/>
  <c r="I542" i="5"/>
  <c r="M541" i="5"/>
  <c r="M540" i="5"/>
  <c r="I541" i="5"/>
  <c r="M539" i="5"/>
  <c r="K542" i="5" l="1"/>
  <c r="L542" i="5" s="1"/>
  <c r="N543" i="5"/>
  <c r="F544" i="5"/>
  <c r="G543" i="5"/>
  <c r="J543" i="5" s="1"/>
  <c r="I543" i="5"/>
  <c r="H543" i="5"/>
  <c r="M542" i="5"/>
  <c r="K543" i="5" l="1"/>
  <c r="L543" i="5" s="1"/>
  <c r="N544" i="5"/>
  <c r="G544" i="5"/>
  <c r="F545" i="5"/>
  <c r="I544" i="5" s="1"/>
  <c r="H544" i="5"/>
  <c r="J544" i="5"/>
  <c r="M543" i="5"/>
  <c r="K544" i="5" l="1"/>
  <c r="L544" i="5" s="1"/>
  <c r="N545" i="5"/>
  <c r="F546" i="5"/>
  <c r="G545" i="5"/>
  <c r="I545" i="5"/>
  <c r="H545" i="5"/>
  <c r="J545" i="5"/>
  <c r="M544" i="5"/>
  <c r="K545" i="5" l="1"/>
  <c r="L545" i="5" s="1"/>
  <c r="N546" i="5"/>
  <c r="F547" i="5"/>
  <c r="G546" i="5"/>
  <c r="H546" i="5"/>
  <c r="I546" i="5"/>
  <c r="J546" i="5"/>
  <c r="M545" i="5"/>
  <c r="F548" i="5" l="1"/>
  <c r="G547" i="5"/>
  <c r="H547" i="5"/>
  <c r="I547" i="5"/>
  <c r="J547" i="5"/>
  <c r="K546" i="5"/>
  <c r="L546" i="5" s="1"/>
  <c r="N547" i="5"/>
  <c r="M546" i="5"/>
  <c r="K547" i="5" l="1"/>
  <c r="L547" i="5" s="1"/>
  <c r="N548" i="5"/>
  <c r="M547" i="5"/>
  <c r="F549" i="5"/>
  <c r="H548" i="5"/>
  <c r="G548" i="5"/>
  <c r="I548" i="5"/>
  <c r="J548" i="5"/>
  <c r="F550" i="5" l="1"/>
  <c r="G549" i="5"/>
  <c r="H549" i="5"/>
  <c r="I549" i="5"/>
  <c r="J549" i="5"/>
  <c r="K548" i="5"/>
  <c r="L548" i="5" s="1"/>
  <c r="M548" i="5" s="1"/>
  <c r="N549" i="5"/>
  <c r="K549" i="5" l="1"/>
  <c r="L549" i="5" s="1"/>
  <c r="N550" i="5"/>
  <c r="M549" i="5"/>
  <c r="F551" i="5"/>
  <c r="G550" i="5"/>
  <c r="H550" i="5"/>
  <c r="J550" i="5"/>
  <c r="I550" i="5"/>
  <c r="K550" i="5" l="1"/>
  <c r="L550" i="5" s="1"/>
  <c r="N551" i="5"/>
  <c r="F552" i="5"/>
  <c r="H551" i="5"/>
  <c r="G551" i="5"/>
  <c r="I551" i="5"/>
  <c r="J551" i="5"/>
  <c r="M550" i="5"/>
  <c r="K551" i="5" l="1"/>
  <c r="L551" i="5" s="1"/>
  <c r="N552" i="5"/>
  <c r="F553" i="5"/>
  <c r="G552" i="5"/>
  <c r="H552" i="5"/>
  <c r="J552" i="5"/>
  <c r="M551" i="5"/>
  <c r="K552" i="5" l="1"/>
  <c r="L552" i="5" s="1"/>
  <c r="N553" i="5"/>
  <c r="F554" i="5"/>
  <c r="G553" i="5"/>
  <c r="H553" i="5"/>
  <c r="I553" i="5"/>
  <c r="J553" i="5"/>
  <c r="I552" i="5"/>
  <c r="M552" i="5"/>
  <c r="F555" i="5" l="1"/>
  <c r="G554" i="5"/>
  <c r="H554" i="5"/>
  <c r="I554" i="5"/>
  <c r="J554" i="5"/>
  <c r="K553" i="5"/>
  <c r="L553" i="5" s="1"/>
  <c r="N554" i="5"/>
  <c r="M553" i="5"/>
  <c r="K554" i="5" l="1"/>
  <c r="L554" i="5" s="1"/>
  <c r="N555" i="5"/>
  <c r="F556" i="5"/>
  <c r="G555" i="5"/>
  <c r="H555" i="5"/>
  <c r="I555" i="5"/>
  <c r="J555" i="5"/>
  <c r="K555" i="5" l="1"/>
  <c r="L555" i="5" s="1"/>
  <c r="N556" i="5"/>
  <c r="F557" i="5"/>
  <c r="G556" i="5"/>
  <c r="H556" i="5"/>
  <c r="I556" i="5"/>
  <c r="J556" i="5"/>
  <c r="M555" i="5"/>
  <c r="M554" i="5"/>
  <c r="F558" i="5" l="1"/>
  <c r="G557" i="5"/>
  <c r="H557" i="5"/>
  <c r="I557" i="5"/>
  <c r="J557" i="5"/>
  <c r="K556" i="5"/>
  <c r="L556" i="5" s="1"/>
  <c r="N557" i="5"/>
  <c r="M556" i="5"/>
  <c r="K557" i="5" l="1"/>
  <c r="L557" i="5" s="1"/>
  <c r="N558" i="5"/>
  <c r="F559" i="5"/>
  <c r="G558" i="5"/>
  <c r="H558" i="5"/>
  <c r="J558" i="5" s="1"/>
  <c r="I558" i="5"/>
  <c r="K558" i="5" l="1"/>
  <c r="L558" i="5" s="1"/>
  <c r="N559" i="5"/>
  <c r="F560" i="5"/>
  <c r="G559" i="5"/>
  <c r="H559" i="5"/>
  <c r="J559" i="5"/>
  <c r="I559" i="5"/>
  <c r="M558" i="5"/>
  <c r="M557" i="5"/>
  <c r="K559" i="5" l="1"/>
  <c r="L559" i="5" s="1"/>
  <c r="N560" i="5"/>
  <c r="F561" i="5"/>
  <c r="G560" i="5"/>
  <c r="I560" i="5"/>
  <c r="H560" i="5"/>
  <c r="J560" i="5"/>
  <c r="M559" i="5"/>
  <c r="K560" i="5" l="1"/>
  <c r="L560" i="5" s="1"/>
  <c r="N561" i="5"/>
  <c r="F562" i="5"/>
  <c r="G561" i="5"/>
  <c r="H561" i="5"/>
  <c r="J561" i="5"/>
  <c r="I561" i="5"/>
  <c r="M560" i="5"/>
  <c r="K561" i="5" l="1"/>
  <c r="L561" i="5" s="1"/>
  <c r="N562" i="5"/>
  <c r="F563" i="5"/>
  <c r="G562" i="5"/>
  <c r="H562" i="5"/>
  <c r="I562" i="5"/>
  <c r="J562" i="5"/>
  <c r="M561" i="5"/>
  <c r="K562" i="5" l="1"/>
  <c r="L562" i="5" s="1"/>
  <c r="N563" i="5"/>
  <c r="F564" i="5"/>
  <c r="G563" i="5"/>
  <c r="H563" i="5"/>
  <c r="I563" i="5"/>
  <c r="J563" i="5"/>
  <c r="M562" i="5"/>
  <c r="K563" i="5" l="1"/>
  <c r="L563" i="5" s="1"/>
  <c r="N564" i="5"/>
  <c r="F565" i="5"/>
  <c r="G564" i="5"/>
  <c r="H564" i="5"/>
  <c r="I564" i="5"/>
  <c r="J564" i="5"/>
  <c r="M563" i="5"/>
  <c r="K564" i="5" l="1"/>
  <c r="L564" i="5" s="1"/>
  <c r="N565" i="5"/>
  <c r="F566" i="5"/>
  <c r="G565" i="5"/>
  <c r="H565" i="5"/>
  <c r="I565" i="5"/>
  <c r="J565" i="5"/>
  <c r="M564" i="5"/>
  <c r="F567" i="5" l="1"/>
  <c r="G566" i="5"/>
  <c r="H566" i="5"/>
  <c r="I566" i="5"/>
  <c r="J566" i="5"/>
  <c r="K565" i="5"/>
  <c r="L565" i="5" s="1"/>
  <c r="N566" i="5"/>
  <c r="M565" i="5"/>
  <c r="K566" i="5" l="1"/>
  <c r="L566" i="5" s="1"/>
  <c r="N567" i="5"/>
  <c r="F568" i="5"/>
  <c r="G567" i="5"/>
  <c r="H567" i="5"/>
  <c r="J567" i="5" s="1"/>
  <c r="I567" i="5"/>
  <c r="K567" i="5" l="1"/>
  <c r="L567" i="5" s="1"/>
  <c r="N568" i="5"/>
  <c r="F569" i="5"/>
  <c r="I568" i="5" s="1"/>
  <c r="G568" i="5"/>
  <c r="H568" i="5"/>
  <c r="J568" i="5"/>
  <c r="M567" i="5"/>
  <c r="M566" i="5"/>
  <c r="K568" i="5" l="1"/>
  <c r="L568" i="5" s="1"/>
  <c r="N569" i="5"/>
  <c r="F570" i="5"/>
  <c r="G569" i="5"/>
  <c r="H569" i="5"/>
  <c r="I569" i="5"/>
  <c r="J569" i="5"/>
  <c r="M568" i="5"/>
  <c r="K569" i="5" l="1"/>
  <c r="L569" i="5" s="1"/>
  <c r="N570" i="5"/>
  <c r="F571" i="5"/>
  <c r="H570" i="5"/>
  <c r="G570" i="5"/>
  <c r="I570" i="5"/>
  <c r="J570" i="5"/>
  <c r="M569" i="5"/>
  <c r="K570" i="5" l="1"/>
  <c r="L570" i="5" s="1"/>
  <c r="N571" i="5"/>
  <c r="F572" i="5"/>
  <c r="G571" i="5"/>
  <c r="H571" i="5"/>
  <c r="I571" i="5"/>
  <c r="J571" i="5"/>
  <c r="M570" i="5"/>
  <c r="N572" i="5" l="1"/>
  <c r="K571" i="5"/>
  <c r="L571" i="5" s="1"/>
  <c r="F573" i="5"/>
  <c r="G572" i="5"/>
  <c r="H572" i="5"/>
  <c r="I572" i="5"/>
  <c r="J572" i="5"/>
  <c r="M571" i="5"/>
  <c r="F574" i="5" l="1"/>
  <c r="G573" i="5"/>
  <c r="H573" i="5"/>
  <c r="I573" i="5"/>
  <c r="J573" i="5"/>
  <c r="K572" i="5"/>
  <c r="L572" i="5" s="1"/>
  <c r="M572" i="5" s="1"/>
  <c r="N573" i="5"/>
  <c r="K573" i="5" l="1"/>
  <c r="L573" i="5" s="1"/>
  <c r="N574" i="5"/>
  <c r="F575" i="5"/>
  <c r="G574" i="5"/>
  <c r="H574" i="5"/>
  <c r="I574" i="5"/>
  <c r="J574" i="5"/>
  <c r="K574" i="5" l="1"/>
  <c r="L574" i="5" s="1"/>
  <c r="N575" i="5"/>
  <c r="F576" i="5"/>
  <c r="G575" i="5"/>
  <c r="I575" i="5"/>
  <c r="J575" i="5"/>
  <c r="H575" i="5"/>
  <c r="M573" i="5"/>
  <c r="K575" i="5" l="1"/>
  <c r="L575" i="5" s="1"/>
  <c r="N576" i="5"/>
  <c r="M575" i="5"/>
  <c r="F577" i="5"/>
  <c r="G576" i="5"/>
  <c r="I576" i="5"/>
  <c r="H576" i="5"/>
  <c r="J576" i="5"/>
  <c r="M574" i="5"/>
  <c r="K576" i="5" l="1"/>
  <c r="L576" i="5" s="1"/>
  <c r="N577" i="5"/>
  <c r="F578" i="5"/>
  <c r="G577" i="5"/>
  <c r="I577" i="5"/>
  <c r="H577" i="5"/>
  <c r="J577" i="5" s="1"/>
  <c r="M576" i="5"/>
  <c r="K577" i="5" l="1"/>
  <c r="L577" i="5" s="1"/>
  <c r="N578" i="5"/>
  <c r="F579" i="5"/>
  <c r="G578" i="5"/>
  <c r="H578" i="5"/>
  <c r="I578" i="5"/>
  <c r="J578" i="5"/>
  <c r="M577" i="5"/>
  <c r="K578" i="5" l="1"/>
  <c r="L578" i="5" s="1"/>
  <c r="N579" i="5"/>
  <c r="F580" i="5"/>
  <c r="G579" i="5"/>
  <c r="H579" i="5"/>
  <c r="J579" i="5"/>
  <c r="I579" i="5"/>
  <c r="M578" i="5"/>
  <c r="K579" i="5" l="1"/>
  <c r="L579" i="5" s="1"/>
  <c r="N580" i="5"/>
  <c r="F581" i="5"/>
  <c r="G580" i="5"/>
  <c r="H580" i="5"/>
  <c r="I580" i="5"/>
  <c r="J580" i="5"/>
  <c r="M579" i="5"/>
  <c r="K580" i="5" l="1"/>
  <c r="L580" i="5" s="1"/>
  <c r="N581" i="5"/>
  <c r="F582" i="5"/>
  <c r="H581" i="5"/>
  <c r="G581" i="5"/>
  <c r="I581" i="5"/>
  <c r="J581" i="5"/>
  <c r="M580" i="5"/>
  <c r="K581" i="5" l="1"/>
  <c r="L581" i="5" s="1"/>
  <c r="N582" i="5"/>
  <c r="F583" i="5"/>
  <c r="G582" i="5"/>
  <c r="H582" i="5"/>
  <c r="J582" i="5"/>
  <c r="I582" i="5"/>
  <c r="M581" i="5"/>
  <c r="F584" i="5" l="1"/>
  <c r="G583" i="5"/>
  <c r="H583" i="5"/>
  <c r="I583" i="5"/>
  <c r="J583" i="5"/>
  <c r="K582" i="5"/>
  <c r="L582" i="5" s="1"/>
  <c r="N583" i="5"/>
  <c r="M582" i="5"/>
  <c r="K583" i="5" l="1"/>
  <c r="L583" i="5" s="1"/>
  <c r="N584" i="5"/>
  <c r="F585" i="5"/>
  <c r="G584" i="5"/>
  <c r="I584" i="5"/>
  <c r="H584" i="5"/>
  <c r="J584" i="5"/>
  <c r="K584" i="5" l="1"/>
  <c r="L584" i="5" s="1"/>
  <c r="N585" i="5"/>
  <c r="F586" i="5"/>
  <c r="G585" i="5"/>
  <c r="H585" i="5"/>
  <c r="I585" i="5"/>
  <c r="J585" i="5"/>
  <c r="M584" i="5"/>
  <c r="M583" i="5"/>
  <c r="F587" i="5" l="1"/>
  <c r="G586" i="5"/>
  <c r="H586" i="5"/>
  <c r="I586" i="5"/>
  <c r="J586" i="5"/>
  <c r="K585" i="5"/>
  <c r="L585" i="5" s="1"/>
  <c r="N586" i="5"/>
  <c r="M585" i="5"/>
  <c r="K586" i="5" l="1"/>
  <c r="L586" i="5" s="1"/>
  <c r="N587" i="5"/>
  <c r="G587" i="5"/>
  <c r="F588" i="5"/>
  <c r="H587" i="5"/>
  <c r="J587" i="5" s="1"/>
  <c r="I587" i="5"/>
  <c r="K587" i="5" l="1"/>
  <c r="L587" i="5" s="1"/>
  <c r="N588" i="5"/>
  <c r="G588" i="5"/>
  <c r="F589" i="5"/>
  <c r="H588" i="5"/>
  <c r="I588" i="5"/>
  <c r="J588" i="5"/>
  <c r="M587" i="5"/>
  <c r="M586" i="5"/>
  <c r="K588" i="5" l="1"/>
  <c r="L588" i="5" s="1"/>
  <c r="N589" i="5"/>
  <c r="F590" i="5"/>
  <c r="H589" i="5"/>
  <c r="I589" i="5"/>
  <c r="G589" i="5"/>
  <c r="J589" i="5"/>
  <c r="M588" i="5"/>
  <c r="K589" i="5" l="1"/>
  <c r="L589" i="5" s="1"/>
  <c r="N590" i="5"/>
  <c r="F591" i="5"/>
  <c r="G590" i="5"/>
  <c r="H590" i="5"/>
  <c r="I590" i="5"/>
  <c r="J590" i="5"/>
  <c r="M589" i="5"/>
  <c r="K590" i="5" l="1"/>
  <c r="L590" i="5" s="1"/>
  <c r="N591" i="5"/>
  <c r="F592" i="5"/>
  <c r="G591" i="5"/>
  <c r="H591" i="5"/>
  <c r="I591" i="5"/>
  <c r="J591" i="5"/>
  <c r="M590" i="5"/>
  <c r="K591" i="5" l="1"/>
  <c r="L591" i="5" s="1"/>
  <c r="N592" i="5"/>
  <c r="F593" i="5"/>
  <c r="G592" i="5"/>
  <c r="I592" i="5"/>
  <c r="H592" i="5"/>
  <c r="J592" i="5"/>
  <c r="M591" i="5"/>
  <c r="K592" i="5" l="1"/>
  <c r="L592" i="5" s="1"/>
  <c r="N593" i="5"/>
  <c r="F594" i="5"/>
  <c r="G593" i="5"/>
  <c r="H593" i="5"/>
  <c r="I593" i="5"/>
  <c r="J593" i="5"/>
  <c r="M592" i="5"/>
  <c r="K593" i="5" l="1"/>
  <c r="L593" i="5" s="1"/>
  <c r="N594" i="5"/>
  <c r="F595" i="5"/>
  <c r="G594" i="5"/>
  <c r="H594" i="5"/>
  <c r="I594" i="5"/>
  <c r="J594" i="5"/>
  <c r="M593" i="5"/>
  <c r="K594" i="5" l="1"/>
  <c r="L594" i="5" s="1"/>
  <c r="N595" i="5"/>
  <c r="F596" i="5"/>
  <c r="G595" i="5"/>
  <c r="H595" i="5"/>
  <c r="J595" i="5"/>
  <c r="I595" i="5"/>
  <c r="M594" i="5"/>
  <c r="K595" i="5" l="1"/>
  <c r="L595" i="5" s="1"/>
  <c r="N596" i="5"/>
  <c r="F597" i="5"/>
  <c r="G596" i="5"/>
  <c r="H596" i="5"/>
  <c r="J596" i="5"/>
  <c r="I596" i="5"/>
  <c r="M595" i="5"/>
  <c r="K596" i="5" l="1"/>
  <c r="L596" i="5" s="1"/>
  <c r="N597" i="5"/>
  <c r="F598" i="5"/>
  <c r="G597" i="5"/>
  <c r="H597" i="5"/>
  <c r="J597" i="5"/>
  <c r="I597" i="5"/>
  <c r="M596" i="5"/>
  <c r="K597" i="5" l="1"/>
  <c r="L597" i="5" s="1"/>
  <c r="N598" i="5"/>
  <c r="F599" i="5"/>
  <c r="G598" i="5"/>
  <c r="H598" i="5"/>
  <c r="I598" i="5"/>
  <c r="J598" i="5"/>
  <c r="M597" i="5"/>
  <c r="K598" i="5" l="1"/>
  <c r="L598" i="5" s="1"/>
  <c r="N599" i="5"/>
  <c r="F600" i="5"/>
  <c r="G599" i="5"/>
  <c r="H599" i="5"/>
  <c r="I599" i="5"/>
  <c r="J599" i="5"/>
  <c r="M598" i="5"/>
  <c r="K599" i="5" l="1"/>
  <c r="L599" i="5" s="1"/>
  <c r="N600" i="5"/>
  <c r="F601" i="5"/>
  <c r="G600" i="5"/>
  <c r="H600" i="5"/>
  <c r="I600" i="5"/>
  <c r="J600" i="5"/>
  <c r="M599" i="5"/>
  <c r="K600" i="5" l="1"/>
  <c r="L600" i="5" s="1"/>
  <c r="N601" i="5"/>
  <c r="F602" i="5"/>
  <c r="H601" i="5"/>
  <c r="G601" i="5"/>
  <c r="I601" i="5"/>
  <c r="J601" i="5"/>
  <c r="M600" i="5"/>
  <c r="K601" i="5" l="1"/>
  <c r="L601" i="5" s="1"/>
  <c r="N602" i="5"/>
  <c r="F603" i="5"/>
  <c r="G602" i="5"/>
  <c r="H602" i="5"/>
  <c r="I602" i="5"/>
  <c r="J602" i="5"/>
  <c r="M601" i="5"/>
  <c r="K602" i="5" l="1"/>
  <c r="L602" i="5" s="1"/>
  <c r="N603" i="5"/>
  <c r="F604" i="5"/>
  <c r="G603" i="5"/>
  <c r="H603" i="5"/>
  <c r="I603" i="5"/>
  <c r="J603" i="5"/>
  <c r="M602" i="5"/>
  <c r="N604" i="5" l="1"/>
  <c r="K603" i="5"/>
  <c r="L603" i="5" s="1"/>
  <c r="F605" i="5"/>
  <c r="G604" i="5"/>
  <c r="H604" i="5"/>
  <c r="I604" i="5"/>
  <c r="J604" i="5"/>
  <c r="M603" i="5"/>
  <c r="K604" i="5" l="1"/>
  <c r="L604" i="5" s="1"/>
  <c r="N605" i="5"/>
  <c r="F606" i="5"/>
  <c r="G605" i="5"/>
  <c r="H605" i="5"/>
  <c r="J605" i="5"/>
  <c r="I605" i="5"/>
  <c r="M604" i="5"/>
  <c r="K605" i="5" l="1"/>
  <c r="L605" i="5" s="1"/>
  <c r="N606" i="5"/>
  <c r="F607" i="5"/>
  <c r="G606" i="5"/>
  <c r="J606" i="5" s="1"/>
  <c r="I606" i="5"/>
  <c r="H606" i="5"/>
  <c r="M605" i="5"/>
  <c r="K606" i="5" l="1"/>
  <c r="L606" i="5" s="1"/>
  <c r="N607" i="5"/>
  <c r="F608" i="5"/>
  <c r="I607" i="5" s="1"/>
  <c r="G607" i="5"/>
  <c r="H607" i="5"/>
  <c r="J607" i="5"/>
  <c r="M606" i="5"/>
  <c r="K607" i="5" l="1"/>
  <c r="L607" i="5" s="1"/>
  <c r="N608" i="5"/>
  <c r="F609" i="5"/>
  <c r="G608" i="5"/>
  <c r="H608" i="5"/>
  <c r="I608" i="5"/>
  <c r="J608" i="5"/>
  <c r="M607" i="5"/>
  <c r="K608" i="5" l="1"/>
  <c r="L608" i="5" s="1"/>
  <c r="M608" i="5" s="1"/>
  <c r="N609" i="5"/>
  <c r="F610" i="5"/>
  <c r="I609" i="5" s="1"/>
  <c r="G609" i="5"/>
  <c r="H609" i="5"/>
  <c r="J609" i="5" l="1"/>
  <c r="F611" i="5"/>
  <c r="I610" i="5" s="1"/>
  <c r="G610" i="5"/>
  <c r="H610" i="5"/>
  <c r="K609" i="5" l="1"/>
  <c r="L609" i="5" s="1"/>
  <c r="N610" i="5"/>
  <c r="J610" i="5"/>
  <c r="F612" i="5"/>
  <c r="H611" i="5"/>
  <c r="G611" i="5"/>
  <c r="J611" i="5"/>
  <c r="M610" i="5" l="1"/>
  <c r="M609" i="5"/>
  <c r="F613" i="5"/>
  <c r="G612" i="5"/>
  <c r="I612" i="5"/>
  <c r="H612" i="5"/>
  <c r="J612" i="5"/>
  <c r="K611" i="5"/>
  <c r="L611" i="5" s="1"/>
  <c r="N612" i="5"/>
  <c r="I611" i="5"/>
  <c r="K610" i="5"/>
  <c r="L610" i="5" s="1"/>
  <c r="N611" i="5"/>
  <c r="K612" i="5" l="1"/>
  <c r="L612" i="5" s="1"/>
  <c r="M612" i="5" s="1"/>
  <c r="N613" i="5"/>
  <c r="M611" i="5"/>
  <c r="F614" i="5"/>
  <c r="G613" i="5"/>
  <c r="H613" i="5"/>
  <c r="J613" i="5"/>
  <c r="I613" i="5"/>
  <c r="K613" i="5" l="1"/>
  <c r="L613" i="5" s="1"/>
  <c r="N614" i="5"/>
  <c r="F615" i="5"/>
  <c r="G614" i="5"/>
  <c r="H614" i="5"/>
  <c r="J614" i="5"/>
  <c r="I614" i="5"/>
  <c r="M614" i="5" l="1"/>
  <c r="M613" i="5"/>
  <c r="K614" i="5"/>
  <c r="L614" i="5" s="1"/>
  <c r="N615" i="5"/>
  <c r="F616" i="5"/>
  <c r="G615" i="5"/>
  <c r="H615" i="5"/>
  <c r="J615" i="5"/>
  <c r="I615" i="5"/>
  <c r="K615" i="5" l="1"/>
  <c r="L615" i="5" s="1"/>
  <c r="N616" i="5"/>
  <c r="F617" i="5"/>
  <c r="G616" i="5"/>
  <c r="I616" i="5"/>
  <c r="H616" i="5"/>
  <c r="J616" i="5"/>
  <c r="K616" i="5" l="1"/>
  <c r="L616" i="5" s="1"/>
  <c r="M616" i="5" s="1"/>
  <c r="N617" i="5"/>
  <c r="M615" i="5"/>
  <c r="F618" i="5"/>
  <c r="G617" i="5"/>
  <c r="I617" i="5"/>
  <c r="H617" i="5"/>
  <c r="J617" i="5"/>
  <c r="K617" i="5" l="1"/>
  <c r="L617" i="5" s="1"/>
  <c r="M617" i="5" s="1"/>
  <c r="N618" i="5"/>
  <c r="F619" i="5"/>
  <c r="G618" i="5"/>
  <c r="H618" i="5"/>
  <c r="I618" i="5"/>
  <c r="J618" i="5"/>
  <c r="K618" i="5" l="1"/>
  <c r="L618" i="5" s="1"/>
  <c r="M618" i="5" s="1"/>
  <c r="N619" i="5"/>
  <c r="F620" i="5"/>
  <c r="G619" i="5"/>
  <c r="H619" i="5"/>
  <c r="I619" i="5"/>
  <c r="J619" i="5"/>
  <c r="K619" i="5" l="1"/>
  <c r="L619" i="5" s="1"/>
  <c r="N620" i="5"/>
  <c r="F621" i="5"/>
  <c r="G620" i="5"/>
  <c r="H620" i="5"/>
  <c r="I620" i="5"/>
  <c r="J620" i="5"/>
  <c r="M619" i="5"/>
  <c r="K620" i="5" l="1"/>
  <c r="L620" i="5" s="1"/>
  <c r="N621" i="5"/>
  <c r="F622" i="5"/>
  <c r="G621" i="5"/>
  <c r="H621" i="5"/>
  <c r="I621" i="5"/>
  <c r="J621" i="5"/>
  <c r="M620" i="5"/>
  <c r="K621" i="5" l="1"/>
  <c r="L621" i="5" s="1"/>
  <c r="N622" i="5"/>
  <c r="F623" i="5"/>
  <c r="G622" i="5"/>
  <c r="H622" i="5"/>
  <c r="J622" i="5"/>
  <c r="I622" i="5"/>
  <c r="M621" i="5"/>
  <c r="K622" i="5" l="1"/>
  <c r="L622" i="5" s="1"/>
  <c r="N623" i="5"/>
  <c r="F624" i="5"/>
  <c r="G623" i="5"/>
  <c r="H623" i="5"/>
  <c r="J623" i="5"/>
  <c r="I623" i="5"/>
  <c r="M622" i="5"/>
  <c r="K623" i="5" l="1"/>
  <c r="L623" i="5" s="1"/>
  <c r="N624" i="5"/>
  <c r="F625" i="5"/>
  <c r="G624" i="5"/>
  <c r="H624" i="5"/>
  <c r="I624" i="5"/>
  <c r="J624" i="5"/>
  <c r="M623" i="5"/>
  <c r="K624" i="5" l="1"/>
  <c r="L624" i="5" s="1"/>
  <c r="N625" i="5"/>
  <c r="F626" i="5"/>
  <c r="G625" i="5"/>
  <c r="H625" i="5"/>
  <c r="I625" i="5"/>
  <c r="J625" i="5"/>
  <c r="M624" i="5"/>
  <c r="K625" i="5" l="1"/>
  <c r="L625" i="5" s="1"/>
  <c r="N626" i="5"/>
  <c r="F627" i="5"/>
  <c r="G626" i="5"/>
  <c r="H626" i="5"/>
  <c r="I626" i="5"/>
  <c r="J626" i="5"/>
  <c r="M625" i="5"/>
  <c r="K626" i="5" l="1"/>
  <c r="L626" i="5" s="1"/>
  <c r="N627" i="5"/>
  <c r="F628" i="5"/>
  <c r="G627" i="5"/>
  <c r="H627" i="5"/>
  <c r="I627" i="5"/>
  <c r="J627" i="5"/>
  <c r="M626" i="5"/>
  <c r="F629" i="5" l="1"/>
  <c r="G628" i="5"/>
  <c r="I628" i="5"/>
  <c r="J628" i="5"/>
  <c r="H628" i="5"/>
  <c r="K627" i="5"/>
  <c r="L627" i="5" s="1"/>
  <c r="N628" i="5"/>
  <c r="M627" i="5"/>
  <c r="K628" i="5" l="1"/>
  <c r="L628" i="5" s="1"/>
  <c r="N629" i="5"/>
  <c r="F630" i="5"/>
  <c r="G629" i="5"/>
  <c r="I629" i="5"/>
  <c r="J629" i="5"/>
  <c r="H629" i="5"/>
  <c r="K629" i="5" l="1"/>
  <c r="L629" i="5" s="1"/>
  <c r="N630" i="5"/>
  <c r="F631" i="5"/>
  <c r="G630" i="5"/>
  <c r="H630" i="5"/>
  <c r="J630" i="5" s="1"/>
  <c r="M629" i="5"/>
  <c r="M628" i="5"/>
  <c r="K630" i="5" l="1"/>
  <c r="L630" i="5" s="1"/>
  <c r="N631" i="5"/>
  <c r="F632" i="5"/>
  <c r="G631" i="5"/>
  <c r="H631" i="5"/>
  <c r="J631" i="5"/>
  <c r="I631" i="5"/>
  <c r="I630" i="5"/>
  <c r="M630" i="5"/>
  <c r="F633" i="5" l="1"/>
  <c r="G632" i="5"/>
  <c r="H632" i="5"/>
  <c r="I632" i="5"/>
  <c r="J632" i="5"/>
  <c r="K631" i="5"/>
  <c r="L631" i="5" s="1"/>
  <c r="N632" i="5"/>
  <c r="M631" i="5"/>
  <c r="K632" i="5" l="1"/>
  <c r="L632" i="5" s="1"/>
  <c r="N633" i="5"/>
  <c r="M632" i="5"/>
  <c r="F634" i="5"/>
  <c r="G633" i="5"/>
  <c r="H633" i="5"/>
  <c r="J633" i="5"/>
  <c r="I633" i="5"/>
  <c r="K633" i="5" l="1"/>
  <c r="L633" i="5" s="1"/>
  <c r="N634" i="5"/>
  <c r="F635" i="5"/>
  <c r="G634" i="5"/>
  <c r="H634" i="5"/>
  <c r="J634" i="5"/>
  <c r="I634" i="5"/>
  <c r="M633" i="5"/>
  <c r="K634" i="5" l="1"/>
  <c r="L634" i="5" s="1"/>
  <c r="N635" i="5"/>
  <c r="F636" i="5"/>
  <c r="G635" i="5"/>
  <c r="H635" i="5"/>
  <c r="I635" i="5"/>
  <c r="J635" i="5"/>
  <c r="M634" i="5"/>
  <c r="N636" i="5" l="1"/>
  <c r="K635" i="5"/>
  <c r="L635" i="5" s="1"/>
  <c r="F637" i="5"/>
  <c r="G636" i="5"/>
  <c r="H636" i="5"/>
  <c r="I636" i="5"/>
  <c r="J636" i="5"/>
  <c r="M635" i="5"/>
  <c r="N637" i="5" l="1"/>
  <c r="K636" i="5"/>
  <c r="L636" i="5" s="1"/>
  <c r="F638" i="5"/>
  <c r="H637" i="5"/>
  <c r="I637" i="5"/>
  <c r="J637" i="5"/>
  <c r="G637" i="5"/>
  <c r="K637" i="5" l="1"/>
  <c r="L637" i="5" s="1"/>
  <c r="N638" i="5"/>
  <c r="F639" i="5"/>
  <c r="G638" i="5"/>
  <c r="I638" i="5"/>
  <c r="H638" i="5"/>
  <c r="J638" i="5"/>
  <c r="M636" i="5"/>
  <c r="K638" i="5" l="1"/>
  <c r="L638" i="5" s="1"/>
  <c r="N639" i="5"/>
  <c r="M638" i="5"/>
  <c r="F640" i="5"/>
  <c r="G639" i="5"/>
  <c r="I639" i="5"/>
  <c r="J639" i="5"/>
  <c r="H639" i="5"/>
  <c r="M637" i="5"/>
  <c r="K639" i="5" l="1"/>
  <c r="L639" i="5" s="1"/>
  <c r="N640" i="5"/>
  <c r="F641" i="5"/>
  <c r="I640" i="5" s="1"/>
  <c r="G640" i="5"/>
  <c r="H640" i="5"/>
  <c r="J640" i="5" s="1"/>
  <c r="M639" i="5"/>
  <c r="K640" i="5" l="1"/>
  <c r="L640" i="5" s="1"/>
  <c r="N641" i="5"/>
  <c r="F642" i="5"/>
  <c r="G641" i="5"/>
  <c r="H641" i="5"/>
  <c r="I641" i="5"/>
  <c r="J641" i="5"/>
  <c r="M640" i="5"/>
  <c r="F643" i="5" l="1"/>
  <c r="G642" i="5"/>
  <c r="H642" i="5"/>
  <c r="I642" i="5"/>
  <c r="J642" i="5"/>
  <c r="K641" i="5"/>
  <c r="L641" i="5" s="1"/>
  <c r="N642" i="5"/>
  <c r="M641" i="5"/>
  <c r="K642" i="5" l="1"/>
  <c r="L642" i="5" s="1"/>
  <c r="N643" i="5"/>
  <c r="M642" i="5"/>
  <c r="F644" i="5"/>
  <c r="H643" i="5"/>
  <c r="I643" i="5"/>
  <c r="J643" i="5"/>
  <c r="G643" i="5"/>
  <c r="K643" i="5" l="1"/>
  <c r="L643" i="5" s="1"/>
  <c r="N644" i="5"/>
  <c r="F645" i="5"/>
  <c r="H644" i="5"/>
  <c r="I644" i="5"/>
  <c r="J644" i="5"/>
  <c r="G644" i="5"/>
  <c r="M643" i="5"/>
  <c r="K644" i="5" l="1"/>
  <c r="L644" i="5" s="1"/>
  <c r="N645" i="5"/>
  <c r="F646" i="5"/>
  <c r="G645" i="5"/>
  <c r="H645" i="5"/>
  <c r="I645" i="5"/>
  <c r="J645" i="5"/>
  <c r="M644" i="5"/>
  <c r="F647" i="5" l="1"/>
  <c r="G646" i="5"/>
  <c r="H646" i="5"/>
  <c r="J646" i="5"/>
  <c r="I646" i="5"/>
  <c r="K645" i="5"/>
  <c r="L645" i="5" s="1"/>
  <c r="N646" i="5"/>
  <c r="M645" i="5"/>
  <c r="K646" i="5" l="1"/>
  <c r="L646" i="5" s="1"/>
  <c r="N647" i="5"/>
  <c r="F648" i="5"/>
  <c r="G647" i="5"/>
  <c r="H647" i="5"/>
  <c r="I647" i="5"/>
  <c r="J647" i="5"/>
  <c r="K647" i="5" l="1"/>
  <c r="L647" i="5" s="1"/>
  <c r="N648" i="5"/>
  <c r="F649" i="5"/>
  <c r="G648" i="5"/>
  <c r="I648" i="5"/>
  <c r="H648" i="5"/>
  <c r="J648" i="5"/>
  <c r="M647" i="5"/>
  <c r="M646" i="5"/>
  <c r="K648" i="5" l="1"/>
  <c r="L648" i="5" s="1"/>
  <c r="N649" i="5"/>
  <c r="F650" i="5"/>
  <c r="G649" i="5"/>
  <c r="I649" i="5"/>
  <c r="H649" i="5"/>
  <c r="J649" i="5"/>
  <c r="M648" i="5"/>
  <c r="K649" i="5" l="1"/>
  <c r="L649" i="5" s="1"/>
  <c r="N650" i="5"/>
  <c r="F651" i="5"/>
  <c r="G650" i="5"/>
  <c r="H650" i="5"/>
  <c r="J650" i="5"/>
  <c r="I650" i="5"/>
  <c r="M649" i="5"/>
  <c r="K650" i="5" l="1"/>
  <c r="L650" i="5" s="1"/>
  <c r="N651" i="5"/>
  <c r="F652" i="5"/>
  <c r="G651" i="5"/>
  <c r="H651" i="5"/>
  <c r="J651" i="5"/>
  <c r="I651" i="5"/>
  <c r="M650" i="5"/>
  <c r="K651" i="5" l="1"/>
  <c r="L651" i="5" s="1"/>
  <c r="N652" i="5"/>
  <c r="F653" i="5"/>
  <c r="G652" i="5"/>
  <c r="H652" i="5"/>
  <c r="J652" i="5"/>
  <c r="I652" i="5"/>
  <c r="M651" i="5"/>
  <c r="F654" i="5" l="1"/>
  <c r="G653" i="5"/>
  <c r="H653" i="5"/>
  <c r="I653" i="5"/>
  <c r="J653" i="5"/>
  <c r="K652" i="5"/>
  <c r="L652" i="5" s="1"/>
  <c r="N653" i="5"/>
  <c r="M652" i="5"/>
  <c r="K653" i="5" l="1"/>
  <c r="L653" i="5" s="1"/>
  <c r="N654" i="5"/>
  <c r="F655" i="5"/>
  <c r="G654" i="5"/>
  <c r="H654" i="5"/>
  <c r="I654" i="5"/>
  <c r="J654" i="5"/>
  <c r="K654" i="5" l="1"/>
  <c r="L654" i="5" s="1"/>
  <c r="N655" i="5"/>
  <c r="F656" i="5"/>
  <c r="G655" i="5"/>
  <c r="H655" i="5"/>
  <c r="J655" i="5"/>
  <c r="I655" i="5"/>
  <c r="M654" i="5"/>
  <c r="M653" i="5"/>
  <c r="K655" i="5" l="1"/>
  <c r="L655" i="5" s="1"/>
  <c r="N656" i="5"/>
  <c r="F657" i="5"/>
  <c r="G656" i="5"/>
  <c r="H656" i="5"/>
  <c r="I656" i="5"/>
  <c r="J656" i="5"/>
  <c r="M655" i="5"/>
  <c r="K656" i="5" l="1"/>
  <c r="L656" i="5" s="1"/>
  <c r="N657" i="5"/>
  <c r="F658" i="5"/>
  <c r="G657" i="5"/>
  <c r="H657" i="5"/>
  <c r="I657" i="5"/>
  <c r="J657" i="5"/>
  <c r="M656" i="5"/>
  <c r="F659" i="5" l="1"/>
  <c r="G658" i="5"/>
  <c r="H658" i="5"/>
  <c r="I658" i="5"/>
  <c r="J658" i="5"/>
  <c r="K657" i="5"/>
  <c r="L657" i="5" s="1"/>
  <c r="N658" i="5"/>
  <c r="M657" i="5"/>
  <c r="K658" i="5" l="1"/>
  <c r="L658" i="5" s="1"/>
  <c r="N659" i="5"/>
  <c r="F660" i="5"/>
  <c r="G659" i="5"/>
  <c r="H659" i="5"/>
  <c r="J659" i="5" s="1"/>
  <c r="I659" i="5"/>
  <c r="K659" i="5" l="1"/>
  <c r="L659" i="5" s="1"/>
  <c r="N660" i="5"/>
  <c r="F661" i="5"/>
  <c r="G660" i="5"/>
  <c r="H660" i="5"/>
  <c r="J660" i="5"/>
  <c r="I660" i="5"/>
  <c r="M659" i="5"/>
  <c r="M658" i="5"/>
  <c r="K660" i="5" l="1"/>
  <c r="L660" i="5" s="1"/>
  <c r="N661" i="5"/>
  <c r="F662" i="5"/>
  <c r="G661" i="5"/>
  <c r="I661" i="5"/>
  <c r="H661" i="5"/>
  <c r="J661" i="5"/>
  <c r="M660" i="5"/>
  <c r="K661" i="5" l="1"/>
  <c r="L661" i="5" s="1"/>
  <c r="N662" i="5"/>
  <c r="F663" i="5"/>
  <c r="G662" i="5"/>
  <c r="H662" i="5"/>
  <c r="I662" i="5"/>
  <c r="J662" i="5"/>
  <c r="M661" i="5"/>
  <c r="F664" i="5" l="1"/>
  <c r="G663" i="5"/>
  <c r="H663" i="5"/>
  <c r="I663" i="5"/>
  <c r="J663" i="5"/>
  <c r="K662" i="5"/>
  <c r="L662" i="5" s="1"/>
  <c r="N663" i="5"/>
  <c r="M662" i="5"/>
  <c r="K663" i="5" l="1"/>
  <c r="L663" i="5" s="1"/>
  <c r="N664" i="5"/>
  <c r="M663" i="5"/>
  <c r="F665" i="5"/>
  <c r="G664" i="5"/>
  <c r="H664" i="5"/>
  <c r="I664" i="5"/>
  <c r="J664" i="5"/>
  <c r="K664" i="5" l="1"/>
  <c r="L664" i="5" s="1"/>
  <c r="N665" i="5"/>
  <c r="F666" i="5"/>
  <c r="G665" i="5"/>
  <c r="H665" i="5"/>
  <c r="I665" i="5"/>
  <c r="J665" i="5"/>
  <c r="M664" i="5"/>
  <c r="K665" i="5" l="1"/>
  <c r="L665" i="5" s="1"/>
  <c r="N666" i="5"/>
  <c r="F667" i="5"/>
  <c r="G666" i="5"/>
  <c r="H666" i="5"/>
  <c r="I666" i="5"/>
  <c r="J666" i="5"/>
  <c r="M665" i="5"/>
  <c r="K666" i="5" l="1"/>
  <c r="L666" i="5" s="1"/>
  <c r="N667" i="5"/>
  <c r="F668" i="5"/>
  <c r="G667" i="5"/>
  <c r="H667" i="5"/>
  <c r="I667" i="5"/>
  <c r="J667" i="5"/>
  <c r="M666" i="5"/>
  <c r="N668" i="5" l="1"/>
  <c r="K667" i="5"/>
  <c r="L667" i="5" s="1"/>
  <c r="F669" i="5"/>
  <c r="G668" i="5"/>
  <c r="H668" i="5"/>
  <c r="J668" i="5"/>
  <c r="I668" i="5"/>
  <c r="M667" i="5"/>
  <c r="K668" i="5" l="1"/>
  <c r="L668" i="5" s="1"/>
  <c r="N669" i="5"/>
  <c r="F670" i="5"/>
  <c r="G669" i="5"/>
  <c r="H669" i="5"/>
  <c r="J669" i="5"/>
  <c r="I669" i="5"/>
  <c r="M668" i="5"/>
  <c r="K669" i="5" l="1"/>
  <c r="L669" i="5" s="1"/>
  <c r="N670" i="5"/>
  <c r="F671" i="5"/>
  <c r="G670" i="5"/>
  <c r="J670" i="5"/>
  <c r="I670" i="5"/>
  <c r="H670" i="5"/>
  <c r="M669" i="5"/>
  <c r="K670" i="5" l="1"/>
  <c r="L670" i="5" s="1"/>
  <c r="N671" i="5"/>
  <c r="F672" i="5"/>
  <c r="G671" i="5"/>
  <c r="I671" i="5"/>
  <c r="J671" i="5"/>
  <c r="H671" i="5"/>
  <c r="M670" i="5"/>
  <c r="K671" i="5" l="1"/>
  <c r="L671" i="5" s="1"/>
  <c r="N672" i="5"/>
  <c r="F673" i="5"/>
  <c r="G672" i="5"/>
  <c r="I672" i="5"/>
  <c r="H672" i="5"/>
  <c r="J672" i="5"/>
  <c r="M671" i="5"/>
  <c r="K672" i="5" l="1"/>
  <c r="L672" i="5" s="1"/>
  <c r="N673" i="5"/>
  <c r="F674" i="5"/>
  <c r="H673" i="5"/>
  <c r="G673" i="5"/>
  <c r="I673" i="5"/>
  <c r="J673" i="5"/>
  <c r="M672" i="5"/>
  <c r="K673" i="5" l="1"/>
  <c r="L673" i="5" s="1"/>
  <c r="N674" i="5"/>
  <c r="F675" i="5"/>
  <c r="H674" i="5"/>
  <c r="J674" i="5" s="1"/>
  <c r="G674" i="5"/>
  <c r="I674" i="5"/>
  <c r="M673" i="5"/>
  <c r="K674" i="5" l="1"/>
  <c r="L674" i="5" s="1"/>
  <c r="N675" i="5"/>
  <c r="F676" i="5"/>
  <c r="G675" i="5"/>
  <c r="H675" i="5"/>
  <c r="I675" i="5"/>
  <c r="J675" i="5"/>
  <c r="M674" i="5"/>
  <c r="K675" i="5" l="1"/>
  <c r="L675" i="5" s="1"/>
  <c r="N676" i="5"/>
  <c r="F677" i="5"/>
  <c r="G676" i="5"/>
  <c r="H676" i="5"/>
  <c r="I676" i="5"/>
  <c r="J676" i="5"/>
  <c r="M675" i="5"/>
  <c r="K676" i="5" l="1"/>
  <c r="L676" i="5" s="1"/>
  <c r="N677" i="5"/>
  <c r="F678" i="5"/>
  <c r="G677" i="5"/>
  <c r="H677" i="5"/>
  <c r="I677" i="5"/>
  <c r="J677" i="5"/>
  <c r="M676" i="5"/>
  <c r="K677" i="5" l="1"/>
  <c r="L677" i="5" s="1"/>
  <c r="N678" i="5"/>
  <c r="F679" i="5"/>
  <c r="G678" i="5"/>
  <c r="H678" i="5"/>
  <c r="J678" i="5"/>
  <c r="I678" i="5"/>
  <c r="M677" i="5"/>
  <c r="K678" i="5" l="1"/>
  <c r="L678" i="5" s="1"/>
  <c r="N679" i="5"/>
  <c r="F680" i="5"/>
  <c r="G679" i="5"/>
  <c r="H679" i="5"/>
  <c r="I679" i="5"/>
  <c r="J679" i="5"/>
  <c r="M678" i="5"/>
  <c r="K679" i="5" l="1"/>
  <c r="L679" i="5" s="1"/>
  <c r="N680" i="5"/>
  <c r="F681" i="5"/>
  <c r="I680" i="5" s="1"/>
  <c r="G680" i="5"/>
  <c r="H680" i="5"/>
  <c r="J680" i="5"/>
  <c r="M679" i="5"/>
  <c r="K680" i="5" l="1"/>
  <c r="L680" i="5" s="1"/>
  <c r="N681" i="5"/>
  <c r="F682" i="5"/>
  <c r="I681" i="5" s="1"/>
  <c r="G681" i="5"/>
  <c r="H681" i="5"/>
  <c r="J681" i="5"/>
  <c r="M680" i="5"/>
  <c r="K681" i="5" l="1"/>
  <c r="L681" i="5" s="1"/>
  <c r="N682" i="5"/>
  <c r="F683" i="5"/>
  <c r="G682" i="5"/>
  <c r="H682" i="5"/>
  <c r="I682" i="5"/>
  <c r="J682" i="5"/>
  <c r="M681" i="5"/>
  <c r="K682" i="5" l="1"/>
  <c r="L682" i="5" s="1"/>
  <c r="N683" i="5"/>
  <c r="F684" i="5"/>
  <c r="G683" i="5"/>
  <c r="H683" i="5"/>
  <c r="I683" i="5"/>
  <c r="J683" i="5"/>
  <c r="M682" i="5"/>
  <c r="K683" i="5" l="1"/>
  <c r="L683" i="5" s="1"/>
  <c r="N684" i="5"/>
  <c r="F685" i="5"/>
  <c r="G684" i="5"/>
  <c r="H684" i="5"/>
  <c r="J684" i="5" s="1"/>
  <c r="I684" i="5"/>
  <c r="M683" i="5"/>
  <c r="K684" i="5" l="1"/>
  <c r="L684" i="5" s="1"/>
  <c r="N685" i="5"/>
  <c r="F686" i="5"/>
  <c r="G685" i="5"/>
  <c r="H685" i="5"/>
  <c r="I685" i="5"/>
  <c r="J685" i="5"/>
  <c r="M684" i="5"/>
  <c r="K685" i="5" l="1"/>
  <c r="L685" i="5" s="1"/>
  <c r="N686" i="5"/>
  <c r="F687" i="5"/>
  <c r="G686" i="5"/>
  <c r="H686" i="5"/>
  <c r="J686" i="5"/>
  <c r="I686" i="5"/>
  <c r="M685" i="5"/>
  <c r="K686" i="5" l="1"/>
  <c r="L686" i="5" s="1"/>
  <c r="N687" i="5"/>
  <c r="F688" i="5"/>
  <c r="G687" i="5"/>
  <c r="H687" i="5"/>
  <c r="J687" i="5"/>
  <c r="I687" i="5"/>
  <c r="M686" i="5"/>
  <c r="K687" i="5" l="1"/>
  <c r="L687" i="5" s="1"/>
  <c r="N688" i="5"/>
  <c r="F689" i="5"/>
  <c r="G688" i="5"/>
  <c r="H688" i="5"/>
  <c r="I688" i="5"/>
  <c r="J688" i="5"/>
  <c r="M687" i="5"/>
  <c r="K688" i="5" l="1"/>
  <c r="L688" i="5" s="1"/>
  <c r="N689" i="5"/>
  <c r="F690" i="5"/>
  <c r="G689" i="5"/>
  <c r="H689" i="5"/>
  <c r="I689" i="5"/>
  <c r="J689" i="5"/>
  <c r="M688" i="5"/>
  <c r="K689" i="5" l="1"/>
  <c r="L689" i="5" s="1"/>
  <c r="N690" i="5"/>
  <c r="F691" i="5"/>
  <c r="G690" i="5"/>
  <c r="H690" i="5"/>
  <c r="I690" i="5"/>
  <c r="J690" i="5"/>
  <c r="M689" i="5"/>
  <c r="K690" i="5" l="1"/>
  <c r="L690" i="5" s="1"/>
  <c r="N691" i="5"/>
  <c r="F692" i="5"/>
  <c r="G691" i="5"/>
  <c r="H691" i="5"/>
  <c r="I691" i="5"/>
  <c r="J691" i="5"/>
  <c r="M690" i="5"/>
  <c r="K691" i="5" l="1"/>
  <c r="L691" i="5" s="1"/>
  <c r="N692" i="5"/>
  <c r="F693" i="5"/>
  <c r="G692" i="5"/>
  <c r="I692" i="5"/>
  <c r="H692" i="5"/>
  <c r="J692" i="5"/>
  <c r="M691" i="5"/>
  <c r="K692" i="5" l="1"/>
  <c r="L692" i="5" s="1"/>
  <c r="N693" i="5"/>
  <c r="F694" i="5"/>
  <c r="G693" i="5"/>
  <c r="I693" i="5"/>
  <c r="H693" i="5"/>
  <c r="J693" i="5"/>
  <c r="M692" i="5"/>
  <c r="K693" i="5" l="1"/>
  <c r="L693" i="5" s="1"/>
  <c r="N694" i="5"/>
  <c r="F695" i="5"/>
  <c r="G694" i="5"/>
  <c r="I694" i="5"/>
  <c r="H694" i="5"/>
  <c r="J694" i="5" s="1"/>
  <c r="M693" i="5"/>
  <c r="K694" i="5" l="1"/>
  <c r="L694" i="5" s="1"/>
  <c r="N695" i="5"/>
  <c r="F696" i="5"/>
  <c r="H695" i="5"/>
  <c r="G695" i="5"/>
  <c r="J695" i="5"/>
  <c r="I695" i="5"/>
  <c r="M694" i="5"/>
  <c r="K695" i="5" l="1"/>
  <c r="L695" i="5" s="1"/>
  <c r="N696" i="5"/>
  <c r="F697" i="5"/>
  <c r="G696" i="5"/>
  <c r="H696" i="5"/>
  <c r="I696" i="5"/>
  <c r="J696" i="5"/>
  <c r="M695" i="5"/>
  <c r="K696" i="5" l="1"/>
  <c r="L696" i="5" s="1"/>
  <c r="N697" i="5"/>
  <c r="F698" i="5"/>
  <c r="H697" i="5"/>
  <c r="G697" i="5"/>
  <c r="I697" i="5"/>
  <c r="J697" i="5"/>
  <c r="M696" i="5"/>
  <c r="K697" i="5" l="1"/>
  <c r="L697" i="5" s="1"/>
  <c r="N698" i="5"/>
  <c r="F699" i="5"/>
  <c r="G698" i="5"/>
  <c r="H698" i="5"/>
  <c r="I698" i="5"/>
  <c r="J698" i="5"/>
  <c r="M697" i="5"/>
  <c r="K698" i="5" l="1"/>
  <c r="L698" i="5" s="1"/>
  <c r="N699" i="5"/>
  <c r="F700" i="5"/>
  <c r="G699" i="5"/>
  <c r="H699" i="5"/>
  <c r="I699" i="5"/>
  <c r="J699" i="5"/>
  <c r="M698" i="5"/>
  <c r="N700" i="5" l="1"/>
  <c r="K699" i="5"/>
  <c r="L699" i="5" s="1"/>
  <c r="F701" i="5"/>
  <c r="H700" i="5"/>
  <c r="G700" i="5"/>
  <c r="I700" i="5"/>
  <c r="J700" i="5"/>
  <c r="M699" i="5"/>
  <c r="K700" i="5" l="1"/>
  <c r="L700" i="5" s="1"/>
  <c r="N701" i="5"/>
  <c r="F702" i="5"/>
  <c r="G701" i="5"/>
  <c r="H701" i="5"/>
  <c r="I701" i="5"/>
  <c r="J701" i="5"/>
  <c r="M700" i="5"/>
  <c r="N702" i="5" l="1"/>
  <c r="K701" i="5"/>
  <c r="L701" i="5" s="1"/>
  <c r="F703" i="5"/>
  <c r="G702" i="5"/>
  <c r="I702" i="5"/>
  <c r="H702" i="5"/>
  <c r="J702" i="5"/>
  <c r="M701" i="5"/>
  <c r="K702" i="5" l="1"/>
  <c r="L702" i="5" s="1"/>
  <c r="N703" i="5"/>
  <c r="F704" i="5"/>
  <c r="G703" i="5"/>
  <c r="I703" i="5"/>
  <c r="H703" i="5"/>
  <c r="J703" i="5" s="1"/>
  <c r="M702" i="5"/>
  <c r="K703" i="5" l="1"/>
  <c r="L703" i="5" s="1"/>
  <c r="N704" i="5"/>
  <c r="F705" i="5"/>
  <c r="I704" i="5" s="1"/>
  <c r="G704" i="5"/>
  <c r="H704" i="5"/>
  <c r="J704" i="5"/>
  <c r="M703" i="5"/>
  <c r="K704" i="5" l="1"/>
  <c r="L704" i="5" s="1"/>
  <c r="N705" i="5"/>
  <c r="G705" i="5"/>
  <c r="F706" i="5"/>
  <c r="H705" i="5"/>
  <c r="J705" i="5"/>
  <c r="I705" i="5"/>
  <c r="M704" i="5"/>
  <c r="F707" i="5" l="1"/>
  <c r="G706" i="5"/>
  <c r="H706" i="5"/>
  <c r="J706" i="5"/>
  <c r="I706" i="5"/>
  <c r="K705" i="5"/>
  <c r="L705" i="5" s="1"/>
  <c r="N706" i="5"/>
  <c r="M705" i="5"/>
  <c r="K706" i="5" l="1"/>
  <c r="L706" i="5" s="1"/>
  <c r="N707" i="5"/>
  <c r="M706" i="5"/>
  <c r="F708" i="5"/>
  <c r="G707" i="5"/>
  <c r="H707" i="5"/>
  <c r="J707" i="5"/>
  <c r="I707" i="5"/>
  <c r="F709" i="5" l="1"/>
  <c r="G708" i="5"/>
  <c r="H708" i="5"/>
  <c r="I708" i="5"/>
  <c r="J708" i="5"/>
  <c r="K707" i="5"/>
  <c r="L707" i="5" s="1"/>
  <c r="N708" i="5"/>
  <c r="M707" i="5"/>
  <c r="K708" i="5" l="1"/>
  <c r="L708" i="5" s="1"/>
  <c r="N709" i="5"/>
  <c r="M708" i="5"/>
  <c r="F710" i="5"/>
  <c r="G709" i="5"/>
  <c r="H709" i="5"/>
  <c r="I709" i="5"/>
  <c r="J709" i="5"/>
  <c r="F711" i="5" l="1"/>
  <c r="G710" i="5"/>
  <c r="H710" i="5"/>
  <c r="J710" i="5"/>
  <c r="I710" i="5"/>
  <c r="K709" i="5"/>
  <c r="L709" i="5" s="1"/>
  <c r="N710" i="5"/>
  <c r="M709" i="5"/>
  <c r="K710" i="5" l="1"/>
  <c r="L710" i="5" s="1"/>
  <c r="N711" i="5"/>
  <c r="M710" i="5"/>
  <c r="F712" i="5"/>
  <c r="G711" i="5"/>
  <c r="H711" i="5"/>
  <c r="I711" i="5"/>
  <c r="J711" i="5"/>
  <c r="F713" i="5" l="1"/>
  <c r="G712" i="5"/>
  <c r="I712" i="5"/>
  <c r="H712" i="5"/>
  <c r="J712" i="5"/>
  <c r="K711" i="5"/>
  <c r="L711" i="5" s="1"/>
  <c r="N712" i="5"/>
  <c r="M711" i="5"/>
  <c r="K712" i="5" l="1"/>
  <c r="L712" i="5" s="1"/>
  <c r="N713" i="5"/>
  <c r="M712" i="5"/>
  <c r="F714" i="5"/>
  <c r="G713" i="5"/>
  <c r="H713" i="5"/>
  <c r="J713" i="5" s="1"/>
  <c r="K713" i="5" l="1"/>
  <c r="L713" i="5" s="1"/>
  <c r="N714" i="5"/>
  <c r="F715" i="5"/>
  <c r="G714" i="5"/>
  <c r="H714" i="5"/>
  <c r="I714" i="5"/>
  <c r="J714" i="5"/>
  <c r="I713" i="5"/>
  <c r="M713" i="5"/>
  <c r="K714" i="5" l="1"/>
  <c r="L714" i="5" s="1"/>
  <c r="N715" i="5"/>
  <c r="F716" i="5"/>
  <c r="H715" i="5"/>
  <c r="G715" i="5"/>
  <c r="J715" i="5"/>
  <c r="I715" i="5"/>
  <c r="M714" i="5"/>
  <c r="K715" i="5" l="1"/>
  <c r="L715" i="5" s="1"/>
  <c r="N716" i="5"/>
  <c r="F717" i="5"/>
  <c r="G716" i="5"/>
  <c r="I716" i="5"/>
  <c r="J716" i="5"/>
  <c r="H716" i="5"/>
  <c r="M715" i="5"/>
  <c r="K716" i="5" l="1"/>
  <c r="L716" i="5" s="1"/>
  <c r="N717" i="5"/>
  <c r="F718" i="5"/>
  <c r="G717" i="5"/>
  <c r="H717" i="5"/>
  <c r="I717" i="5"/>
  <c r="J717" i="5"/>
  <c r="M716" i="5"/>
  <c r="K717" i="5" l="1"/>
  <c r="L717" i="5" s="1"/>
  <c r="N718" i="5"/>
  <c r="F719" i="5"/>
  <c r="G718" i="5"/>
  <c r="H718" i="5"/>
  <c r="I718" i="5"/>
  <c r="J718" i="5"/>
  <c r="M717" i="5"/>
  <c r="F720" i="5" l="1"/>
  <c r="G719" i="5"/>
  <c r="H719" i="5"/>
  <c r="I719" i="5"/>
  <c r="J719" i="5"/>
  <c r="K718" i="5"/>
  <c r="L718" i="5" s="1"/>
  <c r="M718" i="5" s="1"/>
  <c r="N719" i="5"/>
  <c r="K719" i="5" l="1"/>
  <c r="L719" i="5" s="1"/>
  <c r="N720" i="5"/>
  <c r="F721" i="5"/>
  <c r="G720" i="5"/>
  <c r="H720" i="5"/>
  <c r="I720" i="5"/>
  <c r="J720" i="5"/>
  <c r="K720" i="5" l="1"/>
  <c r="L720" i="5" s="1"/>
  <c r="N721" i="5"/>
  <c r="F722" i="5"/>
  <c r="H721" i="5"/>
  <c r="G721" i="5"/>
  <c r="I721" i="5"/>
  <c r="J721" i="5"/>
  <c r="M720" i="5"/>
  <c r="M719" i="5"/>
  <c r="K721" i="5" l="1"/>
  <c r="L721" i="5" s="1"/>
  <c r="N722" i="5"/>
  <c r="F723" i="5"/>
  <c r="G722" i="5"/>
  <c r="H722" i="5"/>
  <c r="I722" i="5"/>
  <c r="J722" i="5"/>
  <c r="M721" i="5"/>
  <c r="F724" i="5" l="1"/>
  <c r="G723" i="5"/>
  <c r="H723" i="5"/>
  <c r="J723" i="5"/>
  <c r="I723" i="5"/>
  <c r="K722" i="5"/>
  <c r="L722" i="5" s="1"/>
  <c r="N723" i="5"/>
  <c r="M722" i="5"/>
  <c r="K723" i="5" l="1"/>
  <c r="L723" i="5" s="1"/>
  <c r="N724" i="5"/>
  <c r="F725" i="5"/>
  <c r="G724" i="5"/>
  <c r="H724" i="5"/>
  <c r="J724" i="5"/>
  <c r="I724" i="5"/>
  <c r="K724" i="5" l="1"/>
  <c r="L724" i="5" s="1"/>
  <c r="N725" i="5"/>
  <c r="M724" i="5"/>
  <c r="F726" i="5"/>
  <c r="G725" i="5"/>
  <c r="H725" i="5"/>
  <c r="I725" i="5"/>
  <c r="J725" i="5"/>
  <c r="M723" i="5"/>
  <c r="K725" i="5" l="1"/>
  <c r="L725" i="5" s="1"/>
  <c r="N726" i="5"/>
  <c r="F727" i="5"/>
  <c r="G726" i="5"/>
  <c r="H726" i="5"/>
  <c r="I726" i="5"/>
  <c r="J726" i="5"/>
  <c r="M725" i="5"/>
  <c r="F728" i="5" l="1"/>
  <c r="H727" i="5"/>
  <c r="G727" i="5"/>
  <c r="J727" i="5" s="1"/>
  <c r="I727" i="5"/>
  <c r="K726" i="5"/>
  <c r="L726" i="5" s="1"/>
  <c r="M726" i="5" s="1"/>
  <c r="N727" i="5"/>
  <c r="K727" i="5" l="1"/>
  <c r="L727" i="5" s="1"/>
  <c r="N728" i="5"/>
  <c r="M727" i="5"/>
  <c r="F729" i="5"/>
  <c r="G728" i="5"/>
  <c r="H728" i="5"/>
  <c r="I728" i="5"/>
  <c r="J728" i="5"/>
  <c r="F730" i="5" l="1"/>
  <c r="G729" i="5"/>
  <c r="H729" i="5"/>
  <c r="I729" i="5"/>
  <c r="J729" i="5"/>
  <c r="K728" i="5"/>
  <c r="L728" i="5" s="1"/>
  <c r="N729" i="5"/>
  <c r="M728" i="5"/>
  <c r="K729" i="5" l="1"/>
  <c r="L729" i="5" s="1"/>
  <c r="N730" i="5"/>
  <c r="F731" i="5"/>
  <c r="G730" i="5"/>
  <c r="H730" i="5"/>
  <c r="I730" i="5"/>
  <c r="J730" i="5"/>
  <c r="F732" i="5" l="1"/>
  <c r="G731" i="5"/>
  <c r="H731" i="5"/>
  <c r="I731" i="5"/>
  <c r="J731" i="5"/>
  <c r="K730" i="5"/>
  <c r="L730" i="5" s="1"/>
  <c r="N731" i="5"/>
  <c r="M730" i="5"/>
  <c r="M729" i="5"/>
  <c r="N732" i="5" l="1"/>
  <c r="K731" i="5"/>
  <c r="L731" i="5" s="1"/>
  <c r="F733" i="5"/>
  <c r="G732" i="5"/>
  <c r="H732" i="5"/>
  <c r="I732" i="5"/>
  <c r="J732" i="5"/>
  <c r="F734" i="5" l="1"/>
  <c r="G733" i="5"/>
  <c r="H733" i="5"/>
  <c r="I733" i="5"/>
  <c r="J733" i="5"/>
  <c r="K732" i="5"/>
  <c r="L732" i="5" s="1"/>
  <c r="N733" i="5"/>
  <c r="M732" i="5"/>
  <c r="M731" i="5"/>
  <c r="K733" i="5" l="1"/>
  <c r="L733" i="5" s="1"/>
  <c r="N734" i="5"/>
  <c r="G734" i="5"/>
  <c r="F735" i="5"/>
  <c r="H734" i="5"/>
  <c r="F736" i="5" l="1"/>
  <c r="G735" i="5"/>
  <c r="I735" i="5"/>
  <c r="J735" i="5"/>
  <c r="H735" i="5"/>
  <c r="J734" i="5"/>
  <c r="I734" i="5"/>
  <c r="M733" i="5"/>
  <c r="K734" i="5" l="1"/>
  <c r="L734" i="5" s="1"/>
  <c r="N735" i="5"/>
  <c r="K735" i="5"/>
  <c r="L735" i="5" s="1"/>
  <c r="N736" i="5"/>
  <c r="F737" i="5"/>
  <c r="G736" i="5"/>
  <c r="I736" i="5"/>
  <c r="H736" i="5"/>
  <c r="F738" i="5" l="1"/>
  <c r="G737" i="5"/>
  <c r="H737" i="5"/>
  <c r="I737" i="5"/>
  <c r="J737" i="5"/>
  <c r="J736" i="5"/>
  <c r="M735" i="5"/>
  <c r="M734" i="5"/>
  <c r="K736" i="5" l="1"/>
  <c r="L736" i="5" s="1"/>
  <c r="N737" i="5"/>
  <c r="K737" i="5"/>
  <c r="L737" i="5" s="1"/>
  <c r="N738" i="5"/>
  <c r="F739" i="5"/>
  <c r="H738" i="5"/>
  <c r="G738" i="5"/>
  <c r="I738" i="5"/>
  <c r="F740" i="5" l="1"/>
  <c r="G739" i="5"/>
  <c r="H739" i="5"/>
  <c r="I739" i="5"/>
  <c r="J739" i="5"/>
  <c r="J738" i="5"/>
  <c r="M737" i="5"/>
  <c r="M736" i="5"/>
  <c r="K738" i="5" l="1"/>
  <c r="L738" i="5" s="1"/>
  <c r="N739" i="5"/>
  <c r="N740" i="5" s="1"/>
  <c r="F741" i="5"/>
  <c r="G740" i="5"/>
  <c r="H740" i="5"/>
  <c r="I740" i="5"/>
  <c r="J740" i="5"/>
  <c r="K739" i="5"/>
  <c r="L739" i="5" s="1"/>
  <c r="K740" i="5" l="1"/>
  <c r="L740" i="5" s="1"/>
  <c r="N741" i="5"/>
  <c r="F742" i="5"/>
  <c r="G741" i="5"/>
  <c r="H741" i="5"/>
  <c r="J741" i="5"/>
  <c r="I741" i="5"/>
  <c r="M739" i="5"/>
  <c r="M738" i="5"/>
  <c r="K741" i="5" l="1"/>
  <c r="L741" i="5" s="1"/>
  <c r="M741" i="5" s="1"/>
  <c r="N742" i="5"/>
  <c r="F743" i="5"/>
  <c r="G742" i="5"/>
  <c r="H742" i="5"/>
  <c r="J742" i="5"/>
  <c r="I742" i="5"/>
  <c r="M740" i="5"/>
  <c r="K742" i="5" l="1"/>
  <c r="L742" i="5" s="1"/>
  <c r="N743" i="5"/>
  <c r="F744" i="5"/>
  <c r="G743" i="5"/>
  <c r="H743" i="5"/>
  <c r="J743" i="5"/>
  <c r="I743" i="5"/>
  <c r="F745" i="5" l="1"/>
  <c r="G744" i="5"/>
  <c r="I744" i="5"/>
  <c r="H744" i="5"/>
  <c r="J744" i="5"/>
  <c r="K743" i="5"/>
  <c r="L743" i="5" s="1"/>
  <c r="N744" i="5"/>
  <c r="M743" i="5"/>
  <c r="M742" i="5"/>
  <c r="K744" i="5" l="1"/>
  <c r="L744" i="5" s="1"/>
  <c r="N745" i="5"/>
  <c r="F746" i="5"/>
  <c r="G745" i="5"/>
  <c r="H745" i="5"/>
  <c r="J745" i="5"/>
  <c r="K745" i="5" l="1"/>
  <c r="L745" i="5" s="1"/>
  <c r="N746" i="5"/>
  <c r="F747" i="5"/>
  <c r="G746" i="5"/>
  <c r="H746" i="5"/>
  <c r="I746" i="5"/>
  <c r="J746" i="5"/>
  <c r="I745" i="5"/>
  <c r="M745" i="5"/>
  <c r="M744" i="5"/>
  <c r="K746" i="5" l="1"/>
  <c r="L746" i="5" s="1"/>
  <c r="N747" i="5"/>
  <c r="F748" i="5"/>
  <c r="G747" i="5"/>
  <c r="H747" i="5"/>
  <c r="J747" i="5" s="1"/>
  <c r="I747" i="5"/>
  <c r="M746" i="5"/>
  <c r="K747" i="5" l="1"/>
  <c r="L747" i="5" s="1"/>
  <c r="N748" i="5"/>
  <c r="F749" i="5"/>
  <c r="H748" i="5"/>
  <c r="I748" i="5"/>
  <c r="G748" i="5"/>
  <c r="J748" i="5"/>
  <c r="M747" i="5"/>
  <c r="F750" i="5" l="1"/>
  <c r="G749" i="5"/>
  <c r="H749" i="5"/>
  <c r="I749" i="5"/>
  <c r="J749" i="5"/>
  <c r="K748" i="5"/>
  <c r="L748" i="5" s="1"/>
  <c r="N749" i="5"/>
  <c r="M748" i="5"/>
  <c r="K749" i="5" l="1"/>
  <c r="L749" i="5" s="1"/>
  <c r="N750" i="5"/>
  <c r="M749" i="5"/>
  <c r="F751" i="5"/>
  <c r="G750" i="5"/>
  <c r="H750" i="5"/>
  <c r="J750" i="5"/>
  <c r="I750" i="5"/>
  <c r="K750" i="5" l="1"/>
  <c r="L750" i="5" s="1"/>
  <c r="N751" i="5"/>
  <c r="F752" i="5"/>
  <c r="G751" i="5"/>
  <c r="H751" i="5"/>
  <c r="J751" i="5"/>
  <c r="I751" i="5"/>
  <c r="M750" i="5"/>
  <c r="F753" i="5" l="1"/>
  <c r="G752" i="5"/>
  <c r="H752" i="5"/>
  <c r="I752" i="5"/>
  <c r="J752" i="5"/>
  <c r="K751" i="5"/>
  <c r="L751" i="5" s="1"/>
  <c r="N752" i="5"/>
  <c r="M751" i="5" l="1"/>
  <c r="K752" i="5"/>
  <c r="L752" i="5" s="1"/>
  <c r="N753" i="5"/>
  <c r="F754" i="5"/>
  <c r="G753" i="5"/>
  <c r="H753" i="5"/>
  <c r="I753" i="5"/>
  <c r="F755" i="5" l="1"/>
  <c r="G754" i="5"/>
  <c r="H754" i="5"/>
  <c r="I754" i="5"/>
  <c r="J754" i="5"/>
  <c r="J753" i="5"/>
  <c r="M752" i="5"/>
  <c r="K753" i="5" l="1"/>
  <c r="L753" i="5" s="1"/>
  <c r="N754" i="5"/>
  <c r="K754" i="5"/>
  <c r="L754" i="5" s="1"/>
  <c r="N755" i="5"/>
  <c r="F756" i="5"/>
  <c r="G755" i="5"/>
  <c r="H755" i="5"/>
  <c r="I755" i="5"/>
  <c r="F757" i="5" l="1"/>
  <c r="I756" i="5"/>
  <c r="G756" i="5"/>
  <c r="J756" i="5" s="1"/>
  <c r="H756" i="5"/>
  <c r="J755" i="5"/>
  <c r="M754" i="5"/>
  <c r="M753" i="5"/>
  <c r="K756" i="5" l="1"/>
  <c r="L756" i="5" s="1"/>
  <c r="N757" i="5"/>
  <c r="K755" i="5"/>
  <c r="L755" i="5" s="1"/>
  <c r="N756" i="5"/>
  <c r="F758" i="5"/>
  <c r="I757" i="5"/>
  <c r="G757" i="5"/>
  <c r="J757" i="5"/>
  <c r="H757" i="5"/>
  <c r="K757" i="5" l="1"/>
  <c r="L757" i="5" s="1"/>
  <c r="N758" i="5"/>
  <c r="F759" i="5"/>
  <c r="I758" i="5" s="1"/>
  <c r="G758" i="5"/>
  <c r="H758" i="5"/>
  <c r="M756" i="5"/>
  <c r="M755" i="5"/>
  <c r="M757" i="5"/>
  <c r="J758" i="5" l="1"/>
  <c r="F760" i="5"/>
  <c r="G759" i="5"/>
  <c r="H759" i="5"/>
  <c r="J759" i="5"/>
  <c r="I759" i="5"/>
  <c r="K759" i="5" l="1"/>
  <c r="F761" i="5"/>
  <c r="G760" i="5"/>
  <c r="H760" i="5"/>
  <c r="I760" i="5"/>
  <c r="J760" i="5"/>
  <c r="K758" i="5"/>
  <c r="L758" i="5" s="1"/>
  <c r="N759" i="5"/>
  <c r="N760" i="5" s="1"/>
  <c r="M758" i="5" l="1"/>
  <c r="F762" i="5"/>
  <c r="G761" i="5"/>
  <c r="H761" i="5"/>
  <c r="I761" i="5"/>
  <c r="J761" i="5"/>
  <c r="K760" i="5"/>
  <c r="L760" i="5" s="1"/>
  <c r="N761" i="5"/>
  <c r="L759" i="5"/>
  <c r="K761" i="5" l="1"/>
  <c r="L761" i="5" s="1"/>
  <c r="N762" i="5"/>
  <c r="F763" i="5"/>
  <c r="G762" i="5"/>
  <c r="H762" i="5"/>
  <c r="I762" i="5"/>
  <c r="J762" i="5"/>
  <c r="M760" i="5"/>
  <c r="M759" i="5"/>
  <c r="K762" i="5" l="1"/>
  <c r="L762" i="5" s="1"/>
  <c r="N763" i="5"/>
  <c r="F764" i="5"/>
  <c r="G763" i="5"/>
  <c r="H763" i="5"/>
  <c r="I763" i="5"/>
  <c r="J763" i="5"/>
  <c r="M761" i="5"/>
  <c r="N764" i="5" l="1"/>
  <c r="K763" i="5"/>
  <c r="L763" i="5" s="1"/>
  <c r="M762" i="5"/>
  <c r="F765" i="5"/>
  <c r="G764" i="5"/>
  <c r="H764" i="5"/>
  <c r="F766" i="5" l="1"/>
  <c r="I765" i="5" s="1"/>
  <c r="G765" i="5"/>
  <c r="H765" i="5"/>
  <c r="I764" i="5"/>
  <c r="J764" i="5"/>
  <c r="M763" i="5"/>
  <c r="N765" i="5" l="1"/>
  <c r="K764" i="5"/>
  <c r="L764" i="5" s="1"/>
  <c r="J765" i="5"/>
  <c r="G766" i="5"/>
  <c r="F767" i="5"/>
  <c r="I766" i="5"/>
  <c r="H766" i="5"/>
  <c r="J766" i="5" s="1"/>
  <c r="K766" i="5" l="1"/>
  <c r="L766" i="5" s="1"/>
  <c r="N767" i="5"/>
  <c r="F768" i="5"/>
  <c r="G767" i="5"/>
  <c r="I767" i="5"/>
  <c r="J767" i="5"/>
  <c r="H767" i="5"/>
  <c r="K765" i="5"/>
  <c r="L765" i="5" s="1"/>
  <c r="M766" i="5" s="1"/>
  <c r="N766" i="5"/>
  <c r="M764" i="5"/>
  <c r="F769" i="5" l="1"/>
  <c r="G768" i="5"/>
  <c r="I768" i="5"/>
  <c r="H768" i="5"/>
  <c r="J768" i="5"/>
  <c r="M765" i="5"/>
  <c r="K767" i="5"/>
  <c r="L767" i="5" s="1"/>
  <c r="N768" i="5"/>
  <c r="K768" i="5" l="1"/>
  <c r="L768" i="5" s="1"/>
  <c r="N769" i="5"/>
  <c r="M768" i="5"/>
  <c r="M767" i="5"/>
  <c r="G769" i="5"/>
  <c r="H769" i="5"/>
  <c r="F770" i="5"/>
  <c r="F771" i="5" l="1"/>
  <c r="G770" i="5"/>
  <c r="H770" i="5"/>
  <c r="I770" i="5"/>
  <c r="J770" i="5"/>
  <c r="I769" i="5"/>
  <c r="J769" i="5"/>
  <c r="K769" i="5" l="1"/>
  <c r="L769" i="5" s="1"/>
  <c r="N770" i="5"/>
  <c r="K770" i="5"/>
  <c r="L770" i="5" s="1"/>
  <c r="N771" i="5"/>
  <c r="F772" i="5"/>
  <c r="G771" i="5"/>
  <c r="H771" i="5"/>
  <c r="I771" i="5"/>
  <c r="F773" i="5" l="1"/>
  <c r="G772" i="5"/>
  <c r="H772" i="5"/>
  <c r="I772" i="5"/>
  <c r="J772" i="5"/>
  <c r="J771" i="5"/>
  <c r="M770" i="5"/>
  <c r="M769" i="5"/>
  <c r="K771" i="5" l="1"/>
  <c r="L771" i="5" s="1"/>
  <c r="N772" i="5"/>
  <c r="K772" i="5"/>
  <c r="L772" i="5" s="1"/>
  <c r="N773" i="5"/>
  <c r="F774" i="5"/>
  <c r="G773" i="5"/>
  <c r="H773" i="5"/>
  <c r="I773" i="5"/>
  <c r="F775" i="5" l="1"/>
  <c r="G774" i="5"/>
  <c r="H774" i="5"/>
  <c r="J774" i="5"/>
  <c r="I774" i="5"/>
  <c r="J773" i="5"/>
  <c r="M772" i="5"/>
  <c r="M771" i="5"/>
  <c r="K773" i="5" l="1"/>
  <c r="L773" i="5" s="1"/>
  <c r="N774" i="5"/>
  <c r="K774" i="5"/>
  <c r="N775" i="5"/>
  <c r="F776" i="5"/>
  <c r="G775" i="5"/>
  <c r="H775" i="5"/>
  <c r="I775" i="5"/>
  <c r="F777" i="5" l="1"/>
  <c r="J776" i="5" s="1"/>
  <c r="G776" i="5"/>
  <c r="H776" i="5"/>
  <c r="L774" i="5"/>
  <c r="J775" i="5"/>
  <c r="M774" i="5"/>
  <c r="M773" i="5"/>
  <c r="K776" i="5" l="1"/>
  <c r="K775" i="5"/>
  <c r="L775" i="5" s="1"/>
  <c r="N776" i="5"/>
  <c r="N777" i="5" s="1"/>
  <c r="F778" i="5"/>
  <c r="G777" i="5"/>
  <c r="I777" i="5"/>
  <c r="H777" i="5"/>
  <c r="I776" i="5"/>
  <c r="F779" i="5" l="1"/>
  <c r="G778" i="5"/>
  <c r="H778" i="5"/>
  <c r="J778" i="5"/>
  <c r="I778" i="5"/>
  <c r="M776" i="5"/>
  <c r="M775" i="5"/>
  <c r="J777" i="5"/>
  <c r="L776" i="5"/>
  <c r="K778" i="5" l="1"/>
  <c r="K777" i="5"/>
  <c r="L777" i="5" s="1"/>
  <c r="N778" i="5"/>
  <c r="N779" i="5" s="1"/>
  <c r="M777" i="5"/>
  <c r="F780" i="5"/>
  <c r="H779" i="5"/>
  <c r="G779" i="5"/>
  <c r="F781" i="5" l="1"/>
  <c r="G780" i="5"/>
  <c r="H780" i="5"/>
  <c r="J780" i="5"/>
  <c r="I780" i="5"/>
  <c r="M778" i="5"/>
  <c r="I779" i="5"/>
  <c r="J779" i="5"/>
  <c r="L778" i="5"/>
  <c r="K780" i="5" l="1"/>
  <c r="K779" i="5"/>
  <c r="L779" i="5" s="1"/>
  <c r="N780" i="5"/>
  <c r="N781" i="5" s="1"/>
  <c r="M779" i="5"/>
  <c r="F782" i="5"/>
  <c r="G781" i="5"/>
  <c r="H781" i="5"/>
  <c r="F783" i="5" l="1"/>
  <c r="G782" i="5"/>
  <c r="H782" i="5"/>
  <c r="I782" i="5"/>
  <c r="J782" i="5"/>
  <c r="M780" i="5"/>
  <c r="J781" i="5"/>
  <c r="I781" i="5"/>
  <c r="L780" i="5"/>
  <c r="K781" i="5" l="1"/>
  <c r="L781" i="5" s="1"/>
  <c r="N782" i="5"/>
  <c r="K782" i="5"/>
  <c r="L782" i="5" s="1"/>
  <c r="N783" i="5"/>
  <c r="M781" i="5"/>
  <c r="F784" i="5"/>
  <c r="G783" i="5"/>
  <c r="H783" i="5"/>
  <c r="F785" i="5" l="1"/>
  <c r="G784" i="5"/>
  <c r="H784" i="5"/>
  <c r="I784" i="5"/>
  <c r="J784" i="5"/>
  <c r="J783" i="5"/>
  <c r="I783" i="5"/>
  <c r="M782" i="5"/>
  <c r="K783" i="5" l="1"/>
  <c r="L783" i="5" s="1"/>
  <c r="N784" i="5"/>
  <c r="K784" i="5"/>
  <c r="L784" i="5" s="1"/>
  <c r="N785" i="5"/>
  <c r="F786" i="5"/>
  <c r="G785" i="5"/>
  <c r="H785" i="5"/>
  <c r="I785" i="5"/>
  <c r="F787" i="5" l="1"/>
  <c r="G786" i="5"/>
  <c r="H786" i="5"/>
  <c r="I786" i="5"/>
  <c r="J786" i="5"/>
  <c r="J785" i="5"/>
  <c r="M784" i="5"/>
  <c r="M783" i="5"/>
  <c r="K785" i="5" l="1"/>
  <c r="L785" i="5" s="1"/>
  <c r="N786" i="5"/>
  <c r="K786" i="5"/>
  <c r="L786" i="5" s="1"/>
  <c r="N787" i="5"/>
  <c r="F788" i="5"/>
  <c r="G787" i="5"/>
  <c r="H787" i="5"/>
  <c r="J787" i="5"/>
  <c r="K787" i="5" l="1"/>
  <c r="L787" i="5" s="1"/>
  <c r="N788" i="5"/>
  <c r="F789" i="5"/>
  <c r="G788" i="5"/>
  <c r="H788" i="5"/>
  <c r="J788" i="5" s="1"/>
  <c r="I788" i="5"/>
  <c r="M787" i="5"/>
  <c r="I787" i="5"/>
  <c r="M786" i="5"/>
  <c r="M785" i="5"/>
  <c r="K788" i="5" l="1"/>
  <c r="L788" i="5" s="1"/>
  <c r="N789" i="5"/>
  <c r="F790" i="5"/>
  <c r="G789" i="5"/>
  <c r="I789" i="5"/>
  <c r="H789" i="5"/>
  <c r="J789" i="5"/>
  <c r="M788" i="5"/>
  <c r="K789" i="5" l="1"/>
  <c r="L789" i="5" s="1"/>
  <c r="N790" i="5"/>
  <c r="F791" i="5"/>
  <c r="G790" i="5"/>
  <c r="H790" i="5"/>
  <c r="I790" i="5"/>
  <c r="J790" i="5"/>
  <c r="M789" i="5"/>
  <c r="K790" i="5" l="1"/>
  <c r="L790" i="5" s="1"/>
  <c r="N791" i="5"/>
  <c r="F792" i="5"/>
  <c r="G791" i="5"/>
  <c r="H791" i="5"/>
  <c r="I791" i="5"/>
  <c r="J791" i="5"/>
  <c r="M790" i="5"/>
  <c r="K791" i="5" l="1"/>
  <c r="L791" i="5" s="1"/>
  <c r="N792" i="5"/>
  <c r="F793" i="5"/>
  <c r="G792" i="5"/>
  <c r="H792" i="5"/>
  <c r="I792" i="5"/>
  <c r="J792" i="5"/>
  <c r="M791" i="5"/>
  <c r="K792" i="5" l="1"/>
  <c r="L792" i="5" s="1"/>
  <c r="N793" i="5"/>
  <c r="F794" i="5"/>
  <c r="G793" i="5"/>
  <c r="H793" i="5"/>
  <c r="I793" i="5"/>
  <c r="J793" i="5"/>
  <c r="M792" i="5"/>
  <c r="K793" i="5" l="1"/>
  <c r="L793" i="5" s="1"/>
  <c r="N794" i="5"/>
  <c r="F795" i="5"/>
  <c r="G794" i="5"/>
  <c r="H794" i="5"/>
  <c r="I794" i="5"/>
  <c r="J794" i="5"/>
  <c r="M793" i="5"/>
  <c r="K794" i="5" l="1"/>
  <c r="L794" i="5" s="1"/>
  <c r="N795" i="5"/>
  <c r="F796" i="5"/>
  <c r="G795" i="5"/>
  <c r="H795" i="5"/>
  <c r="I795" i="5"/>
  <c r="J795" i="5"/>
  <c r="M794" i="5"/>
  <c r="N796" i="5" l="1"/>
  <c r="K795" i="5"/>
  <c r="L795" i="5" s="1"/>
  <c r="F797" i="5"/>
  <c r="G796" i="5"/>
  <c r="H796" i="5"/>
  <c r="J796" i="5"/>
  <c r="I796" i="5"/>
  <c r="M795" i="5"/>
  <c r="K796" i="5" l="1"/>
  <c r="L796" i="5" s="1"/>
  <c r="N797" i="5"/>
  <c r="F798" i="5"/>
  <c r="G797" i="5"/>
  <c r="H797" i="5"/>
  <c r="J797" i="5"/>
  <c r="I797" i="5"/>
  <c r="M796" i="5"/>
  <c r="K797" i="5" l="1"/>
  <c r="L797" i="5" s="1"/>
  <c r="N798" i="5"/>
  <c r="F799" i="5"/>
  <c r="G798" i="5"/>
  <c r="I798" i="5"/>
  <c r="H798" i="5"/>
  <c r="J798" i="5" s="1"/>
  <c r="M797" i="5"/>
  <c r="K798" i="5" l="1"/>
  <c r="L798" i="5" s="1"/>
  <c r="N799" i="5"/>
  <c r="F800" i="5"/>
  <c r="I799" i="5" s="1"/>
  <c r="G799" i="5"/>
  <c r="H799" i="5"/>
  <c r="J799" i="5"/>
  <c r="M798" i="5"/>
  <c r="K799" i="5" l="1"/>
  <c r="L799" i="5" s="1"/>
  <c r="N800" i="5"/>
  <c r="F801" i="5"/>
  <c r="I800" i="5" s="1"/>
  <c r="G800" i="5"/>
  <c r="H800" i="5"/>
  <c r="J800" i="5"/>
  <c r="M799" i="5"/>
  <c r="K800" i="5" l="1"/>
  <c r="L800" i="5" s="1"/>
  <c r="N801" i="5"/>
  <c r="F802" i="5"/>
  <c r="G801" i="5"/>
  <c r="H801" i="5"/>
  <c r="I801" i="5"/>
  <c r="J801" i="5"/>
  <c r="K801" i="5" l="1"/>
  <c r="L801" i="5" s="1"/>
  <c r="N802" i="5"/>
  <c r="M800" i="5"/>
  <c r="F803" i="5"/>
  <c r="G802" i="5"/>
  <c r="H802" i="5"/>
  <c r="I802" i="5"/>
  <c r="J802" i="5"/>
  <c r="F804" i="5" l="1"/>
  <c r="G803" i="5"/>
  <c r="H803" i="5"/>
  <c r="I803" i="5"/>
  <c r="J803" i="5"/>
  <c r="K802" i="5"/>
  <c r="L802" i="5" s="1"/>
  <c r="N803" i="5"/>
  <c r="M801" i="5"/>
  <c r="K803" i="5" l="1"/>
  <c r="L803" i="5" s="1"/>
  <c r="N804" i="5"/>
  <c r="M802" i="5"/>
  <c r="F805" i="5"/>
  <c r="H804" i="5"/>
  <c r="I804" i="5"/>
  <c r="G804" i="5"/>
  <c r="J804" i="5"/>
  <c r="K804" i="5" l="1"/>
  <c r="L804" i="5" s="1"/>
  <c r="N805" i="5"/>
  <c r="M804" i="5"/>
  <c r="F806" i="5"/>
  <c r="G805" i="5"/>
  <c r="H805" i="5"/>
  <c r="I805" i="5"/>
  <c r="J805" i="5"/>
  <c r="M803" i="5"/>
  <c r="K805" i="5" l="1"/>
  <c r="L805" i="5" s="1"/>
  <c r="N806" i="5"/>
  <c r="F807" i="5"/>
  <c r="G806" i="5"/>
  <c r="H806" i="5"/>
  <c r="I806" i="5"/>
  <c r="J806" i="5"/>
  <c r="M805" i="5"/>
  <c r="K806" i="5" l="1"/>
  <c r="L806" i="5" s="1"/>
  <c r="N807" i="5"/>
  <c r="F808" i="5"/>
  <c r="G807" i="5"/>
  <c r="H807" i="5"/>
  <c r="I807" i="5"/>
  <c r="J807" i="5"/>
  <c r="M806" i="5"/>
  <c r="G808" i="5" l="1"/>
  <c r="F809" i="5"/>
  <c r="I808" i="5"/>
  <c r="H808" i="5"/>
  <c r="J808" i="5"/>
  <c r="K807" i="5"/>
  <c r="L807" i="5" s="1"/>
  <c r="N808" i="5"/>
  <c r="M807" i="5"/>
  <c r="K808" i="5" l="1"/>
  <c r="L808" i="5" s="1"/>
  <c r="N809" i="5"/>
  <c r="M808" i="5"/>
  <c r="F810" i="5"/>
  <c r="G809" i="5"/>
  <c r="I809" i="5"/>
  <c r="H809" i="5"/>
  <c r="J809" i="5"/>
  <c r="F811" i="5" l="1"/>
  <c r="H810" i="5"/>
  <c r="I810" i="5"/>
  <c r="G810" i="5"/>
  <c r="J810" i="5"/>
  <c r="K809" i="5"/>
  <c r="L809" i="5" s="1"/>
  <c r="N810" i="5"/>
  <c r="M809" i="5"/>
  <c r="K810" i="5" l="1"/>
  <c r="L810" i="5" s="1"/>
  <c r="N811" i="5"/>
  <c r="F812" i="5"/>
  <c r="H811" i="5"/>
  <c r="G811" i="5"/>
  <c r="I811" i="5"/>
  <c r="J811" i="5"/>
  <c r="K811" i="5" l="1"/>
  <c r="L811" i="5" s="1"/>
  <c r="N812" i="5"/>
  <c r="F813" i="5"/>
  <c r="G812" i="5"/>
  <c r="H812" i="5"/>
  <c r="I812" i="5"/>
  <c r="J812" i="5"/>
  <c r="M810" i="5"/>
  <c r="K812" i="5" l="1"/>
  <c r="L812" i="5" s="1"/>
  <c r="N813" i="5"/>
  <c r="M812" i="5"/>
  <c r="F814" i="5"/>
  <c r="G813" i="5"/>
  <c r="H813" i="5"/>
  <c r="I813" i="5"/>
  <c r="J813" i="5"/>
  <c r="M811" i="5"/>
  <c r="F815" i="5" l="1"/>
  <c r="G814" i="5"/>
  <c r="H814" i="5"/>
  <c r="I814" i="5"/>
  <c r="J814" i="5"/>
  <c r="K813" i="5"/>
  <c r="L813" i="5" s="1"/>
  <c r="N814" i="5"/>
  <c r="M813" i="5"/>
  <c r="K814" i="5" l="1"/>
  <c r="L814" i="5" s="1"/>
  <c r="N815" i="5"/>
  <c r="M814" i="5"/>
  <c r="F816" i="5"/>
  <c r="G815" i="5"/>
  <c r="H815" i="5"/>
  <c r="I815" i="5"/>
  <c r="J815" i="5"/>
  <c r="F817" i="5" l="1"/>
  <c r="G816" i="5"/>
  <c r="H816" i="5"/>
  <c r="I816" i="5"/>
  <c r="J816" i="5"/>
  <c r="K815" i="5"/>
  <c r="L815" i="5" s="1"/>
  <c r="N816" i="5"/>
  <c r="M815" i="5"/>
  <c r="K816" i="5" l="1"/>
  <c r="L816" i="5" s="1"/>
  <c r="N817" i="5"/>
  <c r="M816" i="5"/>
  <c r="F818" i="5"/>
  <c r="G817" i="5"/>
  <c r="H817" i="5"/>
  <c r="J817" i="5" s="1"/>
  <c r="I817" i="5"/>
  <c r="K817" i="5" l="1"/>
  <c r="L817" i="5" s="1"/>
  <c r="N818" i="5"/>
  <c r="F819" i="5"/>
  <c r="G818" i="5"/>
  <c r="H818" i="5"/>
  <c r="I818" i="5"/>
  <c r="J818" i="5"/>
  <c r="M817" i="5"/>
  <c r="K818" i="5" l="1"/>
  <c r="L818" i="5" s="1"/>
  <c r="N819" i="5"/>
  <c r="F820" i="5"/>
  <c r="G819" i="5"/>
  <c r="H819" i="5"/>
  <c r="I819" i="5"/>
  <c r="J819" i="5"/>
  <c r="M818" i="5"/>
  <c r="K819" i="5" l="1"/>
  <c r="L819" i="5" s="1"/>
  <c r="N820" i="5"/>
  <c r="F821" i="5"/>
  <c r="G820" i="5"/>
  <c r="I820" i="5"/>
  <c r="H820" i="5"/>
  <c r="J820" i="5"/>
  <c r="M819" i="5"/>
  <c r="K820" i="5" l="1"/>
  <c r="L820" i="5" s="1"/>
  <c r="N821" i="5"/>
  <c r="F822" i="5"/>
  <c r="G821" i="5"/>
  <c r="I821" i="5"/>
  <c r="H821" i="5"/>
  <c r="J821" i="5"/>
  <c r="M820" i="5"/>
  <c r="K821" i="5" l="1"/>
  <c r="L821" i="5" s="1"/>
  <c r="N822" i="5"/>
  <c r="F823" i="5"/>
  <c r="G822" i="5"/>
  <c r="I822" i="5"/>
  <c r="H822" i="5"/>
  <c r="J822" i="5"/>
  <c r="M821" i="5"/>
  <c r="K822" i="5" l="1"/>
  <c r="L822" i="5" s="1"/>
  <c r="N823" i="5"/>
  <c r="F824" i="5"/>
  <c r="G823" i="5"/>
  <c r="H823" i="5"/>
  <c r="I823" i="5"/>
  <c r="J823" i="5"/>
  <c r="M822" i="5"/>
  <c r="K823" i="5" l="1"/>
  <c r="L823" i="5" s="1"/>
  <c r="N824" i="5"/>
  <c r="F825" i="5"/>
  <c r="G824" i="5"/>
  <c r="H824" i="5"/>
  <c r="I824" i="5"/>
  <c r="J824" i="5"/>
  <c r="M823" i="5"/>
  <c r="K824" i="5" l="1"/>
  <c r="L824" i="5" s="1"/>
  <c r="N825" i="5"/>
  <c r="F826" i="5"/>
  <c r="G825" i="5"/>
  <c r="H825" i="5"/>
  <c r="I825" i="5"/>
  <c r="J825" i="5"/>
  <c r="M824" i="5"/>
  <c r="K825" i="5" l="1"/>
  <c r="L825" i="5" s="1"/>
  <c r="N826" i="5"/>
  <c r="F827" i="5"/>
  <c r="G826" i="5"/>
  <c r="H826" i="5"/>
  <c r="I826" i="5"/>
  <c r="J826" i="5"/>
  <c r="M825" i="5"/>
  <c r="K826" i="5" l="1"/>
  <c r="L826" i="5" s="1"/>
  <c r="N827" i="5"/>
  <c r="F828" i="5"/>
  <c r="G827" i="5"/>
  <c r="H827" i="5"/>
  <c r="I827" i="5"/>
  <c r="J827" i="5"/>
  <c r="M826" i="5"/>
  <c r="N828" i="5" l="1"/>
  <c r="K827" i="5"/>
  <c r="L827" i="5" s="1"/>
  <c r="F829" i="5"/>
  <c r="G828" i="5"/>
  <c r="H828" i="5"/>
  <c r="I828" i="5"/>
  <c r="J828" i="5"/>
  <c r="M827" i="5"/>
  <c r="N829" i="5" l="1"/>
  <c r="K828" i="5"/>
  <c r="L828" i="5" s="1"/>
  <c r="F830" i="5"/>
  <c r="G829" i="5"/>
  <c r="H829" i="5"/>
  <c r="I829" i="5"/>
  <c r="J829" i="5"/>
  <c r="K829" i="5" l="1"/>
  <c r="L829" i="5" s="1"/>
  <c r="N830" i="5"/>
  <c r="G830" i="5"/>
  <c r="F831" i="5"/>
  <c r="I830" i="5"/>
  <c r="H830" i="5"/>
  <c r="J830" i="5"/>
  <c r="M829" i="5"/>
  <c r="M828" i="5"/>
  <c r="K830" i="5" l="1"/>
  <c r="L830" i="5" s="1"/>
  <c r="N831" i="5"/>
  <c r="F832" i="5"/>
  <c r="G831" i="5"/>
  <c r="I831" i="5"/>
  <c r="H831" i="5"/>
  <c r="J831" i="5"/>
  <c r="M830" i="5"/>
  <c r="K831" i="5" l="1"/>
  <c r="L831" i="5" s="1"/>
  <c r="N832" i="5"/>
  <c r="F833" i="5"/>
  <c r="G832" i="5"/>
  <c r="I832" i="5"/>
  <c r="H832" i="5"/>
  <c r="J832" i="5"/>
  <c r="M831" i="5"/>
  <c r="K832" i="5" l="1"/>
  <c r="L832" i="5" s="1"/>
  <c r="N833" i="5"/>
  <c r="F834" i="5"/>
  <c r="G833" i="5"/>
  <c r="H833" i="5"/>
  <c r="J833" i="5"/>
  <c r="I833" i="5"/>
  <c r="M832" i="5"/>
  <c r="K833" i="5" l="1"/>
  <c r="L833" i="5" s="1"/>
  <c r="N834" i="5"/>
  <c r="F835" i="5"/>
  <c r="G834" i="5"/>
  <c r="H834" i="5"/>
  <c r="I834" i="5"/>
  <c r="J834" i="5"/>
  <c r="M833" i="5"/>
  <c r="K834" i="5" l="1"/>
  <c r="L834" i="5" s="1"/>
  <c r="N835" i="5"/>
  <c r="F836" i="5"/>
  <c r="G835" i="5"/>
  <c r="H835" i="5"/>
  <c r="J835" i="5"/>
  <c r="I835" i="5"/>
  <c r="M834" i="5"/>
  <c r="K835" i="5" l="1"/>
  <c r="L835" i="5" s="1"/>
  <c r="N836" i="5"/>
  <c r="F837" i="5"/>
  <c r="G836" i="5"/>
  <c r="H836" i="5"/>
  <c r="I836" i="5"/>
  <c r="J836" i="5"/>
  <c r="M835" i="5"/>
  <c r="K836" i="5" l="1"/>
  <c r="L836" i="5" s="1"/>
  <c r="N837" i="5"/>
  <c r="F838" i="5"/>
  <c r="G837" i="5"/>
  <c r="H837" i="5"/>
  <c r="J837" i="5" s="1"/>
  <c r="I837" i="5"/>
  <c r="M836" i="5"/>
  <c r="K837" i="5" l="1"/>
  <c r="L837" i="5" s="1"/>
  <c r="N838" i="5"/>
  <c r="F839" i="5"/>
  <c r="G838" i="5"/>
  <c r="H838" i="5"/>
  <c r="I838" i="5"/>
  <c r="J838" i="5"/>
  <c r="M837" i="5"/>
  <c r="K838" i="5" l="1"/>
  <c r="L838" i="5" s="1"/>
  <c r="N839" i="5"/>
  <c r="F840" i="5"/>
  <c r="G839" i="5"/>
  <c r="H839" i="5"/>
  <c r="I839" i="5"/>
  <c r="J839" i="5"/>
  <c r="M838" i="5"/>
  <c r="K839" i="5" l="1"/>
  <c r="L839" i="5" s="1"/>
  <c r="N840" i="5"/>
  <c r="F841" i="5"/>
  <c r="I840" i="5"/>
  <c r="G840" i="5"/>
  <c r="J840" i="5"/>
  <c r="H840" i="5"/>
  <c r="M839" i="5"/>
  <c r="K840" i="5" l="1"/>
  <c r="L840" i="5" s="1"/>
  <c r="N841" i="5"/>
  <c r="F842" i="5"/>
  <c r="G841" i="5"/>
  <c r="I841" i="5"/>
  <c r="J841" i="5"/>
  <c r="H841" i="5"/>
  <c r="M840" i="5"/>
  <c r="K841" i="5" l="1"/>
  <c r="L841" i="5" s="1"/>
  <c r="N842" i="5"/>
  <c r="F843" i="5"/>
  <c r="G842" i="5"/>
  <c r="H842" i="5"/>
  <c r="J842" i="5" s="1"/>
  <c r="I842" i="5"/>
  <c r="M841" i="5"/>
  <c r="K842" i="5" l="1"/>
  <c r="L842" i="5" s="1"/>
  <c r="N843" i="5"/>
  <c r="F844" i="5"/>
  <c r="G843" i="5"/>
  <c r="H843" i="5"/>
  <c r="J843" i="5"/>
  <c r="I843" i="5"/>
  <c r="M842" i="5"/>
  <c r="K843" i="5" l="1"/>
  <c r="L843" i="5" s="1"/>
  <c r="N844" i="5"/>
  <c r="F845" i="5"/>
  <c r="G844" i="5"/>
  <c r="I844" i="5"/>
  <c r="J844" i="5"/>
  <c r="H844" i="5"/>
  <c r="M843" i="5"/>
  <c r="K844" i="5" l="1"/>
  <c r="L844" i="5" s="1"/>
  <c r="N845" i="5"/>
  <c r="F846" i="5"/>
  <c r="G845" i="5"/>
  <c r="H845" i="5"/>
  <c r="I845" i="5"/>
  <c r="J845" i="5"/>
  <c r="M844" i="5"/>
  <c r="K845" i="5" l="1"/>
  <c r="L845" i="5" s="1"/>
  <c r="N846" i="5"/>
  <c r="F847" i="5"/>
  <c r="G846" i="5"/>
  <c r="H846" i="5"/>
  <c r="J846" i="5" s="1"/>
  <c r="I846" i="5"/>
  <c r="M845" i="5"/>
  <c r="K846" i="5" l="1"/>
  <c r="L846" i="5" s="1"/>
  <c r="N847" i="5"/>
  <c r="F848" i="5"/>
  <c r="G847" i="5"/>
  <c r="H847" i="5"/>
  <c r="I847" i="5"/>
  <c r="J847" i="5"/>
  <c r="M846" i="5"/>
  <c r="K847" i="5" l="1"/>
  <c r="L847" i="5" s="1"/>
  <c r="N848" i="5"/>
  <c r="F849" i="5"/>
  <c r="G848" i="5"/>
  <c r="H848" i="5"/>
  <c r="I848" i="5"/>
  <c r="J848" i="5"/>
  <c r="M847" i="5"/>
  <c r="F850" i="5" l="1"/>
  <c r="G849" i="5"/>
  <c r="H849" i="5"/>
  <c r="I849" i="5"/>
  <c r="J849" i="5"/>
  <c r="K848" i="5"/>
  <c r="L848" i="5" s="1"/>
  <c r="N849" i="5"/>
  <c r="M848" i="5"/>
  <c r="K849" i="5" l="1"/>
  <c r="L849" i="5" s="1"/>
  <c r="N850" i="5"/>
  <c r="F851" i="5"/>
  <c r="G850" i="5"/>
  <c r="H850" i="5"/>
  <c r="I850" i="5"/>
  <c r="J850" i="5"/>
  <c r="K850" i="5" l="1"/>
  <c r="L850" i="5" s="1"/>
  <c r="N851" i="5"/>
  <c r="F852" i="5"/>
  <c r="G851" i="5"/>
  <c r="H851" i="5"/>
  <c r="J851" i="5"/>
  <c r="I851" i="5"/>
  <c r="M850" i="5"/>
  <c r="M849" i="5"/>
  <c r="K851" i="5" l="1"/>
  <c r="L851" i="5" s="1"/>
  <c r="N852" i="5"/>
  <c r="F853" i="5"/>
  <c r="G852" i="5"/>
  <c r="H852" i="5"/>
  <c r="J852" i="5"/>
  <c r="I852" i="5"/>
  <c r="M851" i="5"/>
  <c r="K852" i="5" l="1"/>
  <c r="L852" i="5" s="1"/>
  <c r="N853" i="5"/>
  <c r="F854" i="5"/>
  <c r="G853" i="5"/>
  <c r="H853" i="5"/>
  <c r="J853" i="5"/>
  <c r="I853" i="5"/>
  <c r="M852" i="5"/>
  <c r="K853" i="5" l="1"/>
  <c r="L853" i="5" s="1"/>
  <c r="N854" i="5"/>
  <c r="G854" i="5"/>
  <c r="F855" i="5"/>
  <c r="H854" i="5"/>
  <c r="I854" i="5"/>
  <c r="J854" i="5"/>
  <c r="M853" i="5"/>
  <c r="K854" i="5" l="1"/>
  <c r="L854" i="5" s="1"/>
  <c r="N855" i="5"/>
  <c r="F856" i="5"/>
  <c r="G855" i="5"/>
  <c r="H855" i="5"/>
  <c r="I855" i="5"/>
  <c r="J855" i="5"/>
  <c r="M854" i="5"/>
  <c r="K855" i="5" l="1"/>
  <c r="L855" i="5" s="1"/>
  <c r="N856" i="5"/>
  <c r="F857" i="5"/>
  <c r="G856" i="5"/>
  <c r="H856" i="5"/>
  <c r="I856" i="5"/>
  <c r="J856" i="5"/>
  <c r="M855" i="5"/>
  <c r="K856" i="5" l="1"/>
  <c r="L856" i="5" s="1"/>
  <c r="N857" i="5"/>
  <c r="F858" i="5"/>
  <c r="G857" i="5"/>
  <c r="H857" i="5"/>
  <c r="I857" i="5"/>
  <c r="J857" i="5"/>
  <c r="M856" i="5"/>
  <c r="K857" i="5" l="1"/>
  <c r="L857" i="5" s="1"/>
  <c r="N858" i="5"/>
  <c r="F859" i="5"/>
  <c r="G858" i="5"/>
  <c r="H858" i="5"/>
  <c r="I858" i="5"/>
  <c r="J858" i="5"/>
  <c r="M857" i="5"/>
  <c r="K858" i="5" l="1"/>
  <c r="L858" i="5" s="1"/>
  <c r="N859" i="5"/>
  <c r="F860" i="5"/>
  <c r="G859" i="5"/>
  <c r="H859" i="5"/>
  <c r="I859" i="5"/>
  <c r="J859" i="5"/>
  <c r="M858" i="5"/>
  <c r="F861" i="5" l="1"/>
  <c r="G860" i="5"/>
  <c r="H860" i="5"/>
  <c r="I860" i="5"/>
  <c r="J860" i="5"/>
  <c r="N860" i="5"/>
  <c r="K859" i="5"/>
  <c r="L859" i="5" s="1"/>
  <c r="M859" i="5" l="1"/>
  <c r="K860" i="5"/>
  <c r="L860" i="5" s="1"/>
  <c r="N861" i="5"/>
  <c r="F862" i="5"/>
  <c r="G861" i="5"/>
  <c r="H861" i="5"/>
  <c r="I861" i="5"/>
  <c r="F863" i="5" l="1"/>
  <c r="G862" i="5"/>
  <c r="I862" i="5"/>
  <c r="H862" i="5"/>
  <c r="J862" i="5"/>
  <c r="J861" i="5"/>
  <c r="M860" i="5"/>
  <c r="K861" i="5" l="1"/>
  <c r="L861" i="5" s="1"/>
  <c r="N862" i="5"/>
  <c r="K862" i="5"/>
  <c r="L862" i="5" s="1"/>
  <c r="N863" i="5"/>
  <c r="F864" i="5"/>
  <c r="I863" i="5"/>
  <c r="H863" i="5"/>
  <c r="J863" i="5"/>
  <c r="G863" i="5"/>
  <c r="K863" i="5" l="1"/>
  <c r="L863" i="5" s="1"/>
  <c r="N864" i="5"/>
  <c r="M863" i="5"/>
  <c r="F865" i="5"/>
  <c r="I864" i="5" s="1"/>
  <c r="H864" i="5"/>
  <c r="J864" i="5"/>
  <c r="G864" i="5"/>
  <c r="M862" i="5"/>
  <c r="M861" i="5"/>
  <c r="K864" i="5" l="1"/>
  <c r="L864" i="5" s="1"/>
  <c r="N865" i="5"/>
  <c r="F866" i="5"/>
  <c r="G865" i="5"/>
  <c r="H865" i="5"/>
  <c r="I865" i="5"/>
  <c r="J865" i="5"/>
  <c r="M864" i="5"/>
  <c r="K865" i="5" l="1"/>
  <c r="L865" i="5" s="1"/>
  <c r="N866" i="5"/>
  <c r="F867" i="5"/>
  <c r="G866" i="5"/>
  <c r="H866" i="5"/>
  <c r="I866" i="5"/>
  <c r="J866" i="5"/>
  <c r="M865" i="5"/>
  <c r="K866" i="5" l="1"/>
  <c r="L866" i="5" s="1"/>
  <c r="N867" i="5"/>
  <c r="F868" i="5"/>
  <c r="H867" i="5"/>
  <c r="I867" i="5"/>
  <c r="J867" i="5"/>
  <c r="G867" i="5"/>
  <c r="M866" i="5"/>
  <c r="K867" i="5" l="1"/>
  <c r="L867" i="5" s="1"/>
  <c r="N868" i="5"/>
  <c r="F869" i="5"/>
  <c r="G868" i="5"/>
  <c r="H868" i="5"/>
  <c r="I868" i="5"/>
  <c r="J868" i="5"/>
  <c r="M867" i="5"/>
  <c r="K868" i="5" l="1"/>
  <c r="L868" i="5" s="1"/>
  <c r="N869" i="5"/>
  <c r="F870" i="5"/>
  <c r="G869" i="5"/>
  <c r="H869" i="5"/>
  <c r="I869" i="5"/>
  <c r="J869" i="5"/>
  <c r="M868" i="5"/>
  <c r="K869" i="5" l="1"/>
  <c r="L869" i="5" s="1"/>
  <c r="N870" i="5"/>
  <c r="F871" i="5"/>
  <c r="G870" i="5"/>
  <c r="H870" i="5"/>
  <c r="J870" i="5"/>
  <c r="I870" i="5"/>
  <c r="M869" i="5"/>
  <c r="K870" i="5" l="1"/>
  <c r="L870" i="5" s="1"/>
  <c r="N871" i="5"/>
  <c r="F872" i="5"/>
  <c r="G871" i="5"/>
  <c r="H871" i="5"/>
  <c r="J871" i="5" s="1"/>
  <c r="I871" i="5"/>
  <c r="M870" i="5"/>
  <c r="K871" i="5" l="1"/>
  <c r="L871" i="5" s="1"/>
  <c r="N872" i="5"/>
  <c r="F873" i="5"/>
  <c r="I872" i="5" s="1"/>
  <c r="G872" i="5"/>
  <c r="H872" i="5"/>
  <c r="J872" i="5"/>
  <c r="M871" i="5"/>
  <c r="K872" i="5" l="1"/>
  <c r="L872" i="5" s="1"/>
  <c r="N873" i="5"/>
  <c r="F874" i="5"/>
  <c r="G873" i="5"/>
  <c r="I873" i="5"/>
  <c r="H873" i="5"/>
  <c r="J873" i="5"/>
  <c r="K873" i="5" l="1"/>
  <c r="L873" i="5" s="1"/>
  <c r="N874" i="5"/>
  <c r="M872" i="5"/>
  <c r="F875" i="5"/>
  <c r="H874" i="5"/>
  <c r="G874" i="5"/>
  <c r="I874" i="5"/>
  <c r="F876" i="5" l="1"/>
  <c r="G875" i="5"/>
  <c r="H875" i="5"/>
  <c r="I875" i="5"/>
  <c r="J875" i="5"/>
  <c r="J874" i="5"/>
  <c r="M873" i="5"/>
  <c r="K874" i="5" l="1"/>
  <c r="L874" i="5" s="1"/>
  <c r="N875" i="5"/>
  <c r="K875" i="5"/>
  <c r="L875" i="5" s="1"/>
  <c r="N876" i="5"/>
  <c r="F877" i="5"/>
  <c r="G876" i="5"/>
  <c r="H876" i="5"/>
  <c r="I876" i="5"/>
  <c r="F878" i="5" l="1"/>
  <c r="I877" i="5" s="1"/>
  <c r="G877" i="5"/>
  <c r="H877" i="5"/>
  <c r="J877" i="5"/>
  <c r="J876" i="5"/>
  <c r="M875" i="5"/>
  <c r="M874" i="5"/>
  <c r="K876" i="5" l="1"/>
  <c r="L876" i="5" s="1"/>
  <c r="N877" i="5"/>
  <c r="K877" i="5"/>
  <c r="L877" i="5" s="1"/>
  <c r="N878" i="5"/>
  <c r="F879" i="5"/>
  <c r="G878" i="5"/>
  <c r="H878" i="5"/>
  <c r="I878" i="5"/>
  <c r="G879" i="5" l="1"/>
  <c r="F880" i="5"/>
  <c r="H879" i="5"/>
  <c r="I879" i="5"/>
  <c r="J879" i="5"/>
  <c r="J878" i="5"/>
  <c r="M877" i="5"/>
  <c r="M876" i="5"/>
  <c r="K878" i="5" l="1"/>
  <c r="L878" i="5" s="1"/>
  <c r="N879" i="5"/>
  <c r="K879" i="5"/>
  <c r="L879" i="5" s="1"/>
  <c r="N880" i="5"/>
  <c r="F881" i="5"/>
  <c r="G880" i="5"/>
  <c r="H880" i="5"/>
  <c r="I880" i="5"/>
  <c r="F882" i="5" l="1"/>
  <c r="G881" i="5"/>
  <c r="H881" i="5"/>
  <c r="I881" i="5"/>
  <c r="J881" i="5"/>
  <c r="J880" i="5"/>
  <c r="M879" i="5"/>
  <c r="M878" i="5"/>
  <c r="K880" i="5" l="1"/>
  <c r="L880" i="5" s="1"/>
  <c r="N881" i="5"/>
  <c r="N882" i="5" s="1"/>
  <c r="K881" i="5"/>
  <c r="L881" i="5" s="1"/>
  <c r="F883" i="5"/>
  <c r="H882" i="5"/>
  <c r="G882" i="5"/>
  <c r="I882" i="5"/>
  <c r="F884" i="5" l="1"/>
  <c r="G883" i="5"/>
  <c r="H883" i="5"/>
  <c r="I883" i="5"/>
  <c r="J883" i="5"/>
  <c r="J882" i="5"/>
  <c r="M881" i="5"/>
  <c r="M880" i="5"/>
  <c r="K883" i="5" l="1"/>
  <c r="K882" i="5"/>
  <c r="L882" i="5" s="1"/>
  <c r="N883" i="5"/>
  <c r="N884" i="5" s="1"/>
  <c r="F885" i="5"/>
  <c r="G884" i="5"/>
  <c r="J884" i="5"/>
  <c r="H884" i="5"/>
  <c r="F886" i="5" l="1"/>
  <c r="G885" i="5"/>
  <c r="I885" i="5"/>
  <c r="H885" i="5"/>
  <c r="J885" i="5"/>
  <c r="M883" i="5"/>
  <c r="M882" i="5"/>
  <c r="K884" i="5"/>
  <c r="L884" i="5" s="1"/>
  <c r="N885" i="5"/>
  <c r="I884" i="5"/>
  <c r="L883" i="5"/>
  <c r="K885" i="5" l="1"/>
  <c r="L885" i="5" s="1"/>
  <c r="N886" i="5"/>
  <c r="M884" i="5"/>
  <c r="F887" i="5"/>
  <c r="G886" i="5"/>
  <c r="I886" i="5"/>
  <c r="H886" i="5"/>
  <c r="F888" i="5" l="1"/>
  <c r="G887" i="5"/>
  <c r="H887" i="5"/>
  <c r="J887" i="5"/>
  <c r="I887" i="5"/>
  <c r="J886" i="5"/>
  <c r="M885" i="5"/>
  <c r="K886" i="5" l="1"/>
  <c r="L886" i="5" s="1"/>
  <c r="N887" i="5"/>
  <c r="K887" i="5"/>
  <c r="L887" i="5" s="1"/>
  <c r="N888" i="5"/>
  <c r="F889" i="5"/>
  <c r="G888" i="5"/>
  <c r="H888" i="5"/>
  <c r="I888" i="5"/>
  <c r="F890" i="5" l="1"/>
  <c r="G889" i="5"/>
  <c r="H889" i="5"/>
  <c r="J889" i="5"/>
  <c r="I889" i="5"/>
  <c r="J888" i="5"/>
  <c r="M887" i="5"/>
  <c r="M886" i="5"/>
  <c r="K889" i="5" l="1"/>
  <c r="K888" i="5"/>
  <c r="L888" i="5" s="1"/>
  <c r="N889" i="5"/>
  <c r="N890" i="5" s="1"/>
  <c r="F891" i="5"/>
  <c r="G890" i="5"/>
  <c r="H890" i="5"/>
  <c r="I890" i="5"/>
  <c r="F892" i="5" l="1"/>
  <c r="G891" i="5"/>
  <c r="H891" i="5"/>
  <c r="I891" i="5"/>
  <c r="J891" i="5"/>
  <c r="M889" i="5"/>
  <c r="M888" i="5"/>
  <c r="J890" i="5"/>
  <c r="L889" i="5"/>
  <c r="K891" i="5" l="1"/>
  <c r="K890" i="5"/>
  <c r="L890" i="5" s="1"/>
  <c r="N891" i="5"/>
  <c r="N892" i="5" s="1"/>
  <c r="M890" i="5"/>
  <c r="F893" i="5"/>
  <c r="G892" i="5"/>
  <c r="H892" i="5"/>
  <c r="F894" i="5" l="1"/>
  <c r="H893" i="5"/>
  <c r="G893" i="5"/>
  <c r="I893" i="5"/>
  <c r="J893" i="5"/>
  <c r="J892" i="5"/>
  <c r="L891" i="5"/>
  <c r="I892" i="5"/>
  <c r="N893" i="5" l="1"/>
  <c r="K892" i="5"/>
  <c r="L892" i="5" s="1"/>
  <c r="M891" i="5"/>
  <c r="K893" i="5"/>
  <c r="L893" i="5" s="1"/>
  <c r="N894" i="5"/>
  <c r="F895" i="5"/>
  <c r="G894" i="5"/>
  <c r="H894" i="5"/>
  <c r="F896" i="5" l="1"/>
  <c r="G895" i="5"/>
  <c r="I895" i="5"/>
  <c r="H895" i="5"/>
  <c r="J895" i="5"/>
  <c r="M893" i="5"/>
  <c r="J894" i="5"/>
  <c r="I894" i="5"/>
  <c r="M892" i="5"/>
  <c r="K894" i="5" l="1"/>
  <c r="L894" i="5" s="1"/>
  <c r="N895" i="5"/>
  <c r="K895" i="5"/>
  <c r="L895" i="5" s="1"/>
  <c r="N896" i="5"/>
  <c r="F897" i="5"/>
  <c r="G896" i="5"/>
  <c r="I896" i="5"/>
  <c r="H896" i="5"/>
  <c r="F898" i="5" l="1"/>
  <c r="G897" i="5"/>
  <c r="H897" i="5"/>
  <c r="I897" i="5"/>
  <c r="J897" i="5"/>
  <c r="J896" i="5"/>
  <c r="M895" i="5"/>
  <c r="M894" i="5"/>
  <c r="K896" i="5" l="1"/>
  <c r="L896" i="5" s="1"/>
  <c r="N897" i="5"/>
  <c r="N898" i="5" s="1"/>
  <c r="K897" i="5"/>
  <c r="F899" i="5"/>
  <c r="G898" i="5"/>
  <c r="H898" i="5"/>
  <c r="I898" i="5"/>
  <c r="J898" i="5"/>
  <c r="F900" i="5" l="1"/>
  <c r="G899" i="5"/>
  <c r="H899" i="5"/>
  <c r="I899" i="5"/>
  <c r="J899" i="5"/>
  <c r="L897" i="5"/>
  <c r="K898" i="5"/>
  <c r="N899" i="5"/>
  <c r="M896" i="5"/>
  <c r="L898" i="5" l="1"/>
  <c r="K899" i="5"/>
  <c r="L899" i="5" s="1"/>
  <c r="N900" i="5"/>
  <c r="M897" i="5"/>
  <c r="F901" i="5"/>
  <c r="G900" i="5"/>
  <c r="H900" i="5"/>
  <c r="F902" i="5" l="1"/>
  <c r="G901" i="5"/>
  <c r="H901" i="5"/>
  <c r="I901" i="5"/>
  <c r="J901" i="5"/>
  <c r="M899" i="5"/>
  <c r="J900" i="5"/>
  <c r="I900" i="5"/>
  <c r="M898" i="5"/>
  <c r="K900" i="5" l="1"/>
  <c r="L900" i="5" s="1"/>
  <c r="N901" i="5"/>
  <c r="K901" i="5"/>
  <c r="L901" i="5" s="1"/>
  <c r="N902" i="5"/>
  <c r="F903" i="5"/>
  <c r="G902" i="5"/>
  <c r="H902" i="5"/>
  <c r="I902" i="5"/>
  <c r="F904" i="5" l="1"/>
  <c r="G903" i="5"/>
  <c r="H903" i="5"/>
  <c r="I903" i="5"/>
  <c r="J903" i="5"/>
  <c r="J902" i="5"/>
  <c r="M901" i="5"/>
  <c r="M900" i="5"/>
  <c r="K902" i="5" l="1"/>
  <c r="L902" i="5" s="1"/>
  <c r="N903" i="5"/>
  <c r="K903" i="5"/>
  <c r="L903" i="5" s="1"/>
  <c r="N904" i="5"/>
  <c r="F905" i="5"/>
  <c r="G904" i="5"/>
  <c r="I904" i="5"/>
  <c r="H904" i="5"/>
  <c r="F906" i="5" l="1"/>
  <c r="G905" i="5"/>
  <c r="I905" i="5"/>
  <c r="H905" i="5"/>
  <c r="J905" i="5"/>
  <c r="J904" i="5"/>
  <c r="M903" i="5"/>
  <c r="M902" i="5"/>
  <c r="K905" i="5" l="1"/>
  <c r="K904" i="5"/>
  <c r="L904" i="5" s="1"/>
  <c r="N905" i="5"/>
  <c r="N906" i="5" s="1"/>
  <c r="F907" i="5"/>
  <c r="G906" i="5"/>
  <c r="H906" i="5"/>
  <c r="J906" i="5"/>
  <c r="K906" i="5" l="1"/>
  <c r="N907" i="5"/>
  <c r="F908" i="5"/>
  <c r="G907" i="5"/>
  <c r="H907" i="5"/>
  <c r="J907" i="5"/>
  <c r="I907" i="5"/>
  <c r="M905" i="5"/>
  <c r="M904" i="5"/>
  <c r="I906" i="5"/>
  <c r="L905" i="5"/>
  <c r="K907" i="5" l="1"/>
  <c r="N908" i="5"/>
  <c r="M906" i="5"/>
  <c r="F909" i="5"/>
  <c r="G908" i="5"/>
  <c r="H908" i="5"/>
  <c r="J908" i="5"/>
  <c r="I908" i="5"/>
  <c r="L906" i="5"/>
  <c r="K908" i="5" l="1"/>
  <c r="N909" i="5"/>
  <c r="F910" i="5"/>
  <c r="G909" i="5"/>
  <c r="H909" i="5"/>
  <c r="I909" i="5"/>
  <c r="J909" i="5"/>
  <c r="M907" i="5"/>
  <c r="L907" i="5"/>
  <c r="K909" i="5" l="1"/>
  <c r="L909" i="5" s="1"/>
  <c r="N910" i="5"/>
  <c r="F911" i="5"/>
  <c r="G910" i="5"/>
  <c r="H910" i="5"/>
  <c r="I910" i="5"/>
  <c r="J910" i="5"/>
  <c r="M908" i="5"/>
  <c r="L908" i="5"/>
  <c r="M909" i="5" s="1"/>
  <c r="K910" i="5" l="1"/>
  <c r="L910" i="5" s="1"/>
  <c r="N911" i="5"/>
  <c r="F912" i="5"/>
  <c r="G911" i="5"/>
  <c r="H911" i="5"/>
  <c r="I911" i="5"/>
  <c r="J911" i="5"/>
  <c r="M910" i="5"/>
  <c r="K911" i="5" l="1"/>
  <c r="L911" i="5" s="1"/>
  <c r="N912" i="5"/>
  <c r="F913" i="5"/>
  <c r="G912" i="5"/>
  <c r="H912" i="5"/>
  <c r="I912" i="5"/>
  <c r="J912" i="5"/>
  <c r="M911" i="5"/>
  <c r="K912" i="5" l="1"/>
  <c r="L912" i="5" s="1"/>
  <c r="N913" i="5"/>
  <c r="F914" i="5"/>
  <c r="G913" i="5"/>
  <c r="H913" i="5"/>
  <c r="I913" i="5"/>
  <c r="J913" i="5"/>
  <c r="M912" i="5"/>
  <c r="K913" i="5" l="1"/>
  <c r="L913" i="5" s="1"/>
  <c r="N914" i="5"/>
  <c r="F915" i="5"/>
  <c r="G914" i="5"/>
  <c r="H914" i="5"/>
  <c r="I914" i="5"/>
  <c r="J914" i="5"/>
  <c r="M913" i="5"/>
  <c r="K914" i="5" l="1"/>
  <c r="L914" i="5" s="1"/>
  <c r="N915" i="5"/>
  <c r="G915" i="5"/>
  <c r="H915" i="5"/>
  <c r="F916" i="5"/>
  <c r="J915" i="5"/>
  <c r="I915" i="5"/>
  <c r="M914" i="5"/>
  <c r="K915" i="5" l="1"/>
  <c r="L915" i="5" s="1"/>
  <c r="N916" i="5"/>
  <c r="F917" i="5"/>
  <c r="G916" i="5"/>
  <c r="H916" i="5"/>
  <c r="J916" i="5"/>
  <c r="I916" i="5"/>
  <c r="M915" i="5"/>
  <c r="K916" i="5" l="1"/>
  <c r="L916" i="5" s="1"/>
  <c r="N917" i="5"/>
  <c r="G917" i="5"/>
  <c r="F918" i="5"/>
  <c r="I917" i="5"/>
  <c r="H917" i="5"/>
  <c r="J917" i="5"/>
  <c r="M916" i="5"/>
  <c r="K917" i="5" l="1"/>
  <c r="L917" i="5" s="1"/>
  <c r="N918" i="5"/>
  <c r="G918" i="5"/>
  <c r="F919" i="5"/>
  <c r="H918" i="5"/>
  <c r="I918" i="5"/>
  <c r="J918" i="5"/>
  <c r="M917" i="5"/>
  <c r="K918" i="5" l="1"/>
  <c r="L918" i="5" s="1"/>
  <c r="N919" i="5"/>
  <c r="F920" i="5"/>
  <c r="G919" i="5"/>
  <c r="H919" i="5"/>
  <c r="I919" i="5"/>
  <c r="J919" i="5"/>
  <c r="M918" i="5"/>
  <c r="K919" i="5" l="1"/>
  <c r="L919" i="5" s="1"/>
  <c r="N920" i="5"/>
  <c r="F921" i="5"/>
  <c r="G920" i="5"/>
  <c r="H920" i="5"/>
  <c r="I920" i="5"/>
  <c r="J920" i="5"/>
  <c r="M919" i="5"/>
  <c r="K920" i="5" l="1"/>
  <c r="L920" i="5" s="1"/>
  <c r="N921" i="5"/>
  <c r="F922" i="5"/>
  <c r="H921" i="5"/>
  <c r="I921" i="5"/>
  <c r="G921" i="5"/>
  <c r="J921" i="5"/>
  <c r="M920" i="5"/>
  <c r="K921" i="5" l="1"/>
  <c r="L921" i="5" s="1"/>
  <c r="N922" i="5"/>
  <c r="F923" i="5"/>
  <c r="G922" i="5"/>
  <c r="H922" i="5"/>
  <c r="I922" i="5"/>
  <c r="J922" i="5"/>
  <c r="M921" i="5"/>
  <c r="K922" i="5" l="1"/>
  <c r="L922" i="5" s="1"/>
  <c r="N923" i="5"/>
  <c r="F924" i="5"/>
  <c r="H923" i="5"/>
  <c r="G923" i="5"/>
  <c r="I923" i="5"/>
  <c r="J923" i="5"/>
  <c r="M922" i="5"/>
  <c r="N924" i="5" l="1"/>
  <c r="K923" i="5"/>
  <c r="L923" i="5" s="1"/>
  <c r="F925" i="5"/>
  <c r="G924" i="5"/>
  <c r="H924" i="5"/>
  <c r="J924" i="5"/>
  <c r="I924" i="5"/>
  <c r="M923" i="5"/>
  <c r="K924" i="5" l="1"/>
  <c r="L924" i="5" s="1"/>
  <c r="N925" i="5"/>
  <c r="F926" i="5"/>
  <c r="G925" i="5"/>
  <c r="H925" i="5"/>
  <c r="J925" i="5"/>
  <c r="I925" i="5"/>
  <c r="M924" i="5"/>
  <c r="K925" i="5" l="1"/>
  <c r="L925" i="5" s="1"/>
  <c r="N926" i="5"/>
  <c r="F927" i="5"/>
  <c r="G926" i="5"/>
  <c r="J926" i="5"/>
  <c r="H926" i="5"/>
  <c r="I926" i="5"/>
  <c r="M925" i="5"/>
  <c r="K926" i="5" l="1"/>
  <c r="L926" i="5" s="1"/>
  <c r="N927" i="5"/>
  <c r="F928" i="5"/>
  <c r="I927" i="5" s="1"/>
  <c r="G927" i="5"/>
  <c r="J927" i="5"/>
  <c r="H927" i="5"/>
  <c r="M926" i="5"/>
  <c r="K927" i="5" l="1"/>
  <c r="L927" i="5" s="1"/>
  <c r="N928" i="5"/>
  <c r="F929" i="5"/>
  <c r="G928" i="5"/>
  <c r="I928" i="5"/>
  <c r="J928" i="5"/>
  <c r="H928" i="5"/>
  <c r="M927" i="5"/>
  <c r="K928" i="5" l="1"/>
  <c r="L928" i="5" s="1"/>
  <c r="N929" i="5"/>
  <c r="F930" i="5"/>
  <c r="G929" i="5"/>
  <c r="H929" i="5"/>
  <c r="I929" i="5"/>
  <c r="J929" i="5"/>
  <c r="M928" i="5"/>
  <c r="K929" i="5" l="1"/>
  <c r="L929" i="5" s="1"/>
  <c r="N930" i="5"/>
  <c r="F931" i="5"/>
  <c r="G930" i="5"/>
  <c r="H930" i="5"/>
  <c r="I930" i="5"/>
  <c r="J930" i="5"/>
  <c r="M929" i="5"/>
  <c r="K930" i="5" l="1"/>
  <c r="L930" i="5" s="1"/>
  <c r="N931" i="5"/>
  <c r="F932" i="5"/>
  <c r="H931" i="5"/>
  <c r="G931" i="5"/>
  <c r="I931" i="5"/>
  <c r="J931" i="5"/>
  <c r="M930" i="5"/>
  <c r="K931" i="5" l="1"/>
  <c r="L931" i="5" s="1"/>
  <c r="N932" i="5"/>
  <c r="F933" i="5"/>
  <c r="G932" i="5"/>
  <c r="H932" i="5"/>
  <c r="I932" i="5"/>
  <c r="J932" i="5"/>
  <c r="M931" i="5"/>
  <c r="K932" i="5" l="1"/>
  <c r="L932" i="5" s="1"/>
  <c r="N933" i="5"/>
  <c r="G933" i="5"/>
  <c r="F934" i="5"/>
  <c r="H933" i="5"/>
  <c r="I933" i="5"/>
  <c r="J933" i="5"/>
  <c r="M932" i="5"/>
  <c r="K933" i="5" l="1"/>
  <c r="L933" i="5" s="1"/>
  <c r="N934" i="5"/>
  <c r="F935" i="5"/>
  <c r="G934" i="5"/>
  <c r="H934" i="5"/>
  <c r="J934" i="5" s="1"/>
  <c r="I934" i="5"/>
  <c r="M933" i="5"/>
  <c r="K934" i="5" l="1"/>
  <c r="L934" i="5" s="1"/>
  <c r="N935" i="5"/>
  <c r="F936" i="5"/>
  <c r="G935" i="5"/>
  <c r="H935" i="5"/>
  <c r="I935" i="5"/>
  <c r="J935" i="5"/>
  <c r="M934" i="5"/>
  <c r="K935" i="5" l="1"/>
  <c r="L935" i="5" s="1"/>
  <c r="N936" i="5"/>
  <c r="F937" i="5"/>
  <c r="G936" i="5"/>
  <c r="I936" i="5"/>
  <c r="H936" i="5"/>
  <c r="J936" i="5"/>
  <c r="M935" i="5"/>
  <c r="F938" i="5" l="1"/>
  <c r="G937" i="5"/>
  <c r="I937" i="5"/>
  <c r="H937" i="5"/>
  <c r="J937" i="5"/>
  <c r="K936" i="5"/>
  <c r="L936" i="5" s="1"/>
  <c r="N937" i="5"/>
  <c r="M936" i="5"/>
  <c r="K937" i="5" l="1"/>
  <c r="L937" i="5" s="1"/>
  <c r="N938" i="5"/>
  <c r="M937" i="5"/>
  <c r="F939" i="5"/>
  <c r="G938" i="5"/>
  <c r="H938" i="5"/>
  <c r="I938" i="5"/>
  <c r="J938" i="5"/>
  <c r="F940" i="5" l="1"/>
  <c r="G939" i="5"/>
  <c r="H939" i="5"/>
  <c r="I939" i="5"/>
  <c r="J939" i="5"/>
  <c r="K938" i="5"/>
  <c r="L938" i="5" s="1"/>
  <c r="N939" i="5"/>
  <c r="M938" i="5"/>
  <c r="K939" i="5" l="1"/>
  <c r="L939" i="5" s="1"/>
  <c r="N940" i="5"/>
  <c r="M939" i="5"/>
  <c r="F941" i="5"/>
  <c r="G940" i="5"/>
  <c r="H940" i="5"/>
  <c r="J940" i="5"/>
  <c r="F942" i="5" l="1"/>
  <c r="H941" i="5"/>
  <c r="G941" i="5"/>
  <c r="I941" i="5"/>
  <c r="J941" i="5"/>
  <c r="K940" i="5"/>
  <c r="L940" i="5" s="1"/>
  <c r="N941" i="5"/>
  <c r="I940" i="5"/>
  <c r="K941" i="5" l="1"/>
  <c r="L941" i="5" s="1"/>
  <c r="N942" i="5"/>
  <c r="M940" i="5"/>
  <c r="F943" i="5"/>
  <c r="G942" i="5"/>
  <c r="H942" i="5"/>
  <c r="I942" i="5"/>
  <c r="F944" i="5" l="1"/>
  <c r="I943" i="5" s="1"/>
  <c r="G943" i="5"/>
  <c r="H943" i="5"/>
  <c r="J943" i="5"/>
  <c r="J942" i="5"/>
  <c r="M941" i="5"/>
  <c r="K943" i="5" l="1"/>
  <c r="K942" i="5"/>
  <c r="L942" i="5" s="1"/>
  <c r="N943" i="5"/>
  <c r="N944" i="5" s="1"/>
  <c r="F945" i="5"/>
  <c r="G944" i="5"/>
  <c r="H944" i="5"/>
  <c r="I944" i="5"/>
  <c r="F946" i="5" l="1"/>
  <c r="G945" i="5"/>
  <c r="H945" i="5"/>
  <c r="I945" i="5"/>
  <c r="J945" i="5"/>
  <c r="M943" i="5"/>
  <c r="M942" i="5"/>
  <c r="J944" i="5"/>
  <c r="L943" i="5"/>
  <c r="K944" i="5" l="1"/>
  <c r="L944" i="5" s="1"/>
  <c r="N945" i="5"/>
  <c r="K945" i="5"/>
  <c r="L945" i="5" s="1"/>
  <c r="N946" i="5"/>
  <c r="M944" i="5"/>
  <c r="F947" i="5"/>
  <c r="G946" i="5"/>
  <c r="H946" i="5"/>
  <c r="F948" i="5" l="1"/>
  <c r="G947" i="5"/>
  <c r="H947" i="5"/>
  <c r="I947" i="5"/>
  <c r="J947" i="5"/>
  <c r="J946" i="5"/>
  <c r="I946" i="5"/>
  <c r="M945" i="5"/>
  <c r="K946" i="5" l="1"/>
  <c r="L946" i="5" s="1"/>
  <c r="N947" i="5"/>
  <c r="K947" i="5"/>
  <c r="L947" i="5" s="1"/>
  <c r="N948" i="5"/>
  <c r="F949" i="5"/>
  <c r="G948" i="5"/>
  <c r="I948" i="5"/>
  <c r="H948" i="5"/>
  <c r="F950" i="5" l="1"/>
  <c r="G949" i="5"/>
  <c r="I949" i="5"/>
  <c r="H949" i="5"/>
  <c r="J949" i="5"/>
  <c r="J948" i="5"/>
  <c r="M947" i="5"/>
  <c r="M946" i="5"/>
  <c r="K948" i="5" l="1"/>
  <c r="L948" i="5" s="1"/>
  <c r="N949" i="5"/>
  <c r="K949" i="5"/>
  <c r="L949" i="5" s="1"/>
  <c r="N950" i="5"/>
  <c r="F951" i="5"/>
  <c r="G950" i="5"/>
  <c r="I950" i="5"/>
  <c r="H950" i="5"/>
  <c r="F952" i="5" l="1"/>
  <c r="G951" i="5"/>
  <c r="H951" i="5"/>
  <c r="I951" i="5"/>
  <c r="J951" i="5"/>
  <c r="J950" i="5"/>
  <c r="M949" i="5"/>
  <c r="M948" i="5"/>
  <c r="K950" i="5" l="1"/>
  <c r="L950" i="5" s="1"/>
  <c r="N951" i="5"/>
  <c r="K951" i="5"/>
  <c r="L951" i="5" s="1"/>
  <c r="N952" i="5"/>
  <c r="F953" i="5"/>
  <c r="G952" i="5"/>
  <c r="H952" i="5"/>
  <c r="I952" i="5"/>
  <c r="F954" i="5" l="1"/>
  <c r="G953" i="5"/>
  <c r="H953" i="5"/>
  <c r="I953" i="5"/>
  <c r="J953" i="5"/>
  <c r="J952" i="5"/>
  <c r="M951" i="5"/>
  <c r="M950" i="5"/>
  <c r="K952" i="5" l="1"/>
  <c r="L952" i="5" s="1"/>
  <c r="N953" i="5"/>
  <c r="K953" i="5"/>
  <c r="L953" i="5" s="1"/>
  <c r="N954" i="5"/>
  <c r="F955" i="5"/>
  <c r="G954" i="5"/>
  <c r="H954" i="5"/>
  <c r="I954" i="5"/>
  <c r="F956" i="5" l="1"/>
  <c r="H955" i="5"/>
  <c r="G955" i="5"/>
  <c r="I955" i="5"/>
  <c r="J955" i="5"/>
  <c r="J954" i="5"/>
  <c r="M953" i="5"/>
  <c r="M952" i="5"/>
  <c r="K954" i="5" l="1"/>
  <c r="L954" i="5" s="1"/>
  <c r="N955" i="5"/>
  <c r="N956" i="5"/>
  <c r="K955" i="5"/>
  <c r="L955" i="5" s="1"/>
  <c r="F957" i="5"/>
  <c r="G956" i="5"/>
  <c r="H956" i="5"/>
  <c r="I956" i="5"/>
  <c r="F958" i="5" l="1"/>
  <c r="G957" i="5"/>
  <c r="H957" i="5"/>
  <c r="I957" i="5"/>
  <c r="J957" i="5"/>
  <c r="J956" i="5"/>
  <c r="M955" i="5"/>
  <c r="M954" i="5"/>
  <c r="K956" i="5" l="1"/>
  <c r="L956" i="5" s="1"/>
  <c r="N957" i="5"/>
  <c r="N958" i="5"/>
  <c r="K957" i="5"/>
  <c r="L957" i="5" s="1"/>
  <c r="F959" i="5"/>
  <c r="G958" i="5"/>
  <c r="H958" i="5"/>
  <c r="F960" i="5" l="1"/>
  <c r="G959" i="5"/>
  <c r="I959" i="5"/>
  <c r="H959" i="5"/>
  <c r="J959" i="5"/>
  <c r="I958" i="5"/>
  <c r="J958" i="5"/>
  <c r="M957" i="5"/>
  <c r="M956" i="5"/>
  <c r="K958" i="5" l="1"/>
  <c r="L958" i="5" s="1"/>
  <c r="N959" i="5"/>
  <c r="K959" i="5"/>
  <c r="L959" i="5" s="1"/>
  <c r="N960" i="5"/>
  <c r="F961" i="5"/>
  <c r="G960" i="5"/>
  <c r="H960" i="5"/>
  <c r="J960" i="5"/>
  <c r="K960" i="5" l="1"/>
  <c r="L960" i="5" s="1"/>
  <c r="N961" i="5"/>
  <c r="F962" i="5"/>
  <c r="G961" i="5"/>
  <c r="H961" i="5"/>
  <c r="J961" i="5"/>
  <c r="I961" i="5"/>
  <c r="M960" i="5"/>
  <c r="I960" i="5"/>
  <c r="M959" i="5"/>
  <c r="M958" i="5"/>
  <c r="K961" i="5" l="1"/>
  <c r="L961" i="5" s="1"/>
  <c r="N962" i="5"/>
  <c r="F963" i="5"/>
  <c r="H962" i="5"/>
  <c r="G962" i="5"/>
  <c r="I962" i="5"/>
  <c r="J962" i="5"/>
  <c r="M961" i="5"/>
  <c r="K962" i="5" l="1"/>
  <c r="L962" i="5" s="1"/>
  <c r="N963" i="5"/>
  <c r="F964" i="5"/>
  <c r="G963" i="5"/>
  <c r="H963" i="5"/>
  <c r="I963" i="5"/>
  <c r="J963" i="5"/>
  <c r="M962" i="5"/>
  <c r="K963" i="5" l="1"/>
  <c r="L963" i="5" s="1"/>
  <c r="N964" i="5"/>
  <c r="F965" i="5"/>
  <c r="G964" i="5"/>
  <c r="H964" i="5"/>
  <c r="I964" i="5"/>
  <c r="J964" i="5"/>
  <c r="M963" i="5"/>
  <c r="K964" i="5" l="1"/>
  <c r="L964" i="5" s="1"/>
  <c r="N965" i="5"/>
  <c r="F966" i="5"/>
  <c r="H965" i="5"/>
  <c r="I965" i="5"/>
  <c r="G965" i="5"/>
  <c r="J965" i="5"/>
  <c r="M964" i="5"/>
  <c r="K965" i="5" l="1"/>
  <c r="L965" i="5" s="1"/>
  <c r="N966" i="5"/>
  <c r="F967" i="5"/>
  <c r="G966" i="5"/>
  <c r="H966" i="5"/>
  <c r="I966" i="5"/>
  <c r="J966" i="5"/>
  <c r="M965" i="5"/>
  <c r="K966" i="5" l="1"/>
  <c r="L966" i="5" s="1"/>
  <c r="N967" i="5"/>
  <c r="F968" i="5"/>
  <c r="H967" i="5"/>
  <c r="I967" i="5"/>
  <c r="G967" i="5"/>
  <c r="J967" i="5"/>
  <c r="M966" i="5"/>
  <c r="K967" i="5" l="1"/>
  <c r="L967" i="5" s="1"/>
  <c r="N968" i="5"/>
  <c r="F969" i="5"/>
  <c r="G968" i="5"/>
  <c r="H968" i="5"/>
  <c r="J968" i="5"/>
  <c r="M967" i="5"/>
  <c r="K968" i="5" l="1"/>
  <c r="L968" i="5" s="1"/>
  <c r="N969" i="5"/>
  <c r="F970" i="5"/>
  <c r="G969" i="5"/>
  <c r="I969" i="5"/>
  <c r="H969" i="5"/>
  <c r="J969" i="5"/>
  <c r="I968" i="5"/>
  <c r="M968" i="5"/>
  <c r="F971" i="5" l="1"/>
  <c r="G970" i="5"/>
  <c r="H970" i="5"/>
  <c r="I970" i="5"/>
  <c r="J970" i="5"/>
  <c r="K969" i="5"/>
  <c r="L969" i="5" s="1"/>
  <c r="N970" i="5"/>
  <c r="M969" i="5"/>
  <c r="K970" i="5" l="1"/>
  <c r="L970" i="5" s="1"/>
  <c r="N971" i="5"/>
  <c r="F972" i="5"/>
  <c r="G971" i="5"/>
  <c r="H971" i="5"/>
  <c r="I971" i="5"/>
  <c r="J971" i="5"/>
  <c r="K971" i="5" l="1"/>
  <c r="L971" i="5" s="1"/>
  <c r="N972" i="5"/>
  <c r="F973" i="5"/>
  <c r="G972" i="5"/>
  <c r="H972" i="5"/>
  <c r="J972" i="5" s="1"/>
  <c r="M971" i="5"/>
  <c r="M970" i="5"/>
  <c r="K972" i="5" l="1"/>
  <c r="L972" i="5" s="1"/>
  <c r="N973" i="5"/>
  <c r="F974" i="5"/>
  <c r="G973" i="5"/>
  <c r="H973" i="5"/>
  <c r="I973" i="5"/>
  <c r="J973" i="5"/>
  <c r="I972" i="5"/>
  <c r="M972" i="5"/>
  <c r="K973" i="5" l="1"/>
  <c r="L973" i="5" s="1"/>
  <c r="N974" i="5"/>
  <c r="G974" i="5"/>
  <c r="F975" i="5"/>
  <c r="H974" i="5"/>
  <c r="I974" i="5"/>
  <c r="J974" i="5"/>
  <c r="M973" i="5"/>
  <c r="K974" i="5" l="1"/>
  <c r="L974" i="5" s="1"/>
  <c r="N975" i="5"/>
  <c r="F976" i="5"/>
  <c r="G975" i="5"/>
  <c r="H975" i="5"/>
  <c r="J975" i="5"/>
  <c r="M974" i="5"/>
  <c r="K975" i="5" l="1"/>
  <c r="L975" i="5" s="1"/>
  <c r="N976" i="5"/>
  <c r="F977" i="5"/>
  <c r="H976" i="5"/>
  <c r="G976" i="5"/>
  <c r="I976" i="5"/>
  <c r="J976" i="5"/>
  <c r="I975" i="5"/>
  <c r="M975" i="5"/>
  <c r="F978" i="5" l="1"/>
  <c r="G977" i="5"/>
  <c r="H977" i="5"/>
  <c r="J977" i="5"/>
  <c r="I977" i="5"/>
  <c r="K976" i="5"/>
  <c r="L976" i="5" s="1"/>
  <c r="N977" i="5"/>
  <c r="M976" i="5"/>
  <c r="K977" i="5" l="1"/>
  <c r="L977" i="5" s="1"/>
  <c r="N978" i="5"/>
  <c r="M977" i="5"/>
  <c r="F979" i="5"/>
  <c r="G978" i="5"/>
  <c r="H978" i="5"/>
  <c r="I978" i="5"/>
  <c r="J978" i="5"/>
  <c r="K978" i="5" l="1"/>
  <c r="L978" i="5" s="1"/>
  <c r="N979" i="5"/>
  <c r="F980" i="5"/>
  <c r="G979" i="5"/>
  <c r="H979" i="5"/>
  <c r="I979" i="5"/>
  <c r="J979" i="5"/>
  <c r="M978" i="5"/>
  <c r="F981" i="5" l="1"/>
  <c r="G980" i="5"/>
  <c r="H980" i="5"/>
  <c r="I980" i="5"/>
  <c r="J980" i="5"/>
  <c r="K979" i="5"/>
  <c r="L979" i="5" s="1"/>
  <c r="N980" i="5"/>
  <c r="M979" i="5"/>
  <c r="K980" i="5" l="1"/>
  <c r="L980" i="5" s="1"/>
  <c r="N981" i="5"/>
  <c r="F982" i="5"/>
  <c r="G981" i="5"/>
  <c r="H981" i="5"/>
  <c r="I981" i="5"/>
  <c r="J981" i="5"/>
  <c r="K981" i="5" l="1"/>
  <c r="L981" i="5" s="1"/>
  <c r="N982" i="5"/>
  <c r="F983" i="5"/>
  <c r="G982" i="5"/>
  <c r="H982" i="5"/>
  <c r="I982" i="5"/>
  <c r="J982" i="5"/>
  <c r="M981" i="5"/>
  <c r="M980" i="5"/>
  <c r="K982" i="5" l="1"/>
  <c r="L982" i="5" s="1"/>
  <c r="N983" i="5"/>
  <c r="F984" i="5"/>
  <c r="G983" i="5"/>
  <c r="H983" i="5"/>
  <c r="I983" i="5"/>
  <c r="J983" i="5"/>
  <c r="M982" i="5"/>
  <c r="F985" i="5" l="1"/>
  <c r="G984" i="5"/>
  <c r="H984" i="5"/>
  <c r="I984" i="5"/>
  <c r="J984" i="5"/>
  <c r="K983" i="5"/>
  <c r="L983" i="5" s="1"/>
  <c r="N984" i="5"/>
  <c r="M983" i="5"/>
  <c r="K984" i="5" l="1"/>
  <c r="L984" i="5" s="1"/>
  <c r="N985" i="5"/>
  <c r="F986" i="5"/>
  <c r="G985" i="5"/>
  <c r="H985" i="5"/>
  <c r="I985" i="5"/>
  <c r="J985" i="5"/>
  <c r="K985" i="5" l="1"/>
  <c r="L985" i="5" s="1"/>
  <c r="N986" i="5"/>
  <c r="F987" i="5"/>
  <c r="G986" i="5"/>
  <c r="H986" i="5"/>
  <c r="I986" i="5"/>
  <c r="J986" i="5"/>
  <c r="M985" i="5"/>
  <c r="M984" i="5"/>
  <c r="F988" i="5" l="1"/>
  <c r="H987" i="5"/>
  <c r="G987" i="5"/>
  <c r="I987" i="5"/>
  <c r="J987" i="5"/>
  <c r="K986" i="5"/>
  <c r="L986" i="5" s="1"/>
  <c r="N987" i="5"/>
  <c r="M986" i="5"/>
  <c r="N988" i="5" l="1"/>
  <c r="K987" i="5"/>
  <c r="L987" i="5" s="1"/>
  <c r="F989" i="5"/>
  <c r="G988" i="5"/>
  <c r="H988" i="5"/>
  <c r="I988" i="5"/>
  <c r="J988" i="5"/>
  <c r="F990" i="5" l="1"/>
  <c r="G989" i="5"/>
  <c r="H989" i="5"/>
  <c r="I989" i="5"/>
  <c r="J989" i="5"/>
  <c r="K988" i="5"/>
  <c r="L988" i="5" s="1"/>
  <c r="N989" i="5"/>
  <c r="M988" i="5"/>
  <c r="M987" i="5"/>
  <c r="K989" i="5" l="1"/>
  <c r="L989" i="5" s="1"/>
  <c r="N990" i="5"/>
  <c r="F991" i="5"/>
  <c r="G990" i="5"/>
  <c r="I990" i="5"/>
  <c r="H990" i="5"/>
  <c r="J990" i="5"/>
  <c r="K990" i="5" l="1"/>
  <c r="L990" i="5" s="1"/>
  <c r="N991" i="5"/>
  <c r="F992" i="5"/>
  <c r="G991" i="5"/>
  <c r="H991" i="5"/>
  <c r="J991" i="5"/>
  <c r="M990" i="5"/>
  <c r="M989" i="5"/>
  <c r="K991" i="5" l="1"/>
  <c r="L991" i="5" s="1"/>
  <c r="N992" i="5"/>
  <c r="F993" i="5"/>
  <c r="G992" i="5"/>
  <c r="H992" i="5"/>
  <c r="J992" i="5" s="1"/>
  <c r="I992" i="5"/>
  <c r="I991" i="5"/>
  <c r="M991" i="5"/>
  <c r="K992" i="5" l="1"/>
  <c r="L992" i="5" s="1"/>
  <c r="N993" i="5"/>
  <c r="F994" i="5"/>
  <c r="G993" i="5"/>
  <c r="H993" i="5"/>
  <c r="J993" i="5"/>
  <c r="I993" i="5"/>
  <c r="M992" i="5"/>
  <c r="K993" i="5" l="1"/>
  <c r="L993" i="5" s="1"/>
  <c r="N994" i="5"/>
  <c r="F995" i="5"/>
  <c r="H994" i="5"/>
  <c r="G994" i="5"/>
  <c r="J994" i="5"/>
  <c r="I994" i="5"/>
  <c r="M993" i="5"/>
  <c r="F996" i="5" l="1"/>
  <c r="G995" i="5"/>
  <c r="H995" i="5"/>
  <c r="I995" i="5"/>
  <c r="J995" i="5"/>
  <c r="K994" i="5"/>
  <c r="L994" i="5" s="1"/>
  <c r="N995" i="5"/>
  <c r="M994" i="5"/>
  <c r="K995" i="5" l="1"/>
  <c r="L995" i="5" s="1"/>
  <c r="N996" i="5"/>
  <c r="M995" i="5"/>
  <c r="G996" i="5"/>
  <c r="F997" i="5"/>
  <c r="H996" i="5"/>
  <c r="I996" i="5"/>
  <c r="J996" i="5"/>
  <c r="K996" i="5" l="1"/>
  <c r="L996" i="5" s="1"/>
  <c r="N997" i="5"/>
  <c r="F998" i="5"/>
  <c r="G997" i="5"/>
  <c r="H997" i="5"/>
  <c r="I997" i="5"/>
  <c r="J997" i="5"/>
  <c r="M996" i="5"/>
  <c r="F999" i="5" l="1"/>
  <c r="G998" i="5"/>
  <c r="H998" i="5"/>
  <c r="I998" i="5"/>
  <c r="J998" i="5"/>
  <c r="K997" i="5"/>
  <c r="L997" i="5" s="1"/>
  <c r="N998" i="5"/>
  <c r="M997" i="5"/>
  <c r="K998" i="5" l="1"/>
  <c r="L998" i="5" s="1"/>
  <c r="N999" i="5"/>
  <c r="M998" i="5"/>
  <c r="F1000" i="5"/>
  <c r="G999" i="5"/>
  <c r="H999" i="5"/>
  <c r="I999" i="5"/>
  <c r="J999" i="5"/>
  <c r="K999" i="5" l="1"/>
  <c r="L999" i="5" s="1"/>
  <c r="N1000" i="5"/>
  <c r="F1001" i="5"/>
  <c r="G1000" i="5"/>
  <c r="H1000" i="5"/>
  <c r="I1000" i="5"/>
  <c r="J1000" i="5"/>
  <c r="M999" i="5"/>
  <c r="K1000" i="5" l="1"/>
  <c r="L1000" i="5" s="1"/>
  <c r="N1001" i="5"/>
  <c r="F1002" i="5"/>
  <c r="G1001" i="5"/>
  <c r="H1001" i="5"/>
  <c r="I1001" i="5"/>
  <c r="J1001" i="5"/>
  <c r="M1000" i="5"/>
  <c r="K1001" i="5" l="1"/>
  <c r="L1001" i="5" s="1"/>
  <c r="N1002" i="5"/>
  <c r="F1003" i="5"/>
  <c r="G1002" i="5"/>
  <c r="H1002" i="5"/>
  <c r="I1002" i="5"/>
  <c r="J1002" i="5"/>
  <c r="M1001" i="5"/>
  <c r="K1002" i="5" l="1"/>
  <c r="L1002" i="5" s="1"/>
  <c r="N1003" i="5"/>
  <c r="F1004" i="5"/>
  <c r="G1003" i="5"/>
  <c r="H1003" i="5"/>
  <c r="I1003" i="5"/>
  <c r="J1003" i="5"/>
  <c r="M1002" i="5"/>
  <c r="K1003" i="5" l="1"/>
  <c r="L1003" i="5" s="1"/>
  <c r="N1004" i="5"/>
  <c r="F1005" i="5"/>
  <c r="G1004" i="5"/>
  <c r="H1004" i="5"/>
  <c r="I1004" i="5"/>
  <c r="J1004" i="5"/>
  <c r="M1003" i="5"/>
  <c r="K1004" i="5" l="1"/>
  <c r="L1004" i="5" s="1"/>
  <c r="N1005" i="5"/>
  <c r="F1006" i="5"/>
  <c r="G1005" i="5"/>
  <c r="H1005" i="5"/>
  <c r="J1005" i="5" s="1"/>
  <c r="I1005" i="5"/>
  <c r="M1004" i="5"/>
  <c r="K1005" i="5" l="1"/>
  <c r="L1005" i="5" s="1"/>
  <c r="N1006" i="5"/>
  <c r="F1007" i="5"/>
  <c r="G1006" i="5"/>
  <c r="H1006" i="5"/>
  <c r="I1006" i="5"/>
  <c r="J1006" i="5"/>
  <c r="M1005" i="5"/>
  <c r="K1006" i="5" l="1"/>
  <c r="L1006" i="5" s="1"/>
  <c r="N1007" i="5"/>
  <c r="F1008" i="5"/>
  <c r="G1007" i="5"/>
  <c r="H1007" i="5"/>
  <c r="I1007" i="5"/>
  <c r="J1007" i="5"/>
  <c r="M1006" i="5"/>
  <c r="K1007" i="5" l="1"/>
  <c r="L1007" i="5" s="1"/>
  <c r="N1008" i="5"/>
  <c r="F1009" i="5"/>
  <c r="H1008" i="5"/>
  <c r="G1008" i="5"/>
  <c r="I1008" i="5"/>
  <c r="J1008" i="5"/>
  <c r="M1007" i="5"/>
  <c r="K1008" i="5" l="1"/>
  <c r="L1008" i="5" s="1"/>
  <c r="N1009" i="5"/>
  <c r="F1010" i="5"/>
  <c r="H1009" i="5"/>
  <c r="G1009" i="5"/>
  <c r="J1009" i="5"/>
  <c r="I1009" i="5"/>
  <c r="M1008" i="5"/>
  <c r="K1009" i="5" l="1"/>
  <c r="L1009" i="5" s="1"/>
  <c r="N1010" i="5"/>
  <c r="F1011" i="5"/>
  <c r="H1010" i="5"/>
  <c r="J1010" i="5" s="1"/>
  <c r="G1010" i="5"/>
  <c r="I1010" i="5"/>
  <c r="M1009" i="5"/>
  <c r="K1010" i="5" l="1"/>
  <c r="L1010" i="5" s="1"/>
  <c r="N1011" i="5"/>
  <c r="F1012" i="5"/>
  <c r="G1011" i="5"/>
  <c r="H1011" i="5"/>
  <c r="I1011" i="5"/>
  <c r="J1011" i="5"/>
  <c r="M1010" i="5"/>
  <c r="K1011" i="5" l="1"/>
  <c r="L1011" i="5" s="1"/>
  <c r="N1012" i="5"/>
  <c r="F1013" i="5"/>
  <c r="G1012" i="5"/>
  <c r="I1012" i="5"/>
  <c r="J1012" i="5"/>
  <c r="H1012" i="5"/>
  <c r="M1011" i="5"/>
  <c r="K1012" i="5" l="1"/>
  <c r="L1012" i="5" s="1"/>
  <c r="N1013" i="5"/>
  <c r="F1014" i="5"/>
  <c r="G1013" i="5"/>
  <c r="I1013" i="5"/>
  <c r="J1013" i="5"/>
  <c r="H1013" i="5"/>
  <c r="M1012" i="5"/>
  <c r="K1013" i="5" l="1"/>
  <c r="L1013" i="5" s="1"/>
  <c r="N1014" i="5"/>
  <c r="F1015" i="5"/>
  <c r="G1014" i="5"/>
  <c r="I1014" i="5"/>
  <c r="J1014" i="5"/>
  <c r="H1014" i="5"/>
  <c r="M1013" i="5"/>
  <c r="K1014" i="5" l="1"/>
  <c r="L1014" i="5" s="1"/>
  <c r="N1015" i="5"/>
  <c r="F1016" i="5"/>
  <c r="G1015" i="5"/>
  <c r="H1015" i="5"/>
  <c r="M1014" i="5"/>
  <c r="F1017" i="5" l="1"/>
  <c r="G1016" i="5"/>
  <c r="H1016" i="5"/>
  <c r="I1016" i="5"/>
  <c r="J1016" i="5"/>
  <c r="J1015" i="5"/>
  <c r="I1015" i="5"/>
  <c r="K1015" i="5" l="1"/>
  <c r="L1015" i="5" s="1"/>
  <c r="N1016" i="5"/>
  <c r="K1016" i="5"/>
  <c r="L1016" i="5" s="1"/>
  <c r="N1017" i="5"/>
  <c r="F1018" i="5"/>
  <c r="G1017" i="5"/>
  <c r="H1017" i="5"/>
  <c r="F1019" i="5" l="1"/>
  <c r="H1018" i="5"/>
  <c r="G1018" i="5"/>
  <c r="I1018" i="5"/>
  <c r="J1018" i="5"/>
  <c r="I1017" i="5"/>
  <c r="J1017" i="5"/>
  <c r="M1016" i="5"/>
  <c r="M1015" i="5"/>
  <c r="K1017" i="5" l="1"/>
  <c r="L1017" i="5" s="1"/>
  <c r="N1018" i="5"/>
  <c r="K1018" i="5"/>
  <c r="L1018" i="5" s="1"/>
  <c r="N1019" i="5"/>
  <c r="F1020" i="5"/>
  <c r="I1019" i="5" s="1"/>
  <c r="G1019" i="5"/>
  <c r="H1019" i="5"/>
  <c r="F1021" i="5" l="1"/>
  <c r="H1020" i="5"/>
  <c r="G1020" i="5"/>
  <c r="I1020" i="5"/>
  <c r="J1020" i="5"/>
  <c r="J1019" i="5"/>
  <c r="M1018" i="5"/>
  <c r="M1017" i="5"/>
  <c r="N1020" i="5" l="1"/>
  <c r="K1019" i="5"/>
  <c r="L1019" i="5" s="1"/>
  <c r="N1021" i="5"/>
  <c r="K1020" i="5"/>
  <c r="L1020" i="5" s="1"/>
  <c r="F1022" i="5"/>
  <c r="G1021" i="5"/>
  <c r="H1021" i="5"/>
  <c r="I1021" i="5"/>
  <c r="F1023" i="5" l="1"/>
  <c r="G1022" i="5"/>
  <c r="I1022" i="5"/>
  <c r="H1022" i="5"/>
  <c r="J1022" i="5"/>
  <c r="M1020" i="5"/>
  <c r="M1019" i="5"/>
  <c r="J1021" i="5"/>
  <c r="F1024" i="5" l="1"/>
  <c r="G1023" i="5"/>
  <c r="I1023" i="5"/>
  <c r="H1023" i="5"/>
  <c r="J1023" i="5"/>
  <c r="K1022" i="5"/>
  <c r="N1023" i="5"/>
  <c r="K1021" i="5"/>
  <c r="L1021" i="5" s="1"/>
  <c r="N1022" i="5"/>
  <c r="M1021" i="5" l="1"/>
  <c r="L1022" i="5"/>
  <c r="K1023" i="5"/>
  <c r="L1023" i="5" s="1"/>
  <c r="N1024" i="5"/>
  <c r="F1025" i="5"/>
  <c r="G1024" i="5"/>
  <c r="H1024" i="5"/>
  <c r="F1026" i="5" l="1"/>
  <c r="G1025" i="5"/>
  <c r="H1025" i="5"/>
  <c r="J1025" i="5"/>
  <c r="I1025" i="5"/>
  <c r="M1023" i="5"/>
  <c r="I1024" i="5"/>
  <c r="J1024" i="5"/>
  <c r="M1022" i="5"/>
  <c r="K1025" i="5" l="1"/>
  <c r="N1026" i="5"/>
  <c r="F1027" i="5"/>
  <c r="G1026" i="5"/>
  <c r="H1026" i="5"/>
  <c r="I1026" i="5"/>
  <c r="J1026" i="5"/>
  <c r="K1024" i="5"/>
  <c r="L1024" i="5" s="1"/>
  <c r="N1025" i="5"/>
  <c r="K1026" i="5" l="1"/>
  <c r="N1027" i="5"/>
  <c r="M1025" i="5"/>
  <c r="M1024" i="5"/>
  <c r="F1028" i="5"/>
  <c r="G1027" i="5"/>
  <c r="H1027" i="5"/>
  <c r="I1027" i="5"/>
  <c r="L1025" i="5"/>
  <c r="F1029" i="5" l="1"/>
  <c r="G1028" i="5"/>
  <c r="H1028" i="5"/>
  <c r="I1028" i="5"/>
  <c r="J1028" i="5"/>
  <c r="J1027" i="5"/>
  <c r="L1026" i="5"/>
  <c r="M1026" i="5" s="1"/>
  <c r="K1027" i="5" l="1"/>
  <c r="L1027" i="5" s="1"/>
  <c r="N1028" i="5"/>
  <c r="K1028" i="5"/>
  <c r="L1028" i="5" s="1"/>
  <c r="N1029" i="5"/>
  <c r="F1030" i="5"/>
  <c r="G1029" i="5"/>
  <c r="H1029" i="5"/>
  <c r="G1030" i="5" l="1"/>
  <c r="F1031" i="5"/>
  <c r="H1030" i="5"/>
  <c r="I1030" i="5"/>
  <c r="J1030" i="5"/>
  <c r="J1029" i="5"/>
  <c r="M1028" i="5"/>
  <c r="I1029" i="5"/>
  <c r="M1027" i="5"/>
  <c r="K1029" i="5" l="1"/>
  <c r="L1029" i="5" s="1"/>
  <c r="N1030" i="5"/>
  <c r="K1030" i="5"/>
  <c r="L1030" i="5" s="1"/>
  <c r="N1031" i="5"/>
  <c r="F1032" i="5"/>
  <c r="H1031" i="5"/>
  <c r="G1031" i="5"/>
  <c r="I1031" i="5"/>
  <c r="F1033" i="5" l="1"/>
  <c r="G1032" i="5"/>
  <c r="H1032" i="5"/>
  <c r="I1032" i="5"/>
  <c r="J1032" i="5"/>
  <c r="J1031" i="5"/>
  <c r="M1030" i="5"/>
  <c r="M1029" i="5"/>
  <c r="K1032" i="5" l="1"/>
  <c r="N1033" i="5"/>
  <c r="G1033" i="5"/>
  <c r="F1034" i="5"/>
  <c r="H1033" i="5"/>
  <c r="J1033" i="5" s="1"/>
  <c r="I1033" i="5"/>
  <c r="K1031" i="5"/>
  <c r="L1031" i="5" s="1"/>
  <c r="N1032" i="5"/>
  <c r="K1033" i="5" l="1"/>
  <c r="L1033" i="5" s="1"/>
  <c r="N1034" i="5"/>
  <c r="M1032" i="5"/>
  <c r="M1031" i="5"/>
  <c r="F1035" i="5"/>
  <c r="G1034" i="5"/>
  <c r="H1034" i="5"/>
  <c r="I1034" i="5"/>
  <c r="L1032" i="5"/>
  <c r="M1033" i="5" s="1"/>
  <c r="F1036" i="5" l="1"/>
  <c r="H1035" i="5"/>
  <c r="G1035" i="5"/>
  <c r="I1035" i="5"/>
  <c r="J1035" i="5"/>
  <c r="J1034" i="5"/>
  <c r="K1035" i="5" l="1"/>
  <c r="K1034" i="5"/>
  <c r="L1034" i="5" s="1"/>
  <c r="N1035" i="5"/>
  <c r="N1036" i="5" s="1"/>
  <c r="F1037" i="5"/>
  <c r="G1036" i="5"/>
  <c r="I1036" i="5"/>
  <c r="H1036" i="5"/>
  <c r="F1038" i="5" l="1"/>
  <c r="G1037" i="5"/>
  <c r="H1037" i="5"/>
  <c r="I1037" i="5"/>
  <c r="J1037" i="5"/>
  <c r="M1035" i="5"/>
  <c r="M1034" i="5"/>
  <c r="J1036" i="5"/>
  <c r="L1035" i="5"/>
  <c r="K1037" i="5" l="1"/>
  <c r="K1036" i="5"/>
  <c r="L1036" i="5" s="1"/>
  <c r="N1037" i="5"/>
  <c r="N1038" i="5" s="1"/>
  <c r="M1036" i="5"/>
  <c r="F1039" i="5"/>
  <c r="G1038" i="5"/>
  <c r="H1038" i="5"/>
  <c r="F1040" i="5" l="1"/>
  <c r="G1039" i="5"/>
  <c r="I1039" i="5"/>
  <c r="H1039" i="5"/>
  <c r="J1039" i="5"/>
  <c r="M1037" i="5"/>
  <c r="J1038" i="5"/>
  <c r="I1038" i="5"/>
  <c r="L1037" i="5"/>
  <c r="K1038" i="5" l="1"/>
  <c r="L1038" i="5" s="1"/>
  <c r="N1039" i="5"/>
  <c r="K1039" i="5"/>
  <c r="L1039" i="5" s="1"/>
  <c r="N1040" i="5"/>
  <c r="M1038" i="5"/>
  <c r="F1041" i="5"/>
  <c r="G1040" i="5"/>
  <c r="H1040" i="5"/>
  <c r="F1042" i="5" l="1"/>
  <c r="G1041" i="5"/>
  <c r="H1041" i="5"/>
  <c r="J1041" i="5"/>
  <c r="I1041" i="5"/>
  <c r="J1040" i="5"/>
  <c r="I1040" i="5"/>
  <c r="M1039" i="5"/>
  <c r="K1041" i="5" l="1"/>
  <c r="K1040" i="5"/>
  <c r="L1040" i="5" s="1"/>
  <c r="N1041" i="5"/>
  <c r="N1042" i="5" s="1"/>
  <c r="F1043" i="5"/>
  <c r="G1042" i="5"/>
  <c r="H1042" i="5"/>
  <c r="I1042" i="5"/>
  <c r="F1044" i="5" l="1"/>
  <c r="G1043" i="5"/>
  <c r="H1043" i="5"/>
  <c r="I1043" i="5"/>
  <c r="J1043" i="5"/>
  <c r="M1041" i="5"/>
  <c r="M1040" i="5"/>
  <c r="J1042" i="5"/>
  <c r="L1041" i="5"/>
  <c r="K1042" i="5" l="1"/>
  <c r="L1042" i="5" s="1"/>
  <c r="N1043" i="5"/>
  <c r="K1043" i="5"/>
  <c r="L1043" i="5" s="1"/>
  <c r="N1044" i="5"/>
  <c r="M1042" i="5"/>
  <c r="F1045" i="5"/>
  <c r="G1044" i="5"/>
  <c r="H1044" i="5"/>
  <c r="F1046" i="5" l="1"/>
  <c r="G1045" i="5"/>
  <c r="H1045" i="5"/>
  <c r="I1045" i="5"/>
  <c r="J1045" i="5"/>
  <c r="J1044" i="5"/>
  <c r="I1044" i="5"/>
  <c r="M1043" i="5"/>
  <c r="K1044" i="5" l="1"/>
  <c r="L1044" i="5" s="1"/>
  <c r="N1045" i="5"/>
  <c r="K1045" i="5"/>
  <c r="L1045" i="5" s="1"/>
  <c r="N1046" i="5"/>
  <c r="G1046" i="5"/>
  <c r="F1047" i="5"/>
  <c r="H1046" i="5"/>
  <c r="I1046" i="5"/>
  <c r="F1048" i="5" l="1"/>
  <c r="G1047" i="5"/>
  <c r="H1047" i="5"/>
  <c r="I1047" i="5"/>
  <c r="J1047" i="5"/>
  <c r="J1046" i="5"/>
  <c r="M1045" i="5"/>
  <c r="M1044" i="5"/>
  <c r="K1047" i="5" l="1"/>
  <c r="L1047" i="5" s="1"/>
  <c r="N1048" i="5"/>
  <c r="K1046" i="5"/>
  <c r="L1046" i="5" s="1"/>
  <c r="N1047" i="5"/>
  <c r="F1049" i="5"/>
  <c r="G1048" i="5"/>
  <c r="H1048" i="5"/>
  <c r="I1048" i="5"/>
  <c r="M1047" i="5" l="1"/>
  <c r="M1046" i="5"/>
  <c r="F1050" i="5"/>
  <c r="G1049" i="5"/>
  <c r="H1049" i="5"/>
  <c r="I1049" i="5"/>
  <c r="J1049" i="5"/>
  <c r="J1048" i="5"/>
  <c r="K1048" i="5" l="1"/>
  <c r="L1048" i="5" s="1"/>
  <c r="N1049" i="5"/>
  <c r="K1049" i="5"/>
  <c r="L1049" i="5" s="1"/>
  <c r="N1050" i="5"/>
  <c r="F1051" i="5"/>
  <c r="H1050" i="5"/>
  <c r="I1050" i="5"/>
  <c r="G1050" i="5"/>
  <c r="F1052" i="5" l="1"/>
  <c r="G1051" i="5"/>
  <c r="H1051" i="5"/>
  <c r="I1051" i="5"/>
  <c r="J1051" i="5"/>
  <c r="J1050" i="5"/>
  <c r="M1049" i="5"/>
  <c r="M1048" i="5"/>
  <c r="K1050" i="5" l="1"/>
  <c r="L1050" i="5" s="1"/>
  <c r="N1051" i="5"/>
  <c r="N1052" i="5"/>
  <c r="K1051" i="5"/>
  <c r="L1051" i="5" s="1"/>
  <c r="F1053" i="5"/>
  <c r="G1052" i="5"/>
  <c r="H1052" i="5"/>
  <c r="I1052" i="5"/>
  <c r="F1054" i="5" l="1"/>
  <c r="G1053" i="5"/>
  <c r="H1053" i="5"/>
  <c r="I1053" i="5"/>
  <c r="J1053" i="5"/>
  <c r="J1052" i="5"/>
  <c r="M1051" i="5"/>
  <c r="M1050" i="5"/>
  <c r="K1052" i="5" l="1"/>
  <c r="L1052" i="5" s="1"/>
  <c r="N1053" i="5"/>
  <c r="K1053" i="5"/>
  <c r="L1053" i="5" s="1"/>
  <c r="N1054" i="5"/>
  <c r="F1055" i="5"/>
  <c r="G1054" i="5"/>
  <c r="I1054" i="5"/>
  <c r="H1054" i="5"/>
  <c r="F1056" i="5" l="1"/>
  <c r="G1055" i="5"/>
  <c r="I1055" i="5"/>
  <c r="H1055" i="5"/>
  <c r="J1055" i="5"/>
  <c r="J1054" i="5"/>
  <c r="M1053" i="5"/>
  <c r="M1052" i="5"/>
  <c r="K1054" i="5" l="1"/>
  <c r="L1054" i="5" s="1"/>
  <c r="N1055" i="5"/>
  <c r="K1055" i="5"/>
  <c r="L1055" i="5" s="1"/>
  <c r="N1056" i="5"/>
  <c r="F1057" i="5"/>
  <c r="H1056" i="5"/>
  <c r="J1056" i="5"/>
  <c r="G1056" i="5"/>
  <c r="K1056" i="5" l="1"/>
  <c r="L1056" i="5" s="1"/>
  <c r="N1057" i="5"/>
  <c r="F1058" i="5"/>
  <c r="H1057" i="5"/>
  <c r="G1057" i="5"/>
  <c r="J1057" i="5"/>
  <c r="I1057" i="5"/>
  <c r="M1056" i="5"/>
  <c r="I1056" i="5"/>
  <c r="M1055" i="5"/>
  <c r="M1054" i="5"/>
  <c r="K1057" i="5" l="1"/>
  <c r="L1057" i="5" s="1"/>
  <c r="N1058" i="5"/>
  <c r="F1059" i="5"/>
  <c r="G1058" i="5"/>
  <c r="H1058" i="5"/>
  <c r="J1058" i="5"/>
  <c r="I1058" i="5"/>
  <c r="M1057" i="5"/>
  <c r="K1058" i="5" l="1"/>
  <c r="L1058" i="5" s="1"/>
  <c r="N1059" i="5"/>
  <c r="F1060" i="5"/>
  <c r="G1059" i="5"/>
  <c r="H1059" i="5"/>
  <c r="I1059" i="5"/>
  <c r="J1059" i="5"/>
  <c r="M1058" i="5"/>
  <c r="K1059" i="5" l="1"/>
  <c r="L1059" i="5" s="1"/>
  <c r="N1060" i="5"/>
  <c r="F1061" i="5"/>
  <c r="G1060" i="5"/>
  <c r="H1060" i="5"/>
  <c r="I1060" i="5"/>
  <c r="J1060" i="5"/>
  <c r="M1059" i="5"/>
  <c r="K1060" i="5" l="1"/>
  <c r="L1060" i="5" s="1"/>
  <c r="N1061" i="5"/>
  <c r="F1062" i="5"/>
  <c r="G1061" i="5"/>
  <c r="H1061" i="5"/>
  <c r="I1061" i="5"/>
  <c r="J1061" i="5"/>
  <c r="M1060" i="5"/>
  <c r="K1061" i="5" l="1"/>
  <c r="L1061" i="5" s="1"/>
  <c r="N1062" i="5"/>
  <c r="F1063" i="5"/>
  <c r="G1062" i="5"/>
  <c r="H1062" i="5"/>
  <c r="I1062" i="5"/>
  <c r="J1062" i="5"/>
  <c r="M1061" i="5"/>
  <c r="K1062" i="5" l="1"/>
  <c r="L1062" i="5" s="1"/>
  <c r="N1063" i="5"/>
  <c r="F1064" i="5"/>
  <c r="G1063" i="5"/>
  <c r="H1063" i="5"/>
  <c r="I1063" i="5"/>
  <c r="J1063" i="5"/>
  <c r="M1062" i="5"/>
  <c r="K1063" i="5" l="1"/>
  <c r="L1063" i="5" s="1"/>
  <c r="N1064" i="5"/>
  <c r="F1065" i="5"/>
  <c r="G1064" i="5"/>
  <c r="H1064" i="5"/>
  <c r="I1064" i="5"/>
  <c r="J1064" i="5"/>
  <c r="M1063" i="5"/>
  <c r="K1064" i="5" l="1"/>
  <c r="L1064" i="5" s="1"/>
  <c r="N1065" i="5"/>
  <c r="F1066" i="5"/>
  <c r="G1065" i="5"/>
  <c r="H1065" i="5"/>
  <c r="I1065" i="5"/>
  <c r="J1065" i="5"/>
  <c r="M1064" i="5"/>
  <c r="K1065" i="5" l="1"/>
  <c r="L1065" i="5" s="1"/>
  <c r="N1066" i="5"/>
  <c r="F1067" i="5"/>
  <c r="H1066" i="5"/>
  <c r="J1066" i="5" s="1"/>
  <c r="G1066" i="5"/>
  <c r="I1066" i="5"/>
  <c r="M1065" i="5"/>
  <c r="K1066" i="5" l="1"/>
  <c r="L1066" i="5" s="1"/>
  <c r="N1067" i="5"/>
  <c r="F1068" i="5"/>
  <c r="G1067" i="5"/>
  <c r="H1067" i="5"/>
  <c r="I1067" i="5"/>
  <c r="J1067" i="5"/>
  <c r="M1066" i="5"/>
  <c r="K1067" i="5" l="1"/>
  <c r="L1067" i="5" s="1"/>
  <c r="N1068" i="5"/>
  <c r="F1069" i="5"/>
  <c r="G1068" i="5"/>
  <c r="H1068" i="5"/>
  <c r="I1068" i="5"/>
  <c r="J1068" i="5"/>
  <c r="M1067" i="5"/>
  <c r="K1068" i="5" l="1"/>
  <c r="L1068" i="5" s="1"/>
  <c r="N1069" i="5"/>
  <c r="F1070" i="5"/>
  <c r="G1069" i="5"/>
  <c r="H1069" i="5"/>
  <c r="I1069" i="5"/>
  <c r="J1069" i="5"/>
  <c r="M1068" i="5"/>
  <c r="K1069" i="5" l="1"/>
  <c r="L1069" i="5" s="1"/>
  <c r="N1070" i="5"/>
  <c r="F1071" i="5"/>
  <c r="G1070" i="5"/>
  <c r="H1070" i="5"/>
  <c r="I1070" i="5"/>
  <c r="J1070" i="5"/>
  <c r="M1069" i="5"/>
  <c r="K1070" i="5" l="1"/>
  <c r="L1070" i="5" s="1"/>
  <c r="N1071" i="5"/>
  <c r="F1072" i="5"/>
  <c r="G1071" i="5"/>
  <c r="H1071" i="5"/>
  <c r="I1071" i="5"/>
  <c r="J1071" i="5"/>
  <c r="M1070" i="5"/>
  <c r="K1071" i="5" l="1"/>
  <c r="L1071" i="5" s="1"/>
  <c r="N1072" i="5"/>
  <c r="F1073" i="5"/>
  <c r="G1072" i="5"/>
  <c r="H1072" i="5"/>
  <c r="I1072" i="5"/>
  <c r="J1072" i="5"/>
  <c r="M1071" i="5"/>
  <c r="K1072" i="5" l="1"/>
  <c r="L1072" i="5" s="1"/>
  <c r="N1073" i="5"/>
  <c r="F1074" i="5"/>
  <c r="H1073" i="5"/>
  <c r="G1073" i="5"/>
  <c r="J1073" i="5"/>
  <c r="I1073" i="5"/>
  <c r="M1072" i="5"/>
  <c r="K1073" i="5" l="1"/>
  <c r="L1073" i="5" s="1"/>
  <c r="N1074" i="5"/>
  <c r="F1075" i="5"/>
  <c r="G1074" i="5"/>
  <c r="H1074" i="5"/>
  <c r="I1074" i="5"/>
  <c r="J1074" i="5"/>
  <c r="M1073" i="5"/>
  <c r="F1076" i="5" l="1"/>
  <c r="G1075" i="5"/>
  <c r="H1075" i="5"/>
  <c r="I1075" i="5"/>
  <c r="J1075" i="5"/>
  <c r="K1074" i="5"/>
  <c r="L1074" i="5" s="1"/>
  <c r="N1075" i="5"/>
  <c r="M1074" i="5"/>
  <c r="K1075" i="5" l="1"/>
  <c r="L1075" i="5" s="1"/>
  <c r="N1076" i="5"/>
  <c r="F1077" i="5"/>
  <c r="G1076" i="5"/>
  <c r="I1076" i="5"/>
  <c r="H1076" i="5"/>
  <c r="J1076" i="5" s="1"/>
  <c r="K1076" i="5" l="1"/>
  <c r="L1076" i="5" s="1"/>
  <c r="N1077" i="5"/>
  <c r="F1078" i="5"/>
  <c r="G1077" i="5"/>
  <c r="I1077" i="5"/>
  <c r="H1077" i="5"/>
  <c r="J1077" i="5"/>
  <c r="M1076" i="5"/>
  <c r="M1075" i="5"/>
  <c r="K1077" i="5" l="1"/>
  <c r="L1077" i="5" s="1"/>
  <c r="N1078" i="5"/>
  <c r="F1079" i="5"/>
  <c r="G1078" i="5"/>
  <c r="I1078" i="5"/>
  <c r="H1078" i="5"/>
  <c r="J1078" i="5"/>
  <c r="M1077" i="5"/>
  <c r="F1080" i="5" l="1"/>
  <c r="G1079" i="5"/>
  <c r="H1079" i="5"/>
  <c r="I1079" i="5"/>
  <c r="J1079" i="5"/>
  <c r="K1078" i="5"/>
  <c r="L1078" i="5" s="1"/>
  <c r="N1079" i="5"/>
  <c r="M1078" i="5"/>
  <c r="K1079" i="5" l="1"/>
  <c r="L1079" i="5" s="1"/>
  <c r="N1080" i="5"/>
  <c r="F1081" i="5"/>
  <c r="G1080" i="5"/>
  <c r="H1080" i="5"/>
  <c r="I1080" i="5"/>
  <c r="J1080" i="5"/>
  <c r="K1080" i="5" l="1"/>
  <c r="L1080" i="5" s="1"/>
  <c r="N1081" i="5"/>
  <c r="F1082" i="5"/>
  <c r="G1081" i="5"/>
  <c r="H1081" i="5"/>
  <c r="I1081" i="5"/>
  <c r="J1081" i="5"/>
  <c r="M1080" i="5"/>
  <c r="M1079" i="5"/>
  <c r="K1081" i="5" l="1"/>
  <c r="L1081" i="5" s="1"/>
  <c r="N1082" i="5"/>
  <c r="F1083" i="5"/>
  <c r="G1082" i="5"/>
  <c r="H1082" i="5"/>
  <c r="I1082" i="5"/>
  <c r="J1082" i="5"/>
  <c r="M1081" i="5"/>
  <c r="K1082" i="5" l="1"/>
  <c r="L1082" i="5" s="1"/>
  <c r="N1083" i="5"/>
  <c r="F1084" i="5"/>
  <c r="G1083" i="5"/>
  <c r="H1083" i="5"/>
  <c r="I1083" i="5"/>
  <c r="J1083" i="5"/>
  <c r="M1082" i="5"/>
  <c r="F1085" i="5" l="1"/>
  <c r="G1084" i="5"/>
  <c r="H1084" i="5"/>
  <c r="I1084" i="5"/>
  <c r="J1084" i="5"/>
  <c r="N1084" i="5"/>
  <c r="K1083" i="5"/>
  <c r="L1083" i="5" s="1"/>
  <c r="M1083" i="5" l="1"/>
  <c r="K1084" i="5"/>
  <c r="L1084" i="5" s="1"/>
  <c r="N1085" i="5"/>
  <c r="F1086" i="5"/>
  <c r="G1085" i="5"/>
  <c r="H1085" i="5"/>
  <c r="I1085" i="5"/>
  <c r="F1087" i="5" l="1"/>
  <c r="G1086" i="5"/>
  <c r="I1086" i="5"/>
  <c r="H1086" i="5"/>
  <c r="J1086" i="5"/>
  <c r="J1085" i="5"/>
  <c r="M1084" i="5"/>
  <c r="K1086" i="5" l="1"/>
  <c r="K1085" i="5"/>
  <c r="L1085" i="5" s="1"/>
  <c r="N1086" i="5"/>
  <c r="N1087" i="5" s="1"/>
  <c r="F1088" i="5"/>
  <c r="G1087" i="5"/>
  <c r="I1087" i="5"/>
  <c r="H1087" i="5"/>
  <c r="F1089" i="5" l="1"/>
  <c r="G1088" i="5"/>
  <c r="H1088" i="5"/>
  <c r="J1088" i="5"/>
  <c r="I1088" i="5"/>
  <c r="M1086" i="5"/>
  <c r="M1085" i="5"/>
  <c r="J1087" i="5"/>
  <c r="L1086" i="5"/>
  <c r="K1088" i="5" l="1"/>
  <c r="K1087" i="5"/>
  <c r="L1087" i="5" s="1"/>
  <c r="N1088" i="5"/>
  <c r="N1089" i="5" s="1"/>
  <c r="M1087" i="5"/>
  <c r="G1089" i="5"/>
  <c r="F1090" i="5"/>
  <c r="H1089" i="5"/>
  <c r="F1091" i="5" l="1"/>
  <c r="G1090" i="5"/>
  <c r="H1090" i="5"/>
  <c r="J1090" i="5" s="1"/>
  <c r="I1090" i="5"/>
  <c r="M1088" i="5"/>
  <c r="I1089" i="5"/>
  <c r="J1089" i="5"/>
  <c r="L1088" i="5"/>
  <c r="K1090" i="5" l="1"/>
  <c r="L1090" i="5" s="1"/>
  <c r="N1091" i="5"/>
  <c r="K1089" i="5"/>
  <c r="L1089" i="5" s="1"/>
  <c r="M1090" i="5" s="1"/>
  <c r="N1090" i="5"/>
  <c r="F1092" i="5"/>
  <c r="G1091" i="5"/>
  <c r="H1091" i="5"/>
  <c r="F1093" i="5" l="1"/>
  <c r="G1092" i="5"/>
  <c r="H1092" i="5"/>
  <c r="I1092" i="5"/>
  <c r="J1092" i="5"/>
  <c r="M1089" i="5"/>
  <c r="J1091" i="5"/>
  <c r="I1091" i="5"/>
  <c r="K1091" i="5" l="1"/>
  <c r="L1091" i="5" s="1"/>
  <c r="N1092" i="5"/>
  <c r="K1092" i="5"/>
  <c r="L1092" i="5" s="1"/>
  <c r="N1093" i="5"/>
  <c r="F1094" i="5"/>
  <c r="H1093" i="5"/>
  <c r="G1093" i="5"/>
  <c r="I1093" i="5"/>
  <c r="F1095" i="5" l="1"/>
  <c r="G1094" i="5"/>
  <c r="H1094" i="5"/>
  <c r="I1094" i="5"/>
  <c r="J1094" i="5"/>
  <c r="J1093" i="5"/>
  <c r="M1092" i="5"/>
  <c r="M1091" i="5"/>
  <c r="K1093" i="5" l="1"/>
  <c r="L1093" i="5" s="1"/>
  <c r="N1094" i="5"/>
  <c r="K1094" i="5"/>
  <c r="L1094" i="5" s="1"/>
  <c r="N1095" i="5"/>
  <c r="F1096" i="5"/>
  <c r="G1095" i="5"/>
  <c r="H1095" i="5"/>
  <c r="I1095" i="5"/>
  <c r="F1097" i="5" l="1"/>
  <c r="G1096" i="5"/>
  <c r="I1096" i="5"/>
  <c r="J1096" i="5"/>
  <c r="H1096" i="5"/>
  <c r="J1095" i="5"/>
  <c r="M1094" i="5"/>
  <c r="M1093" i="5"/>
  <c r="K1095" i="5" l="1"/>
  <c r="L1095" i="5" s="1"/>
  <c r="N1096" i="5"/>
  <c r="K1096" i="5"/>
  <c r="L1096" i="5" s="1"/>
  <c r="N1097" i="5"/>
  <c r="F1098" i="5"/>
  <c r="G1097" i="5"/>
  <c r="J1097" i="5"/>
  <c r="H1097" i="5"/>
  <c r="K1097" i="5" l="1"/>
  <c r="L1097" i="5" s="1"/>
  <c r="N1098" i="5"/>
  <c r="F1099" i="5"/>
  <c r="G1098" i="5"/>
  <c r="H1098" i="5"/>
  <c r="I1098" i="5"/>
  <c r="J1098" i="5"/>
  <c r="I1097" i="5"/>
  <c r="M1097" i="5"/>
  <c r="M1096" i="5"/>
  <c r="M1095" i="5"/>
  <c r="K1098" i="5" l="1"/>
  <c r="L1098" i="5" s="1"/>
  <c r="N1099" i="5"/>
  <c r="F1100" i="5"/>
  <c r="H1099" i="5"/>
  <c r="G1099" i="5"/>
  <c r="J1099" i="5"/>
  <c r="M1098" i="5"/>
  <c r="F1101" i="5" l="1"/>
  <c r="G1100" i="5"/>
  <c r="I1100" i="5"/>
  <c r="H1100" i="5"/>
  <c r="J1100" i="5" s="1"/>
  <c r="K1099" i="5"/>
  <c r="L1099" i="5" s="1"/>
  <c r="N1100" i="5"/>
  <c r="I1099" i="5"/>
  <c r="K1100" i="5" l="1"/>
  <c r="L1100" i="5" s="1"/>
  <c r="N1101" i="5"/>
  <c r="M1100" i="5"/>
  <c r="M1099" i="5"/>
  <c r="F1102" i="5"/>
  <c r="H1101" i="5"/>
  <c r="G1101" i="5"/>
  <c r="I1101" i="5"/>
  <c r="F1103" i="5" l="1"/>
  <c r="G1102" i="5"/>
  <c r="H1102" i="5"/>
  <c r="I1102" i="5"/>
  <c r="J1102" i="5"/>
  <c r="J1101" i="5"/>
  <c r="K1101" i="5" l="1"/>
  <c r="L1101" i="5" s="1"/>
  <c r="N1102" i="5"/>
  <c r="K1102" i="5"/>
  <c r="L1102" i="5" s="1"/>
  <c r="N1103" i="5"/>
  <c r="F1104" i="5"/>
  <c r="G1103" i="5"/>
  <c r="I1103" i="5"/>
  <c r="H1103" i="5"/>
  <c r="F1105" i="5" l="1"/>
  <c r="G1104" i="5"/>
  <c r="H1104" i="5"/>
  <c r="I1104" i="5"/>
  <c r="J1104" i="5"/>
  <c r="J1103" i="5"/>
  <c r="M1102" i="5"/>
  <c r="M1101" i="5"/>
  <c r="K1103" i="5" l="1"/>
  <c r="L1103" i="5" s="1"/>
  <c r="N1104" i="5"/>
  <c r="K1104" i="5"/>
  <c r="L1104" i="5" s="1"/>
  <c r="N1105" i="5"/>
  <c r="F1106" i="5"/>
  <c r="G1105" i="5"/>
  <c r="H1105" i="5"/>
  <c r="J1105" i="5"/>
  <c r="K1105" i="5" l="1"/>
  <c r="L1105" i="5" s="1"/>
  <c r="N1106" i="5"/>
  <c r="F1107" i="5"/>
  <c r="J1106" i="5" s="1"/>
  <c r="G1106" i="5"/>
  <c r="H1106" i="5"/>
  <c r="M1105" i="5"/>
  <c r="I1105" i="5"/>
  <c r="M1104" i="5"/>
  <c r="M1103" i="5"/>
  <c r="K1106" i="5" l="1"/>
  <c r="L1106" i="5" s="1"/>
  <c r="N1107" i="5"/>
  <c r="I1106" i="5"/>
  <c r="F1108" i="5"/>
  <c r="G1107" i="5"/>
  <c r="H1107" i="5"/>
  <c r="I1107" i="5"/>
  <c r="J1107" i="5"/>
  <c r="M1106" i="5"/>
  <c r="K1107" i="5" l="1"/>
  <c r="L1107" i="5" s="1"/>
  <c r="N1108" i="5"/>
  <c r="F1109" i="5"/>
  <c r="G1108" i="5"/>
  <c r="H1108" i="5"/>
  <c r="I1108" i="5"/>
  <c r="J1108" i="5"/>
  <c r="M1107" i="5"/>
  <c r="K1108" i="5" l="1"/>
  <c r="L1108" i="5" s="1"/>
  <c r="N1109" i="5"/>
  <c r="F1110" i="5"/>
  <c r="G1109" i="5"/>
  <c r="H1109" i="5"/>
  <c r="I1109" i="5"/>
  <c r="J1109" i="5"/>
  <c r="M1108" i="5"/>
  <c r="K1109" i="5" l="1"/>
  <c r="L1109" i="5" s="1"/>
  <c r="N1110" i="5"/>
  <c r="F1111" i="5"/>
  <c r="G1110" i="5"/>
  <c r="H1110" i="5"/>
  <c r="I1110" i="5"/>
  <c r="J1110" i="5"/>
  <c r="M1109" i="5"/>
  <c r="K1110" i="5" l="1"/>
  <c r="L1110" i="5" s="1"/>
  <c r="N1111" i="5"/>
  <c r="F1112" i="5"/>
  <c r="G1111" i="5"/>
  <c r="H1111" i="5"/>
  <c r="I1111" i="5"/>
  <c r="J1111" i="5"/>
  <c r="M1110" i="5"/>
  <c r="K1111" i="5" l="1"/>
  <c r="L1111" i="5" s="1"/>
  <c r="N1112" i="5"/>
  <c r="F1113" i="5"/>
  <c r="G1112" i="5"/>
  <c r="H1112" i="5"/>
  <c r="I1112" i="5"/>
  <c r="J1112" i="5"/>
  <c r="M1111" i="5"/>
  <c r="K1112" i="5" l="1"/>
  <c r="L1112" i="5" s="1"/>
  <c r="N1113" i="5"/>
  <c r="F1114" i="5"/>
  <c r="G1113" i="5"/>
  <c r="H1113" i="5"/>
  <c r="I1113" i="5"/>
  <c r="J1113" i="5"/>
  <c r="M1112" i="5"/>
  <c r="K1113" i="5" l="1"/>
  <c r="L1113" i="5" s="1"/>
  <c r="N1114" i="5"/>
  <c r="F1115" i="5"/>
  <c r="G1114" i="5"/>
  <c r="H1114" i="5"/>
  <c r="I1114" i="5"/>
  <c r="J1114" i="5"/>
  <c r="M1113" i="5"/>
  <c r="F1116" i="5" l="1"/>
  <c r="G1115" i="5"/>
  <c r="H1115" i="5"/>
  <c r="I1115" i="5"/>
  <c r="J1115" i="5"/>
  <c r="K1114" i="5"/>
  <c r="L1114" i="5" s="1"/>
  <c r="N1115" i="5"/>
  <c r="M1114" i="5"/>
  <c r="N1116" i="5" l="1"/>
  <c r="K1115" i="5"/>
  <c r="L1115" i="5" s="1"/>
  <c r="F1117" i="5"/>
  <c r="H1116" i="5"/>
  <c r="G1116" i="5"/>
  <c r="I1116" i="5"/>
  <c r="J1116" i="5"/>
  <c r="F1118" i="5" l="1"/>
  <c r="G1117" i="5"/>
  <c r="H1117" i="5"/>
  <c r="I1117" i="5"/>
  <c r="J1117" i="5"/>
  <c r="K1116" i="5"/>
  <c r="L1116" i="5" s="1"/>
  <c r="N1117" i="5"/>
  <c r="M1116" i="5"/>
  <c r="M1115" i="5"/>
  <c r="K1117" i="5" l="1"/>
  <c r="L1117" i="5" s="1"/>
  <c r="N1118" i="5"/>
  <c r="F1119" i="5"/>
  <c r="G1118" i="5"/>
  <c r="I1118" i="5"/>
  <c r="H1118" i="5"/>
  <c r="J1118" i="5"/>
  <c r="K1118" i="5" l="1"/>
  <c r="L1118" i="5" s="1"/>
  <c r="N1119" i="5"/>
  <c r="F1120" i="5"/>
  <c r="G1119" i="5"/>
  <c r="H1119" i="5"/>
  <c r="J1119" i="5"/>
  <c r="M1118" i="5"/>
  <c r="M1117" i="5"/>
  <c r="K1119" i="5" l="1"/>
  <c r="L1119" i="5" s="1"/>
  <c r="N1120" i="5"/>
  <c r="F1121" i="5"/>
  <c r="G1120" i="5"/>
  <c r="H1120" i="5"/>
  <c r="J1120" i="5"/>
  <c r="I1120" i="5"/>
  <c r="I1119" i="5"/>
  <c r="M1119" i="5"/>
  <c r="K1120" i="5" l="1"/>
  <c r="L1120" i="5" s="1"/>
  <c r="N1121" i="5"/>
  <c r="F1122" i="5"/>
  <c r="G1121" i="5"/>
  <c r="H1121" i="5"/>
  <c r="J1121" i="5"/>
  <c r="I1121" i="5"/>
  <c r="M1120" i="5"/>
  <c r="F1123" i="5" l="1"/>
  <c r="G1122" i="5"/>
  <c r="H1122" i="5"/>
  <c r="J1122" i="5"/>
  <c r="I1122" i="5"/>
  <c r="K1121" i="5"/>
  <c r="L1121" i="5" s="1"/>
  <c r="N1122" i="5"/>
  <c r="M1121" i="5"/>
  <c r="K1122" i="5" l="1"/>
  <c r="L1122" i="5" s="1"/>
  <c r="N1123" i="5"/>
  <c r="F1124" i="5"/>
  <c r="G1123" i="5"/>
  <c r="H1123" i="5"/>
  <c r="I1123" i="5"/>
  <c r="J1123" i="5"/>
  <c r="K1123" i="5" l="1"/>
  <c r="L1123" i="5" s="1"/>
  <c r="N1124" i="5"/>
  <c r="G1124" i="5"/>
  <c r="F1125" i="5"/>
  <c r="H1124" i="5"/>
  <c r="I1124" i="5"/>
  <c r="J1124" i="5"/>
  <c r="M1123" i="5"/>
  <c r="M1122" i="5"/>
  <c r="K1124" i="5" l="1"/>
  <c r="L1124" i="5" s="1"/>
  <c r="N1125" i="5"/>
  <c r="F1126" i="5"/>
  <c r="G1125" i="5"/>
  <c r="H1125" i="5"/>
  <c r="I1125" i="5"/>
  <c r="J1125" i="5"/>
  <c r="M1124" i="5"/>
  <c r="F1127" i="5" l="1"/>
  <c r="G1126" i="5"/>
  <c r="H1126" i="5"/>
  <c r="I1126" i="5"/>
  <c r="J1126" i="5"/>
  <c r="K1125" i="5"/>
  <c r="L1125" i="5" s="1"/>
  <c r="N1126" i="5"/>
  <c r="M1125" i="5"/>
  <c r="K1126" i="5" l="1"/>
  <c r="L1126" i="5" s="1"/>
  <c r="N1127" i="5"/>
  <c r="F1128" i="5"/>
  <c r="G1127" i="5"/>
  <c r="H1127" i="5"/>
  <c r="I1127" i="5"/>
  <c r="J1127" i="5"/>
  <c r="K1127" i="5" l="1"/>
  <c r="L1127" i="5" s="1"/>
  <c r="N1128" i="5"/>
  <c r="F1129" i="5"/>
  <c r="G1128" i="5"/>
  <c r="H1128" i="5"/>
  <c r="I1128" i="5"/>
  <c r="J1128" i="5"/>
  <c r="M1127" i="5"/>
  <c r="M1126" i="5"/>
  <c r="K1128" i="5" l="1"/>
  <c r="L1128" i="5" s="1"/>
  <c r="N1129" i="5"/>
  <c r="F1130" i="5"/>
  <c r="G1129" i="5"/>
  <c r="H1129" i="5"/>
  <c r="I1129" i="5"/>
  <c r="J1129" i="5"/>
  <c r="M1128" i="5"/>
  <c r="K1129" i="5" l="1"/>
  <c r="L1129" i="5" s="1"/>
  <c r="N1130" i="5"/>
  <c r="F1131" i="5"/>
  <c r="G1130" i="5"/>
  <c r="H1130" i="5"/>
  <c r="I1130" i="5"/>
  <c r="J1130" i="5"/>
  <c r="M1129" i="5"/>
  <c r="K1130" i="5" l="1"/>
  <c r="L1130" i="5" s="1"/>
  <c r="N1131" i="5"/>
  <c r="F1132" i="5"/>
  <c r="G1131" i="5"/>
  <c r="H1131" i="5"/>
  <c r="I1131" i="5"/>
  <c r="J1131" i="5"/>
  <c r="M1130" i="5"/>
  <c r="K1131" i="5" l="1"/>
  <c r="L1131" i="5" s="1"/>
  <c r="N1132" i="5"/>
  <c r="F1133" i="5"/>
  <c r="G1132" i="5"/>
  <c r="H1132" i="5"/>
  <c r="I1132" i="5"/>
  <c r="J1132" i="5"/>
  <c r="M1131" i="5"/>
  <c r="K1132" i="5" l="1"/>
  <c r="L1132" i="5" s="1"/>
  <c r="N1133" i="5"/>
  <c r="F1134" i="5"/>
  <c r="G1133" i="5"/>
  <c r="H1133" i="5"/>
  <c r="I1133" i="5"/>
  <c r="J1133" i="5"/>
  <c r="M1132" i="5"/>
  <c r="F1135" i="5" l="1"/>
  <c r="G1134" i="5"/>
  <c r="H1134" i="5"/>
  <c r="I1134" i="5"/>
  <c r="J1134" i="5"/>
  <c r="K1133" i="5"/>
  <c r="L1133" i="5" s="1"/>
  <c r="N1134" i="5"/>
  <c r="M1133" i="5"/>
  <c r="K1134" i="5" l="1"/>
  <c r="L1134" i="5" s="1"/>
  <c r="N1135" i="5"/>
  <c r="F1136" i="5"/>
  <c r="H1135" i="5"/>
  <c r="I1135" i="5"/>
  <c r="G1135" i="5"/>
  <c r="J1135" i="5"/>
  <c r="K1135" i="5" l="1"/>
  <c r="L1135" i="5" s="1"/>
  <c r="N1136" i="5"/>
  <c r="F1137" i="5"/>
  <c r="G1136" i="5"/>
  <c r="H1136" i="5"/>
  <c r="I1136" i="5"/>
  <c r="J1136" i="5"/>
  <c r="M1135" i="5"/>
  <c r="M1134" i="5"/>
  <c r="F1138" i="5" l="1"/>
  <c r="H1137" i="5"/>
  <c r="G1137" i="5"/>
  <c r="J1137" i="5"/>
  <c r="I1137" i="5"/>
  <c r="K1136" i="5"/>
  <c r="L1136" i="5" s="1"/>
  <c r="N1137" i="5"/>
  <c r="M1136" i="5"/>
  <c r="K1137" i="5" l="1"/>
  <c r="L1137" i="5" s="1"/>
  <c r="N1138" i="5"/>
  <c r="M1137" i="5"/>
  <c r="F1139" i="5"/>
  <c r="G1138" i="5"/>
  <c r="H1138" i="5"/>
  <c r="I1138" i="5"/>
  <c r="J1138" i="5"/>
  <c r="K1138" i="5" l="1"/>
  <c r="L1138" i="5" s="1"/>
  <c r="N1139" i="5"/>
  <c r="F1140" i="5"/>
  <c r="H1139" i="5"/>
  <c r="G1139" i="5"/>
  <c r="J1139" i="5"/>
  <c r="M1138" i="5"/>
  <c r="F1141" i="5" l="1"/>
  <c r="G1140" i="5"/>
  <c r="I1140" i="5"/>
  <c r="J1140" i="5"/>
  <c r="H1140" i="5"/>
  <c r="K1139" i="5"/>
  <c r="L1139" i="5" s="1"/>
  <c r="N1140" i="5"/>
  <c r="I1139" i="5"/>
  <c r="K1140" i="5" l="1"/>
  <c r="L1140" i="5" s="1"/>
  <c r="N1141" i="5"/>
  <c r="M1139" i="5"/>
  <c r="F1142" i="5"/>
  <c r="G1141" i="5"/>
  <c r="I1141" i="5"/>
  <c r="H1141" i="5"/>
  <c r="F1143" i="5" l="1"/>
  <c r="G1142" i="5"/>
  <c r="I1142" i="5"/>
  <c r="H1142" i="5"/>
  <c r="J1142" i="5"/>
  <c r="J1141" i="5"/>
  <c r="M1140" i="5"/>
  <c r="K1141" i="5" l="1"/>
  <c r="L1141" i="5" s="1"/>
  <c r="N1142" i="5"/>
  <c r="K1142" i="5"/>
  <c r="L1142" i="5" s="1"/>
  <c r="N1143" i="5"/>
  <c r="F1144" i="5"/>
  <c r="G1143" i="5"/>
  <c r="H1143" i="5"/>
  <c r="I1143" i="5"/>
  <c r="F1145" i="5" l="1"/>
  <c r="G1144" i="5"/>
  <c r="H1144" i="5"/>
  <c r="I1144" i="5"/>
  <c r="J1144" i="5"/>
  <c r="J1143" i="5"/>
  <c r="M1142" i="5"/>
  <c r="M1141" i="5"/>
  <c r="K1143" i="5" l="1"/>
  <c r="L1143" i="5" s="1"/>
  <c r="N1144" i="5"/>
  <c r="K1144" i="5"/>
  <c r="L1144" i="5" s="1"/>
  <c r="N1145" i="5"/>
  <c r="F1146" i="5"/>
  <c r="G1145" i="5"/>
  <c r="H1145" i="5"/>
  <c r="I1145" i="5"/>
  <c r="F1147" i="5" l="1"/>
  <c r="G1146" i="5"/>
  <c r="H1146" i="5"/>
  <c r="I1146" i="5"/>
  <c r="J1146" i="5"/>
  <c r="J1145" i="5"/>
  <c r="M1144" i="5"/>
  <c r="M1143" i="5"/>
  <c r="K1145" i="5" l="1"/>
  <c r="L1145" i="5" s="1"/>
  <c r="N1146" i="5"/>
  <c r="K1146" i="5"/>
  <c r="L1146" i="5" s="1"/>
  <c r="N1147" i="5"/>
  <c r="G1147" i="5"/>
  <c r="H1147" i="5"/>
  <c r="F1148" i="5"/>
  <c r="F1149" i="5" l="1"/>
  <c r="H1148" i="5"/>
  <c r="G1148" i="5"/>
  <c r="I1148" i="5"/>
  <c r="J1148" i="5"/>
  <c r="I1147" i="5"/>
  <c r="J1147" i="5"/>
  <c r="M1146" i="5"/>
  <c r="M1145" i="5"/>
  <c r="N1148" i="5" l="1"/>
  <c r="K1147" i="5"/>
  <c r="L1147" i="5" s="1"/>
  <c r="N1149" i="5"/>
  <c r="K1148" i="5"/>
  <c r="L1148" i="5" s="1"/>
  <c r="F1150" i="5"/>
  <c r="G1149" i="5"/>
  <c r="H1149" i="5"/>
  <c r="I1149" i="5"/>
  <c r="F1151" i="5" l="1"/>
  <c r="I1150" i="5" s="1"/>
  <c r="G1150" i="5"/>
  <c r="H1150" i="5"/>
  <c r="J1150" i="5"/>
  <c r="M1148" i="5"/>
  <c r="M1147" i="5"/>
  <c r="J1149" i="5"/>
  <c r="K1150" i="5" l="1"/>
  <c r="N1151" i="5"/>
  <c r="F1152" i="5"/>
  <c r="G1151" i="5"/>
  <c r="I1151" i="5"/>
  <c r="H1151" i="5"/>
  <c r="J1151" i="5"/>
  <c r="K1149" i="5"/>
  <c r="L1149" i="5" s="1"/>
  <c r="N1150" i="5"/>
  <c r="K1151" i="5" l="1"/>
  <c r="N1152" i="5"/>
  <c r="M1150" i="5"/>
  <c r="M1149" i="5"/>
  <c r="F1153" i="5"/>
  <c r="G1152" i="5"/>
  <c r="H1152" i="5"/>
  <c r="J1152" i="5"/>
  <c r="L1150" i="5"/>
  <c r="K1152" i="5" l="1"/>
  <c r="N1153" i="5"/>
  <c r="F1154" i="5"/>
  <c r="H1153" i="5"/>
  <c r="G1153" i="5"/>
  <c r="J1153" i="5"/>
  <c r="I1153" i="5"/>
  <c r="M1151" i="5"/>
  <c r="I1152" i="5"/>
  <c r="L1151" i="5"/>
  <c r="K1153" i="5" l="1"/>
  <c r="N1154" i="5"/>
  <c r="F1155" i="5"/>
  <c r="G1154" i="5"/>
  <c r="H1154" i="5"/>
  <c r="I1154" i="5"/>
  <c r="J1154" i="5"/>
  <c r="M1152" i="5"/>
  <c r="L1152" i="5"/>
  <c r="K1154" i="5" l="1"/>
  <c r="L1154" i="5" s="1"/>
  <c r="N1155" i="5"/>
  <c r="F1156" i="5"/>
  <c r="G1155" i="5"/>
  <c r="H1155" i="5"/>
  <c r="I1155" i="5"/>
  <c r="J1155" i="5"/>
  <c r="M1153" i="5"/>
  <c r="L1153" i="5"/>
  <c r="M1154" i="5" s="1"/>
  <c r="K1155" i="5" l="1"/>
  <c r="L1155" i="5" s="1"/>
  <c r="N1156" i="5"/>
  <c r="F1157" i="5"/>
  <c r="G1156" i="5"/>
  <c r="H1156" i="5"/>
  <c r="I1156" i="5"/>
  <c r="J1156" i="5"/>
  <c r="M1155" i="5"/>
  <c r="K1156" i="5" l="1"/>
  <c r="L1156" i="5" s="1"/>
  <c r="N1157" i="5"/>
  <c r="F1158" i="5"/>
  <c r="H1157" i="5"/>
  <c r="G1157" i="5"/>
  <c r="I1157" i="5"/>
  <c r="J1157" i="5"/>
  <c r="M1156" i="5"/>
  <c r="K1157" i="5" l="1"/>
  <c r="L1157" i="5" s="1"/>
  <c r="N1158" i="5"/>
  <c r="F1159" i="5"/>
  <c r="G1158" i="5"/>
  <c r="H1158" i="5"/>
  <c r="I1158" i="5"/>
  <c r="J1158" i="5"/>
  <c r="M1157" i="5"/>
  <c r="K1158" i="5" l="1"/>
  <c r="L1158" i="5" s="1"/>
  <c r="N1159" i="5"/>
  <c r="F1160" i="5"/>
  <c r="G1159" i="5"/>
  <c r="H1159" i="5"/>
  <c r="I1159" i="5"/>
  <c r="J1159" i="5"/>
  <c r="M1158" i="5"/>
  <c r="K1159" i="5" l="1"/>
  <c r="L1159" i="5" s="1"/>
  <c r="N1160" i="5"/>
  <c r="F1161" i="5"/>
  <c r="G1160" i="5"/>
  <c r="H1160" i="5"/>
  <c r="I1160" i="5"/>
  <c r="J1160" i="5"/>
  <c r="M1159" i="5"/>
  <c r="K1160" i="5" l="1"/>
  <c r="L1160" i="5" s="1"/>
  <c r="N1161" i="5"/>
  <c r="G1161" i="5"/>
  <c r="F1162" i="5"/>
  <c r="H1161" i="5"/>
  <c r="I1161" i="5"/>
  <c r="J1161" i="5"/>
  <c r="M1160" i="5"/>
  <c r="K1161" i="5" l="1"/>
  <c r="L1161" i="5" s="1"/>
  <c r="N1162" i="5"/>
  <c r="F1163" i="5"/>
  <c r="G1162" i="5"/>
  <c r="H1162" i="5"/>
  <c r="I1162" i="5"/>
  <c r="J1162" i="5"/>
  <c r="M1161" i="5"/>
  <c r="K1162" i="5" l="1"/>
  <c r="L1162" i="5" s="1"/>
  <c r="N1163" i="5"/>
  <c r="F1164" i="5"/>
  <c r="G1163" i="5"/>
  <c r="H1163" i="5"/>
  <c r="J1163" i="5" s="1"/>
  <c r="I1163" i="5"/>
  <c r="M1162" i="5"/>
  <c r="K1163" i="5" l="1"/>
  <c r="L1163" i="5" s="1"/>
  <c r="N1164" i="5"/>
  <c r="F1165" i="5"/>
  <c r="I1164" i="5" s="1"/>
  <c r="G1164" i="5"/>
  <c r="H1164" i="5"/>
  <c r="J1164" i="5"/>
  <c r="M1163" i="5"/>
  <c r="K1164" i="5" l="1"/>
  <c r="L1164" i="5" s="1"/>
  <c r="N1165" i="5"/>
  <c r="F1166" i="5"/>
  <c r="G1165" i="5"/>
  <c r="H1165" i="5"/>
  <c r="I1165" i="5"/>
  <c r="J1165" i="5"/>
  <c r="M1164" i="5"/>
  <c r="K1165" i="5" l="1"/>
  <c r="L1165" i="5" s="1"/>
  <c r="N1166" i="5"/>
  <c r="F1167" i="5"/>
  <c r="G1166" i="5"/>
  <c r="H1166" i="5"/>
  <c r="I1166" i="5"/>
  <c r="J1166" i="5"/>
  <c r="M1165" i="5"/>
  <c r="K1166" i="5" l="1"/>
  <c r="L1166" i="5" s="1"/>
  <c r="N1167" i="5"/>
  <c r="F1168" i="5"/>
  <c r="G1167" i="5"/>
  <c r="I1167" i="5"/>
  <c r="H1167" i="5"/>
  <c r="J1167" i="5"/>
  <c r="M1166" i="5"/>
  <c r="K1167" i="5" l="1"/>
  <c r="L1167" i="5" s="1"/>
  <c r="N1168" i="5"/>
  <c r="F1169" i="5"/>
  <c r="G1168" i="5"/>
  <c r="H1168" i="5"/>
  <c r="I1168" i="5"/>
  <c r="J1168" i="5"/>
  <c r="M1167" i="5"/>
  <c r="K1168" i="5" l="1"/>
  <c r="L1168" i="5" s="1"/>
  <c r="N1169" i="5"/>
  <c r="F1170" i="5"/>
  <c r="G1169" i="5"/>
  <c r="H1169" i="5"/>
  <c r="J1169" i="5"/>
  <c r="I1169" i="5"/>
  <c r="M1168" i="5"/>
  <c r="K1169" i="5" l="1"/>
  <c r="L1169" i="5" s="1"/>
  <c r="N1170" i="5"/>
  <c r="F1171" i="5"/>
  <c r="G1170" i="5"/>
  <c r="H1170" i="5"/>
  <c r="I1170" i="5"/>
  <c r="J1170" i="5"/>
  <c r="M1169" i="5"/>
  <c r="K1170" i="5" l="1"/>
  <c r="L1170" i="5" s="1"/>
  <c r="N1171" i="5"/>
  <c r="F1172" i="5"/>
  <c r="G1171" i="5"/>
  <c r="H1171" i="5"/>
  <c r="I1171" i="5"/>
  <c r="J1171" i="5"/>
  <c r="M1170" i="5"/>
  <c r="K1171" i="5" l="1"/>
  <c r="L1171" i="5" s="1"/>
  <c r="N1172" i="5"/>
  <c r="F1173" i="5"/>
  <c r="G1172" i="5"/>
  <c r="H1172" i="5"/>
  <c r="I1172" i="5"/>
  <c r="J1172" i="5"/>
  <c r="M1171" i="5"/>
  <c r="K1172" i="5" l="1"/>
  <c r="L1172" i="5" s="1"/>
  <c r="N1173" i="5"/>
  <c r="F1174" i="5"/>
  <c r="G1173" i="5"/>
  <c r="H1173" i="5"/>
  <c r="I1173" i="5"/>
  <c r="J1173" i="5"/>
  <c r="M1172" i="5"/>
  <c r="K1173" i="5" l="1"/>
  <c r="L1173" i="5" s="1"/>
  <c r="N1174" i="5"/>
  <c r="F1175" i="5"/>
  <c r="H1174" i="5"/>
  <c r="I1174" i="5"/>
  <c r="G1174" i="5"/>
  <c r="J1174" i="5"/>
  <c r="M1173" i="5"/>
  <c r="F1176" i="5" l="1"/>
  <c r="G1175" i="5"/>
  <c r="H1175" i="5"/>
  <c r="I1175" i="5"/>
  <c r="J1175" i="5"/>
  <c r="K1174" i="5"/>
  <c r="L1174" i="5" s="1"/>
  <c r="N1175" i="5"/>
  <c r="M1174" i="5"/>
  <c r="K1175" i="5" l="1"/>
  <c r="L1175" i="5" s="1"/>
  <c r="N1176" i="5"/>
  <c r="F1177" i="5"/>
  <c r="H1176" i="5"/>
  <c r="G1176" i="5"/>
  <c r="I1176" i="5"/>
  <c r="J1176" i="5"/>
  <c r="K1176" i="5" l="1"/>
  <c r="L1176" i="5" s="1"/>
  <c r="N1177" i="5"/>
  <c r="F1178" i="5"/>
  <c r="G1177" i="5"/>
  <c r="H1177" i="5"/>
  <c r="I1177" i="5"/>
  <c r="J1177" i="5"/>
  <c r="M1176" i="5"/>
  <c r="M1175" i="5"/>
  <c r="G1178" i="5" l="1"/>
  <c r="F1179" i="5"/>
  <c r="H1178" i="5"/>
  <c r="I1178" i="5"/>
  <c r="J1178" i="5"/>
  <c r="K1177" i="5"/>
  <c r="L1177" i="5" s="1"/>
  <c r="N1178" i="5"/>
  <c r="M1177" i="5" l="1"/>
  <c r="K1178" i="5"/>
  <c r="L1178" i="5" s="1"/>
  <c r="N1179" i="5"/>
  <c r="F1180" i="5"/>
  <c r="G1179" i="5"/>
  <c r="H1179" i="5"/>
  <c r="I1179" i="5"/>
  <c r="F1181" i="5" l="1"/>
  <c r="H1180" i="5"/>
  <c r="G1180" i="5"/>
  <c r="I1180" i="5"/>
  <c r="J1180" i="5"/>
  <c r="J1179" i="5"/>
  <c r="M1178" i="5"/>
  <c r="N1180" i="5" l="1"/>
  <c r="K1179" i="5"/>
  <c r="L1179" i="5" s="1"/>
  <c r="K1180" i="5"/>
  <c r="L1180" i="5" s="1"/>
  <c r="N1181" i="5"/>
  <c r="F1182" i="5"/>
  <c r="G1181" i="5"/>
  <c r="H1181" i="5"/>
  <c r="I1181" i="5"/>
  <c r="F1183" i="5" l="1"/>
  <c r="G1182" i="5"/>
  <c r="I1182" i="5"/>
  <c r="J1182" i="5"/>
  <c r="H1182" i="5"/>
  <c r="M1180" i="5"/>
  <c r="M1179" i="5"/>
  <c r="J1181" i="5"/>
  <c r="K1182" i="5" l="1"/>
  <c r="N1183" i="5"/>
  <c r="K1181" i="5"/>
  <c r="L1181" i="5" s="1"/>
  <c r="N1182" i="5"/>
  <c r="F1184" i="5"/>
  <c r="G1183" i="5"/>
  <c r="I1183" i="5"/>
  <c r="J1183" i="5"/>
  <c r="H1183" i="5"/>
  <c r="F1185" i="5" l="1"/>
  <c r="G1184" i="5"/>
  <c r="J1184" i="5"/>
  <c r="I1184" i="5"/>
  <c r="H1184" i="5"/>
  <c r="M1182" i="5"/>
  <c r="M1181" i="5"/>
  <c r="K1183" i="5"/>
  <c r="L1183" i="5" s="1"/>
  <c r="N1184" i="5"/>
  <c r="L1182" i="5"/>
  <c r="K1184" i="5" l="1"/>
  <c r="L1184" i="5" s="1"/>
  <c r="N1185" i="5"/>
  <c r="M1184" i="5"/>
  <c r="M1183" i="5"/>
  <c r="F1186" i="5"/>
  <c r="G1185" i="5"/>
  <c r="H1185" i="5"/>
  <c r="J1185" i="5"/>
  <c r="K1185" i="5" l="1"/>
  <c r="L1185" i="5" s="1"/>
  <c r="N1186" i="5"/>
  <c r="F1187" i="5"/>
  <c r="G1186" i="5"/>
  <c r="H1186" i="5"/>
  <c r="J1186" i="5"/>
  <c r="I1186" i="5"/>
  <c r="I1185" i="5"/>
  <c r="M1185" i="5"/>
  <c r="K1186" i="5" l="1"/>
  <c r="L1186" i="5" s="1"/>
  <c r="N1187" i="5"/>
  <c r="F1188" i="5"/>
  <c r="G1187" i="5"/>
  <c r="H1187" i="5"/>
  <c r="I1187" i="5"/>
  <c r="J1187" i="5"/>
  <c r="M1186" i="5"/>
  <c r="K1187" i="5" l="1"/>
  <c r="L1187" i="5" s="1"/>
  <c r="N1188" i="5"/>
  <c r="F1189" i="5"/>
  <c r="G1188" i="5"/>
  <c r="H1188" i="5"/>
  <c r="I1188" i="5"/>
  <c r="J1188" i="5"/>
  <c r="M1187" i="5"/>
  <c r="F1190" i="5" l="1"/>
  <c r="G1189" i="5"/>
  <c r="H1189" i="5"/>
  <c r="I1189" i="5"/>
  <c r="J1189" i="5"/>
  <c r="K1188" i="5"/>
  <c r="L1188" i="5" s="1"/>
  <c r="N1189" i="5"/>
  <c r="M1188" i="5"/>
  <c r="K1189" i="5" l="1"/>
  <c r="L1189" i="5" s="1"/>
  <c r="N1190" i="5"/>
  <c r="F1191" i="5"/>
  <c r="G1190" i="5"/>
  <c r="H1190" i="5"/>
  <c r="I1190" i="5"/>
  <c r="J1190" i="5"/>
  <c r="K1190" i="5" l="1"/>
  <c r="L1190" i="5" s="1"/>
  <c r="N1191" i="5"/>
  <c r="F1192" i="5"/>
  <c r="G1191" i="5"/>
  <c r="H1191" i="5"/>
  <c r="I1191" i="5"/>
  <c r="J1191" i="5"/>
  <c r="M1190" i="5"/>
  <c r="M1189" i="5"/>
  <c r="K1191" i="5" l="1"/>
  <c r="L1191" i="5" s="1"/>
  <c r="N1192" i="5"/>
  <c r="F1193" i="5"/>
  <c r="G1192" i="5"/>
  <c r="H1192" i="5"/>
  <c r="I1192" i="5"/>
  <c r="J1192" i="5"/>
  <c r="M1191" i="5"/>
  <c r="F1194" i="5" l="1"/>
  <c r="G1193" i="5"/>
  <c r="H1193" i="5"/>
  <c r="I1193" i="5"/>
  <c r="J1193" i="5"/>
  <c r="K1192" i="5"/>
  <c r="L1192" i="5" s="1"/>
  <c r="N1193" i="5"/>
  <c r="M1192" i="5"/>
  <c r="K1193" i="5" l="1"/>
  <c r="L1193" i="5" s="1"/>
  <c r="N1194" i="5"/>
  <c r="F1195" i="5"/>
  <c r="G1194" i="5"/>
  <c r="H1194" i="5"/>
  <c r="I1194" i="5"/>
  <c r="J1194" i="5"/>
  <c r="K1194" i="5" l="1"/>
  <c r="L1194" i="5" s="1"/>
  <c r="N1195" i="5"/>
  <c r="F1196" i="5"/>
  <c r="H1195" i="5"/>
  <c r="G1195" i="5"/>
  <c r="I1195" i="5"/>
  <c r="J1195" i="5"/>
  <c r="M1194" i="5"/>
  <c r="M1193" i="5"/>
  <c r="F1197" i="5" l="1"/>
  <c r="G1196" i="5"/>
  <c r="H1196" i="5"/>
  <c r="I1196" i="5"/>
  <c r="J1196" i="5"/>
  <c r="K1195" i="5"/>
  <c r="L1195" i="5" s="1"/>
  <c r="N1196" i="5"/>
  <c r="M1195" i="5"/>
  <c r="K1196" i="5" l="1"/>
  <c r="L1196" i="5" s="1"/>
  <c r="N1197" i="5"/>
  <c r="F1198" i="5"/>
  <c r="G1197" i="5"/>
  <c r="H1197" i="5"/>
  <c r="I1197" i="5"/>
  <c r="J1197" i="5"/>
  <c r="K1197" i="5" l="1"/>
  <c r="L1197" i="5" s="1"/>
  <c r="N1198" i="5"/>
  <c r="F1199" i="5"/>
  <c r="G1198" i="5"/>
  <c r="H1198" i="5"/>
  <c r="I1198" i="5"/>
  <c r="J1198" i="5"/>
  <c r="M1197" i="5"/>
  <c r="M1196" i="5"/>
  <c r="K1198" i="5" l="1"/>
  <c r="L1198" i="5" s="1"/>
  <c r="N1199" i="5"/>
  <c r="F1200" i="5"/>
  <c r="G1199" i="5"/>
  <c r="H1199" i="5"/>
  <c r="I1199" i="5"/>
  <c r="J1199" i="5"/>
  <c r="M1198" i="5"/>
  <c r="K1199" i="5" l="1"/>
  <c r="L1199" i="5" s="1"/>
  <c r="N1200" i="5"/>
  <c r="F1201" i="5"/>
  <c r="G1200" i="5"/>
  <c r="H1200" i="5"/>
  <c r="I1200" i="5"/>
  <c r="J1200" i="5"/>
  <c r="M1199" i="5"/>
  <c r="F1202" i="5" l="1"/>
  <c r="G1201" i="5"/>
  <c r="H1201" i="5"/>
  <c r="J1201" i="5"/>
  <c r="I1201" i="5"/>
  <c r="K1200" i="5"/>
  <c r="L1200" i="5" s="1"/>
  <c r="N1201" i="5"/>
  <c r="M1200" i="5" l="1"/>
  <c r="K1201" i="5"/>
  <c r="L1201" i="5" s="1"/>
  <c r="N1202" i="5"/>
  <c r="F1203" i="5"/>
  <c r="G1202" i="5"/>
  <c r="H1202" i="5"/>
  <c r="I1202" i="5"/>
  <c r="F1204" i="5" l="1"/>
  <c r="G1203" i="5"/>
  <c r="H1203" i="5"/>
  <c r="I1203" i="5"/>
  <c r="J1203" i="5"/>
  <c r="J1202" i="5"/>
  <c r="M1201" i="5"/>
  <c r="K1203" i="5" l="1"/>
  <c r="K1202" i="5"/>
  <c r="L1202" i="5" s="1"/>
  <c r="N1203" i="5"/>
  <c r="N1204" i="5" s="1"/>
  <c r="F1205" i="5"/>
  <c r="G1204" i="5"/>
  <c r="I1204" i="5"/>
  <c r="H1204" i="5"/>
  <c r="F1206" i="5" l="1"/>
  <c r="G1205" i="5"/>
  <c r="I1205" i="5"/>
  <c r="H1205" i="5"/>
  <c r="J1205" i="5"/>
  <c r="M1203" i="5"/>
  <c r="M1202" i="5"/>
  <c r="J1204" i="5"/>
  <c r="L1203" i="5"/>
  <c r="K1205" i="5" l="1"/>
  <c r="K1204" i="5"/>
  <c r="L1204" i="5" s="1"/>
  <c r="N1205" i="5"/>
  <c r="N1206" i="5" s="1"/>
  <c r="F1207" i="5"/>
  <c r="J1206" i="5" s="1"/>
  <c r="G1206" i="5"/>
  <c r="I1206" i="5"/>
  <c r="H1206" i="5"/>
  <c r="K1206" i="5" l="1"/>
  <c r="N1207" i="5"/>
  <c r="M1205" i="5"/>
  <c r="F1208" i="5"/>
  <c r="G1207" i="5"/>
  <c r="H1207" i="5"/>
  <c r="I1207" i="5"/>
  <c r="J1207" i="5"/>
  <c r="M1204" i="5"/>
  <c r="L1205" i="5"/>
  <c r="K1207" i="5" l="1"/>
  <c r="L1207" i="5" s="1"/>
  <c r="N1208" i="5"/>
  <c r="F1209" i="5"/>
  <c r="G1208" i="5"/>
  <c r="H1208" i="5"/>
  <c r="I1208" i="5"/>
  <c r="J1208" i="5"/>
  <c r="M1206" i="5"/>
  <c r="L1206" i="5"/>
  <c r="M1207" i="5" s="1"/>
  <c r="F1210" i="5" l="1"/>
  <c r="G1209" i="5"/>
  <c r="H1209" i="5"/>
  <c r="I1209" i="5"/>
  <c r="J1209" i="5"/>
  <c r="K1208" i="5"/>
  <c r="L1208" i="5" s="1"/>
  <c r="N1209" i="5"/>
  <c r="M1208" i="5" l="1"/>
  <c r="K1209" i="5"/>
  <c r="L1209" i="5" s="1"/>
  <c r="N1210" i="5"/>
  <c r="F1211" i="5"/>
  <c r="G1210" i="5"/>
  <c r="H1210" i="5"/>
  <c r="I1210" i="5"/>
  <c r="F1212" i="5" l="1"/>
  <c r="G1211" i="5"/>
  <c r="H1211" i="5"/>
  <c r="I1211" i="5"/>
  <c r="J1211" i="5"/>
  <c r="J1210" i="5"/>
  <c r="M1209" i="5"/>
  <c r="K1210" i="5" l="1"/>
  <c r="L1210" i="5" s="1"/>
  <c r="N1211" i="5"/>
  <c r="N1212" i="5"/>
  <c r="K1211" i="5"/>
  <c r="L1211" i="5" s="1"/>
  <c r="F1213" i="5"/>
  <c r="H1212" i="5"/>
  <c r="J1212" i="5" s="1"/>
  <c r="I1212" i="5"/>
  <c r="G1212" i="5"/>
  <c r="K1212" i="5" l="1"/>
  <c r="L1212" i="5" s="1"/>
  <c r="N1213" i="5"/>
  <c r="F1214" i="5"/>
  <c r="I1213" i="5" s="1"/>
  <c r="G1213" i="5"/>
  <c r="H1213" i="5"/>
  <c r="J1213" i="5"/>
  <c r="M1212" i="5"/>
  <c r="M1211" i="5"/>
  <c r="M1210" i="5"/>
  <c r="N1214" i="5" l="1"/>
  <c r="K1213" i="5"/>
  <c r="L1213" i="5" s="1"/>
  <c r="F1215" i="5"/>
  <c r="G1214" i="5"/>
  <c r="I1214" i="5"/>
  <c r="H1214" i="5"/>
  <c r="J1214" i="5"/>
  <c r="M1213" i="5"/>
  <c r="K1214" i="5" l="1"/>
  <c r="L1214" i="5" s="1"/>
  <c r="N1215" i="5"/>
  <c r="M1214" i="5"/>
  <c r="F1216" i="5"/>
  <c r="G1215" i="5"/>
  <c r="H1215" i="5"/>
  <c r="J1215" i="5"/>
  <c r="K1215" i="5" l="1"/>
  <c r="L1215" i="5" s="1"/>
  <c r="N1216" i="5"/>
  <c r="F1217" i="5"/>
  <c r="H1216" i="5"/>
  <c r="J1216" i="5"/>
  <c r="I1216" i="5"/>
  <c r="G1216" i="5"/>
  <c r="I1215" i="5"/>
  <c r="M1215" i="5"/>
  <c r="F1218" i="5" l="1"/>
  <c r="H1217" i="5"/>
  <c r="I1217" i="5"/>
  <c r="G1217" i="5"/>
  <c r="J1217" i="5" s="1"/>
  <c r="K1216" i="5"/>
  <c r="L1216" i="5" s="1"/>
  <c r="N1217" i="5"/>
  <c r="M1216" i="5"/>
  <c r="K1217" i="5" l="1"/>
  <c r="L1217" i="5" s="1"/>
  <c r="N1218" i="5"/>
  <c r="M1217" i="5"/>
  <c r="G1218" i="5"/>
  <c r="F1219" i="5"/>
  <c r="H1218" i="5"/>
  <c r="I1218" i="5"/>
  <c r="J1218" i="5"/>
  <c r="K1218" i="5" l="1"/>
  <c r="L1218" i="5" s="1"/>
  <c r="N1219" i="5"/>
  <c r="F1220" i="5"/>
  <c r="G1219" i="5"/>
  <c r="H1219" i="5"/>
  <c r="I1219" i="5"/>
  <c r="J1219" i="5"/>
  <c r="M1218" i="5"/>
  <c r="K1219" i="5" l="1"/>
  <c r="L1219" i="5" s="1"/>
  <c r="N1220" i="5"/>
  <c r="F1221" i="5"/>
  <c r="G1220" i="5"/>
  <c r="H1220" i="5"/>
  <c r="I1220" i="5"/>
  <c r="J1220" i="5"/>
  <c r="M1219" i="5"/>
  <c r="K1220" i="5" l="1"/>
  <c r="L1220" i="5" s="1"/>
  <c r="N1221" i="5"/>
  <c r="F1222" i="5"/>
  <c r="G1221" i="5"/>
  <c r="H1221" i="5"/>
  <c r="I1221" i="5"/>
  <c r="J1221" i="5"/>
  <c r="M1220" i="5"/>
  <c r="K1221" i="5" l="1"/>
  <c r="L1221" i="5" s="1"/>
  <c r="N1222" i="5"/>
  <c r="F1223" i="5"/>
  <c r="G1222" i="5"/>
  <c r="H1222" i="5"/>
  <c r="I1222" i="5"/>
  <c r="J1222" i="5"/>
  <c r="M1221" i="5"/>
  <c r="K1222" i="5" l="1"/>
  <c r="L1222" i="5" s="1"/>
  <c r="N1223" i="5"/>
  <c r="F1224" i="5"/>
  <c r="G1223" i="5"/>
  <c r="H1223" i="5"/>
  <c r="I1223" i="5"/>
  <c r="J1223" i="5"/>
  <c r="M1222" i="5"/>
  <c r="K1223" i="5" l="1"/>
  <c r="L1223" i="5" s="1"/>
  <c r="N1224" i="5"/>
  <c r="F1225" i="5"/>
  <c r="G1224" i="5"/>
  <c r="H1224" i="5"/>
  <c r="J1224" i="5"/>
  <c r="M1223" i="5"/>
  <c r="K1224" i="5" l="1"/>
  <c r="L1224" i="5" s="1"/>
  <c r="N1225" i="5"/>
  <c r="F1226" i="5"/>
  <c r="G1225" i="5"/>
  <c r="I1225" i="5"/>
  <c r="H1225" i="5"/>
  <c r="J1225" i="5"/>
  <c r="I1224" i="5"/>
  <c r="M1224" i="5"/>
  <c r="F1227" i="5" l="1"/>
  <c r="G1226" i="5"/>
  <c r="H1226" i="5"/>
  <c r="I1226" i="5"/>
  <c r="J1226" i="5"/>
  <c r="K1225" i="5"/>
  <c r="L1225" i="5" s="1"/>
  <c r="N1226" i="5"/>
  <c r="M1225" i="5"/>
  <c r="K1226" i="5" l="1"/>
  <c r="L1226" i="5" s="1"/>
  <c r="N1227" i="5"/>
  <c r="F1228" i="5"/>
  <c r="G1227" i="5"/>
  <c r="H1227" i="5"/>
  <c r="I1227" i="5"/>
  <c r="J1227" i="5"/>
  <c r="K1227" i="5" l="1"/>
  <c r="L1227" i="5" s="1"/>
  <c r="N1228" i="5"/>
  <c r="F1229" i="5"/>
  <c r="G1228" i="5"/>
  <c r="H1228" i="5"/>
  <c r="M1227" i="5"/>
  <c r="M1226" i="5"/>
  <c r="F1230" i="5" l="1"/>
  <c r="G1229" i="5"/>
  <c r="H1229" i="5"/>
  <c r="I1229" i="5"/>
  <c r="J1229" i="5"/>
  <c r="J1228" i="5"/>
  <c r="I1228" i="5"/>
  <c r="K1228" i="5" l="1"/>
  <c r="L1228" i="5" s="1"/>
  <c r="N1229" i="5"/>
  <c r="K1229" i="5"/>
  <c r="L1229" i="5" s="1"/>
  <c r="N1230" i="5"/>
  <c r="F1231" i="5"/>
  <c r="G1230" i="5"/>
  <c r="H1230" i="5"/>
  <c r="I1230" i="5"/>
  <c r="F1232" i="5" l="1"/>
  <c r="G1231" i="5"/>
  <c r="I1231" i="5"/>
  <c r="H1231" i="5"/>
  <c r="J1231" i="5" s="1"/>
  <c r="J1230" i="5"/>
  <c r="M1229" i="5"/>
  <c r="M1228" i="5"/>
  <c r="K1231" i="5" l="1"/>
  <c r="L1231" i="5" s="1"/>
  <c r="N1232" i="5"/>
  <c r="K1230" i="5"/>
  <c r="L1230" i="5" s="1"/>
  <c r="N1231" i="5"/>
  <c r="F1233" i="5"/>
  <c r="G1232" i="5"/>
  <c r="H1232" i="5"/>
  <c r="I1232" i="5"/>
  <c r="F1234" i="5" l="1"/>
  <c r="G1233" i="5"/>
  <c r="H1233" i="5"/>
  <c r="J1233" i="5"/>
  <c r="I1233" i="5"/>
  <c r="M1231" i="5"/>
  <c r="M1230" i="5"/>
  <c r="J1232" i="5"/>
  <c r="K1233" i="5" l="1"/>
  <c r="K1232" i="5"/>
  <c r="L1232" i="5" s="1"/>
  <c r="N1233" i="5"/>
  <c r="N1234" i="5" s="1"/>
  <c r="F1235" i="5"/>
  <c r="G1234" i="5"/>
  <c r="H1234" i="5"/>
  <c r="I1234" i="5"/>
  <c r="F1236" i="5" l="1"/>
  <c r="G1235" i="5"/>
  <c r="H1235" i="5"/>
  <c r="I1235" i="5"/>
  <c r="J1235" i="5"/>
  <c r="M1233" i="5"/>
  <c r="M1232" i="5"/>
  <c r="J1234" i="5"/>
  <c r="L1233" i="5"/>
  <c r="K1235" i="5" l="1"/>
  <c r="K1234" i="5"/>
  <c r="L1234" i="5" s="1"/>
  <c r="N1235" i="5"/>
  <c r="N1236" i="5" s="1"/>
  <c r="M1234" i="5"/>
  <c r="F1237" i="5"/>
  <c r="G1236" i="5"/>
  <c r="H1236" i="5"/>
  <c r="F1238" i="5" l="1"/>
  <c r="G1237" i="5"/>
  <c r="H1237" i="5"/>
  <c r="I1237" i="5"/>
  <c r="J1237" i="5"/>
  <c r="M1235" i="5"/>
  <c r="J1236" i="5"/>
  <c r="I1236" i="5"/>
  <c r="L1235" i="5"/>
  <c r="K1236" i="5" l="1"/>
  <c r="L1236" i="5" s="1"/>
  <c r="N1237" i="5"/>
  <c r="K1237" i="5"/>
  <c r="L1237" i="5" s="1"/>
  <c r="N1238" i="5"/>
  <c r="M1236" i="5"/>
  <c r="F1239" i="5"/>
  <c r="G1238" i="5"/>
  <c r="H1238" i="5"/>
  <c r="F1240" i="5" l="1"/>
  <c r="G1239" i="5"/>
  <c r="H1239" i="5"/>
  <c r="I1239" i="5"/>
  <c r="J1239" i="5"/>
  <c r="J1238" i="5"/>
  <c r="I1238" i="5"/>
  <c r="M1237" i="5"/>
  <c r="K1238" i="5" l="1"/>
  <c r="L1238" i="5" s="1"/>
  <c r="N1239" i="5"/>
  <c r="K1239" i="5"/>
  <c r="L1239" i="5" s="1"/>
  <c r="N1240" i="5"/>
  <c r="F1241" i="5"/>
  <c r="G1240" i="5"/>
  <c r="H1240" i="5"/>
  <c r="I1240" i="5"/>
  <c r="F1242" i="5" l="1"/>
  <c r="G1241" i="5"/>
  <c r="H1241" i="5"/>
  <c r="I1241" i="5"/>
  <c r="J1241" i="5"/>
  <c r="J1240" i="5"/>
  <c r="M1239" i="5"/>
  <c r="M1238" i="5"/>
  <c r="K1241" i="5" l="1"/>
  <c r="L1241" i="5" s="1"/>
  <c r="N1242" i="5"/>
  <c r="K1240" i="5"/>
  <c r="L1240" i="5" s="1"/>
  <c r="N1241" i="5"/>
  <c r="F1243" i="5"/>
  <c r="G1242" i="5"/>
  <c r="H1242" i="5"/>
  <c r="I1242" i="5"/>
  <c r="F1244" i="5" l="1"/>
  <c r="G1243" i="5"/>
  <c r="H1243" i="5"/>
  <c r="I1243" i="5"/>
  <c r="J1243" i="5"/>
  <c r="M1241" i="5"/>
  <c r="M1240" i="5"/>
  <c r="J1242" i="5"/>
  <c r="K1242" i="5" l="1"/>
  <c r="L1242" i="5" s="1"/>
  <c r="N1243" i="5"/>
  <c r="N1244" i="5"/>
  <c r="K1243" i="5"/>
  <c r="L1243" i="5" s="1"/>
  <c r="F1245" i="5"/>
  <c r="G1244" i="5"/>
  <c r="H1244" i="5"/>
  <c r="I1244" i="5"/>
  <c r="F1246" i="5" l="1"/>
  <c r="G1245" i="5"/>
  <c r="H1245" i="5"/>
  <c r="J1245" i="5" s="1"/>
  <c r="I1245" i="5"/>
  <c r="J1244" i="5"/>
  <c r="M1243" i="5"/>
  <c r="M1242" i="5"/>
  <c r="K1245" i="5" l="1"/>
  <c r="L1245" i="5" s="1"/>
  <c r="N1246" i="5"/>
  <c r="K1244" i="5"/>
  <c r="L1244" i="5" s="1"/>
  <c r="N1245" i="5"/>
  <c r="G1246" i="5"/>
  <c r="F1247" i="5"/>
  <c r="H1246" i="5"/>
  <c r="F1248" i="5" l="1"/>
  <c r="G1247" i="5"/>
  <c r="H1247" i="5"/>
  <c r="J1247" i="5"/>
  <c r="I1247" i="5"/>
  <c r="I1246" i="5"/>
  <c r="M1245" i="5"/>
  <c r="M1244" i="5"/>
  <c r="J1246" i="5"/>
  <c r="K1247" i="5" l="1"/>
  <c r="K1246" i="5"/>
  <c r="L1246" i="5" s="1"/>
  <c r="N1247" i="5"/>
  <c r="N1248" i="5" s="1"/>
  <c r="F1249" i="5"/>
  <c r="G1248" i="5"/>
  <c r="H1248" i="5"/>
  <c r="J1248" i="5"/>
  <c r="M1246" i="5" l="1"/>
  <c r="K1248" i="5"/>
  <c r="N1249" i="5"/>
  <c r="F1250" i="5"/>
  <c r="G1249" i="5"/>
  <c r="H1249" i="5"/>
  <c r="J1249" i="5"/>
  <c r="I1248" i="5"/>
  <c r="L1247" i="5"/>
  <c r="K1249" i="5" l="1"/>
  <c r="N1250" i="5"/>
  <c r="F1251" i="5"/>
  <c r="G1250" i="5"/>
  <c r="H1250" i="5"/>
  <c r="I1250" i="5"/>
  <c r="J1250" i="5"/>
  <c r="M1248" i="5"/>
  <c r="L1248" i="5"/>
  <c r="I1249" i="5"/>
  <c r="M1247" i="5"/>
  <c r="K1250" i="5" l="1"/>
  <c r="L1250" i="5" s="1"/>
  <c r="N1251" i="5"/>
  <c r="F1252" i="5"/>
  <c r="G1251" i="5"/>
  <c r="H1251" i="5"/>
  <c r="I1251" i="5"/>
  <c r="J1251" i="5"/>
  <c r="M1249" i="5"/>
  <c r="L1249" i="5"/>
  <c r="M1250" i="5" s="1"/>
  <c r="K1251" i="5" l="1"/>
  <c r="L1251" i="5" s="1"/>
  <c r="N1252" i="5"/>
  <c r="F1253" i="5"/>
  <c r="G1252" i="5"/>
  <c r="H1252" i="5"/>
  <c r="I1252" i="5"/>
  <c r="J1252" i="5"/>
  <c r="M1251" i="5"/>
  <c r="K1252" i="5" l="1"/>
  <c r="L1252" i="5" s="1"/>
  <c r="N1253" i="5"/>
  <c r="F1254" i="5"/>
  <c r="H1253" i="5"/>
  <c r="G1253" i="5"/>
  <c r="I1253" i="5"/>
  <c r="J1253" i="5"/>
  <c r="M1252" i="5"/>
  <c r="K1253" i="5" l="1"/>
  <c r="L1253" i="5" s="1"/>
  <c r="N1254" i="5"/>
  <c r="F1255" i="5"/>
  <c r="H1254" i="5"/>
  <c r="I1254" i="5"/>
  <c r="G1254" i="5"/>
  <c r="J1254" i="5"/>
  <c r="M1253" i="5"/>
  <c r="K1254" i="5" l="1"/>
  <c r="L1254" i="5" s="1"/>
  <c r="N1255" i="5"/>
  <c r="F1256" i="5"/>
  <c r="G1255" i="5"/>
  <c r="H1255" i="5"/>
  <c r="I1255" i="5"/>
  <c r="J1255" i="5"/>
  <c r="M1254" i="5"/>
  <c r="K1255" i="5" l="1"/>
  <c r="L1255" i="5" s="1"/>
  <c r="N1256" i="5"/>
  <c r="F1257" i="5"/>
  <c r="G1256" i="5"/>
  <c r="H1256" i="5"/>
  <c r="I1256" i="5"/>
  <c r="J1256" i="5"/>
  <c r="M1255" i="5"/>
  <c r="K1256" i="5" l="1"/>
  <c r="L1256" i="5" s="1"/>
  <c r="N1257" i="5"/>
  <c r="F1258" i="5"/>
  <c r="G1257" i="5"/>
  <c r="H1257" i="5"/>
  <c r="I1257" i="5"/>
  <c r="J1257" i="5"/>
  <c r="M1256" i="5"/>
  <c r="K1257" i="5" l="1"/>
  <c r="L1257" i="5" s="1"/>
  <c r="N1258" i="5"/>
  <c r="F1259" i="5"/>
  <c r="G1258" i="5"/>
  <c r="H1258" i="5"/>
  <c r="J1258" i="5"/>
  <c r="I1258" i="5"/>
  <c r="M1257" i="5"/>
  <c r="F1260" i="5" l="1"/>
  <c r="G1259" i="5"/>
  <c r="H1259" i="5"/>
  <c r="I1259" i="5"/>
  <c r="J1259" i="5"/>
  <c r="K1258" i="5"/>
  <c r="L1258" i="5" s="1"/>
  <c r="N1259" i="5"/>
  <c r="M1258" i="5"/>
  <c r="K1259" i="5" l="1"/>
  <c r="L1259" i="5" s="1"/>
  <c r="N1260" i="5"/>
  <c r="F1261" i="5"/>
  <c r="G1260" i="5"/>
  <c r="H1260" i="5"/>
  <c r="I1260" i="5"/>
  <c r="J1260" i="5"/>
  <c r="K1260" i="5" l="1"/>
  <c r="L1260" i="5" s="1"/>
  <c r="N1261" i="5"/>
  <c r="F1262" i="5"/>
  <c r="G1261" i="5"/>
  <c r="H1261" i="5"/>
  <c r="J1261" i="5"/>
  <c r="I1261" i="5"/>
  <c r="M1260" i="5"/>
  <c r="M1259" i="5"/>
  <c r="F1263" i="5" l="1"/>
  <c r="G1262" i="5"/>
  <c r="H1262" i="5"/>
  <c r="I1262" i="5"/>
  <c r="J1262" i="5"/>
  <c r="K1261" i="5"/>
  <c r="L1261" i="5" s="1"/>
  <c r="N1262" i="5"/>
  <c r="M1261" i="5"/>
  <c r="K1262" i="5" l="1"/>
  <c r="L1262" i="5" s="1"/>
  <c r="N1263" i="5"/>
  <c r="F1264" i="5"/>
  <c r="G1263" i="5"/>
  <c r="H1263" i="5"/>
  <c r="I1263" i="5"/>
  <c r="J1263" i="5"/>
  <c r="K1263" i="5" l="1"/>
  <c r="L1263" i="5" s="1"/>
  <c r="N1264" i="5"/>
  <c r="F1265" i="5"/>
  <c r="G1264" i="5"/>
  <c r="H1264" i="5"/>
  <c r="I1264" i="5"/>
  <c r="J1264" i="5"/>
  <c r="M1263" i="5"/>
  <c r="M1262" i="5"/>
  <c r="K1264" i="5" l="1"/>
  <c r="L1264" i="5" s="1"/>
  <c r="N1265" i="5"/>
  <c r="F1266" i="5"/>
  <c r="H1265" i="5"/>
  <c r="G1265" i="5"/>
  <c r="I1265" i="5"/>
  <c r="J1265" i="5"/>
  <c r="M1264" i="5"/>
  <c r="K1265" i="5" l="1"/>
  <c r="L1265" i="5" s="1"/>
  <c r="N1266" i="5"/>
  <c r="F1267" i="5"/>
  <c r="G1266" i="5"/>
  <c r="H1266" i="5"/>
  <c r="I1266" i="5"/>
  <c r="J1266" i="5"/>
  <c r="M1265" i="5"/>
  <c r="K1266" i="5" l="1"/>
  <c r="L1266" i="5" s="1"/>
  <c r="N1267" i="5"/>
  <c r="F1268" i="5"/>
  <c r="G1267" i="5"/>
  <c r="H1267" i="5"/>
  <c r="I1267" i="5"/>
  <c r="J1267" i="5"/>
  <c r="M1266" i="5"/>
  <c r="F1269" i="5" l="1"/>
  <c r="G1268" i="5"/>
  <c r="I1268" i="5"/>
  <c r="J1268" i="5"/>
  <c r="H1268" i="5"/>
  <c r="K1267" i="5"/>
  <c r="L1267" i="5" s="1"/>
  <c r="N1268" i="5"/>
  <c r="M1267" i="5"/>
  <c r="K1268" i="5" l="1"/>
  <c r="L1268" i="5" s="1"/>
  <c r="N1269" i="5"/>
  <c r="F1270" i="5"/>
  <c r="G1269" i="5"/>
  <c r="I1269" i="5"/>
  <c r="H1269" i="5"/>
  <c r="J1269" i="5" s="1"/>
  <c r="K1269" i="5" l="1"/>
  <c r="L1269" i="5" s="1"/>
  <c r="N1270" i="5"/>
  <c r="F1271" i="5"/>
  <c r="G1270" i="5"/>
  <c r="I1270" i="5"/>
  <c r="J1270" i="5"/>
  <c r="H1270" i="5"/>
  <c r="M1269" i="5"/>
  <c r="M1268" i="5"/>
  <c r="F1272" i="5" l="1"/>
  <c r="H1271" i="5"/>
  <c r="G1271" i="5"/>
  <c r="I1271" i="5"/>
  <c r="J1271" i="5"/>
  <c r="K1270" i="5"/>
  <c r="L1270" i="5" s="1"/>
  <c r="N1271" i="5"/>
  <c r="M1270" i="5"/>
  <c r="K1271" i="5" l="1"/>
  <c r="L1271" i="5" s="1"/>
  <c r="N1272" i="5"/>
  <c r="F1273" i="5"/>
  <c r="G1272" i="5"/>
  <c r="H1272" i="5"/>
  <c r="I1272" i="5"/>
  <c r="J1272" i="5"/>
  <c r="K1272" i="5" l="1"/>
  <c r="L1272" i="5" s="1"/>
  <c r="N1273" i="5"/>
  <c r="F1274" i="5"/>
  <c r="G1273" i="5"/>
  <c r="H1273" i="5"/>
  <c r="J1273" i="5"/>
  <c r="I1273" i="5"/>
  <c r="M1271" i="5"/>
  <c r="K1273" i="5" l="1"/>
  <c r="L1273" i="5" s="1"/>
  <c r="N1274" i="5"/>
  <c r="F1275" i="5"/>
  <c r="G1274" i="5"/>
  <c r="H1274" i="5"/>
  <c r="J1274" i="5" s="1"/>
  <c r="I1274" i="5"/>
  <c r="M1272" i="5"/>
  <c r="K1274" i="5" l="1"/>
  <c r="L1274" i="5" s="1"/>
  <c r="N1275" i="5"/>
  <c r="M1274" i="5"/>
  <c r="F1276" i="5"/>
  <c r="H1275" i="5"/>
  <c r="G1275" i="5"/>
  <c r="I1275" i="5"/>
  <c r="J1275" i="5"/>
  <c r="M1273" i="5"/>
  <c r="N1276" i="5" l="1"/>
  <c r="K1275" i="5"/>
  <c r="L1275" i="5" s="1"/>
  <c r="F1277" i="5"/>
  <c r="G1276" i="5"/>
  <c r="H1276" i="5"/>
  <c r="I1276" i="5"/>
  <c r="J1276" i="5"/>
  <c r="M1275" i="5"/>
  <c r="F1278" i="5" l="1"/>
  <c r="G1277" i="5"/>
  <c r="H1277" i="5"/>
  <c r="I1277" i="5"/>
  <c r="J1277" i="5"/>
  <c r="N1277" i="5"/>
  <c r="K1276" i="5"/>
  <c r="L1276" i="5" s="1"/>
  <c r="M1276" i="5" s="1"/>
  <c r="K1277" i="5" l="1"/>
  <c r="L1277" i="5" s="1"/>
  <c r="N1278" i="5"/>
  <c r="F1279" i="5"/>
  <c r="G1278" i="5"/>
  <c r="I1278" i="5"/>
  <c r="H1278" i="5"/>
  <c r="J1278" i="5" s="1"/>
  <c r="K1278" i="5" l="1"/>
  <c r="L1278" i="5" s="1"/>
  <c r="N1279" i="5"/>
  <c r="F1280" i="5"/>
  <c r="J1279" i="5" s="1"/>
  <c r="G1279" i="5"/>
  <c r="H1279" i="5"/>
  <c r="M1278" i="5"/>
  <c r="M1277" i="5"/>
  <c r="K1279" i="5" l="1"/>
  <c r="L1279" i="5" s="1"/>
  <c r="N1280" i="5"/>
  <c r="I1279" i="5"/>
  <c r="F1281" i="5"/>
  <c r="G1280" i="5"/>
  <c r="H1280" i="5"/>
  <c r="J1280" i="5"/>
  <c r="I1280" i="5"/>
  <c r="M1279" i="5"/>
  <c r="K1280" i="5" l="1"/>
  <c r="L1280" i="5" s="1"/>
  <c r="N1281" i="5"/>
  <c r="F1282" i="5"/>
  <c r="G1281" i="5"/>
  <c r="H1281" i="5"/>
  <c r="I1281" i="5"/>
  <c r="J1281" i="5"/>
  <c r="M1280" i="5"/>
  <c r="K1281" i="5" l="1"/>
  <c r="L1281" i="5" s="1"/>
  <c r="N1282" i="5"/>
  <c r="F1283" i="5"/>
  <c r="G1282" i="5"/>
  <c r="H1282" i="5"/>
  <c r="J1282" i="5" s="1"/>
  <c r="I1282" i="5"/>
  <c r="M1281" i="5"/>
  <c r="K1282" i="5" l="1"/>
  <c r="L1282" i="5" s="1"/>
  <c r="N1283" i="5"/>
  <c r="F1284" i="5"/>
  <c r="G1283" i="5"/>
  <c r="H1283" i="5"/>
  <c r="I1283" i="5"/>
  <c r="J1283" i="5"/>
  <c r="M1282" i="5"/>
  <c r="K1283" i="5" l="1"/>
  <c r="L1283" i="5" s="1"/>
  <c r="N1284" i="5"/>
  <c r="F1285" i="5"/>
  <c r="G1284" i="5"/>
  <c r="H1284" i="5"/>
  <c r="I1284" i="5"/>
  <c r="J1284" i="5"/>
  <c r="M1283" i="5"/>
  <c r="K1284" i="5" l="1"/>
  <c r="L1284" i="5" s="1"/>
  <c r="N1285" i="5"/>
  <c r="F1286" i="5"/>
  <c r="G1285" i="5"/>
  <c r="H1285" i="5"/>
  <c r="I1285" i="5"/>
  <c r="J1285" i="5"/>
  <c r="M1284" i="5"/>
  <c r="F1287" i="5" l="1"/>
  <c r="G1286" i="5"/>
  <c r="H1286" i="5"/>
  <c r="I1286" i="5"/>
  <c r="J1286" i="5"/>
  <c r="K1285" i="5"/>
  <c r="L1285" i="5" s="1"/>
  <c r="N1286" i="5"/>
  <c r="M1285" i="5"/>
  <c r="K1286" i="5" l="1"/>
  <c r="L1286" i="5" s="1"/>
  <c r="N1287" i="5"/>
  <c r="M1286" i="5"/>
  <c r="F1288" i="5"/>
  <c r="G1287" i="5"/>
  <c r="H1287" i="5"/>
  <c r="J1287" i="5" s="1"/>
  <c r="I1287" i="5"/>
  <c r="K1287" i="5" l="1"/>
  <c r="L1287" i="5" s="1"/>
  <c r="N1288" i="5"/>
  <c r="F1289" i="5"/>
  <c r="G1288" i="5"/>
  <c r="H1288" i="5"/>
  <c r="I1288" i="5"/>
  <c r="J1288" i="5"/>
  <c r="M1287" i="5"/>
  <c r="F1290" i="5" l="1"/>
  <c r="G1289" i="5"/>
  <c r="I1289" i="5"/>
  <c r="H1289" i="5"/>
  <c r="J1289" i="5"/>
  <c r="K1288" i="5"/>
  <c r="L1288" i="5" s="1"/>
  <c r="N1289" i="5"/>
  <c r="M1288" i="5" l="1"/>
  <c r="K1289" i="5"/>
  <c r="L1289" i="5" s="1"/>
  <c r="N1290" i="5"/>
  <c r="G1290" i="5"/>
  <c r="F1291" i="5"/>
  <c r="H1290" i="5"/>
  <c r="I1290" i="5"/>
  <c r="F1292" i="5" l="1"/>
  <c r="H1291" i="5"/>
  <c r="I1291" i="5"/>
  <c r="J1291" i="5"/>
  <c r="G1291" i="5"/>
  <c r="J1290" i="5"/>
  <c r="M1289" i="5"/>
  <c r="K1290" i="5" l="1"/>
  <c r="L1290" i="5" s="1"/>
  <c r="N1291" i="5"/>
  <c r="K1291" i="5"/>
  <c r="L1291" i="5" s="1"/>
  <c r="N1292" i="5"/>
  <c r="F1293" i="5"/>
  <c r="G1292" i="5"/>
  <c r="I1292" i="5"/>
  <c r="H1292" i="5"/>
  <c r="F1294" i="5" l="1"/>
  <c r="G1293" i="5"/>
  <c r="H1293" i="5"/>
  <c r="I1293" i="5"/>
  <c r="J1293" i="5"/>
  <c r="J1292" i="5"/>
  <c r="M1291" i="5"/>
  <c r="M1290" i="5"/>
  <c r="K1292" i="5" l="1"/>
  <c r="L1292" i="5" s="1"/>
  <c r="N1293" i="5"/>
  <c r="K1293" i="5"/>
  <c r="L1293" i="5" s="1"/>
  <c r="N1294" i="5"/>
  <c r="F1295" i="5"/>
  <c r="H1294" i="5"/>
  <c r="I1294" i="5"/>
  <c r="G1294" i="5"/>
  <c r="F1296" i="5" l="1"/>
  <c r="H1295" i="5"/>
  <c r="G1295" i="5"/>
  <c r="I1295" i="5"/>
  <c r="J1295" i="5"/>
  <c r="J1294" i="5"/>
  <c r="M1293" i="5"/>
  <c r="M1292" i="5"/>
  <c r="K1295" i="5" l="1"/>
  <c r="K1294" i="5"/>
  <c r="L1294" i="5" s="1"/>
  <c r="N1295" i="5"/>
  <c r="N1296" i="5" s="1"/>
  <c r="F1297" i="5"/>
  <c r="G1296" i="5"/>
  <c r="H1296" i="5"/>
  <c r="I1296" i="5"/>
  <c r="F1298" i="5" l="1"/>
  <c r="G1297" i="5"/>
  <c r="H1297" i="5"/>
  <c r="J1297" i="5"/>
  <c r="I1297" i="5"/>
  <c r="M1295" i="5"/>
  <c r="M1294" i="5"/>
  <c r="J1296" i="5"/>
  <c r="L1295" i="5"/>
  <c r="K1297" i="5" l="1"/>
  <c r="K1296" i="5"/>
  <c r="L1296" i="5" s="1"/>
  <c r="M1296" i="5" s="1"/>
  <c r="N1297" i="5"/>
  <c r="N1298" i="5" s="1"/>
  <c r="F1299" i="5"/>
  <c r="G1298" i="5"/>
  <c r="H1298" i="5"/>
  <c r="F1300" i="5" l="1"/>
  <c r="G1299" i="5"/>
  <c r="H1299" i="5"/>
  <c r="I1299" i="5"/>
  <c r="J1299" i="5"/>
  <c r="M1297" i="5"/>
  <c r="I1298" i="5"/>
  <c r="J1298" i="5"/>
  <c r="L1297" i="5"/>
  <c r="K1298" i="5" l="1"/>
  <c r="L1298" i="5" s="1"/>
  <c r="N1299" i="5"/>
  <c r="K1299" i="5"/>
  <c r="L1299" i="5" s="1"/>
  <c r="N1300" i="5"/>
  <c r="M1298" i="5"/>
  <c r="F1301" i="5"/>
  <c r="G1300" i="5"/>
  <c r="H1300" i="5"/>
  <c r="F1302" i="5" l="1"/>
  <c r="G1301" i="5"/>
  <c r="H1301" i="5"/>
  <c r="J1301" i="5"/>
  <c r="I1301" i="5"/>
  <c r="J1300" i="5"/>
  <c r="I1300" i="5"/>
  <c r="M1299" i="5"/>
  <c r="K1301" i="5" l="1"/>
  <c r="L1301" i="5" s="1"/>
  <c r="N1302" i="5"/>
  <c r="K1300" i="5"/>
  <c r="L1300" i="5" s="1"/>
  <c r="N1301" i="5"/>
  <c r="F1303" i="5"/>
  <c r="G1302" i="5"/>
  <c r="H1302" i="5"/>
  <c r="I1302" i="5"/>
  <c r="F1304" i="5" l="1"/>
  <c r="G1303" i="5"/>
  <c r="H1303" i="5"/>
  <c r="I1303" i="5"/>
  <c r="J1303" i="5"/>
  <c r="M1301" i="5"/>
  <c r="M1300" i="5"/>
  <c r="J1302" i="5"/>
  <c r="K1302" i="5" l="1"/>
  <c r="L1302" i="5" s="1"/>
  <c r="N1303" i="5"/>
  <c r="K1303" i="5"/>
  <c r="L1303" i="5" s="1"/>
  <c r="N1304" i="5"/>
  <c r="F1305" i="5"/>
  <c r="G1304" i="5"/>
  <c r="H1304" i="5"/>
  <c r="I1304" i="5"/>
  <c r="F1306" i="5" l="1"/>
  <c r="G1305" i="5"/>
  <c r="H1305" i="5"/>
  <c r="I1305" i="5"/>
  <c r="J1305" i="5"/>
  <c r="J1304" i="5"/>
  <c r="M1303" i="5"/>
  <c r="M1302" i="5"/>
  <c r="N1305" i="5" l="1"/>
  <c r="K1304" i="5"/>
  <c r="L1304" i="5" s="1"/>
  <c r="K1305" i="5"/>
  <c r="L1305" i="5" s="1"/>
  <c r="N1306" i="5"/>
  <c r="F1307" i="5"/>
  <c r="G1306" i="5"/>
  <c r="H1306" i="5"/>
  <c r="I1306" i="5"/>
  <c r="F1308" i="5" l="1"/>
  <c r="G1307" i="5"/>
  <c r="H1307" i="5"/>
  <c r="I1307" i="5"/>
  <c r="J1307" i="5"/>
  <c r="M1305" i="5"/>
  <c r="M1304" i="5"/>
  <c r="J1306" i="5"/>
  <c r="K1307" i="5" l="1"/>
  <c r="K1306" i="5"/>
  <c r="L1306" i="5" s="1"/>
  <c r="N1307" i="5"/>
  <c r="N1308" i="5" s="1"/>
  <c r="F1309" i="5"/>
  <c r="G1308" i="5"/>
  <c r="H1308" i="5"/>
  <c r="I1308" i="5"/>
  <c r="M1306" i="5" l="1"/>
  <c r="F1310" i="5"/>
  <c r="G1309" i="5"/>
  <c r="H1309" i="5"/>
  <c r="I1309" i="5"/>
  <c r="J1309" i="5"/>
  <c r="J1308" i="5"/>
  <c r="L1307" i="5"/>
  <c r="K1309" i="5" l="1"/>
  <c r="K1308" i="5"/>
  <c r="L1308" i="5" s="1"/>
  <c r="N1309" i="5"/>
  <c r="N1310" i="5" s="1"/>
  <c r="F1311" i="5"/>
  <c r="G1310" i="5"/>
  <c r="I1310" i="5"/>
  <c r="H1310" i="5"/>
  <c r="M1307" i="5"/>
  <c r="F1312" i="5" l="1"/>
  <c r="G1311" i="5"/>
  <c r="I1311" i="5"/>
  <c r="H1311" i="5"/>
  <c r="J1311" i="5"/>
  <c r="M1309" i="5"/>
  <c r="M1308" i="5"/>
  <c r="J1310" i="5"/>
  <c r="L1309" i="5"/>
  <c r="K1310" i="5" l="1"/>
  <c r="L1310" i="5" s="1"/>
  <c r="N1311" i="5"/>
  <c r="K1311" i="5"/>
  <c r="L1311" i="5" s="1"/>
  <c r="N1312" i="5"/>
  <c r="M1310" i="5"/>
  <c r="F1313" i="5"/>
  <c r="G1312" i="5"/>
  <c r="H1312" i="5"/>
  <c r="F1314" i="5" l="1"/>
  <c r="G1313" i="5"/>
  <c r="H1313" i="5"/>
  <c r="I1313" i="5"/>
  <c r="J1313" i="5"/>
  <c r="I1312" i="5"/>
  <c r="J1312" i="5"/>
  <c r="M1311" i="5"/>
  <c r="K1312" i="5" l="1"/>
  <c r="L1312" i="5" s="1"/>
  <c r="N1313" i="5"/>
  <c r="K1313" i="5"/>
  <c r="L1313" i="5" s="1"/>
  <c r="N1314" i="5"/>
  <c r="F1315" i="5"/>
  <c r="G1314" i="5"/>
  <c r="H1314" i="5"/>
  <c r="I1314" i="5"/>
  <c r="F1316" i="5" l="1"/>
  <c r="G1315" i="5"/>
  <c r="H1315" i="5"/>
  <c r="I1315" i="5"/>
  <c r="J1315" i="5"/>
  <c r="J1314" i="5"/>
  <c r="M1313" i="5"/>
  <c r="M1312" i="5"/>
  <c r="K1315" i="5" l="1"/>
  <c r="L1315" i="5" s="1"/>
  <c r="N1316" i="5"/>
  <c r="F1317" i="5"/>
  <c r="G1316" i="5"/>
  <c r="H1316" i="5"/>
  <c r="I1316" i="5"/>
  <c r="J1316" i="5"/>
  <c r="N1315" i="5"/>
  <c r="K1314" i="5"/>
  <c r="L1314" i="5" s="1"/>
  <c r="K1316" i="5" l="1"/>
  <c r="L1316" i="5" s="1"/>
  <c r="N1317" i="5"/>
  <c r="F1318" i="5"/>
  <c r="G1317" i="5"/>
  <c r="H1317" i="5"/>
  <c r="I1317" i="5"/>
  <c r="J1317" i="5"/>
  <c r="M1315" i="5"/>
  <c r="M1314" i="5"/>
  <c r="M1316" i="5"/>
  <c r="K1317" i="5" l="1"/>
  <c r="L1317" i="5" s="1"/>
  <c r="N1318" i="5"/>
  <c r="F1319" i="5"/>
  <c r="G1318" i="5"/>
  <c r="H1318" i="5"/>
  <c r="I1318" i="5"/>
  <c r="J1318" i="5"/>
  <c r="M1317" i="5"/>
  <c r="K1318" i="5" l="1"/>
  <c r="L1318" i="5" s="1"/>
  <c r="N1319" i="5"/>
  <c r="F1320" i="5"/>
  <c r="G1319" i="5"/>
  <c r="H1319" i="5"/>
  <c r="I1319" i="5"/>
  <c r="J1319" i="5"/>
  <c r="M1318" i="5"/>
  <c r="K1319" i="5" l="1"/>
  <c r="L1319" i="5" s="1"/>
  <c r="N1320" i="5"/>
  <c r="F1321" i="5"/>
  <c r="G1320" i="5"/>
  <c r="H1320" i="5"/>
  <c r="I1320" i="5"/>
  <c r="J1320" i="5"/>
  <c r="M1319" i="5"/>
  <c r="K1320" i="5" l="1"/>
  <c r="L1320" i="5" s="1"/>
  <c r="N1321" i="5"/>
  <c r="F1322" i="5"/>
  <c r="G1321" i="5"/>
  <c r="I1321" i="5"/>
  <c r="H1321" i="5"/>
  <c r="J1321" i="5"/>
  <c r="M1320" i="5"/>
  <c r="K1321" i="5" l="1"/>
  <c r="L1321" i="5" s="1"/>
  <c r="N1322" i="5"/>
  <c r="F1323" i="5"/>
  <c r="G1322" i="5"/>
  <c r="H1322" i="5"/>
  <c r="J1322" i="5"/>
  <c r="I1322" i="5"/>
  <c r="M1321" i="5"/>
  <c r="K1322" i="5" l="1"/>
  <c r="L1322" i="5" s="1"/>
  <c r="N1323" i="5"/>
  <c r="F1324" i="5"/>
  <c r="H1323" i="5"/>
  <c r="G1323" i="5"/>
  <c r="I1323" i="5"/>
  <c r="J1323" i="5"/>
  <c r="M1322" i="5"/>
  <c r="N1324" i="5" l="1"/>
  <c r="K1323" i="5"/>
  <c r="L1323" i="5" s="1"/>
  <c r="F1325" i="5"/>
  <c r="G1324" i="5"/>
  <c r="H1324" i="5"/>
  <c r="I1324" i="5"/>
  <c r="J1324" i="5"/>
  <c r="M1323" i="5"/>
  <c r="N1325" i="5" l="1"/>
  <c r="K1324" i="5"/>
  <c r="L1324" i="5" s="1"/>
  <c r="F1326" i="5"/>
  <c r="G1325" i="5"/>
  <c r="H1325" i="5"/>
  <c r="J1325" i="5" s="1"/>
  <c r="I1325" i="5"/>
  <c r="M1324" i="5"/>
  <c r="N1326" i="5" l="1"/>
  <c r="K1325" i="5"/>
  <c r="L1325" i="5" s="1"/>
  <c r="G1326" i="5"/>
  <c r="H1326" i="5"/>
  <c r="F1327" i="5"/>
  <c r="I1326" i="5" s="1"/>
  <c r="M1325" i="5"/>
  <c r="J1326" i="5" l="1"/>
  <c r="F1328" i="5"/>
  <c r="G1327" i="5"/>
  <c r="H1327" i="5"/>
  <c r="I1327" i="5"/>
  <c r="J1327" i="5"/>
  <c r="K1327" i="5" l="1"/>
  <c r="N1328" i="5"/>
  <c r="F1329" i="5"/>
  <c r="G1328" i="5"/>
  <c r="H1328" i="5"/>
  <c r="I1328" i="5"/>
  <c r="J1328" i="5"/>
  <c r="K1326" i="5"/>
  <c r="L1326" i="5" s="1"/>
  <c r="N1327" i="5"/>
  <c r="M1326" i="5" l="1"/>
  <c r="K1328" i="5"/>
  <c r="L1328" i="5" s="1"/>
  <c r="N1329" i="5"/>
  <c r="F1330" i="5"/>
  <c r="H1329" i="5"/>
  <c r="G1329" i="5"/>
  <c r="I1329" i="5"/>
  <c r="L1327" i="5"/>
  <c r="F1331" i="5" l="1"/>
  <c r="G1330" i="5"/>
  <c r="H1330" i="5"/>
  <c r="I1330" i="5"/>
  <c r="J1330" i="5"/>
  <c r="M1328" i="5"/>
  <c r="J1329" i="5"/>
  <c r="M1327" i="5"/>
  <c r="K1329" i="5" l="1"/>
  <c r="L1329" i="5" s="1"/>
  <c r="N1330" i="5"/>
  <c r="K1330" i="5"/>
  <c r="L1330" i="5" s="1"/>
  <c r="N1331" i="5"/>
  <c r="F1332" i="5"/>
  <c r="G1331" i="5"/>
  <c r="H1331" i="5"/>
  <c r="I1331" i="5"/>
  <c r="F1333" i="5" l="1"/>
  <c r="I1332" i="5"/>
  <c r="G1332" i="5"/>
  <c r="H1332" i="5"/>
  <c r="J1332" i="5"/>
  <c r="J1331" i="5"/>
  <c r="M1330" i="5"/>
  <c r="M1329" i="5"/>
  <c r="K1331" i="5" l="1"/>
  <c r="L1331" i="5" s="1"/>
  <c r="N1332" i="5"/>
  <c r="K1332" i="5"/>
  <c r="L1332" i="5" s="1"/>
  <c r="N1333" i="5"/>
  <c r="F1334" i="5"/>
  <c r="G1333" i="5"/>
  <c r="I1333" i="5"/>
  <c r="H1333" i="5"/>
  <c r="F1335" i="5" l="1"/>
  <c r="G1334" i="5"/>
  <c r="I1334" i="5"/>
  <c r="H1334" i="5"/>
  <c r="J1334" i="5"/>
  <c r="J1333" i="5"/>
  <c r="M1332" i="5"/>
  <c r="M1331" i="5"/>
  <c r="K1334" i="5" l="1"/>
  <c r="K1333" i="5"/>
  <c r="L1333" i="5" s="1"/>
  <c r="N1334" i="5"/>
  <c r="N1335" i="5" s="1"/>
  <c r="F1336" i="5"/>
  <c r="H1335" i="5"/>
  <c r="G1335" i="5"/>
  <c r="I1335" i="5"/>
  <c r="F1337" i="5" l="1"/>
  <c r="G1336" i="5"/>
  <c r="H1336" i="5"/>
  <c r="I1336" i="5"/>
  <c r="J1336" i="5"/>
  <c r="M1334" i="5"/>
  <c r="M1333" i="5"/>
  <c r="J1335" i="5"/>
  <c r="L1334" i="5"/>
  <c r="K1335" i="5" l="1"/>
  <c r="L1335" i="5" s="1"/>
  <c r="N1336" i="5"/>
  <c r="N1337" i="5"/>
  <c r="K1336" i="5"/>
  <c r="L1336" i="5" s="1"/>
  <c r="M1335" i="5"/>
  <c r="G1337" i="5"/>
  <c r="F1338" i="5"/>
  <c r="H1337" i="5"/>
  <c r="F1339" i="5" l="1"/>
  <c r="G1338" i="5"/>
  <c r="H1338" i="5"/>
  <c r="I1338" i="5"/>
  <c r="J1338" i="5"/>
  <c r="J1337" i="5"/>
  <c r="I1337" i="5"/>
  <c r="M1336" i="5"/>
  <c r="K1337" i="5" l="1"/>
  <c r="L1337" i="5" s="1"/>
  <c r="N1338" i="5"/>
  <c r="K1338" i="5"/>
  <c r="L1338" i="5" s="1"/>
  <c r="N1339" i="5"/>
  <c r="F1340" i="5"/>
  <c r="G1339" i="5"/>
  <c r="H1339" i="5"/>
  <c r="I1339" i="5"/>
  <c r="F1341" i="5" l="1"/>
  <c r="G1340" i="5"/>
  <c r="H1340" i="5"/>
  <c r="I1340" i="5"/>
  <c r="J1340" i="5"/>
  <c r="J1339" i="5"/>
  <c r="M1338" i="5"/>
  <c r="M1337" i="5"/>
  <c r="K1339" i="5" l="1"/>
  <c r="L1339" i="5" s="1"/>
  <c r="N1340" i="5"/>
  <c r="K1340" i="5"/>
  <c r="L1340" i="5" s="1"/>
  <c r="N1341" i="5"/>
  <c r="F1342" i="5"/>
  <c r="H1341" i="5"/>
  <c r="G1341" i="5"/>
  <c r="I1341" i="5"/>
  <c r="F1343" i="5" l="1"/>
  <c r="G1342" i="5"/>
  <c r="H1342" i="5"/>
  <c r="J1342" i="5"/>
  <c r="J1341" i="5"/>
  <c r="M1340" i="5"/>
  <c r="M1339" i="5"/>
  <c r="K1341" i="5" l="1"/>
  <c r="L1341" i="5" s="1"/>
  <c r="N1342" i="5"/>
  <c r="K1342" i="5"/>
  <c r="L1342" i="5" s="1"/>
  <c r="N1343" i="5"/>
  <c r="F1344" i="5"/>
  <c r="G1343" i="5"/>
  <c r="H1343" i="5"/>
  <c r="I1343" i="5"/>
  <c r="I1342" i="5"/>
  <c r="F1345" i="5" l="1"/>
  <c r="G1344" i="5"/>
  <c r="H1344" i="5"/>
  <c r="J1344" i="5"/>
  <c r="I1344" i="5"/>
  <c r="J1343" i="5"/>
  <c r="M1342" i="5"/>
  <c r="M1341" i="5"/>
  <c r="K1343" i="5" l="1"/>
  <c r="L1343" i="5" s="1"/>
  <c r="N1344" i="5"/>
  <c r="K1344" i="5"/>
  <c r="L1344" i="5" s="1"/>
  <c r="N1345" i="5"/>
  <c r="F1346" i="5"/>
  <c r="G1345" i="5"/>
  <c r="H1345" i="5"/>
  <c r="I1345" i="5"/>
  <c r="F1347" i="5" l="1"/>
  <c r="G1346" i="5"/>
  <c r="H1346" i="5"/>
  <c r="I1346" i="5"/>
  <c r="J1346" i="5"/>
  <c r="J1345" i="5"/>
  <c r="M1344" i="5"/>
  <c r="M1343" i="5"/>
  <c r="N1346" i="5" l="1"/>
  <c r="K1345" i="5"/>
  <c r="L1345" i="5" s="1"/>
  <c r="N1347" i="5"/>
  <c r="K1346" i="5"/>
  <c r="L1346" i="5" s="1"/>
  <c r="F1348" i="5"/>
  <c r="G1347" i="5"/>
  <c r="H1347" i="5"/>
  <c r="I1347" i="5"/>
  <c r="F1349" i="5" l="1"/>
  <c r="G1348" i="5"/>
  <c r="H1348" i="5"/>
  <c r="I1348" i="5"/>
  <c r="J1348" i="5"/>
  <c r="M1346" i="5"/>
  <c r="M1345" i="5"/>
  <c r="J1347" i="5"/>
  <c r="K1348" i="5" l="1"/>
  <c r="F1350" i="5"/>
  <c r="G1349" i="5"/>
  <c r="H1349" i="5"/>
  <c r="I1349" i="5"/>
  <c r="J1349" i="5"/>
  <c r="N1348" i="5"/>
  <c r="N1349" i="5" s="1"/>
  <c r="K1347" i="5"/>
  <c r="L1347" i="5" s="1"/>
  <c r="K1349" i="5" l="1"/>
  <c r="L1349" i="5" s="1"/>
  <c r="N1350" i="5"/>
  <c r="F1351" i="5"/>
  <c r="G1350" i="5"/>
  <c r="H1350" i="5"/>
  <c r="I1350" i="5"/>
  <c r="J1350" i="5"/>
  <c r="M1348" i="5"/>
  <c r="M1347" i="5"/>
  <c r="L1348" i="5"/>
  <c r="M1349" i="5" s="1"/>
  <c r="K1350" i="5" l="1"/>
  <c r="L1350" i="5" s="1"/>
  <c r="N1351" i="5"/>
  <c r="F1352" i="5"/>
  <c r="G1351" i="5"/>
  <c r="H1351" i="5"/>
  <c r="J1351" i="5"/>
  <c r="I1351" i="5"/>
  <c r="M1350" i="5"/>
  <c r="K1351" i="5" l="1"/>
  <c r="L1351" i="5" s="1"/>
  <c r="N1352" i="5"/>
  <c r="F1353" i="5"/>
  <c r="G1352" i="5"/>
  <c r="J1352" i="5"/>
  <c r="H1352" i="5"/>
  <c r="I1352" i="5"/>
  <c r="M1351" i="5"/>
  <c r="K1352" i="5" l="1"/>
  <c r="L1352" i="5" s="1"/>
  <c r="N1353" i="5"/>
  <c r="F1354" i="5"/>
  <c r="G1353" i="5"/>
  <c r="I1353" i="5"/>
  <c r="J1353" i="5"/>
  <c r="H1353" i="5"/>
  <c r="M1352" i="5"/>
  <c r="K1353" i="5" l="1"/>
  <c r="L1353" i="5" s="1"/>
  <c r="N1354" i="5"/>
  <c r="F1355" i="5"/>
  <c r="G1354" i="5"/>
  <c r="H1354" i="5"/>
  <c r="I1354" i="5"/>
  <c r="J1354" i="5"/>
  <c r="M1353" i="5"/>
  <c r="K1354" i="5" l="1"/>
  <c r="L1354" i="5" s="1"/>
  <c r="N1355" i="5"/>
  <c r="F1356" i="5"/>
  <c r="H1355" i="5"/>
  <c r="G1355" i="5"/>
  <c r="I1355" i="5"/>
  <c r="J1355" i="5"/>
  <c r="M1354" i="5"/>
  <c r="K1355" i="5" l="1"/>
  <c r="L1355" i="5" s="1"/>
  <c r="N1356" i="5"/>
  <c r="F1357" i="5"/>
  <c r="G1356" i="5"/>
  <c r="I1356" i="5"/>
  <c r="J1356" i="5"/>
  <c r="H1356" i="5"/>
  <c r="M1355" i="5"/>
  <c r="K1356" i="5" l="1"/>
  <c r="L1356" i="5" s="1"/>
  <c r="N1357" i="5"/>
  <c r="F1358" i="5"/>
  <c r="G1357" i="5"/>
  <c r="H1357" i="5"/>
  <c r="J1357" i="5"/>
  <c r="I1357" i="5"/>
  <c r="M1356" i="5"/>
  <c r="K1357" i="5" l="1"/>
  <c r="L1357" i="5" s="1"/>
  <c r="N1358" i="5"/>
  <c r="F1359" i="5"/>
  <c r="G1358" i="5"/>
  <c r="H1358" i="5"/>
  <c r="I1358" i="5"/>
  <c r="J1358" i="5"/>
  <c r="M1357" i="5"/>
  <c r="K1358" i="5" l="1"/>
  <c r="L1358" i="5" s="1"/>
  <c r="N1359" i="5"/>
  <c r="F1360" i="5"/>
  <c r="G1359" i="5"/>
  <c r="H1359" i="5"/>
  <c r="I1359" i="5"/>
  <c r="J1359" i="5"/>
  <c r="M1358" i="5"/>
  <c r="K1359" i="5" l="1"/>
  <c r="L1359" i="5" s="1"/>
  <c r="N1360" i="5"/>
  <c r="F1361" i="5"/>
  <c r="G1360" i="5"/>
  <c r="H1360" i="5"/>
  <c r="I1360" i="5"/>
  <c r="J1360" i="5"/>
  <c r="M1359" i="5"/>
  <c r="K1360" i="5" l="1"/>
  <c r="L1360" i="5" s="1"/>
  <c r="N1361" i="5"/>
  <c r="F1362" i="5"/>
  <c r="G1361" i="5"/>
  <c r="H1361" i="5"/>
  <c r="J1361" i="5"/>
  <c r="I1361" i="5"/>
  <c r="M1360" i="5"/>
  <c r="K1361" i="5" l="1"/>
  <c r="L1361" i="5" s="1"/>
  <c r="N1362" i="5"/>
  <c r="F1363" i="5"/>
  <c r="G1362" i="5"/>
  <c r="H1362" i="5"/>
  <c r="J1362" i="5"/>
  <c r="I1362" i="5"/>
  <c r="M1361" i="5"/>
  <c r="K1362" i="5" l="1"/>
  <c r="L1362" i="5" s="1"/>
  <c r="N1363" i="5"/>
  <c r="F1364" i="5"/>
  <c r="H1363" i="5"/>
  <c r="G1363" i="5"/>
  <c r="I1363" i="5"/>
  <c r="J1363" i="5"/>
  <c r="M1362" i="5"/>
  <c r="K1363" i="5" l="1"/>
  <c r="L1363" i="5" s="1"/>
  <c r="N1364" i="5"/>
  <c r="F1365" i="5"/>
  <c r="G1364" i="5"/>
  <c r="H1364" i="5"/>
  <c r="I1364" i="5"/>
  <c r="J1364" i="5"/>
  <c r="M1363" i="5"/>
  <c r="K1364" i="5" l="1"/>
  <c r="L1364" i="5" s="1"/>
  <c r="N1365" i="5"/>
  <c r="F1366" i="5"/>
  <c r="G1365" i="5"/>
  <c r="H1365" i="5"/>
  <c r="I1365" i="5"/>
  <c r="J1365" i="5"/>
  <c r="M1364" i="5"/>
  <c r="K1365" i="5" l="1"/>
  <c r="L1365" i="5" s="1"/>
  <c r="N1366" i="5"/>
  <c r="F1367" i="5"/>
  <c r="G1366" i="5"/>
  <c r="H1366" i="5"/>
  <c r="I1366" i="5"/>
  <c r="J1366" i="5"/>
  <c r="M1365" i="5"/>
  <c r="K1366" i="5" l="1"/>
  <c r="L1366" i="5" s="1"/>
  <c r="N1367" i="5"/>
  <c r="F1368" i="5"/>
  <c r="H1367" i="5"/>
  <c r="I1367" i="5"/>
  <c r="J1367" i="5"/>
  <c r="G1367" i="5"/>
  <c r="M1366" i="5"/>
  <c r="K1367" i="5" l="1"/>
  <c r="L1367" i="5" s="1"/>
  <c r="N1368" i="5"/>
  <c r="F1369" i="5"/>
  <c r="H1368" i="5"/>
  <c r="I1368" i="5"/>
  <c r="G1368" i="5"/>
  <c r="J1368" i="5"/>
  <c r="M1367" i="5"/>
  <c r="N1369" i="5" l="1"/>
  <c r="K1368" i="5"/>
  <c r="L1368" i="5" s="1"/>
  <c r="F1370" i="5"/>
  <c r="G1369" i="5"/>
  <c r="H1369" i="5"/>
  <c r="I1369" i="5"/>
  <c r="J1369" i="5"/>
  <c r="M1368" i="5"/>
  <c r="N1370" i="5" l="1"/>
  <c r="K1369" i="5"/>
  <c r="L1369" i="5" s="1"/>
  <c r="F1371" i="5"/>
  <c r="G1370" i="5"/>
  <c r="H1370" i="5"/>
  <c r="I1370" i="5"/>
  <c r="J1370" i="5"/>
  <c r="M1369" i="5"/>
  <c r="K1370" i="5" l="1"/>
  <c r="L1370" i="5" s="1"/>
  <c r="N1371" i="5"/>
  <c r="F1372" i="5"/>
  <c r="G1371" i="5"/>
  <c r="H1371" i="5"/>
  <c r="I1371" i="5"/>
  <c r="J1371" i="5"/>
  <c r="K1371" i="5" l="1"/>
  <c r="L1371" i="5" s="1"/>
  <c r="N1372" i="5"/>
  <c r="F1373" i="5"/>
  <c r="H1372" i="5"/>
  <c r="I1372" i="5"/>
  <c r="J1372" i="5"/>
  <c r="G1372" i="5"/>
  <c r="M1370" i="5"/>
  <c r="K1372" i="5" l="1"/>
  <c r="L1372" i="5" s="1"/>
  <c r="N1373" i="5"/>
  <c r="M1372" i="5"/>
  <c r="F1374" i="5"/>
  <c r="G1373" i="5"/>
  <c r="H1373" i="5"/>
  <c r="I1373" i="5"/>
  <c r="J1373" i="5"/>
  <c r="M1371" i="5"/>
  <c r="K1373" i="5" l="1"/>
  <c r="L1373" i="5" s="1"/>
  <c r="N1374" i="5"/>
  <c r="F1375" i="5"/>
  <c r="G1374" i="5"/>
  <c r="I1374" i="5"/>
  <c r="H1374" i="5"/>
  <c r="J1374" i="5"/>
  <c r="M1373" i="5"/>
  <c r="K1374" i="5" l="1"/>
  <c r="L1374" i="5" s="1"/>
  <c r="N1375" i="5"/>
  <c r="F1376" i="5"/>
  <c r="G1375" i="5"/>
  <c r="H1375" i="5"/>
  <c r="J1375" i="5"/>
  <c r="I1375" i="5"/>
  <c r="M1374" i="5"/>
  <c r="K1375" i="5" l="1"/>
  <c r="L1375" i="5" s="1"/>
  <c r="N1376" i="5"/>
  <c r="F1377" i="5"/>
  <c r="G1376" i="5"/>
  <c r="H1376" i="5"/>
  <c r="J1376" i="5"/>
  <c r="I1376" i="5"/>
  <c r="M1375" i="5"/>
  <c r="K1376" i="5" l="1"/>
  <c r="L1376" i="5" s="1"/>
  <c r="N1377" i="5"/>
  <c r="F1378" i="5"/>
  <c r="G1377" i="5"/>
  <c r="H1377" i="5"/>
  <c r="J1377" i="5"/>
  <c r="I1377" i="5"/>
  <c r="M1376" i="5"/>
  <c r="K1377" i="5" l="1"/>
  <c r="L1377" i="5" s="1"/>
  <c r="N1378" i="5"/>
  <c r="F1379" i="5"/>
  <c r="G1378" i="5"/>
  <c r="H1378" i="5"/>
  <c r="J1378" i="5" s="1"/>
  <c r="I1378" i="5"/>
  <c r="M1377" i="5"/>
  <c r="N1379" i="5" l="1"/>
  <c r="K1378" i="5"/>
  <c r="L1378" i="5" s="1"/>
  <c r="F1380" i="5"/>
  <c r="G1379" i="5"/>
  <c r="H1379" i="5"/>
  <c r="I1379" i="5"/>
  <c r="J1379" i="5"/>
  <c r="M1378" i="5"/>
  <c r="K1379" i="5" l="1"/>
  <c r="L1379" i="5" s="1"/>
  <c r="N1380" i="5"/>
  <c r="F1381" i="5"/>
  <c r="G1380" i="5"/>
  <c r="H1380" i="5"/>
  <c r="I1380" i="5"/>
  <c r="J1380" i="5"/>
  <c r="M1379" i="5"/>
  <c r="K1380" i="5" l="1"/>
  <c r="L1380" i="5" s="1"/>
  <c r="N1381" i="5"/>
  <c r="F1382" i="5"/>
  <c r="G1381" i="5"/>
  <c r="H1381" i="5"/>
  <c r="I1381" i="5"/>
  <c r="J1381" i="5"/>
  <c r="M1380" i="5"/>
  <c r="K1381" i="5" l="1"/>
  <c r="L1381" i="5" s="1"/>
  <c r="N1382" i="5"/>
  <c r="F1383" i="5"/>
  <c r="G1382" i="5"/>
  <c r="H1382" i="5"/>
  <c r="I1382" i="5"/>
  <c r="J1382" i="5"/>
  <c r="M1381" i="5"/>
  <c r="K1382" i="5" l="1"/>
  <c r="L1382" i="5" s="1"/>
  <c r="N1383" i="5"/>
  <c r="F1384" i="5"/>
  <c r="H1383" i="5"/>
  <c r="G1383" i="5"/>
  <c r="I1383" i="5"/>
  <c r="J1383" i="5"/>
  <c r="M1382" i="5"/>
  <c r="K1383" i="5" l="1"/>
  <c r="L1383" i="5" s="1"/>
  <c r="N1384" i="5"/>
  <c r="F1385" i="5"/>
  <c r="G1384" i="5"/>
  <c r="H1384" i="5"/>
  <c r="I1384" i="5"/>
  <c r="J1384" i="5"/>
  <c r="M1383" i="5"/>
  <c r="K1384" i="5" l="1"/>
  <c r="L1384" i="5" s="1"/>
  <c r="N1385" i="5"/>
  <c r="F1386" i="5"/>
  <c r="G1385" i="5"/>
  <c r="H1385" i="5"/>
  <c r="I1385" i="5"/>
  <c r="J1385" i="5"/>
  <c r="M1384" i="5"/>
  <c r="K1385" i="5" l="1"/>
  <c r="L1385" i="5" s="1"/>
  <c r="N1386" i="5"/>
  <c r="G1386" i="5"/>
  <c r="F1387" i="5"/>
  <c r="H1386" i="5"/>
  <c r="J1386" i="5"/>
  <c r="I1386" i="5"/>
  <c r="M1385" i="5"/>
  <c r="K1386" i="5" l="1"/>
  <c r="L1386" i="5" s="1"/>
  <c r="N1387" i="5"/>
  <c r="F1388" i="5"/>
  <c r="H1387" i="5"/>
  <c r="G1387" i="5"/>
  <c r="I1387" i="5"/>
  <c r="J1387" i="5"/>
  <c r="M1386" i="5"/>
  <c r="F1389" i="5" l="1"/>
  <c r="G1388" i="5"/>
  <c r="H1388" i="5"/>
  <c r="I1388" i="5"/>
  <c r="J1388" i="5"/>
  <c r="N1388" i="5"/>
  <c r="K1387" i="5"/>
  <c r="L1387" i="5" s="1"/>
  <c r="M1387" i="5" l="1"/>
  <c r="K1388" i="5"/>
  <c r="L1388" i="5" s="1"/>
  <c r="N1389" i="5"/>
  <c r="F1390" i="5"/>
  <c r="G1389" i="5"/>
  <c r="H1389" i="5"/>
  <c r="J1389" i="5"/>
  <c r="K1389" i="5" l="1"/>
  <c r="L1389" i="5" s="1"/>
  <c r="N1390" i="5"/>
  <c r="F1391" i="5"/>
  <c r="G1390" i="5"/>
  <c r="H1390" i="5"/>
  <c r="I1390" i="5"/>
  <c r="J1390" i="5"/>
  <c r="M1389" i="5"/>
  <c r="I1389" i="5"/>
  <c r="M1388" i="5"/>
  <c r="F1392" i="5" l="1"/>
  <c r="G1391" i="5"/>
  <c r="H1391" i="5"/>
  <c r="I1391" i="5"/>
  <c r="J1391" i="5"/>
  <c r="K1390" i="5"/>
  <c r="L1390" i="5" s="1"/>
  <c r="N1391" i="5"/>
  <c r="M1390" i="5"/>
  <c r="K1391" i="5" l="1"/>
  <c r="L1391" i="5" s="1"/>
  <c r="N1392" i="5"/>
  <c r="F1393" i="5"/>
  <c r="G1392" i="5"/>
  <c r="H1392" i="5"/>
  <c r="I1392" i="5"/>
  <c r="J1392" i="5"/>
  <c r="K1392" i="5" l="1"/>
  <c r="L1392" i="5" s="1"/>
  <c r="N1393" i="5"/>
  <c r="F1394" i="5"/>
  <c r="G1393" i="5"/>
  <c r="H1393" i="5"/>
  <c r="I1393" i="5"/>
  <c r="J1393" i="5"/>
  <c r="M1392" i="5"/>
  <c r="M1391" i="5"/>
  <c r="K1393" i="5" l="1"/>
  <c r="L1393" i="5" s="1"/>
  <c r="N1394" i="5"/>
  <c r="F1395" i="5"/>
  <c r="G1394" i="5"/>
  <c r="H1394" i="5"/>
  <c r="I1394" i="5"/>
  <c r="J1394" i="5"/>
  <c r="M1393" i="5"/>
  <c r="K1394" i="5" l="1"/>
  <c r="L1394" i="5" s="1"/>
  <c r="N1395" i="5"/>
  <c r="F1396" i="5"/>
  <c r="G1395" i="5"/>
  <c r="H1395" i="5"/>
  <c r="I1395" i="5"/>
  <c r="J1395" i="5"/>
  <c r="M1394" i="5"/>
  <c r="K1395" i="5" l="1"/>
  <c r="L1395" i="5" s="1"/>
  <c r="N1396" i="5"/>
  <c r="F1397" i="5"/>
  <c r="G1396" i="5"/>
  <c r="H1396" i="5"/>
  <c r="M1395" i="5"/>
  <c r="F1398" i="5" l="1"/>
  <c r="G1397" i="5"/>
  <c r="I1397" i="5"/>
  <c r="H1397" i="5"/>
  <c r="J1397" i="5"/>
  <c r="J1396" i="5"/>
  <c r="I1396" i="5"/>
  <c r="K1397" i="5" l="1"/>
  <c r="K1396" i="5"/>
  <c r="L1396" i="5" s="1"/>
  <c r="N1397" i="5"/>
  <c r="N1398" i="5" s="1"/>
  <c r="F1399" i="5"/>
  <c r="G1398" i="5"/>
  <c r="I1398" i="5"/>
  <c r="H1398" i="5"/>
  <c r="F1400" i="5" l="1"/>
  <c r="G1399" i="5"/>
  <c r="H1399" i="5"/>
  <c r="I1399" i="5"/>
  <c r="J1399" i="5"/>
  <c r="M1397" i="5"/>
  <c r="M1396" i="5"/>
  <c r="J1398" i="5"/>
  <c r="L1397" i="5"/>
  <c r="K1398" i="5" l="1"/>
  <c r="L1398" i="5" s="1"/>
  <c r="N1399" i="5"/>
  <c r="N1400" i="5" s="1"/>
  <c r="K1399" i="5"/>
  <c r="L1399" i="5" s="1"/>
  <c r="M1398" i="5"/>
  <c r="F1401" i="5"/>
  <c r="H1400" i="5"/>
  <c r="G1400" i="5"/>
  <c r="F1402" i="5" l="1"/>
  <c r="G1401" i="5"/>
  <c r="H1401" i="5"/>
  <c r="J1401" i="5"/>
  <c r="I1401" i="5"/>
  <c r="I1400" i="5"/>
  <c r="J1400" i="5"/>
  <c r="M1399" i="5"/>
  <c r="K1401" i="5" l="1"/>
  <c r="K1400" i="5"/>
  <c r="L1400" i="5" s="1"/>
  <c r="N1401" i="5"/>
  <c r="N1402" i="5" s="1"/>
  <c r="F1403" i="5"/>
  <c r="G1402" i="5"/>
  <c r="H1402" i="5"/>
  <c r="J1402" i="5"/>
  <c r="K1402" i="5" l="1"/>
  <c r="N1403" i="5"/>
  <c r="F1404" i="5"/>
  <c r="I1403" i="5" s="1"/>
  <c r="H1403" i="5"/>
  <c r="G1403" i="5"/>
  <c r="J1403" i="5" s="1"/>
  <c r="M1401" i="5"/>
  <c r="M1400" i="5"/>
  <c r="I1402" i="5"/>
  <c r="L1401" i="5"/>
  <c r="K1403" i="5" l="1"/>
  <c r="L1403" i="5" s="1"/>
  <c r="N1404" i="5"/>
  <c r="F1405" i="5"/>
  <c r="H1404" i="5"/>
  <c r="G1404" i="5"/>
  <c r="I1404" i="5"/>
  <c r="J1404" i="5"/>
  <c r="L1402" i="5"/>
  <c r="M1403" i="5" s="1"/>
  <c r="F1406" i="5" l="1"/>
  <c r="G1405" i="5"/>
  <c r="H1405" i="5"/>
  <c r="I1405" i="5"/>
  <c r="J1405" i="5"/>
  <c r="M1402" i="5"/>
  <c r="K1404" i="5"/>
  <c r="L1404" i="5" s="1"/>
  <c r="N1405" i="5"/>
  <c r="K1405" i="5" l="1"/>
  <c r="L1405" i="5" s="1"/>
  <c r="N1406" i="5"/>
  <c r="M1404" i="5"/>
  <c r="F1407" i="5"/>
  <c r="G1406" i="5"/>
  <c r="I1406" i="5"/>
  <c r="H1406" i="5"/>
  <c r="F1408" i="5" l="1"/>
  <c r="G1407" i="5"/>
  <c r="H1407" i="5"/>
  <c r="I1407" i="5"/>
  <c r="J1407" i="5"/>
  <c r="J1406" i="5"/>
  <c r="M1405" i="5"/>
  <c r="K1406" i="5" l="1"/>
  <c r="L1406" i="5" s="1"/>
  <c r="N1407" i="5"/>
  <c r="F1409" i="5"/>
  <c r="G1408" i="5"/>
  <c r="H1408" i="5"/>
  <c r="J1408" i="5"/>
  <c r="I1408" i="5"/>
  <c r="K1407" i="5"/>
  <c r="L1407" i="5" s="1"/>
  <c r="N1408" i="5"/>
  <c r="K1408" i="5" l="1"/>
  <c r="L1408" i="5" s="1"/>
  <c r="N1409" i="5"/>
  <c r="G1409" i="5"/>
  <c r="F1410" i="5"/>
  <c r="H1409" i="5"/>
  <c r="I1409" i="5"/>
  <c r="J1409" i="5"/>
  <c r="M1407" i="5"/>
  <c r="M1406" i="5"/>
  <c r="N1410" i="5" l="1"/>
  <c r="K1409" i="5"/>
  <c r="L1409" i="5" s="1"/>
  <c r="G1410" i="5"/>
  <c r="F1411" i="5"/>
  <c r="H1410" i="5"/>
  <c r="I1410" i="5"/>
  <c r="J1410" i="5"/>
  <c r="M1409" i="5"/>
  <c r="M1408" i="5"/>
  <c r="N1411" i="5" l="1"/>
  <c r="K1410" i="5"/>
  <c r="L1410" i="5" s="1"/>
  <c r="F1412" i="5"/>
  <c r="H1411" i="5"/>
  <c r="G1411" i="5"/>
  <c r="I1411" i="5"/>
  <c r="J1411" i="5"/>
  <c r="N1412" i="5" l="1"/>
  <c r="K1411" i="5"/>
  <c r="L1411" i="5" s="1"/>
  <c r="F1413" i="5"/>
  <c r="G1412" i="5"/>
  <c r="H1412" i="5"/>
  <c r="I1412" i="5"/>
  <c r="J1412" i="5"/>
  <c r="M1411" i="5"/>
  <c r="M1410" i="5"/>
  <c r="K1412" i="5" l="1"/>
  <c r="L1412" i="5" s="1"/>
  <c r="N1413" i="5"/>
  <c r="F1414" i="5"/>
  <c r="G1413" i="5"/>
  <c r="H1413" i="5"/>
  <c r="I1413" i="5"/>
  <c r="J1413" i="5"/>
  <c r="K1413" i="5" l="1"/>
  <c r="L1413" i="5" s="1"/>
  <c r="N1414" i="5"/>
  <c r="F1415" i="5"/>
  <c r="G1414" i="5"/>
  <c r="H1414" i="5"/>
  <c r="I1414" i="5"/>
  <c r="J1414" i="5"/>
  <c r="M1413" i="5"/>
  <c r="M1412" i="5"/>
  <c r="K1414" i="5" l="1"/>
  <c r="L1414" i="5" s="1"/>
  <c r="N1415" i="5"/>
  <c r="F1416" i="5"/>
  <c r="G1415" i="5"/>
  <c r="H1415" i="5"/>
  <c r="J1415" i="5"/>
  <c r="I1415" i="5"/>
  <c r="M1414" i="5"/>
  <c r="K1415" i="5" l="1"/>
  <c r="L1415" i="5" s="1"/>
  <c r="N1416" i="5"/>
  <c r="F1417" i="5"/>
  <c r="G1416" i="5"/>
  <c r="H1416" i="5"/>
  <c r="I1416" i="5"/>
  <c r="J1416" i="5"/>
  <c r="M1415" i="5"/>
  <c r="K1416" i="5" l="1"/>
  <c r="L1416" i="5" s="1"/>
  <c r="N1417" i="5"/>
  <c r="F1418" i="5"/>
  <c r="I1417" i="5" s="1"/>
  <c r="G1417" i="5"/>
  <c r="H1417" i="5"/>
  <c r="J1417" i="5" s="1"/>
  <c r="M1416" i="5"/>
  <c r="K1417" i="5" l="1"/>
  <c r="L1417" i="5" s="1"/>
  <c r="N1418" i="5"/>
  <c r="F1419" i="5"/>
  <c r="G1418" i="5"/>
  <c r="H1418" i="5"/>
  <c r="I1418" i="5"/>
  <c r="J1418" i="5"/>
  <c r="M1417" i="5"/>
  <c r="K1418" i="5" l="1"/>
  <c r="L1418" i="5" s="1"/>
  <c r="N1419" i="5"/>
  <c r="F1420" i="5"/>
  <c r="H1419" i="5"/>
  <c r="G1419" i="5"/>
  <c r="I1419" i="5"/>
  <c r="J1419" i="5"/>
  <c r="M1418" i="5"/>
  <c r="K1419" i="5" l="1"/>
  <c r="L1419" i="5" s="1"/>
  <c r="N1420" i="5"/>
  <c r="F1421" i="5"/>
  <c r="G1420" i="5"/>
  <c r="I1420" i="5"/>
  <c r="H1420" i="5"/>
  <c r="J1420" i="5"/>
  <c r="M1419" i="5"/>
  <c r="K1420" i="5" l="1"/>
  <c r="L1420" i="5" s="1"/>
  <c r="N1421" i="5"/>
  <c r="F1422" i="5"/>
  <c r="G1421" i="5"/>
  <c r="H1421" i="5"/>
  <c r="I1421" i="5"/>
  <c r="J1421" i="5"/>
  <c r="M1420" i="5"/>
  <c r="K1421" i="5" l="1"/>
  <c r="L1421" i="5" s="1"/>
  <c r="N1422" i="5"/>
  <c r="F1423" i="5"/>
  <c r="G1422" i="5"/>
  <c r="H1422" i="5"/>
  <c r="I1422" i="5"/>
  <c r="J1422" i="5"/>
  <c r="M1421" i="5"/>
  <c r="K1422" i="5" l="1"/>
  <c r="L1422" i="5" s="1"/>
  <c r="N1423" i="5"/>
  <c r="F1424" i="5"/>
  <c r="G1423" i="5"/>
  <c r="H1423" i="5"/>
  <c r="I1423" i="5"/>
  <c r="J1423" i="5"/>
  <c r="M1422" i="5"/>
  <c r="K1423" i="5" l="1"/>
  <c r="L1423" i="5" s="1"/>
  <c r="N1424" i="5"/>
  <c r="F1425" i="5"/>
  <c r="G1424" i="5"/>
  <c r="H1424" i="5"/>
  <c r="I1424" i="5"/>
  <c r="J1424" i="5"/>
  <c r="M1423" i="5"/>
  <c r="F1426" i="5" l="1"/>
  <c r="G1425" i="5"/>
  <c r="H1425" i="5"/>
  <c r="J1425" i="5"/>
  <c r="I1425" i="5"/>
  <c r="K1424" i="5"/>
  <c r="L1424" i="5" s="1"/>
  <c r="N1425" i="5"/>
  <c r="M1424" i="5"/>
  <c r="K1425" i="5" l="1"/>
  <c r="L1425" i="5" s="1"/>
  <c r="N1426" i="5"/>
  <c r="F1427" i="5"/>
  <c r="G1426" i="5"/>
  <c r="H1426" i="5"/>
  <c r="J1426" i="5"/>
  <c r="I1426" i="5"/>
  <c r="K1426" i="5" l="1"/>
  <c r="L1426" i="5" s="1"/>
  <c r="N1427" i="5"/>
  <c r="F1428" i="5"/>
  <c r="G1427" i="5"/>
  <c r="H1427" i="5"/>
  <c r="I1427" i="5"/>
  <c r="J1427" i="5"/>
  <c r="M1426" i="5"/>
  <c r="M1425" i="5"/>
  <c r="F1429" i="5" l="1"/>
  <c r="G1428" i="5"/>
  <c r="H1428" i="5"/>
  <c r="I1428" i="5"/>
  <c r="J1428" i="5"/>
  <c r="K1427" i="5"/>
  <c r="L1427" i="5" s="1"/>
  <c r="M1427" i="5" s="1"/>
  <c r="N1428" i="5"/>
  <c r="K1428" i="5" l="1"/>
  <c r="L1428" i="5" s="1"/>
  <c r="N1429" i="5"/>
  <c r="F1430" i="5"/>
  <c r="G1429" i="5"/>
  <c r="H1429" i="5"/>
  <c r="I1429" i="5"/>
  <c r="J1429" i="5"/>
  <c r="F1431" i="5" l="1"/>
  <c r="G1430" i="5"/>
  <c r="H1430" i="5"/>
  <c r="I1430" i="5"/>
  <c r="J1430" i="5"/>
  <c r="K1429" i="5"/>
  <c r="L1429" i="5" s="1"/>
  <c r="N1430" i="5"/>
  <c r="M1429" i="5"/>
  <c r="M1428" i="5"/>
  <c r="K1430" i="5" l="1"/>
  <c r="L1430" i="5" s="1"/>
  <c r="N1431" i="5"/>
  <c r="F1432" i="5"/>
  <c r="H1431" i="5"/>
  <c r="I1431" i="5"/>
  <c r="G1431" i="5"/>
  <c r="J1431" i="5"/>
  <c r="K1431" i="5" l="1"/>
  <c r="L1431" i="5" s="1"/>
  <c r="N1432" i="5"/>
  <c r="F1433" i="5"/>
  <c r="G1432" i="5"/>
  <c r="H1432" i="5"/>
  <c r="I1432" i="5"/>
  <c r="J1432" i="5"/>
  <c r="M1431" i="5"/>
  <c r="M1430" i="5"/>
  <c r="N1433" i="5" l="1"/>
  <c r="K1432" i="5"/>
  <c r="L1432" i="5" s="1"/>
  <c r="F1434" i="5"/>
  <c r="G1433" i="5"/>
  <c r="H1433" i="5"/>
  <c r="I1433" i="5"/>
  <c r="J1433" i="5"/>
  <c r="M1432" i="5"/>
  <c r="K1433" i="5" l="1"/>
  <c r="L1433" i="5" s="1"/>
  <c r="N1434" i="5"/>
  <c r="F1435" i="5"/>
  <c r="G1434" i="5"/>
  <c r="H1434" i="5"/>
  <c r="I1434" i="5"/>
  <c r="J1434" i="5"/>
  <c r="M1433" i="5"/>
  <c r="K1434" i="5" l="1"/>
  <c r="L1434" i="5" s="1"/>
  <c r="N1435" i="5"/>
  <c r="F1436" i="5"/>
  <c r="G1435" i="5"/>
  <c r="H1435" i="5"/>
  <c r="I1435" i="5"/>
  <c r="J1435" i="5"/>
  <c r="M1434" i="5"/>
  <c r="K1435" i="5" l="1"/>
  <c r="L1435" i="5" s="1"/>
  <c r="N1436" i="5"/>
  <c r="F1437" i="5"/>
  <c r="H1436" i="5"/>
  <c r="J1436" i="5"/>
  <c r="G1436" i="5"/>
  <c r="M1435" i="5"/>
  <c r="F1438" i="5" l="1"/>
  <c r="H1437" i="5"/>
  <c r="G1437" i="5"/>
  <c r="I1437" i="5"/>
  <c r="J1437" i="5"/>
  <c r="K1436" i="5"/>
  <c r="L1436" i="5" s="1"/>
  <c r="N1437" i="5"/>
  <c r="I1436" i="5"/>
  <c r="K1437" i="5" l="1"/>
  <c r="L1437" i="5" s="1"/>
  <c r="N1438" i="5"/>
  <c r="M1436" i="5"/>
  <c r="F1439" i="5"/>
  <c r="G1438" i="5"/>
  <c r="I1438" i="5"/>
  <c r="J1438" i="5"/>
  <c r="H1438" i="5"/>
  <c r="K1438" i="5" l="1"/>
  <c r="L1438" i="5" s="1"/>
  <c r="N1439" i="5"/>
  <c r="F1440" i="5"/>
  <c r="G1439" i="5"/>
  <c r="H1439" i="5"/>
  <c r="M1438" i="5"/>
  <c r="M1437" i="5"/>
  <c r="F1441" i="5" l="1"/>
  <c r="G1440" i="5"/>
  <c r="J1440" i="5"/>
  <c r="H1440" i="5"/>
  <c r="I1440" i="5"/>
  <c r="J1439" i="5"/>
  <c r="I1439" i="5"/>
  <c r="K1439" i="5" l="1"/>
  <c r="L1439" i="5" s="1"/>
  <c r="N1440" i="5"/>
  <c r="K1440" i="5"/>
  <c r="L1440" i="5" s="1"/>
  <c r="N1441" i="5"/>
  <c r="F1442" i="5"/>
  <c r="G1441" i="5"/>
  <c r="H1441" i="5"/>
  <c r="I1441" i="5"/>
  <c r="F1443" i="5" l="1"/>
  <c r="G1442" i="5"/>
  <c r="H1442" i="5"/>
  <c r="I1442" i="5"/>
  <c r="J1442" i="5"/>
  <c r="J1441" i="5"/>
  <c r="M1440" i="5"/>
  <c r="M1439" i="5"/>
  <c r="K1441" i="5" l="1"/>
  <c r="L1441" i="5" s="1"/>
  <c r="N1442" i="5"/>
  <c r="N1443" i="5"/>
  <c r="K1442" i="5"/>
  <c r="L1442" i="5" s="1"/>
  <c r="F1444" i="5"/>
  <c r="G1443" i="5"/>
  <c r="H1443" i="5"/>
  <c r="I1443" i="5"/>
  <c r="G1444" i="5" l="1"/>
  <c r="F1445" i="5"/>
  <c r="H1444" i="5"/>
  <c r="I1444" i="5"/>
  <c r="J1444" i="5"/>
  <c r="J1443" i="5"/>
  <c r="M1442" i="5"/>
  <c r="M1441" i="5"/>
  <c r="K1444" i="5" l="1"/>
  <c r="N1445" i="5"/>
  <c r="F1446" i="5"/>
  <c r="G1445" i="5"/>
  <c r="H1445" i="5"/>
  <c r="I1445" i="5"/>
  <c r="J1445" i="5"/>
  <c r="K1443" i="5"/>
  <c r="L1443" i="5" s="1"/>
  <c r="N1444" i="5"/>
  <c r="M1443" i="5" l="1"/>
  <c r="K1445" i="5"/>
  <c r="L1445" i="5" s="1"/>
  <c r="N1446" i="5"/>
  <c r="F1447" i="5"/>
  <c r="G1446" i="5"/>
  <c r="H1446" i="5"/>
  <c r="I1446" i="5"/>
  <c r="L1444" i="5"/>
  <c r="F1448" i="5" l="1"/>
  <c r="G1447" i="5"/>
  <c r="H1447" i="5"/>
  <c r="I1447" i="5"/>
  <c r="J1447" i="5"/>
  <c r="M1445" i="5"/>
  <c r="J1446" i="5"/>
  <c r="M1444" i="5"/>
  <c r="K1446" i="5" l="1"/>
  <c r="L1446" i="5" s="1"/>
  <c r="N1447" i="5"/>
  <c r="K1447" i="5"/>
  <c r="L1447" i="5" s="1"/>
  <c r="N1448" i="5"/>
  <c r="F1449" i="5"/>
  <c r="G1448" i="5"/>
  <c r="H1448" i="5"/>
  <c r="I1448" i="5"/>
  <c r="F1450" i="5" l="1"/>
  <c r="G1449" i="5"/>
  <c r="I1449" i="5"/>
  <c r="H1449" i="5"/>
  <c r="J1449" i="5"/>
  <c r="J1448" i="5"/>
  <c r="M1447" i="5"/>
  <c r="M1446" i="5"/>
  <c r="K1448" i="5" l="1"/>
  <c r="L1448" i="5" s="1"/>
  <c r="N1449" i="5"/>
  <c r="K1449" i="5"/>
  <c r="L1449" i="5" s="1"/>
  <c r="N1450" i="5"/>
  <c r="F1451" i="5"/>
  <c r="G1450" i="5"/>
  <c r="H1450" i="5"/>
  <c r="J1450" i="5"/>
  <c r="K1450" i="5" l="1"/>
  <c r="L1450" i="5" s="1"/>
  <c r="N1451" i="5"/>
  <c r="F1452" i="5"/>
  <c r="H1451" i="5"/>
  <c r="J1451" i="5" s="1"/>
  <c r="G1451" i="5"/>
  <c r="I1451" i="5"/>
  <c r="M1450" i="5"/>
  <c r="I1450" i="5"/>
  <c r="M1449" i="5"/>
  <c r="M1448" i="5"/>
  <c r="N1452" i="5" l="1"/>
  <c r="K1451" i="5"/>
  <c r="L1451" i="5" s="1"/>
  <c r="F1453" i="5"/>
  <c r="G1452" i="5"/>
  <c r="H1452" i="5"/>
  <c r="I1452" i="5"/>
  <c r="J1452" i="5"/>
  <c r="M1451" i="5"/>
  <c r="F1454" i="5" l="1"/>
  <c r="G1453" i="5"/>
  <c r="H1453" i="5"/>
  <c r="J1453" i="5"/>
  <c r="I1453" i="5"/>
  <c r="N1453" i="5"/>
  <c r="K1452" i="5"/>
  <c r="L1452" i="5" s="1"/>
  <c r="M1452" i="5"/>
  <c r="N1454" i="5" l="1"/>
  <c r="K1453" i="5"/>
  <c r="L1453" i="5" s="1"/>
  <c r="M1453" i="5"/>
  <c r="F1455" i="5"/>
  <c r="G1454" i="5"/>
  <c r="H1454" i="5"/>
  <c r="I1454" i="5"/>
  <c r="J1454" i="5"/>
  <c r="K1454" i="5" l="1"/>
  <c r="L1454" i="5" s="1"/>
  <c r="N1455" i="5"/>
  <c r="F1456" i="5"/>
  <c r="G1455" i="5"/>
  <c r="H1455" i="5"/>
  <c r="I1455" i="5"/>
  <c r="J1455" i="5"/>
  <c r="M1454" i="5"/>
  <c r="K1455" i="5" l="1"/>
  <c r="L1455" i="5" s="1"/>
  <c r="N1456" i="5"/>
  <c r="F1457" i="5"/>
  <c r="G1456" i="5"/>
  <c r="H1456" i="5"/>
  <c r="I1456" i="5"/>
  <c r="J1456" i="5"/>
  <c r="M1455" i="5"/>
  <c r="K1456" i="5" l="1"/>
  <c r="L1456" i="5" s="1"/>
  <c r="N1457" i="5"/>
  <c r="F1458" i="5"/>
  <c r="G1457" i="5"/>
  <c r="H1457" i="5"/>
  <c r="I1457" i="5"/>
  <c r="J1457" i="5"/>
  <c r="M1456" i="5"/>
  <c r="K1457" i="5" l="1"/>
  <c r="L1457" i="5" s="1"/>
  <c r="N1458" i="5"/>
  <c r="F1459" i="5"/>
  <c r="G1458" i="5"/>
  <c r="H1458" i="5"/>
  <c r="I1458" i="5"/>
  <c r="J1458" i="5"/>
  <c r="M1457" i="5"/>
  <c r="K1458" i="5" l="1"/>
  <c r="L1458" i="5" s="1"/>
  <c r="N1459" i="5"/>
  <c r="F1460" i="5"/>
  <c r="H1459" i="5"/>
  <c r="G1459" i="5"/>
  <c r="I1459" i="5"/>
  <c r="J1459" i="5"/>
  <c r="M1458" i="5"/>
  <c r="K1459" i="5" l="1"/>
  <c r="L1459" i="5" s="1"/>
  <c r="N1460" i="5"/>
  <c r="F1461" i="5"/>
  <c r="G1460" i="5"/>
  <c r="I1460" i="5"/>
  <c r="H1460" i="5"/>
  <c r="J1460" i="5"/>
  <c r="M1459" i="5"/>
  <c r="K1460" i="5" l="1"/>
  <c r="L1460" i="5" s="1"/>
  <c r="N1461" i="5"/>
  <c r="F1462" i="5"/>
  <c r="G1461" i="5"/>
  <c r="I1461" i="5"/>
  <c r="H1461" i="5"/>
  <c r="J1461" i="5"/>
  <c r="M1460" i="5"/>
  <c r="K1461" i="5" l="1"/>
  <c r="L1461" i="5" s="1"/>
  <c r="N1462" i="5"/>
  <c r="F1463" i="5"/>
  <c r="G1462" i="5"/>
  <c r="I1462" i="5"/>
  <c r="H1462" i="5"/>
  <c r="J1462" i="5"/>
  <c r="M1461" i="5"/>
  <c r="K1462" i="5" l="1"/>
  <c r="L1462" i="5" s="1"/>
  <c r="N1463" i="5"/>
  <c r="F1464" i="5"/>
  <c r="G1463" i="5"/>
  <c r="H1463" i="5"/>
  <c r="I1463" i="5"/>
  <c r="J1463" i="5"/>
  <c r="M1462" i="5"/>
  <c r="K1463" i="5" l="1"/>
  <c r="L1463" i="5" s="1"/>
  <c r="N1464" i="5"/>
  <c r="F1465" i="5"/>
  <c r="G1464" i="5"/>
  <c r="H1464" i="5"/>
  <c r="I1464" i="5"/>
  <c r="J1464" i="5"/>
  <c r="M1463" i="5"/>
  <c r="N1465" i="5" l="1"/>
  <c r="K1464" i="5"/>
  <c r="L1464" i="5" s="1"/>
  <c r="F1466" i="5"/>
  <c r="H1465" i="5"/>
  <c r="G1465" i="5"/>
  <c r="I1465" i="5"/>
  <c r="J1465" i="5"/>
  <c r="M1464" i="5"/>
  <c r="K1465" i="5" l="1"/>
  <c r="L1465" i="5" s="1"/>
  <c r="N1466" i="5"/>
  <c r="F1467" i="5"/>
  <c r="G1466" i="5"/>
  <c r="H1466" i="5"/>
  <c r="J1466" i="5" s="1"/>
  <c r="I1466" i="5"/>
  <c r="M1465" i="5"/>
  <c r="K1466" i="5" l="1"/>
  <c r="L1466" i="5" s="1"/>
  <c r="N1467" i="5"/>
  <c r="F1468" i="5"/>
  <c r="I1467" i="5" s="1"/>
  <c r="H1467" i="5"/>
  <c r="G1467" i="5"/>
  <c r="J1467" i="5"/>
  <c r="M1466" i="5"/>
  <c r="K1467" i="5" l="1"/>
  <c r="L1467" i="5" s="1"/>
  <c r="N1468" i="5"/>
  <c r="F1469" i="5"/>
  <c r="H1468" i="5"/>
  <c r="G1468" i="5"/>
  <c r="I1468" i="5"/>
  <c r="J1468" i="5"/>
  <c r="M1467" i="5"/>
  <c r="K1468" i="5" l="1"/>
  <c r="L1468" i="5" s="1"/>
  <c r="N1469" i="5"/>
  <c r="F1470" i="5"/>
  <c r="G1469" i="5"/>
  <c r="H1469" i="5"/>
  <c r="I1469" i="5"/>
  <c r="J1469" i="5"/>
  <c r="M1468" i="5"/>
  <c r="K1469" i="5" l="1"/>
  <c r="L1469" i="5" s="1"/>
  <c r="N1470" i="5"/>
  <c r="F1471" i="5"/>
  <c r="G1470" i="5"/>
  <c r="I1470" i="5"/>
  <c r="H1470" i="5"/>
  <c r="J1470" i="5"/>
  <c r="M1469" i="5"/>
  <c r="K1470" i="5" l="1"/>
  <c r="L1470" i="5" s="1"/>
  <c r="N1471" i="5"/>
  <c r="F1472" i="5"/>
  <c r="G1471" i="5"/>
  <c r="H1471" i="5"/>
  <c r="J1471" i="5" s="1"/>
  <c r="I1471" i="5"/>
  <c r="M1470" i="5"/>
  <c r="K1471" i="5" l="1"/>
  <c r="L1471" i="5" s="1"/>
  <c r="N1472" i="5"/>
  <c r="F1473" i="5"/>
  <c r="G1472" i="5"/>
  <c r="H1472" i="5"/>
  <c r="J1472" i="5"/>
  <c r="I1472" i="5"/>
  <c r="M1471" i="5"/>
  <c r="K1472" i="5" l="1"/>
  <c r="L1472" i="5" s="1"/>
  <c r="N1473" i="5"/>
  <c r="F1474" i="5"/>
  <c r="G1473" i="5"/>
  <c r="H1473" i="5"/>
  <c r="I1473" i="5"/>
  <c r="J1473" i="5"/>
  <c r="M1472" i="5"/>
  <c r="N1474" i="5" l="1"/>
  <c r="K1473" i="5"/>
  <c r="L1473" i="5" s="1"/>
  <c r="F1475" i="5"/>
  <c r="G1474" i="5"/>
  <c r="H1474" i="5"/>
  <c r="I1474" i="5"/>
  <c r="J1474" i="5"/>
  <c r="M1473" i="5"/>
  <c r="F1476" i="5" l="1"/>
  <c r="G1475" i="5"/>
  <c r="H1475" i="5"/>
  <c r="I1475" i="5"/>
  <c r="J1475" i="5"/>
  <c r="N1475" i="5"/>
  <c r="K1474" i="5"/>
  <c r="L1474" i="5" s="1"/>
  <c r="M1474" i="5" s="1"/>
  <c r="N1476" i="5" l="1"/>
  <c r="K1475" i="5"/>
  <c r="L1475" i="5" s="1"/>
  <c r="F1477" i="5"/>
  <c r="G1476" i="5"/>
  <c r="H1476" i="5"/>
  <c r="I1476" i="5"/>
  <c r="J1476" i="5"/>
  <c r="K1476" i="5" l="1"/>
  <c r="L1476" i="5" s="1"/>
  <c r="N1477" i="5"/>
  <c r="F1478" i="5"/>
  <c r="G1477" i="5"/>
  <c r="H1477" i="5"/>
  <c r="I1477" i="5"/>
  <c r="J1477" i="5"/>
  <c r="M1475" i="5"/>
  <c r="K1477" i="5" l="1"/>
  <c r="L1477" i="5" s="1"/>
  <c r="N1478" i="5"/>
  <c r="M1477" i="5"/>
  <c r="F1479" i="5"/>
  <c r="G1478" i="5"/>
  <c r="H1478" i="5"/>
  <c r="I1478" i="5"/>
  <c r="J1478" i="5"/>
  <c r="M1476" i="5"/>
  <c r="K1478" i="5" l="1"/>
  <c r="L1478" i="5" s="1"/>
  <c r="N1479" i="5"/>
  <c r="F1480" i="5"/>
  <c r="G1479" i="5"/>
  <c r="H1479" i="5"/>
  <c r="J1479" i="5"/>
  <c r="I1479" i="5"/>
  <c r="M1478" i="5"/>
  <c r="K1479" i="5" l="1"/>
  <c r="L1479" i="5" s="1"/>
  <c r="N1480" i="5"/>
  <c r="F1481" i="5"/>
  <c r="G1480" i="5"/>
  <c r="H1480" i="5"/>
  <c r="J1480" i="5" s="1"/>
  <c r="I1480" i="5"/>
  <c r="M1479" i="5"/>
  <c r="K1480" i="5" l="1"/>
  <c r="L1480" i="5" s="1"/>
  <c r="N1481" i="5"/>
  <c r="F1482" i="5"/>
  <c r="G1481" i="5"/>
  <c r="I1481" i="5"/>
  <c r="H1481" i="5"/>
  <c r="J1481" i="5"/>
  <c r="M1480" i="5"/>
  <c r="K1481" i="5" l="1"/>
  <c r="L1481" i="5" s="1"/>
  <c r="N1482" i="5"/>
  <c r="G1482" i="5"/>
  <c r="H1482" i="5"/>
  <c r="F1483" i="5"/>
  <c r="I1482" i="5" s="1"/>
  <c r="J1482" i="5"/>
  <c r="M1481" i="5"/>
  <c r="K1482" i="5" l="1"/>
  <c r="L1482" i="5" s="1"/>
  <c r="N1483" i="5"/>
  <c r="G1483" i="5"/>
  <c r="F1484" i="5"/>
  <c r="H1483" i="5"/>
  <c r="I1483" i="5"/>
  <c r="J1483" i="5"/>
  <c r="M1482" i="5"/>
  <c r="K1483" i="5" l="1"/>
  <c r="L1483" i="5" s="1"/>
  <c r="N1484" i="5"/>
  <c r="F1485" i="5"/>
  <c r="G1484" i="5"/>
  <c r="J1484" i="5"/>
  <c r="H1484" i="5"/>
  <c r="M1483" i="5"/>
  <c r="F1486" i="5" l="1"/>
  <c r="G1485" i="5"/>
  <c r="H1485" i="5"/>
  <c r="J1485" i="5" s="1"/>
  <c r="I1485" i="5"/>
  <c r="K1484" i="5"/>
  <c r="L1484" i="5" s="1"/>
  <c r="N1485" i="5"/>
  <c r="I1484" i="5"/>
  <c r="K1485" i="5" l="1"/>
  <c r="L1485" i="5" s="1"/>
  <c r="N1486" i="5"/>
  <c r="M1485" i="5"/>
  <c r="M1484" i="5"/>
  <c r="F1487" i="5"/>
  <c r="G1486" i="5"/>
  <c r="H1486" i="5"/>
  <c r="I1486" i="5"/>
  <c r="F1488" i="5" l="1"/>
  <c r="G1487" i="5"/>
  <c r="H1487" i="5"/>
  <c r="I1487" i="5"/>
  <c r="J1487" i="5"/>
  <c r="J1486" i="5"/>
  <c r="K1486" i="5" l="1"/>
  <c r="L1486" i="5" s="1"/>
  <c r="N1487" i="5"/>
  <c r="K1487" i="5"/>
  <c r="L1487" i="5" s="1"/>
  <c r="N1488" i="5"/>
  <c r="F1489" i="5"/>
  <c r="G1488" i="5"/>
  <c r="H1488" i="5"/>
  <c r="I1488" i="5"/>
  <c r="F1490" i="5" l="1"/>
  <c r="G1489" i="5"/>
  <c r="H1489" i="5"/>
  <c r="J1489" i="5"/>
  <c r="I1489" i="5"/>
  <c r="J1488" i="5"/>
  <c r="M1487" i="5"/>
  <c r="M1486" i="5"/>
  <c r="K1489" i="5" l="1"/>
  <c r="K1488" i="5"/>
  <c r="L1488" i="5" s="1"/>
  <c r="N1489" i="5"/>
  <c r="N1490" i="5" s="1"/>
  <c r="F1491" i="5"/>
  <c r="G1490" i="5"/>
  <c r="H1490" i="5"/>
  <c r="J1490" i="5" s="1"/>
  <c r="K1490" i="5" l="1"/>
  <c r="L1490" i="5" s="1"/>
  <c r="N1491" i="5"/>
  <c r="F1492" i="5"/>
  <c r="G1491" i="5"/>
  <c r="H1491" i="5"/>
  <c r="I1491" i="5"/>
  <c r="J1491" i="5"/>
  <c r="M1489" i="5"/>
  <c r="M1488" i="5"/>
  <c r="I1490" i="5"/>
  <c r="L1489" i="5"/>
  <c r="M1490" i="5" s="1"/>
  <c r="K1491" i="5" l="1"/>
  <c r="L1491" i="5" s="1"/>
  <c r="N1492" i="5"/>
  <c r="F1493" i="5"/>
  <c r="G1492" i="5"/>
  <c r="H1492" i="5"/>
  <c r="I1492" i="5"/>
  <c r="J1492" i="5"/>
  <c r="M1491" i="5"/>
  <c r="K1492" i="5" l="1"/>
  <c r="L1492" i="5" s="1"/>
  <c r="N1493" i="5"/>
  <c r="F1494" i="5"/>
  <c r="G1493" i="5"/>
  <c r="H1493" i="5"/>
  <c r="I1493" i="5"/>
  <c r="J1493" i="5"/>
  <c r="M1492" i="5"/>
  <c r="K1493" i="5" l="1"/>
  <c r="L1493" i="5" s="1"/>
  <c r="N1494" i="5"/>
  <c r="F1495" i="5"/>
  <c r="G1494" i="5"/>
  <c r="H1494" i="5"/>
  <c r="I1494" i="5"/>
  <c r="J1494" i="5"/>
  <c r="M1493" i="5"/>
  <c r="K1494" i="5" l="1"/>
  <c r="L1494" i="5" s="1"/>
  <c r="N1495" i="5"/>
  <c r="F1496" i="5"/>
  <c r="G1495" i="5"/>
  <c r="H1495" i="5"/>
  <c r="I1495" i="5"/>
  <c r="J1495" i="5"/>
  <c r="M1494" i="5"/>
  <c r="K1495" i="5" l="1"/>
  <c r="L1495" i="5" s="1"/>
  <c r="N1496" i="5"/>
  <c r="F1497" i="5"/>
  <c r="H1496" i="5"/>
  <c r="I1496" i="5"/>
  <c r="G1496" i="5"/>
  <c r="J1496" i="5"/>
  <c r="M1495" i="5"/>
  <c r="F1498" i="5" l="1"/>
  <c r="G1497" i="5"/>
  <c r="H1497" i="5"/>
  <c r="I1497" i="5"/>
  <c r="J1497" i="5"/>
  <c r="N1497" i="5"/>
  <c r="K1496" i="5"/>
  <c r="L1496" i="5" s="1"/>
  <c r="N1498" i="5" l="1"/>
  <c r="K1497" i="5"/>
  <c r="L1497" i="5" s="1"/>
  <c r="M1496" i="5"/>
  <c r="F1499" i="5"/>
  <c r="G1498" i="5"/>
  <c r="H1498" i="5"/>
  <c r="I1498" i="5"/>
  <c r="F1500" i="5" l="1"/>
  <c r="G1499" i="5"/>
  <c r="H1499" i="5"/>
  <c r="I1499" i="5"/>
  <c r="J1499" i="5"/>
  <c r="J1498" i="5"/>
  <c r="M1497" i="5"/>
  <c r="K1498" i="5" l="1"/>
  <c r="L1498" i="5" s="1"/>
  <c r="N1499" i="5"/>
  <c r="K1499" i="5"/>
  <c r="L1499" i="5" s="1"/>
  <c r="N1500" i="5"/>
  <c r="F1501" i="5"/>
  <c r="G1500" i="5"/>
  <c r="H1500" i="5"/>
  <c r="I1500" i="5"/>
  <c r="F1502" i="5" l="1"/>
  <c r="H1501" i="5"/>
  <c r="I1501" i="5"/>
  <c r="J1501" i="5"/>
  <c r="G1501" i="5"/>
  <c r="J1500" i="5"/>
  <c r="M1499" i="5"/>
  <c r="M1498" i="5"/>
  <c r="K1500" i="5" l="1"/>
  <c r="L1500" i="5" s="1"/>
  <c r="N1501" i="5"/>
  <c r="K1501" i="5"/>
  <c r="L1501" i="5" s="1"/>
  <c r="N1502" i="5"/>
  <c r="F1503" i="5"/>
  <c r="I1502" i="5"/>
  <c r="H1502" i="5"/>
  <c r="J1502" i="5"/>
  <c r="G1502" i="5"/>
  <c r="K1502" i="5" l="1"/>
  <c r="L1502" i="5" s="1"/>
  <c r="N1503" i="5"/>
  <c r="F1504" i="5"/>
  <c r="G1503" i="5"/>
  <c r="H1503" i="5"/>
  <c r="J1503" i="5"/>
  <c r="I1503" i="5"/>
  <c r="M1502" i="5"/>
  <c r="M1501" i="5"/>
  <c r="M1500" i="5"/>
  <c r="K1503" i="5" l="1"/>
  <c r="L1503" i="5" s="1"/>
  <c r="N1504" i="5"/>
  <c r="F1505" i="5"/>
  <c r="G1504" i="5"/>
  <c r="H1504" i="5"/>
  <c r="J1504" i="5" s="1"/>
  <c r="I1504" i="5"/>
  <c r="M1503" i="5"/>
  <c r="K1504" i="5" l="1"/>
  <c r="L1504" i="5" s="1"/>
  <c r="N1505" i="5"/>
  <c r="F1506" i="5"/>
  <c r="G1505" i="5"/>
  <c r="H1505" i="5"/>
  <c r="J1505" i="5"/>
  <c r="I1505" i="5"/>
  <c r="M1504" i="5"/>
  <c r="K1505" i="5" l="1"/>
  <c r="L1505" i="5" s="1"/>
  <c r="N1506" i="5"/>
  <c r="F1507" i="5"/>
  <c r="G1506" i="5"/>
  <c r="H1506" i="5"/>
  <c r="I1506" i="5"/>
  <c r="J1506" i="5"/>
  <c r="M1505" i="5"/>
  <c r="N1507" i="5" l="1"/>
  <c r="K1506" i="5"/>
  <c r="L1506" i="5" s="1"/>
  <c r="F1508" i="5"/>
  <c r="G1507" i="5"/>
  <c r="H1507" i="5"/>
  <c r="I1507" i="5"/>
  <c r="J1507" i="5"/>
  <c r="M1506" i="5"/>
  <c r="K1507" i="5" l="1"/>
  <c r="L1507" i="5" s="1"/>
  <c r="N1508" i="5"/>
  <c r="F1509" i="5"/>
  <c r="G1508" i="5"/>
  <c r="H1508" i="5"/>
  <c r="I1508" i="5"/>
  <c r="J1508" i="5"/>
  <c r="M1507" i="5"/>
  <c r="K1508" i="5" l="1"/>
  <c r="L1508" i="5" s="1"/>
  <c r="N1509" i="5"/>
  <c r="F1510" i="5"/>
  <c r="G1509" i="5"/>
  <c r="H1509" i="5"/>
  <c r="I1509" i="5"/>
  <c r="J1509" i="5"/>
  <c r="M1508" i="5"/>
  <c r="K1509" i="5" l="1"/>
  <c r="L1509" i="5" s="1"/>
  <c r="N1510" i="5"/>
  <c r="F1511" i="5"/>
  <c r="G1510" i="5"/>
  <c r="H1510" i="5"/>
  <c r="I1510" i="5"/>
  <c r="J1510" i="5"/>
  <c r="M1509" i="5"/>
  <c r="K1510" i="5" l="1"/>
  <c r="L1510" i="5" s="1"/>
  <c r="N1511" i="5"/>
  <c r="F1512" i="5"/>
  <c r="G1511" i="5"/>
  <c r="H1511" i="5"/>
  <c r="I1511" i="5"/>
  <c r="J1511" i="5"/>
  <c r="M1510" i="5"/>
  <c r="K1511" i="5" l="1"/>
  <c r="L1511" i="5" s="1"/>
  <c r="N1512" i="5"/>
  <c r="F1513" i="5"/>
  <c r="G1512" i="5"/>
  <c r="H1512" i="5"/>
  <c r="I1512" i="5"/>
  <c r="J1512" i="5"/>
  <c r="M1511" i="5"/>
  <c r="K1512" i="5" l="1"/>
  <c r="L1512" i="5" s="1"/>
  <c r="N1513" i="5"/>
  <c r="F1514" i="5"/>
  <c r="G1513" i="5"/>
  <c r="H1513" i="5"/>
  <c r="I1513" i="5"/>
  <c r="J1513" i="5"/>
  <c r="M1512" i="5"/>
  <c r="K1513" i="5" l="1"/>
  <c r="L1513" i="5" s="1"/>
  <c r="N1514" i="5"/>
  <c r="F1515" i="5"/>
  <c r="G1514" i="5"/>
  <c r="H1514" i="5"/>
  <c r="J1514" i="5"/>
  <c r="I1514" i="5"/>
  <c r="M1513" i="5"/>
  <c r="K1514" i="5" l="1"/>
  <c r="L1514" i="5" s="1"/>
  <c r="N1515" i="5"/>
  <c r="F1516" i="5"/>
  <c r="H1515" i="5"/>
  <c r="G1515" i="5"/>
  <c r="I1515" i="5"/>
  <c r="J1515" i="5"/>
  <c r="M1514" i="5"/>
  <c r="N1516" i="5" l="1"/>
  <c r="K1515" i="5"/>
  <c r="L1515" i="5" s="1"/>
  <c r="F1517" i="5"/>
  <c r="G1516" i="5"/>
  <c r="H1516" i="5"/>
  <c r="I1516" i="5"/>
  <c r="J1516" i="5"/>
  <c r="M1515" i="5"/>
  <c r="K1516" i="5" l="1"/>
  <c r="L1516" i="5" s="1"/>
  <c r="N1517" i="5"/>
  <c r="G1517" i="5"/>
  <c r="F1518" i="5"/>
  <c r="H1517" i="5"/>
  <c r="J1517" i="5"/>
  <c r="I1517" i="5"/>
  <c r="M1516" i="5"/>
  <c r="K1517" i="5" l="1"/>
  <c r="L1517" i="5" s="1"/>
  <c r="N1518" i="5"/>
  <c r="F1519" i="5"/>
  <c r="G1518" i="5"/>
  <c r="H1518" i="5"/>
  <c r="J1518" i="5" s="1"/>
  <c r="I1518" i="5"/>
  <c r="M1517" i="5"/>
  <c r="K1518" i="5" l="1"/>
  <c r="L1518" i="5" s="1"/>
  <c r="N1519" i="5"/>
  <c r="F1520" i="5"/>
  <c r="G1519" i="5"/>
  <c r="H1519" i="5"/>
  <c r="I1519" i="5"/>
  <c r="J1519" i="5"/>
  <c r="M1518" i="5"/>
  <c r="K1519" i="5" l="1"/>
  <c r="L1519" i="5" s="1"/>
  <c r="N1520" i="5"/>
  <c r="F1521" i="5"/>
  <c r="G1520" i="5"/>
  <c r="H1520" i="5"/>
  <c r="I1520" i="5"/>
  <c r="J1520" i="5"/>
  <c r="M1519" i="5"/>
  <c r="K1520" i="5" l="1"/>
  <c r="L1520" i="5" s="1"/>
  <c r="N1521" i="5"/>
  <c r="F1522" i="5"/>
  <c r="G1521" i="5"/>
  <c r="H1521" i="5"/>
  <c r="I1521" i="5"/>
  <c r="J1521" i="5"/>
  <c r="M1520" i="5"/>
  <c r="K1521" i="5" l="1"/>
  <c r="L1521" i="5" s="1"/>
  <c r="N1522" i="5"/>
  <c r="F1523" i="5"/>
  <c r="G1522" i="5"/>
  <c r="H1522" i="5"/>
  <c r="I1522" i="5"/>
  <c r="J1522" i="5"/>
  <c r="M1521" i="5"/>
  <c r="K1522" i="5" l="1"/>
  <c r="L1522" i="5" s="1"/>
  <c r="N1523" i="5"/>
  <c r="F1524" i="5"/>
  <c r="G1523" i="5"/>
  <c r="H1523" i="5"/>
  <c r="I1523" i="5"/>
  <c r="J1523" i="5"/>
  <c r="M1522" i="5"/>
  <c r="F1525" i="5" l="1"/>
  <c r="G1524" i="5"/>
  <c r="I1524" i="5"/>
  <c r="J1524" i="5"/>
  <c r="H1524" i="5"/>
  <c r="K1523" i="5"/>
  <c r="L1523" i="5" s="1"/>
  <c r="N1524" i="5"/>
  <c r="M1523" i="5"/>
  <c r="K1524" i="5" l="1"/>
  <c r="L1524" i="5" s="1"/>
  <c r="N1525" i="5"/>
  <c r="F1526" i="5"/>
  <c r="G1525" i="5"/>
  <c r="I1525" i="5"/>
  <c r="J1525" i="5"/>
  <c r="H1525" i="5"/>
  <c r="F1527" i="5" l="1"/>
  <c r="G1526" i="5"/>
  <c r="I1526" i="5"/>
  <c r="J1526" i="5"/>
  <c r="H1526" i="5"/>
  <c r="K1525" i="5"/>
  <c r="L1525" i="5" s="1"/>
  <c r="N1526" i="5"/>
  <c r="M1525" i="5"/>
  <c r="M1524" i="5"/>
  <c r="K1526" i="5" l="1"/>
  <c r="L1526" i="5" s="1"/>
  <c r="N1527" i="5"/>
  <c r="F1528" i="5"/>
  <c r="G1527" i="5"/>
  <c r="H1527" i="5"/>
  <c r="J1527" i="5"/>
  <c r="I1527" i="5"/>
  <c r="K1527" i="5" l="1"/>
  <c r="L1527" i="5" s="1"/>
  <c r="N1528" i="5"/>
  <c r="F1529" i="5"/>
  <c r="G1528" i="5"/>
  <c r="H1528" i="5"/>
  <c r="J1528" i="5"/>
  <c r="I1528" i="5"/>
  <c r="M1527" i="5"/>
  <c r="M1526" i="5"/>
  <c r="F1530" i="5" l="1"/>
  <c r="H1529" i="5"/>
  <c r="G1529" i="5"/>
  <c r="I1529" i="5"/>
  <c r="J1529" i="5"/>
  <c r="K1528" i="5"/>
  <c r="L1528" i="5" s="1"/>
  <c r="N1529" i="5"/>
  <c r="M1528" i="5" l="1"/>
  <c r="K1529" i="5"/>
  <c r="L1529" i="5" s="1"/>
  <c r="N1530" i="5"/>
  <c r="G1530" i="5"/>
  <c r="F1531" i="5"/>
  <c r="H1530" i="5"/>
  <c r="I1530" i="5"/>
  <c r="F1532" i="5" l="1"/>
  <c r="G1531" i="5"/>
  <c r="H1531" i="5"/>
  <c r="I1531" i="5"/>
  <c r="J1531" i="5"/>
  <c r="J1530" i="5"/>
  <c r="M1529" i="5"/>
  <c r="K1530" i="5" l="1"/>
  <c r="L1530" i="5" s="1"/>
  <c r="N1531" i="5"/>
  <c r="K1531" i="5"/>
  <c r="L1531" i="5" s="1"/>
  <c r="N1532" i="5"/>
  <c r="F1533" i="5"/>
  <c r="H1532" i="5"/>
  <c r="I1532" i="5"/>
  <c r="G1532" i="5"/>
  <c r="F1534" i="5" l="1"/>
  <c r="H1533" i="5"/>
  <c r="G1533" i="5"/>
  <c r="I1533" i="5"/>
  <c r="J1533" i="5"/>
  <c r="J1532" i="5"/>
  <c r="M1531" i="5"/>
  <c r="M1530" i="5"/>
  <c r="K1532" i="5" l="1"/>
  <c r="L1532" i="5" s="1"/>
  <c r="N1533" i="5"/>
  <c r="K1533" i="5"/>
  <c r="L1533" i="5" s="1"/>
  <c r="N1534" i="5"/>
  <c r="F1535" i="5"/>
  <c r="G1534" i="5"/>
  <c r="H1534" i="5"/>
  <c r="I1534" i="5"/>
  <c r="F1536" i="5" l="1"/>
  <c r="G1535" i="5"/>
  <c r="I1535" i="5"/>
  <c r="H1535" i="5"/>
  <c r="J1535" i="5"/>
  <c r="J1534" i="5"/>
  <c r="M1533" i="5"/>
  <c r="M1532" i="5"/>
  <c r="K1534" i="5" l="1"/>
  <c r="L1534" i="5" s="1"/>
  <c r="N1535" i="5"/>
  <c r="K1535" i="5"/>
  <c r="L1535" i="5" s="1"/>
  <c r="N1536" i="5"/>
  <c r="F1537" i="5"/>
  <c r="G1536" i="5"/>
  <c r="H1536" i="5"/>
  <c r="I1536" i="5"/>
  <c r="F1538" i="5" l="1"/>
  <c r="G1537" i="5"/>
  <c r="H1537" i="5"/>
  <c r="J1537" i="5"/>
  <c r="I1537" i="5"/>
  <c r="J1536" i="5"/>
  <c r="M1535" i="5"/>
  <c r="M1534" i="5"/>
  <c r="K1536" i="5" l="1"/>
  <c r="L1536" i="5" s="1"/>
  <c r="N1537" i="5"/>
  <c r="N1538" i="5"/>
  <c r="K1537" i="5"/>
  <c r="L1537" i="5" s="1"/>
  <c r="F1539" i="5"/>
  <c r="G1538" i="5"/>
  <c r="H1538" i="5"/>
  <c r="I1538" i="5"/>
  <c r="F1540" i="5" l="1"/>
  <c r="G1539" i="5"/>
  <c r="H1539" i="5"/>
  <c r="I1539" i="5"/>
  <c r="J1539" i="5"/>
  <c r="J1538" i="5"/>
  <c r="M1537" i="5"/>
  <c r="M1536" i="5"/>
  <c r="N1539" i="5" l="1"/>
  <c r="K1538" i="5"/>
  <c r="L1538" i="5" s="1"/>
  <c r="N1540" i="5"/>
  <c r="K1539" i="5"/>
  <c r="L1539" i="5" s="1"/>
  <c r="F1541" i="5"/>
  <c r="G1540" i="5"/>
  <c r="H1540" i="5"/>
  <c r="I1540" i="5"/>
  <c r="F1542" i="5" l="1"/>
  <c r="G1541" i="5"/>
  <c r="H1541" i="5"/>
  <c r="I1541" i="5"/>
  <c r="J1541" i="5"/>
  <c r="M1539" i="5"/>
  <c r="M1538" i="5"/>
  <c r="J1540" i="5"/>
  <c r="K1541" i="5" l="1"/>
  <c r="K1540" i="5"/>
  <c r="L1540" i="5" s="1"/>
  <c r="N1541" i="5"/>
  <c r="N1542" i="5" s="1"/>
  <c r="F1543" i="5"/>
  <c r="G1542" i="5"/>
  <c r="H1542" i="5"/>
  <c r="I1542" i="5"/>
  <c r="F1544" i="5" l="1"/>
  <c r="G1543" i="5"/>
  <c r="H1543" i="5"/>
  <c r="I1543" i="5"/>
  <c r="J1543" i="5"/>
  <c r="M1541" i="5"/>
  <c r="M1540" i="5"/>
  <c r="J1542" i="5"/>
  <c r="L1541" i="5"/>
  <c r="K1542" i="5" l="1"/>
  <c r="L1542" i="5" s="1"/>
  <c r="N1543" i="5"/>
  <c r="K1543" i="5"/>
  <c r="L1543" i="5" s="1"/>
  <c r="N1544" i="5"/>
  <c r="M1542" i="5"/>
  <c r="F1545" i="5"/>
  <c r="G1544" i="5"/>
  <c r="H1544" i="5"/>
  <c r="F1546" i="5" l="1"/>
  <c r="G1545" i="5"/>
  <c r="I1545" i="5"/>
  <c r="H1545" i="5"/>
  <c r="J1545" i="5" s="1"/>
  <c r="J1544" i="5"/>
  <c r="I1544" i="5"/>
  <c r="M1543" i="5"/>
  <c r="K1545" i="5" l="1"/>
  <c r="L1545" i="5" s="1"/>
  <c r="N1546" i="5"/>
  <c r="K1544" i="5"/>
  <c r="L1544" i="5" s="1"/>
  <c r="N1545" i="5"/>
  <c r="F1547" i="5"/>
  <c r="G1546" i="5"/>
  <c r="H1546" i="5"/>
  <c r="I1546" i="5"/>
  <c r="F1548" i="5" l="1"/>
  <c r="H1547" i="5"/>
  <c r="G1547" i="5"/>
  <c r="I1547" i="5"/>
  <c r="J1547" i="5"/>
  <c r="M1545" i="5"/>
  <c r="M1544" i="5"/>
  <c r="J1546" i="5"/>
  <c r="K1546" i="5" l="1"/>
  <c r="L1546" i="5" s="1"/>
  <c r="N1547" i="5"/>
  <c r="K1547" i="5"/>
  <c r="L1547" i="5" s="1"/>
  <c r="N1548" i="5"/>
  <c r="F1549" i="5"/>
  <c r="G1548" i="5"/>
  <c r="I1548" i="5"/>
  <c r="H1548" i="5"/>
  <c r="F1550" i="5" l="1"/>
  <c r="H1549" i="5"/>
  <c r="G1549" i="5"/>
  <c r="J1549" i="5"/>
  <c r="I1549" i="5"/>
  <c r="J1548" i="5"/>
  <c r="M1547" i="5"/>
  <c r="M1546" i="5"/>
  <c r="K1549" i="5" l="1"/>
  <c r="K1548" i="5"/>
  <c r="L1548" i="5" s="1"/>
  <c r="N1549" i="5"/>
  <c r="N1550" i="5" s="1"/>
  <c r="F1551" i="5"/>
  <c r="G1550" i="5"/>
  <c r="H1550" i="5"/>
  <c r="J1550" i="5"/>
  <c r="K1550" i="5" l="1"/>
  <c r="L1550" i="5" s="1"/>
  <c r="N1551" i="5"/>
  <c r="F1552" i="5"/>
  <c r="G1551" i="5"/>
  <c r="H1551" i="5"/>
  <c r="J1551" i="5"/>
  <c r="I1551" i="5"/>
  <c r="M1549" i="5"/>
  <c r="M1548" i="5"/>
  <c r="I1550" i="5"/>
  <c r="L1549" i="5"/>
  <c r="M1550" i="5" s="1"/>
  <c r="K1551" i="5" l="1"/>
  <c r="L1551" i="5" s="1"/>
  <c r="N1552" i="5"/>
  <c r="G1552" i="5"/>
  <c r="H1552" i="5"/>
  <c r="F1553" i="5"/>
  <c r="I1552" i="5"/>
  <c r="J1552" i="5"/>
  <c r="M1551" i="5"/>
  <c r="K1552" i="5" l="1"/>
  <c r="L1552" i="5" s="1"/>
  <c r="N1553" i="5"/>
  <c r="F1554" i="5"/>
  <c r="G1553" i="5"/>
  <c r="H1553" i="5"/>
  <c r="I1553" i="5"/>
  <c r="J1553" i="5"/>
  <c r="M1552" i="5"/>
  <c r="K1553" i="5" l="1"/>
  <c r="L1553" i="5" s="1"/>
  <c r="N1554" i="5"/>
  <c r="F1555" i="5"/>
  <c r="G1554" i="5"/>
  <c r="H1554" i="5"/>
  <c r="I1554" i="5"/>
  <c r="J1554" i="5"/>
  <c r="M1553" i="5"/>
  <c r="K1554" i="5" l="1"/>
  <c r="L1554" i="5" s="1"/>
  <c r="N1555" i="5"/>
  <c r="F1556" i="5"/>
  <c r="G1555" i="5"/>
  <c r="H1555" i="5"/>
  <c r="I1555" i="5"/>
  <c r="J1555" i="5"/>
  <c r="M1554" i="5"/>
  <c r="K1555" i="5" l="1"/>
  <c r="L1555" i="5" s="1"/>
  <c r="N1556" i="5"/>
  <c r="F1557" i="5"/>
  <c r="G1556" i="5"/>
  <c r="H1556" i="5"/>
  <c r="I1556" i="5"/>
  <c r="J1556" i="5"/>
  <c r="M1555" i="5"/>
  <c r="K1556" i="5" l="1"/>
  <c r="L1556" i="5" s="1"/>
  <c r="N1557" i="5"/>
  <c r="F1558" i="5"/>
  <c r="G1557" i="5"/>
  <c r="H1557" i="5"/>
  <c r="J1557" i="5"/>
  <c r="M1556" i="5"/>
  <c r="K1557" i="5" l="1"/>
  <c r="L1557" i="5" s="1"/>
  <c r="N1558" i="5"/>
  <c r="F1559" i="5"/>
  <c r="G1558" i="5"/>
  <c r="H1558" i="5"/>
  <c r="I1558" i="5"/>
  <c r="J1558" i="5"/>
  <c r="I1557" i="5"/>
  <c r="M1557" i="5"/>
  <c r="F1560" i="5" l="1"/>
  <c r="G1559" i="5"/>
  <c r="H1559" i="5"/>
  <c r="J1559" i="5"/>
  <c r="I1559" i="5"/>
  <c r="K1558" i="5"/>
  <c r="L1558" i="5" s="1"/>
  <c r="N1559" i="5"/>
  <c r="M1558" i="5"/>
  <c r="K1559" i="5" l="1"/>
  <c r="L1559" i="5" s="1"/>
  <c r="N1560" i="5"/>
  <c r="M1559" i="5"/>
  <c r="F1561" i="5"/>
  <c r="G1560" i="5"/>
  <c r="H1560" i="5"/>
  <c r="I1560" i="5"/>
  <c r="J1560" i="5"/>
  <c r="N1561" i="5" l="1"/>
  <c r="K1560" i="5"/>
  <c r="L1560" i="5" s="1"/>
  <c r="F1562" i="5"/>
  <c r="G1561" i="5"/>
  <c r="H1561" i="5"/>
  <c r="I1561" i="5"/>
  <c r="J1561" i="5"/>
  <c r="M1560" i="5"/>
  <c r="F1563" i="5" l="1"/>
  <c r="G1562" i="5"/>
  <c r="H1562" i="5"/>
  <c r="I1562" i="5"/>
  <c r="J1562" i="5"/>
  <c r="K1561" i="5"/>
  <c r="L1561" i="5" s="1"/>
  <c r="N1562" i="5"/>
  <c r="M1561" i="5"/>
  <c r="K1562" i="5" l="1"/>
  <c r="L1562" i="5" s="1"/>
  <c r="N1563" i="5"/>
  <c r="F1564" i="5"/>
  <c r="G1563" i="5"/>
  <c r="H1563" i="5"/>
  <c r="I1563" i="5"/>
  <c r="J1563" i="5"/>
  <c r="K1563" i="5" l="1"/>
  <c r="L1563" i="5" s="1"/>
  <c r="N1564" i="5"/>
  <c r="F1565" i="5"/>
  <c r="H1564" i="5"/>
  <c r="I1564" i="5"/>
  <c r="G1564" i="5"/>
  <c r="J1564" i="5"/>
  <c r="M1563" i="5"/>
  <c r="M1562" i="5"/>
  <c r="K1564" i="5" l="1"/>
  <c r="L1564" i="5" s="1"/>
  <c r="N1565" i="5"/>
  <c r="F1566" i="5"/>
  <c r="H1565" i="5"/>
  <c r="I1565" i="5"/>
  <c r="G1565" i="5"/>
  <c r="J1565" i="5"/>
  <c r="M1564" i="5"/>
  <c r="K1565" i="5" l="1"/>
  <c r="L1565" i="5" s="1"/>
  <c r="N1566" i="5"/>
  <c r="F1567" i="5"/>
  <c r="G1566" i="5"/>
  <c r="I1566" i="5"/>
  <c r="H1566" i="5"/>
  <c r="J1566" i="5"/>
  <c r="M1565" i="5"/>
  <c r="K1566" i="5" l="1"/>
  <c r="L1566" i="5" s="1"/>
  <c r="N1567" i="5"/>
  <c r="F1568" i="5"/>
  <c r="G1567" i="5"/>
  <c r="I1567" i="5"/>
  <c r="H1567" i="5"/>
  <c r="J1567" i="5"/>
  <c r="M1566" i="5"/>
  <c r="K1567" i="5" l="1"/>
  <c r="L1567" i="5" s="1"/>
  <c r="N1568" i="5"/>
  <c r="F1569" i="5"/>
  <c r="G1568" i="5"/>
  <c r="I1568" i="5"/>
  <c r="H1568" i="5"/>
  <c r="J1568" i="5"/>
  <c r="M1567" i="5"/>
  <c r="K1568" i="5" l="1"/>
  <c r="L1568" i="5" s="1"/>
  <c r="N1569" i="5"/>
  <c r="F1570" i="5"/>
  <c r="G1569" i="5"/>
  <c r="H1569" i="5"/>
  <c r="J1569" i="5"/>
  <c r="I1569" i="5"/>
  <c r="M1568" i="5"/>
  <c r="K1569" i="5" l="1"/>
  <c r="L1569" i="5" s="1"/>
  <c r="N1570" i="5"/>
  <c r="F1571" i="5"/>
  <c r="G1570" i="5"/>
  <c r="H1570" i="5"/>
  <c r="J1570" i="5"/>
  <c r="I1570" i="5"/>
  <c r="M1569" i="5"/>
  <c r="N1571" i="5" l="1"/>
  <c r="K1570" i="5"/>
  <c r="L1570" i="5" s="1"/>
  <c r="F1572" i="5"/>
  <c r="G1571" i="5"/>
  <c r="H1571" i="5"/>
  <c r="I1571" i="5"/>
  <c r="J1571" i="5"/>
  <c r="M1570" i="5"/>
  <c r="K1571" i="5" l="1"/>
  <c r="L1571" i="5" s="1"/>
  <c r="N1572" i="5"/>
  <c r="F1573" i="5"/>
  <c r="G1572" i="5"/>
  <c r="H1572" i="5"/>
  <c r="I1572" i="5"/>
  <c r="J1572" i="5"/>
  <c r="M1571" i="5"/>
  <c r="K1572" i="5" l="1"/>
  <c r="L1572" i="5" s="1"/>
  <c r="N1573" i="5"/>
  <c r="F1574" i="5"/>
  <c r="G1573" i="5"/>
  <c r="H1573" i="5"/>
  <c r="I1573" i="5"/>
  <c r="J1573" i="5"/>
  <c r="M1572" i="5"/>
  <c r="K1573" i="5" l="1"/>
  <c r="L1573" i="5" s="1"/>
  <c r="N1574" i="5"/>
  <c r="F1575" i="5"/>
  <c r="H1574" i="5"/>
  <c r="G1574" i="5"/>
  <c r="I1574" i="5"/>
  <c r="J1574" i="5"/>
  <c r="M1573" i="5"/>
  <c r="F1576" i="5" l="1"/>
  <c r="G1575" i="5"/>
  <c r="H1575" i="5"/>
  <c r="I1575" i="5"/>
  <c r="J1575" i="5"/>
  <c r="K1574" i="5"/>
  <c r="L1574" i="5" s="1"/>
  <c r="M1574" i="5" s="1"/>
  <c r="N1575" i="5"/>
  <c r="K1575" i="5" l="1"/>
  <c r="L1575" i="5" s="1"/>
  <c r="N1576" i="5"/>
  <c r="F1577" i="5"/>
  <c r="G1576" i="5"/>
  <c r="H1576" i="5"/>
  <c r="I1576" i="5"/>
  <c r="J1576" i="5"/>
  <c r="K1576" i="5" l="1"/>
  <c r="L1576" i="5" s="1"/>
  <c r="N1577" i="5"/>
  <c r="F1578" i="5"/>
  <c r="G1577" i="5"/>
  <c r="I1577" i="5"/>
  <c r="H1577" i="5"/>
  <c r="J1577" i="5"/>
  <c r="M1575" i="5"/>
  <c r="K1577" i="5" l="1"/>
  <c r="L1577" i="5" s="1"/>
  <c r="N1578" i="5"/>
  <c r="F1579" i="5"/>
  <c r="G1578" i="5"/>
  <c r="H1578" i="5"/>
  <c r="I1578" i="5"/>
  <c r="J1578" i="5"/>
  <c r="M1576" i="5"/>
  <c r="K1578" i="5" l="1"/>
  <c r="L1578" i="5" s="1"/>
  <c r="N1579" i="5"/>
  <c r="M1578" i="5"/>
  <c r="F1580" i="5"/>
  <c r="G1579" i="5"/>
  <c r="H1579" i="5"/>
  <c r="I1579" i="5"/>
  <c r="J1579" i="5"/>
  <c r="M1577" i="5"/>
  <c r="N1580" i="5" l="1"/>
  <c r="K1579" i="5"/>
  <c r="L1579" i="5" s="1"/>
  <c r="F1581" i="5"/>
  <c r="G1580" i="5"/>
  <c r="H1580" i="5"/>
  <c r="I1580" i="5"/>
  <c r="J1580" i="5"/>
  <c r="M1579" i="5"/>
  <c r="N1581" i="5" l="1"/>
  <c r="K1580" i="5"/>
  <c r="L1580" i="5" s="1"/>
  <c r="F1582" i="5"/>
  <c r="G1581" i="5"/>
  <c r="H1581" i="5"/>
  <c r="J1581" i="5"/>
  <c r="I1581" i="5"/>
  <c r="N1582" i="5" l="1"/>
  <c r="K1581" i="5"/>
  <c r="L1581" i="5" s="1"/>
  <c r="F1583" i="5"/>
  <c r="H1582" i="5"/>
  <c r="G1582" i="5"/>
  <c r="I1582" i="5"/>
  <c r="J1582" i="5"/>
  <c r="M1581" i="5"/>
  <c r="M1580" i="5"/>
  <c r="K1582" i="5" l="1"/>
  <c r="L1582" i="5" s="1"/>
  <c r="N1583" i="5"/>
  <c r="M1582" i="5"/>
  <c r="F1584" i="5"/>
  <c r="G1583" i="5"/>
  <c r="H1583" i="5"/>
  <c r="I1583" i="5"/>
  <c r="J1583" i="5"/>
  <c r="F1585" i="5" l="1"/>
  <c r="G1584" i="5"/>
  <c r="H1584" i="5"/>
  <c r="I1584" i="5"/>
  <c r="J1584" i="5"/>
  <c r="K1583" i="5"/>
  <c r="L1583" i="5" s="1"/>
  <c r="N1584" i="5"/>
  <c r="M1583" i="5"/>
  <c r="K1584" i="5" l="1"/>
  <c r="L1584" i="5" s="1"/>
  <c r="N1585" i="5"/>
  <c r="M1584" i="5"/>
  <c r="F1586" i="5"/>
  <c r="G1585" i="5"/>
  <c r="H1585" i="5"/>
  <c r="I1585" i="5"/>
  <c r="J1585" i="5"/>
  <c r="K1585" i="5" l="1"/>
  <c r="L1585" i="5" s="1"/>
  <c r="N1586" i="5"/>
  <c r="F1587" i="5"/>
  <c r="G1586" i="5"/>
  <c r="H1586" i="5"/>
  <c r="I1586" i="5"/>
  <c r="J1586" i="5"/>
  <c r="M1585" i="5"/>
  <c r="K1586" i="5" l="1"/>
  <c r="L1586" i="5" s="1"/>
  <c r="N1587" i="5"/>
  <c r="F1588" i="5"/>
  <c r="G1587" i="5"/>
  <c r="H1587" i="5"/>
  <c r="I1587" i="5"/>
  <c r="J1587" i="5"/>
  <c r="M1586" i="5"/>
  <c r="K1587" i="5" l="1"/>
  <c r="L1587" i="5" s="1"/>
  <c r="N1588" i="5"/>
  <c r="F1589" i="5"/>
  <c r="G1588" i="5"/>
  <c r="H1588" i="5"/>
  <c r="J1588" i="5"/>
  <c r="M1587" i="5"/>
  <c r="F1590" i="5" l="1"/>
  <c r="G1589" i="5"/>
  <c r="I1589" i="5"/>
  <c r="H1589" i="5"/>
  <c r="J1589" i="5"/>
  <c r="K1588" i="5"/>
  <c r="L1588" i="5" s="1"/>
  <c r="N1589" i="5"/>
  <c r="I1588" i="5"/>
  <c r="K1589" i="5" l="1"/>
  <c r="L1589" i="5" s="1"/>
  <c r="N1590" i="5"/>
  <c r="M1589" i="5"/>
  <c r="M1588" i="5"/>
  <c r="F1591" i="5"/>
  <c r="G1590" i="5"/>
  <c r="H1590" i="5"/>
  <c r="I1590" i="5"/>
  <c r="F1592" i="5" l="1"/>
  <c r="G1591" i="5"/>
  <c r="H1591" i="5"/>
  <c r="J1591" i="5"/>
  <c r="I1591" i="5"/>
  <c r="J1590" i="5"/>
  <c r="K1590" i="5" l="1"/>
  <c r="L1590" i="5" s="1"/>
  <c r="N1591" i="5"/>
  <c r="K1591" i="5"/>
  <c r="L1591" i="5" s="1"/>
  <c r="N1592" i="5"/>
  <c r="F1593" i="5"/>
  <c r="G1592" i="5"/>
  <c r="H1592" i="5"/>
  <c r="J1592" i="5"/>
  <c r="F1594" i="5" l="1"/>
  <c r="G1593" i="5"/>
  <c r="H1593" i="5"/>
  <c r="I1593" i="5"/>
  <c r="J1593" i="5"/>
  <c r="N1593" i="5"/>
  <c r="K1592" i="5"/>
  <c r="L1592" i="5" s="1"/>
  <c r="M1592" i="5"/>
  <c r="I1592" i="5"/>
  <c r="M1591" i="5"/>
  <c r="M1590" i="5"/>
  <c r="K1593" i="5" l="1"/>
  <c r="L1593" i="5" s="1"/>
  <c r="N1594" i="5"/>
  <c r="G1594" i="5"/>
  <c r="F1595" i="5"/>
  <c r="H1594" i="5"/>
  <c r="I1594" i="5"/>
  <c r="J1594" i="5"/>
  <c r="K1594" i="5" l="1"/>
  <c r="L1594" i="5" s="1"/>
  <c r="N1595" i="5"/>
  <c r="F1596" i="5"/>
  <c r="H1595" i="5"/>
  <c r="I1595" i="5"/>
  <c r="G1595" i="5"/>
  <c r="J1595" i="5"/>
  <c r="M1594" i="5"/>
  <c r="M1593" i="5"/>
  <c r="F1597" i="5" l="1"/>
  <c r="G1596" i="5"/>
  <c r="H1596" i="5"/>
  <c r="I1596" i="5"/>
  <c r="J1596" i="5"/>
  <c r="K1595" i="5"/>
  <c r="L1595" i="5" s="1"/>
  <c r="N1596" i="5"/>
  <c r="M1595" i="5"/>
  <c r="K1596" i="5" l="1"/>
  <c r="L1596" i="5" s="1"/>
  <c r="N1597" i="5"/>
  <c r="M1596" i="5"/>
  <c r="F1598" i="5"/>
  <c r="H1597" i="5"/>
  <c r="G1597" i="5"/>
  <c r="I1597" i="5"/>
  <c r="J1597" i="5"/>
  <c r="F1599" i="5" l="1"/>
  <c r="G1598" i="5"/>
  <c r="H1598" i="5"/>
  <c r="I1598" i="5"/>
  <c r="J1598" i="5"/>
  <c r="K1597" i="5"/>
  <c r="L1597" i="5" s="1"/>
  <c r="M1597" i="5" s="1"/>
  <c r="N1598" i="5"/>
  <c r="K1598" i="5" l="1"/>
  <c r="L1598" i="5" s="1"/>
  <c r="N1599" i="5"/>
  <c r="M1598" i="5"/>
  <c r="F1600" i="5"/>
  <c r="G1599" i="5"/>
  <c r="I1599" i="5"/>
  <c r="H1599" i="5"/>
  <c r="J1599" i="5"/>
  <c r="K1599" i="5" l="1"/>
  <c r="L1599" i="5" s="1"/>
  <c r="N1600" i="5"/>
  <c r="F1601" i="5"/>
  <c r="G1600" i="5"/>
  <c r="H1600" i="5"/>
  <c r="I1600" i="5"/>
  <c r="J1600" i="5"/>
  <c r="M1599" i="5"/>
  <c r="F1602" i="5" l="1"/>
  <c r="G1601" i="5"/>
  <c r="H1601" i="5"/>
  <c r="J1601" i="5"/>
  <c r="I1601" i="5"/>
  <c r="K1600" i="5"/>
  <c r="L1600" i="5" s="1"/>
  <c r="N1601" i="5"/>
  <c r="M1600" i="5"/>
  <c r="N1602" i="5" l="1"/>
  <c r="K1601" i="5"/>
  <c r="L1601" i="5" s="1"/>
  <c r="F1603" i="5"/>
  <c r="G1602" i="5"/>
  <c r="H1602" i="5"/>
  <c r="I1602" i="5"/>
  <c r="J1602" i="5"/>
  <c r="F1604" i="5" l="1"/>
  <c r="G1603" i="5"/>
  <c r="H1603" i="5"/>
  <c r="I1603" i="5"/>
  <c r="J1603" i="5"/>
  <c r="N1603" i="5"/>
  <c r="K1602" i="5"/>
  <c r="L1602" i="5" s="1"/>
  <c r="M1601" i="5"/>
  <c r="M1602" i="5" l="1"/>
  <c r="N1604" i="5"/>
  <c r="K1603" i="5"/>
  <c r="L1603" i="5" s="1"/>
  <c r="F1605" i="5"/>
  <c r="G1604" i="5"/>
  <c r="H1604" i="5"/>
  <c r="I1604" i="5"/>
  <c r="F1606" i="5" l="1"/>
  <c r="G1605" i="5"/>
  <c r="H1605" i="5"/>
  <c r="I1605" i="5"/>
  <c r="J1605" i="5"/>
  <c r="J1604" i="5"/>
  <c r="M1603" i="5"/>
  <c r="K1604" i="5" l="1"/>
  <c r="L1604" i="5" s="1"/>
  <c r="N1605" i="5"/>
  <c r="K1605" i="5"/>
  <c r="L1605" i="5" s="1"/>
  <c r="N1606" i="5"/>
  <c r="F1607" i="5"/>
  <c r="G1606" i="5"/>
  <c r="H1606" i="5"/>
  <c r="I1606" i="5"/>
  <c r="F1608" i="5" l="1"/>
  <c r="G1607" i="5"/>
  <c r="H1607" i="5"/>
  <c r="I1607" i="5"/>
  <c r="J1607" i="5"/>
  <c r="J1606" i="5"/>
  <c r="M1605" i="5"/>
  <c r="M1604" i="5"/>
  <c r="K1607" i="5" l="1"/>
  <c r="K1606" i="5"/>
  <c r="L1606" i="5" s="1"/>
  <c r="N1607" i="5"/>
  <c r="N1608" i="5" s="1"/>
  <c r="F1609" i="5"/>
  <c r="G1608" i="5"/>
  <c r="I1608" i="5"/>
  <c r="J1608" i="5"/>
  <c r="H1608" i="5"/>
  <c r="M1606" i="5" l="1"/>
  <c r="K1608" i="5"/>
  <c r="L1608" i="5" s="1"/>
  <c r="N1609" i="5"/>
  <c r="F1610" i="5"/>
  <c r="G1609" i="5"/>
  <c r="I1609" i="5"/>
  <c r="J1609" i="5"/>
  <c r="H1609" i="5"/>
  <c r="L1607" i="5"/>
  <c r="K1609" i="5" l="1"/>
  <c r="L1609" i="5" s="1"/>
  <c r="N1610" i="5"/>
  <c r="F1611" i="5"/>
  <c r="G1610" i="5"/>
  <c r="H1610" i="5"/>
  <c r="I1610" i="5"/>
  <c r="J1610" i="5"/>
  <c r="M1609" i="5"/>
  <c r="M1608" i="5"/>
  <c r="M1607" i="5"/>
  <c r="K1610" i="5" l="1"/>
  <c r="L1610" i="5" s="1"/>
  <c r="N1611" i="5"/>
  <c r="F1612" i="5"/>
  <c r="G1611" i="5"/>
  <c r="H1611" i="5"/>
  <c r="I1611" i="5"/>
  <c r="J1611" i="5"/>
  <c r="M1610" i="5"/>
  <c r="K1611" i="5" l="1"/>
  <c r="L1611" i="5" s="1"/>
  <c r="N1612" i="5"/>
  <c r="G1612" i="5"/>
  <c r="F1613" i="5"/>
  <c r="I1612" i="5" s="1"/>
  <c r="J1612" i="5"/>
  <c r="H1612" i="5"/>
  <c r="M1611" i="5"/>
  <c r="K1612" i="5" l="1"/>
  <c r="L1612" i="5" s="1"/>
  <c r="N1613" i="5"/>
  <c r="F1614" i="5"/>
  <c r="H1613" i="5"/>
  <c r="G1613" i="5"/>
  <c r="J1613" i="5"/>
  <c r="I1613" i="5"/>
  <c r="M1612" i="5"/>
  <c r="F1615" i="5" l="1"/>
  <c r="G1614" i="5"/>
  <c r="H1614" i="5"/>
  <c r="J1614" i="5"/>
  <c r="I1614" i="5"/>
  <c r="K1613" i="5"/>
  <c r="L1613" i="5" s="1"/>
  <c r="M1613" i="5" s="1"/>
  <c r="N1614" i="5"/>
  <c r="K1614" i="5" l="1"/>
  <c r="L1614" i="5" s="1"/>
  <c r="N1615" i="5"/>
  <c r="M1614" i="5"/>
  <c r="F1616" i="5"/>
  <c r="G1615" i="5"/>
  <c r="H1615" i="5"/>
  <c r="I1615" i="5"/>
  <c r="J1615" i="5"/>
  <c r="K1615" i="5" l="1"/>
  <c r="L1615" i="5" s="1"/>
  <c r="N1616" i="5"/>
  <c r="F1617" i="5"/>
  <c r="G1616" i="5"/>
  <c r="H1616" i="5"/>
  <c r="I1616" i="5"/>
  <c r="J1616" i="5"/>
  <c r="M1615" i="5"/>
  <c r="K1616" i="5" l="1"/>
  <c r="L1616" i="5" s="1"/>
  <c r="N1617" i="5"/>
  <c r="F1618" i="5"/>
  <c r="G1617" i="5"/>
  <c r="H1617" i="5"/>
  <c r="I1617" i="5"/>
  <c r="J1617" i="5"/>
  <c r="M1616" i="5"/>
  <c r="K1617" i="5" l="1"/>
  <c r="L1617" i="5" s="1"/>
  <c r="N1618" i="5"/>
  <c r="F1619" i="5"/>
  <c r="G1618" i="5"/>
  <c r="H1618" i="5"/>
  <c r="I1618" i="5"/>
  <c r="J1618" i="5"/>
  <c r="M1617" i="5"/>
  <c r="K1618" i="5" l="1"/>
  <c r="L1618" i="5" s="1"/>
  <c r="N1619" i="5"/>
  <c r="F1620" i="5"/>
  <c r="G1619" i="5"/>
  <c r="H1619" i="5"/>
  <c r="I1619" i="5"/>
  <c r="J1619" i="5"/>
  <c r="M1618" i="5"/>
  <c r="K1619" i="5" l="1"/>
  <c r="L1619" i="5" s="1"/>
  <c r="N1620" i="5"/>
  <c r="F1621" i="5"/>
  <c r="G1620" i="5"/>
  <c r="H1620" i="5"/>
  <c r="I1620" i="5"/>
  <c r="J1620" i="5"/>
  <c r="M1619" i="5"/>
  <c r="K1620" i="5" l="1"/>
  <c r="L1620" i="5" s="1"/>
  <c r="N1621" i="5"/>
  <c r="F1622" i="5"/>
  <c r="G1621" i="5"/>
  <c r="I1621" i="5"/>
  <c r="H1621" i="5"/>
  <c r="J1621" i="5"/>
  <c r="M1620" i="5"/>
  <c r="K1621" i="5" l="1"/>
  <c r="L1621" i="5" s="1"/>
  <c r="N1622" i="5"/>
  <c r="F1623" i="5"/>
  <c r="G1622" i="5"/>
  <c r="H1622" i="5"/>
  <c r="I1622" i="5"/>
  <c r="J1622" i="5"/>
  <c r="M1621" i="5"/>
  <c r="K1622" i="5" l="1"/>
  <c r="L1622" i="5" s="1"/>
  <c r="N1623" i="5"/>
  <c r="F1624" i="5"/>
  <c r="G1623" i="5"/>
  <c r="H1623" i="5"/>
  <c r="J1623" i="5"/>
  <c r="I1623" i="5"/>
  <c r="M1622" i="5"/>
  <c r="K1623" i="5" l="1"/>
  <c r="L1623" i="5" s="1"/>
  <c r="N1624" i="5"/>
  <c r="F1625" i="5"/>
  <c r="G1624" i="5"/>
  <c r="H1624" i="5"/>
  <c r="I1624" i="5"/>
  <c r="J1624" i="5"/>
  <c r="M1623" i="5"/>
  <c r="N1625" i="5" l="1"/>
  <c r="K1624" i="5"/>
  <c r="L1624" i="5" s="1"/>
  <c r="F1626" i="5"/>
  <c r="G1625" i="5"/>
  <c r="H1625" i="5"/>
  <c r="I1625" i="5"/>
  <c r="J1625" i="5"/>
  <c r="M1624" i="5"/>
  <c r="N1626" i="5" l="1"/>
  <c r="K1625" i="5"/>
  <c r="L1625" i="5" s="1"/>
  <c r="G1626" i="5"/>
  <c r="F1627" i="5"/>
  <c r="H1626" i="5"/>
  <c r="I1626" i="5"/>
  <c r="J1626" i="5"/>
  <c r="M1625" i="5"/>
  <c r="K1626" i="5" l="1"/>
  <c r="L1626" i="5" s="1"/>
  <c r="N1627" i="5"/>
  <c r="F1628" i="5"/>
  <c r="G1627" i="5"/>
  <c r="H1627" i="5"/>
  <c r="I1627" i="5"/>
  <c r="J1627" i="5"/>
  <c r="M1626" i="5"/>
  <c r="K1627" i="5" l="1"/>
  <c r="L1627" i="5" s="1"/>
  <c r="N1628" i="5"/>
  <c r="F1629" i="5"/>
  <c r="H1628" i="5"/>
  <c r="I1628" i="5"/>
  <c r="G1628" i="5"/>
  <c r="J1628" i="5" s="1"/>
  <c r="M1627" i="5"/>
  <c r="K1628" i="5" l="1"/>
  <c r="L1628" i="5" s="1"/>
  <c r="N1629" i="5"/>
  <c r="F1630" i="5"/>
  <c r="G1629" i="5"/>
  <c r="H1629" i="5"/>
  <c r="I1629" i="5"/>
  <c r="J1629" i="5"/>
  <c r="M1628" i="5"/>
  <c r="K1629" i="5" l="1"/>
  <c r="L1629" i="5" s="1"/>
  <c r="N1630" i="5"/>
  <c r="F1631" i="5"/>
  <c r="H1630" i="5"/>
  <c r="I1630" i="5"/>
  <c r="J1630" i="5"/>
  <c r="G1630" i="5"/>
  <c r="M1629" i="5"/>
  <c r="K1630" i="5" l="1"/>
  <c r="L1630" i="5" s="1"/>
  <c r="N1631" i="5"/>
  <c r="F1632" i="5"/>
  <c r="G1631" i="5"/>
  <c r="H1631" i="5"/>
  <c r="J1631" i="5"/>
  <c r="M1630" i="5"/>
  <c r="K1631" i="5" l="1"/>
  <c r="L1631" i="5" s="1"/>
  <c r="N1632" i="5"/>
  <c r="F1633" i="5"/>
  <c r="G1632" i="5"/>
  <c r="H1632" i="5"/>
  <c r="I1632" i="5"/>
  <c r="J1632" i="5"/>
  <c r="I1631" i="5"/>
  <c r="M1631" i="5"/>
  <c r="K1632" i="5" l="1"/>
  <c r="L1632" i="5" s="1"/>
  <c r="N1633" i="5"/>
  <c r="F1634" i="5"/>
  <c r="G1633" i="5"/>
  <c r="H1633" i="5"/>
  <c r="J1633" i="5"/>
  <c r="I1633" i="5"/>
  <c r="M1632" i="5"/>
  <c r="K1633" i="5" l="1"/>
  <c r="L1633" i="5" s="1"/>
  <c r="N1634" i="5"/>
  <c r="F1635" i="5"/>
  <c r="G1634" i="5"/>
  <c r="H1634" i="5"/>
  <c r="J1634" i="5"/>
  <c r="I1634" i="5"/>
  <c r="M1633" i="5"/>
  <c r="N1635" i="5" l="1"/>
  <c r="K1634" i="5"/>
  <c r="L1634" i="5" s="1"/>
  <c r="F1636" i="5"/>
  <c r="G1635" i="5"/>
  <c r="H1635" i="5"/>
  <c r="I1635" i="5"/>
  <c r="J1635" i="5"/>
  <c r="M1634" i="5"/>
  <c r="K1635" i="5" l="1"/>
  <c r="L1635" i="5" s="1"/>
  <c r="N1636" i="5"/>
  <c r="F1637" i="5"/>
  <c r="G1636" i="5"/>
  <c r="H1636" i="5"/>
  <c r="I1636" i="5"/>
  <c r="J1636" i="5"/>
  <c r="M1635" i="5"/>
  <c r="K1636" i="5" l="1"/>
  <c r="L1636" i="5" s="1"/>
  <c r="N1637" i="5"/>
  <c r="F1638" i="5"/>
  <c r="G1637" i="5"/>
  <c r="H1637" i="5"/>
  <c r="J1637" i="5" s="1"/>
  <c r="I1637" i="5"/>
  <c r="M1636" i="5"/>
  <c r="K1637" i="5" l="1"/>
  <c r="L1637" i="5" s="1"/>
  <c r="N1638" i="5"/>
  <c r="F1639" i="5"/>
  <c r="H1638" i="5"/>
  <c r="G1638" i="5"/>
  <c r="I1638" i="5"/>
  <c r="J1638" i="5"/>
  <c r="M1637" i="5"/>
  <c r="K1638" i="5" l="1"/>
  <c r="L1638" i="5" s="1"/>
  <c r="N1639" i="5"/>
  <c r="F1640" i="5"/>
  <c r="G1639" i="5"/>
  <c r="H1639" i="5"/>
  <c r="I1639" i="5"/>
  <c r="J1639" i="5"/>
  <c r="M1638" i="5"/>
  <c r="K1639" i="5" l="1"/>
  <c r="L1639" i="5" s="1"/>
  <c r="N1640" i="5"/>
  <c r="F1641" i="5"/>
  <c r="G1640" i="5"/>
  <c r="H1640" i="5"/>
  <c r="I1640" i="5"/>
  <c r="J1640" i="5"/>
  <c r="M1639" i="5"/>
  <c r="K1640" i="5" l="1"/>
  <c r="L1640" i="5" s="1"/>
  <c r="N1641" i="5"/>
  <c r="F1642" i="5"/>
  <c r="G1641" i="5"/>
  <c r="H1641" i="5"/>
  <c r="J1641" i="5"/>
  <c r="M1640" i="5"/>
  <c r="K1641" i="5" l="1"/>
  <c r="L1641" i="5" s="1"/>
  <c r="N1642" i="5"/>
  <c r="F1643" i="5"/>
  <c r="G1642" i="5"/>
  <c r="H1642" i="5"/>
  <c r="I1642" i="5"/>
  <c r="J1642" i="5"/>
  <c r="I1641" i="5"/>
  <c r="M1641" i="5"/>
  <c r="F1644" i="5" l="1"/>
  <c r="H1643" i="5"/>
  <c r="G1643" i="5"/>
  <c r="I1643" i="5"/>
  <c r="J1643" i="5"/>
  <c r="K1642" i="5"/>
  <c r="L1642" i="5" s="1"/>
  <c r="N1643" i="5"/>
  <c r="M1642" i="5"/>
  <c r="N1644" i="5" l="1"/>
  <c r="K1643" i="5"/>
  <c r="L1643" i="5" s="1"/>
  <c r="F1645" i="5"/>
  <c r="G1644" i="5"/>
  <c r="H1644" i="5"/>
  <c r="I1644" i="5"/>
  <c r="J1644" i="5"/>
  <c r="F1646" i="5" l="1"/>
  <c r="G1645" i="5"/>
  <c r="H1645" i="5"/>
  <c r="J1645" i="5"/>
  <c r="I1645" i="5"/>
  <c r="K1644" i="5"/>
  <c r="L1644" i="5" s="1"/>
  <c r="N1645" i="5"/>
  <c r="M1644" i="5"/>
  <c r="M1643" i="5"/>
  <c r="K1645" i="5" l="1"/>
  <c r="L1645" i="5" s="1"/>
  <c r="N1646" i="5"/>
  <c r="F1647" i="5"/>
  <c r="G1646" i="5"/>
  <c r="H1646" i="5"/>
  <c r="I1646" i="5"/>
  <c r="J1646" i="5"/>
  <c r="K1646" i="5" l="1"/>
  <c r="L1646" i="5" s="1"/>
  <c r="N1647" i="5"/>
  <c r="F1648" i="5"/>
  <c r="H1647" i="5"/>
  <c r="G1647" i="5"/>
  <c r="I1647" i="5"/>
  <c r="J1647" i="5"/>
  <c r="M1646" i="5"/>
  <c r="M1645" i="5"/>
  <c r="F1649" i="5" l="1"/>
  <c r="G1648" i="5"/>
  <c r="H1648" i="5"/>
  <c r="I1648" i="5"/>
  <c r="J1648" i="5"/>
  <c r="K1647" i="5"/>
  <c r="L1647" i="5" s="1"/>
  <c r="M1647" i="5" s="1"/>
  <c r="N1648" i="5"/>
  <c r="K1648" i="5" l="1"/>
  <c r="L1648" i="5" s="1"/>
  <c r="N1649" i="5"/>
  <c r="F1650" i="5"/>
  <c r="G1649" i="5"/>
  <c r="H1649" i="5"/>
  <c r="I1649" i="5"/>
  <c r="J1649" i="5"/>
  <c r="K1649" i="5" l="1"/>
  <c r="L1649" i="5" s="1"/>
  <c r="N1650" i="5"/>
  <c r="M1649" i="5"/>
  <c r="F1651" i="5"/>
  <c r="G1650" i="5"/>
  <c r="H1650" i="5"/>
  <c r="I1650" i="5"/>
  <c r="J1650" i="5"/>
  <c r="M1648" i="5"/>
  <c r="K1650" i="5" l="1"/>
  <c r="L1650" i="5" s="1"/>
  <c r="N1651" i="5"/>
  <c r="F1652" i="5"/>
  <c r="G1651" i="5"/>
  <c r="H1651" i="5"/>
  <c r="I1651" i="5"/>
  <c r="J1651" i="5"/>
  <c r="M1650" i="5"/>
  <c r="K1651" i="5" l="1"/>
  <c r="L1651" i="5" s="1"/>
  <c r="N1652" i="5"/>
  <c r="F1653" i="5"/>
  <c r="G1652" i="5"/>
  <c r="I1652" i="5"/>
  <c r="H1652" i="5"/>
  <c r="J1652" i="5" s="1"/>
  <c r="M1651" i="5"/>
  <c r="K1652" i="5" l="1"/>
  <c r="L1652" i="5" s="1"/>
  <c r="N1653" i="5"/>
  <c r="F1654" i="5"/>
  <c r="G1653" i="5"/>
  <c r="I1653" i="5"/>
  <c r="H1653" i="5"/>
  <c r="J1653" i="5"/>
  <c r="M1652" i="5"/>
  <c r="K1653" i="5" l="1"/>
  <c r="L1653" i="5" s="1"/>
  <c r="N1654" i="5"/>
  <c r="F1655" i="5"/>
  <c r="G1654" i="5"/>
  <c r="I1654" i="5"/>
  <c r="H1654" i="5"/>
  <c r="J1654" i="5"/>
  <c r="M1653" i="5"/>
  <c r="K1654" i="5" l="1"/>
  <c r="L1654" i="5" s="1"/>
  <c r="N1655" i="5"/>
  <c r="F1656" i="5"/>
  <c r="G1655" i="5"/>
  <c r="H1655" i="5"/>
  <c r="J1655" i="5"/>
  <c r="I1655" i="5"/>
  <c r="M1654" i="5"/>
  <c r="K1655" i="5" l="1"/>
  <c r="L1655" i="5" s="1"/>
  <c r="N1656" i="5"/>
  <c r="F1657" i="5"/>
  <c r="G1656" i="5"/>
  <c r="H1656" i="5"/>
  <c r="J1656" i="5"/>
  <c r="I1656" i="5"/>
  <c r="M1655" i="5"/>
  <c r="K1656" i="5" l="1"/>
  <c r="L1656" i="5" s="1"/>
  <c r="N1657" i="5"/>
  <c r="F1658" i="5"/>
  <c r="G1657" i="5"/>
  <c r="H1657" i="5"/>
  <c r="I1657" i="5"/>
  <c r="J1657" i="5"/>
  <c r="M1656" i="5"/>
  <c r="K1657" i="5" l="1"/>
  <c r="L1657" i="5" s="1"/>
  <c r="N1658" i="5"/>
  <c r="G1658" i="5"/>
  <c r="F1659" i="5"/>
  <c r="H1658" i="5"/>
  <c r="I1658" i="5"/>
  <c r="J1658" i="5"/>
  <c r="M1657" i="5"/>
  <c r="K1658" i="5" l="1"/>
  <c r="L1658" i="5" s="1"/>
  <c r="N1659" i="5"/>
  <c r="F1660" i="5"/>
  <c r="G1659" i="5"/>
  <c r="H1659" i="5"/>
  <c r="I1659" i="5"/>
  <c r="J1659" i="5"/>
  <c r="M1658" i="5"/>
  <c r="K1659" i="5" l="1"/>
  <c r="L1659" i="5" s="1"/>
  <c r="N1660" i="5"/>
  <c r="F1661" i="5"/>
  <c r="H1660" i="5"/>
  <c r="G1660" i="5"/>
  <c r="I1660" i="5"/>
  <c r="J1660" i="5"/>
  <c r="M1659" i="5"/>
  <c r="K1660" i="5" l="1"/>
  <c r="L1660" i="5" s="1"/>
  <c r="N1661" i="5"/>
  <c r="F1662" i="5"/>
  <c r="H1661" i="5"/>
  <c r="J1661" i="5" s="1"/>
  <c r="G1661" i="5"/>
  <c r="I1661" i="5"/>
  <c r="M1660" i="5"/>
  <c r="K1661" i="5" l="1"/>
  <c r="L1661" i="5" s="1"/>
  <c r="N1662" i="5"/>
  <c r="F1663" i="5"/>
  <c r="G1662" i="5"/>
  <c r="H1662" i="5"/>
  <c r="I1662" i="5"/>
  <c r="J1662" i="5"/>
  <c r="M1661" i="5"/>
  <c r="K1662" i="5" l="1"/>
  <c r="L1662" i="5" s="1"/>
  <c r="N1663" i="5"/>
  <c r="F1664" i="5"/>
  <c r="G1663" i="5"/>
  <c r="I1663" i="5"/>
  <c r="H1663" i="5"/>
  <c r="J1663" i="5"/>
  <c r="M1662" i="5"/>
  <c r="F1665" i="5" l="1"/>
  <c r="G1664" i="5"/>
  <c r="H1664" i="5"/>
  <c r="I1664" i="5"/>
  <c r="J1664" i="5"/>
  <c r="K1663" i="5"/>
  <c r="L1663" i="5" s="1"/>
  <c r="N1664" i="5"/>
  <c r="M1663" i="5"/>
  <c r="K1664" i="5" l="1"/>
  <c r="L1664" i="5" s="1"/>
  <c r="N1665" i="5"/>
  <c r="M1664" i="5"/>
  <c r="F1666" i="5"/>
  <c r="G1665" i="5"/>
  <c r="H1665" i="5"/>
  <c r="J1665" i="5"/>
  <c r="I1665" i="5"/>
  <c r="N1666" i="5" l="1"/>
  <c r="K1665" i="5"/>
  <c r="L1665" i="5" s="1"/>
  <c r="F1667" i="5"/>
  <c r="G1666" i="5"/>
  <c r="H1666" i="5"/>
  <c r="I1666" i="5"/>
  <c r="J1666" i="5"/>
  <c r="M1665" i="5"/>
  <c r="N1667" i="5" l="1"/>
  <c r="K1666" i="5"/>
  <c r="L1666" i="5" s="1"/>
  <c r="F1668" i="5"/>
  <c r="G1667" i="5"/>
  <c r="H1667" i="5"/>
  <c r="I1667" i="5"/>
  <c r="J1667" i="5"/>
  <c r="M1666" i="5"/>
  <c r="N1668" i="5" l="1"/>
  <c r="K1667" i="5"/>
  <c r="L1667" i="5" s="1"/>
  <c r="F1669" i="5"/>
  <c r="G1668" i="5"/>
  <c r="H1668" i="5"/>
  <c r="I1668" i="5"/>
  <c r="J1668" i="5"/>
  <c r="M1667" i="5"/>
  <c r="K1668" i="5" l="1"/>
  <c r="L1668" i="5" s="1"/>
  <c r="N1669" i="5"/>
  <c r="F1670" i="5"/>
  <c r="G1669" i="5"/>
  <c r="H1669" i="5"/>
  <c r="I1669" i="5"/>
  <c r="J1669" i="5"/>
  <c r="M1668" i="5"/>
  <c r="K1669" i="5" l="1"/>
  <c r="L1669" i="5" s="1"/>
  <c r="N1670" i="5"/>
  <c r="F1671" i="5"/>
  <c r="H1670" i="5"/>
  <c r="G1670" i="5"/>
  <c r="I1670" i="5"/>
  <c r="J1670" i="5"/>
  <c r="M1669" i="5"/>
  <c r="K1670" i="5" l="1"/>
  <c r="L1670" i="5" s="1"/>
  <c r="N1671" i="5"/>
  <c r="F1672" i="5"/>
  <c r="G1671" i="5"/>
  <c r="H1671" i="5"/>
  <c r="I1671" i="5"/>
  <c r="J1671" i="5"/>
  <c r="M1670" i="5"/>
  <c r="K1671" i="5" l="1"/>
  <c r="L1671" i="5" s="1"/>
  <c r="N1672" i="5"/>
  <c r="F1673" i="5"/>
  <c r="G1672" i="5"/>
  <c r="H1672" i="5"/>
  <c r="I1672" i="5"/>
  <c r="J1672" i="5"/>
  <c r="M1671" i="5"/>
  <c r="K1672" i="5" l="1"/>
  <c r="L1672" i="5" s="1"/>
  <c r="N1673" i="5"/>
  <c r="F1674" i="5"/>
  <c r="G1673" i="5"/>
  <c r="I1673" i="5"/>
  <c r="H1673" i="5"/>
  <c r="J1673" i="5"/>
  <c r="M1672" i="5"/>
  <c r="K1673" i="5" l="1"/>
  <c r="L1673" i="5" s="1"/>
  <c r="N1674" i="5"/>
  <c r="F1675" i="5"/>
  <c r="G1674" i="5"/>
  <c r="H1674" i="5"/>
  <c r="I1674" i="5"/>
  <c r="J1674" i="5"/>
  <c r="M1673" i="5"/>
  <c r="K1674" i="5" l="1"/>
  <c r="L1674" i="5" s="1"/>
  <c r="N1675" i="5"/>
  <c r="F1676" i="5"/>
  <c r="G1675" i="5"/>
  <c r="H1675" i="5"/>
  <c r="I1675" i="5"/>
  <c r="J1675" i="5"/>
  <c r="M1674" i="5"/>
  <c r="K1675" i="5" l="1"/>
  <c r="L1675" i="5" s="1"/>
  <c r="N1676" i="5"/>
  <c r="F1677" i="5"/>
  <c r="G1676" i="5"/>
  <c r="I1676" i="5"/>
  <c r="H1676" i="5"/>
  <c r="J1676" i="5"/>
  <c r="M1675" i="5"/>
  <c r="K1676" i="5" l="1"/>
  <c r="L1676" i="5" s="1"/>
  <c r="N1677" i="5"/>
  <c r="F1678" i="5"/>
  <c r="G1677" i="5"/>
  <c r="H1677" i="5"/>
  <c r="J1677" i="5"/>
  <c r="I1677" i="5"/>
  <c r="M1676" i="5"/>
  <c r="K1677" i="5" l="1"/>
  <c r="L1677" i="5" s="1"/>
  <c r="N1678" i="5"/>
  <c r="F1679" i="5"/>
  <c r="H1678" i="5"/>
  <c r="G1678" i="5"/>
  <c r="J1678" i="5"/>
  <c r="I1678" i="5"/>
  <c r="M1677" i="5"/>
  <c r="K1678" i="5" l="1"/>
  <c r="L1678" i="5" s="1"/>
  <c r="N1679" i="5"/>
  <c r="F1680" i="5"/>
  <c r="G1679" i="5"/>
  <c r="H1679" i="5"/>
  <c r="I1679" i="5"/>
  <c r="J1679" i="5"/>
  <c r="M1678" i="5"/>
  <c r="K1679" i="5" l="1"/>
  <c r="L1679" i="5" s="1"/>
  <c r="N1680" i="5"/>
  <c r="F1681" i="5"/>
  <c r="G1680" i="5"/>
  <c r="H1680" i="5"/>
  <c r="I1680" i="5"/>
  <c r="J1680" i="5"/>
  <c r="M1679" i="5"/>
  <c r="K1680" i="5" l="1"/>
  <c r="L1680" i="5" s="1"/>
  <c r="N1681" i="5"/>
  <c r="F1682" i="5"/>
  <c r="G1681" i="5"/>
  <c r="H1681" i="5"/>
  <c r="I1681" i="5"/>
  <c r="J1681" i="5"/>
  <c r="M1680" i="5"/>
  <c r="K1681" i="5" l="1"/>
  <c r="L1681" i="5" s="1"/>
  <c r="N1682" i="5"/>
  <c r="F1683" i="5"/>
  <c r="G1682" i="5"/>
  <c r="H1682" i="5"/>
  <c r="I1682" i="5"/>
  <c r="J1682" i="5"/>
  <c r="M1681" i="5"/>
  <c r="K1682" i="5" l="1"/>
  <c r="L1682" i="5" s="1"/>
  <c r="N1683" i="5"/>
  <c r="F1684" i="5"/>
  <c r="G1683" i="5"/>
  <c r="H1683" i="5"/>
  <c r="I1683" i="5"/>
  <c r="J1683" i="5"/>
  <c r="M1682" i="5"/>
  <c r="K1683" i="5" l="1"/>
  <c r="L1683" i="5" s="1"/>
  <c r="N1684" i="5"/>
  <c r="F1685" i="5"/>
  <c r="G1684" i="5"/>
  <c r="H1684" i="5"/>
  <c r="I1684" i="5"/>
  <c r="J1684" i="5"/>
  <c r="M1683" i="5"/>
  <c r="K1684" i="5" l="1"/>
  <c r="L1684" i="5" s="1"/>
  <c r="N1685" i="5"/>
  <c r="F1686" i="5"/>
  <c r="G1685" i="5"/>
  <c r="H1685" i="5"/>
  <c r="J1685" i="5"/>
  <c r="M1684" i="5"/>
  <c r="K1685" i="5" l="1"/>
  <c r="L1685" i="5" s="1"/>
  <c r="N1686" i="5"/>
  <c r="F1687" i="5"/>
  <c r="G1686" i="5"/>
  <c r="H1686" i="5"/>
  <c r="I1686" i="5"/>
  <c r="J1686" i="5"/>
  <c r="I1685" i="5"/>
  <c r="M1685" i="5"/>
  <c r="K1686" i="5" l="1"/>
  <c r="L1686" i="5" s="1"/>
  <c r="N1687" i="5"/>
  <c r="F1688" i="5"/>
  <c r="G1687" i="5"/>
  <c r="H1687" i="5"/>
  <c r="J1687" i="5"/>
  <c r="I1687" i="5"/>
  <c r="M1686" i="5"/>
  <c r="K1687" i="5" l="1"/>
  <c r="L1687" i="5" s="1"/>
  <c r="N1688" i="5"/>
  <c r="F1689" i="5"/>
  <c r="G1688" i="5"/>
  <c r="H1688" i="5"/>
  <c r="I1688" i="5"/>
  <c r="J1688" i="5"/>
  <c r="M1687" i="5"/>
  <c r="N1689" i="5" l="1"/>
  <c r="K1688" i="5"/>
  <c r="L1688" i="5" s="1"/>
  <c r="F1690" i="5"/>
  <c r="G1689" i="5"/>
  <c r="H1689" i="5"/>
  <c r="I1689" i="5"/>
  <c r="J1689" i="5"/>
  <c r="M1688" i="5"/>
  <c r="K1689" i="5" l="1"/>
  <c r="L1689" i="5" s="1"/>
  <c r="N1690" i="5"/>
  <c r="F1691" i="5"/>
  <c r="G1690" i="5"/>
  <c r="H1690" i="5"/>
  <c r="I1690" i="5"/>
  <c r="J1690" i="5"/>
  <c r="M1689" i="5"/>
  <c r="K1690" i="5" l="1"/>
  <c r="L1690" i="5" s="1"/>
  <c r="N1691" i="5"/>
  <c r="F1692" i="5"/>
  <c r="G1691" i="5"/>
  <c r="H1691" i="5"/>
  <c r="J1691" i="5" s="1"/>
  <c r="I1691" i="5"/>
  <c r="M1690" i="5"/>
  <c r="K1691" i="5" l="1"/>
  <c r="L1691" i="5" s="1"/>
  <c r="N1692" i="5"/>
  <c r="F1693" i="5"/>
  <c r="G1692" i="5"/>
  <c r="H1692" i="5"/>
  <c r="I1692" i="5"/>
  <c r="J1692" i="5"/>
  <c r="M1691" i="5"/>
  <c r="K1692" i="5" l="1"/>
  <c r="L1692" i="5" s="1"/>
  <c r="N1693" i="5"/>
  <c r="F1694" i="5"/>
  <c r="H1693" i="5"/>
  <c r="G1693" i="5"/>
  <c r="I1693" i="5"/>
  <c r="J1693" i="5"/>
  <c r="M1692" i="5"/>
  <c r="F1695" i="5" l="1"/>
  <c r="G1694" i="5"/>
  <c r="I1694" i="5"/>
  <c r="J1694" i="5"/>
  <c r="H1694" i="5"/>
  <c r="K1693" i="5"/>
  <c r="L1693" i="5" s="1"/>
  <c r="N1694" i="5"/>
  <c r="M1693" i="5"/>
  <c r="K1694" i="5" l="1"/>
  <c r="L1694" i="5" s="1"/>
  <c r="N1695" i="5"/>
  <c r="F1696" i="5"/>
  <c r="I1695" i="5"/>
  <c r="G1695" i="5"/>
  <c r="J1695" i="5"/>
  <c r="H1695" i="5"/>
  <c r="K1695" i="5" l="1"/>
  <c r="L1695" i="5" s="1"/>
  <c r="N1696" i="5"/>
  <c r="F1697" i="5"/>
  <c r="G1696" i="5"/>
  <c r="I1696" i="5"/>
  <c r="H1696" i="5"/>
  <c r="J1696" i="5" s="1"/>
  <c r="M1695" i="5"/>
  <c r="M1694" i="5"/>
  <c r="K1696" i="5" l="1"/>
  <c r="L1696" i="5" s="1"/>
  <c r="N1697" i="5"/>
  <c r="F1698" i="5"/>
  <c r="G1697" i="5"/>
  <c r="H1697" i="5"/>
  <c r="J1697" i="5"/>
  <c r="I1697" i="5"/>
  <c r="M1696" i="5"/>
  <c r="K1697" i="5" l="1"/>
  <c r="L1697" i="5" s="1"/>
  <c r="N1698" i="5"/>
  <c r="F1699" i="5"/>
  <c r="G1698" i="5"/>
  <c r="H1698" i="5"/>
  <c r="J1698" i="5"/>
  <c r="I1698" i="5"/>
  <c r="M1697" i="5"/>
  <c r="N1699" i="5" l="1"/>
  <c r="K1698" i="5"/>
  <c r="L1698" i="5" s="1"/>
  <c r="F1700" i="5"/>
  <c r="G1699" i="5"/>
  <c r="H1699" i="5"/>
  <c r="I1699" i="5"/>
  <c r="J1699" i="5"/>
  <c r="M1698" i="5"/>
  <c r="K1699" i="5" l="1"/>
  <c r="L1699" i="5" s="1"/>
  <c r="N1700" i="5"/>
  <c r="F1701" i="5"/>
  <c r="G1700" i="5"/>
  <c r="H1700" i="5"/>
  <c r="I1700" i="5"/>
  <c r="J1700" i="5"/>
  <c r="M1699" i="5"/>
  <c r="K1700" i="5" l="1"/>
  <c r="L1700" i="5" s="1"/>
  <c r="N1701" i="5"/>
  <c r="F1702" i="5"/>
  <c r="G1701" i="5"/>
  <c r="H1701" i="5"/>
  <c r="I1701" i="5"/>
  <c r="J1701" i="5"/>
  <c r="M1700" i="5"/>
  <c r="K1701" i="5" l="1"/>
  <c r="L1701" i="5" s="1"/>
  <c r="N1702" i="5"/>
  <c r="F1703" i="5"/>
  <c r="G1702" i="5"/>
  <c r="H1702" i="5"/>
  <c r="I1702" i="5"/>
  <c r="J1702" i="5"/>
  <c r="M1701" i="5"/>
  <c r="K1702" i="5" l="1"/>
  <c r="L1702" i="5" s="1"/>
  <c r="N1703" i="5"/>
  <c r="F1704" i="5"/>
  <c r="H1703" i="5"/>
  <c r="G1703" i="5"/>
  <c r="I1703" i="5"/>
  <c r="J1703" i="5"/>
  <c r="M1702" i="5"/>
  <c r="K1703" i="5" l="1"/>
  <c r="L1703" i="5" s="1"/>
  <c r="N1704" i="5"/>
  <c r="F1705" i="5"/>
  <c r="G1704" i="5"/>
  <c r="H1704" i="5"/>
  <c r="I1704" i="5"/>
  <c r="J1704" i="5"/>
  <c r="M1703" i="5"/>
  <c r="K1704" i="5" l="1"/>
  <c r="L1704" i="5" s="1"/>
  <c r="N1705" i="5"/>
  <c r="F1706" i="5"/>
  <c r="G1705" i="5"/>
  <c r="I1705" i="5"/>
  <c r="H1705" i="5"/>
  <c r="J1705" i="5"/>
  <c r="M1704" i="5"/>
  <c r="K1705" i="5" l="1"/>
  <c r="L1705" i="5" s="1"/>
  <c r="N1706" i="5"/>
  <c r="F1707" i="5"/>
  <c r="G1706" i="5"/>
  <c r="H1706" i="5"/>
  <c r="I1706" i="5"/>
  <c r="J1706" i="5"/>
  <c r="M1705" i="5"/>
  <c r="K1706" i="5" l="1"/>
  <c r="L1706" i="5" s="1"/>
  <c r="N1707" i="5"/>
  <c r="F1708" i="5"/>
  <c r="G1707" i="5"/>
  <c r="H1707" i="5"/>
  <c r="I1707" i="5"/>
  <c r="J1707" i="5"/>
  <c r="M1706" i="5"/>
  <c r="N1708" i="5" l="1"/>
  <c r="K1707" i="5"/>
  <c r="L1707" i="5" s="1"/>
  <c r="F1709" i="5"/>
  <c r="G1708" i="5"/>
  <c r="H1708" i="5"/>
  <c r="I1708" i="5"/>
  <c r="J1708" i="5"/>
  <c r="M1707" i="5"/>
  <c r="N1709" i="5" l="1"/>
  <c r="K1708" i="5"/>
  <c r="L1708" i="5" s="1"/>
  <c r="G1709" i="5"/>
  <c r="F1710" i="5"/>
  <c r="H1709" i="5"/>
  <c r="J1709" i="5"/>
  <c r="I1709" i="5"/>
  <c r="M1708" i="5"/>
  <c r="N1710" i="5" l="1"/>
  <c r="K1709" i="5"/>
  <c r="L1709" i="5" s="1"/>
  <c r="F1711" i="5"/>
  <c r="G1710" i="5"/>
  <c r="H1710" i="5"/>
  <c r="I1710" i="5"/>
  <c r="J1710" i="5"/>
  <c r="M1709" i="5"/>
  <c r="K1710" i="5" l="1"/>
  <c r="L1710" i="5" s="1"/>
  <c r="N1711" i="5"/>
  <c r="F1712" i="5"/>
  <c r="H1711" i="5"/>
  <c r="G1711" i="5"/>
  <c r="I1711" i="5"/>
  <c r="J1711" i="5"/>
  <c r="M1710" i="5"/>
  <c r="K1711" i="5" l="1"/>
  <c r="L1711" i="5" s="1"/>
  <c r="N1712" i="5"/>
  <c r="F1713" i="5"/>
  <c r="G1712" i="5"/>
  <c r="H1712" i="5"/>
  <c r="I1712" i="5"/>
  <c r="J1712" i="5"/>
  <c r="M1711" i="5"/>
  <c r="K1712" i="5" l="1"/>
  <c r="L1712" i="5" s="1"/>
  <c r="N1713" i="5"/>
  <c r="F1714" i="5"/>
  <c r="G1713" i="5"/>
  <c r="H1713" i="5"/>
  <c r="I1713" i="5"/>
  <c r="J1713" i="5"/>
  <c r="M1712" i="5"/>
  <c r="K1713" i="5" l="1"/>
  <c r="L1713" i="5" s="1"/>
  <c r="N1714" i="5"/>
  <c r="F1715" i="5"/>
  <c r="G1714" i="5"/>
  <c r="H1714" i="5"/>
  <c r="I1714" i="5"/>
  <c r="J1714" i="5"/>
  <c r="M1713" i="5"/>
  <c r="K1714" i="5" l="1"/>
  <c r="L1714" i="5" s="1"/>
  <c r="N1715" i="5"/>
  <c r="F1716" i="5"/>
  <c r="G1715" i="5"/>
  <c r="H1715" i="5"/>
  <c r="J1715" i="5" s="1"/>
  <c r="I1715" i="5"/>
  <c r="M1714" i="5"/>
  <c r="K1715" i="5" l="1"/>
  <c r="L1715" i="5" s="1"/>
  <c r="N1716" i="5"/>
  <c r="F1717" i="5"/>
  <c r="I1716" i="5" s="1"/>
  <c r="G1716" i="5"/>
  <c r="H1716" i="5"/>
  <c r="J1716" i="5"/>
  <c r="M1715" i="5"/>
  <c r="K1716" i="5" l="1"/>
  <c r="L1716" i="5" s="1"/>
  <c r="N1717" i="5"/>
  <c r="F1718" i="5"/>
  <c r="G1717" i="5"/>
  <c r="I1717" i="5"/>
  <c r="H1717" i="5"/>
  <c r="J1717" i="5"/>
  <c r="M1716" i="5"/>
  <c r="K1717" i="5" l="1"/>
  <c r="L1717" i="5" s="1"/>
  <c r="N1718" i="5"/>
  <c r="F1719" i="5"/>
  <c r="G1718" i="5"/>
  <c r="H1718" i="5"/>
  <c r="I1718" i="5"/>
  <c r="J1718" i="5"/>
  <c r="M1717" i="5"/>
  <c r="K1718" i="5" l="1"/>
  <c r="L1718" i="5" s="1"/>
  <c r="N1719" i="5"/>
  <c r="F1720" i="5"/>
  <c r="G1719" i="5"/>
  <c r="H1719" i="5"/>
  <c r="J1719" i="5"/>
  <c r="I1719" i="5"/>
  <c r="M1718" i="5"/>
  <c r="K1719" i="5" l="1"/>
  <c r="L1719" i="5" s="1"/>
  <c r="N1720" i="5"/>
  <c r="F1721" i="5"/>
  <c r="G1720" i="5"/>
  <c r="H1720" i="5"/>
  <c r="J1720" i="5" s="1"/>
  <c r="I1720" i="5"/>
  <c r="M1719" i="5"/>
  <c r="N1721" i="5" l="1"/>
  <c r="K1720" i="5"/>
  <c r="L1720" i="5" s="1"/>
  <c r="F1722" i="5"/>
  <c r="G1721" i="5"/>
  <c r="H1721" i="5"/>
  <c r="J1721" i="5"/>
  <c r="I1721" i="5"/>
  <c r="M1720" i="5"/>
  <c r="K1721" i="5" l="1"/>
  <c r="L1721" i="5" s="1"/>
  <c r="N1722" i="5"/>
  <c r="F1723" i="5"/>
  <c r="G1722" i="5"/>
  <c r="H1722" i="5"/>
  <c r="I1722" i="5"/>
  <c r="J1722" i="5"/>
  <c r="M1721" i="5"/>
  <c r="K1722" i="5" l="1"/>
  <c r="L1722" i="5" s="1"/>
  <c r="N1723" i="5"/>
  <c r="F1724" i="5"/>
  <c r="G1723" i="5"/>
  <c r="H1723" i="5"/>
  <c r="I1723" i="5"/>
  <c r="J1723" i="5"/>
  <c r="M1722" i="5"/>
  <c r="K1723" i="5" l="1"/>
  <c r="L1723" i="5" s="1"/>
  <c r="N1724" i="5"/>
  <c r="F1725" i="5"/>
  <c r="H1724" i="5"/>
  <c r="G1724" i="5"/>
  <c r="I1724" i="5"/>
  <c r="J1724" i="5"/>
  <c r="M1723" i="5"/>
  <c r="K1724" i="5" l="1"/>
  <c r="L1724" i="5" s="1"/>
  <c r="N1725" i="5"/>
  <c r="G1725" i="5"/>
  <c r="F1726" i="5"/>
  <c r="H1725" i="5"/>
  <c r="I1725" i="5"/>
  <c r="J1725" i="5"/>
  <c r="M1724" i="5"/>
  <c r="K1725" i="5" l="1"/>
  <c r="L1725" i="5" s="1"/>
  <c r="N1726" i="5"/>
  <c r="G1726" i="5"/>
  <c r="F1727" i="5"/>
  <c r="H1726" i="5"/>
  <c r="I1726" i="5"/>
  <c r="J1726" i="5"/>
  <c r="M1725" i="5"/>
  <c r="K1726" i="5" l="1"/>
  <c r="L1726" i="5" s="1"/>
  <c r="N1727" i="5"/>
  <c r="F1728" i="5"/>
  <c r="G1727" i="5"/>
  <c r="I1727" i="5"/>
  <c r="H1727" i="5"/>
  <c r="J1727" i="5"/>
  <c r="M1726" i="5"/>
  <c r="F1729" i="5" l="1"/>
  <c r="H1728" i="5"/>
  <c r="G1728" i="5"/>
  <c r="I1728" i="5"/>
  <c r="J1728" i="5"/>
  <c r="K1727" i="5"/>
  <c r="L1727" i="5" s="1"/>
  <c r="N1728" i="5"/>
  <c r="M1727" i="5"/>
  <c r="K1728" i="5" l="1"/>
  <c r="L1728" i="5" s="1"/>
  <c r="N1729" i="5"/>
  <c r="F1730" i="5"/>
  <c r="H1729" i="5"/>
  <c r="G1729" i="5"/>
  <c r="J1729" i="5" s="1"/>
  <c r="I1729" i="5"/>
  <c r="N1730" i="5" l="1"/>
  <c r="K1729" i="5"/>
  <c r="L1729" i="5" s="1"/>
  <c r="F1731" i="5"/>
  <c r="G1730" i="5"/>
  <c r="H1730" i="5"/>
  <c r="I1730" i="5"/>
  <c r="J1730" i="5"/>
  <c r="M1729" i="5"/>
  <c r="M1728" i="5"/>
  <c r="F1732" i="5" l="1"/>
  <c r="G1731" i="5"/>
  <c r="H1731" i="5"/>
  <c r="I1731" i="5"/>
  <c r="J1731" i="5"/>
  <c r="N1731" i="5"/>
  <c r="K1730" i="5"/>
  <c r="L1730" i="5" s="1"/>
  <c r="M1730" i="5" s="1"/>
  <c r="N1732" i="5" l="1"/>
  <c r="K1731" i="5"/>
  <c r="L1731" i="5" s="1"/>
  <c r="F1733" i="5"/>
  <c r="G1732" i="5"/>
  <c r="H1732" i="5"/>
  <c r="I1732" i="5"/>
  <c r="J1732" i="5"/>
  <c r="K1732" i="5" l="1"/>
  <c r="L1732" i="5" s="1"/>
  <c r="N1733" i="5"/>
  <c r="F1734" i="5"/>
  <c r="G1733" i="5"/>
  <c r="H1733" i="5"/>
  <c r="I1733" i="5"/>
  <c r="J1733" i="5"/>
  <c r="M1731" i="5"/>
  <c r="K1733" i="5" l="1"/>
  <c r="L1733" i="5" s="1"/>
  <c r="N1734" i="5"/>
  <c r="F1735" i="5"/>
  <c r="H1734" i="5"/>
  <c r="G1734" i="5"/>
  <c r="I1734" i="5"/>
  <c r="J1734" i="5"/>
  <c r="M1733" i="5"/>
  <c r="M1732" i="5"/>
  <c r="K1734" i="5" l="1"/>
  <c r="L1734" i="5" s="1"/>
  <c r="N1735" i="5"/>
  <c r="G1735" i="5"/>
  <c r="F1736" i="5"/>
  <c r="H1735" i="5"/>
  <c r="M1734" i="5"/>
  <c r="F1737" i="5" l="1"/>
  <c r="G1736" i="5"/>
  <c r="I1736" i="5"/>
  <c r="H1736" i="5"/>
  <c r="J1736" i="5"/>
  <c r="J1735" i="5"/>
  <c r="I1735" i="5"/>
  <c r="K1735" i="5" l="1"/>
  <c r="L1735" i="5" s="1"/>
  <c r="N1736" i="5"/>
  <c r="K1736" i="5"/>
  <c r="L1736" i="5" s="1"/>
  <c r="N1737" i="5"/>
  <c r="F1738" i="5"/>
  <c r="G1737" i="5"/>
  <c r="I1737" i="5"/>
  <c r="H1737" i="5"/>
  <c r="F1739" i="5" l="1"/>
  <c r="I1738" i="5" s="1"/>
  <c r="G1738" i="5"/>
  <c r="H1738" i="5"/>
  <c r="J1737" i="5"/>
  <c r="M1736" i="5"/>
  <c r="M1735" i="5"/>
  <c r="K1737" i="5" l="1"/>
  <c r="L1737" i="5" s="1"/>
  <c r="N1738" i="5"/>
  <c r="F1740" i="5"/>
  <c r="G1739" i="5"/>
  <c r="H1739" i="5"/>
  <c r="J1739" i="5" s="1"/>
  <c r="I1739" i="5"/>
  <c r="J1738" i="5"/>
  <c r="K1739" i="5" l="1"/>
  <c r="L1739" i="5" s="1"/>
  <c r="N1740" i="5"/>
  <c r="K1738" i="5"/>
  <c r="L1738" i="5" s="1"/>
  <c r="M1739" i="5" s="1"/>
  <c r="N1739" i="5"/>
  <c r="F1741" i="5"/>
  <c r="I1740" i="5" s="1"/>
  <c r="G1740" i="5"/>
  <c r="J1740" i="5"/>
  <c r="H1740" i="5"/>
  <c r="M1738" i="5"/>
  <c r="M1737" i="5"/>
  <c r="K1740" i="5" l="1"/>
  <c r="L1740" i="5" s="1"/>
  <c r="N1741" i="5"/>
  <c r="F1742" i="5"/>
  <c r="H1741" i="5"/>
  <c r="G1741" i="5"/>
  <c r="J1741" i="5"/>
  <c r="I1741" i="5"/>
  <c r="M1740" i="5"/>
  <c r="K1741" i="5" l="1"/>
  <c r="L1741" i="5" s="1"/>
  <c r="N1742" i="5"/>
  <c r="F1743" i="5"/>
  <c r="G1742" i="5"/>
  <c r="H1742" i="5"/>
  <c r="J1742" i="5"/>
  <c r="I1742" i="5"/>
  <c r="M1741" i="5"/>
  <c r="F1744" i="5" l="1"/>
  <c r="G1743" i="5"/>
  <c r="H1743" i="5"/>
  <c r="I1743" i="5"/>
  <c r="J1743" i="5"/>
  <c r="K1742" i="5"/>
  <c r="L1742" i="5" s="1"/>
  <c r="N1743" i="5"/>
  <c r="M1742" i="5" l="1"/>
  <c r="K1743" i="5"/>
  <c r="L1743" i="5" s="1"/>
  <c r="N1744" i="5"/>
  <c r="F1745" i="5"/>
  <c r="G1744" i="5"/>
  <c r="H1744" i="5"/>
  <c r="F1746" i="5" l="1"/>
  <c r="G1745" i="5"/>
  <c r="H1745" i="5"/>
  <c r="I1745" i="5"/>
  <c r="J1745" i="5"/>
  <c r="I1744" i="5"/>
  <c r="J1744" i="5"/>
  <c r="M1743" i="5"/>
  <c r="K1744" i="5" l="1"/>
  <c r="L1744" i="5" s="1"/>
  <c r="N1745" i="5"/>
  <c r="K1745" i="5"/>
  <c r="L1745" i="5" s="1"/>
  <c r="N1746" i="5"/>
  <c r="F1747" i="5"/>
  <c r="G1746" i="5"/>
  <c r="H1746" i="5"/>
  <c r="I1746" i="5"/>
  <c r="F1748" i="5" l="1"/>
  <c r="H1747" i="5"/>
  <c r="G1747" i="5"/>
  <c r="I1747" i="5"/>
  <c r="J1747" i="5"/>
  <c r="J1746" i="5"/>
  <c r="M1745" i="5"/>
  <c r="M1744" i="5"/>
  <c r="K1747" i="5" l="1"/>
  <c r="K1746" i="5"/>
  <c r="L1746" i="5" s="1"/>
  <c r="N1747" i="5"/>
  <c r="N1748" i="5" s="1"/>
  <c r="F1749" i="5"/>
  <c r="G1748" i="5"/>
  <c r="H1748" i="5"/>
  <c r="I1748" i="5"/>
  <c r="M1746" i="5" l="1"/>
  <c r="F1750" i="5"/>
  <c r="G1749" i="5"/>
  <c r="I1749" i="5"/>
  <c r="H1749" i="5"/>
  <c r="J1749" i="5"/>
  <c r="J1748" i="5"/>
  <c r="L1747" i="5"/>
  <c r="K1749" i="5" l="1"/>
  <c r="N1750" i="5"/>
  <c r="G1750" i="5"/>
  <c r="F1751" i="5"/>
  <c r="H1750" i="5"/>
  <c r="K1748" i="5"/>
  <c r="L1748" i="5" s="1"/>
  <c r="N1749" i="5"/>
  <c r="M1747" i="5"/>
  <c r="F1752" i="5" l="1"/>
  <c r="G1751" i="5"/>
  <c r="H1751" i="5"/>
  <c r="J1751" i="5"/>
  <c r="I1751" i="5"/>
  <c r="M1749" i="5"/>
  <c r="J1750" i="5"/>
  <c r="I1750" i="5"/>
  <c r="M1748" i="5"/>
  <c r="L1749" i="5"/>
  <c r="K1751" i="5" l="1"/>
  <c r="K1750" i="5"/>
  <c r="L1750" i="5" s="1"/>
  <c r="N1751" i="5"/>
  <c r="N1752" i="5" s="1"/>
  <c r="M1750" i="5"/>
  <c r="F1753" i="5"/>
  <c r="G1752" i="5"/>
  <c r="H1752" i="5"/>
  <c r="F1754" i="5" l="1"/>
  <c r="G1753" i="5"/>
  <c r="H1753" i="5"/>
  <c r="I1753" i="5"/>
  <c r="J1753" i="5"/>
  <c r="J1752" i="5"/>
  <c r="I1752" i="5"/>
  <c r="L1751" i="5"/>
  <c r="N1753" i="5" l="1"/>
  <c r="K1752" i="5"/>
  <c r="L1752" i="5" s="1"/>
  <c r="N1754" i="5"/>
  <c r="K1753" i="5"/>
  <c r="L1753" i="5" s="1"/>
  <c r="F1755" i="5"/>
  <c r="G1754" i="5"/>
  <c r="H1754" i="5"/>
  <c r="I1754" i="5"/>
  <c r="M1751" i="5"/>
  <c r="F1756" i="5" l="1"/>
  <c r="G1755" i="5"/>
  <c r="H1755" i="5"/>
  <c r="I1755" i="5"/>
  <c r="J1755" i="5"/>
  <c r="M1753" i="5"/>
  <c r="M1752" i="5"/>
  <c r="J1754" i="5"/>
  <c r="K1755" i="5" l="1"/>
  <c r="K1754" i="5"/>
  <c r="L1754" i="5" s="1"/>
  <c r="N1755" i="5"/>
  <c r="N1756" i="5" s="1"/>
  <c r="F1757" i="5"/>
  <c r="G1756" i="5"/>
  <c r="H1756" i="5"/>
  <c r="I1756" i="5"/>
  <c r="F1758" i="5" l="1"/>
  <c r="G1757" i="5"/>
  <c r="H1757" i="5"/>
  <c r="I1757" i="5"/>
  <c r="J1757" i="5"/>
  <c r="M1755" i="5"/>
  <c r="M1754" i="5"/>
  <c r="J1756" i="5"/>
  <c r="L1755" i="5"/>
  <c r="K1757" i="5" l="1"/>
  <c r="L1757" i="5" s="1"/>
  <c r="N1758" i="5"/>
  <c r="K1756" i="5"/>
  <c r="L1756" i="5" s="1"/>
  <c r="M1757" i="5" s="1"/>
  <c r="N1757" i="5"/>
  <c r="M1756" i="5"/>
  <c r="F1759" i="5"/>
  <c r="H1758" i="5"/>
  <c r="G1758" i="5"/>
  <c r="F1760" i="5" l="1"/>
  <c r="I1759" i="5"/>
  <c r="H1759" i="5"/>
  <c r="J1759" i="5"/>
  <c r="G1759" i="5"/>
  <c r="I1758" i="5"/>
  <c r="J1758" i="5"/>
  <c r="K1758" i="5" l="1"/>
  <c r="L1758" i="5" s="1"/>
  <c r="N1759" i="5"/>
  <c r="K1759" i="5"/>
  <c r="L1759" i="5" s="1"/>
  <c r="N1760" i="5"/>
  <c r="F1761" i="5"/>
  <c r="H1760" i="5"/>
  <c r="I1760" i="5"/>
  <c r="J1760" i="5"/>
  <c r="G1760" i="5"/>
  <c r="F1762" i="5" l="1"/>
  <c r="G1761" i="5"/>
  <c r="H1761" i="5"/>
  <c r="J1761" i="5"/>
  <c r="I1761" i="5"/>
  <c r="K1760" i="5"/>
  <c r="L1760" i="5" s="1"/>
  <c r="N1761" i="5"/>
  <c r="M1760" i="5"/>
  <c r="M1759" i="5"/>
  <c r="M1758" i="5"/>
  <c r="K1761" i="5" l="1"/>
  <c r="L1761" i="5" s="1"/>
  <c r="N1762" i="5"/>
  <c r="M1761" i="5"/>
  <c r="G1762" i="5"/>
  <c r="F1763" i="5"/>
  <c r="H1762" i="5"/>
  <c r="J1762" i="5" s="1"/>
  <c r="I1762" i="5"/>
  <c r="N1763" i="5" l="1"/>
  <c r="K1762" i="5"/>
  <c r="L1762" i="5" s="1"/>
  <c r="F1764" i="5"/>
  <c r="G1763" i="5"/>
  <c r="H1763" i="5"/>
  <c r="I1763" i="5"/>
  <c r="J1763" i="5"/>
  <c r="M1762" i="5"/>
  <c r="K1763" i="5" l="1"/>
  <c r="L1763" i="5" s="1"/>
  <c r="N1764" i="5"/>
  <c r="M1763" i="5"/>
  <c r="F1765" i="5"/>
  <c r="G1764" i="5"/>
  <c r="H1764" i="5"/>
  <c r="I1764" i="5"/>
  <c r="J1764" i="5"/>
  <c r="K1764" i="5" l="1"/>
  <c r="L1764" i="5" s="1"/>
  <c r="N1765" i="5"/>
  <c r="F1766" i="5"/>
  <c r="G1765" i="5"/>
  <c r="H1765" i="5"/>
  <c r="I1765" i="5"/>
  <c r="J1765" i="5"/>
  <c r="M1764" i="5"/>
  <c r="K1765" i="5" l="1"/>
  <c r="L1765" i="5" s="1"/>
  <c r="N1766" i="5"/>
  <c r="F1767" i="5"/>
  <c r="G1766" i="5"/>
  <c r="H1766" i="5"/>
  <c r="I1766" i="5"/>
  <c r="J1766" i="5"/>
  <c r="M1765" i="5"/>
  <c r="K1766" i="5" l="1"/>
  <c r="L1766" i="5" s="1"/>
  <c r="N1767" i="5"/>
  <c r="F1768" i="5"/>
  <c r="G1767" i="5"/>
  <c r="H1767" i="5"/>
  <c r="I1767" i="5"/>
  <c r="J1767" i="5"/>
  <c r="M1766" i="5"/>
  <c r="K1767" i="5" l="1"/>
  <c r="L1767" i="5" s="1"/>
  <c r="N1768" i="5"/>
  <c r="F1769" i="5"/>
  <c r="G1768" i="5"/>
  <c r="H1768" i="5"/>
  <c r="I1768" i="5"/>
  <c r="J1768" i="5"/>
  <c r="M1767" i="5"/>
  <c r="K1768" i="5" l="1"/>
  <c r="L1768" i="5" s="1"/>
  <c r="N1769" i="5"/>
  <c r="F1770" i="5"/>
  <c r="I1769" i="5" s="1"/>
  <c r="G1769" i="5"/>
  <c r="H1769" i="5"/>
  <c r="J1769" i="5"/>
  <c r="M1768" i="5"/>
  <c r="K1769" i="5" l="1"/>
  <c r="L1769" i="5" s="1"/>
  <c r="N1770" i="5"/>
  <c r="F1771" i="5"/>
  <c r="G1770" i="5"/>
  <c r="H1770" i="5"/>
  <c r="I1770" i="5"/>
  <c r="J1770" i="5"/>
  <c r="M1769" i="5"/>
  <c r="K1770" i="5" l="1"/>
  <c r="L1770" i="5" s="1"/>
  <c r="N1771" i="5"/>
  <c r="F1772" i="5"/>
  <c r="G1771" i="5"/>
  <c r="H1771" i="5"/>
  <c r="I1771" i="5"/>
  <c r="J1771" i="5"/>
  <c r="M1770" i="5"/>
  <c r="N1772" i="5" l="1"/>
  <c r="K1771" i="5"/>
  <c r="L1771" i="5" s="1"/>
  <c r="F1773" i="5"/>
  <c r="G1772" i="5"/>
  <c r="H1772" i="5"/>
  <c r="I1772" i="5"/>
  <c r="J1772" i="5"/>
  <c r="M1771" i="5"/>
  <c r="K1772" i="5" l="1"/>
  <c r="L1772" i="5" s="1"/>
  <c r="N1773" i="5"/>
  <c r="F1774" i="5"/>
  <c r="H1773" i="5"/>
  <c r="G1773" i="5"/>
  <c r="J1773" i="5"/>
  <c r="I1773" i="5"/>
  <c r="M1772" i="5"/>
  <c r="K1773" i="5" l="1"/>
  <c r="L1773" i="5" s="1"/>
  <c r="N1774" i="5"/>
  <c r="F1775" i="5"/>
  <c r="G1774" i="5"/>
  <c r="H1774" i="5"/>
  <c r="I1774" i="5"/>
  <c r="J1774" i="5"/>
  <c r="M1773" i="5"/>
  <c r="K1774" i="5" l="1"/>
  <c r="L1774" i="5" s="1"/>
  <c r="N1775" i="5"/>
  <c r="F1776" i="5"/>
  <c r="H1775" i="5"/>
  <c r="G1775" i="5"/>
  <c r="I1775" i="5"/>
  <c r="J1775" i="5"/>
  <c r="M1774" i="5"/>
  <c r="K1775" i="5" l="1"/>
  <c r="L1775" i="5" s="1"/>
  <c r="N1776" i="5"/>
  <c r="F1777" i="5"/>
  <c r="G1776" i="5"/>
  <c r="H1776" i="5"/>
  <c r="I1776" i="5"/>
  <c r="J1776" i="5"/>
  <c r="M1775" i="5"/>
  <c r="K1776" i="5" l="1"/>
  <c r="L1776" i="5" s="1"/>
  <c r="N1777" i="5"/>
  <c r="F1778" i="5"/>
  <c r="G1777" i="5"/>
  <c r="H1777" i="5"/>
  <c r="I1777" i="5"/>
  <c r="J1777" i="5"/>
  <c r="M1776" i="5"/>
  <c r="K1777" i="5" l="1"/>
  <c r="L1777" i="5" s="1"/>
  <c r="N1778" i="5"/>
  <c r="G1778" i="5"/>
  <c r="H1778" i="5"/>
  <c r="F1779" i="5"/>
  <c r="I1778" i="5"/>
  <c r="J1778" i="5"/>
  <c r="M1777" i="5"/>
  <c r="K1778" i="5" l="1"/>
  <c r="L1778" i="5" s="1"/>
  <c r="N1779" i="5"/>
  <c r="G1779" i="5"/>
  <c r="F1780" i="5"/>
  <c r="H1779" i="5"/>
  <c r="I1779" i="5"/>
  <c r="J1779" i="5"/>
  <c r="M1778" i="5"/>
  <c r="F1781" i="5" l="1"/>
  <c r="G1780" i="5"/>
  <c r="I1780" i="5"/>
  <c r="J1780" i="5"/>
  <c r="H1780" i="5"/>
  <c r="K1779" i="5"/>
  <c r="L1779" i="5" s="1"/>
  <c r="N1780" i="5"/>
  <c r="M1779" i="5"/>
  <c r="K1780" i="5" l="1"/>
  <c r="L1780" i="5" s="1"/>
  <c r="N1781" i="5"/>
  <c r="F1782" i="5"/>
  <c r="G1781" i="5"/>
  <c r="I1781" i="5"/>
  <c r="H1781" i="5"/>
  <c r="J1781" i="5" s="1"/>
  <c r="K1781" i="5" l="1"/>
  <c r="L1781" i="5" s="1"/>
  <c r="N1782" i="5"/>
  <c r="M1781" i="5"/>
  <c r="F1783" i="5"/>
  <c r="G1782" i="5"/>
  <c r="I1782" i="5"/>
  <c r="J1782" i="5"/>
  <c r="H1782" i="5"/>
  <c r="M1780" i="5"/>
  <c r="K1782" i="5" l="1"/>
  <c r="L1782" i="5" s="1"/>
  <c r="N1783" i="5"/>
  <c r="F1784" i="5"/>
  <c r="G1783" i="5"/>
  <c r="H1783" i="5"/>
  <c r="J1783" i="5"/>
  <c r="I1783" i="5"/>
  <c r="M1782" i="5"/>
  <c r="K1783" i="5" l="1"/>
  <c r="L1783" i="5" s="1"/>
  <c r="N1784" i="5"/>
  <c r="F1785" i="5"/>
  <c r="G1784" i="5"/>
  <c r="H1784" i="5"/>
  <c r="J1784" i="5"/>
  <c r="I1784" i="5"/>
  <c r="M1783" i="5"/>
  <c r="K1784" i="5" l="1"/>
  <c r="L1784" i="5" s="1"/>
  <c r="N1785" i="5"/>
  <c r="F1786" i="5"/>
  <c r="G1785" i="5"/>
  <c r="H1785" i="5"/>
  <c r="I1785" i="5"/>
  <c r="J1785" i="5"/>
  <c r="M1784" i="5"/>
  <c r="K1785" i="5" l="1"/>
  <c r="L1785" i="5" s="1"/>
  <c r="N1786" i="5"/>
  <c r="F1787" i="5"/>
  <c r="H1786" i="5"/>
  <c r="G1786" i="5"/>
  <c r="I1786" i="5"/>
  <c r="J1786" i="5"/>
  <c r="M1785" i="5"/>
  <c r="K1786" i="5" l="1"/>
  <c r="L1786" i="5" s="1"/>
  <c r="N1787" i="5"/>
  <c r="F1788" i="5"/>
  <c r="G1787" i="5"/>
  <c r="H1787" i="5"/>
  <c r="I1787" i="5"/>
  <c r="J1787" i="5"/>
  <c r="M1786" i="5"/>
  <c r="K1787" i="5" l="1"/>
  <c r="L1787" i="5" s="1"/>
  <c r="N1788" i="5"/>
  <c r="F1789" i="5"/>
  <c r="G1788" i="5"/>
  <c r="H1788" i="5"/>
  <c r="I1788" i="5"/>
  <c r="J1788" i="5"/>
  <c r="M1787" i="5"/>
  <c r="K1788" i="5" l="1"/>
  <c r="L1788" i="5" s="1"/>
  <c r="N1789" i="5"/>
  <c r="F1790" i="5"/>
  <c r="G1789" i="5"/>
  <c r="H1789" i="5"/>
  <c r="I1789" i="5"/>
  <c r="J1789" i="5"/>
  <c r="M1788" i="5"/>
  <c r="F1791" i="5" l="1"/>
  <c r="H1790" i="5"/>
  <c r="G1790" i="5"/>
  <c r="I1790" i="5"/>
  <c r="J1790" i="5"/>
  <c r="K1789" i="5"/>
  <c r="L1789" i="5" s="1"/>
  <c r="N1790" i="5"/>
  <c r="M1789" i="5"/>
  <c r="K1790" i="5" l="1"/>
  <c r="L1790" i="5" s="1"/>
  <c r="N1791" i="5"/>
  <c r="F1792" i="5"/>
  <c r="G1791" i="5"/>
  <c r="H1791" i="5"/>
  <c r="J1791" i="5"/>
  <c r="F1793" i="5" l="1"/>
  <c r="G1792" i="5"/>
  <c r="H1792" i="5"/>
  <c r="I1792" i="5"/>
  <c r="J1792" i="5"/>
  <c r="K1791" i="5"/>
  <c r="L1791" i="5" s="1"/>
  <c r="N1792" i="5"/>
  <c r="I1791" i="5"/>
  <c r="M1790" i="5"/>
  <c r="K1792" i="5" l="1"/>
  <c r="L1792" i="5" s="1"/>
  <c r="N1793" i="5"/>
  <c r="M1791" i="5"/>
  <c r="F1794" i="5"/>
  <c r="G1793" i="5"/>
  <c r="H1793" i="5"/>
  <c r="J1793" i="5"/>
  <c r="N1794" i="5" l="1"/>
  <c r="K1793" i="5"/>
  <c r="L1793" i="5" s="1"/>
  <c r="F1795" i="5"/>
  <c r="G1794" i="5"/>
  <c r="H1794" i="5"/>
  <c r="I1794" i="5"/>
  <c r="J1794" i="5"/>
  <c r="I1793" i="5"/>
  <c r="M1792" i="5"/>
  <c r="F1796" i="5" l="1"/>
  <c r="G1795" i="5"/>
  <c r="H1795" i="5"/>
  <c r="I1795" i="5"/>
  <c r="J1795" i="5"/>
  <c r="N1795" i="5"/>
  <c r="K1794" i="5"/>
  <c r="L1794" i="5" s="1"/>
  <c r="M1794" i="5"/>
  <c r="M1793" i="5"/>
  <c r="N1796" i="5" l="1"/>
  <c r="K1795" i="5"/>
  <c r="L1795" i="5" s="1"/>
  <c r="F1797" i="5"/>
  <c r="G1796" i="5"/>
  <c r="H1796" i="5"/>
  <c r="I1796" i="5"/>
  <c r="J1796" i="5"/>
  <c r="K1796" i="5" l="1"/>
  <c r="L1796" i="5" s="1"/>
  <c r="N1797" i="5"/>
  <c r="F1798" i="5"/>
  <c r="G1797" i="5"/>
  <c r="H1797" i="5"/>
  <c r="I1797" i="5"/>
  <c r="J1797" i="5"/>
  <c r="M1796" i="5"/>
  <c r="M1795" i="5"/>
  <c r="K1797" i="5" l="1"/>
  <c r="L1797" i="5" s="1"/>
  <c r="N1798" i="5"/>
  <c r="F1799" i="5"/>
  <c r="G1798" i="5"/>
  <c r="H1798" i="5"/>
  <c r="I1798" i="5"/>
  <c r="J1798" i="5"/>
  <c r="M1797" i="5"/>
  <c r="K1798" i="5" l="1"/>
  <c r="L1798" i="5" s="1"/>
  <c r="N1799" i="5"/>
  <c r="F1800" i="5"/>
  <c r="G1799" i="5"/>
  <c r="H1799" i="5"/>
  <c r="I1799" i="5"/>
  <c r="J1799" i="5"/>
  <c r="M1798" i="5"/>
  <c r="K1799" i="5" l="1"/>
  <c r="L1799" i="5" s="1"/>
  <c r="N1800" i="5"/>
  <c r="F1801" i="5"/>
  <c r="G1800" i="5"/>
  <c r="H1800" i="5"/>
  <c r="I1800" i="5"/>
  <c r="J1800" i="5"/>
  <c r="M1799" i="5"/>
  <c r="K1800" i="5" l="1"/>
  <c r="L1800" i="5" s="1"/>
  <c r="N1801" i="5"/>
  <c r="F1802" i="5"/>
  <c r="G1801" i="5"/>
  <c r="I1801" i="5"/>
  <c r="H1801" i="5"/>
  <c r="J1801" i="5"/>
  <c r="M1800" i="5"/>
  <c r="K1801" i="5" l="1"/>
  <c r="L1801" i="5" s="1"/>
  <c r="N1802" i="5"/>
  <c r="F1803" i="5"/>
  <c r="H1802" i="5"/>
  <c r="G1802" i="5"/>
  <c r="I1802" i="5"/>
  <c r="J1802" i="5"/>
  <c r="M1801" i="5"/>
  <c r="K1802" i="5" l="1"/>
  <c r="L1802" i="5" s="1"/>
  <c r="N1803" i="5"/>
  <c r="G1803" i="5"/>
  <c r="F1804" i="5"/>
  <c r="H1803" i="5"/>
  <c r="I1803" i="5"/>
  <c r="J1803" i="5"/>
  <c r="M1802" i="5"/>
  <c r="K1803" i="5" l="1"/>
  <c r="L1803" i="5" s="1"/>
  <c r="N1804" i="5"/>
  <c r="F1805" i="5"/>
  <c r="G1804" i="5"/>
  <c r="I1804" i="5"/>
  <c r="H1804" i="5"/>
  <c r="J1804" i="5"/>
  <c r="M1803" i="5"/>
  <c r="K1804" i="5" l="1"/>
  <c r="L1804" i="5" s="1"/>
  <c r="N1805" i="5"/>
  <c r="F1806" i="5"/>
  <c r="G1805" i="5"/>
  <c r="H1805" i="5"/>
  <c r="J1805" i="5"/>
  <c r="I1805" i="5"/>
  <c r="M1804" i="5"/>
  <c r="K1805" i="5" l="1"/>
  <c r="L1805" i="5" s="1"/>
  <c r="N1806" i="5"/>
  <c r="F1807" i="5"/>
  <c r="G1806" i="5"/>
  <c r="H1806" i="5"/>
  <c r="J1806" i="5"/>
  <c r="I1806" i="5"/>
  <c r="M1805" i="5"/>
  <c r="K1806" i="5" l="1"/>
  <c r="L1806" i="5" s="1"/>
  <c r="N1807" i="5"/>
  <c r="F1808" i="5"/>
  <c r="G1807" i="5"/>
  <c r="H1807" i="5"/>
  <c r="J1807" i="5"/>
  <c r="I1807" i="5"/>
  <c r="M1806" i="5"/>
  <c r="K1807" i="5" l="1"/>
  <c r="L1807" i="5" s="1"/>
  <c r="N1808" i="5"/>
  <c r="F1809" i="5"/>
  <c r="G1808" i="5"/>
  <c r="H1808" i="5"/>
  <c r="I1808" i="5"/>
  <c r="J1808" i="5"/>
  <c r="M1807" i="5"/>
  <c r="K1808" i="5" l="1"/>
  <c r="L1808" i="5" s="1"/>
  <c r="N1809" i="5"/>
  <c r="F1810" i="5"/>
  <c r="G1809" i="5"/>
  <c r="H1809" i="5"/>
  <c r="I1809" i="5"/>
  <c r="J1809" i="5"/>
  <c r="M1808" i="5"/>
  <c r="K1809" i="5" l="1"/>
  <c r="L1809" i="5" s="1"/>
  <c r="N1810" i="5"/>
  <c r="F1811" i="5"/>
  <c r="H1810" i="5"/>
  <c r="G1810" i="5"/>
  <c r="I1810" i="5"/>
  <c r="J1810" i="5"/>
  <c r="M1809" i="5"/>
  <c r="K1810" i="5" l="1"/>
  <c r="L1810" i="5" s="1"/>
  <c r="N1811" i="5"/>
  <c r="F1812" i="5"/>
  <c r="G1811" i="5"/>
  <c r="H1811" i="5"/>
  <c r="I1811" i="5"/>
  <c r="J1811" i="5"/>
  <c r="M1810" i="5"/>
  <c r="K1811" i="5" l="1"/>
  <c r="L1811" i="5" s="1"/>
  <c r="N1812" i="5"/>
  <c r="F1813" i="5"/>
  <c r="G1812" i="5"/>
  <c r="H1812" i="5"/>
  <c r="I1812" i="5"/>
  <c r="J1812" i="5"/>
  <c r="M1811" i="5"/>
  <c r="K1812" i="5" l="1"/>
  <c r="L1812" i="5" s="1"/>
  <c r="N1813" i="5"/>
  <c r="F1814" i="5"/>
  <c r="G1813" i="5"/>
  <c r="I1813" i="5"/>
  <c r="H1813" i="5"/>
  <c r="J1813" i="5"/>
  <c r="M1812" i="5"/>
  <c r="K1813" i="5" l="1"/>
  <c r="L1813" i="5" s="1"/>
  <c r="N1814" i="5"/>
  <c r="F1815" i="5"/>
  <c r="G1814" i="5"/>
  <c r="H1814" i="5"/>
  <c r="I1814" i="5"/>
  <c r="J1814" i="5"/>
  <c r="M1813" i="5"/>
  <c r="K1814" i="5" l="1"/>
  <c r="L1814" i="5" s="1"/>
  <c r="N1815" i="5"/>
  <c r="F1816" i="5"/>
  <c r="H1815" i="5"/>
  <c r="G1815" i="5"/>
  <c r="J1815" i="5"/>
  <c r="I1815" i="5"/>
  <c r="M1814" i="5"/>
  <c r="F1817" i="5" l="1"/>
  <c r="G1816" i="5"/>
  <c r="H1816" i="5"/>
  <c r="I1816" i="5"/>
  <c r="J1816" i="5"/>
  <c r="K1815" i="5"/>
  <c r="L1815" i="5" s="1"/>
  <c r="N1816" i="5"/>
  <c r="M1815" i="5"/>
  <c r="N1817" i="5" l="1"/>
  <c r="K1816" i="5"/>
  <c r="L1816" i="5" s="1"/>
  <c r="F1818" i="5"/>
  <c r="H1817" i="5"/>
  <c r="I1817" i="5"/>
  <c r="G1817" i="5"/>
  <c r="J1817" i="5"/>
  <c r="K1817" i="5" l="1"/>
  <c r="L1817" i="5" s="1"/>
  <c r="N1818" i="5"/>
  <c r="F1819" i="5"/>
  <c r="H1818" i="5"/>
  <c r="G1818" i="5"/>
  <c r="I1818" i="5"/>
  <c r="J1818" i="5"/>
  <c r="M1817" i="5"/>
  <c r="M1816" i="5"/>
  <c r="F1820" i="5" l="1"/>
  <c r="G1819" i="5"/>
  <c r="H1819" i="5"/>
  <c r="I1819" i="5"/>
  <c r="J1819" i="5"/>
  <c r="K1818" i="5"/>
  <c r="L1818" i="5" s="1"/>
  <c r="N1819" i="5"/>
  <c r="M1818" i="5"/>
  <c r="K1819" i="5" l="1"/>
  <c r="L1819" i="5" s="1"/>
  <c r="N1820" i="5"/>
  <c r="F1821" i="5"/>
  <c r="G1820" i="5"/>
  <c r="H1820" i="5"/>
  <c r="I1820" i="5"/>
  <c r="J1820" i="5"/>
  <c r="K1820" i="5" l="1"/>
  <c r="L1820" i="5" s="1"/>
  <c r="N1821" i="5"/>
  <c r="F1822" i="5"/>
  <c r="G1821" i="5"/>
  <c r="H1821" i="5"/>
  <c r="I1821" i="5"/>
  <c r="J1821" i="5"/>
  <c r="M1820" i="5"/>
  <c r="M1819" i="5"/>
  <c r="F1823" i="5" l="1"/>
  <c r="G1822" i="5"/>
  <c r="I1822" i="5"/>
  <c r="H1822" i="5"/>
  <c r="J1822" i="5"/>
  <c r="K1821" i="5"/>
  <c r="L1821" i="5" s="1"/>
  <c r="N1822" i="5"/>
  <c r="M1821" i="5"/>
  <c r="K1822" i="5" l="1"/>
  <c r="L1822" i="5" s="1"/>
  <c r="N1823" i="5"/>
  <c r="F1824" i="5"/>
  <c r="G1823" i="5"/>
  <c r="I1823" i="5"/>
  <c r="H1823" i="5"/>
  <c r="J1823" i="5"/>
  <c r="K1823" i="5" l="1"/>
  <c r="L1823" i="5" s="1"/>
  <c r="N1824" i="5"/>
  <c r="F1825" i="5"/>
  <c r="G1824" i="5"/>
  <c r="H1824" i="5"/>
  <c r="J1824" i="5"/>
  <c r="M1823" i="5"/>
  <c r="M1822" i="5"/>
  <c r="K1824" i="5" l="1"/>
  <c r="L1824" i="5" s="1"/>
  <c r="N1825" i="5"/>
  <c r="F1826" i="5"/>
  <c r="G1825" i="5"/>
  <c r="H1825" i="5"/>
  <c r="J1825" i="5"/>
  <c r="I1825" i="5"/>
  <c r="I1824" i="5"/>
  <c r="M1824" i="5"/>
  <c r="F1827" i="5" l="1"/>
  <c r="G1826" i="5"/>
  <c r="H1826" i="5"/>
  <c r="J1826" i="5"/>
  <c r="I1826" i="5"/>
  <c r="K1825" i="5"/>
  <c r="L1825" i="5" s="1"/>
  <c r="N1826" i="5"/>
  <c r="M1825" i="5"/>
  <c r="N1827" i="5" l="1"/>
  <c r="K1826" i="5"/>
  <c r="L1826" i="5" s="1"/>
  <c r="M1826" i="5"/>
  <c r="F1828" i="5"/>
  <c r="G1827" i="5"/>
  <c r="H1827" i="5"/>
  <c r="I1827" i="5"/>
  <c r="J1827" i="5"/>
  <c r="K1827" i="5" l="1"/>
  <c r="L1827" i="5" s="1"/>
  <c r="N1828" i="5"/>
  <c r="F1829" i="5"/>
  <c r="G1828" i="5"/>
  <c r="H1828" i="5"/>
  <c r="I1828" i="5"/>
  <c r="J1828" i="5"/>
  <c r="M1827" i="5"/>
  <c r="F1830" i="5" l="1"/>
  <c r="G1829" i="5"/>
  <c r="H1829" i="5"/>
  <c r="I1829" i="5"/>
  <c r="J1829" i="5"/>
  <c r="K1828" i="5"/>
  <c r="L1828" i="5" s="1"/>
  <c r="N1829" i="5"/>
  <c r="M1828" i="5"/>
  <c r="K1829" i="5" l="1"/>
  <c r="L1829" i="5" s="1"/>
  <c r="N1830" i="5"/>
  <c r="H1830" i="5"/>
  <c r="G1830" i="5"/>
  <c r="F1831" i="5"/>
  <c r="J1830" i="5" s="1"/>
  <c r="K1830" i="5" l="1"/>
  <c r="L1830" i="5" s="1"/>
  <c r="N1831" i="5"/>
  <c r="F1832" i="5"/>
  <c r="G1831" i="5"/>
  <c r="H1831" i="5"/>
  <c r="I1831" i="5"/>
  <c r="J1831" i="5"/>
  <c r="I1830" i="5"/>
  <c r="M1830" i="5"/>
  <c r="M1829" i="5"/>
  <c r="K1831" i="5" l="1"/>
  <c r="L1831" i="5" s="1"/>
  <c r="N1832" i="5"/>
  <c r="F1833" i="5"/>
  <c r="G1832" i="5"/>
  <c r="H1832" i="5"/>
  <c r="I1832" i="5"/>
  <c r="J1832" i="5"/>
  <c r="M1831" i="5"/>
  <c r="K1832" i="5" l="1"/>
  <c r="L1832" i="5" s="1"/>
  <c r="N1833" i="5"/>
  <c r="F1834" i="5"/>
  <c r="G1833" i="5"/>
  <c r="I1833" i="5"/>
  <c r="H1833" i="5"/>
  <c r="J1833" i="5"/>
  <c r="M1832" i="5"/>
  <c r="K1833" i="5" l="1"/>
  <c r="L1833" i="5" s="1"/>
  <c r="N1834" i="5"/>
  <c r="G1834" i="5"/>
  <c r="H1834" i="5"/>
  <c r="F1835" i="5"/>
  <c r="M1833" i="5"/>
  <c r="F1836" i="5" l="1"/>
  <c r="G1835" i="5"/>
  <c r="H1835" i="5"/>
  <c r="I1835" i="5"/>
  <c r="J1835" i="5"/>
  <c r="J1834" i="5"/>
  <c r="I1834" i="5"/>
  <c r="K1834" i="5" l="1"/>
  <c r="L1834" i="5" s="1"/>
  <c r="N1835" i="5"/>
  <c r="N1836" i="5"/>
  <c r="K1835" i="5"/>
  <c r="L1835" i="5" s="1"/>
  <c r="F1837" i="5"/>
  <c r="G1836" i="5"/>
  <c r="H1836" i="5"/>
  <c r="I1836" i="5"/>
  <c r="F1838" i="5" l="1"/>
  <c r="G1837" i="5"/>
  <c r="H1837" i="5"/>
  <c r="J1837" i="5"/>
  <c r="I1837" i="5"/>
  <c r="J1836" i="5"/>
  <c r="M1835" i="5"/>
  <c r="M1834" i="5"/>
  <c r="N1837" i="5" l="1"/>
  <c r="K1836" i="5"/>
  <c r="L1836" i="5" s="1"/>
  <c r="N1838" i="5"/>
  <c r="K1837" i="5"/>
  <c r="L1837" i="5" s="1"/>
  <c r="F1839" i="5"/>
  <c r="G1838" i="5"/>
  <c r="H1838" i="5"/>
  <c r="I1838" i="5"/>
  <c r="F1840" i="5" l="1"/>
  <c r="G1839" i="5"/>
  <c r="H1839" i="5"/>
  <c r="I1839" i="5"/>
  <c r="J1839" i="5"/>
  <c r="M1837" i="5"/>
  <c r="M1836" i="5"/>
  <c r="J1838" i="5"/>
  <c r="F1841" i="5" l="1"/>
  <c r="G1840" i="5"/>
  <c r="H1840" i="5"/>
  <c r="I1840" i="5"/>
  <c r="J1840" i="5"/>
  <c r="K1839" i="5"/>
  <c r="L1839" i="5" s="1"/>
  <c r="N1840" i="5"/>
  <c r="K1838" i="5"/>
  <c r="L1838" i="5" s="1"/>
  <c r="N1839" i="5"/>
  <c r="M1839" i="5" l="1"/>
  <c r="M1838" i="5"/>
  <c r="K1840" i="5"/>
  <c r="L1840" i="5" s="1"/>
  <c r="M1840" i="5" s="1"/>
  <c r="N1841" i="5"/>
  <c r="F1842" i="5"/>
  <c r="G1841" i="5"/>
  <c r="H1841" i="5"/>
  <c r="F1843" i="5" l="1"/>
  <c r="G1842" i="5"/>
  <c r="H1842" i="5"/>
  <c r="I1842" i="5"/>
  <c r="J1842" i="5"/>
  <c r="J1841" i="5"/>
  <c r="I1841" i="5"/>
  <c r="K1841" i="5" l="1"/>
  <c r="L1841" i="5" s="1"/>
  <c r="N1842" i="5"/>
  <c r="K1842" i="5"/>
  <c r="L1842" i="5" s="1"/>
  <c r="N1843" i="5"/>
  <c r="F1844" i="5"/>
  <c r="G1843" i="5"/>
  <c r="H1843" i="5"/>
  <c r="I1843" i="5"/>
  <c r="F1845" i="5" l="1"/>
  <c r="G1844" i="5"/>
  <c r="I1844" i="5"/>
  <c r="H1844" i="5"/>
  <c r="J1844" i="5"/>
  <c r="J1843" i="5"/>
  <c r="M1842" i="5"/>
  <c r="M1841" i="5"/>
  <c r="K1843" i="5" l="1"/>
  <c r="L1843" i="5" s="1"/>
  <c r="N1844" i="5"/>
  <c r="K1844" i="5"/>
  <c r="L1844" i="5" s="1"/>
  <c r="N1845" i="5"/>
  <c r="F1846" i="5"/>
  <c r="G1845" i="5"/>
  <c r="I1845" i="5"/>
  <c r="H1845" i="5"/>
  <c r="F1847" i="5" l="1"/>
  <c r="H1846" i="5"/>
  <c r="G1846" i="5"/>
  <c r="I1846" i="5"/>
  <c r="J1846" i="5"/>
  <c r="J1845" i="5"/>
  <c r="M1844" i="5"/>
  <c r="M1843" i="5"/>
  <c r="K1845" i="5" l="1"/>
  <c r="L1845" i="5" s="1"/>
  <c r="N1846" i="5"/>
  <c r="K1846" i="5"/>
  <c r="L1846" i="5" s="1"/>
  <c r="N1847" i="5"/>
  <c r="F1848" i="5"/>
  <c r="H1847" i="5"/>
  <c r="G1847" i="5"/>
  <c r="J1847" i="5"/>
  <c r="K1847" i="5" l="1"/>
  <c r="L1847" i="5" s="1"/>
  <c r="N1848" i="5"/>
  <c r="F1849" i="5"/>
  <c r="G1848" i="5"/>
  <c r="H1848" i="5"/>
  <c r="J1848" i="5"/>
  <c r="I1848" i="5"/>
  <c r="M1847" i="5"/>
  <c r="I1847" i="5"/>
  <c r="M1846" i="5"/>
  <c r="M1845" i="5"/>
  <c r="N1849" i="5" l="1"/>
  <c r="K1848" i="5"/>
  <c r="L1848" i="5" s="1"/>
  <c r="F1850" i="5"/>
  <c r="G1849" i="5"/>
  <c r="H1849" i="5"/>
  <c r="I1849" i="5"/>
  <c r="J1849" i="5"/>
  <c r="M1848" i="5"/>
  <c r="K1849" i="5" l="1"/>
  <c r="L1849" i="5" s="1"/>
  <c r="N1850" i="5"/>
  <c r="F1851" i="5"/>
  <c r="H1850" i="5"/>
  <c r="G1850" i="5"/>
  <c r="I1850" i="5"/>
  <c r="J1850" i="5"/>
  <c r="M1849" i="5"/>
  <c r="K1850" i="5" l="1"/>
  <c r="L1850" i="5" s="1"/>
  <c r="N1851" i="5"/>
  <c r="F1852" i="5"/>
  <c r="G1851" i="5"/>
  <c r="H1851" i="5"/>
  <c r="I1851" i="5"/>
  <c r="J1851" i="5"/>
  <c r="M1850" i="5"/>
  <c r="K1851" i="5" l="1"/>
  <c r="L1851" i="5" s="1"/>
  <c r="N1852" i="5"/>
  <c r="F1853" i="5"/>
  <c r="G1852" i="5"/>
  <c r="H1852" i="5"/>
  <c r="I1852" i="5"/>
  <c r="J1852" i="5"/>
  <c r="M1851" i="5"/>
  <c r="K1852" i="5" l="1"/>
  <c r="L1852" i="5" s="1"/>
  <c r="N1853" i="5"/>
  <c r="F1854" i="5"/>
  <c r="G1853" i="5"/>
  <c r="H1853" i="5"/>
  <c r="I1853" i="5"/>
  <c r="J1853" i="5"/>
  <c r="M1852" i="5"/>
  <c r="K1853" i="5" l="1"/>
  <c r="L1853" i="5" s="1"/>
  <c r="N1854" i="5"/>
  <c r="F1855" i="5"/>
  <c r="G1854" i="5"/>
  <c r="H1854" i="5"/>
  <c r="I1854" i="5"/>
  <c r="J1854" i="5"/>
  <c r="M1853" i="5"/>
  <c r="K1854" i="5" l="1"/>
  <c r="L1854" i="5" s="1"/>
  <c r="N1855" i="5"/>
  <c r="F1856" i="5"/>
  <c r="G1855" i="5"/>
  <c r="I1855" i="5"/>
  <c r="H1855" i="5"/>
  <c r="J1855" i="5"/>
  <c r="M1854" i="5"/>
  <c r="K1855" i="5" l="1"/>
  <c r="L1855" i="5" s="1"/>
  <c r="N1856" i="5"/>
  <c r="F1857" i="5"/>
  <c r="G1856" i="5"/>
  <c r="H1856" i="5"/>
  <c r="I1856" i="5"/>
  <c r="J1856" i="5"/>
  <c r="M1855" i="5"/>
  <c r="K1856" i="5" l="1"/>
  <c r="L1856" i="5" s="1"/>
  <c r="N1857" i="5"/>
  <c r="F1858" i="5"/>
  <c r="H1857" i="5"/>
  <c r="G1857" i="5"/>
  <c r="J1857" i="5"/>
  <c r="I1857" i="5"/>
  <c r="M1856" i="5"/>
  <c r="N1858" i="5" l="1"/>
  <c r="K1857" i="5"/>
  <c r="L1857" i="5" s="1"/>
  <c r="G1858" i="5"/>
  <c r="F1859" i="5"/>
  <c r="H1858" i="5"/>
  <c r="I1858" i="5"/>
  <c r="J1858" i="5"/>
  <c r="M1857" i="5"/>
  <c r="F1860" i="5" l="1"/>
  <c r="G1859" i="5"/>
  <c r="H1859" i="5"/>
  <c r="I1859" i="5"/>
  <c r="J1859" i="5"/>
  <c r="N1859" i="5"/>
  <c r="K1858" i="5"/>
  <c r="L1858" i="5" s="1"/>
  <c r="M1858" i="5" l="1"/>
  <c r="N1860" i="5"/>
  <c r="K1859" i="5"/>
  <c r="L1859" i="5" s="1"/>
  <c r="F1861" i="5"/>
  <c r="G1860" i="5"/>
  <c r="H1860" i="5"/>
  <c r="I1860" i="5"/>
  <c r="F1862" i="5" l="1"/>
  <c r="G1861" i="5"/>
  <c r="H1861" i="5"/>
  <c r="I1861" i="5"/>
  <c r="J1861" i="5"/>
  <c r="J1860" i="5"/>
  <c r="M1859" i="5"/>
  <c r="K1860" i="5" l="1"/>
  <c r="L1860" i="5" s="1"/>
  <c r="N1861" i="5"/>
  <c r="N1862" i="5" s="1"/>
  <c r="K1861" i="5"/>
  <c r="F1863" i="5"/>
  <c r="G1862" i="5"/>
  <c r="H1862" i="5"/>
  <c r="I1862" i="5"/>
  <c r="J1862" i="5"/>
  <c r="M1860" i="5" l="1"/>
  <c r="F1864" i="5"/>
  <c r="G1863" i="5"/>
  <c r="H1863" i="5"/>
  <c r="I1863" i="5"/>
  <c r="J1863" i="5"/>
  <c r="K1862" i="5"/>
  <c r="N1863" i="5"/>
  <c r="L1861" i="5"/>
  <c r="M1861" i="5" s="1"/>
  <c r="K1863" i="5" l="1"/>
  <c r="L1863" i="5" s="1"/>
  <c r="N1864" i="5"/>
  <c r="L1862" i="5"/>
  <c r="F1865" i="5"/>
  <c r="G1864" i="5"/>
  <c r="H1864" i="5"/>
  <c r="F1866" i="5" l="1"/>
  <c r="I1865" i="5" s="1"/>
  <c r="G1865" i="5"/>
  <c r="H1865" i="5"/>
  <c r="J1864" i="5"/>
  <c r="I1864" i="5"/>
  <c r="M1863" i="5"/>
  <c r="M1862" i="5"/>
  <c r="K1864" i="5" l="1"/>
  <c r="L1864" i="5" s="1"/>
  <c r="N1865" i="5"/>
  <c r="J1865" i="5"/>
  <c r="F1867" i="5"/>
  <c r="H1866" i="5"/>
  <c r="G1866" i="5"/>
  <c r="I1866" i="5"/>
  <c r="J1866" i="5"/>
  <c r="K1866" i="5" l="1"/>
  <c r="N1867" i="5"/>
  <c r="F1868" i="5"/>
  <c r="G1867" i="5"/>
  <c r="H1867" i="5"/>
  <c r="I1867" i="5"/>
  <c r="J1867" i="5"/>
  <c r="K1865" i="5"/>
  <c r="L1865" i="5" s="1"/>
  <c r="N1866" i="5"/>
  <c r="M1864" i="5"/>
  <c r="K1867" i="5" l="1"/>
  <c r="N1868" i="5"/>
  <c r="G1868" i="5"/>
  <c r="F1869" i="5"/>
  <c r="H1868" i="5"/>
  <c r="M1865" i="5"/>
  <c r="L1866" i="5"/>
  <c r="M1866" i="5" s="1"/>
  <c r="F1870" i="5" l="1"/>
  <c r="G1869" i="5"/>
  <c r="H1869" i="5"/>
  <c r="J1869" i="5"/>
  <c r="I1869" i="5"/>
  <c r="J1868" i="5"/>
  <c r="I1868" i="5"/>
  <c r="M1867" i="5"/>
  <c r="L1867" i="5"/>
  <c r="K1869" i="5" l="1"/>
  <c r="K1868" i="5"/>
  <c r="L1868" i="5" s="1"/>
  <c r="N1869" i="5"/>
  <c r="N1870" i="5" s="1"/>
  <c r="F1871" i="5"/>
  <c r="G1870" i="5"/>
  <c r="H1870" i="5"/>
  <c r="F1872" i="5" l="1"/>
  <c r="G1871" i="5"/>
  <c r="H1871" i="5"/>
  <c r="I1871" i="5"/>
  <c r="J1871" i="5"/>
  <c r="M1868" i="5"/>
  <c r="I1870" i="5"/>
  <c r="J1870" i="5"/>
  <c r="L1869" i="5"/>
  <c r="K1871" i="5" l="1"/>
  <c r="M1870" i="5"/>
  <c r="F1873" i="5"/>
  <c r="H1872" i="5"/>
  <c r="G1872" i="5"/>
  <c r="K1870" i="5"/>
  <c r="L1870" i="5" s="1"/>
  <c r="N1871" i="5"/>
  <c r="N1872" i="5" s="1"/>
  <c r="M1869" i="5"/>
  <c r="F1874" i="5" l="1"/>
  <c r="G1873" i="5"/>
  <c r="H1873" i="5"/>
  <c r="I1873" i="5"/>
  <c r="J1873" i="5"/>
  <c r="J1872" i="5"/>
  <c r="I1872" i="5"/>
  <c r="M1871" i="5"/>
  <c r="L1871" i="5"/>
  <c r="K1873" i="5" l="1"/>
  <c r="L1873" i="5" s="1"/>
  <c r="N1874" i="5"/>
  <c r="K1872" i="5"/>
  <c r="L1872" i="5" s="1"/>
  <c r="M1873" i="5" s="1"/>
  <c r="N1873" i="5"/>
  <c r="M1872" i="5"/>
  <c r="F1875" i="5"/>
  <c r="H1874" i="5"/>
  <c r="G1874" i="5"/>
  <c r="F1876" i="5" l="1"/>
  <c r="G1875" i="5"/>
  <c r="H1875" i="5"/>
  <c r="I1875" i="5"/>
  <c r="J1875" i="5"/>
  <c r="I1874" i="5"/>
  <c r="J1874" i="5"/>
  <c r="K1874" i="5" l="1"/>
  <c r="L1874" i="5" s="1"/>
  <c r="N1875" i="5"/>
  <c r="K1875" i="5"/>
  <c r="L1875" i="5" s="1"/>
  <c r="N1876" i="5"/>
  <c r="F1877" i="5"/>
  <c r="G1876" i="5"/>
  <c r="H1876" i="5"/>
  <c r="I1876" i="5"/>
  <c r="F1878" i="5" l="1"/>
  <c r="I1877" i="5" s="1"/>
  <c r="H1877" i="5"/>
  <c r="G1877" i="5"/>
  <c r="J1877" i="5"/>
  <c r="J1876" i="5"/>
  <c r="M1875" i="5"/>
  <c r="M1874" i="5"/>
  <c r="K1877" i="5" l="1"/>
  <c r="K1876" i="5"/>
  <c r="L1876" i="5" s="1"/>
  <c r="N1877" i="5"/>
  <c r="N1878" i="5" s="1"/>
  <c r="F1879" i="5"/>
  <c r="G1878" i="5"/>
  <c r="H1878" i="5"/>
  <c r="I1878" i="5"/>
  <c r="M1876" i="5" l="1"/>
  <c r="F1880" i="5"/>
  <c r="G1879" i="5"/>
  <c r="H1879" i="5"/>
  <c r="J1879" i="5"/>
  <c r="I1879" i="5"/>
  <c r="J1878" i="5"/>
  <c r="L1877" i="5"/>
  <c r="K1879" i="5" l="1"/>
  <c r="K1878" i="5"/>
  <c r="L1878" i="5" s="1"/>
  <c r="N1879" i="5"/>
  <c r="N1880" i="5" s="1"/>
  <c r="F1881" i="5"/>
  <c r="G1880" i="5"/>
  <c r="H1880" i="5"/>
  <c r="I1880" i="5"/>
  <c r="M1877" i="5"/>
  <c r="F1882" i="5" l="1"/>
  <c r="G1881" i="5"/>
  <c r="H1881" i="5"/>
  <c r="I1881" i="5"/>
  <c r="J1881" i="5"/>
  <c r="M1878" i="5"/>
  <c r="J1880" i="5"/>
  <c r="L1879" i="5"/>
  <c r="N1881" i="5" l="1"/>
  <c r="K1880" i="5"/>
  <c r="L1880" i="5" s="1"/>
  <c r="N1882" i="5"/>
  <c r="K1881" i="5"/>
  <c r="L1881" i="5" s="1"/>
  <c r="G1882" i="5"/>
  <c r="H1882" i="5"/>
  <c r="F1883" i="5"/>
  <c r="M1880" i="5"/>
  <c r="M1879" i="5"/>
  <c r="G1883" i="5" l="1"/>
  <c r="F1884" i="5"/>
  <c r="H1883" i="5"/>
  <c r="I1883" i="5"/>
  <c r="J1883" i="5"/>
  <c r="I1882" i="5"/>
  <c r="M1881" i="5"/>
  <c r="J1882" i="5"/>
  <c r="F1885" i="5" l="1"/>
  <c r="G1884" i="5"/>
  <c r="H1884" i="5"/>
  <c r="I1884" i="5"/>
  <c r="J1884" i="5"/>
  <c r="K1883" i="5"/>
  <c r="N1884" i="5"/>
  <c r="K1882" i="5"/>
  <c r="L1882" i="5" s="1"/>
  <c r="N1883" i="5"/>
  <c r="M1882" i="5" l="1"/>
  <c r="K1884" i="5"/>
  <c r="L1884" i="5" s="1"/>
  <c r="N1885" i="5"/>
  <c r="L1883" i="5"/>
  <c r="F1886" i="5"/>
  <c r="G1885" i="5"/>
  <c r="H1885" i="5"/>
  <c r="F1887" i="5" l="1"/>
  <c r="G1886" i="5"/>
  <c r="H1886" i="5"/>
  <c r="I1886" i="5"/>
  <c r="J1886" i="5"/>
  <c r="M1884" i="5"/>
  <c r="J1885" i="5"/>
  <c r="I1885" i="5"/>
  <c r="M1883" i="5"/>
  <c r="K1886" i="5" l="1"/>
  <c r="K1885" i="5"/>
  <c r="L1885" i="5" s="1"/>
  <c r="N1886" i="5"/>
  <c r="N1887" i="5" s="1"/>
  <c r="F1888" i="5"/>
  <c r="I1887" i="5" s="1"/>
  <c r="G1887" i="5"/>
  <c r="H1887" i="5"/>
  <c r="M1885" i="5" l="1"/>
  <c r="F1889" i="5"/>
  <c r="G1888" i="5"/>
  <c r="H1888" i="5"/>
  <c r="I1888" i="5"/>
  <c r="J1888" i="5"/>
  <c r="J1887" i="5"/>
  <c r="L1886" i="5"/>
  <c r="K1888" i="5" l="1"/>
  <c r="N1889" i="5"/>
  <c r="F1890" i="5"/>
  <c r="G1889" i="5"/>
  <c r="H1889" i="5"/>
  <c r="J1889" i="5"/>
  <c r="I1889" i="5"/>
  <c r="K1887" i="5"/>
  <c r="L1887" i="5" s="1"/>
  <c r="N1888" i="5"/>
  <c r="M1886" i="5"/>
  <c r="F1891" i="5" l="1"/>
  <c r="G1890" i="5"/>
  <c r="H1890" i="5"/>
  <c r="J1890" i="5"/>
  <c r="I1890" i="5"/>
  <c r="K1889" i="5"/>
  <c r="L1889" i="5" s="1"/>
  <c r="N1890" i="5"/>
  <c r="M1887" i="5"/>
  <c r="L1888" i="5"/>
  <c r="N1891" i="5" l="1"/>
  <c r="K1890" i="5"/>
  <c r="L1890" i="5" s="1"/>
  <c r="M1890" i="5"/>
  <c r="M1889" i="5"/>
  <c r="F1892" i="5"/>
  <c r="G1891" i="5"/>
  <c r="H1891" i="5"/>
  <c r="I1891" i="5"/>
  <c r="M1888" i="5"/>
  <c r="F1893" i="5" l="1"/>
  <c r="G1892" i="5"/>
  <c r="H1892" i="5"/>
  <c r="J1892" i="5" s="1"/>
  <c r="I1892" i="5"/>
  <c r="J1891" i="5"/>
  <c r="K1892" i="5" l="1"/>
  <c r="L1892" i="5" s="1"/>
  <c r="N1893" i="5"/>
  <c r="K1891" i="5"/>
  <c r="L1891" i="5" s="1"/>
  <c r="N1892" i="5"/>
  <c r="F1894" i="5"/>
  <c r="J1893" i="5" s="1"/>
  <c r="G1893" i="5"/>
  <c r="H1893" i="5"/>
  <c r="K1893" i="5" l="1"/>
  <c r="L1893" i="5" s="1"/>
  <c r="N1894" i="5"/>
  <c r="M1892" i="5"/>
  <c r="M1891" i="5"/>
  <c r="F1895" i="5"/>
  <c r="G1894" i="5"/>
  <c r="H1894" i="5"/>
  <c r="I1894" i="5"/>
  <c r="I1893" i="5"/>
  <c r="M1893" i="5"/>
  <c r="F1896" i="5" l="1"/>
  <c r="G1895" i="5"/>
  <c r="H1895" i="5"/>
  <c r="I1895" i="5"/>
  <c r="J1895" i="5"/>
  <c r="J1894" i="5"/>
  <c r="K1894" i="5" l="1"/>
  <c r="L1894" i="5" s="1"/>
  <c r="N1895" i="5"/>
  <c r="K1895" i="5"/>
  <c r="L1895" i="5" s="1"/>
  <c r="N1896" i="5"/>
  <c r="F1897" i="5"/>
  <c r="G1896" i="5"/>
  <c r="H1896" i="5"/>
  <c r="I1896" i="5"/>
  <c r="F1898" i="5" l="1"/>
  <c r="G1897" i="5"/>
  <c r="I1897" i="5"/>
  <c r="H1897" i="5"/>
  <c r="J1897" i="5" s="1"/>
  <c r="J1896" i="5"/>
  <c r="M1895" i="5"/>
  <c r="M1894" i="5"/>
  <c r="K1897" i="5" l="1"/>
  <c r="L1897" i="5" s="1"/>
  <c r="N1898" i="5"/>
  <c r="K1896" i="5"/>
  <c r="L1896" i="5" s="1"/>
  <c r="N1897" i="5"/>
  <c r="F1899" i="5"/>
  <c r="G1898" i="5"/>
  <c r="H1898" i="5"/>
  <c r="I1898" i="5"/>
  <c r="M1897" i="5" l="1"/>
  <c r="M1896" i="5"/>
  <c r="F1900" i="5"/>
  <c r="G1899" i="5"/>
  <c r="H1899" i="5"/>
  <c r="I1899" i="5"/>
  <c r="J1899" i="5"/>
  <c r="J1898" i="5"/>
  <c r="K1899" i="5" l="1"/>
  <c r="F1901" i="5"/>
  <c r="G1900" i="5"/>
  <c r="H1900" i="5"/>
  <c r="I1900" i="5"/>
  <c r="J1900" i="5"/>
  <c r="K1898" i="5"/>
  <c r="L1898" i="5" s="1"/>
  <c r="N1899" i="5"/>
  <c r="N1900" i="5" s="1"/>
  <c r="M1898" i="5" l="1"/>
  <c r="F1902" i="5"/>
  <c r="H1901" i="5"/>
  <c r="G1901" i="5"/>
  <c r="J1901" i="5"/>
  <c r="I1901" i="5"/>
  <c r="K1900" i="5"/>
  <c r="L1900" i="5" s="1"/>
  <c r="N1901" i="5"/>
  <c r="L1899" i="5"/>
  <c r="K1901" i="5" l="1"/>
  <c r="L1901" i="5" s="1"/>
  <c r="N1902" i="5"/>
  <c r="F1903" i="5"/>
  <c r="G1902" i="5"/>
  <c r="H1902" i="5"/>
  <c r="J1902" i="5" s="1"/>
  <c r="I1902" i="5"/>
  <c r="M1900" i="5"/>
  <c r="M1899" i="5"/>
  <c r="K1902" i="5" l="1"/>
  <c r="L1902" i="5" s="1"/>
  <c r="N1903" i="5"/>
  <c r="F1904" i="5"/>
  <c r="H1903" i="5"/>
  <c r="G1903" i="5"/>
  <c r="I1903" i="5"/>
  <c r="J1903" i="5"/>
  <c r="M1902" i="5"/>
  <c r="M1901" i="5"/>
  <c r="K1903" i="5" l="1"/>
  <c r="L1903" i="5" s="1"/>
  <c r="N1904" i="5"/>
  <c r="F1905" i="5"/>
  <c r="H1904" i="5"/>
  <c r="G1904" i="5"/>
  <c r="I1904" i="5"/>
  <c r="J1904" i="5"/>
  <c r="M1903" i="5"/>
  <c r="F1906" i="5" l="1"/>
  <c r="G1905" i="5"/>
  <c r="H1905" i="5"/>
  <c r="I1905" i="5"/>
  <c r="J1905" i="5"/>
  <c r="K1904" i="5"/>
  <c r="L1904" i="5" s="1"/>
  <c r="N1905" i="5"/>
  <c r="M1904" i="5"/>
  <c r="K1905" i="5" l="1"/>
  <c r="L1905" i="5" s="1"/>
  <c r="N1906" i="5"/>
  <c r="F1907" i="5"/>
  <c r="G1906" i="5"/>
  <c r="H1906" i="5"/>
  <c r="J1906" i="5" s="1"/>
  <c r="I1906" i="5"/>
  <c r="K1906" i="5" l="1"/>
  <c r="L1906" i="5" s="1"/>
  <c r="N1907" i="5"/>
  <c r="F1908" i="5"/>
  <c r="G1907" i="5"/>
  <c r="H1907" i="5"/>
  <c r="I1907" i="5"/>
  <c r="J1907" i="5"/>
  <c r="M1906" i="5"/>
  <c r="M1905" i="5"/>
  <c r="F1909" i="5" l="1"/>
  <c r="G1908" i="5"/>
  <c r="I1908" i="5"/>
  <c r="J1908" i="5"/>
  <c r="H1908" i="5"/>
  <c r="K1907" i="5"/>
  <c r="L1907" i="5" s="1"/>
  <c r="N1908" i="5"/>
  <c r="M1907" i="5"/>
  <c r="K1908" i="5" l="1"/>
  <c r="L1908" i="5" s="1"/>
  <c r="N1909" i="5"/>
  <c r="F1910" i="5"/>
  <c r="G1909" i="5"/>
  <c r="I1909" i="5"/>
  <c r="H1909" i="5"/>
  <c r="J1909" i="5"/>
  <c r="K1909" i="5" l="1"/>
  <c r="L1909" i="5" s="1"/>
  <c r="N1910" i="5"/>
  <c r="F1911" i="5"/>
  <c r="G1910" i="5"/>
  <c r="I1910" i="5"/>
  <c r="H1910" i="5"/>
  <c r="J1910" i="5"/>
  <c r="M1909" i="5"/>
  <c r="M1908" i="5"/>
  <c r="K1910" i="5" l="1"/>
  <c r="L1910" i="5" s="1"/>
  <c r="N1911" i="5"/>
  <c r="F1912" i="5"/>
  <c r="G1911" i="5"/>
  <c r="H1911" i="5"/>
  <c r="J1911" i="5"/>
  <c r="I1911" i="5"/>
  <c r="M1910" i="5"/>
  <c r="K1911" i="5" l="1"/>
  <c r="L1911" i="5" s="1"/>
  <c r="N1912" i="5"/>
  <c r="F1913" i="5"/>
  <c r="G1912" i="5"/>
  <c r="H1912" i="5"/>
  <c r="J1912" i="5"/>
  <c r="I1912" i="5"/>
  <c r="M1911" i="5"/>
  <c r="K1912" i="5" l="1"/>
  <c r="L1912" i="5" s="1"/>
  <c r="N1913" i="5"/>
  <c r="F1914" i="5"/>
  <c r="G1913" i="5"/>
  <c r="H1913" i="5"/>
  <c r="I1913" i="5"/>
  <c r="J1913" i="5"/>
  <c r="M1912" i="5"/>
  <c r="F1915" i="5" l="1"/>
  <c r="H1914" i="5"/>
  <c r="G1914" i="5"/>
  <c r="I1914" i="5"/>
  <c r="J1914" i="5"/>
  <c r="K1913" i="5"/>
  <c r="L1913" i="5" s="1"/>
  <c r="N1914" i="5"/>
  <c r="M1913" i="5"/>
  <c r="K1914" i="5" l="1"/>
  <c r="L1914" i="5" s="1"/>
  <c r="N1915" i="5"/>
  <c r="F1916" i="5"/>
  <c r="G1915" i="5"/>
  <c r="H1915" i="5"/>
  <c r="I1915" i="5"/>
  <c r="J1915" i="5"/>
  <c r="K1915" i="5" l="1"/>
  <c r="L1915" i="5" s="1"/>
  <c r="N1916" i="5"/>
  <c r="G1916" i="5"/>
  <c r="H1916" i="5"/>
  <c r="F1917" i="5"/>
  <c r="I1916" i="5" s="1"/>
  <c r="M1915" i="5"/>
  <c r="M1914" i="5"/>
  <c r="F1918" i="5" l="1"/>
  <c r="G1917" i="5"/>
  <c r="H1917" i="5"/>
  <c r="I1917" i="5"/>
  <c r="J1917" i="5"/>
  <c r="J1916" i="5"/>
  <c r="K1916" i="5" l="1"/>
  <c r="L1916" i="5" s="1"/>
  <c r="N1917" i="5"/>
  <c r="K1917" i="5"/>
  <c r="L1917" i="5" s="1"/>
  <c r="N1918" i="5"/>
  <c r="F1919" i="5"/>
  <c r="G1918" i="5"/>
  <c r="H1918" i="5"/>
  <c r="I1918" i="5"/>
  <c r="F1920" i="5" l="1"/>
  <c r="G1919" i="5"/>
  <c r="I1919" i="5"/>
  <c r="H1919" i="5"/>
  <c r="J1919" i="5"/>
  <c r="J1918" i="5"/>
  <c r="M1917" i="5"/>
  <c r="M1916" i="5"/>
  <c r="K1919" i="5" l="1"/>
  <c r="K1918" i="5"/>
  <c r="L1918" i="5" s="1"/>
  <c r="N1919" i="5"/>
  <c r="N1920" i="5" s="1"/>
  <c r="F1921" i="5"/>
  <c r="G1920" i="5"/>
  <c r="H1920" i="5"/>
  <c r="I1920" i="5"/>
  <c r="M1918" i="5" l="1"/>
  <c r="F1922" i="5"/>
  <c r="G1921" i="5"/>
  <c r="H1921" i="5"/>
  <c r="J1921" i="5" s="1"/>
  <c r="I1921" i="5"/>
  <c r="J1920" i="5"/>
  <c r="L1919" i="5"/>
  <c r="N1922" i="5" l="1"/>
  <c r="K1921" i="5"/>
  <c r="L1921" i="5" s="1"/>
  <c r="K1920" i="5"/>
  <c r="L1920" i="5" s="1"/>
  <c r="M1921" i="5" s="1"/>
  <c r="N1921" i="5"/>
  <c r="F1923" i="5"/>
  <c r="G1922" i="5"/>
  <c r="H1922" i="5"/>
  <c r="I1922" i="5"/>
  <c r="M1919" i="5"/>
  <c r="F1924" i="5" l="1"/>
  <c r="G1923" i="5"/>
  <c r="H1923" i="5"/>
  <c r="I1923" i="5"/>
  <c r="J1923" i="5"/>
  <c r="M1920" i="5"/>
  <c r="J1922" i="5"/>
  <c r="N1923" i="5" l="1"/>
  <c r="K1922" i="5"/>
  <c r="L1922" i="5" s="1"/>
  <c r="N1924" i="5"/>
  <c r="K1923" i="5"/>
  <c r="L1923" i="5" s="1"/>
  <c r="G1924" i="5"/>
  <c r="F1925" i="5"/>
  <c r="H1924" i="5"/>
  <c r="I1924" i="5"/>
  <c r="F1926" i="5" l="1"/>
  <c r="G1925" i="5"/>
  <c r="H1925" i="5"/>
  <c r="I1925" i="5"/>
  <c r="J1925" i="5"/>
  <c r="M1923" i="5"/>
  <c r="M1922" i="5"/>
  <c r="J1924" i="5"/>
  <c r="K1925" i="5" l="1"/>
  <c r="N1926" i="5"/>
  <c r="F1927" i="5"/>
  <c r="G1926" i="5"/>
  <c r="H1926" i="5"/>
  <c r="I1926" i="5"/>
  <c r="J1926" i="5"/>
  <c r="K1924" i="5"/>
  <c r="L1924" i="5" s="1"/>
  <c r="N1925" i="5"/>
  <c r="K1926" i="5" l="1"/>
  <c r="L1926" i="5" s="1"/>
  <c r="N1927" i="5"/>
  <c r="M1925" i="5"/>
  <c r="M1924" i="5"/>
  <c r="F1928" i="5"/>
  <c r="G1927" i="5"/>
  <c r="H1927" i="5"/>
  <c r="I1927" i="5"/>
  <c r="L1925" i="5"/>
  <c r="M1926" i="5" s="1"/>
  <c r="F1929" i="5" l="1"/>
  <c r="G1928" i="5"/>
  <c r="H1928" i="5"/>
  <c r="I1928" i="5"/>
  <c r="J1928" i="5"/>
  <c r="J1927" i="5"/>
  <c r="K1927" i="5" l="1"/>
  <c r="L1927" i="5" s="1"/>
  <c r="N1928" i="5"/>
  <c r="K1928" i="5"/>
  <c r="L1928" i="5" s="1"/>
  <c r="N1929" i="5"/>
  <c r="F1930" i="5"/>
  <c r="G1929" i="5"/>
  <c r="H1929" i="5"/>
  <c r="F1931" i="5" l="1"/>
  <c r="H1930" i="5"/>
  <c r="I1930" i="5"/>
  <c r="J1930" i="5"/>
  <c r="G1930" i="5"/>
  <c r="I1929" i="5"/>
  <c r="J1929" i="5"/>
  <c r="M1928" i="5"/>
  <c r="M1927" i="5"/>
  <c r="K1930" i="5" l="1"/>
  <c r="K1929" i="5"/>
  <c r="L1929" i="5" s="1"/>
  <c r="N1930" i="5"/>
  <c r="N1931" i="5" s="1"/>
  <c r="F1932" i="5"/>
  <c r="G1931" i="5"/>
  <c r="H1931" i="5"/>
  <c r="I1931" i="5"/>
  <c r="F1933" i="5" l="1"/>
  <c r="G1932" i="5"/>
  <c r="I1932" i="5"/>
  <c r="H1932" i="5"/>
  <c r="J1932" i="5"/>
  <c r="M1930" i="5"/>
  <c r="M1929" i="5"/>
  <c r="J1931" i="5"/>
  <c r="L1930" i="5"/>
  <c r="K1931" i="5" l="1"/>
  <c r="L1931" i="5" s="1"/>
  <c r="N1932" i="5"/>
  <c r="K1932" i="5"/>
  <c r="L1932" i="5" s="1"/>
  <c r="N1933" i="5"/>
  <c r="M1931" i="5"/>
  <c r="F1934" i="5"/>
  <c r="H1933" i="5"/>
  <c r="G1933" i="5"/>
  <c r="G1934" i="5" l="1"/>
  <c r="F1935" i="5"/>
  <c r="J1934" i="5" s="1"/>
  <c r="H1934" i="5"/>
  <c r="I1934" i="5"/>
  <c r="I1933" i="5"/>
  <c r="J1933" i="5"/>
  <c r="M1932" i="5"/>
  <c r="K1934" i="5" l="1"/>
  <c r="K1933" i="5"/>
  <c r="L1933" i="5" s="1"/>
  <c r="N1934" i="5"/>
  <c r="N1935" i="5" s="1"/>
  <c r="F1936" i="5"/>
  <c r="G1935" i="5"/>
  <c r="H1935" i="5"/>
  <c r="I1935" i="5"/>
  <c r="M1933" i="5" l="1"/>
  <c r="F1937" i="5"/>
  <c r="G1936" i="5"/>
  <c r="H1936" i="5"/>
  <c r="J1936" i="5" s="1"/>
  <c r="I1936" i="5"/>
  <c r="J1935" i="5"/>
  <c r="L1934" i="5"/>
  <c r="K1936" i="5" l="1"/>
  <c r="L1936" i="5" s="1"/>
  <c r="N1937" i="5"/>
  <c r="F1938" i="5"/>
  <c r="G1937" i="5"/>
  <c r="H1937" i="5"/>
  <c r="I1937" i="5"/>
  <c r="J1937" i="5"/>
  <c r="K1935" i="5"/>
  <c r="L1935" i="5" s="1"/>
  <c r="M1936" i="5" s="1"/>
  <c r="N1936" i="5"/>
  <c r="M1934" i="5"/>
  <c r="K1937" i="5" l="1"/>
  <c r="L1937" i="5" s="1"/>
  <c r="N1938" i="5"/>
  <c r="F1939" i="5"/>
  <c r="H1938" i="5"/>
  <c r="G1938" i="5"/>
  <c r="I1938" i="5"/>
  <c r="J1938" i="5"/>
  <c r="M1935" i="5"/>
  <c r="M1937" i="5"/>
  <c r="F1940" i="5" l="1"/>
  <c r="G1939" i="5"/>
  <c r="H1939" i="5"/>
  <c r="I1939" i="5"/>
  <c r="J1939" i="5"/>
  <c r="K1938" i="5"/>
  <c r="L1938" i="5" s="1"/>
  <c r="M1938" i="5" s="1"/>
  <c r="N1939" i="5"/>
  <c r="K1939" i="5" l="1"/>
  <c r="L1939" i="5" s="1"/>
  <c r="N1940" i="5"/>
  <c r="F1941" i="5"/>
  <c r="G1940" i="5"/>
  <c r="H1940" i="5"/>
  <c r="I1940" i="5"/>
  <c r="J1940" i="5"/>
  <c r="K1940" i="5" l="1"/>
  <c r="L1940" i="5" s="1"/>
  <c r="N1941" i="5"/>
  <c r="F1942" i="5"/>
  <c r="G1941" i="5"/>
  <c r="I1941" i="5"/>
  <c r="H1941" i="5"/>
  <c r="J1941" i="5" s="1"/>
  <c r="M1940" i="5"/>
  <c r="M1939" i="5"/>
  <c r="K1941" i="5" l="1"/>
  <c r="L1941" i="5" s="1"/>
  <c r="N1942" i="5"/>
  <c r="F1943" i="5"/>
  <c r="G1942" i="5"/>
  <c r="H1942" i="5"/>
  <c r="I1942" i="5"/>
  <c r="J1942" i="5"/>
  <c r="M1941" i="5"/>
  <c r="K1942" i="5" l="1"/>
  <c r="L1942" i="5" s="1"/>
  <c r="N1943" i="5"/>
  <c r="F1944" i="5"/>
  <c r="H1943" i="5"/>
  <c r="G1943" i="5"/>
  <c r="J1943" i="5"/>
  <c r="I1943" i="5"/>
  <c r="M1942" i="5"/>
  <c r="K1943" i="5" l="1"/>
  <c r="L1943" i="5" s="1"/>
  <c r="N1944" i="5"/>
  <c r="F1945" i="5"/>
  <c r="G1944" i="5"/>
  <c r="H1944" i="5"/>
  <c r="I1944" i="5"/>
  <c r="J1944" i="5"/>
  <c r="M1943" i="5"/>
  <c r="F1946" i="5" l="1"/>
  <c r="H1945" i="5"/>
  <c r="G1945" i="5"/>
  <c r="I1945" i="5"/>
  <c r="J1945" i="5"/>
  <c r="N1945" i="5"/>
  <c r="K1944" i="5"/>
  <c r="L1944" i="5" s="1"/>
  <c r="M1944" i="5" s="1"/>
  <c r="K1945" i="5" l="1"/>
  <c r="L1945" i="5" s="1"/>
  <c r="N1946" i="5"/>
  <c r="F1947" i="5"/>
  <c r="H1946" i="5"/>
  <c r="G1946" i="5"/>
  <c r="J1946" i="5" s="1"/>
  <c r="I1946" i="5"/>
  <c r="K1946" i="5" l="1"/>
  <c r="L1946" i="5" s="1"/>
  <c r="M1946" i="5" s="1"/>
  <c r="N1947" i="5"/>
  <c r="G1947" i="5"/>
  <c r="F1948" i="5"/>
  <c r="H1947" i="5"/>
  <c r="I1947" i="5"/>
  <c r="J1947" i="5"/>
  <c r="M1945" i="5"/>
  <c r="K1947" i="5" l="1"/>
  <c r="L1947" i="5" s="1"/>
  <c r="N1948" i="5"/>
  <c r="F1949" i="5"/>
  <c r="G1948" i="5"/>
  <c r="H1948" i="5"/>
  <c r="I1948" i="5"/>
  <c r="J1948" i="5"/>
  <c r="M1947" i="5"/>
  <c r="K1948" i="5" l="1"/>
  <c r="L1948" i="5" s="1"/>
  <c r="N1949" i="5"/>
  <c r="F1950" i="5"/>
  <c r="G1949" i="5"/>
  <c r="H1949" i="5"/>
  <c r="I1949" i="5"/>
  <c r="J1949" i="5"/>
  <c r="M1948" i="5"/>
  <c r="G1950" i="5" l="1"/>
  <c r="F1951" i="5"/>
  <c r="I1950" i="5"/>
  <c r="H1950" i="5"/>
  <c r="J1950" i="5" s="1"/>
  <c r="K1949" i="5"/>
  <c r="L1949" i="5" s="1"/>
  <c r="N1950" i="5"/>
  <c r="M1949" i="5"/>
  <c r="K1950" i="5" l="1"/>
  <c r="L1950" i="5" s="1"/>
  <c r="N1951" i="5"/>
  <c r="M1950" i="5"/>
  <c r="F1952" i="5"/>
  <c r="G1951" i="5"/>
  <c r="I1951" i="5"/>
  <c r="J1951" i="5"/>
  <c r="H1951" i="5"/>
  <c r="F1953" i="5" l="1"/>
  <c r="G1952" i="5"/>
  <c r="I1952" i="5"/>
  <c r="J1952" i="5"/>
  <c r="H1952" i="5"/>
  <c r="K1951" i="5"/>
  <c r="L1951" i="5" s="1"/>
  <c r="N1952" i="5"/>
  <c r="M1951" i="5"/>
  <c r="K1952" i="5" l="1"/>
  <c r="L1952" i="5" s="1"/>
  <c r="N1953" i="5"/>
  <c r="F1954" i="5"/>
  <c r="G1953" i="5"/>
  <c r="H1953" i="5"/>
  <c r="J1953" i="5"/>
  <c r="I1953" i="5"/>
  <c r="K1953" i="5" l="1"/>
  <c r="L1953" i="5" s="1"/>
  <c r="N1954" i="5"/>
  <c r="F1955" i="5"/>
  <c r="G1954" i="5"/>
  <c r="H1954" i="5"/>
  <c r="J1954" i="5"/>
  <c r="I1954" i="5"/>
  <c r="M1953" i="5"/>
  <c r="M1952" i="5"/>
  <c r="N1955" i="5" l="1"/>
  <c r="K1954" i="5"/>
  <c r="L1954" i="5" s="1"/>
  <c r="F1956" i="5"/>
  <c r="G1955" i="5"/>
  <c r="H1955" i="5"/>
  <c r="J1955" i="5"/>
  <c r="M1954" i="5"/>
  <c r="F1957" i="5" l="1"/>
  <c r="G1956" i="5"/>
  <c r="H1956" i="5"/>
  <c r="I1956" i="5"/>
  <c r="J1956" i="5"/>
  <c r="K1955" i="5"/>
  <c r="L1955" i="5" s="1"/>
  <c r="N1956" i="5"/>
  <c r="I1955" i="5"/>
  <c r="K1956" i="5" l="1"/>
  <c r="L1956" i="5" s="1"/>
  <c r="N1957" i="5"/>
  <c r="M1955" i="5"/>
  <c r="F1958" i="5"/>
  <c r="G1957" i="5"/>
  <c r="H1957" i="5"/>
  <c r="I1957" i="5"/>
  <c r="F1959" i="5" l="1"/>
  <c r="H1958" i="5"/>
  <c r="G1958" i="5"/>
  <c r="I1958" i="5"/>
  <c r="J1958" i="5"/>
  <c r="J1957" i="5"/>
  <c r="M1956" i="5"/>
  <c r="K1957" i="5" l="1"/>
  <c r="L1957" i="5" s="1"/>
  <c r="N1958" i="5"/>
  <c r="K1958" i="5"/>
  <c r="L1958" i="5" s="1"/>
  <c r="N1959" i="5"/>
  <c r="F1960" i="5"/>
  <c r="G1959" i="5"/>
  <c r="H1959" i="5"/>
  <c r="I1959" i="5"/>
  <c r="F1961" i="5" l="1"/>
  <c r="H1960" i="5"/>
  <c r="G1960" i="5"/>
  <c r="I1960" i="5"/>
  <c r="J1960" i="5"/>
  <c r="J1959" i="5"/>
  <c r="M1958" i="5"/>
  <c r="M1957" i="5"/>
  <c r="K1959" i="5" l="1"/>
  <c r="L1959" i="5" s="1"/>
  <c r="N1960" i="5"/>
  <c r="F1962" i="5"/>
  <c r="G1961" i="5"/>
  <c r="I1961" i="5"/>
  <c r="H1961" i="5"/>
  <c r="J1961" i="5"/>
  <c r="K1960" i="5"/>
  <c r="L1960" i="5" s="1"/>
  <c r="N1961" i="5"/>
  <c r="F1963" i="5" l="1"/>
  <c r="G1962" i="5"/>
  <c r="H1962" i="5"/>
  <c r="I1962" i="5"/>
  <c r="J1962" i="5"/>
  <c r="K1961" i="5"/>
  <c r="L1961" i="5" s="1"/>
  <c r="N1962" i="5"/>
  <c r="M1960" i="5"/>
  <c r="M1959" i="5"/>
  <c r="M1961" i="5" l="1"/>
  <c r="K1962" i="5"/>
  <c r="L1962" i="5" s="1"/>
  <c r="N1963" i="5"/>
  <c r="F1964" i="5"/>
  <c r="G1963" i="5"/>
  <c r="H1963" i="5"/>
  <c r="I1963" i="5"/>
  <c r="F1965" i="5" l="1"/>
  <c r="G1964" i="5"/>
  <c r="H1964" i="5"/>
  <c r="I1964" i="5"/>
  <c r="J1964" i="5"/>
  <c r="J1963" i="5"/>
  <c r="M1962" i="5"/>
  <c r="N1964" i="5" l="1"/>
  <c r="K1963" i="5"/>
  <c r="L1963" i="5" s="1"/>
  <c r="N1965" i="5"/>
  <c r="K1964" i="5"/>
  <c r="L1964" i="5" s="1"/>
  <c r="F1966" i="5"/>
  <c r="G1965" i="5"/>
  <c r="H1965" i="5"/>
  <c r="J1965" i="5"/>
  <c r="N1966" i="5" l="1"/>
  <c r="K1965" i="5"/>
  <c r="L1965" i="5" s="1"/>
  <c r="M1965" i="5" s="1"/>
  <c r="F1967" i="5"/>
  <c r="G1966" i="5"/>
  <c r="H1966" i="5"/>
  <c r="I1966" i="5"/>
  <c r="J1966" i="5"/>
  <c r="M1964" i="5"/>
  <c r="M1963" i="5"/>
  <c r="I1965" i="5"/>
  <c r="K1966" i="5" l="1"/>
  <c r="L1966" i="5" s="1"/>
  <c r="N1967" i="5"/>
  <c r="F1968" i="5"/>
  <c r="G1967" i="5"/>
  <c r="H1967" i="5"/>
  <c r="I1967" i="5"/>
  <c r="J1967" i="5"/>
  <c r="M1966" i="5"/>
  <c r="K1967" i="5" l="1"/>
  <c r="L1967" i="5" s="1"/>
  <c r="N1968" i="5"/>
  <c r="F1969" i="5"/>
  <c r="G1968" i="5"/>
  <c r="H1968" i="5"/>
  <c r="I1968" i="5"/>
  <c r="J1968" i="5"/>
  <c r="M1967" i="5"/>
  <c r="K1968" i="5" l="1"/>
  <c r="L1968" i="5" s="1"/>
  <c r="N1969" i="5"/>
  <c r="F1970" i="5"/>
  <c r="G1969" i="5"/>
  <c r="H1969" i="5"/>
  <c r="I1969" i="5"/>
  <c r="J1969" i="5"/>
  <c r="M1968" i="5"/>
  <c r="K1969" i="5" l="1"/>
  <c r="L1969" i="5" s="1"/>
  <c r="N1970" i="5"/>
  <c r="F1971" i="5"/>
  <c r="G1970" i="5"/>
  <c r="H1970" i="5"/>
  <c r="I1970" i="5"/>
  <c r="J1970" i="5"/>
  <c r="M1969" i="5"/>
  <c r="K1970" i="5" l="1"/>
  <c r="L1970" i="5" s="1"/>
  <c r="N1971" i="5"/>
  <c r="G1971" i="5"/>
  <c r="F1972" i="5"/>
  <c r="H1971" i="5"/>
  <c r="I1971" i="5"/>
  <c r="J1971" i="5"/>
  <c r="M1970" i="5"/>
  <c r="K1971" i="5" l="1"/>
  <c r="L1971" i="5" s="1"/>
  <c r="N1972" i="5"/>
  <c r="F1973" i="5"/>
  <c r="G1972" i="5"/>
  <c r="H1972" i="5"/>
  <c r="J1972" i="5"/>
  <c r="M1971" i="5"/>
  <c r="K1972" i="5" l="1"/>
  <c r="L1972" i="5" s="1"/>
  <c r="N1973" i="5"/>
  <c r="F1974" i="5"/>
  <c r="G1973" i="5"/>
  <c r="I1973" i="5"/>
  <c r="H1973" i="5"/>
  <c r="J1973" i="5"/>
  <c r="I1972" i="5"/>
  <c r="M1972" i="5"/>
  <c r="F1975" i="5" l="1"/>
  <c r="G1974" i="5"/>
  <c r="H1974" i="5"/>
  <c r="I1974" i="5"/>
  <c r="J1974" i="5"/>
  <c r="K1973" i="5"/>
  <c r="L1973" i="5" s="1"/>
  <c r="N1974" i="5"/>
  <c r="M1973" i="5" l="1"/>
  <c r="K1974" i="5"/>
  <c r="L1974" i="5" s="1"/>
  <c r="N1975" i="5"/>
  <c r="F1976" i="5"/>
  <c r="G1975" i="5"/>
  <c r="H1975" i="5"/>
  <c r="J1975" i="5"/>
  <c r="K1975" i="5" l="1"/>
  <c r="L1975" i="5" s="1"/>
  <c r="N1976" i="5"/>
  <c r="F1977" i="5"/>
  <c r="G1976" i="5"/>
  <c r="H1976" i="5"/>
  <c r="J1976" i="5"/>
  <c r="I1976" i="5"/>
  <c r="M1975" i="5"/>
  <c r="I1975" i="5"/>
  <c r="M1974" i="5"/>
  <c r="N1977" i="5" l="1"/>
  <c r="K1976" i="5"/>
  <c r="L1976" i="5" s="1"/>
  <c r="F1978" i="5"/>
  <c r="G1977" i="5"/>
  <c r="H1977" i="5"/>
  <c r="J1977" i="5"/>
  <c r="I1977" i="5"/>
  <c r="M1976" i="5"/>
  <c r="K1977" i="5" l="1"/>
  <c r="L1977" i="5" s="1"/>
  <c r="N1978" i="5"/>
  <c r="F1979" i="5"/>
  <c r="H1978" i="5"/>
  <c r="G1978" i="5"/>
  <c r="I1978" i="5"/>
  <c r="J1978" i="5"/>
  <c r="M1977" i="5"/>
  <c r="K1978" i="5" l="1"/>
  <c r="L1978" i="5" s="1"/>
  <c r="N1979" i="5"/>
  <c r="F1980" i="5"/>
  <c r="G1979" i="5"/>
  <c r="H1979" i="5"/>
  <c r="I1979" i="5"/>
  <c r="J1979" i="5"/>
  <c r="M1978" i="5"/>
  <c r="K1979" i="5" l="1"/>
  <c r="L1979" i="5" s="1"/>
  <c r="N1980" i="5"/>
  <c r="G1980" i="5"/>
  <c r="F1981" i="5"/>
  <c r="H1980" i="5"/>
  <c r="I1980" i="5"/>
  <c r="J1980" i="5"/>
  <c r="M1979" i="5"/>
  <c r="F1982" i="5" l="1"/>
  <c r="G1981" i="5"/>
  <c r="H1981" i="5"/>
  <c r="I1981" i="5"/>
  <c r="J1981" i="5"/>
  <c r="K1980" i="5"/>
  <c r="L1980" i="5" s="1"/>
  <c r="N1981" i="5"/>
  <c r="M1980" i="5"/>
  <c r="K1981" i="5" l="1"/>
  <c r="L1981" i="5" s="1"/>
  <c r="N1982" i="5"/>
  <c r="M1981" i="5"/>
  <c r="F1983" i="5"/>
  <c r="G1982" i="5"/>
  <c r="H1982" i="5"/>
  <c r="I1982" i="5"/>
  <c r="J1982" i="5"/>
  <c r="K1982" i="5" l="1"/>
  <c r="L1982" i="5" s="1"/>
  <c r="N1983" i="5"/>
  <c r="F1984" i="5"/>
  <c r="G1983" i="5"/>
  <c r="H1983" i="5"/>
  <c r="J1983" i="5"/>
  <c r="M1982" i="5"/>
  <c r="K1983" i="5" l="1"/>
  <c r="L1983" i="5" s="1"/>
  <c r="N1984" i="5"/>
  <c r="F1985" i="5"/>
  <c r="G1984" i="5"/>
  <c r="H1984" i="5"/>
  <c r="I1984" i="5"/>
  <c r="J1984" i="5"/>
  <c r="I1983" i="5"/>
  <c r="M1983" i="5"/>
  <c r="K1984" i="5" l="1"/>
  <c r="L1984" i="5" s="1"/>
  <c r="N1985" i="5"/>
  <c r="F1986" i="5"/>
  <c r="H1985" i="5"/>
  <c r="J1985" i="5"/>
  <c r="I1985" i="5"/>
  <c r="G1985" i="5"/>
  <c r="M1984" i="5"/>
  <c r="N1986" i="5" l="1"/>
  <c r="K1985" i="5"/>
  <c r="L1985" i="5" s="1"/>
  <c r="F1987" i="5"/>
  <c r="G1986" i="5"/>
  <c r="H1986" i="5"/>
  <c r="I1986" i="5"/>
  <c r="J1986" i="5"/>
  <c r="M1985" i="5"/>
  <c r="N1987" i="5" l="1"/>
  <c r="K1986" i="5"/>
  <c r="L1986" i="5" s="1"/>
  <c r="F1988" i="5"/>
  <c r="G1987" i="5"/>
  <c r="H1987" i="5"/>
  <c r="I1987" i="5"/>
  <c r="J1987" i="5"/>
  <c r="M1986" i="5"/>
  <c r="F1989" i="5" l="1"/>
  <c r="G1988" i="5"/>
  <c r="H1988" i="5"/>
  <c r="I1988" i="5"/>
  <c r="J1988" i="5"/>
  <c r="N1988" i="5"/>
  <c r="K1987" i="5"/>
  <c r="L1987" i="5" s="1"/>
  <c r="M1987" i="5"/>
  <c r="K1988" i="5" l="1"/>
  <c r="L1988" i="5" s="1"/>
  <c r="N1989" i="5"/>
  <c r="H1989" i="5"/>
  <c r="F1990" i="5"/>
  <c r="G1989" i="5"/>
  <c r="J1989" i="5"/>
  <c r="F1991" i="5" l="1"/>
  <c r="H1990" i="5"/>
  <c r="I1990" i="5"/>
  <c r="G1990" i="5"/>
  <c r="J1990" i="5"/>
  <c r="K1989" i="5"/>
  <c r="L1989" i="5" s="1"/>
  <c r="N1990" i="5"/>
  <c r="I1989" i="5"/>
  <c r="M1988" i="5"/>
  <c r="K1990" i="5" l="1"/>
  <c r="L1990" i="5" s="1"/>
  <c r="N1991" i="5"/>
  <c r="M1989" i="5"/>
  <c r="G1991" i="5"/>
  <c r="F1992" i="5"/>
  <c r="H1991" i="5"/>
  <c r="I1991" i="5"/>
  <c r="F1993" i="5" l="1"/>
  <c r="G1992" i="5"/>
  <c r="I1992" i="5"/>
  <c r="H1992" i="5"/>
  <c r="J1992" i="5"/>
  <c r="J1991" i="5"/>
  <c r="M1990" i="5"/>
  <c r="K1991" i="5" l="1"/>
  <c r="L1991" i="5" s="1"/>
  <c r="N1992" i="5"/>
  <c r="N1993" i="5" s="1"/>
  <c r="K1992" i="5"/>
  <c r="F1994" i="5"/>
  <c r="G1993" i="5"/>
  <c r="I1993" i="5"/>
  <c r="H1993" i="5"/>
  <c r="J1993" i="5"/>
  <c r="M1991" i="5" l="1"/>
  <c r="F1995" i="5"/>
  <c r="H1994" i="5"/>
  <c r="J1994" i="5" s="1"/>
  <c r="G1994" i="5"/>
  <c r="I1994" i="5"/>
  <c r="K1993" i="5"/>
  <c r="N1994" i="5"/>
  <c r="L1992" i="5"/>
  <c r="K1994" i="5" l="1"/>
  <c r="L1994" i="5" s="1"/>
  <c r="N1995" i="5"/>
  <c r="L1993" i="5"/>
  <c r="F1996" i="5"/>
  <c r="G1995" i="5"/>
  <c r="H1995" i="5"/>
  <c r="I1995" i="5"/>
  <c r="M1992" i="5"/>
  <c r="F1997" i="5" l="1"/>
  <c r="G1996" i="5"/>
  <c r="I1996" i="5"/>
  <c r="J1996" i="5"/>
  <c r="H1996" i="5"/>
  <c r="M1994" i="5"/>
  <c r="M1993" i="5"/>
  <c r="J1995" i="5"/>
  <c r="K1995" i="5" l="1"/>
  <c r="L1995" i="5" s="1"/>
  <c r="N1996" i="5"/>
  <c r="K1996" i="5"/>
  <c r="L1996" i="5" s="1"/>
  <c r="N1997" i="5"/>
  <c r="F1998" i="5"/>
  <c r="G1997" i="5"/>
  <c r="H1997" i="5"/>
  <c r="J1997" i="5"/>
  <c r="K1997" i="5" l="1"/>
  <c r="L1997" i="5" s="1"/>
  <c r="N1998" i="5"/>
  <c r="F1999" i="5"/>
  <c r="G1998" i="5"/>
  <c r="H1998" i="5"/>
  <c r="J1998" i="5"/>
  <c r="I1998" i="5"/>
  <c r="M1997" i="5"/>
  <c r="I1997" i="5"/>
  <c r="M1996" i="5"/>
  <c r="M1995" i="5"/>
  <c r="K1998" i="5" l="1"/>
  <c r="L1998" i="5" s="1"/>
  <c r="N1999" i="5"/>
  <c r="F2000" i="5"/>
  <c r="G1999" i="5"/>
  <c r="H1999" i="5"/>
  <c r="I1999" i="5"/>
  <c r="J1999" i="5"/>
  <c r="M1998" i="5"/>
  <c r="K1999" i="5" l="1"/>
  <c r="L1999" i="5" s="1"/>
  <c r="N2000" i="5"/>
  <c r="F2001" i="5"/>
  <c r="H2000" i="5"/>
  <c r="G2000" i="5"/>
  <c r="I2000" i="5"/>
  <c r="J2000" i="5"/>
  <c r="M1999" i="5"/>
  <c r="F2002" i="5" l="1"/>
  <c r="G2001" i="5"/>
  <c r="H2001" i="5"/>
  <c r="I2001" i="5"/>
  <c r="J2001" i="5"/>
  <c r="K2000" i="5"/>
  <c r="L2000" i="5" s="1"/>
  <c r="N2001" i="5"/>
  <c r="M2000" i="5" l="1"/>
  <c r="K2001" i="5"/>
  <c r="L2001" i="5" s="1"/>
  <c r="N2002" i="5"/>
  <c r="F2003" i="5"/>
  <c r="H2002" i="5"/>
  <c r="G2002" i="5"/>
  <c r="I2002" i="5"/>
  <c r="F2004" i="5" l="1"/>
  <c r="G2003" i="5"/>
  <c r="H2003" i="5"/>
  <c r="I2003" i="5"/>
  <c r="J2003" i="5"/>
  <c r="J2002" i="5"/>
  <c r="M2001" i="5"/>
  <c r="K2003" i="5" l="1"/>
  <c r="L2003" i="5" s="1"/>
  <c r="N2004" i="5"/>
  <c r="K2002" i="5"/>
  <c r="L2002" i="5" s="1"/>
  <c r="N2003" i="5"/>
  <c r="F2005" i="5"/>
  <c r="G2004" i="5"/>
  <c r="H2004" i="5"/>
  <c r="I2004" i="5"/>
  <c r="J2004" i="5"/>
  <c r="F2006" i="5" l="1"/>
  <c r="G2005" i="5"/>
  <c r="I2005" i="5"/>
  <c r="H2005" i="5"/>
  <c r="J2005" i="5"/>
  <c r="M2003" i="5"/>
  <c r="M2002" i="5"/>
  <c r="K2004" i="5"/>
  <c r="L2004" i="5" s="1"/>
  <c r="N2005" i="5"/>
  <c r="K2005" i="5" l="1"/>
  <c r="L2005" i="5" s="1"/>
  <c r="N2006" i="5"/>
  <c r="M2005" i="5"/>
  <c r="M2004" i="5"/>
  <c r="F2007" i="5"/>
  <c r="G2006" i="5"/>
  <c r="H2006" i="5"/>
  <c r="I2006" i="5"/>
  <c r="F2008" i="5" l="1"/>
  <c r="G2007" i="5"/>
  <c r="H2007" i="5"/>
  <c r="J2007" i="5"/>
  <c r="I2007" i="5"/>
  <c r="J2006" i="5"/>
  <c r="K2006" i="5" l="1"/>
  <c r="L2006" i="5" s="1"/>
  <c r="N2007" i="5"/>
  <c r="K2007" i="5"/>
  <c r="L2007" i="5" s="1"/>
  <c r="N2008" i="5"/>
  <c r="F2009" i="5"/>
  <c r="G2008" i="5"/>
  <c r="H2008" i="5"/>
  <c r="I2008" i="5"/>
  <c r="F2010" i="5" l="1"/>
  <c r="I2009" i="5" s="1"/>
  <c r="G2009" i="5"/>
  <c r="H2009" i="5"/>
  <c r="J2008" i="5"/>
  <c r="M2007" i="5"/>
  <c r="M2006" i="5"/>
  <c r="N2009" i="5" l="1"/>
  <c r="K2008" i="5"/>
  <c r="L2008" i="5" s="1"/>
  <c r="J2009" i="5"/>
  <c r="F2011" i="5"/>
  <c r="G2010" i="5"/>
  <c r="H2010" i="5"/>
  <c r="I2010" i="5"/>
  <c r="J2010" i="5"/>
  <c r="K2010" i="5" l="1"/>
  <c r="F2012" i="5"/>
  <c r="G2011" i="5"/>
  <c r="H2011" i="5"/>
  <c r="I2011" i="5"/>
  <c r="J2011" i="5"/>
  <c r="N2010" i="5"/>
  <c r="N2011" i="5" s="1"/>
  <c r="K2009" i="5"/>
  <c r="L2009" i="5" s="1"/>
  <c r="M2009" i="5"/>
  <c r="M2008" i="5"/>
  <c r="K2011" i="5" l="1"/>
  <c r="N2012" i="5"/>
  <c r="F2013" i="5"/>
  <c r="G2012" i="5"/>
  <c r="H2012" i="5"/>
  <c r="I2012" i="5"/>
  <c r="J2012" i="5"/>
  <c r="M2010" i="5"/>
  <c r="L2010" i="5"/>
  <c r="K2012" i="5" l="1"/>
  <c r="L2012" i="5" s="1"/>
  <c r="N2013" i="5"/>
  <c r="F2014" i="5"/>
  <c r="G2013" i="5"/>
  <c r="H2013" i="5"/>
  <c r="I2013" i="5"/>
  <c r="J2013" i="5"/>
  <c r="M2011" i="5"/>
  <c r="L2011" i="5"/>
  <c r="M2012" i="5" s="1"/>
  <c r="K2013" i="5" l="1"/>
  <c r="L2013" i="5" s="1"/>
  <c r="N2014" i="5"/>
  <c r="F2015" i="5"/>
  <c r="G2014" i="5"/>
  <c r="H2014" i="5"/>
  <c r="I2014" i="5"/>
  <c r="J2014" i="5"/>
  <c r="M2013" i="5"/>
  <c r="K2014" i="5" l="1"/>
  <c r="L2014" i="5" s="1"/>
  <c r="N2015" i="5"/>
  <c r="F2016" i="5"/>
  <c r="G2015" i="5"/>
  <c r="I2015" i="5"/>
  <c r="H2015" i="5"/>
  <c r="J2015" i="5"/>
  <c r="M2014" i="5"/>
  <c r="F2017" i="5" l="1"/>
  <c r="H2016" i="5"/>
  <c r="I2016" i="5"/>
  <c r="G2016" i="5"/>
  <c r="J2016" i="5"/>
  <c r="K2015" i="5"/>
  <c r="L2015" i="5" s="1"/>
  <c r="N2016" i="5"/>
  <c r="M2015" i="5" l="1"/>
  <c r="K2016" i="5"/>
  <c r="L2016" i="5" s="1"/>
  <c r="N2017" i="5"/>
  <c r="F2018" i="5"/>
  <c r="H2017" i="5"/>
  <c r="G2017" i="5"/>
  <c r="J2017" i="5"/>
  <c r="K2017" i="5" l="1"/>
  <c r="L2017" i="5" s="1"/>
  <c r="N2018" i="5"/>
  <c r="G2018" i="5"/>
  <c r="F2019" i="5"/>
  <c r="H2018" i="5"/>
  <c r="I2018" i="5"/>
  <c r="M2017" i="5"/>
  <c r="I2017" i="5"/>
  <c r="M2016" i="5"/>
  <c r="F2020" i="5" l="1"/>
  <c r="G2019" i="5"/>
  <c r="H2019" i="5"/>
  <c r="I2019" i="5"/>
  <c r="J2019" i="5"/>
  <c r="J2018" i="5"/>
  <c r="N2019" i="5" l="1"/>
  <c r="K2018" i="5"/>
  <c r="L2018" i="5" s="1"/>
  <c r="K2019" i="5"/>
  <c r="L2019" i="5" s="1"/>
  <c r="N2020" i="5"/>
  <c r="F2021" i="5"/>
  <c r="G2020" i="5"/>
  <c r="H2020" i="5"/>
  <c r="I2020" i="5"/>
  <c r="F2022" i="5" l="1"/>
  <c r="G2021" i="5"/>
  <c r="H2021" i="5"/>
  <c r="I2021" i="5"/>
  <c r="J2021" i="5"/>
  <c r="M2019" i="5"/>
  <c r="M2018" i="5"/>
  <c r="J2020" i="5"/>
  <c r="K2021" i="5" l="1"/>
  <c r="N2022" i="5"/>
  <c r="F2023" i="5"/>
  <c r="G2022" i="5"/>
  <c r="H2022" i="5"/>
  <c r="J2022" i="5" s="1"/>
  <c r="I2022" i="5"/>
  <c r="K2020" i="5"/>
  <c r="L2020" i="5" s="1"/>
  <c r="N2021" i="5"/>
  <c r="K2022" i="5" l="1"/>
  <c r="L2022" i="5" s="1"/>
  <c r="N2023" i="5"/>
  <c r="M2020" i="5"/>
  <c r="F2024" i="5"/>
  <c r="G2023" i="5"/>
  <c r="H2023" i="5"/>
  <c r="I2023" i="5"/>
  <c r="L2021" i="5"/>
  <c r="M2022" i="5" s="1"/>
  <c r="F2025" i="5" l="1"/>
  <c r="G2024" i="5"/>
  <c r="H2024" i="5"/>
  <c r="I2024" i="5"/>
  <c r="J2024" i="5"/>
  <c r="M2021" i="5"/>
  <c r="J2023" i="5"/>
  <c r="K2024" i="5" l="1"/>
  <c r="K2023" i="5"/>
  <c r="L2023" i="5" s="1"/>
  <c r="N2024" i="5"/>
  <c r="N2025" i="5" s="1"/>
  <c r="F2026" i="5"/>
  <c r="I2025" i="5" s="1"/>
  <c r="G2025" i="5"/>
  <c r="H2025" i="5"/>
  <c r="M2023" i="5" l="1"/>
  <c r="F2027" i="5"/>
  <c r="G2026" i="5"/>
  <c r="H2026" i="5"/>
  <c r="I2026" i="5"/>
  <c r="J2026" i="5"/>
  <c r="J2025" i="5"/>
  <c r="L2024" i="5"/>
  <c r="K2025" i="5" l="1"/>
  <c r="L2025" i="5" s="1"/>
  <c r="N2026" i="5"/>
  <c r="F2028" i="5"/>
  <c r="G2027" i="5"/>
  <c r="H2027" i="5"/>
  <c r="I2027" i="5"/>
  <c r="J2027" i="5"/>
  <c r="K2026" i="5"/>
  <c r="L2026" i="5" s="1"/>
  <c r="N2027" i="5"/>
  <c r="M2025" i="5"/>
  <c r="M2024" i="5"/>
  <c r="N2028" i="5" l="1"/>
  <c r="K2027" i="5"/>
  <c r="L2027" i="5" s="1"/>
  <c r="G2028" i="5"/>
  <c r="F2029" i="5"/>
  <c r="H2028" i="5"/>
  <c r="M2027" i="5"/>
  <c r="M2026" i="5"/>
  <c r="F2030" i="5" l="1"/>
  <c r="H2029" i="5"/>
  <c r="G2029" i="5"/>
  <c r="J2029" i="5"/>
  <c r="I2029" i="5"/>
  <c r="J2028" i="5"/>
  <c r="I2028" i="5"/>
  <c r="N2029" i="5" l="1"/>
  <c r="K2028" i="5"/>
  <c r="L2028" i="5" s="1"/>
  <c r="K2029" i="5"/>
  <c r="L2029" i="5" s="1"/>
  <c r="N2030" i="5"/>
  <c r="F2031" i="5"/>
  <c r="H2030" i="5"/>
  <c r="G2030" i="5"/>
  <c r="I2030" i="5"/>
  <c r="F2032" i="5" l="1"/>
  <c r="G2031" i="5"/>
  <c r="H2031" i="5"/>
  <c r="I2031" i="5"/>
  <c r="J2031" i="5"/>
  <c r="M2029" i="5"/>
  <c r="M2028" i="5"/>
  <c r="J2030" i="5"/>
  <c r="K2031" i="5" l="1"/>
  <c r="N2032" i="5"/>
  <c r="F2033" i="5"/>
  <c r="G2032" i="5"/>
  <c r="H2032" i="5"/>
  <c r="I2032" i="5"/>
  <c r="J2032" i="5"/>
  <c r="K2030" i="5"/>
  <c r="L2030" i="5" s="1"/>
  <c r="N2031" i="5"/>
  <c r="K2032" i="5" l="1"/>
  <c r="N2033" i="5"/>
  <c r="F2034" i="5"/>
  <c r="G2033" i="5"/>
  <c r="H2033" i="5"/>
  <c r="I2033" i="5"/>
  <c r="J2033" i="5"/>
  <c r="M2031" i="5"/>
  <c r="M2030" i="5"/>
  <c r="L2031" i="5"/>
  <c r="K2033" i="5" l="1"/>
  <c r="N2034" i="5"/>
  <c r="F2035" i="5"/>
  <c r="H2034" i="5"/>
  <c r="G2034" i="5"/>
  <c r="I2034" i="5"/>
  <c r="J2034" i="5"/>
  <c r="M2032" i="5"/>
  <c r="L2032" i="5"/>
  <c r="K2034" i="5" l="1"/>
  <c r="N2035" i="5"/>
  <c r="G2035" i="5"/>
  <c r="F2036" i="5"/>
  <c r="H2035" i="5"/>
  <c r="I2035" i="5"/>
  <c r="J2035" i="5"/>
  <c r="M2033" i="5"/>
  <c r="L2033" i="5"/>
  <c r="F2037" i="5" l="1"/>
  <c r="G2036" i="5"/>
  <c r="I2036" i="5"/>
  <c r="J2036" i="5"/>
  <c r="H2036" i="5"/>
  <c r="K2035" i="5"/>
  <c r="L2035" i="5" s="1"/>
  <c r="N2036" i="5"/>
  <c r="M2034" i="5"/>
  <c r="L2034" i="5"/>
  <c r="K2036" i="5" l="1"/>
  <c r="L2036" i="5" s="1"/>
  <c r="N2037" i="5"/>
  <c r="M2035" i="5"/>
  <c r="F2038" i="5"/>
  <c r="G2037" i="5"/>
  <c r="I2037" i="5"/>
  <c r="J2037" i="5"/>
  <c r="H2037" i="5"/>
  <c r="K2037" i="5" l="1"/>
  <c r="L2037" i="5" s="1"/>
  <c r="N2038" i="5"/>
  <c r="F2039" i="5"/>
  <c r="G2038" i="5"/>
  <c r="I2038" i="5"/>
  <c r="J2038" i="5"/>
  <c r="H2038" i="5"/>
  <c r="M2037" i="5"/>
  <c r="M2036" i="5"/>
  <c r="F2040" i="5" l="1"/>
  <c r="G2039" i="5"/>
  <c r="H2039" i="5"/>
  <c r="J2039" i="5"/>
  <c r="I2039" i="5"/>
  <c r="K2038" i="5"/>
  <c r="L2038" i="5" s="1"/>
  <c r="N2039" i="5"/>
  <c r="K2039" i="5" l="1"/>
  <c r="L2039" i="5" s="1"/>
  <c r="N2040" i="5"/>
  <c r="M2038" i="5"/>
  <c r="F2041" i="5"/>
  <c r="H2040" i="5"/>
  <c r="G2040" i="5"/>
  <c r="J2040" i="5"/>
  <c r="K2040" i="5" l="1"/>
  <c r="L2040" i="5" s="1"/>
  <c r="N2041" i="5"/>
  <c r="F2042" i="5"/>
  <c r="H2041" i="5"/>
  <c r="G2041" i="5"/>
  <c r="I2041" i="5"/>
  <c r="J2041" i="5"/>
  <c r="M2040" i="5"/>
  <c r="I2040" i="5"/>
  <c r="M2039" i="5"/>
  <c r="F2043" i="5" l="1"/>
  <c r="H2042" i="5"/>
  <c r="G2042" i="5"/>
  <c r="I2042" i="5"/>
  <c r="J2042" i="5"/>
  <c r="K2041" i="5"/>
  <c r="L2041" i="5" s="1"/>
  <c r="N2042" i="5"/>
  <c r="M2041" i="5"/>
  <c r="K2042" i="5" l="1"/>
  <c r="L2042" i="5" s="1"/>
  <c r="N2043" i="5"/>
  <c r="F2044" i="5"/>
  <c r="G2043" i="5"/>
  <c r="H2043" i="5"/>
  <c r="I2043" i="5"/>
  <c r="J2043" i="5"/>
  <c r="F2045" i="5" l="1"/>
  <c r="G2044" i="5"/>
  <c r="J2044" i="5" s="1"/>
  <c r="H2044" i="5"/>
  <c r="I2044" i="5"/>
  <c r="K2043" i="5"/>
  <c r="L2043" i="5" s="1"/>
  <c r="M2043" i="5" s="1"/>
  <c r="N2044" i="5"/>
  <c r="M2042" i="5"/>
  <c r="K2044" i="5" l="1"/>
  <c r="L2044" i="5" s="1"/>
  <c r="M2044" i="5" s="1"/>
  <c r="N2045" i="5"/>
  <c r="F2046" i="5"/>
  <c r="G2045" i="5"/>
  <c r="H2045" i="5"/>
  <c r="I2045" i="5"/>
  <c r="J2045" i="5"/>
  <c r="K2045" i="5" l="1"/>
  <c r="L2045" i="5" s="1"/>
  <c r="N2046" i="5"/>
  <c r="F2047" i="5"/>
  <c r="G2046" i="5"/>
  <c r="H2046" i="5"/>
  <c r="I2046" i="5"/>
  <c r="J2046" i="5"/>
  <c r="M2045" i="5"/>
  <c r="F2048" i="5" l="1"/>
  <c r="G2047" i="5"/>
  <c r="I2047" i="5"/>
  <c r="H2047" i="5"/>
  <c r="J2047" i="5"/>
  <c r="K2046" i="5"/>
  <c r="L2046" i="5" s="1"/>
  <c r="N2047" i="5"/>
  <c r="K2047" i="5" l="1"/>
  <c r="L2047" i="5" s="1"/>
  <c r="N2048" i="5"/>
  <c r="M2046" i="5"/>
  <c r="F2049" i="5"/>
  <c r="G2048" i="5"/>
  <c r="H2048" i="5"/>
  <c r="I2048" i="5"/>
  <c r="F2050" i="5" l="1"/>
  <c r="G2049" i="5"/>
  <c r="H2049" i="5"/>
  <c r="J2049" i="5" s="1"/>
  <c r="I2049" i="5"/>
  <c r="J2048" i="5"/>
  <c r="M2047" i="5"/>
  <c r="N2050" i="5" l="1"/>
  <c r="K2049" i="5"/>
  <c r="L2049" i="5" s="1"/>
  <c r="K2048" i="5"/>
  <c r="L2048" i="5" s="1"/>
  <c r="N2049" i="5"/>
  <c r="F2051" i="5"/>
  <c r="G2050" i="5"/>
  <c r="H2050" i="5"/>
  <c r="I2050" i="5"/>
  <c r="F2052" i="5" l="1"/>
  <c r="G2051" i="5"/>
  <c r="H2051" i="5"/>
  <c r="I2051" i="5"/>
  <c r="J2051" i="5"/>
  <c r="M2049" i="5"/>
  <c r="M2048" i="5"/>
  <c r="J2050" i="5"/>
  <c r="K2051" i="5" l="1"/>
  <c r="L2051" i="5" s="1"/>
  <c r="N2051" i="5"/>
  <c r="N2052" i="5" s="1"/>
  <c r="K2050" i="5"/>
  <c r="L2050" i="5" s="1"/>
  <c r="F2053" i="5"/>
  <c r="G2052" i="5"/>
  <c r="H2052" i="5"/>
  <c r="F2054" i="5" l="1"/>
  <c r="G2053" i="5"/>
  <c r="H2053" i="5"/>
  <c r="I2053" i="5"/>
  <c r="J2053" i="5"/>
  <c r="M2051" i="5"/>
  <c r="M2050" i="5"/>
  <c r="I2052" i="5"/>
  <c r="J2052" i="5"/>
  <c r="K2053" i="5" l="1"/>
  <c r="K2052" i="5"/>
  <c r="L2052" i="5" s="1"/>
  <c r="N2053" i="5"/>
  <c r="N2054" i="5" s="1"/>
  <c r="F2055" i="5"/>
  <c r="H2054" i="5"/>
  <c r="G2054" i="5"/>
  <c r="I2054" i="5"/>
  <c r="M2052" i="5" l="1"/>
  <c r="F2056" i="5"/>
  <c r="G2055" i="5"/>
  <c r="H2055" i="5"/>
  <c r="I2055" i="5"/>
  <c r="J2055" i="5"/>
  <c r="J2054" i="5"/>
  <c r="L2053" i="5"/>
  <c r="K2055" i="5" l="1"/>
  <c r="N2056" i="5"/>
  <c r="F2057" i="5"/>
  <c r="G2056" i="5"/>
  <c r="H2056" i="5"/>
  <c r="I2056" i="5"/>
  <c r="J2056" i="5"/>
  <c r="K2054" i="5"/>
  <c r="L2054" i="5" s="1"/>
  <c r="N2055" i="5"/>
  <c r="M2053" i="5"/>
  <c r="F2058" i="5" l="1"/>
  <c r="G2057" i="5"/>
  <c r="I2057" i="5"/>
  <c r="H2057" i="5"/>
  <c r="J2057" i="5"/>
  <c r="M2055" i="5"/>
  <c r="K2056" i="5"/>
  <c r="L2056" i="5" s="1"/>
  <c r="N2057" i="5"/>
  <c r="M2054" i="5"/>
  <c r="L2055" i="5"/>
  <c r="K2057" i="5" l="1"/>
  <c r="L2057" i="5" s="1"/>
  <c r="N2058" i="5"/>
  <c r="M2056" i="5"/>
  <c r="F2059" i="5"/>
  <c r="H2058" i="5"/>
  <c r="G2058" i="5"/>
  <c r="I2058" i="5"/>
  <c r="F2060" i="5" l="1"/>
  <c r="G2059" i="5"/>
  <c r="H2059" i="5"/>
  <c r="I2059" i="5"/>
  <c r="J2059" i="5"/>
  <c r="J2058" i="5"/>
  <c r="M2057" i="5"/>
  <c r="K2058" i="5" l="1"/>
  <c r="L2058" i="5" s="1"/>
  <c r="N2059" i="5"/>
  <c r="K2059" i="5"/>
  <c r="L2059" i="5" s="1"/>
  <c r="N2060" i="5"/>
  <c r="G2060" i="5"/>
  <c r="F2061" i="5"/>
  <c r="I2060" i="5" s="1"/>
  <c r="H2060" i="5"/>
  <c r="F2062" i="5" l="1"/>
  <c r="I2061" i="5" s="1"/>
  <c r="G2061" i="5"/>
  <c r="H2061" i="5"/>
  <c r="J2060" i="5"/>
  <c r="M2059" i="5"/>
  <c r="M2058" i="5"/>
  <c r="K2060" i="5" l="1"/>
  <c r="L2060" i="5" s="1"/>
  <c r="N2061" i="5"/>
  <c r="J2061" i="5"/>
  <c r="F2063" i="5"/>
  <c r="G2062" i="5"/>
  <c r="H2062" i="5"/>
  <c r="J2062" i="5"/>
  <c r="I2062" i="5"/>
  <c r="F2064" i="5" l="1"/>
  <c r="G2063" i="5"/>
  <c r="J2063" i="5" s="1"/>
  <c r="H2063" i="5"/>
  <c r="I2063" i="5"/>
  <c r="K2061" i="5"/>
  <c r="L2061" i="5" s="1"/>
  <c r="N2062" i="5"/>
  <c r="N2063" i="5" s="1"/>
  <c r="K2062" i="5"/>
  <c r="L2062" i="5" s="1"/>
  <c r="M2061" i="5"/>
  <c r="M2060" i="5"/>
  <c r="K2063" i="5" l="1"/>
  <c r="L2063" i="5" s="1"/>
  <c r="M2063" i="5" s="1"/>
  <c r="N2064" i="5"/>
  <c r="M2062" i="5"/>
  <c r="F2065" i="5"/>
  <c r="H2064" i="5"/>
  <c r="G2064" i="5"/>
  <c r="I2064" i="5"/>
  <c r="J2064" i="5"/>
  <c r="F2066" i="5" l="1"/>
  <c r="G2065" i="5"/>
  <c r="H2065" i="5"/>
  <c r="I2065" i="5"/>
  <c r="J2065" i="5"/>
  <c r="K2064" i="5"/>
  <c r="L2064" i="5" s="1"/>
  <c r="N2065" i="5"/>
  <c r="M2064" i="5"/>
  <c r="K2065" i="5" l="1"/>
  <c r="L2065" i="5" s="1"/>
  <c r="N2066" i="5"/>
  <c r="F2067" i="5"/>
  <c r="H2066" i="5"/>
  <c r="G2066" i="5"/>
  <c r="I2066" i="5"/>
  <c r="J2066" i="5"/>
  <c r="K2066" i="5" l="1"/>
  <c r="L2066" i="5" s="1"/>
  <c r="N2067" i="5"/>
  <c r="F2068" i="5"/>
  <c r="G2067" i="5"/>
  <c r="H2067" i="5"/>
  <c r="I2067" i="5"/>
  <c r="J2067" i="5"/>
  <c r="M2066" i="5"/>
  <c r="M2065" i="5"/>
  <c r="F2069" i="5" l="1"/>
  <c r="G2068" i="5"/>
  <c r="H2068" i="5"/>
  <c r="I2068" i="5"/>
  <c r="J2068" i="5"/>
  <c r="K2067" i="5"/>
  <c r="L2067" i="5" s="1"/>
  <c r="M2067" i="5" s="1"/>
  <c r="N2068" i="5"/>
  <c r="K2068" i="5" l="1"/>
  <c r="L2068" i="5" s="1"/>
  <c r="M2068" i="5" s="1"/>
  <c r="N2069" i="5"/>
  <c r="F2070" i="5"/>
  <c r="G2069" i="5"/>
  <c r="I2069" i="5"/>
  <c r="H2069" i="5"/>
  <c r="J2069" i="5"/>
  <c r="K2069" i="5" l="1"/>
  <c r="L2069" i="5" s="1"/>
  <c r="N2070" i="5"/>
  <c r="F2071" i="5"/>
  <c r="G2070" i="5"/>
  <c r="H2070" i="5"/>
  <c r="I2070" i="5"/>
  <c r="J2070" i="5"/>
  <c r="M2069" i="5"/>
  <c r="F2072" i="5" l="1"/>
  <c r="G2071" i="5"/>
  <c r="H2071" i="5"/>
  <c r="J2071" i="5"/>
  <c r="I2071" i="5"/>
  <c r="K2070" i="5"/>
  <c r="L2070" i="5" s="1"/>
  <c r="N2071" i="5"/>
  <c r="M2070" i="5"/>
  <c r="K2071" i="5" l="1"/>
  <c r="L2071" i="5" s="1"/>
  <c r="N2072" i="5"/>
  <c r="F2073" i="5"/>
  <c r="G2072" i="5"/>
  <c r="H2072" i="5"/>
  <c r="I2072" i="5"/>
  <c r="J2072" i="5"/>
  <c r="N2073" i="5" l="1"/>
  <c r="K2072" i="5"/>
  <c r="L2072" i="5" s="1"/>
  <c r="F2074" i="5"/>
  <c r="G2073" i="5"/>
  <c r="H2073" i="5"/>
  <c r="I2073" i="5"/>
  <c r="J2073" i="5"/>
  <c r="M2072" i="5"/>
  <c r="M2071" i="5"/>
  <c r="K2073" i="5" l="1"/>
  <c r="L2073" i="5" s="1"/>
  <c r="N2074" i="5"/>
  <c r="F2075" i="5"/>
  <c r="G2074" i="5"/>
  <c r="H2074" i="5"/>
  <c r="I2074" i="5"/>
  <c r="J2074" i="5"/>
  <c r="M2073" i="5"/>
  <c r="K2074" i="5" l="1"/>
  <c r="L2074" i="5" s="1"/>
  <c r="N2075" i="5"/>
  <c r="F2076" i="5"/>
  <c r="G2075" i="5"/>
  <c r="H2075" i="5"/>
  <c r="I2075" i="5"/>
  <c r="J2075" i="5"/>
  <c r="M2074" i="5"/>
  <c r="F2077" i="5" l="1"/>
  <c r="G2076" i="5"/>
  <c r="H2076" i="5"/>
  <c r="I2076" i="5"/>
  <c r="J2076" i="5"/>
  <c r="K2075" i="5"/>
  <c r="L2075" i="5" s="1"/>
  <c r="M2075" i="5" s="1"/>
  <c r="N2076" i="5"/>
  <c r="K2076" i="5" l="1"/>
  <c r="L2076" i="5" s="1"/>
  <c r="N2077" i="5"/>
  <c r="M2076" i="5"/>
  <c r="F2078" i="5"/>
  <c r="G2077" i="5"/>
  <c r="H2077" i="5"/>
  <c r="I2077" i="5"/>
  <c r="J2077" i="5"/>
  <c r="K2077" i="5" l="1"/>
  <c r="L2077" i="5" s="1"/>
  <c r="N2078" i="5"/>
  <c r="F2079" i="5"/>
  <c r="G2078" i="5"/>
  <c r="I2078" i="5"/>
  <c r="H2078" i="5"/>
  <c r="J2078" i="5" s="1"/>
  <c r="M2077" i="5"/>
  <c r="K2078" i="5" l="1"/>
  <c r="L2078" i="5" s="1"/>
  <c r="N2079" i="5"/>
  <c r="F2080" i="5"/>
  <c r="G2079" i="5"/>
  <c r="I2079" i="5"/>
  <c r="H2079" i="5"/>
  <c r="J2079" i="5"/>
  <c r="M2078" i="5"/>
  <c r="K2079" i="5" l="1"/>
  <c r="L2079" i="5" s="1"/>
  <c r="N2080" i="5"/>
  <c r="F2081" i="5"/>
  <c r="G2080" i="5"/>
  <c r="I2080" i="5"/>
  <c r="H2080" i="5"/>
  <c r="J2080" i="5"/>
  <c r="M2079" i="5"/>
  <c r="K2080" i="5" l="1"/>
  <c r="L2080" i="5" s="1"/>
  <c r="N2081" i="5"/>
  <c r="F2082" i="5"/>
  <c r="G2081" i="5"/>
  <c r="H2081" i="5"/>
  <c r="J2081" i="5"/>
  <c r="I2081" i="5"/>
  <c r="M2080" i="5"/>
  <c r="N2082" i="5" l="1"/>
  <c r="K2081" i="5"/>
  <c r="L2081" i="5" s="1"/>
  <c r="F2083" i="5"/>
  <c r="H2082" i="5"/>
  <c r="G2082" i="5"/>
  <c r="J2082" i="5"/>
  <c r="I2082" i="5"/>
  <c r="M2081" i="5"/>
  <c r="K2082" i="5" l="1"/>
  <c r="L2082" i="5" s="1"/>
  <c r="N2083" i="5"/>
  <c r="F2084" i="5"/>
  <c r="G2083" i="5"/>
  <c r="H2083" i="5"/>
  <c r="I2083" i="5"/>
  <c r="J2083" i="5"/>
  <c r="M2082" i="5"/>
  <c r="F2085" i="5" l="1"/>
  <c r="G2084" i="5"/>
  <c r="H2084" i="5"/>
  <c r="I2084" i="5"/>
  <c r="J2084" i="5"/>
  <c r="K2083" i="5"/>
  <c r="L2083" i="5" s="1"/>
  <c r="N2084" i="5"/>
  <c r="M2083" i="5" l="1"/>
  <c r="K2084" i="5"/>
  <c r="L2084" i="5" s="1"/>
  <c r="N2085" i="5"/>
  <c r="F2086" i="5"/>
  <c r="G2085" i="5"/>
  <c r="H2085" i="5"/>
  <c r="I2085" i="5"/>
  <c r="F2087" i="5" l="1"/>
  <c r="G2086" i="5"/>
  <c r="H2086" i="5"/>
  <c r="I2086" i="5"/>
  <c r="J2086" i="5"/>
  <c r="J2085" i="5"/>
  <c r="M2084" i="5"/>
  <c r="K2085" i="5" l="1"/>
  <c r="L2085" i="5" s="1"/>
  <c r="N2086" i="5"/>
  <c r="K2086" i="5"/>
  <c r="L2086" i="5" s="1"/>
  <c r="N2087" i="5"/>
  <c r="F2088" i="5"/>
  <c r="I2087" i="5" s="1"/>
  <c r="G2087" i="5"/>
  <c r="H2087" i="5"/>
  <c r="F2089" i="5" l="1"/>
  <c r="I2088" i="5" s="1"/>
  <c r="G2088" i="5"/>
  <c r="H2088" i="5"/>
  <c r="J2088" i="5"/>
  <c r="J2087" i="5"/>
  <c r="M2086" i="5"/>
  <c r="M2085" i="5"/>
  <c r="K2087" i="5" l="1"/>
  <c r="L2087" i="5" s="1"/>
  <c r="N2088" i="5"/>
  <c r="K2088" i="5"/>
  <c r="L2088" i="5" s="1"/>
  <c r="N2089" i="5"/>
  <c r="F2090" i="5"/>
  <c r="H2089" i="5"/>
  <c r="G2089" i="5"/>
  <c r="F2091" i="5" l="1"/>
  <c r="H2090" i="5"/>
  <c r="I2090" i="5"/>
  <c r="J2090" i="5"/>
  <c r="G2090" i="5"/>
  <c r="I2089" i="5"/>
  <c r="J2089" i="5"/>
  <c r="M2088" i="5"/>
  <c r="M2087" i="5"/>
  <c r="K2089" i="5" l="1"/>
  <c r="L2089" i="5" s="1"/>
  <c r="N2090" i="5"/>
  <c r="N2091" i="5" s="1"/>
  <c r="K2090" i="5"/>
  <c r="L2090" i="5" s="1"/>
  <c r="G2091" i="5"/>
  <c r="F2092" i="5"/>
  <c r="H2091" i="5"/>
  <c r="I2091" i="5"/>
  <c r="G2092" i="5" l="1"/>
  <c r="H2092" i="5"/>
  <c r="F2093" i="5"/>
  <c r="J2091" i="5"/>
  <c r="M2090" i="5"/>
  <c r="M2089" i="5"/>
  <c r="F2094" i="5" l="1"/>
  <c r="H2093" i="5"/>
  <c r="J2093" i="5" s="1"/>
  <c r="G2093" i="5"/>
  <c r="I2093" i="5"/>
  <c r="N2092" i="5"/>
  <c r="K2091" i="5"/>
  <c r="L2091" i="5" s="1"/>
  <c r="I2092" i="5"/>
  <c r="J2092" i="5"/>
  <c r="K2093" i="5" l="1"/>
  <c r="L2093" i="5" s="1"/>
  <c r="N2094" i="5"/>
  <c r="M2091" i="5"/>
  <c r="K2092" i="5"/>
  <c r="L2092" i="5" s="1"/>
  <c r="M2093" i="5" s="1"/>
  <c r="N2093" i="5"/>
  <c r="F2095" i="5"/>
  <c r="G2094" i="5"/>
  <c r="H2094" i="5"/>
  <c r="F2096" i="5" l="1"/>
  <c r="G2095" i="5"/>
  <c r="H2095" i="5"/>
  <c r="I2095" i="5"/>
  <c r="J2095" i="5"/>
  <c r="I2094" i="5"/>
  <c r="J2094" i="5"/>
  <c r="M2092" i="5"/>
  <c r="K2094" i="5" l="1"/>
  <c r="L2094" i="5" s="1"/>
  <c r="N2095" i="5"/>
  <c r="K2095" i="5"/>
  <c r="N2096" i="5"/>
  <c r="F2097" i="5"/>
  <c r="H2096" i="5"/>
  <c r="G2096" i="5"/>
  <c r="I2096" i="5"/>
  <c r="F2098" i="5" l="1"/>
  <c r="G2097" i="5"/>
  <c r="H2097" i="5"/>
  <c r="I2097" i="5"/>
  <c r="J2097" i="5"/>
  <c r="L2095" i="5"/>
  <c r="J2096" i="5"/>
  <c r="M2095" i="5"/>
  <c r="M2094" i="5"/>
  <c r="K2096" i="5" l="1"/>
  <c r="L2096" i="5" s="1"/>
  <c r="M2097" i="5" s="1"/>
  <c r="N2097" i="5"/>
  <c r="N2098" i="5" s="1"/>
  <c r="K2097" i="5"/>
  <c r="L2097" i="5" s="1"/>
  <c r="M2096" i="5"/>
  <c r="F2099" i="5"/>
  <c r="G2098" i="5"/>
  <c r="H2098" i="5"/>
  <c r="F2100" i="5" l="1"/>
  <c r="G2099" i="5"/>
  <c r="H2099" i="5"/>
  <c r="I2099" i="5"/>
  <c r="J2099" i="5"/>
  <c r="J2098" i="5"/>
  <c r="I2098" i="5"/>
  <c r="N2099" i="5" l="1"/>
  <c r="K2098" i="5"/>
  <c r="L2098" i="5" s="1"/>
  <c r="N2100" i="5"/>
  <c r="K2099" i="5"/>
  <c r="L2099" i="5" s="1"/>
  <c r="F2101" i="5"/>
  <c r="G2100" i="5"/>
  <c r="H2100" i="5"/>
  <c r="F2102" i="5" l="1"/>
  <c r="G2101" i="5"/>
  <c r="I2101" i="5"/>
  <c r="H2101" i="5"/>
  <c r="J2101" i="5"/>
  <c r="I2100" i="5"/>
  <c r="M2099" i="5"/>
  <c r="M2098" i="5"/>
  <c r="J2100" i="5"/>
  <c r="K2101" i="5" l="1"/>
  <c r="K2100" i="5"/>
  <c r="L2100" i="5" s="1"/>
  <c r="N2101" i="5"/>
  <c r="N2102" i="5" s="1"/>
  <c r="F2103" i="5"/>
  <c r="G2102" i="5"/>
  <c r="H2102" i="5"/>
  <c r="I2102" i="5"/>
  <c r="F2104" i="5" l="1"/>
  <c r="H2103" i="5"/>
  <c r="G2103" i="5"/>
  <c r="M2100" i="5"/>
  <c r="J2102" i="5"/>
  <c r="L2101" i="5"/>
  <c r="M2101" i="5" l="1"/>
  <c r="F2105" i="5"/>
  <c r="I2104" i="5" s="1"/>
  <c r="G2104" i="5"/>
  <c r="H2104" i="5"/>
  <c r="J2104" i="5"/>
  <c r="K2102" i="5"/>
  <c r="L2102" i="5" s="1"/>
  <c r="N2103" i="5"/>
  <c r="I2103" i="5"/>
  <c r="J2103" i="5"/>
  <c r="K2103" i="5" l="1"/>
  <c r="L2103" i="5" s="1"/>
  <c r="N2104" i="5"/>
  <c r="K2104" i="5"/>
  <c r="N2105" i="5"/>
  <c r="F2106" i="5"/>
  <c r="G2105" i="5"/>
  <c r="H2105" i="5"/>
  <c r="M2102" i="5"/>
  <c r="F2107" i="5" l="1"/>
  <c r="H2106" i="5"/>
  <c r="G2106" i="5"/>
  <c r="L2104" i="5"/>
  <c r="J2105" i="5"/>
  <c r="I2105" i="5"/>
  <c r="M2103" i="5"/>
  <c r="K2105" i="5" l="1"/>
  <c r="L2105" i="5" s="1"/>
  <c r="N2106" i="5"/>
  <c r="F2108" i="5"/>
  <c r="G2107" i="5"/>
  <c r="H2107" i="5"/>
  <c r="I2107" i="5"/>
  <c r="J2107" i="5"/>
  <c r="M2105" i="5"/>
  <c r="J2106" i="5"/>
  <c r="I2106" i="5"/>
  <c r="M2104" i="5"/>
  <c r="K2107" i="5" l="1"/>
  <c r="F2109" i="5"/>
  <c r="G2108" i="5"/>
  <c r="H2108" i="5"/>
  <c r="I2108" i="5"/>
  <c r="J2108" i="5"/>
  <c r="K2106" i="5"/>
  <c r="L2106" i="5" s="1"/>
  <c r="N2107" i="5"/>
  <c r="N2108" i="5" s="1"/>
  <c r="K2108" i="5" l="1"/>
  <c r="L2108" i="5" s="1"/>
  <c r="N2109" i="5"/>
  <c r="L2107" i="5"/>
  <c r="M2108" i="5" s="1"/>
  <c r="M2107" i="5"/>
  <c r="F2110" i="5"/>
  <c r="I2109" i="5" s="1"/>
  <c r="G2109" i="5"/>
  <c r="H2109" i="5"/>
  <c r="M2106" i="5"/>
  <c r="F2111" i="5" l="1"/>
  <c r="G2110" i="5"/>
  <c r="H2110" i="5"/>
  <c r="I2110" i="5"/>
  <c r="J2110" i="5"/>
  <c r="J2109" i="5"/>
  <c r="K2110" i="5" l="1"/>
  <c r="K2109" i="5"/>
  <c r="L2109" i="5" s="1"/>
  <c r="N2110" i="5"/>
  <c r="N2111" i="5" s="1"/>
  <c r="F2112" i="5"/>
  <c r="G2111" i="5"/>
  <c r="H2111" i="5"/>
  <c r="F2113" i="5" l="1"/>
  <c r="G2112" i="5"/>
  <c r="H2112" i="5"/>
  <c r="I2112" i="5"/>
  <c r="J2112" i="5"/>
  <c r="I2111" i="5"/>
  <c r="M2110" i="5"/>
  <c r="M2109" i="5"/>
  <c r="J2111" i="5"/>
  <c r="L2110" i="5"/>
  <c r="K2112" i="5" l="1"/>
  <c r="K2111" i="5"/>
  <c r="L2111" i="5" s="1"/>
  <c r="N2112" i="5"/>
  <c r="N2113" i="5" s="1"/>
  <c r="F2114" i="5"/>
  <c r="H2113" i="5"/>
  <c r="G2113" i="5"/>
  <c r="F2115" i="5" l="1"/>
  <c r="H2114" i="5"/>
  <c r="G2114" i="5"/>
  <c r="I2114" i="5"/>
  <c r="J2114" i="5"/>
  <c r="M2111" i="5"/>
  <c r="I2113" i="5"/>
  <c r="J2113" i="5"/>
  <c r="L2112" i="5"/>
  <c r="K2114" i="5" l="1"/>
  <c r="M2112" i="5"/>
  <c r="K2113" i="5"/>
  <c r="L2113" i="5" s="1"/>
  <c r="N2114" i="5"/>
  <c r="N2115" i="5" s="1"/>
  <c r="F2116" i="5"/>
  <c r="G2115" i="5"/>
  <c r="H2115" i="5"/>
  <c r="F2117" i="5" l="1"/>
  <c r="G2116" i="5"/>
  <c r="H2116" i="5"/>
  <c r="I2116" i="5"/>
  <c r="J2116" i="5"/>
  <c r="I2115" i="5"/>
  <c r="M2114" i="5"/>
  <c r="J2115" i="5"/>
  <c r="M2113" i="5"/>
  <c r="L2114" i="5"/>
  <c r="K2116" i="5" l="1"/>
  <c r="K2115" i="5"/>
  <c r="L2115" i="5" s="1"/>
  <c r="N2116" i="5"/>
  <c r="N2117" i="5" s="1"/>
  <c r="M2115" i="5"/>
  <c r="F2118" i="5"/>
  <c r="G2117" i="5"/>
  <c r="H2117" i="5"/>
  <c r="F2119" i="5" l="1"/>
  <c r="G2118" i="5"/>
  <c r="H2118" i="5"/>
  <c r="I2118" i="5"/>
  <c r="J2118" i="5"/>
  <c r="M2116" i="5"/>
  <c r="J2117" i="5"/>
  <c r="I2117" i="5"/>
  <c r="L2116" i="5"/>
  <c r="K2118" i="5" l="1"/>
  <c r="L2118" i="5" s="1"/>
  <c r="N2119" i="5"/>
  <c r="N2118" i="5"/>
  <c r="K2117" i="5"/>
  <c r="L2117" i="5" s="1"/>
  <c r="M2118" i="5" s="1"/>
  <c r="M2117" i="5"/>
  <c r="F2120" i="5"/>
  <c r="G2119" i="5"/>
  <c r="H2119" i="5"/>
  <c r="F2121" i="5" l="1"/>
  <c r="G2120" i="5"/>
  <c r="I2120" i="5"/>
  <c r="J2120" i="5"/>
  <c r="H2120" i="5"/>
  <c r="J2119" i="5"/>
  <c r="I2119" i="5"/>
  <c r="K2120" i="5" l="1"/>
  <c r="K2119" i="5"/>
  <c r="L2119" i="5" s="1"/>
  <c r="N2120" i="5"/>
  <c r="N2121" i="5" s="1"/>
  <c r="F2122" i="5"/>
  <c r="I2121" i="5" s="1"/>
  <c r="G2121" i="5"/>
  <c r="H2121" i="5"/>
  <c r="J2121" i="5" l="1"/>
  <c r="F2123" i="5"/>
  <c r="G2122" i="5"/>
  <c r="H2122" i="5"/>
  <c r="J2122" i="5"/>
  <c r="M2120" i="5"/>
  <c r="M2119" i="5"/>
  <c r="L2120" i="5"/>
  <c r="F2124" i="5" l="1"/>
  <c r="G2123" i="5"/>
  <c r="H2123" i="5"/>
  <c r="I2123" i="5"/>
  <c r="J2123" i="5"/>
  <c r="K2122" i="5"/>
  <c r="L2122" i="5" s="1"/>
  <c r="N2123" i="5"/>
  <c r="I2122" i="5"/>
  <c r="K2121" i="5"/>
  <c r="L2121" i="5" s="1"/>
  <c r="N2122" i="5"/>
  <c r="K2123" i="5" l="1"/>
  <c r="L2123" i="5" s="1"/>
  <c r="N2124" i="5"/>
  <c r="M2122" i="5"/>
  <c r="M2121" i="5"/>
  <c r="F2125" i="5"/>
  <c r="G2124" i="5"/>
  <c r="H2124" i="5"/>
  <c r="F2126" i="5" l="1"/>
  <c r="G2125" i="5"/>
  <c r="H2125" i="5"/>
  <c r="J2125" i="5"/>
  <c r="I2125" i="5"/>
  <c r="I2124" i="5"/>
  <c r="J2124" i="5"/>
  <c r="M2123" i="5"/>
  <c r="K2124" i="5" l="1"/>
  <c r="L2124" i="5" s="1"/>
  <c r="N2125" i="5"/>
  <c r="N2126" i="5"/>
  <c r="K2125" i="5"/>
  <c r="F2127" i="5"/>
  <c r="G2126" i="5"/>
  <c r="H2126" i="5"/>
  <c r="J2126" i="5"/>
  <c r="I2126" i="5"/>
  <c r="N2127" i="5" l="1"/>
  <c r="K2126" i="5"/>
  <c r="G2127" i="5"/>
  <c r="H2127" i="5"/>
  <c r="F2128" i="5"/>
  <c r="I2127" i="5" s="1"/>
  <c r="L2125" i="5"/>
  <c r="M2124" i="5"/>
  <c r="J2127" i="5" l="1"/>
  <c r="F2129" i="5"/>
  <c r="G2128" i="5"/>
  <c r="H2128" i="5"/>
  <c r="I2128" i="5"/>
  <c r="J2128" i="5"/>
  <c r="L2126" i="5"/>
  <c r="M2125" i="5"/>
  <c r="K2127" i="5" l="1"/>
  <c r="L2127" i="5" s="1"/>
  <c r="N2128" i="5"/>
  <c r="N2129" i="5"/>
  <c r="K2128" i="5"/>
  <c r="L2128" i="5" s="1"/>
  <c r="F2130" i="5"/>
  <c r="G2129" i="5"/>
  <c r="H2129" i="5"/>
  <c r="M2126" i="5"/>
  <c r="F2131" i="5" l="1"/>
  <c r="G2130" i="5"/>
  <c r="H2130" i="5"/>
  <c r="I2130" i="5"/>
  <c r="J2130" i="5"/>
  <c r="J2129" i="5"/>
  <c r="M2128" i="5"/>
  <c r="I2129" i="5"/>
  <c r="M2127" i="5"/>
  <c r="K2129" i="5" l="1"/>
  <c r="L2129" i="5" s="1"/>
  <c r="N2130" i="5"/>
  <c r="K2130" i="5"/>
  <c r="L2130" i="5" s="1"/>
  <c r="N2131" i="5"/>
  <c r="F2132" i="5"/>
  <c r="G2131" i="5"/>
  <c r="H2131" i="5"/>
  <c r="I2131" i="5"/>
  <c r="F2133" i="5" l="1"/>
  <c r="G2132" i="5"/>
  <c r="H2132" i="5"/>
  <c r="I2132" i="5"/>
  <c r="J2132" i="5"/>
  <c r="J2131" i="5"/>
  <c r="M2130" i="5"/>
  <c r="M2129" i="5"/>
  <c r="K2131" i="5" l="1"/>
  <c r="L2131" i="5" s="1"/>
  <c r="N2132" i="5"/>
  <c r="K2132" i="5"/>
  <c r="L2132" i="5" s="1"/>
  <c r="N2133" i="5"/>
  <c r="F2134" i="5"/>
  <c r="I2133" i="5" s="1"/>
  <c r="G2133" i="5"/>
  <c r="H2133" i="5"/>
  <c r="J2133" i="5"/>
  <c r="G2134" i="5" l="1"/>
  <c r="F2135" i="5"/>
  <c r="H2134" i="5"/>
  <c r="I2134" i="5"/>
  <c r="J2134" i="5"/>
  <c r="K2133" i="5"/>
  <c r="L2133" i="5" s="1"/>
  <c r="N2134" i="5"/>
  <c r="M2132" i="5"/>
  <c r="M2131" i="5"/>
  <c r="M2133" i="5" l="1"/>
  <c r="F2136" i="5"/>
  <c r="G2135" i="5"/>
  <c r="H2135" i="5"/>
  <c r="J2135" i="5"/>
  <c r="I2135" i="5"/>
  <c r="K2134" i="5"/>
  <c r="L2134" i="5" s="1"/>
  <c r="N2135" i="5"/>
  <c r="K2135" i="5" l="1"/>
  <c r="L2135" i="5" s="1"/>
  <c r="N2136" i="5"/>
  <c r="F2137" i="5"/>
  <c r="G2136" i="5"/>
  <c r="H2136" i="5"/>
  <c r="I2136" i="5"/>
  <c r="J2136" i="5"/>
  <c r="M2134" i="5"/>
  <c r="M2135" i="5" l="1"/>
  <c r="N2137" i="5"/>
  <c r="K2136" i="5"/>
  <c r="L2136" i="5" s="1"/>
  <c r="F2138" i="5"/>
  <c r="H2137" i="5"/>
  <c r="G2137" i="5"/>
  <c r="I2137" i="5"/>
  <c r="F2139" i="5" l="1"/>
  <c r="H2138" i="5"/>
  <c r="G2138" i="5"/>
  <c r="J2137" i="5"/>
  <c r="M2136" i="5"/>
  <c r="F2140" i="5" l="1"/>
  <c r="G2139" i="5"/>
  <c r="H2139" i="5"/>
  <c r="I2139" i="5"/>
  <c r="J2139" i="5"/>
  <c r="K2137" i="5"/>
  <c r="L2137" i="5" s="1"/>
  <c r="N2138" i="5"/>
  <c r="J2138" i="5"/>
  <c r="I2138" i="5"/>
  <c r="M2137" i="5" l="1"/>
  <c r="K2138" i="5"/>
  <c r="L2138" i="5" s="1"/>
  <c r="N2139" i="5"/>
  <c r="K2139" i="5"/>
  <c r="L2139" i="5" s="1"/>
  <c r="N2140" i="5"/>
  <c r="F2141" i="5"/>
  <c r="G2140" i="5"/>
  <c r="H2140" i="5"/>
  <c r="F2142" i="5" l="1"/>
  <c r="G2141" i="5"/>
  <c r="H2141" i="5"/>
  <c r="I2141" i="5"/>
  <c r="J2141" i="5"/>
  <c r="J2140" i="5"/>
  <c r="M2139" i="5"/>
  <c r="I2140" i="5"/>
  <c r="M2138" i="5"/>
  <c r="K2141" i="5" l="1"/>
  <c r="N2142" i="5"/>
  <c r="K2140" i="5"/>
  <c r="L2140" i="5" s="1"/>
  <c r="N2141" i="5"/>
  <c r="F2143" i="5"/>
  <c r="G2142" i="5"/>
  <c r="H2142" i="5"/>
  <c r="I2142" i="5"/>
  <c r="F2144" i="5" l="1"/>
  <c r="G2143" i="5"/>
  <c r="I2143" i="5"/>
  <c r="H2143" i="5"/>
  <c r="J2143" i="5"/>
  <c r="M2141" i="5"/>
  <c r="M2140" i="5"/>
  <c r="J2142" i="5"/>
  <c r="L2141" i="5"/>
  <c r="K2143" i="5" l="1"/>
  <c r="K2142" i="5"/>
  <c r="L2142" i="5" s="1"/>
  <c r="N2143" i="5"/>
  <c r="N2144" i="5" s="1"/>
  <c r="M2142" i="5"/>
  <c r="F2145" i="5"/>
  <c r="G2144" i="5"/>
  <c r="H2144" i="5"/>
  <c r="F2146" i="5" l="1"/>
  <c r="G2145" i="5"/>
  <c r="H2145" i="5"/>
  <c r="J2145" i="5"/>
  <c r="I2145" i="5"/>
  <c r="M2143" i="5"/>
  <c r="J2144" i="5"/>
  <c r="I2144" i="5"/>
  <c r="L2143" i="5"/>
  <c r="K2144" i="5" l="1"/>
  <c r="L2144" i="5" s="1"/>
  <c r="N2145" i="5"/>
  <c r="N2146" i="5" s="1"/>
  <c r="K2145" i="5"/>
  <c r="L2145" i="5" s="1"/>
  <c r="M2144" i="5"/>
  <c r="F2147" i="5"/>
  <c r="G2146" i="5"/>
  <c r="H2146" i="5"/>
  <c r="G2147" i="5" l="1"/>
  <c r="F2148" i="5"/>
  <c r="H2147" i="5"/>
  <c r="J2147" i="5" s="1"/>
  <c r="I2147" i="5"/>
  <c r="I2146" i="5"/>
  <c r="J2146" i="5"/>
  <c r="M2145" i="5"/>
  <c r="K2147" i="5" l="1"/>
  <c r="L2147" i="5" s="1"/>
  <c r="N2148" i="5"/>
  <c r="N2147" i="5"/>
  <c r="K2146" i="5"/>
  <c r="L2146" i="5" s="1"/>
  <c r="F2149" i="5"/>
  <c r="G2148" i="5"/>
  <c r="H2148" i="5"/>
  <c r="I2148" i="5"/>
  <c r="F2150" i="5" l="1"/>
  <c r="G2149" i="5"/>
  <c r="H2149" i="5"/>
  <c r="J2149" i="5"/>
  <c r="I2149" i="5"/>
  <c r="M2147" i="5"/>
  <c r="M2146" i="5"/>
  <c r="J2148" i="5"/>
  <c r="K2149" i="5" l="1"/>
  <c r="L2149" i="5" s="1"/>
  <c r="K2148" i="5"/>
  <c r="L2148" i="5" s="1"/>
  <c r="N2149" i="5"/>
  <c r="N2150" i="5" s="1"/>
  <c r="F2151" i="5"/>
  <c r="H2150" i="5"/>
  <c r="G2150" i="5"/>
  <c r="I2150" i="5"/>
  <c r="J2150" i="5"/>
  <c r="K2150" i="5" l="1"/>
  <c r="L2150" i="5" s="1"/>
  <c r="N2151" i="5"/>
  <c r="M2149" i="5"/>
  <c r="M2148" i="5"/>
  <c r="F2152" i="5"/>
  <c r="G2151" i="5"/>
  <c r="H2151" i="5"/>
  <c r="M2150" i="5"/>
  <c r="F2153" i="5" l="1"/>
  <c r="G2152" i="5"/>
  <c r="H2152" i="5"/>
  <c r="I2151" i="5"/>
  <c r="J2151" i="5"/>
  <c r="K2151" i="5" l="1"/>
  <c r="L2151" i="5" s="1"/>
  <c r="N2152" i="5"/>
  <c r="F2154" i="5"/>
  <c r="G2153" i="5"/>
  <c r="I2153" i="5"/>
  <c r="H2153" i="5"/>
  <c r="J2153" i="5"/>
  <c r="J2152" i="5"/>
  <c r="I2152" i="5"/>
  <c r="K2152" i="5" l="1"/>
  <c r="L2152" i="5" s="1"/>
  <c r="M2153" i="5" s="1"/>
  <c r="N2153" i="5"/>
  <c r="F2155" i="5"/>
  <c r="J2154" i="5" s="1"/>
  <c r="G2154" i="5"/>
  <c r="H2154" i="5"/>
  <c r="I2154" i="5"/>
  <c r="M2152" i="5"/>
  <c r="M2151" i="5"/>
  <c r="K2153" i="5"/>
  <c r="L2153" i="5" s="1"/>
  <c r="N2154" i="5"/>
  <c r="N2155" i="5" l="1"/>
  <c r="K2154" i="5"/>
  <c r="L2154" i="5" s="1"/>
  <c r="F2156" i="5"/>
  <c r="G2155" i="5"/>
  <c r="H2155" i="5"/>
  <c r="I2155" i="5"/>
  <c r="J2155" i="5"/>
  <c r="M2154" i="5"/>
  <c r="F2157" i="5" l="1"/>
  <c r="G2156" i="5"/>
  <c r="H2156" i="5"/>
  <c r="J2156" i="5" s="1"/>
  <c r="I2156" i="5"/>
  <c r="K2155" i="5"/>
  <c r="L2155" i="5" s="1"/>
  <c r="N2156" i="5"/>
  <c r="M2155" i="5"/>
  <c r="K2156" i="5" l="1"/>
  <c r="L2156" i="5" s="1"/>
  <c r="N2157" i="5"/>
  <c r="M2156" i="5"/>
  <c r="F2158" i="5"/>
  <c r="J2157" i="5" s="1"/>
  <c r="G2157" i="5"/>
  <c r="H2157" i="5"/>
  <c r="I2157" i="5"/>
  <c r="K2157" i="5" l="1"/>
  <c r="L2157" i="5" s="1"/>
  <c r="M2157" i="5" s="1"/>
  <c r="N2158" i="5"/>
  <c r="F2159" i="5"/>
  <c r="G2158" i="5"/>
  <c r="H2158" i="5"/>
  <c r="I2158" i="5"/>
  <c r="J2158" i="5"/>
  <c r="K2158" i="5" l="1"/>
  <c r="L2158" i="5" s="1"/>
  <c r="N2159" i="5"/>
  <c r="G2159" i="5"/>
  <c r="F2160" i="5"/>
  <c r="H2159" i="5"/>
  <c r="I2159" i="5"/>
  <c r="J2159" i="5"/>
  <c r="M2158" i="5"/>
  <c r="K2159" i="5" l="1"/>
  <c r="L2159" i="5" s="1"/>
  <c r="N2160" i="5"/>
  <c r="F2161" i="5"/>
  <c r="G2160" i="5"/>
  <c r="H2160" i="5"/>
  <c r="I2160" i="5"/>
  <c r="J2160" i="5"/>
  <c r="M2159" i="5"/>
  <c r="K2160" i="5" l="1"/>
  <c r="L2160" i="5" s="1"/>
  <c r="M2160" i="5" s="1"/>
  <c r="N2161" i="5"/>
  <c r="F2162" i="5"/>
  <c r="G2161" i="5"/>
  <c r="H2161" i="5"/>
  <c r="I2161" i="5"/>
  <c r="J2161" i="5"/>
  <c r="K2161" i="5" l="1"/>
  <c r="L2161" i="5" s="1"/>
  <c r="N2162" i="5"/>
  <c r="F2163" i="5"/>
  <c r="I2162" i="5" s="1"/>
  <c r="H2162" i="5"/>
  <c r="G2162" i="5"/>
  <c r="J2162" i="5" l="1"/>
  <c r="F2164" i="5"/>
  <c r="G2163" i="5"/>
  <c r="H2163" i="5"/>
  <c r="I2163" i="5"/>
  <c r="J2163" i="5"/>
  <c r="M2161" i="5"/>
  <c r="K2163" i="5" l="1"/>
  <c r="L2163" i="5" s="1"/>
  <c r="F2165" i="5"/>
  <c r="I2164" i="5" s="1"/>
  <c r="G2164" i="5"/>
  <c r="H2164" i="5"/>
  <c r="N2163" i="5"/>
  <c r="N2164" i="5" s="1"/>
  <c r="K2162" i="5"/>
  <c r="L2162" i="5" s="1"/>
  <c r="J2164" i="5" l="1"/>
  <c r="F2166" i="5"/>
  <c r="I2165" i="5"/>
  <c r="G2165" i="5"/>
  <c r="H2165" i="5"/>
  <c r="J2165" i="5"/>
  <c r="M2163" i="5"/>
  <c r="M2162" i="5"/>
  <c r="F2167" i="5" l="1"/>
  <c r="G2166" i="5"/>
  <c r="I2166" i="5"/>
  <c r="H2166" i="5"/>
  <c r="J2166" i="5"/>
  <c r="K2165" i="5"/>
  <c r="L2165" i="5" s="1"/>
  <c r="N2165" i="5"/>
  <c r="N2166" i="5" s="1"/>
  <c r="K2164" i="5"/>
  <c r="L2164" i="5" s="1"/>
  <c r="K2166" i="5" l="1"/>
  <c r="L2166" i="5" s="1"/>
  <c r="N2167" i="5"/>
  <c r="M2165" i="5"/>
  <c r="M2164" i="5"/>
  <c r="F2168" i="5"/>
  <c r="G2167" i="5"/>
  <c r="H2167" i="5"/>
  <c r="F2169" i="5" l="1"/>
  <c r="G2168" i="5"/>
  <c r="H2168" i="5"/>
  <c r="J2168" i="5"/>
  <c r="I2168" i="5"/>
  <c r="I2167" i="5"/>
  <c r="J2167" i="5"/>
  <c r="M2166" i="5"/>
  <c r="F2170" i="5" l="1"/>
  <c r="G2169" i="5"/>
  <c r="H2169" i="5"/>
  <c r="I2169" i="5"/>
  <c r="J2169" i="5"/>
  <c r="K2167" i="5"/>
  <c r="L2167" i="5" s="1"/>
  <c r="N2168" i="5"/>
  <c r="N2169" i="5" s="1"/>
  <c r="K2168" i="5"/>
  <c r="L2168" i="5" s="1"/>
  <c r="M2168" i="5" l="1"/>
  <c r="M2167" i="5"/>
  <c r="K2169" i="5"/>
  <c r="L2169" i="5" s="1"/>
  <c r="N2170" i="5"/>
  <c r="M2169" i="5"/>
  <c r="F2171" i="5"/>
  <c r="G2170" i="5"/>
  <c r="H2170" i="5"/>
  <c r="F2172" i="5" l="1"/>
  <c r="G2171" i="5"/>
  <c r="H2171" i="5"/>
  <c r="I2171" i="5"/>
  <c r="J2171" i="5"/>
  <c r="J2170" i="5"/>
  <c r="I2170" i="5"/>
  <c r="K2170" i="5" l="1"/>
  <c r="L2170" i="5" s="1"/>
  <c r="N2171" i="5"/>
  <c r="K2171" i="5"/>
  <c r="L2171" i="5" s="1"/>
  <c r="N2172" i="5"/>
  <c r="F2173" i="5"/>
  <c r="G2172" i="5"/>
  <c r="H2172" i="5"/>
  <c r="I2172" i="5"/>
  <c r="F2174" i="5" l="1"/>
  <c r="G2173" i="5"/>
  <c r="H2173" i="5"/>
  <c r="J2173" i="5"/>
  <c r="J2172" i="5"/>
  <c r="M2171" i="5"/>
  <c r="M2170" i="5"/>
  <c r="K2172" i="5" l="1"/>
  <c r="L2172" i="5" s="1"/>
  <c r="N2173" i="5"/>
  <c r="N2174" i="5" s="1"/>
  <c r="F2175" i="5"/>
  <c r="G2174" i="5"/>
  <c r="H2174" i="5"/>
  <c r="I2174" i="5"/>
  <c r="J2174" i="5"/>
  <c r="K2173" i="5"/>
  <c r="L2173" i="5" s="1"/>
  <c r="I2173" i="5"/>
  <c r="K2174" i="5" l="1"/>
  <c r="L2174" i="5" s="1"/>
  <c r="N2175" i="5"/>
  <c r="F2176" i="5"/>
  <c r="G2175" i="5"/>
  <c r="I2175" i="5"/>
  <c r="H2175" i="5"/>
  <c r="J2175" i="5"/>
  <c r="M2174" i="5"/>
  <c r="M2173" i="5"/>
  <c r="M2172" i="5"/>
  <c r="K2175" i="5" l="1"/>
  <c r="L2175" i="5" s="1"/>
  <c r="N2176" i="5"/>
  <c r="F2177" i="5"/>
  <c r="H2176" i="5"/>
  <c r="G2176" i="5"/>
  <c r="I2176" i="5"/>
  <c r="J2176" i="5"/>
  <c r="M2175" i="5"/>
  <c r="K2176" i="5" l="1"/>
  <c r="L2176" i="5" s="1"/>
  <c r="N2177" i="5"/>
  <c r="F2178" i="5"/>
  <c r="G2177" i="5"/>
  <c r="H2177" i="5"/>
  <c r="J2177" i="5"/>
  <c r="I2177" i="5"/>
  <c r="M2176" i="5"/>
  <c r="K2177" i="5" l="1"/>
  <c r="L2177" i="5" s="1"/>
  <c r="N2178" i="5"/>
  <c r="F2179" i="5"/>
  <c r="G2178" i="5"/>
  <c r="H2178" i="5"/>
  <c r="I2178" i="5"/>
  <c r="J2178" i="5"/>
  <c r="M2177" i="5"/>
  <c r="K2178" i="5" l="1"/>
  <c r="L2178" i="5" s="1"/>
  <c r="N2179" i="5"/>
  <c r="F2180" i="5"/>
  <c r="G2179" i="5"/>
  <c r="H2179" i="5"/>
  <c r="I2179" i="5"/>
  <c r="J2179" i="5"/>
  <c r="M2178" i="5"/>
  <c r="K2179" i="5" l="1"/>
  <c r="L2179" i="5" s="1"/>
  <c r="N2180" i="5"/>
  <c r="F2181" i="5"/>
  <c r="G2180" i="5"/>
  <c r="H2180" i="5"/>
  <c r="I2180" i="5"/>
  <c r="J2180" i="5"/>
  <c r="M2179" i="5"/>
  <c r="N2181" i="5" l="1"/>
  <c r="K2180" i="5"/>
  <c r="L2180" i="5" s="1"/>
  <c r="F2182" i="5"/>
  <c r="G2181" i="5"/>
  <c r="H2181" i="5"/>
  <c r="I2181" i="5"/>
  <c r="J2181" i="5"/>
  <c r="M2180" i="5"/>
  <c r="N2182" i="5" l="1"/>
  <c r="K2181" i="5"/>
  <c r="L2181" i="5" s="1"/>
  <c r="F2183" i="5"/>
  <c r="H2182" i="5"/>
  <c r="G2182" i="5"/>
  <c r="I2182" i="5"/>
  <c r="J2182" i="5"/>
  <c r="M2181" i="5"/>
  <c r="K2182" i="5" l="1"/>
  <c r="L2182" i="5" s="1"/>
  <c r="N2183" i="5"/>
  <c r="F2184" i="5"/>
  <c r="G2183" i="5"/>
  <c r="H2183" i="5"/>
  <c r="M2182" i="5"/>
  <c r="F2185" i="5" l="1"/>
  <c r="G2184" i="5"/>
  <c r="H2184" i="5"/>
  <c r="I2184" i="5"/>
  <c r="J2184" i="5"/>
  <c r="J2183" i="5"/>
  <c r="I2183" i="5"/>
  <c r="K2183" i="5" l="1"/>
  <c r="L2183" i="5" s="1"/>
  <c r="N2184" i="5"/>
  <c r="K2184" i="5"/>
  <c r="L2184" i="5" s="1"/>
  <c r="N2185" i="5"/>
  <c r="F2186" i="5"/>
  <c r="G2185" i="5"/>
  <c r="I2185" i="5"/>
  <c r="H2185" i="5"/>
  <c r="F2187" i="5" l="1"/>
  <c r="H2186" i="5"/>
  <c r="I2186" i="5"/>
  <c r="G2186" i="5"/>
  <c r="J2186" i="5" s="1"/>
  <c r="J2185" i="5"/>
  <c r="M2184" i="5"/>
  <c r="M2183" i="5"/>
  <c r="K2186" i="5" l="1"/>
  <c r="L2186" i="5" s="1"/>
  <c r="N2187" i="5"/>
  <c r="K2185" i="5"/>
  <c r="L2185" i="5" s="1"/>
  <c r="N2186" i="5"/>
  <c r="F2188" i="5"/>
  <c r="G2187" i="5"/>
  <c r="H2187" i="5"/>
  <c r="I2187" i="5"/>
  <c r="M2186" i="5" l="1"/>
  <c r="M2185" i="5"/>
  <c r="F2189" i="5"/>
  <c r="G2188" i="5"/>
  <c r="I2188" i="5"/>
  <c r="H2188" i="5"/>
  <c r="J2188" i="5"/>
  <c r="J2187" i="5"/>
  <c r="K2187" i="5" l="1"/>
  <c r="L2187" i="5" s="1"/>
  <c r="N2188" i="5"/>
  <c r="K2188" i="5"/>
  <c r="L2188" i="5" s="1"/>
  <c r="N2189" i="5"/>
  <c r="F2190" i="5"/>
  <c r="H2189" i="5"/>
  <c r="I2189" i="5"/>
  <c r="G2189" i="5"/>
  <c r="F2191" i="5" l="1"/>
  <c r="H2190" i="5"/>
  <c r="J2190" i="5"/>
  <c r="I2190" i="5"/>
  <c r="G2190" i="5"/>
  <c r="J2189" i="5"/>
  <c r="M2188" i="5"/>
  <c r="M2187" i="5"/>
  <c r="K2189" i="5" l="1"/>
  <c r="L2189" i="5" s="1"/>
  <c r="N2190" i="5"/>
  <c r="K2190" i="5"/>
  <c r="L2190" i="5" s="1"/>
  <c r="N2191" i="5"/>
  <c r="F2192" i="5"/>
  <c r="G2191" i="5"/>
  <c r="H2191" i="5"/>
  <c r="I2191" i="5"/>
  <c r="F2193" i="5" l="1"/>
  <c r="G2192" i="5"/>
  <c r="H2192" i="5"/>
  <c r="I2192" i="5"/>
  <c r="J2192" i="5"/>
  <c r="J2191" i="5"/>
  <c r="M2190" i="5"/>
  <c r="M2189" i="5"/>
  <c r="K2191" i="5" l="1"/>
  <c r="L2191" i="5" s="1"/>
  <c r="N2192" i="5"/>
  <c r="N2193" i="5" s="1"/>
  <c r="K2192" i="5"/>
  <c r="L2192" i="5" s="1"/>
  <c r="F2194" i="5"/>
  <c r="G2193" i="5"/>
  <c r="H2193" i="5"/>
  <c r="I2193" i="5"/>
  <c r="F2195" i="5" l="1"/>
  <c r="H2194" i="5"/>
  <c r="G2194" i="5"/>
  <c r="J2193" i="5"/>
  <c r="M2192" i="5"/>
  <c r="M2191" i="5"/>
  <c r="F2196" i="5" l="1"/>
  <c r="G2195" i="5"/>
  <c r="H2195" i="5"/>
  <c r="I2195" i="5"/>
  <c r="J2195" i="5"/>
  <c r="K2193" i="5"/>
  <c r="L2193" i="5" s="1"/>
  <c r="N2194" i="5"/>
  <c r="J2194" i="5"/>
  <c r="I2194" i="5"/>
  <c r="K2194" i="5" l="1"/>
  <c r="L2194" i="5" s="1"/>
  <c r="N2195" i="5"/>
  <c r="K2195" i="5"/>
  <c r="L2195" i="5" s="1"/>
  <c r="N2196" i="5"/>
  <c r="M2194" i="5"/>
  <c r="M2193" i="5"/>
  <c r="F2197" i="5"/>
  <c r="I2196" i="5" s="1"/>
  <c r="G2196" i="5"/>
  <c r="H2196" i="5"/>
  <c r="J2196" i="5" l="1"/>
  <c r="F2198" i="5"/>
  <c r="G2197" i="5"/>
  <c r="I2197" i="5"/>
  <c r="H2197" i="5"/>
  <c r="J2197" i="5"/>
  <c r="M2195" i="5"/>
  <c r="K2197" i="5" l="1"/>
  <c r="F2199" i="5"/>
  <c r="G2198" i="5"/>
  <c r="H2198" i="5"/>
  <c r="I2198" i="5"/>
  <c r="J2198" i="5"/>
  <c r="K2196" i="5"/>
  <c r="L2196" i="5" s="1"/>
  <c r="N2197" i="5"/>
  <c r="N2198" i="5" s="1"/>
  <c r="M2196" i="5" l="1"/>
  <c r="F2200" i="5"/>
  <c r="H2199" i="5"/>
  <c r="G2199" i="5"/>
  <c r="J2199" i="5"/>
  <c r="I2199" i="5"/>
  <c r="N2199" i="5"/>
  <c r="K2198" i="5"/>
  <c r="L2197" i="5"/>
  <c r="K2199" i="5" l="1"/>
  <c r="N2200" i="5"/>
  <c r="F2201" i="5"/>
  <c r="H2200" i="5"/>
  <c r="G2200" i="5"/>
  <c r="I2200" i="5"/>
  <c r="J2200" i="5"/>
  <c r="M2198" i="5"/>
  <c r="L2198" i="5"/>
  <c r="M2197" i="5"/>
  <c r="K2200" i="5" l="1"/>
  <c r="L2200" i="5" s="1"/>
  <c r="N2201" i="5"/>
  <c r="G2201" i="5"/>
  <c r="F2202" i="5"/>
  <c r="H2201" i="5"/>
  <c r="I2201" i="5"/>
  <c r="J2201" i="5"/>
  <c r="M2199" i="5"/>
  <c r="L2199" i="5"/>
  <c r="M2200" i="5" s="1"/>
  <c r="K2201" i="5" l="1"/>
  <c r="L2201" i="5" s="1"/>
  <c r="N2202" i="5"/>
  <c r="F2203" i="5"/>
  <c r="G2202" i="5"/>
  <c r="H2202" i="5"/>
  <c r="I2202" i="5"/>
  <c r="J2202" i="5"/>
  <c r="M2201" i="5"/>
  <c r="K2202" i="5" l="1"/>
  <c r="L2202" i="5" s="1"/>
  <c r="N2203" i="5"/>
  <c r="F2204" i="5"/>
  <c r="G2203" i="5"/>
  <c r="H2203" i="5"/>
  <c r="I2203" i="5"/>
  <c r="J2203" i="5"/>
  <c r="M2202" i="5"/>
  <c r="K2203" i="5" l="1"/>
  <c r="L2203" i="5" s="1"/>
  <c r="N2204" i="5"/>
  <c r="F2205" i="5"/>
  <c r="G2204" i="5"/>
  <c r="H2204" i="5"/>
  <c r="I2204" i="5"/>
  <c r="J2204" i="5"/>
  <c r="M2203" i="5"/>
  <c r="K2204" i="5" l="1"/>
  <c r="L2204" i="5" s="1"/>
  <c r="N2205" i="5"/>
  <c r="F2206" i="5"/>
  <c r="G2205" i="5"/>
  <c r="H2205" i="5"/>
  <c r="J2205" i="5" s="1"/>
  <c r="I2205" i="5"/>
  <c r="M2204" i="5"/>
  <c r="K2205" i="5" l="1"/>
  <c r="L2205" i="5" s="1"/>
  <c r="N2206" i="5"/>
  <c r="F2207" i="5"/>
  <c r="G2206" i="5"/>
  <c r="I2206" i="5"/>
  <c r="J2206" i="5"/>
  <c r="H2206" i="5"/>
  <c r="M2205" i="5"/>
  <c r="K2206" i="5" l="1"/>
  <c r="L2206" i="5" s="1"/>
  <c r="N2207" i="5"/>
  <c r="F2208" i="5"/>
  <c r="G2207" i="5"/>
  <c r="I2207" i="5"/>
  <c r="J2207" i="5"/>
  <c r="H2207" i="5"/>
  <c r="M2206" i="5"/>
  <c r="K2207" i="5" l="1"/>
  <c r="L2207" i="5" s="1"/>
  <c r="N2208" i="5"/>
  <c r="F2209" i="5"/>
  <c r="G2208" i="5"/>
  <c r="I2208" i="5"/>
  <c r="J2208" i="5"/>
  <c r="H2208" i="5"/>
  <c r="M2207" i="5"/>
  <c r="K2208" i="5" l="1"/>
  <c r="L2208" i="5" s="1"/>
  <c r="N2209" i="5"/>
  <c r="F2210" i="5"/>
  <c r="G2209" i="5"/>
  <c r="H2209" i="5"/>
  <c r="J2209" i="5"/>
  <c r="I2209" i="5"/>
  <c r="M2208" i="5"/>
  <c r="K2209" i="5" l="1"/>
  <c r="L2209" i="5" s="1"/>
  <c r="N2210" i="5"/>
  <c r="F2211" i="5"/>
  <c r="H2210" i="5"/>
  <c r="G2210" i="5"/>
  <c r="J2210" i="5"/>
  <c r="I2210" i="5"/>
  <c r="M2209" i="5"/>
  <c r="K2210" i="5" l="1"/>
  <c r="L2210" i="5" s="1"/>
  <c r="N2211" i="5"/>
  <c r="F2212" i="5"/>
  <c r="G2211" i="5"/>
  <c r="H2211" i="5"/>
  <c r="I2211" i="5"/>
  <c r="J2211" i="5"/>
  <c r="M2210" i="5"/>
  <c r="K2211" i="5" l="1"/>
  <c r="L2211" i="5" s="1"/>
  <c r="N2212" i="5"/>
  <c r="F2213" i="5"/>
  <c r="G2212" i="5"/>
  <c r="H2212" i="5"/>
  <c r="I2212" i="5"/>
  <c r="J2212" i="5"/>
  <c r="M2211" i="5"/>
  <c r="K2212" i="5" l="1"/>
  <c r="L2212" i="5" s="1"/>
  <c r="N2213" i="5"/>
  <c r="F2214" i="5"/>
  <c r="H2213" i="5"/>
  <c r="G2213" i="5"/>
  <c r="I2213" i="5"/>
  <c r="J2213" i="5"/>
  <c r="M2212" i="5"/>
  <c r="K2213" i="5" l="1"/>
  <c r="L2213" i="5" s="1"/>
  <c r="N2214" i="5"/>
  <c r="F2215" i="5"/>
  <c r="H2214" i="5"/>
  <c r="G2214" i="5"/>
  <c r="I2214" i="5"/>
  <c r="J2214" i="5"/>
  <c r="M2213" i="5"/>
  <c r="K2214" i="5" l="1"/>
  <c r="L2214" i="5" s="1"/>
  <c r="N2215" i="5"/>
  <c r="F2216" i="5"/>
  <c r="G2215" i="5"/>
  <c r="H2215" i="5"/>
  <c r="I2215" i="5"/>
  <c r="J2215" i="5"/>
  <c r="M2214" i="5"/>
  <c r="K2215" i="5" l="1"/>
  <c r="L2215" i="5" s="1"/>
  <c r="N2216" i="5"/>
  <c r="F2217" i="5"/>
  <c r="G2216" i="5"/>
  <c r="H2216" i="5"/>
  <c r="I2216" i="5"/>
  <c r="J2216" i="5"/>
  <c r="M2215" i="5"/>
  <c r="K2216" i="5" l="1"/>
  <c r="L2216" i="5" s="1"/>
  <c r="N2217" i="5"/>
  <c r="F2218" i="5"/>
  <c r="G2217" i="5"/>
  <c r="I2217" i="5"/>
  <c r="H2217" i="5"/>
  <c r="J2217" i="5"/>
  <c r="M2216" i="5"/>
  <c r="N2218" i="5" l="1"/>
  <c r="K2217" i="5"/>
  <c r="L2217" i="5" s="1"/>
  <c r="F2219" i="5"/>
  <c r="H2218" i="5"/>
  <c r="G2218" i="5"/>
  <c r="M2217" i="5"/>
  <c r="F2220" i="5" l="1"/>
  <c r="G2219" i="5"/>
  <c r="H2219" i="5"/>
  <c r="I2219" i="5"/>
  <c r="J2219" i="5"/>
  <c r="J2218" i="5"/>
  <c r="I2218" i="5"/>
  <c r="K2218" i="5" l="1"/>
  <c r="L2218" i="5" s="1"/>
  <c r="N2219" i="5"/>
  <c r="N2220" i="5"/>
  <c r="K2219" i="5"/>
  <c r="L2219" i="5" s="1"/>
  <c r="F2221" i="5"/>
  <c r="I2220" i="5" s="1"/>
  <c r="G2220" i="5"/>
  <c r="H2220" i="5"/>
  <c r="F2222" i="5" l="1"/>
  <c r="G2221" i="5"/>
  <c r="H2221" i="5"/>
  <c r="J2221" i="5"/>
  <c r="I2221" i="5"/>
  <c r="J2220" i="5"/>
  <c r="M2219" i="5"/>
  <c r="M2218" i="5"/>
  <c r="K2220" i="5" l="1"/>
  <c r="L2220" i="5" s="1"/>
  <c r="N2221" i="5"/>
  <c r="K2221" i="5"/>
  <c r="L2221" i="5" s="1"/>
  <c r="N2222" i="5"/>
  <c r="F2223" i="5"/>
  <c r="G2222" i="5"/>
  <c r="H2222" i="5"/>
  <c r="I2222" i="5"/>
  <c r="F2224" i="5" l="1"/>
  <c r="G2223" i="5"/>
  <c r="H2223" i="5"/>
  <c r="I2223" i="5"/>
  <c r="J2223" i="5"/>
  <c r="J2222" i="5"/>
  <c r="M2221" i="5"/>
  <c r="M2220" i="5"/>
  <c r="K2222" i="5" l="1"/>
  <c r="L2222" i="5" s="1"/>
  <c r="N2223" i="5"/>
  <c r="K2223" i="5"/>
  <c r="L2223" i="5" s="1"/>
  <c r="N2224" i="5"/>
  <c r="F2225" i="5"/>
  <c r="H2224" i="5"/>
  <c r="G2224" i="5"/>
  <c r="I2224" i="5"/>
  <c r="F2226" i="5" l="1"/>
  <c r="G2225" i="5"/>
  <c r="H2225" i="5"/>
  <c r="I2225" i="5"/>
  <c r="J2225" i="5"/>
  <c r="J2224" i="5"/>
  <c r="M2223" i="5"/>
  <c r="M2222" i="5"/>
  <c r="K2224" i="5" l="1"/>
  <c r="L2224" i="5" s="1"/>
  <c r="N2225" i="5"/>
  <c r="K2225" i="5"/>
  <c r="L2225" i="5" s="1"/>
  <c r="N2226" i="5"/>
  <c r="F2227" i="5"/>
  <c r="H2226" i="5"/>
  <c r="G2226" i="5"/>
  <c r="I2226" i="5"/>
  <c r="F2228" i="5" l="1"/>
  <c r="G2227" i="5"/>
  <c r="H2227" i="5"/>
  <c r="I2227" i="5"/>
  <c r="J2227" i="5"/>
  <c r="J2226" i="5"/>
  <c r="M2225" i="5"/>
  <c r="M2224" i="5"/>
  <c r="K2226" i="5" l="1"/>
  <c r="L2226" i="5" s="1"/>
  <c r="N2227" i="5"/>
  <c r="N2228" i="5" s="1"/>
  <c r="K2227" i="5"/>
  <c r="L2227" i="5" s="1"/>
  <c r="F2229" i="5"/>
  <c r="G2228" i="5"/>
  <c r="I2228" i="5"/>
  <c r="H2228" i="5"/>
  <c r="F2230" i="5" l="1"/>
  <c r="G2229" i="5"/>
  <c r="I2229" i="5"/>
  <c r="H2229" i="5"/>
  <c r="J2229" i="5"/>
  <c r="J2228" i="5"/>
  <c r="M2227" i="5"/>
  <c r="M2226" i="5"/>
  <c r="K2228" i="5" l="1"/>
  <c r="L2228" i="5" s="1"/>
  <c r="N2229" i="5"/>
  <c r="K2229" i="5"/>
  <c r="L2229" i="5" s="1"/>
  <c r="N2230" i="5"/>
  <c r="F2231" i="5"/>
  <c r="G2230" i="5"/>
  <c r="H2230" i="5"/>
  <c r="I2230" i="5"/>
  <c r="F2232" i="5" l="1"/>
  <c r="G2231" i="5"/>
  <c r="H2231" i="5"/>
  <c r="J2231" i="5"/>
  <c r="I2231" i="5"/>
  <c r="J2230" i="5"/>
  <c r="M2229" i="5"/>
  <c r="M2228" i="5"/>
  <c r="K2230" i="5" l="1"/>
  <c r="L2230" i="5" s="1"/>
  <c r="N2231" i="5"/>
  <c r="K2231" i="5"/>
  <c r="L2231" i="5" s="1"/>
  <c r="N2232" i="5"/>
  <c r="F2233" i="5"/>
  <c r="G2232" i="5"/>
  <c r="H2232" i="5"/>
  <c r="J2232" i="5"/>
  <c r="K2232" i="5" l="1"/>
  <c r="L2232" i="5" s="1"/>
  <c r="N2233" i="5"/>
  <c r="F2234" i="5"/>
  <c r="G2233" i="5"/>
  <c r="H2233" i="5"/>
  <c r="J2233" i="5"/>
  <c r="I2233" i="5"/>
  <c r="I2232" i="5"/>
  <c r="M2231" i="5"/>
  <c r="M2230" i="5"/>
  <c r="K2233" i="5" l="1"/>
  <c r="L2233" i="5" s="1"/>
  <c r="N2234" i="5"/>
  <c r="F2235" i="5"/>
  <c r="H2234" i="5"/>
  <c r="J2234" i="5" s="1"/>
  <c r="I2234" i="5"/>
  <c r="G2234" i="5"/>
  <c r="M2232" i="5"/>
  <c r="K2234" i="5" l="1"/>
  <c r="L2234" i="5" s="1"/>
  <c r="N2235" i="5"/>
  <c r="F2236" i="5"/>
  <c r="I2235" i="5" s="1"/>
  <c r="G2235" i="5"/>
  <c r="H2235" i="5"/>
  <c r="J2235" i="5"/>
  <c r="M2234" i="5"/>
  <c r="M2233" i="5"/>
  <c r="N2236" i="5" l="1"/>
  <c r="K2235" i="5"/>
  <c r="L2235" i="5" s="1"/>
  <c r="F2237" i="5"/>
  <c r="I2236" i="5" s="1"/>
  <c r="G2236" i="5"/>
  <c r="H2236" i="5"/>
  <c r="M2235" i="5"/>
  <c r="G2237" i="5" l="1"/>
  <c r="F2238" i="5"/>
  <c r="H2237" i="5"/>
  <c r="I2237" i="5"/>
  <c r="J2237" i="5"/>
  <c r="J2236" i="5"/>
  <c r="N2237" i="5" l="1"/>
  <c r="K2236" i="5"/>
  <c r="L2236" i="5" s="1"/>
  <c r="N2238" i="5"/>
  <c r="K2237" i="5"/>
  <c r="F2239" i="5"/>
  <c r="H2238" i="5"/>
  <c r="G2238" i="5"/>
  <c r="I2238" i="5"/>
  <c r="M2236" i="5" l="1"/>
  <c r="F2240" i="5"/>
  <c r="G2239" i="5"/>
  <c r="I2239" i="5"/>
  <c r="H2239" i="5"/>
  <c r="J2239" i="5"/>
  <c r="L2237" i="5"/>
  <c r="J2238" i="5"/>
  <c r="K2239" i="5" l="1"/>
  <c r="L2239" i="5" s="1"/>
  <c r="N2240" i="5"/>
  <c r="F2241" i="5"/>
  <c r="G2240" i="5"/>
  <c r="H2240" i="5"/>
  <c r="I2240" i="5"/>
  <c r="J2240" i="5"/>
  <c r="K2238" i="5"/>
  <c r="L2238" i="5" s="1"/>
  <c r="N2239" i="5"/>
  <c r="M2237" i="5"/>
  <c r="K2240" i="5" l="1"/>
  <c r="L2240" i="5" s="1"/>
  <c r="N2241" i="5"/>
  <c r="M2240" i="5"/>
  <c r="F2242" i="5"/>
  <c r="G2241" i="5"/>
  <c r="H2241" i="5"/>
  <c r="J2241" i="5"/>
  <c r="I2241" i="5"/>
  <c r="M2239" i="5"/>
  <c r="M2238" i="5"/>
  <c r="K2241" i="5" l="1"/>
  <c r="L2241" i="5" s="1"/>
  <c r="N2242" i="5"/>
  <c r="F2243" i="5"/>
  <c r="H2242" i="5"/>
  <c r="G2242" i="5"/>
  <c r="I2242" i="5"/>
  <c r="J2242" i="5"/>
  <c r="M2241" i="5"/>
  <c r="K2242" i="5" l="1"/>
  <c r="L2242" i="5" s="1"/>
  <c r="N2243" i="5"/>
  <c r="F2244" i="5"/>
  <c r="G2243" i="5"/>
  <c r="H2243" i="5"/>
  <c r="J2243" i="5" s="1"/>
  <c r="I2243" i="5"/>
  <c r="M2242" i="5"/>
  <c r="K2243" i="5" l="1"/>
  <c r="L2243" i="5" s="1"/>
  <c r="N2244" i="5"/>
  <c r="F2245" i="5"/>
  <c r="G2244" i="5"/>
  <c r="H2244" i="5"/>
  <c r="I2244" i="5"/>
  <c r="J2244" i="5"/>
  <c r="M2243" i="5"/>
  <c r="K2244" i="5" l="1"/>
  <c r="L2244" i="5" s="1"/>
  <c r="N2245" i="5"/>
  <c r="F2246" i="5"/>
  <c r="G2245" i="5"/>
  <c r="H2245" i="5"/>
  <c r="I2245" i="5"/>
  <c r="J2245" i="5"/>
  <c r="M2244" i="5"/>
  <c r="N2246" i="5" l="1"/>
  <c r="K2245" i="5"/>
  <c r="L2245" i="5" s="1"/>
  <c r="F2247" i="5"/>
  <c r="G2246" i="5"/>
  <c r="H2246" i="5"/>
  <c r="I2246" i="5"/>
  <c r="J2246" i="5"/>
  <c r="M2245" i="5"/>
  <c r="K2246" i="5" l="1"/>
  <c r="L2246" i="5" s="1"/>
  <c r="N2247" i="5"/>
  <c r="F2248" i="5"/>
  <c r="G2247" i="5"/>
  <c r="H2247" i="5"/>
  <c r="I2247" i="5"/>
  <c r="J2247" i="5"/>
  <c r="M2246" i="5"/>
  <c r="K2247" i="5" l="1"/>
  <c r="L2247" i="5" s="1"/>
  <c r="N2248" i="5"/>
  <c r="F2249" i="5"/>
  <c r="G2248" i="5"/>
  <c r="I2248" i="5"/>
  <c r="H2248" i="5"/>
  <c r="J2248" i="5"/>
  <c r="M2247" i="5"/>
  <c r="K2248" i="5" l="1"/>
  <c r="L2248" i="5" s="1"/>
  <c r="N2249" i="5"/>
  <c r="F2250" i="5"/>
  <c r="G2249" i="5"/>
  <c r="I2249" i="5"/>
  <c r="H2249" i="5"/>
  <c r="J2249" i="5"/>
  <c r="M2248" i="5"/>
  <c r="K2249" i="5" l="1"/>
  <c r="L2249" i="5" s="1"/>
  <c r="N2250" i="5"/>
  <c r="F2251" i="5"/>
  <c r="G2250" i="5"/>
  <c r="I2250" i="5"/>
  <c r="H2250" i="5"/>
  <c r="J2250" i="5"/>
  <c r="M2249" i="5"/>
  <c r="K2250" i="5" l="1"/>
  <c r="L2250" i="5" s="1"/>
  <c r="N2251" i="5"/>
  <c r="G2251" i="5"/>
  <c r="F2252" i="5"/>
  <c r="H2251" i="5"/>
  <c r="I2251" i="5"/>
  <c r="J2251" i="5"/>
  <c r="M2250" i="5"/>
  <c r="K2251" i="5" l="1"/>
  <c r="L2251" i="5" s="1"/>
  <c r="N2252" i="5"/>
  <c r="F2253" i="5"/>
  <c r="G2252" i="5"/>
  <c r="H2252" i="5"/>
  <c r="J2252" i="5"/>
  <c r="M2251" i="5"/>
  <c r="F2254" i="5" l="1"/>
  <c r="G2253" i="5"/>
  <c r="H2253" i="5"/>
  <c r="J2253" i="5"/>
  <c r="I2253" i="5"/>
  <c r="K2252" i="5"/>
  <c r="L2252" i="5" s="1"/>
  <c r="N2253" i="5"/>
  <c r="I2252" i="5"/>
  <c r="N2254" i="5" l="1"/>
  <c r="K2253" i="5"/>
  <c r="L2253" i="5" s="1"/>
  <c r="M2252" i="5"/>
  <c r="F2255" i="5"/>
  <c r="G2254" i="5"/>
  <c r="H2254" i="5"/>
  <c r="J2254" i="5"/>
  <c r="N2255" i="5" l="1"/>
  <c r="K2254" i="5"/>
  <c r="L2254" i="5" s="1"/>
  <c r="F2256" i="5"/>
  <c r="G2255" i="5"/>
  <c r="H2255" i="5"/>
  <c r="I2255" i="5"/>
  <c r="J2255" i="5"/>
  <c r="M2254" i="5"/>
  <c r="I2254" i="5"/>
  <c r="M2253" i="5"/>
  <c r="K2255" i="5" l="1"/>
  <c r="L2255" i="5" s="1"/>
  <c r="N2256" i="5"/>
  <c r="M2255" i="5"/>
  <c r="F2257" i="5"/>
  <c r="G2256" i="5"/>
  <c r="H2256" i="5"/>
  <c r="J2256" i="5" s="1"/>
  <c r="I2256" i="5"/>
  <c r="K2256" i="5" l="1"/>
  <c r="L2256" i="5" s="1"/>
  <c r="N2257" i="5"/>
  <c r="F2258" i="5"/>
  <c r="G2257" i="5"/>
  <c r="H2257" i="5"/>
  <c r="I2257" i="5"/>
  <c r="J2257" i="5"/>
  <c r="M2256" i="5"/>
  <c r="K2257" i="5" l="1"/>
  <c r="L2257" i="5" s="1"/>
  <c r="N2258" i="5"/>
  <c r="F2259" i="5"/>
  <c r="G2258" i="5"/>
  <c r="H2258" i="5"/>
  <c r="I2258" i="5"/>
  <c r="J2258" i="5"/>
  <c r="M2257" i="5"/>
  <c r="K2258" i="5" l="1"/>
  <c r="L2258" i="5" s="1"/>
  <c r="N2259" i="5"/>
  <c r="F2260" i="5"/>
  <c r="G2259" i="5"/>
  <c r="H2259" i="5"/>
  <c r="I2259" i="5"/>
  <c r="J2259" i="5"/>
  <c r="M2258" i="5"/>
  <c r="K2259" i="5" l="1"/>
  <c r="L2259" i="5" s="1"/>
  <c r="N2260" i="5"/>
  <c r="F2261" i="5"/>
  <c r="G2260" i="5"/>
  <c r="H2260" i="5"/>
  <c r="I2260" i="5"/>
  <c r="J2260" i="5"/>
  <c r="M2259" i="5"/>
  <c r="K2260" i="5" l="1"/>
  <c r="L2260" i="5" s="1"/>
  <c r="N2261" i="5"/>
  <c r="F2262" i="5"/>
  <c r="H2261" i="5"/>
  <c r="G2261" i="5"/>
  <c r="I2261" i="5"/>
  <c r="J2261" i="5"/>
  <c r="M2260" i="5"/>
  <c r="K2261" i="5" l="1"/>
  <c r="L2261" i="5" s="1"/>
  <c r="N2262" i="5"/>
  <c r="F2263" i="5"/>
  <c r="H2262" i="5"/>
  <c r="G2262" i="5"/>
  <c r="I2262" i="5"/>
  <c r="J2262" i="5"/>
  <c r="M2261" i="5"/>
  <c r="K2262" i="5" l="1"/>
  <c r="L2262" i="5" s="1"/>
  <c r="N2263" i="5"/>
  <c r="F2264" i="5"/>
  <c r="H2263" i="5"/>
  <c r="G2263" i="5"/>
  <c r="I2263" i="5"/>
  <c r="J2263" i="5"/>
  <c r="M2262" i="5"/>
  <c r="K2263" i="5" l="1"/>
  <c r="L2263" i="5" s="1"/>
  <c r="N2264" i="5"/>
  <c r="F2265" i="5"/>
  <c r="G2264" i="5"/>
  <c r="H2264" i="5"/>
  <c r="I2264" i="5"/>
  <c r="J2264" i="5"/>
  <c r="M2263" i="5"/>
  <c r="K2264" i="5" l="1"/>
  <c r="L2264" i="5" s="1"/>
  <c r="N2265" i="5"/>
  <c r="F2266" i="5"/>
  <c r="G2265" i="5"/>
  <c r="I2265" i="5"/>
  <c r="H2265" i="5"/>
  <c r="J2265" i="5"/>
  <c r="M2264" i="5"/>
  <c r="K2265" i="5" l="1"/>
  <c r="L2265" i="5" s="1"/>
  <c r="N2266" i="5"/>
  <c r="F2267" i="5"/>
  <c r="G2266" i="5"/>
  <c r="H2266" i="5"/>
  <c r="I2266" i="5"/>
  <c r="J2266" i="5"/>
  <c r="M2265" i="5"/>
  <c r="K2266" i="5" l="1"/>
  <c r="L2266" i="5" s="1"/>
  <c r="N2267" i="5"/>
  <c r="F2268" i="5"/>
  <c r="G2267" i="5"/>
  <c r="H2267" i="5"/>
  <c r="I2267" i="5"/>
  <c r="J2267" i="5"/>
  <c r="M2266" i="5"/>
  <c r="K2267" i="5" l="1"/>
  <c r="L2267" i="5" s="1"/>
  <c r="N2268" i="5"/>
  <c r="F2269" i="5"/>
  <c r="G2268" i="5"/>
  <c r="H2268" i="5"/>
  <c r="I2268" i="5"/>
  <c r="J2268" i="5"/>
  <c r="M2267" i="5"/>
  <c r="K2268" i="5" l="1"/>
  <c r="L2268" i="5" s="1"/>
  <c r="N2269" i="5"/>
  <c r="F2270" i="5"/>
  <c r="G2269" i="5"/>
  <c r="H2269" i="5"/>
  <c r="I2269" i="5"/>
  <c r="J2269" i="5"/>
  <c r="M2268" i="5"/>
  <c r="K2269" i="5" l="1"/>
  <c r="L2269" i="5" s="1"/>
  <c r="N2270" i="5"/>
  <c r="F2271" i="5"/>
  <c r="G2270" i="5"/>
  <c r="H2270" i="5"/>
  <c r="J2270" i="5"/>
  <c r="I2270" i="5"/>
  <c r="M2269" i="5"/>
  <c r="K2270" i="5" l="1"/>
  <c r="L2270" i="5" s="1"/>
  <c r="N2271" i="5"/>
  <c r="G2271" i="5"/>
  <c r="H2271" i="5"/>
  <c r="F2272" i="5"/>
  <c r="M2270" i="5"/>
  <c r="F2273" i="5" l="1"/>
  <c r="G2272" i="5"/>
  <c r="H2272" i="5"/>
  <c r="I2272" i="5"/>
  <c r="J2272" i="5"/>
  <c r="J2271" i="5"/>
  <c r="I2271" i="5"/>
  <c r="K2271" i="5" l="1"/>
  <c r="L2271" i="5" s="1"/>
  <c r="N2272" i="5"/>
  <c r="N2273" i="5" s="1"/>
  <c r="K2272" i="5"/>
  <c r="L2272" i="5" s="1"/>
  <c r="F2274" i="5"/>
  <c r="G2273" i="5"/>
  <c r="H2273" i="5"/>
  <c r="J2273" i="5"/>
  <c r="K2273" i="5" l="1"/>
  <c r="L2273" i="5" s="1"/>
  <c r="N2274" i="5"/>
  <c r="M2273" i="5"/>
  <c r="F2275" i="5"/>
  <c r="G2274" i="5"/>
  <c r="H2274" i="5"/>
  <c r="J2274" i="5"/>
  <c r="I2274" i="5"/>
  <c r="I2273" i="5"/>
  <c r="M2272" i="5"/>
  <c r="M2271" i="5"/>
  <c r="K2274" i="5" l="1"/>
  <c r="L2274" i="5" s="1"/>
  <c r="N2275" i="5"/>
  <c r="F2276" i="5"/>
  <c r="G2275" i="5"/>
  <c r="H2275" i="5"/>
  <c r="J2275" i="5" s="1"/>
  <c r="I2275" i="5"/>
  <c r="M2274" i="5"/>
  <c r="K2275" i="5" l="1"/>
  <c r="L2275" i="5" s="1"/>
  <c r="N2276" i="5"/>
  <c r="F2277" i="5"/>
  <c r="G2276" i="5"/>
  <c r="H2276" i="5"/>
  <c r="I2276" i="5"/>
  <c r="J2276" i="5"/>
  <c r="M2275" i="5"/>
  <c r="K2276" i="5" l="1"/>
  <c r="L2276" i="5" s="1"/>
  <c r="N2277" i="5"/>
  <c r="F2278" i="5"/>
  <c r="G2277" i="5"/>
  <c r="H2277" i="5"/>
  <c r="J2277" i="5"/>
  <c r="I2277" i="5"/>
  <c r="M2276" i="5"/>
  <c r="K2277" i="5" l="1"/>
  <c r="L2277" i="5" s="1"/>
  <c r="N2278" i="5"/>
  <c r="F2279" i="5"/>
  <c r="G2278" i="5"/>
  <c r="H2278" i="5"/>
  <c r="I2278" i="5"/>
  <c r="J2278" i="5"/>
  <c r="M2277" i="5"/>
  <c r="K2278" i="5" l="1"/>
  <c r="L2278" i="5" s="1"/>
  <c r="N2279" i="5"/>
  <c r="G2279" i="5"/>
  <c r="F2280" i="5"/>
  <c r="H2279" i="5"/>
  <c r="I2279" i="5"/>
  <c r="J2279" i="5"/>
  <c r="M2278" i="5"/>
  <c r="K2279" i="5" l="1"/>
  <c r="L2279" i="5" s="1"/>
  <c r="N2280" i="5"/>
  <c r="F2281" i="5"/>
  <c r="G2280" i="5"/>
  <c r="J2280" i="5"/>
  <c r="I2280" i="5"/>
  <c r="H2280" i="5"/>
  <c r="M2279" i="5"/>
  <c r="K2280" i="5" l="1"/>
  <c r="L2280" i="5" s="1"/>
  <c r="N2281" i="5"/>
  <c r="F2282" i="5"/>
  <c r="G2281" i="5"/>
  <c r="I2281" i="5"/>
  <c r="H2281" i="5"/>
  <c r="J2281" i="5"/>
  <c r="M2280" i="5"/>
  <c r="K2281" i="5" l="1"/>
  <c r="L2281" i="5" s="1"/>
  <c r="N2282" i="5"/>
  <c r="F2283" i="5"/>
  <c r="G2282" i="5"/>
  <c r="I2282" i="5"/>
  <c r="H2282" i="5"/>
  <c r="J2282" i="5"/>
  <c r="M2281" i="5"/>
  <c r="K2282" i="5" l="1"/>
  <c r="L2282" i="5" s="1"/>
  <c r="N2283" i="5"/>
  <c r="G2283" i="5"/>
  <c r="F2284" i="5"/>
  <c r="H2283" i="5"/>
  <c r="I2283" i="5"/>
  <c r="J2283" i="5"/>
  <c r="M2282" i="5"/>
  <c r="K2283" i="5" l="1"/>
  <c r="L2283" i="5" s="1"/>
  <c r="N2284" i="5"/>
  <c r="F2285" i="5"/>
  <c r="G2284" i="5"/>
  <c r="H2284" i="5"/>
  <c r="J2284" i="5" s="1"/>
  <c r="I2284" i="5"/>
  <c r="M2283" i="5"/>
  <c r="K2284" i="5" l="1"/>
  <c r="L2284" i="5" s="1"/>
  <c r="N2285" i="5"/>
  <c r="F2286" i="5"/>
  <c r="H2285" i="5"/>
  <c r="J2285" i="5"/>
  <c r="G2285" i="5"/>
  <c r="I2285" i="5"/>
  <c r="M2284" i="5"/>
  <c r="K2285" i="5" l="1"/>
  <c r="L2285" i="5" s="1"/>
  <c r="N2286" i="5"/>
  <c r="F2287" i="5"/>
  <c r="H2286" i="5"/>
  <c r="J2286" i="5"/>
  <c r="G2286" i="5"/>
  <c r="I2286" i="5"/>
  <c r="M2285" i="5"/>
  <c r="K2286" i="5" l="1"/>
  <c r="L2286" i="5" s="1"/>
  <c r="N2287" i="5"/>
  <c r="F2288" i="5"/>
  <c r="H2287" i="5"/>
  <c r="G2287" i="5"/>
  <c r="I2287" i="5"/>
  <c r="J2287" i="5"/>
  <c r="M2286" i="5"/>
  <c r="K2287" i="5" l="1"/>
  <c r="L2287" i="5" s="1"/>
  <c r="N2288" i="5"/>
  <c r="F2289" i="5"/>
  <c r="G2288" i="5"/>
  <c r="H2288" i="5"/>
  <c r="I2288" i="5"/>
  <c r="J2288" i="5"/>
  <c r="M2287" i="5"/>
  <c r="K2288" i="5" l="1"/>
  <c r="L2288" i="5" s="1"/>
  <c r="N2289" i="5"/>
  <c r="F2290" i="5"/>
  <c r="G2289" i="5"/>
  <c r="H2289" i="5"/>
  <c r="J2289" i="5" s="1"/>
  <c r="I2289" i="5"/>
  <c r="M2288" i="5"/>
  <c r="K2289" i="5" l="1"/>
  <c r="L2289" i="5" s="1"/>
  <c r="N2290" i="5"/>
  <c r="F2291" i="5"/>
  <c r="G2290" i="5"/>
  <c r="H2290" i="5"/>
  <c r="I2290" i="5"/>
  <c r="J2290" i="5"/>
  <c r="M2289" i="5"/>
  <c r="N2291" i="5" l="1"/>
  <c r="K2290" i="5"/>
  <c r="L2290" i="5" s="1"/>
  <c r="F2292" i="5"/>
  <c r="G2291" i="5"/>
  <c r="H2291" i="5"/>
  <c r="J2291" i="5"/>
  <c r="M2290" i="5"/>
  <c r="F2293" i="5" l="1"/>
  <c r="G2292" i="5"/>
  <c r="H2292" i="5"/>
  <c r="I2292" i="5"/>
  <c r="J2292" i="5"/>
  <c r="N2292" i="5"/>
  <c r="K2291" i="5"/>
  <c r="L2291" i="5" s="1"/>
  <c r="I2291" i="5"/>
  <c r="K2292" i="5" l="1"/>
  <c r="L2292" i="5" s="1"/>
  <c r="N2293" i="5"/>
  <c r="M2291" i="5"/>
  <c r="F2294" i="5"/>
  <c r="G2293" i="5"/>
  <c r="H2293" i="5"/>
  <c r="I2293" i="5"/>
  <c r="F2295" i="5" l="1"/>
  <c r="G2294" i="5"/>
  <c r="I2294" i="5"/>
  <c r="H2294" i="5"/>
  <c r="J2294" i="5"/>
  <c r="J2293" i="5"/>
  <c r="M2292" i="5"/>
  <c r="K2293" i="5" l="1"/>
  <c r="L2293" i="5" s="1"/>
  <c r="N2294" i="5"/>
  <c r="K2294" i="5"/>
  <c r="L2294" i="5" s="1"/>
  <c r="N2295" i="5"/>
  <c r="F2296" i="5"/>
  <c r="J2295" i="5" s="1"/>
  <c r="G2295" i="5"/>
  <c r="H2295" i="5"/>
  <c r="K2295" i="5" l="1"/>
  <c r="L2295" i="5" s="1"/>
  <c r="N2296" i="5"/>
  <c r="F2297" i="5"/>
  <c r="G2296" i="5"/>
  <c r="H2296" i="5"/>
  <c r="J2296" i="5"/>
  <c r="I2296" i="5"/>
  <c r="M2295" i="5"/>
  <c r="I2295" i="5"/>
  <c r="M2294" i="5"/>
  <c r="M2293" i="5"/>
  <c r="K2296" i="5" l="1"/>
  <c r="L2296" i="5" s="1"/>
  <c r="N2297" i="5"/>
  <c r="F2298" i="5"/>
  <c r="G2297" i="5"/>
  <c r="H2297" i="5"/>
  <c r="J2297" i="5"/>
  <c r="I2297" i="5"/>
  <c r="M2296" i="5"/>
  <c r="K2297" i="5" l="1"/>
  <c r="L2297" i="5" s="1"/>
  <c r="N2298" i="5"/>
  <c r="F2299" i="5"/>
  <c r="G2298" i="5"/>
  <c r="H2298" i="5"/>
  <c r="I2298" i="5"/>
  <c r="J2298" i="5"/>
  <c r="M2297" i="5"/>
  <c r="K2298" i="5" l="1"/>
  <c r="L2298" i="5" s="1"/>
  <c r="N2299" i="5"/>
  <c r="F2300" i="5"/>
  <c r="G2299" i="5"/>
  <c r="H2299" i="5"/>
  <c r="I2299" i="5"/>
  <c r="J2299" i="5"/>
  <c r="M2298" i="5"/>
  <c r="K2299" i="5" l="1"/>
  <c r="L2299" i="5" s="1"/>
  <c r="N2300" i="5"/>
  <c r="F2301" i="5"/>
  <c r="G2300" i="5"/>
  <c r="H2300" i="5"/>
  <c r="I2300" i="5"/>
  <c r="J2300" i="5"/>
  <c r="M2299" i="5"/>
  <c r="K2300" i="5" l="1"/>
  <c r="L2300" i="5" s="1"/>
  <c r="N2301" i="5"/>
  <c r="G2301" i="5"/>
  <c r="F2302" i="5"/>
  <c r="H2301" i="5"/>
  <c r="I2301" i="5"/>
  <c r="J2301" i="5"/>
  <c r="M2300" i="5"/>
  <c r="K2301" i="5" l="1"/>
  <c r="L2301" i="5" s="1"/>
  <c r="N2302" i="5"/>
  <c r="G2302" i="5"/>
  <c r="F2303" i="5"/>
  <c r="H2302" i="5"/>
  <c r="I2302" i="5"/>
  <c r="J2302" i="5"/>
  <c r="M2301" i="5"/>
  <c r="K2302" i="5" l="1"/>
  <c r="L2302" i="5" s="1"/>
  <c r="N2303" i="5"/>
  <c r="F2304" i="5"/>
  <c r="G2303" i="5"/>
  <c r="H2303" i="5"/>
  <c r="I2303" i="5"/>
  <c r="J2303" i="5"/>
  <c r="M2302" i="5"/>
  <c r="K2303" i="5" l="1"/>
  <c r="L2303" i="5" s="1"/>
  <c r="N2304" i="5"/>
  <c r="F2305" i="5"/>
  <c r="G2304" i="5"/>
  <c r="H2304" i="5"/>
  <c r="I2304" i="5"/>
  <c r="J2304" i="5"/>
  <c r="M2303" i="5"/>
  <c r="K2304" i="5" l="1"/>
  <c r="L2304" i="5" s="1"/>
  <c r="N2305" i="5"/>
  <c r="F2306" i="5"/>
  <c r="G2305" i="5"/>
  <c r="H2305" i="5"/>
  <c r="I2305" i="5"/>
  <c r="J2305" i="5"/>
  <c r="M2304" i="5"/>
  <c r="K2305" i="5" l="1"/>
  <c r="L2305" i="5" s="1"/>
  <c r="N2306" i="5"/>
  <c r="F2307" i="5"/>
  <c r="G2306" i="5"/>
  <c r="J2306" i="5"/>
  <c r="H2306" i="5"/>
  <c r="I2306" i="5"/>
  <c r="M2305" i="5"/>
  <c r="K2306" i="5" l="1"/>
  <c r="L2306" i="5" s="1"/>
  <c r="N2307" i="5"/>
  <c r="F2308" i="5"/>
  <c r="G2307" i="5"/>
  <c r="H2307" i="5"/>
  <c r="I2307" i="5"/>
  <c r="J2307" i="5"/>
  <c r="M2306" i="5"/>
  <c r="K2307" i="5" l="1"/>
  <c r="L2307" i="5" s="1"/>
  <c r="N2308" i="5"/>
  <c r="G2308" i="5"/>
  <c r="F2309" i="5"/>
  <c r="H2308" i="5"/>
  <c r="J2308" i="5" s="1"/>
  <c r="I2308" i="5"/>
  <c r="M2307" i="5"/>
  <c r="K2308" i="5" l="1"/>
  <c r="L2308" i="5" s="1"/>
  <c r="N2309" i="5"/>
  <c r="F2310" i="5"/>
  <c r="G2309" i="5"/>
  <c r="I2309" i="5"/>
  <c r="H2309" i="5"/>
  <c r="J2309" i="5"/>
  <c r="M2308" i="5"/>
  <c r="N2310" i="5" l="1"/>
  <c r="K2309" i="5"/>
  <c r="L2309" i="5" s="1"/>
  <c r="F2311" i="5"/>
  <c r="G2310" i="5"/>
  <c r="H2310" i="5"/>
  <c r="J2310" i="5"/>
  <c r="M2309" i="5"/>
  <c r="F2312" i="5" l="1"/>
  <c r="G2311" i="5"/>
  <c r="H2311" i="5"/>
  <c r="I2311" i="5"/>
  <c r="J2311" i="5"/>
  <c r="K2310" i="5"/>
  <c r="L2310" i="5" s="1"/>
  <c r="N2311" i="5"/>
  <c r="I2310" i="5"/>
  <c r="K2311" i="5" l="1"/>
  <c r="L2311" i="5" s="1"/>
  <c r="N2312" i="5"/>
  <c r="M2310" i="5"/>
  <c r="F2313" i="5"/>
  <c r="G2312" i="5"/>
  <c r="H2312" i="5"/>
  <c r="I2312" i="5"/>
  <c r="F2314" i="5" l="1"/>
  <c r="G2313" i="5"/>
  <c r="H2313" i="5"/>
  <c r="I2313" i="5"/>
  <c r="J2313" i="5"/>
  <c r="J2312" i="5"/>
  <c r="M2311" i="5"/>
  <c r="K2312" i="5" l="1"/>
  <c r="L2312" i="5" s="1"/>
  <c r="N2313" i="5"/>
  <c r="N2314" i="5" s="1"/>
  <c r="K2313" i="5"/>
  <c r="L2313" i="5" s="1"/>
  <c r="F2315" i="5"/>
  <c r="I2314" i="5" s="1"/>
  <c r="G2314" i="5"/>
  <c r="H2314" i="5"/>
  <c r="F2316" i="5" l="1"/>
  <c r="G2315" i="5"/>
  <c r="H2315" i="5"/>
  <c r="J2315" i="5"/>
  <c r="J2314" i="5"/>
  <c r="M2313" i="5"/>
  <c r="M2312" i="5"/>
  <c r="F2317" i="5" l="1"/>
  <c r="G2316" i="5"/>
  <c r="H2316" i="5"/>
  <c r="I2316" i="5"/>
  <c r="J2316" i="5"/>
  <c r="K2314" i="5"/>
  <c r="L2314" i="5" s="1"/>
  <c r="N2315" i="5"/>
  <c r="N2316" i="5" s="1"/>
  <c r="K2315" i="5"/>
  <c r="L2315" i="5" s="1"/>
  <c r="I2315" i="5"/>
  <c r="M2315" i="5" l="1"/>
  <c r="M2314" i="5"/>
  <c r="K2316" i="5"/>
  <c r="L2316" i="5" s="1"/>
  <c r="N2317" i="5"/>
  <c r="F2318" i="5"/>
  <c r="G2317" i="5"/>
  <c r="H2317" i="5"/>
  <c r="F2319" i="5" l="1"/>
  <c r="G2318" i="5"/>
  <c r="H2318" i="5"/>
  <c r="J2318" i="5"/>
  <c r="I2318" i="5"/>
  <c r="M2316" i="5"/>
  <c r="I2317" i="5"/>
  <c r="J2317" i="5"/>
  <c r="K2318" i="5" l="1"/>
  <c r="K2317" i="5"/>
  <c r="L2317" i="5" s="1"/>
  <c r="N2318" i="5"/>
  <c r="N2319" i="5" s="1"/>
  <c r="F2320" i="5"/>
  <c r="G2319" i="5"/>
  <c r="H2319" i="5"/>
  <c r="I2319" i="5"/>
  <c r="M2317" i="5" l="1"/>
  <c r="L2318" i="5"/>
  <c r="F2321" i="5"/>
  <c r="G2320" i="5"/>
  <c r="I2320" i="5"/>
  <c r="H2320" i="5"/>
  <c r="J2320" i="5"/>
  <c r="J2319" i="5"/>
  <c r="K2320" i="5" l="1"/>
  <c r="F2322" i="5"/>
  <c r="G2321" i="5"/>
  <c r="I2321" i="5"/>
  <c r="H2321" i="5"/>
  <c r="J2321" i="5"/>
  <c r="M2319" i="5"/>
  <c r="K2319" i="5"/>
  <c r="L2319" i="5" s="1"/>
  <c r="N2320" i="5"/>
  <c r="N2321" i="5" s="1"/>
  <c r="M2318" i="5"/>
  <c r="K2321" i="5" l="1"/>
  <c r="N2322" i="5"/>
  <c r="F2323" i="5"/>
  <c r="G2322" i="5"/>
  <c r="H2322" i="5"/>
  <c r="I2322" i="5"/>
  <c r="J2322" i="5"/>
  <c r="M2320" i="5"/>
  <c r="L2320" i="5"/>
  <c r="K2322" i="5" l="1"/>
  <c r="L2322" i="5" s="1"/>
  <c r="N2323" i="5"/>
  <c r="F2324" i="5"/>
  <c r="G2323" i="5"/>
  <c r="H2323" i="5"/>
  <c r="I2323" i="5"/>
  <c r="J2323" i="5"/>
  <c r="M2321" i="5"/>
  <c r="L2321" i="5"/>
  <c r="M2322" i="5" s="1"/>
  <c r="K2323" i="5" l="1"/>
  <c r="L2323" i="5" s="1"/>
  <c r="N2324" i="5"/>
  <c r="F2325" i="5"/>
  <c r="G2324" i="5"/>
  <c r="H2324" i="5"/>
  <c r="I2324" i="5"/>
  <c r="J2324" i="5"/>
  <c r="M2323" i="5"/>
  <c r="K2324" i="5" l="1"/>
  <c r="L2324" i="5" s="1"/>
  <c r="N2325" i="5"/>
  <c r="F2326" i="5"/>
  <c r="G2325" i="5"/>
  <c r="H2325" i="5"/>
  <c r="I2325" i="5"/>
  <c r="J2325" i="5"/>
  <c r="M2324" i="5"/>
  <c r="K2325" i="5" l="1"/>
  <c r="L2325" i="5" s="1"/>
  <c r="N2326" i="5"/>
  <c r="F2327" i="5"/>
  <c r="G2326" i="5"/>
  <c r="H2326" i="5"/>
  <c r="I2326" i="5"/>
  <c r="J2326" i="5"/>
  <c r="M2325" i="5"/>
  <c r="N2327" i="5" l="1"/>
  <c r="K2326" i="5"/>
  <c r="L2326" i="5" s="1"/>
  <c r="F2328" i="5"/>
  <c r="G2327" i="5"/>
  <c r="H2327" i="5"/>
  <c r="I2327" i="5"/>
  <c r="J2327" i="5"/>
  <c r="M2326" i="5"/>
  <c r="F2329" i="5" l="1"/>
  <c r="G2328" i="5"/>
  <c r="H2328" i="5"/>
  <c r="I2328" i="5"/>
  <c r="J2328" i="5"/>
  <c r="K2327" i="5"/>
  <c r="L2327" i="5" s="1"/>
  <c r="N2328" i="5"/>
  <c r="M2327" i="5"/>
  <c r="K2328" i="5" l="1"/>
  <c r="L2328" i="5" s="1"/>
  <c r="N2329" i="5"/>
  <c r="F2330" i="5"/>
  <c r="G2329" i="5"/>
  <c r="H2329" i="5"/>
  <c r="I2329" i="5"/>
  <c r="J2329" i="5"/>
  <c r="K2329" i="5" l="1"/>
  <c r="L2329" i="5" s="1"/>
  <c r="N2330" i="5"/>
  <c r="F2331" i="5"/>
  <c r="G2330" i="5"/>
  <c r="H2330" i="5"/>
  <c r="I2330" i="5"/>
  <c r="J2330" i="5"/>
  <c r="M2329" i="5"/>
  <c r="M2328" i="5"/>
  <c r="K2330" i="5" l="1"/>
  <c r="L2330" i="5" s="1"/>
  <c r="N2331" i="5"/>
  <c r="F2332" i="5"/>
  <c r="G2331" i="5"/>
  <c r="H2331" i="5"/>
  <c r="I2331" i="5"/>
  <c r="J2331" i="5"/>
  <c r="M2330" i="5"/>
  <c r="K2331" i="5" l="1"/>
  <c r="L2331" i="5" s="1"/>
  <c r="N2332" i="5"/>
  <c r="F2333" i="5"/>
  <c r="G2332" i="5"/>
  <c r="H2332" i="5"/>
  <c r="J2332" i="5" s="1"/>
  <c r="I2332" i="5"/>
  <c r="M2331" i="5"/>
  <c r="K2332" i="5" l="1"/>
  <c r="L2332" i="5" s="1"/>
  <c r="N2333" i="5"/>
  <c r="F2334" i="5"/>
  <c r="G2333" i="5"/>
  <c r="I2333" i="5"/>
  <c r="J2333" i="5"/>
  <c r="H2333" i="5"/>
  <c r="M2332" i="5"/>
  <c r="K2333" i="5" l="1"/>
  <c r="L2333" i="5" s="1"/>
  <c r="N2334" i="5"/>
  <c r="F2335" i="5"/>
  <c r="G2334" i="5"/>
  <c r="J2334" i="5"/>
  <c r="I2334" i="5"/>
  <c r="H2334" i="5"/>
  <c r="M2333" i="5"/>
  <c r="K2334" i="5" l="1"/>
  <c r="L2334" i="5" s="1"/>
  <c r="N2335" i="5"/>
  <c r="F2336" i="5"/>
  <c r="H2335" i="5"/>
  <c r="I2335" i="5"/>
  <c r="G2335" i="5"/>
  <c r="J2335" i="5"/>
  <c r="M2334" i="5"/>
  <c r="K2335" i="5" l="1"/>
  <c r="L2335" i="5" s="1"/>
  <c r="N2336" i="5"/>
  <c r="F2337" i="5"/>
  <c r="G2336" i="5"/>
  <c r="I2336" i="5"/>
  <c r="H2336" i="5"/>
  <c r="J2336" i="5"/>
  <c r="M2335" i="5"/>
  <c r="K2336" i="5" l="1"/>
  <c r="L2336" i="5" s="1"/>
  <c r="N2337" i="5"/>
  <c r="F2338" i="5"/>
  <c r="G2337" i="5"/>
  <c r="H2337" i="5"/>
  <c r="I2337" i="5"/>
  <c r="J2337" i="5"/>
  <c r="M2336" i="5"/>
  <c r="K2337" i="5" l="1"/>
  <c r="L2337" i="5" s="1"/>
  <c r="N2338" i="5"/>
  <c r="G2338" i="5"/>
  <c r="F2339" i="5"/>
  <c r="H2338" i="5"/>
  <c r="I2338" i="5"/>
  <c r="J2338" i="5"/>
  <c r="M2337" i="5"/>
  <c r="K2338" i="5" l="1"/>
  <c r="L2338" i="5" s="1"/>
  <c r="N2339" i="5"/>
  <c r="G2339" i="5"/>
  <c r="F2340" i="5"/>
  <c r="H2339" i="5"/>
  <c r="M2338" i="5"/>
  <c r="F2341" i="5" l="1"/>
  <c r="G2340" i="5"/>
  <c r="H2340" i="5"/>
  <c r="I2340" i="5"/>
  <c r="J2340" i="5"/>
  <c r="J2339" i="5"/>
  <c r="I2339" i="5"/>
  <c r="K2339" i="5" l="1"/>
  <c r="L2339" i="5" s="1"/>
  <c r="N2340" i="5"/>
  <c r="K2340" i="5"/>
  <c r="L2340" i="5" s="1"/>
  <c r="N2341" i="5"/>
  <c r="F2342" i="5"/>
  <c r="G2341" i="5"/>
  <c r="H2341" i="5"/>
  <c r="J2341" i="5" s="1"/>
  <c r="K2341" i="5" l="1"/>
  <c r="L2341" i="5" s="1"/>
  <c r="N2342" i="5"/>
  <c r="F2343" i="5"/>
  <c r="G2342" i="5"/>
  <c r="H2342" i="5"/>
  <c r="I2342" i="5"/>
  <c r="J2342" i="5"/>
  <c r="M2341" i="5"/>
  <c r="I2341" i="5"/>
  <c r="M2340" i="5"/>
  <c r="M2339" i="5"/>
  <c r="K2342" i="5" l="1"/>
  <c r="L2342" i="5" s="1"/>
  <c r="N2343" i="5"/>
  <c r="F2344" i="5"/>
  <c r="G2343" i="5"/>
  <c r="H2343" i="5"/>
  <c r="I2343" i="5"/>
  <c r="J2343" i="5"/>
  <c r="M2342" i="5"/>
  <c r="F2345" i="5" l="1"/>
  <c r="G2344" i="5"/>
  <c r="H2344" i="5"/>
  <c r="J2344" i="5"/>
  <c r="I2344" i="5"/>
  <c r="K2343" i="5"/>
  <c r="L2343" i="5" s="1"/>
  <c r="N2344" i="5"/>
  <c r="M2343" i="5" l="1"/>
  <c r="K2344" i="5"/>
  <c r="L2344" i="5" s="1"/>
  <c r="N2345" i="5"/>
  <c r="F2346" i="5"/>
  <c r="I2345" i="5" s="1"/>
  <c r="G2345" i="5"/>
  <c r="H2345" i="5"/>
  <c r="F2347" i="5" l="1"/>
  <c r="I2346" i="5" s="1"/>
  <c r="G2346" i="5"/>
  <c r="H2346" i="5"/>
  <c r="J2345" i="5"/>
  <c r="M2344" i="5"/>
  <c r="N2346" i="5" l="1"/>
  <c r="K2345" i="5"/>
  <c r="L2345" i="5" s="1"/>
  <c r="J2346" i="5"/>
  <c r="F2348" i="5"/>
  <c r="G2347" i="5"/>
  <c r="H2347" i="5"/>
  <c r="I2347" i="5"/>
  <c r="J2347" i="5"/>
  <c r="K2347" i="5" l="1"/>
  <c r="F2349" i="5"/>
  <c r="G2348" i="5"/>
  <c r="H2348" i="5"/>
  <c r="I2348" i="5"/>
  <c r="J2348" i="5"/>
  <c r="K2346" i="5"/>
  <c r="L2346" i="5" s="1"/>
  <c r="N2347" i="5"/>
  <c r="N2348" i="5" s="1"/>
  <c r="M2345" i="5"/>
  <c r="F2350" i="5" l="1"/>
  <c r="J2349" i="5" s="1"/>
  <c r="G2349" i="5"/>
  <c r="H2349" i="5"/>
  <c r="K2348" i="5"/>
  <c r="N2349" i="5"/>
  <c r="M2346" i="5"/>
  <c r="L2347" i="5"/>
  <c r="K2349" i="5" l="1"/>
  <c r="L2349" i="5" s="1"/>
  <c r="N2350" i="5"/>
  <c r="L2348" i="5"/>
  <c r="I2349" i="5"/>
  <c r="M2348" i="5"/>
  <c r="F2351" i="5"/>
  <c r="G2350" i="5"/>
  <c r="H2350" i="5"/>
  <c r="I2350" i="5"/>
  <c r="M2347" i="5"/>
  <c r="F2352" i="5" l="1"/>
  <c r="G2351" i="5"/>
  <c r="H2351" i="5"/>
  <c r="I2351" i="5"/>
  <c r="J2351" i="5"/>
  <c r="M2349" i="5"/>
  <c r="J2350" i="5"/>
  <c r="K2350" i="5" l="1"/>
  <c r="L2350" i="5" s="1"/>
  <c r="N2351" i="5"/>
  <c r="K2351" i="5"/>
  <c r="L2351" i="5" s="1"/>
  <c r="N2352" i="5"/>
  <c r="F2353" i="5"/>
  <c r="G2352" i="5"/>
  <c r="H2352" i="5"/>
  <c r="I2352" i="5"/>
  <c r="F2354" i="5" l="1"/>
  <c r="G2353" i="5"/>
  <c r="H2353" i="5"/>
  <c r="I2353" i="5"/>
  <c r="J2353" i="5"/>
  <c r="J2352" i="5"/>
  <c r="M2351" i="5"/>
  <c r="M2350" i="5"/>
  <c r="K2352" i="5" l="1"/>
  <c r="L2352" i="5" s="1"/>
  <c r="N2353" i="5"/>
  <c r="K2353" i="5"/>
  <c r="L2353" i="5" s="1"/>
  <c r="N2354" i="5"/>
  <c r="F2355" i="5"/>
  <c r="I2354" i="5" s="1"/>
  <c r="G2354" i="5"/>
  <c r="H2354" i="5"/>
  <c r="F2356" i="5" l="1"/>
  <c r="J2355" i="5" s="1"/>
  <c r="G2355" i="5"/>
  <c r="H2355" i="5"/>
  <c r="J2354" i="5"/>
  <c r="M2353" i="5"/>
  <c r="M2352" i="5"/>
  <c r="K2355" i="5" l="1"/>
  <c r="L2355" i="5" s="1"/>
  <c r="K2354" i="5"/>
  <c r="L2354" i="5" s="1"/>
  <c r="N2355" i="5"/>
  <c r="N2356" i="5" s="1"/>
  <c r="I2355" i="5"/>
  <c r="F2357" i="5"/>
  <c r="G2356" i="5"/>
  <c r="H2356" i="5"/>
  <c r="F2358" i="5" l="1"/>
  <c r="G2357" i="5"/>
  <c r="H2357" i="5"/>
  <c r="I2357" i="5"/>
  <c r="J2357" i="5"/>
  <c r="M2355" i="5"/>
  <c r="M2354" i="5"/>
  <c r="J2356" i="5"/>
  <c r="I2356" i="5"/>
  <c r="K2357" i="5" l="1"/>
  <c r="N2358" i="5"/>
  <c r="K2356" i="5"/>
  <c r="L2356" i="5" s="1"/>
  <c r="N2357" i="5"/>
  <c r="F2359" i="5"/>
  <c r="I2358" i="5" s="1"/>
  <c r="G2358" i="5"/>
  <c r="J2358" i="5"/>
  <c r="H2358" i="5"/>
  <c r="K2358" i="5" l="1"/>
  <c r="N2359" i="5"/>
  <c r="F2360" i="5"/>
  <c r="H2359" i="5"/>
  <c r="G2359" i="5"/>
  <c r="J2359" i="5"/>
  <c r="I2359" i="5"/>
  <c r="M2357" i="5"/>
  <c r="M2356" i="5"/>
  <c r="L2357" i="5"/>
  <c r="K2359" i="5" l="1"/>
  <c r="N2360" i="5"/>
  <c r="F2361" i="5"/>
  <c r="G2360" i="5"/>
  <c r="H2360" i="5"/>
  <c r="J2360" i="5"/>
  <c r="I2360" i="5"/>
  <c r="M2358" i="5"/>
  <c r="L2358" i="5"/>
  <c r="K2360" i="5" l="1"/>
  <c r="N2361" i="5"/>
  <c r="F2362" i="5"/>
  <c r="G2361" i="5"/>
  <c r="J2361" i="5" s="1"/>
  <c r="H2361" i="5"/>
  <c r="I2361" i="5"/>
  <c r="M2359" i="5"/>
  <c r="L2359" i="5"/>
  <c r="K2361" i="5" l="1"/>
  <c r="L2361" i="5" s="1"/>
  <c r="N2362" i="5"/>
  <c r="F2363" i="5"/>
  <c r="G2362" i="5"/>
  <c r="H2362" i="5"/>
  <c r="I2362" i="5"/>
  <c r="J2362" i="5"/>
  <c r="L2360" i="5"/>
  <c r="M2361" i="5" s="1"/>
  <c r="K2362" i="5" l="1"/>
  <c r="L2362" i="5" s="1"/>
  <c r="N2363" i="5"/>
  <c r="M2360" i="5"/>
  <c r="G2363" i="5"/>
  <c r="F2364" i="5"/>
  <c r="H2363" i="5"/>
  <c r="M2362" i="5"/>
  <c r="F2365" i="5" l="1"/>
  <c r="G2364" i="5"/>
  <c r="H2364" i="5"/>
  <c r="I2364" i="5"/>
  <c r="J2364" i="5"/>
  <c r="J2363" i="5"/>
  <c r="I2363" i="5"/>
  <c r="N2364" i="5" l="1"/>
  <c r="K2363" i="5"/>
  <c r="L2363" i="5" s="1"/>
  <c r="N2365" i="5"/>
  <c r="K2364" i="5"/>
  <c r="G2365" i="5"/>
  <c r="H2365" i="5"/>
  <c r="F2366" i="5"/>
  <c r="I2365" i="5" s="1"/>
  <c r="L2364" i="5" l="1"/>
  <c r="F2367" i="5"/>
  <c r="J2366" i="5" s="1"/>
  <c r="G2366" i="5"/>
  <c r="H2366" i="5"/>
  <c r="M2364" i="5"/>
  <c r="M2363" i="5"/>
  <c r="J2365" i="5"/>
  <c r="K2366" i="5" l="1"/>
  <c r="L2366" i="5" s="1"/>
  <c r="N2367" i="5"/>
  <c r="I2366" i="5"/>
  <c r="F2368" i="5"/>
  <c r="G2367" i="5"/>
  <c r="H2367" i="5"/>
  <c r="I2367" i="5"/>
  <c r="J2367" i="5"/>
  <c r="K2365" i="5"/>
  <c r="L2365" i="5" s="1"/>
  <c r="M2366" i="5" s="1"/>
  <c r="N2366" i="5"/>
  <c r="K2367" i="5" l="1"/>
  <c r="L2367" i="5" s="1"/>
  <c r="N2368" i="5"/>
  <c r="F2369" i="5"/>
  <c r="G2368" i="5"/>
  <c r="H2368" i="5"/>
  <c r="I2368" i="5"/>
  <c r="J2368" i="5"/>
  <c r="M2365" i="5"/>
  <c r="M2367" i="5"/>
  <c r="F2370" i="5" l="1"/>
  <c r="G2369" i="5"/>
  <c r="H2369" i="5"/>
  <c r="I2369" i="5"/>
  <c r="J2369" i="5"/>
  <c r="K2368" i="5"/>
  <c r="L2368" i="5" s="1"/>
  <c r="M2368" i="5" s="1"/>
  <c r="N2369" i="5"/>
  <c r="K2369" i="5" l="1"/>
  <c r="L2369" i="5" s="1"/>
  <c r="M2369" i="5" s="1"/>
  <c r="N2370" i="5"/>
  <c r="F2371" i="5"/>
  <c r="G2370" i="5"/>
  <c r="H2370" i="5"/>
  <c r="J2370" i="5"/>
  <c r="I2370" i="5"/>
  <c r="K2370" i="5" l="1"/>
  <c r="L2370" i="5" s="1"/>
  <c r="N2371" i="5"/>
  <c r="F2372" i="5"/>
  <c r="G2371" i="5"/>
  <c r="H2371" i="5"/>
  <c r="I2371" i="5"/>
  <c r="J2371" i="5"/>
  <c r="M2370" i="5"/>
  <c r="K2371" i="5" l="1"/>
  <c r="L2371" i="5" s="1"/>
  <c r="N2372" i="5"/>
  <c r="F2373" i="5"/>
  <c r="G2372" i="5"/>
  <c r="H2372" i="5"/>
  <c r="I2372" i="5"/>
  <c r="J2372" i="5"/>
  <c r="M2371" i="5"/>
  <c r="K2372" i="5" l="1"/>
  <c r="L2372" i="5" s="1"/>
  <c r="N2373" i="5"/>
  <c r="F2374" i="5"/>
  <c r="G2373" i="5"/>
  <c r="I2373" i="5"/>
  <c r="H2373" i="5"/>
  <c r="J2373" i="5"/>
  <c r="M2372" i="5"/>
  <c r="F2375" i="5" l="1"/>
  <c r="G2374" i="5"/>
  <c r="H2374" i="5"/>
  <c r="I2374" i="5"/>
  <c r="J2374" i="5"/>
  <c r="K2373" i="5"/>
  <c r="L2373" i="5" s="1"/>
  <c r="M2373" i="5" s="1"/>
  <c r="N2374" i="5"/>
  <c r="K2374" i="5" l="1"/>
  <c r="L2374" i="5" s="1"/>
  <c r="M2374" i="5" s="1"/>
  <c r="N2375" i="5"/>
  <c r="F2376" i="5"/>
  <c r="G2375" i="5"/>
  <c r="H2375" i="5"/>
  <c r="I2375" i="5"/>
  <c r="J2375" i="5"/>
  <c r="K2375" i="5" l="1"/>
  <c r="L2375" i="5" s="1"/>
  <c r="N2376" i="5"/>
  <c r="F2377" i="5"/>
  <c r="G2376" i="5"/>
  <c r="H2376" i="5"/>
  <c r="I2376" i="5"/>
  <c r="J2376" i="5"/>
  <c r="M2375" i="5"/>
  <c r="F2378" i="5" l="1"/>
  <c r="G2377" i="5"/>
  <c r="H2377" i="5"/>
  <c r="I2377" i="5"/>
  <c r="J2377" i="5"/>
  <c r="K2376" i="5"/>
  <c r="L2376" i="5" s="1"/>
  <c r="M2376" i="5" s="1"/>
  <c r="N2377" i="5"/>
  <c r="K2377" i="5" l="1"/>
  <c r="L2377" i="5" s="1"/>
  <c r="M2377" i="5" s="1"/>
  <c r="N2378" i="5"/>
  <c r="F2379" i="5"/>
  <c r="G2378" i="5"/>
  <c r="H2378" i="5"/>
  <c r="I2378" i="5"/>
  <c r="J2378" i="5"/>
  <c r="K2378" i="5" l="1"/>
  <c r="L2378" i="5" s="1"/>
  <c r="N2379" i="5"/>
  <c r="G2379" i="5"/>
  <c r="F2380" i="5"/>
  <c r="H2379" i="5"/>
  <c r="I2379" i="5"/>
  <c r="J2379" i="5"/>
  <c r="M2378" i="5"/>
  <c r="K2379" i="5" l="1"/>
  <c r="L2379" i="5" s="1"/>
  <c r="N2380" i="5"/>
  <c r="F2381" i="5"/>
  <c r="G2380" i="5"/>
  <c r="H2380" i="5"/>
  <c r="I2380" i="5"/>
  <c r="J2380" i="5"/>
  <c r="M2379" i="5"/>
  <c r="K2380" i="5" l="1"/>
  <c r="L2380" i="5" s="1"/>
  <c r="N2381" i="5"/>
  <c r="F2382" i="5"/>
  <c r="G2381" i="5"/>
  <c r="H2381" i="5"/>
  <c r="J2381" i="5"/>
  <c r="I2381" i="5"/>
  <c r="M2380" i="5"/>
  <c r="K2381" i="5" l="1"/>
  <c r="L2381" i="5" s="1"/>
  <c r="N2382" i="5"/>
  <c r="F2383" i="5"/>
  <c r="H2382" i="5"/>
  <c r="G2382" i="5"/>
  <c r="J2382" i="5"/>
  <c r="I2382" i="5"/>
  <c r="M2381" i="5"/>
  <c r="N2383" i="5" l="1"/>
  <c r="K2382" i="5"/>
  <c r="L2382" i="5" s="1"/>
  <c r="F2384" i="5"/>
  <c r="H2383" i="5"/>
  <c r="I2383" i="5"/>
  <c r="G2383" i="5"/>
  <c r="J2383" i="5"/>
  <c r="M2382" i="5"/>
  <c r="K2383" i="5" l="1"/>
  <c r="L2383" i="5" s="1"/>
  <c r="N2384" i="5"/>
  <c r="M2383" i="5"/>
  <c r="F2385" i="5"/>
  <c r="I2384" i="5" s="1"/>
  <c r="G2384" i="5"/>
  <c r="J2384" i="5"/>
  <c r="H2384" i="5"/>
  <c r="N2385" i="5" l="1"/>
  <c r="K2384" i="5"/>
  <c r="L2384" i="5" s="1"/>
  <c r="F2386" i="5"/>
  <c r="G2385" i="5"/>
  <c r="J2385" i="5" s="1"/>
  <c r="I2385" i="5"/>
  <c r="H2385" i="5"/>
  <c r="M2384" i="5"/>
  <c r="K2385" i="5" l="1"/>
  <c r="L2385" i="5" s="1"/>
  <c r="N2386" i="5"/>
  <c r="F2387" i="5"/>
  <c r="G2386" i="5"/>
  <c r="I2386" i="5"/>
  <c r="J2386" i="5"/>
  <c r="H2386" i="5"/>
  <c r="M2385" i="5"/>
  <c r="K2386" i="5" l="1"/>
  <c r="L2386" i="5" s="1"/>
  <c r="N2387" i="5"/>
  <c r="F2388" i="5"/>
  <c r="G2387" i="5"/>
  <c r="H2387" i="5"/>
  <c r="I2387" i="5"/>
  <c r="J2387" i="5"/>
  <c r="M2386" i="5"/>
  <c r="F2389" i="5" l="1"/>
  <c r="G2388" i="5"/>
  <c r="H2388" i="5"/>
  <c r="I2388" i="5"/>
  <c r="J2388" i="5"/>
  <c r="K2387" i="5"/>
  <c r="L2387" i="5" s="1"/>
  <c r="M2387" i="5" s="1"/>
  <c r="N2388" i="5"/>
  <c r="K2388" i="5" l="1"/>
  <c r="L2388" i="5" s="1"/>
  <c r="N2389" i="5"/>
  <c r="M2388" i="5"/>
  <c r="F2390" i="5"/>
  <c r="G2389" i="5"/>
  <c r="H2389" i="5"/>
  <c r="I2389" i="5"/>
  <c r="J2389" i="5"/>
  <c r="K2389" i="5" l="1"/>
  <c r="L2389" i="5" s="1"/>
  <c r="N2390" i="5"/>
  <c r="F2391" i="5"/>
  <c r="G2390" i="5"/>
  <c r="H2390" i="5"/>
  <c r="I2390" i="5"/>
  <c r="J2390" i="5"/>
  <c r="M2389" i="5"/>
  <c r="F2392" i="5" l="1"/>
  <c r="G2391" i="5"/>
  <c r="H2391" i="5"/>
  <c r="I2391" i="5"/>
  <c r="J2391" i="5"/>
  <c r="K2390" i="5"/>
  <c r="L2390" i="5" s="1"/>
  <c r="M2390" i="5" s="1"/>
  <c r="N2391" i="5"/>
  <c r="K2391" i="5" l="1"/>
  <c r="L2391" i="5" s="1"/>
  <c r="N2392" i="5"/>
  <c r="F2393" i="5"/>
  <c r="G2392" i="5"/>
  <c r="H2392" i="5"/>
  <c r="I2392" i="5"/>
  <c r="J2392" i="5"/>
  <c r="F2394" i="5" l="1"/>
  <c r="H2393" i="5"/>
  <c r="G2393" i="5"/>
  <c r="I2393" i="5"/>
  <c r="J2393" i="5"/>
  <c r="K2392" i="5"/>
  <c r="L2392" i="5" s="1"/>
  <c r="N2393" i="5"/>
  <c r="M2392" i="5"/>
  <c r="M2391" i="5"/>
  <c r="K2393" i="5" l="1"/>
  <c r="L2393" i="5" s="1"/>
  <c r="M2393" i="5" s="1"/>
  <c r="N2394" i="5"/>
  <c r="F2395" i="5"/>
  <c r="G2394" i="5"/>
  <c r="I2394" i="5"/>
  <c r="H2394" i="5"/>
  <c r="J2394" i="5"/>
  <c r="K2394" i="5" l="1"/>
  <c r="L2394" i="5" s="1"/>
  <c r="N2395" i="5"/>
  <c r="F2396" i="5"/>
  <c r="G2395" i="5"/>
  <c r="H2395" i="5"/>
  <c r="J2395" i="5" s="1"/>
  <c r="I2395" i="5"/>
  <c r="M2394" i="5"/>
  <c r="K2395" i="5" l="1"/>
  <c r="L2395" i="5" s="1"/>
  <c r="N2396" i="5"/>
  <c r="F2397" i="5"/>
  <c r="G2396" i="5"/>
  <c r="H2396" i="5"/>
  <c r="I2396" i="5"/>
  <c r="J2396" i="5"/>
  <c r="M2395" i="5"/>
  <c r="K2396" i="5" l="1"/>
  <c r="L2396" i="5" s="1"/>
  <c r="N2397" i="5"/>
  <c r="F2398" i="5"/>
  <c r="G2397" i="5"/>
  <c r="I2397" i="5"/>
  <c r="H2397" i="5"/>
  <c r="J2397" i="5"/>
  <c r="M2396" i="5"/>
  <c r="K2397" i="5" l="1"/>
  <c r="L2397" i="5" s="1"/>
  <c r="N2398" i="5"/>
  <c r="F2399" i="5"/>
  <c r="G2398" i="5"/>
  <c r="H2398" i="5"/>
  <c r="J2398" i="5"/>
  <c r="I2398" i="5"/>
  <c r="M2397" i="5"/>
  <c r="G2399" i="5" l="1"/>
  <c r="H2399" i="5"/>
  <c r="F2400" i="5"/>
  <c r="K2398" i="5"/>
  <c r="L2398" i="5" s="1"/>
  <c r="N2399" i="5"/>
  <c r="M2398" i="5" l="1"/>
  <c r="F2401" i="5"/>
  <c r="G2400" i="5"/>
  <c r="H2400" i="5"/>
  <c r="I2400" i="5"/>
  <c r="J2400" i="5"/>
  <c r="J2399" i="5"/>
  <c r="I2399" i="5"/>
  <c r="N2401" i="5" l="1"/>
  <c r="K2400" i="5"/>
  <c r="L2400" i="5" s="1"/>
  <c r="K2399" i="5"/>
  <c r="L2399" i="5" s="1"/>
  <c r="N2400" i="5"/>
  <c r="G2401" i="5"/>
  <c r="H2401" i="5"/>
  <c r="F2402" i="5"/>
  <c r="J2401" i="5" s="1"/>
  <c r="K2401" i="5" l="1"/>
  <c r="L2401" i="5" s="1"/>
  <c r="N2402" i="5"/>
  <c r="F2403" i="5"/>
  <c r="H2402" i="5"/>
  <c r="G2402" i="5"/>
  <c r="J2402" i="5"/>
  <c r="I2402" i="5"/>
  <c r="M2400" i="5"/>
  <c r="M2399" i="5"/>
  <c r="M2401" i="5"/>
  <c r="I2401" i="5"/>
  <c r="K2402" i="5" l="1"/>
  <c r="L2402" i="5" s="1"/>
  <c r="N2403" i="5"/>
  <c r="F2404" i="5"/>
  <c r="G2403" i="5"/>
  <c r="H2403" i="5"/>
  <c r="I2403" i="5"/>
  <c r="J2403" i="5"/>
  <c r="M2402" i="5"/>
  <c r="F2405" i="5" l="1"/>
  <c r="G2404" i="5"/>
  <c r="H2404" i="5"/>
  <c r="I2404" i="5"/>
  <c r="J2404" i="5"/>
  <c r="K2403" i="5"/>
  <c r="L2403" i="5" s="1"/>
  <c r="M2403" i="5" s="1"/>
  <c r="N2404" i="5"/>
  <c r="K2404" i="5" l="1"/>
  <c r="L2404" i="5" s="1"/>
  <c r="M2404" i="5" s="1"/>
  <c r="N2405" i="5"/>
  <c r="F2406" i="5"/>
  <c r="H2405" i="5"/>
  <c r="J2405" i="5" s="1"/>
  <c r="G2405" i="5"/>
  <c r="I2405" i="5"/>
  <c r="K2405" i="5" l="1"/>
  <c r="L2405" i="5" s="1"/>
  <c r="N2406" i="5"/>
  <c r="F2407" i="5"/>
  <c r="G2406" i="5"/>
  <c r="I2406" i="5"/>
  <c r="H2406" i="5"/>
  <c r="J2406" i="5"/>
  <c r="M2405" i="5"/>
  <c r="K2406" i="5" l="1"/>
  <c r="L2406" i="5" s="1"/>
  <c r="N2407" i="5"/>
  <c r="F2408" i="5"/>
  <c r="G2407" i="5"/>
  <c r="I2407" i="5"/>
  <c r="J2407" i="5"/>
  <c r="H2407" i="5"/>
  <c r="M2406" i="5"/>
  <c r="K2407" i="5" l="1"/>
  <c r="L2407" i="5" s="1"/>
  <c r="N2408" i="5"/>
  <c r="F2409" i="5"/>
  <c r="G2408" i="5"/>
  <c r="H2408" i="5"/>
  <c r="J2408" i="5"/>
  <c r="I2408" i="5"/>
  <c r="M2407" i="5"/>
  <c r="F2410" i="5" l="1"/>
  <c r="G2409" i="5"/>
  <c r="H2409" i="5"/>
  <c r="I2409" i="5"/>
  <c r="J2409" i="5"/>
  <c r="K2408" i="5"/>
  <c r="L2408" i="5" s="1"/>
  <c r="N2409" i="5"/>
  <c r="M2408" i="5"/>
  <c r="K2409" i="5" l="1"/>
  <c r="L2409" i="5" s="1"/>
  <c r="M2409" i="5" s="1"/>
  <c r="N2410" i="5"/>
  <c r="F2411" i="5"/>
  <c r="G2410" i="5"/>
  <c r="H2410" i="5"/>
  <c r="I2410" i="5"/>
  <c r="J2410" i="5"/>
  <c r="K2410" i="5" l="1"/>
  <c r="L2410" i="5" s="1"/>
  <c r="N2411" i="5"/>
  <c r="F2412" i="5"/>
  <c r="G2411" i="5"/>
  <c r="H2411" i="5"/>
  <c r="I2411" i="5"/>
  <c r="J2411" i="5"/>
  <c r="M2410" i="5"/>
  <c r="K2411" i="5" l="1"/>
  <c r="L2411" i="5" s="1"/>
  <c r="N2412" i="5"/>
  <c r="F2413" i="5"/>
  <c r="G2412" i="5"/>
  <c r="H2412" i="5"/>
  <c r="I2412" i="5"/>
  <c r="J2412" i="5"/>
  <c r="M2411" i="5"/>
  <c r="F2414" i="5" l="1"/>
  <c r="G2413" i="5"/>
  <c r="H2413" i="5"/>
  <c r="J2413" i="5"/>
  <c r="I2413" i="5"/>
  <c r="K2412" i="5"/>
  <c r="L2412" i="5" s="1"/>
  <c r="N2413" i="5"/>
  <c r="M2412" i="5"/>
  <c r="K2413" i="5" l="1"/>
  <c r="L2413" i="5" s="1"/>
  <c r="M2413" i="5" s="1"/>
  <c r="N2414" i="5"/>
  <c r="F2415" i="5"/>
  <c r="G2414" i="5"/>
  <c r="H2414" i="5"/>
  <c r="J2414" i="5"/>
  <c r="I2414" i="5"/>
  <c r="F2416" i="5" l="1"/>
  <c r="G2415" i="5"/>
  <c r="H2415" i="5"/>
  <c r="I2415" i="5"/>
  <c r="J2415" i="5"/>
  <c r="K2414" i="5"/>
  <c r="L2414" i="5" s="1"/>
  <c r="M2414" i="5" s="1"/>
  <c r="N2415" i="5"/>
  <c r="K2415" i="5" l="1"/>
  <c r="L2415" i="5" s="1"/>
  <c r="M2415" i="5" s="1"/>
  <c r="N2416" i="5"/>
  <c r="F2417" i="5"/>
  <c r="G2416" i="5"/>
  <c r="H2416" i="5"/>
  <c r="J2416" i="5"/>
  <c r="F2418" i="5" l="1"/>
  <c r="I2417" i="5" s="1"/>
  <c r="G2417" i="5"/>
  <c r="H2417" i="5"/>
  <c r="J2417" i="5"/>
  <c r="I2416" i="5"/>
  <c r="K2416" i="5"/>
  <c r="L2416" i="5" s="1"/>
  <c r="N2417" i="5"/>
  <c r="K2417" i="5" l="1"/>
  <c r="L2417" i="5" s="1"/>
  <c r="M2417" i="5" s="1"/>
  <c r="N2418" i="5"/>
  <c r="M2416" i="5"/>
  <c r="F2419" i="5"/>
  <c r="G2418" i="5"/>
  <c r="H2418" i="5"/>
  <c r="I2418" i="5"/>
  <c r="F2420" i="5" l="1"/>
  <c r="G2419" i="5"/>
  <c r="H2419" i="5"/>
  <c r="I2419" i="5"/>
  <c r="J2419" i="5"/>
  <c r="J2418" i="5"/>
  <c r="K2418" i="5" l="1"/>
  <c r="L2418" i="5" s="1"/>
  <c r="N2419" i="5"/>
  <c r="N2420" i="5"/>
  <c r="K2419" i="5"/>
  <c r="L2419" i="5" s="1"/>
  <c r="F2421" i="5"/>
  <c r="G2420" i="5"/>
  <c r="H2420" i="5"/>
  <c r="I2420" i="5"/>
  <c r="F2422" i="5" l="1"/>
  <c r="I2421" i="5" s="1"/>
  <c r="G2421" i="5"/>
  <c r="H2421" i="5"/>
  <c r="J2420" i="5"/>
  <c r="M2419" i="5"/>
  <c r="M2418" i="5"/>
  <c r="J2421" i="5" l="1"/>
  <c r="K2420" i="5"/>
  <c r="L2420" i="5" s="1"/>
  <c r="N2421" i="5"/>
  <c r="F2423" i="5"/>
  <c r="G2422" i="5"/>
  <c r="H2422" i="5"/>
  <c r="I2422" i="5"/>
  <c r="J2422" i="5"/>
  <c r="K2422" i="5" l="1"/>
  <c r="N2423" i="5"/>
  <c r="F2424" i="5"/>
  <c r="G2423" i="5"/>
  <c r="H2423" i="5"/>
  <c r="J2423" i="5"/>
  <c r="I2423" i="5"/>
  <c r="M2421" i="5"/>
  <c r="M2420" i="5"/>
  <c r="K2421" i="5"/>
  <c r="L2421" i="5" s="1"/>
  <c r="N2422" i="5"/>
  <c r="K2423" i="5" l="1"/>
  <c r="N2424" i="5"/>
  <c r="F2425" i="5"/>
  <c r="H2424" i="5"/>
  <c r="J2424" i="5" s="1"/>
  <c r="G2424" i="5"/>
  <c r="I2424" i="5"/>
  <c r="M2422" i="5"/>
  <c r="L2422" i="5"/>
  <c r="K2424" i="5" l="1"/>
  <c r="L2424" i="5" s="1"/>
  <c r="N2425" i="5"/>
  <c r="F2426" i="5"/>
  <c r="H2425" i="5"/>
  <c r="J2425" i="5"/>
  <c r="G2425" i="5"/>
  <c r="I2425" i="5"/>
  <c r="M2423" i="5"/>
  <c r="L2423" i="5"/>
  <c r="M2424" i="5" s="1"/>
  <c r="K2425" i="5" l="1"/>
  <c r="L2425" i="5" s="1"/>
  <c r="N2426" i="5"/>
  <c r="F2427" i="5"/>
  <c r="G2426" i="5"/>
  <c r="I2426" i="5"/>
  <c r="J2426" i="5"/>
  <c r="H2426" i="5"/>
  <c r="M2425" i="5"/>
  <c r="K2426" i="5" l="1"/>
  <c r="L2426" i="5" s="1"/>
  <c r="N2427" i="5"/>
  <c r="G2427" i="5"/>
  <c r="F2428" i="5"/>
  <c r="H2427" i="5"/>
  <c r="I2427" i="5"/>
  <c r="J2427" i="5"/>
  <c r="M2426" i="5"/>
  <c r="F2429" i="5" l="1"/>
  <c r="G2428" i="5"/>
  <c r="H2428" i="5"/>
  <c r="I2428" i="5"/>
  <c r="J2428" i="5"/>
  <c r="K2427" i="5"/>
  <c r="L2427" i="5" s="1"/>
  <c r="N2428" i="5"/>
  <c r="M2427" i="5"/>
  <c r="N2429" i="5" l="1"/>
  <c r="K2428" i="5"/>
  <c r="L2428" i="5" s="1"/>
  <c r="F2430" i="5"/>
  <c r="I2429" i="5" s="1"/>
  <c r="G2429" i="5"/>
  <c r="H2429" i="5"/>
  <c r="J2429" i="5" s="1"/>
  <c r="K2429" i="5" l="1"/>
  <c r="L2429" i="5" s="1"/>
  <c r="M2429" i="5" s="1"/>
  <c r="N2430" i="5"/>
  <c r="F2431" i="5"/>
  <c r="G2430" i="5"/>
  <c r="I2430" i="5"/>
  <c r="J2430" i="5"/>
  <c r="H2430" i="5"/>
  <c r="M2428" i="5"/>
  <c r="K2430" i="5" l="1"/>
  <c r="L2430" i="5" s="1"/>
  <c r="N2431" i="5"/>
  <c r="F2432" i="5"/>
  <c r="G2431" i="5"/>
  <c r="H2431" i="5"/>
  <c r="I2431" i="5"/>
  <c r="J2431" i="5"/>
  <c r="M2430" i="5"/>
  <c r="K2431" i="5" l="1"/>
  <c r="L2431" i="5" s="1"/>
  <c r="N2432" i="5"/>
  <c r="F2433" i="5"/>
  <c r="G2432" i="5"/>
  <c r="H2432" i="5"/>
  <c r="I2432" i="5"/>
  <c r="J2432" i="5"/>
  <c r="M2431" i="5"/>
  <c r="F2434" i="5" l="1"/>
  <c r="G2433" i="5"/>
  <c r="H2433" i="5"/>
  <c r="I2433" i="5"/>
  <c r="J2433" i="5"/>
  <c r="K2432" i="5"/>
  <c r="L2432" i="5" s="1"/>
  <c r="M2432" i="5" s="1"/>
  <c r="N2433" i="5"/>
  <c r="K2433" i="5" l="1"/>
  <c r="L2433" i="5" s="1"/>
  <c r="N2434" i="5"/>
  <c r="M2433" i="5"/>
  <c r="F2435" i="5"/>
  <c r="H2434" i="5"/>
  <c r="G2434" i="5"/>
  <c r="J2434" i="5" s="1"/>
  <c r="I2434" i="5"/>
  <c r="K2434" i="5" l="1"/>
  <c r="L2434" i="5" s="1"/>
  <c r="N2435" i="5"/>
  <c r="F2436" i="5"/>
  <c r="G2435" i="5"/>
  <c r="H2435" i="5"/>
  <c r="I2435" i="5"/>
  <c r="J2435" i="5"/>
  <c r="M2434" i="5"/>
  <c r="K2435" i="5" l="1"/>
  <c r="L2435" i="5" s="1"/>
  <c r="N2436" i="5"/>
  <c r="F2437" i="5"/>
  <c r="G2436" i="5"/>
  <c r="H2436" i="5"/>
  <c r="I2436" i="5"/>
  <c r="J2436" i="5"/>
  <c r="M2435" i="5"/>
  <c r="F2438" i="5" l="1"/>
  <c r="G2437" i="5"/>
  <c r="H2437" i="5"/>
  <c r="I2437" i="5"/>
  <c r="J2437" i="5"/>
  <c r="N2437" i="5"/>
  <c r="K2436" i="5"/>
  <c r="L2436" i="5" s="1"/>
  <c r="N2438" i="5" l="1"/>
  <c r="K2437" i="5"/>
  <c r="L2437" i="5" s="1"/>
  <c r="M2437" i="5" s="1"/>
  <c r="M2436" i="5"/>
  <c r="F2439" i="5"/>
  <c r="G2438" i="5"/>
  <c r="I2438" i="5"/>
  <c r="H2438" i="5"/>
  <c r="F2440" i="5" l="1"/>
  <c r="I2439" i="5" s="1"/>
  <c r="G2439" i="5"/>
  <c r="H2439" i="5"/>
  <c r="J2439" i="5"/>
  <c r="J2438" i="5"/>
  <c r="K2439" i="5" l="1"/>
  <c r="L2439" i="5" s="1"/>
  <c r="N2440" i="5"/>
  <c r="K2438" i="5"/>
  <c r="L2438" i="5" s="1"/>
  <c r="N2439" i="5"/>
  <c r="F2441" i="5"/>
  <c r="G2440" i="5"/>
  <c r="H2440" i="5"/>
  <c r="I2440" i="5"/>
  <c r="J2440" i="5"/>
  <c r="F2442" i="5" l="1"/>
  <c r="G2441" i="5"/>
  <c r="H2441" i="5"/>
  <c r="I2441" i="5"/>
  <c r="J2441" i="5"/>
  <c r="M2439" i="5"/>
  <c r="M2438" i="5"/>
  <c r="K2440" i="5"/>
  <c r="L2440" i="5" s="1"/>
  <c r="N2441" i="5"/>
  <c r="K2441" i="5" l="1"/>
  <c r="L2441" i="5" s="1"/>
  <c r="N2442" i="5"/>
  <c r="M2440" i="5"/>
  <c r="F2443" i="5"/>
  <c r="G2442" i="5"/>
  <c r="H2442" i="5"/>
  <c r="F2444" i="5" l="1"/>
  <c r="G2443" i="5"/>
  <c r="H2443" i="5"/>
  <c r="I2443" i="5"/>
  <c r="J2443" i="5"/>
  <c r="I2442" i="5"/>
  <c r="J2442" i="5"/>
  <c r="M2441" i="5"/>
  <c r="K2443" i="5" l="1"/>
  <c r="N2444" i="5"/>
  <c r="K2442" i="5"/>
  <c r="L2442" i="5" s="1"/>
  <c r="N2443" i="5"/>
  <c r="F2445" i="5"/>
  <c r="H2444" i="5"/>
  <c r="I2444" i="5"/>
  <c r="G2444" i="5"/>
  <c r="F2446" i="5" l="1"/>
  <c r="G2445" i="5"/>
  <c r="H2445" i="5"/>
  <c r="J2445" i="5"/>
  <c r="I2445" i="5"/>
  <c r="M2443" i="5"/>
  <c r="M2442" i="5"/>
  <c r="J2444" i="5"/>
  <c r="L2443" i="5"/>
  <c r="K2445" i="5" l="1"/>
  <c r="K2444" i="5"/>
  <c r="L2444" i="5" s="1"/>
  <c r="N2445" i="5"/>
  <c r="N2446" i="5" s="1"/>
  <c r="M2444" i="5"/>
  <c r="F2447" i="5"/>
  <c r="G2446" i="5"/>
  <c r="H2446" i="5"/>
  <c r="F2448" i="5" l="1"/>
  <c r="J2447" i="5" s="1"/>
  <c r="G2447" i="5"/>
  <c r="H2447" i="5"/>
  <c r="I2446" i="5"/>
  <c r="J2446" i="5"/>
  <c r="L2445" i="5"/>
  <c r="K2447" i="5" l="1"/>
  <c r="N2448" i="5"/>
  <c r="I2447" i="5"/>
  <c r="K2446" i="5"/>
  <c r="L2446" i="5" s="1"/>
  <c r="N2447" i="5"/>
  <c r="F2449" i="5"/>
  <c r="G2448" i="5"/>
  <c r="H2448" i="5"/>
  <c r="M2445" i="5"/>
  <c r="F2450" i="5" l="1"/>
  <c r="I2449" i="5" s="1"/>
  <c r="G2449" i="5"/>
  <c r="J2449" i="5"/>
  <c r="H2449" i="5"/>
  <c r="I2448" i="5"/>
  <c r="M2446" i="5"/>
  <c r="J2448" i="5"/>
  <c r="L2447" i="5"/>
  <c r="M2447" i="5" s="1"/>
  <c r="K2449" i="5" l="1"/>
  <c r="K2448" i="5"/>
  <c r="L2448" i="5" s="1"/>
  <c r="N2449" i="5"/>
  <c r="N2450" i="5" s="1"/>
  <c r="F2451" i="5"/>
  <c r="G2450" i="5"/>
  <c r="H2450" i="5"/>
  <c r="M2448" i="5" l="1"/>
  <c r="F2452" i="5"/>
  <c r="G2451" i="5"/>
  <c r="H2451" i="5"/>
  <c r="I2451" i="5"/>
  <c r="J2451" i="5"/>
  <c r="J2450" i="5"/>
  <c r="I2450" i="5"/>
  <c r="L2449" i="5"/>
  <c r="K2451" i="5" l="1"/>
  <c r="K2450" i="5"/>
  <c r="L2450" i="5" s="1"/>
  <c r="N2451" i="5"/>
  <c r="N2452" i="5" s="1"/>
  <c r="F2453" i="5"/>
  <c r="G2452" i="5"/>
  <c r="H2452" i="5"/>
  <c r="I2452" i="5"/>
  <c r="M2450" i="5"/>
  <c r="M2449" i="5"/>
  <c r="F2454" i="5" l="1"/>
  <c r="G2453" i="5"/>
  <c r="J2453" i="5" s="1"/>
  <c r="H2453" i="5"/>
  <c r="I2453" i="5"/>
  <c r="J2452" i="5"/>
  <c r="L2451" i="5"/>
  <c r="K2453" i="5" l="1"/>
  <c r="L2453" i="5" s="1"/>
  <c r="N2454" i="5"/>
  <c r="M2451" i="5"/>
  <c r="K2452" i="5"/>
  <c r="L2452" i="5" s="1"/>
  <c r="M2453" i="5" s="1"/>
  <c r="N2453" i="5"/>
  <c r="F2455" i="5"/>
  <c r="G2454" i="5"/>
  <c r="H2454" i="5"/>
  <c r="F2456" i="5" l="1"/>
  <c r="G2455" i="5"/>
  <c r="H2455" i="5"/>
  <c r="I2455" i="5"/>
  <c r="J2455" i="5"/>
  <c r="J2454" i="5"/>
  <c r="M2452" i="5"/>
  <c r="I2454" i="5"/>
  <c r="N2455" i="5" l="1"/>
  <c r="K2454" i="5"/>
  <c r="L2454" i="5" s="1"/>
  <c r="K2455" i="5"/>
  <c r="N2456" i="5"/>
  <c r="F2457" i="5"/>
  <c r="G2456" i="5"/>
  <c r="H2456" i="5"/>
  <c r="F2458" i="5" l="1"/>
  <c r="G2457" i="5"/>
  <c r="H2457" i="5"/>
  <c r="I2457" i="5"/>
  <c r="J2457" i="5"/>
  <c r="I2456" i="5"/>
  <c r="L2455" i="5"/>
  <c r="M2454" i="5"/>
  <c r="J2456" i="5"/>
  <c r="M2455" i="5" l="1"/>
  <c r="K2457" i="5"/>
  <c r="L2457" i="5" s="1"/>
  <c r="K2456" i="5"/>
  <c r="L2456" i="5" s="1"/>
  <c r="N2457" i="5"/>
  <c r="N2458" i="5" s="1"/>
  <c r="F2459" i="5"/>
  <c r="G2458" i="5"/>
  <c r="H2458" i="5"/>
  <c r="F2460" i="5" l="1"/>
  <c r="I2459" i="5" s="1"/>
  <c r="G2459" i="5"/>
  <c r="H2459" i="5"/>
  <c r="M2457" i="5"/>
  <c r="J2458" i="5"/>
  <c r="I2458" i="5"/>
  <c r="M2456" i="5"/>
  <c r="K2458" i="5" l="1"/>
  <c r="L2458" i="5" s="1"/>
  <c r="N2459" i="5"/>
  <c r="J2459" i="5"/>
  <c r="F2461" i="5"/>
  <c r="G2460" i="5"/>
  <c r="H2460" i="5"/>
  <c r="I2460" i="5"/>
  <c r="J2460" i="5"/>
  <c r="K2460" i="5" l="1"/>
  <c r="N2461" i="5"/>
  <c r="F2462" i="5"/>
  <c r="I2461" i="5"/>
  <c r="H2461" i="5"/>
  <c r="G2461" i="5"/>
  <c r="J2461" i="5"/>
  <c r="K2459" i="5"/>
  <c r="L2459" i="5" s="1"/>
  <c r="N2460" i="5"/>
  <c r="M2458" i="5"/>
  <c r="K2461" i="5" l="1"/>
  <c r="N2462" i="5"/>
  <c r="F2463" i="5"/>
  <c r="H2462" i="5"/>
  <c r="J2462" i="5"/>
  <c r="I2462" i="5"/>
  <c r="G2462" i="5"/>
  <c r="M2460" i="5"/>
  <c r="M2459" i="5"/>
  <c r="L2460" i="5"/>
  <c r="K2462" i="5" l="1"/>
  <c r="N2463" i="5"/>
  <c r="F2464" i="5"/>
  <c r="H2463" i="5"/>
  <c r="I2463" i="5"/>
  <c r="G2463" i="5"/>
  <c r="J2463" i="5"/>
  <c r="M2461" i="5"/>
  <c r="L2461" i="5"/>
  <c r="K2463" i="5" l="1"/>
  <c r="L2463" i="5" s="1"/>
  <c r="N2464" i="5"/>
  <c r="F2465" i="5"/>
  <c r="G2464" i="5"/>
  <c r="H2464" i="5"/>
  <c r="I2464" i="5"/>
  <c r="J2464" i="5"/>
  <c r="M2462" i="5"/>
  <c r="L2462" i="5"/>
  <c r="M2463" i="5" s="1"/>
  <c r="K2464" i="5" l="1"/>
  <c r="L2464" i="5" s="1"/>
  <c r="N2465" i="5"/>
  <c r="F2466" i="5"/>
  <c r="G2465" i="5"/>
  <c r="H2465" i="5"/>
  <c r="I2465" i="5"/>
  <c r="J2465" i="5"/>
  <c r="M2464" i="5"/>
  <c r="F2467" i="5" l="1"/>
  <c r="G2466" i="5"/>
  <c r="H2466" i="5"/>
  <c r="J2466" i="5"/>
  <c r="I2466" i="5"/>
  <c r="K2465" i="5"/>
  <c r="L2465" i="5" s="1"/>
  <c r="N2466" i="5"/>
  <c r="M2465" i="5"/>
  <c r="K2466" i="5" l="1"/>
  <c r="L2466" i="5" s="1"/>
  <c r="M2466" i="5" s="1"/>
  <c r="N2467" i="5"/>
  <c r="F2468" i="5"/>
  <c r="G2467" i="5"/>
  <c r="H2467" i="5"/>
  <c r="I2467" i="5"/>
  <c r="J2467" i="5"/>
  <c r="K2467" i="5" l="1"/>
  <c r="L2467" i="5" s="1"/>
  <c r="N2468" i="5"/>
  <c r="F2469" i="5"/>
  <c r="G2468" i="5"/>
  <c r="H2468" i="5"/>
  <c r="J2468" i="5" s="1"/>
  <c r="I2468" i="5"/>
  <c r="M2467" i="5"/>
  <c r="K2468" i="5" l="1"/>
  <c r="L2468" i="5" s="1"/>
  <c r="N2469" i="5"/>
  <c r="F2470" i="5"/>
  <c r="G2469" i="5"/>
  <c r="H2469" i="5"/>
  <c r="J2469" i="5"/>
  <c r="I2469" i="5"/>
  <c r="M2468" i="5"/>
  <c r="K2469" i="5" l="1"/>
  <c r="L2469" i="5" s="1"/>
  <c r="N2470" i="5"/>
  <c r="F2471" i="5"/>
  <c r="G2470" i="5"/>
  <c r="I2470" i="5"/>
  <c r="J2470" i="5"/>
  <c r="H2470" i="5"/>
  <c r="M2469" i="5"/>
  <c r="K2470" i="5" l="1"/>
  <c r="L2470" i="5" s="1"/>
  <c r="N2471" i="5"/>
  <c r="F2472" i="5"/>
  <c r="G2471" i="5"/>
  <c r="I2471" i="5"/>
  <c r="J2471" i="5"/>
  <c r="H2471" i="5"/>
  <c r="M2470" i="5"/>
  <c r="K2471" i="5" l="1"/>
  <c r="L2471" i="5" s="1"/>
  <c r="N2472" i="5"/>
  <c r="F2473" i="5"/>
  <c r="G2472" i="5"/>
  <c r="J2472" i="5"/>
  <c r="I2472" i="5"/>
  <c r="H2472" i="5"/>
  <c r="M2471" i="5"/>
  <c r="K2472" i="5" l="1"/>
  <c r="L2472" i="5" s="1"/>
  <c r="N2473" i="5"/>
  <c r="F2474" i="5"/>
  <c r="G2473" i="5"/>
  <c r="H2473" i="5"/>
  <c r="I2473" i="5"/>
  <c r="J2473" i="5"/>
  <c r="M2472" i="5"/>
  <c r="N2474" i="5" l="1"/>
  <c r="K2473" i="5"/>
  <c r="L2473" i="5" s="1"/>
  <c r="F2475" i="5"/>
  <c r="G2474" i="5"/>
  <c r="H2474" i="5"/>
  <c r="I2474" i="5"/>
  <c r="J2474" i="5"/>
  <c r="M2473" i="5"/>
  <c r="K2474" i="5" l="1"/>
  <c r="L2474" i="5" s="1"/>
  <c r="N2475" i="5"/>
  <c r="G2475" i="5"/>
  <c r="F2476" i="5"/>
  <c r="H2475" i="5"/>
  <c r="I2475" i="5"/>
  <c r="J2475" i="5"/>
  <c r="M2474" i="5"/>
  <c r="K2475" i="5" l="1"/>
  <c r="L2475" i="5" s="1"/>
  <c r="N2476" i="5"/>
  <c r="F2477" i="5"/>
  <c r="J2476" i="5" s="1"/>
  <c r="G2476" i="5"/>
  <c r="H2476" i="5"/>
  <c r="M2475" i="5"/>
  <c r="K2476" i="5" l="1"/>
  <c r="L2476" i="5" s="1"/>
  <c r="N2477" i="5"/>
  <c r="I2476" i="5"/>
  <c r="F2478" i="5"/>
  <c r="G2477" i="5"/>
  <c r="H2477" i="5"/>
  <c r="J2477" i="5"/>
  <c r="I2477" i="5"/>
  <c r="M2476" i="5"/>
  <c r="K2477" i="5" l="1"/>
  <c r="L2477" i="5" s="1"/>
  <c r="N2478" i="5"/>
  <c r="F2479" i="5"/>
  <c r="G2478" i="5"/>
  <c r="H2478" i="5"/>
  <c r="J2478" i="5"/>
  <c r="I2478" i="5"/>
  <c r="M2477" i="5" l="1"/>
  <c r="K2478" i="5"/>
  <c r="L2478" i="5" s="1"/>
  <c r="N2479" i="5"/>
  <c r="F2480" i="5"/>
  <c r="H2479" i="5"/>
  <c r="G2479" i="5"/>
  <c r="I2479" i="5"/>
  <c r="F2481" i="5" l="1"/>
  <c r="I2480" i="5" s="1"/>
  <c r="G2480" i="5"/>
  <c r="H2480" i="5"/>
  <c r="J2480" i="5"/>
  <c r="J2479" i="5"/>
  <c r="M2478" i="5"/>
  <c r="K2480" i="5" l="1"/>
  <c r="N2481" i="5"/>
  <c r="K2479" i="5"/>
  <c r="L2479" i="5" s="1"/>
  <c r="N2480" i="5"/>
  <c r="F2482" i="5"/>
  <c r="G2481" i="5"/>
  <c r="I2481" i="5"/>
  <c r="J2481" i="5"/>
  <c r="H2481" i="5"/>
  <c r="K2481" i="5" l="1"/>
  <c r="N2482" i="5"/>
  <c r="F2483" i="5"/>
  <c r="G2482" i="5"/>
  <c r="H2482" i="5"/>
  <c r="I2482" i="5"/>
  <c r="J2482" i="5"/>
  <c r="M2480" i="5"/>
  <c r="M2479" i="5"/>
  <c r="L2480" i="5"/>
  <c r="K2482" i="5" l="1"/>
  <c r="L2482" i="5" s="1"/>
  <c r="N2483" i="5"/>
  <c r="F2484" i="5"/>
  <c r="G2483" i="5"/>
  <c r="H2483" i="5"/>
  <c r="I2483" i="5"/>
  <c r="J2483" i="5"/>
  <c r="M2481" i="5"/>
  <c r="L2481" i="5"/>
  <c r="M2482" i="5" s="1"/>
  <c r="K2483" i="5" l="1"/>
  <c r="L2483" i="5" s="1"/>
  <c r="N2484" i="5"/>
  <c r="F2485" i="5"/>
  <c r="G2484" i="5"/>
  <c r="H2484" i="5"/>
  <c r="I2484" i="5"/>
  <c r="J2484" i="5"/>
  <c r="M2483" i="5"/>
  <c r="F2486" i="5" l="1"/>
  <c r="G2485" i="5"/>
  <c r="H2485" i="5"/>
  <c r="I2485" i="5"/>
  <c r="J2485" i="5"/>
  <c r="K2484" i="5"/>
  <c r="L2484" i="5" s="1"/>
  <c r="M2484" i="5" s="1"/>
  <c r="N2485" i="5"/>
  <c r="K2485" i="5" l="1"/>
  <c r="L2485" i="5" s="1"/>
  <c r="N2486" i="5"/>
  <c r="M2485" i="5"/>
  <c r="F2487" i="5"/>
  <c r="G2486" i="5"/>
  <c r="H2486" i="5"/>
  <c r="I2486" i="5"/>
  <c r="J2486" i="5"/>
  <c r="K2486" i="5" l="1"/>
  <c r="L2486" i="5" s="1"/>
  <c r="N2487" i="5"/>
  <c r="F2488" i="5"/>
  <c r="J2487" i="5" s="1"/>
  <c r="G2487" i="5"/>
  <c r="H2487" i="5"/>
  <c r="M2486" i="5"/>
  <c r="K2487" i="5" l="1"/>
  <c r="L2487" i="5" s="1"/>
  <c r="N2488" i="5"/>
  <c r="I2487" i="5"/>
  <c r="F2489" i="5"/>
  <c r="G2488" i="5"/>
  <c r="H2488" i="5"/>
  <c r="J2488" i="5"/>
  <c r="I2488" i="5"/>
  <c r="M2487" i="5"/>
  <c r="K2488" i="5" l="1"/>
  <c r="L2488" i="5" s="1"/>
  <c r="N2489" i="5"/>
  <c r="F2490" i="5"/>
  <c r="G2489" i="5"/>
  <c r="H2489" i="5"/>
  <c r="J2489" i="5"/>
  <c r="I2489" i="5"/>
  <c r="M2488" i="5"/>
  <c r="N2490" i="5" l="1"/>
  <c r="K2489" i="5"/>
  <c r="L2489" i="5" s="1"/>
  <c r="F2491" i="5"/>
  <c r="G2490" i="5"/>
  <c r="I2490" i="5"/>
  <c r="J2490" i="5"/>
  <c r="H2490" i="5"/>
  <c r="M2489" i="5"/>
  <c r="N2491" i="5" l="1"/>
  <c r="K2490" i="5"/>
  <c r="L2490" i="5" s="1"/>
  <c r="F2492" i="5"/>
  <c r="G2491" i="5"/>
  <c r="H2491" i="5"/>
  <c r="I2491" i="5"/>
  <c r="J2491" i="5"/>
  <c r="M2490" i="5"/>
  <c r="K2491" i="5" l="1"/>
  <c r="L2491" i="5" s="1"/>
  <c r="N2492" i="5"/>
  <c r="M2491" i="5"/>
  <c r="G2492" i="5"/>
  <c r="F2493" i="5"/>
  <c r="H2492" i="5"/>
  <c r="J2492" i="5"/>
  <c r="F2494" i="5" l="1"/>
  <c r="I2493" i="5" s="1"/>
  <c r="G2493" i="5"/>
  <c r="H2493" i="5"/>
  <c r="J2493" i="5"/>
  <c r="K2492" i="5"/>
  <c r="L2492" i="5" s="1"/>
  <c r="N2493" i="5"/>
  <c r="I2492" i="5"/>
  <c r="K2493" i="5" l="1"/>
  <c r="L2493" i="5" s="1"/>
  <c r="M2493" i="5" s="1"/>
  <c r="N2494" i="5"/>
  <c r="M2492" i="5"/>
  <c r="F2495" i="5"/>
  <c r="G2494" i="5"/>
  <c r="H2494" i="5"/>
  <c r="I2494" i="5"/>
  <c r="J2494" i="5"/>
  <c r="F2496" i="5" l="1"/>
  <c r="G2495" i="5"/>
  <c r="H2495" i="5"/>
  <c r="I2495" i="5"/>
  <c r="J2495" i="5"/>
  <c r="K2494" i="5"/>
  <c r="L2494" i="5" s="1"/>
  <c r="M2494" i="5" s="1"/>
  <c r="N2495" i="5"/>
  <c r="K2495" i="5" l="1"/>
  <c r="L2495" i="5" s="1"/>
  <c r="M2495" i="5" s="1"/>
  <c r="N2496" i="5"/>
  <c r="F2497" i="5"/>
  <c r="G2496" i="5"/>
  <c r="H2496" i="5"/>
  <c r="J2496" i="5" s="1"/>
  <c r="I2496" i="5"/>
  <c r="K2496" i="5" l="1"/>
  <c r="L2496" i="5" s="1"/>
  <c r="N2497" i="5"/>
  <c r="F2498" i="5"/>
  <c r="H2497" i="5"/>
  <c r="G2497" i="5"/>
  <c r="I2497" i="5"/>
  <c r="J2497" i="5"/>
  <c r="M2496" i="5"/>
  <c r="K2497" i="5" l="1"/>
  <c r="L2497" i="5" s="1"/>
  <c r="N2498" i="5"/>
  <c r="F2499" i="5"/>
  <c r="H2498" i="5"/>
  <c r="J2498" i="5"/>
  <c r="G2498" i="5"/>
  <c r="I2498" i="5"/>
  <c r="M2497" i="5"/>
  <c r="K2498" i="5" l="1"/>
  <c r="L2498" i="5" s="1"/>
  <c r="N2499" i="5"/>
  <c r="F2500" i="5"/>
  <c r="G2499" i="5"/>
  <c r="H2499" i="5"/>
  <c r="I2499" i="5"/>
  <c r="J2499" i="5"/>
  <c r="M2498" i="5"/>
  <c r="F2501" i="5" l="1"/>
  <c r="I2500" i="5" s="1"/>
  <c r="H2500" i="5"/>
  <c r="G2500" i="5"/>
  <c r="J2500" i="5"/>
  <c r="K2499" i="5"/>
  <c r="L2499" i="5" s="1"/>
  <c r="N2500" i="5"/>
  <c r="M2499" i="5"/>
  <c r="K2500" i="5" l="1"/>
  <c r="L2500" i="5" s="1"/>
  <c r="M2500" i="5" s="1"/>
  <c r="N2501" i="5"/>
  <c r="F2502" i="5"/>
  <c r="G2501" i="5"/>
  <c r="H2501" i="5"/>
  <c r="I2501" i="5"/>
  <c r="J2501" i="5"/>
  <c r="K2501" i="5" l="1"/>
  <c r="L2501" i="5" s="1"/>
  <c r="N2502" i="5"/>
  <c r="F2503" i="5"/>
  <c r="G2502" i="5"/>
  <c r="I2502" i="5"/>
  <c r="H2502" i="5"/>
  <c r="J2502" i="5"/>
  <c r="M2501" i="5"/>
  <c r="K2502" i="5" l="1"/>
  <c r="L2502" i="5" s="1"/>
  <c r="N2503" i="5"/>
  <c r="F2504" i="5"/>
  <c r="G2503" i="5"/>
  <c r="I2503" i="5"/>
  <c r="H2503" i="5"/>
  <c r="J2503" i="5"/>
  <c r="M2502" i="5"/>
  <c r="F2505" i="5" l="1"/>
  <c r="G2504" i="5"/>
  <c r="H2504" i="5"/>
  <c r="I2504" i="5"/>
  <c r="J2504" i="5"/>
  <c r="K2503" i="5"/>
  <c r="L2503" i="5" s="1"/>
  <c r="M2503" i="5" s="1"/>
  <c r="N2504" i="5"/>
  <c r="K2504" i="5" l="1"/>
  <c r="L2504" i="5" s="1"/>
  <c r="N2505" i="5"/>
  <c r="M2504" i="5"/>
  <c r="F2506" i="5"/>
  <c r="G2505" i="5"/>
  <c r="H2505" i="5"/>
  <c r="I2505" i="5"/>
  <c r="J2505" i="5"/>
  <c r="N2506" i="5" l="1"/>
  <c r="K2505" i="5"/>
  <c r="L2505" i="5" s="1"/>
  <c r="F2507" i="5"/>
  <c r="G2506" i="5"/>
  <c r="H2506" i="5"/>
  <c r="J2506" i="5" s="1"/>
  <c r="I2506" i="5"/>
  <c r="M2505" i="5"/>
  <c r="K2506" i="5" l="1"/>
  <c r="L2506" i="5" s="1"/>
  <c r="N2507" i="5"/>
  <c r="F2508" i="5"/>
  <c r="G2507" i="5"/>
  <c r="H2507" i="5"/>
  <c r="I2507" i="5"/>
  <c r="J2507" i="5"/>
  <c r="M2506" i="5"/>
  <c r="K2507" i="5" l="1"/>
  <c r="L2507" i="5" s="1"/>
  <c r="N2508" i="5"/>
  <c r="F2509" i="5"/>
  <c r="H2508" i="5"/>
  <c r="G2508" i="5"/>
  <c r="I2508" i="5"/>
  <c r="J2508" i="5"/>
  <c r="M2507" i="5"/>
  <c r="K2508" i="5" l="1"/>
  <c r="L2508" i="5" s="1"/>
  <c r="N2509" i="5"/>
  <c r="F2510" i="5"/>
  <c r="G2509" i="5"/>
  <c r="H2509" i="5"/>
  <c r="J2509" i="5"/>
  <c r="I2509" i="5"/>
  <c r="M2508" i="5"/>
  <c r="F2511" i="5" l="1"/>
  <c r="G2510" i="5"/>
  <c r="H2510" i="5"/>
  <c r="J2510" i="5"/>
  <c r="I2510" i="5"/>
  <c r="K2509" i="5"/>
  <c r="L2509" i="5" s="1"/>
  <c r="N2510" i="5"/>
  <c r="K2510" i="5" l="1"/>
  <c r="L2510" i="5" s="1"/>
  <c r="N2511" i="5"/>
  <c r="M2509" i="5"/>
  <c r="F2512" i="5"/>
  <c r="G2511" i="5"/>
  <c r="H2511" i="5"/>
  <c r="I2511" i="5"/>
  <c r="F2513" i="5" l="1"/>
  <c r="G2512" i="5"/>
  <c r="I2512" i="5"/>
  <c r="J2512" i="5"/>
  <c r="H2512" i="5"/>
  <c r="J2511" i="5"/>
  <c r="M2510" i="5"/>
  <c r="K2511" i="5" l="1"/>
  <c r="L2511" i="5" s="1"/>
  <c r="N2512" i="5"/>
  <c r="N2513" i="5" s="1"/>
  <c r="K2512" i="5"/>
  <c r="L2512" i="5" s="1"/>
  <c r="F2514" i="5"/>
  <c r="G2513" i="5"/>
  <c r="H2513" i="5"/>
  <c r="F2515" i="5" l="1"/>
  <c r="I2514" i="5" s="1"/>
  <c r="G2514" i="5"/>
  <c r="J2514" i="5"/>
  <c r="H2514" i="5"/>
  <c r="J2513" i="5"/>
  <c r="I2513" i="5"/>
  <c r="M2512" i="5"/>
  <c r="M2511" i="5"/>
  <c r="K2513" i="5" l="1"/>
  <c r="L2513" i="5" s="1"/>
  <c r="N2514" i="5"/>
  <c r="N2515" i="5" s="1"/>
  <c r="K2514" i="5"/>
  <c r="L2514" i="5" s="1"/>
  <c r="F2516" i="5"/>
  <c r="G2515" i="5"/>
  <c r="H2515" i="5"/>
  <c r="I2515" i="5"/>
  <c r="F2517" i="5" l="1"/>
  <c r="J2516" i="5" s="1"/>
  <c r="H2516" i="5"/>
  <c r="G2516" i="5"/>
  <c r="J2515" i="5"/>
  <c r="M2514" i="5"/>
  <c r="M2513" i="5"/>
  <c r="K2516" i="5" l="1"/>
  <c r="K2515" i="5"/>
  <c r="L2515" i="5" s="1"/>
  <c r="N2516" i="5"/>
  <c r="N2517" i="5" s="1"/>
  <c r="I2516" i="5"/>
  <c r="F2518" i="5"/>
  <c r="J2517" i="5" s="1"/>
  <c r="H2517" i="5"/>
  <c r="G2517" i="5"/>
  <c r="K2517" i="5" l="1"/>
  <c r="N2518" i="5"/>
  <c r="I2517" i="5"/>
  <c r="M2516" i="5"/>
  <c r="M2515" i="5"/>
  <c r="F2519" i="5"/>
  <c r="G2518" i="5"/>
  <c r="H2518" i="5"/>
  <c r="L2516" i="5"/>
  <c r="F2520" i="5" l="1"/>
  <c r="G2519" i="5"/>
  <c r="H2519" i="5"/>
  <c r="I2519" i="5"/>
  <c r="J2519" i="5"/>
  <c r="M2517" i="5"/>
  <c r="J2518" i="5"/>
  <c r="I2518" i="5"/>
  <c r="L2517" i="5"/>
  <c r="K2518" i="5" l="1"/>
  <c r="L2518" i="5" s="1"/>
  <c r="N2519" i="5"/>
  <c r="N2520" i="5" s="1"/>
  <c r="K2519" i="5"/>
  <c r="L2519" i="5" s="1"/>
  <c r="M2518" i="5"/>
  <c r="F2521" i="5"/>
  <c r="G2520" i="5"/>
  <c r="H2520" i="5"/>
  <c r="F2522" i="5" l="1"/>
  <c r="G2521" i="5"/>
  <c r="H2521" i="5"/>
  <c r="I2521" i="5"/>
  <c r="J2521" i="5"/>
  <c r="J2520" i="5"/>
  <c r="I2520" i="5"/>
  <c r="M2519" i="5"/>
  <c r="K2520" i="5" l="1"/>
  <c r="L2520" i="5" s="1"/>
  <c r="N2521" i="5"/>
  <c r="N2522" i="5" s="1"/>
  <c r="K2521" i="5"/>
  <c r="L2521" i="5" s="1"/>
  <c r="G2522" i="5"/>
  <c r="F2523" i="5"/>
  <c r="I2522" i="5"/>
  <c r="H2522" i="5"/>
  <c r="F2524" i="5" l="1"/>
  <c r="J2523" i="5" s="1"/>
  <c r="G2523" i="5"/>
  <c r="H2523" i="5"/>
  <c r="J2522" i="5"/>
  <c r="M2521" i="5"/>
  <c r="M2520" i="5"/>
  <c r="K2523" i="5" l="1"/>
  <c r="N2524" i="5"/>
  <c r="I2523" i="5"/>
  <c r="N2523" i="5"/>
  <c r="K2522" i="5"/>
  <c r="L2522" i="5" s="1"/>
  <c r="F2525" i="5"/>
  <c r="G2524" i="5"/>
  <c r="H2524" i="5"/>
  <c r="F2526" i="5" l="1"/>
  <c r="G2525" i="5"/>
  <c r="I2525" i="5"/>
  <c r="H2525" i="5"/>
  <c r="J2525" i="5"/>
  <c r="M2522" i="5"/>
  <c r="J2524" i="5"/>
  <c r="I2524" i="5"/>
  <c r="L2523" i="5"/>
  <c r="M2523" i="5" s="1"/>
  <c r="K2525" i="5" l="1"/>
  <c r="K2524" i="5"/>
  <c r="L2524" i="5" s="1"/>
  <c r="M2524" i="5" s="1"/>
  <c r="N2525" i="5"/>
  <c r="N2526" i="5" s="1"/>
  <c r="F2527" i="5"/>
  <c r="G2526" i="5"/>
  <c r="H2526" i="5"/>
  <c r="F2528" i="5" l="1"/>
  <c r="G2527" i="5"/>
  <c r="H2527" i="5"/>
  <c r="I2527" i="5"/>
  <c r="J2527" i="5"/>
  <c r="M2525" i="5"/>
  <c r="I2526" i="5"/>
  <c r="J2526" i="5"/>
  <c r="L2525" i="5"/>
  <c r="K2526" i="5" l="1"/>
  <c r="L2526" i="5" s="1"/>
  <c r="N2527" i="5"/>
  <c r="N2528" i="5" s="1"/>
  <c r="K2527" i="5"/>
  <c r="L2527" i="5" s="1"/>
  <c r="M2526" i="5"/>
  <c r="F2529" i="5"/>
  <c r="G2528" i="5"/>
  <c r="H2528" i="5"/>
  <c r="F2530" i="5" l="1"/>
  <c r="G2529" i="5"/>
  <c r="H2529" i="5"/>
  <c r="J2529" i="5"/>
  <c r="I2529" i="5"/>
  <c r="J2528" i="5"/>
  <c r="I2528" i="5"/>
  <c r="M2527" i="5"/>
  <c r="K2528" i="5" l="1"/>
  <c r="L2528" i="5" s="1"/>
  <c r="N2529" i="5"/>
  <c r="N2530" i="5" s="1"/>
  <c r="K2529" i="5"/>
  <c r="F2531" i="5"/>
  <c r="G2530" i="5"/>
  <c r="H2530" i="5"/>
  <c r="J2530" i="5"/>
  <c r="K2530" i="5" l="1"/>
  <c r="N2531" i="5"/>
  <c r="F2532" i="5"/>
  <c r="G2531" i="5"/>
  <c r="H2531" i="5"/>
  <c r="I2531" i="5"/>
  <c r="J2531" i="5"/>
  <c r="L2529" i="5"/>
  <c r="I2530" i="5"/>
  <c r="M2528" i="5"/>
  <c r="K2531" i="5" l="1"/>
  <c r="N2532" i="5"/>
  <c r="F2533" i="5"/>
  <c r="I2532" i="5" s="1"/>
  <c r="G2532" i="5"/>
  <c r="H2532" i="5"/>
  <c r="M2530" i="5"/>
  <c r="M2529" i="5"/>
  <c r="L2530" i="5"/>
  <c r="J2532" i="5" l="1"/>
  <c r="F2534" i="5"/>
  <c r="G2533" i="5"/>
  <c r="H2533" i="5"/>
  <c r="J2533" i="5"/>
  <c r="I2533" i="5"/>
  <c r="L2531" i="5"/>
  <c r="F2535" i="5" l="1"/>
  <c r="I2534" i="5"/>
  <c r="H2534" i="5"/>
  <c r="J2534" i="5"/>
  <c r="G2534" i="5"/>
  <c r="K2533" i="5"/>
  <c r="L2533" i="5" s="1"/>
  <c r="N2534" i="5"/>
  <c r="M2531" i="5"/>
  <c r="K2532" i="5"/>
  <c r="L2532" i="5" s="1"/>
  <c r="N2533" i="5"/>
  <c r="K2534" i="5" l="1"/>
  <c r="L2534" i="5" s="1"/>
  <c r="N2535" i="5"/>
  <c r="M2533" i="5"/>
  <c r="F2536" i="5"/>
  <c r="H2535" i="5"/>
  <c r="G2535" i="5"/>
  <c r="M2532" i="5"/>
  <c r="F2537" i="5" l="1"/>
  <c r="J2536" i="5" s="1"/>
  <c r="H2536" i="5"/>
  <c r="I2536" i="5"/>
  <c r="G2536" i="5"/>
  <c r="J2535" i="5"/>
  <c r="I2535" i="5"/>
  <c r="M2534" i="5"/>
  <c r="K2536" i="5" l="1"/>
  <c r="K2535" i="5"/>
  <c r="L2535" i="5" s="1"/>
  <c r="N2536" i="5"/>
  <c r="N2537" i="5" s="1"/>
  <c r="F2538" i="5"/>
  <c r="G2537" i="5"/>
  <c r="H2537" i="5"/>
  <c r="I2537" i="5"/>
  <c r="F2539" i="5" l="1"/>
  <c r="G2538" i="5"/>
  <c r="J2538" i="5" s="1"/>
  <c r="H2538" i="5"/>
  <c r="I2538" i="5"/>
  <c r="M2536" i="5"/>
  <c r="M2535" i="5"/>
  <c r="J2537" i="5"/>
  <c r="L2536" i="5"/>
  <c r="K2538" i="5" l="1"/>
  <c r="L2538" i="5" s="1"/>
  <c r="N2539" i="5"/>
  <c r="N2538" i="5"/>
  <c r="K2537" i="5"/>
  <c r="L2537" i="5" s="1"/>
  <c r="M2538" i="5" s="1"/>
  <c r="F2540" i="5"/>
  <c r="G2539" i="5"/>
  <c r="H2539" i="5"/>
  <c r="J2539" i="5"/>
  <c r="M2537" i="5" l="1"/>
  <c r="F2541" i="5"/>
  <c r="I2540" i="5" s="1"/>
  <c r="G2540" i="5"/>
  <c r="H2540" i="5"/>
  <c r="K2539" i="5"/>
  <c r="L2539" i="5" s="1"/>
  <c r="N2540" i="5"/>
  <c r="I2539" i="5"/>
  <c r="J2540" i="5" l="1"/>
  <c r="M2539" i="5"/>
  <c r="F2542" i="5"/>
  <c r="G2541" i="5"/>
  <c r="H2541" i="5"/>
  <c r="J2541" i="5"/>
  <c r="I2541" i="5"/>
  <c r="K2541" i="5" l="1"/>
  <c r="F2543" i="5"/>
  <c r="G2542" i="5"/>
  <c r="H2542" i="5"/>
  <c r="J2542" i="5" s="1"/>
  <c r="I2542" i="5"/>
  <c r="K2540" i="5"/>
  <c r="L2540" i="5" s="1"/>
  <c r="N2541" i="5"/>
  <c r="N2542" i="5" s="1"/>
  <c r="K2542" i="5" l="1"/>
  <c r="L2542" i="5" s="1"/>
  <c r="N2543" i="5"/>
  <c r="M2540" i="5"/>
  <c r="F2544" i="5"/>
  <c r="G2543" i="5"/>
  <c r="H2543" i="5"/>
  <c r="I2543" i="5"/>
  <c r="L2541" i="5"/>
  <c r="M2542" i="5" s="1"/>
  <c r="F2545" i="5" l="1"/>
  <c r="G2544" i="5"/>
  <c r="I2544" i="5"/>
  <c r="H2544" i="5"/>
  <c r="J2544" i="5"/>
  <c r="M2541" i="5"/>
  <c r="J2543" i="5"/>
  <c r="K2544" i="5" l="1"/>
  <c r="N2545" i="5"/>
  <c r="K2543" i="5"/>
  <c r="L2543" i="5" s="1"/>
  <c r="N2544" i="5"/>
  <c r="F2546" i="5"/>
  <c r="G2545" i="5"/>
  <c r="I2545" i="5"/>
  <c r="H2545" i="5"/>
  <c r="F2547" i="5" l="1"/>
  <c r="G2546" i="5"/>
  <c r="H2546" i="5"/>
  <c r="I2546" i="5"/>
  <c r="J2546" i="5"/>
  <c r="M2544" i="5"/>
  <c r="M2543" i="5"/>
  <c r="J2545" i="5"/>
  <c r="L2544" i="5"/>
  <c r="K2545" i="5" l="1"/>
  <c r="L2545" i="5" s="1"/>
  <c r="N2546" i="5"/>
  <c r="N2547" i="5" s="1"/>
  <c r="K2546" i="5"/>
  <c r="L2546" i="5" s="1"/>
  <c r="M2545" i="5"/>
  <c r="F2548" i="5"/>
  <c r="G2547" i="5"/>
  <c r="H2547" i="5"/>
  <c r="F2549" i="5" l="1"/>
  <c r="G2548" i="5"/>
  <c r="H2548" i="5"/>
  <c r="I2548" i="5"/>
  <c r="J2548" i="5"/>
  <c r="J2547" i="5"/>
  <c r="I2547" i="5"/>
  <c r="M2546" i="5"/>
  <c r="K2547" i="5" l="1"/>
  <c r="L2547" i="5" s="1"/>
  <c r="N2548" i="5"/>
  <c r="K2548" i="5"/>
  <c r="L2548" i="5" s="1"/>
  <c r="N2549" i="5"/>
  <c r="F2550" i="5"/>
  <c r="G2549" i="5"/>
  <c r="H2549" i="5"/>
  <c r="F2551" i="5" l="1"/>
  <c r="G2550" i="5"/>
  <c r="H2550" i="5"/>
  <c r="I2550" i="5"/>
  <c r="J2550" i="5"/>
  <c r="I2549" i="5"/>
  <c r="J2549" i="5"/>
  <c r="M2548" i="5"/>
  <c r="M2547" i="5"/>
  <c r="K2549" i="5" l="1"/>
  <c r="L2549" i="5" s="1"/>
  <c r="N2550" i="5"/>
  <c r="N2551" i="5" s="1"/>
  <c r="K2550" i="5"/>
  <c r="L2550" i="5" s="1"/>
  <c r="F2552" i="5"/>
  <c r="J2551" i="5" s="1"/>
  <c r="G2551" i="5"/>
  <c r="H2551" i="5"/>
  <c r="K2551" i="5" l="1"/>
  <c r="L2551" i="5" s="1"/>
  <c r="M2551" i="5" s="1"/>
  <c r="N2552" i="5"/>
  <c r="F2553" i="5"/>
  <c r="H2552" i="5"/>
  <c r="G2552" i="5"/>
  <c r="J2552" i="5"/>
  <c r="I2552" i="5"/>
  <c r="I2551" i="5"/>
  <c r="M2550" i="5"/>
  <c r="M2549" i="5"/>
  <c r="F2554" i="5" l="1"/>
  <c r="H2553" i="5"/>
  <c r="G2553" i="5"/>
  <c r="J2553" i="5"/>
  <c r="I2553" i="5"/>
  <c r="K2552" i="5"/>
  <c r="L2552" i="5" s="1"/>
  <c r="M2552" i="5" s="1"/>
  <c r="N2553" i="5"/>
  <c r="N2554" i="5" l="1"/>
  <c r="K2553" i="5"/>
  <c r="L2553" i="5" s="1"/>
  <c r="F2555" i="5"/>
  <c r="G2554" i="5"/>
  <c r="I2554" i="5"/>
  <c r="J2554" i="5"/>
  <c r="H2554" i="5"/>
  <c r="N2555" i="5" l="1"/>
  <c r="K2554" i="5"/>
  <c r="L2554" i="5" s="1"/>
  <c r="F2556" i="5"/>
  <c r="I2555" i="5" s="1"/>
  <c r="G2555" i="5"/>
  <c r="H2555" i="5"/>
  <c r="M2554" i="5"/>
  <c r="M2553" i="5"/>
  <c r="J2555" i="5" l="1"/>
  <c r="F2557" i="5"/>
  <c r="I2556" i="5" s="1"/>
  <c r="G2556" i="5"/>
  <c r="H2556" i="5"/>
  <c r="J2556" i="5"/>
  <c r="K2556" i="5" l="1"/>
  <c r="F2558" i="5"/>
  <c r="G2557" i="5"/>
  <c r="I2557" i="5"/>
  <c r="H2557" i="5"/>
  <c r="J2557" i="5" s="1"/>
  <c r="K2555" i="5"/>
  <c r="L2555" i="5" s="1"/>
  <c r="N2556" i="5"/>
  <c r="N2557" i="5" s="1"/>
  <c r="K2557" i="5" l="1"/>
  <c r="L2557" i="5" s="1"/>
  <c r="N2558" i="5"/>
  <c r="M2556" i="5"/>
  <c r="M2555" i="5"/>
  <c r="F2559" i="5"/>
  <c r="I2558" i="5" s="1"/>
  <c r="G2558" i="5"/>
  <c r="H2558" i="5"/>
  <c r="J2558" i="5"/>
  <c r="L2556" i="5"/>
  <c r="F2560" i="5" l="1"/>
  <c r="G2559" i="5"/>
  <c r="H2559" i="5"/>
  <c r="I2559" i="5"/>
  <c r="J2559" i="5"/>
  <c r="M2557" i="5"/>
  <c r="K2558" i="5"/>
  <c r="L2558" i="5" s="1"/>
  <c r="N2559" i="5"/>
  <c r="K2559" i="5" l="1"/>
  <c r="L2559" i="5" s="1"/>
  <c r="N2560" i="5"/>
  <c r="M2558" i="5"/>
  <c r="F2561" i="5"/>
  <c r="G2560" i="5"/>
  <c r="H2560" i="5"/>
  <c r="F2562" i="5" l="1"/>
  <c r="G2561" i="5"/>
  <c r="J2561" i="5" s="1"/>
  <c r="H2561" i="5"/>
  <c r="I2561" i="5"/>
  <c r="I2560" i="5"/>
  <c r="J2560" i="5"/>
  <c r="M2559" i="5"/>
  <c r="K2561" i="5" l="1"/>
  <c r="L2561" i="5" s="1"/>
  <c r="N2562" i="5"/>
  <c r="K2560" i="5"/>
  <c r="L2560" i="5" s="1"/>
  <c r="N2561" i="5"/>
  <c r="F2563" i="5"/>
  <c r="H2562" i="5"/>
  <c r="G2562" i="5"/>
  <c r="J2562" i="5"/>
  <c r="I2562" i="5"/>
  <c r="K2562" i="5" l="1"/>
  <c r="L2562" i="5" s="1"/>
  <c r="N2563" i="5"/>
  <c r="F2564" i="5"/>
  <c r="G2563" i="5"/>
  <c r="H2563" i="5"/>
  <c r="I2563" i="5"/>
  <c r="J2563" i="5"/>
  <c r="M2561" i="5"/>
  <c r="M2560" i="5"/>
  <c r="M2562" i="5"/>
  <c r="K2563" i="5" l="1"/>
  <c r="L2563" i="5" s="1"/>
  <c r="N2564" i="5"/>
  <c r="F2565" i="5"/>
  <c r="G2564" i="5"/>
  <c r="H2564" i="5"/>
  <c r="I2564" i="5"/>
  <c r="J2564" i="5"/>
  <c r="M2563" i="5"/>
  <c r="K2564" i="5" l="1"/>
  <c r="L2564" i="5" s="1"/>
  <c r="N2565" i="5"/>
  <c r="F2566" i="5"/>
  <c r="G2565" i="5"/>
  <c r="H2565" i="5"/>
  <c r="I2565" i="5"/>
  <c r="J2565" i="5"/>
  <c r="M2564" i="5"/>
  <c r="K2565" i="5" l="1"/>
  <c r="L2565" i="5" s="1"/>
  <c r="N2566" i="5"/>
  <c r="F2567" i="5"/>
  <c r="G2566" i="5"/>
  <c r="I2566" i="5"/>
  <c r="H2566" i="5"/>
  <c r="J2566" i="5"/>
  <c r="M2565" i="5"/>
  <c r="F2568" i="5" l="1"/>
  <c r="G2567" i="5"/>
  <c r="I2567" i="5"/>
  <c r="H2567" i="5"/>
  <c r="J2567" i="5"/>
  <c r="K2566" i="5"/>
  <c r="L2566" i="5" s="1"/>
  <c r="N2567" i="5"/>
  <c r="M2566" i="5" l="1"/>
  <c r="K2567" i="5"/>
  <c r="L2567" i="5" s="1"/>
  <c r="N2568" i="5"/>
  <c r="F2569" i="5"/>
  <c r="G2568" i="5"/>
  <c r="H2568" i="5"/>
  <c r="I2568" i="5"/>
  <c r="F2570" i="5" l="1"/>
  <c r="G2569" i="5"/>
  <c r="H2569" i="5"/>
  <c r="I2569" i="5"/>
  <c r="J2569" i="5"/>
  <c r="J2568" i="5"/>
  <c r="M2567" i="5"/>
  <c r="K2568" i="5" l="1"/>
  <c r="L2568" i="5" s="1"/>
  <c r="N2569" i="5"/>
  <c r="N2570" i="5" s="1"/>
  <c r="K2569" i="5"/>
  <c r="L2569" i="5" s="1"/>
  <c r="F2571" i="5"/>
  <c r="H2570" i="5"/>
  <c r="G2570" i="5"/>
  <c r="G2571" i="5" l="1"/>
  <c r="F2572" i="5"/>
  <c r="J2571" i="5" s="1"/>
  <c r="H2571" i="5"/>
  <c r="I2570" i="5"/>
  <c r="J2570" i="5"/>
  <c r="M2569" i="5"/>
  <c r="M2568" i="5"/>
  <c r="K2571" i="5" l="1"/>
  <c r="L2571" i="5" s="1"/>
  <c r="N2572" i="5"/>
  <c r="I2571" i="5"/>
  <c r="K2570" i="5"/>
  <c r="L2570" i="5" s="1"/>
  <c r="N2571" i="5"/>
  <c r="F2573" i="5"/>
  <c r="H2572" i="5"/>
  <c r="I2572" i="5"/>
  <c r="G2572" i="5"/>
  <c r="F2574" i="5" l="1"/>
  <c r="G2573" i="5"/>
  <c r="H2573" i="5"/>
  <c r="J2573" i="5"/>
  <c r="I2573" i="5"/>
  <c r="M2571" i="5"/>
  <c r="M2570" i="5"/>
  <c r="J2572" i="5"/>
  <c r="K2572" i="5" l="1"/>
  <c r="L2572" i="5" s="1"/>
  <c r="N2573" i="5"/>
  <c r="K2573" i="5"/>
  <c r="L2573" i="5" s="1"/>
  <c r="N2574" i="5"/>
  <c r="F2575" i="5"/>
  <c r="J2574" i="5" s="1"/>
  <c r="G2574" i="5"/>
  <c r="H2574" i="5"/>
  <c r="K2574" i="5" l="1"/>
  <c r="L2574" i="5" s="1"/>
  <c r="M2574" i="5" s="1"/>
  <c r="N2575" i="5"/>
  <c r="F2576" i="5"/>
  <c r="G2575" i="5"/>
  <c r="H2575" i="5"/>
  <c r="J2575" i="5"/>
  <c r="I2575" i="5"/>
  <c r="I2574" i="5"/>
  <c r="M2573" i="5"/>
  <c r="M2572" i="5"/>
  <c r="K2575" i="5" l="1"/>
  <c r="L2575" i="5" s="1"/>
  <c r="N2576" i="5"/>
  <c r="F2577" i="5"/>
  <c r="G2576" i="5"/>
  <c r="I2576" i="5"/>
  <c r="H2576" i="5"/>
  <c r="J2576" i="5"/>
  <c r="M2575" i="5"/>
  <c r="K2576" i="5" l="1"/>
  <c r="L2576" i="5" s="1"/>
  <c r="N2577" i="5"/>
  <c r="F2578" i="5"/>
  <c r="G2577" i="5"/>
  <c r="I2577" i="5"/>
  <c r="J2577" i="5"/>
  <c r="H2577" i="5"/>
  <c r="M2576" i="5"/>
  <c r="K2577" i="5" l="1"/>
  <c r="L2577" i="5" s="1"/>
  <c r="N2578" i="5"/>
  <c r="F2579" i="5"/>
  <c r="G2578" i="5"/>
  <c r="H2578" i="5"/>
  <c r="I2578" i="5"/>
  <c r="J2578" i="5"/>
  <c r="M2577" i="5"/>
  <c r="F2580" i="5" l="1"/>
  <c r="G2579" i="5"/>
  <c r="H2579" i="5"/>
  <c r="I2579" i="5"/>
  <c r="J2579" i="5"/>
  <c r="K2578" i="5"/>
  <c r="L2578" i="5" s="1"/>
  <c r="N2579" i="5"/>
  <c r="M2578" i="5" l="1"/>
  <c r="K2579" i="5"/>
  <c r="L2579" i="5" s="1"/>
  <c r="N2580" i="5"/>
  <c r="F2581" i="5"/>
  <c r="G2580" i="5"/>
  <c r="H2580" i="5"/>
  <c r="I2580" i="5"/>
  <c r="F2582" i="5" l="1"/>
  <c r="G2581" i="5"/>
  <c r="H2581" i="5"/>
  <c r="I2581" i="5"/>
  <c r="J2581" i="5"/>
  <c r="J2580" i="5"/>
  <c r="M2579" i="5"/>
  <c r="K2581" i="5" l="1"/>
  <c r="L2581" i="5" s="1"/>
  <c r="N2582" i="5"/>
  <c r="K2580" i="5"/>
  <c r="L2580" i="5" s="1"/>
  <c r="N2581" i="5"/>
  <c r="F2583" i="5"/>
  <c r="G2582" i="5"/>
  <c r="H2582" i="5"/>
  <c r="I2582" i="5"/>
  <c r="F2584" i="5" l="1"/>
  <c r="G2583" i="5"/>
  <c r="H2583" i="5"/>
  <c r="I2583" i="5"/>
  <c r="J2583" i="5"/>
  <c r="M2581" i="5"/>
  <c r="M2580" i="5"/>
  <c r="J2582" i="5"/>
  <c r="K2582" i="5" l="1"/>
  <c r="L2582" i="5" s="1"/>
  <c r="N2583" i="5"/>
  <c r="N2584" i="5" s="1"/>
  <c r="K2583" i="5"/>
  <c r="L2583" i="5" s="1"/>
  <c r="F2585" i="5"/>
  <c r="I2584" i="5" s="1"/>
  <c r="G2584" i="5"/>
  <c r="H2584" i="5"/>
  <c r="F2586" i="5" l="1"/>
  <c r="G2585" i="5"/>
  <c r="H2585" i="5"/>
  <c r="I2585" i="5"/>
  <c r="J2585" i="5"/>
  <c r="J2584" i="5"/>
  <c r="M2583" i="5"/>
  <c r="M2582" i="5"/>
  <c r="K2584" i="5" l="1"/>
  <c r="L2584" i="5" s="1"/>
  <c r="N2585" i="5"/>
  <c r="N2586" i="5" s="1"/>
  <c r="K2585" i="5"/>
  <c r="L2585" i="5" s="1"/>
  <c r="F2587" i="5"/>
  <c r="G2586" i="5"/>
  <c r="I2586" i="5"/>
  <c r="H2586" i="5"/>
  <c r="F2588" i="5" l="1"/>
  <c r="J2587" i="5" s="1"/>
  <c r="G2587" i="5"/>
  <c r="H2587" i="5"/>
  <c r="J2586" i="5"/>
  <c r="M2585" i="5"/>
  <c r="M2584" i="5"/>
  <c r="K2587" i="5" l="1"/>
  <c r="N2588" i="5"/>
  <c r="N2587" i="5"/>
  <c r="K2586" i="5"/>
  <c r="L2586" i="5" s="1"/>
  <c r="I2587" i="5"/>
  <c r="F2589" i="5"/>
  <c r="G2588" i="5"/>
  <c r="H2588" i="5"/>
  <c r="M2586" i="5" l="1"/>
  <c r="F2590" i="5"/>
  <c r="G2589" i="5"/>
  <c r="I2589" i="5"/>
  <c r="H2589" i="5"/>
  <c r="J2589" i="5"/>
  <c r="J2588" i="5"/>
  <c r="I2588" i="5"/>
  <c r="L2587" i="5"/>
  <c r="K2589" i="5" l="1"/>
  <c r="N2590" i="5"/>
  <c r="K2588" i="5"/>
  <c r="L2588" i="5" s="1"/>
  <c r="N2589" i="5"/>
  <c r="F2591" i="5"/>
  <c r="J2590" i="5" s="1"/>
  <c r="H2590" i="5"/>
  <c r="G2590" i="5"/>
  <c r="M2588" i="5"/>
  <c r="M2587" i="5"/>
  <c r="K2590" i="5" l="1"/>
  <c r="N2591" i="5"/>
  <c r="F2592" i="5"/>
  <c r="G2591" i="5"/>
  <c r="H2591" i="5"/>
  <c r="I2591" i="5"/>
  <c r="J2591" i="5"/>
  <c r="M2589" i="5"/>
  <c r="I2590" i="5"/>
  <c r="L2589" i="5"/>
  <c r="K2591" i="5" l="1"/>
  <c r="L2591" i="5" s="1"/>
  <c r="N2592" i="5"/>
  <c r="F2593" i="5"/>
  <c r="G2592" i="5"/>
  <c r="H2592" i="5"/>
  <c r="I2592" i="5"/>
  <c r="J2592" i="5"/>
  <c r="M2590" i="5"/>
  <c r="L2590" i="5"/>
  <c r="M2591" i="5" s="1"/>
  <c r="K2592" i="5" l="1"/>
  <c r="L2592" i="5" s="1"/>
  <c r="N2593" i="5"/>
  <c r="F2594" i="5"/>
  <c r="G2593" i="5"/>
  <c r="H2593" i="5"/>
  <c r="I2593" i="5"/>
  <c r="J2593" i="5"/>
  <c r="M2592" i="5"/>
  <c r="K2593" i="5" l="1"/>
  <c r="L2593" i="5" s="1"/>
  <c r="N2594" i="5"/>
  <c r="F2595" i="5"/>
  <c r="G2594" i="5"/>
  <c r="H2594" i="5"/>
  <c r="I2594" i="5"/>
  <c r="J2594" i="5"/>
  <c r="M2593" i="5"/>
  <c r="K2594" i="5" l="1"/>
  <c r="L2594" i="5" s="1"/>
  <c r="N2595" i="5"/>
  <c r="G2595" i="5"/>
  <c r="F2596" i="5"/>
  <c r="H2595" i="5"/>
  <c r="M2594" i="5"/>
  <c r="F2597" i="5" l="1"/>
  <c r="G2596" i="5"/>
  <c r="H2596" i="5"/>
  <c r="I2596" i="5"/>
  <c r="J2596" i="5"/>
  <c r="J2595" i="5"/>
  <c r="I2595" i="5"/>
  <c r="K2596" i="5" l="1"/>
  <c r="L2596" i="5" s="1"/>
  <c r="N2597" i="5"/>
  <c r="K2595" i="5"/>
  <c r="L2595" i="5" s="1"/>
  <c r="N2596" i="5"/>
  <c r="F2598" i="5"/>
  <c r="G2597" i="5"/>
  <c r="H2597" i="5"/>
  <c r="F2599" i="5" l="1"/>
  <c r="I2598" i="5" s="1"/>
  <c r="G2598" i="5"/>
  <c r="J2598" i="5"/>
  <c r="H2598" i="5"/>
  <c r="J2597" i="5"/>
  <c r="M2596" i="5"/>
  <c r="M2595" i="5"/>
  <c r="I2597" i="5"/>
  <c r="K2597" i="5" l="1"/>
  <c r="L2597" i="5" s="1"/>
  <c r="N2598" i="5"/>
  <c r="N2599" i="5" s="1"/>
  <c r="K2598" i="5"/>
  <c r="L2598" i="5" s="1"/>
  <c r="F2600" i="5"/>
  <c r="I2599" i="5" s="1"/>
  <c r="G2599" i="5"/>
  <c r="H2599" i="5"/>
  <c r="F2601" i="5" l="1"/>
  <c r="J2600" i="5" s="1"/>
  <c r="G2600" i="5"/>
  <c r="I2600" i="5"/>
  <c r="H2600" i="5"/>
  <c r="J2599" i="5"/>
  <c r="M2598" i="5"/>
  <c r="M2597" i="5"/>
  <c r="K2600" i="5" l="1"/>
  <c r="K2599" i="5"/>
  <c r="L2599" i="5" s="1"/>
  <c r="N2600" i="5"/>
  <c r="N2601" i="5" s="1"/>
  <c r="F2602" i="5"/>
  <c r="G2601" i="5"/>
  <c r="H2601" i="5"/>
  <c r="I2601" i="5"/>
  <c r="F2603" i="5" l="1"/>
  <c r="G2602" i="5"/>
  <c r="H2602" i="5"/>
  <c r="I2602" i="5"/>
  <c r="J2602" i="5"/>
  <c r="M2600" i="5"/>
  <c r="M2599" i="5"/>
  <c r="J2601" i="5"/>
  <c r="L2600" i="5"/>
  <c r="N2602" i="5" l="1"/>
  <c r="K2601" i="5"/>
  <c r="L2601" i="5" s="1"/>
  <c r="K2602" i="5"/>
  <c r="N2603" i="5"/>
  <c r="M2601" i="5"/>
  <c r="F2604" i="5"/>
  <c r="G2603" i="5"/>
  <c r="H2603" i="5"/>
  <c r="F2605" i="5" l="1"/>
  <c r="G2604" i="5"/>
  <c r="H2604" i="5"/>
  <c r="I2604" i="5"/>
  <c r="J2604" i="5"/>
  <c r="L2602" i="5"/>
  <c r="M2602" i="5"/>
  <c r="J2603" i="5"/>
  <c r="I2603" i="5"/>
  <c r="K2603" i="5" l="1"/>
  <c r="L2603" i="5" s="1"/>
  <c r="N2604" i="5"/>
  <c r="N2605" i="5" s="1"/>
  <c r="K2604" i="5"/>
  <c r="M2603" i="5"/>
  <c r="F2606" i="5"/>
  <c r="G2605" i="5"/>
  <c r="H2605" i="5"/>
  <c r="I2605" i="5"/>
  <c r="F2607" i="5" l="1"/>
  <c r="G2606" i="5"/>
  <c r="H2606" i="5"/>
  <c r="J2606" i="5"/>
  <c r="I2606" i="5"/>
  <c r="L2604" i="5"/>
  <c r="J2605" i="5"/>
  <c r="K2606" i="5" l="1"/>
  <c r="M2604" i="5"/>
  <c r="K2605" i="5"/>
  <c r="L2605" i="5" s="1"/>
  <c r="N2606" i="5"/>
  <c r="N2607" i="5" s="1"/>
  <c r="H2607" i="5"/>
  <c r="F2608" i="5"/>
  <c r="G2607" i="5"/>
  <c r="F2609" i="5" l="1"/>
  <c r="I2608" i="5"/>
  <c r="H2608" i="5"/>
  <c r="J2608" i="5"/>
  <c r="G2608" i="5"/>
  <c r="J2607" i="5"/>
  <c r="L2606" i="5"/>
  <c r="I2607" i="5"/>
  <c r="M2605" i="5"/>
  <c r="K2607" i="5" l="1"/>
  <c r="L2607" i="5" s="1"/>
  <c r="N2608" i="5"/>
  <c r="K2608" i="5"/>
  <c r="L2608" i="5" s="1"/>
  <c r="N2609" i="5"/>
  <c r="M2606" i="5"/>
  <c r="F2610" i="5"/>
  <c r="G2609" i="5"/>
  <c r="H2609" i="5"/>
  <c r="F2611" i="5" l="1"/>
  <c r="G2610" i="5"/>
  <c r="J2610" i="5" s="1"/>
  <c r="H2610" i="5"/>
  <c r="I2610" i="5"/>
  <c r="I2609" i="5"/>
  <c r="J2609" i="5"/>
  <c r="M2608" i="5"/>
  <c r="M2607" i="5"/>
  <c r="K2610" i="5" l="1"/>
  <c r="L2610" i="5" s="1"/>
  <c r="N2611" i="5"/>
  <c r="K2609" i="5"/>
  <c r="L2609" i="5" s="1"/>
  <c r="N2610" i="5"/>
  <c r="F2612" i="5"/>
  <c r="G2611" i="5"/>
  <c r="H2611" i="5"/>
  <c r="I2611" i="5"/>
  <c r="J2611" i="5"/>
  <c r="F2613" i="5" l="1"/>
  <c r="I2612" i="5" s="1"/>
  <c r="G2612" i="5"/>
  <c r="H2612" i="5"/>
  <c r="J2612" i="5"/>
  <c r="M2610" i="5"/>
  <c r="M2609" i="5"/>
  <c r="K2611" i="5"/>
  <c r="L2611" i="5" s="1"/>
  <c r="N2612" i="5"/>
  <c r="M2611" i="5"/>
  <c r="K2612" i="5" l="1"/>
  <c r="L2612" i="5" s="1"/>
  <c r="N2613" i="5"/>
  <c r="F2614" i="5"/>
  <c r="G2613" i="5"/>
  <c r="H2613" i="5"/>
  <c r="I2613" i="5"/>
  <c r="J2613" i="5"/>
  <c r="K2613" i="5" l="1"/>
  <c r="L2613" i="5" s="1"/>
  <c r="N2614" i="5"/>
  <c r="F2615" i="5"/>
  <c r="G2614" i="5"/>
  <c r="H2614" i="5"/>
  <c r="I2614" i="5"/>
  <c r="J2614" i="5"/>
  <c r="M2613" i="5"/>
  <c r="M2612" i="5"/>
  <c r="K2614" i="5" l="1"/>
  <c r="L2614" i="5" s="1"/>
  <c r="N2615" i="5"/>
  <c r="F2616" i="5"/>
  <c r="G2615" i="5"/>
  <c r="H2615" i="5"/>
  <c r="J2615" i="5"/>
  <c r="I2615" i="5"/>
  <c r="M2614" i="5"/>
  <c r="K2615" i="5" l="1"/>
  <c r="L2615" i="5" s="1"/>
  <c r="N2616" i="5"/>
  <c r="F2617" i="5"/>
  <c r="J2616" i="5" s="1"/>
  <c r="G2616" i="5"/>
  <c r="H2616" i="5"/>
  <c r="M2615" i="5"/>
  <c r="K2616" i="5" l="1"/>
  <c r="L2616" i="5" s="1"/>
  <c r="N2617" i="5"/>
  <c r="F2618" i="5"/>
  <c r="H2617" i="5"/>
  <c r="G2617" i="5"/>
  <c r="J2617" i="5"/>
  <c r="I2617" i="5"/>
  <c r="I2616" i="5"/>
  <c r="M2616" i="5"/>
  <c r="N2618" i="5" l="1"/>
  <c r="K2617" i="5"/>
  <c r="L2617" i="5" s="1"/>
  <c r="F2619" i="5"/>
  <c r="G2618" i="5"/>
  <c r="I2618" i="5"/>
  <c r="J2618" i="5"/>
  <c r="H2618" i="5"/>
  <c r="M2617" i="5"/>
  <c r="N2619" i="5" l="1"/>
  <c r="K2618" i="5"/>
  <c r="L2618" i="5" s="1"/>
  <c r="F2620" i="5"/>
  <c r="G2619" i="5"/>
  <c r="H2619" i="5"/>
  <c r="I2619" i="5"/>
  <c r="J2619" i="5"/>
  <c r="M2618" i="5"/>
  <c r="K2619" i="5" l="1"/>
  <c r="L2619" i="5" s="1"/>
  <c r="N2620" i="5"/>
  <c r="F2621" i="5"/>
  <c r="G2620" i="5"/>
  <c r="H2620" i="5"/>
  <c r="J2620" i="5" s="1"/>
  <c r="I2620" i="5"/>
  <c r="M2619" i="5"/>
  <c r="K2620" i="5" l="1"/>
  <c r="L2620" i="5" s="1"/>
  <c r="N2621" i="5"/>
  <c r="F2622" i="5"/>
  <c r="G2621" i="5"/>
  <c r="I2621" i="5"/>
  <c r="H2621" i="5"/>
  <c r="J2621" i="5"/>
  <c r="M2620" i="5"/>
  <c r="K2621" i="5" l="1"/>
  <c r="L2621" i="5" s="1"/>
  <c r="N2622" i="5"/>
  <c r="F2623" i="5"/>
  <c r="G2622" i="5"/>
  <c r="H2622" i="5"/>
  <c r="I2622" i="5"/>
  <c r="J2622" i="5"/>
  <c r="M2621" i="5"/>
  <c r="F2624" i="5" l="1"/>
  <c r="I2623" i="5" s="1"/>
  <c r="G2623" i="5"/>
  <c r="H2623" i="5"/>
  <c r="K2622" i="5"/>
  <c r="L2622" i="5" s="1"/>
  <c r="N2623" i="5"/>
  <c r="M2622" i="5" l="1"/>
  <c r="J2623" i="5"/>
  <c r="F2625" i="5"/>
  <c r="G2624" i="5"/>
  <c r="H2624" i="5"/>
  <c r="F2626" i="5" l="1"/>
  <c r="G2625" i="5"/>
  <c r="H2625" i="5"/>
  <c r="I2625" i="5"/>
  <c r="J2625" i="5"/>
  <c r="J2624" i="5"/>
  <c r="I2624" i="5"/>
  <c r="K2623" i="5"/>
  <c r="L2623" i="5" s="1"/>
  <c r="N2624" i="5"/>
  <c r="K2625" i="5" l="1"/>
  <c r="L2625" i="5" s="1"/>
  <c r="N2626" i="5"/>
  <c r="M2623" i="5"/>
  <c r="K2624" i="5"/>
  <c r="L2624" i="5" s="1"/>
  <c r="M2625" i="5" s="1"/>
  <c r="N2625" i="5"/>
  <c r="F2627" i="5"/>
  <c r="H2626" i="5"/>
  <c r="G2626" i="5"/>
  <c r="F2628" i="5" l="1"/>
  <c r="G2627" i="5"/>
  <c r="H2627" i="5"/>
  <c r="I2627" i="5"/>
  <c r="J2627" i="5"/>
  <c r="J2626" i="5"/>
  <c r="I2626" i="5"/>
  <c r="M2624" i="5"/>
  <c r="K2626" i="5" l="1"/>
  <c r="L2626" i="5" s="1"/>
  <c r="N2627" i="5"/>
  <c r="N2628" i="5" s="1"/>
  <c r="K2627" i="5"/>
  <c r="L2627" i="5" s="1"/>
  <c r="F2629" i="5"/>
  <c r="H2628" i="5"/>
  <c r="G2628" i="5"/>
  <c r="F2630" i="5" l="1"/>
  <c r="G2629" i="5"/>
  <c r="J2629" i="5" s="1"/>
  <c r="H2629" i="5"/>
  <c r="I2629" i="5"/>
  <c r="I2628" i="5"/>
  <c r="J2628" i="5"/>
  <c r="M2627" i="5"/>
  <c r="M2626" i="5"/>
  <c r="K2629" i="5" l="1"/>
  <c r="L2629" i="5" s="1"/>
  <c r="N2630" i="5"/>
  <c r="K2628" i="5"/>
  <c r="L2628" i="5" s="1"/>
  <c r="N2629" i="5"/>
  <c r="F2631" i="5"/>
  <c r="G2630" i="5"/>
  <c r="I2630" i="5"/>
  <c r="H2630" i="5"/>
  <c r="J2630" i="5"/>
  <c r="K2630" i="5" l="1"/>
  <c r="L2630" i="5" s="1"/>
  <c r="N2631" i="5"/>
  <c r="F2632" i="5"/>
  <c r="G2631" i="5"/>
  <c r="I2631" i="5"/>
  <c r="H2631" i="5"/>
  <c r="J2631" i="5"/>
  <c r="M2629" i="5"/>
  <c r="M2628" i="5"/>
  <c r="K2631" i="5" l="1"/>
  <c r="L2631" i="5" s="1"/>
  <c r="N2632" i="5"/>
  <c r="F2633" i="5"/>
  <c r="I2632" i="5" s="1"/>
  <c r="G2632" i="5"/>
  <c r="H2632" i="5"/>
  <c r="M2631" i="5"/>
  <c r="M2630" i="5"/>
  <c r="J2632" i="5" l="1"/>
  <c r="F2634" i="5"/>
  <c r="G2633" i="5"/>
  <c r="H2633" i="5"/>
  <c r="I2633" i="5"/>
  <c r="J2633" i="5"/>
  <c r="K2633" i="5" l="1"/>
  <c r="F2635" i="5"/>
  <c r="G2634" i="5"/>
  <c r="H2634" i="5"/>
  <c r="I2634" i="5"/>
  <c r="J2634" i="5"/>
  <c r="K2632" i="5"/>
  <c r="L2632" i="5" s="1"/>
  <c r="N2633" i="5"/>
  <c r="N2634" i="5" s="1"/>
  <c r="K2634" i="5" l="1"/>
  <c r="L2634" i="5" s="1"/>
  <c r="N2635" i="5"/>
  <c r="F2636" i="5"/>
  <c r="G2635" i="5"/>
  <c r="H2635" i="5"/>
  <c r="I2635" i="5"/>
  <c r="J2635" i="5"/>
  <c r="M2632" i="5"/>
  <c r="L2633" i="5"/>
  <c r="M2634" i="5" s="1"/>
  <c r="M2633" i="5" l="1"/>
  <c r="K2635" i="5"/>
  <c r="L2635" i="5" s="1"/>
  <c r="N2636" i="5"/>
  <c r="F2637" i="5"/>
  <c r="H2636" i="5"/>
  <c r="G2636" i="5"/>
  <c r="I2636" i="5"/>
  <c r="J2636" i="5"/>
  <c r="G2637" i="5" l="1"/>
  <c r="H2637" i="5"/>
  <c r="F2638" i="5"/>
  <c r="J2637" i="5"/>
  <c r="I2637" i="5"/>
  <c r="K2636" i="5"/>
  <c r="L2636" i="5" s="1"/>
  <c r="N2637" i="5"/>
  <c r="M2635" i="5"/>
  <c r="K2637" i="5" l="1"/>
  <c r="L2637" i="5" s="1"/>
  <c r="M2637" i="5" s="1"/>
  <c r="N2638" i="5"/>
  <c r="G2638" i="5"/>
  <c r="F2639" i="5"/>
  <c r="H2638" i="5"/>
  <c r="I2638" i="5"/>
  <c r="M2636" i="5"/>
  <c r="F2640" i="5" l="1"/>
  <c r="G2639" i="5"/>
  <c r="J2639" i="5" s="1"/>
  <c r="H2639" i="5"/>
  <c r="I2639" i="5"/>
  <c r="J2638" i="5"/>
  <c r="K2639" i="5" l="1"/>
  <c r="L2639" i="5" s="1"/>
  <c r="N2640" i="5"/>
  <c r="K2638" i="5"/>
  <c r="L2638" i="5" s="1"/>
  <c r="N2639" i="5"/>
  <c r="F2641" i="5"/>
  <c r="G2640" i="5"/>
  <c r="I2640" i="5"/>
  <c r="J2640" i="5"/>
  <c r="H2640" i="5"/>
  <c r="K2640" i="5" l="1"/>
  <c r="L2640" i="5" s="1"/>
  <c r="N2641" i="5"/>
  <c r="F2642" i="5"/>
  <c r="G2641" i="5"/>
  <c r="I2641" i="5"/>
  <c r="J2641" i="5"/>
  <c r="H2641" i="5"/>
  <c r="M2639" i="5"/>
  <c r="M2638" i="5"/>
  <c r="M2640" i="5"/>
  <c r="K2641" i="5" l="1"/>
  <c r="L2641" i="5" s="1"/>
  <c r="N2642" i="5"/>
  <c r="F2643" i="5"/>
  <c r="G2642" i="5"/>
  <c r="I2642" i="5"/>
  <c r="J2642" i="5"/>
  <c r="H2642" i="5"/>
  <c r="M2641" i="5"/>
  <c r="F2644" i="5" l="1"/>
  <c r="G2643" i="5"/>
  <c r="H2643" i="5"/>
  <c r="I2643" i="5"/>
  <c r="J2643" i="5"/>
  <c r="K2642" i="5"/>
  <c r="L2642" i="5" s="1"/>
  <c r="M2642" i="5" s="1"/>
  <c r="N2643" i="5"/>
  <c r="K2643" i="5" l="1"/>
  <c r="L2643" i="5" s="1"/>
  <c r="N2644" i="5"/>
  <c r="F2645" i="5"/>
  <c r="H2644" i="5"/>
  <c r="I2644" i="5"/>
  <c r="G2644" i="5"/>
  <c r="J2644" i="5" s="1"/>
  <c r="K2644" i="5" l="1"/>
  <c r="L2644" i="5" s="1"/>
  <c r="N2645" i="5"/>
  <c r="F2646" i="5"/>
  <c r="H2645" i="5"/>
  <c r="I2645" i="5"/>
  <c r="J2645" i="5"/>
  <c r="G2645" i="5"/>
  <c r="M2644" i="5"/>
  <c r="M2643" i="5"/>
  <c r="K2645" i="5" l="1"/>
  <c r="L2645" i="5" s="1"/>
  <c r="N2646" i="5"/>
  <c r="F2647" i="5"/>
  <c r="H2646" i="5"/>
  <c r="G2646" i="5"/>
  <c r="I2646" i="5"/>
  <c r="J2646" i="5"/>
  <c r="M2645" i="5"/>
  <c r="F2648" i="5" l="1"/>
  <c r="G2647" i="5"/>
  <c r="H2647" i="5"/>
  <c r="I2647" i="5"/>
  <c r="J2647" i="5"/>
  <c r="K2646" i="5"/>
  <c r="L2646" i="5" s="1"/>
  <c r="N2647" i="5"/>
  <c r="M2646" i="5"/>
  <c r="K2647" i="5" l="1"/>
  <c r="L2647" i="5" s="1"/>
  <c r="N2648" i="5"/>
  <c r="F2649" i="5"/>
  <c r="G2648" i="5"/>
  <c r="H2648" i="5"/>
  <c r="I2648" i="5"/>
  <c r="J2648" i="5"/>
  <c r="K2648" i="5" l="1"/>
  <c r="L2648" i="5" s="1"/>
  <c r="N2649" i="5"/>
  <c r="F2650" i="5"/>
  <c r="G2649" i="5"/>
  <c r="H2649" i="5"/>
  <c r="I2649" i="5"/>
  <c r="J2649" i="5"/>
  <c r="M2648" i="5"/>
  <c r="M2647" i="5"/>
  <c r="N2650" i="5" l="1"/>
  <c r="K2649" i="5"/>
  <c r="L2649" i="5" s="1"/>
  <c r="F2651" i="5"/>
  <c r="G2650" i="5"/>
  <c r="I2650" i="5"/>
  <c r="H2650" i="5"/>
  <c r="J2650" i="5"/>
  <c r="M2649" i="5"/>
  <c r="N2651" i="5" l="1"/>
  <c r="K2650" i="5"/>
  <c r="L2650" i="5" s="1"/>
  <c r="F2652" i="5"/>
  <c r="G2651" i="5"/>
  <c r="H2651" i="5"/>
  <c r="I2651" i="5"/>
  <c r="J2651" i="5"/>
  <c r="K2651" i="5" l="1"/>
  <c r="L2651" i="5" s="1"/>
  <c r="N2652" i="5"/>
  <c r="F2653" i="5"/>
  <c r="I2652" i="5" s="1"/>
  <c r="G2652" i="5"/>
  <c r="H2652" i="5"/>
  <c r="M2651" i="5"/>
  <c r="M2650" i="5"/>
  <c r="J2652" i="5" l="1"/>
  <c r="F2654" i="5"/>
  <c r="I2653" i="5" s="1"/>
  <c r="G2653" i="5"/>
  <c r="H2653" i="5"/>
  <c r="J2653" i="5"/>
  <c r="K2653" i="5" l="1"/>
  <c r="N2654" i="5"/>
  <c r="F2655" i="5"/>
  <c r="G2654" i="5"/>
  <c r="H2654" i="5"/>
  <c r="J2654" i="5"/>
  <c r="I2654" i="5"/>
  <c r="K2652" i="5"/>
  <c r="L2652" i="5" s="1"/>
  <c r="N2653" i="5"/>
  <c r="K2654" i="5" l="1"/>
  <c r="L2654" i="5" s="1"/>
  <c r="N2655" i="5"/>
  <c r="F2656" i="5"/>
  <c r="G2655" i="5"/>
  <c r="H2655" i="5"/>
  <c r="I2655" i="5"/>
  <c r="J2655" i="5"/>
  <c r="M2652" i="5"/>
  <c r="L2653" i="5"/>
  <c r="M2654" i="5" s="1"/>
  <c r="M2653" i="5" l="1"/>
  <c r="K2655" i="5"/>
  <c r="L2655" i="5" s="1"/>
  <c r="N2656" i="5"/>
  <c r="F2657" i="5"/>
  <c r="G2656" i="5"/>
  <c r="H2656" i="5"/>
  <c r="I2656" i="5"/>
  <c r="J2656" i="5"/>
  <c r="F2658" i="5" l="1"/>
  <c r="G2657" i="5"/>
  <c r="H2657" i="5"/>
  <c r="J2657" i="5"/>
  <c r="I2657" i="5"/>
  <c r="K2656" i="5"/>
  <c r="L2656" i="5" s="1"/>
  <c r="N2657" i="5"/>
  <c r="M2655" i="5"/>
  <c r="K2657" i="5" l="1"/>
  <c r="L2657" i="5" s="1"/>
  <c r="M2657" i="5" s="1"/>
  <c r="N2658" i="5"/>
  <c r="M2656" i="5"/>
  <c r="F2659" i="5"/>
  <c r="G2658" i="5"/>
  <c r="H2658" i="5"/>
  <c r="J2658" i="5" s="1"/>
  <c r="K2658" i="5" l="1"/>
  <c r="L2658" i="5" s="1"/>
  <c r="N2659" i="5"/>
  <c r="F2660" i="5"/>
  <c r="I2659" i="5" s="1"/>
  <c r="G2659" i="5"/>
  <c r="H2659" i="5"/>
  <c r="I2658" i="5"/>
  <c r="M2658" i="5"/>
  <c r="F2661" i="5" l="1"/>
  <c r="G2660" i="5"/>
  <c r="H2660" i="5"/>
  <c r="I2660" i="5"/>
  <c r="J2660" i="5"/>
  <c r="J2659" i="5"/>
  <c r="K2660" i="5" l="1"/>
  <c r="N2661" i="5"/>
  <c r="K2659" i="5"/>
  <c r="L2659" i="5" s="1"/>
  <c r="N2660" i="5"/>
  <c r="F2662" i="5"/>
  <c r="G2661" i="5"/>
  <c r="H2661" i="5"/>
  <c r="J2661" i="5"/>
  <c r="K2661" i="5" l="1"/>
  <c r="N2662" i="5"/>
  <c r="F2663" i="5"/>
  <c r="G2662" i="5"/>
  <c r="I2662" i="5"/>
  <c r="H2662" i="5"/>
  <c r="J2662" i="5"/>
  <c r="M2660" i="5"/>
  <c r="M2659" i="5"/>
  <c r="I2661" i="5"/>
  <c r="L2660" i="5"/>
  <c r="F2664" i="5" l="1"/>
  <c r="I2663" i="5" s="1"/>
  <c r="G2663" i="5"/>
  <c r="H2663" i="5"/>
  <c r="K2662" i="5"/>
  <c r="L2662" i="5" s="1"/>
  <c r="N2663" i="5"/>
  <c r="L2661" i="5"/>
  <c r="J2663" i="5" l="1"/>
  <c r="F2665" i="5"/>
  <c r="G2664" i="5"/>
  <c r="H2664" i="5"/>
  <c r="J2664" i="5"/>
  <c r="I2664" i="5"/>
  <c r="M2662" i="5"/>
  <c r="M2661" i="5"/>
  <c r="K2664" i="5" l="1"/>
  <c r="N2665" i="5"/>
  <c r="F2666" i="5"/>
  <c r="G2665" i="5"/>
  <c r="H2665" i="5"/>
  <c r="I2665" i="5"/>
  <c r="J2665" i="5"/>
  <c r="K2663" i="5"/>
  <c r="L2663" i="5" s="1"/>
  <c r="N2664" i="5"/>
  <c r="M2663" i="5" l="1"/>
  <c r="N2666" i="5"/>
  <c r="K2665" i="5"/>
  <c r="L2665" i="5" s="1"/>
  <c r="F2667" i="5"/>
  <c r="G2666" i="5"/>
  <c r="H2666" i="5"/>
  <c r="I2666" i="5"/>
  <c r="L2664" i="5"/>
  <c r="F2668" i="5" l="1"/>
  <c r="G2667" i="5"/>
  <c r="H2667" i="5"/>
  <c r="I2667" i="5"/>
  <c r="J2667" i="5"/>
  <c r="M2665" i="5"/>
  <c r="J2666" i="5"/>
  <c r="M2664" i="5"/>
  <c r="K2666" i="5" l="1"/>
  <c r="L2666" i="5" s="1"/>
  <c r="N2667" i="5"/>
  <c r="N2668" i="5" s="1"/>
  <c r="K2667" i="5"/>
  <c r="L2667" i="5" s="1"/>
  <c r="F2669" i="5"/>
  <c r="G2668" i="5"/>
  <c r="H2668" i="5"/>
  <c r="F2670" i="5" l="1"/>
  <c r="G2669" i="5"/>
  <c r="H2669" i="5"/>
  <c r="J2669" i="5"/>
  <c r="I2669" i="5"/>
  <c r="I2668" i="5"/>
  <c r="J2668" i="5"/>
  <c r="M2667" i="5"/>
  <c r="M2666" i="5"/>
  <c r="K2668" i="5" l="1"/>
  <c r="L2668" i="5" s="1"/>
  <c r="N2669" i="5"/>
  <c r="N2670" i="5" s="1"/>
  <c r="K2669" i="5"/>
  <c r="F2671" i="5"/>
  <c r="G2670" i="5"/>
  <c r="H2670" i="5"/>
  <c r="J2670" i="5"/>
  <c r="K2670" i="5" l="1"/>
  <c r="N2671" i="5"/>
  <c r="F2672" i="5"/>
  <c r="G2671" i="5"/>
  <c r="H2671" i="5"/>
  <c r="I2671" i="5"/>
  <c r="J2671" i="5"/>
  <c r="L2669" i="5"/>
  <c r="I2670" i="5"/>
  <c r="M2668" i="5"/>
  <c r="K2671" i="5" l="1"/>
  <c r="N2672" i="5"/>
  <c r="F2673" i="5"/>
  <c r="G2672" i="5"/>
  <c r="I2672" i="5"/>
  <c r="H2672" i="5"/>
  <c r="J2672" i="5"/>
  <c r="M2670" i="5"/>
  <c r="M2669" i="5"/>
  <c r="L2670" i="5"/>
  <c r="K2672" i="5" l="1"/>
  <c r="N2673" i="5"/>
  <c r="F2674" i="5"/>
  <c r="G2673" i="5"/>
  <c r="I2673" i="5"/>
  <c r="H2673" i="5"/>
  <c r="J2673" i="5"/>
  <c r="M2671" i="5"/>
  <c r="L2671" i="5"/>
  <c r="K2673" i="5" l="1"/>
  <c r="L2673" i="5" s="1"/>
  <c r="N2674" i="5"/>
  <c r="F2675" i="5"/>
  <c r="G2674" i="5"/>
  <c r="H2674" i="5"/>
  <c r="I2674" i="5"/>
  <c r="J2674" i="5"/>
  <c r="M2672" i="5"/>
  <c r="L2672" i="5"/>
  <c r="M2673" i="5" s="1"/>
  <c r="K2674" i="5" l="1"/>
  <c r="L2674" i="5" s="1"/>
  <c r="N2675" i="5"/>
  <c r="G2675" i="5"/>
  <c r="F2676" i="5"/>
  <c r="H2675" i="5"/>
  <c r="I2675" i="5"/>
  <c r="J2675" i="5"/>
  <c r="M2674" i="5"/>
  <c r="K2675" i="5" l="1"/>
  <c r="L2675" i="5" s="1"/>
  <c r="N2676" i="5"/>
  <c r="F2677" i="5"/>
  <c r="G2676" i="5"/>
  <c r="H2676" i="5"/>
  <c r="I2676" i="5"/>
  <c r="J2676" i="5"/>
  <c r="M2675" i="5"/>
  <c r="K2676" i="5" l="1"/>
  <c r="L2676" i="5" s="1"/>
  <c r="N2677" i="5"/>
  <c r="F2678" i="5"/>
  <c r="G2677" i="5"/>
  <c r="H2677" i="5"/>
  <c r="I2677" i="5"/>
  <c r="J2677" i="5"/>
  <c r="M2676" i="5"/>
  <c r="K2677" i="5" l="1"/>
  <c r="L2677" i="5" s="1"/>
  <c r="N2678" i="5"/>
  <c r="F2679" i="5"/>
  <c r="I2678" i="5" s="1"/>
  <c r="G2678" i="5"/>
  <c r="H2678" i="5"/>
  <c r="J2678" i="5"/>
  <c r="M2677" i="5"/>
  <c r="K2678" i="5" l="1"/>
  <c r="L2678" i="5" s="1"/>
  <c r="N2679" i="5"/>
  <c r="F2680" i="5"/>
  <c r="G2679" i="5"/>
  <c r="H2679" i="5"/>
  <c r="J2679" i="5"/>
  <c r="I2679" i="5"/>
  <c r="M2678" i="5"/>
  <c r="K2679" i="5" l="1"/>
  <c r="L2679" i="5" s="1"/>
  <c r="N2680" i="5"/>
  <c r="F2681" i="5"/>
  <c r="H2680" i="5"/>
  <c r="J2680" i="5"/>
  <c r="G2680" i="5"/>
  <c r="I2680" i="5"/>
  <c r="M2679" i="5"/>
  <c r="K2680" i="5" l="1"/>
  <c r="L2680" i="5" s="1"/>
  <c r="N2681" i="5"/>
  <c r="F2682" i="5"/>
  <c r="H2681" i="5"/>
  <c r="J2681" i="5"/>
  <c r="I2681" i="5"/>
  <c r="G2681" i="5"/>
  <c r="M2680" i="5"/>
  <c r="N2682" i="5" l="1"/>
  <c r="K2681" i="5"/>
  <c r="L2681" i="5" s="1"/>
  <c r="F2683" i="5"/>
  <c r="I2682" i="5"/>
  <c r="J2682" i="5"/>
  <c r="G2682" i="5"/>
  <c r="H2682" i="5"/>
  <c r="M2681" i="5"/>
  <c r="N2683" i="5" l="1"/>
  <c r="K2682" i="5"/>
  <c r="L2682" i="5" s="1"/>
  <c r="F2684" i="5"/>
  <c r="G2683" i="5"/>
  <c r="H2683" i="5"/>
  <c r="I2683" i="5"/>
  <c r="J2683" i="5"/>
  <c r="M2682" i="5"/>
  <c r="K2683" i="5" l="1"/>
  <c r="L2683" i="5" s="1"/>
  <c r="N2684" i="5"/>
  <c r="F2685" i="5"/>
  <c r="G2684" i="5"/>
  <c r="H2684" i="5"/>
  <c r="I2684" i="5"/>
  <c r="J2684" i="5"/>
  <c r="M2683" i="5"/>
  <c r="K2684" i="5" l="1"/>
  <c r="L2684" i="5" s="1"/>
  <c r="N2685" i="5"/>
  <c r="F2686" i="5"/>
  <c r="G2685" i="5"/>
  <c r="I2685" i="5"/>
  <c r="H2685" i="5"/>
  <c r="J2685" i="5"/>
  <c r="M2684" i="5"/>
  <c r="F2687" i="5" l="1"/>
  <c r="I2686" i="5" s="1"/>
  <c r="G2686" i="5"/>
  <c r="H2686" i="5"/>
  <c r="J2686" i="5"/>
  <c r="K2685" i="5"/>
  <c r="L2685" i="5" s="1"/>
  <c r="N2686" i="5"/>
  <c r="M2685" i="5" l="1"/>
  <c r="K2686" i="5"/>
  <c r="L2686" i="5" s="1"/>
  <c r="N2687" i="5"/>
  <c r="F2688" i="5"/>
  <c r="G2687" i="5"/>
  <c r="H2687" i="5"/>
  <c r="I2687" i="5"/>
  <c r="F2689" i="5" l="1"/>
  <c r="G2688" i="5"/>
  <c r="J2688" i="5" s="1"/>
  <c r="H2688" i="5"/>
  <c r="I2688" i="5"/>
  <c r="J2687" i="5"/>
  <c r="M2686" i="5"/>
  <c r="K2688" i="5" l="1"/>
  <c r="L2688" i="5" s="1"/>
  <c r="N2689" i="5"/>
  <c r="K2687" i="5"/>
  <c r="L2687" i="5" s="1"/>
  <c r="N2688" i="5"/>
  <c r="F2690" i="5"/>
  <c r="G2689" i="5"/>
  <c r="H2689" i="5"/>
  <c r="I2689" i="5"/>
  <c r="F2691" i="5" l="1"/>
  <c r="H2690" i="5"/>
  <c r="G2690" i="5"/>
  <c r="J2690" i="5"/>
  <c r="I2690" i="5"/>
  <c r="M2688" i="5"/>
  <c r="M2687" i="5"/>
  <c r="J2689" i="5"/>
  <c r="K2689" i="5" l="1"/>
  <c r="L2689" i="5" s="1"/>
  <c r="N2690" i="5"/>
  <c r="N2691" i="5" s="1"/>
  <c r="K2690" i="5"/>
  <c r="G2691" i="5"/>
  <c r="F2692" i="5"/>
  <c r="H2691" i="5"/>
  <c r="F2693" i="5" l="1"/>
  <c r="G2692" i="5"/>
  <c r="H2692" i="5"/>
  <c r="I2692" i="5"/>
  <c r="J2692" i="5"/>
  <c r="I2691" i="5"/>
  <c r="L2690" i="5"/>
  <c r="J2691" i="5"/>
  <c r="M2689" i="5"/>
  <c r="K2691" i="5" l="1"/>
  <c r="L2691" i="5" s="1"/>
  <c r="N2692" i="5"/>
  <c r="K2692" i="5"/>
  <c r="N2693" i="5"/>
  <c r="M2690" i="5"/>
  <c r="F2694" i="5"/>
  <c r="G2693" i="5"/>
  <c r="H2693" i="5"/>
  <c r="I2693" i="5"/>
  <c r="L2692" i="5" l="1"/>
  <c r="F2695" i="5"/>
  <c r="I2694" i="5" s="1"/>
  <c r="G2694" i="5"/>
  <c r="H2694" i="5"/>
  <c r="J2693" i="5"/>
  <c r="M2692" i="5"/>
  <c r="M2691" i="5"/>
  <c r="K2693" i="5" l="1"/>
  <c r="L2693" i="5" s="1"/>
  <c r="N2694" i="5"/>
  <c r="J2694" i="5"/>
  <c r="F2696" i="5"/>
  <c r="G2695" i="5"/>
  <c r="I2695" i="5"/>
  <c r="H2695" i="5"/>
  <c r="J2695" i="5"/>
  <c r="M2693" i="5"/>
  <c r="K2695" i="5" l="1"/>
  <c r="N2696" i="5"/>
  <c r="F2697" i="5"/>
  <c r="G2696" i="5"/>
  <c r="H2696" i="5"/>
  <c r="I2696" i="5"/>
  <c r="J2696" i="5"/>
  <c r="K2694" i="5"/>
  <c r="L2694" i="5" s="1"/>
  <c r="N2695" i="5"/>
  <c r="K2696" i="5" l="1"/>
  <c r="N2697" i="5"/>
  <c r="F2698" i="5"/>
  <c r="G2697" i="5"/>
  <c r="H2697" i="5"/>
  <c r="I2697" i="5"/>
  <c r="J2697" i="5"/>
  <c r="M2694" i="5"/>
  <c r="L2695" i="5"/>
  <c r="M2695" i="5" s="1"/>
  <c r="N2698" i="5" l="1"/>
  <c r="K2697" i="5"/>
  <c r="L2697" i="5" s="1"/>
  <c r="F2699" i="5"/>
  <c r="G2698" i="5"/>
  <c r="H2698" i="5"/>
  <c r="I2698" i="5"/>
  <c r="J2698" i="5"/>
  <c r="M2696" i="5"/>
  <c r="L2696" i="5"/>
  <c r="K2698" i="5" l="1"/>
  <c r="L2698" i="5" s="1"/>
  <c r="N2699" i="5"/>
  <c r="F2700" i="5"/>
  <c r="G2699" i="5"/>
  <c r="H2699" i="5"/>
  <c r="I2699" i="5"/>
  <c r="J2699" i="5"/>
  <c r="M2698" i="5"/>
  <c r="M2697" i="5"/>
  <c r="F2701" i="5" l="1"/>
  <c r="I2700" i="5" s="1"/>
  <c r="H2700" i="5"/>
  <c r="G2700" i="5"/>
  <c r="J2700" i="5"/>
  <c r="K2699" i="5"/>
  <c r="L2699" i="5" s="1"/>
  <c r="N2700" i="5"/>
  <c r="M2700" i="5" l="1"/>
  <c r="M2699" i="5"/>
  <c r="K2700" i="5"/>
  <c r="L2700" i="5" s="1"/>
  <c r="N2701" i="5"/>
  <c r="F2702" i="5"/>
  <c r="G2701" i="5"/>
  <c r="H2701" i="5"/>
  <c r="J2701" i="5"/>
  <c r="I2701" i="5"/>
  <c r="K2701" i="5" l="1"/>
  <c r="L2701" i="5" s="1"/>
  <c r="M2701" i="5" s="1"/>
  <c r="N2702" i="5"/>
  <c r="F2703" i="5"/>
  <c r="I2702" i="5" s="1"/>
  <c r="G2702" i="5"/>
  <c r="H2702" i="5"/>
  <c r="J2702" i="5" l="1"/>
  <c r="F2704" i="5"/>
  <c r="G2703" i="5"/>
  <c r="H2703" i="5"/>
  <c r="I2703" i="5"/>
  <c r="J2703" i="5"/>
  <c r="K2703" i="5" l="1"/>
  <c r="N2704" i="5"/>
  <c r="F2705" i="5"/>
  <c r="G2704" i="5"/>
  <c r="I2704" i="5"/>
  <c r="H2704" i="5"/>
  <c r="J2704" i="5"/>
  <c r="K2702" i="5"/>
  <c r="L2702" i="5" s="1"/>
  <c r="N2703" i="5"/>
  <c r="K2704" i="5" l="1"/>
  <c r="N2705" i="5"/>
  <c r="M2702" i="5"/>
  <c r="F2706" i="5"/>
  <c r="G2705" i="5"/>
  <c r="I2705" i="5"/>
  <c r="J2705" i="5"/>
  <c r="H2705" i="5"/>
  <c r="L2703" i="5"/>
  <c r="M2703" i="5" s="1"/>
  <c r="K2705" i="5" l="1"/>
  <c r="N2706" i="5"/>
  <c r="F2707" i="5"/>
  <c r="I2706" i="5" s="1"/>
  <c r="G2706" i="5"/>
  <c r="H2706" i="5"/>
  <c r="J2706" i="5"/>
  <c r="M2704" i="5"/>
  <c r="L2704" i="5"/>
  <c r="K2706" i="5" l="1"/>
  <c r="N2707" i="5"/>
  <c r="F2708" i="5"/>
  <c r="H2707" i="5"/>
  <c r="J2707" i="5" s="1"/>
  <c r="G2707" i="5"/>
  <c r="I2707" i="5"/>
  <c r="M2705" i="5"/>
  <c r="L2705" i="5"/>
  <c r="K2707" i="5" l="1"/>
  <c r="L2707" i="5" s="1"/>
  <c r="N2708" i="5"/>
  <c r="F2709" i="5"/>
  <c r="H2708" i="5"/>
  <c r="G2708" i="5"/>
  <c r="I2708" i="5"/>
  <c r="J2708" i="5"/>
  <c r="M2706" i="5"/>
  <c r="L2706" i="5"/>
  <c r="M2707" i="5" s="1"/>
  <c r="K2708" i="5" l="1"/>
  <c r="L2708" i="5" s="1"/>
  <c r="N2709" i="5"/>
  <c r="F2710" i="5"/>
  <c r="G2709" i="5"/>
  <c r="H2709" i="5"/>
  <c r="I2709" i="5"/>
  <c r="J2709" i="5"/>
  <c r="M2708" i="5"/>
  <c r="K2709" i="5" l="1"/>
  <c r="L2709" i="5" s="1"/>
  <c r="N2710" i="5"/>
  <c r="F2711" i="5"/>
  <c r="G2710" i="5"/>
  <c r="H2710" i="5"/>
  <c r="I2710" i="5"/>
  <c r="J2710" i="5"/>
  <c r="M2709" i="5"/>
  <c r="F2712" i="5" l="1"/>
  <c r="G2711" i="5"/>
  <c r="H2711" i="5"/>
  <c r="I2711" i="5"/>
  <c r="J2711" i="5"/>
  <c r="K2710" i="5"/>
  <c r="L2710" i="5" s="1"/>
  <c r="N2711" i="5"/>
  <c r="M2710" i="5" l="1"/>
  <c r="K2711" i="5"/>
  <c r="L2711" i="5" s="1"/>
  <c r="N2712" i="5"/>
  <c r="F2713" i="5"/>
  <c r="G2712" i="5"/>
  <c r="H2712" i="5"/>
  <c r="F2714" i="5" l="1"/>
  <c r="G2713" i="5"/>
  <c r="H2713" i="5"/>
  <c r="I2713" i="5"/>
  <c r="J2713" i="5"/>
  <c r="I2712" i="5"/>
  <c r="J2712" i="5"/>
  <c r="M2711" i="5"/>
  <c r="K2713" i="5" l="1"/>
  <c r="K2712" i="5"/>
  <c r="L2712" i="5" s="1"/>
  <c r="N2713" i="5"/>
  <c r="N2714" i="5" s="1"/>
  <c r="F2715" i="5"/>
  <c r="I2714" i="5" s="1"/>
  <c r="G2714" i="5"/>
  <c r="H2714" i="5"/>
  <c r="M2712" i="5" l="1"/>
  <c r="F2716" i="5"/>
  <c r="H2715" i="5"/>
  <c r="I2715" i="5"/>
  <c r="G2715" i="5"/>
  <c r="J2715" i="5"/>
  <c r="L2713" i="5"/>
  <c r="J2714" i="5"/>
  <c r="F2717" i="5" l="1"/>
  <c r="I2716" i="5" s="1"/>
  <c r="H2716" i="5"/>
  <c r="J2716" i="5"/>
  <c r="G2716" i="5"/>
  <c r="K2715" i="5"/>
  <c r="L2715" i="5" s="1"/>
  <c r="N2716" i="5"/>
  <c r="N2715" i="5"/>
  <c r="K2714" i="5"/>
  <c r="L2714" i="5" s="1"/>
  <c r="M2715" i="5" s="1"/>
  <c r="M2713" i="5"/>
  <c r="K2716" i="5" l="1"/>
  <c r="L2716" i="5" s="1"/>
  <c r="N2717" i="5"/>
  <c r="F2718" i="5"/>
  <c r="G2717" i="5"/>
  <c r="H2717" i="5"/>
  <c r="J2717" i="5"/>
  <c r="M2714" i="5"/>
  <c r="K2717" i="5" l="1"/>
  <c r="L2717" i="5" s="1"/>
  <c r="N2718" i="5"/>
  <c r="F2719" i="5"/>
  <c r="G2718" i="5"/>
  <c r="H2718" i="5"/>
  <c r="J2718" i="5"/>
  <c r="I2718" i="5"/>
  <c r="I2717" i="5"/>
  <c r="M2717" i="5"/>
  <c r="M2716" i="5"/>
  <c r="K2718" i="5" l="1"/>
  <c r="L2718" i="5" s="1"/>
  <c r="N2719" i="5"/>
  <c r="F2720" i="5"/>
  <c r="G2719" i="5"/>
  <c r="H2719" i="5"/>
  <c r="I2719" i="5"/>
  <c r="J2719" i="5"/>
  <c r="M2718" i="5"/>
  <c r="K2719" i="5" l="1"/>
  <c r="L2719" i="5" s="1"/>
  <c r="N2720" i="5"/>
  <c r="F2721" i="5"/>
  <c r="G2720" i="5"/>
  <c r="H2720" i="5"/>
  <c r="I2720" i="5"/>
  <c r="J2720" i="5"/>
  <c r="M2719" i="5"/>
  <c r="K2720" i="5" l="1"/>
  <c r="L2720" i="5" s="1"/>
  <c r="N2721" i="5"/>
  <c r="F2722" i="5"/>
  <c r="G2721" i="5"/>
  <c r="H2721" i="5"/>
  <c r="I2721" i="5"/>
  <c r="J2721" i="5"/>
  <c r="M2720" i="5"/>
  <c r="K2721" i="5" l="1"/>
  <c r="L2721" i="5" s="1"/>
  <c r="N2722" i="5"/>
  <c r="F2723" i="5"/>
  <c r="G2722" i="5"/>
  <c r="H2722" i="5"/>
  <c r="J2722" i="5"/>
  <c r="I2722" i="5"/>
  <c r="M2721" i="5"/>
  <c r="F2724" i="5" l="1"/>
  <c r="H2723" i="5"/>
  <c r="G2723" i="5"/>
  <c r="I2723" i="5"/>
  <c r="J2723" i="5"/>
  <c r="K2722" i="5"/>
  <c r="L2722" i="5" s="1"/>
  <c r="M2722" i="5" s="1"/>
  <c r="N2723" i="5"/>
  <c r="K2723" i="5" l="1"/>
  <c r="L2723" i="5" s="1"/>
  <c r="M2723" i="5" s="1"/>
  <c r="N2724" i="5"/>
  <c r="F2725" i="5"/>
  <c r="H2724" i="5"/>
  <c r="G2724" i="5"/>
  <c r="I2724" i="5"/>
  <c r="J2724" i="5"/>
  <c r="K2724" i="5" l="1"/>
  <c r="L2724" i="5" s="1"/>
  <c r="N2725" i="5"/>
  <c r="F2726" i="5"/>
  <c r="G2725" i="5"/>
  <c r="H2725" i="5"/>
  <c r="J2725" i="5"/>
  <c r="I2725" i="5"/>
  <c r="M2724" i="5"/>
  <c r="K2725" i="5" l="1"/>
  <c r="L2725" i="5" s="1"/>
  <c r="N2726" i="5"/>
  <c r="F2727" i="5"/>
  <c r="G2726" i="5"/>
  <c r="J2726" i="5" s="1"/>
  <c r="I2726" i="5"/>
  <c r="H2726" i="5"/>
  <c r="M2725" i="5"/>
  <c r="K2726" i="5" l="1"/>
  <c r="L2726" i="5" s="1"/>
  <c r="N2727" i="5"/>
  <c r="F2728" i="5"/>
  <c r="G2727" i="5"/>
  <c r="I2727" i="5"/>
  <c r="J2727" i="5"/>
  <c r="H2727" i="5"/>
  <c r="M2726" i="5"/>
  <c r="K2727" i="5" l="1"/>
  <c r="L2727" i="5" s="1"/>
  <c r="N2728" i="5"/>
  <c r="F2729" i="5"/>
  <c r="G2728" i="5"/>
  <c r="J2728" i="5"/>
  <c r="I2728" i="5"/>
  <c r="H2728" i="5"/>
  <c r="M2727" i="5"/>
  <c r="K2728" i="5" l="1"/>
  <c r="L2728" i="5" s="1"/>
  <c r="N2729" i="5"/>
  <c r="F2730" i="5"/>
  <c r="G2729" i="5"/>
  <c r="H2729" i="5"/>
  <c r="I2729" i="5"/>
  <c r="J2729" i="5"/>
  <c r="M2728" i="5"/>
  <c r="N2730" i="5" l="1"/>
  <c r="K2729" i="5"/>
  <c r="L2729" i="5" s="1"/>
  <c r="F2731" i="5"/>
  <c r="G2730" i="5"/>
  <c r="H2730" i="5"/>
  <c r="I2730" i="5"/>
  <c r="J2730" i="5"/>
  <c r="M2729" i="5"/>
  <c r="F2732" i="5" l="1"/>
  <c r="H2731" i="5"/>
  <c r="I2731" i="5"/>
  <c r="G2731" i="5"/>
  <c r="J2731" i="5"/>
  <c r="K2730" i="5"/>
  <c r="L2730" i="5" s="1"/>
  <c r="N2731" i="5"/>
  <c r="K2731" i="5" l="1"/>
  <c r="L2731" i="5" s="1"/>
  <c r="M2731" i="5" s="1"/>
  <c r="N2732" i="5"/>
  <c r="M2730" i="5"/>
  <c r="F2733" i="5"/>
  <c r="H2732" i="5"/>
  <c r="G2732" i="5"/>
  <c r="F2734" i="5" l="1"/>
  <c r="G2733" i="5"/>
  <c r="H2733" i="5"/>
  <c r="J2733" i="5"/>
  <c r="I2733" i="5"/>
  <c r="I2732" i="5"/>
  <c r="J2732" i="5"/>
  <c r="K2733" i="5" l="1"/>
  <c r="N2734" i="5"/>
  <c r="K2732" i="5"/>
  <c r="L2732" i="5" s="1"/>
  <c r="N2733" i="5"/>
  <c r="F2735" i="5"/>
  <c r="G2734" i="5"/>
  <c r="H2734" i="5"/>
  <c r="J2734" i="5"/>
  <c r="K2734" i="5" l="1"/>
  <c r="N2735" i="5"/>
  <c r="F2736" i="5"/>
  <c r="G2735" i="5"/>
  <c r="H2735" i="5"/>
  <c r="I2735" i="5"/>
  <c r="J2735" i="5"/>
  <c r="M2733" i="5"/>
  <c r="M2732" i="5"/>
  <c r="I2734" i="5"/>
  <c r="L2733" i="5"/>
  <c r="K2735" i="5" l="1"/>
  <c r="N2736" i="5"/>
  <c r="F2737" i="5"/>
  <c r="G2736" i="5"/>
  <c r="H2736" i="5"/>
  <c r="J2736" i="5" s="1"/>
  <c r="L2734" i="5"/>
  <c r="M2734" i="5" s="1"/>
  <c r="K2736" i="5" l="1"/>
  <c r="L2736" i="5" s="1"/>
  <c r="N2737" i="5"/>
  <c r="F2738" i="5"/>
  <c r="G2737" i="5"/>
  <c r="I2737" i="5"/>
  <c r="J2737" i="5"/>
  <c r="H2737" i="5"/>
  <c r="I2736" i="5"/>
  <c r="L2735" i="5"/>
  <c r="M2736" i="5" s="1"/>
  <c r="K2737" i="5" l="1"/>
  <c r="L2737" i="5" s="1"/>
  <c r="N2738" i="5"/>
  <c r="F2739" i="5"/>
  <c r="G2738" i="5"/>
  <c r="H2738" i="5"/>
  <c r="I2738" i="5"/>
  <c r="J2738" i="5"/>
  <c r="M2735" i="5"/>
  <c r="M2737" i="5"/>
  <c r="F2740" i="5" l="1"/>
  <c r="H2739" i="5"/>
  <c r="G2739" i="5"/>
  <c r="I2739" i="5"/>
  <c r="J2739" i="5"/>
  <c r="K2738" i="5"/>
  <c r="L2738" i="5" s="1"/>
  <c r="N2739" i="5"/>
  <c r="K2739" i="5" l="1"/>
  <c r="L2739" i="5" s="1"/>
  <c r="N2740" i="5"/>
  <c r="M2738" i="5"/>
  <c r="F2741" i="5"/>
  <c r="H2740" i="5"/>
  <c r="G2740" i="5"/>
  <c r="I2740" i="5"/>
  <c r="G2741" i="5" l="1"/>
  <c r="F2742" i="5"/>
  <c r="I2741" i="5" s="1"/>
  <c r="H2741" i="5"/>
  <c r="J2741" i="5"/>
  <c r="J2740" i="5"/>
  <c r="M2739" i="5"/>
  <c r="K2740" i="5" l="1"/>
  <c r="L2740" i="5" s="1"/>
  <c r="N2741" i="5"/>
  <c r="K2741" i="5"/>
  <c r="L2741" i="5" s="1"/>
  <c r="N2742" i="5"/>
  <c r="F2743" i="5"/>
  <c r="I2742" i="5" s="1"/>
  <c r="G2742" i="5"/>
  <c r="H2742" i="5"/>
  <c r="F2744" i="5" l="1"/>
  <c r="G2743" i="5"/>
  <c r="H2743" i="5"/>
  <c r="J2743" i="5"/>
  <c r="I2743" i="5"/>
  <c r="J2742" i="5"/>
  <c r="M2741" i="5"/>
  <c r="M2740" i="5"/>
  <c r="K2743" i="5" l="1"/>
  <c r="N2744" i="5"/>
  <c r="K2742" i="5"/>
  <c r="L2742" i="5" s="1"/>
  <c r="N2743" i="5"/>
  <c r="F2745" i="5"/>
  <c r="G2744" i="5"/>
  <c r="H2744" i="5"/>
  <c r="J2744" i="5"/>
  <c r="F2746" i="5" l="1"/>
  <c r="G2745" i="5"/>
  <c r="J2745" i="5" s="1"/>
  <c r="H2745" i="5"/>
  <c r="I2745" i="5"/>
  <c r="M2743" i="5"/>
  <c r="M2742" i="5"/>
  <c r="K2744" i="5"/>
  <c r="L2744" i="5" s="1"/>
  <c r="N2745" i="5"/>
  <c r="I2744" i="5"/>
  <c r="L2743" i="5"/>
  <c r="N2746" i="5" l="1"/>
  <c r="K2745" i="5"/>
  <c r="L2745" i="5" s="1"/>
  <c r="M2745" i="5" s="1"/>
  <c r="M2744" i="5"/>
  <c r="G2746" i="5"/>
  <c r="F2747" i="5"/>
  <c r="I2746" i="5"/>
  <c r="J2746" i="5"/>
  <c r="H2746" i="5"/>
  <c r="N2747" i="5" l="1"/>
  <c r="K2746" i="5"/>
  <c r="L2746" i="5" s="1"/>
  <c r="F2748" i="5"/>
  <c r="H2747" i="5"/>
  <c r="I2747" i="5"/>
  <c r="G2747" i="5"/>
  <c r="J2747" i="5"/>
  <c r="M2746" i="5"/>
  <c r="K2747" i="5" l="1"/>
  <c r="L2747" i="5" s="1"/>
  <c r="N2748" i="5"/>
  <c r="F2749" i="5"/>
  <c r="H2748" i="5"/>
  <c r="I2748" i="5"/>
  <c r="J2748" i="5"/>
  <c r="G2748" i="5"/>
  <c r="M2747" i="5"/>
  <c r="K2748" i="5" l="1"/>
  <c r="L2748" i="5" s="1"/>
  <c r="N2749" i="5"/>
  <c r="F2750" i="5"/>
  <c r="I2749" i="5"/>
  <c r="G2749" i="5"/>
  <c r="H2749" i="5"/>
  <c r="J2749" i="5"/>
  <c r="M2748" i="5"/>
  <c r="K2749" i="5" l="1"/>
  <c r="L2749" i="5" s="1"/>
  <c r="N2750" i="5"/>
  <c r="F2751" i="5"/>
  <c r="G2750" i="5"/>
  <c r="H2750" i="5"/>
  <c r="I2750" i="5"/>
  <c r="J2750" i="5"/>
  <c r="M2749" i="5"/>
  <c r="F2752" i="5" l="1"/>
  <c r="G2751" i="5"/>
  <c r="H2751" i="5"/>
  <c r="I2751" i="5"/>
  <c r="J2751" i="5"/>
  <c r="K2750" i="5"/>
  <c r="L2750" i="5" s="1"/>
  <c r="M2750" i="5" s="1"/>
  <c r="N2751" i="5"/>
  <c r="K2751" i="5" l="1"/>
  <c r="L2751" i="5" s="1"/>
  <c r="N2752" i="5"/>
  <c r="M2751" i="5"/>
  <c r="F2753" i="5"/>
  <c r="G2752" i="5"/>
  <c r="H2752" i="5"/>
  <c r="I2752" i="5"/>
  <c r="J2752" i="5"/>
  <c r="K2752" i="5" l="1"/>
  <c r="L2752" i="5" s="1"/>
  <c r="N2753" i="5"/>
  <c r="F2754" i="5"/>
  <c r="G2753" i="5"/>
  <c r="H2753" i="5"/>
  <c r="I2753" i="5"/>
  <c r="J2753" i="5"/>
  <c r="M2752" i="5"/>
  <c r="K2753" i="5" l="1"/>
  <c r="L2753" i="5" s="1"/>
  <c r="N2754" i="5"/>
  <c r="F2755" i="5"/>
  <c r="G2754" i="5"/>
  <c r="H2754" i="5"/>
  <c r="J2754" i="5"/>
  <c r="I2754" i="5"/>
  <c r="M2753" i="5"/>
  <c r="K2754" i="5" l="1"/>
  <c r="L2754" i="5" s="1"/>
  <c r="N2755" i="5"/>
  <c r="F2756" i="5"/>
  <c r="H2755" i="5"/>
  <c r="J2755" i="5" s="1"/>
  <c r="G2755" i="5"/>
  <c r="I2755" i="5"/>
  <c r="M2754" i="5"/>
  <c r="K2755" i="5" l="1"/>
  <c r="L2755" i="5" s="1"/>
  <c r="N2756" i="5"/>
  <c r="F2757" i="5"/>
  <c r="H2756" i="5"/>
  <c r="G2756" i="5"/>
  <c r="I2756" i="5"/>
  <c r="J2756" i="5"/>
  <c r="M2755" i="5"/>
  <c r="K2756" i="5" l="1"/>
  <c r="L2756" i="5" s="1"/>
  <c r="N2757" i="5"/>
  <c r="F2758" i="5"/>
  <c r="G2757" i="5"/>
  <c r="H2757" i="5"/>
  <c r="I2757" i="5"/>
  <c r="J2757" i="5"/>
  <c r="M2756" i="5"/>
  <c r="K2757" i="5" l="1"/>
  <c r="L2757" i="5" s="1"/>
  <c r="N2758" i="5"/>
  <c r="F2759" i="5"/>
  <c r="G2758" i="5"/>
  <c r="I2758" i="5"/>
  <c r="H2758" i="5"/>
  <c r="J2758" i="5"/>
  <c r="M2757" i="5"/>
  <c r="K2758" i="5" l="1"/>
  <c r="L2758" i="5" s="1"/>
  <c r="N2759" i="5"/>
  <c r="F2760" i="5"/>
  <c r="I2759" i="5" s="1"/>
  <c r="G2759" i="5"/>
  <c r="H2759" i="5"/>
  <c r="M2758" i="5"/>
  <c r="J2759" i="5" l="1"/>
  <c r="F2761" i="5"/>
  <c r="G2760" i="5"/>
  <c r="H2760" i="5"/>
  <c r="I2760" i="5"/>
  <c r="J2760" i="5"/>
  <c r="K2760" i="5" l="1"/>
  <c r="N2761" i="5"/>
  <c r="G2761" i="5"/>
  <c r="F2762" i="5"/>
  <c r="H2761" i="5"/>
  <c r="I2761" i="5"/>
  <c r="J2761" i="5"/>
  <c r="K2759" i="5"/>
  <c r="L2759" i="5" s="1"/>
  <c r="N2760" i="5"/>
  <c r="M2759" i="5" l="1"/>
  <c r="N2762" i="5"/>
  <c r="K2761" i="5"/>
  <c r="F2763" i="5"/>
  <c r="G2762" i="5"/>
  <c r="H2762" i="5"/>
  <c r="I2762" i="5"/>
  <c r="L2760" i="5"/>
  <c r="F2764" i="5" l="1"/>
  <c r="I2763" i="5" s="1"/>
  <c r="H2763" i="5"/>
  <c r="G2763" i="5"/>
  <c r="J2763" i="5"/>
  <c r="L2761" i="5"/>
  <c r="M2761" i="5"/>
  <c r="J2762" i="5"/>
  <c r="M2760" i="5"/>
  <c r="K2762" i="5" l="1"/>
  <c r="L2762" i="5" s="1"/>
  <c r="N2763" i="5"/>
  <c r="N2764" i="5" s="1"/>
  <c r="K2763" i="5"/>
  <c r="L2763" i="5" s="1"/>
  <c r="M2762" i="5"/>
  <c r="F2765" i="5"/>
  <c r="H2764" i="5"/>
  <c r="I2764" i="5"/>
  <c r="G2764" i="5"/>
  <c r="F2766" i="5" l="1"/>
  <c r="G2765" i="5"/>
  <c r="H2765" i="5"/>
  <c r="J2765" i="5"/>
  <c r="I2765" i="5"/>
  <c r="J2764" i="5"/>
  <c r="M2763" i="5"/>
  <c r="K2765" i="5" l="1"/>
  <c r="N2766" i="5"/>
  <c r="K2764" i="5"/>
  <c r="L2764" i="5" s="1"/>
  <c r="N2765" i="5"/>
  <c r="G2766" i="5"/>
  <c r="F2767" i="5"/>
  <c r="H2766" i="5"/>
  <c r="F2768" i="5" l="1"/>
  <c r="G2767" i="5"/>
  <c r="H2767" i="5"/>
  <c r="I2767" i="5"/>
  <c r="J2767" i="5"/>
  <c r="M2764" i="5"/>
  <c r="J2766" i="5"/>
  <c r="I2766" i="5"/>
  <c r="L2765" i="5"/>
  <c r="M2765" i="5" s="1"/>
  <c r="K2766" i="5" l="1"/>
  <c r="L2766" i="5" s="1"/>
  <c r="N2767" i="5"/>
  <c r="N2768" i="5" s="1"/>
  <c r="K2767" i="5"/>
  <c r="L2767" i="5" s="1"/>
  <c r="M2766" i="5"/>
  <c r="F2769" i="5"/>
  <c r="I2768" i="5" s="1"/>
  <c r="G2768" i="5"/>
  <c r="H2768" i="5"/>
  <c r="F2770" i="5" l="1"/>
  <c r="G2769" i="5"/>
  <c r="I2769" i="5"/>
  <c r="H2769" i="5"/>
  <c r="J2769" i="5" s="1"/>
  <c r="J2768" i="5"/>
  <c r="M2767" i="5"/>
  <c r="K2769" i="5" l="1"/>
  <c r="L2769" i="5" s="1"/>
  <c r="N2770" i="5"/>
  <c r="K2768" i="5"/>
  <c r="L2768" i="5" s="1"/>
  <c r="N2769" i="5"/>
  <c r="F2771" i="5"/>
  <c r="G2770" i="5"/>
  <c r="I2770" i="5"/>
  <c r="J2770" i="5"/>
  <c r="H2770" i="5"/>
  <c r="K2770" i="5" l="1"/>
  <c r="L2770" i="5" s="1"/>
  <c r="N2771" i="5"/>
  <c r="F2772" i="5"/>
  <c r="H2771" i="5"/>
  <c r="G2771" i="5"/>
  <c r="I2771" i="5"/>
  <c r="J2771" i="5"/>
  <c r="M2769" i="5"/>
  <c r="M2768" i="5"/>
  <c r="M2770" i="5"/>
  <c r="K2771" i="5" l="1"/>
  <c r="L2771" i="5" s="1"/>
  <c r="N2772" i="5"/>
  <c r="F2773" i="5"/>
  <c r="H2772" i="5"/>
  <c r="G2772" i="5"/>
  <c r="I2772" i="5"/>
  <c r="J2772" i="5"/>
  <c r="M2771" i="5"/>
  <c r="F2774" i="5" l="1"/>
  <c r="G2773" i="5"/>
  <c r="H2773" i="5"/>
  <c r="I2773" i="5"/>
  <c r="J2773" i="5"/>
  <c r="K2772" i="5"/>
  <c r="L2772" i="5" s="1"/>
  <c r="N2773" i="5"/>
  <c r="M2772" i="5"/>
  <c r="K2773" i="5" l="1"/>
  <c r="L2773" i="5" s="1"/>
  <c r="N2774" i="5"/>
  <c r="F2775" i="5"/>
  <c r="G2774" i="5"/>
  <c r="H2774" i="5"/>
  <c r="I2774" i="5"/>
  <c r="J2774" i="5"/>
  <c r="K2774" i="5" l="1"/>
  <c r="L2774" i="5" s="1"/>
  <c r="N2775" i="5"/>
  <c r="F2776" i="5"/>
  <c r="G2775" i="5"/>
  <c r="H2775" i="5"/>
  <c r="I2775" i="5"/>
  <c r="J2775" i="5"/>
  <c r="M2774" i="5"/>
  <c r="M2773" i="5"/>
  <c r="K2775" i="5" l="1"/>
  <c r="L2775" i="5" s="1"/>
  <c r="N2776" i="5"/>
  <c r="F2777" i="5"/>
  <c r="G2776" i="5"/>
  <c r="H2776" i="5"/>
  <c r="I2776" i="5"/>
  <c r="J2776" i="5"/>
  <c r="M2775" i="5"/>
  <c r="K2776" i="5" l="1"/>
  <c r="L2776" i="5" s="1"/>
  <c r="N2777" i="5"/>
  <c r="F2778" i="5"/>
  <c r="G2777" i="5"/>
  <c r="H2777" i="5"/>
  <c r="I2777" i="5"/>
  <c r="J2777" i="5"/>
  <c r="M2776" i="5"/>
  <c r="N2778" i="5" l="1"/>
  <c r="K2777" i="5"/>
  <c r="L2777" i="5" s="1"/>
  <c r="F2779" i="5"/>
  <c r="G2778" i="5"/>
  <c r="I2778" i="5"/>
  <c r="H2778" i="5"/>
  <c r="J2778" i="5" s="1"/>
  <c r="M2777" i="5"/>
  <c r="N2779" i="5" l="1"/>
  <c r="K2778" i="5"/>
  <c r="L2778" i="5" s="1"/>
  <c r="F2780" i="5"/>
  <c r="H2779" i="5"/>
  <c r="I2779" i="5"/>
  <c r="G2779" i="5"/>
  <c r="J2779" i="5"/>
  <c r="M2778" i="5"/>
  <c r="K2779" i="5" l="1"/>
  <c r="L2779" i="5" s="1"/>
  <c r="N2780" i="5"/>
  <c r="F2781" i="5"/>
  <c r="H2780" i="5"/>
  <c r="I2780" i="5"/>
  <c r="G2780" i="5"/>
  <c r="J2780" i="5"/>
  <c r="M2779" i="5"/>
  <c r="F2782" i="5" l="1"/>
  <c r="G2781" i="5"/>
  <c r="I2781" i="5"/>
  <c r="J2781" i="5"/>
  <c r="H2781" i="5"/>
  <c r="K2780" i="5"/>
  <c r="L2780" i="5" s="1"/>
  <c r="M2780" i="5" s="1"/>
  <c r="N2781" i="5"/>
  <c r="K2781" i="5" l="1"/>
  <c r="L2781" i="5" s="1"/>
  <c r="N2782" i="5"/>
  <c r="M2781" i="5"/>
  <c r="F2783" i="5"/>
  <c r="G2782" i="5"/>
  <c r="H2782" i="5"/>
  <c r="F2784" i="5" l="1"/>
  <c r="G2783" i="5"/>
  <c r="H2783" i="5"/>
  <c r="I2783" i="5"/>
  <c r="J2783" i="5"/>
  <c r="J2782" i="5"/>
  <c r="I2782" i="5"/>
  <c r="K2783" i="5" l="1"/>
  <c r="K2782" i="5"/>
  <c r="L2782" i="5" s="1"/>
  <c r="N2783" i="5"/>
  <c r="N2784" i="5" s="1"/>
  <c r="F2785" i="5"/>
  <c r="G2784" i="5"/>
  <c r="H2784" i="5"/>
  <c r="I2784" i="5"/>
  <c r="F2786" i="5" l="1"/>
  <c r="G2785" i="5"/>
  <c r="H2785" i="5"/>
  <c r="J2785" i="5"/>
  <c r="I2785" i="5"/>
  <c r="M2783" i="5"/>
  <c r="M2782" i="5"/>
  <c r="J2784" i="5"/>
  <c r="L2783" i="5"/>
  <c r="K2785" i="5" l="1"/>
  <c r="K2784" i="5"/>
  <c r="L2784" i="5" s="1"/>
  <c r="N2785" i="5"/>
  <c r="N2786" i="5" s="1"/>
  <c r="M2784" i="5"/>
  <c r="F2787" i="5"/>
  <c r="G2786" i="5"/>
  <c r="H2786" i="5"/>
  <c r="F2788" i="5" l="1"/>
  <c r="H2787" i="5"/>
  <c r="J2787" i="5" s="1"/>
  <c r="G2787" i="5"/>
  <c r="I2787" i="5"/>
  <c r="M2785" i="5"/>
  <c r="I2786" i="5"/>
  <c r="J2786" i="5"/>
  <c r="L2785" i="5"/>
  <c r="K2787" i="5" l="1"/>
  <c r="L2787" i="5" s="1"/>
  <c r="N2788" i="5"/>
  <c r="K2786" i="5"/>
  <c r="L2786" i="5" s="1"/>
  <c r="M2787" i="5" s="1"/>
  <c r="N2787" i="5"/>
  <c r="M2786" i="5"/>
  <c r="F2789" i="5"/>
  <c r="H2788" i="5"/>
  <c r="G2788" i="5"/>
  <c r="J2788" i="5"/>
  <c r="F2790" i="5" l="1"/>
  <c r="G2789" i="5"/>
  <c r="H2789" i="5"/>
  <c r="J2789" i="5"/>
  <c r="I2789" i="5"/>
  <c r="K2788" i="5"/>
  <c r="L2788" i="5" s="1"/>
  <c r="N2789" i="5"/>
  <c r="I2788" i="5"/>
  <c r="K2789" i="5" l="1"/>
  <c r="L2789" i="5" s="1"/>
  <c r="N2790" i="5"/>
  <c r="M2789" i="5"/>
  <c r="M2788" i="5"/>
  <c r="F2791" i="5"/>
  <c r="G2790" i="5"/>
  <c r="I2790" i="5"/>
  <c r="J2790" i="5"/>
  <c r="H2790" i="5"/>
  <c r="K2790" i="5" l="1"/>
  <c r="L2790" i="5" s="1"/>
  <c r="N2791" i="5"/>
  <c r="F2792" i="5"/>
  <c r="G2791" i="5"/>
  <c r="J2791" i="5" s="1"/>
  <c r="I2791" i="5"/>
  <c r="H2791" i="5"/>
  <c r="M2790" i="5"/>
  <c r="K2791" i="5" l="1"/>
  <c r="L2791" i="5" s="1"/>
  <c r="N2792" i="5"/>
  <c r="F2793" i="5"/>
  <c r="G2792" i="5"/>
  <c r="H2792" i="5"/>
  <c r="I2792" i="5"/>
  <c r="J2792" i="5"/>
  <c r="M2791" i="5"/>
  <c r="K2792" i="5" l="1"/>
  <c r="L2792" i="5" s="1"/>
  <c r="N2793" i="5"/>
  <c r="F2794" i="5"/>
  <c r="G2793" i="5"/>
  <c r="H2793" i="5"/>
  <c r="I2793" i="5"/>
  <c r="J2793" i="5"/>
  <c r="M2792" i="5"/>
  <c r="N2794" i="5" l="1"/>
  <c r="K2793" i="5"/>
  <c r="L2793" i="5" s="1"/>
  <c r="F2795" i="5"/>
  <c r="G2794" i="5"/>
  <c r="H2794" i="5"/>
  <c r="I2794" i="5"/>
  <c r="J2794" i="5"/>
  <c r="M2793" i="5"/>
  <c r="K2794" i="5" l="1"/>
  <c r="L2794" i="5" s="1"/>
  <c r="N2795" i="5"/>
  <c r="F2796" i="5"/>
  <c r="H2795" i="5"/>
  <c r="I2795" i="5"/>
  <c r="G2795" i="5"/>
  <c r="J2795" i="5"/>
  <c r="M2794" i="5"/>
  <c r="F2797" i="5" l="1"/>
  <c r="H2796" i="5"/>
  <c r="I2796" i="5"/>
  <c r="G2796" i="5"/>
  <c r="J2796" i="5" s="1"/>
  <c r="K2795" i="5"/>
  <c r="L2795" i="5" s="1"/>
  <c r="M2795" i="5" s="1"/>
  <c r="N2796" i="5"/>
  <c r="K2796" i="5" l="1"/>
  <c r="L2796" i="5" s="1"/>
  <c r="M2796" i="5" s="1"/>
  <c r="N2797" i="5"/>
  <c r="F2798" i="5"/>
  <c r="G2797" i="5"/>
  <c r="H2797" i="5"/>
  <c r="J2797" i="5"/>
  <c r="I2797" i="5"/>
  <c r="K2797" i="5" l="1"/>
  <c r="L2797" i="5" s="1"/>
  <c r="N2798" i="5"/>
  <c r="F2799" i="5"/>
  <c r="G2798" i="5"/>
  <c r="H2798" i="5"/>
  <c r="J2798" i="5"/>
  <c r="I2798" i="5"/>
  <c r="M2797" i="5"/>
  <c r="F2800" i="5" l="1"/>
  <c r="G2799" i="5"/>
  <c r="H2799" i="5"/>
  <c r="I2799" i="5"/>
  <c r="J2799" i="5"/>
  <c r="K2798" i="5"/>
  <c r="L2798" i="5" s="1"/>
  <c r="M2798" i="5" s="1"/>
  <c r="N2799" i="5"/>
  <c r="K2799" i="5" l="1"/>
  <c r="L2799" i="5" s="1"/>
  <c r="N2800" i="5"/>
  <c r="M2799" i="5"/>
  <c r="F2801" i="5"/>
  <c r="G2800" i="5"/>
  <c r="H2800" i="5"/>
  <c r="F2802" i="5" l="1"/>
  <c r="G2801" i="5"/>
  <c r="I2801" i="5"/>
  <c r="H2801" i="5"/>
  <c r="J2801" i="5" s="1"/>
  <c r="J2800" i="5"/>
  <c r="I2800" i="5"/>
  <c r="K2801" i="5" l="1"/>
  <c r="L2801" i="5" s="1"/>
  <c r="N2802" i="5"/>
  <c r="K2800" i="5"/>
  <c r="L2800" i="5" s="1"/>
  <c r="N2801" i="5"/>
  <c r="F2803" i="5"/>
  <c r="G2802" i="5"/>
  <c r="H2802" i="5"/>
  <c r="I2802" i="5"/>
  <c r="F2804" i="5" l="1"/>
  <c r="H2803" i="5"/>
  <c r="G2803" i="5"/>
  <c r="I2803" i="5"/>
  <c r="J2803" i="5"/>
  <c r="M2801" i="5"/>
  <c r="M2800" i="5"/>
  <c r="J2802" i="5"/>
  <c r="K2802" i="5" l="1"/>
  <c r="L2802" i="5" s="1"/>
  <c r="N2803" i="5"/>
  <c r="N2804" i="5" s="1"/>
  <c r="K2803" i="5"/>
  <c r="L2803" i="5" s="1"/>
  <c r="F2805" i="5"/>
  <c r="H2804" i="5"/>
  <c r="G2804" i="5"/>
  <c r="I2804" i="5"/>
  <c r="F2806" i="5" l="1"/>
  <c r="G2805" i="5"/>
  <c r="H2805" i="5"/>
  <c r="I2805" i="5"/>
  <c r="J2805" i="5"/>
  <c r="J2804" i="5"/>
  <c r="M2803" i="5"/>
  <c r="M2802" i="5"/>
  <c r="K2804" i="5" l="1"/>
  <c r="L2804" i="5" s="1"/>
  <c r="N2805" i="5"/>
  <c r="K2805" i="5"/>
  <c r="L2805" i="5" s="1"/>
  <c r="N2806" i="5"/>
  <c r="F2807" i="5"/>
  <c r="I2806" i="5" s="1"/>
  <c r="G2806" i="5"/>
  <c r="H2806" i="5"/>
  <c r="F2808" i="5" l="1"/>
  <c r="I2807" i="5" s="1"/>
  <c r="G2807" i="5"/>
  <c r="H2807" i="5"/>
  <c r="J2806" i="5"/>
  <c r="M2805" i="5"/>
  <c r="M2804" i="5"/>
  <c r="K2806" i="5" l="1"/>
  <c r="L2806" i="5" s="1"/>
  <c r="N2807" i="5"/>
  <c r="J2807" i="5"/>
  <c r="F2809" i="5"/>
  <c r="G2808" i="5"/>
  <c r="H2808" i="5"/>
  <c r="I2808" i="5"/>
  <c r="J2808" i="5"/>
  <c r="F2810" i="5" l="1"/>
  <c r="G2809" i="5"/>
  <c r="H2809" i="5"/>
  <c r="I2809" i="5"/>
  <c r="J2809" i="5"/>
  <c r="K2807" i="5"/>
  <c r="L2807" i="5" s="1"/>
  <c r="N2808" i="5"/>
  <c r="N2809" i="5" s="1"/>
  <c r="K2808" i="5"/>
  <c r="L2808" i="5" s="1"/>
  <c r="M2806" i="5"/>
  <c r="N2810" i="5" l="1"/>
  <c r="K2809" i="5"/>
  <c r="L2809" i="5" s="1"/>
  <c r="M2808" i="5"/>
  <c r="M2807" i="5"/>
  <c r="F2811" i="5"/>
  <c r="I2810" i="5" s="1"/>
  <c r="G2810" i="5"/>
  <c r="H2810" i="5"/>
  <c r="F2812" i="5" l="1"/>
  <c r="I2811" i="5" s="1"/>
  <c r="H2811" i="5"/>
  <c r="J2811" i="5"/>
  <c r="G2811" i="5"/>
  <c r="J2810" i="5"/>
  <c r="M2809" i="5"/>
  <c r="K2811" i="5" l="1"/>
  <c r="N2812" i="5"/>
  <c r="N2811" i="5"/>
  <c r="K2810" i="5"/>
  <c r="L2810" i="5" s="1"/>
  <c r="H2812" i="5"/>
  <c r="F2813" i="5"/>
  <c r="I2812" i="5" s="1"/>
  <c r="G2812" i="5"/>
  <c r="M2810" i="5" l="1"/>
  <c r="J2812" i="5"/>
  <c r="F2814" i="5"/>
  <c r="I2813" i="5" s="1"/>
  <c r="J2813" i="5"/>
  <c r="H2813" i="5"/>
  <c r="G2813" i="5"/>
  <c r="L2811" i="5"/>
  <c r="K2813" i="5" l="1"/>
  <c r="N2814" i="5"/>
  <c r="F2815" i="5"/>
  <c r="G2814" i="5"/>
  <c r="J2814" i="5"/>
  <c r="I2814" i="5"/>
  <c r="H2814" i="5"/>
  <c r="K2812" i="5"/>
  <c r="L2812" i="5" s="1"/>
  <c r="N2813" i="5"/>
  <c r="M2811" i="5"/>
  <c r="K2814" i="5" l="1"/>
  <c r="N2815" i="5"/>
  <c r="F2816" i="5"/>
  <c r="G2815" i="5"/>
  <c r="H2815" i="5"/>
  <c r="I2815" i="5"/>
  <c r="J2815" i="5"/>
  <c r="M2813" i="5"/>
  <c r="M2812" i="5"/>
  <c r="L2813" i="5"/>
  <c r="K2815" i="5" l="1"/>
  <c r="L2815" i="5" s="1"/>
  <c r="N2816" i="5"/>
  <c r="F2817" i="5"/>
  <c r="G2816" i="5"/>
  <c r="H2816" i="5"/>
  <c r="I2816" i="5"/>
  <c r="J2816" i="5"/>
  <c r="M2814" i="5"/>
  <c r="L2814" i="5"/>
  <c r="M2815" i="5" s="1"/>
  <c r="K2816" i="5" l="1"/>
  <c r="L2816" i="5" s="1"/>
  <c r="N2817" i="5"/>
  <c r="F2818" i="5"/>
  <c r="G2817" i="5"/>
  <c r="H2817" i="5"/>
  <c r="I2817" i="5"/>
  <c r="J2817" i="5"/>
  <c r="M2816" i="5"/>
  <c r="K2817" i="5" l="1"/>
  <c r="L2817" i="5" s="1"/>
  <c r="N2818" i="5"/>
  <c r="F2819" i="5"/>
  <c r="G2818" i="5"/>
  <c r="H2818" i="5"/>
  <c r="J2818" i="5"/>
  <c r="I2818" i="5"/>
  <c r="M2817" i="5"/>
  <c r="F2820" i="5" l="1"/>
  <c r="H2819" i="5"/>
  <c r="G2819" i="5"/>
  <c r="I2819" i="5"/>
  <c r="J2819" i="5"/>
  <c r="K2818" i="5"/>
  <c r="L2818" i="5" s="1"/>
  <c r="M2818" i="5" s="1"/>
  <c r="N2819" i="5"/>
  <c r="K2819" i="5" l="1"/>
  <c r="L2819" i="5" s="1"/>
  <c r="N2820" i="5"/>
  <c r="M2819" i="5"/>
  <c r="F2821" i="5"/>
  <c r="H2820" i="5"/>
  <c r="G2820" i="5"/>
  <c r="J2820" i="5"/>
  <c r="F2822" i="5" l="1"/>
  <c r="G2821" i="5"/>
  <c r="H2821" i="5"/>
  <c r="I2821" i="5"/>
  <c r="J2821" i="5"/>
  <c r="I2820" i="5"/>
  <c r="K2820" i="5"/>
  <c r="L2820" i="5" s="1"/>
  <c r="N2821" i="5"/>
  <c r="K2821" i="5" l="1"/>
  <c r="L2821" i="5" s="1"/>
  <c r="N2822" i="5"/>
  <c r="M2821" i="5"/>
  <c r="M2820" i="5"/>
  <c r="F2823" i="5"/>
  <c r="G2822" i="5"/>
  <c r="H2822" i="5"/>
  <c r="F2824" i="5" l="1"/>
  <c r="G2823" i="5"/>
  <c r="I2823" i="5"/>
  <c r="H2823" i="5"/>
  <c r="J2823" i="5"/>
  <c r="I2822" i="5"/>
  <c r="J2822" i="5"/>
  <c r="K2822" i="5" l="1"/>
  <c r="L2822" i="5" s="1"/>
  <c r="N2823" i="5"/>
  <c r="N2824" i="5" s="1"/>
  <c r="K2823" i="5"/>
  <c r="L2823" i="5" s="1"/>
  <c r="F2825" i="5"/>
  <c r="G2824" i="5"/>
  <c r="H2824" i="5"/>
  <c r="F2826" i="5" l="1"/>
  <c r="G2825" i="5"/>
  <c r="J2825" i="5" s="1"/>
  <c r="H2825" i="5"/>
  <c r="I2825" i="5"/>
  <c r="I2824" i="5"/>
  <c r="J2824" i="5"/>
  <c r="M2823" i="5"/>
  <c r="M2822" i="5"/>
  <c r="N2826" i="5" l="1"/>
  <c r="K2825" i="5"/>
  <c r="L2825" i="5" s="1"/>
  <c r="K2824" i="5"/>
  <c r="L2824" i="5" s="1"/>
  <c r="N2825" i="5"/>
  <c r="F2827" i="5"/>
  <c r="G2826" i="5"/>
  <c r="H2826" i="5"/>
  <c r="I2826" i="5"/>
  <c r="F2828" i="5" l="1"/>
  <c r="I2827" i="5" s="1"/>
  <c r="H2827" i="5"/>
  <c r="G2827" i="5"/>
  <c r="J2827" i="5"/>
  <c r="M2825" i="5"/>
  <c r="M2824" i="5"/>
  <c r="J2826" i="5"/>
  <c r="K2827" i="5" l="1"/>
  <c r="N2828" i="5"/>
  <c r="K2826" i="5"/>
  <c r="L2826" i="5" s="1"/>
  <c r="N2827" i="5"/>
  <c r="F2829" i="5"/>
  <c r="H2828" i="5"/>
  <c r="G2828" i="5"/>
  <c r="F2830" i="5" l="1"/>
  <c r="G2829" i="5"/>
  <c r="H2829" i="5"/>
  <c r="J2829" i="5"/>
  <c r="I2829" i="5"/>
  <c r="M2827" i="5"/>
  <c r="M2826" i="5"/>
  <c r="I2828" i="5"/>
  <c r="J2828" i="5"/>
  <c r="L2827" i="5"/>
  <c r="K2829" i="5" l="1"/>
  <c r="K2828" i="5"/>
  <c r="L2828" i="5" s="1"/>
  <c r="N2829" i="5"/>
  <c r="N2830" i="5" s="1"/>
  <c r="F2831" i="5"/>
  <c r="G2830" i="5"/>
  <c r="H2830" i="5"/>
  <c r="M2828" i="5" l="1"/>
  <c r="F2832" i="5"/>
  <c r="G2831" i="5"/>
  <c r="H2831" i="5"/>
  <c r="J2831" i="5"/>
  <c r="I2831" i="5"/>
  <c r="I2830" i="5"/>
  <c r="J2830" i="5"/>
  <c r="L2829" i="5"/>
  <c r="K2831" i="5" l="1"/>
  <c r="F2833" i="5"/>
  <c r="G2832" i="5"/>
  <c r="I2832" i="5"/>
  <c r="H2832" i="5"/>
  <c r="J2832" i="5"/>
  <c r="M2830" i="5"/>
  <c r="K2830" i="5"/>
  <c r="L2830" i="5" s="1"/>
  <c r="N2831" i="5"/>
  <c r="N2832" i="5" s="1"/>
  <c r="M2829" i="5"/>
  <c r="K2832" i="5" l="1"/>
  <c r="N2833" i="5"/>
  <c r="F2834" i="5"/>
  <c r="G2833" i="5"/>
  <c r="I2833" i="5"/>
  <c r="J2833" i="5"/>
  <c r="H2833" i="5"/>
  <c r="M2831" i="5"/>
  <c r="L2831" i="5"/>
  <c r="K2833" i="5" l="1"/>
  <c r="N2834" i="5"/>
  <c r="G2834" i="5"/>
  <c r="H2834" i="5"/>
  <c r="F2835" i="5"/>
  <c r="I2834" i="5"/>
  <c r="J2834" i="5"/>
  <c r="M2832" i="5"/>
  <c r="L2832" i="5"/>
  <c r="K2834" i="5" l="1"/>
  <c r="N2835" i="5"/>
  <c r="F2836" i="5"/>
  <c r="H2835" i="5"/>
  <c r="G2835" i="5"/>
  <c r="I2835" i="5"/>
  <c r="J2835" i="5"/>
  <c r="M2833" i="5"/>
  <c r="L2833" i="5"/>
  <c r="F2837" i="5" l="1"/>
  <c r="H2836" i="5"/>
  <c r="G2836" i="5"/>
  <c r="I2836" i="5"/>
  <c r="J2836" i="5"/>
  <c r="K2835" i="5"/>
  <c r="L2835" i="5" s="1"/>
  <c r="N2836" i="5"/>
  <c r="M2834" i="5"/>
  <c r="L2834" i="5"/>
  <c r="K2836" i="5" l="1"/>
  <c r="L2836" i="5" s="1"/>
  <c r="N2837" i="5"/>
  <c r="M2835" i="5"/>
  <c r="F2838" i="5"/>
  <c r="G2837" i="5"/>
  <c r="H2837" i="5"/>
  <c r="I2837" i="5"/>
  <c r="F2839" i="5" l="1"/>
  <c r="G2838" i="5"/>
  <c r="H2838" i="5"/>
  <c r="I2838" i="5"/>
  <c r="J2838" i="5"/>
  <c r="J2837" i="5"/>
  <c r="M2836" i="5"/>
  <c r="K2837" i="5" l="1"/>
  <c r="L2837" i="5" s="1"/>
  <c r="N2838" i="5"/>
  <c r="N2839" i="5" s="1"/>
  <c r="K2838" i="5"/>
  <c r="L2838" i="5" s="1"/>
  <c r="G2839" i="5"/>
  <c r="F2840" i="5"/>
  <c r="I2839" i="5" s="1"/>
  <c r="H2839" i="5"/>
  <c r="F2841" i="5" l="1"/>
  <c r="I2840" i="5" s="1"/>
  <c r="G2840" i="5"/>
  <c r="H2840" i="5"/>
  <c r="J2839" i="5"/>
  <c r="M2838" i="5"/>
  <c r="M2837" i="5"/>
  <c r="J2840" i="5" l="1"/>
  <c r="K2839" i="5"/>
  <c r="L2839" i="5" s="1"/>
  <c r="N2840" i="5"/>
  <c r="F2842" i="5"/>
  <c r="G2841" i="5"/>
  <c r="H2841" i="5"/>
  <c r="I2841" i="5"/>
  <c r="J2841" i="5"/>
  <c r="K2841" i="5" l="1"/>
  <c r="M2839" i="5"/>
  <c r="F2843" i="5"/>
  <c r="G2842" i="5"/>
  <c r="I2842" i="5"/>
  <c r="H2842" i="5"/>
  <c r="K2840" i="5"/>
  <c r="L2840" i="5" s="1"/>
  <c r="M2840" i="5" s="1"/>
  <c r="N2841" i="5"/>
  <c r="N2842" i="5" s="1"/>
  <c r="F2844" i="5" l="1"/>
  <c r="I2843" i="5" s="1"/>
  <c r="H2843" i="5"/>
  <c r="G2843" i="5"/>
  <c r="J2843" i="5"/>
  <c r="L2841" i="5"/>
  <c r="M2841" i="5" s="1"/>
  <c r="J2842" i="5"/>
  <c r="N2843" i="5" l="1"/>
  <c r="K2842" i="5"/>
  <c r="L2842" i="5" s="1"/>
  <c r="K2843" i="5"/>
  <c r="L2843" i="5" s="1"/>
  <c r="N2844" i="5"/>
  <c r="M2842" i="5"/>
  <c r="F2845" i="5"/>
  <c r="H2844" i="5"/>
  <c r="G2844" i="5"/>
  <c r="F2846" i="5" l="1"/>
  <c r="I2845" i="5" s="1"/>
  <c r="G2845" i="5"/>
  <c r="J2845" i="5" s="1"/>
  <c r="H2845" i="5"/>
  <c r="I2844" i="5"/>
  <c r="M2843" i="5"/>
  <c r="J2844" i="5"/>
  <c r="K2845" i="5" l="1"/>
  <c r="L2845" i="5" s="1"/>
  <c r="N2846" i="5"/>
  <c r="K2844" i="5"/>
  <c r="L2844" i="5" s="1"/>
  <c r="N2845" i="5"/>
  <c r="F2847" i="5"/>
  <c r="G2846" i="5"/>
  <c r="H2846" i="5"/>
  <c r="I2846" i="5"/>
  <c r="F2848" i="5" l="1"/>
  <c r="G2847" i="5"/>
  <c r="H2847" i="5"/>
  <c r="I2847" i="5"/>
  <c r="J2847" i="5"/>
  <c r="M2845" i="5"/>
  <c r="M2844" i="5"/>
  <c r="J2846" i="5"/>
  <c r="K2847" i="5" l="1"/>
  <c r="N2848" i="5"/>
  <c r="K2846" i="5"/>
  <c r="L2846" i="5" s="1"/>
  <c r="N2847" i="5"/>
  <c r="F2849" i="5"/>
  <c r="G2848" i="5"/>
  <c r="H2848" i="5"/>
  <c r="I2848" i="5"/>
  <c r="F2850" i="5" l="1"/>
  <c r="G2849" i="5"/>
  <c r="H2849" i="5"/>
  <c r="J2849" i="5"/>
  <c r="I2849" i="5"/>
  <c r="M2847" i="5"/>
  <c r="M2846" i="5"/>
  <c r="J2848" i="5"/>
  <c r="L2847" i="5"/>
  <c r="K2848" i="5" l="1"/>
  <c r="L2848" i="5" s="1"/>
  <c r="N2849" i="5"/>
  <c r="N2850" i="5" s="1"/>
  <c r="K2849" i="5"/>
  <c r="L2849" i="5" s="1"/>
  <c r="M2848" i="5"/>
  <c r="F2851" i="5"/>
  <c r="G2850" i="5"/>
  <c r="H2850" i="5"/>
  <c r="F2852" i="5" l="1"/>
  <c r="I2851" i="5" s="1"/>
  <c r="H2851" i="5"/>
  <c r="G2851" i="5"/>
  <c r="I2850" i="5"/>
  <c r="J2850" i="5"/>
  <c r="M2849" i="5"/>
  <c r="K2850" i="5" l="1"/>
  <c r="L2850" i="5" s="1"/>
  <c r="N2851" i="5"/>
  <c r="J2851" i="5"/>
  <c r="F2853" i="5"/>
  <c r="H2852" i="5"/>
  <c r="G2852" i="5"/>
  <c r="I2852" i="5"/>
  <c r="J2852" i="5"/>
  <c r="K2852" i="5" l="1"/>
  <c r="N2853" i="5"/>
  <c r="F2854" i="5"/>
  <c r="G2853" i="5"/>
  <c r="H2853" i="5"/>
  <c r="J2853" i="5"/>
  <c r="I2853" i="5"/>
  <c r="K2851" i="5"/>
  <c r="L2851" i="5" s="1"/>
  <c r="N2852" i="5"/>
  <c r="M2850" i="5"/>
  <c r="K2853" i="5" l="1"/>
  <c r="N2854" i="5"/>
  <c r="F2855" i="5"/>
  <c r="G2854" i="5"/>
  <c r="I2854" i="5"/>
  <c r="J2854" i="5"/>
  <c r="H2854" i="5"/>
  <c r="M2851" i="5"/>
  <c r="L2852" i="5"/>
  <c r="M2852" i="5" s="1"/>
  <c r="F2856" i="5" l="1"/>
  <c r="I2855" i="5" s="1"/>
  <c r="G2855" i="5"/>
  <c r="J2855" i="5" s="1"/>
  <c r="H2855" i="5"/>
  <c r="K2854" i="5"/>
  <c r="L2854" i="5" s="1"/>
  <c r="N2855" i="5"/>
  <c r="M2853" i="5"/>
  <c r="L2853" i="5"/>
  <c r="K2855" i="5" l="1"/>
  <c r="L2855" i="5" s="1"/>
  <c r="M2855" i="5" s="1"/>
  <c r="N2856" i="5"/>
  <c r="M2854" i="5"/>
  <c r="F2857" i="5"/>
  <c r="G2856" i="5"/>
  <c r="I2856" i="5"/>
  <c r="H2856" i="5"/>
  <c r="J2856" i="5"/>
  <c r="G2857" i="5" l="1"/>
  <c r="F2858" i="5"/>
  <c r="J2857" i="5" s="1"/>
  <c r="H2857" i="5"/>
  <c r="K2856" i="5"/>
  <c r="L2856" i="5" s="1"/>
  <c r="M2856" i="5" s="1"/>
  <c r="N2857" i="5"/>
  <c r="N2858" i="5" l="1"/>
  <c r="K2857" i="5"/>
  <c r="L2857" i="5" s="1"/>
  <c r="M2857" i="5" s="1"/>
  <c r="I2857" i="5"/>
  <c r="G2858" i="5"/>
  <c r="F2859" i="5"/>
  <c r="H2858" i="5"/>
  <c r="I2858" i="5"/>
  <c r="F2860" i="5" l="1"/>
  <c r="I2859" i="5" s="1"/>
  <c r="H2859" i="5"/>
  <c r="G2859" i="5"/>
  <c r="J2859" i="5"/>
  <c r="J2858" i="5"/>
  <c r="K2858" i="5" l="1"/>
  <c r="L2858" i="5" s="1"/>
  <c r="N2859" i="5"/>
  <c r="K2859" i="5"/>
  <c r="L2859" i="5" s="1"/>
  <c r="N2860" i="5"/>
  <c r="F2861" i="5"/>
  <c r="I2860" i="5" s="1"/>
  <c r="H2860" i="5"/>
  <c r="G2860" i="5"/>
  <c r="F2862" i="5" l="1"/>
  <c r="G2861" i="5"/>
  <c r="H2861" i="5"/>
  <c r="J2861" i="5"/>
  <c r="I2861" i="5"/>
  <c r="J2860" i="5"/>
  <c r="M2859" i="5"/>
  <c r="M2858" i="5"/>
  <c r="K2860" i="5" l="1"/>
  <c r="L2860" i="5" s="1"/>
  <c r="N2861" i="5"/>
  <c r="N2862" i="5" s="1"/>
  <c r="K2861" i="5"/>
  <c r="F2863" i="5"/>
  <c r="G2862" i="5"/>
  <c r="H2862" i="5"/>
  <c r="J2862" i="5"/>
  <c r="K2862" i="5" l="1"/>
  <c r="N2863" i="5"/>
  <c r="F2864" i="5"/>
  <c r="G2863" i="5"/>
  <c r="H2863" i="5"/>
  <c r="I2863" i="5"/>
  <c r="J2863" i="5"/>
  <c r="L2861" i="5"/>
  <c r="M2861" i="5" s="1"/>
  <c r="I2862" i="5"/>
  <c r="M2860" i="5"/>
  <c r="K2863" i="5" l="1"/>
  <c r="N2864" i="5"/>
  <c r="F2865" i="5"/>
  <c r="G2864" i="5"/>
  <c r="I2864" i="5"/>
  <c r="H2864" i="5"/>
  <c r="J2864" i="5"/>
  <c r="M2862" i="5"/>
  <c r="L2862" i="5"/>
  <c r="K2864" i="5" l="1"/>
  <c r="N2865" i="5"/>
  <c r="F2866" i="5"/>
  <c r="G2865" i="5"/>
  <c r="I2865" i="5"/>
  <c r="H2865" i="5"/>
  <c r="J2865" i="5"/>
  <c r="M2863" i="5"/>
  <c r="L2863" i="5"/>
  <c r="K2865" i="5" l="1"/>
  <c r="L2865" i="5" s="1"/>
  <c r="N2866" i="5"/>
  <c r="F2867" i="5"/>
  <c r="G2866" i="5"/>
  <c r="H2866" i="5"/>
  <c r="I2866" i="5"/>
  <c r="J2866" i="5"/>
  <c r="M2864" i="5"/>
  <c r="L2864" i="5"/>
  <c r="M2865" i="5" s="1"/>
  <c r="K2866" i="5" l="1"/>
  <c r="L2866" i="5" s="1"/>
  <c r="N2867" i="5"/>
  <c r="F2868" i="5"/>
  <c r="H2867" i="5"/>
  <c r="G2867" i="5"/>
  <c r="I2867" i="5"/>
  <c r="J2867" i="5"/>
  <c r="M2866" i="5"/>
  <c r="K2867" i="5" l="1"/>
  <c r="L2867" i="5" s="1"/>
  <c r="N2868" i="5"/>
  <c r="F2869" i="5"/>
  <c r="H2868" i="5"/>
  <c r="G2868" i="5"/>
  <c r="I2868" i="5"/>
  <c r="J2868" i="5"/>
  <c r="M2867" i="5"/>
  <c r="F2870" i="5" l="1"/>
  <c r="G2869" i="5"/>
  <c r="H2869" i="5"/>
  <c r="I2869" i="5"/>
  <c r="J2869" i="5"/>
  <c r="K2868" i="5"/>
  <c r="L2868" i="5" s="1"/>
  <c r="M2868" i="5" s="1"/>
  <c r="N2869" i="5"/>
  <c r="K2869" i="5" l="1"/>
  <c r="L2869" i="5" s="1"/>
  <c r="M2869" i="5" s="1"/>
  <c r="N2870" i="5"/>
  <c r="F2871" i="5"/>
  <c r="G2870" i="5"/>
  <c r="H2870" i="5"/>
  <c r="F2872" i="5" l="1"/>
  <c r="G2871" i="5"/>
  <c r="H2871" i="5"/>
  <c r="I2871" i="5"/>
  <c r="J2871" i="5"/>
  <c r="J2870" i="5"/>
  <c r="I2870" i="5"/>
  <c r="K2871" i="5" l="1"/>
  <c r="K2870" i="5"/>
  <c r="L2870" i="5" s="1"/>
  <c r="N2871" i="5"/>
  <c r="N2872" i="5" s="1"/>
  <c r="F2873" i="5"/>
  <c r="G2872" i="5"/>
  <c r="H2872" i="5"/>
  <c r="I2872" i="5"/>
  <c r="M2870" i="5" l="1"/>
  <c r="F2874" i="5"/>
  <c r="G2873" i="5"/>
  <c r="H2873" i="5"/>
  <c r="I2873" i="5"/>
  <c r="J2873" i="5"/>
  <c r="J2872" i="5"/>
  <c r="L2871" i="5"/>
  <c r="K2873" i="5" l="1"/>
  <c r="F2875" i="5"/>
  <c r="G2874" i="5"/>
  <c r="I2874" i="5"/>
  <c r="J2874" i="5"/>
  <c r="H2874" i="5"/>
  <c r="K2872" i="5"/>
  <c r="L2872" i="5" s="1"/>
  <c r="N2873" i="5"/>
  <c r="N2874" i="5" s="1"/>
  <c r="M2871" i="5"/>
  <c r="N2875" i="5" l="1"/>
  <c r="K2874" i="5"/>
  <c r="F2876" i="5"/>
  <c r="H2875" i="5"/>
  <c r="I2875" i="5"/>
  <c r="G2875" i="5"/>
  <c r="J2875" i="5"/>
  <c r="M2873" i="5"/>
  <c r="M2872" i="5"/>
  <c r="L2873" i="5"/>
  <c r="K2875" i="5" l="1"/>
  <c r="L2875" i="5" s="1"/>
  <c r="N2876" i="5"/>
  <c r="F2877" i="5"/>
  <c r="H2876" i="5"/>
  <c r="I2876" i="5"/>
  <c r="G2876" i="5"/>
  <c r="J2876" i="5"/>
  <c r="M2874" i="5"/>
  <c r="L2874" i="5"/>
  <c r="M2875" i="5" s="1"/>
  <c r="K2876" i="5" l="1"/>
  <c r="L2876" i="5" s="1"/>
  <c r="N2877" i="5"/>
  <c r="F2878" i="5"/>
  <c r="I2877" i="5"/>
  <c r="G2877" i="5"/>
  <c r="J2877" i="5"/>
  <c r="H2877" i="5"/>
  <c r="M2876" i="5"/>
  <c r="K2877" i="5" l="1"/>
  <c r="L2877" i="5" s="1"/>
  <c r="N2878" i="5"/>
  <c r="F2879" i="5"/>
  <c r="G2878" i="5"/>
  <c r="H2878" i="5"/>
  <c r="J2878" i="5"/>
  <c r="I2878" i="5"/>
  <c r="M2877" i="5"/>
  <c r="F2880" i="5" l="1"/>
  <c r="J2879" i="5" s="1"/>
  <c r="G2879" i="5"/>
  <c r="H2879" i="5"/>
  <c r="K2878" i="5"/>
  <c r="L2878" i="5" s="1"/>
  <c r="N2879" i="5"/>
  <c r="M2878" i="5"/>
  <c r="K2879" i="5" l="1"/>
  <c r="L2879" i="5" s="1"/>
  <c r="M2879" i="5" s="1"/>
  <c r="N2880" i="5"/>
  <c r="I2879" i="5"/>
  <c r="F2881" i="5"/>
  <c r="G2880" i="5"/>
  <c r="H2880" i="5"/>
  <c r="I2880" i="5"/>
  <c r="J2880" i="5"/>
  <c r="F2882" i="5" l="1"/>
  <c r="G2881" i="5"/>
  <c r="H2881" i="5"/>
  <c r="I2881" i="5"/>
  <c r="J2881" i="5"/>
  <c r="K2880" i="5"/>
  <c r="L2880" i="5" s="1"/>
  <c r="M2880" i="5" s="1"/>
  <c r="N2881" i="5"/>
  <c r="K2881" i="5" l="1"/>
  <c r="L2881" i="5" s="1"/>
  <c r="N2882" i="5"/>
  <c r="M2881" i="5"/>
  <c r="F2883" i="5"/>
  <c r="G2882" i="5"/>
  <c r="H2882" i="5"/>
  <c r="F2884" i="5" l="1"/>
  <c r="H2883" i="5"/>
  <c r="G2883" i="5"/>
  <c r="I2883" i="5"/>
  <c r="J2883" i="5"/>
  <c r="I2882" i="5"/>
  <c r="J2882" i="5"/>
  <c r="K2882" i="5" l="1"/>
  <c r="L2882" i="5" s="1"/>
  <c r="N2883" i="5"/>
  <c r="N2884" i="5" s="1"/>
  <c r="K2883" i="5"/>
  <c r="L2883" i="5" s="1"/>
  <c r="F2885" i="5"/>
  <c r="H2884" i="5"/>
  <c r="G2884" i="5"/>
  <c r="I2884" i="5"/>
  <c r="F2886" i="5" l="1"/>
  <c r="G2885" i="5"/>
  <c r="H2885" i="5"/>
  <c r="I2885" i="5"/>
  <c r="J2885" i="5"/>
  <c r="J2884" i="5"/>
  <c r="M2883" i="5"/>
  <c r="M2882" i="5"/>
  <c r="K2885" i="5" l="1"/>
  <c r="N2886" i="5"/>
  <c r="K2884" i="5"/>
  <c r="L2884" i="5" s="1"/>
  <c r="N2885" i="5"/>
  <c r="F2887" i="5"/>
  <c r="G2886" i="5"/>
  <c r="H2886" i="5"/>
  <c r="F2888" i="5" l="1"/>
  <c r="I2887" i="5" s="1"/>
  <c r="G2887" i="5"/>
  <c r="H2887" i="5"/>
  <c r="J2887" i="5"/>
  <c r="M2884" i="5"/>
  <c r="I2886" i="5"/>
  <c r="J2886" i="5"/>
  <c r="L2885" i="5"/>
  <c r="M2885" i="5" s="1"/>
  <c r="K2887" i="5" l="1"/>
  <c r="K2886" i="5"/>
  <c r="L2886" i="5" s="1"/>
  <c r="N2887" i="5"/>
  <c r="N2888" i="5" s="1"/>
  <c r="F2889" i="5"/>
  <c r="G2888" i="5"/>
  <c r="H2888" i="5"/>
  <c r="M2886" i="5" l="1"/>
  <c r="F2890" i="5"/>
  <c r="G2889" i="5"/>
  <c r="H2889" i="5"/>
  <c r="I2889" i="5"/>
  <c r="J2889" i="5"/>
  <c r="J2888" i="5"/>
  <c r="I2888" i="5"/>
  <c r="L2887" i="5"/>
  <c r="N2890" i="5" l="1"/>
  <c r="K2889" i="5"/>
  <c r="L2889" i="5" s="1"/>
  <c r="K2888" i="5"/>
  <c r="L2888" i="5" s="1"/>
  <c r="N2889" i="5"/>
  <c r="F2891" i="5"/>
  <c r="G2890" i="5"/>
  <c r="H2890" i="5"/>
  <c r="I2890" i="5"/>
  <c r="M2888" i="5"/>
  <c r="M2887" i="5"/>
  <c r="F2892" i="5" l="1"/>
  <c r="I2891" i="5" s="1"/>
  <c r="H2891" i="5"/>
  <c r="G2891" i="5"/>
  <c r="J2891" i="5"/>
  <c r="M2889" i="5"/>
  <c r="J2890" i="5"/>
  <c r="K2890" i="5" l="1"/>
  <c r="L2890" i="5" s="1"/>
  <c r="N2891" i="5"/>
  <c r="N2892" i="5" s="1"/>
  <c r="K2891" i="5"/>
  <c r="L2891" i="5" s="1"/>
  <c r="F2893" i="5"/>
  <c r="H2892" i="5"/>
  <c r="G2892" i="5"/>
  <c r="F2894" i="5" l="1"/>
  <c r="G2893" i="5"/>
  <c r="H2893" i="5"/>
  <c r="J2893" i="5"/>
  <c r="I2893" i="5"/>
  <c r="I2892" i="5"/>
  <c r="J2892" i="5"/>
  <c r="M2891" i="5"/>
  <c r="M2890" i="5"/>
  <c r="K2892" i="5" l="1"/>
  <c r="L2892" i="5" s="1"/>
  <c r="N2893" i="5"/>
  <c r="N2894" i="5" s="1"/>
  <c r="K2893" i="5"/>
  <c r="L2893" i="5" s="1"/>
  <c r="F2895" i="5"/>
  <c r="G2894" i="5"/>
  <c r="H2894" i="5"/>
  <c r="J2894" i="5" s="1"/>
  <c r="K2894" i="5" l="1"/>
  <c r="L2894" i="5" s="1"/>
  <c r="N2895" i="5"/>
  <c r="F2896" i="5"/>
  <c r="G2895" i="5"/>
  <c r="H2895" i="5"/>
  <c r="I2895" i="5"/>
  <c r="J2895" i="5"/>
  <c r="M2894" i="5"/>
  <c r="I2894" i="5"/>
  <c r="M2893" i="5"/>
  <c r="M2892" i="5"/>
  <c r="F2897" i="5" l="1"/>
  <c r="G2896" i="5"/>
  <c r="I2896" i="5"/>
  <c r="H2896" i="5"/>
  <c r="J2896" i="5"/>
  <c r="K2895" i="5"/>
  <c r="L2895" i="5" s="1"/>
  <c r="N2896" i="5"/>
  <c r="M2895" i="5"/>
  <c r="K2896" i="5" l="1"/>
  <c r="L2896" i="5" s="1"/>
  <c r="M2896" i="5" s="1"/>
  <c r="N2897" i="5"/>
  <c r="F2898" i="5"/>
  <c r="I2897" i="5" s="1"/>
  <c r="G2897" i="5"/>
  <c r="J2897" i="5"/>
  <c r="H2897" i="5"/>
  <c r="K2897" i="5" l="1"/>
  <c r="L2897" i="5" s="1"/>
  <c r="N2898" i="5"/>
  <c r="F2899" i="5"/>
  <c r="G2898" i="5"/>
  <c r="I2898" i="5"/>
  <c r="J2898" i="5"/>
  <c r="H2898" i="5"/>
  <c r="M2897" i="5"/>
  <c r="K2898" i="5" l="1"/>
  <c r="L2898" i="5" s="1"/>
  <c r="N2899" i="5"/>
  <c r="F2900" i="5"/>
  <c r="J2899" i="5" s="1"/>
  <c r="H2899" i="5"/>
  <c r="G2899" i="5"/>
  <c r="M2898" i="5"/>
  <c r="K2899" i="5" l="1"/>
  <c r="L2899" i="5" s="1"/>
  <c r="N2900" i="5"/>
  <c r="I2899" i="5"/>
  <c r="F2901" i="5"/>
  <c r="H2900" i="5"/>
  <c r="G2900" i="5"/>
  <c r="I2900" i="5"/>
  <c r="J2900" i="5"/>
  <c r="M2899" i="5"/>
  <c r="F2902" i="5" l="1"/>
  <c r="G2901" i="5"/>
  <c r="H2901" i="5"/>
  <c r="I2901" i="5"/>
  <c r="J2901" i="5"/>
  <c r="K2900" i="5"/>
  <c r="L2900" i="5" s="1"/>
  <c r="N2901" i="5"/>
  <c r="M2900" i="5" l="1"/>
  <c r="K2901" i="5"/>
  <c r="L2901" i="5" s="1"/>
  <c r="N2902" i="5"/>
  <c r="F2903" i="5"/>
  <c r="I2902" i="5" s="1"/>
  <c r="G2902" i="5"/>
  <c r="H2902" i="5"/>
  <c r="F2904" i="5" l="1"/>
  <c r="I2903" i="5" s="1"/>
  <c r="G2903" i="5"/>
  <c r="H2903" i="5"/>
  <c r="J2903" i="5"/>
  <c r="J2902" i="5"/>
  <c r="M2901" i="5"/>
  <c r="K2903" i="5" l="1"/>
  <c r="N2904" i="5"/>
  <c r="K2902" i="5"/>
  <c r="L2902" i="5" s="1"/>
  <c r="N2903" i="5"/>
  <c r="F2905" i="5"/>
  <c r="G2904" i="5"/>
  <c r="H2904" i="5"/>
  <c r="I2904" i="5"/>
  <c r="F2906" i="5" l="1"/>
  <c r="G2905" i="5"/>
  <c r="H2905" i="5"/>
  <c r="I2905" i="5"/>
  <c r="J2905" i="5"/>
  <c r="M2903" i="5"/>
  <c r="M2902" i="5"/>
  <c r="J2904" i="5"/>
  <c r="L2903" i="5"/>
  <c r="K2904" i="5" l="1"/>
  <c r="L2904" i="5" s="1"/>
  <c r="N2905" i="5"/>
  <c r="N2906" i="5" s="1"/>
  <c r="K2905" i="5"/>
  <c r="L2905" i="5" s="1"/>
  <c r="M2904" i="5"/>
  <c r="G2906" i="5"/>
  <c r="F2907" i="5"/>
  <c r="H2906" i="5"/>
  <c r="F2908" i="5" l="1"/>
  <c r="I2907" i="5" s="1"/>
  <c r="H2907" i="5"/>
  <c r="G2907" i="5"/>
  <c r="J2907" i="5"/>
  <c r="I2906" i="5"/>
  <c r="J2906" i="5"/>
  <c r="M2905" i="5"/>
  <c r="N2907" i="5" l="1"/>
  <c r="K2906" i="5"/>
  <c r="L2906" i="5" s="1"/>
  <c r="K2907" i="5"/>
  <c r="L2907" i="5" s="1"/>
  <c r="N2908" i="5"/>
  <c r="F2909" i="5"/>
  <c r="H2908" i="5"/>
  <c r="I2908" i="5"/>
  <c r="G2908" i="5"/>
  <c r="F2910" i="5" l="1"/>
  <c r="J2909" i="5" s="1"/>
  <c r="G2909" i="5"/>
  <c r="H2909" i="5"/>
  <c r="M2907" i="5"/>
  <c r="M2906" i="5"/>
  <c r="J2908" i="5"/>
  <c r="K2909" i="5" l="1"/>
  <c r="I2909" i="5"/>
  <c r="K2908" i="5"/>
  <c r="L2908" i="5" s="1"/>
  <c r="N2909" i="5"/>
  <c r="N2910" i="5" s="1"/>
  <c r="F2911" i="5"/>
  <c r="G2910" i="5"/>
  <c r="H2910" i="5"/>
  <c r="F2912" i="5" l="1"/>
  <c r="G2911" i="5"/>
  <c r="H2911" i="5"/>
  <c r="I2911" i="5"/>
  <c r="J2911" i="5"/>
  <c r="M2909" i="5"/>
  <c r="M2908" i="5"/>
  <c r="J2910" i="5"/>
  <c r="I2910" i="5"/>
  <c r="L2909" i="5"/>
  <c r="K2911" i="5" l="1"/>
  <c r="L2911" i="5" s="1"/>
  <c r="K2910" i="5"/>
  <c r="L2910" i="5" s="1"/>
  <c r="N2911" i="5"/>
  <c r="N2912" i="5" s="1"/>
  <c r="M2910" i="5"/>
  <c r="F2913" i="5"/>
  <c r="G2912" i="5"/>
  <c r="H2912" i="5"/>
  <c r="I2912" i="5"/>
  <c r="F2914" i="5" l="1"/>
  <c r="I2913" i="5" s="1"/>
  <c r="G2913" i="5"/>
  <c r="H2913" i="5"/>
  <c r="M2911" i="5"/>
  <c r="J2912" i="5"/>
  <c r="J2913" i="5" l="1"/>
  <c r="K2912" i="5"/>
  <c r="L2912" i="5" s="1"/>
  <c r="N2913" i="5"/>
  <c r="F2915" i="5"/>
  <c r="G2914" i="5"/>
  <c r="H2914" i="5"/>
  <c r="J2914" i="5"/>
  <c r="I2914" i="5"/>
  <c r="K2914" i="5" l="1"/>
  <c r="F2916" i="5"/>
  <c r="H2915" i="5"/>
  <c r="G2915" i="5"/>
  <c r="I2915" i="5"/>
  <c r="J2915" i="5"/>
  <c r="M2913" i="5"/>
  <c r="M2912" i="5"/>
  <c r="K2913" i="5"/>
  <c r="L2913" i="5" s="1"/>
  <c r="N2914" i="5"/>
  <c r="N2915" i="5" s="1"/>
  <c r="K2915" i="5" l="1"/>
  <c r="N2916" i="5"/>
  <c r="F2917" i="5"/>
  <c r="H2916" i="5"/>
  <c r="G2916" i="5"/>
  <c r="I2916" i="5"/>
  <c r="J2916" i="5"/>
  <c r="M2914" i="5"/>
  <c r="L2914" i="5"/>
  <c r="K2916" i="5" l="1"/>
  <c r="N2917" i="5"/>
  <c r="F2918" i="5"/>
  <c r="G2917" i="5"/>
  <c r="H2917" i="5"/>
  <c r="J2917" i="5"/>
  <c r="I2917" i="5"/>
  <c r="M2915" i="5"/>
  <c r="L2915" i="5"/>
  <c r="K2917" i="5" l="1"/>
  <c r="N2918" i="5"/>
  <c r="F2919" i="5"/>
  <c r="G2918" i="5"/>
  <c r="I2918" i="5"/>
  <c r="H2918" i="5"/>
  <c r="J2918" i="5" s="1"/>
  <c r="M2916" i="5"/>
  <c r="L2916" i="5"/>
  <c r="K2918" i="5" l="1"/>
  <c r="L2918" i="5" s="1"/>
  <c r="N2919" i="5"/>
  <c r="F2920" i="5"/>
  <c r="G2919" i="5"/>
  <c r="I2919" i="5"/>
  <c r="H2919" i="5"/>
  <c r="J2919" i="5"/>
  <c r="M2917" i="5"/>
  <c r="L2917" i="5"/>
  <c r="M2918" i="5" s="1"/>
  <c r="K2919" i="5" l="1"/>
  <c r="L2919" i="5" s="1"/>
  <c r="N2920" i="5"/>
  <c r="F2921" i="5"/>
  <c r="G2920" i="5"/>
  <c r="H2920" i="5"/>
  <c r="I2920" i="5"/>
  <c r="J2920" i="5"/>
  <c r="M2919" i="5"/>
  <c r="K2920" i="5" l="1"/>
  <c r="L2920" i="5" s="1"/>
  <c r="N2921" i="5"/>
  <c r="F2922" i="5"/>
  <c r="G2921" i="5"/>
  <c r="H2921" i="5"/>
  <c r="I2921" i="5"/>
  <c r="J2921" i="5"/>
  <c r="M2920" i="5"/>
  <c r="N2922" i="5" l="1"/>
  <c r="K2921" i="5"/>
  <c r="L2921" i="5" s="1"/>
  <c r="F2923" i="5"/>
  <c r="G2922" i="5"/>
  <c r="H2922" i="5"/>
  <c r="I2922" i="5"/>
  <c r="J2922" i="5"/>
  <c r="M2921" i="5"/>
  <c r="F2924" i="5" l="1"/>
  <c r="I2923" i="5" s="1"/>
  <c r="H2923" i="5"/>
  <c r="G2923" i="5"/>
  <c r="J2923" i="5"/>
  <c r="K2922" i="5"/>
  <c r="L2922" i="5" s="1"/>
  <c r="N2923" i="5"/>
  <c r="M2922" i="5" l="1"/>
  <c r="K2923" i="5"/>
  <c r="L2923" i="5" s="1"/>
  <c r="N2924" i="5"/>
  <c r="F2925" i="5"/>
  <c r="H2924" i="5"/>
  <c r="I2924" i="5"/>
  <c r="G2924" i="5"/>
  <c r="F2926" i="5" l="1"/>
  <c r="G2925" i="5"/>
  <c r="H2925" i="5"/>
  <c r="J2925" i="5"/>
  <c r="I2925" i="5"/>
  <c r="J2924" i="5"/>
  <c r="M2923" i="5"/>
  <c r="K2925" i="5" l="1"/>
  <c r="N2926" i="5"/>
  <c r="K2924" i="5"/>
  <c r="L2924" i="5" s="1"/>
  <c r="N2925" i="5"/>
  <c r="G2926" i="5"/>
  <c r="H2926" i="5"/>
  <c r="F2927" i="5"/>
  <c r="J2926" i="5" s="1"/>
  <c r="K2926" i="5" l="1"/>
  <c r="N2927" i="5"/>
  <c r="G2927" i="5"/>
  <c r="F2928" i="5"/>
  <c r="H2927" i="5"/>
  <c r="I2927" i="5"/>
  <c r="J2927" i="5"/>
  <c r="M2925" i="5"/>
  <c r="M2924" i="5"/>
  <c r="I2926" i="5"/>
  <c r="L2925" i="5"/>
  <c r="K2927" i="5" l="1"/>
  <c r="N2928" i="5"/>
  <c r="F2929" i="5"/>
  <c r="G2928" i="5"/>
  <c r="H2928" i="5"/>
  <c r="J2928" i="5" s="1"/>
  <c r="M2926" i="5"/>
  <c r="L2926" i="5"/>
  <c r="K2928" i="5" l="1"/>
  <c r="L2928" i="5" s="1"/>
  <c r="N2929" i="5"/>
  <c r="F2930" i="5"/>
  <c r="G2929" i="5"/>
  <c r="I2929" i="5"/>
  <c r="H2929" i="5"/>
  <c r="J2929" i="5"/>
  <c r="I2928" i="5"/>
  <c r="L2927" i="5"/>
  <c r="M2928" i="5" s="1"/>
  <c r="K2929" i="5" l="1"/>
  <c r="L2929" i="5" s="1"/>
  <c r="N2930" i="5"/>
  <c r="F2931" i="5"/>
  <c r="G2930" i="5"/>
  <c r="H2930" i="5"/>
  <c r="I2930" i="5"/>
  <c r="J2930" i="5"/>
  <c r="M2927" i="5"/>
  <c r="M2929" i="5"/>
  <c r="F2932" i="5" l="1"/>
  <c r="H2931" i="5"/>
  <c r="G2931" i="5"/>
  <c r="I2931" i="5"/>
  <c r="J2931" i="5"/>
  <c r="K2930" i="5"/>
  <c r="L2930" i="5" s="1"/>
  <c r="M2930" i="5" s="1"/>
  <c r="N2931" i="5"/>
  <c r="K2931" i="5" l="1"/>
  <c r="L2931" i="5" s="1"/>
  <c r="M2931" i="5" s="1"/>
  <c r="N2932" i="5"/>
  <c r="F2933" i="5"/>
  <c r="H2932" i="5"/>
  <c r="G2932" i="5"/>
  <c r="I2932" i="5"/>
  <c r="J2932" i="5"/>
  <c r="F2934" i="5" l="1"/>
  <c r="G2933" i="5"/>
  <c r="H2933" i="5"/>
  <c r="I2933" i="5"/>
  <c r="J2933" i="5"/>
  <c r="K2932" i="5"/>
  <c r="L2932" i="5" s="1"/>
  <c r="M2932" i="5" s="1"/>
  <c r="N2933" i="5"/>
  <c r="K2933" i="5" l="1"/>
  <c r="L2933" i="5" s="1"/>
  <c r="M2933" i="5" s="1"/>
  <c r="N2934" i="5"/>
  <c r="F2935" i="5"/>
  <c r="G2934" i="5"/>
  <c r="H2934" i="5"/>
  <c r="I2934" i="5"/>
  <c r="J2934" i="5"/>
  <c r="K2934" i="5" l="1"/>
  <c r="L2934" i="5" s="1"/>
  <c r="N2935" i="5"/>
  <c r="F2936" i="5"/>
  <c r="G2935" i="5"/>
  <c r="H2935" i="5"/>
  <c r="I2935" i="5"/>
  <c r="J2935" i="5"/>
  <c r="M2934" i="5"/>
  <c r="F2937" i="5" l="1"/>
  <c r="G2936" i="5"/>
  <c r="H2936" i="5"/>
  <c r="I2936" i="5"/>
  <c r="J2936" i="5"/>
  <c r="K2935" i="5"/>
  <c r="L2935" i="5" s="1"/>
  <c r="N2936" i="5"/>
  <c r="K2936" i="5" l="1"/>
  <c r="L2936" i="5" s="1"/>
  <c r="N2937" i="5"/>
  <c r="M2935" i="5"/>
  <c r="F2938" i="5"/>
  <c r="G2937" i="5"/>
  <c r="H2937" i="5"/>
  <c r="F2939" i="5" l="1"/>
  <c r="G2938" i="5"/>
  <c r="J2938" i="5" s="1"/>
  <c r="I2938" i="5"/>
  <c r="H2938" i="5"/>
  <c r="I2937" i="5"/>
  <c r="J2937" i="5"/>
  <c r="M2936" i="5"/>
  <c r="N2939" i="5" l="1"/>
  <c r="K2938" i="5"/>
  <c r="L2938" i="5" s="1"/>
  <c r="N2938" i="5"/>
  <c r="K2937" i="5"/>
  <c r="L2937" i="5" s="1"/>
  <c r="F2940" i="5"/>
  <c r="H2939" i="5"/>
  <c r="I2939" i="5"/>
  <c r="J2939" i="5"/>
  <c r="G2939" i="5"/>
  <c r="M2938" i="5" l="1"/>
  <c r="M2937" i="5"/>
  <c r="K2939" i="5"/>
  <c r="L2939" i="5" s="1"/>
  <c r="N2940" i="5"/>
  <c r="F2941" i="5"/>
  <c r="H2940" i="5"/>
  <c r="J2940" i="5"/>
  <c r="G2940" i="5"/>
  <c r="M2939" i="5"/>
  <c r="K2940" i="5" l="1"/>
  <c r="L2940" i="5" s="1"/>
  <c r="N2941" i="5"/>
  <c r="F2942" i="5"/>
  <c r="I2941" i="5"/>
  <c r="J2941" i="5"/>
  <c r="G2941" i="5"/>
  <c r="H2941" i="5"/>
  <c r="M2940" i="5"/>
  <c r="I2940" i="5"/>
  <c r="K2941" i="5" l="1"/>
  <c r="L2941" i="5" s="1"/>
  <c r="N2942" i="5"/>
  <c r="G2942" i="5"/>
  <c r="F2943" i="5"/>
  <c r="J2942" i="5"/>
  <c r="I2942" i="5"/>
  <c r="H2942" i="5"/>
  <c r="M2941" i="5"/>
  <c r="K2942" i="5" l="1"/>
  <c r="L2942" i="5" s="1"/>
  <c r="N2943" i="5"/>
  <c r="F2944" i="5"/>
  <c r="G2943" i="5"/>
  <c r="H2943" i="5"/>
  <c r="I2943" i="5"/>
  <c r="J2943" i="5"/>
  <c r="M2942" i="5"/>
  <c r="K2943" i="5" l="1"/>
  <c r="L2943" i="5" s="1"/>
  <c r="N2944" i="5"/>
  <c r="F2945" i="5"/>
  <c r="G2944" i="5"/>
  <c r="H2944" i="5"/>
  <c r="I2944" i="5"/>
  <c r="J2944" i="5"/>
  <c r="M2943" i="5"/>
  <c r="K2944" i="5" l="1"/>
  <c r="L2944" i="5" s="1"/>
  <c r="N2945" i="5"/>
  <c r="F2946" i="5"/>
  <c r="G2945" i="5"/>
  <c r="H2945" i="5"/>
  <c r="I2945" i="5"/>
  <c r="J2945" i="5"/>
  <c r="M2944" i="5"/>
  <c r="K2945" i="5" l="1"/>
  <c r="L2945" i="5" s="1"/>
  <c r="N2946" i="5"/>
  <c r="F2947" i="5"/>
  <c r="G2946" i="5"/>
  <c r="H2946" i="5"/>
  <c r="J2946" i="5"/>
  <c r="I2946" i="5"/>
  <c r="M2945" i="5"/>
  <c r="K2946" i="5" l="1"/>
  <c r="L2946" i="5" s="1"/>
  <c r="N2947" i="5"/>
  <c r="F2948" i="5"/>
  <c r="H2947" i="5"/>
  <c r="G2947" i="5"/>
  <c r="I2947" i="5"/>
  <c r="J2947" i="5"/>
  <c r="M2946" i="5"/>
  <c r="F2949" i="5" l="1"/>
  <c r="H2948" i="5"/>
  <c r="J2948" i="5" s="1"/>
  <c r="G2948" i="5"/>
  <c r="I2948" i="5"/>
  <c r="K2947" i="5"/>
  <c r="L2947" i="5" s="1"/>
  <c r="N2948" i="5"/>
  <c r="K2948" i="5" l="1"/>
  <c r="L2948" i="5" s="1"/>
  <c r="M2948" i="5" s="1"/>
  <c r="N2949" i="5"/>
  <c r="M2947" i="5"/>
  <c r="F2950" i="5"/>
  <c r="G2949" i="5"/>
  <c r="H2949" i="5"/>
  <c r="I2949" i="5"/>
  <c r="F2951" i="5" l="1"/>
  <c r="I2950" i="5" s="1"/>
  <c r="G2950" i="5"/>
  <c r="H2950" i="5"/>
  <c r="J2950" i="5"/>
  <c r="J2949" i="5"/>
  <c r="K2950" i="5" l="1"/>
  <c r="N2951" i="5"/>
  <c r="K2949" i="5"/>
  <c r="L2949" i="5" s="1"/>
  <c r="N2950" i="5"/>
  <c r="F2952" i="5"/>
  <c r="G2951" i="5"/>
  <c r="H2951" i="5"/>
  <c r="F2953" i="5" l="1"/>
  <c r="G2952" i="5"/>
  <c r="H2952" i="5"/>
  <c r="I2952" i="5"/>
  <c r="J2952" i="5"/>
  <c r="M2950" i="5"/>
  <c r="M2949" i="5"/>
  <c r="I2951" i="5"/>
  <c r="J2951" i="5"/>
  <c r="L2950" i="5"/>
  <c r="K2952" i="5" l="1"/>
  <c r="L2952" i="5" s="1"/>
  <c r="N2953" i="5"/>
  <c r="K2951" i="5"/>
  <c r="L2951" i="5" s="1"/>
  <c r="M2952" i="5" s="1"/>
  <c r="N2952" i="5"/>
  <c r="F2954" i="5"/>
  <c r="G2953" i="5"/>
  <c r="H2953" i="5"/>
  <c r="J2953" i="5"/>
  <c r="N2954" i="5" l="1"/>
  <c r="K2953" i="5"/>
  <c r="L2953" i="5" s="1"/>
  <c r="F2955" i="5"/>
  <c r="G2954" i="5"/>
  <c r="H2954" i="5"/>
  <c r="I2954" i="5"/>
  <c r="J2954" i="5"/>
  <c r="M2951" i="5"/>
  <c r="I2953" i="5"/>
  <c r="M2953" i="5"/>
  <c r="K2954" i="5" l="1"/>
  <c r="L2954" i="5" s="1"/>
  <c r="N2955" i="5"/>
  <c r="F2956" i="5"/>
  <c r="H2955" i="5"/>
  <c r="I2955" i="5"/>
  <c r="G2955" i="5"/>
  <c r="J2955" i="5"/>
  <c r="M2954" i="5"/>
  <c r="K2955" i="5" l="1"/>
  <c r="L2955" i="5" s="1"/>
  <c r="N2956" i="5"/>
  <c r="F2957" i="5"/>
  <c r="I2956" i="5" s="1"/>
  <c r="H2956" i="5"/>
  <c r="G2956" i="5"/>
  <c r="M2955" i="5"/>
  <c r="J2956" i="5" l="1"/>
  <c r="F2958" i="5"/>
  <c r="G2957" i="5"/>
  <c r="H2957" i="5"/>
  <c r="J2957" i="5" s="1"/>
  <c r="I2957" i="5"/>
  <c r="K2957" i="5" l="1"/>
  <c r="L2957" i="5" s="1"/>
  <c r="N2958" i="5"/>
  <c r="F2959" i="5"/>
  <c r="G2958" i="5"/>
  <c r="H2958" i="5"/>
  <c r="J2958" i="5"/>
  <c r="I2958" i="5"/>
  <c r="K2956" i="5"/>
  <c r="L2956" i="5" s="1"/>
  <c r="N2957" i="5"/>
  <c r="K2958" i="5" l="1"/>
  <c r="L2958" i="5" s="1"/>
  <c r="N2959" i="5"/>
  <c r="M2957" i="5"/>
  <c r="M2956" i="5"/>
  <c r="G2959" i="5"/>
  <c r="F2960" i="5"/>
  <c r="H2959" i="5"/>
  <c r="J2959" i="5"/>
  <c r="M2958" i="5"/>
  <c r="F2961" i="5" l="1"/>
  <c r="I2960" i="5" s="1"/>
  <c r="G2960" i="5"/>
  <c r="H2960" i="5"/>
  <c r="J2960" i="5"/>
  <c r="K2959" i="5"/>
  <c r="L2959" i="5" s="1"/>
  <c r="N2960" i="5"/>
  <c r="I2959" i="5"/>
  <c r="K2960" i="5" l="1"/>
  <c r="L2960" i="5" s="1"/>
  <c r="M2960" i="5" s="1"/>
  <c r="N2961" i="5"/>
  <c r="M2959" i="5"/>
  <c r="F2962" i="5"/>
  <c r="G2961" i="5"/>
  <c r="H2961" i="5"/>
  <c r="F2963" i="5" l="1"/>
  <c r="G2962" i="5"/>
  <c r="H2962" i="5"/>
  <c r="I2962" i="5"/>
  <c r="J2962" i="5"/>
  <c r="J2961" i="5"/>
  <c r="I2961" i="5"/>
  <c r="K2962" i="5" l="1"/>
  <c r="L2962" i="5" s="1"/>
  <c r="N2963" i="5"/>
  <c r="K2961" i="5"/>
  <c r="L2961" i="5" s="1"/>
  <c r="N2962" i="5"/>
  <c r="F2964" i="5"/>
  <c r="H2963" i="5"/>
  <c r="G2963" i="5"/>
  <c r="I2963" i="5"/>
  <c r="F2965" i="5" l="1"/>
  <c r="H2964" i="5"/>
  <c r="G2964" i="5"/>
  <c r="I2964" i="5"/>
  <c r="J2964" i="5"/>
  <c r="M2962" i="5"/>
  <c r="M2961" i="5"/>
  <c r="J2963" i="5"/>
  <c r="K2964" i="5" l="1"/>
  <c r="N2965" i="5"/>
  <c r="K2963" i="5"/>
  <c r="L2963" i="5" s="1"/>
  <c r="N2964" i="5"/>
  <c r="F2966" i="5"/>
  <c r="G2965" i="5"/>
  <c r="H2965" i="5"/>
  <c r="I2965" i="5"/>
  <c r="F2967" i="5" l="1"/>
  <c r="G2966" i="5"/>
  <c r="H2966" i="5"/>
  <c r="I2966" i="5"/>
  <c r="J2966" i="5"/>
  <c r="M2964" i="5"/>
  <c r="M2963" i="5"/>
  <c r="J2965" i="5"/>
  <c r="L2964" i="5"/>
  <c r="K2965" i="5" l="1"/>
  <c r="L2965" i="5" s="1"/>
  <c r="N2966" i="5"/>
  <c r="N2967" i="5" s="1"/>
  <c r="K2966" i="5"/>
  <c r="L2966" i="5" s="1"/>
  <c r="M2965" i="5"/>
  <c r="F2968" i="5"/>
  <c r="G2967" i="5"/>
  <c r="H2967" i="5"/>
  <c r="F2969" i="5" l="1"/>
  <c r="G2968" i="5"/>
  <c r="H2968" i="5"/>
  <c r="I2968" i="5"/>
  <c r="J2968" i="5"/>
  <c r="J2967" i="5"/>
  <c r="I2967" i="5"/>
  <c r="M2966" i="5"/>
  <c r="K2967" i="5" l="1"/>
  <c r="L2967" i="5" s="1"/>
  <c r="N2968" i="5"/>
  <c r="N2969" i="5" s="1"/>
  <c r="K2968" i="5"/>
  <c r="L2968" i="5" s="1"/>
  <c r="F2970" i="5"/>
  <c r="G2969" i="5"/>
  <c r="H2969" i="5"/>
  <c r="F2971" i="5" l="1"/>
  <c r="I2970" i="5" s="1"/>
  <c r="G2970" i="5"/>
  <c r="H2970" i="5"/>
  <c r="J2970" i="5"/>
  <c r="I2969" i="5"/>
  <c r="J2969" i="5"/>
  <c r="M2968" i="5"/>
  <c r="M2967" i="5"/>
  <c r="N2970" i="5" l="1"/>
  <c r="K2969" i="5"/>
  <c r="L2969" i="5" s="1"/>
  <c r="N2971" i="5"/>
  <c r="K2970" i="5"/>
  <c r="L2970" i="5" s="1"/>
  <c r="F2972" i="5"/>
  <c r="H2971" i="5"/>
  <c r="G2971" i="5"/>
  <c r="F2973" i="5" l="1"/>
  <c r="I2972" i="5" s="1"/>
  <c r="H2972" i="5"/>
  <c r="G2972" i="5"/>
  <c r="J2972" i="5"/>
  <c r="I2971" i="5"/>
  <c r="M2970" i="5"/>
  <c r="M2969" i="5"/>
  <c r="J2971" i="5"/>
  <c r="K2972" i="5" l="1"/>
  <c r="L2972" i="5" s="1"/>
  <c r="N2973" i="5"/>
  <c r="K2971" i="5"/>
  <c r="L2971" i="5" s="1"/>
  <c r="N2972" i="5"/>
  <c r="F2974" i="5"/>
  <c r="G2973" i="5"/>
  <c r="I2973" i="5"/>
  <c r="J2973" i="5"/>
  <c r="H2973" i="5"/>
  <c r="K2973" i="5" l="1"/>
  <c r="L2973" i="5" s="1"/>
  <c r="N2974" i="5"/>
  <c r="F2975" i="5"/>
  <c r="G2974" i="5"/>
  <c r="H2974" i="5"/>
  <c r="I2974" i="5"/>
  <c r="J2974" i="5"/>
  <c r="M2972" i="5"/>
  <c r="M2971" i="5"/>
  <c r="M2973" i="5"/>
  <c r="K2974" i="5" l="1"/>
  <c r="L2974" i="5" s="1"/>
  <c r="N2975" i="5"/>
  <c r="F2976" i="5"/>
  <c r="G2975" i="5"/>
  <c r="H2975" i="5"/>
  <c r="I2975" i="5"/>
  <c r="J2975" i="5"/>
  <c r="M2974" i="5"/>
  <c r="K2975" i="5" l="1"/>
  <c r="L2975" i="5" s="1"/>
  <c r="N2976" i="5"/>
  <c r="F2977" i="5"/>
  <c r="G2976" i="5"/>
  <c r="H2976" i="5"/>
  <c r="I2976" i="5"/>
  <c r="J2976" i="5"/>
  <c r="M2975" i="5"/>
  <c r="F2978" i="5" l="1"/>
  <c r="G2977" i="5"/>
  <c r="H2977" i="5"/>
  <c r="J2977" i="5"/>
  <c r="I2977" i="5"/>
  <c r="K2976" i="5"/>
  <c r="L2976" i="5" s="1"/>
  <c r="N2977" i="5"/>
  <c r="K2977" i="5" l="1"/>
  <c r="L2977" i="5" s="1"/>
  <c r="N2978" i="5"/>
  <c r="M2976" i="5"/>
  <c r="G2978" i="5"/>
  <c r="H2978" i="5"/>
  <c r="F2979" i="5"/>
  <c r="J2978" i="5" s="1"/>
  <c r="K2978" i="5" l="1"/>
  <c r="L2978" i="5" s="1"/>
  <c r="M2978" i="5" s="1"/>
  <c r="N2979" i="5"/>
  <c r="F2980" i="5"/>
  <c r="H2979" i="5"/>
  <c r="G2979" i="5"/>
  <c r="I2979" i="5"/>
  <c r="J2979" i="5"/>
  <c r="I2978" i="5"/>
  <c r="M2977" i="5"/>
  <c r="F2981" i="5" l="1"/>
  <c r="H2980" i="5"/>
  <c r="G2980" i="5"/>
  <c r="I2980" i="5"/>
  <c r="J2980" i="5"/>
  <c r="K2979" i="5"/>
  <c r="L2979" i="5" s="1"/>
  <c r="N2980" i="5"/>
  <c r="M2979" i="5"/>
  <c r="K2980" i="5" l="1"/>
  <c r="L2980" i="5" s="1"/>
  <c r="M2980" i="5" s="1"/>
  <c r="N2981" i="5"/>
  <c r="F2982" i="5"/>
  <c r="G2981" i="5"/>
  <c r="H2981" i="5"/>
  <c r="I2981" i="5"/>
  <c r="F2983" i="5" l="1"/>
  <c r="G2982" i="5"/>
  <c r="I2982" i="5"/>
  <c r="J2982" i="5"/>
  <c r="H2982" i="5"/>
  <c r="J2981" i="5"/>
  <c r="K2981" i="5" l="1"/>
  <c r="L2981" i="5" s="1"/>
  <c r="N2982" i="5"/>
  <c r="N2983" i="5" s="1"/>
  <c r="K2982" i="5"/>
  <c r="F2984" i="5"/>
  <c r="G2983" i="5"/>
  <c r="I2983" i="5"/>
  <c r="H2983" i="5"/>
  <c r="J2983" i="5"/>
  <c r="K2983" i="5" l="1"/>
  <c r="N2984" i="5"/>
  <c r="F2985" i="5"/>
  <c r="G2984" i="5"/>
  <c r="I2984" i="5"/>
  <c r="H2984" i="5"/>
  <c r="J2984" i="5"/>
  <c r="L2982" i="5"/>
  <c r="M2981" i="5"/>
  <c r="K2984" i="5" l="1"/>
  <c r="N2985" i="5"/>
  <c r="F2986" i="5"/>
  <c r="G2985" i="5"/>
  <c r="H2985" i="5"/>
  <c r="I2985" i="5"/>
  <c r="J2985" i="5"/>
  <c r="M2982" i="5"/>
  <c r="L2983" i="5"/>
  <c r="N2986" i="5" l="1"/>
  <c r="K2985" i="5"/>
  <c r="L2985" i="5" s="1"/>
  <c r="F2987" i="5"/>
  <c r="G2986" i="5"/>
  <c r="H2986" i="5"/>
  <c r="I2986" i="5"/>
  <c r="J2986" i="5"/>
  <c r="M2984" i="5"/>
  <c r="L2984" i="5"/>
  <c r="M2983" i="5"/>
  <c r="K2986" i="5" l="1"/>
  <c r="L2986" i="5" s="1"/>
  <c r="N2987" i="5"/>
  <c r="F2988" i="5"/>
  <c r="H2987" i="5"/>
  <c r="I2987" i="5"/>
  <c r="G2987" i="5"/>
  <c r="J2987" i="5"/>
  <c r="M2986" i="5"/>
  <c r="M2985" i="5"/>
  <c r="K2987" i="5" l="1"/>
  <c r="L2987" i="5" s="1"/>
  <c r="N2988" i="5"/>
  <c r="F2989" i="5"/>
  <c r="H2988" i="5"/>
  <c r="I2988" i="5"/>
  <c r="G2988" i="5"/>
  <c r="J2988" i="5"/>
  <c r="M2987" i="5"/>
  <c r="K2988" i="5" l="1"/>
  <c r="L2988" i="5" s="1"/>
  <c r="N2989" i="5"/>
  <c r="F2990" i="5"/>
  <c r="G2989" i="5"/>
  <c r="H2989" i="5"/>
  <c r="J2989" i="5"/>
  <c r="I2989" i="5"/>
  <c r="M2988" i="5"/>
  <c r="F2991" i="5" l="1"/>
  <c r="G2990" i="5"/>
  <c r="H2990" i="5"/>
  <c r="J2990" i="5"/>
  <c r="I2990" i="5"/>
  <c r="K2989" i="5"/>
  <c r="L2989" i="5" s="1"/>
  <c r="M2989" i="5" s="1"/>
  <c r="N2990" i="5"/>
  <c r="K2990" i="5" l="1"/>
  <c r="L2990" i="5" s="1"/>
  <c r="M2990" i="5" s="1"/>
  <c r="N2991" i="5"/>
  <c r="F2992" i="5"/>
  <c r="G2991" i="5"/>
  <c r="H2991" i="5"/>
  <c r="I2991" i="5"/>
  <c r="J2991" i="5"/>
  <c r="K2991" i="5" l="1"/>
  <c r="L2991" i="5" s="1"/>
  <c r="N2992" i="5"/>
  <c r="F2993" i="5"/>
  <c r="G2992" i="5"/>
  <c r="I2992" i="5"/>
  <c r="H2992" i="5"/>
  <c r="J2992" i="5"/>
  <c r="M2991" i="5"/>
  <c r="K2992" i="5" l="1"/>
  <c r="L2992" i="5" s="1"/>
  <c r="N2993" i="5"/>
  <c r="F2994" i="5"/>
  <c r="I2993" i="5" s="1"/>
  <c r="G2993" i="5"/>
  <c r="H2993" i="5"/>
  <c r="M2992" i="5"/>
  <c r="J2993" i="5" l="1"/>
  <c r="G2994" i="5"/>
  <c r="H2994" i="5"/>
  <c r="F2995" i="5"/>
  <c r="I2994" i="5" s="1"/>
  <c r="J2994" i="5"/>
  <c r="K2994" i="5" l="1"/>
  <c r="N2995" i="5"/>
  <c r="H2995" i="5"/>
  <c r="G2995" i="5"/>
  <c r="F2996" i="5"/>
  <c r="I2995" i="5"/>
  <c r="J2995" i="5"/>
  <c r="K2993" i="5"/>
  <c r="L2993" i="5" s="1"/>
  <c r="N2994" i="5"/>
  <c r="K2995" i="5" l="1"/>
  <c r="L2995" i="5" s="1"/>
  <c r="N2996" i="5"/>
  <c r="F2997" i="5"/>
  <c r="H2996" i="5"/>
  <c r="G2996" i="5"/>
  <c r="I2996" i="5"/>
  <c r="J2996" i="5"/>
  <c r="M2994" i="5"/>
  <c r="M2993" i="5"/>
  <c r="L2994" i="5"/>
  <c r="M2995" i="5" s="1"/>
  <c r="F2998" i="5" l="1"/>
  <c r="I2997" i="5" s="1"/>
  <c r="G2997" i="5"/>
  <c r="H2997" i="5"/>
  <c r="K2996" i="5"/>
  <c r="L2996" i="5" s="1"/>
  <c r="N2997" i="5"/>
  <c r="M2996" i="5"/>
  <c r="J2997" i="5" l="1"/>
  <c r="F2999" i="5"/>
  <c r="G2998" i="5"/>
  <c r="H2998" i="5"/>
  <c r="I2998" i="5"/>
  <c r="J2998" i="5"/>
  <c r="F3000" i="5" l="1"/>
  <c r="G2999" i="5"/>
  <c r="H2999" i="5"/>
  <c r="J2999" i="5"/>
  <c r="I2999" i="5"/>
  <c r="K2998" i="5"/>
  <c r="N2999" i="5"/>
  <c r="K2997" i="5"/>
  <c r="L2997" i="5" s="1"/>
  <c r="N2998" i="5"/>
  <c r="K2999" i="5" l="1"/>
  <c r="N3000" i="5"/>
  <c r="L2998" i="5"/>
  <c r="M2998" i="5" s="1"/>
  <c r="M2997" i="5"/>
  <c r="F3001" i="5"/>
  <c r="G3000" i="5"/>
  <c r="H3000" i="5"/>
  <c r="I3000" i="5"/>
  <c r="F3002" i="5" l="1"/>
  <c r="G3001" i="5"/>
  <c r="H3001" i="5"/>
  <c r="I3001" i="5"/>
  <c r="J3001" i="5"/>
  <c r="J3000" i="5"/>
  <c r="L2999" i="5"/>
  <c r="M2999" i="5" s="1"/>
  <c r="K3000" i="5" l="1"/>
  <c r="L3000" i="5" s="1"/>
  <c r="M3000" i="5" s="1"/>
  <c r="N3001" i="5"/>
  <c r="N3002" i="5" s="1"/>
  <c r="K3001" i="5"/>
  <c r="L3001" i="5" s="1"/>
  <c r="F3003" i="5"/>
  <c r="G3002" i="5"/>
  <c r="I3002" i="5"/>
  <c r="H3002" i="5"/>
  <c r="F3004" i="5" l="1"/>
  <c r="I3003" i="5" s="1"/>
  <c r="H3003" i="5"/>
  <c r="G3003" i="5"/>
  <c r="J3003" i="5"/>
  <c r="J3002" i="5"/>
  <c r="M3001" i="5"/>
  <c r="K3003" i="5" l="1"/>
  <c r="N3004" i="5"/>
  <c r="N3003" i="5"/>
  <c r="K3002" i="5"/>
  <c r="L3002" i="5" s="1"/>
  <c r="F3005" i="5"/>
  <c r="H3004" i="5"/>
  <c r="G3004" i="5"/>
  <c r="F3006" i="5" l="1"/>
  <c r="I3005" i="5"/>
  <c r="G3005" i="5"/>
  <c r="H3005" i="5"/>
  <c r="J3005" i="5" s="1"/>
  <c r="M3002" i="5"/>
  <c r="I3004" i="5"/>
  <c r="J3004" i="5"/>
  <c r="L3003" i="5"/>
  <c r="M3003" i="5" s="1"/>
  <c r="K3005" i="5" l="1"/>
  <c r="L3005" i="5" s="1"/>
  <c r="N3006" i="5"/>
  <c r="K3004" i="5"/>
  <c r="L3004" i="5" s="1"/>
  <c r="M3005" i="5" s="1"/>
  <c r="N3005" i="5"/>
  <c r="F3007" i="5"/>
  <c r="G3006" i="5"/>
  <c r="H3006" i="5"/>
  <c r="G3007" i="5" l="1"/>
  <c r="H3007" i="5"/>
  <c r="F3008" i="5"/>
  <c r="I3006" i="5"/>
  <c r="M3004" i="5"/>
  <c r="J3006" i="5"/>
  <c r="K3006" i="5" l="1"/>
  <c r="L3006" i="5" s="1"/>
  <c r="N3007" i="5"/>
  <c r="G3008" i="5"/>
  <c r="H3008" i="5"/>
  <c r="F3009" i="5"/>
  <c r="J3007" i="5"/>
  <c r="I3007" i="5"/>
  <c r="K3007" i="5" l="1"/>
  <c r="L3007" i="5" s="1"/>
  <c r="N3008" i="5"/>
  <c r="F3010" i="5"/>
  <c r="G3009" i="5"/>
  <c r="H3009" i="5"/>
  <c r="J3009" i="5" s="1"/>
  <c r="I3009" i="5"/>
  <c r="J3008" i="5"/>
  <c r="I3008" i="5"/>
  <c r="M3007" i="5"/>
  <c r="M3006" i="5"/>
  <c r="K3009" i="5" l="1"/>
  <c r="L3009" i="5" s="1"/>
  <c r="N3010" i="5"/>
  <c r="G3010" i="5"/>
  <c r="F3011" i="5"/>
  <c r="H3010" i="5"/>
  <c r="J3010" i="5"/>
  <c r="I3010" i="5"/>
  <c r="K3008" i="5"/>
  <c r="L3008" i="5" s="1"/>
  <c r="M3009" i="5" s="1"/>
  <c r="N3009" i="5"/>
  <c r="K3010" i="5" l="1"/>
  <c r="L3010" i="5" s="1"/>
  <c r="N3011" i="5"/>
  <c r="F3012" i="5"/>
  <c r="H3011" i="5"/>
  <c r="G3011" i="5"/>
  <c r="I3011" i="5"/>
  <c r="J3011" i="5"/>
  <c r="M3008" i="5"/>
  <c r="M3010" i="5"/>
  <c r="K3011" i="5" l="1"/>
  <c r="L3011" i="5" s="1"/>
  <c r="N3012" i="5"/>
  <c r="F3013" i="5"/>
  <c r="H3012" i="5"/>
  <c r="G3012" i="5"/>
  <c r="I3012" i="5"/>
  <c r="J3012" i="5"/>
  <c r="M3011" i="5"/>
  <c r="K3012" i="5" l="1"/>
  <c r="L3012" i="5" s="1"/>
  <c r="N3013" i="5"/>
  <c r="F3014" i="5"/>
  <c r="G3013" i="5"/>
  <c r="H3013" i="5"/>
  <c r="I3013" i="5"/>
  <c r="J3013" i="5"/>
  <c r="M3012" i="5"/>
  <c r="F3015" i="5" l="1"/>
  <c r="I3014" i="5" s="1"/>
  <c r="G3014" i="5"/>
  <c r="H3014" i="5"/>
  <c r="J3014" i="5"/>
  <c r="K3013" i="5"/>
  <c r="L3013" i="5" s="1"/>
  <c r="M3013" i="5" s="1"/>
  <c r="N3014" i="5"/>
  <c r="K3014" i="5" l="1"/>
  <c r="L3014" i="5" s="1"/>
  <c r="M3014" i="5" s="1"/>
  <c r="N3015" i="5"/>
  <c r="G3015" i="5"/>
  <c r="H3015" i="5"/>
  <c r="F3016" i="5"/>
  <c r="J3015" i="5" s="1"/>
  <c r="K3015" i="5" l="1"/>
  <c r="L3015" i="5" s="1"/>
  <c r="N3016" i="5"/>
  <c r="G3016" i="5"/>
  <c r="H3016" i="5"/>
  <c r="F3017" i="5"/>
  <c r="I3015" i="5"/>
  <c r="M3015" i="5"/>
  <c r="F3018" i="5" l="1"/>
  <c r="G3017" i="5"/>
  <c r="H3017" i="5"/>
  <c r="I3017" i="5"/>
  <c r="J3017" i="5"/>
  <c r="I3016" i="5"/>
  <c r="J3016" i="5"/>
  <c r="K3017" i="5" l="1"/>
  <c r="L3017" i="5" s="1"/>
  <c r="K3016" i="5"/>
  <c r="L3016" i="5" s="1"/>
  <c r="N3017" i="5"/>
  <c r="N3018" i="5" s="1"/>
  <c r="F3019" i="5"/>
  <c r="G3018" i="5"/>
  <c r="H3018" i="5"/>
  <c r="I3018" i="5"/>
  <c r="F3020" i="5" l="1"/>
  <c r="I3019" i="5" s="1"/>
  <c r="H3019" i="5"/>
  <c r="J3019" i="5" s="1"/>
  <c r="G3019" i="5"/>
  <c r="M3017" i="5"/>
  <c r="M3016" i="5"/>
  <c r="J3018" i="5"/>
  <c r="K3019" i="5" l="1"/>
  <c r="L3019" i="5" s="1"/>
  <c r="N3020" i="5"/>
  <c r="K3018" i="5"/>
  <c r="L3018" i="5" s="1"/>
  <c r="N3019" i="5"/>
  <c r="F3021" i="5"/>
  <c r="H3020" i="5"/>
  <c r="I3020" i="5"/>
  <c r="G3020" i="5"/>
  <c r="F3022" i="5" l="1"/>
  <c r="G3021" i="5"/>
  <c r="H3021" i="5"/>
  <c r="J3021" i="5"/>
  <c r="I3021" i="5"/>
  <c r="M3019" i="5"/>
  <c r="M3018" i="5"/>
  <c r="J3020" i="5"/>
  <c r="K3021" i="5" l="1"/>
  <c r="N3022" i="5"/>
  <c r="K3020" i="5"/>
  <c r="L3020" i="5" s="1"/>
  <c r="N3021" i="5"/>
  <c r="F3023" i="5"/>
  <c r="G3022" i="5"/>
  <c r="H3022" i="5"/>
  <c r="J3022" i="5"/>
  <c r="K3022" i="5" l="1"/>
  <c r="N3023" i="5"/>
  <c r="G3023" i="5"/>
  <c r="H3023" i="5"/>
  <c r="F3024" i="5"/>
  <c r="M3021" i="5"/>
  <c r="M3020" i="5"/>
  <c r="I3022" i="5"/>
  <c r="L3021" i="5"/>
  <c r="G3024" i="5" l="1"/>
  <c r="H3024" i="5"/>
  <c r="F3025" i="5"/>
  <c r="I3023" i="5"/>
  <c r="M3022" i="5"/>
  <c r="J3023" i="5"/>
  <c r="L3022" i="5"/>
  <c r="K3023" i="5" l="1"/>
  <c r="L3023" i="5" s="1"/>
  <c r="N3024" i="5"/>
  <c r="F3026" i="5"/>
  <c r="G3025" i="5"/>
  <c r="I3025" i="5"/>
  <c r="J3025" i="5"/>
  <c r="H3025" i="5"/>
  <c r="J3024" i="5"/>
  <c r="I3024" i="5"/>
  <c r="M3023" i="5"/>
  <c r="K3024" i="5" l="1"/>
  <c r="L3024" i="5" s="1"/>
  <c r="N3025" i="5"/>
  <c r="N3026" i="5" s="1"/>
  <c r="K3025" i="5"/>
  <c r="F3027" i="5"/>
  <c r="G3026" i="5"/>
  <c r="I3026" i="5"/>
  <c r="J3026" i="5"/>
  <c r="H3026" i="5"/>
  <c r="M3024" i="5"/>
  <c r="K3026" i="5" l="1"/>
  <c r="N3027" i="5"/>
  <c r="F3028" i="5"/>
  <c r="H3027" i="5"/>
  <c r="G3027" i="5"/>
  <c r="I3027" i="5"/>
  <c r="J3027" i="5"/>
  <c r="L3025" i="5"/>
  <c r="F3029" i="5" l="1"/>
  <c r="I3028" i="5" s="1"/>
  <c r="H3028" i="5"/>
  <c r="G3028" i="5"/>
  <c r="K3027" i="5"/>
  <c r="L3027" i="5" s="1"/>
  <c r="N3028" i="5"/>
  <c r="M3025" i="5"/>
  <c r="L3026" i="5"/>
  <c r="M3027" i="5" s="1"/>
  <c r="J3028" i="5" l="1"/>
  <c r="F3030" i="5"/>
  <c r="G3029" i="5"/>
  <c r="H3029" i="5"/>
  <c r="I3029" i="5"/>
  <c r="J3029" i="5"/>
  <c r="M3026" i="5"/>
  <c r="K3029" i="5" l="1"/>
  <c r="N3030" i="5"/>
  <c r="F3031" i="5"/>
  <c r="G3030" i="5"/>
  <c r="H3030" i="5"/>
  <c r="I3030" i="5"/>
  <c r="J3030" i="5"/>
  <c r="K3028" i="5"/>
  <c r="L3028" i="5" s="1"/>
  <c r="N3029" i="5"/>
  <c r="M3028" i="5" l="1"/>
  <c r="K3030" i="5"/>
  <c r="L3030" i="5" s="1"/>
  <c r="N3031" i="5"/>
  <c r="G3031" i="5"/>
  <c r="H3031" i="5"/>
  <c r="I3031" i="5"/>
  <c r="J3031" i="5"/>
  <c r="F3032" i="5"/>
  <c r="L3029" i="5"/>
  <c r="K3031" i="5" l="1"/>
  <c r="L3031" i="5" s="1"/>
  <c r="N3032" i="5"/>
  <c r="M3030" i="5"/>
  <c r="M3031" i="5"/>
  <c r="G3032" i="5"/>
  <c r="H3032" i="5"/>
  <c r="I3032" i="5"/>
  <c r="J3032" i="5"/>
  <c r="F3033" i="5"/>
  <c r="M3029" i="5"/>
  <c r="K3032" i="5" l="1"/>
  <c r="L3032" i="5" s="1"/>
  <c r="N3033" i="5"/>
  <c r="F3034" i="5"/>
  <c r="G3033" i="5"/>
  <c r="H3033" i="5"/>
  <c r="I3033" i="5"/>
  <c r="J3033" i="5"/>
  <c r="M3032" i="5"/>
  <c r="N3034" i="5" l="1"/>
  <c r="K3033" i="5"/>
  <c r="L3033" i="5" s="1"/>
  <c r="F3035" i="5"/>
  <c r="G3034" i="5"/>
  <c r="I3034" i="5"/>
  <c r="H3034" i="5"/>
  <c r="J3034" i="5"/>
  <c r="M3033" i="5"/>
  <c r="F3036" i="5" l="1"/>
  <c r="I3035" i="5" s="1"/>
  <c r="H3035" i="5"/>
  <c r="G3035" i="5"/>
  <c r="J3035" i="5"/>
  <c r="N3035" i="5"/>
  <c r="K3034" i="5"/>
  <c r="L3034" i="5" s="1"/>
  <c r="M3034" i="5" s="1"/>
  <c r="K3035" i="5" l="1"/>
  <c r="L3035" i="5" s="1"/>
  <c r="M3035" i="5" s="1"/>
  <c r="N3036" i="5"/>
  <c r="F3037" i="5"/>
  <c r="H3036" i="5"/>
  <c r="G3036" i="5"/>
  <c r="J3036" i="5"/>
  <c r="F3038" i="5" l="1"/>
  <c r="I3037" i="5" s="1"/>
  <c r="G3037" i="5"/>
  <c r="J3037" i="5" s="1"/>
  <c r="H3037" i="5"/>
  <c r="K3036" i="5"/>
  <c r="L3036" i="5" s="1"/>
  <c r="N3037" i="5"/>
  <c r="I3036" i="5"/>
  <c r="K3037" i="5" l="1"/>
  <c r="L3037" i="5" s="1"/>
  <c r="M3037" i="5" s="1"/>
  <c r="N3038" i="5"/>
  <c r="M3036" i="5"/>
  <c r="F3039" i="5"/>
  <c r="G3038" i="5"/>
  <c r="H3038" i="5"/>
  <c r="I3038" i="5"/>
  <c r="J3038" i="5"/>
  <c r="G3039" i="5" l="1"/>
  <c r="H3039" i="5"/>
  <c r="F3040" i="5"/>
  <c r="K3038" i="5"/>
  <c r="L3038" i="5" s="1"/>
  <c r="N3039" i="5"/>
  <c r="M3038" i="5" l="1"/>
  <c r="G3040" i="5"/>
  <c r="H3040" i="5"/>
  <c r="F3041" i="5"/>
  <c r="I3040" i="5" s="1"/>
  <c r="J3039" i="5"/>
  <c r="I3039" i="5"/>
  <c r="F3042" i="5" l="1"/>
  <c r="G3041" i="5"/>
  <c r="H3041" i="5"/>
  <c r="J3041" i="5"/>
  <c r="I3041" i="5"/>
  <c r="J3040" i="5"/>
  <c r="K3039" i="5"/>
  <c r="L3039" i="5" s="1"/>
  <c r="N3040" i="5"/>
  <c r="K3041" i="5" l="1"/>
  <c r="L3041" i="5" s="1"/>
  <c r="N3042" i="5"/>
  <c r="M3039" i="5"/>
  <c r="K3040" i="5"/>
  <c r="L3040" i="5" s="1"/>
  <c r="M3041" i="5" s="1"/>
  <c r="N3041" i="5"/>
  <c r="F3043" i="5"/>
  <c r="G3042" i="5"/>
  <c r="H3042" i="5"/>
  <c r="J3042" i="5"/>
  <c r="F3044" i="5" l="1"/>
  <c r="H3043" i="5"/>
  <c r="G3043" i="5"/>
  <c r="I3043" i="5"/>
  <c r="J3043" i="5"/>
  <c r="I3042" i="5"/>
  <c r="M3040" i="5"/>
  <c r="K3042" i="5"/>
  <c r="L3042" i="5" s="1"/>
  <c r="N3043" i="5"/>
  <c r="K3043" i="5" l="1"/>
  <c r="L3043" i="5" s="1"/>
  <c r="N3044" i="5"/>
  <c r="M3042" i="5"/>
  <c r="F3045" i="5"/>
  <c r="H3044" i="5"/>
  <c r="G3044" i="5"/>
  <c r="I3044" i="5"/>
  <c r="F3046" i="5" l="1"/>
  <c r="G3045" i="5"/>
  <c r="H3045" i="5"/>
  <c r="J3045" i="5"/>
  <c r="I3045" i="5"/>
  <c r="J3044" i="5"/>
  <c r="M3043" i="5"/>
  <c r="K3045" i="5" l="1"/>
  <c r="L3045" i="5" s="1"/>
  <c r="N3046" i="5"/>
  <c r="K3044" i="5"/>
  <c r="L3044" i="5" s="1"/>
  <c r="N3045" i="5"/>
  <c r="F3047" i="5"/>
  <c r="G3046" i="5"/>
  <c r="I3046" i="5"/>
  <c r="J3046" i="5"/>
  <c r="H3046" i="5"/>
  <c r="K3046" i="5" l="1"/>
  <c r="L3046" i="5" s="1"/>
  <c r="M3046" i="5" s="1"/>
  <c r="N3047" i="5"/>
  <c r="G3047" i="5"/>
  <c r="H3047" i="5"/>
  <c r="F3048" i="5"/>
  <c r="M3045" i="5"/>
  <c r="M3044" i="5"/>
  <c r="G3048" i="5" l="1"/>
  <c r="H3048" i="5"/>
  <c r="F3049" i="5"/>
  <c r="J3047" i="5"/>
  <c r="I3047" i="5"/>
  <c r="K3047" i="5" l="1"/>
  <c r="L3047" i="5" s="1"/>
  <c r="N3048" i="5"/>
  <c r="F3050" i="5"/>
  <c r="I3049" i="5" s="1"/>
  <c r="G3049" i="5"/>
  <c r="H3049" i="5"/>
  <c r="J3049" i="5"/>
  <c r="J3048" i="5"/>
  <c r="I3048" i="5"/>
  <c r="K3048" i="5" l="1"/>
  <c r="L3048" i="5" s="1"/>
  <c r="N3049" i="5"/>
  <c r="N3050" i="5" s="1"/>
  <c r="K3049" i="5"/>
  <c r="L3049" i="5" s="1"/>
  <c r="F3051" i="5"/>
  <c r="G3050" i="5"/>
  <c r="H3050" i="5"/>
  <c r="I3050" i="5"/>
  <c r="M3048" i="5"/>
  <c r="M3047" i="5"/>
  <c r="F3052" i="5" l="1"/>
  <c r="I3051" i="5" s="1"/>
  <c r="H3051" i="5"/>
  <c r="G3051" i="5"/>
  <c r="J3050" i="5"/>
  <c r="M3049" i="5"/>
  <c r="K3050" i="5" l="1"/>
  <c r="L3050" i="5" s="1"/>
  <c r="N3051" i="5"/>
  <c r="J3051" i="5"/>
  <c r="F3053" i="5"/>
  <c r="H3052" i="5"/>
  <c r="I3052" i="5"/>
  <c r="G3052" i="5"/>
  <c r="J3052" i="5"/>
  <c r="F3054" i="5" l="1"/>
  <c r="G3053" i="5"/>
  <c r="H3053" i="5"/>
  <c r="J3053" i="5"/>
  <c r="I3053" i="5"/>
  <c r="K3052" i="5"/>
  <c r="N3053" i="5"/>
  <c r="K3051" i="5"/>
  <c r="L3051" i="5" s="1"/>
  <c r="N3052" i="5"/>
  <c r="M3050" i="5"/>
  <c r="K3053" i="5" l="1"/>
  <c r="L3053" i="5" s="1"/>
  <c r="N3054" i="5"/>
  <c r="L3052" i="5"/>
  <c r="M3051" i="5"/>
  <c r="F3055" i="5"/>
  <c r="G3054" i="5"/>
  <c r="H3054" i="5"/>
  <c r="J3054" i="5"/>
  <c r="M3053" i="5" l="1"/>
  <c r="G3055" i="5"/>
  <c r="H3055" i="5"/>
  <c r="F3056" i="5"/>
  <c r="K3054" i="5"/>
  <c r="L3054" i="5" s="1"/>
  <c r="N3055" i="5"/>
  <c r="I3054" i="5"/>
  <c r="M3052" i="5"/>
  <c r="G3056" i="5" l="1"/>
  <c r="H3056" i="5"/>
  <c r="F3057" i="5"/>
  <c r="I3055" i="5"/>
  <c r="J3055" i="5"/>
  <c r="M3054" i="5"/>
  <c r="K3055" i="5" l="1"/>
  <c r="L3055" i="5" s="1"/>
  <c r="N3056" i="5"/>
  <c r="F3058" i="5"/>
  <c r="G3057" i="5"/>
  <c r="H3057" i="5"/>
  <c r="I3057" i="5"/>
  <c r="J3057" i="5"/>
  <c r="I3056" i="5"/>
  <c r="J3056" i="5"/>
  <c r="K3057" i="5" l="1"/>
  <c r="N3058" i="5"/>
  <c r="F3059" i="5"/>
  <c r="G3058" i="5"/>
  <c r="H3058" i="5"/>
  <c r="I3058" i="5"/>
  <c r="J3058" i="5"/>
  <c r="K3056" i="5"/>
  <c r="L3056" i="5" s="1"/>
  <c r="N3057" i="5"/>
  <c r="M3055" i="5"/>
  <c r="K3058" i="5" l="1"/>
  <c r="N3059" i="5"/>
  <c r="F3060" i="5"/>
  <c r="H3059" i="5"/>
  <c r="G3059" i="5"/>
  <c r="I3059" i="5"/>
  <c r="J3059" i="5"/>
  <c r="M3056" i="5"/>
  <c r="L3057" i="5"/>
  <c r="K3059" i="5" l="1"/>
  <c r="N3060" i="5"/>
  <c r="F3061" i="5"/>
  <c r="H3060" i="5"/>
  <c r="G3060" i="5"/>
  <c r="J3060" i="5" s="1"/>
  <c r="I3060" i="5"/>
  <c r="L3058" i="5"/>
  <c r="M3057" i="5"/>
  <c r="K3060" i="5" l="1"/>
  <c r="L3060" i="5" s="1"/>
  <c r="N3061" i="5"/>
  <c r="F3062" i="5"/>
  <c r="G3061" i="5"/>
  <c r="H3061" i="5"/>
  <c r="J3061" i="5"/>
  <c r="I3061" i="5"/>
  <c r="L3059" i="5"/>
  <c r="M3060" i="5" s="1"/>
  <c r="M3058" i="5"/>
  <c r="K3061" i="5" l="1"/>
  <c r="L3061" i="5" s="1"/>
  <c r="N3062" i="5"/>
  <c r="F3063" i="5"/>
  <c r="I3062" i="5" s="1"/>
  <c r="G3062" i="5"/>
  <c r="H3062" i="5"/>
  <c r="M3059" i="5"/>
  <c r="M3061" i="5"/>
  <c r="J3062" i="5" l="1"/>
  <c r="G3063" i="5"/>
  <c r="H3063" i="5"/>
  <c r="F3064" i="5"/>
  <c r="J3063" i="5" s="1"/>
  <c r="K3063" i="5" l="1"/>
  <c r="G3064" i="5"/>
  <c r="H3064" i="5"/>
  <c r="F3065" i="5"/>
  <c r="J3064" i="5" s="1"/>
  <c r="I3063" i="5"/>
  <c r="K3062" i="5"/>
  <c r="L3062" i="5" s="1"/>
  <c r="N3063" i="5"/>
  <c r="N3064" i="5" s="1"/>
  <c r="K3064" i="5" l="1"/>
  <c r="N3065" i="5"/>
  <c r="F3066" i="5"/>
  <c r="G3065" i="5"/>
  <c r="H3065" i="5"/>
  <c r="J3065" i="5" s="1"/>
  <c r="I3065" i="5"/>
  <c r="I3064" i="5"/>
  <c r="M3062" i="5"/>
  <c r="L3063" i="5"/>
  <c r="N3066" i="5" l="1"/>
  <c r="K3065" i="5"/>
  <c r="L3065" i="5" s="1"/>
  <c r="F3067" i="5"/>
  <c r="G3066" i="5"/>
  <c r="I3066" i="5"/>
  <c r="J3066" i="5"/>
  <c r="H3066" i="5"/>
  <c r="M3063" i="5"/>
  <c r="L3064" i="5"/>
  <c r="M3065" i="5" s="1"/>
  <c r="N3067" i="5" l="1"/>
  <c r="K3066" i="5"/>
  <c r="L3066" i="5" s="1"/>
  <c r="F3068" i="5"/>
  <c r="H3067" i="5"/>
  <c r="I3067" i="5"/>
  <c r="J3067" i="5"/>
  <c r="G3067" i="5"/>
  <c r="M3064" i="5"/>
  <c r="K3067" i="5" l="1"/>
  <c r="L3067" i="5" s="1"/>
  <c r="N3068" i="5"/>
  <c r="F3069" i="5"/>
  <c r="H3068" i="5"/>
  <c r="I3068" i="5"/>
  <c r="J3068" i="5"/>
  <c r="G3068" i="5"/>
  <c r="M3067" i="5"/>
  <c r="M3066" i="5"/>
  <c r="K3068" i="5" l="1"/>
  <c r="L3068" i="5" s="1"/>
  <c r="N3069" i="5"/>
  <c r="F3070" i="5"/>
  <c r="I3069" i="5"/>
  <c r="J3069" i="5"/>
  <c r="G3069" i="5"/>
  <c r="H3069" i="5"/>
  <c r="M3068" i="5"/>
  <c r="K3069" i="5" l="1"/>
  <c r="L3069" i="5" s="1"/>
  <c r="N3070" i="5"/>
  <c r="F3071" i="5"/>
  <c r="G3070" i="5"/>
  <c r="J3070" i="5" s="1"/>
  <c r="I3070" i="5"/>
  <c r="H3070" i="5"/>
  <c r="M3069" i="5"/>
  <c r="K3070" i="5" l="1"/>
  <c r="L3070" i="5" s="1"/>
  <c r="N3071" i="5"/>
  <c r="G3071" i="5"/>
  <c r="H3071" i="5"/>
  <c r="F3072" i="5"/>
  <c r="M3070" i="5"/>
  <c r="G3072" i="5" l="1"/>
  <c r="H3072" i="5"/>
  <c r="F3073" i="5"/>
  <c r="J3071" i="5"/>
  <c r="I3071" i="5"/>
  <c r="F3074" i="5" l="1"/>
  <c r="G3073" i="5"/>
  <c r="H3073" i="5"/>
  <c r="I3073" i="5"/>
  <c r="J3073" i="5"/>
  <c r="J3072" i="5"/>
  <c r="I3072" i="5"/>
  <c r="K3071" i="5"/>
  <c r="L3071" i="5" s="1"/>
  <c r="N3072" i="5"/>
  <c r="K3073" i="5" l="1"/>
  <c r="K3072" i="5"/>
  <c r="L3072" i="5" s="1"/>
  <c r="N3073" i="5"/>
  <c r="N3074" i="5" s="1"/>
  <c r="M3071" i="5"/>
  <c r="F3075" i="5"/>
  <c r="G3074" i="5"/>
  <c r="H3074" i="5"/>
  <c r="F3076" i="5" l="1"/>
  <c r="H3075" i="5"/>
  <c r="J3075" i="5" s="1"/>
  <c r="G3075" i="5"/>
  <c r="I3075" i="5"/>
  <c r="M3072" i="5"/>
  <c r="J3074" i="5"/>
  <c r="I3074" i="5"/>
  <c r="L3073" i="5"/>
  <c r="K3075" i="5" l="1"/>
  <c r="L3075" i="5" s="1"/>
  <c r="N3076" i="5"/>
  <c r="K3074" i="5"/>
  <c r="L3074" i="5" s="1"/>
  <c r="M3075" i="5" s="1"/>
  <c r="N3075" i="5"/>
  <c r="F3077" i="5"/>
  <c r="H3076" i="5"/>
  <c r="G3076" i="5"/>
  <c r="M3073" i="5"/>
  <c r="F3078" i="5" l="1"/>
  <c r="G3077" i="5"/>
  <c r="H3077" i="5"/>
  <c r="I3077" i="5"/>
  <c r="J3077" i="5"/>
  <c r="I3076" i="5"/>
  <c r="M3074" i="5"/>
  <c r="J3076" i="5"/>
  <c r="K3077" i="5" l="1"/>
  <c r="L3077" i="5" s="1"/>
  <c r="N3078" i="5"/>
  <c r="K3076" i="5"/>
  <c r="L3076" i="5" s="1"/>
  <c r="N3077" i="5"/>
  <c r="F3079" i="5"/>
  <c r="G3078" i="5"/>
  <c r="I3078" i="5"/>
  <c r="H3078" i="5"/>
  <c r="J3078" i="5"/>
  <c r="K3078" i="5" l="1"/>
  <c r="L3078" i="5" s="1"/>
  <c r="M3078" i="5" s="1"/>
  <c r="N3079" i="5"/>
  <c r="G3079" i="5"/>
  <c r="H3079" i="5"/>
  <c r="F3080" i="5"/>
  <c r="M3077" i="5"/>
  <c r="M3076" i="5"/>
  <c r="G3080" i="5" l="1"/>
  <c r="H3080" i="5"/>
  <c r="F3081" i="5"/>
  <c r="J3079" i="5"/>
  <c r="I3079" i="5"/>
  <c r="K3079" i="5" l="1"/>
  <c r="L3079" i="5" s="1"/>
  <c r="N3080" i="5"/>
  <c r="F3082" i="5"/>
  <c r="J3081" i="5" s="1"/>
  <c r="G3081" i="5"/>
  <c r="H3081" i="5"/>
  <c r="I3081" i="5"/>
  <c r="I3080" i="5"/>
  <c r="J3080" i="5"/>
  <c r="K3081" i="5" l="1"/>
  <c r="F3083" i="5"/>
  <c r="G3082" i="5"/>
  <c r="H3082" i="5"/>
  <c r="I3082" i="5"/>
  <c r="J3082" i="5"/>
  <c r="K3080" i="5"/>
  <c r="L3080" i="5" s="1"/>
  <c r="N3081" i="5"/>
  <c r="N3082" i="5" s="1"/>
  <c r="M3079" i="5"/>
  <c r="K3082" i="5" l="1"/>
  <c r="N3083" i="5"/>
  <c r="F3084" i="5"/>
  <c r="H3083" i="5"/>
  <c r="G3083" i="5"/>
  <c r="I3083" i="5"/>
  <c r="J3083" i="5"/>
  <c r="M3080" i="5"/>
  <c r="L3081" i="5"/>
  <c r="K3083" i="5" l="1"/>
  <c r="N3084" i="5"/>
  <c r="F3085" i="5"/>
  <c r="H3084" i="5"/>
  <c r="I3084" i="5"/>
  <c r="G3084" i="5"/>
  <c r="J3084" i="5"/>
  <c r="M3082" i="5"/>
  <c r="L3082" i="5"/>
  <c r="M3081" i="5"/>
  <c r="K3084" i="5" l="1"/>
  <c r="N3085" i="5"/>
  <c r="F3086" i="5"/>
  <c r="G3085" i="5"/>
  <c r="H3085" i="5"/>
  <c r="J3085" i="5"/>
  <c r="I3085" i="5"/>
  <c r="M3083" i="5"/>
  <c r="L3083" i="5"/>
  <c r="F3087" i="5" l="1"/>
  <c r="G3086" i="5"/>
  <c r="H3086" i="5"/>
  <c r="I3086" i="5"/>
  <c r="J3086" i="5"/>
  <c r="K3085" i="5"/>
  <c r="L3085" i="5" s="1"/>
  <c r="N3086" i="5"/>
  <c r="M3084" i="5"/>
  <c r="L3084" i="5"/>
  <c r="K3086" i="5" l="1"/>
  <c r="L3086" i="5" s="1"/>
  <c r="N3087" i="5"/>
  <c r="M3085" i="5"/>
  <c r="G3087" i="5"/>
  <c r="H3087" i="5"/>
  <c r="F3088" i="5"/>
  <c r="I3087" i="5" s="1"/>
  <c r="J3087" i="5" l="1"/>
  <c r="G3088" i="5"/>
  <c r="H3088" i="5"/>
  <c r="F3089" i="5"/>
  <c r="M3086" i="5"/>
  <c r="F3090" i="5" l="1"/>
  <c r="J3089" i="5" s="1"/>
  <c r="G3089" i="5"/>
  <c r="H3089" i="5"/>
  <c r="I3089" i="5"/>
  <c r="I3088" i="5"/>
  <c r="J3088" i="5"/>
  <c r="K3087" i="5"/>
  <c r="L3087" i="5" s="1"/>
  <c r="N3088" i="5"/>
  <c r="K3089" i="5" l="1"/>
  <c r="L3089" i="5" s="1"/>
  <c r="N3090" i="5"/>
  <c r="M3087" i="5"/>
  <c r="K3088" i="5"/>
  <c r="L3088" i="5" s="1"/>
  <c r="M3089" i="5" s="1"/>
  <c r="N3089" i="5"/>
  <c r="F3091" i="5"/>
  <c r="G3090" i="5"/>
  <c r="H3090" i="5"/>
  <c r="F3092" i="5" l="1"/>
  <c r="H3091" i="5"/>
  <c r="G3091" i="5"/>
  <c r="I3091" i="5"/>
  <c r="J3091" i="5"/>
  <c r="I3090" i="5"/>
  <c r="J3090" i="5"/>
  <c r="M3088" i="5"/>
  <c r="K3091" i="5" l="1"/>
  <c r="K3090" i="5"/>
  <c r="L3090" i="5" s="1"/>
  <c r="N3091" i="5"/>
  <c r="N3092" i="5" s="1"/>
  <c r="F3093" i="5"/>
  <c r="I3092" i="5" s="1"/>
  <c r="H3092" i="5"/>
  <c r="G3092" i="5"/>
  <c r="M3090" i="5" l="1"/>
  <c r="F3094" i="5"/>
  <c r="G3093" i="5"/>
  <c r="H3093" i="5"/>
  <c r="I3093" i="5"/>
  <c r="J3093" i="5"/>
  <c r="J3092" i="5"/>
  <c r="L3091" i="5"/>
  <c r="K3092" i="5" l="1"/>
  <c r="L3092" i="5" s="1"/>
  <c r="N3093" i="5"/>
  <c r="K3093" i="5"/>
  <c r="L3093" i="5" s="1"/>
  <c r="N3094" i="5"/>
  <c r="F3095" i="5"/>
  <c r="G3094" i="5"/>
  <c r="H3094" i="5"/>
  <c r="I3094" i="5"/>
  <c r="M3092" i="5"/>
  <c r="M3091" i="5"/>
  <c r="G3095" i="5" l="1"/>
  <c r="H3095" i="5"/>
  <c r="F3096" i="5"/>
  <c r="J3095" i="5" s="1"/>
  <c r="J3094" i="5"/>
  <c r="M3093" i="5"/>
  <c r="K3095" i="5" l="1"/>
  <c r="N3096" i="5"/>
  <c r="K3094" i="5"/>
  <c r="L3094" i="5" s="1"/>
  <c r="N3095" i="5"/>
  <c r="G3096" i="5"/>
  <c r="H3096" i="5"/>
  <c r="F3097" i="5"/>
  <c r="J3096" i="5" s="1"/>
  <c r="I3095" i="5"/>
  <c r="K3096" i="5" l="1"/>
  <c r="N3097" i="5"/>
  <c r="I3096" i="5"/>
  <c r="M3095" i="5"/>
  <c r="M3094" i="5"/>
  <c r="F3098" i="5"/>
  <c r="G3097" i="5"/>
  <c r="H3097" i="5"/>
  <c r="L3095" i="5"/>
  <c r="F3099" i="5" l="1"/>
  <c r="G3098" i="5"/>
  <c r="H3098" i="5"/>
  <c r="J3098" i="5"/>
  <c r="I3098" i="5"/>
  <c r="M3096" i="5"/>
  <c r="J3097" i="5"/>
  <c r="I3097" i="5"/>
  <c r="L3096" i="5"/>
  <c r="N3098" i="5" l="1"/>
  <c r="K3097" i="5"/>
  <c r="L3097" i="5" s="1"/>
  <c r="N3099" i="5"/>
  <c r="K3098" i="5"/>
  <c r="L3098" i="5" s="1"/>
  <c r="M3097" i="5"/>
  <c r="F3100" i="5"/>
  <c r="H3099" i="5"/>
  <c r="G3099" i="5"/>
  <c r="F3101" i="5" l="1"/>
  <c r="H3100" i="5"/>
  <c r="I3100" i="5"/>
  <c r="G3100" i="5"/>
  <c r="J3100" i="5"/>
  <c r="I3099" i="5"/>
  <c r="M3098" i="5"/>
  <c r="J3099" i="5"/>
  <c r="K3100" i="5" l="1"/>
  <c r="N3101" i="5"/>
  <c r="F3102" i="5"/>
  <c r="G3101" i="5"/>
  <c r="I3101" i="5"/>
  <c r="J3101" i="5"/>
  <c r="H3101" i="5"/>
  <c r="K3099" i="5"/>
  <c r="L3099" i="5" s="1"/>
  <c r="N3100" i="5"/>
  <c r="M3099" i="5" l="1"/>
  <c r="K3101" i="5"/>
  <c r="N3102" i="5"/>
  <c r="F3103" i="5"/>
  <c r="G3102" i="5"/>
  <c r="H3102" i="5"/>
  <c r="I3102" i="5"/>
  <c r="L3100" i="5"/>
  <c r="G3103" i="5" l="1"/>
  <c r="H3103" i="5"/>
  <c r="F3104" i="5"/>
  <c r="L3101" i="5"/>
  <c r="J3102" i="5"/>
  <c r="M3100" i="5"/>
  <c r="M3101" i="5" l="1"/>
  <c r="G3104" i="5"/>
  <c r="H3104" i="5"/>
  <c r="F3105" i="5"/>
  <c r="J3104" i="5" s="1"/>
  <c r="J3103" i="5"/>
  <c r="I3103" i="5"/>
  <c r="K3102" i="5"/>
  <c r="L3102" i="5" s="1"/>
  <c r="N3103" i="5"/>
  <c r="K3104" i="5" l="1"/>
  <c r="L3104" i="5" s="1"/>
  <c r="N3105" i="5"/>
  <c r="F3106" i="5"/>
  <c r="I3105" i="5" s="1"/>
  <c r="G3105" i="5"/>
  <c r="H3105" i="5"/>
  <c r="I3104" i="5"/>
  <c r="K3103" i="5"/>
  <c r="L3103" i="5" s="1"/>
  <c r="M3104" i="5" s="1"/>
  <c r="N3104" i="5"/>
  <c r="M3103" i="5"/>
  <c r="M3102" i="5"/>
  <c r="J3105" i="5" l="1"/>
  <c r="F3107" i="5"/>
  <c r="G3106" i="5"/>
  <c r="H3106" i="5"/>
  <c r="J3106" i="5"/>
  <c r="I3106" i="5"/>
  <c r="K3106" i="5" l="1"/>
  <c r="N3107" i="5"/>
  <c r="F3108" i="5"/>
  <c r="H3107" i="5"/>
  <c r="G3107" i="5"/>
  <c r="J3107" i="5"/>
  <c r="I3107" i="5"/>
  <c r="K3105" i="5"/>
  <c r="L3105" i="5" s="1"/>
  <c r="N3106" i="5"/>
  <c r="M3105" i="5" l="1"/>
  <c r="K3107" i="5"/>
  <c r="N3108" i="5"/>
  <c r="F3109" i="5"/>
  <c r="H3108" i="5"/>
  <c r="G3108" i="5"/>
  <c r="I3108" i="5"/>
  <c r="L3106" i="5"/>
  <c r="F3110" i="5" l="1"/>
  <c r="G3109" i="5"/>
  <c r="H3109" i="5"/>
  <c r="I3109" i="5"/>
  <c r="J3109" i="5"/>
  <c r="L3107" i="5"/>
  <c r="J3108" i="5"/>
  <c r="M3106" i="5"/>
  <c r="M3107" i="5" l="1"/>
  <c r="K3109" i="5"/>
  <c r="L3109" i="5" s="1"/>
  <c r="N3110" i="5"/>
  <c r="K3108" i="5"/>
  <c r="L3108" i="5" s="1"/>
  <c r="M3109" i="5" s="1"/>
  <c r="N3109" i="5"/>
  <c r="F3111" i="5"/>
  <c r="G3110" i="5"/>
  <c r="H3110" i="5"/>
  <c r="G3111" i="5" l="1"/>
  <c r="H3111" i="5"/>
  <c r="F3112" i="5"/>
  <c r="I3111" i="5" s="1"/>
  <c r="J3110" i="5"/>
  <c r="I3110" i="5"/>
  <c r="M3108" i="5"/>
  <c r="K3110" i="5" l="1"/>
  <c r="L3110" i="5" s="1"/>
  <c r="N3111" i="5"/>
  <c r="J3111" i="5"/>
  <c r="G3112" i="5"/>
  <c r="H3112" i="5"/>
  <c r="F3113" i="5"/>
  <c r="F3114" i="5" l="1"/>
  <c r="G3113" i="5"/>
  <c r="H3113" i="5"/>
  <c r="I3113" i="5"/>
  <c r="J3113" i="5"/>
  <c r="K3111" i="5"/>
  <c r="L3111" i="5" s="1"/>
  <c r="N3112" i="5"/>
  <c r="J3112" i="5"/>
  <c r="I3112" i="5"/>
  <c r="M3110" i="5"/>
  <c r="K3112" i="5" l="1"/>
  <c r="L3112" i="5" s="1"/>
  <c r="N3113" i="5"/>
  <c r="N3114" i="5" s="1"/>
  <c r="K3113" i="5"/>
  <c r="L3113" i="5" s="1"/>
  <c r="M3112" i="5"/>
  <c r="M3111" i="5"/>
  <c r="F3115" i="5"/>
  <c r="G3114" i="5"/>
  <c r="H3114" i="5"/>
  <c r="I3114" i="5"/>
  <c r="F3116" i="5" l="1"/>
  <c r="H3115" i="5"/>
  <c r="G3115" i="5"/>
  <c r="J3115" i="5"/>
  <c r="I3115" i="5"/>
  <c r="J3114" i="5"/>
  <c r="M3113" i="5"/>
  <c r="K3114" i="5" l="1"/>
  <c r="L3114" i="5" s="1"/>
  <c r="N3115" i="5"/>
  <c r="N3116" i="5" s="1"/>
  <c r="K3115" i="5"/>
  <c r="L3115" i="5" s="1"/>
  <c r="F3117" i="5"/>
  <c r="H3116" i="5"/>
  <c r="G3116" i="5"/>
  <c r="F3118" i="5" l="1"/>
  <c r="G3117" i="5"/>
  <c r="H3117" i="5"/>
  <c r="J3117" i="5"/>
  <c r="I3117" i="5"/>
  <c r="I3116" i="5"/>
  <c r="J3116" i="5"/>
  <c r="M3115" i="5"/>
  <c r="M3114" i="5"/>
  <c r="K3116" i="5" l="1"/>
  <c r="L3116" i="5" s="1"/>
  <c r="N3117" i="5"/>
  <c r="N3118" i="5" s="1"/>
  <c r="K3117" i="5"/>
  <c r="L3117" i="5" s="1"/>
  <c r="F3119" i="5"/>
  <c r="J3118" i="5" s="1"/>
  <c r="G3118" i="5"/>
  <c r="H3118" i="5"/>
  <c r="K3118" i="5" l="1"/>
  <c r="L3118" i="5" s="1"/>
  <c r="N3119" i="5"/>
  <c r="G3119" i="5"/>
  <c r="H3119" i="5"/>
  <c r="F3120" i="5"/>
  <c r="M3118" i="5"/>
  <c r="I3118" i="5"/>
  <c r="M3117" i="5"/>
  <c r="M3116" i="5"/>
  <c r="G3120" i="5" l="1"/>
  <c r="H3120" i="5"/>
  <c r="F3121" i="5"/>
  <c r="J3119" i="5"/>
  <c r="I3119" i="5"/>
  <c r="K3119" i="5" l="1"/>
  <c r="L3119" i="5" s="1"/>
  <c r="N3120" i="5"/>
  <c r="F3122" i="5"/>
  <c r="G3121" i="5"/>
  <c r="H3121" i="5"/>
  <c r="I3121" i="5"/>
  <c r="J3121" i="5"/>
  <c r="J3120" i="5"/>
  <c r="I3120" i="5"/>
  <c r="K3120" i="5" l="1"/>
  <c r="L3120" i="5" s="1"/>
  <c r="N3121" i="5"/>
  <c r="N3122" i="5" s="1"/>
  <c r="K3121" i="5"/>
  <c r="L3121" i="5" s="1"/>
  <c r="F3123" i="5"/>
  <c r="G3122" i="5"/>
  <c r="H3122" i="5"/>
  <c r="I3122" i="5"/>
  <c r="M3120" i="5"/>
  <c r="M3119" i="5"/>
  <c r="F3124" i="5" l="1"/>
  <c r="H3123" i="5"/>
  <c r="G3123" i="5"/>
  <c r="I3123" i="5"/>
  <c r="J3123" i="5"/>
  <c r="J3122" i="5"/>
  <c r="M3121" i="5"/>
  <c r="K3122" i="5" l="1"/>
  <c r="L3122" i="5" s="1"/>
  <c r="N3123" i="5"/>
  <c r="N3124" i="5" s="1"/>
  <c r="K3123" i="5"/>
  <c r="L3123" i="5" s="1"/>
  <c r="F3125" i="5"/>
  <c r="H3124" i="5"/>
  <c r="G3124" i="5"/>
  <c r="I3124" i="5"/>
  <c r="F3126" i="5" l="1"/>
  <c r="G3125" i="5"/>
  <c r="H3125" i="5"/>
  <c r="J3125" i="5"/>
  <c r="I3125" i="5"/>
  <c r="J3124" i="5"/>
  <c r="M3123" i="5"/>
  <c r="M3122" i="5"/>
  <c r="K3125" i="5" l="1"/>
  <c r="K3124" i="5"/>
  <c r="L3124" i="5" s="1"/>
  <c r="N3125" i="5"/>
  <c r="N3126" i="5" s="1"/>
  <c r="F3127" i="5"/>
  <c r="G3126" i="5"/>
  <c r="H3126" i="5"/>
  <c r="G3127" i="5" l="1"/>
  <c r="H3127" i="5"/>
  <c r="F3128" i="5"/>
  <c r="M3125" i="5"/>
  <c r="M3124" i="5"/>
  <c r="J3126" i="5"/>
  <c r="I3126" i="5"/>
  <c r="L3125" i="5"/>
  <c r="G3128" i="5" l="1"/>
  <c r="H3128" i="5"/>
  <c r="F3129" i="5"/>
  <c r="I3127" i="5"/>
  <c r="J3127" i="5"/>
  <c r="K3126" i="5"/>
  <c r="L3126" i="5" s="1"/>
  <c r="N3127" i="5"/>
  <c r="K3127" i="5" l="1"/>
  <c r="L3127" i="5" s="1"/>
  <c r="N3128" i="5"/>
  <c r="M3126" i="5"/>
  <c r="F3130" i="5"/>
  <c r="G3129" i="5"/>
  <c r="H3129" i="5"/>
  <c r="I3129" i="5"/>
  <c r="J3128" i="5"/>
  <c r="I3128" i="5"/>
  <c r="G3130" i="5" l="1"/>
  <c r="H3130" i="5"/>
  <c r="F3131" i="5"/>
  <c r="K3128" i="5"/>
  <c r="L3128" i="5" s="1"/>
  <c r="N3129" i="5"/>
  <c r="M3128" i="5"/>
  <c r="J3129" i="5"/>
  <c r="M3127" i="5"/>
  <c r="F3132" i="5" l="1"/>
  <c r="H3131" i="5"/>
  <c r="I3131" i="5"/>
  <c r="G3131" i="5"/>
  <c r="J3131" i="5"/>
  <c r="J3130" i="5"/>
  <c r="I3130" i="5"/>
  <c r="N3130" i="5"/>
  <c r="K3129" i="5"/>
  <c r="L3129" i="5" s="1"/>
  <c r="M3129" i="5" s="1"/>
  <c r="N3131" i="5" l="1"/>
  <c r="K3130" i="5"/>
  <c r="L3130" i="5" s="1"/>
  <c r="K3131" i="5"/>
  <c r="N3132" i="5"/>
  <c r="M3130" i="5"/>
  <c r="H3132" i="5"/>
  <c r="F3133" i="5"/>
  <c r="G3132" i="5"/>
  <c r="F3134" i="5" l="1"/>
  <c r="I3133" i="5" s="1"/>
  <c r="G3133" i="5"/>
  <c r="H3133" i="5"/>
  <c r="J3133" i="5" s="1"/>
  <c r="I3132" i="5"/>
  <c r="L3131" i="5"/>
  <c r="J3132" i="5"/>
  <c r="K3133" i="5" l="1"/>
  <c r="L3133" i="5" s="1"/>
  <c r="N3134" i="5"/>
  <c r="K3132" i="5"/>
  <c r="L3132" i="5" s="1"/>
  <c r="M3133" i="5" s="1"/>
  <c r="N3133" i="5"/>
  <c r="M3131" i="5"/>
  <c r="F3135" i="5"/>
  <c r="G3134" i="5"/>
  <c r="H3134" i="5"/>
  <c r="M3132" i="5" l="1"/>
  <c r="G3135" i="5"/>
  <c r="H3135" i="5"/>
  <c r="F3136" i="5"/>
  <c r="I3135" i="5" s="1"/>
  <c r="I3134" i="5"/>
  <c r="J3134" i="5"/>
  <c r="K3134" i="5" l="1"/>
  <c r="L3134" i="5" s="1"/>
  <c r="N3135" i="5"/>
  <c r="J3135" i="5"/>
  <c r="G3136" i="5"/>
  <c r="H3136" i="5"/>
  <c r="F3137" i="5"/>
  <c r="I3136" i="5" s="1"/>
  <c r="F3138" i="5" l="1"/>
  <c r="G3137" i="5"/>
  <c r="H3137" i="5"/>
  <c r="I3137" i="5"/>
  <c r="J3137" i="5"/>
  <c r="J3136" i="5"/>
  <c r="K3135" i="5"/>
  <c r="L3135" i="5" s="1"/>
  <c r="N3136" i="5"/>
  <c r="M3134" i="5"/>
  <c r="K3136" i="5" l="1"/>
  <c r="L3136" i="5" s="1"/>
  <c r="N3137" i="5"/>
  <c r="K3137" i="5"/>
  <c r="L3137" i="5" s="1"/>
  <c r="N3138" i="5"/>
  <c r="M3135" i="5"/>
  <c r="F3139" i="5"/>
  <c r="J3138" i="5" s="1"/>
  <c r="G3138" i="5"/>
  <c r="H3138" i="5"/>
  <c r="K3138" i="5" l="1"/>
  <c r="L3138" i="5" s="1"/>
  <c r="M3138" i="5" s="1"/>
  <c r="N3139" i="5"/>
  <c r="F3140" i="5"/>
  <c r="H3139" i="5"/>
  <c r="G3139" i="5"/>
  <c r="I3139" i="5"/>
  <c r="J3139" i="5"/>
  <c r="I3138" i="5"/>
  <c r="M3137" i="5"/>
  <c r="M3136" i="5"/>
  <c r="K3139" i="5" l="1"/>
  <c r="L3139" i="5" s="1"/>
  <c r="N3140" i="5"/>
  <c r="F3141" i="5"/>
  <c r="H3140" i="5"/>
  <c r="G3140" i="5"/>
  <c r="I3140" i="5"/>
  <c r="J3140" i="5"/>
  <c r="M3139" i="5"/>
  <c r="K3140" i="5" l="1"/>
  <c r="L3140" i="5" s="1"/>
  <c r="N3141" i="5"/>
  <c r="F3142" i="5"/>
  <c r="G3141" i="5"/>
  <c r="H3141" i="5"/>
  <c r="I3141" i="5"/>
  <c r="J3141" i="5"/>
  <c r="M3140" i="5"/>
  <c r="K3141" i="5" l="1"/>
  <c r="L3141" i="5" s="1"/>
  <c r="N3142" i="5"/>
  <c r="F3143" i="5"/>
  <c r="G3142" i="5"/>
  <c r="I3142" i="5"/>
  <c r="H3142" i="5"/>
  <c r="J3142" i="5"/>
  <c r="M3141" i="5"/>
  <c r="K3142" i="5" l="1"/>
  <c r="L3142" i="5" s="1"/>
  <c r="N3143" i="5"/>
  <c r="G3143" i="5"/>
  <c r="H3143" i="5"/>
  <c r="F3144" i="5"/>
  <c r="M3142" i="5"/>
  <c r="G3144" i="5" l="1"/>
  <c r="H3144" i="5"/>
  <c r="F3145" i="5"/>
  <c r="J3143" i="5"/>
  <c r="I3143" i="5"/>
  <c r="K3143" i="5" l="1"/>
  <c r="L3143" i="5" s="1"/>
  <c r="N3144" i="5"/>
  <c r="F3146" i="5"/>
  <c r="G3145" i="5"/>
  <c r="H3145" i="5"/>
  <c r="I3145" i="5"/>
  <c r="J3145" i="5"/>
  <c r="J3144" i="5"/>
  <c r="I3144" i="5"/>
  <c r="K3145" i="5" l="1"/>
  <c r="F3147" i="5"/>
  <c r="G3146" i="5"/>
  <c r="H3146" i="5"/>
  <c r="I3146" i="5"/>
  <c r="J3146" i="5"/>
  <c r="K3144" i="5"/>
  <c r="L3144" i="5" s="1"/>
  <c r="N3145" i="5"/>
  <c r="N3146" i="5" s="1"/>
  <c r="M3143" i="5"/>
  <c r="K3146" i="5" l="1"/>
  <c r="N3147" i="5"/>
  <c r="F3148" i="5"/>
  <c r="H3147" i="5"/>
  <c r="G3147" i="5"/>
  <c r="I3147" i="5"/>
  <c r="J3147" i="5"/>
  <c r="M3145" i="5"/>
  <c r="M3144" i="5"/>
  <c r="L3145" i="5"/>
  <c r="K3147" i="5" l="1"/>
  <c r="N3148" i="5"/>
  <c r="F3149" i="5"/>
  <c r="H3148" i="5"/>
  <c r="J3148" i="5" s="1"/>
  <c r="I3148" i="5"/>
  <c r="G3148" i="5"/>
  <c r="M3146" i="5"/>
  <c r="L3146" i="5"/>
  <c r="K3148" i="5" l="1"/>
  <c r="L3148" i="5" s="1"/>
  <c r="N3149" i="5"/>
  <c r="F3150" i="5"/>
  <c r="G3149" i="5"/>
  <c r="H3149" i="5"/>
  <c r="J3149" i="5"/>
  <c r="I3149" i="5"/>
  <c r="L3147" i="5"/>
  <c r="M3148" i="5" l="1"/>
  <c r="M3147" i="5"/>
  <c r="K3149" i="5"/>
  <c r="L3149" i="5" s="1"/>
  <c r="N3150" i="5"/>
  <c r="F3151" i="5"/>
  <c r="G3150" i="5"/>
  <c r="H3150" i="5"/>
  <c r="I3150" i="5"/>
  <c r="M3149" i="5"/>
  <c r="G3151" i="5" l="1"/>
  <c r="H3151" i="5"/>
  <c r="F3152" i="5"/>
  <c r="J3150" i="5"/>
  <c r="G3152" i="5" l="1"/>
  <c r="H3152" i="5"/>
  <c r="F3153" i="5"/>
  <c r="J3151" i="5"/>
  <c r="I3151" i="5"/>
  <c r="K3150" i="5"/>
  <c r="L3150" i="5" s="1"/>
  <c r="N3151" i="5"/>
  <c r="K3151" i="5" l="1"/>
  <c r="L3151" i="5" s="1"/>
  <c r="N3152" i="5"/>
  <c r="M3151" i="5"/>
  <c r="M3150" i="5"/>
  <c r="F3154" i="5"/>
  <c r="G3153" i="5"/>
  <c r="H3153" i="5"/>
  <c r="I3152" i="5"/>
  <c r="J3152" i="5"/>
  <c r="F3155" i="5" l="1"/>
  <c r="J3154" i="5" s="1"/>
  <c r="G3154" i="5"/>
  <c r="H3154" i="5"/>
  <c r="I3154" i="5"/>
  <c r="K3152" i="5"/>
  <c r="L3152" i="5" s="1"/>
  <c r="N3153" i="5"/>
  <c r="J3153" i="5"/>
  <c r="I3153" i="5"/>
  <c r="K3154" i="5" l="1"/>
  <c r="K3153" i="5"/>
  <c r="L3153" i="5" s="1"/>
  <c r="M3153" i="5" s="1"/>
  <c r="N3154" i="5"/>
  <c r="N3155" i="5" s="1"/>
  <c r="M3152" i="5"/>
  <c r="F3156" i="5"/>
  <c r="H3155" i="5"/>
  <c r="G3155" i="5"/>
  <c r="F3157" i="5" l="1"/>
  <c r="H3156" i="5"/>
  <c r="G3156" i="5"/>
  <c r="I3156" i="5"/>
  <c r="J3156" i="5"/>
  <c r="M3154" i="5"/>
  <c r="I3155" i="5"/>
  <c r="J3155" i="5"/>
  <c r="L3154" i="5"/>
  <c r="K3155" i="5" l="1"/>
  <c r="L3155" i="5" s="1"/>
  <c r="N3156" i="5"/>
  <c r="K3156" i="5"/>
  <c r="L3156" i="5" s="1"/>
  <c r="N3157" i="5"/>
  <c r="M3155" i="5"/>
  <c r="F3158" i="5"/>
  <c r="G3157" i="5"/>
  <c r="H3157" i="5"/>
  <c r="F3159" i="5" l="1"/>
  <c r="G3158" i="5"/>
  <c r="H3158" i="5"/>
  <c r="J3158" i="5"/>
  <c r="I3158" i="5"/>
  <c r="J3157" i="5"/>
  <c r="I3157" i="5"/>
  <c r="M3156" i="5"/>
  <c r="K3157" i="5" l="1"/>
  <c r="L3157" i="5" s="1"/>
  <c r="N3158" i="5"/>
  <c r="N3159" i="5" s="1"/>
  <c r="K3158" i="5"/>
  <c r="G3159" i="5"/>
  <c r="H3159" i="5"/>
  <c r="F3160" i="5"/>
  <c r="J3159" i="5" s="1"/>
  <c r="K3159" i="5" l="1"/>
  <c r="N3160" i="5"/>
  <c r="I3159" i="5"/>
  <c r="L3158" i="5"/>
  <c r="G3160" i="5"/>
  <c r="H3160" i="5"/>
  <c r="I3160" i="5"/>
  <c r="J3160" i="5"/>
  <c r="F3161" i="5"/>
  <c r="M3157" i="5"/>
  <c r="K3160" i="5" l="1"/>
  <c r="N3161" i="5"/>
  <c r="M3158" i="5"/>
  <c r="F3162" i="5"/>
  <c r="G3161" i="5"/>
  <c r="H3161" i="5"/>
  <c r="I3161" i="5"/>
  <c r="L3159" i="5"/>
  <c r="F3163" i="5" l="1"/>
  <c r="G3162" i="5"/>
  <c r="J3162" i="5" s="1"/>
  <c r="H3162" i="5"/>
  <c r="I3162" i="5"/>
  <c r="L3160" i="5"/>
  <c r="M3160" i="5" s="1"/>
  <c r="J3161" i="5"/>
  <c r="M3159" i="5"/>
  <c r="N3163" i="5" l="1"/>
  <c r="K3162" i="5"/>
  <c r="L3162" i="5" s="1"/>
  <c r="N3162" i="5"/>
  <c r="K3161" i="5"/>
  <c r="L3161" i="5" s="1"/>
  <c r="M3162" i="5" s="1"/>
  <c r="F3164" i="5"/>
  <c r="H3163" i="5"/>
  <c r="G3163" i="5"/>
  <c r="F3165" i="5" l="1"/>
  <c r="J3164" i="5" s="1"/>
  <c r="H3164" i="5"/>
  <c r="G3164" i="5"/>
  <c r="M3161" i="5"/>
  <c r="J3163" i="5"/>
  <c r="I3163" i="5"/>
  <c r="K3164" i="5" l="1"/>
  <c r="I3164" i="5"/>
  <c r="K3163" i="5"/>
  <c r="L3163" i="5" s="1"/>
  <c r="N3164" i="5"/>
  <c r="N3165" i="5" s="1"/>
  <c r="F3166" i="5"/>
  <c r="G3165" i="5"/>
  <c r="I3165" i="5"/>
  <c r="H3165" i="5"/>
  <c r="M3163" i="5" l="1"/>
  <c r="F3167" i="5"/>
  <c r="G3166" i="5"/>
  <c r="H3166" i="5"/>
  <c r="I3166" i="5"/>
  <c r="J3166" i="5"/>
  <c r="J3165" i="5"/>
  <c r="L3164" i="5"/>
  <c r="K3165" i="5" l="1"/>
  <c r="L3165" i="5" s="1"/>
  <c r="N3166" i="5"/>
  <c r="N3167" i="5" s="1"/>
  <c r="K3166" i="5"/>
  <c r="L3166" i="5" s="1"/>
  <c r="G3167" i="5"/>
  <c r="H3167" i="5"/>
  <c r="I3167" i="5"/>
  <c r="J3167" i="5"/>
  <c r="F3168" i="5"/>
  <c r="M3165" i="5"/>
  <c r="M3164" i="5"/>
  <c r="K3167" i="5" l="1"/>
  <c r="N3168" i="5"/>
  <c r="G3168" i="5"/>
  <c r="H3168" i="5"/>
  <c r="F3169" i="5"/>
  <c r="J3168" i="5" s="1"/>
  <c r="M3166" i="5"/>
  <c r="K3168" i="5" l="1"/>
  <c r="N3169" i="5"/>
  <c r="I3168" i="5"/>
  <c r="F3170" i="5"/>
  <c r="G3169" i="5"/>
  <c r="H3169" i="5"/>
  <c r="I3169" i="5"/>
  <c r="J3169" i="5"/>
  <c r="L3167" i="5"/>
  <c r="I5" i="12"/>
  <c r="K3169" i="5" l="1"/>
  <c r="N3170" i="5"/>
  <c r="F3171" i="5"/>
  <c r="G3170" i="5"/>
  <c r="H3170" i="5"/>
  <c r="J3170" i="5"/>
  <c r="I3170" i="5"/>
  <c r="M3167" i="5"/>
  <c r="L3168" i="5"/>
  <c r="K3170" i="5" l="1"/>
  <c r="N3171" i="5"/>
  <c r="M3169" i="5"/>
  <c r="M3168" i="5"/>
  <c r="F3172" i="5"/>
  <c r="H3171" i="5"/>
  <c r="G3171" i="5"/>
  <c r="J3171" i="5"/>
  <c r="L3169" i="5"/>
  <c r="K3171" i="5" l="1"/>
  <c r="N3172" i="5"/>
  <c r="F3173" i="5"/>
  <c r="H3172" i="5"/>
  <c r="G3172" i="5"/>
  <c r="I3172" i="5"/>
  <c r="J3172" i="5"/>
  <c r="M3170" i="5"/>
  <c r="I3171" i="5"/>
  <c r="L3170" i="5"/>
  <c r="K3172" i="5" l="1"/>
  <c r="L3172" i="5" s="1"/>
  <c r="N3173" i="5"/>
  <c r="F3174" i="5"/>
  <c r="G3173" i="5"/>
  <c r="H3173" i="5"/>
  <c r="J3173" i="5"/>
  <c r="I3173" i="5"/>
  <c r="M3171" i="5"/>
  <c r="L3171" i="5"/>
  <c r="M3172" i="5" s="1"/>
  <c r="K3173" i="5" l="1"/>
  <c r="L3173" i="5" s="1"/>
  <c r="N3174" i="5"/>
  <c r="F3175" i="5"/>
  <c r="G3174" i="5"/>
  <c r="I3174" i="5"/>
  <c r="J3174" i="5"/>
  <c r="H3174" i="5"/>
  <c r="M3173" i="5"/>
  <c r="K3174" i="5" l="1"/>
  <c r="L3174" i="5" s="1"/>
  <c r="N3175" i="5"/>
  <c r="G3175" i="5"/>
  <c r="H3175" i="5"/>
  <c r="F3176" i="5"/>
  <c r="M3174" i="5"/>
  <c r="G3176" i="5" l="1"/>
  <c r="H3176" i="5"/>
  <c r="F3177" i="5"/>
  <c r="J3175" i="5"/>
  <c r="I3175" i="5"/>
  <c r="F3178" i="5" l="1"/>
  <c r="G3177" i="5"/>
  <c r="J3177" i="5" s="1"/>
  <c r="H3177" i="5"/>
  <c r="I3177" i="5"/>
  <c r="J3176" i="5"/>
  <c r="I3176" i="5"/>
  <c r="K3175" i="5"/>
  <c r="L3175" i="5" s="1"/>
  <c r="N3176" i="5"/>
  <c r="N3178" i="5" l="1"/>
  <c r="K3177" i="5"/>
  <c r="L3177" i="5" s="1"/>
  <c r="K3176" i="5"/>
  <c r="L3176" i="5" s="1"/>
  <c r="N3177" i="5"/>
  <c r="M3176" i="5"/>
  <c r="M3175" i="5"/>
  <c r="F3179" i="5"/>
  <c r="G3178" i="5"/>
  <c r="H3178" i="5"/>
  <c r="I3178" i="5"/>
  <c r="F3180" i="5" l="1"/>
  <c r="H3179" i="5"/>
  <c r="G3179" i="5"/>
  <c r="I3179" i="5"/>
  <c r="J3179" i="5"/>
  <c r="J3178" i="5"/>
  <c r="M3177" i="5"/>
  <c r="K3179" i="5" l="1"/>
  <c r="K3178" i="5"/>
  <c r="L3178" i="5" s="1"/>
  <c r="N3179" i="5"/>
  <c r="N3180" i="5" s="1"/>
  <c r="F3181" i="5"/>
  <c r="I3180" i="5" s="1"/>
  <c r="H3180" i="5"/>
  <c r="G3180" i="5"/>
  <c r="F3182" i="5" l="1"/>
  <c r="G3181" i="5"/>
  <c r="H3181" i="5"/>
  <c r="J3181" i="5"/>
  <c r="I3181" i="5"/>
  <c r="M3179" i="5"/>
  <c r="M3178" i="5"/>
  <c r="J3180" i="5"/>
  <c r="L3179" i="5"/>
  <c r="K3181" i="5" l="1"/>
  <c r="K3180" i="5"/>
  <c r="L3180" i="5" s="1"/>
  <c r="N3181" i="5"/>
  <c r="N3182" i="5" s="1"/>
  <c r="M3180" i="5"/>
  <c r="F3183" i="5"/>
  <c r="G3182" i="5"/>
  <c r="H3182" i="5"/>
  <c r="G3183" i="5" l="1"/>
  <c r="H3183" i="5"/>
  <c r="F3184" i="5"/>
  <c r="J3182" i="5"/>
  <c r="I3182" i="5"/>
  <c r="L3181" i="5"/>
  <c r="K3182" i="5" l="1"/>
  <c r="L3182" i="5" s="1"/>
  <c r="N3183" i="5"/>
  <c r="G3184" i="5"/>
  <c r="H3184" i="5"/>
  <c r="F3185" i="5"/>
  <c r="J3184" i="5" s="1"/>
  <c r="J3183" i="5"/>
  <c r="I3183" i="5"/>
  <c r="M3182" i="5"/>
  <c r="M3181" i="5"/>
  <c r="K3184" i="5" l="1"/>
  <c r="N3185" i="5"/>
  <c r="K3183" i="5"/>
  <c r="L3183" i="5" s="1"/>
  <c r="N3184" i="5"/>
  <c r="F3186" i="5"/>
  <c r="G3185" i="5"/>
  <c r="H3185" i="5"/>
  <c r="I3185" i="5"/>
  <c r="I3184" i="5"/>
  <c r="M3183" i="5"/>
  <c r="F3187" i="5" l="1"/>
  <c r="G3186" i="5"/>
  <c r="H3186" i="5"/>
  <c r="I3186" i="5"/>
  <c r="J3186" i="5"/>
  <c r="J3185" i="5"/>
  <c r="L3184" i="5"/>
  <c r="K3185" i="5" l="1"/>
  <c r="L3185" i="5" s="1"/>
  <c r="N3186" i="5"/>
  <c r="K3186" i="5"/>
  <c r="L3186" i="5" s="1"/>
  <c r="N3187" i="5"/>
  <c r="M3184" i="5"/>
  <c r="F3188" i="5"/>
  <c r="H3187" i="5"/>
  <c r="G3187" i="5"/>
  <c r="F3189" i="5" l="1"/>
  <c r="I3188" i="5" s="1"/>
  <c r="H3188" i="5"/>
  <c r="G3188" i="5"/>
  <c r="J3187" i="5"/>
  <c r="I3187" i="5"/>
  <c r="M3186" i="5"/>
  <c r="M3185" i="5"/>
  <c r="G3189" i="5" l="1"/>
  <c r="F3190" i="5"/>
  <c r="H3189" i="5"/>
  <c r="J3189" i="5"/>
  <c r="I3189" i="5"/>
  <c r="K3187" i="5"/>
  <c r="L3187" i="5" s="1"/>
  <c r="N3188" i="5"/>
  <c r="J3188" i="5"/>
  <c r="K3188" i="5" l="1"/>
  <c r="L3188" i="5" s="1"/>
  <c r="N3189" i="5"/>
  <c r="N3190" i="5" s="1"/>
  <c r="K3189" i="5"/>
  <c r="L3189" i="5" s="1"/>
  <c r="M3188" i="5"/>
  <c r="M3187" i="5"/>
  <c r="F3191" i="5"/>
  <c r="G3190" i="5"/>
  <c r="H3190" i="5"/>
  <c r="G3191" i="5" l="1"/>
  <c r="H3191" i="5"/>
  <c r="F3192" i="5"/>
  <c r="I3190" i="5"/>
  <c r="J3190" i="5"/>
  <c r="M3189" i="5"/>
  <c r="K3190" i="5" l="1"/>
  <c r="L3190" i="5" s="1"/>
  <c r="N3191" i="5"/>
  <c r="G3192" i="5"/>
  <c r="H3192" i="5"/>
  <c r="F3193" i="5"/>
  <c r="I3192" i="5" s="1"/>
  <c r="J3191" i="5"/>
  <c r="I3191" i="5"/>
  <c r="J3192" i="5" l="1"/>
  <c r="K3191" i="5"/>
  <c r="L3191" i="5" s="1"/>
  <c r="N3192" i="5"/>
  <c r="F3194" i="5"/>
  <c r="G3193" i="5"/>
  <c r="H3193" i="5"/>
  <c r="I3193" i="5"/>
  <c r="J3193" i="5"/>
  <c r="M3190" i="5"/>
  <c r="K3193" i="5" l="1"/>
  <c r="F3195" i="5"/>
  <c r="G3194" i="5"/>
  <c r="I3194" i="5"/>
  <c r="J3194" i="5"/>
  <c r="H3194" i="5"/>
  <c r="M3191" i="5"/>
  <c r="K3192" i="5"/>
  <c r="L3192" i="5" s="1"/>
  <c r="M3192" i="5" s="1"/>
  <c r="N3193" i="5"/>
  <c r="N3194" i="5" s="1"/>
  <c r="N3195" i="5" l="1"/>
  <c r="K3194" i="5"/>
  <c r="L3194" i="5" s="1"/>
  <c r="F3196" i="5"/>
  <c r="H3195" i="5"/>
  <c r="I3195" i="5"/>
  <c r="J3195" i="5"/>
  <c r="G3195" i="5"/>
  <c r="M3193" i="5"/>
  <c r="L3193" i="5"/>
  <c r="F3197" i="5" l="1"/>
  <c r="I3196" i="5" s="1"/>
  <c r="H3196" i="5"/>
  <c r="J3196" i="5"/>
  <c r="G3196" i="5"/>
  <c r="K3195" i="5"/>
  <c r="L3195" i="5" s="1"/>
  <c r="N3196" i="5"/>
  <c r="M3194" i="5"/>
  <c r="M3195" i="5" l="1"/>
  <c r="K3196" i="5"/>
  <c r="L3196" i="5" s="1"/>
  <c r="N3197" i="5"/>
  <c r="F3198" i="5"/>
  <c r="I3197" i="5" s="1"/>
  <c r="G3197" i="5"/>
  <c r="H3197" i="5"/>
  <c r="F3199" i="5" l="1"/>
  <c r="J3198" i="5" s="1"/>
  <c r="G3198" i="5"/>
  <c r="I3198" i="5"/>
  <c r="H3198" i="5"/>
  <c r="J3197" i="5"/>
  <c r="M3196" i="5"/>
  <c r="K3198" i="5" l="1"/>
  <c r="K3197" i="5"/>
  <c r="L3197" i="5" s="1"/>
  <c r="N3198" i="5"/>
  <c r="N3199" i="5" s="1"/>
  <c r="G3199" i="5"/>
  <c r="H3199" i="5"/>
  <c r="I3199" i="5"/>
  <c r="J3199" i="5"/>
  <c r="F3200" i="5"/>
  <c r="K3199" i="5" l="1"/>
  <c r="N3200" i="5"/>
  <c r="M3197" i="5"/>
  <c r="G3200" i="5"/>
  <c r="H3200" i="5"/>
  <c r="F3201" i="5"/>
  <c r="I3200" i="5" s="1"/>
  <c r="L3198" i="5"/>
  <c r="M3198" i="5" s="1"/>
  <c r="J3200" i="5" l="1"/>
  <c r="F3202" i="5"/>
  <c r="G3201" i="5"/>
  <c r="H3201" i="5"/>
  <c r="J3201" i="5" s="1"/>
  <c r="I3201" i="5"/>
  <c r="L3199" i="5"/>
  <c r="K3201" i="5" l="1"/>
  <c r="L3201" i="5" s="1"/>
  <c r="N3202" i="5"/>
  <c r="F3203" i="5"/>
  <c r="G3202" i="5"/>
  <c r="H3202" i="5"/>
  <c r="I3202" i="5"/>
  <c r="J3202" i="5"/>
  <c r="M3199" i="5"/>
  <c r="K3200" i="5"/>
  <c r="L3200" i="5" s="1"/>
  <c r="M3201" i="5" s="1"/>
  <c r="N3201" i="5"/>
  <c r="M3200" i="5" l="1"/>
  <c r="F3204" i="5"/>
  <c r="H3203" i="5"/>
  <c r="G3203" i="5"/>
  <c r="I3203" i="5"/>
  <c r="J3203" i="5"/>
  <c r="K3202" i="5"/>
  <c r="L3202" i="5" s="1"/>
  <c r="N3203" i="5"/>
  <c r="K3203" i="5" l="1"/>
  <c r="L3203" i="5" s="1"/>
  <c r="N3204" i="5"/>
  <c r="F3205" i="5"/>
  <c r="H3204" i="5"/>
  <c r="G3204" i="5"/>
  <c r="I3204" i="5"/>
  <c r="J3204" i="5"/>
  <c r="M3202" i="5"/>
  <c r="F3206" i="5" l="1"/>
  <c r="G3205" i="5"/>
  <c r="H3205" i="5"/>
  <c r="I3205" i="5"/>
  <c r="J3205" i="5"/>
  <c r="K3204" i="5"/>
  <c r="L3204" i="5" s="1"/>
  <c r="N3205" i="5"/>
  <c r="M3203" i="5"/>
  <c r="K3205" i="5" l="1"/>
  <c r="L3205" i="5" s="1"/>
  <c r="N3206" i="5"/>
  <c r="M3204" i="5"/>
  <c r="F3207" i="5"/>
  <c r="G3206" i="5"/>
  <c r="H3206" i="5"/>
  <c r="G3207" i="5" l="1"/>
  <c r="H3207" i="5"/>
  <c r="F3208" i="5"/>
  <c r="I3206" i="5"/>
  <c r="J3206" i="5"/>
  <c r="M3205" i="5"/>
  <c r="G3208" i="5" l="1"/>
  <c r="H3208" i="5"/>
  <c r="F3209" i="5"/>
  <c r="J3207" i="5"/>
  <c r="I3207" i="5"/>
  <c r="K3206" i="5"/>
  <c r="L3206" i="5" s="1"/>
  <c r="N3207" i="5"/>
  <c r="K3207" i="5" l="1"/>
  <c r="L3207" i="5" s="1"/>
  <c r="M3207" i="5" s="1"/>
  <c r="N3208" i="5"/>
  <c r="M3206" i="5"/>
  <c r="F3210" i="5"/>
  <c r="G3209" i="5"/>
  <c r="H3209" i="5"/>
  <c r="I3209" i="5"/>
  <c r="J3208" i="5"/>
  <c r="I3208" i="5"/>
  <c r="F3211" i="5" l="1"/>
  <c r="G3210" i="5"/>
  <c r="H3210" i="5"/>
  <c r="I3210" i="5"/>
  <c r="J3210" i="5"/>
  <c r="K3208" i="5"/>
  <c r="L3208" i="5" s="1"/>
  <c r="N3209" i="5"/>
  <c r="J3209" i="5"/>
  <c r="N3210" i="5" l="1"/>
  <c r="K3209" i="5"/>
  <c r="L3209" i="5" s="1"/>
  <c r="M3209" i="5" s="1"/>
  <c r="K3210" i="5"/>
  <c r="L3210" i="5" s="1"/>
  <c r="N3211" i="5"/>
  <c r="M3208" i="5"/>
  <c r="F3212" i="5"/>
  <c r="J3211" i="5" s="1"/>
  <c r="H3211" i="5"/>
  <c r="G3211" i="5"/>
  <c r="K3211" i="5" l="1"/>
  <c r="L3211" i="5" s="1"/>
  <c r="N3212" i="5"/>
  <c r="M3211" i="5"/>
  <c r="F3213" i="5"/>
  <c r="I3212" i="5" s="1"/>
  <c r="H3212" i="5"/>
  <c r="G3212" i="5"/>
  <c r="J3212" i="5"/>
  <c r="I3211" i="5"/>
  <c r="M3210" i="5"/>
  <c r="K3212" i="5" l="1"/>
  <c r="L3212" i="5" s="1"/>
  <c r="N3213" i="5"/>
  <c r="F3214" i="5"/>
  <c r="J3213" i="5" s="1"/>
  <c r="G3213" i="5"/>
  <c r="H3213" i="5"/>
  <c r="M3212" i="5"/>
  <c r="K3213" i="5" l="1"/>
  <c r="L3213" i="5" s="1"/>
  <c r="N3214" i="5"/>
  <c r="F3215" i="5"/>
  <c r="G3214" i="5"/>
  <c r="H3214" i="5"/>
  <c r="I3214" i="5"/>
  <c r="J3214" i="5"/>
  <c r="I3213" i="5"/>
  <c r="M3213" i="5"/>
  <c r="K3214" i="5" l="1"/>
  <c r="L3214" i="5" s="1"/>
  <c r="N3215" i="5"/>
  <c r="G3215" i="5"/>
  <c r="H3215" i="5"/>
  <c r="F3216" i="5"/>
  <c r="M3214" i="5"/>
  <c r="G3216" i="5" l="1"/>
  <c r="H3216" i="5"/>
  <c r="F3217" i="5"/>
  <c r="J3215" i="5"/>
  <c r="I3215" i="5"/>
  <c r="F3218" i="5" l="1"/>
  <c r="J3217" i="5" s="1"/>
  <c r="G3217" i="5"/>
  <c r="I3217" i="5"/>
  <c r="H3217" i="5"/>
  <c r="J3216" i="5"/>
  <c r="K3215" i="5"/>
  <c r="L3215" i="5" s="1"/>
  <c r="N3216" i="5"/>
  <c r="I3216" i="5"/>
  <c r="K3217" i="5" l="1"/>
  <c r="M3215" i="5"/>
  <c r="K3216" i="5"/>
  <c r="L3216" i="5" s="1"/>
  <c r="N3217" i="5"/>
  <c r="N3218" i="5" s="1"/>
  <c r="F3219" i="5"/>
  <c r="G3218" i="5"/>
  <c r="H3218" i="5"/>
  <c r="I3218" i="5"/>
  <c r="F3220" i="5" l="1"/>
  <c r="H3219" i="5"/>
  <c r="G3219" i="5"/>
  <c r="I3219" i="5"/>
  <c r="J3219" i="5"/>
  <c r="M3217" i="5"/>
  <c r="J3218" i="5"/>
  <c r="M3216" i="5"/>
  <c r="L3217" i="5"/>
  <c r="K3219" i="5" l="1"/>
  <c r="N3220" i="5"/>
  <c r="K3218" i="5"/>
  <c r="L3218" i="5" s="1"/>
  <c r="N3219" i="5"/>
  <c r="M3218" i="5"/>
  <c r="F3221" i="5"/>
  <c r="H3220" i="5"/>
  <c r="G3220" i="5"/>
  <c r="F3222" i="5" l="1"/>
  <c r="G3221" i="5"/>
  <c r="J3221" i="5" s="1"/>
  <c r="H3221" i="5"/>
  <c r="I3221" i="5"/>
  <c r="M3219" i="5"/>
  <c r="J3220" i="5"/>
  <c r="I3220" i="5"/>
  <c r="L3219" i="5"/>
  <c r="K3221" i="5" l="1"/>
  <c r="L3221" i="5" s="1"/>
  <c r="N3222" i="5"/>
  <c r="K3220" i="5"/>
  <c r="L3220" i="5" s="1"/>
  <c r="N3221" i="5"/>
  <c r="M3220" i="5"/>
  <c r="F3223" i="5"/>
  <c r="G3222" i="5"/>
  <c r="H3222" i="5"/>
  <c r="G3223" i="5" l="1"/>
  <c r="H3223" i="5"/>
  <c r="F3224" i="5"/>
  <c r="J3223" i="5" s="1"/>
  <c r="J3222" i="5"/>
  <c r="M3221" i="5"/>
  <c r="I3222" i="5"/>
  <c r="K3223" i="5" l="1"/>
  <c r="N3224" i="5"/>
  <c r="K3222" i="5"/>
  <c r="L3222" i="5" s="1"/>
  <c r="N3223" i="5"/>
  <c r="G3224" i="5"/>
  <c r="H3224" i="5"/>
  <c r="F3225" i="5"/>
  <c r="I3224" i="5" s="1"/>
  <c r="I3223" i="5"/>
  <c r="J3224" i="5" l="1"/>
  <c r="M3223" i="5"/>
  <c r="M3222" i="5"/>
  <c r="F3226" i="5"/>
  <c r="G3225" i="5"/>
  <c r="H3225" i="5"/>
  <c r="I3225" i="5"/>
  <c r="L3223" i="5"/>
  <c r="F3227" i="5" l="1"/>
  <c r="G3226" i="5"/>
  <c r="H3226" i="5"/>
  <c r="J3226" i="5"/>
  <c r="I3226" i="5"/>
  <c r="J3225" i="5"/>
  <c r="K3224" i="5"/>
  <c r="L3224" i="5" s="1"/>
  <c r="N3225" i="5"/>
  <c r="N3226" i="5" l="1"/>
  <c r="K3225" i="5"/>
  <c r="L3225" i="5" s="1"/>
  <c r="N3227" i="5"/>
  <c r="K3226" i="5"/>
  <c r="M3224" i="5"/>
  <c r="F3228" i="5"/>
  <c r="H3227" i="5"/>
  <c r="G3227" i="5"/>
  <c r="L3226" i="5" l="1"/>
  <c r="F3229" i="5"/>
  <c r="I3228" i="5" s="1"/>
  <c r="H3228" i="5"/>
  <c r="G3228" i="5"/>
  <c r="J3228" i="5"/>
  <c r="I3227" i="5"/>
  <c r="J3227" i="5"/>
  <c r="M3225" i="5"/>
  <c r="K3228" i="5" l="1"/>
  <c r="F3230" i="5"/>
  <c r="G3229" i="5"/>
  <c r="J3229" i="5"/>
  <c r="H3229" i="5"/>
  <c r="K3227" i="5"/>
  <c r="L3227" i="5" s="1"/>
  <c r="M3227" i="5" s="1"/>
  <c r="N3228" i="5"/>
  <c r="N3229" i="5" s="1"/>
  <c r="M3226" i="5"/>
  <c r="F3231" i="5" l="1"/>
  <c r="G3230" i="5"/>
  <c r="J3230" i="5" s="1"/>
  <c r="H3230" i="5"/>
  <c r="I3230" i="5"/>
  <c r="K3229" i="5"/>
  <c r="L3229" i="5" s="1"/>
  <c r="N3230" i="5"/>
  <c r="I3229" i="5"/>
  <c r="L3228" i="5"/>
  <c r="M3229" i="5" s="1"/>
  <c r="K3230" i="5" l="1"/>
  <c r="L3230" i="5" s="1"/>
  <c r="M3230" i="5" s="1"/>
  <c r="N3231" i="5"/>
  <c r="M3228" i="5"/>
  <c r="G3231" i="5"/>
  <c r="H3231" i="5"/>
  <c r="F3232" i="5"/>
  <c r="I3231" i="5" s="1"/>
  <c r="J3231" i="5" l="1"/>
  <c r="G3232" i="5"/>
  <c r="H3232" i="5"/>
  <c r="F3233" i="5"/>
  <c r="J3232" i="5" s="1"/>
  <c r="K3232" i="5" l="1"/>
  <c r="F3234" i="5"/>
  <c r="G3233" i="5"/>
  <c r="H3233" i="5"/>
  <c r="I3233" i="5"/>
  <c r="J3233" i="5"/>
  <c r="I3232" i="5"/>
  <c r="K3231" i="5"/>
  <c r="L3231" i="5" s="1"/>
  <c r="N3232" i="5"/>
  <c r="N3233" i="5" s="1"/>
  <c r="K3233" i="5" l="1"/>
  <c r="N3234" i="5"/>
  <c r="G3234" i="5"/>
  <c r="H3234" i="5"/>
  <c r="F3235" i="5"/>
  <c r="J3234" i="5"/>
  <c r="I3234" i="5"/>
  <c r="M3232" i="5"/>
  <c r="M3231" i="5"/>
  <c r="L3232" i="5"/>
  <c r="K3234" i="5" l="1"/>
  <c r="N3235" i="5"/>
  <c r="F3236" i="5"/>
  <c r="H3235" i="5"/>
  <c r="J3235" i="5" s="1"/>
  <c r="G3235" i="5"/>
  <c r="I3235" i="5"/>
  <c r="M3233" i="5"/>
  <c r="L3233" i="5"/>
  <c r="K3235" i="5" l="1"/>
  <c r="L3235" i="5" s="1"/>
  <c r="N3236" i="5"/>
  <c r="F3237" i="5"/>
  <c r="H3236" i="5"/>
  <c r="G3236" i="5"/>
  <c r="I3236" i="5"/>
  <c r="J3236" i="5"/>
  <c r="M3234" i="5"/>
  <c r="L3234" i="5"/>
  <c r="M3235" i="5" s="1"/>
  <c r="K3236" i="5" l="1"/>
  <c r="L3236" i="5" s="1"/>
  <c r="N3237" i="5"/>
  <c r="F3238" i="5"/>
  <c r="G3237" i="5"/>
  <c r="H3237" i="5"/>
  <c r="I3237" i="5"/>
  <c r="J3237" i="5"/>
  <c r="M3236" i="5"/>
  <c r="K3237" i="5" l="1"/>
  <c r="L3237" i="5" s="1"/>
  <c r="N3238" i="5"/>
  <c r="F3239" i="5"/>
  <c r="G3238" i="5"/>
  <c r="I3238" i="5"/>
  <c r="J3238" i="5"/>
  <c r="H3238" i="5"/>
  <c r="M3237" i="5"/>
  <c r="K3238" i="5" l="1"/>
  <c r="L3238" i="5" s="1"/>
  <c r="N3239" i="5"/>
  <c r="G3239" i="5"/>
  <c r="H3239" i="5"/>
  <c r="F3240" i="5"/>
  <c r="M3238" i="5"/>
  <c r="G3240" i="5" l="1"/>
  <c r="H3240" i="5"/>
  <c r="F3241" i="5"/>
  <c r="J3239" i="5"/>
  <c r="I3239" i="5"/>
  <c r="K3239" i="5" l="1"/>
  <c r="L3239" i="5" s="1"/>
  <c r="N3240" i="5"/>
  <c r="F3242" i="5"/>
  <c r="G3241" i="5"/>
  <c r="H3241" i="5"/>
  <c r="I3241" i="5"/>
  <c r="J3241" i="5"/>
  <c r="J3240" i="5"/>
  <c r="I3240" i="5"/>
  <c r="K3240" i="5" l="1"/>
  <c r="L3240" i="5" s="1"/>
  <c r="N3241" i="5"/>
  <c r="N3242" i="5" s="1"/>
  <c r="K3241" i="5"/>
  <c r="L3241" i="5" s="1"/>
  <c r="F3243" i="5"/>
  <c r="G3242" i="5"/>
  <c r="H3242" i="5"/>
  <c r="I3242" i="5"/>
  <c r="M3240" i="5"/>
  <c r="M3239" i="5"/>
  <c r="F3244" i="5" l="1"/>
  <c r="H3243" i="5"/>
  <c r="G3243" i="5"/>
  <c r="J3243" i="5"/>
  <c r="I3243" i="5"/>
  <c r="J3242" i="5"/>
  <c r="M3241" i="5"/>
  <c r="K3242" i="5" l="1"/>
  <c r="L3242" i="5" s="1"/>
  <c r="N3243" i="5"/>
  <c r="K3243" i="5"/>
  <c r="L3243" i="5" s="1"/>
  <c r="N3244" i="5"/>
  <c r="F3245" i="5"/>
  <c r="I3244" i="5" s="1"/>
  <c r="H3244" i="5"/>
  <c r="G3244" i="5"/>
  <c r="F3246" i="5" l="1"/>
  <c r="J3245" i="5" s="1"/>
  <c r="G3245" i="5"/>
  <c r="H3245" i="5"/>
  <c r="J3244" i="5"/>
  <c r="M3243" i="5"/>
  <c r="M3242" i="5"/>
  <c r="K3245" i="5" l="1"/>
  <c r="L3245" i="5" s="1"/>
  <c r="N3246" i="5"/>
  <c r="I3245" i="5"/>
  <c r="K3244" i="5"/>
  <c r="L3244" i="5" s="1"/>
  <c r="N3245" i="5"/>
  <c r="F3247" i="5"/>
  <c r="G3246" i="5"/>
  <c r="H3246" i="5"/>
  <c r="I3246" i="5"/>
  <c r="G3247" i="5" l="1"/>
  <c r="H3247" i="5"/>
  <c r="F3248" i="5"/>
  <c r="J3246" i="5"/>
  <c r="M3245" i="5"/>
  <c r="M3244" i="5"/>
  <c r="K3246" i="5" l="1"/>
  <c r="L3246" i="5" s="1"/>
  <c r="N3247" i="5"/>
  <c r="G3248" i="5"/>
  <c r="H3248" i="5"/>
  <c r="F3249" i="5"/>
  <c r="I3248" i="5" s="1"/>
  <c r="J3247" i="5"/>
  <c r="I3247" i="5"/>
  <c r="K3247" i="5" l="1"/>
  <c r="L3247" i="5" s="1"/>
  <c r="N3248" i="5"/>
  <c r="F3250" i="5"/>
  <c r="G3249" i="5"/>
  <c r="H3249" i="5"/>
  <c r="I3249" i="5"/>
  <c r="J3249" i="5"/>
  <c r="J3248" i="5"/>
  <c r="M3247" i="5"/>
  <c r="M3246" i="5"/>
  <c r="K3248" i="5" l="1"/>
  <c r="L3248" i="5" s="1"/>
  <c r="N3249" i="5"/>
  <c r="K3249" i="5"/>
  <c r="L3249" i="5" s="1"/>
  <c r="N3250" i="5"/>
  <c r="G3250" i="5"/>
  <c r="F3251" i="5"/>
  <c r="H3250" i="5"/>
  <c r="M3248" i="5"/>
  <c r="F3252" i="5" l="1"/>
  <c r="I3251" i="5" s="1"/>
  <c r="H3251" i="5"/>
  <c r="G3251" i="5"/>
  <c r="J3251" i="5"/>
  <c r="I3250" i="5"/>
  <c r="J3250" i="5"/>
  <c r="M3249" i="5"/>
  <c r="K3250" i="5" l="1"/>
  <c r="L3250" i="5" s="1"/>
  <c r="N3251" i="5"/>
  <c r="K3251" i="5"/>
  <c r="L3251" i="5" s="1"/>
  <c r="N3252" i="5"/>
  <c r="F3253" i="5"/>
  <c r="H3252" i="5"/>
  <c r="G3252" i="5"/>
  <c r="I3252" i="5"/>
  <c r="F3254" i="5" l="1"/>
  <c r="J3253" i="5" s="1"/>
  <c r="G3253" i="5"/>
  <c r="H3253" i="5"/>
  <c r="J3252" i="5"/>
  <c r="M3251" i="5"/>
  <c r="M3250" i="5"/>
  <c r="K3253" i="5" l="1"/>
  <c r="N3254" i="5"/>
  <c r="I3253" i="5"/>
  <c r="K3252" i="5"/>
  <c r="L3252" i="5" s="1"/>
  <c r="N3253" i="5"/>
  <c r="F3255" i="5"/>
  <c r="G3254" i="5"/>
  <c r="H3254" i="5"/>
  <c r="G3255" i="5" l="1"/>
  <c r="H3255" i="5"/>
  <c r="F3256" i="5"/>
  <c r="M3252" i="5"/>
  <c r="I3254" i="5"/>
  <c r="J3254" i="5"/>
  <c r="L3253" i="5"/>
  <c r="M3253" i="5" s="1"/>
  <c r="G3256" i="5" l="1"/>
  <c r="H3256" i="5"/>
  <c r="F3257" i="5"/>
  <c r="J3255" i="5"/>
  <c r="I3255" i="5"/>
  <c r="M3254" i="5"/>
  <c r="K3254" i="5"/>
  <c r="L3254" i="5" s="1"/>
  <c r="N3255" i="5"/>
  <c r="K3255" i="5" l="1"/>
  <c r="L3255" i="5" s="1"/>
  <c r="N3256" i="5"/>
  <c r="F3258" i="5"/>
  <c r="G3257" i="5"/>
  <c r="H3257" i="5"/>
  <c r="I3257" i="5"/>
  <c r="J3257" i="5"/>
  <c r="J3256" i="5"/>
  <c r="I3256" i="5"/>
  <c r="M3255" i="5"/>
  <c r="K3257" i="5" l="1"/>
  <c r="L3257" i="5" s="1"/>
  <c r="K3256" i="5"/>
  <c r="L3256" i="5" s="1"/>
  <c r="N3257" i="5"/>
  <c r="N3258" i="5" s="1"/>
  <c r="F3259" i="5"/>
  <c r="G3258" i="5"/>
  <c r="I3258" i="5"/>
  <c r="J3258" i="5"/>
  <c r="H3258" i="5"/>
  <c r="M3256" i="5"/>
  <c r="N3259" i="5" l="1"/>
  <c r="K3258" i="5"/>
  <c r="L3258" i="5" s="1"/>
  <c r="F3260" i="5"/>
  <c r="H3259" i="5"/>
  <c r="I3259" i="5"/>
  <c r="G3259" i="5"/>
  <c r="J3259" i="5"/>
  <c r="M3257" i="5"/>
  <c r="K3259" i="5" l="1"/>
  <c r="L3259" i="5" s="1"/>
  <c r="N3260" i="5"/>
  <c r="F3261" i="5"/>
  <c r="H3260" i="5"/>
  <c r="I3260" i="5"/>
  <c r="G3260" i="5"/>
  <c r="J3260" i="5"/>
  <c r="M3259" i="5"/>
  <c r="M3258" i="5"/>
  <c r="K3260" i="5" l="1"/>
  <c r="L3260" i="5" s="1"/>
  <c r="N3261" i="5"/>
  <c r="F3262" i="5"/>
  <c r="I3261" i="5"/>
  <c r="G3261" i="5"/>
  <c r="J3261" i="5"/>
  <c r="H3261" i="5"/>
  <c r="M3260" i="5"/>
  <c r="K3261" i="5" l="1"/>
  <c r="L3261" i="5" s="1"/>
  <c r="N3262" i="5"/>
  <c r="G3262" i="5"/>
  <c r="F3263" i="5"/>
  <c r="H3262" i="5"/>
  <c r="M3261" i="5"/>
  <c r="G3263" i="5" l="1"/>
  <c r="H3263" i="5"/>
  <c r="F3264" i="5"/>
  <c r="I3262" i="5"/>
  <c r="J3262" i="5"/>
  <c r="G3264" i="5" l="1"/>
  <c r="H3264" i="5"/>
  <c r="F3265" i="5"/>
  <c r="I3263" i="5"/>
  <c r="J3263" i="5"/>
  <c r="K3262" i="5"/>
  <c r="L3262" i="5" s="1"/>
  <c r="N3263" i="5"/>
  <c r="M3262" i="5" l="1"/>
  <c r="K3263" i="5"/>
  <c r="L3263" i="5" s="1"/>
  <c r="N3264" i="5"/>
  <c r="F3266" i="5"/>
  <c r="G3265" i="5"/>
  <c r="H3265" i="5"/>
  <c r="J3264" i="5"/>
  <c r="I3264" i="5"/>
  <c r="F3267" i="5" l="1"/>
  <c r="G3266" i="5"/>
  <c r="H3266" i="5"/>
  <c r="I3266" i="5"/>
  <c r="J3266" i="5"/>
  <c r="I3265" i="5"/>
  <c r="K3264" i="5"/>
  <c r="L3264" i="5" s="1"/>
  <c r="N3265" i="5"/>
  <c r="J3265" i="5"/>
  <c r="M3263" i="5"/>
  <c r="M3264" i="5" l="1"/>
  <c r="K3266" i="5"/>
  <c r="K3265" i="5"/>
  <c r="L3265" i="5" s="1"/>
  <c r="N3266" i="5"/>
  <c r="N3267" i="5" s="1"/>
  <c r="F3268" i="5"/>
  <c r="H3267" i="5"/>
  <c r="G3267" i="5"/>
  <c r="F3269" i="5" l="1"/>
  <c r="H3268" i="5"/>
  <c r="J3268" i="5" s="1"/>
  <c r="G3268" i="5"/>
  <c r="I3268" i="5"/>
  <c r="J3267" i="5"/>
  <c r="L3266" i="5"/>
  <c r="I3267" i="5"/>
  <c r="M3265" i="5"/>
  <c r="K3268" i="5" l="1"/>
  <c r="L3268" i="5" s="1"/>
  <c r="N3269" i="5"/>
  <c r="K3267" i="5"/>
  <c r="L3267" i="5" s="1"/>
  <c r="M3268" i="5" s="1"/>
  <c r="N3268" i="5"/>
  <c r="M3267" i="5"/>
  <c r="M3266" i="5"/>
  <c r="F3270" i="5"/>
  <c r="I3269" i="5" s="1"/>
  <c r="G3269" i="5"/>
  <c r="H3269" i="5"/>
  <c r="F3271" i="5" l="1"/>
  <c r="I3270" i="5" s="1"/>
  <c r="G3270" i="5"/>
  <c r="H3270" i="5"/>
  <c r="J3270" i="5"/>
  <c r="J3269" i="5"/>
  <c r="K3270" i="5" l="1"/>
  <c r="N3271" i="5"/>
  <c r="K3269" i="5"/>
  <c r="L3269" i="5" s="1"/>
  <c r="N3270" i="5"/>
  <c r="G3271" i="5"/>
  <c r="H3271" i="5"/>
  <c r="F3272" i="5"/>
  <c r="I3271" i="5" s="1"/>
  <c r="J3271" i="5" l="1"/>
  <c r="M3270" i="5"/>
  <c r="M3269" i="5"/>
  <c r="G3272" i="5"/>
  <c r="H3272" i="5"/>
  <c r="F3273" i="5"/>
  <c r="I3272" i="5" s="1"/>
  <c r="L3270" i="5"/>
  <c r="F3274" i="5" l="1"/>
  <c r="G3273" i="5"/>
  <c r="J3273" i="5" s="1"/>
  <c r="H3273" i="5"/>
  <c r="I3273" i="5"/>
  <c r="J3272" i="5"/>
  <c r="K3271" i="5"/>
  <c r="L3271" i="5" s="1"/>
  <c r="N3272" i="5"/>
  <c r="N3274" i="5" l="1"/>
  <c r="K3273" i="5"/>
  <c r="L3273" i="5" s="1"/>
  <c r="K3272" i="5"/>
  <c r="L3272" i="5" s="1"/>
  <c r="N3273" i="5"/>
  <c r="M3271" i="5"/>
  <c r="F3275" i="5"/>
  <c r="G3274" i="5"/>
  <c r="H3274" i="5"/>
  <c r="I3274" i="5"/>
  <c r="M3273" i="5" l="1"/>
  <c r="F3276" i="5"/>
  <c r="I3275" i="5" s="1"/>
  <c r="H3275" i="5"/>
  <c r="G3275" i="5"/>
  <c r="J3274" i="5"/>
  <c r="M3272" i="5"/>
  <c r="K3274" i="5" l="1"/>
  <c r="L3274" i="5" s="1"/>
  <c r="N3275" i="5"/>
  <c r="J3275" i="5"/>
  <c r="F3277" i="5"/>
  <c r="H3276" i="5"/>
  <c r="I3276" i="5"/>
  <c r="G3276" i="5"/>
  <c r="J3276" i="5"/>
  <c r="F3278" i="5" l="1"/>
  <c r="G3277" i="5"/>
  <c r="J3277" i="5" s="1"/>
  <c r="H3277" i="5"/>
  <c r="I3277" i="5"/>
  <c r="K3275" i="5"/>
  <c r="L3275" i="5" s="1"/>
  <c r="N3276" i="5"/>
  <c r="N3277" i="5" s="1"/>
  <c r="K3276" i="5"/>
  <c r="L3276" i="5" s="1"/>
  <c r="M3274" i="5"/>
  <c r="K3277" i="5" l="1"/>
  <c r="L3277" i="5" s="1"/>
  <c r="N3278" i="5"/>
  <c r="M3276" i="5"/>
  <c r="M3277" i="5"/>
  <c r="M3275" i="5"/>
  <c r="F3279" i="5"/>
  <c r="G3278" i="5"/>
  <c r="H3278" i="5"/>
  <c r="I3278" i="5"/>
  <c r="J3278" i="5"/>
  <c r="G3279" i="5" l="1"/>
  <c r="H3279" i="5"/>
  <c r="F3280" i="5"/>
  <c r="K3278" i="5"/>
  <c r="L3278" i="5" s="1"/>
  <c r="N3279" i="5"/>
  <c r="G3280" i="5" l="1"/>
  <c r="H3280" i="5"/>
  <c r="F3281" i="5"/>
  <c r="J3279" i="5"/>
  <c r="I3279" i="5"/>
  <c r="M3278" i="5"/>
  <c r="F3282" i="5" l="1"/>
  <c r="J3281" i="5" s="1"/>
  <c r="G3281" i="5"/>
  <c r="H3281" i="5"/>
  <c r="J3280" i="5"/>
  <c r="I3280" i="5"/>
  <c r="K3279" i="5"/>
  <c r="L3279" i="5" s="1"/>
  <c r="N3280" i="5"/>
  <c r="K3281" i="5" l="1"/>
  <c r="L3281" i="5" s="1"/>
  <c r="N3282" i="5"/>
  <c r="M3279" i="5"/>
  <c r="K3280" i="5"/>
  <c r="L3280" i="5" s="1"/>
  <c r="M3281" i="5" s="1"/>
  <c r="N3281" i="5"/>
  <c r="I3281" i="5"/>
  <c r="F3283" i="5"/>
  <c r="G3282" i="5"/>
  <c r="H3282" i="5"/>
  <c r="F3284" i="5" l="1"/>
  <c r="H3283" i="5"/>
  <c r="G3283" i="5"/>
  <c r="I3283" i="5"/>
  <c r="J3283" i="5"/>
  <c r="I3282" i="5"/>
  <c r="M3280" i="5"/>
  <c r="J3282" i="5"/>
  <c r="K3282" i="5" l="1"/>
  <c r="L3282" i="5" s="1"/>
  <c r="N3283" i="5"/>
  <c r="N3284" i="5" s="1"/>
  <c r="K3283" i="5"/>
  <c r="L3283" i="5" s="1"/>
  <c r="F3285" i="5"/>
  <c r="I3284" i="5" s="1"/>
  <c r="H3284" i="5"/>
  <c r="G3284" i="5"/>
  <c r="F3286" i="5" l="1"/>
  <c r="G3285" i="5"/>
  <c r="H3285" i="5"/>
  <c r="I3285" i="5"/>
  <c r="J3285" i="5"/>
  <c r="J3284" i="5"/>
  <c r="M3283" i="5"/>
  <c r="M3282" i="5"/>
  <c r="K3284" i="5" l="1"/>
  <c r="L3284" i="5" s="1"/>
  <c r="N3285" i="5"/>
  <c r="K3285" i="5"/>
  <c r="L3285" i="5" s="1"/>
  <c r="N3286" i="5"/>
  <c r="F3287" i="5"/>
  <c r="J3286" i="5" s="1"/>
  <c r="G3286" i="5"/>
  <c r="H3286" i="5"/>
  <c r="K3286" i="5" l="1"/>
  <c r="N3287" i="5"/>
  <c r="G3287" i="5"/>
  <c r="H3287" i="5"/>
  <c r="F3288" i="5"/>
  <c r="I3286" i="5"/>
  <c r="M3285" i="5"/>
  <c r="M3284" i="5"/>
  <c r="G3288" i="5" l="1"/>
  <c r="H3288" i="5"/>
  <c r="F3289" i="5"/>
  <c r="J3287" i="5"/>
  <c r="I3287" i="5"/>
  <c r="L3286" i="5"/>
  <c r="H5" i="12"/>
  <c r="M3286" i="5" l="1"/>
  <c r="K3287" i="5"/>
  <c r="L3287" i="5" s="1"/>
  <c r="N3288" i="5"/>
  <c r="F3290" i="5"/>
  <c r="G3289" i="5"/>
  <c r="H3289" i="5"/>
  <c r="I3289" i="5"/>
  <c r="J3288" i="5"/>
  <c r="I3288" i="5"/>
  <c r="F3291" i="5" l="1"/>
  <c r="J3290" i="5" s="1"/>
  <c r="G3290" i="5"/>
  <c r="H3290" i="5"/>
  <c r="I3290" i="5"/>
  <c r="K3288" i="5"/>
  <c r="L3288" i="5" s="1"/>
  <c r="M3288" i="5" s="1"/>
  <c r="N3289" i="5"/>
  <c r="J3289" i="5"/>
  <c r="M3287" i="5"/>
  <c r="N3291" i="5" l="1"/>
  <c r="K3290" i="5"/>
  <c r="L3290" i="5" s="1"/>
  <c r="N3290" i="5"/>
  <c r="K3289" i="5"/>
  <c r="L3289" i="5" s="1"/>
  <c r="F3292" i="5"/>
  <c r="H3291" i="5"/>
  <c r="G3291" i="5"/>
  <c r="J3291" i="5"/>
  <c r="F3293" i="5" l="1"/>
  <c r="H3292" i="5"/>
  <c r="I3292" i="5"/>
  <c r="G3292" i="5"/>
  <c r="J3292" i="5"/>
  <c r="M3290" i="5"/>
  <c r="M3289" i="5"/>
  <c r="K3291" i="5"/>
  <c r="L3291" i="5" s="1"/>
  <c r="N3292" i="5"/>
  <c r="I3291" i="5"/>
  <c r="K3292" i="5" l="1"/>
  <c r="L3292" i="5" s="1"/>
  <c r="N3293" i="5"/>
  <c r="M3292" i="5"/>
  <c r="M3291" i="5"/>
  <c r="F3294" i="5"/>
  <c r="G3293" i="5"/>
  <c r="I3293" i="5"/>
  <c r="J3293" i="5"/>
  <c r="H3293" i="5"/>
  <c r="K3293" i="5" l="1"/>
  <c r="L3293" i="5" s="1"/>
  <c r="N3294" i="5"/>
  <c r="F3295" i="5"/>
  <c r="G3294" i="5"/>
  <c r="H3294" i="5"/>
  <c r="I3294" i="5"/>
  <c r="J3294" i="5"/>
  <c r="M3293" i="5"/>
  <c r="K3294" i="5" l="1"/>
  <c r="L3294" i="5" s="1"/>
  <c r="N3295" i="5"/>
  <c r="G3295" i="5"/>
  <c r="H3295" i="5"/>
  <c r="F3296" i="5"/>
  <c r="M3294" i="5"/>
  <c r="G3296" i="5" l="1"/>
  <c r="H3296" i="5"/>
  <c r="F3297" i="5"/>
  <c r="I3295" i="5"/>
  <c r="J3295" i="5"/>
  <c r="F3298" i="5" l="1"/>
  <c r="G3297" i="5"/>
  <c r="H3297" i="5"/>
  <c r="I3297" i="5"/>
  <c r="J3297" i="5"/>
  <c r="J3296" i="5"/>
  <c r="I3296" i="5"/>
  <c r="K3295" i="5"/>
  <c r="L3295" i="5" s="1"/>
  <c r="N3296" i="5"/>
  <c r="K3296" i="5" l="1"/>
  <c r="L3296" i="5" s="1"/>
  <c r="N3297" i="5"/>
  <c r="K3297" i="5"/>
  <c r="L3297" i="5" s="1"/>
  <c r="N3298" i="5"/>
  <c r="M3296" i="5"/>
  <c r="M3295" i="5"/>
  <c r="F3299" i="5"/>
  <c r="J3298" i="5" s="1"/>
  <c r="G3298" i="5"/>
  <c r="H3298" i="5"/>
  <c r="K3298" i="5" l="1"/>
  <c r="L3298" i="5" s="1"/>
  <c r="N3299" i="5"/>
  <c r="M3298" i="5"/>
  <c r="I3298" i="5"/>
  <c r="F3300" i="5"/>
  <c r="H3299" i="5"/>
  <c r="G3299" i="5"/>
  <c r="J3299" i="5"/>
  <c r="M3297" i="5"/>
  <c r="F3301" i="5" l="1"/>
  <c r="H3300" i="5"/>
  <c r="G3300" i="5"/>
  <c r="I3300" i="5"/>
  <c r="J3300" i="5"/>
  <c r="K3299" i="5"/>
  <c r="L3299" i="5" s="1"/>
  <c r="N3300" i="5"/>
  <c r="I3299" i="5"/>
  <c r="M3300" i="5" l="1"/>
  <c r="K3300" i="5"/>
  <c r="L3300" i="5" s="1"/>
  <c r="N3301" i="5"/>
  <c r="M3299" i="5"/>
  <c r="F3302" i="5"/>
  <c r="G3301" i="5"/>
  <c r="H3301" i="5"/>
  <c r="J3301" i="5"/>
  <c r="I3301" i="5"/>
  <c r="K3301" i="5" l="1"/>
  <c r="L3301" i="5" s="1"/>
  <c r="N3302" i="5"/>
  <c r="F3303" i="5"/>
  <c r="G3302" i="5"/>
  <c r="I3302" i="5"/>
  <c r="J3302" i="5"/>
  <c r="H3302" i="5"/>
  <c r="M3301" i="5" l="1"/>
  <c r="K3302" i="5"/>
  <c r="L3302" i="5" s="1"/>
  <c r="N3303" i="5"/>
  <c r="G3303" i="5"/>
  <c r="H3303" i="5"/>
  <c r="F3304" i="5"/>
  <c r="I3303" i="5" s="1"/>
  <c r="J3303" i="5" l="1"/>
  <c r="G3304" i="5"/>
  <c r="H3304" i="5"/>
  <c r="F3305" i="5"/>
  <c r="I3304" i="5" s="1"/>
  <c r="M3302" i="5"/>
  <c r="F3306" i="5" l="1"/>
  <c r="G3305" i="5"/>
  <c r="H3305" i="5"/>
  <c r="J3304" i="5"/>
  <c r="K3303" i="5"/>
  <c r="L3303" i="5" s="1"/>
  <c r="N3304" i="5"/>
  <c r="F3307" i="5" l="1"/>
  <c r="G3306" i="5"/>
  <c r="H3306" i="5"/>
  <c r="I3306" i="5"/>
  <c r="J3306" i="5"/>
  <c r="K3304" i="5"/>
  <c r="L3304" i="5" s="1"/>
  <c r="M3304" i="5" s="1"/>
  <c r="N3305" i="5"/>
  <c r="M3303" i="5"/>
  <c r="J3305" i="5"/>
  <c r="I3305" i="5"/>
  <c r="N3306" i="5" l="1"/>
  <c r="K3305" i="5"/>
  <c r="L3305" i="5" s="1"/>
  <c r="K3306" i="5"/>
  <c r="L3306" i="5" s="1"/>
  <c r="N3307" i="5"/>
  <c r="H3307" i="5"/>
  <c r="F3308" i="5"/>
  <c r="G3307" i="5"/>
  <c r="F3309" i="5" l="1"/>
  <c r="H3308" i="5"/>
  <c r="I3308" i="5"/>
  <c r="G3308" i="5"/>
  <c r="J3308" i="5"/>
  <c r="M3306" i="5"/>
  <c r="J3307" i="5"/>
  <c r="I3307" i="5"/>
  <c r="M3305" i="5"/>
  <c r="K3307" i="5" l="1"/>
  <c r="L3307" i="5" s="1"/>
  <c r="N3308" i="5"/>
  <c r="K3308" i="5"/>
  <c r="L3308" i="5" s="1"/>
  <c r="N3309" i="5"/>
  <c r="F3310" i="5"/>
  <c r="G3309" i="5"/>
  <c r="H3309" i="5"/>
  <c r="J3309" i="5"/>
  <c r="K3309" i="5" l="1"/>
  <c r="L3309" i="5" s="1"/>
  <c r="N3310" i="5"/>
  <c r="F3311" i="5"/>
  <c r="G3310" i="5"/>
  <c r="H3310" i="5"/>
  <c r="I3310" i="5"/>
  <c r="J3310" i="5"/>
  <c r="M3309" i="5"/>
  <c r="I3309" i="5"/>
  <c r="M3308" i="5"/>
  <c r="M3307" i="5"/>
  <c r="K3310" i="5" l="1"/>
  <c r="L3310" i="5" s="1"/>
  <c r="M3310" i="5" s="1"/>
  <c r="N3311" i="5"/>
  <c r="G3311" i="5"/>
  <c r="H3311" i="5"/>
  <c r="F3312" i="5"/>
  <c r="G3312" i="5" l="1"/>
  <c r="H3312" i="5"/>
  <c r="F3313" i="5"/>
  <c r="J3311" i="5"/>
  <c r="I3311" i="5"/>
  <c r="K3311" i="5" l="1"/>
  <c r="L3311" i="5" s="1"/>
  <c r="N3312" i="5"/>
  <c r="F3314" i="5"/>
  <c r="G3313" i="5"/>
  <c r="H3313" i="5"/>
  <c r="I3313" i="5"/>
  <c r="J3313" i="5"/>
  <c r="J3312" i="5"/>
  <c r="I3312" i="5"/>
  <c r="F3315" i="5" l="1"/>
  <c r="G3314" i="5"/>
  <c r="H3314" i="5"/>
  <c r="J3314" i="5" s="1"/>
  <c r="I3314" i="5"/>
  <c r="K3312" i="5"/>
  <c r="L3312" i="5" s="1"/>
  <c r="N3313" i="5"/>
  <c r="N3314" i="5" s="1"/>
  <c r="K3313" i="5"/>
  <c r="M3311" i="5"/>
  <c r="K3314" i="5" l="1"/>
  <c r="L3314" i="5" s="1"/>
  <c r="N3315" i="5"/>
  <c r="L3313" i="5"/>
  <c r="M3314" i="5" s="1"/>
  <c r="M3312" i="5"/>
  <c r="F3316" i="5"/>
  <c r="H3315" i="5"/>
  <c r="G3315" i="5"/>
  <c r="F3317" i="5" l="1"/>
  <c r="H3316" i="5"/>
  <c r="G3316" i="5"/>
  <c r="I3316" i="5"/>
  <c r="J3316" i="5"/>
  <c r="M3313" i="5"/>
  <c r="J3315" i="5"/>
  <c r="I3315" i="5"/>
  <c r="K3315" i="5" l="1"/>
  <c r="L3315" i="5" s="1"/>
  <c r="N3316" i="5"/>
  <c r="K3316" i="5"/>
  <c r="L3316" i="5" s="1"/>
  <c r="N3317" i="5"/>
  <c r="F3318" i="5"/>
  <c r="G3317" i="5"/>
  <c r="H3317" i="5"/>
  <c r="J3317" i="5"/>
  <c r="K3317" i="5" l="1"/>
  <c r="L3317" i="5" s="1"/>
  <c r="N3318" i="5"/>
  <c r="F3319" i="5"/>
  <c r="G3318" i="5"/>
  <c r="H3318" i="5"/>
  <c r="J3318" i="5"/>
  <c r="I3318" i="5"/>
  <c r="M3317" i="5"/>
  <c r="I3317" i="5"/>
  <c r="M3316" i="5"/>
  <c r="M3315" i="5"/>
  <c r="G3319" i="5" l="1"/>
  <c r="H3319" i="5"/>
  <c r="F3320" i="5"/>
  <c r="K3318" i="5"/>
  <c r="L3318" i="5" s="1"/>
  <c r="M3318" i="5" s="1"/>
  <c r="N3319" i="5"/>
  <c r="G3320" i="5" l="1"/>
  <c r="H3320" i="5"/>
  <c r="F3321" i="5"/>
  <c r="J3319" i="5"/>
  <c r="I3319" i="5"/>
  <c r="K3319" i="5" l="1"/>
  <c r="L3319" i="5" s="1"/>
  <c r="N3320" i="5"/>
  <c r="F3322" i="5"/>
  <c r="G3321" i="5"/>
  <c r="H3321" i="5"/>
  <c r="I3321" i="5"/>
  <c r="J3321" i="5"/>
  <c r="J3320" i="5"/>
  <c r="I3320" i="5"/>
  <c r="K3320" i="5" l="1"/>
  <c r="L3320" i="5" s="1"/>
  <c r="N3321" i="5"/>
  <c r="N3322" i="5" s="1"/>
  <c r="K3321" i="5"/>
  <c r="L3321" i="5" s="1"/>
  <c r="G3322" i="5"/>
  <c r="F3323" i="5"/>
  <c r="I3322" i="5" s="1"/>
  <c r="H3322" i="5"/>
  <c r="M3320" i="5"/>
  <c r="M3319" i="5"/>
  <c r="M3321" i="5" l="1"/>
  <c r="J3322" i="5"/>
  <c r="F3324" i="5"/>
  <c r="H3323" i="5"/>
  <c r="I3323" i="5"/>
  <c r="J3323" i="5"/>
  <c r="G3323" i="5"/>
  <c r="F3325" i="5" l="1"/>
  <c r="H3324" i="5"/>
  <c r="G3324" i="5"/>
  <c r="K3323" i="5"/>
  <c r="L3323" i="5" s="1"/>
  <c r="N3323" i="5"/>
  <c r="N3324" i="5" s="1"/>
  <c r="K3322" i="5"/>
  <c r="L3322" i="5" s="1"/>
  <c r="M3323" i="5" l="1"/>
  <c r="M3322" i="5"/>
  <c r="F3326" i="5"/>
  <c r="I3325" i="5"/>
  <c r="J3325" i="5"/>
  <c r="H3325" i="5"/>
  <c r="G3325" i="5"/>
  <c r="J3324" i="5"/>
  <c r="I3324" i="5"/>
  <c r="K3324" i="5" l="1"/>
  <c r="L3324" i="5" s="1"/>
  <c r="N3325" i="5"/>
  <c r="F3327" i="5"/>
  <c r="G3326" i="5"/>
  <c r="J3326" i="5"/>
  <c r="I3326" i="5"/>
  <c r="H3326" i="5"/>
  <c r="K3325" i="5"/>
  <c r="N3326" i="5"/>
  <c r="G3327" i="5" l="1"/>
  <c r="H3327" i="5"/>
  <c r="F3328" i="5"/>
  <c r="L3325" i="5"/>
  <c r="K3326" i="5"/>
  <c r="N3327" i="5"/>
  <c r="M3325" i="5"/>
  <c r="M3324" i="5"/>
  <c r="L3326" i="5" l="1"/>
  <c r="M3326" i="5"/>
  <c r="G3328" i="5"/>
  <c r="H3328" i="5"/>
  <c r="F3329" i="5"/>
  <c r="J3327" i="5"/>
  <c r="I3327" i="5"/>
  <c r="F3330" i="5" l="1"/>
  <c r="G3329" i="5"/>
  <c r="H3329" i="5"/>
  <c r="I3329" i="5"/>
  <c r="J3329" i="5"/>
  <c r="K3327" i="5"/>
  <c r="L3327" i="5" s="1"/>
  <c r="N3328" i="5"/>
  <c r="J3328" i="5"/>
  <c r="I3328" i="5"/>
  <c r="K3328" i="5" l="1"/>
  <c r="L3328" i="5" s="1"/>
  <c r="N3329" i="5"/>
  <c r="M3328" i="5"/>
  <c r="K3329" i="5"/>
  <c r="N3330" i="5"/>
  <c r="M3327" i="5"/>
  <c r="F3331" i="5"/>
  <c r="G3330" i="5"/>
  <c r="H3330" i="5"/>
  <c r="F3332" i="5" l="1"/>
  <c r="H3331" i="5"/>
  <c r="G3331" i="5"/>
  <c r="I3331" i="5"/>
  <c r="J3331" i="5"/>
  <c r="L3329" i="5"/>
  <c r="G5" i="12"/>
  <c r="J3330" i="5"/>
  <c r="I3330" i="5"/>
  <c r="K3330" i="5" l="1"/>
  <c r="L3330" i="5" s="1"/>
  <c r="N3331" i="5"/>
  <c r="M3330" i="5"/>
  <c r="M3329" i="5"/>
  <c r="K3331" i="5"/>
  <c r="L3331" i="5" s="1"/>
  <c r="N3332" i="5"/>
  <c r="F3333" i="5"/>
  <c r="H3332" i="5"/>
  <c r="G3332" i="5"/>
  <c r="F3334" i="5" l="1"/>
  <c r="G3333" i="5"/>
  <c r="H3333" i="5"/>
  <c r="I3333" i="5"/>
  <c r="J3333" i="5"/>
  <c r="J3332" i="5"/>
  <c r="I3332" i="5"/>
  <c r="M3331" i="5"/>
  <c r="K3332" i="5" l="1"/>
  <c r="L3332" i="5" s="1"/>
  <c r="N3333" i="5"/>
  <c r="K3333" i="5"/>
  <c r="L3333" i="5" s="1"/>
  <c r="N3334" i="5"/>
  <c r="F3335" i="5"/>
  <c r="G3334" i="5"/>
  <c r="H3334" i="5"/>
  <c r="G3335" i="5" l="1"/>
  <c r="H3335" i="5"/>
  <c r="F3336" i="5"/>
  <c r="I3334" i="5"/>
  <c r="J3334" i="5"/>
  <c r="M3333" i="5"/>
  <c r="M3332" i="5"/>
  <c r="G3336" i="5" l="1"/>
  <c r="H3336" i="5"/>
  <c r="F3337" i="5"/>
  <c r="K3334" i="5"/>
  <c r="L3334" i="5" s="1"/>
  <c r="N3335" i="5"/>
  <c r="J3335" i="5"/>
  <c r="I3335" i="5"/>
  <c r="M3334" i="5" l="1"/>
  <c r="K3335" i="5"/>
  <c r="L3335" i="5" s="1"/>
  <c r="N3336" i="5"/>
  <c r="F3338" i="5"/>
  <c r="G3337" i="5"/>
  <c r="H3337" i="5"/>
  <c r="I3337" i="5"/>
  <c r="J3336" i="5"/>
  <c r="I3336" i="5"/>
  <c r="F3339" i="5" l="1"/>
  <c r="G3338" i="5"/>
  <c r="H3338" i="5"/>
  <c r="I3338" i="5"/>
  <c r="J3338" i="5"/>
  <c r="K3336" i="5"/>
  <c r="L3336" i="5" s="1"/>
  <c r="N3337" i="5"/>
  <c r="J3337" i="5"/>
  <c r="M3335" i="5"/>
  <c r="K3338" i="5" l="1"/>
  <c r="M3336" i="5"/>
  <c r="N3338" i="5"/>
  <c r="N3339" i="5" s="1"/>
  <c r="K3337" i="5"/>
  <c r="L3337" i="5" s="1"/>
  <c r="F3340" i="5"/>
  <c r="J3339" i="5" s="1"/>
  <c r="H3339" i="5"/>
  <c r="G3339" i="5"/>
  <c r="K3339" i="5" l="1"/>
  <c r="L3339" i="5" s="1"/>
  <c r="N3340" i="5"/>
  <c r="F3341" i="5"/>
  <c r="H3340" i="5"/>
  <c r="G3340" i="5"/>
  <c r="L3338" i="5"/>
  <c r="M3339" i="5" s="1"/>
  <c r="I3339" i="5"/>
  <c r="M3337" i="5"/>
  <c r="F3342" i="5" l="1"/>
  <c r="G3341" i="5"/>
  <c r="H3341" i="5"/>
  <c r="J3341" i="5"/>
  <c r="I3341" i="5"/>
  <c r="I3340" i="5"/>
  <c r="J3340" i="5"/>
  <c r="M3338" i="5"/>
  <c r="K3340" i="5" l="1"/>
  <c r="L3340" i="5" s="1"/>
  <c r="N3341" i="5"/>
  <c r="K3341" i="5"/>
  <c r="L3341" i="5" s="1"/>
  <c r="N3342" i="5"/>
  <c r="F3343" i="5"/>
  <c r="G3342" i="5"/>
  <c r="H3342" i="5"/>
  <c r="I3342" i="5"/>
  <c r="G3343" i="5" l="1"/>
  <c r="H3343" i="5"/>
  <c r="F3344" i="5"/>
  <c r="I3343" i="5" s="1"/>
  <c r="J3342" i="5"/>
  <c r="M3341" i="5"/>
  <c r="M3340" i="5"/>
  <c r="K3342" i="5" l="1"/>
  <c r="L3342" i="5" s="1"/>
  <c r="N3343" i="5"/>
  <c r="J3343" i="5"/>
  <c r="G3344" i="5"/>
  <c r="H3344" i="5"/>
  <c r="F3345" i="5"/>
  <c r="I3344" i="5" s="1"/>
  <c r="J3344" i="5" l="1"/>
  <c r="F3346" i="5"/>
  <c r="G3345" i="5"/>
  <c r="H3345" i="5"/>
  <c r="I3345" i="5"/>
  <c r="K3343" i="5"/>
  <c r="L3343" i="5" s="1"/>
  <c r="N3344" i="5"/>
  <c r="M3342" i="5"/>
  <c r="F3347" i="5" l="1"/>
  <c r="G3346" i="5"/>
  <c r="H3346" i="5"/>
  <c r="I3346" i="5"/>
  <c r="J3346" i="5"/>
  <c r="J3345" i="5"/>
  <c r="M3343" i="5"/>
  <c r="K3344" i="5"/>
  <c r="L3344" i="5" s="1"/>
  <c r="N3345" i="5"/>
  <c r="K3346" i="5" l="1"/>
  <c r="F3348" i="5"/>
  <c r="H3347" i="5"/>
  <c r="G3347" i="5"/>
  <c r="K3345" i="5"/>
  <c r="L3345" i="5" s="1"/>
  <c r="M3345" i="5" s="1"/>
  <c r="N3346" i="5"/>
  <c r="N3347" i="5" s="1"/>
  <c r="M3344" i="5"/>
  <c r="F3349" i="5" l="1"/>
  <c r="H3348" i="5"/>
  <c r="G3348" i="5"/>
  <c r="I3348" i="5"/>
  <c r="J3348" i="5"/>
  <c r="J3347" i="5"/>
  <c r="M3346" i="5"/>
  <c r="I3347" i="5"/>
  <c r="L3346" i="5"/>
  <c r="K3348" i="5" l="1"/>
  <c r="K3347" i="5"/>
  <c r="L3347" i="5" s="1"/>
  <c r="N3348" i="5"/>
  <c r="N3349" i="5" s="1"/>
  <c r="M3347" i="5"/>
  <c r="G3349" i="5"/>
  <c r="H3349" i="5"/>
  <c r="F3350" i="5"/>
  <c r="J3349" i="5" s="1"/>
  <c r="K3349" i="5" l="1"/>
  <c r="L3349" i="5" s="1"/>
  <c r="N3350" i="5"/>
  <c r="G3350" i="5"/>
  <c r="H3350" i="5"/>
  <c r="F3351" i="5"/>
  <c r="M3348" i="5"/>
  <c r="I3349" i="5"/>
  <c r="L3348" i="5"/>
  <c r="M3349" i="5" s="1"/>
  <c r="G3351" i="5" l="1"/>
  <c r="H3351" i="5"/>
  <c r="F3352" i="5"/>
  <c r="J3350" i="5"/>
  <c r="I3350" i="5"/>
  <c r="K3350" i="5" l="1"/>
  <c r="L3350" i="5" s="1"/>
  <c r="N3351" i="5"/>
  <c r="G3352" i="5"/>
  <c r="H3352" i="5"/>
  <c r="F3353" i="5"/>
  <c r="J3352" i="5" s="1"/>
  <c r="J3351" i="5"/>
  <c r="I3351" i="5"/>
  <c r="K3352" i="5" l="1"/>
  <c r="F3354" i="5"/>
  <c r="G3353" i="5"/>
  <c r="H3353" i="5"/>
  <c r="I3353" i="5"/>
  <c r="J3353" i="5"/>
  <c r="I3352" i="5"/>
  <c r="K3351" i="5"/>
  <c r="L3351" i="5" s="1"/>
  <c r="N3352" i="5"/>
  <c r="N3353" i="5" s="1"/>
  <c r="M3351" i="5"/>
  <c r="M3350" i="5"/>
  <c r="F3355" i="5" l="1"/>
  <c r="G3354" i="5"/>
  <c r="H3354" i="5"/>
  <c r="J3354" i="5"/>
  <c r="I3354" i="5"/>
  <c r="N3354" i="5"/>
  <c r="K3353" i="5"/>
  <c r="L3353" i="5" s="1"/>
  <c r="M3352" i="5"/>
  <c r="L3352" i="5"/>
  <c r="N3355" i="5" l="1"/>
  <c r="K3354" i="5"/>
  <c r="L3354" i="5" s="1"/>
  <c r="M3353" i="5"/>
  <c r="F3356" i="5"/>
  <c r="H3355" i="5"/>
  <c r="G3355" i="5"/>
  <c r="J3355" i="5"/>
  <c r="K3355" i="5" l="1"/>
  <c r="L3355" i="5" s="1"/>
  <c r="N3356" i="5"/>
  <c r="M3355" i="5"/>
  <c r="F3357" i="5"/>
  <c r="H3356" i="5"/>
  <c r="I3356" i="5"/>
  <c r="G3356" i="5"/>
  <c r="J3356" i="5"/>
  <c r="M3354" i="5"/>
  <c r="I3355" i="5"/>
  <c r="K3356" i="5" l="1"/>
  <c r="L3356" i="5" s="1"/>
  <c r="N3357" i="5"/>
  <c r="F3358" i="5"/>
  <c r="G3357" i="5"/>
  <c r="I3357" i="5"/>
  <c r="J3357" i="5"/>
  <c r="H3357" i="5"/>
  <c r="M3356" i="5"/>
  <c r="K3357" i="5" l="1"/>
  <c r="L3357" i="5" s="1"/>
  <c r="N3358" i="5"/>
  <c r="F3359" i="5"/>
  <c r="G3358" i="5"/>
  <c r="H3358" i="5"/>
  <c r="I3358" i="5"/>
  <c r="J3358" i="5"/>
  <c r="M3357" i="5"/>
  <c r="K3358" i="5" l="1"/>
  <c r="L3358" i="5" s="1"/>
  <c r="N3359" i="5"/>
  <c r="G3359" i="5"/>
  <c r="H3359" i="5"/>
  <c r="F3360" i="5"/>
  <c r="J3359" i="5" s="1"/>
  <c r="M3358" i="5"/>
  <c r="K3359" i="5" l="1"/>
  <c r="L3359" i="5" s="1"/>
  <c r="N3360" i="5"/>
  <c r="G3360" i="5"/>
  <c r="H3360" i="5"/>
  <c r="F3361" i="5"/>
  <c r="I3359" i="5"/>
  <c r="M3359" i="5"/>
  <c r="F3362" i="5" l="1"/>
  <c r="G3361" i="5"/>
  <c r="H3361" i="5"/>
  <c r="I3361" i="5"/>
  <c r="J3361" i="5"/>
  <c r="J3360" i="5"/>
  <c r="I3360" i="5"/>
  <c r="K3360" i="5" l="1"/>
  <c r="L3360" i="5" s="1"/>
  <c r="N3361" i="5"/>
  <c r="K3361" i="5"/>
  <c r="L3361" i="5" s="1"/>
  <c r="N3362" i="5"/>
  <c r="F3363" i="5"/>
  <c r="G3362" i="5"/>
  <c r="H3362" i="5"/>
  <c r="J3362" i="5"/>
  <c r="K3362" i="5" l="1"/>
  <c r="L3362" i="5" s="1"/>
  <c r="N3363" i="5"/>
  <c r="F3364" i="5"/>
  <c r="H3363" i="5"/>
  <c r="J3363" i="5" s="1"/>
  <c r="G3363" i="5"/>
  <c r="I3363" i="5"/>
  <c r="I3362" i="5"/>
  <c r="M3361" i="5"/>
  <c r="M3360" i="5"/>
  <c r="K3363" i="5" l="1"/>
  <c r="L3363" i="5" s="1"/>
  <c r="N3364" i="5"/>
  <c r="M3363" i="5"/>
  <c r="F3365" i="5"/>
  <c r="H3364" i="5"/>
  <c r="G3364" i="5"/>
  <c r="I3364" i="5"/>
  <c r="J3364" i="5"/>
  <c r="M3362" i="5"/>
  <c r="K3364" i="5" l="1"/>
  <c r="L3364" i="5" s="1"/>
  <c r="N3365" i="5"/>
  <c r="F3366" i="5"/>
  <c r="G3365" i="5"/>
  <c r="H3365" i="5"/>
  <c r="I3365" i="5"/>
  <c r="J3365" i="5"/>
  <c r="M3364" i="5"/>
  <c r="K3365" i="5" l="1"/>
  <c r="L3365" i="5" s="1"/>
  <c r="N3366" i="5"/>
  <c r="F3367" i="5"/>
  <c r="G3366" i="5"/>
  <c r="I3366" i="5"/>
  <c r="J3366" i="5"/>
  <c r="H3366" i="5"/>
  <c r="M3365" i="5"/>
  <c r="K3366" i="5" l="1"/>
  <c r="L3366" i="5" s="1"/>
  <c r="N3367" i="5"/>
  <c r="G3367" i="5"/>
  <c r="H3367" i="5"/>
  <c r="F3368" i="5"/>
  <c r="J3367" i="5" s="1"/>
  <c r="M3366" i="5"/>
  <c r="K3367" i="5" l="1"/>
  <c r="L3367" i="5" s="1"/>
  <c r="N3368" i="5"/>
  <c r="G3368" i="5"/>
  <c r="H3368" i="5"/>
  <c r="F3369" i="5"/>
  <c r="I3367" i="5"/>
  <c r="M3367" i="5"/>
  <c r="F3370" i="5" l="1"/>
  <c r="G3369" i="5"/>
  <c r="H3369" i="5"/>
  <c r="I3369" i="5"/>
  <c r="J3369" i="5"/>
  <c r="J3368" i="5"/>
  <c r="I3368" i="5"/>
  <c r="K3368" i="5" l="1"/>
  <c r="L3368" i="5" s="1"/>
  <c r="N3369" i="5"/>
  <c r="N3370" i="5"/>
  <c r="K3369" i="5"/>
  <c r="L3369" i="5" s="1"/>
  <c r="F3371" i="5"/>
  <c r="G3370" i="5"/>
  <c r="H3370" i="5"/>
  <c r="F3372" i="5" l="1"/>
  <c r="H3371" i="5"/>
  <c r="G3371" i="5"/>
  <c r="J3371" i="5"/>
  <c r="I3371" i="5"/>
  <c r="I3370" i="5"/>
  <c r="J3370" i="5"/>
  <c r="M3369" i="5"/>
  <c r="M3368" i="5"/>
  <c r="K3370" i="5" l="1"/>
  <c r="L3370" i="5" s="1"/>
  <c r="N3371" i="5"/>
  <c r="K3371" i="5"/>
  <c r="L3371" i="5" s="1"/>
  <c r="N3372" i="5"/>
  <c r="F3373" i="5"/>
  <c r="H3372" i="5"/>
  <c r="I3372" i="5"/>
  <c r="G3372" i="5"/>
  <c r="F3374" i="5" l="1"/>
  <c r="G3373" i="5"/>
  <c r="H3373" i="5"/>
  <c r="J3373" i="5" s="1"/>
  <c r="I3373" i="5"/>
  <c r="J3372" i="5"/>
  <c r="M3371" i="5"/>
  <c r="M3370" i="5"/>
  <c r="K3373" i="5" l="1"/>
  <c r="N3374" i="5"/>
  <c r="F3375" i="5"/>
  <c r="G3374" i="5"/>
  <c r="H3374" i="5"/>
  <c r="J3374" i="5"/>
  <c r="I3374" i="5"/>
  <c r="K3372" i="5"/>
  <c r="L3372" i="5" s="1"/>
  <c r="N3373" i="5"/>
  <c r="M3372" i="5" l="1"/>
  <c r="K3374" i="5"/>
  <c r="L3374" i="5" s="1"/>
  <c r="N3375" i="5"/>
  <c r="G3375" i="5"/>
  <c r="H3375" i="5"/>
  <c r="I3375" i="5"/>
  <c r="J3375" i="5"/>
  <c r="F3376" i="5"/>
  <c r="L3373" i="5"/>
  <c r="M3374" i="5" s="1"/>
  <c r="F5" i="12"/>
  <c r="K3375" i="5" l="1"/>
  <c r="L3375" i="5" s="1"/>
  <c r="N3376" i="5"/>
  <c r="M3375" i="5"/>
  <c r="G3376" i="5"/>
  <c r="H3376" i="5"/>
  <c r="F3377" i="5"/>
  <c r="I3376" i="5" s="1"/>
  <c r="M3373" i="5"/>
  <c r="F3378" i="5" l="1"/>
  <c r="G3377" i="5"/>
  <c r="H3377" i="5"/>
  <c r="I3377" i="5"/>
  <c r="J3377" i="5"/>
  <c r="J3376" i="5"/>
  <c r="K3376" i="5" l="1"/>
  <c r="L3376" i="5" s="1"/>
  <c r="N3377" i="5"/>
  <c r="K3377" i="5"/>
  <c r="L3377" i="5" s="1"/>
  <c r="N3378" i="5"/>
  <c r="F3379" i="5"/>
  <c r="G3378" i="5"/>
  <c r="H3378" i="5"/>
  <c r="F3380" i="5" l="1"/>
  <c r="H3379" i="5"/>
  <c r="G3379" i="5"/>
  <c r="I3379" i="5"/>
  <c r="J3379" i="5"/>
  <c r="I3378" i="5"/>
  <c r="J3378" i="5"/>
  <c r="M3377" i="5"/>
  <c r="M3376" i="5"/>
  <c r="K3378" i="5" l="1"/>
  <c r="L3378" i="5" s="1"/>
  <c r="N3379" i="5"/>
  <c r="K3379" i="5"/>
  <c r="L3379" i="5" s="1"/>
  <c r="N3380" i="5"/>
  <c r="F3381" i="5"/>
  <c r="H3380" i="5"/>
  <c r="G3380" i="5"/>
  <c r="I3380" i="5"/>
  <c r="F3382" i="5" l="1"/>
  <c r="G3381" i="5"/>
  <c r="H3381" i="5"/>
  <c r="J3381" i="5"/>
  <c r="I3381" i="5"/>
  <c r="J3380" i="5"/>
  <c r="M3379" i="5"/>
  <c r="M3378" i="5"/>
  <c r="K3381" i="5" l="1"/>
  <c r="F3383" i="5"/>
  <c r="G3382" i="5"/>
  <c r="H3382" i="5"/>
  <c r="J3382" i="5"/>
  <c r="I3382" i="5"/>
  <c r="K3380" i="5"/>
  <c r="L3380" i="5" s="1"/>
  <c r="N3381" i="5"/>
  <c r="N3382" i="5" s="1"/>
  <c r="M3380" i="5" l="1"/>
  <c r="K3382" i="5"/>
  <c r="L3382" i="5" s="1"/>
  <c r="N3383" i="5"/>
  <c r="G3383" i="5"/>
  <c r="H3383" i="5"/>
  <c r="I3383" i="5"/>
  <c r="J3383" i="5"/>
  <c r="F3384" i="5"/>
  <c r="L3381" i="5"/>
  <c r="K3383" i="5" l="1"/>
  <c r="L3383" i="5" s="1"/>
  <c r="N3384" i="5"/>
  <c r="M3382" i="5"/>
  <c r="M3383" i="5"/>
  <c r="G3384" i="5"/>
  <c r="H3384" i="5"/>
  <c r="I3384" i="5"/>
  <c r="J3384" i="5"/>
  <c r="F3385" i="5"/>
  <c r="M3381" i="5"/>
  <c r="K3384" i="5" l="1"/>
  <c r="L3384" i="5" s="1"/>
  <c r="N3385" i="5"/>
  <c r="F3386" i="5"/>
  <c r="G3385" i="5"/>
  <c r="H3385" i="5"/>
  <c r="I3385" i="5"/>
  <c r="J3385" i="5"/>
  <c r="M3384" i="5"/>
  <c r="N3386" i="5" l="1"/>
  <c r="K3385" i="5"/>
  <c r="L3385" i="5" s="1"/>
  <c r="F3387" i="5"/>
  <c r="G3386" i="5"/>
  <c r="I3386" i="5"/>
  <c r="J3386" i="5"/>
  <c r="H3386" i="5"/>
  <c r="M3385" i="5"/>
  <c r="N3387" i="5" l="1"/>
  <c r="K3386" i="5"/>
  <c r="L3386" i="5" s="1"/>
  <c r="H3387" i="5"/>
  <c r="F3388" i="5"/>
  <c r="I3387" i="5"/>
  <c r="G3387" i="5"/>
  <c r="J3387" i="5"/>
  <c r="M3386" i="5"/>
  <c r="K3387" i="5" l="1"/>
  <c r="N3388" i="5"/>
  <c r="F3389" i="5"/>
  <c r="H3388" i="5"/>
  <c r="I3388" i="5"/>
  <c r="G3388" i="5"/>
  <c r="J3388" i="5"/>
  <c r="K3388" i="5" l="1"/>
  <c r="N3389" i="5"/>
  <c r="F3390" i="5"/>
  <c r="I3389" i="5"/>
  <c r="G3389" i="5"/>
  <c r="J3389" i="5"/>
  <c r="H3389" i="5"/>
  <c r="L3387" i="5"/>
  <c r="E5" i="12"/>
  <c r="M3387" i="5" l="1"/>
  <c r="K3389" i="5"/>
  <c r="L3389" i="5" s="1"/>
  <c r="N3390" i="5"/>
  <c r="F3391" i="5"/>
  <c r="G3390" i="5"/>
  <c r="H3390" i="5"/>
  <c r="J3390" i="5"/>
  <c r="L3388" i="5"/>
  <c r="K3390" i="5" l="1"/>
  <c r="L3390" i="5" s="1"/>
  <c r="N3391" i="5"/>
  <c r="G3391" i="5"/>
  <c r="H3391" i="5"/>
  <c r="F3392" i="5"/>
  <c r="I3391" i="5" s="1"/>
  <c r="M3389" i="5"/>
  <c r="M3390" i="5"/>
  <c r="I3390" i="5"/>
  <c r="M3388" i="5"/>
  <c r="G3392" i="5" l="1"/>
  <c r="H3392" i="5"/>
  <c r="I3392" i="5"/>
  <c r="J3392" i="5"/>
  <c r="J3391" i="5"/>
  <c r="K3391" i="5" l="1"/>
  <c r="L3391" i="5" s="1"/>
  <c r="N3392" i="5"/>
  <c r="K3392" i="5"/>
  <c r="P3" i="11"/>
  <c r="L3392" i="5" l="1"/>
  <c r="D5" i="12"/>
  <c r="C5" i="12"/>
  <c r="M3392" i="5"/>
  <c r="M3391" i="5"/>
  <c r="G57" i="4" l="1"/>
  <c r="I57" i="4"/>
  <c r="L57" i="4"/>
  <c r="J57" i="4"/>
  <c r="K57" i="4"/>
  <c r="H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Yr' and m.category = 'MTG' and AsOfDate &lt;= '2017-06-14' and AsOfDate&gt;= '19920103' order by d.AsOfDate"/>
  </connection>
</connections>
</file>

<file path=xl/sharedStrings.xml><?xml version="1.0" encoding="utf-8"?>
<sst xmlns="http://schemas.openxmlformats.org/spreadsheetml/2006/main" count="3993" uniqueCount="3445">
  <si>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</si>
  <si>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</si>
  <si>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</si>
  <si>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</si>
  <si>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</si>
  <si>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</si>
  <si>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</si>
  <si>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</si>
  <si>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</si>
  <si>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</si>
  <si>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</si>
  <si>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</si>
  <si>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</si>
  <si>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</si>
  <si>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</si>
  <si>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</si>
  <si>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</si>
  <si>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</si>
  <si>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</si>
  <si>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</si>
  <si>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</si>
  <si>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</si>
  <si>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</si>
  <si>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</si>
  <si>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</si>
  <si>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</si>
  <si>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</si>
  <si>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</si>
  <si>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</si>
  <si>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</si>
  <si>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</si>
  <si>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</si>
  <si>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</si>
  <si>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</si>
  <si>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</si>
  <si>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</si>
  <si>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</si>
  <si>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</si>
  <si>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</si>
  <si>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</si>
  <si>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</si>
  <si>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</si>
  <si>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</si>
  <si>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</si>
  <si>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</si>
  <si>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</si>
  <si>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</si>
  <si>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</si>
  <si>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</si>
  <si>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</si>
  <si>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</si>
  <si>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</si>
  <si>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</si>
  <si>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</si>
  <si>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</si>
  <si>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</si>
  <si>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</si>
  <si>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</si>
  <si>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</si>
  <si>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</si>
  <si>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</si>
  <si>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</si>
  <si>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</si>
  <si>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</si>
  <si>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</si>
  <si>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</si>
  <si>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</si>
  <si>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</si>
  <si>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</si>
  <si>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</si>
  <si>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</si>
  <si>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</si>
  <si>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</si>
  <si>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</si>
  <si>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</si>
  <si>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</si>
  <si>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</si>
  <si>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</si>
  <si>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</si>
  <si>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</si>
  <si>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</si>
  <si>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</si>
  <si>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</si>
  <si>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</si>
  <si>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</si>
  <si>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</si>
  <si>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</si>
  <si>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</si>
  <si>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</si>
  <si>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</si>
  <si>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</si>
  <si>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</si>
  <si>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</si>
  <si>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</si>
  <si>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</si>
  <si>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</si>
  <si>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</si>
  <si>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</si>
  <si>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</si>
  <si>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</si>
  <si>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</si>
  <si>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</si>
  <si>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</si>
  <si>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</si>
  <si>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</si>
  <si>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</si>
  <si>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</si>
  <si>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</si>
  <si>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</si>
  <si>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</si>
  <si>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</si>
  <si>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</si>
  <si>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</si>
  <si>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</si>
  <si>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</si>
  <si>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</si>
  <si>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</si>
  <si>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</si>
  <si>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</si>
  <si>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</si>
  <si>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</si>
  <si>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</si>
  <si>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</si>
  <si>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</si>
  <si>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</si>
  <si>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</si>
  <si>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</si>
  <si>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</si>
  <si>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</si>
  <si>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</si>
  <si>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</si>
  <si>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</si>
  <si>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</si>
  <si>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</si>
  <si>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</si>
  <si>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</si>
  <si>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</si>
  <si>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</si>
  <si>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</si>
  <si>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</si>
  <si>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</si>
  <si>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</si>
  <si>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</si>
  <si>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</si>
  <si>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</si>
  <si>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</si>
  <si>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</si>
  <si>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</si>
  <si>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</si>
  <si>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</si>
  <si>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</si>
  <si>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</si>
  <si>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</si>
  <si>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</si>
  <si>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</si>
  <si>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</si>
  <si>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</si>
  <si>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</si>
  <si>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</si>
  <si>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</si>
  <si>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</si>
  <si>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</si>
  <si>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</si>
  <si>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</si>
  <si>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</si>
  <si>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</si>
  <si>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</si>
  <si>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</si>
  <si>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</si>
  <si>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</si>
  <si>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</si>
  <si>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</si>
  <si>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</si>
  <si>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</si>
  <si>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</si>
  <si>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</si>
  <si>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</si>
  <si>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</si>
  <si>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</si>
  <si>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</si>
  <si>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</si>
  <si>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</si>
  <si>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</si>
  <si>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</si>
  <si>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</si>
  <si>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</si>
  <si>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</si>
  <si>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</si>
  <si>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</si>
  <si>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</si>
  <si>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</si>
  <si>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</si>
  <si>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</si>
  <si>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</si>
  <si>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</si>
  <si>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</si>
  <si>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</si>
  <si>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</si>
  <si>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</si>
  <si>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</si>
  <si>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</si>
  <si>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</si>
  <si>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</si>
  <si>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</si>
  <si>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</si>
  <si>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</si>
  <si>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</si>
  <si>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</si>
  <si>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</si>
  <si>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</si>
  <si>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</si>
  <si>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</si>
  <si>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</si>
  <si>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</si>
  <si>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</si>
  <si>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</si>
  <si>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</si>
  <si>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</si>
  <si>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</si>
  <si>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</si>
  <si>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</si>
  <si>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</si>
  <si>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</si>
  <si>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</si>
  <si>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</si>
  <si>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</si>
  <si>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</si>
  <si>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</si>
  <si>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</si>
  <si>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</si>
  <si>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</si>
  <si>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</si>
  <si>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</si>
  <si>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</si>
  <si>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</si>
  <si>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</si>
  <si>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</si>
  <si>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</si>
  <si>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</si>
  <si>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</si>
  <si>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</si>
  <si>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</si>
  <si>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</si>
  <si>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</si>
  <si>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</si>
  <si>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</si>
  <si>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</si>
  <si>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</si>
  <si>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</si>
  <si>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</si>
  <si>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</si>
  <si>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</si>
  <si>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</si>
  <si>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</si>
  <si>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</si>
  <si>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</si>
  <si>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</si>
  <si>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</si>
  <si>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</si>
  <si>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</si>
  <si>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</si>
  <si>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</si>
  <si>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</si>
  <si>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</si>
  <si>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</si>
  <si>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</si>
  <si>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</si>
  <si>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</si>
  <si>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</si>
  <si>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</si>
  <si>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</si>
  <si>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</si>
  <si>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</si>
  <si>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</si>
  <si>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</si>
  <si>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</si>
  <si>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</si>
  <si>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</si>
  <si>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</si>
  <si>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</si>
  <si>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</si>
  <si>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</si>
  <si>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</si>
  <si>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</si>
  <si>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</si>
  <si>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</si>
  <si>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</si>
  <si>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</si>
  <si>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</si>
  <si>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</si>
  <si>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</si>
  <si>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</si>
  <si>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</si>
  <si>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</si>
  <si>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</si>
  <si>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</si>
  <si>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</si>
  <si>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</si>
  <si>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</si>
  <si>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</si>
  <si>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</si>
  <si>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</si>
  <si>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</si>
  <si>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</si>
  <si>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</si>
  <si>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</si>
  <si>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</si>
  <si>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</si>
  <si>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</si>
  <si>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</si>
  <si>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</si>
  <si>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</si>
  <si>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</si>
  <si>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</si>
  <si>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</si>
  <si>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</si>
  <si>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</si>
  <si>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</si>
  <si>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</si>
  <si>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</si>
  <si>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</si>
  <si>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</si>
  <si>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</si>
  <si>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</si>
  <si>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</si>
  <si>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</si>
  <si>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</si>
  <si>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</si>
  <si>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</si>
  <si>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</si>
  <si>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</si>
  <si>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</si>
  <si>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</si>
  <si>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</si>
  <si>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</si>
  <si>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</si>
  <si>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</si>
  <si>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</si>
  <si>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</si>
  <si>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</si>
  <si>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</si>
  <si>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</si>
  <si>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</si>
  <si>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</si>
  <si>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</si>
  <si>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</si>
  <si>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</si>
  <si>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</si>
  <si>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</si>
  <si>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</si>
  <si>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</si>
  <si>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</si>
  <si>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</si>
  <si>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</si>
  <si>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</si>
  <si>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</si>
  <si>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</si>
  <si>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</si>
  <si>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</si>
  <si>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</si>
  <si>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</si>
  <si>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</si>
  <si>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</si>
  <si>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</si>
  <si>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</si>
  <si>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</si>
  <si>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</si>
  <si>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</si>
  <si>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</si>
  <si>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</si>
  <si>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</si>
  <si>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</si>
  <si>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</si>
  <si>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</si>
  <si>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</si>
  <si>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</si>
  <si>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</si>
  <si>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</si>
  <si>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</si>
  <si>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</si>
  <si>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</si>
  <si>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</si>
  <si>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</si>
  <si>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</si>
  <si>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</si>
  <si>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</si>
  <si>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</si>
  <si>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</si>
  <si>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</si>
  <si>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</si>
  <si>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</si>
  <si>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</si>
  <si>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</si>
  <si>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</si>
  <si>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</si>
  <si>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</si>
  <si>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</si>
  <si>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</si>
  <si>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</si>
  <si>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</si>
  <si>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</si>
  <si>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</si>
  <si>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</si>
  <si>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</si>
  <si>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</si>
  <si>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</si>
  <si>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</si>
  <si>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</si>
  <si>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</si>
  <si>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</si>
  <si>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</si>
  <si>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</si>
  <si>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</si>
  <si>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</si>
  <si>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</si>
  <si>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</si>
  <si>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</si>
  <si>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</si>
  <si>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</si>
  <si>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</si>
  <si>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</si>
  <si>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</si>
  <si>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</si>
  <si>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</si>
  <si>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</si>
  <si>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</si>
  <si>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</si>
  <si>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</si>
  <si>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</si>
  <si>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</si>
  <si>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</si>
  <si>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</si>
  <si>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</si>
  <si>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</si>
  <si>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</si>
  <si>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</si>
  <si>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</si>
  <si>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</si>
  <si>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</si>
  <si>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</si>
  <si>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</si>
  <si>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</si>
  <si>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</si>
  <si>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</si>
  <si>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</si>
  <si>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</si>
  <si>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</si>
  <si>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</si>
  <si>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</si>
  <si>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</si>
  <si>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</si>
  <si>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</si>
  <si>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</si>
  <si>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</si>
  <si>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</si>
  <si>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</si>
  <si>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</si>
  <si>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</si>
  <si>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</si>
  <si>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</si>
  <si>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</si>
  <si>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</si>
  <si>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</si>
  <si>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</si>
  <si>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</si>
  <si>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</si>
  <si>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</si>
  <si>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</si>
  <si>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</si>
  <si>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</si>
  <si>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</si>
  <si>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</si>
  <si>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</si>
  <si>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</si>
  <si>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</si>
  <si>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</si>
  <si>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</si>
  <si>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</si>
  <si>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</si>
  <si>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</si>
  <si>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</si>
  <si>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</si>
  <si>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</si>
  <si>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</si>
  <si>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</si>
  <si>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</si>
  <si>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</si>
  <si>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</si>
  <si>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</si>
  <si>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</si>
  <si>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</si>
  <si>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</si>
  <si>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</si>
  <si>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</si>
  <si>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</si>
  <si>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</si>
  <si>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</si>
  <si>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</si>
  <si>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</si>
  <si>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</si>
  <si>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</si>
  <si>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</si>
  <si>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</si>
  <si>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</si>
  <si>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</si>
  <si>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</si>
  <si>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</si>
  <si>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</si>
  <si>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</si>
  <si>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</si>
  <si>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</si>
  <si>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</si>
  <si>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</si>
  <si>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</si>
  <si>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</si>
  <si>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</si>
  <si>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</si>
  <si>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</si>
  <si>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</si>
  <si>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</si>
  <si>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</si>
  <si>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</si>
  <si>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</si>
  <si>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</si>
  <si>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</si>
  <si>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</si>
  <si>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</si>
  <si>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</si>
  <si>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</si>
  <si>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</si>
  <si>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</si>
  <si>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</si>
  <si>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</si>
  <si>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</si>
  <si>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</si>
  <si>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</si>
  <si>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</si>
  <si>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</si>
  <si>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</si>
  <si>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</si>
  <si>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</si>
  <si>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</si>
  <si>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</si>
  <si>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</si>
  <si>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</si>
  <si>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</si>
  <si>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</si>
  <si>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</si>
  <si>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</si>
  <si>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</si>
  <si>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</si>
  <si>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</si>
  <si>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</si>
  <si>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</si>
  <si>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</si>
  <si>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</si>
  <si>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</si>
  <si>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</si>
  <si>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</si>
  <si>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</si>
  <si>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</si>
  <si>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</si>
  <si>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</si>
  <si>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</si>
  <si>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</si>
  <si>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</si>
  <si>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</si>
  <si>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</si>
  <si>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</si>
  <si>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</si>
  <si>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</si>
  <si>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</si>
  <si>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</si>
  <si>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</si>
  <si>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</si>
  <si>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</si>
  <si>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</si>
  <si>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</si>
  <si>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</si>
  <si>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</si>
  <si>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</si>
  <si>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</si>
  <si>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</si>
  <si>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</si>
  <si>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</si>
  <si>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</si>
  <si>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</si>
  <si>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</si>
  <si>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</si>
  <si>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</si>
  <si>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</si>
  <si>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</si>
  <si>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</si>
  <si>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</si>
  <si>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</si>
  <si>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</si>
  <si>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</si>
  <si>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</si>
  <si>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</si>
  <si>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</si>
  <si>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</si>
  <si>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</si>
  <si>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</si>
  <si>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</si>
  <si>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</si>
  <si>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</si>
  <si>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</si>
  <si>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</si>
  <si>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</si>
  <si>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</si>
  <si>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</si>
  <si>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</si>
  <si>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</si>
  <si>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</si>
  <si>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</si>
  <si>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</si>
  <si>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</si>
  <si>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</si>
  <si>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</si>
  <si>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</si>
  <si>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</si>
  <si>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</si>
  <si>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</si>
  <si>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</si>
  <si>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</si>
  <si>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</si>
  <si>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</si>
  <si>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</si>
  <si>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</si>
  <si>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</si>
  <si>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</si>
  <si>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</si>
  <si>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</si>
  <si>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</si>
  <si>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</si>
  <si>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</si>
  <si>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</si>
  <si>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</si>
  <si>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</si>
  <si>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</si>
  <si>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</si>
  <si>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</si>
  <si>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</si>
  <si>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</si>
  <si>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</si>
  <si>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</si>
  <si>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</si>
  <si>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</si>
  <si>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</si>
  <si>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</si>
  <si>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</si>
  <si>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</si>
  <si>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</si>
  <si>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</si>
  <si>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</si>
  <si>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</si>
  <si>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</si>
  <si>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</si>
  <si>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</si>
  <si>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</si>
  <si>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</si>
  <si>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</si>
  <si>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</si>
  <si>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</si>
  <si>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</si>
  <si>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</si>
  <si>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</si>
  <si>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</si>
  <si>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</si>
  <si>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</si>
  <si>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</si>
  <si>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</si>
  <si>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</si>
  <si>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</si>
  <si>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</si>
  <si>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</si>
  <si>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</si>
  <si>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</si>
  <si>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</si>
  <si>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</si>
  <si>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</si>
  <si>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</si>
  <si>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</si>
  <si>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</si>
  <si>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</si>
  <si>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</si>
  <si>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</si>
  <si>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</si>
  <si>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</si>
  <si>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</si>
  <si>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</si>
  <si>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</si>
  <si>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</si>
  <si>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</si>
  <si>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</si>
  <si>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</si>
  <si>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</si>
  <si>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</si>
  <si>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</si>
  <si>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</si>
  <si>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</si>
  <si>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</si>
  <si>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</si>
  <si>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</si>
  <si>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</si>
  <si>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</si>
  <si>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</si>
  <si>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</si>
  <si>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</si>
  <si>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</si>
  <si>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</si>
  <si>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</si>
  <si>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</si>
  <si>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</si>
  <si>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</si>
  <si>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</si>
  <si>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</si>
  <si>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</si>
  <si>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</si>
  <si>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</si>
  <si>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</si>
  <si>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</si>
  <si>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</si>
  <si>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</si>
  <si>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</si>
  <si>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</si>
  <si>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</si>
  <si>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</si>
  <si>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</si>
  <si>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</si>
  <si>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 xml:space="preserve">Servicing Spread </t>
  </si>
  <si>
    <t>FHLMC Survey Rate</t>
  </si>
  <si>
    <t>Servicing Spread Non-Zero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</si>
  <si>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</si>
  <si>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</si>
  <si>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</si>
  <si>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</si>
  <si>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</si>
  <si>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</si>
  <si>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</si>
  <si>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</si>
  <si>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</si>
  <si>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</si>
  <si>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</si>
  <si>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</si>
  <si>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</si>
  <si>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</si>
  <si>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</si>
  <si>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</si>
  <si>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</si>
  <si>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</si>
  <si>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</si>
  <si>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</si>
  <si>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</si>
  <si>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</si>
  <si>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</si>
  <si>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</si>
  <si>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</si>
  <si>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</si>
  <si>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</si>
  <si>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</si>
  <si>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</si>
  <si>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</si>
  <si>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</si>
  <si>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</si>
  <si>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</si>
  <si>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</si>
  <si>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</si>
  <si>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</si>
  <si>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</si>
  <si>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</si>
  <si>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</si>
  <si>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</si>
  <si>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</si>
  <si>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</si>
  <si>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</si>
  <si>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Row Labels</t>
  </si>
  <si>
    <t>Servicing Spread chg</t>
  </si>
  <si>
    <t>1W Rate Chg (bps)</t>
  </si>
  <si>
    <t>AsOf</t>
  </si>
  <si>
    <t>Survey Rate 1m chg</t>
  </si>
  <si>
    <t>Survey Rate chg</t>
  </si>
  <si>
    <t>Servicing Spread Chg</t>
  </si>
  <si>
    <t>FHLMC Survey Rate Chg</t>
  </si>
  <si>
    <t>Report Folder</t>
  </si>
  <si>
    <t>S:\IT\Production\Daily Reports\Primary Market\tmp\</t>
  </si>
  <si>
    <t xml:space="preserve">Implied Servicing Spread </t>
  </si>
  <si>
    <t>1-point FHLMC Survey Rate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</si>
  <si>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</si>
  <si>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</si>
  <si>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</si>
  <si>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</si>
  <si>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</si>
  <si>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</si>
  <si>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</si>
  <si>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</si>
  <si>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</si>
  <si>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</si>
  <si>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</si>
  <si>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</si>
  <si>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</si>
  <si>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</si>
  <si>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</si>
  <si>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</si>
  <si>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</si>
  <si>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</si>
  <si>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</si>
  <si>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</si>
  <si>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</si>
  <si>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</si>
  <si>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</si>
  <si>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</si>
  <si>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</si>
  <si>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</si>
  <si>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</si>
  <si>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</si>
  <si>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</si>
  <si>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</si>
  <si>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</si>
  <si>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</si>
  <si>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</si>
  <si>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</si>
  <si>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</si>
  <si>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</si>
  <si>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</si>
  <si>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</si>
  <si>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</si>
  <si>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</si>
  <si>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</si>
  <si>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</si>
  <si>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</si>
  <si>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</si>
  <si>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</si>
  <si>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</si>
  <si>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</si>
  <si>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</si>
  <si>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</si>
  <si>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</si>
  <si>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</si>
  <si>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</si>
  <si>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</si>
  <si>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</si>
  <si>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</si>
  <si>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</si>
  <si>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</si>
  <si>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</si>
  <si>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</si>
  <si>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</si>
  <si>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</si>
  <si>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</si>
  <si>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</si>
  <si>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</si>
  <si>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</si>
  <si>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</si>
  <si>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</si>
  <si>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</si>
  <si>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</si>
  <si>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</si>
  <si>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</si>
  <si>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</si>
  <si>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</si>
  <si>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</si>
  <si>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New Data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</si>
  <si>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</si>
  <si>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</si>
  <si>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</si>
  <si>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</si>
  <si>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</si>
  <si>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</si>
  <si>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</si>
  <si>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</si>
  <si>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</si>
  <si>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</si>
  <si>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</si>
  <si>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</si>
  <si>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</si>
  <si>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</si>
  <si>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</si>
  <si>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</si>
  <si>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</si>
  <si>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</si>
  <si>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</si>
  <si>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</si>
  <si>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</si>
  <si>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</si>
  <si>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</si>
  <si>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</si>
  <si>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</si>
  <si>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</si>
  <si>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</si>
  <si>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</si>
  <si>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</si>
  <si>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</si>
  <si>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</si>
  <si>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</si>
  <si>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</si>
  <si>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</si>
  <si>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</si>
  <si>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</si>
  <si>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</si>
  <si>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</si>
  <si>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</si>
  <si>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</si>
  <si>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</si>
  <si>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</si>
  <si>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</si>
  <si>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</si>
  <si>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</si>
  <si>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</si>
  <si>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</si>
  <si>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</si>
  <si>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</si>
  <si>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</si>
  <si>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</si>
  <si>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</si>
  <si>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</si>
  <si>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</si>
  <si>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</si>
  <si>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</si>
  <si>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</si>
  <si>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</si>
  <si>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</si>
  <si>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</si>
  <si>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</si>
  <si>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</si>
  <si>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</si>
  <si>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</si>
  <si>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</si>
  <si>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</si>
  <si>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</si>
  <si>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</si>
  <si>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</si>
  <si>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</si>
  <si>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</si>
  <si>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</si>
  <si>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</si>
  <si>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</si>
  <si>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</si>
  <si>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</si>
  <si>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</si>
  <si>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</si>
  <si>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</si>
  <si>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</si>
  <si>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</si>
  <si>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</si>
  <si>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</si>
  <si>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</si>
  <si>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</si>
  <si>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</si>
  <si>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</si>
  <si>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</si>
  <si>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</si>
  <si>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</si>
  <si>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</si>
  <si>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</si>
  <si>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</si>
  <si>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</si>
  <si>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</si>
  <si>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</si>
  <si>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</si>
  <si>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</si>
  <si>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</si>
  <si>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</si>
  <si>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</si>
  <si>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</si>
  <si>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</si>
  <si>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</si>
  <si>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</si>
  <si>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</si>
  <si>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</si>
  <si>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</si>
  <si>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</si>
  <si>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</si>
  <si>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</si>
  <si>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</si>
  <si>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</si>
  <si>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</si>
  <si>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</si>
  <si>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</si>
  <si>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</si>
  <si>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</si>
  <si>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2012-11-21</t>
  </si>
  <si>
    <t>2013-07-03</t>
  </si>
  <si>
    <t>2013-11-27</t>
  </si>
  <si>
    <t>2014-11-26</t>
  </si>
  <si>
    <t>2014-12-31</t>
  </si>
  <si>
    <t>2015-11-25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</si>
  <si>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</si>
  <si>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</si>
  <si>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</si>
  <si>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</si>
  <si>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</si>
  <si>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</si>
  <si>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</si>
  <si>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</si>
  <si>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</si>
  <si>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</si>
  <si>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</si>
  <si>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</si>
  <si>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</si>
  <si>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</si>
  <si>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</si>
  <si>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</si>
  <si>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</si>
  <si>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</si>
  <si>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</si>
  <si>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</si>
  <si>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</si>
  <si>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</si>
  <si>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</si>
  <si>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</si>
  <si>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</si>
  <si>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</si>
  <si>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</si>
  <si>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</si>
  <si>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</si>
  <si>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</si>
  <si>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</si>
  <si>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</si>
  <si>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</si>
  <si>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</si>
  <si>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</si>
  <si>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</si>
  <si>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</si>
  <si>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</si>
  <si>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</si>
  <si>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</si>
  <si>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</si>
  <si>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</si>
  <si>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</si>
  <si>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</si>
  <si>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</si>
  <si>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</si>
  <si>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</si>
  <si>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</si>
  <si>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</si>
  <si>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</si>
  <si>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</si>
  <si>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</si>
  <si>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</si>
  <si>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</si>
  <si>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</si>
  <si>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</si>
  <si>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</si>
  <si>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</si>
  <si>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</si>
  <si>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</si>
  <si>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</si>
  <si>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</si>
  <si>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</si>
  <si>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</si>
  <si>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</si>
  <si>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</si>
  <si>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</si>
  <si>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</si>
  <si>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</si>
  <si>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</si>
  <si>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</si>
  <si>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</si>
  <si>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</si>
  <si>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</si>
  <si>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</si>
  <si>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</si>
  <si>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</si>
  <si>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</si>
  <si>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</si>
  <si>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</si>
  <si>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</si>
  <si>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</si>
  <si>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</si>
  <si>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</si>
  <si>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</si>
  <si>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</si>
  <si>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</si>
  <si>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</si>
  <si>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</si>
  <si>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</si>
  <si>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</si>
  <si>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</si>
  <si>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</si>
  <si>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</si>
  <si>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</si>
  <si>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</si>
  <si>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</si>
  <si>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</si>
  <si>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</si>
  <si>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</si>
  <si>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</si>
  <si>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</si>
  <si>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</si>
  <si>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</si>
  <si>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</si>
  <si>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</si>
  <si>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</si>
  <si>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</si>
  <si>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</si>
  <si>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</si>
  <si>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</si>
  <si>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</si>
  <si>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</si>
  <si>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</si>
  <si>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</si>
  <si>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</si>
  <si>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</si>
  <si>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</si>
  <si>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</si>
  <si>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</si>
  <si>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</si>
  <si>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</si>
  <si>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</si>
  <si>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</si>
  <si>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</si>
  <si>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</si>
  <si>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</si>
  <si>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</si>
  <si>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</si>
  <si>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</si>
  <si>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</si>
  <si>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</si>
  <si>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</si>
  <si>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</si>
  <si>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</si>
  <si>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</si>
  <si>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</si>
  <si>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</si>
  <si>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</si>
  <si>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</si>
  <si>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</si>
  <si>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</si>
  <si>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</si>
  <si>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</si>
  <si>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</si>
  <si>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</si>
  <si>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</si>
  <si>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</si>
  <si>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</si>
  <si>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</si>
  <si>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</si>
  <si>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</si>
  <si>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</si>
  <si>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</si>
  <si>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</si>
  <si>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</si>
  <si>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</si>
  <si>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</si>
  <si>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</si>
  <si>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</si>
  <si>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</si>
  <si>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</si>
  <si>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</si>
  <si>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</si>
  <si>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</si>
  <si>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</si>
  <si>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</si>
  <si>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</si>
  <si>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</si>
  <si>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</si>
  <si>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</si>
  <si>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</si>
  <si>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</si>
  <si>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</si>
  <si>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</si>
  <si>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</si>
  <si>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</si>
  <si>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</si>
  <si>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</si>
  <si>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</si>
  <si>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</si>
  <si>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</si>
  <si>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</si>
  <si>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</si>
  <si>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</si>
  <si>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</si>
  <si>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</si>
  <si>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</si>
  <si>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</si>
  <si>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</si>
  <si>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</si>
  <si>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</si>
  <si>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</si>
  <si>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</si>
  <si>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</si>
  <si>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</si>
  <si>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</si>
  <si>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</si>
  <si>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</si>
  <si>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</si>
  <si>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</si>
  <si>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</si>
  <si>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</si>
  <si>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</si>
  <si>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</si>
  <si>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</si>
  <si>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</si>
  <si>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</si>
  <si>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</si>
  <si>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</si>
  <si>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</si>
  <si>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</si>
  <si>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EndWeek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</si>
  <si>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</si>
  <si>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</si>
  <si>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</si>
  <si>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</si>
  <si>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</si>
  <si>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</si>
  <si>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</si>
  <si>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</si>
  <si>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</si>
  <si>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</si>
  <si>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</si>
  <si>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</si>
  <si>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</si>
  <si>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</si>
  <si>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</si>
  <si>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</si>
  <si>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</si>
  <si>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</si>
  <si>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</si>
  <si>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</si>
  <si>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</si>
  <si>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</si>
  <si>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</si>
  <si>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</si>
  <si>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</si>
  <si>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</si>
  <si>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</si>
  <si>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</si>
  <si>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</si>
  <si>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</si>
  <si>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</si>
  <si>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</si>
  <si>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</si>
  <si>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</si>
  <si>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</si>
  <si>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</si>
  <si>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</si>
  <si>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</si>
  <si>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</si>
  <si>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</si>
  <si>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</si>
  <si>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</si>
  <si>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</si>
  <si>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</si>
  <si>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</si>
  <si>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</si>
  <si>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</si>
  <si>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</si>
  <si>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</si>
  <si>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</si>
  <si>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</si>
  <si>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</si>
  <si>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</si>
  <si>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</si>
  <si>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</si>
  <si>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</si>
  <si>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</si>
  <si>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</si>
  <si>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</si>
  <si>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</si>
  <si>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</si>
  <si>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</si>
  <si>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</si>
  <si>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</si>
  <si>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</si>
  <si>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</si>
  <si>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</si>
  <si>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</si>
  <si>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</si>
  <si>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</si>
  <si>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</si>
  <si>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</si>
  <si>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</si>
  <si>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</si>
  <si>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</si>
  <si>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</si>
  <si>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</si>
  <si>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</si>
  <si>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</si>
  <si>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</si>
  <si>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</si>
  <si>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</si>
  <si>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</si>
  <si>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</si>
  <si>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</si>
  <si>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</si>
  <si>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</si>
  <si>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</si>
  <si>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</si>
  <si>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</si>
  <si>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</si>
  <si>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</si>
  <si>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</si>
  <si>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</si>
  <si>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</si>
  <si>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</si>
  <si>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</si>
  <si>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</si>
  <si>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</si>
  <si>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</si>
  <si>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</si>
  <si>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</si>
  <si>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</si>
  <si>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</si>
  <si>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</si>
  <si>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</si>
  <si>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</si>
  <si>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</si>
  <si>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</si>
  <si>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</si>
  <si>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</si>
  <si>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</si>
  <si>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</si>
  <si>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</si>
  <si>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</si>
  <si>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</si>
  <si>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</si>
  <si>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</si>
  <si>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</si>
  <si>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</si>
  <si>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</si>
  <si>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</si>
  <si>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</si>
  <si>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</si>
  <si>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</si>
  <si>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</si>
  <si>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</si>
  <si>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</si>
  <si>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</si>
  <si>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</si>
  <si>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</si>
  <si>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</si>
  <si>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</si>
  <si>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</si>
  <si>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</si>
  <si>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</si>
  <si>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</si>
  <si>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</si>
  <si>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</si>
  <si>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</si>
  <si>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</si>
  <si>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</si>
  <si>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</si>
  <si>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</si>
  <si>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</si>
  <si>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</si>
  <si>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</si>
  <si>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</si>
  <si>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</si>
  <si>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</si>
  <si>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</si>
  <si>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</si>
  <si>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</si>
  <si>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</si>
  <si>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</si>
  <si>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</si>
  <si>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</si>
  <si>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1992-09-17</t>
  </si>
  <si>
    <t>1992-09-18</t>
  </si>
  <si>
    <t>1992-09-21</t>
  </si>
  <si>
    <t>1992-09-22</t>
  </si>
  <si>
    <t>1992-09-23</t>
  </si>
  <si>
    <t>1992-12-24</t>
  </si>
  <si>
    <t>1992-12-28</t>
  </si>
  <si>
    <t>1992-12-29</t>
  </si>
  <si>
    <t>1992-12-30</t>
  </si>
  <si>
    <t>1995-11-02</t>
  </si>
  <si>
    <t>1995-11-03</t>
  </si>
  <si>
    <t>1995-11-06</t>
  </si>
  <si>
    <t>1995-11-07</t>
  </si>
  <si>
    <t>1995-11-08</t>
  </si>
  <si>
    <t>1998-12-24</t>
  </si>
  <si>
    <t>1998-12-28</t>
  </si>
  <si>
    <t>1998-12-29</t>
  </si>
  <si>
    <t>1998-12-30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</si>
  <si>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</si>
  <si>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</si>
  <si>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</si>
  <si>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</si>
  <si>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</si>
  <si>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</si>
  <si>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</si>
  <si>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</si>
  <si>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</si>
  <si>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</si>
  <si>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</si>
  <si>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</si>
  <si>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</si>
  <si>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</si>
  <si>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</si>
  <si>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</si>
  <si>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</si>
  <si>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</si>
  <si>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</si>
  <si>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</si>
  <si>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</si>
  <si>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</si>
  <si>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</si>
  <si>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</si>
  <si>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</si>
  <si>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</si>
  <si>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</si>
  <si>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</si>
  <si>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</si>
  <si>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</si>
  <si>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</si>
  <si>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</si>
  <si>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</si>
  <si>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</si>
  <si>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</si>
  <si>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</si>
  <si>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</si>
  <si>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</si>
  <si>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</si>
  <si>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</si>
  <si>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</si>
  <si>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</si>
  <si>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</si>
  <si>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</si>
  <si>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</si>
  <si>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</si>
  <si>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</si>
  <si>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</si>
  <si>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</si>
  <si>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</si>
  <si>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</si>
  <si>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</si>
  <si>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</si>
  <si>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</si>
  <si>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</si>
  <si>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</si>
  <si>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</si>
  <si>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</si>
  <si>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</si>
  <si>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</si>
  <si>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</si>
  <si>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</si>
  <si>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</si>
  <si>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</si>
  <si>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</si>
  <si>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</si>
  <si>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</si>
  <si>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</si>
  <si>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</si>
  <si>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</si>
  <si>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</si>
  <si>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</si>
  <si>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</si>
  <si>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</si>
  <si>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</si>
  <si>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</si>
  <si>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</si>
  <si>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</si>
  <si>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</si>
  <si>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</si>
  <si>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</si>
  <si>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</si>
  <si>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</si>
  <si>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</si>
  <si>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</si>
  <si>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</si>
  <si>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</si>
  <si>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</si>
  <si>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</si>
  <si>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</si>
  <si>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</si>
  <si>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</si>
  <si>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</si>
  <si>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</si>
  <si>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</si>
  <si>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</si>
  <si>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</si>
  <si>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</si>
  <si>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</si>
  <si>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</si>
  <si>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</si>
  <si>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</si>
  <si>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</si>
  <si>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</si>
  <si>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</si>
  <si>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</si>
  <si>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</si>
  <si>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</si>
  <si>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</si>
  <si>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</si>
  <si>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</si>
  <si>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</si>
  <si>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</si>
  <si>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</si>
  <si>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</si>
  <si>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2004-06-11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</si>
  <si>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</si>
  <si>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</si>
  <si>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</si>
  <si>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</si>
  <si>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</si>
  <si>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</si>
  <si>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</si>
  <si>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</si>
  <si>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</si>
  <si>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</si>
  <si>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</si>
  <si>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</si>
  <si>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</si>
  <si>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</si>
  <si>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</si>
  <si>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</si>
  <si>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</si>
  <si>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</si>
  <si>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</si>
  <si>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</si>
  <si>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</si>
  <si>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</si>
  <si>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</si>
  <si>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</si>
  <si>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</si>
  <si>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</si>
  <si>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</si>
  <si>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</si>
  <si>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</si>
  <si>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</si>
  <si>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</si>
  <si>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</si>
  <si>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</si>
  <si>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</si>
  <si>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</si>
  <si>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</si>
  <si>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</si>
  <si>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</si>
  <si>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</si>
  <si>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</si>
  <si>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</si>
  <si>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</si>
  <si>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</si>
  <si>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</si>
  <si>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</si>
  <si>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</si>
  <si>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</si>
  <si>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</si>
  <si>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</si>
  <si>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</si>
  <si>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</si>
  <si>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</si>
  <si>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</si>
  <si>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</si>
  <si>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</si>
  <si>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</si>
  <si>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</si>
  <si>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</si>
  <si>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</si>
  <si>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</si>
  <si>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</si>
  <si>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</si>
  <si>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</si>
  <si>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</si>
  <si>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</si>
  <si>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</si>
  <si>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</si>
  <si>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</si>
  <si>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</si>
  <si>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</si>
  <si>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</si>
  <si>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</si>
  <si>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</si>
  <si>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</si>
  <si>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</si>
  <si>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</si>
  <si>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</si>
  <si>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</si>
  <si>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</si>
  <si>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</si>
  <si>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</si>
  <si>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</si>
  <si>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</si>
  <si>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</si>
  <si>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</si>
  <si>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</si>
  <si>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</si>
  <si>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</si>
  <si>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</si>
  <si>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</si>
  <si>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</si>
  <si>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</si>
  <si>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</si>
  <si>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</si>
  <si>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</si>
  <si>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</si>
  <si>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</si>
  <si>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</si>
  <si>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</si>
  <si>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</si>
  <si>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</si>
  <si>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</si>
  <si>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</si>
  <si>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</si>
  <si>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</si>
  <si>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</si>
  <si>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</si>
  <si>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</si>
  <si>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</si>
  <si>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</si>
  <si>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</si>
  <si>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</si>
  <si>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</si>
  <si>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</si>
  <si>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</si>
  <si>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</si>
  <si>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</si>
  <si>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</si>
  <si>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</si>
  <si>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</si>
  <si>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</si>
  <si>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</si>
  <si>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</si>
  <si>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</si>
  <si>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</si>
  <si>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</si>
  <si>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</si>
  <si>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</si>
  <si>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</si>
  <si>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</si>
  <si>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</si>
  <si>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</si>
  <si>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</si>
  <si>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</si>
  <si>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</si>
  <si>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</si>
  <si>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</si>
  <si>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</si>
  <si>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</si>
  <si>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</si>
  <si>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</si>
  <si>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</si>
  <si>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</si>
  <si>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</si>
  <si>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</si>
  <si>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</si>
  <si>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</si>
  <si>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</si>
  <si>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</si>
  <si>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</si>
  <si>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</si>
  <si>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</si>
  <si>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</si>
  <si>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</si>
  <si>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</si>
  <si>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</si>
  <si>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</si>
  <si>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</si>
  <si>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</si>
  <si>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</si>
  <si>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</si>
  <si>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</si>
  <si>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</si>
  <si>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</si>
  <si>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</si>
  <si>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</si>
  <si>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</si>
  <si>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</si>
  <si>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</si>
  <si>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</si>
  <si>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</si>
  <si>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</si>
  <si>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</si>
  <si>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</si>
  <si>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</si>
  <si>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</si>
  <si>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</si>
  <si>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</si>
  <si>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</si>
  <si>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</si>
  <si>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</si>
  <si>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</si>
  <si>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</si>
  <si>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</si>
  <si>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</si>
  <si>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</si>
  <si>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</si>
  <si>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</si>
  <si>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</si>
  <si>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</si>
  <si>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</si>
  <si>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</si>
  <si>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</si>
  <si>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</si>
  <si>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</si>
  <si>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</si>
  <si>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</si>
  <si>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</si>
  <si>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</si>
  <si>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</si>
  <si>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</si>
  <si>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</si>
  <si>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</si>
  <si>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</si>
  <si>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</si>
  <si>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</si>
  <si>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</si>
  <si>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</si>
  <si>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</si>
  <si>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</si>
  <si>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</si>
  <si>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</si>
  <si>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</si>
  <si>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</si>
  <si>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</si>
  <si>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</si>
  <si>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</si>
  <si>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</si>
  <si>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</si>
  <si>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</si>
  <si>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</si>
  <si>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</si>
  <si>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</si>
  <si>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</si>
  <si>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</si>
  <si>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</si>
  <si>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</si>
  <si>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</si>
  <si>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</si>
  <si>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</si>
  <si>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</si>
  <si>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</si>
  <si>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</si>
  <si>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</si>
  <si>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</si>
  <si>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</si>
  <si>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</si>
  <si>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</si>
  <si>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</si>
  <si>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</si>
  <si>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</si>
  <si>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</si>
  <si>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</si>
  <si>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</si>
  <si>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</si>
  <si>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</si>
  <si>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</si>
  <si>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</si>
  <si>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</si>
  <si>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</si>
  <si>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</si>
  <si>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</si>
  <si>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</si>
  <si>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</si>
  <si>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</si>
  <si>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</si>
  <si>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</si>
  <si>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</si>
  <si>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</si>
  <si>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</si>
  <si>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</si>
  <si>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</si>
  <si>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</si>
  <si>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</si>
  <si>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</si>
  <si>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</si>
  <si>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</si>
  <si>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</si>
  <si>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</si>
  <si>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</si>
  <si>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</si>
  <si>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</si>
  <si>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</si>
  <si>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</si>
  <si>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</si>
  <si>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</si>
  <si>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</si>
  <si>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</si>
  <si>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</si>
  <si>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</si>
  <si>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</si>
  <si>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</si>
  <si>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</si>
  <si>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</si>
  <si>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</si>
  <si>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</si>
  <si>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</si>
  <si>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</si>
  <si>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</si>
  <si>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</si>
  <si>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</si>
  <si>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</si>
  <si>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</si>
  <si>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</si>
  <si>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</si>
  <si>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</si>
  <si>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</si>
  <si>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</si>
  <si>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</si>
  <si>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</si>
  <si>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</si>
  <si>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</si>
  <si>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</si>
  <si>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</si>
  <si>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</si>
  <si>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</si>
  <si>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</si>
  <si>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</si>
  <si>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</si>
  <si>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</si>
  <si>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</si>
  <si>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</si>
  <si>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</si>
  <si>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</si>
  <si>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</si>
  <si>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</si>
  <si>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</si>
  <si>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</si>
  <si>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</si>
  <si>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</si>
  <si>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</si>
  <si>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</si>
  <si>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</si>
  <si>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</si>
  <si>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</si>
  <si>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</si>
  <si>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</si>
  <si>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</si>
  <si>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</si>
  <si>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</si>
  <si>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</si>
  <si>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</si>
  <si>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</si>
  <si>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</si>
  <si>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</si>
  <si>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</si>
  <si>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</si>
  <si>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</si>
  <si>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</si>
  <si>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</si>
  <si>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</si>
  <si>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</si>
  <si>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</si>
  <si>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</si>
  <si>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</si>
  <si>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</si>
  <si>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</si>
  <si>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</si>
  <si>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</si>
  <si>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</si>
  <si>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</si>
  <si>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</si>
  <si>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</si>
  <si>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</si>
  <si>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</si>
  <si>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</si>
  <si>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</si>
  <si>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</si>
  <si>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</si>
  <si>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</si>
  <si>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</si>
  <si>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</si>
  <si>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</si>
  <si>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</si>
  <si>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</si>
  <si>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</si>
  <si>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</si>
  <si>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</si>
  <si>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</si>
  <si>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</si>
  <si>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</si>
  <si>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</si>
  <si>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</si>
  <si>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</si>
  <si>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</si>
  <si>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</si>
  <si>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</si>
  <si>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</si>
  <si>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</si>
  <si>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</si>
  <si>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</si>
  <si>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</si>
  <si>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</si>
  <si>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</si>
  <si>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</si>
  <si>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</si>
  <si>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</si>
  <si>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</si>
  <si>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</si>
  <si>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</si>
  <si>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</si>
  <si>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</si>
  <si>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</si>
  <si>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</si>
  <si>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</si>
  <si>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</si>
  <si>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</si>
  <si>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</si>
  <si>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</si>
  <si>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</si>
  <si>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</si>
  <si>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</si>
  <si>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</si>
  <si>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</si>
  <si>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</si>
  <si>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</si>
  <si>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</si>
  <si>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</si>
  <si>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</si>
  <si>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</si>
  <si>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</si>
  <si>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</si>
  <si>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</si>
  <si>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</si>
  <si>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</si>
  <si>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</si>
  <si>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</si>
  <si>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</si>
  <si>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</si>
  <si>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</si>
  <si>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</si>
  <si>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</si>
  <si>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</si>
  <si>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</si>
  <si>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</si>
  <si>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</si>
  <si>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</si>
  <si>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</si>
  <si>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</si>
  <si>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</si>
  <si>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</si>
  <si>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</si>
  <si>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</si>
  <si>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</si>
  <si>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</si>
  <si>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</si>
  <si>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</si>
  <si>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</si>
  <si>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</si>
  <si>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</si>
  <si>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</si>
  <si>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</si>
  <si>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</si>
  <si>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</si>
  <si>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</si>
  <si>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</si>
  <si>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</si>
  <si>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</si>
  <si>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</si>
  <si>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</si>
  <si>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</si>
  <si>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</si>
  <si>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</si>
  <si>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</si>
  <si>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</si>
  <si>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</si>
  <si>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</si>
  <si>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</si>
  <si>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</si>
  <si>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</si>
  <si>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</si>
  <si>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</si>
  <si>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</si>
  <si>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</si>
  <si>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</si>
  <si>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</si>
  <si>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</si>
  <si>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</si>
  <si>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</si>
  <si>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</si>
  <si>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</si>
  <si>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</si>
  <si>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</si>
  <si>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</si>
  <si>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</si>
  <si>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</si>
  <si>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</si>
  <si>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</si>
  <si>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</si>
  <si>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</si>
  <si>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</si>
  <si>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</si>
  <si>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</si>
  <si>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</si>
  <si>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</si>
  <si>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</si>
  <si>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</si>
  <si>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</si>
  <si>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</si>
  <si>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</si>
  <si>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</si>
  <si>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</si>
  <si>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</si>
  <si>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</si>
  <si>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</si>
  <si>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</si>
  <si>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</si>
  <si>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</si>
  <si>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</si>
  <si>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</si>
  <si>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</si>
  <si>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</si>
  <si>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</si>
  <si>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</si>
  <si>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</si>
  <si>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</si>
  <si>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</si>
  <si>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</si>
  <si>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</si>
  <si>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</si>
  <si>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</si>
  <si>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</si>
  <si>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</si>
  <si>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</si>
  <si>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</si>
  <si>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</si>
  <si>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</si>
  <si>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</si>
  <si>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</si>
  <si>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</si>
  <si>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</si>
  <si>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</si>
  <si>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</si>
  <si>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</si>
  <si>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</si>
  <si>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</si>
  <si>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</si>
  <si>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</si>
  <si>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</si>
  <si>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</si>
  <si>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</si>
  <si>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</si>
  <si>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</si>
  <si>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</si>
  <si>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</si>
  <si>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</si>
  <si>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</si>
  <si>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</si>
  <si>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</si>
  <si>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</si>
  <si>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</si>
  <si>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</si>
  <si>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</si>
  <si>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</si>
  <si>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</si>
  <si>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</si>
  <si>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</si>
  <si>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</si>
  <si>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</si>
  <si>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</si>
  <si>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</si>
  <si>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</si>
  <si>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</si>
  <si>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</si>
  <si>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</si>
  <si>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</si>
  <si>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</si>
  <si>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</si>
  <si>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</si>
  <si>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</si>
  <si>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</si>
  <si>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</si>
  <si>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</si>
  <si>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</si>
  <si>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</si>
  <si>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</si>
  <si>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</si>
  <si>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</si>
  <si>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</si>
  <si>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</si>
  <si>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</si>
  <si>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</si>
  <si>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</si>
  <si>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</si>
  <si>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</si>
  <si>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</si>
  <si>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</si>
  <si>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</si>
  <si>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</si>
  <si>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</si>
  <si>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</si>
  <si>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</si>
  <si>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</si>
  <si>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</si>
  <si>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</si>
  <si>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</si>
  <si>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</si>
  <si>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</si>
  <si>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</si>
  <si>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</si>
  <si>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</si>
  <si>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</si>
  <si>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</si>
  <si>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</si>
  <si>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</si>
  <si>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</si>
  <si>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</si>
  <si>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</si>
  <si>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</si>
  <si>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</si>
  <si>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</si>
  <si>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</si>
  <si>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</si>
  <si>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</si>
  <si>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</si>
  <si>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</si>
  <si>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</si>
  <si>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</si>
  <si>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</si>
  <si>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</si>
  <si>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</si>
  <si>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</si>
  <si>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</si>
  <si>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</si>
  <si>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</si>
  <si>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</si>
  <si>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</si>
  <si>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</si>
  <si>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</si>
  <si>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</si>
  <si>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</si>
  <si>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</si>
  <si>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</si>
  <si>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</si>
  <si>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</si>
  <si>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</si>
  <si>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</si>
  <si>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</si>
  <si>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</si>
  <si>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</si>
  <si>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</si>
  <si>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</si>
  <si>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</si>
  <si>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</si>
  <si>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</si>
  <si>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</si>
  <si>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</si>
  <si>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</si>
  <si>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</si>
  <si>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2007-01-02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</si>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</sst>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7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64" fontId="0" fillId="0" borderId="0" xfId="0" applyNumberFormat="1"/>
    <xf numFmtId="14" fontId="135" fillId="52" borderId="0" xfId="350" applyNumberFormat="1" applyFont="1" applyFill="1"/>
    <xf numFmtId="0" fontId="136" fillId="52" borderId="0" xfId="0" applyFont="1" applyFill="1"/>
    <xf numFmtId="0" fontId="136" fillId="0" borderId="0" xfId="0" applyFont="1"/>
    <xf numFmtId="0" fontId="135" fillId="40" borderId="0" xfId="350" applyNumberFormat="1" applyFont="1"/>
    <xf numFmtId="14" fontId="137" fillId="52" borderId="0" xfId="350" applyNumberFormat="1" applyFont="1" applyFill="1"/>
    <xf numFmtId="0" fontId="138" fillId="52" borderId="0" xfId="0" applyFont="1" applyFill="1"/>
    <xf numFmtId="0" fontId="138" fillId="0" borderId="0" xfId="0" applyFont="1"/>
    <xf numFmtId="0" fontId="137" fillId="40" borderId="0" xfId="350" applyNumberFormat="1" applyFont="1"/>
    <xf numFmtId="14" fontId="139" fillId="52" borderId="0" xfId="350" applyNumberFormat="1" applyFont="1" applyFill="1"/>
    <xf numFmtId="0" fontId="140" fillId="52" borderId="0" xfId="0" applyFont="1" applyFill="1"/>
    <xf numFmtId="0" fontId="140" fillId="0" borderId="0" xfId="0" applyFont="1"/>
    <xf numFmtId="0" fontId="139" fillId="40" borderId="0" xfId="350" applyNumberFormat="1" applyFont="1"/>
    <xf numFmtId="14" fontId="141" fillId="52" borderId="0" xfId="350" applyNumberFormat="1" applyFont="1" applyFill="1"/>
    <xf numFmtId="0" fontId="142" fillId="52" borderId="0" xfId="0" applyFont="1" applyFill="1"/>
    <xf numFmtId="0" fontId="142" fillId="0" borderId="0" xfId="0" applyFont="1"/>
    <xf numFmtId="0" fontId="141" fillId="40" borderId="0" xfId="350" applyNumberFormat="1" applyFont="1"/>
    <xf numFmtId="14" fontId="143" fillId="52" borderId="0" xfId="350" applyNumberFormat="1" applyFont="1" applyFill="1"/>
    <xf numFmtId="0" fontId="144" fillId="52" borderId="0" xfId="0" applyFont="1" applyFill="1"/>
    <xf numFmtId="0" fontId="144" fillId="0" borderId="0" xfId="0" applyFont="1"/>
    <xf numFmtId="0" fontId="143" fillId="40" borderId="0" xfId="350" applyNumberFormat="1" applyFont="1"/>
    <xf numFmtId="14" fontId="145" fillId="52" borderId="0" xfId="350" applyNumberFormat="1" applyFont="1" applyFill="1"/>
    <xf numFmtId="0" fontId="146" fillId="52" borderId="0" xfId="0" applyFont="1" applyFill="1"/>
    <xf numFmtId="0" fontId="146" fillId="0" borderId="0" xfId="0" applyFont="1"/>
    <xf numFmtId="0" fontId="145" fillId="40" borderId="0" xfId="350" applyNumberFormat="1" applyFont="1"/>
    <xf numFmtId="14" fontId="147" fillId="52" borderId="0" xfId="350" applyNumberFormat="1" applyFont="1" applyFill="1"/>
    <xf numFmtId="0" fontId="148" fillId="52" borderId="0" xfId="0" applyFont="1" applyFill="1"/>
    <xf numFmtId="0" fontId="148" fillId="0" borderId="0" xfId="0" applyFont="1"/>
    <xf numFmtId="0" fontId="147" fillId="40" borderId="0" xfId="350" applyNumberFormat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8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Week Changes (bps) - Recent Two Months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'Historic Change'!$C$9</c:f>
              <c:strCache>
                <c:ptCount val="1"/>
                <c:pt idx="0">
                  <c:v>Servicing Spread Chg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2017-06-14</c:v>
                </c:pt>
                <c:pt idx="1">
                  <c:v>2017-06-07</c:v>
                </c:pt>
                <c:pt idx="2">
                  <c:v>2017-05-31</c:v>
                </c:pt>
                <c:pt idx="3">
                  <c:v>2017-05-24</c:v>
                </c:pt>
                <c:pt idx="4">
                  <c:v>2017-05-17</c:v>
                </c:pt>
                <c:pt idx="5">
                  <c:v>2017-05-10</c:v>
                </c:pt>
                <c:pt idx="6">
                  <c:v>2017-05-03</c:v>
                </c:pt>
                <c:pt idx="7">
                  <c:v>2017-04-26</c:v>
                </c:pt>
                <c:pt idx="8">
                  <c:v>2017-04-19</c:v>
                </c:pt>
              </c:strCache>
            </c:strRef>
          </c:cat>
          <c:val>
            <c:numRef>
              <c:f>'Historic Change'!$C$10:$C$18</c:f>
              <c:numCache>
                <c:formatCode>0.0</c:formatCode>
                <c:ptCount val="9"/>
                <c:pt idx="0">
                  <c:v>0.9999078806562256</c:v>
                </c:pt>
                <c:pt idx="1">
                  <c:v>-0.98732793000699814</c:v>
                </c:pt>
                <c:pt idx="2">
                  <c:v>2.3926556185139614</c:v>
                </c:pt>
                <c:pt idx="3">
                  <c:v>-1.2216088284067173</c:v>
                </c:pt>
                <c:pt idx="4">
                  <c:v>3.2463317655321955</c:v>
                </c:pt>
                <c:pt idx="5">
                  <c:v>-3.6909168983644047</c:v>
                </c:pt>
                <c:pt idx="6">
                  <c:v>-1.8857327044368599</c:v>
                </c:pt>
                <c:pt idx="7">
                  <c:v>-0.83464679083649074</c:v>
                </c:pt>
                <c:pt idx="8">
                  <c:v>0.99714750619410708</c:v>
                </c:pt>
              </c:numCache>
            </c:numRef>
          </c:val>
        </c:ser>
        <c:ser>
          <c:idx val="0"/>
          <c:order val="1"/>
          <c:tx>
            <c:strRef>
              <c:f>'Historic Change'!$D$9</c:f>
              <c:strCache>
                <c:ptCount val="1"/>
                <c:pt idx="0">
                  <c:v>FHLMC Survey Rate Chg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2017-06-14</c:v>
                </c:pt>
                <c:pt idx="1">
                  <c:v>2017-06-07</c:v>
                </c:pt>
                <c:pt idx="2">
                  <c:v>2017-05-31</c:v>
                </c:pt>
                <c:pt idx="3">
                  <c:v>2017-05-24</c:v>
                </c:pt>
                <c:pt idx="4">
                  <c:v>2017-05-17</c:v>
                </c:pt>
                <c:pt idx="5">
                  <c:v>2017-05-10</c:v>
                </c:pt>
                <c:pt idx="6">
                  <c:v>2017-05-03</c:v>
                </c:pt>
                <c:pt idx="7">
                  <c:v>2017-04-26</c:v>
                </c:pt>
                <c:pt idx="8">
                  <c:v>2017-04-19</c:v>
                </c:pt>
              </c:strCache>
            </c:strRef>
          </c:cat>
          <c:val>
            <c:numRef>
              <c:f>'Historic Change'!$D$10:$D$18</c:f>
              <c:numCache>
                <c:formatCode>0.0</c:formatCode>
                <c:ptCount val="9"/>
                <c:pt idx="0">
                  <c:v>2.0000000000000018</c:v>
                </c:pt>
                <c:pt idx="1">
                  <c:v>-4.9999999999999822</c:v>
                </c:pt>
                <c:pt idx="2">
                  <c:v>-1.0000000000000231</c:v>
                </c:pt>
                <c:pt idx="3">
                  <c:v>-6.9999999999999396</c:v>
                </c:pt>
                <c:pt idx="4">
                  <c:v>-3.0000000000000249</c:v>
                </c:pt>
                <c:pt idx="5">
                  <c:v>3.0000000000000249</c:v>
                </c:pt>
                <c:pt idx="6">
                  <c:v>-1.0000000000000675</c:v>
                </c:pt>
                <c:pt idx="7">
                  <c:v>6.0000000000000053</c:v>
                </c:pt>
                <c:pt idx="8">
                  <c:v>-10.999999999999988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744128"/>
        <c:axId val="389745664"/>
      </c:barChart>
      <c:catAx>
        <c:axId val="389744128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389745664"/>
        <c:crosses val="autoZero"/>
        <c:auto val="1"/>
        <c:lblAlgn val="ctr"/>
        <c:lblOffset val="100"/>
        <c:noMultiLvlLbl val="0"/>
      </c:catAx>
      <c:valAx>
        <c:axId val="389745664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Changes (bps)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3897441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[3.Servicing Spread and Survey Rate Master_Neo.xlsm]Dynamic Pivot!PivotTable2</c:name>
    <c:fmtId val="2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FHLMC Survey Rate  -</a:t>
            </a:r>
            <a:r>
              <a:rPr lang="en-US" sz="1200" baseline="0"/>
              <a:t>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7"/>
        <c:spPr>
          <a:ln w="19050">
            <a:solidFill>
              <a:srgbClr val="AD275C"/>
            </a:solidFill>
            <a:prstDash val="solid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Implied Servicing Spread 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'Dynamic Pivot'!$A$4:$A$275</c:f>
              <c:strCache>
                <c:ptCount val="271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2012-11-21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2013-07-03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2013-11-27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2014-11-26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2014-12-31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  <c:pt idx="170">
                  <c:v>2015-07-15</c:v>
                </c:pt>
                <c:pt idx="171">
                  <c:v>2015-07-22</c:v>
                </c:pt>
                <c:pt idx="172">
                  <c:v>2015-07-29</c:v>
                </c:pt>
                <c:pt idx="173">
                  <c:v>2015-08-05</c:v>
                </c:pt>
                <c:pt idx="174">
                  <c:v>2015-08-12</c:v>
                </c:pt>
                <c:pt idx="175">
                  <c:v>2015-08-19</c:v>
                </c:pt>
                <c:pt idx="176">
                  <c:v>2015-08-26</c:v>
                </c:pt>
                <c:pt idx="177">
                  <c:v>2015-09-02</c:v>
                </c:pt>
                <c:pt idx="178">
                  <c:v>2015-09-09</c:v>
                </c:pt>
                <c:pt idx="179">
                  <c:v>2015-09-16</c:v>
                </c:pt>
                <c:pt idx="180">
                  <c:v>2015-09-23</c:v>
                </c:pt>
                <c:pt idx="181">
                  <c:v>2015-09-30</c:v>
                </c:pt>
                <c:pt idx="182">
                  <c:v>2015-10-07</c:v>
                </c:pt>
                <c:pt idx="183">
                  <c:v>2015-10-14</c:v>
                </c:pt>
                <c:pt idx="184">
                  <c:v>2015-10-21</c:v>
                </c:pt>
                <c:pt idx="185">
                  <c:v>2015-10-28</c:v>
                </c:pt>
                <c:pt idx="186">
                  <c:v>2015-11-04</c:v>
                </c:pt>
                <c:pt idx="187">
                  <c:v>2015-11-10</c:v>
                </c:pt>
                <c:pt idx="188">
                  <c:v>2015-11-18</c:v>
                </c:pt>
                <c:pt idx="189">
                  <c:v>2015-11-25</c:v>
                </c:pt>
                <c:pt idx="190">
                  <c:v>2015-12-02</c:v>
                </c:pt>
                <c:pt idx="191">
                  <c:v>2015-12-09</c:v>
                </c:pt>
                <c:pt idx="192">
                  <c:v>2015-12-16</c:v>
                </c:pt>
                <c:pt idx="193">
                  <c:v>2015-12-23</c:v>
                </c:pt>
                <c:pt idx="194">
                  <c:v>2015-12-30</c:v>
                </c:pt>
                <c:pt idx="195">
                  <c:v>2016-01-06</c:v>
                </c:pt>
                <c:pt idx="196">
                  <c:v>2016-01-13</c:v>
                </c:pt>
                <c:pt idx="197">
                  <c:v>2016-01-20</c:v>
                </c:pt>
                <c:pt idx="198">
                  <c:v>2016-01-27</c:v>
                </c:pt>
                <c:pt idx="199">
                  <c:v>2016-02-03</c:v>
                </c:pt>
                <c:pt idx="200">
                  <c:v>2016-02-10</c:v>
                </c:pt>
                <c:pt idx="201">
                  <c:v>2016-02-17</c:v>
                </c:pt>
                <c:pt idx="202">
                  <c:v>2016-02-24</c:v>
                </c:pt>
                <c:pt idx="203">
                  <c:v>2016-03-02</c:v>
                </c:pt>
                <c:pt idx="204">
                  <c:v>2016-03-09</c:v>
                </c:pt>
                <c:pt idx="205">
                  <c:v>2016-03-16</c:v>
                </c:pt>
                <c:pt idx="206">
                  <c:v>2016-03-23</c:v>
                </c:pt>
                <c:pt idx="207">
                  <c:v>2016-03-30</c:v>
                </c:pt>
                <c:pt idx="208">
                  <c:v>2016-04-06</c:v>
                </c:pt>
                <c:pt idx="209">
                  <c:v>2016-04-13</c:v>
                </c:pt>
                <c:pt idx="210">
                  <c:v>2016-04-20</c:v>
                </c:pt>
                <c:pt idx="211">
                  <c:v>2016-04-27</c:v>
                </c:pt>
                <c:pt idx="212">
                  <c:v>2016-05-04</c:v>
                </c:pt>
                <c:pt idx="213">
                  <c:v>2016-05-11</c:v>
                </c:pt>
                <c:pt idx="214">
                  <c:v>2016-05-18</c:v>
                </c:pt>
                <c:pt idx="215">
                  <c:v>2016-05-25</c:v>
                </c:pt>
                <c:pt idx="216">
                  <c:v>2016-06-01</c:v>
                </c:pt>
                <c:pt idx="217">
                  <c:v>2016-06-08</c:v>
                </c:pt>
                <c:pt idx="218">
                  <c:v>2016-06-15</c:v>
                </c:pt>
                <c:pt idx="219">
                  <c:v>2016-06-22</c:v>
                </c:pt>
                <c:pt idx="220">
                  <c:v>2016-06-29</c:v>
                </c:pt>
                <c:pt idx="221">
                  <c:v>2016-07-06</c:v>
                </c:pt>
                <c:pt idx="222">
                  <c:v>2016-07-13</c:v>
                </c:pt>
                <c:pt idx="223">
                  <c:v>2016-07-20</c:v>
                </c:pt>
                <c:pt idx="224">
                  <c:v>2016-07-27</c:v>
                </c:pt>
                <c:pt idx="225">
                  <c:v>2016-08-03</c:v>
                </c:pt>
                <c:pt idx="226">
                  <c:v>2016-08-10</c:v>
                </c:pt>
                <c:pt idx="227">
                  <c:v>2016-08-17</c:v>
                </c:pt>
                <c:pt idx="228">
                  <c:v>2016-08-24</c:v>
                </c:pt>
                <c:pt idx="229">
                  <c:v>2016-08-31</c:v>
                </c:pt>
                <c:pt idx="230">
                  <c:v>2016-09-07</c:v>
                </c:pt>
                <c:pt idx="231">
                  <c:v>2016-09-14</c:v>
                </c:pt>
                <c:pt idx="232">
                  <c:v>2016-09-21</c:v>
                </c:pt>
                <c:pt idx="233">
                  <c:v>2016-09-28</c:v>
                </c:pt>
                <c:pt idx="234">
                  <c:v>2016-10-05</c:v>
                </c:pt>
                <c:pt idx="235">
                  <c:v>2016-10-12</c:v>
                </c:pt>
                <c:pt idx="236">
                  <c:v>2016-10-19</c:v>
                </c:pt>
                <c:pt idx="237">
                  <c:v>2016-10-26</c:v>
                </c:pt>
                <c:pt idx="238">
                  <c:v>2016-11-02</c:v>
                </c:pt>
                <c:pt idx="239">
                  <c:v>2016-11-09</c:v>
                </c:pt>
                <c:pt idx="240">
                  <c:v>2016-11-16</c:v>
                </c:pt>
                <c:pt idx="241">
                  <c:v>2016-11-23</c:v>
                </c:pt>
                <c:pt idx="242">
                  <c:v>2016-11-30</c:v>
                </c:pt>
                <c:pt idx="243">
                  <c:v>2016-12-07</c:v>
                </c:pt>
                <c:pt idx="244">
                  <c:v>2016-12-14</c:v>
                </c:pt>
                <c:pt idx="245">
                  <c:v>2016-12-21</c:v>
                </c:pt>
                <c:pt idx="246">
                  <c:v>2016-12-28</c:v>
                </c:pt>
                <c:pt idx="247">
                  <c:v>2017-01-04</c:v>
                </c:pt>
                <c:pt idx="248">
                  <c:v>2017-01-11</c:v>
                </c:pt>
                <c:pt idx="249">
                  <c:v>2017-01-18</c:v>
                </c:pt>
                <c:pt idx="250">
                  <c:v>2017-01-25</c:v>
                </c:pt>
                <c:pt idx="251">
                  <c:v>2017-02-01</c:v>
                </c:pt>
                <c:pt idx="252">
                  <c:v>2017-02-08</c:v>
                </c:pt>
                <c:pt idx="253">
                  <c:v>2017-02-15</c:v>
                </c:pt>
                <c:pt idx="254">
                  <c:v>2017-02-22</c:v>
                </c:pt>
                <c:pt idx="255">
                  <c:v>2017-03-01</c:v>
                </c:pt>
                <c:pt idx="256">
                  <c:v>2017-03-08</c:v>
                </c:pt>
                <c:pt idx="257">
                  <c:v>2017-03-15</c:v>
                </c:pt>
                <c:pt idx="258">
                  <c:v>2017-03-22</c:v>
                </c:pt>
                <c:pt idx="259">
                  <c:v>2017-03-29</c:v>
                </c:pt>
                <c:pt idx="260">
                  <c:v>2017-04-05</c:v>
                </c:pt>
                <c:pt idx="261">
                  <c:v>2017-04-12</c:v>
                </c:pt>
                <c:pt idx="262">
                  <c:v>2017-04-19</c:v>
                </c:pt>
                <c:pt idx="263">
                  <c:v>2017-04-26</c:v>
                </c:pt>
                <c:pt idx="264">
                  <c:v>2017-05-03</c:v>
                </c:pt>
                <c:pt idx="265">
                  <c:v>2017-05-10</c:v>
                </c:pt>
                <c:pt idx="266">
                  <c:v>2017-05-17</c:v>
                </c:pt>
                <c:pt idx="267">
                  <c:v>2017-05-24</c:v>
                </c:pt>
                <c:pt idx="268">
                  <c:v>2017-05-31</c:v>
                </c:pt>
                <c:pt idx="269">
                  <c:v>2017-06-07</c:v>
                </c:pt>
                <c:pt idx="270">
                  <c:v>2017-06-14</c:v>
                </c:pt>
              </c:strCache>
            </c:strRef>
          </c:cat>
          <c:val>
            <c:numRef>
              <c:f>'Dynamic Pivot'!$C$4:$C$275</c:f>
              <c:numCache>
                <c:formatCode>General</c:formatCode>
                <c:ptCount val="271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1.1284005640703798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0.89324065283713949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0.83041220042444985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0.90826415378847614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0.91047831060005491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  <c:pt idx="154">
                  <c:v>0.92742898162233178</c:v>
                </c:pt>
                <c:pt idx="155">
                  <c:v>0.92071906526186842</c:v>
                </c:pt>
                <c:pt idx="156">
                  <c:v>0.93496156723867019</c:v>
                </c:pt>
                <c:pt idx="157">
                  <c:v>0.96741087135837933</c:v>
                </c:pt>
                <c:pt idx="158">
                  <c:v>0.94210798536828388</c:v>
                </c:pt>
                <c:pt idx="159">
                  <c:v>0.90490640481897167</c:v>
                </c:pt>
                <c:pt idx="160">
                  <c:v>0.8617891383925933</c:v>
                </c:pt>
                <c:pt idx="161">
                  <c:v>0.852646747577682</c:v>
                </c:pt>
                <c:pt idx="162">
                  <c:v>0.87408042789640161</c:v>
                </c:pt>
                <c:pt idx="163">
                  <c:v>0.90809149211963769</c:v>
                </c:pt>
                <c:pt idx="164">
                  <c:v>0.85462320236515188</c:v>
                </c:pt>
                <c:pt idx="165">
                  <c:v>0.83278277682371415</c:v>
                </c:pt>
                <c:pt idx="166">
                  <c:v>0.85723884767587721</c:v>
                </c:pt>
                <c:pt idx="167">
                  <c:v>0.88133173263289866</c:v>
                </c:pt>
                <c:pt idx="168">
                  <c:v>0.85212125647781578</c:v>
                </c:pt>
                <c:pt idx="169">
                  <c:v>0.89927364361321738</c:v>
                </c:pt>
                <c:pt idx="170">
                  <c:v>0.88674357160479156</c:v>
                </c:pt>
                <c:pt idx="171">
                  <c:v>0.88927169748666346</c:v>
                </c:pt>
                <c:pt idx="172">
                  <c:v>0.88950843438376603</c:v>
                </c:pt>
                <c:pt idx="173">
                  <c:v>0.85718384954390769</c:v>
                </c:pt>
                <c:pt idx="174">
                  <c:v>0.91068756970760179</c:v>
                </c:pt>
                <c:pt idx="175">
                  <c:v>0.89217615693167218</c:v>
                </c:pt>
                <c:pt idx="176">
                  <c:v>0.87914752064901158</c:v>
                </c:pt>
                <c:pt idx="177">
                  <c:v>0.86967053775170999</c:v>
                </c:pt>
                <c:pt idx="178">
                  <c:v>0.89873051853940211</c:v>
                </c:pt>
                <c:pt idx="179">
                  <c:v>0.86198685751409831</c:v>
                </c:pt>
                <c:pt idx="180">
                  <c:v>0.9092593641497877</c:v>
                </c:pt>
                <c:pt idx="181">
                  <c:v>0.90219892916849176</c:v>
                </c:pt>
                <c:pt idx="182">
                  <c:v>0.8982800501721897</c:v>
                </c:pt>
                <c:pt idx="183">
                  <c:v>0.93781489728944178</c:v>
                </c:pt>
                <c:pt idx="184">
                  <c:v>0.94665395599520386</c:v>
                </c:pt>
                <c:pt idx="185">
                  <c:v>0.90714148420835139</c:v>
                </c:pt>
                <c:pt idx="186">
                  <c:v>0.88642613417952409</c:v>
                </c:pt>
                <c:pt idx="187">
                  <c:v>0.87623495416439257</c:v>
                </c:pt>
                <c:pt idx="188">
                  <c:v>0.86936456480838231</c:v>
                </c:pt>
                <c:pt idx="189">
                  <c:v>0.90387693137009562</c:v>
                </c:pt>
                <c:pt idx="190">
                  <c:v>0.899610927819392</c:v>
                </c:pt>
                <c:pt idx="191">
                  <c:v>0.86312978072764812</c:v>
                </c:pt>
                <c:pt idx="192">
                  <c:v>0.87298623173157397</c:v>
                </c:pt>
                <c:pt idx="193">
                  <c:v>0.86144301748626795</c:v>
                </c:pt>
                <c:pt idx="194">
                  <c:v>0.875902626333664</c:v>
                </c:pt>
                <c:pt idx="195">
                  <c:v>0.88815502678196001</c:v>
                </c:pt>
                <c:pt idx="196">
                  <c:v>0.94989804181903592</c:v>
                </c:pt>
                <c:pt idx="197">
                  <c:v>0.92584729351585482</c:v>
                </c:pt>
                <c:pt idx="198">
                  <c:v>0.93208019459837388</c:v>
                </c:pt>
                <c:pt idx="199">
                  <c:v>0.96099133410500004</c:v>
                </c:pt>
                <c:pt idx="200">
                  <c:v>0.9755902944607433</c:v>
                </c:pt>
                <c:pt idx="201">
                  <c:v>0.98749010289840466</c:v>
                </c:pt>
                <c:pt idx="202">
                  <c:v>0.98090021845741004</c:v>
                </c:pt>
                <c:pt idx="203">
                  <c:v>0.94898560229812201</c:v>
                </c:pt>
                <c:pt idx="204">
                  <c:v>0.90289359115288592</c:v>
                </c:pt>
                <c:pt idx="205">
                  <c:v>0.87942559518201602</c:v>
                </c:pt>
                <c:pt idx="206">
                  <c:v>0.90917936314590175</c:v>
                </c:pt>
                <c:pt idx="207">
                  <c:v>0.94850784650315312</c:v>
                </c:pt>
                <c:pt idx="208">
                  <c:v>0.94230167496133888</c:v>
                </c:pt>
                <c:pt idx="209">
                  <c:v>0.96247243810223182</c:v>
                </c:pt>
                <c:pt idx="210">
                  <c:v>0.94834769078847136</c:v>
                </c:pt>
                <c:pt idx="211">
                  <c:v>0.90735927911730174</c:v>
                </c:pt>
                <c:pt idx="212">
                  <c:v>0.93901473766328758</c:v>
                </c:pt>
                <c:pt idx="213">
                  <c:v>0.93139308523528408</c:v>
                </c:pt>
                <c:pt idx="214">
                  <c:v>0.93137135924501591</c:v>
                </c:pt>
                <c:pt idx="215">
                  <c:v>0.89462225309558807</c:v>
                </c:pt>
                <c:pt idx="216">
                  <c:v>0.93519856292601267</c:v>
                </c:pt>
                <c:pt idx="217">
                  <c:v>0.95218299419774954</c:v>
                </c:pt>
                <c:pt idx="218">
                  <c:v>0.94852570352587806</c:v>
                </c:pt>
                <c:pt idx="219">
                  <c:v>0.97208037975313788</c:v>
                </c:pt>
                <c:pt idx="220">
                  <c:v>0.99018948820538188</c:v>
                </c:pt>
                <c:pt idx="221">
                  <c:v>1.0735658724926154</c:v>
                </c:pt>
                <c:pt idx="222">
                  <c:v>1.037797354015682</c:v>
                </c:pt>
                <c:pt idx="223">
                  <c:v>0.98469006528880598</c:v>
                </c:pt>
                <c:pt idx="224">
                  <c:v>0.98723561935022808</c:v>
                </c:pt>
                <c:pt idx="225">
                  <c:v>0.99665005488915215</c:v>
                </c:pt>
                <c:pt idx="226">
                  <c:v>0.9945243470140821</c:v>
                </c:pt>
                <c:pt idx="227">
                  <c:v>0.96204881830722577</c:v>
                </c:pt>
                <c:pt idx="228">
                  <c:v>0.98171953969376968</c:v>
                </c:pt>
                <c:pt idx="229">
                  <c:v>0.96508275197817595</c:v>
                </c:pt>
                <c:pt idx="230">
                  <c:v>0.97208936427686243</c:v>
                </c:pt>
                <c:pt idx="231">
                  <c:v>0.93586808956743406</c:v>
                </c:pt>
                <c:pt idx="232">
                  <c:v>0.92115160869279222</c:v>
                </c:pt>
                <c:pt idx="233">
                  <c:v>0.95124142083594565</c:v>
                </c:pt>
                <c:pt idx="234">
                  <c:v>0.92620506460670349</c:v>
                </c:pt>
                <c:pt idx="235">
                  <c:v>0.90588785273436301</c:v>
                </c:pt>
                <c:pt idx="236">
                  <c:v>0.91980968494587811</c:v>
                </c:pt>
                <c:pt idx="237">
                  <c:v>0.90511955976279213</c:v>
                </c:pt>
                <c:pt idx="238">
                  <c:v>0.88488060414335834</c:v>
                </c:pt>
                <c:pt idx="239">
                  <c:v>0.8584733617448137</c:v>
                </c:pt>
                <c:pt idx="240">
                  <c:v>0.90773422124067249</c:v>
                </c:pt>
                <c:pt idx="241">
                  <c:v>0.87731262305362634</c:v>
                </c:pt>
                <c:pt idx="242">
                  <c:v>0.90524767330484757</c:v>
                </c:pt>
                <c:pt idx="243">
                  <c:v>0.92185342194210973</c:v>
                </c:pt>
                <c:pt idx="244">
                  <c:v>0.88893752261056624</c:v>
                </c:pt>
                <c:pt idx="245">
                  <c:v>0.88370808502503184</c:v>
                </c:pt>
                <c:pt idx="246">
                  <c:v>0.94730744414890777</c:v>
                </c:pt>
                <c:pt idx="247">
                  <c:v>0.9474160854844027</c:v>
                </c:pt>
                <c:pt idx="248">
                  <c:v>0.92485446392402393</c:v>
                </c:pt>
                <c:pt idx="249">
                  <c:v>0.89197298289928284</c:v>
                </c:pt>
                <c:pt idx="250">
                  <c:v>0.86035015234781387</c:v>
                </c:pt>
                <c:pt idx="251">
                  <c:v>0.87561313617701186</c:v>
                </c:pt>
                <c:pt idx="252">
                  <c:v>0.88650682531750347</c:v>
                </c:pt>
                <c:pt idx="253">
                  <c:v>0.86874414258515431</c:v>
                </c:pt>
                <c:pt idx="254">
                  <c:v>0.88107535813014515</c:v>
                </c:pt>
                <c:pt idx="255">
                  <c:v>0.85735043819388768</c:v>
                </c:pt>
                <c:pt idx="256">
                  <c:v>0.84166725186550151</c:v>
                </c:pt>
                <c:pt idx="257">
                  <c:v>0.85260067426625152</c:v>
                </c:pt>
                <c:pt idx="258">
                  <c:v>0.90124471058864231</c:v>
                </c:pt>
                <c:pt idx="259">
                  <c:v>0.8620916580372513</c:v>
                </c:pt>
                <c:pt idx="260">
                  <c:v>0.85702989930147888</c:v>
                </c:pt>
                <c:pt idx="261">
                  <c:v>0.87661473916072197</c:v>
                </c:pt>
                <c:pt idx="262">
                  <c:v>0.88658621422266304</c:v>
                </c:pt>
                <c:pt idx="263">
                  <c:v>0.87823974631429813</c:v>
                </c:pt>
                <c:pt idx="264">
                  <c:v>0.85938241926992953</c:v>
                </c:pt>
                <c:pt idx="265">
                  <c:v>0.82247325028628548</c:v>
                </c:pt>
                <c:pt idx="266">
                  <c:v>0.85493656794160744</c:v>
                </c:pt>
                <c:pt idx="267">
                  <c:v>0.84272047965754027</c:v>
                </c:pt>
                <c:pt idx="268">
                  <c:v>0.86664703584267988</c:v>
                </c:pt>
                <c:pt idx="269">
                  <c:v>0.8567737565426099</c:v>
                </c:pt>
                <c:pt idx="270">
                  <c:v>0.86677283534917215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790336"/>
        <c:axId val="389800320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'Dynamic Pivot'!$A$4:$A$275</c:f>
              <c:strCache>
                <c:ptCount val="271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2012-11-21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2013-07-03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2013-11-27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2014-11-26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2014-12-31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  <c:pt idx="170">
                  <c:v>2015-07-15</c:v>
                </c:pt>
                <c:pt idx="171">
                  <c:v>2015-07-22</c:v>
                </c:pt>
                <c:pt idx="172">
                  <c:v>2015-07-29</c:v>
                </c:pt>
                <c:pt idx="173">
                  <c:v>2015-08-05</c:v>
                </c:pt>
                <c:pt idx="174">
                  <c:v>2015-08-12</c:v>
                </c:pt>
                <c:pt idx="175">
                  <c:v>2015-08-19</c:v>
                </c:pt>
                <c:pt idx="176">
                  <c:v>2015-08-26</c:v>
                </c:pt>
                <c:pt idx="177">
                  <c:v>2015-09-02</c:v>
                </c:pt>
                <c:pt idx="178">
                  <c:v>2015-09-09</c:v>
                </c:pt>
                <c:pt idx="179">
                  <c:v>2015-09-16</c:v>
                </c:pt>
                <c:pt idx="180">
                  <c:v>2015-09-23</c:v>
                </c:pt>
                <c:pt idx="181">
                  <c:v>2015-09-30</c:v>
                </c:pt>
                <c:pt idx="182">
                  <c:v>2015-10-07</c:v>
                </c:pt>
                <c:pt idx="183">
                  <c:v>2015-10-14</c:v>
                </c:pt>
                <c:pt idx="184">
                  <c:v>2015-10-21</c:v>
                </c:pt>
                <c:pt idx="185">
                  <c:v>2015-10-28</c:v>
                </c:pt>
                <c:pt idx="186">
                  <c:v>2015-11-04</c:v>
                </c:pt>
                <c:pt idx="187">
                  <c:v>2015-11-10</c:v>
                </c:pt>
                <c:pt idx="188">
                  <c:v>2015-11-18</c:v>
                </c:pt>
                <c:pt idx="189">
                  <c:v>2015-11-25</c:v>
                </c:pt>
                <c:pt idx="190">
                  <c:v>2015-12-02</c:v>
                </c:pt>
                <c:pt idx="191">
                  <c:v>2015-12-09</c:v>
                </c:pt>
                <c:pt idx="192">
                  <c:v>2015-12-16</c:v>
                </c:pt>
                <c:pt idx="193">
                  <c:v>2015-12-23</c:v>
                </c:pt>
                <c:pt idx="194">
                  <c:v>2015-12-30</c:v>
                </c:pt>
                <c:pt idx="195">
                  <c:v>2016-01-06</c:v>
                </c:pt>
                <c:pt idx="196">
                  <c:v>2016-01-13</c:v>
                </c:pt>
                <c:pt idx="197">
                  <c:v>2016-01-20</c:v>
                </c:pt>
                <c:pt idx="198">
                  <c:v>2016-01-27</c:v>
                </c:pt>
                <c:pt idx="199">
                  <c:v>2016-02-03</c:v>
                </c:pt>
                <c:pt idx="200">
                  <c:v>2016-02-10</c:v>
                </c:pt>
                <c:pt idx="201">
                  <c:v>2016-02-17</c:v>
                </c:pt>
                <c:pt idx="202">
                  <c:v>2016-02-24</c:v>
                </c:pt>
                <c:pt idx="203">
                  <c:v>2016-03-02</c:v>
                </c:pt>
                <c:pt idx="204">
                  <c:v>2016-03-09</c:v>
                </c:pt>
                <c:pt idx="205">
                  <c:v>2016-03-16</c:v>
                </c:pt>
                <c:pt idx="206">
                  <c:v>2016-03-23</c:v>
                </c:pt>
                <c:pt idx="207">
                  <c:v>2016-03-30</c:v>
                </c:pt>
                <c:pt idx="208">
                  <c:v>2016-04-06</c:v>
                </c:pt>
                <c:pt idx="209">
                  <c:v>2016-04-13</c:v>
                </c:pt>
                <c:pt idx="210">
                  <c:v>2016-04-20</c:v>
                </c:pt>
                <c:pt idx="211">
                  <c:v>2016-04-27</c:v>
                </c:pt>
                <c:pt idx="212">
                  <c:v>2016-05-04</c:v>
                </c:pt>
                <c:pt idx="213">
                  <c:v>2016-05-11</c:v>
                </c:pt>
                <c:pt idx="214">
                  <c:v>2016-05-18</c:v>
                </c:pt>
                <c:pt idx="215">
                  <c:v>2016-05-25</c:v>
                </c:pt>
                <c:pt idx="216">
                  <c:v>2016-06-01</c:v>
                </c:pt>
                <c:pt idx="217">
                  <c:v>2016-06-08</c:v>
                </c:pt>
                <c:pt idx="218">
                  <c:v>2016-06-15</c:v>
                </c:pt>
                <c:pt idx="219">
                  <c:v>2016-06-22</c:v>
                </c:pt>
                <c:pt idx="220">
                  <c:v>2016-06-29</c:v>
                </c:pt>
                <c:pt idx="221">
                  <c:v>2016-07-06</c:v>
                </c:pt>
                <c:pt idx="222">
                  <c:v>2016-07-13</c:v>
                </c:pt>
                <c:pt idx="223">
                  <c:v>2016-07-20</c:v>
                </c:pt>
                <c:pt idx="224">
                  <c:v>2016-07-27</c:v>
                </c:pt>
                <c:pt idx="225">
                  <c:v>2016-08-03</c:v>
                </c:pt>
                <c:pt idx="226">
                  <c:v>2016-08-10</c:v>
                </c:pt>
                <c:pt idx="227">
                  <c:v>2016-08-17</c:v>
                </c:pt>
                <c:pt idx="228">
                  <c:v>2016-08-24</c:v>
                </c:pt>
                <c:pt idx="229">
                  <c:v>2016-08-31</c:v>
                </c:pt>
                <c:pt idx="230">
                  <c:v>2016-09-07</c:v>
                </c:pt>
                <c:pt idx="231">
                  <c:v>2016-09-14</c:v>
                </c:pt>
                <c:pt idx="232">
                  <c:v>2016-09-21</c:v>
                </c:pt>
                <c:pt idx="233">
                  <c:v>2016-09-28</c:v>
                </c:pt>
                <c:pt idx="234">
                  <c:v>2016-10-05</c:v>
                </c:pt>
                <c:pt idx="235">
                  <c:v>2016-10-12</c:v>
                </c:pt>
                <c:pt idx="236">
                  <c:v>2016-10-19</c:v>
                </c:pt>
                <c:pt idx="237">
                  <c:v>2016-10-26</c:v>
                </c:pt>
                <c:pt idx="238">
                  <c:v>2016-11-02</c:v>
                </c:pt>
                <c:pt idx="239">
                  <c:v>2016-11-09</c:v>
                </c:pt>
                <c:pt idx="240">
                  <c:v>2016-11-16</c:v>
                </c:pt>
                <c:pt idx="241">
                  <c:v>2016-11-23</c:v>
                </c:pt>
                <c:pt idx="242">
                  <c:v>2016-11-30</c:v>
                </c:pt>
                <c:pt idx="243">
                  <c:v>2016-12-07</c:v>
                </c:pt>
                <c:pt idx="244">
                  <c:v>2016-12-14</c:v>
                </c:pt>
                <c:pt idx="245">
                  <c:v>2016-12-21</c:v>
                </c:pt>
                <c:pt idx="246">
                  <c:v>2016-12-28</c:v>
                </c:pt>
                <c:pt idx="247">
                  <c:v>2017-01-04</c:v>
                </c:pt>
                <c:pt idx="248">
                  <c:v>2017-01-11</c:v>
                </c:pt>
                <c:pt idx="249">
                  <c:v>2017-01-18</c:v>
                </c:pt>
                <c:pt idx="250">
                  <c:v>2017-01-25</c:v>
                </c:pt>
                <c:pt idx="251">
                  <c:v>2017-02-01</c:v>
                </c:pt>
                <c:pt idx="252">
                  <c:v>2017-02-08</c:v>
                </c:pt>
                <c:pt idx="253">
                  <c:v>2017-02-15</c:v>
                </c:pt>
                <c:pt idx="254">
                  <c:v>2017-02-22</c:v>
                </c:pt>
                <c:pt idx="255">
                  <c:v>2017-03-01</c:v>
                </c:pt>
                <c:pt idx="256">
                  <c:v>2017-03-08</c:v>
                </c:pt>
                <c:pt idx="257">
                  <c:v>2017-03-15</c:v>
                </c:pt>
                <c:pt idx="258">
                  <c:v>2017-03-22</c:v>
                </c:pt>
                <c:pt idx="259">
                  <c:v>2017-03-29</c:v>
                </c:pt>
                <c:pt idx="260">
                  <c:v>2017-04-05</c:v>
                </c:pt>
                <c:pt idx="261">
                  <c:v>2017-04-12</c:v>
                </c:pt>
                <c:pt idx="262">
                  <c:v>2017-04-19</c:v>
                </c:pt>
                <c:pt idx="263">
                  <c:v>2017-04-26</c:v>
                </c:pt>
                <c:pt idx="264">
                  <c:v>2017-05-03</c:v>
                </c:pt>
                <c:pt idx="265">
                  <c:v>2017-05-10</c:v>
                </c:pt>
                <c:pt idx="266">
                  <c:v>2017-05-17</c:v>
                </c:pt>
                <c:pt idx="267">
                  <c:v>2017-05-24</c:v>
                </c:pt>
                <c:pt idx="268">
                  <c:v>2017-05-31</c:v>
                </c:pt>
                <c:pt idx="269">
                  <c:v>2017-06-07</c:v>
                </c:pt>
                <c:pt idx="270">
                  <c:v>2017-06-14</c:v>
                </c:pt>
              </c:strCache>
            </c:strRef>
          </c:cat>
          <c:val>
            <c:numRef>
              <c:f>'Dynamic Pivot'!$B$4:$B$275</c:f>
              <c:numCache>
                <c:formatCode>General</c:formatCode>
                <c:ptCount val="271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3.73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  <c:pt idx="154">
                  <c:v>3.59</c:v>
                </c:pt>
                <c:pt idx="155">
                  <c:v>3.6</c:v>
                </c:pt>
                <c:pt idx="156">
                  <c:v>3.56</c:v>
                </c:pt>
                <c:pt idx="157">
                  <c:v>3.5949999999999998</c:v>
                </c:pt>
                <c:pt idx="158">
                  <c:v>3.55</c:v>
                </c:pt>
                <c:pt idx="159">
                  <c:v>3.58</c:v>
                </c:pt>
                <c:pt idx="160">
                  <c:v>3.6999999999999997</c:v>
                </c:pt>
                <c:pt idx="161">
                  <c:v>3.75</c:v>
                </c:pt>
                <c:pt idx="162">
                  <c:v>3.7649999999999997</c:v>
                </c:pt>
                <c:pt idx="163">
                  <c:v>3.77</c:v>
                </c:pt>
                <c:pt idx="164">
                  <c:v>3.77</c:v>
                </c:pt>
                <c:pt idx="165">
                  <c:v>3.94</c:v>
                </c:pt>
                <c:pt idx="166">
                  <c:v>3.9249999999999998</c:v>
                </c:pt>
                <c:pt idx="167">
                  <c:v>3.9449999999999994</c:v>
                </c:pt>
                <c:pt idx="168">
                  <c:v>3.98</c:v>
                </c:pt>
                <c:pt idx="169">
                  <c:v>3.94</c:v>
                </c:pt>
                <c:pt idx="170">
                  <c:v>3.9899999999999998</c:v>
                </c:pt>
                <c:pt idx="171">
                  <c:v>3.94</c:v>
                </c:pt>
                <c:pt idx="172">
                  <c:v>3.88</c:v>
                </c:pt>
                <c:pt idx="173">
                  <c:v>3.81</c:v>
                </c:pt>
                <c:pt idx="174">
                  <c:v>3.84</c:v>
                </c:pt>
                <c:pt idx="175">
                  <c:v>3.83</c:v>
                </c:pt>
                <c:pt idx="176">
                  <c:v>3.7399999999999998</c:v>
                </c:pt>
                <c:pt idx="177">
                  <c:v>3.79</c:v>
                </c:pt>
                <c:pt idx="178">
                  <c:v>3.8</c:v>
                </c:pt>
                <c:pt idx="179">
                  <c:v>3.81</c:v>
                </c:pt>
                <c:pt idx="180">
                  <c:v>3.7849999999999997</c:v>
                </c:pt>
                <c:pt idx="181">
                  <c:v>3.75</c:v>
                </c:pt>
                <c:pt idx="182">
                  <c:v>3.6599999999999997</c:v>
                </c:pt>
                <c:pt idx="183">
                  <c:v>3.7199999999999998</c:v>
                </c:pt>
                <c:pt idx="184">
                  <c:v>3.69</c:v>
                </c:pt>
                <c:pt idx="185">
                  <c:v>3.6599999999999997</c:v>
                </c:pt>
                <c:pt idx="186">
                  <c:v>3.77</c:v>
                </c:pt>
                <c:pt idx="187">
                  <c:v>3.88</c:v>
                </c:pt>
                <c:pt idx="188">
                  <c:v>3.87</c:v>
                </c:pt>
                <c:pt idx="189">
                  <c:v>3.875</c:v>
                </c:pt>
                <c:pt idx="190">
                  <c:v>3.83</c:v>
                </c:pt>
                <c:pt idx="191">
                  <c:v>3.85</c:v>
                </c:pt>
                <c:pt idx="192">
                  <c:v>3.87</c:v>
                </c:pt>
                <c:pt idx="193">
                  <c:v>3.86</c:v>
                </c:pt>
                <c:pt idx="194">
                  <c:v>3.9099999999999997</c:v>
                </c:pt>
                <c:pt idx="195">
                  <c:v>3.87</c:v>
                </c:pt>
                <c:pt idx="196">
                  <c:v>3.82</c:v>
                </c:pt>
                <c:pt idx="197">
                  <c:v>3.71</c:v>
                </c:pt>
                <c:pt idx="198">
                  <c:v>3.69</c:v>
                </c:pt>
                <c:pt idx="199">
                  <c:v>3.62</c:v>
                </c:pt>
                <c:pt idx="200">
                  <c:v>3.5249999999999999</c:v>
                </c:pt>
                <c:pt idx="201">
                  <c:v>3.5249999999999999</c:v>
                </c:pt>
                <c:pt idx="202">
                  <c:v>3.52</c:v>
                </c:pt>
                <c:pt idx="203">
                  <c:v>3.5150000000000001</c:v>
                </c:pt>
                <c:pt idx="204">
                  <c:v>3.5550000000000002</c:v>
                </c:pt>
                <c:pt idx="205">
                  <c:v>3.605</c:v>
                </c:pt>
                <c:pt idx="206">
                  <c:v>3.585</c:v>
                </c:pt>
                <c:pt idx="207">
                  <c:v>3.585</c:v>
                </c:pt>
                <c:pt idx="208">
                  <c:v>3.4649999999999999</c:v>
                </c:pt>
                <c:pt idx="209">
                  <c:v>3.4550000000000001</c:v>
                </c:pt>
                <c:pt idx="210">
                  <c:v>3.4899999999999998</c:v>
                </c:pt>
                <c:pt idx="211">
                  <c:v>3.56</c:v>
                </c:pt>
                <c:pt idx="212">
                  <c:v>3.51</c:v>
                </c:pt>
                <c:pt idx="213">
                  <c:v>3.4449999999999998</c:v>
                </c:pt>
                <c:pt idx="214">
                  <c:v>3.48</c:v>
                </c:pt>
                <c:pt idx="215">
                  <c:v>3.5150000000000001</c:v>
                </c:pt>
                <c:pt idx="216">
                  <c:v>3.5350000000000001</c:v>
                </c:pt>
                <c:pt idx="217">
                  <c:v>3.4750000000000001</c:v>
                </c:pt>
                <c:pt idx="218">
                  <c:v>3.415</c:v>
                </c:pt>
                <c:pt idx="219">
                  <c:v>3.46</c:v>
                </c:pt>
                <c:pt idx="220">
                  <c:v>3.355</c:v>
                </c:pt>
                <c:pt idx="221">
                  <c:v>3.2850000000000001</c:v>
                </c:pt>
                <c:pt idx="222">
                  <c:v>3.2949999999999999</c:v>
                </c:pt>
                <c:pt idx="223">
                  <c:v>3.3250000000000002</c:v>
                </c:pt>
                <c:pt idx="224">
                  <c:v>3.355</c:v>
                </c:pt>
                <c:pt idx="225">
                  <c:v>3.3050000000000002</c:v>
                </c:pt>
                <c:pt idx="226">
                  <c:v>3.3250000000000002</c:v>
                </c:pt>
                <c:pt idx="227">
                  <c:v>3.3050000000000002</c:v>
                </c:pt>
                <c:pt idx="228">
                  <c:v>3.33</c:v>
                </c:pt>
                <c:pt idx="229">
                  <c:v>3.335</c:v>
                </c:pt>
                <c:pt idx="230">
                  <c:v>3.34</c:v>
                </c:pt>
                <c:pt idx="231">
                  <c:v>3.375</c:v>
                </c:pt>
                <c:pt idx="232">
                  <c:v>3.38</c:v>
                </c:pt>
                <c:pt idx="233">
                  <c:v>3.2949999999999999</c:v>
                </c:pt>
                <c:pt idx="234">
                  <c:v>3.2949999999999999</c:v>
                </c:pt>
                <c:pt idx="235">
                  <c:v>3.37</c:v>
                </c:pt>
                <c:pt idx="236">
                  <c:v>3.395</c:v>
                </c:pt>
                <c:pt idx="237">
                  <c:v>3.37</c:v>
                </c:pt>
                <c:pt idx="238">
                  <c:v>3.415</c:v>
                </c:pt>
                <c:pt idx="239">
                  <c:v>3.4449999999999998</c:v>
                </c:pt>
                <c:pt idx="240">
                  <c:v>3.8149999999999999</c:v>
                </c:pt>
                <c:pt idx="241">
                  <c:v>3.9050000000000002</c:v>
                </c:pt>
                <c:pt idx="242">
                  <c:v>3.9550000000000001</c:v>
                </c:pt>
                <c:pt idx="243">
                  <c:v>4.0049999999999999</c:v>
                </c:pt>
                <c:pt idx="244">
                  <c:v>4.0350000000000001</c:v>
                </c:pt>
                <c:pt idx="245">
                  <c:v>4.1749999999999998</c:v>
                </c:pt>
                <c:pt idx="246">
                  <c:v>4.1950000000000003</c:v>
                </c:pt>
                <c:pt idx="247">
                  <c:v>4.0750000000000002</c:v>
                </c:pt>
                <c:pt idx="248">
                  <c:v>3.9950000000000001</c:v>
                </c:pt>
                <c:pt idx="249">
                  <c:v>3.9649999999999999</c:v>
                </c:pt>
                <c:pt idx="250">
                  <c:v>4.04</c:v>
                </c:pt>
                <c:pt idx="251">
                  <c:v>4.0650000000000004</c:v>
                </c:pt>
                <c:pt idx="252">
                  <c:v>4.0199999999999996</c:v>
                </c:pt>
                <c:pt idx="253">
                  <c:v>4.0250000000000004</c:v>
                </c:pt>
                <c:pt idx="254">
                  <c:v>4.0350000000000001</c:v>
                </c:pt>
                <c:pt idx="255">
                  <c:v>3.9749999999999996</c:v>
                </c:pt>
                <c:pt idx="256">
                  <c:v>4.085</c:v>
                </c:pt>
                <c:pt idx="257">
                  <c:v>4.1749999999999998</c:v>
                </c:pt>
                <c:pt idx="258">
                  <c:v>4.1050000000000004</c:v>
                </c:pt>
                <c:pt idx="259">
                  <c:v>4.0149999999999997</c:v>
                </c:pt>
                <c:pt idx="260">
                  <c:v>3.9749999999999996</c:v>
                </c:pt>
                <c:pt idx="261">
                  <c:v>3.9550000000000001</c:v>
                </c:pt>
                <c:pt idx="262">
                  <c:v>3.8450000000000002</c:v>
                </c:pt>
                <c:pt idx="263">
                  <c:v>3.9050000000000002</c:v>
                </c:pt>
                <c:pt idx="264">
                  <c:v>3.8949999999999996</c:v>
                </c:pt>
                <c:pt idx="265">
                  <c:v>3.9249999999999998</c:v>
                </c:pt>
                <c:pt idx="266">
                  <c:v>3.8949999999999996</c:v>
                </c:pt>
                <c:pt idx="267">
                  <c:v>3.8250000000000002</c:v>
                </c:pt>
                <c:pt idx="268">
                  <c:v>3.8149999999999999</c:v>
                </c:pt>
                <c:pt idx="269">
                  <c:v>3.7650000000000001</c:v>
                </c:pt>
                <c:pt idx="270">
                  <c:v>3.7850000000000001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336896"/>
        <c:axId val="389802240"/>
      </c:lineChart>
      <c:catAx>
        <c:axId val="389790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89800320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389800320"/>
        <c:scaling>
          <c:orientation val="minMax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89790336"/>
        <c:crossesAt val="1"/>
        <c:crossBetween val="between"/>
      </c:valAx>
      <c:valAx>
        <c:axId val="389802240"/>
        <c:scaling>
          <c:orientation val="minMax"/>
          <c:min val="3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90336896"/>
        <c:crosses val="max"/>
        <c:crossBetween val="between"/>
      </c:valAx>
      <c:catAx>
        <c:axId val="390336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980224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ervicingSpreadandSurveyRat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814917</xdr:colOff>
      <xdr:row>19</xdr:row>
      <xdr:rowOff>74083</xdr:rowOff>
    </xdr:from>
    <xdr:to>
      <xdr:col>16</xdr:col>
      <xdr:colOff>95250</xdr:colOff>
      <xdr:row>48</xdr:row>
      <xdr:rowOff>84666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269874</xdr:colOff>
      <xdr:row>19</xdr:row>
      <xdr:rowOff>95873</xdr:rowOff>
    </xdr:from>
    <xdr:to>
      <xdr:col>10</xdr:col>
      <xdr:colOff>920748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148166</xdr:colOff>
      <xdr:row>47</xdr:row>
      <xdr:rowOff>173567</xdr:rowOff>
    </xdr:from>
    <xdr:to>
      <xdr:col>10</xdr:col>
      <xdr:colOff>571500</xdr:colOff>
      <xdr:row>49</xdr:row>
      <xdr:rowOff>14817</xdr:rowOff>
    </xdr:to>
    <xdr:sp macro="" textlink="">
      <xdr:nvSpPr>
        <xdr:cNvPr id="2" name="TextBox 1"/>
        <xdr:cNvSpPr txBox="1"/>
      </xdr:nvSpPr>
      <xdr:spPr>
        <a:xfrm>
          <a:off x="94297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  <xdr:twoCellAnchor>
    <xdr:from>
      <xdr:col>14</xdr:col>
      <xdr:colOff>258232</xdr:colOff>
      <xdr:row>47</xdr:row>
      <xdr:rowOff>173567</xdr:rowOff>
    </xdr:from>
    <xdr:to>
      <xdr:col>16</xdr:col>
      <xdr:colOff>67733</xdr:colOff>
      <xdr:row>49</xdr:row>
      <xdr:rowOff>14817</xdr:rowOff>
    </xdr:to>
    <xdr:sp macro="" textlink="">
      <xdr:nvSpPr>
        <xdr:cNvPr id="7" name="TextBox 6"/>
        <xdr:cNvSpPr txBox="1"/>
      </xdr:nvSpPr>
      <xdr:spPr>
        <a:xfrm>
          <a:off x="142176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908.474003124997" createdVersion="4" refreshedVersion="4" minRefreshableVersion="3" recordCount="1300">
  <cacheSource type="worksheet">
    <worksheetSource name="CurrentMtgRatesDataTable8"/>
  </cacheSource>
  <cacheFields count="14">
    <cacheField name="AsOfDate" numFmtId="14">
      <sharedItems count="1300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1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3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7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6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4-12-31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0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6-02-03"/>
        <s v="2016-02-04"/>
        <s v="2016-02-05"/>
        <s v="2016-02-08"/>
        <s v="2016-02-09"/>
        <s v="2016-02-10"/>
        <s v="2016-02-11"/>
        <s v="2016-02-12"/>
        <s v="2016-02-16"/>
        <s v="2016-02-17"/>
        <s v="2016-02-18"/>
        <s v="2016-02-19"/>
        <s v="2016-02-22"/>
        <s v="2016-02-23"/>
        <s v="2016-02-24"/>
        <s v="2016-02-25"/>
        <s v="2016-02-26"/>
        <s v="2016-02-29"/>
        <s v="2016-03-01"/>
        <s v="2016-03-02"/>
        <s v="2016-03-03"/>
        <s v="2016-03-04"/>
        <s v="2016-03-07"/>
        <s v="2016-03-08"/>
        <s v="2016-03-09"/>
        <s v="2016-03-10"/>
        <s v="2016-03-11"/>
        <s v="2016-03-14"/>
        <s v="2016-03-15"/>
        <s v="2016-03-16"/>
        <s v="2016-03-17"/>
        <s v="2016-03-18"/>
        <s v="2016-03-21"/>
        <s v="2016-03-22"/>
        <s v="2016-03-23"/>
        <s v="2016-03-24"/>
        <s v="2016-03-28"/>
        <s v="2016-03-29"/>
        <s v="2016-03-30"/>
        <s v="2016-03-31"/>
        <s v="2016-04-01"/>
        <s v="2016-04-04"/>
        <s v="2016-04-05"/>
        <s v="2016-04-06"/>
        <s v="2016-04-07"/>
        <s v="2016-04-08"/>
        <s v="2016-04-11"/>
        <s v="2016-04-12"/>
        <s v="2016-04-13"/>
        <s v="2016-04-14"/>
        <s v="2016-04-15"/>
        <s v="2016-04-18"/>
        <s v="2016-04-19"/>
        <s v="2016-04-20"/>
        <s v="2016-04-21"/>
        <s v="2016-04-22"/>
        <s v="2016-04-25"/>
        <s v="2016-04-26"/>
        <s v="2016-04-27"/>
        <s v="2016-04-28"/>
        <s v="2016-04-29"/>
        <s v="2016-05-02"/>
        <s v="2016-05-03"/>
        <s v="2016-05-04"/>
        <s v="2016-05-05"/>
        <s v="2016-05-06"/>
        <s v="2016-05-09"/>
        <s v="2016-05-10"/>
        <s v="2016-05-11"/>
        <s v="2016-05-12"/>
        <s v="2016-05-13"/>
        <s v="2016-05-16"/>
        <s v="2016-05-17"/>
        <s v="2016-05-18"/>
        <s v="2016-05-19"/>
        <s v="2016-05-20"/>
        <s v="2016-05-23"/>
        <s v="2016-05-24"/>
        <s v="2016-05-25"/>
        <s v="2016-05-26"/>
        <s v="2016-05-27"/>
        <s v="2016-05-31"/>
        <s v="2016-06-01"/>
        <s v="2016-06-02"/>
        <s v="2016-06-03"/>
        <s v="2016-06-06"/>
        <s v="2016-06-07"/>
        <s v="2016-06-08"/>
        <s v="2016-06-09"/>
        <s v="2016-06-10"/>
        <s v="2016-06-13"/>
        <s v="2016-06-14"/>
        <s v="2016-06-15"/>
        <s v="2016-06-16"/>
        <s v="2016-06-17"/>
        <s v="2016-06-20"/>
        <s v="2016-06-21"/>
        <s v="2016-06-22"/>
        <s v="2016-06-23"/>
        <s v="2016-06-24"/>
        <s v="2016-06-27"/>
        <s v="2016-06-28"/>
        <s v="2016-06-29"/>
        <s v="2016-06-30"/>
        <s v="2016-07-01"/>
        <s v="2016-07-05"/>
        <s v="2016-07-06"/>
        <s v="2016-07-07"/>
        <s v="2016-07-08"/>
        <s v="2016-07-11"/>
        <s v="2016-07-12"/>
        <s v="2016-07-13"/>
        <s v="2016-07-14"/>
        <s v="2016-07-15"/>
        <s v="2016-07-18"/>
        <s v="2016-07-19"/>
        <s v="2016-07-20"/>
        <s v="2016-07-21"/>
        <s v="2016-07-22"/>
        <s v="2016-07-25"/>
        <s v="2016-07-26"/>
        <s v="2016-07-27"/>
        <s v="2016-07-28"/>
        <s v="2016-07-29"/>
        <s v="2016-08-01"/>
        <s v="2016-08-02"/>
        <s v="2016-08-03"/>
        <s v="2016-08-04"/>
        <s v="2016-08-05"/>
        <s v="2016-08-08"/>
        <s v="2016-08-09"/>
        <s v="2016-08-10"/>
        <s v="2016-08-11"/>
        <s v="2016-08-12"/>
        <s v="2016-08-15"/>
        <s v="2016-08-16"/>
        <s v="2016-08-17"/>
        <s v="2016-08-18"/>
        <s v="2016-08-19"/>
        <s v="2016-08-22"/>
        <s v="2016-08-23"/>
        <s v="2016-08-24"/>
        <s v="2016-08-25"/>
        <s v="2016-08-26"/>
        <s v="2016-08-29"/>
        <s v="2016-08-30"/>
        <s v="2016-08-31"/>
        <s v="2016-09-01"/>
        <s v="2016-09-02"/>
        <s v="2016-09-06"/>
        <s v="2016-09-07"/>
        <s v="2016-09-08"/>
        <s v="2016-09-09"/>
        <s v="2016-09-12"/>
        <s v="2016-09-13"/>
        <s v="2016-09-14"/>
        <s v="2016-09-15"/>
        <s v="2016-09-16"/>
        <s v="2016-09-19"/>
        <s v="2016-09-20"/>
        <s v="2016-09-21"/>
        <s v="2016-09-22"/>
        <s v="2016-09-23"/>
        <s v="2016-09-26"/>
        <s v="2016-09-27"/>
        <s v="2016-09-28"/>
        <s v="2016-09-29"/>
        <s v="2016-09-30"/>
        <s v="2016-10-03"/>
        <s v="2016-10-04"/>
        <s v="2016-10-05"/>
        <s v="2016-10-06"/>
        <s v="2016-10-07"/>
        <s v="2016-10-11"/>
        <s v="2016-10-12"/>
        <s v="2016-10-13"/>
        <s v="2016-10-14"/>
        <s v="2016-10-17"/>
        <s v="2016-10-18"/>
        <s v="2016-10-19"/>
        <s v="2016-10-20"/>
        <s v="2016-10-21"/>
        <s v="2016-10-24"/>
        <s v="2016-10-25"/>
        <s v="2016-10-26"/>
        <s v="2016-10-27"/>
        <s v="2016-10-28"/>
        <s v="2016-10-31"/>
        <s v="2016-11-01"/>
        <s v="2016-11-02"/>
        <s v="2016-11-03"/>
        <s v="2016-11-04"/>
        <s v="2016-11-07"/>
        <s v="2016-11-08"/>
        <s v="2016-11-09"/>
        <s v="2016-11-10"/>
        <s v="2016-11-14"/>
        <s v="2016-11-15"/>
        <s v="2016-11-16"/>
        <s v="2016-11-17"/>
        <s v="2016-11-18"/>
        <s v="2016-11-21"/>
        <s v="2016-11-22"/>
        <s v="2016-11-23"/>
        <s v="2016-11-25"/>
        <s v="2016-11-28"/>
        <s v="2016-11-29"/>
        <s v="2016-11-30"/>
        <s v="2016-12-01"/>
        <s v="2016-12-02"/>
        <s v="2016-12-05"/>
        <s v="2016-12-06"/>
        <s v="2016-12-07"/>
        <s v="2016-12-08"/>
        <s v="2016-12-09"/>
        <s v="2016-12-12"/>
        <s v="2016-12-13"/>
        <s v="2016-12-14"/>
        <s v="2016-12-15"/>
        <s v="2016-12-16"/>
        <s v="2016-12-19"/>
        <s v="2016-12-20"/>
        <s v="2016-12-21"/>
        <s v="2016-12-22"/>
        <s v="2016-12-23"/>
        <s v="2016-12-27"/>
        <s v="2016-12-28"/>
        <s v="2016-12-29"/>
        <s v="2016-12-30"/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EndWeek" numFmtId="0">
      <sharedItems containsSemiMixedTypes="0" containsString="0" containsNumber="1" containsInteger="1" minValue="0" maxValue="1" count="2">
        <n v="0"/>
        <n v="1"/>
      </sharedItems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2712583065251897"/>
    </cacheField>
    <cacheField name="Servicing Spread Non-Zero" numFmtId="0">
      <sharedItems containsMixedTypes="1" containsNumber="1" minValue="0.78812707418207362" maxValue="1.2712583065251897"/>
    </cacheField>
    <cacheField name="Servicing Spread 1m chg" numFmtId="0">
      <sharedItems containsMixedTypes="1" containsNumber="1" minValue="-0.10189752633130356" maxValue="0.10445627365387544"/>
    </cacheField>
    <cacheField name="Survey Rate 1m chg" numFmtId="0">
      <sharedItems containsMixedTypes="1" containsNumber="1" minValue="-0.19500000000000028" maxValue="0.52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00">
  <r>
    <x v="0"/>
    <n v="3.10879854950432"/>
    <n v="3.9049999999999998"/>
    <n v="7"/>
    <n v="0.2"/>
    <n v="1"/>
    <n v="0.62175970990086404"/>
    <n v="0.2"/>
    <x v="0"/>
    <n v="0"/>
    <n v="0"/>
    <s v="Servicing Spread Non-Zero"/>
    <e v="#VALUE!"/>
    <e v="#VALUE!"/>
  </r>
  <r>
    <x v="1"/>
    <n v="3.0539631363774702"/>
    <n v="3.8049999999999997"/>
    <n v="1"/>
    <n v="0.2"/>
    <n v="1"/>
    <n v="0.6107926272754941"/>
    <n v="0.2"/>
    <x v="0"/>
    <n v="0"/>
    <n v="0"/>
    <s v="Servicing Spread Non-Zero"/>
    <e v="#VALUE!"/>
    <e v="#VALUE!"/>
  </r>
  <r>
    <x v="2"/>
    <n v="2.93072207475555"/>
    <n v="3.8049999999999997"/>
    <n v="2"/>
    <n v="0.2"/>
    <n v="2"/>
    <n v="1.1969370422266041"/>
    <n v="0.4"/>
    <x v="0"/>
    <n v="0"/>
    <n v="0"/>
    <s v="Servicing Spread Non-Zero"/>
    <e v="#VALUE!"/>
    <e v="#VALUE!"/>
  </r>
  <r>
    <x v="3"/>
    <n v="2.9115161148392898"/>
    <n v="3.8049999999999997"/>
    <n v="5"/>
    <n v="0.2"/>
    <n v="3"/>
    <n v="1.7792402651944621"/>
    <n v="0.60000000000000009"/>
    <x v="0"/>
    <n v="0"/>
    <n v="0"/>
    <s v="Servicing Spread Non-Zero"/>
    <e v="#VALUE!"/>
    <e v="#VALUE!"/>
  </r>
  <r>
    <x v="4"/>
    <n v="2.9109852395687899"/>
    <n v="3.8049999999999997"/>
    <n v="6"/>
    <n v="0.2"/>
    <n v="4"/>
    <n v="2.3614373131082202"/>
    <n v="0.8"/>
    <x v="0"/>
    <n v="0"/>
    <n v="0"/>
    <s v="Servicing Spread Non-Zero"/>
    <e v="#VALUE!"/>
    <e v="#VALUE!"/>
  </r>
  <r>
    <x v="5"/>
    <n v="2.9307831448374801"/>
    <n v="3.8049999999999997"/>
    <n v="7"/>
    <n v="0.2"/>
    <n v="5"/>
    <n v="2.9475939420757165"/>
    <n v="1"/>
    <x v="1"/>
    <n v="2.9475939420757165"/>
    <n v="0.85740605792428326"/>
    <n v="0.85740605792428326"/>
    <e v="#VALUE!"/>
    <e v="#VALUE!"/>
  </r>
  <r>
    <x v="6"/>
    <n v="2.9674500244903301"/>
    <n v="3.85"/>
    <n v="1"/>
    <n v="0.2"/>
    <n v="1"/>
    <n v="0.59349000489806603"/>
    <n v="0.2"/>
    <x v="0"/>
    <n v="0"/>
    <n v="0"/>
    <n v="0.85740605792428326"/>
    <n v="0"/>
    <n v="4.5000000000000373E-2"/>
  </r>
  <r>
    <x v="7"/>
    <n v="2.93226575052006"/>
    <n v="3.85"/>
    <n v="2"/>
    <n v="0.2"/>
    <n v="2"/>
    <n v="1.179943155002078"/>
    <n v="0.4"/>
    <x v="0"/>
    <n v="0"/>
    <n v="0"/>
    <n v="0.85740605792428326"/>
    <n v="0"/>
    <n v="4.5000000000000373E-2"/>
  </r>
  <r>
    <x v="8"/>
    <n v="2.91808321555345"/>
    <n v="3.85"/>
    <n v="5"/>
    <n v="0.2"/>
    <n v="3"/>
    <n v="1.7635597981127682"/>
    <n v="0.60000000000000009"/>
    <x v="0"/>
    <n v="0"/>
    <n v="0"/>
    <n v="0.85740605792428326"/>
    <n v="0"/>
    <n v="4.5000000000000373E-2"/>
  </r>
  <r>
    <x v="9"/>
    <n v="2.9570995386029302"/>
    <n v="3.85"/>
    <n v="6"/>
    <n v="0.2"/>
    <n v="4"/>
    <n v="2.3549797058333541"/>
    <n v="0.8"/>
    <x v="0"/>
    <n v="0"/>
    <n v="0"/>
    <n v="0.85740605792428326"/>
    <n v="0"/>
    <n v="4.5000000000000373E-2"/>
  </r>
  <r>
    <x v="10"/>
    <n v="2.9304565344863098"/>
    <n v="3.85"/>
    <n v="7"/>
    <n v="0.2"/>
    <n v="5"/>
    <n v="2.9410710127306161"/>
    <n v="1"/>
    <x v="1"/>
    <n v="2.9410710127306161"/>
    <n v="0.90892898726938398"/>
    <n v="0.90892898726938398"/>
    <n v="5.1522929345100721E-2"/>
    <n v="4.5000000000000373E-2"/>
  </r>
  <r>
    <x v="11"/>
    <n v="2.8874390264499499"/>
    <n v="3.8049999999999997"/>
    <n v="1"/>
    <n v="0.2"/>
    <n v="1"/>
    <n v="0.57748780528999"/>
    <n v="0.2"/>
    <x v="0"/>
    <n v="0"/>
    <n v="0"/>
    <n v="0.90892898726938398"/>
    <n v="0"/>
    <n v="-4.5000000000000373E-2"/>
  </r>
  <r>
    <x v="12"/>
    <n v="2.90335136163185"/>
    <n v="3.8049999999999997"/>
    <n v="2"/>
    <n v="0.2"/>
    <n v="2"/>
    <n v="1.15815807761636"/>
    <n v="0.4"/>
    <x v="0"/>
    <n v="0"/>
    <n v="0"/>
    <n v="0.90892898726938398"/>
    <n v="0"/>
    <n v="-4.5000000000000373E-2"/>
  </r>
  <r>
    <x v="13"/>
    <n v="2.8708141508909"/>
    <n v="3.8049999999999997"/>
    <n v="5"/>
    <n v="0.2"/>
    <n v="3"/>
    <n v="1.7323209077945401"/>
    <n v="0.60000000000000009"/>
    <x v="0"/>
    <n v="0"/>
    <n v="0"/>
    <n v="0.90892898726938398"/>
    <n v="0"/>
    <n v="-4.5000000000000373E-2"/>
  </r>
  <r>
    <x v="14"/>
    <n v="2.9009701197976399"/>
    <n v="3.8049999999999997"/>
    <n v="6"/>
    <n v="0.2"/>
    <n v="4"/>
    <n v="2.3125149317540679"/>
    <n v="0.8"/>
    <x v="0"/>
    <n v="0"/>
    <n v="0"/>
    <n v="0.90892898726938398"/>
    <n v="0"/>
    <n v="-4.5000000000000373E-2"/>
  </r>
  <r>
    <x v="15"/>
    <n v="2.9224114614009999"/>
    <n v="3.8049999999999997"/>
    <n v="7"/>
    <n v="0.2"/>
    <n v="5"/>
    <n v="2.8969972240342678"/>
    <n v="1"/>
    <x v="1"/>
    <n v="2.8969972240342678"/>
    <n v="0.90800277596573187"/>
    <n v="0.90800277596573187"/>
    <n v="-9.2621130365211357E-4"/>
    <n v="-4.5000000000000373E-2"/>
  </r>
  <r>
    <x v="16"/>
    <n v="2.8924009736045302"/>
    <n v="3.79"/>
    <n v="1"/>
    <n v="0.2"/>
    <n v="1"/>
    <n v="0.57848019472090606"/>
    <n v="0.2"/>
    <x v="0"/>
    <n v="0"/>
    <n v="0"/>
    <n v="0.90800277596573187"/>
    <n v="0"/>
    <n v="-1.499999999999968E-2"/>
  </r>
  <r>
    <x v="17"/>
    <n v="2.8716721168117001"/>
    <n v="3.79"/>
    <n v="2"/>
    <n v="0.2"/>
    <n v="2"/>
    <n v="1.1528146180832461"/>
    <n v="0.4"/>
    <x v="0"/>
    <n v="0"/>
    <n v="0"/>
    <n v="0.90800277596573187"/>
    <n v="0"/>
    <n v="-1.499999999999968E-2"/>
  </r>
  <r>
    <x v="18"/>
    <n v="2.8585941716778001"/>
    <n v="3.79"/>
    <n v="5"/>
    <n v="0.2"/>
    <n v="3"/>
    <n v="1.7245334524188061"/>
    <n v="0.60000000000000009"/>
    <x v="0"/>
    <n v="0"/>
    <n v="0"/>
    <n v="0.90800277596573187"/>
    <n v="0"/>
    <n v="-1.499999999999968E-2"/>
  </r>
  <r>
    <x v="19"/>
    <n v="2.8908484323394701"/>
    <n v="3.79"/>
    <n v="6"/>
    <n v="0.2"/>
    <n v="4"/>
    <n v="2.3027031388867001"/>
    <n v="0.8"/>
    <x v="0"/>
    <n v="0"/>
    <n v="0"/>
    <n v="0.90800277596573187"/>
    <n v="0"/>
    <n v="-1.499999999999968E-2"/>
  </r>
  <r>
    <x v="20"/>
    <n v="2.8733809550088201"/>
    <n v="3.79"/>
    <n v="7"/>
    <n v="0.2"/>
    <n v="5"/>
    <n v="2.877379329888464"/>
    <n v="1"/>
    <x v="1"/>
    <n v="2.877379329888464"/>
    <n v="0.91262067011153603"/>
    <n v="0.91262067011153603"/>
    <n v="4.6178941458041578E-3"/>
    <n v="-1.499999999999968E-2"/>
  </r>
  <r>
    <x v="21"/>
    <n v="2.88233463781564"/>
    <n v="3.7549999999999999"/>
    <n v="1"/>
    <n v="0.2"/>
    <n v="1"/>
    <n v="0.57646692756312801"/>
    <n v="0.2"/>
    <x v="0"/>
    <n v="0"/>
    <n v="0"/>
    <n v="0.91262067011153603"/>
    <n v="0"/>
    <n v="-3.5000000000000142E-2"/>
  </r>
  <r>
    <x v="22"/>
    <n v="2.8508681241779898"/>
    <n v="3.7549999999999999"/>
    <n v="2"/>
    <n v="0.2"/>
    <n v="2"/>
    <n v="1.146640552398726"/>
    <n v="0.4"/>
    <x v="0"/>
    <n v="0"/>
    <n v="0"/>
    <n v="0.91262067011153603"/>
    <n v="0"/>
    <n v="-3.5000000000000142E-2"/>
  </r>
  <r>
    <x v="23"/>
    <n v="2.85847369417964"/>
    <n v="3.7549999999999999"/>
    <n v="5"/>
    <n v="0.2"/>
    <n v="3"/>
    <n v="1.7183352912346539"/>
    <n v="0.60000000000000009"/>
    <x v="0"/>
    <n v="0"/>
    <n v="0"/>
    <n v="0.91262067011153603"/>
    <n v="0"/>
    <n v="-3.5000000000000142E-2"/>
  </r>
  <r>
    <x v="24"/>
    <n v="2.8457023219339699"/>
    <n v="3.7549999999999999"/>
    <n v="6"/>
    <n v="0.2"/>
    <n v="4"/>
    <n v="2.2874757556214478"/>
    <n v="0.8"/>
    <x v="0"/>
    <n v="0"/>
    <n v="0"/>
    <n v="0.91262067011153603"/>
    <n v="0"/>
    <n v="-3.5000000000000142E-2"/>
  </r>
  <r>
    <x v="25"/>
    <n v="2.8327642978398999"/>
    <n v="3.7549999999999999"/>
    <n v="7"/>
    <n v="0.2"/>
    <n v="5"/>
    <n v="2.8540286151894279"/>
    <n v="1"/>
    <x v="1"/>
    <n v="2.8540286151894279"/>
    <n v="0.90097138481057204"/>
    <n v="0.90097138481057204"/>
    <n v="-1.1649285300963985E-2"/>
    <n v="-3.5000000000000142E-2"/>
  </r>
  <r>
    <x v="26"/>
    <n v="2.8246078637178802"/>
    <n v="3.7149999999999999"/>
    <n v="1"/>
    <n v="0.2"/>
    <n v="1"/>
    <n v="0.56492157274357602"/>
    <n v="0.2"/>
    <x v="0"/>
    <n v="0"/>
    <n v="0"/>
    <n v="0.90097138481057204"/>
    <n v="0"/>
    <n v="-4.0000000000000036E-2"/>
  </r>
  <r>
    <x v="27"/>
    <n v="2.8052772077153998"/>
    <n v="3.7149999999999999"/>
    <n v="2"/>
    <n v="0.2"/>
    <n v="2"/>
    <n v="1.1259770142866561"/>
    <n v="0.4"/>
    <x v="0"/>
    <n v="0"/>
    <n v="0"/>
    <n v="0.90097138481057204"/>
    <n v="0"/>
    <n v="-4.0000000000000036E-2"/>
  </r>
  <r>
    <x v="28"/>
    <n v="2.7739749118365999"/>
    <n v="3.7149999999999999"/>
    <n v="5"/>
    <n v="0.2"/>
    <n v="3"/>
    <n v="1.6807719966539763"/>
    <n v="0.60000000000000009"/>
    <x v="0"/>
    <n v="0"/>
    <n v="0"/>
    <n v="0.90097138481057204"/>
    <n v="0"/>
    <n v="-4.0000000000000036E-2"/>
  </r>
  <r>
    <x v="29"/>
    <n v="2.7697091879875599"/>
    <n v="3.7149999999999999"/>
    <n v="6"/>
    <n v="0.2"/>
    <n v="4"/>
    <n v="2.2347138342514885"/>
    <n v="0.8"/>
    <x v="0"/>
    <n v="0"/>
    <n v="0"/>
    <n v="0.90097138481057204"/>
    <n v="0"/>
    <n v="-4.0000000000000036E-2"/>
  </r>
  <r>
    <x v="30"/>
    <n v="2.7401286983352402"/>
    <n v="3.7149999999999999"/>
    <n v="7"/>
    <n v="0.2"/>
    <n v="5"/>
    <n v="2.7827395739185365"/>
    <n v="1"/>
    <x v="1"/>
    <n v="2.7827395739185365"/>
    <n v="0.93226042608146331"/>
    <n v="0.93226042608146331"/>
    <n v="3.1289041270891271E-2"/>
    <n v="-4.0000000000000036E-2"/>
  </r>
  <r>
    <x v="31"/>
    <n v="2.6718406862121098"/>
    <n v="3.73"/>
    <n v="1"/>
    <n v="0.2"/>
    <n v="1"/>
    <n v="0.53436813724242194"/>
    <n v="0.2"/>
    <x v="0"/>
    <n v="0"/>
    <n v="0"/>
    <n v="0.93226042608146331"/>
    <n v="0"/>
    <n v="1.5000000000000124E-2"/>
  </r>
  <r>
    <x v="32"/>
    <n v="2.67797206633489"/>
    <n v="3.73"/>
    <n v="2"/>
    <n v="0.2"/>
    <n v="2"/>
    <n v="1.0699625505093999"/>
    <n v="0.4"/>
    <x v="0"/>
    <n v="0"/>
    <n v="0"/>
    <n v="0.93226042608146331"/>
    <n v="0"/>
    <n v="1.5000000000000124E-2"/>
  </r>
  <r>
    <x v="33"/>
    <n v="2.73357010628694"/>
    <n v="3.73"/>
    <n v="5"/>
    <n v="0.2"/>
    <n v="3"/>
    <n v="1.6166765717667879"/>
    <n v="0.60000000000000009"/>
    <x v="0"/>
    <n v="0"/>
    <n v="0"/>
    <n v="0.93226042608146331"/>
    <n v="0"/>
    <n v="1.5000000000000124E-2"/>
  </r>
  <r>
    <x v="34"/>
    <n v="2.76969358536605"/>
    <n v="3.73"/>
    <n v="6"/>
    <n v="0.2"/>
    <n v="4"/>
    <n v="2.1706152888399979"/>
    <n v="0.8"/>
    <x v="0"/>
    <n v="0"/>
    <n v="0"/>
    <n v="0.93226042608146331"/>
    <n v="0"/>
    <n v="1.5000000000000124E-2"/>
  </r>
  <r>
    <x v="35"/>
    <n v="2.7350812469927099"/>
    <n v="3.73"/>
    <n v="7"/>
    <n v="0.2"/>
    <n v="5"/>
    <n v="2.7176315382385399"/>
    <n v="1"/>
    <x v="1"/>
    <n v="2.7176315382385399"/>
    <n v="1.0123684617614601"/>
    <n v="1.0123684617614601"/>
    <n v="8.0108035679996803E-2"/>
    <n v="1.5000000000000124E-2"/>
  </r>
  <r>
    <x v="36"/>
    <n v="2.7605421873144298"/>
    <n v="3.7"/>
    <n v="1"/>
    <n v="0.2"/>
    <n v="1"/>
    <n v="0.55210843746288596"/>
    <n v="0.2"/>
    <x v="0"/>
    <n v="0"/>
    <n v="0"/>
    <n v="1.0123684617614601"/>
    <n v="0"/>
    <n v="-2.9999999999999805E-2"/>
  </r>
  <r>
    <x v="37"/>
    <n v="2.7634534959262198"/>
    <n v="3.7"/>
    <n v="2"/>
    <n v="0.2"/>
    <n v="2"/>
    <n v="1.10479913664813"/>
    <n v="0.4"/>
    <x v="0"/>
    <n v="0"/>
    <n v="0"/>
    <n v="1.0123684617614601"/>
    <n v="0"/>
    <n v="-2.9999999999999805E-2"/>
  </r>
  <r>
    <x v="38"/>
    <n v="2.77148784579206"/>
    <n v="3.7"/>
    <n v="6"/>
    <n v="0.2"/>
    <n v="3"/>
    <n v="1.659096705806542"/>
    <n v="0.60000000000000009"/>
    <x v="0"/>
    <n v="0"/>
    <n v="0"/>
    <n v="1.0123684617614601"/>
    <n v="0"/>
    <n v="-2.9999999999999805E-2"/>
  </r>
  <r>
    <x v="39"/>
    <n v="2.6848642616862599"/>
    <n v="3.7"/>
    <n v="7"/>
    <n v="0.2"/>
    <n v="4"/>
    <n v="2.1960695581437939"/>
    <n v="0.8"/>
    <x v="1"/>
    <n v="2.7450869476797424"/>
    <n v="0.9549130523202578"/>
    <n v="0.9549130523202578"/>
    <n v="-5.745540944120231E-2"/>
    <n v="-2.9999999999999805E-2"/>
  </r>
  <r>
    <x v="40"/>
    <n v="2.6463905286345102"/>
    <n v="3.5949999999999998"/>
    <n v="1"/>
    <n v="0.2"/>
    <n v="1"/>
    <n v="0.52927810572690204"/>
    <n v="0.2"/>
    <x v="0"/>
    <n v="0"/>
    <n v="0"/>
    <n v="0.9549130523202578"/>
    <n v="0"/>
    <n v="-0.10500000000000043"/>
  </r>
  <r>
    <x v="41"/>
    <n v="2.5315862032348999"/>
    <n v="3.5949999999999998"/>
    <n v="2"/>
    <n v="0.2"/>
    <n v="2"/>
    <n v="1.0355953463738821"/>
    <n v="0.4"/>
    <x v="0"/>
    <n v="0"/>
    <n v="0"/>
    <n v="0.9549130523202578"/>
    <n v="0"/>
    <n v="-0.10500000000000043"/>
  </r>
  <r>
    <x v="42"/>
    <n v="2.62225605452167"/>
    <n v="3.5949999999999998"/>
    <n v="5"/>
    <n v="0.2"/>
    <n v="3"/>
    <n v="1.5600465572782161"/>
    <n v="0.60000000000000009"/>
    <x v="0"/>
    <n v="0"/>
    <n v="0"/>
    <n v="0.9549130523202578"/>
    <n v="0"/>
    <n v="-0.10500000000000043"/>
  </r>
  <r>
    <x v="43"/>
    <n v="2.67215902179854"/>
    <n v="3.5949999999999998"/>
    <n v="6"/>
    <n v="0.2"/>
    <n v="4"/>
    <n v="2.0944783616379241"/>
    <n v="0.8"/>
    <x v="0"/>
    <n v="0"/>
    <n v="0"/>
    <n v="0.9549130523202578"/>
    <n v="0"/>
    <n v="-0.10500000000000043"/>
  </r>
  <r>
    <x v="44"/>
    <n v="2.7069899299945201"/>
    <n v="3.5949999999999998"/>
    <n v="7"/>
    <n v="0.2"/>
    <n v="5"/>
    <n v="2.6358763476368283"/>
    <n v="1"/>
    <x v="1"/>
    <n v="2.6358763476368283"/>
    <n v="0.95912365236317143"/>
    <n v="0.95912365236317143"/>
    <n v="4.2106000429136259E-3"/>
    <n v="-0.10500000000000043"/>
  </r>
  <r>
    <x v="45"/>
    <n v="2.6775785563630401"/>
    <n v="3.6349999999999998"/>
    <n v="1"/>
    <n v="0.2"/>
    <n v="1"/>
    <n v="0.535515711272608"/>
    <n v="0.2"/>
    <x v="0"/>
    <n v="0"/>
    <n v="0"/>
    <n v="0.95912365236317143"/>
    <n v="0"/>
    <n v="4.0000000000000036E-2"/>
  </r>
  <r>
    <x v="46"/>
    <n v="2.6791053539735099"/>
    <n v="3.6349999999999998"/>
    <n v="2"/>
    <n v="0.2"/>
    <n v="2"/>
    <n v="1.0713367820673101"/>
    <n v="0.4"/>
    <x v="0"/>
    <n v="0"/>
    <n v="0"/>
    <n v="0.95912365236317143"/>
    <n v="0"/>
    <n v="4.0000000000000036E-2"/>
  </r>
  <r>
    <x v="47"/>
    <n v="2.6398968961248501"/>
    <n v="3.6349999999999998"/>
    <n v="5"/>
    <n v="0.2"/>
    <n v="3"/>
    <n v="1.5993161612922802"/>
    <n v="0.60000000000000009"/>
    <x v="0"/>
    <n v="0"/>
    <n v="0"/>
    <n v="0.95912365236317143"/>
    <n v="0"/>
    <n v="4.0000000000000036E-2"/>
  </r>
  <r>
    <x v="48"/>
    <n v="2.6959588926221301"/>
    <n v="3.6349999999999998"/>
    <n v="6"/>
    <n v="0.2"/>
    <n v="4"/>
    <n v="2.1385079398167059"/>
    <n v="0.8"/>
    <x v="0"/>
    <n v="0"/>
    <n v="0"/>
    <n v="0.95912365236317143"/>
    <n v="0"/>
    <n v="4.0000000000000036E-2"/>
  </r>
  <r>
    <x v="49"/>
    <n v="2.6525646200106201"/>
    <n v="3.6349999999999998"/>
    <n v="7"/>
    <n v="0.2"/>
    <n v="5"/>
    <n v="2.66902086381883"/>
    <n v="1"/>
    <x v="1"/>
    <n v="2.66902086381883"/>
    <n v="0.96597913618116982"/>
    <n v="0.96597913618116982"/>
    <n v="6.8554838179983868E-3"/>
    <n v="4.0000000000000036E-2"/>
  </r>
  <r>
    <x v="50"/>
    <n v="2.63093877997242"/>
    <n v="3.585"/>
    <n v="1"/>
    <n v="0.2"/>
    <n v="1"/>
    <n v="0.52618775599448397"/>
    <n v="0.2"/>
    <x v="0"/>
    <n v="0"/>
    <n v="0"/>
    <n v="0.96597913618116982"/>
    <n v="0"/>
    <n v="-4.9999999999999822E-2"/>
  </r>
  <r>
    <x v="51"/>
    <n v="2.6135481549442598"/>
    <n v="3.585"/>
    <n v="2"/>
    <n v="0.2"/>
    <n v="2"/>
    <n v="1.048897386983336"/>
    <n v="0.4"/>
    <x v="0"/>
    <n v="0"/>
    <n v="0"/>
    <n v="0.96597913618116982"/>
    <n v="0"/>
    <n v="-4.9999999999999822E-2"/>
  </r>
  <r>
    <x v="52"/>
    <n v="2.5951502868946998"/>
    <n v="3.585"/>
    <n v="5"/>
    <n v="0.2"/>
    <n v="3"/>
    <n v="1.5679274443622759"/>
    <n v="0.60000000000000009"/>
    <x v="0"/>
    <n v="0"/>
    <n v="0"/>
    <n v="0.96597913618116982"/>
    <n v="0"/>
    <n v="-4.9999999999999822E-2"/>
  </r>
  <r>
    <x v="53"/>
    <n v="2.5989008122860202"/>
    <n v="3.585"/>
    <n v="6"/>
    <n v="0.2"/>
    <n v="4"/>
    <n v="2.08770760681948"/>
    <n v="0.8"/>
    <x v="0"/>
    <n v="0"/>
    <n v="0"/>
    <n v="0.96597913618116982"/>
    <n v="0"/>
    <n v="-4.9999999999999822E-2"/>
  </r>
  <r>
    <x v="54"/>
    <n v="2.6422120111570599"/>
    <n v="3.585"/>
    <n v="7"/>
    <n v="0.2"/>
    <n v="5"/>
    <n v="2.6161500090508918"/>
    <n v="1"/>
    <x v="1"/>
    <n v="2.6161500090508918"/>
    <n v="0.96884999094910818"/>
    <n v="0.96884999094910818"/>
    <n v="2.8708547679383578E-3"/>
    <n v="-4.9999999999999822E-2"/>
  </r>
  <r>
    <x v="55"/>
    <n v="2.61404533663225"/>
    <n v="3.585"/>
    <n v="1"/>
    <n v="0.2"/>
    <n v="1"/>
    <n v="0.52280906732645005"/>
    <n v="0.2"/>
    <x v="0"/>
    <n v="0"/>
    <n v="0"/>
    <n v="0.96884999094910818"/>
    <n v="0"/>
    <n v="0"/>
  </r>
  <r>
    <x v="56"/>
    <n v="2.6681925280418901"/>
    <n v="3.585"/>
    <n v="2"/>
    <n v="0.2"/>
    <n v="2"/>
    <n v="1.0564475729348279"/>
    <n v="0.4"/>
    <x v="0"/>
    <n v="0"/>
    <n v="0"/>
    <n v="0.96884999094910818"/>
    <n v="0"/>
    <n v="0"/>
  </r>
  <r>
    <x v="57"/>
    <n v="2.57850061271707"/>
    <n v="3.585"/>
    <n v="5"/>
    <n v="0.2"/>
    <n v="3"/>
    <n v="1.5721476954782418"/>
    <n v="0.60000000000000009"/>
    <x v="0"/>
    <n v="0"/>
    <n v="0"/>
    <n v="0.96884999094910818"/>
    <n v="0"/>
    <n v="0"/>
  </r>
  <r>
    <x v="58"/>
    <n v="2.6163872152587899"/>
    <n v="3.585"/>
    <n v="6"/>
    <n v="0.2"/>
    <n v="4"/>
    <n v="2.09542513853"/>
    <n v="0.8"/>
    <x v="0"/>
    <n v="0"/>
    <n v="0"/>
    <n v="0.96884999094910818"/>
    <n v="0"/>
    <n v="0"/>
  </r>
  <r>
    <x v="59"/>
    <n v="2.5886723749410501"/>
    <n v="3.585"/>
    <n v="7"/>
    <n v="0.2"/>
    <n v="5"/>
    <n v="2.61315961351821"/>
    <n v="1"/>
    <x v="1"/>
    <n v="2.61315961351821"/>
    <n v="0.97184038648178994"/>
    <n v="0.97184038648178994"/>
    <n v="2.9903955326817666E-3"/>
    <n v="0"/>
  </r>
  <r>
    <x v="60"/>
    <n v="2.5509636037861898"/>
    <n v="3.5700000000000003"/>
    <n v="1"/>
    <n v="0.2"/>
    <n v="1"/>
    <n v="0.51019272075723798"/>
    <n v="0.2"/>
    <x v="0"/>
    <n v="0"/>
    <n v="0"/>
    <n v="0.97184038648178994"/>
    <n v="0"/>
    <n v="-1.499999999999968E-2"/>
  </r>
  <r>
    <x v="61"/>
    <n v="2.6237188553228199"/>
    <n v="3.5700000000000003"/>
    <n v="2"/>
    <n v="0.2"/>
    <n v="2"/>
    <n v="1.034936491821802"/>
    <n v="0.4"/>
    <x v="0"/>
    <n v="0"/>
    <n v="0"/>
    <n v="0.97184038648178994"/>
    <n v="0"/>
    <n v="-1.499999999999968E-2"/>
  </r>
  <r>
    <x v="62"/>
    <n v="2.54531844167705"/>
    <n v="3.5700000000000003"/>
    <n v="5"/>
    <n v="0.2"/>
    <n v="3"/>
    <n v="1.5440001801572121"/>
    <n v="0.60000000000000009"/>
    <x v="0"/>
    <n v="0"/>
    <n v="0"/>
    <n v="0.97184038648178994"/>
    <n v="0"/>
    <n v="-1.499999999999968E-2"/>
  </r>
  <r>
    <x v="63"/>
    <n v="2.58328220354782"/>
    <n v="3.5700000000000003"/>
    <n v="6"/>
    <n v="0.2"/>
    <n v="4"/>
    <n v="2.060656620866776"/>
    <n v="0.8"/>
    <x v="1"/>
    <n v="2.5758207760834697"/>
    <n v="0.99417922391653057"/>
    <n v="0.99417922391653057"/>
    <n v="2.2338837434740633E-2"/>
    <n v="-1.499999999999968E-2"/>
  </r>
  <r>
    <x v="64"/>
    <n v="2.5563795134905498"/>
    <n v="3.4849999999999999"/>
    <n v="1"/>
    <n v="0.2"/>
    <n v="1"/>
    <n v="0.51127590269810996"/>
    <n v="0.2"/>
    <x v="0"/>
    <n v="0"/>
    <n v="0"/>
    <n v="0.99417922391653057"/>
    <n v="0"/>
    <n v="-8.5000000000000409E-2"/>
  </r>
  <r>
    <x v="65"/>
    <n v="2.4766480457309101"/>
    <n v="3.4849999999999999"/>
    <n v="2"/>
    <n v="0.2"/>
    <n v="2"/>
    <n v="1.006605511844292"/>
    <n v="0.4"/>
    <x v="0"/>
    <n v="0"/>
    <n v="0"/>
    <n v="0.99417922391653057"/>
    <n v="0"/>
    <n v="-8.5000000000000409E-2"/>
  </r>
  <r>
    <x v="66"/>
    <n v="2.4491972100580299"/>
    <n v="3.4849999999999999"/>
    <n v="5"/>
    <n v="0.2"/>
    <n v="3"/>
    <n v="1.4964449538558982"/>
    <n v="0.60000000000000009"/>
    <x v="0"/>
    <n v="0"/>
    <n v="0"/>
    <n v="0.99417922391653057"/>
    <n v="0"/>
    <n v="-8.5000000000000409E-2"/>
  </r>
  <r>
    <x v="67"/>
    <n v="2.42302981927218"/>
    <n v="3.4849999999999999"/>
    <n v="6"/>
    <n v="0.2"/>
    <n v="4"/>
    <n v="1.9810509177103341"/>
    <n v="0.8"/>
    <x v="0"/>
    <n v="0"/>
    <n v="0"/>
    <n v="0.99417922391653057"/>
    <n v="0"/>
    <n v="-8.5000000000000409E-2"/>
  </r>
  <r>
    <x v="68"/>
    <n v="2.4116172706611501"/>
    <n v="3.4849999999999999"/>
    <n v="7"/>
    <n v="0.2"/>
    <n v="5"/>
    <n v="2.4633743718425642"/>
    <n v="1"/>
    <x v="1"/>
    <n v="2.4633743718425642"/>
    <n v="1.0216256281574356"/>
    <n v="1.0216256281574356"/>
    <n v="2.7446404240905053E-2"/>
    <n v="-8.5000000000000409E-2"/>
  </r>
  <r>
    <x v="69"/>
    <n v="2.4034266466938199"/>
    <n v="3.4549999999999996"/>
    <n v="1"/>
    <n v="0.2"/>
    <n v="1"/>
    <n v="0.48068532933876401"/>
    <n v="0.2"/>
    <x v="0"/>
    <n v="0"/>
    <n v="0"/>
    <n v="1.0216256281574356"/>
    <n v="0"/>
    <n v="-3.0000000000000249E-2"/>
  </r>
  <r>
    <x v="70"/>
    <n v="2.45850252986091"/>
    <n v="3.4549999999999996"/>
    <n v="2"/>
    <n v="0.2"/>
    <n v="2"/>
    <n v="0.97238583531094602"/>
    <n v="0.4"/>
    <x v="0"/>
    <n v="0"/>
    <n v="0"/>
    <n v="1.0216256281574356"/>
    <n v="0"/>
    <n v="-3.0000000000000249E-2"/>
  </r>
  <r>
    <x v="71"/>
    <n v="2.3968423718228902"/>
    <n v="3.4549999999999996"/>
    <n v="5"/>
    <n v="0.2"/>
    <n v="3"/>
    <n v="1.4517543096755241"/>
    <n v="0.60000000000000009"/>
    <x v="0"/>
    <n v="0"/>
    <n v="0"/>
    <n v="1.0216256281574356"/>
    <n v="0"/>
    <n v="-3.0000000000000249E-2"/>
  </r>
  <r>
    <x v="72"/>
    <n v="2.4360959184987601"/>
    <n v="3.4549999999999996"/>
    <n v="6"/>
    <n v="0.2"/>
    <n v="4"/>
    <n v="1.938973493375276"/>
    <n v="0.8"/>
    <x v="0"/>
    <n v="0"/>
    <n v="0"/>
    <n v="1.0216256281574356"/>
    <n v="0"/>
    <n v="-3.0000000000000249E-2"/>
  </r>
  <r>
    <x v="73"/>
    <n v="2.3758504228028601"/>
    <n v="3.4549999999999996"/>
    <n v="7"/>
    <n v="0.2"/>
    <n v="5"/>
    <n v="2.4141435779358482"/>
    <n v="1"/>
    <x v="1"/>
    <n v="2.4141435779358482"/>
    <n v="1.0408564220641514"/>
    <n v="1.0408564220641514"/>
    <n v="1.9230793906715782E-2"/>
    <n v="-3.0000000000000249E-2"/>
  </r>
  <r>
    <x v="74"/>
    <n v="2.3931217438343899"/>
    <n v="3.415"/>
    <n v="1"/>
    <n v="0.2"/>
    <n v="1"/>
    <n v="0.47862434876687798"/>
    <n v="0.2"/>
    <x v="0"/>
    <n v="0"/>
    <n v="0"/>
    <n v="1.0408564220641514"/>
    <n v="0"/>
    <n v="-3.9999999999999591E-2"/>
  </r>
  <r>
    <x v="75"/>
    <n v="2.32496037866738"/>
    <n v="3.415"/>
    <n v="2"/>
    <n v="0.2"/>
    <n v="2"/>
    <n v="0.94361642450035399"/>
    <n v="0.4"/>
    <x v="0"/>
    <n v="0"/>
    <n v="0"/>
    <n v="1.0408564220641514"/>
    <n v="0"/>
    <n v="-3.9999999999999591E-2"/>
  </r>
  <r>
    <x v="76"/>
    <n v="2.27723185682542"/>
    <n v="3.415"/>
    <n v="5"/>
    <n v="0.2"/>
    <n v="3"/>
    <n v="1.399062795865438"/>
    <n v="0.60000000000000009"/>
    <x v="0"/>
    <n v="0"/>
    <n v="0"/>
    <n v="1.0408564220641514"/>
    <n v="0"/>
    <n v="-3.9999999999999591E-2"/>
  </r>
  <r>
    <x v="77"/>
    <n v="2.2471779895370898"/>
    <n v="3.415"/>
    <n v="6"/>
    <n v="0.2"/>
    <n v="4"/>
    <n v="1.8484983937728561"/>
    <n v="0.8"/>
    <x v="0"/>
    <n v="0"/>
    <n v="0"/>
    <n v="1.0408564220641514"/>
    <n v="0"/>
    <n v="-3.9999999999999591E-2"/>
  </r>
  <r>
    <x v="78"/>
    <n v="2.2633680242154099"/>
    <n v="3.415"/>
    <n v="7"/>
    <n v="0.2"/>
    <n v="5"/>
    <n v="2.301171998615938"/>
    <n v="1"/>
    <x v="1"/>
    <n v="2.301171998615938"/>
    <n v="1.113828001384062"/>
    <n v="1.113828001384062"/>
    <n v="7.2971579319910607E-2"/>
    <n v="-3.9999999999999591E-2"/>
  </r>
  <r>
    <x v="79"/>
    <n v="2.2877898548229898"/>
    <n v="3.4749999999999996"/>
    <n v="1"/>
    <n v="0.2"/>
    <n v="1"/>
    <n v="0.45755797096459799"/>
    <n v="0.2"/>
    <x v="0"/>
    <n v="0"/>
    <n v="0"/>
    <n v="1.113828001384062"/>
    <n v="0"/>
    <n v="5.9999999999999609E-2"/>
  </r>
  <r>
    <x v="80"/>
    <n v="2.4685368274640398"/>
    <n v="3.4749999999999996"/>
    <n v="2"/>
    <n v="0.2"/>
    <n v="2"/>
    <n v="0.95126533645740596"/>
    <n v="0.4"/>
    <x v="0"/>
    <n v="0"/>
    <n v="0"/>
    <n v="1.113828001384062"/>
    <n v="0"/>
    <n v="5.9999999999999609E-2"/>
  </r>
  <r>
    <x v="81"/>
    <n v="2.3365107534465399"/>
    <n v="3.4749999999999996"/>
    <n v="5"/>
    <n v="0.2"/>
    <n v="3"/>
    <n v="1.418567487146714"/>
    <n v="0.60000000000000009"/>
    <x v="0"/>
    <n v="0"/>
    <n v="0"/>
    <n v="1.113828001384062"/>
    <n v="0"/>
    <n v="5.9999999999999609E-2"/>
  </r>
  <r>
    <x v="82"/>
    <n v="2.3145960727619199"/>
    <n v="3.4749999999999996"/>
    <n v="6"/>
    <n v="0.2"/>
    <n v="4"/>
    <n v="1.8814867016990979"/>
    <n v="0.8"/>
    <x v="0"/>
    <n v="0"/>
    <n v="0"/>
    <n v="1.113828001384062"/>
    <n v="0"/>
    <n v="5.9999999999999609E-2"/>
  </r>
  <r>
    <x v="83"/>
    <n v="2.3658814096234999"/>
    <n v="3.4749999999999996"/>
    <n v="7"/>
    <n v="0.2"/>
    <n v="5"/>
    <n v="2.3546629836237978"/>
    <n v="1"/>
    <x v="1"/>
    <n v="2.3546629836237978"/>
    <n v="1.1203370163762019"/>
    <n v="1.1203370163762019"/>
    <n v="6.5090149921398499E-3"/>
    <n v="5.9999999999999609E-2"/>
  </r>
  <r>
    <x v="84"/>
    <n v="2.33657189118883"/>
    <n v="3.4899999999999998"/>
    <n v="1"/>
    <n v="0.2"/>
    <n v="1"/>
    <n v="0.467314378237766"/>
    <n v="0.2"/>
    <x v="0"/>
    <n v="0"/>
    <n v="0"/>
    <n v="1.1203370163762019"/>
    <n v="0"/>
    <n v="1.5000000000000124E-2"/>
  </r>
  <r>
    <x v="85"/>
    <n v="2.42675409444622"/>
    <n v="3.4899999999999998"/>
    <n v="2"/>
    <n v="0.2"/>
    <n v="2"/>
    <n v="0.95266519712701003"/>
    <n v="0.4"/>
    <x v="0"/>
    <n v="0"/>
    <n v="0"/>
    <n v="1.1203370163762019"/>
    <n v="0"/>
    <n v="1.5000000000000124E-2"/>
  </r>
  <r>
    <x v="86"/>
    <n v="2.4102554462908099"/>
    <n v="3.4899999999999998"/>
    <n v="5"/>
    <n v="0.2"/>
    <n v="3"/>
    <n v="1.4347162863851719"/>
    <n v="0.60000000000000009"/>
    <x v="0"/>
    <n v="0"/>
    <n v="0"/>
    <n v="1.1203370163762019"/>
    <n v="0"/>
    <n v="1.5000000000000124E-2"/>
  </r>
  <r>
    <x v="87"/>
    <n v="2.4648279812140101"/>
    <n v="3.4899999999999998"/>
    <n v="6"/>
    <n v="0.2"/>
    <n v="4"/>
    <n v="1.927681882627974"/>
    <n v="0.8"/>
    <x v="0"/>
    <n v="0"/>
    <n v="0"/>
    <n v="1.1203370163762019"/>
    <n v="0"/>
    <n v="1.5000000000000124E-2"/>
  </r>
  <r>
    <x v="88"/>
    <n v="2.45387778372179"/>
    <n v="3.4899999999999998"/>
    <n v="7"/>
    <n v="0.2"/>
    <n v="5"/>
    <n v="2.4184574393723319"/>
    <n v="1"/>
    <x v="1"/>
    <n v="2.4184574393723319"/>
    <n v="1.0715425606276678"/>
    <n v="1.0715425606276678"/>
    <n v="-4.8794455748534027E-2"/>
    <n v="1.5000000000000124E-2"/>
  </r>
  <r>
    <x v="89"/>
    <n v="2.45717074132124"/>
    <n v="3.52"/>
    <n v="1"/>
    <n v="0.2"/>
    <n v="1"/>
    <n v="0.49143414826424803"/>
    <n v="0.2"/>
    <x v="0"/>
    <n v="0"/>
    <n v="0"/>
    <n v="1.0715425606276678"/>
    <n v="0"/>
    <n v="3.0000000000000249E-2"/>
  </r>
  <r>
    <x v="90"/>
    <n v="2.43734688080974"/>
    <n v="3.52"/>
    <n v="2"/>
    <n v="0.2"/>
    <n v="2"/>
    <n v="0.9789035244261961"/>
    <n v="0.4"/>
    <x v="0"/>
    <n v="0"/>
    <n v="0"/>
    <n v="1.0715425606276678"/>
    <n v="0"/>
    <n v="3.0000000000000249E-2"/>
  </r>
  <r>
    <x v="91"/>
    <n v="2.4326197879338101"/>
    <n v="3.52"/>
    <n v="5"/>
    <n v="0.2"/>
    <n v="3"/>
    <n v="1.465427482012958"/>
    <n v="0.60000000000000009"/>
    <x v="0"/>
    <n v="0"/>
    <n v="0"/>
    <n v="1.0715425606276678"/>
    <n v="0"/>
    <n v="3.0000000000000249E-2"/>
  </r>
  <r>
    <x v="92"/>
    <n v="2.5032104637526098"/>
    <n v="3.52"/>
    <n v="6"/>
    <n v="0.2"/>
    <n v="4"/>
    <n v="1.96606957476348"/>
    <n v="0.8"/>
    <x v="0"/>
    <n v="0"/>
    <n v="0"/>
    <n v="1.0715425606276678"/>
    <n v="0"/>
    <n v="3.0000000000000249E-2"/>
  </r>
  <r>
    <x v="93"/>
    <n v="2.6381335660023502"/>
    <n v="3.52"/>
    <n v="7"/>
    <n v="0.2"/>
    <n v="5"/>
    <n v="2.4936962879639499"/>
    <n v="1"/>
    <x v="1"/>
    <n v="2.4936962879639499"/>
    <n v="1.0263037120360501"/>
    <n v="1.0263037120360501"/>
    <n v="-4.5238848591617753E-2"/>
    <n v="3.0000000000000249E-2"/>
  </r>
  <r>
    <x v="94"/>
    <n v="2.67019432510418"/>
    <n v="3.585"/>
    <n v="1"/>
    <n v="0.2"/>
    <n v="1"/>
    <n v="0.53403886502083597"/>
    <n v="0.2"/>
    <x v="0"/>
    <n v="0"/>
    <n v="0"/>
    <n v="1.0263037120360501"/>
    <n v="0"/>
    <n v="6.4999999999999947E-2"/>
  </r>
  <r>
    <x v="95"/>
    <n v="2.6390371038052001"/>
    <n v="3.585"/>
    <n v="2"/>
    <n v="0.2"/>
    <n v="2"/>
    <n v="1.061846285781876"/>
    <n v="0.4"/>
    <x v="0"/>
    <n v="0"/>
    <n v="0"/>
    <n v="1.0263037120360501"/>
    <n v="0"/>
    <n v="6.4999999999999947E-2"/>
  </r>
  <r>
    <x v="96"/>
    <n v="2.6186769861639401"/>
    <n v="3.585"/>
    <n v="5"/>
    <n v="0.2"/>
    <n v="3"/>
    <n v="1.5855816830146641"/>
    <n v="0.60000000000000009"/>
    <x v="0"/>
    <n v="0"/>
    <n v="0"/>
    <n v="1.0263037120360501"/>
    <n v="0"/>
    <n v="6.4999999999999947E-2"/>
  </r>
  <r>
    <x v="97"/>
    <n v="2.6258914158610902"/>
    <n v="3.585"/>
    <n v="6"/>
    <n v="0.2"/>
    <n v="4"/>
    <n v="2.1107599661868823"/>
    <n v="0.8"/>
    <x v="0"/>
    <n v="0"/>
    <n v="0"/>
    <n v="1.0263037120360501"/>
    <n v="0"/>
    <n v="6.4999999999999947E-2"/>
  </r>
  <r>
    <x v="98"/>
    <n v="2.5120707644049798"/>
    <n v="3.585"/>
    <n v="7"/>
    <n v="0.2"/>
    <n v="5"/>
    <n v="2.6131741190678781"/>
    <n v="1"/>
    <x v="1"/>
    <n v="2.6131741190678781"/>
    <n v="0.97182588093212185"/>
    <n v="0.97182588093212185"/>
    <n v="-5.4477831103928231E-2"/>
    <n v="6.4999999999999947E-2"/>
  </r>
  <r>
    <x v="99"/>
    <n v="2.4447051610431401"/>
    <n v="3.4899999999999998"/>
    <n v="1"/>
    <n v="0.2"/>
    <n v="1"/>
    <n v="0.48894103220862806"/>
    <n v="0.2"/>
    <x v="0"/>
    <n v="0"/>
    <n v="0"/>
    <n v="0.97182588093212185"/>
    <n v="0"/>
    <n v="-9.5000000000000195E-2"/>
  </r>
  <r>
    <x v="100"/>
    <n v="2.4760934642707801"/>
    <n v="3.4899999999999998"/>
    <n v="2"/>
    <n v="0.2"/>
    <n v="2"/>
    <n v="0.98415972506278404"/>
    <n v="0.4"/>
    <x v="0"/>
    <n v="0"/>
    <n v="0"/>
    <n v="0.97182588093212185"/>
    <n v="0"/>
    <n v="-9.5000000000000195E-2"/>
  </r>
  <r>
    <x v="101"/>
    <n v="2.4407526300903402"/>
    <n v="3.4899999999999998"/>
    <n v="5"/>
    <n v="0.2"/>
    <n v="3"/>
    <n v="1.4723102510808521"/>
    <n v="0.60000000000000009"/>
    <x v="0"/>
    <n v="0"/>
    <n v="0"/>
    <n v="0.97182588093212185"/>
    <n v="0"/>
    <n v="-9.5000000000000195E-2"/>
  </r>
  <r>
    <x v="102"/>
    <n v="2.4110384199427202"/>
    <n v="3.4899999999999998"/>
    <n v="6"/>
    <n v="0.2"/>
    <n v="4"/>
    <n v="1.9545179350693962"/>
    <n v="0.8"/>
    <x v="0"/>
    <n v="0"/>
    <n v="0"/>
    <n v="0.97182588093212185"/>
    <n v="0"/>
    <n v="-9.5000000000000195E-2"/>
  </r>
  <r>
    <x v="103"/>
    <n v="2.4687840450515499"/>
    <n v="3.4899999999999998"/>
    <n v="7"/>
    <n v="0.2"/>
    <n v="5"/>
    <n v="2.4482747440797064"/>
    <n v="1"/>
    <x v="1"/>
    <n v="2.4482747440797064"/>
    <n v="1.0417252559202934"/>
    <n v="1.0417252559202934"/>
    <n v="6.9899374988171559E-2"/>
    <n v="-9.5000000000000195E-2"/>
  </r>
  <r>
    <x v="104"/>
    <n v="2.4337082726962702"/>
    <n v="3.4749999999999996"/>
    <n v="1"/>
    <n v="0.2"/>
    <n v="1"/>
    <n v="0.48674165453925405"/>
    <n v="0.2"/>
    <x v="0"/>
    <n v="0"/>
    <n v="0"/>
    <n v="1.0417252559202934"/>
    <n v="0"/>
    <n v="-1.5000000000000124E-2"/>
  </r>
  <r>
    <x v="105"/>
    <n v="2.3689486742097801"/>
    <n v="3.4749999999999996"/>
    <n v="2"/>
    <n v="0.2"/>
    <n v="2"/>
    <n v="0.96053138938121008"/>
    <n v="0.4"/>
    <x v="0"/>
    <n v="0"/>
    <n v="0"/>
    <n v="1.0417252559202934"/>
    <n v="0"/>
    <n v="-1.5000000000000124E-2"/>
  </r>
  <r>
    <x v="106"/>
    <n v="2.3841669341916099"/>
    <n v="3.4749999999999996"/>
    <n v="6"/>
    <n v="0.2"/>
    <n v="3"/>
    <n v="1.4373647762195321"/>
    <n v="0.60000000000000009"/>
    <x v="0"/>
    <n v="0"/>
    <n v="0"/>
    <n v="1.0417252559202934"/>
    <n v="0"/>
    <n v="-1.5000000000000124E-2"/>
  </r>
  <r>
    <x v="107"/>
    <n v="2.39527607095176"/>
    <n v="3.4749999999999996"/>
    <n v="7"/>
    <n v="0.2"/>
    <n v="4"/>
    <n v="1.9164199904098842"/>
    <n v="0.8"/>
    <x v="1"/>
    <n v="2.395524988012355"/>
    <n v="1.0794750119876446"/>
    <n v="1.0794750119876446"/>
    <n v="3.7749756067351203E-2"/>
    <n v="-1.5000000000000124E-2"/>
  </r>
  <r>
    <x v="108"/>
    <n v="2.4560721347491201"/>
    <n v="3.4499999999999997"/>
    <n v="1"/>
    <n v="0.2"/>
    <n v="1"/>
    <n v="0.49121442694982403"/>
    <n v="0.2"/>
    <x v="0"/>
    <n v="0"/>
    <n v="0"/>
    <n v="1.0794750119876446"/>
    <n v="0"/>
    <n v="-2.4999999999999911E-2"/>
  </r>
  <r>
    <x v="109"/>
    <n v="2.3738371878590399"/>
    <n v="3.4499999999999997"/>
    <n v="2"/>
    <n v="0.2"/>
    <n v="2"/>
    <n v="0.96598186452163204"/>
    <n v="0.4"/>
    <x v="0"/>
    <n v="0"/>
    <n v="0"/>
    <n v="1.0794750119876446"/>
    <n v="0"/>
    <n v="-2.4999999999999911E-2"/>
  </r>
  <r>
    <x v="110"/>
    <n v="2.3778465565534201"/>
    <n v="3.4499999999999997"/>
    <n v="5"/>
    <n v="0.2"/>
    <n v="3"/>
    <n v="1.4415511758323161"/>
    <n v="0.60000000000000009"/>
    <x v="0"/>
    <n v="0"/>
    <n v="0"/>
    <n v="1.0794750119876446"/>
    <n v="0"/>
    <n v="-2.4999999999999911E-2"/>
  </r>
  <r>
    <x v="111"/>
    <n v="2.3937114953982901"/>
    <n v="3.4499999999999997"/>
    <n v="6"/>
    <n v="0.2"/>
    <n v="4"/>
    <n v="1.9202934749119742"/>
    <n v="0.8"/>
    <x v="0"/>
    <n v="0"/>
    <n v="0"/>
    <n v="1.0794750119876446"/>
    <n v="0"/>
    <n v="-2.4999999999999911E-2"/>
  </r>
  <r>
    <x v="112"/>
    <n v="2.4292166245487601"/>
    <n v="3.4499999999999997"/>
    <n v="7"/>
    <n v="0.2"/>
    <n v="5"/>
    <n v="2.4061367998217262"/>
    <n v="1"/>
    <x v="1"/>
    <n v="2.4061367998217262"/>
    <n v="1.0438632001782735"/>
    <n v="1.0438632001782735"/>
    <n v="-3.5611811809371119E-2"/>
    <n v="-2.4999999999999911E-2"/>
  </r>
  <r>
    <x v="113"/>
    <n v="2.2060134697218898"/>
    <n v="3.39"/>
    <n v="1"/>
    <n v="0.2"/>
    <n v="1"/>
    <n v="0.441202693944378"/>
    <n v="0.2"/>
    <x v="0"/>
    <n v="0"/>
    <n v="0"/>
    <n v="1.0438632001782735"/>
    <n v="0"/>
    <n v="-5.9999999999999609E-2"/>
  </r>
  <r>
    <x v="114"/>
    <n v="2.2680491660278101"/>
    <n v="3.39"/>
    <n v="2"/>
    <n v="0.2"/>
    <n v="2"/>
    <n v="0.89481252714994008"/>
    <n v="0.4"/>
    <x v="0"/>
    <n v="0"/>
    <n v="0"/>
    <n v="1.0438632001782735"/>
    <n v="0"/>
    <n v="-5.9999999999999609E-2"/>
  </r>
  <r>
    <x v="115"/>
    <n v="2.2811650726171102"/>
    <n v="3.39"/>
    <n v="5"/>
    <n v="0.2"/>
    <n v="3"/>
    <n v="1.3510455416733622"/>
    <n v="0.60000000000000009"/>
    <x v="0"/>
    <n v="0"/>
    <n v="0"/>
    <n v="1.0438632001782735"/>
    <n v="0"/>
    <n v="-5.9999999999999609E-2"/>
  </r>
  <r>
    <x v="116"/>
    <n v="2.2693986193058602"/>
    <n v="3.39"/>
    <n v="6"/>
    <n v="0.2"/>
    <n v="4"/>
    <n v="1.8049252655345343"/>
    <n v="0.8"/>
    <x v="0"/>
    <n v="0"/>
    <n v="0"/>
    <n v="1.0438632001782735"/>
    <n v="0"/>
    <n v="-5.9999999999999609E-2"/>
  </r>
  <r>
    <x v="117"/>
    <n v="2.2108565855724298"/>
    <n v="3.39"/>
    <n v="7"/>
    <n v="0.2"/>
    <n v="5"/>
    <n v="2.2470965826490201"/>
    <n v="1"/>
    <x v="1"/>
    <n v="2.2470965826490201"/>
    <n v="1.14290341735098"/>
    <n v="1.14290341735098"/>
    <n v="9.9040217172706502E-2"/>
    <n v="-5.9999999999999609E-2"/>
  </r>
  <r>
    <x v="118"/>
    <n v="2.1699341948075102"/>
    <n v="3.3"/>
    <n v="1"/>
    <n v="0.2"/>
    <n v="1"/>
    <n v="0.43398683896150203"/>
    <n v="0.2"/>
    <x v="0"/>
    <n v="0"/>
    <n v="0"/>
    <n v="1.14290341735098"/>
    <n v="0"/>
    <n v="-9.0000000000000302E-2"/>
  </r>
  <r>
    <x v="119"/>
    <n v="2.0967004826224001"/>
    <n v="3.3"/>
    <n v="2"/>
    <n v="0.2"/>
    <n v="2"/>
    <n v="0.85332693548598204"/>
    <n v="0.4"/>
    <x v="0"/>
    <n v="0"/>
    <n v="0"/>
    <n v="1.14290341735098"/>
    <n v="0"/>
    <n v="-9.0000000000000302E-2"/>
  </r>
  <r>
    <x v="120"/>
    <n v="2.0433470771670201"/>
    <n v="3.3"/>
    <n v="5"/>
    <n v="0.2"/>
    <n v="3"/>
    <n v="1.2619963509193861"/>
    <n v="0.60000000000000009"/>
    <x v="0"/>
    <n v="0"/>
    <n v="0"/>
    <n v="1.14290341735098"/>
    <n v="0"/>
    <n v="-9.0000000000000302E-2"/>
  </r>
  <r>
    <x v="121"/>
    <n v="1.9795562323798399"/>
    <n v="3.3"/>
    <n v="6"/>
    <n v="0.2"/>
    <n v="4"/>
    <n v="1.6579075973953541"/>
    <n v="0.8"/>
    <x v="0"/>
    <n v="0"/>
    <n v="0"/>
    <n v="1.14290341735098"/>
    <n v="0"/>
    <n v="-9.0000000000000302E-2"/>
  </r>
  <r>
    <x v="122"/>
    <n v="1.9736635579989501"/>
    <n v="3.3"/>
    <n v="7"/>
    <n v="0.2"/>
    <n v="5"/>
    <n v="2.0526403089951444"/>
    <n v="1"/>
    <x v="1"/>
    <n v="2.0526403089951444"/>
    <n v="1.2473596910048554"/>
    <n v="1.2473596910048554"/>
    <n v="0.10445627365387544"/>
    <n v="-9.0000000000000302E-2"/>
  </r>
  <r>
    <x v="123"/>
    <n v="2.0509749333657501"/>
    <n v="3.26"/>
    <n v="1"/>
    <n v="0.2"/>
    <n v="1"/>
    <n v="0.41019498667315002"/>
    <n v="0.2"/>
    <x v="0"/>
    <n v="0"/>
    <n v="0"/>
    <n v="1.2473596910048554"/>
    <n v="0"/>
    <n v="-4.0000000000000036E-2"/>
  </r>
  <r>
    <x v="124"/>
    <n v="2.0399140401394802"/>
    <n v="3.26"/>
    <n v="2"/>
    <n v="0.2"/>
    <n v="2"/>
    <n v="0.81817779470104601"/>
    <n v="0.4"/>
    <x v="0"/>
    <n v="0"/>
    <n v="0"/>
    <n v="1.2473596910048554"/>
    <n v="0"/>
    <n v="-4.0000000000000036E-2"/>
  </r>
  <r>
    <x v="125"/>
    <n v="1.9791061697796299"/>
    <n v="3.26"/>
    <n v="5"/>
    <n v="0.2"/>
    <n v="3"/>
    <n v="1.213999028656972"/>
    <n v="0.60000000000000009"/>
    <x v="0"/>
    <n v="0"/>
    <n v="0"/>
    <n v="1.2473596910048554"/>
    <n v="0"/>
    <n v="-4.0000000000000036E-2"/>
  </r>
  <r>
    <x v="126"/>
    <n v="1.89926870046304"/>
    <n v="3.26"/>
    <n v="6"/>
    <n v="0.2"/>
    <n v="4"/>
    <n v="1.59385276874958"/>
    <n v="0.8"/>
    <x v="0"/>
    <n v="0"/>
    <n v="0"/>
    <n v="1.2473596910048554"/>
    <n v="0"/>
    <n v="-4.0000000000000036E-2"/>
  </r>
  <r>
    <x v="127"/>
    <n v="1.9744446236261499"/>
    <n v="3.26"/>
    <n v="7"/>
    <n v="0.2"/>
    <n v="5"/>
    <n v="1.9887416934748101"/>
    <n v="1"/>
    <x v="1"/>
    <n v="1.9887416934748101"/>
    <n v="1.2712583065251897"/>
    <n v="1.2712583065251897"/>
    <n v="2.3898615520334232E-2"/>
    <n v="-4.0000000000000036E-2"/>
  </r>
  <r>
    <x v="128"/>
    <n v="2.0658821659188802"/>
    <n v="3.3149999999999999"/>
    <n v="1"/>
    <n v="0.2"/>
    <n v="1"/>
    <n v="0.41317643318377606"/>
    <n v="0.2"/>
    <x v="0"/>
    <n v="0"/>
    <n v="0"/>
    <n v="1.2712583065251897"/>
    <n v="0"/>
    <n v="5.500000000000016E-2"/>
  </r>
  <r>
    <x v="129"/>
    <n v="2.0999165140206202"/>
    <n v="3.3149999999999999"/>
    <n v="2"/>
    <n v="0.2"/>
    <n v="2"/>
    <n v="0.83315973598790016"/>
    <n v="0.4"/>
    <x v="0"/>
    <n v="0"/>
    <n v="0"/>
    <n v="1.2712583065251897"/>
    <n v="0"/>
    <n v="5.500000000000016E-2"/>
  </r>
  <r>
    <x v="130"/>
    <n v="2.1121992044017102"/>
    <n v="3.3149999999999999"/>
    <n v="6"/>
    <n v="0.2"/>
    <n v="3"/>
    <n v="1.2555995768682422"/>
    <n v="0.60000000000000009"/>
    <x v="0"/>
    <n v="0"/>
    <n v="0"/>
    <n v="1.2712583065251897"/>
    <n v="0"/>
    <n v="5.500000000000016E-2"/>
  </r>
  <r>
    <x v="131"/>
    <n v="2.0566984028863402"/>
    <n v="3.3149999999999999"/>
    <n v="7"/>
    <n v="0.2"/>
    <n v="4"/>
    <n v="1.6669392574455102"/>
    <n v="0.8"/>
    <x v="1"/>
    <n v="2.0836740718068878"/>
    <n v="1.2313259281931122"/>
    <n v="1.2313259281931122"/>
    <n v="-3.9932378332077523E-2"/>
    <n v="5.500000000000016E-2"/>
  </r>
  <r>
    <x v="132"/>
    <n v="2.0188150642087299"/>
    <n v="3.2949999999999999"/>
    <n v="1"/>
    <n v="0.2"/>
    <n v="1"/>
    <n v="0.40376301284174598"/>
    <n v="0.2"/>
    <x v="0"/>
    <n v="0"/>
    <n v="0"/>
    <n v="1.2313259281931122"/>
    <n v="0"/>
    <n v="-2.0000000000000018E-2"/>
  </r>
  <r>
    <x v="133"/>
    <n v="2.0148705784973"/>
    <n v="3.2949999999999999"/>
    <n v="2"/>
    <n v="0.2"/>
    <n v="2"/>
    <n v="0.80673712854120594"/>
    <n v="0.4"/>
    <x v="0"/>
    <n v="0"/>
    <n v="0"/>
    <n v="1.2313259281931122"/>
    <n v="0"/>
    <n v="-2.0000000000000018E-2"/>
  </r>
  <r>
    <x v="134"/>
    <n v="2.0433983497425001"/>
    <n v="3.2949999999999999"/>
    <n v="5"/>
    <n v="0.2"/>
    <n v="3"/>
    <n v="1.215416798489706"/>
    <n v="0.60000000000000009"/>
    <x v="0"/>
    <n v="0"/>
    <n v="0"/>
    <n v="1.2313259281931122"/>
    <n v="0"/>
    <n v="-2.0000000000000018E-2"/>
  </r>
  <r>
    <x v="135"/>
    <n v="2.0903131154582399"/>
    <n v="3.2949999999999999"/>
    <n v="6"/>
    <n v="0.2"/>
    <n v="4"/>
    <n v="1.633479421581354"/>
    <n v="0.8"/>
    <x v="0"/>
    <n v="0"/>
    <n v="0"/>
    <n v="1.2313259281931122"/>
    <n v="0"/>
    <n v="-2.0000000000000018E-2"/>
  </r>
  <r>
    <x v="136"/>
    <n v="2.1999397264302898"/>
    <n v="3.2949999999999999"/>
    <n v="7"/>
    <n v="0.2"/>
    <n v="5"/>
    <n v="2.073467366867412"/>
    <n v="1"/>
    <x v="1"/>
    <n v="2.073467366867412"/>
    <n v="1.221532633132588"/>
    <n v="1.221532633132588"/>
    <n v="-9.7932950605241764E-3"/>
    <n v="-2.0000000000000018E-2"/>
  </r>
  <r>
    <x v="137"/>
    <n v="2.23804060063864"/>
    <n v="3.335"/>
    <n v="1"/>
    <n v="0.2"/>
    <n v="1"/>
    <n v="0.44760812012772799"/>
    <n v="0.2"/>
    <x v="0"/>
    <n v="0"/>
    <n v="0"/>
    <n v="1.221532633132588"/>
    <n v="0"/>
    <n v="4.0000000000000036E-2"/>
  </r>
  <r>
    <x v="138"/>
    <n v="2.17149064090427"/>
    <n v="3.335"/>
    <n v="2"/>
    <n v="0.2"/>
    <n v="2"/>
    <n v="0.881906248308582"/>
    <n v="0.4"/>
    <x v="0"/>
    <n v="0"/>
    <n v="0"/>
    <n v="1.221532633132588"/>
    <n v="0"/>
    <n v="4.0000000000000036E-2"/>
  </r>
  <r>
    <x v="139"/>
    <n v="2.2048003727510999"/>
    <n v="3.335"/>
    <n v="5"/>
    <n v="0.2"/>
    <n v="3"/>
    <n v="1.322866322858802"/>
    <n v="0.60000000000000009"/>
    <x v="0"/>
    <n v="0"/>
    <n v="0"/>
    <n v="1.221532633132588"/>
    <n v="0"/>
    <n v="4.0000000000000036E-2"/>
  </r>
  <r>
    <x v="140"/>
    <n v="2.1883122196514102"/>
    <n v="3.335"/>
    <n v="6"/>
    <n v="0.2"/>
    <n v="4"/>
    <n v="1.7605287667890841"/>
    <n v="0.8"/>
    <x v="0"/>
    <n v="0"/>
    <n v="0"/>
    <n v="1.221532633132588"/>
    <n v="0"/>
    <n v="4.0000000000000036E-2"/>
  </r>
  <r>
    <x v="141"/>
    <n v="2.2250151290701798"/>
    <n v="3.335"/>
    <n v="7"/>
    <n v="0.2"/>
    <n v="5"/>
    <n v="2.2055317926031202"/>
    <n v="1"/>
    <x v="1"/>
    <n v="2.2055317926031202"/>
    <n v="1.1294682073968798"/>
    <n v="1.1294682073968798"/>
    <n v="-9.2064425735708166E-2"/>
    <n v="4.0000000000000036E-2"/>
  </r>
  <r>
    <x v="142"/>
    <n v="2.2775343256732099"/>
    <n v="3.3149999999999999"/>
    <n v="1"/>
    <n v="0.2"/>
    <n v="1"/>
    <n v="0.455506865134642"/>
    <n v="0.2"/>
    <x v="0"/>
    <n v="0"/>
    <n v="0"/>
    <n v="1.1294682073968798"/>
    <n v="0"/>
    <n v="-2.0000000000000018E-2"/>
  </r>
  <r>
    <x v="143"/>
    <n v="2.2062412812927401"/>
    <n v="3.3149999999999999"/>
    <n v="2"/>
    <n v="0.2"/>
    <n v="2"/>
    <n v="0.89675512139319002"/>
    <n v="0.4"/>
    <x v="0"/>
    <n v="0"/>
    <n v="0"/>
    <n v="1.1294682073968798"/>
    <n v="0"/>
    <n v="-2.0000000000000018E-2"/>
  </r>
  <r>
    <x v="144"/>
    <n v="2.1758632003490601"/>
    <n v="3.3149999999999999"/>
    <n v="5"/>
    <n v="0.2"/>
    <n v="3"/>
    <n v="1.3319277614630021"/>
    <n v="0.60000000000000009"/>
    <x v="0"/>
    <n v="0"/>
    <n v="0"/>
    <n v="1.1294682073968798"/>
    <n v="0"/>
    <n v="-2.0000000000000018E-2"/>
  </r>
  <r>
    <x v="145"/>
    <n v="2.1423497452898399"/>
    <n v="3.3149999999999999"/>
    <n v="7"/>
    <n v="0.2"/>
    <n v="4"/>
    <n v="1.76039771052097"/>
    <n v="0.8"/>
    <x v="1"/>
    <n v="2.2004971381512126"/>
    <n v="1.1145028618487873"/>
    <n v="1.1145028618487873"/>
    <n v="-1.4965345548092479E-2"/>
    <n v="-2.0000000000000018E-2"/>
  </r>
  <r>
    <x v="146"/>
    <n v="2.2324289694544102"/>
    <n v="3.3249999999999997"/>
    <n v="1"/>
    <n v="0.2"/>
    <n v="1"/>
    <n v="0.44648579389088205"/>
    <n v="0.2"/>
    <x v="0"/>
    <n v="0"/>
    <n v="0"/>
    <n v="1.1145028618487873"/>
    <n v="0"/>
    <n v="9.9999999999997868E-3"/>
  </r>
  <r>
    <x v="147"/>
    <n v="2.1949310629738199"/>
    <n v="3.3249999999999997"/>
    <n v="2"/>
    <n v="0.2"/>
    <n v="2"/>
    <n v="0.88547200648564606"/>
    <n v="0.4"/>
    <x v="0"/>
    <n v="0"/>
    <n v="0"/>
    <n v="1.1145028618487873"/>
    <n v="0"/>
    <n v="9.9999999999997868E-3"/>
  </r>
  <r>
    <x v="148"/>
    <n v="2.1479421519661601"/>
    <n v="3.3249999999999997"/>
    <n v="5"/>
    <n v="0.2"/>
    <n v="3"/>
    <n v="1.3150604368788781"/>
    <n v="0.60000000000000009"/>
    <x v="0"/>
    <n v="0"/>
    <n v="0"/>
    <n v="1.1145028618487873"/>
    <n v="0"/>
    <n v="9.9999999999997868E-3"/>
  </r>
  <r>
    <x v="149"/>
    <n v="2.2488911274377399"/>
    <n v="3.3249999999999997"/>
    <n v="6"/>
    <n v="0.2"/>
    <n v="4"/>
    <n v="1.7648386623664261"/>
    <n v="0.8"/>
    <x v="0"/>
    <n v="0"/>
    <n v="0"/>
    <n v="1.1145028618487873"/>
    <n v="0"/>
    <n v="9.9999999999997868E-3"/>
  </r>
  <r>
    <x v="150"/>
    <n v="2.0919724577728598"/>
    <n v="3.3249999999999997"/>
    <n v="7"/>
    <n v="0.2"/>
    <n v="5"/>
    <n v="2.1832331539209981"/>
    <n v="1"/>
    <x v="1"/>
    <n v="2.1832331539209981"/>
    <n v="1.1417668460790016"/>
    <n v="1.1417668460790016"/>
    <n v="2.7263984230214255E-2"/>
    <n v="9.9999999999997868E-3"/>
  </r>
  <r>
    <x v="151"/>
    <n v="2.04956432037537"/>
    <n v="3.2649999999999997"/>
    <n v="1"/>
    <n v="0.2"/>
    <n v="1"/>
    <n v="0.40991286407507399"/>
    <n v="0.2"/>
    <x v="0"/>
    <n v="0"/>
    <n v="0"/>
    <n v="1.1417668460790016"/>
    <n v="0"/>
    <n v="-6.0000000000000053E-2"/>
  </r>
  <r>
    <x v="152"/>
    <n v="2.0595956654124499"/>
    <n v="3.2649999999999997"/>
    <n v="2"/>
    <n v="0.2"/>
    <n v="2"/>
    <n v="0.82183199715756405"/>
    <n v="0.4"/>
    <x v="0"/>
    <n v="0"/>
    <n v="0"/>
    <n v="1.1417668460790016"/>
    <n v="0"/>
    <n v="-6.0000000000000053E-2"/>
  </r>
  <r>
    <x v="153"/>
    <n v="2.0829778986268401"/>
    <n v="3.2649999999999997"/>
    <n v="6"/>
    <n v="0.2"/>
    <n v="3"/>
    <n v="1.238427576882932"/>
    <n v="0.60000000000000009"/>
    <x v="0"/>
    <n v="0"/>
    <n v="0"/>
    <n v="1.1417668460790016"/>
    <n v="0"/>
    <n v="-6.0000000000000053E-2"/>
  </r>
  <r>
    <x v="154"/>
    <n v="2.1343540804519301"/>
    <n v="3.2649999999999997"/>
    <n v="7"/>
    <n v="0.2"/>
    <n v="4"/>
    <n v="1.6652983929733181"/>
    <n v="0.8"/>
    <x v="1"/>
    <n v="2.0816229912166473"/>
    <n v="1.1833770087833524"/>
    <n v="1.1833770087833524"/>
    <n v="4.1610162704350806E-2"/>
    <n v="-6.0000000000000053E-2"/>
  </r>
  <r>
    <x v="155"/>
    <n v="2.0923386430292501"/>
    <n v="3.2349999999999999"/>
    <n v="1"/>
    <n v="0.2"/>
    <n v="1"/>
    <n v="0.41846772860585002"/>
    <n v="0.2"/>
    <x v="0"/>
    <n v="0"/>
    <n v="0"/>
    <n v="1.1833770087833524"/>
    <n v="0"/>
    <n v="-2.9999999999999805E-2"/>
  </r>
  <r>
    <x v="156"/>
    <n v="2.0361071292777302"/>
    <n v="3.2349999999999999"/>
    <n v="2"/>
    <n v="0.2"/>
    <n v="2"/>
    <n v="0.82568915446139601"/>
    <n v="0.4"/>
    <x v="0"/>
    <n v="0"/>
    <n v="0"/>
    <n v="1.1833770087833524"/>
    <n v="0"/>
    <n v="-2.9999999999999805E-2"/>
  </r>
  <r>
    <x v="157"/>
    <n v="2.0699676944682599"/>
    <n v="3.2349999999999999"/>
    <n v="5"/>
    <n v="0.2"/>
    <n v="3"/>
    <n v="1.239682693355048"/>
    <n v="0.60000000000000009"/>
    <x v="0"/>
    <n v="0"/>
    <n v="0"/>
    <n v="1.1833770087833524"/>
    <n v="0"/>
    <n v="-2.9999999999999805E-2"/>
  </r>
  <r>
    <x v="158"/>
    <n v="2.1420411801194499"/>
    <n v="3.2349999999999999"/>
    <n v="6"/>
    <n v="0.2"/>
    <n v="4"/>
    <n v="1.6680909293789381"/>
    <n v="0.8"/>
    <x v="0"/>
    <n v="0"/>
    <n v="0"/>
    <n v="1.1833770087833524"/>
    <n v="0"/>
    <n v="-2.9999999999999805E-2"/>
  </r>
  <r>
    <x v="159"/>
    <n v="2.1925425327534098"/>
    <n v="3.2349999999999999"/>
    <n v="7"/>
    <n v="0.2"/>
    <n v="5"/>
    <n v="2.1065994359296201"/>
    <n v="1"/>
    <x v="1"/>
    <n v="2.1065994359296201"/>
    <n v="1.1284005640703798"/>
    <n v="1.1284005640703798"/>
    <n v="-5.4976444712972583E-2"/>
    <n v="-2.9999999999999805E-2"/>
  </r>
  <r>
    <x v="160"/>
    <n v="2.2012643194611901"/>
    <n v="3.27"/>
    <n v="2"/>
    <n v="0.2"/>
    <n v="1"/>
    <n v="0.44025286389223806"/>
    <n v="0.2"/>
    <x v="0"/>
    <n v="0"/>
    <n v="0"/>
    <n v="1.1284005640703798"/>
    <n v="0"/>
    <n v="3.5000000000000142E-2"/>
  </r>
  <r>
    <x v="161"/>
    <n v="2.1328988734204701"/>
    <n v="3.27"/>
    <n v="5"/>
    <n v="0.2"/>
    <n v="2"/>
    <n v="0.86683263857633208"/>
    <n v="0.4"/>
    <x v="0"/>
    <n v="0"/>
    <n v="0"/>
    <n v="1.1284005640703798"/>
    <n v="0"/>
    <n v="3.5000000000000142E-2"/>
  </r>
  <r>
    <x v="162"/>
    <n v="2.0440489527996202"/>
    <n v="3.27"/>
    <n v="6"/>
    <n v="0.2"/>
    <n v="3"/>
    <n v="1.2756424291362563"/>
    <n v="0.60000000000000009"/>
    <x v="0"/>
    <n v="0"/>
    <n v="0"/>
    <n v="1.1284005640703798"/>
    <n v="0"/>
    <n v="3.5000000000000142E-2"/>
  </r>
  <r>
    <x v="163"/>
    <n v="2.0509742576327699"/>
    <n v="3.27"/>
    <n v="7"/>
    <n v="0.2"/>
    <n v="4"/>
    <n v="1.6858372806628101"/>
    <n v="0.8"/>
    <x v="1"/>
    <n v="2.1072966008285126"/>
    <n v="1.1627033991714875"/>
    <n v="1.1627033991714875"/>
    <n v="3.4302835101107654E-2"/>
    <n v="3.5000000000000142E-2"/>
  </r>
  <r>
    <x v="164"/>
    <n v="2.0724438614292899"/>
    <n v="3.2649999999999997"/>
    <n v="1"/>
    <n v="0.2"/>
    <n v="1"/>
    <n v="0.41448877228585801"/>
    <n v="0.2"/>
    <x v="0"/>
    <n v="0"/>
    <n v="0"/>
    <n v="1.1627033991714875"/>
    <n v="0"/>
    <n v="-5.0000000000003375E-3"/>
  </r>
  <r>
    <x v="165"/>
    <n v="2.0725335490580301"/>
    <n v="3.2649999999999997"/>
    <n v="2"/>
    <n v="0.2"/>
    <n v="2"/>
    <n v="0.8289954820974641"/>
    <n v="0.4"/>
    <x v="0"/>
    <n v="0"/>
    <n v="0"/>
    <n v="1.1627033991714875"/>
    <n v="0"/>
    <n v="-5.0000000000003375E-3"/>
  </r>
  <r>
    <x v="166"/>
    <n v="2.0862225711456399"/>
    <n v="3.2649999999999997"/>
    <n v="5"/>
    <n v="0.2"/>
    <n v="3"/>
    <n v="1.246239996326592"/>
    <n v="0.60000000000000009"/>
    <x v="0"/>
    <n v="0"/>
    <n v="0"/>
    <n v="1.1627033991714875"/>
    <n v="0"/>
    <n v="-5.0000000000003375E-3"/>
  </r>
  <r>
    <x v="167"/>
    <n v="2.0678302367394399"/>
    <n v="3.2649999999999997"/>
    <n v="6"/>
    <n v="0.2"/>
    <n v="4"/>
    <n v="1.6598060436744799"/>
    <n v="0.8"/>
    <x v="0"/>
    <n v="0"/>
    <n v="0"/>
    <n v="1.1627033991714875"/>
    <n v="0"/>
    <n v="-5.0000000000003375E-3"/>
  </r>
  <r>
    <x v="168"/>
    <n v="2.0799414922025399"/>
    <n v="3.2649999999999997"/>
    <n v="7"/>
    <n v="0.2"/>
    <n v="5"/>
    <n v="2.075794342114988"/>
    <n v="1"/>
    <x v="1"/>
    <n v="2.075794342114988"/>
    <n v="1.1892056578850116"/>
    <n v="1.1892056578850116"/>
    <n v="2.6502258713524185E-2"/>
    <n v="-5.0000000000003375E-3"/>
  </r>
  <r>
    <x v="169"/>
    <n v="2.1082736282319798"/>
    <n v="3.2449999999999997"/>
    <n v="1"/>
    <n v="0.2"/>
    <n v="1"/>
    <n v="0.421654725646396"/>
    <n v="0.2"/>
    <x v="0"/>
    <n v="0"/>
    <n v="0"/>
    <n v="1.1892056578850116"/>
    <n v="0"/>
    <n v="-2.0000000000000018E-2"/>
  </r>
  <r>
    <x v="170"/>
    <n v="2.1663327490122799"/>
    <n v="3.2449999999999997"/>
    <n v="2"/>
    <n v="0.2"/>
    <n v="2"/>
    <n v="0.85492127544885199"/>
    <n v="0.4"/>
    <x v="0"/>
    <n v="0"/>
    <n v="0"/>
    <n v="1.1892056578850116"/>
    <n v="0"/>
    <n v="-2.0000000000000018E-2"/>
  </r>
  <r>
    <x v="171"/>
    <n v="2.1263199579473602"/>
    <n v="3.2449999999999997"/>
    <n v="5"/>
    <n v="0.2"/>
    <n v="3"/>
    <n v="1.280185267038324"/>
    <n v="0.60000000000000009"/>
    <x v="0"/>
    <n v="0"/>
    <n v="0"/>
    <n v="1.1892056578850116"/>
    <n v="0"/>
    <n v="-2.0000000000000018E-2"/>
  </r>
  <r>
    <x v="172"/>
    <n v="2.1257047070821802"/>
    <n v="3.2449999999999997"/>
    <n v="6"/>
    <n v="0.2"/>
    <n v="4"/>
    <n v="1.70532620845476"/>
    <n v="0.8"/>
    <x v="0"/>
    <n v="0"/>
    <n v="0"/>
    <n v="1.1892056578850116"/>
    <n v="0"/>
    <n v="-2.0000000000000018E-2"/>
  </r>
  <r>
    <x v="173"/>
    <n v="2.1698452448822598"/>
    <n v="3.2449999999999997"/>
    <n v="7"/>
    <n v="0.2"/>
    <n v="5"/>
    <n v="2.1392952574312121"/>
    <n v="1"/>
    <x v="1"/>
    <n v="2.1392952574312121"/>
    <n v="1.1057047425687876"/>
    <n v="1.1057047425687876"/>
    <n v="-8.3500915316224056E-2"/>
    <n v="-2.0000000000000018E-2"/>
  </r>
  <r>
    <x v="174"/>
    <n v="2.17954329599754"/>
    <n v="3.2949999999999999"/>
    <n v="1"/>
    <n v="0.2"/>
    <n v="1"/>
    <n v="0.43590865919950805"/>
    <n v="0.2"/>
    <x v="0"/>
    <n v="0"/>
    <n v="0"/>
    <n v="1.1057047425687876"/>
    <n v="0"/>
    <n v="5.0000000000000266E-2"/>
  </r>
  <r>
    <x v="175"/>
    <n v="2.1747058079367898"/>
    <n v="3.2949999999999999"/>
    <n v="2"/>
    <n v="0.2"/>
    <n v="2"/>
    <n v="0.87084982078686601"/>
    <n v="0.4"/>
    <x v="0"/>
    <n v="0"/>
    <n v="0"/>
    <n v="1.1057047425687876"/>
    <n v="0"/>
    <n v="5.0000000000000266E-2"/>
  </r>
  <r>
    <x v="176"/>
    <n v="2.1860869431888501"/>
    <n v="3.2949999999999999"/>
    <n v="5"/>
    <n v="0.2"/>
    <n v="3"/>
    <n v="1.3080672094246362"/>
    <n v="0.60000000000000009"/>
    <x v="0"/>
    <n v="0"/>
    <n v="0"/>
    <n v="1.1057047425687876"/>
    <n v="0"/>
    <n v="5.0000000000000266E-2"/>
  </r>
  <r>
    <x v="177"/>
    <n v="2.2549632116225702"/>
    <n v="3.2949999999999999"/>
    <n v="6"/>
    <n v="0.2"/>
    <n v="4"/>
    <n v="1.7590598517491502"/>
    <n v="0.8"/>
    <x v="0"/>
    <n v="0"/>
    <n v="0"/>
    <n v="1.1057047425687876"/>
    <n v="0"/>
    <n v="5.0000000000000266E-2"/>
  </r>
  <r>
    <x v="178"/>
    <n v="2.20825796099597"/>
    <n v="3.2949999999999999"/>
    <n v="7"/>
    <n v="0.2"/>
    <n v="5"/>
    <n v="2.2007114439483444"/>
    <n v="1"/>
    <x v="1"/>
    <n v="2.2007114439483444"/>
    <n v="1.0942885560516555"/>
    <n v="1.0942885560516555"/>
    <n v="-1.1416186517132054E-2"/>
    <n v="5.0000000000000266E-2"/>
  </r>
  <r>
    <x v="179"/>
    <n v="2.18927927513684"/>
    <n v="3.2749999999999999"/>
    <n v="1"/>
    <n v="0.2"/>
    <n v="1"/>
    <n v="0.43785585502736801"/>
    <n v="0.2"/>
    <x v="0"/>
    <n v="0"/>
    <n v="0"/>
    <n v="1.0942885560516555"/>
    <n v="0"/>
    <n v="-2.0000000000000018E-2"/>
  </r>
  <r>
    <x v="180"/>
    <n v="2.14957407921754"/>
    <n v="3.2749999999999999"/>
    <n v="2"/>
    <n v="0.2"/>
    <n v="2"/>
    <n v="0.867770670870876"/>
    <n v="0.4"/>
    <x v="0"/>
    <n v="0"/>
    <n v="0"/>
    <n v="1.0942885560516555"/>
    <n v="0"/>
    <n v="-2.0000000000000018E-2"/>
  </r>
  <r>
    <x v="181"/>
    <n v="2.1781660184228402"/>
    <n v="3.2749999999999999"/>
    <n v="5"/>
    <n v="0.2"/>
    <n v="3"/>
    <n v="1.3034038745554439"/>
    <n v="0.60000000000000009"/>
    <x v="0"/>
    <n v="0"/>
    <n v="0"/>
    <n v="1.0942885560516555"/>
    <n v="0"/>
    <n v="-2.0000000000000018E-2"/>
  </r>
  <r>
    <x v="182"/>
    <n v="2.1575085514306598"/>
    <n v="3.2749999999999999"/>
    <n v="7"/>
    <n v="0.2"/>
    <n v="4"/>
    <n v="1.734905584841576"/>
    <n v="0.8"/>
    <x v="1"/>
    <n v="2.1686319810519699"/>
    <n v="1.1063680189480301"/>
    <n v="1.1063680189480301"/>
    <n v="1.2079462896374515E-2"/>
    <n v="-2.0000000000000018E-2"/>
  </r>
  <r>
    <x v="183"/>
    <n v="2.12227766952706"/>
    <n v="3.2649999999999997"/>
    <n v="1"/>
    <n v="0.2"/>
    <n v="1"/>
    <n v="0.42445553390541202"/>
    <n v="0.2"/>
    <x v="0"/>
    <n v="0"/>
    <n v="0"/>
    <n v="1.1063680189480301"/>
    <n v="0"/>
    <n v="-1.0000000000000231E-2"/>
  </r>
  <r>
    <x v="184"/>
    <n v="2.1401763219910399"/>
    <n v="3.2649999999999997"/>
    <n v="2"/>
    <n v="0.2"/>
    <n v="2"/>
    <n v="0.85249079830362007"/>
    <n v="0.4"/>
    <x v="0"/>
    <n v="0"/>
    <n v="0"/>
    <n v="1.1063680189480301"/>
    <n v="0"/>
    <n v="-1.0000000000000231E-2"/>
  </r>
  <r>
    <x v="185"/>
    <n v="2.1517307112587098"/>
    <n v="3.2649999999999997"/>
    <n v="5"/>
    <n v="0.2"/>
    <n v="3"/>
    <n v="1.2828369405553621"/>
    <n v="0.60000000000000009"/>
    <x v="0"/>
    <n v="0"/>
    <n v="0"/>
    <n v="1.1063680189480301"/>
    <n v="0"/>
    <n v="-1.0000000000000231E-2"/>
  </r>
  <r>
    <x v="186"/>
    <n v="2.2179772298988301"/>
    <n v="3.2649999999999997"/>
    <n v="7"/>
    <n v="0.2"/>
    <n v="4"/>
    <n v="1.7264323865351281"/>
    <n v="0.8"/>
    <x v="1"/>
    <n v="2.15804048316891"/>
    <n v="1.1069595168310897"/>
    <n v="1.1069595168310897"/>
    <n v="5.9149788305967732E-4"/>
    <n v="-1.0000000000000231E-2"/>
  </r>
  <r>
    <x v="187"/>
    <n v="2.33893527316877"/>
    <n v="3.3249999999999997"/>
    <n v="1"/>
    <n v="0.2"/>
    <n v="1"/>
    <n v="0.46778705463375403"/>
    <n v="0.2"/>
    <x v="0"/>
    <n v="0"/>
    <n v="0"/>
    <n v="1.1069595168310897"/>
    <n v="0"/>
    <n v="6.0000000000000053E-2"/>
  </r>
  <r>
    <x v="188"/>
    <n v="2.3583903097049501"/>
    <n v="3.3249999999999997"/>
    <n v="2"/>
    <n v="0.2"/>
    <n v="2"/>
    <n v="0.93946511657474407"/>
    <n v="0.4"/>
    <x v="0"/>
    <n v="0"/>
    <n v="0"/>
    <n v="1.1069595168310897"/>
    <n v="0"/>
    <n v="6.0000000000000053E-2"/>
  </r>
  <r>
    <x v="189"/>
    <n v="2.3132421541265802"/>
    <n v="3.3249999999999997"/>
    <n v="5"/>
    <n v="0.2"/>
    <n v="3"/>
    <n v="1.4021135474000601"/>
    <n v="0.60000000000000009"/>
    <x v="0"/>
    <n v="0"/>
    <n v="0"/>
    <n v="1.1069595168310897"/>
    <n v="0"/>
    <n v="6.0000000000000053E-2"/>
  </r>
  <r>
    <x v="190"/>
    <n v="2.2872202205924901"/>
    <n v="3.3249999999999997"/>
    <n v="6"/>
    <n v="0.2"/>
    <n v="4"/>
    <n v="1.8595575915185583"/>
    <n v="0.8"/>
    <x v="0"/>
    <n v="0"/>
    <n v="0"/>
    <n v="1.1069595168310897"/>
    <n v="0"/>
    <n v="6.0000000000000053E-2"/>
  </r>
  <r>
    <x v="191"/>
    <n v="2.2542377381479901"/>
    <n v="3.3249999999999997"/>
    <n v="7"/>
    <n v="0.2"/>
    <n v="5"/>
    <n v="2.3104051391481564"/>
    <n v="1"/>
    <x v="1"/>
    <n v="2.3104051391481564"/>
    <n v="1.0145948608518434"/>
    <n v="1.0145948608518434"/>
    <n v="-9.2364655979246368E-2"/>
    <n v="6.0000000000000053E-2"/>
  </r>
  <r>
    <x v="192"/>
    <n v="2.3058062237430601"/>
    <n v="3.3049999999999997"/>
    <n v="1"/>
    <n v="0.2"/>
    <n v="1"/>
    <n v="0.46116124474861203"/>
    <n v="0.2"/>
    <x v="0"/>
    <n v="0"/>
    <n v="0"/>
    <n v="1.0145948608518434"/>
    <n v="0"/>
    <n v="-2.0000000000000018E-2"/>
  </r>
  <r>
    <x v="193"/>
    <n v="2.2816853967186499"/>
    <n v="3.3049999999999997"/>
    <n v="2"/>
    <n v="0.2"/>
    <n v="2"/>
    <n v="0.917498324092342"/>
    <n v="0.4"/>
    <x v="0"/>
    <n v="0"/>
    <n v="0"/>
    <n v="1.0145948608518434"/>
    <n v="0"/>
    <n v="-2.0000000000000018E-2"/>
  </r>
  <r>
    <x v="194"/>
    <n v="2.2784009909774001"/>
    <n v="3.3049999999999997"/>
    <n v="5"/>
    <n v="0.2"/>
    <n v="3"/>
    <n v="1.3731785222878221"/>
    <n v="0.60000000000000009"/>
    <x v="0"/>
    <n v="0"/>
    <n v="0"/>
    <n v="1.0145948608518434"/>
    <n v="0"/>
    <n v="-2.0000000000000018E-2"/>
  </r>
  <r>
    <x v="195"/>
    <n v="2.2938425272831502"/>
    <n v="3.3049999999999997"/>
    <n v="6"/>
    <n v="0.2"/>
    <n v="4"/>
    <n v="1.8319470277444521"/>
    <n v="0.8"/>
    <x v="0"/>
    <n v="0"/>
    <n v="0"/>
    <n v="1.0145948608518434"/>
    <n v="0"/>
    <n v="-2.0000000000000018E-2"/>
  </r>
  <r>
    <x v="196"/>
    <n v="2.2944098288443899"/>
    <n v="3.3049999999999997"/>
    <n v="7"/>
    <n v="0.2"/>
    <n v="5"/>
    <n v="2.2908289935133301"/>
    <n v="1"/>
    <x v="1"/>
    <n v="2.2908289935133301"/>
    <n v="1.0141710064866696"/>
    <n v="1.0141710064866696"/>
    <n v="-4.2385436517378139E-4"/>
    <n v="-2.0000000000000018E-2"/>
  </r>
  <r>
    <x v="197"/>
    <n v="2.3689111618910199"/>
    <n v="3.3449999999999998"/>
    <n v="1"/>
    <n v="0.2"/>
    <n v="1"/>
    <n v="0.47378223237820399"/>
    <n v="0.2"/>
    <x v="0"/>
    <n v="0"/>
    <n v="0"/>
    <n v="1.0141710064866696"/>
    <n v="0"/>
    <n v="4.0000000000000036E-2"/>
  </r>
  <r>
    <x v="198"/>
    <n v="2.3502791672529901"/>
    <n v="3.3449999999999998"/>
    <n v="2"/>
    <n v="0.2"/>
    <n v="2"/>
    <n v="0.94383806582880203"/>
    <n v="0.4"/>
    <x v="0"/>
    <n v="0"/>
    <n v="0"/>
    <n v="1.0141710064866696"/>
    <n v="0"/>
    <n v="4.0000000000000036E-2"/>
  </r>
  <r>
    <x v="199"/>
    <n v="2.35220774246172"/>
    <n v="3.3449999999999998"/>
    <n v="6"/>
    <n v="0.2"/>
    <n v="3"/>
    <n v="1.414279614321146"/>
    <n v="0.60000000000000009"/>
    <x v="0"/>
    <n v="0"/>
    <n v="0"/>
    <n v="1.0141710064866696"/>
    <n v="0"/>
    <n v="4.0000000000000036E-2"/>
  </r>
  <r>
    <x v="200"/>
    <n v="2.3433125325998301"/>
    <n v="3.3449999999999998"/>
    <n v="7"/>
    <n v="0.2"/>
    <n v="4"/>
    <n v="1.8829421208411121"/>
    <n v="0.8"/>
    <x v="1"/>
    <n v="2.3536776510513899"/>
    <n v="0.99132234894860982"/>
    <n v="0.99132234894860982"/>
    <n v="-2.2848657538059758E-2"/>
    <n v="4.0000000000000036E-2"/>
  </r>
  <r>
    <x v="201"/>
    <n v="2.3674188938348699"/>
    <n v="3.4549999999999996"/>
    <n v="1"/>
    <n v="0.2"/>
    <n v="1"/>
    <n v="0.47348377876697401"/>
    <n v="0.2"/>
    <x v="0"/>
    <n v="0"/>
    <n v="0"/>
    <n v="0.99132234894860982"/>
    <n v="0"/>
    <n v="0.10999999999999988"/>
  </r>
  <r>
    <x v="202"/>
    <n v="2.50531849536197"/>
    <n v="3.4549999999999996"/>
    <n v="2"/>
    <n v="0.2"/>
    <n v="2"/>
    <n v="0.97454747783936801"/>
    <n v="0.4"/>
    <x v="0"/>
    <n v="0"/>
    <n v="0"/>
    <n v="0.99132234894860982"/>
    <n v="0"/>
    <n v="0.10999999999999988"/>
  </r>
  <r>
    <x v="203"/>
    <n v="2.5393282304868099"/>
    <n v="3.4549999999999996"/>
    <n v="5"/>
    <n v="0.2"/>
    <n v="3"/>
    <n v="1.48241312393673"/>
    <n v="0.60000000000000009"/>
    <x v="0"/>
    <n v="0"/>
    <n v="0"/>
    <n v="0.99132234894860982"/>
    <n v="0"/>
    <n v="0.10999999999999988"/>
  </r>
  <r>
    <x v="204"/>
    <n v="2.5598092537420398"/>
    <n v="3.4549999999999996"/>
    <n v="6"/>
    <n v="0.2"/>
    <n v="4"/>
    <n v="1.994374974685138"/>
    <n v="0.8"/>
    <x v="0"/>
    <n v="0"/>
    <n v="0"/>
    <n v="0.99132234894860982"/>
    <n v="0"/>
    <n v="0.10999999999999988"/>
  </r>
  <r>
    <x v="205"/>
    <n v="2.5772925233697599"/>
    <n v="3.4549999999999996"/>
    <n v="7"/>
    <n v="0.2"/>
    <n v="5"/>
    <n v="2.5098334793590902"/>
    <n v="1"/>
    <x v="1"/>
    <n v="2.5098334793590902"/>
    <n v="0.94516652064090945"/>
    <n v="0.94516652064090945"/>
    <n v="-4.6155828307700375E-2"/>
    <n v="0.10999999999999988"/>
  </r>
  <r>
    <x v="206"/>
    <n v="2.57376759097352"/>
    <n v="3.48"/>
    <n v="1"/>
    <n v="0.2"/>
    <n v="1"/>
    <n v="0.51475351819470405"/>
    <n v="0.2"/>
    <x v="0"/>
    <n v="0"/>
    <n v="0"/>
    <n v="0.94516652064090945"/>
    <n v="0"/>
    <n v="2.5000000000000355E-2"/>
  </r>
  <r>
    <x v="207"/>
    <n v="2.5914055356862402"/>
    <n v="3.48"/>
    <n v="2"/>
    <n v="0.2"/>
    <n v="2"/>
    <n v="1.0330346253319522"/>
    <n v="0.4"/>
    <x v="0"/>
    <n v="0"/>
    <n v="0"/>
    <n v="0.94516652064090945"/>
    <n v="0"/>
    <n v="2.5000000000000355E-2"/>
  </r>
  <r>
    <x v="208"/>
    <n v="2.5556270132589098"/>
    <n v="3.48"/>
    <n v="5"/>
    <n v="0.2"/>
    <n v="3"/>
    <n v="1.5441600279837342"/>
    <n v="0.60000000000000009"/>
    <x v="0"/>
    <n v="0"/>
    <n v="0"/>
    <n v="0.94516652064090945"/>
    <n v="0"/>
    <n v="2.5000000000000355E-2"/>
  </r>
  <r>
    <x v="209"/>
    <n v="2.6005196496782901"/>
    <n v="3.48"/>
    <n v="6"/>
    <n v="0.2"/>
    <n v="4"/>
    <n v="2.0642639579193922"/>
    <n v="0.8"/>
    <x v="0"/>
    <n v="0"/>
    <n v="0"/>
    <n v="0.94516652064090945"/>
    <n v="0"/>
    <n v="2.5000000000000355E-2"/>
  </r>
  <r>
    <x v="210"/>
    <n v="2.55943207517402"/>
    <n v="3.48"/>
    <n v="7"/>
    <n v="0.2"/>
    <n v="5"/>
    <n v="2.5761503729541961"/>
    <n v="1"/>
    <x v="1"/>
    <n v="2.5761503729541961"/>
    <n v="0.90384962704580385"/>
    <n v="0.90384962704580385"/>
    <n v="-4.1316893595105597E-2"/>
    <n v="2.5000000000000355E-2"/>
  </r>
  <r>
    <x v="211"/>
    <n v="2.5513624904448799"/>
    <n v="3.48"/>
    <n v="1"/>
    <n v="0.2"/>
    <n v="1"/>
    <n v="0.51027249808897601"/>
    <n v="0.2"/>
    <x v="0"/>
    <n v="0"/>
    <n v="0"/>
    <n v="0.90384962704580385"/>
    <n v="0"/>
    <n v="0"/>
  </r>
  <r>
    <x v="212"/>
    <n v="2.5731755488249699"/>
    <n v="3.48"/>
    <n v="2"/>
    <n v="0.2"/>
    <n v="2"/>
    <n v="1.0249076078539701"/>
    <n v="0.4"/>
    <x v="0"/>
    <n v="0"/>
    <n v="0"/>
    <n v="0.90384962704580385"/>
    <n v="0"/>
    <n v="0"/>
  </r>
  <r>
    <x v="213"/>
    <n v="2.56530846465939"/>
    <n v="3.48"/>
    <n v="5"/>
    <n v="0.2"/>
    <n v="3"/>
    <n v="1.5379693007858481"/>
    <n v="0.60000000000000009"/>
    <x v="0"/>
    <n v="0"/>
    <n v="0"/>
    <n v="0.90384962704580385"/>
    <n v="0"/>
    <n v="0"/>
  </r>
  <r>
    <x v="214"/>
    <n v="2.6070118411689598"/>
    <n v="3.48"/>
    <n v="6"/>
    <n v="0.2"/>
    <n v="4"/>
    <n v="2.0593716690196402"/>
    <n v="0.8"/>
    <x v="0"/>
    <n v="0"/>
    <n v="0"/>
    <n v="0.90384962704580385"/>
    <n v="0"/>
    <n v="0"/>
  </r>
  <r>
    <x v="215"/>
    <n v="2.6537197373142098"/>
    <n v="3.48"/>
    <n v="7"/>
    <n v="0.2"/>
    <n v="5"/>
    <n v="2.5901156164824823"/>
    <n v="1"/>
    <x v="1"/>
    <n v="2.5901156164824823"/>
    <n v="0.88988438351751764"/>
    <n v="0.88988438351751764"/>
    <n v="-1.3965243528286209E-2"/>
    <n v="0"/>
  </r>
  <r>
    <x v="216"/>
    <n v="2.6085491789438602"/>
    <n v="3.5100000000000002"/>
    <n v="1"/>
    <n v="0.2"/>
    <n v="1"/>
    <n v="0.52170983578877206"/>
    <n v="0.2"/>
    <x v="0"/>
    <n v="0"/>
    <n v="0"/>
    <n v="0.88988438351751764"/>
    <n v="0"/>
    <n v="3.0000000000000249E-2"/>
  </r>
  <r>
    <x v="217"/>
    <n v="2.6207856725732901"/>
    <n v="3.5100000000000002"/>
    <n v="2"/>
    <n v="0.2"/>
    <n v="2"/>
    <n v="1.0458669703034302"/>
    <n v="0.4"/>
    <x v="0"/>
    <n v="0"/>
    <n v="0"/>
    <n v="0.88988438351751764"/>
    <n v="0"/>
    <n v="3.0000000000000249E-2"/>
  </r>
  <r>
    <x v="218"/>
    <n v="2.6380211947179002"/>
    <n v="3.5100000000000002"/>
    <n v="6"/>
    <n v="0.2"/>
    <n v="3"/>
    <n v="1.5734712092470104"/>
    <n v="0.60000000000000009"/>
    <x v="0"/>
    <n v="0"/>
    <n v="0"/>
    <n v="0.88988438351751764"/>
    <n v="0"/>
    <n v="3.0000000000000249E-2"/>
  </r>
  <r>
    <x v="219"/>
    <n v="2.63796949913782"/>
    <n v="3.5100000000000002"/>
    <n v="7"/>
    <n v="0.2"/>
    <n v="4"/>
    <n v="2.1010651090745744"/>
    <n v="0.8"/>
    <x v="1"/>
    <n v="2.6263313863432178"/>
    <n v="0.8836686136567824"/>
    <n v="0.8836686136567824"/>
    <n v="-6.215769860735243E-3"/>
    <n v="3.0000000000000249E-2"/>
  </r>
  <r>
    <x v="220"/>
    <n v="2.6257405351132901"/>
    <n v="3.46"/>
    <n v="1"/>
    <n v="0.2"/>
    <n v="1"/>
    <n v="0.52514810702265802"/>
    <n v="0.2"/>
    <x v="0"/>
    <n v="0"/>
    <n v="0"/>
    <n v="0.8836686136567824"/>
    <n v="0"/>
    <n v="-5.0000000000000266E-2"/>
  </r>
  <r>
    <x v="221"/>
    <n v="2.6251399034844098"/>
    <n v="3.46"/>
    <n v="2"/>
    <n v="0.2"/>
    <n v="2"/>
    <n v="1.0501760877195401"/>
    <n v="0.4"/>
    <x v="0"/>
    <n v="0"/>
    <n v="0"/>
    <n v="0.8836686136567824"/>
    <n v="0"/>
    <n v="-5.0000000000000266E-2"/>
  </r>
  <r>
    <x v="222"/>
    <n v="2.5578588429933502"/>
    <n v="3.46"/>
    <n v="5"/>
    <n v="0.2"/>
    <n v="3"/>
    <n v="1.5617478563182101"/>
    <n v="0.60000000000000009"/>
    <x v="0"/>
    <n v="0"/>
    <n v="0"/>
    <n v="0.8836686136567824"/>
    <n v="0"/>
    <n v="-5.0000000000000266E-2"/>
  </r>
  <r>
    <x v="223"/>
    <n v="2.5389569445759999"/>
    <n v="3.46"/>
    <n v="6"/>
    <n v="0.2"/>
    <n v="4"/>
    <n v="2.0695392452334103"/>
    <n v="0.8"/>
    <x v="0"/>
    <n v="0"/>
    <n v="0"/>
    <n v="0.8836686136567824"/>
    <n v="0"/>
    <n v="-5.0000000000000266E-2"/>
  </r>
  <r>
    <x v="224"/>
    <n v="2.5732198821136101"/>
    <n v="3.46"/>
    <n v="7"/>
    <n v="0.2"/>
    <n v="5"/>
    <n v="2.5841832216561325"/>
    <n v="1"/>
    <x v="1"/>
    <n v="2.5841832216561325"/>
    <n v="0.87581677834386751"/>
    <n v="0.87581677834386751"/>
    <n v="-7.8518353129148899E-3"/>
    <n v="-5.0000000000000266E-2"/>
  </r>
  <r>
    <x v="225"/>
    <n v="2.5448374323223399"/>
    <n v="3.4449999999999998"/>
    <n v="1"/>
    <n v="0.2"/>
    <n v="1"/>
    <n v="0.50896748646446799"/>
    <n v="0.2"/>
    <x v="0"/>
    <n v="0"/>
    <n v="0"/>
    <n v="0.87581677834386751"/>
    <n v="0"/>
    <n v="-1.5000000000000124E-2"/>
  </r>
  <r>
    <x v="226"/>
    <n v="2.5299300395983999"/>
    <n v="3.4449999999999998"/>
    <n v="2"/>
    <n v="0.2"/>
    <n v="2"/>
    <n v="1.0149534943841481"/>
    <n v="0.4"/>
    <x v="0"/>
    <n v="0"/>
    <n v="0"/>
    <n v="0.87581677834386751"/>
    <n v="0"/>
    <n v="-1.5000000000000124E-2"/>
  </r>
  <r>
    <x v="227"/>
    <n v="2.5457760046441602"/>
    <n v="3.4449999999999998"/>
    <n v="5"/>
    <n v="0.2"/>
    <n v="3"/>
    <n v="1.5241086953129801"/>
    <n v="0.60000000000000009"/>
    <x v="0"/>
    <n v="0"/>
    <n v="0"/>
    <n v="0.87581677834386751"/>
    <n v="0"/>
    <n v="-1.5000000000000124E-2"/>
  </r>
  <r>
    <x v="228"/>
    <n v="2.56075645776348"/>
    <n v="3.4449999999999998"/>
    <n v="6"/>
    <n v="0.2"/>
    <n v="4"/>
    <n v="2.0362599868656761"/>
    <n v="0.8"/>
    <x v="0"/>
    <n v="0"/>
    <n v="0"/>
    <n v="0.87581677834386751"/>
    <n v="0"/>
    <n v="-1.5000000000000124E-2"/>
  </r>
  <r>
    <x v="229"/>
    <n v="2.6125524232747801"/>
    <n v="3.4449999999999998"/>
    <n v="7"/>
    <n v="0.2"/>
    <n v="5"/>
    <n v="2.5587704715206323"/>
    <n v="1"/>
    <x v="1"/>
    <n v="2.5587704715206323"/>
    <n v="0.88622952847936753"/>
    <n v="0.88622952847936753"/>
    <n v="1.0412750135500026E-2"/>
    <n v="-1.5000000000000124E-2"/>
  </r>
  <r>
    <x v="230"/>
    <n v="2.6733074908689098"/>
    <n v="3.58"/>
    <n v="1"/>
    <n v="0.2"/>
    <n v="1"/>
    <n v="0.53466149817378195"/>
    <n v="0.2"/>
    <x v="0"/>
    <n v="0"/>
    <n v="0"/>
    <n v="0.88622952847936753"/>
    <n v="0"/>
    <n v="0.13500000000000023"/>
  </r>
  <r>
    <x v="231"/>
    <n v="2.7519155244705402"/>
    <n v="3.58"/>
    <n v="2"/>
    <n v="0.2"/>
    <n v="2"/>
    <n v="1.08504460306789"/>
    <n v="0.4"/>
    <x v="0"/>
    <n v="0"/>
    <n v="0"/>
    <n v="0.88622952847936753"/>
    <n v="0"/>
    <n v="0.13500000000000023"/>
  </r>
  <r>
    <x v="232"/>
    <n v="2.7399845789483299"/>
    <n v="3.58"/>
    <n v="5"/>
    <n v="0.2"/>
    <n v="3"/>
    <n v="1.633041518857556"/>
    <n v="0.60000000000000009"/>
    <x v="0"/>
    <n v="0"/>
    <n v="0"/>
    <n v="0.88622952847936753"/>
    <n v="0"/>
    <n v="0.13500000000000023"/>
  </r>
  <r>
    <x v="233"/>
    <n v="2.7064552884836801"/>
    <n v="3.58"/>
    <n v="6"/>
    <n v="0.2"/>
    <n v="4"/>
    <n v="2.174332576554292"/>
    <n v="0.8"/>
    <x v="0"/>
    <n v="0"/>
    <n v="0"/>
    <n v="0.88622952847936753"/>
    <n v="0"/>
    <n v="0.13500000000000023"/>
  </r>
  <r>
    <x v="234"/>
    <n v="2.70043867478531"/>
    <n v="3.58"/>
    <n v="7"/>
    <n v="0.2"/>
    <n v="5"/>
    <n v="2.7144203115113541"/>
    <n v="1"/>
    <x v="1"/>
    <n v="2.7144203115113541"/>
    <n v="0.86557968848864597"/>
    <n v="0.86557968848864597"/>
    <n v="-2.0649839990721564E-2"/>
    <n v="0.13500000000000023"/>
  </r>
  <r>
    <x v="235"/>
    <n v="2.7054585787984"/>
    <n v="3.49"/>
    <n v="1"/>
    <n v="0.2"/>
    <n v="1"/>
    <n v="0.54109171575968007"/>
    <n v="0.2"/>
    <x v="0"/>
    <n v="0"/>
    <n v="0"/>
    <n v="0.86557968848864597"/>
    <n v="0"/>
    <n v="-8.9999999999999858E-2"/>
  </r>
  <r>
    <x v="236"/>
    <n v="2.6643363272696798"/>
    <n v="3.49"/>
    <n v="2"/>
    <n v="0.2"/>
    <n v="2"/>
    <n v="1.0739589812136161"/>
    <n v="0.4"/>
    <x v="0"/>
    <n v="0"/>
    <n v="0"/>
    <n v="0.86557968848864597"/>
    <n v="0"/>
    <n v="-8.9999999999999858E-2"/>
  </r>
  <r>
    <x v="237"/>
    <n v="2.6296268135310301"/>
    <n v="3.49"/>
    <n v="5"/>
    <n v="0.2"/>
    <n v="3"/>
    <n v="1.5998843439198223"/>
    <n v="0.60000000000000009"/>
    <x v="0"/>
    <n v="0"/>
    <n v="0"/>
    <n v="0.86557968848864597"/>
    <n v="0"/>
    <n v="-8.9999999999999858E-2"/>
  </r>
  <r>
    <x v="238"/>
    <n v="2.6068633017671599"/>
    <n v="3.49"/>
    <n v="6"/>
    <n v="0.2"/>
    <n v="4"/>
    <n v="2.1212570042732541"/>
    <n v="0.8"/>
    <x v="0"/>
    <n v="0"/>
    <n v="0"/>
    <n v="0.86557968848864597"/>
    <n v="0"/>
    <n v="-8.9999999999999858E-2"/>
  </r>
  <r>
    <x v="239"/>
    <n v="2.6469827013594598"/>
    <n v="3.49"/>
    <n v="7"/>
    <n v="0.2"/>
    <n v="5"/>
    <n v="2.650653544545146"/>
    <n v="1"/>
    <x v="1"/>
    <n v="2.650653544545146"/>
    <n v="0.8393464554548542"/>
    <n v="0.8393464554548542"/>
    <n v="-2.623323303379177E-2"/>
    <n v="-8.9999999999999858E-2"/>
  </r>
  <r>
    <x v="240"/>
    <n v="2.6762749111600002"/>
    <n v="3.52"/>
    <n v="1"/>
    <n v="0.2"/>
    <n v="1"/>
    <n v="0.53525498223200008"/>
    <n v="0.2"/>
    <x v="0"/>
    <n v="0"/>
    <n v="0"/>
    <n v="0.8393464554548542"/>
    <n v="0"/>
    <n v="2.9999999999999805E-2"/>
  </r>
  <r>
    <x v="241"/>
    <n v="2.6414844586182298"/>
    <n v="3.52"/>
    <n v="2"/>
    <n v="0.2"/>
    <n v="2"/>
    <n v="1.063551873955646"/>
    <n v="0.4"/>
    <x v="0"/>
    <n v="0"/>
    <n v="0"/>
    <n v="0.8393464554548542"/>
    <n v="0"/>
    <n v="2.9999999999999805E-2"/>
  </r>
  <r>
    <x v="242"/>
    <n v="2.6394759315969498"/>
    <n v="3.52"/>
    <n v="5"/>
    <n v="0.2"/>
    <n v="3"/>
    <n v="1.5914470602750361"/>
    <n v="0.60000000000000009"/>
    <x v="0"/>
    <n v="0"/>
    <n v="0"/>
    <n v="0.8393464554548542"/>
    <n v="0"/>
    <n v="2.9999999999999805E-2"/>
  </r>
  <r>
    <x v="243"/>
    <n v="2.6425583507311501"/>
    <n v="3.52"/>
    <n v="6"/>
    <n v="0.2"/>
    <n v="4"/>
    <n v="2.1199587304212661"/>
    <n v="0.8"/>
    <x v="0"/>
    <n v="0"/>
    <n v="0"/>
    <n v="0.8393464554548542"/>
    <n v="0"/>
    <n v="2.9999999999999805E-2"/>
  </r>
  <r>
    <x v="244"/>
    <n v="2.6080685310037901"/>
    <n v="3.52"/>
    <n v="7"/>
    <n v="0.2"/>
    <n v="5"/>
    <n v="2.6415724366220243"/>
    <n v="1"/>
    <x v="1"/>
    <n v="2.6415724366220243"/>
    <n v="0.87842756337797567"/>
    <n v="0.87842756337797567"/>
    <n v="3.9081107923121472E-2"/>
    <n v="2.9999999999999805E-2"/>
  </r>
  <r>
    <x v="245"/>
    <n v="2.6143335780898398"/>
    <n v="3.49"/>
    <n v="1"/>
    <n v="0.2"/>
    <n v="1"/>
    <n v="0.52286671561796794"/>
    <n v="0.2"/>
    <x v="0"/>
    <n v="0"/>
    <n v="0"/>
    <n v="0.87842756337797567"/>
    <n v="0"/>
    <n v="-2.9999999999999805E-2"/>
  </r>
  <r>
    <x v="246"/>
    <n v="2.5951295555522802"/>
    <n v="3.49"/>
    <n v="5"/>
    <n v="0.2"/>
    <n v="2"/>
    <n v="1.0418926267284241"/>
    <n v="0.4"/>
    <x v="0"/>
    <n v="0"/>
    <n v="0"/>
    <n v="0.87842756337797567"/>
    <n v="0"/>
    <n v="-2.9999999999999805E-2"/>
  </r>
  <r>
    <x v="247"/>
    <n v="2.6101991222676499"/>
    <n v="3.49"/>
    <n v="6"/>
    <n v="0.2"/>
    <n v="3"/>
    <n v="1.5639324511819541"/>
    <n v="0.60000000000000009"/>
    <x v="0"/>
    <n v="0"/>
    <n v="0"/>
    <n v="0.87842756337797567"/>
    <n v="0"/>
    <n v="-2.9999999999999805E-2"/>
  </r>
  <r>
    <x v="248"/>
    <n v="2.5647186741288901"/>
    <n v="3.49"/>
    <n v="7"/>
    <n v="0.2"/>
    <n v="4"/>
    <n v="2.0768761860077323"/>
    <n v="0.8"/>
    <x v="1"/>
    <n v="2.5960952325096653"/>
    <n v="0.89390476749033487"/>
    <n v="0.89390476749033487"/>
    <n v="1.54772041123592E-2"/>
    <n v="-2.9999999999999805E-2"/>
  </r>
  <r>
    <x v="249"/>
    <n v="2.4858730996264899"/>
    <n v="3.3800000000000003"/>
    <n v="1"/>
    <n v="0.2"/>
    <n v="1"/>
    <n v="0.49717461992529799"/>
    <n v="0.2"/>
    <x v="0"/>
    <n v="0"/>
    <n v="0"/>
    <n v="0.89390476749033487"/>
    <n v="0"/>
    <n v="-0.10999999999999988"/>
  </r>
  <r>
    <x v="250"/>
    <n v="2.4173832768427301"/>
    <n v="3.3800000000000003"/>
    <n v="2"/>
    <n v="0.2"/>
    <n v="2"/>
    <n v="0.9806512752938441"/>
    <n v="0.4"/>
    <x v="0"/>
    <n v="0"/>
    <n v="0"/>
    <n v="0.89390476749033487"/>
    <n v="0"/>
    <n v="-0.10999999999999988"/>
  </r>
  <r>
    <x v="251"/>
    <n v="2.4769497822755899"/>
    <n v="3.3800000000000003"/>
    <n v="5"/>
    <n v="0.2"/>
    <n v="3"/>
    <n v="1.4760412317489622"/>
    <n v="0.60000000000000009"/>
    <x v="0"/>
    <n v="0"/>
    <n v="0"/>
    <n v="0.89390476749033487"/>
    <n v="0"/>
    <n v="-0.10999999999999988"/>
  </r>
  <r>
    <x v="252"/>
    <n v="2.4893778182677"/>
    <n v="3.3800000000000003"/>
    <n v="6"/>
    <n v="0.2"/>
    <n v="4"/>
    <n v="1.9739167954025021"/>
    <n v="0.8"/>
    <x v="0"/>
    <n v="0"/>
    <n v="0"/>
    <n v="0.89390476749033487"/>
    <n v="0"/>
    <n v="-0.10999999999999988"/>
  </r>
  <r>
    <x v="253"/>
    <n v="2.54479183649527"/>
    <n v="3.3800000000000003"/>
    <n v="7"/>
    <n v="0.2"/>
    <n v="5"/>
    <n v="2.4828751627015562"/>
    <n v="1"/>
    <x v="1"/>
    <n v="2.4828751627015562"/>
    <n v="0.89712483729844417"/>
    <n v="0.89712483729844417"/>
    <n v="3.2200698081092938E-3"/>
    <n v="-0.10999999999999988"/>
  </r>
  <r>
    <x v="254"/>
    <n v="2.5180760618821498"/>
    <n v="3.335"/>
    <n v="1"/>
    <n v="0.2"/>
    <n v="1"/>
    <n v="0.50361521237643003"/>
    <n v="0.2"/>
    <x v="0"/>
    <n v="0"/>
    <n v="0"/>
    <n v="0.89712483729844417"/>
    <n v="0"/>
    <n v="-4.5000000000000373E-2"/>
  </r>
  <r>
    <x v="255"/>
    <n v="2.4532379481842601"/>
    <n v="3.335"/>
    <n v="2"/>
    <n v="0.2"/>
    <n v="2"/>
    <n v="0.9942628020132821"/>
    <n v="0.4"/>
    <x v="0"/>
    <n v="0"/>
    <n v="0"/>
    <n v="0.89712483729844417"/>
    <n v="0"/>
    <n v="-4.5000000000000373E-2"/>
  </r>
  <r>
    <x v="256"/>
    <n v="2.4306597894947899"/>
    <n v="3.335"/>
    <n v="5"/>
    <n v="0.2"/>
    <n v="3"/>
    <n v="1.4803947599122402"/>
    <n v="0.60000000000000009"/>
    <x v="0"/>
    <n v="0"/>
    <n v="0"/>
    <n v="0.89712483729844417"/>
    <n v="0"/>
    <n v="-4.5000000000000373E-2"/>
  </r>
  <r>
    <x v="257"/>
    <n v="2.45465029105896"/>
    <n v="3.335"/>
    <n v="6"/>
    <n v="0.2"/>
    <n v="4"/>
    <n v="1.9713248181240322"/>
    <n v="0.8"/>
    <x v="0"/>
    <n v="0"/>
    <n v="0"/>
    <n v="0.89712483729844417"/>
    <n v="0"/>
    <n v="-4.5000000000000373E-2"/>
  </r>
  <r>
    <x v="258"/>
    <n v="2.4500518771238999"/>
    <n v="3.335"/>
    <n v="7"/>
    <n v="0.2"/>
    <n v="5"/>
    <n v="2.4613351935488121"/>
    <n v="1"/>
    <x v="1"/>
    <n v="2.4613351935488121"/>
    <n v="0.87366480645118783"/>
    <n v="0.87366480645118783"/>
    <n v="-2.3460030847256341E-2"/>
    <n v="-4.5000000000000373E-2"/>
  </r>
  <r>
    <x v="259"/>
    <n v="2.43192110209089"/>
    <n v="3.35"/>
    <n v="1"/>
    <n v="0.2"/>
    <n v="1"/>
    <n v="0.48638422041817803"/>
    <n v="0.2"/>
    <x v="0"/>
    <n v="0"/>
    <n v="0"/>
    <n v="0.87366480645118783"/>
    <n v="0"/>
    <n v="1.5000000000000124E-2"/>
  </r>
  <r>
    <x v="260"/>
    <n v="2.4478292625910401"/>
    <n v="3.35"/>
    <n v="2"/>
    <n v="0.2"/>
    <n v="2"/>
    <n v="0.97595007293638614"/>
    <n v="0.4"/>
    <x v="0"/>
    <n v="0"/>
    <n v="0"/>
    <n v="0.87366480645118783"/>
    <n v="0"/>
    <n v="1.5000000000000124E-2"/>
  </r>
  <r>
    <x v="261"/>
    <n v="2.4460987781161698"/>
    <n v="3.35"/>
    <n v="5"/>
    <n v="0.2"/>
    <n v="3"/>
    <n v="1.4651698285596202"/>
    <n v="0.60000000000000009"/>
    <x v="0"/>
    <n v="0"/>
    <n v="0"/>
    <n v="0.87366480645118783"/>
    <n v="0"/>
    <n v="1.5000000000000124E-2"/>
  </r>
  <r>
    <x v="262"/>
    <n v="2.4375323431689502"/>
    <n v="3.35"/>
    <n v="6"/>
    <n v="0.2"/>
    <n v="4"/>
    <n v="1.9526762971934102"/>
    <n v="0.8"/>
    <x v="0"/>
    <n v="0"/>
    <n v="0"/>
    <n v="0.87366480645118783"/>
    <n v="0"/>
    <n v="1.5000000000000124E-2"/>
  </r>
  <r>
    <x v="263"/>
    <n v="2.4323883653727401"/>
    <n v="3.35"/>
    <n v="7"/>
    <n v="0.2"/>
    <n v="5"/>
    <n v="2.4391539702679581"/>
    <n v="1"/>
    <x v="1"/>
    <n v="2.4391539702679581"/>
    <n v="0.91084602973204198"/>
    <n v="0.91084602973204198"/>
    <n v="3.7181223280854159E-2"/>
    <n v="1.5000000000000124E-2"/>
  </r>
  <r>
    <x v="264"/>
    <n v="2.4323453281375"/>
    <n v="3.2749999999999999"/>
    <n v="1"/>
    <n v="0.2"/>
    <n v="1"/>
    <n v="0.48646906562750003"/>
    <n v="0.2"/>
    <x v="0"/>
    <n v="0"/>
    <n v="0"/>
    <n v="0.91084602973204198"/>
    <n v="0"/>
    <n v="-7.5000000000000178E-2"/>
  </r>
  <r>
    <x v="265"/>
    <n v="2.3795080679074299"/>
    <n v="3.2749999999999999"/>
    <n v="2"/>
    <n v="0.2"/>
    <n v="2"/>
    <n v="0.962370679208986"/>
    <n v="0.4"/>
    <x v="0"/>
    <n v="0"/>
    <n v="0"/>
    <n v="0.91084602973204198"/>
    <n v="0"/>
    <n v="-7.5000000000000178E-2"/>
  </r>
  <r>
    <x v="266"/>
    <n v="2.37447920783596"/>
    <n v="3.2749999999999999"/>
    <n v="5"/>
    <n v="0.2"/>
    <n v="3"/>
    <n v="1.4372665207761779"/>
    <n v="0.60000000000000009"/>
    <x v="0"/>
    <n v="0"/>
    <n v="0"/>
    <n v="0.91084602973204198"/>
    <n v="0"/>
    <n v="-7.5000000000000178E-2"/>
  </r>
  <r>
    <x v="267"/>
    <n v="2.3535373905486399"/>
    <n v="3.2749999999999999"/>
    <n v="6"/>
    <n v="0.2"/>
    <n v="4"/>
    <n v="1.9079739988859059"/>
    <n v="0.8"/>
    <x v="0"/>
    <n v="0"/>
    <n v="0"/>
    <n v="0.91084602973204198"/>
    <n v="0"/>
    <n v="-7.5000000000000178E-2"/>
  </r>
  <r>
    <x v="268"/>
    <n v="2.31035596660836"/>
    <n v="3.2749999999999999"/>
    <n v="7"/>
    <n v="0.2"/>
    <n v="5"/>
    <n v="2.370045192207578"/>
    <n v="1"/>
    <x v="1"/>
    <n v="2.370045192207578"/>
    <n v="0.90495480779242188"/>
    <n v="0.90495480779242188"/>
    <n v="-5.891221939620106E-3"/>
    <n v="-7.5000000000000178E-2"/>
  </r>
  <r>
    <x v="269"/>
    <n v="2.3421036791460899"/>
    <n v="3.3449999999999998"/>
    <n v="1"/>
    <n v="0.2"/>
    <n v="1"/>
    <n v="0.468420735829218"/>
    <n v="0.2"/>
    <x v="0"/>
    <n v="0"/>
    <n v="0"/>
    <n v="0.90495480779242188"/>
    <n v="0"/>
    <n v="6.999999999999984E-2"/>
  </r>
  <r>
    <x v="270"/>
    <n v="2.4561501214153099"/>
    <n v="3.3449999999999998"/>
    <n v="2"/>
    <n v="0.2"/>
    <n v="2"/>
    <n v="0.95965076011228001"/>
    <n v="0.4"/>
    <x v="0"/>
    <n v="0"/>
    <n v="0"/>
    <n v="0.90495480779242188"/>
    <n v="0"/>
    <n v="6.999999999999984E-2"/>
  </r>
  <r>
    <x v="271"/>
    <n v="2.4724031733010898"/>
    <n v="3.3449999999999998"/>
    <n v="5"/>
    <n v="0.2"/>
    <n v="3"/>
    <n v="1.4541313947724981"/>
    <n v="0.60000000000000009"/>
    <x v="0"/>
    <n v="0"/>
    <n v="0"/>
    <n v="0.90495480779242188"/>
    <n v="0"/>
    <n v="6.999999999999984E-2"/>
  </r>
  <r>
    <x v="272"/>
    <n v="2.48894298716524"/>
    <n v="3.3449999999999998"/>
    <n v="6"/>
    <n v="0.2"/>
    <n v="4"/>
    <n v="1.9519199922055461"/>
    <n v="0.8"/>
    <x v="0"/>
    <n v="0"/>
    <n v="0"/>
    <n v="0.90495480779242188"/>
    <n v="0"/>
    <n v="6.999999999999984E-2"/>
  </r>
  <r>
    <x v="273"/>
    <n v="2.4724453435903899"/>
    <n v="3.3449999999999998"/>
    <n v="7"/>
    <n v="0.2"/>
    <n v="5"/>
    <n v="2.446409060923624"/>
    <n v="1"/>
    <x v="1"/>
    <n v="2.446409060923624"/>
    <n v="0.89859093907637577"/>
    <n v="0.89859093907637577"/>
    <n v="-6.363868716046106E-3"/>
    <n v="6.999999999999984E-2"/>
  </r>
  <r>
    <x v="274"/>
    <n v="2.49665490312618"/>
    <n v="3.4349999999999996"/>
    <n v="1"/>
    <n v="0.2"/>
    <n v="1"/>
    <n v="0.49933098062523601"/>
    <n v="0.2"/>
    <x v="0"/>
    <n v="0"/>
    <n v="0"/>
    <n v="0.89859093907637577"/>
    <n v="0"/>
    <n v="8.9999999999999858E-2"/>
  </r>
  <r>
    <x v="275"/>
    <n v="2.5868571182044802"/>
    <n v="3.4349999999999996"/>
    <n v="2"/>
    <n v="0.2"/>
    <n v="2"/>
    <n v="1.0167024042661321"/>
    <n v="0.4"/>
    <x v="0"/>
    <n v="0"/>
    <n v="0"/>
    <n v="0.89859093907637577"/>
    <n v="0"/>
    <n v="8.9999999999999858E-2"/>
  </r>
  <r>
    <x v="276"/>
    <n v="2.6209995675214"/>
    <n v="3.4349999999999996"/>
    <n v="5"/>
    <n v="0.2"/>
    <n v="3"/>
    <n v="1.5409023177704122"/>
    <n v="0.60000000000000009"/>
    <x v="0"/>
    <n v="0"/>
    <n v="0"/>
    <n v="0.89859093907637577"/>
    <n v="0"/>
    <n v="8.9999999999999858E-2"/>
  </r>
  <r>
    <x v="277"/>
    <n v="2.6627244928863401"/>
    <n v="3.4349999999999996"/>
    <n v="6"/>
    <n v="0.2"/>
    <n v="4"/>
    <n v="2.07344721634768"/>
    <n v="0.8"/>
    <x v="0"/>
    <n v="0"/>
    <n v="0"/>
    <n v="0.89859093907637577"/>
    <n v="0"/>
    <n v="8.9999999999999858E-2"/>
  </r>
  <r>
    <x v="278"/>
    <n v="2.6618664133932302"/>
    <n v="3.4349999999999996"/>
    <n v="7"/>
    <n v="0.2"/>
    <n v="5"/>
    <n v="2.6058204990263261"/>
    <n v="1"/>
    <x v="1"/>
    <n v="2.6058204990263261"/>
    <n v="0.82917950097367354"/>
    <n v="0.82917950097367354"/>
    <n v="-6.9411438102702228E-2"/>
    <n v="8.9999999999999858E-2"/>
  </r>
  <r>
    <x v="279"/>
    <n v="2.5638774739999999"/>
    <n v="3.5149999999999997"/>
    <n v="1"/>
    <n v="0.2"/>
    <n v="1"/>
    <n v="0.51277549479999995"/>
    <n v="0.2"/>
    <x v="0"/>
    <n v="0"/>
    <n v="0"/>
    <n v="0.82917950097367354"/>
    <n v="0"/>
    <n v="8.0000000000000071E-2"/>
  </r>
  <r>
    <x v="280"/>
    <n v="2.6858134280305799"/>
    <n v="3.5149999999999997"/>
    <n v="2"/>
    <n v="0.2"/>
    <n v="2"/>
    <n v="1.0499381804061159"/>
    <n v="0.4"/>
    <x v="0"/>
    <n v="0"/>
    <n v="0"/>
    <n v="0.82917950097367354"/>
    <n v="0"/>
    <n v="8.0000000000000071E-2"/>
  </r>
  <r>
    <x v="281"/>
    <n v="2.7128835423314301"/>
    <n v="3.5149999999999997"/>
    <n v="5"/>
    <n v="0.2"/>
    <n v="3"/>
    <n v="1.5925148888724019"/>
    <n v="0.60000000000000009"/>
    <x v="0"/>
    <n v="0"/>
    <n v="0"/>
    <n v="0.82917950097367354"/>
    <n v="0"/>
    <n v="8.0000000000000071E-2"/>
  </r>
  <r>
    <x v="282"/>
    <n v="2.6645260639550199"/>
    <n v="3.5149999999999997"/>
    <n v="6"/>
    <n v="0.2"/>
    <n v="4"/>
    <n v="2.1254201016634058"/>
    <n v="0.8"/>
    <x v="0"/>
    <n v="0"/>
    <n v="0"/>
    <n v="0.82917950097367354"/>
    <n v="0"/>
    <n v="8.0000000000000071E-2"/>
  </r>
  <r>
    <x v="283"/>
    <n v="2.78843998218461"/>
    <n v="3.5149999999999997"/>
    <n v="7"/>
    <n v="0.2"/>
    <n v="5"/>
    <n v="2.6831080981003277"/>
    <n v="1"/>
    <x v="1"/>
    <n v="2.6831080981003277"/>
    <n v="0.83189190189967199"/>
    <n v="0.83189190189967199"/>
    <n v="2.7124009259984483E-3"/>
    <n v="8.0000000000000071E-2"/>
  </r>
  <r>
    <x v="284"/>
    <n v="2.8219074459123799"/>
    <n v="3.7600000000000002"/>
    <n v="1"/>
    <n v="0.2"/>
    <n v="1"/>
    <n v="0.56438148918247599"/>
    <n v="0.2"/>
    <x v="0"/>
    <n v="0"/>
    <n v="0"/>
    <n v="0.83189190189967199"/>
    <n v="0"/>
    <n v="0.24500000000000055"/>
  </r>
  <r>
    <x v="285"/>
    <n v="2.8149731764108399"/>
    <n v="3.7600000000000002"/>
    <n v="2"/>
    <n v="0.2"/>
    <n v="2"/>
    <n v="1.1273761244646439"/>
    <n v="0.4"/>
    <x v="0"/>
    <n v="0"/>
    <n v="0"/>
    <n v="0.83189190189967199"/>
    <n v="0"/>
    <n v="0.24500000000000055"/>
  </r>
  <r>
    <x v="286"/>
    <n v="2.9439593784478002"/>
    <n v="3.7600000000000002"/>
    <n v="6"/>
    <n v="0.2"/>
    <n v="3"/>
    <n v="1.7161680001542039"/>
    <n v="0.60000000000000009"/>
    <x v="0"/>
    <n v="0"/>
    <n v="0"/>
    <n v="0.83189190189967199"/>
    <n v="0"/>
    <n v="0.24500000000000055"/>
  </r>
  <r>
    <x v="287"/>
    <n v="2.9196928046626902"/>
    <n v="3.7600000000000002"/>
    <n v="7"/>
    <n v="0.2"/>
    <n v="4"/>
    <n v="2.3001065610867419"/>
    <n v="0.8"/>
    <x v="1"/>
    <n v="2.8751332013584272"/>
    <n v="0.88486679864157303"/>
    <n v="0.88486679864157303"/>
    <n v="5.2974896741901034E-2"/>
    <n v="0.24500000000000055"/>
  </r>
  <r>
    <x v="288"/>
    <n v="2.9046454407398898"/>
    <n v="3.835"/>
    <n v="1"/>
    <n v="0.2"/>
    <n v="1"/>
    <n v="0.58092908814797795"/>
    <n v="0.2"/>
    <x v="0"/>
    <n v="0"/>
    <n v="0"/>
    <n v="0.88486679864157303"/>
    <n v="0"/>
    <n v="7.4999999999999734E-2"/>
  </r>
  <r>
    <x v="289"/>
    <n v="2.95731349620652"/>
    <n v="3.835"/>
    <n v="2"/>
    <n v="0.2"/>
    <n v="2"/>
    <n v="1.172391787389282"/>
    <n v="0.4"/>
    <x v="0"/>
    <n v="0"/>
    <n v="0"/>
    <n v="0.88486679864157303"/>
    <n v="0"/>
    <n v="7.4999999999999734E-2"/>
  </r>
  <r>
    <x v="290"/>
    <n v="2.9603245306419401"/>
    <n v="3.835"/>
    <n v="5"/>
    <n v="0.2"/>
    <n v="3"/>
    <n v="1.76445669351767"/>
    <n v="0.60000000000000009"/>
    <x v="0"/>
    <n v="0"/>
    <n v="0"/>
    <n v="0.88486679864157303"/>
    <n v="0"/>
    <n v="7.4999999999999734E-2"/>
  </r>
  <r>
    <x v="291"/>
    <n v="2.9897357672895799"/>
    <n v="3.835"/>
    <n v="6"/>
    <n v="0.2"/>
    <n v="4"/>
    <n v="2.3624038469755861"/>
    <n v="0.8"/>
    <x v="0"/>
    <n v="0"/>
    <n v="0"/>
    <n v="0.88486679864157303"/>
    <n v="0"/>
    <n v="7.4999999999999734E-2"/>
  </r>
  <r>
    <x v="292"/>
    <n v="2.9737219853978498"/>
    <n v="3.835"/>
    <n v="7"/>
    <n v="0.2"/>
    <n v="5"/>
    <n v="2.9571482440551562"/>
    <n v="1"/>
    <x v="1"/>
    <n v="2.9571482440551562"/>
    <n v="0.87785175594484377"/>
    <n v="0.87785175594484377"/>
    <n v="-7.0150426967292567E-3"/>
    <n v="7.4999999999999734E-2"/>
  </r>
  <r>
    <x v="293"/>
    <n v="2.9363931746100702"/>
    <n v="3.9049999999999998"/>
    <n v="1"/>
    <n v="0.2"/>
    <n v="1"/>
    <n v="0.58727863492201404"/>
    <n v="0.2"/>
    <x v="0"/>
    <n v="0"/>
    <n v="0"/>
    <n v="0.87785175594484377"/>
    <n v="0"/>
    <n v="6.999999999999984E-2"/>
  </r>
  <r>
    <x v="294"/>
    <n v="2.9931159990094902"/>
    <n v="3.9049999999999998"/>
    <n v="2"/>
    <n v="0.2"/>
    <n v="2"/>
    <n v="1.1859018347239121"/>
    <n v="0.4"/>
    <x v="0"/>
    <n v="0"/>
    <n v="0"/>
    <n v="0.87785175594484377"/>
    <n v="0"/>
    <n v="6.999999999999984E-2"/>
  </r>
  <r>
    <x v="295"/>
    <n v="3.0187503286824402"/>
    <n v="3.9049999999999998"/>
    <n v="5"/>
    <n v="0.2"/>
    <n v="3"/>
    <n v="1.7896519004604001"/>
    <n v="0.60000000000000009"/>
    <x v="0"/>
    <n v="0"/>
    <n v="0"/>
    <n v="0.87785175594484377"/>
    <n v="0"/>
    <n v="6.999999999999984E-2"/>
  </r>
  <r>
    <x v="296"/>
    <n v="2.9886237940572"/>
    <n v="3.9049999999999998"/>
    <n v="6"/>
    <n v="0.2"/>
    <n v="4"/>
    <n v="2.3873766592718404"/>
    <n v="0.8"/>
    <x v="0"/>
    <n v="0"/>
    <n v="0"/>
    <n v="0.87785175594484377"/>
    <n v="0"/>
    <n v="6.999999999999984E-2"/>
  </r>
  <r>
    <x v="297"/>
    <n v="3.0172986003180302"/>
    <n v="3.9049999999999998"/>
    <n v="7"/>
    <n v="0.2"/>
    <n v="5"/>
    <n v="2.9908363793354464"/>
    <n v="1"/>
    <x v="1"/>
    <n v="2.9908363793354464"/>
    <n v="0.91416362066455337"/>
    <n v="0.91416362066455337"/>
    <n v="3.6311864719709597E-2"/>
    <n v="6.999999999999984E-2"/>
  </r>
  <r>
    <x v="298"/>
    <n v="2.97051771574304"/>
    <n v="3.8800000000000003"/>
    <n v="1"/>
    <n v="0.2"/>
    <n v="1"/>
    <n v="0.59410354314860803"/>
    <n v="0.2"/>
    <x v="0"/>
    <n v="0"/>
    <n v="0"/>
    <n v="0.91416362066455337"/>
    <n v="0"/>
    <n v="-2.4999999999999467E-2"/>
  </r>
  <r>
    <x v="299"/>
    <n v="2.93282407442446"/>
    <n v="3.8800000000000003"/>
    <n v="2"/>
    <n v="0.2"/>
    <n v="2"/>
    <n v="1.1806683580335"/>
    <n v="0.4"/>
    <x v="0"/>
    <n v="0"/>
    <n v="0"/>
    <n v="0.91416362066455337"/>
    <n v="0"/>
    <n v="-2.4999999999999467E-2"/>
  </r>
  <r>
    <x v="300"/>
    <n v="2.9838518305616502"/>
    <n v="3.8800000000000003"/>
    <n v="5"/>
    <n v="0.2"/>
    <n v="3"/>
    <n v="1.77743872414583"/>
    <n v="0.60000000000000009"/>
    <x v="0"/>
    <n v="0"/>
    <n v="0"/>
    <n v="0.91416362066455337"/>
    <n v="0"/>
    <n v="-2.4999999999999467E-2"/>
  </r>
  <r>
    <x v="301"/>
    <n v="2.9821306488123902"/>
    <n v="3.8800000000000003"/>
    <n v="6"/>
    <n v="0.2"/>
    <n v="4"/>
    <n v="2.3738648539083083"/>
    <n v="0.8"/>
    <x v="0"/>
    <n v="0"/>
    <n v="0"/>
    <n v="0.91416362066455337"/>
    <n v="0"/>
    <n v="-2.4999999999999467E-2"/>
  </r>
  <r>
    <x v="302"/>
    <n v="3.1273804098375502"/>
    <n v="3.8800000000000003"/>
    <n v="7"/>
    <n v="0.2"/>
    <n v="5"/>
    <n v="2.9993409358758183"/>
    <n v="1"/>
    <x v="1"/>
    <n v="2.9993409358758183"/>
    <n v="0.88065906412418204"/>
    <n v="0.88065906412418204"/>
    <n v="-3.3504556540371322E-2"/>
    <n v="-2.4999999999999467E-2"/>
  </r>
  <r>
    <x v="303"/>
    <n v="3.2731873242540099"/>
    <n v="4.41"/>
    <n v="1"/>
    <n v="0.2"/>
    <n v="1"/>
    <n v="0.65463746485080199"/>
    <n v="0.2"/>
    <x v="0"/>
    <n v="0"/>
    <n v="0"/>
    <n v="0.88065906412418204"/>
    <n v="0"/>
    <n v="0.5299999999999998"/>
  </r>
  <r>
    <x v="304"/>
    <n v="3.4290560333253501"/>
    <n v="4.41"/>
    <n v="2"/>
    <n v="0.2"/>
    <n v="2"/>
    <n v="1.3404486715158721"/>
    <n v="0.4"/>
    <x v="0"/>
    <n v="0"/>
    <n v="0"/>
    <n v="0.88065906412418204"/>
    <n v="0"/>
    <n v="0.5299999999999998"/>
  </r>
  <r>
    <x v="305"/>
    <n v="3.4842821250923999"/>
    <n v="4.41"/>
    <n v="5"/>
    <n v="0.2"/>
    <n v="3"/>
    <n v="2.037305096534352"/>
    <n v="0.60000000000000009"/>
    <x v="0"/>
    <n v="0"/>
    <n v="0"/>
    <n v="0.88065906412418204"/>
    <n v="0"/>
    <n v="0.5299999999999998"/>
  </r>
  <r>
    <x v="306"/>
    <n v="3.4979073592115801"/>
    <n v="4.41"/>
    <n v="6"/>
    <n v="0.2"/>
    <n v="4"/>
    <n v="2.7368865683766681"/>
    <n v="0.8"/>
    <x v="0"/>
    <n v="0"/>
    <n v="0"/>
    <n v="0.88065906412418204"/>
    <n v="0"/>
    <n v="0.5299999999999998"/>
  </r>
  <r>
    <x v="307"/>
    <n v="3.44274839511578"/>
    <n v="4.41"/>
    <n v="7"/>
    <n v="0.2"/>
    <n v="5"/>
    <n v="3.4254362473998241"/>
    <n v="1"/>
    <x v="1"/>
    <n v="3.4254362473998241"/>
    <n v="0.98456375260017603"/>
    <n v="0.98456375260017603"/>
    <n v="0.10390468847599399"/>
    <n v="0.5299999999999998"/>
  </r>
  <r>
    <x v="308"/>
    <n v="3.3206581307608101"/>
    <n v="4.2149999999999999"/>
    <n v="1"/>
    <n v="0.2"/>
    <n v="1"/>
    <n v="0.66413162615216204"/>
    <n v="0.2"/>
    <x v="0"/>
    <n v="0"/>
    <n v="0"/>
    <n v="0.98456375260017603"/>
    <n v="0"/>
    <n v="-0.19500000000000028"/>
  </r>
  <r>
    <x v="309"/>
    <n v="3.3094496735702101"/>
    <n v="4.2149999999999999"/>
    <n v="2"/>
    <n v="0.2"/>
    <n v="2"/>
    <n v="1.326021560866204"/>
    <n v="0.4"/>
    <x v="0"/>
    <n v="0"/>
    <n v="0"/>
    <n v="0.98456375260017603"/>
    <n v="0"/>
    <n v="-0.19500000000000028"/>
  </r>
  <r>
    <x v="310"/>
    <n v="3.2979461773808199"/>
    <n v="4.2149999999999999"/>
    <n v="5"/>
    <n v="0.2"/>
    <n v="3"/>
    <n v="1.9856107963423679"/>
    <n v="0.60000000000000009"/>
    <x v="0"/>
    <n v="0"/>
    <n v="0"/>
    <n v="0.98456375260017603"/>
    <n v="0"/>
    <n v="-0.19500000000000028"/>
  </r>
  <r>
    <x v="311"/>
    <n v="3.3118182496923301"/>
    <n v="4.2149999999999999"/>
    <n v="6"/>
    <n v="0.2"/>
    <n v="4"/>
    <n v="2.6479744462808341"/>
    <n v="0.8"/>
    <x v="0"/>
    <n v="0"/>
    <n v="0"/>
    <n v="0.98456375260017603"/>
    <n v="0"/>
    <n v="-0.19500000000000028"/>
  </r>
  <r>
    <x v="312"/>
    <n v="3.3689245044101299"/>
    <n v="4.2149999999999999"/>
    <n v="7"/>
    <n v="0.2"/>
    <n v="5"/>
    <n v="3.3217593471628604"/>
    <n v="1"/>
    <x v="1"/>
    <n v="3.3217593471628604"/>
    <n v="0.89324065283713949"/>
    <n v="0.89324065283713949"/>
    <n v="-9.1323099763036542E-2"/>
    <n v="-0.19500000000000028"/>
  </r>
  <r>
    <x v="313"/>
    <n v="3.6732513531495798"/>
    <n v="4.46"/>
    <n v="2"/>
    <n v="0.2"/>
    <n v="1"/>
    <n v="0.73465027062991606"/>
    <n v="0.2"/>
    <x v="0"/>
    <n v="0"/>
    <n v="0"/>
    <n v="0.89324065283713949"/>
    <n v="0"/>
    <n v="0.24500000000000011"/>
  </r>
  <r>
    <x v="314"/>
    <n v="3.5446391609564598"/>
    <n v="4.46"/>
    <n v="5"/>
    <n v="0.2"/>
    <n v="2"/>
    <n v="1.443578102821208"/>
    <n v="0.4"/>
    <x v="0"/>
    <n v="0"/>
    <n v="0"/>
    <n v="0.89324065283713949"/>
    <n v="0"/>
    <n v="0.24500000000000011"/>
  </r>
  <r>
    <x v="315"/>
    <n v="3.4880159980232399"/>
    <n v="4.46"/>
    <n v="6"/>
    <n v="0.2"/>
    <n v="3"/>
    <n v="2.1411813024258559"/>
    <n v="0.60000000000000009"/>
    <x v="0"/>
    <n v="0"/>
    <n v="0"/>
    <n v="0.89324065283713949"/>
    <n v="0"/>
    <n v="0.24500000000000011"/>
  </r>
  <r>
    <x v="316"/>
    <n v="3.58537205832996"/>
    <n v="4.46"/>
    <n v="7"/>
    <n v="0.2"/>
    <n v="4"/>
    <n v="2.8582557140918481"/>
    <n v="0.8"/>
    <x v="1"/>
    <n v="3.5728196426148098"/>
    <n v="0.88718035738519019"/>
    <n v="0.88718035738519019"/>
    <n v="-6.0602954519493046E-3"/>
    <n v="0.24500000000000011"/>
  </r>
  <r>
    <x v="317"/>
    <n v="3.4679725505405199"/>
    <n v="4.2949999999999999"/>
    <n v="1"/>
    <n v="0.2"/>
    <n v="1"/>
    <n v="0.69359451010810402"/>
    <n v="0.2"/>
    <x v="0"/>
    <n v="0"/>
    <n v="0"/>
    <n v="0.88718035738519019"/>
    <n v="0"/>
    <n v="-0.16500000000000004"/>
  </r>
  <r>
    <x v="318"/>
    <n v="3.4748173662638"/>
    <n v="4.2949999999999999"/>
    <n v="2"/>
    <n v="0.2"/>
    <n v="2"/>
    <n v="1.3885579833608641"/>
    <n v="0.4"/>
    <x v="0"/>
    <n v="0"/>
    <n v="0"/>
    <n v="0.88718035738519019"/>
    <n v="0"/>
    <n v="-0.16500000000000004"/>
  </r>
  <r>
    <x v="319"/>
    <n v="3.40503285889704"/>
    <n v="4.2949999999999999"/>
    <n v="5"/>
    <n v="0.2"/>
    <n v="3"/>
    <n v="2.0695645551402722"/>
    <n v="0.60000000000000009"/>
    <x v="0"/>
    <n v="0"/>
    <n v="0"/>
    <n v="0.88718035738519019"/>
    <n v="0"/>
    <n v="-0.16500000000000004"/>
  </r>
  <r>
    <x v="320"/>
    <n v="3.3914708524147601"/>
    <n v="4.2949999999999999"/>
    <n v="6"/>
    <n v="0.2"/>
    <n v="4"/>
    <n v="2.7478587256232241"/>
    <n v="0.8"/>
    <x v="0"/>
    <n v="0"/>
    <n v="0"/>
    <n v="0.88718035738519019"/>
    <n v="0"/>
    <n v="-0.16500000000000004"/>
  </r>
  <r>
    <x v="321"/>
    <n v="3.34386583598301"/>
    <n v="4.2949999999999999"/>
    <n v="7"/>
    <n v="0.2"/>
    <n v="5"/>
    <n v="3.4166318928198263"/>
    <n v="1"/>
    <x v="1"/>
    <n v="3.4166318928198263"/>
    <n v="0.87836810718017366"/>
    <n v="0.87836810718017366"/>
    <n v="-8.8122502050165252E-3"/>
    <n v="-0.16500000000000004"/>
  </r>
  <r>
    <x v="322"/>
    <n v="3.38884755763491"/>
    <n v="4.26"/>
    <n v="1"/>
    <n v="0.2"/>
    <n v="1"/>
    <n v="0.67776951152698206"/>
    <n v="0.2"/>
    <x v="0"/>
    <n v="0"/>
    <n v="0"/>
    <n v="0.87836810718017366"/>
    <n v="0"/>
    <n v="-3.5000000000000142E-2"/>
  </r>
  <r>
    <x v="323"/>
    <n v="3.3313912756576198"/>
    <n v="4.26"/>
    <n v="2"/>
    <n v="0.2"/>
    <n v="2"/>
    <n v="1.3440477666585062"/>
    <n v="0.4"/>
    <x v="0"/>
    <n v="0"/>
    <n v="0"/>
    <n v="0.87836810718017366"/>
    <n v="0"/>
    <n v="-3.5000000000000142E-2"/>
  </r>
  <r>
    <x v="324"/>
    <n v="3.3220828709767098"/>
    <n v="4.26"/>
    <n v="5"/>
    <n v="0.2"/>
    <n v="3"/>
    <n v="2.0084643408538483"/>
    <n v="0.60000000000000009"/>
    <x v="0"/>
    <n v="0"/>
    <n v="0"/>
    <n v="0.87836810718017366"/>
    <n v="0"/>
    <n v="-3.5000000000000142E-2"/>
  </r>
  <r>
    <x v="325"/>
    <n v="3.3639050543487601"/>
    <n v="4.26"/>
    <n v="6"/>
    <n v="0.2"/>
    <n v="4"/>
    <n v="2.6812453517236001"/>
    <n v="0.8"/>
    <x v="0"/>
    <n v="0"/>
    <n v="0"/>
    <n v="0.87836810718017366"/>
    <n v="0"/>
    <n v="-3.5000000000000142E-2"/>
  </r>
  <r>
    <x v="326"/>
    <n v="3.4296755954575699"/>
    <n v="4.26"/>
    <n v="7"/>
    <n v="0.2"/>
    <n v="5"/>
    <n v="3.3671804708151143"/>
    <n v="1"/>
    <x v="1"/>
    <n v="3.3671804708151143"/>
    <n v="0.8928195291848855"/>
    <n v="0.8928195291848855"/>
    <n v="1.4451422004711834E-2"/>
    <n v="-3.5000000000000142E-2"/>
  </r>
  <r>
    <x v="327"/>
    <n v="3.4407863915877401"/>
    <n v="4.3149999999999995"/>
    <n v="1"/>
    <n v="0.2"/>
    <n v="1"/>
    <n v="0.68815727831754803"/>
    <n v="0.2"/>
    <x v="0"/>
    <n v="0"/>
    <n v="0"/>
    <n v="0.8928195291848855"/>
    <n v="0"/>
    <n v="5.4999999999999716E-2"/>
  </r>
  <r>
    <x v="328"/>
    <n v="3.3953206082541598"/>
    <n v="4.3149999999999995"/>
    <n v="2"/>
    <n v="0.2"/>
    <n v="2"/>
    <n v="1.36722139996838"/>
    <n v="0.4"/>
    <x v="0"/>
    <n v="0"/>
    <n v="0"/>
    <n v="0.8928195291848855"/>
    <n v="0"/>
    <n v="5.4999999999999716E-2"/>
  </r>
  <r>
    <x v="329"/>
    <n v="3.4061464314062202"/>
    <n v="4.3149999999999995"/>
    <n v="5"/>
    <n v="0.2"/>
    <n v="3"/>
    <n v="2.0484506862496241"/>
    <n v="0.60000000000000009"/>
    <x v="0"/>
    <n v="0"/>
    <n v="0"/>
    <n v="0.8928195291848855"/>
    <n v="0"/>
    <n v="5.4999999999999716E-2"/>
  </r>
  <r>
    <x v="330"/>
    <n v="3.4285967572115399"/>
    <n v="4.3149999999999995"/>
    <n v="6"/>
    <n v="0.2"/>
    <n v="4"/>
    <n v="2.734170037691932"/>
    <n v="0.8"/>
    <x v="0"/>
    <n v="0"/>
    <n v="0"/>
    <n v="0.8928195291848855"/>
    <n v="0"/>
    <n v="5.4999999999999716E-2"/>
  </r>
  <r>
    <x v="331"/>
    <n v="3.4095392657433901"/>
    <n v="4.3149999999999995"/>
    <n v="7"/>
    <n v="0.2"/>
    <n v="5"/>
    <n v="3.4160778908406102"/>
    <n v="1"/>
    <x v="1"/>
    <n v="3.4160778908406102"/>
    <n v="0.8989221091593893"/>
    <n v="0.8989221091593893"/>
    <n v="6.1025799745038078E-3"/>
    <n v="5.4999999999999716E-2"/>
  </r>
  <r>
    <x v="332"/>
    <n v="3.5328707550914098"/>
    <n v="4.3250000000000002"/>
    <n v="1"/>
    <n v="0.2"/>
    <n v="1"/>
    <n v="0.70657415101828203"/>
    <n v="0.2"/>
    <x v="0"/>
    <n v="0"/>
    <n v="0"/>
    <n v="0.8989221091593893"/>
    <n v="0"/>
    <n v="1.0000000000000675E-2"/>
  </r>
  <r>
    <x v="333"/>
    <n v="3.4035662511479701"/>
    <n v="4.3250000000000002"/>
    <n v="2"/>
    <n v="0.2"/>
    <n v="2"/>
    <n v="1.387287401247876"/>
    <n v="0.4"/>
    <x v="0"/>
    <n v="0"/>
    <n v="0"/>
    <n v="0.8989221091593893"/>
    <n v="0"/>
    <n v="1.0000000000000675E-2"/>
  </r>
  <r>
    <x v="334"/>
    <n v="3.4178117990662802"/>
    <n v="4.3250000000000002"/>
    <n v="5"/>
    <n v="0.2"/>
    <n v="3"/>
    <n v="2.0708497610611323"/>
    <n v="0.60000000000000009"/>
    <x v="0"/>
    <n v="0"/>
    <n v="0"/>
    <n v="0.8989221091593893"/>
    <n v="0"/>
    <n v="1.0000000000000675E-2"/>
  </r>
  <r>
    <x v="335"/>
    <n v="3.44308693748463"/>
    <n v="4.3250000000000002"/>
    <n v="6"/>
    <n v="0.2"/>
    <n v="4"/>
    <n v="2.7594671485580582"/>
    <n v="0.8"/>
    <x v="0"/>
    <n v="0"/>
    <n v="0"/>
    <n v="0.8989221091593893"/>
    <n v="0"/>
    <n v="1.0000000000000675E-2"/>
  </r>
  <r>
    <x v="336"/>
    <n v="3.40952934683791"/>
    <n v="4.3250000000000002"/>
    <n v="7"/>
    <n v="0.2"/>
    <n v="5"/>
    <n v="3.4413730179256401"/>
    <n v="1"/>
    <x v="1"/>
    <n v="3.4413730179256401"/>
    <n v="0.88362698207436008"/>
    <n v="0.88362698207436008"/>
    <n v="-1.5295127085029225E-2"/>
    <n v="1.0000000000000675E-2"/>
  </r>
  <r>
    <x v="337"/>
    <n v="3.3814879030485301"/>
    <n v="4.3250000000000002"/>
    <n v="1"/>
    <n v="0.2"/>
    <n v="1"/>
    <n v="0.67629758060970602"/>
    <n v="0.2"/>
    <x v="0"/>
    <n v="0"/>
    <n v="0"/>
    <n v="0.88362698207436008"/>
    <n v="0"/>
    <n v="0"/>
  </r>
  <r>
    <x v="338"/>
    <n v="3.3639509131930398"/>
    <n v="4.3250000000000002"/>
    <n v="2"/>
    <n v="0.2"/>
    <n v="2"/>
    <n v="1.349087763248314"/>
    <n v="0.4"/>
    <x v="0"/>
    <n v="0"/>
    <n v="0"/>
    <n v="0.88362698207436008"/>
    <n v="0"/>
    <n v="0"/>
  </r>
  <r>
    <x v="339"/>
    <n v="3.38388390000057"/>
    <n v="4.3250000000000002"/>
    <n v="5"/>
    <n v="0.2"/>
    <n v="3"/>
    <n v="2.0258645432484279"/>
    <n v="0.60000000000000009"/>
    <x v="0"/>
    <n v="0"/>
    <n v="0"/>
    <n v="0.88362698207436008"/>
    <n v="0"/>
    <n v="0"/>
  </r>
  <r>
    <x v="340"/>
    <n v="3.48659769885389"/>
    <n v="4.3250000000000002"/>
    <n v="6"/>
    <n v="0.2"/>
    <n v="4"/>
    <n v="2.723184083019206"/>
    <n v="0.8"/>
    <x v="0"/>
    <n v="0"/>
    <n v="0"/>
    <n v="0.88362698207436008"/>
    <n v="0"/>
    <n v="0"/>
  </r>
  <r>
    <x v="341"/>
    <n v="3.48408848788866"/>
    <n v="4.3250000000000002"/>
    <n v="7"/>
    <n v="0.2"/>
    <n v="5"/>
    <n v="3.4200017805969383"/>
    <n v="1"/>
    <x v="1"/>
    <n v="3.4200017805969383"/>
    <n v="0.90499821940306191"/>
    <n v="0.90499821940306191"/>
    <n v="2.1371237328701831E-2"/>
    <n v="0"/>
  </r>
  <r>
    <x v="342"/>
    <n v="3.5424603238556802"/>
    <n v="4.53"/>
    <n v="1"/>
    <n v="0.2"/>
    <n v="1"/>
    <n v="0.70849206477113613"/>
    <n v="0.2"/>
    <x v="0"/>
    <n v="0"/>
    <n v="0"/>
    <n v="0.90499821940306191"/>
    <n v="0"/>
    <n v="0.20500000000000007"/>
  </r>
  <r>
    <x v="343"/>
    <n v="3.63422852757154"/>
    <n v="4.53"/>
    <n v="2"/>
    <n v="0.2"/>
    <n v="2"/>
    <n v="1.4353377702854442"/>
    <n v="0.4"/>
    <x v="0"/>
    <n v="0"/>
    <n v="0"/>
    <n v="0.90499821940306191"/>
    <n v="0"/>
    <n v="0.20500000000000007"/>
  </r>
  <r>
    <x v="344"/>
    <n v="3.71104784086622"/>
    <n v="4.53"/>
    <n v="5"/>
    <n v="0.2"/>
    <n v="3"/>
    <n v="2.1775473384586883"/>
    <n v="0.60000000000000009"/>
    <x v="0"/>
    <n v="0"/>
    <n v="0"/>
    <n v="0.90499821940306191"/>
    <n v="0"/>
    <n v="0.20500000000000007"/>
  </r>
  <r>
    <x v="345"/>
    <n v="3.63068303363114"/>
    <n v="4.53"/>
    <n v="6"/>
    <n v="0.2"/>
    <n v="4"/>
    <n v="2.9036839451849161"/>
    <n v="0.8"/>
    <x v="0"/>
    <n v="0"/>
    <n v="0"/>
    <n v="0.90499821940306191"/>
    <n v="0"/>
    <n v="0.20500000000000007"/>
  </r>
  <r>
    <x v="346"/>
    <n v="3.6746442970123199"/>
    <n v="4.53"/>
    <n v="7"/>
    <n v="0.2"/>
    <n v="5"/>
    <n v="3.63861280458738"/>
    <n v="1"/>
    <x v="1"/>
    <n v="3.63861280458738"/>
    <n v="0.89138719541262024"/>
    <n v="0.89138719541262024"/>
    <n v="-1.3611023990441673E-2"/>
    <n v="0.20500000000000007"/>
  </r>
  <r>
    <x v="347"/>
    <n v="3.7101937917241501"/>
    <n v="4.4349999999999996"/>
    <n v="1"/>
    <n v="0.2"/>
    <n v="1"/>
    <n v="0.74203875834483002"/>
    <n v="0.2"/>
    <x v="0"/>
    <n v="0"/>
    <n v="0"/>
    <n v="0.89138719541262024"/>
    <n v="0"/>
    <n v="-9.5000000000000639E-2"/>
  </r>
  <r>
    <x v="348"/>
    <n v="3.6014591745782401"/>
    <n v="4.4349999999999996"/>
    <n v="2"/>
    <n v="0.2"/>
    <n v="2"/>
    <n v="1.4623305932604782"/>
    <n v="0.4"/>
    <x v="0"/>
    <n v="0"/>
    <n v="0"/>
    <n v="0.89138719541262024"/>
    <n v="0"/>
    <n v="-9.5000000000000639E-2"/>
  </r>
  <r>
    <x v="349"/>
    <n v="3.5649427405180001"/>
    <n v="4.4349999999999996"/>
    <n v="5"/>
    <n v="0.2"/>
    <n v="3"/>
    <n v="2.1753191413640782"/>
    <n v="0.60000000000000009"/>
    <x v="0"/>
    <n v="0"/>
    <n v="0"/>
    <n v="0.89138719541262024"/>
    <n v="0"/>
    <n v="-9.5000000000000639E-2"/>
  </r>
  <r>
    <x v="350"/>
    <n v="3.4950120682199999"/>
    <n v="4.4349999999999996"/>
    <n v="6"/>
    <n v="0.2"/>
    <n v="4"/>
    <n v="2.8743215550080783"/>
    <n v="0.8"/>
    <x v="0"/>
    <n v="0"/>
    <n v="0"/>
    <n v="0.89138719541262024"/>
    <n v="0"/>
    <n v="-9.5000000000000639E-2"/>
  </r>
  <r>
    <x v="351"/>
    <n v="3.5645215625566"/>
    <n v="4.4349999999999996"/>
    <n v="7"/>
    <n v="0.2"/>
    <n v="5"/>
    <n v="3.5872258675193982"/>
    <n v="1"/>
    <x v="1"/>
    <n v="3.5872258675193982"/>
    <n v="0.84777413248060141"/>
    <n v="0.84777413248060141"/>
    <n v="-4.3613062932018831E-2"/>
    <n v="-9.5000000000000639E-2"/>
  </r>
  <r>
    <x v="352"/>
    <n v="3.5163998212649701"/>
    <n v="4.4950000000000001"/>
    <n v="1"/>
    <n v="0.2"/>
    <n v="1"/>
    <n v="0.70327996425299411"/>
    <n v="0.2"/>
    <x v="0"/>
    <n v="0"/>
    <n v="0"/>
    <n v="0.84777413248060141"/>
    <n v="0"/>
    <n v="6.0000000000000497E-2"/>
  </r>
  <r>
    <x v="353"/>
    <n v="3.5181082868119602"/>
    <n v="4.4950000000000001"/>
    <n v="2"/>
    <n v="0.2"/>
    <n v="2"/>
    <n v="1.4069016216153862"/>
    <n v="0.4"/>
    <x v="0"/>
    <n v="0"/>
    <n v="0"/>
    <n v="0.84777413248060141"/>
    <n v="0"/>
    <n v="6.0000000000000497E-2"/>
  </r>
  <r>
    <x v="354"/>
    <n v="3.6230343632850399"/>
    <n v="4.4950000000000001"/>
    <n v="6"/>
    <n v="0.2"/>
    <n v="3"/>
    <n v="2.1315084942723943"/>
    <n v="0.60000000000000009"/>
    <x v="0"/>
    <n v="0"/>
    <n v="0"/>
    <n v="0.84777413248060141"/>
    <n v="0"/>
    <n v="6.0000000000000497E-2"/>
  </r>
  <r>
    <x v="355"/>
    <n v="3.6795741616596702"/>
    <n v="4.4950000000000001"/>
    <n v="7"/>
    <n v="0.2"/>
    <n v="4"/>
    <n v="2.8674233266043285"/>
    <n v="0.8"/>
    <x v="1"/>
    <n v="3.5842791582554105"/>
    <n v="0.91072084174458956"/>
    <n v="0.91072084174458956"/>
    <n v="6.2946709263988154E-2"/>
    <n v="6.0000000000000497E-2"/>
  </r>
  <r>
    <x v="356"/>
    <n v="3.7866951063074699"/>
    <n v="4.5200000000000005"/>
    <n v="1"/>
    <n v="0.2"/>
    <n v="1"/>
    <n v="0.75733902126149399"/>
    <n v="0.2"/>
    <x v="0"/>
    <n v="0"/>
    <n v="0"/>
    <n v="0.91072084174458956"/>
    <n v="0"/>
    <n v="2.5000000000000355E-2"/>
  </r>
  <r>
    <x v="357"/>
    <n v="3.7212376856688798"/>
    <n v="4.5200000000000005"/>
    <n v="2"/>
    <n v="0.2"/>
    <n v="2"/>
    <n v="1.5015865583952701"/>
    <n v="0.4"/>
    <x v="0"/>
    <n v="0"/>
    <n v="0"/>
    <n v="0.91072084174458956"/>
    <n v="0"/>
    <n v="2.5000000000000355E-2"/>
  </r>
  <r>
    <x v="358"/>
    <n v="3.6494917316156599"/>
    <n v="4.5200000000000005"/>
    <n v="5"/>
    <n v="0.2"/>
    <n v="3"/>
    <n v="2.231484904718402"/>
    <n v="0.60000000000000009"/>
    <x v="0"/>
    <n v="0"/>
    <n v="0"/>
    <n v="0.91072084174458956"/>
    <n v="0"/>
    <n v="2.5000000000000355E-2"/>
  </r>
  <r>
    <x v="359"/>
    <n v="3.70255706458429"/>
    <n v="4.5200000000000005"/>
    <n v="6"/>
    <n v="0.2"/>
    <n v="4"/>
    <n v="2.9719963176352602"/>
    <n v="0.8"/>
    <x v="0"/>
    <n v="0"/>
    <n v="0"/>
    <n v="0.91072084174458956"/>
    <n v="0"/>
    <n v="2.5000000000000355E-2"/>
  </r>
  <r>
    <x v="360"/>
    <n v="3.66717920569566"/>
    <n v="4.5200000000000005"/>
    <n v="7"/>
    <n v="0.2"/>
    <n v="5"/>
    <n v="3.7054321587743924"/>
    <n v="1"/>
    <x v="1"/>
    <n v="3.7054321587743924"/>
    <n v="0.8145678412256081"/>
    <n v="0.8145678412256081"/>
    <n v="-9.6153000518981457E-2"/>
    <n v="2.5000000000000355E-2"/>
  </r>
  <r>
    <x v="361"/>
    <n v="3.6662950351399499"/>
    <n v="4.4249999999999998"/>
    <n v="1"/>
    <n v="0.2"/>
    <n v="1"/>
    <n v="0.73325900702799007"/>
    <n v="0.2"/>
    <x v="0"/>
    <n v="0"/>
    <n v="0"/>
    <n v="0.8145678412256081"/>
    <n v="0"/>
    <n v="-9.5000000000000639E-2"/>
  </r>
  <r>
    <x v="362"/>
    <n v="3.65073359446493"/>
    <n v="4.4249999999999998"/>
    <n v="2"/>
    <n v="0.2"/>
    <n v="2"/>
    <n v="1.4634057259209761"/>
    <n v="0.4"/>
    <x v="0"/>
    <n v="0"/>
    <n v="0"/>
    <n v="0.8145678412256081"/>
    <n v="0"/>
    <n v="-9.5000000000000639E-2"/>
  </r>
  <r>
    <x v="363"/>
    <n v="3.6050291044242799"/>
    <n v="4.4249999999999998"/>
    <n v="5"/>
    <n v="0.2"/>
    <n v="3"/>
    <n v="2.184411546805832"/>
    <n v="0.60000000000000009"/>
    <x v="0"/>
    <n v="0"/>
    <n v="0"/>
    <n v="0.8145678412256081"/>
    <n v="0"/>
    <n v="-9.5000000000000639E-2"/>
  </r>
  <r>
    <x v="364"/>
    <n v="3.5862960100393702"/>
    <n v="4.4249999999999998"/>
    <n v="6"/>
    <n v="0.2"/>
    <n v="4"/>
    <n v="2.9016707488137063"/>
    <n v="0.8"/>
    <x v="0"/>
    <n v="0"/>
    <n v="0"/>
    <n v="0.8145678412256081"/>
    <n v="0"/>
    <n v="-9.5000000000000639E-2"/>
  </r>
  <r>
    <x v="365"/>
    <n v="3.4041075181539902"/>
    <n v="4.4249999999999998"/>
    <n v="7"/>
    <n v="0.2"/>
    <n v="5"/>
    <n v="3.5824922524445046"/>
    <n v="1"/>
    <x v="1"/>
    <n v="3.5824922524445046"/>
    <n v="0.84250774755549518"/>
    <n v="0.84250774755549518"/>
    <n v="2.7939906329887076E-2"/>
    <n v="-9.5000000000000639E-2"/>
  </r>
  <r>
    <x v="366"/>
    <n v="3.4234814698257399"/>
    <n v="4.2450000000000001"/>
    <n v="1"/>
    <n v="0.2"/>
    <n v="1"/>
    <n v="0.68469629396514797"/>
    <n v="0.2"/>
    <x v="0"/>
    <n v="0"/>
    <n v="0"/>
    <n v="0.84250774755549518"/>
    <n v="0"/>
    <n v="-0.17999999999999972"/>
  </r>
  <r>
    <x v="367"/>
    <n v="3.43160773905766"/>
    <n v="4.2450000000000001"/>
    <n v="2"/>
    <n v="0.2"/>
    <n v="2"/>
    <n v="1.3710178417766801"/>
    <n v="0.4"/>
    <x v="0"/>
    <n v="0"/>
    <n v="0"/>
    <n v="0.84250774755549518"/>
    <n v="0"/>
    <n v="-0.17999999999999972"/>
  </r>
  <r>
    <x v="368"/>
    <n v="3.4029034600998802"/>
    <n v="4.2450000000000001"/>
    <n v="5"/>
    <n v="0.2"/>
    <n v="3"/>
    <n v="2.051598533796656"/>
    <n v="0.60000000000000009"/>
    <x v="0"/>
    <n v="0"/>
    <n v="0"/>
    <n v="0.84250774755549518"/>
    <n v="0"/>
    <n v="-0.17999999999999972"/>
  </r>
  <r>
    <x v="369"/>
    <n v="3.34069195374131"/>
    <n v="4.2450000000000001"/>
    <n v="6"/>
    <n v="0.2"/>
    <n v="4"/>
    <n v="2.7197369245449181"/>
    <n v="0.8"/>
    <x v="0"/>
    <n v="0"/>
    <n v="0"/>
    <n v="0.84250774755549518"/>
    <n v="0"/>
    <n v="-0.17999999999999972"/>
  </r>
  <r>
    <x v="370"/>
    <n v="3.2961562018547901"/>
    <n v="4.2450000000000001"/>
    <n v="7"/>
    <n v="0.2"/>
    <n v="5"/>
    <n v="3.378968164915876"/>
    <n v="1"/>
    <x v="1"/>
    <n v="3.378968164915876"/>
    <n v="0.86603183508412407"/>
    <n v="0.86603183508412407"/>
    <n v="2.352408752862889E-2"/>
    <n v="-0.17999999999999972"/>
  </r>
  <r>
    <x v="371"/>
    <n v="3.3233487722912298"/>
    <n v="4.1449999999999996"/>
    <n v="1"/>
    <n v="0.2"/>
    <n v="1"/>
    <n v="0.66466975445824605"/>
    <n v="0.2"/>
    <x v="0"/>
    <n v="0"/>
    <n v="0"/>
    <n v="0.86603183508412407"/>
    <n v="0"/>
    <n v="-0.10000000000000053"/>
  </r>
  <r>
    <x v="372"/>
    <n v="3.2948871217977098"/>
    <n v="4.1449999999999996"/>
    <n v="2"/>
    <n v="0.2"/>
    <n v="2"/>
    <n v="1.3236471788177879"/>
    <n v="0.4"/>
    <x v="0"/>
    <n v="0"/>
    <n v="0"/>
    <n v="0.86603183508412407"/>
    <n v="0"/>
    <n v="-0.10000000000000053"/>
  </r>
  <r>
    <x v="373"/>
    <n v="3.2952489842634298"/>
    <n v="4.1449999999999996"/>
    <n v="5"/>
    <n v="0.2"/>
    <n v="3"/>
    <n v="1.982696975670474"/>
    <n v="0.60000000000000009"/>
    <x v="0"/>
    <n v="0"/>
    <n v="0"/>
    <n v="0.86603183508412407"/>
    <n v="0"/>
    <n v="-0.10000000000000053"/>
  </r>
  <r>
    <x v="374"/>
    <n v="3.31544213268957"/>
    <n v="4.1449999999999996"/>
    <n v="6"/>
    <n v="0.2"/>
    <n v="4"/>
    <n v="2.645785402208388"/>
    <n v="0.8"/>
    <x v="0"/>
    <n v="0"/>
    <n v="0"/>
    <n v="0.86603183508412407"/>
    <n v="0"/>
    <n v="-0.10000000000000053"/>
  </r>
  <r>
    <x v="375"/>
    <n v="3.3078730296866699"/>
    <n v="4.1449999999999996"/>
    <n v="7"/>
    <n v="0.2"/>
    <n v="5"/>
    <n v="3.307360008145722"/>
    <n v="1"/>
    <x v="1"/>
    <n v="3.307360008145722"/>
    <n v="0.83763999185427762"/>
    <n v="0.83763999185427762"/>
    <n v="-2.8391843229846447E-2"/>
    <n v="-0.10000000000000053"/>
  </r>
  <r>
    <x v="376"/>
    <n v="3.2850779326666601"/>
    <n v="4.1550000000000002"/>
    <n v="1"/>
    <n v="0.2"/>
    <n v="1"/>
    <n v="0.65701558653333203"/>
    <n v="0.2"/>
    <x v="0"/>
    <n v="0"/>
    <n v="0"/>
    <n v="0.83763999185427762"/>
    <n v="0"/>
    <n v="1.0000000000000675E-2"/>
  </r>
  <r>
    <x v="377"/>
    <n v="3.3143904621736602"/>
    <n v="4.1550000000000002"/>
    <n v="2"/>
    <n v="0.2"/>
    <n v="2"/>
    <n v="1.319893678968064"/>
    <n v="0.4"/>
    <x v="0"/>
    <n v="0"/>
    <n v="0"/>
    <n v="0.83763999185427762"/>
    <n v="0"/>
    <n v="1.0000000000000675E-2"/>
  </r>
  <r>
    <x v="378"/>
    <n v="3.3152163432269299"/>
    <n v="4.1550000000000002"/>
    <n v="5"/>
    <n v="0.2"/>
    <n v="3"/>
    <n v="1.98293694761345"/>
    <n v="0.60000000000000009"/>
    <x v="0"/>
    <n v="0"/>
    <n v="0"/>
    <n v="0.83763999185427762"/>
    <n v="0"/>
    <n v="1.0000000000000675E-2"/>
  </r>
  <r>
    <x v="379"/>
    <n v="3.32900541071837"/>
    <n v="4.1550000000000002"/>
    <n v="6"/>
    <n v="0.2"/>
    <n v="4"/>
    <n v="2.6487380297571241"/>
    <n v="0.8"/>
    <x v="0"/>
    <n v="0"/>
    <n v="0"/>
    <n v="0.83763999185427762"/>
    <n v="0"/>
    <n v="1.0000000000000675E-2"/>
  </r>
  <r>
    <x v="380"/>
    <n v="3.3312145702916398"/>
    <n v="4.1550000000000002"/>
    <n v="7"/>
    <n v="0.2"/>
    <n v="5"/>
    <n v="3.3149809438154523"/>
    <n v="1"/>
    <x v="1"/>
    <n v="3.3149809438154523"/>
    <n v="0.84001905618454797"/>
    <n v="0.84001905618454797"/>
    <n v="2.3790643302703529E-3"/>
    <n v="1.0000000000000675E-2"/>
  </r>
  <r>
    <x v="381"/>
    <n v="3.3459270723169801"/>
    <n v="4.2050000000000001"/>
    <n v="1"/>
    <n v="0.2"/>
    <n v="1"/>
    <n v="0.66918541446339608"/>
    <n v="0.2"/>
    <x v="0"/>
    <n v="0"/>
    <n v="0"/>
    <n v="0.84001905618454797"/>
    <n v="0"/>
    <n v="4.9999999999999822E-2"/>
  </r>
  <r>
    <x v="382"/>
    <n v="3.3488826952464001"/>
    <n v="4.2050000000000001"/>
    <n v="2"/>
    <n v="0.2"/>
    <n v="2"/>
    <n v="1.3389619535126762"/>
    <n v="0.4"/>
    <x v="0"/>
    <n v="0"/>
    <n v="0"/>
    <n v="0.84001905618454797"/>
    <n v="0"/>
    <n v="4.9999999999999822E-2"/>
  </r>
  <r>
    <x v="383"/>
    <n v="3.3897329963191098"/>
    <n v="4.2050000000000001"/>
    <n v="6"/>
    <n v="0.2"/>
    <n v="3"/>
    <n v="2.0169085527764983"/>
    <n v="0.60000000000000009"/>
    <x v="0"/>
    <n v="0"/>
    <n v="0"/>
    <n v="0.84001905618454797"/>
    <n v="0"/>
    <n v="4.9999999999999822E-2"/>
  </r>
  <r>
    <x v="384"/>
    <n v="3.34533036324394"/>
    <n v="4.2050000000000001"/>
    <n v="7"/>
    <n v="0.2"/>
    <n v="4"/>
    <n v="2.6859746254252865"/>
    <n v="0.8"/>
    <x v="1"/>
    <n v="3.3574682817816082"/>
    <n v="0.84753171821839191"/>
    <n v="0.84753171821839191"/>
    <n v="7.5126620338439309E-3"/>
    <n v="4.9999999999999822E-2"/>
  </r>
  <r>
    <x v="385"/>
    <n v="3.2546149111271299"/>
    <n v="4.08"/>
    <n v="1"/>
    <n v="0.2"/>
    <n v="1"/>
    <n v="0.65092298222542599"/>
    <n v="0.2"/>
    <x v="0"/>
    <n v="0"/>
    <n v="0"/>
    <n v="0.84753171821839191"/>
    <n v="0"/>
    <n v="-0.125"/>
  </r>
  <r>
    <x v="386"/>
    <n v="3.2585675716606302"/>
    <n v="4.08"/>
    <n v="2"/>
    <n v="0.2"/>
    <n v="2"/>
    <n v="1.3026364965575521"/>
    <n v="0.4"/>
    <x v="0"/>
    <n v="0"/>
    <n v="0"/>
    <n v="0.84753171821839191"/>
    <n v="0"/>
    <n v="-0.125"/>
  </r>
  <r>
    <x v="387"/>
    <n v="3.2809533512237801"/>
    <n v="4.08"/>
    <n v="5"/>
    <n v="0.2"/>
    <n v="3"/>
    <n v="1.9588271668023083"/>
    <n v="0.60000000000000009"/>
    <x v="0"/>
    <n v="0"/>
    <n v="0"/>
    <n v="0.84753171821839191"/>
    <n v="0"/>
    <n v="-0.125"/>
  </r>
  <r>
    <x v="388"/>
    <n v="3.18365964576661"/>
    <n v="4.08"/>
    <n v="6"/>
    <n v="0.2"/>
    <n v="4"/>
    <n v="2.5955590959556303"/>
    <n v="0.8"/>
    <x v="0"/>
    <n v="0"/>
    <n v="0"/>
    <n v="0.84753171821839191"/>
    <n v="0"/>
    <n v="-0.125"/>
  </r>
  <r>
    <x v="389"/>
    <n v="3.1541714940092298"/>
    <n v="4.08"/>
    <n v="7"/>
    <n v="0.2"/>
    <n v="5"/>
    <n v="3.2263933947574763"/>
    <n v="1"/>
    <x v="1"/>
    <n v="3.2263933947574763"/>
    <n v="0.85360660524252374"/>
    <n v="0.85360660524252374"/>
    <n v="6.0748870241318365E-3"/>
    <n v="-0.125"/>
  </r>
  <r>
    <x v="390"/>
    <n v="3.1772287212477002"/>
    <n v="4.0249999999999995"/>
    <n v="1"/>
    <n v="0.2"/>
    <n v="1"/>
    <n v="0.63544574424954003"/>
    <n v="0.2"/>
    <x v="0"/>
    <n v="0"/>
    <n v="0"/>
    <n v="0.85360660524252374"/>
    <n v="0"/>
    <n v="-5.5000000000000604E-2"/>
  </r>
  <r>
    <x v="391"/>
    <n v="3.1521212861919801"/>
    <n v="4.0249999999999995"/>
    <n v="2"/>
    <n v="0.2"/>
    <n v="2"/>
    <n v="1.265870001487936"/>
    <n v="0.4"/>
    <x v="0"/>
    <n v="0"/>
    <n v="0"/>
    <n v="0.85360660524252374"/>
    <n v="0"/>
    <n v="-5.5000000000000604E-2"/>
  </r>
  <r>
    <x v="392"/>
    <n v="3.1593236616906499"/>
    <n v="4.0249999999999995"/>
    <n v="5"/>
    <n v="0.2"/>
    <n v="3"/>
    <n v="1.8977347338260659"/>
    <n v="0.60000000000000009"/>
    <x v="0"/>
    <n v="0"/>
    <n v="0"/>
    <n v="0.85360660524252374"/>
    <n v="0"/>
    <n v="-5.5000000000000604E-2"/>
  </r>
  <r>
    <x v="393"/>
    <n v="3.1543237441163701"/>
    <n v="4.0249999999999995"/>
    <n v="6"/>
    <n v="0.2"/>
    <n v="4"/>
    <n v="2.5285994826493399"/>
    <n v="0.8"/>
    <x v="0"/>
    <n v="0"/>
    <n v="0"/>
    <n v="0.85360660524252374"/>
    <n v="0"/>
    <n v="-5.5000000000000604E-2"/>
  </r>
  <r>
    <x v="394"/>
    <n v="3.1611386444386498"/>
    <n v="4.0249999999999995"/>
    <n v="7"/>
    <n v="0.2"/>
    <n v="5"/>
    <n v="3.1608272115370699"/>
    <n v="1"/>
    <x v="1"/>
    <n v="3.1608272115370699"/>
    <n v="0.86417278846292955"/>
    <n v="0.86417278846292955"/>
    <n v="1.0566183220405811E-2"/>
    <n v="-5.5000000000000604E-2"/>
  </r>
  <r>
    <x v="395"/>
    <n v="3.1803565883984102"/>
    <n v="4.1100000000000003"/>
    <n v="1"/>
    <n v="0.2"/>
    <n v="1"/>
    <n v="0.63607131767968206"/>
    <n v="0.2"/>
    <x v="0"/>
    <n v="0"/>
    <n v="0"/>
    <n v="0.86417278846292955"/>
    <n v="0"/>
    <n v="8.5000000000000853E-2"/>
  </r>
  <r>
    <x v="396"/>
    <n v="3.25928309164834"/>
    <n v="4.1100000000000003"/>
    <n v="2"/>
    <n v="0.2"/>
    <n v="2"/>
    <n v="1.2879279360093501"/>
    <n v="0.4"/>
    <x v="0"/>
    <n v="0"/>
    <n v="0"/>
    <n v="0.86417278846292955"/>
    <n v="0"/>
    <n v="8.5000000000000853E-2"/>
  </r>
  <r>
    <x v="397"/>
    <n v="3.2387584524434998"/>
    <n v="4.1100000000000003"/>
    <n v="5"/>
    <n v="0.2"/>
    <n v="3"/>
    <n v="1.93567962649805"/>
    <n v="0.60000000000000009"/>
    <x v="0"/>
    <n v="0"/>
    <n v="0"/>
    <n v="0.86417278846292955"/>
    <n v="0"/>
    <n v="8.5000000000000853E-2"/>
  </r>
  <r>
    <x v="398"/>
    <n v="3.31200880777374"/>
    <n v="4.1100000000000003"/>
    <n v="6"/>
    <n v="0.2"/>
    <n v="4"/>
    <n v="2.598081388052798"/>
    <n v="0.8"/>
    <x v="0"/>
    <n v="0"/>
    <n v="0"/>
    <n v="0.86417278846292955"/>
    <n v="0"/>
    <n v="8.5000000000000853E-2"/>
  </r>
  <r>
    <x v="399"/>
    <n v="3.2997347907142101"/>
    <n v="4.1100000000000003"/>
    <n v="7"/>
    <n v="0.2"/>
    <n v="5"/>
    <n v="3.2580283461956401"/>
    <n v="1"/>
    <x v="1"/>
    <n v="3.2580283461956401"/>
    <n v="0.85197165380436024"/>
    <n v="0.85197165380436024"/>
    <n v="-1.2201134658569313E-2"/>
    <n v="8.5000000000000853E-2"/>
  </r>
  <r>
    <x v="400"/>
    <n v="3.2915305734964"/>
    <n v="4.2749999999999995"/>
    <n v="1"/>
    <n v="0.2"/>
    <n v="1"/>
    <n v="0.65830611469928002"/>
    <n v="0.2"/>
    <x v="0"/>
    <n v="0"/>
    <n v="0"/>
    <n v="0.85197165380436024"/>
    <n v="0"/>
    <n v="0.16499999999999915"/>
  </r>
  <r>
    <x v="401"/>
    <n v="3.4185329478981301"/>
    <n v="4.2749999999999995"/>
    <n v="2"/>
    <n v="0.2"/>
    <n v="2"/>
    <n v="1.3420127042789061"/>
    <n v="0.4"/>
    <x v="0"/>
    <n v="0"/>
    <n v="0"/>
    <n v="0.85197165380436024"/>
    <n v="0"/>
    <n v="0.16499999999999915"/>
  </r>
  <r>
    <x v="402"/>
    <n v="3.42394236396553"/>
    <n v="4.2749999999999995"/>
    <n v="6"/>
    <n v="0.2"/>
    <n v="3"/>
    <n v="2.026801177072012"/>
    <n v="0.60000000000000009"/>
    <x v="0"/>
    <n v="0"/>
    <n v="0"/>
    <n v="0.85197165380436024"/>
    <n v="0"/>
    <n v="0.16499999999999915"/>
  </r>
  <r>
    <x v="403"/>
    <n v="3.3863287913399098"/>
    <n v="4.2749999999999995"/>
    <n v="7"/>
    <n v="0.2"/>
    <n v="4"/>
    <n v="2.704066935339994"/>
    <n v="0.8"/>
    <x v="1"/>
    <n v="3.3800836691749923"/>
    <n v="0.89491633082500721"/>
    <n v="0.89491633082500721"/>
    <n v="4.2944677020646971E-2"/>
    <n v="0.16499999999999915"/>
  </r>
  <r>
    <x v="404"/>
    <n v="3.33440232330382"/>
    <n v="4.1449999999999996"/>
    <n v="1"/>
    <n v="0.2"/>
    <n v="1"/>
    <n v="0.66688046466076401"/>
    <n v="0.2"/>
    <x v="0"/>
    <n v="0"/>
    <n v="0"/>
    <n v="0.89491633082500721"/>
    <n v="0"/>
    <n v="-0.12999999999999989"/>
  </r>
  <r>
    <x v="405"/>
    <n v="3.3274975263328299"/>
    <n v="4.1449999999999996"/>
    <n v="2"/>
    <n v="0.2"/>
    <n v="2"/>
    <n v="1.33237996992733"/>
    <n v="0.4"/>
    <x v="0"/>
    <n v="0"/>
    <n v="0"/>
    <n v="0.89491633082500721"/>
    <n v="0"/>
    <n v="-0.12999999999999989"/>
  </r>
  <r>
    <x v="406"/>
    <n v="3.2892170945558501"/>
    <n v="4.1449999999999996"/>
    <n v="5"/>
    <n v="0.2"/>
    <n v="3"/>
    <n v="1.9902233888384999"/>
    <n v="0.60000000000000009"/>
    <x v="0"/>
    <n v="0"/>
    <n v="0"/>
    <n v="0.89491633082500721"/>
    <n v="0"/>
    <n v="-0.12999999999999989"/>
  </r>
  <r>
    <x v="407"/>
    <n v="3.3249162804545902"/>
    <n v="4.1449999999999996"/>
    <n v="6"/>
    <n v="0.2"/>
    <n v="4"/>
    <n v="2.655206644929418"/>
    <n v="0.8"/>
    <x v="0"/>
    <n v="0"/>
    <n v="0"/>
    <n v="0.89491633082500721"/>
    <n v="0"/>
    <n v="-0.12999999999999989"/>
  </r>
  <r>
    <x v="408"/>
    <n v="3.3953888640544201"/>
    <n v="4.1449999999999996"/>
    <n v="7"/>
    <n v="0.2"/>
    <n v="5"/>
    <n v="3.3342844177403022"/>
    <n v="1"/>
    <x v="1"/>
    <n v="3.3342844177403022"/>
    <n v="0.81071558225969742"/>
    <n v="0.81071558225969742"/>
    <n v="-8.4200748565309791E-2"/>
    <n v="-0.12999999999999989"/>
  </r>
  <r>
    <x v="409"/>
    <n v="3.3902241574747198"/>
    <n v="4.2149999999999999"/>
    <n v="1"/>
    <n v="0.2"/>
    <n v="1"/>
    <n v="0.67804483149494399"/>
    <n v="0.2"/>
    <x v="0"/>
    <n v="0"/>
    <n v="0"/>
    <n v="0.81071558225969742"/>
    <n v="0"/>
    <n v="7.0000000000000284E-2"/>
  </r>
  <r>
    <x v="410"/>
    <n v="3.3765717476056198"/>
    <n v="4.2149999999999999"/>
    <n v="2"/>
    <n v="0.2"/>
    <n v="2"/>
    <n v="1.3533591810160681"/>
    <n v="0.4"/>
    <x v="0"/>
    <n v="0"/>
    <n v="0"/>
    <n v="0.81071558225969742"/>
    <n v="0"/>
    <n v="7.0000000000000284E-2"/>
  </r>
  <r>
    <x v="411"/>
    <n v="3.3786024673164099"/>
    <n v="4.2149999999999999"/>
    <n v="5"/>
    <n v="0.2"/>
    <n v="3"/>
    <n v="2.02907967447935"/>
    <n v="0.60000000000000009"/>
    <x v="0"/>
    <n v="0"/>
    <n v="0"/>
    <n v="0.81071558225969742"/>
    <n v="0"/>
    <n v="7.0000000000000284E-2"/>
  </r>
  <r>
    <x v="412"/>
    <n v="3.36567559686896"/>
    <n v="4.2149999999999999"/>
    <n v="6"/>
    <n v="0.2"/>
    <n v="4"/>
    <n v="2.702214793853142"/>
    <n v="0.8"/>
    <x v="0"/>
    <n v="0"/>
    <n v="0"/>
    <n v="0.81071558225969742"/>
    <n v="0"/>
    <n v="7.0000000000000284E-2"/>
  </r>
  <r>
    <x v="413"/>
    <n v="3.41186502861204"/>
    <n v="4.2149999999999999"/>
    <n v="7"/>
    <n v="0.2"/>
    <n v="5"/>
    <n v="3.38458779957555"/>
    <n v="1"/>
    <x v="1"/>
    <n v="3.38458779957555"/>
    <n v="0.83041220042444985"/>
    <n v="0.83041220042444985"/>
    <n v="1.9696618164752433E-2"/>
    <n v="7.0000000000000284E-2"/>
  </r>
  <r>
    <x v="414"/>
    <n v="3.4152065149267101"/>
    <n v="4.335"/>
    <n v="2"/>
    <n v="0.2"/>
    <n v="1"/>
    <n v="0.68304130298534205"/>
    <n v="0.2"/>
    <x v="0"/>
    <n v="0"/>
    <n v="0"/>
    <n v="0.83041220042444985"/>
    <n v="0"/>
    <n v="0.12000000000000011"/>
  </r>
  <r>
    <x v="415"/>
    <n v="3.48278493540972"/>
    <n v="4.335"/>
    <n v="5"/>
    <n v="0.2"/>
    <n v="2"/>
    <n v="1.3795982900672861"/>
    <n v="0.4"/>
    <x v="0"/>
    <n v="0"/>
    <n v="0"/>
    <n v="0.83041220042444985"/>
    <n v="0"/>
    <n v="0.12000000000000011"/>
  </r>
  <r>
    <x v="416"/>
    <n v="3.4820134464127701"/>
    <n v="4.335"/>
    <n v="6"/>
    <n v="0.2"/>
    <n v="3"/>
    <n v="2.07600097934984"/>
    <n v="0.60000000000000009"/>
    <x v="0"/>
    <n v="0"/>
    <n v="0"/>
    <n v="0.83041220042444985"/>
    <n v="0"/>
    <n v="0.12000000000000011"/>
  </r>
  <r>
    <x v="417"/>
    <n v="3.53796119815684"/>
    <n v="4.335"/>
    <n v="7"/>
    <n v="0.2"/>
    <n v="4"/>
    <n v="2.783593218981208"/>
    <n v="0.8"/>
    <x v="1"/>
    <n v="3.47949152372651"/>
    <n v="0.85550847627348992"/>
    <n v="0.85550847627348992"/>
    <n v="2.5096275849040062E-2"/>
    <n v="0.12000000000000011"/>
  </r>
  <r>
    <x v="418"/>
    <n v="3.5521293611692002"/>
    <n v="4.3449999999999998"/>
    <n v="1"/>
    <n v="0.2"/>
    <n v="1"/>
    <n v="0.71042587223384013"/>
    <n v="0.2"/>
    <x v="0"/>
    <n v="0"/>
    <n v="0"/>
    <n v="0.85550847627348992"/>
    <n v="0"/>
    <n v="9.9999999999997868E-3"/>
  </r>
  <r>
    <x v="419"/>
    <n v="3.5357721713068302"/>
    <n v="4.3449999999999998"/>
    <n v="2"/>
    <n v="0.2"/>
    <n v="2"/>
    <n v="1.4175803064952062"/>
    <n v="0.4"/>
    <x v="0"/>
    <n v="0"/>
    <n v="0"/>
    <n v="0.85550847627348992"/>
    <n v="0"/>
    <n v="9.9999999999997868E-3"/>
  </r>
  <r>
    <x v="420"/>
    <n v="3.5044888951704301"/>
    <n v="4.3449999999999998"/>
    <n v="5"/>
    <n v="0.2"/>
    <n v="3"/>
    <n v="2.1184780855292922"/>
    <n v="0.60000000000000009"/>
    <x v="0"/>
    <n v="0"/>
    <n v="0"/>
    <n v="0.85550847627348992"/>
    <n v="0"/>
    <n v="9.9999999999997868E-3"/>
  </r>
  <r>
    <x v="421"/>
    <n v="3.46476327795386"/>
    <n v="4.3449999999999998"/>
    <n v="6"/>
    <n v="0.2"/>
    <n v="4"/>
    <n v="2.8114307411200641"/>
    <n v="0.8"/>
    <x v="0"/>
    <n v="0"/>
    <n v="0"/>
    <n v="0.85550847627348992"/>
    <n v="0"/>
    <n v="9.9999999999997868E-3"/>
  </r>
  <r>
    <x v="422"/>
    <n v="3.5156873221910101"/>
    <n v="4.3449999999999998"/>
    <n v="7"/>
    <n v="0.2"/>
    <n v="5"/>
    <n v="3.5145682055582661"/>
    <n v="1"/>
    <x v="1"/>
    <n v="3.5145682055582661"/>
    <n v="0.83043179444173365"/>
    <n v="0.83043179444173365"/>
    <n v="-2.5076681831756265E-2"/>
    <n v="9.9999999999997868E-3"/>
  </r>
  <r>
    <x v="423"/>
    <n v="3.5427546786903199"/>
    <n v="4.3949999999999996"/>
    <n v="1"/>
    <n v="0.2"/>
    <n v="1"/>
    <n v="0.70855093573806405"/>
    <n v="0.2"/>
    <x v="0"/>
    <n v="0"/>
    <n v="0"/>
    <n v="0.83043179444173365"/>
    <n v="0"/>
    <n v="4.9999999999999822E-2"/>
  </r>
  <r>
    <x v="424"/>
    <n v="3.5290996894050202"/>
    <n v="4.3949999999999996"/>
    <n v="2"/>
    <n v="0.2"/>
    <n v="2"/>
    <n v="1.4143708736190681"/>
    <n v="0.4"/>
    <x v="0"/>
    <n v="0"/>
    <n v="0"/>
    <n v="0.83043179444173365"/>
    <n v="0"/>
    <n v="4.9999999999999822E-2"/>
  </r>
  <r>
    <x v="425"/>
    <n v="3.5307245323139602"/>
    <n v="4.3949999999999996"/>
    <n v="5"/>
    <n v="0.2"/>
    <n v="3"/>
    <n v="2.1205157800818601"/>
    <n v="0.60000000000000009"/>
    <x v="0"/>
    <n v="0"/>
    <n v="0"/>
    <n v="0.83043179444173365"/>
    <n v="0"/>
    <n v="4.9999999999999822E-2"/>
  </r>
  <r>
    <x v="426"/>
    <n v="3.4998898139893"/>
    <n v="4.3949999999999996"/>
    <n v="6"/>
    <n v="0.2"/>
    <n v="4"/>
    <n v="2.8204937428797203"/>
    <n v="0.8"/>
    <x v="0"/>
    <n v="0"/>
    <n v="0"/>
    <n v="0.83043179444173365"/>
    <n v="0"/>
    <n v="4.9999999999999822E-2"/>
  </r>
  <r>
    <x v="427"/>
    <n v="3.5422755368494498"/>
    <n v="4.3949999999999996"/>
    <n v="7"/>
    <n v="0.2"/>
    <n v="5"/>
    <n v="3.5289488502496105"/>
    <n v="1"/>
    <x v="1"/>
    <n v="3.5289488502496105"/>
    <n v="0.8660511497503891"/>
    <n v="0.8660511497503891"/>
    <n v="3.5619355308655454E-2"/>
    <n v="4.9999999999999822E-2"/>
  </r>
  <r>
    <x v="428"/>
    <n v="3.5894558660793101"/>
    <n v="4.4050000000000002"/>
    <n v="1"/>
    <n v="0.2"/>
    <n v="1"/>
    <n v="0.71789117321586204"/>
    <n v="0.2"/>
    <x v="0"/>
    <n v="0"/>
    <n v="0"/>
    <n v="0.8660511497503891"/>
    <n v="0"/>
    <n v="1.0000000000000675E-2"/>
  </r>
  <r>
    <x v="429"/>
    <n v="3.5207189291483099"/>
    <n v="4.4050000000000002"/>
    <n v="2"/>
    <n v="0.2"/>
    <n v="2"/>
    <n v="1.4220349590455239"/>
    <n v="0.4"/>
    <x v="0"/>
    <n v="0"/>
    <n v="0"/>
    <n v="0.8660511497503891"/>
    <n v="0"/>
    <n v="1.0000000000000675E-2"/>
  </r>
  <r>
    <x v="430"/>
    <n v="3.5422520494722902"/>
    <n v="4.4050000000000002"/>
    <n v="5"/>
    <n v="0.2"/>
    <n v="3"/>
    <n v="2.1304853689399819"/>
    <n v="0.60000000000000009"/>
    <x v="0"/>
    <n v="0"/>
    <n v="0"/>
    <n v="0.8660511497503891"/>
    <n v="0"/>
    <n v="1.0000000000000675E-2"/>
  </r>
  <r>
    <x v="431"/>
    <n v="3.6100621369380201"/>
    <n v="4.4050000000000002"/>
    <n v="6"/>
    <n v="0.2"/>
    <n v="4"/>
    <n v="2.8524977963275857"/>
    <n v="0.8"/>
    <x v="1"/>
    <n v="3.5656222454094819"/>
    <n v="0.83937775459051833"/>
    <n v="0.83937775459051833"/>
    <n v="-2.6673395159870772E-2"/>
    <n v="1.0000000000000675E-2"/>
  </r>
  <r>
    <x v="432"/>
    <n v="3.6110841836329799"/>
    <n v="4.4800000000000004"/>
    <n v="1"/>
    <n v="0.2"/>
    <n v="1"/>
    <n v="0.72221683672659598"/>
    <n v="0.2"/>
    <x v="0"/>
    <n v="0"/>
    <n v="0"/>
    <n v="0.83937775459051833"/>
    <n v="0"/>
    <n v="7.5000000000000178E-2"/>
  </r>
  <r>
    <x v="433"/>
    <n v="3.60938046615082"/>
    <n v="4.4800000000000004"/>
    <n v="2"/>
    <n v="0.2"/>
    <n v="2"/>
    <n v="1.44409292995676"/>
    <n v="0.4"/>
    <x v="0"/>
    <n v="0"/>
    <n v="0"/>
    <n v="0.83937775459051833"/>
    <n v="0"/>
    <n v="7.5000000000000178E-2"/>
  </r>
  <r>
    <x v="434"/>
    <n v="3.5746743392906399"/>
    <n v="4.4800000000000004"/>
    <n v="5"/>
    <n v="0.2"/>
    <n v="3"/>
    <n v="2.159027797814888"/>
    <n v="0.60000000000000009"/>
    <x v="0"/>
    <n v="0"/>
    <n v="0"/>
    <n v="0.83937775459051833"/>
    <n v="0"/>
    <n v="7.5000000000000178E-2"/>
  </r>
  <r>
    <x v="435"/>
    <n v="3.5930254960618"/>
    <n v="4.4800000000000004"/>
    <n v="6"/>
    <n v="0.2"/>
    <n v="4"/>
    <n v="2.8776328970272482"/>
    <n v="0.8"/>
    <x v="1"/>
    <n v="3.5970411212840601"/>
    <n v="0.88295887871594037"/>
    <n v="0.88295887871594037"/>
    <n v="4.3581124125422033E-2"/>
    <n v="7.5000000000000178E-2"/>
  </r>
  <r>
    <x v="436"/>
    <n v="3.5996964231875999"/>
    <n v="4.4349999999999996"/>
    <n v="1"/>
    <n v="0.2"/>
    <n v="1"/>
    <n v="0.71993928463751999"/>
    <n v="0.2"/>
    <x v="0"/>
    <n v="0"/>
    <n v="0"/>
    <n v="0.88295887871594037"/>
    <n v="0"/>
    <n v="-4.5000000000000817E-2"/>
  </r>
  <r>
    <x v="437"/>
    <n v="3.6032550852643102"/>
    <n v="4.4349999999999996"/>
    <n v="2"/>
    <n v="0.2"/>
    <n v="2"/>
    <n v="1.440590301690382"/>
    <n v="0.4"/>
    <x v="0"/>
    <n v="0"/>
    <n v="0"/>
    <n v="0.88295887871594037"/>
    <n v="0"/>
    <n v="-4.5000000000000817E-2"/>
  </r>
  <r>
    <x v="438"/>
    <n v="3.5763485946615199"/>
    <n v="4.4349999999999996"/>
    <n v="5"/>
    <n v="0.2"/>
    <n v="3"/>
    <n v="2.1558600206226863"/>
    <n v="0.60000000000000009"/>
    <x v="0"/>
    <n v="0"/>
    <n v="0"/>
    <n v="0.88295887871594037"/>
    <n v="0"/>
    <n v="-4.5000000000000817E-2"/>
  </r>
  <r>
    <x v="439"/>
    <n v="3.5428500405358099"/>
    <n v="4.4349999999999996"/>
    <n v="6"/>
    <n v="0.2"/>
    <n v="4"/>
    <n v="2.8644300287298483"/>
    <n v="0.8"/>
    <x v="0"/>
    <n v="0"/>
    <n v="0"/>
    <n v="0.88295887871594037"/>
    <n v="0"/>
    <n v="-4.5000000000000817E-2"/>
  </r>
  <r>
    <x v="440"/>
    <n v="3.5963712535882499"/>
    <n v="4.4349999999999996"/>
    <n v="7"/>
    <n v="0.2"/>
    <n v="5"/>
    <n v="3.5837042794474985"/>
    <n v="1"/>
    <x v="1"/>
    <n v="3.5837042794474985"/>
    <n v="0.85129572055250113"/>
    <n v="0.85129572055250113"/>
    <n v="-3.1663158163439231E-2"/>
    <n v="-4.5000000000000817E-2"/>
  </r>
  <r>
    <x v="441"/>
    <n v="3.5749416796778899"/>
    <n v="4.335"/>
    <n v="1"/>
    <n v="0.2"/>
    <n v="1"/>
    <n v="0.71498833593557798"/>
    <n v="0.2"/>
    <x v="0"/>
    <n v="0"/>
    <n v="0"/>
    <n v="0.85129572055250113"/>
    <n v="0"/>
    <n v="-9.9999999999999645E-2"/>
  </r>
  <r>
    <x v="442"/>
    <n v="3.4718387266108799"/>
    <n v="4.335"/>
    <n v="2"/>
    <n v="0.2"/>
    <n v="2"/>
    <n v="1.4093560812577541"/>
    <n v="0.4"/>
    <x v="0"/>
    <n v="0"/>
    <n v="0"/>
    <n v="0.85129572055250113"/>
    <n v="0"/>
    <n v="-9.9999999999999645E-2"/>
  </r>
  <r>
    <x v="443"/>
    <n v="3.4264575978101499"/>
    <n v="4.335"/>
    <n v="5"/>
    <n v="0.2"/>
    <n v="3"/>
    <n v="2.0946476008197843"/>
    <n v="0.60000000000000009"/>
    <x v="0"/>
    <n v="0"/>
    <n v="0"/>
    <n v="0.85129572055250113"/>
    <n v="0"/>
    <n v="-9.9999999999999645E-2"/>
  </r>
  <r>
    <x v="444"/>
    <n v="3.4834111891672799"/>
    <n v="4.335"/>
    <n v="6"/>
    <n v="0.2"/>
    <n v="4"/>
    <n v="2.7913298386532404"/>
    <n v="0.8"/>
    <x v="0"/>
    <n v="0"/>
    <n v="0"/>
    <n v="0.85129572055250113"/>
    <n v="0"/>
    <n v="-9.9999999999999645E-2"/>
  </r>
  <r>
    <x v="445"/>
    <n v="3.4947799465752998"/>
    <n v="4.335"/>
    <n v="7"/>
    <n v="0.2"/>
    <n v="5"/>
    <n v="3.4902858279683002"/>
    <n v="1"/>
    <x v="1"/>
    <n v="3.4902858279683002"/>
    <n v="0.84471417203169974"/>
    <n v="0.84471417203169974"/>
    <n v="-6.5815485208013946E-3"/>
    <n v="-9.9999999999999645E-2"/>
  </r>
  <r>
    <x v="446"/>
    <n v="3.4570560243786002"/>
    <n v="4.3149999999999995"/>
    <n v="1"/>
    <n v="0.2"/>
    <n v="1"/>
    <n v="0.69141120487572005"/>
    <n v="0.2"/>
    <x v="0"/>
    <n v="0"/>
    <n v="0"/>
    <n v="0.84471417203169974"/>
    <n v="0"/>
    <n v="-2.0000000000000462E-2"/>
  </r>
  <r>
    <x v="447"/>
    <n v="3.4370844050238198"/>
    <n v="4.3149999999999995"/>
    <n v="2"/>
    <n v="0.2"/>
    <n v="2"/>
    <n v="1.378828085880484"/>
    <n v="0.4"/>
    <x v="0"/>
    <n v="0"/>
    <n v="0"/>
    <n v="0.84471417203169974"/>
    <n v="0"/>
    <n v="-2.0000000000000462E-2"/>
  </r>
  <r>
    <x v="448"/>
    <n v="3.4306167460721202"/>
    <n v="4.3149999999999995"/>
    <n v="6"/>
    <n v="0.2"/>
    <n v="3"/>
    <n v="2.0649514350949083"/>
    <n v="0.60000000000000009"/>
    <x v="0"/>
    <n v="0"/>
    <n v="0"/>
    <n v="0.84471417203169974"/>
    <n v="0"/>
    <n v="-2.0000000000000462E-2"/>
  </r>
  <r>
    <x v="449"/>
    <n v="3.4813003413665098"/>
    <n v="4.3149999999999995"/>
    <n v="7"/>
    <n v="0.2"/>
    <n v="4"/>
    <n v="2.7612115033682105"/>
    <n v="0.8"/>
    <x v="1"/>
    <n v="3.4515143792102632"/>
    <n v="0.86348562078973634"/>
    <n v="0.86348562078973634"/>
    <n v="1.8771448758036602E-2"/>
    <n v="-2.0000000000000462E-2"/>
  </r>
  <r>
    <x v="450"/>
    <n v="3.42598487814407"/>
    <n v="4.2450000000000001"/>
    <n v="1"/>
    <n v="0.2"/>
    <n v="1"/>
    <n v="0.6851969756288141"/>
    <n v="0.2"/>
    <x v="0"/>
    <n v="0"/>
    <n v="0"/>
    <n v="0.86348562078973634"/>
    <n v="0"/>
    <n v="-6.9999999999999396E-2"/>
  </r>
  <r>
    <x v="451"/>
    <n v="3.3821795348389898"/>
    <n v="4.2450000000000001"/>
    <n v="2"/>
    <n v="0.2"/>
    <n v="2"/>
    <n v="1.361632882596612"/>
    <n v="0.4"/>
    <x v="0"/>
    <n v="0"/>
    <n v="0"/>
    <n v="0.86348562078973634"/>
    <n v="0"/>
    <n v="-6.9999999999999396E-2"/>
  </r>
  <r>
    <x v="452"/>
    <n v="3.4248929817112499"/>
    <n v="4.2450000000000001"/>
    <n v="5"/>
    <n v="0.2"/>
    <n v="3"/>
    <n v="2.0466114789388619"/>
    <n v="0.60000000000000009"/>
    <x v="0"/>
    <n v="0"/>
    <n v="0"/>
    <n v="0.86348562078973634"/>
    <n v="0"/>
    <n v="-6.9999999999999396E-2"/>
  </r>
  <r>
    <x v="453"/>
    <n v="3.4146699129436402"/>
    <n v="4.2450000000000001"/>
    <n v="6"/>
    <n v="0.2"/>
    <n v="4"/>
    <n v="2.7295454615275898"/>
    <n v="0.8"/>
    <x v="0"/>
    <n v="0"/>
    <n v="0"/>
    <n v="0.86348562078973634"/>
    <n v="0"/>
    <n v="-6.9999999999999396E-2"/>
  </r>
  <r>
    <x v="454"/>
    <n v="3.3611475085431901"/>
    <n v="4.2450000000000001"/>
    <n v="7"/>
    <n v="0.2"/>
    <n v="5"/>
    <n v="3.4017749632362277"/>
    <n v="1"/>
    <x v="1"/>
    <n v="3.4017749632362277"/>
    <n v="0.84322503676377236"/>
    <n v="0.84322503676377236"/>
    <n v="-2.0260584025963979E-2"/>
    <n v="-6.9999999999999396E-2"/>
  </r>
  <r>
    <x v="455"/>
    <n v="3.3710250871978902"/>
    <n v="4.1550000000000002"/>
    <n v="1"/>
    <n v="0.2"/>
    <n v="1"/>
    <n v="0.67420501743957806"/>
    <n v="0.2"/>
    <x v="0"/>
    <n v="0"/>
    <n v="0"/>
    <n v="0.84322503676377236"/>
    <n v="0"/>
    <n v="-8.9999999999999858E-2"/>
  </r>
  <r>
    <x v="456"/>
    <n v="3.3406752567006799"/>
    <n v="4.1550000000000002"/>
    <n v="2"/>
    <n v="0.2"/>
    <n v="2"/>
    <n v="1.342340068779714"/>
    <n v="0.4"/>
    <x v="0"/>
    <n v="0"/>
    <n v="0"/>
    <n v="0.84322503676377236"/>
    <n v="0"/>
    <n v="-8.9999999999999858E-2"/>
  </r>
  <r>
    <x v="457"/>
    <n v="3.2710992042590501"/>
    <n v="4.1550000000000002"/>
    <n v="5"/>
    <n v="0.2"/>
    <n v="3"/>
    <n v="1.9965599096315241"/>
    <n v="0.60000000000000009"/>
    <x v="0"/>
    <n v="0"/>
    <n v="0"/>
    <n v="0.84322503676377236"/>
    <n v="0"/>
    <n v="-8.9999999999999858E-2"/>
  </r>
  <r>
    <x v="458"/>
    <n v="3.3111616483337998"/>
    <n v="4.1550000000000002"/>
    <n v="6"/>
    <n v="0.2"/>
    <n v="4"/>
    <n v="2.6587922392982843"/>
    <n v="0.8"/>
    <x v="0"/>
    <n v="0"/>
    <n v="0"/>
    <n v="0.84322503676377236"/>
    <n v="0"/>
    <n v="-8.9999999999999858E-2"/>
  </r>
  <r>
    <x v="459"/>
    <n v="3.3584090078904199"/>
    <n v="4.1550000000000002"/>
    <n v="7"/>
    <n v="0.2"/>
    <n v="5"/>
    <n v="3.3304740408763682"/>
    <n v="1"/>
    <x v="1"/>
    <n v="3.3304740408763682"/>
    <n v="0.82452595912363202"/>
    <n v="0.82452595912363202"/>
    <n v="-1.8699077640140338E-2"/>
    <n v="-8.9999999999999858E-2"/>
  </r>
  <r>
    <x v="460"/>
    <n v="3.3799296471468399"/>
    <n v="4.2050000000000001"/>
    <n v="1"/>
    <n v="0.2"/>
    <n v="1"/>
    <n v="0.67598592942936797"/>
    <n v="0.2"/>
    <x v="0"/>
    <n v="0"/>
    <n v="0"/>
    <n v="0.82452595912363202"/>
    <n v="0"/>
    <n v="4.9999999999999822E-2"/>
  </r>
  <r>
    <x v="461"/>
    <n v="3.34300170180666"/>
    <n v="4.2050000000000001"/>
    <n v="2"/>
    <n v="0.2"/>
    <n v="2"/>
    <n v="1.3445862697907001"/>
    <n v="0.4"/>
    <x v="0"/>
    <n v="0"/>
    <n v="0"/>
    <n v="0.82452595912363202"/>
    <n v="0"/>
    <n v="4.9999999999999822E-2"/>
  </r>
  <r>
    <x v="462"/>
    <n v="3.34761054294983"/>
    <n v="4.2050000000000001"/>
    <n v="5"/>
    <n v="0.2"/>
    <n v="3"/>
    <n v="2.0141083783806661"/>
    <n v="0.60000000000000009"/>
    <x v="0"/>
    <n v="0"/>
    <n v="0"/>
    <n v="0.82452595912363202"/>
    <n v="0"/>
    <n v="4.9999999999999822E-2"/>
  </r>
  <r>
    <x v="463"/>
    <n v="3.3874003692749199"/>
    <n v="4.2050000000000001"/>
    <n v="6"/>
    <n v="0.2"/>
    <n v="4"/>
    <n v="2.6915884522356501"/>
    <n v="0.8"/>
    <x v="0"/>
    <n v="0"/>
    <n v="0"/>
    <n v="0.82452595912363202"/>
    <n v="0"/>
    <n v="4.9999999999999822E-2"/>
  </r>
  <r>
    <x v="464"/>
    <n v="3.4367814236357002"/>
    <n v="4.2050000000000001"/>
    <n v="7"/>
    <n v="0.2"/>
    <n v="5"/>
    <n v="3.3789447369627901"/>
    <n v="1"/>
    <x v="1"/>
    <n v="3.3789447369627901"/>
    <n v="0.82605526303721"/>
    <n v="0.82605526303721"/>
    <n v="1.5293039135779729E-3"/>
    <n v="4.9999999999999822E-2"/>
  </r>
  <r>
    <x v="465"/>
    <n v="3.3963820586764299"/>
    <n v="4.2549999999999999"/>
    <n v="1"/>
    <n v="0.2"/>
    <n v="1"/>
    <n v="0.67927641173528608"/>
    <n v="0.2"/>
    <x v="0"/>
    <n v="0"/>
    <n v="0"/>
    <n v="0.82605526303721"/>
    <n v="0"/>
    <n v="4.9999999999999822E-2"/>
  </r>
  <r>
    <x v="466"/>
    <n v="3.42404687499962"/>
    <n v="4.2549999999999999"/>
    <n v="2"/>
    <n v="0.2"/>
    <n v="2"/>
    <n v="1.3640857867352101"/>
    <n v="0.4"/>
    <x v="0"/>
    <n v="0"/>
    <n v="0"/>
    <n v="0.82605526303721"/>
    <n v="0"/>
    <n v="4.9999999999999822E-2"/>
  </r>
  <r>
    <x v="467"/>
    <n v="3.4022510541238402"/>
    <n v="4.2549999999999999"/>
    <n v="6"/>
    <n v="0.2"/>
    <n v="3"/>
    <n v="2.0445359975599784"/>
    <n v="0.60000000000000009"/>
    <x v="0"/>
    <n v="0"/>
    <n v="0"/>
    <n v="0.82605526303721"/>
    <n v="0"/>
    <n v="4.9999999999999822E-2"/>
  </r>
  <r>
    <x v="468"/>
    <n v="3.4208462339079002"/>
    <n v="4.2549999999999999"/>
    <n v="7"/>
    <n v="0.2"/>
    <n v="4"/>
    <n v="2.7287052443415583"/>
    <n v="0.8"/>
    <x v="1"/>
    <n v="3.4108815554269478"/>
    <n v="0.84411844457305207"/>
    <n v="0.84411844457305207"/>
    <n v="1.8063181535842077E-2"/>
    <n v="4.9999999999999822E-2"/>
  </r>
  <r>
    <x v="469"/>
    <n v="3.4409874974018302"/>
    <n v="4.2949999999999999"/>
    <n v="1"/>
    <n v="0.2"/>
    <n v="1"/>
    <n v="0.68819749948036613"/>
    <n v="0.2"/>
    <x v="0"/>
    <n v="0"/>
    <n v="0"/>
    <n v="0.84411844457305207"/>
    <n v="0"/>
    <n v="4.0000000000000036E-2"/>
  </r>
  <r>
    <x v="470"/>
    <n v="3.4238152467223899"/>
    <n v="4.2949999999999999"/>
    <n v="2"/>
    <n v="0.2"/>
    <n v="2"/>
    <n v="1.3729605488248442"/>
    <n v="0.4"/>
    <x v="0"/>
    <n v="0"/>
    <n v="0"/>
    <n v="0.84411844457305207"/>
    <n v="0"/>
    <n v="4.0000000000000036E-2"/>
  </r>
  <r>
    <x v="471"/>
    <n v="3.4298763218774999"/>
    <n v="4.2949999999999999"/>
    <n v="5"/>
    <n v="0.2"/>
    <n v="3"/>
    <n v="2.0589358132003444"/>
    <n v="0.60000000000000009"/>
    <x v="0"/>
    <n v="0"/>
    <n v="0"/>
    <n v="0.84411844457305207"/>
    <n v="0"/>
    <n v="4.0000000000000036E-2"/>
  </r>
  <r>
    <x v="472"/>
    <n v="3.3762483730993802"/>
    <n v="4.2949999999999999"/>
    <n v="6"/>
    <n v="0.2"/>
    <n v="4"/>
    <n v="2.7341854878202203"/>
    <n v="0.8"/>
    <x v="0"/>
    <n v="0"/>
    <n v="0"/>
    <n v="0.84411844457305207"/>
    <n v="0"/>
    <n v="4.0000000000000036E-2"/>
  </r>
  <r>
    <x v="473"/>
    <n v="3.36185561650391"/>
    <n v="4.2949999999999999"/>
    <n v="7"/>
    <n v="0.2"/>
    <n v="5"/>
    <n v="3.4065566111210024"/>
    <n v="1"/>
    <x v="1"/>
    <n v="3.4065566111210024"/>
    <n v="0.88844338887899754"/>
    <n v="0.88844338887899754"/>
    <n v="4.4324944305945468E-2"/>
    <n v="4.0000000000000036E-2"/>
  </r>
  <r>
    <x v="474"/>
    <n v="3.3370205659412702"/>
    <n v="4.2050000000000001"/>
    <n v="1"/>
    <n v="0.2"/>
    <n v="1"/>
    <n v="0.6674041131882541"/>
    <n v="0.2"/>
    <x v="0"/>
    <n v="0"/>
    <n v="0"/>
    <n v="0.88844338887899754"/>
    <n v="0"/>
    <n v="-8.9999999999999858E-2"/>
  </r>
  <r>
    <x v="475"/>
    <n v="3.3514861848067001"/>
    <n v="4.2050000000000001"/>
    <n v="2"/>
    <n v="0.2"/>
    <n v="2"/>
    <n v="1.3377013501495942"/>
    <n v="0.4"/>
    <x v="0"/>
    <n v="0"/>
    <n v="0"/>
    <n v="0.88844338887899754"/>
    <n v="0"/>
    <n v="-8.9999999999999858E-2"/>
  </r>
  <r>
    <x v="476"/>
    <n v="3.32529881785555"/>
    <n v="4.2050000000000001"/>
    <n v="5"/>
    <n v="0.2"/>
    <n v="3"/>
    <n v="2.0027611137207044"/>
    <n v="0.60000000000000009"/>
    <x v="0"/>
    <n v="0"/>
    <n v="0"/>
    <n v="0.88844338887899754"/>
    <n v="0"/>
    <n v="-8.9999999999999858E-2"/>
  </r>
  <r>
    <x v="477"/>
    <n v="3.3983132593490502"/>
    <n v="4.2050000000000001"/>
    <n v="6"/>
    <n v="0.2"/>
    <n v="4"/>
    <n v="2.6824237655905145"/>
    <n v="0.8"/>
    <x v="0"/>
    <n v="0"/>
    <n v="0"/>
    <n v="0.88844338887899754"/>
    <n v="0"/>
    <n v="-8.9999999999999858E-2"/>
  </r>
  <r>
    <x v="478"/>
    <n v="3.40151851180392"/>
    <n v="4.2050000000000001"/>
    <n v="7"/>
    <n v="0.2"/>
    <n v="5"/>
    <n v="3.3627274679512986"/>
    <n v="1"/>
    <x v="1"/>
    <n v="3.3627274679512986"/>
    <n v="0.84227253204870145"/>
    <n v="0.84227253204870145"/>
    <n v="-4.6170856830296092E-2"/>
    <n v="-8.9999999999999858E-2"/>
  </r>
  <r>
    <x v="479"/>
    <n v="3.4237035729301399"/>
    <n v="4.2700000000000005"/>
    <n v="1"/>
    <n v="0.2"/>
    <n v="1"/>
    <n v="0.68474071458602803"/>
    <n v="0.2"/>
    <x v="0"/>
    <n v="0"/>
    <n v="0"/>
    <n v="0.84227253204870145"/>
    <n v="0"/>
    <n v="6.5000000000000391E-2"/>
  </r>
  <r>
    <x v="480"/>
    <n v="3.4613667705973898"/>
    <n v="4.2700000000000005"/>
    <n v="2"/>
    <n v="0.2"/>
    <n v="2"/>
    <n v="1.3770140687055061"/>
    <n v="0.4"/>
    <x v="0"/>
    <n v="0"/>
    <n v="0"/>
    <n v="0.84227253204870145"/>
    <n v="0"/>
    <n v="6.5000000000000391E-2"/>
  </r>
  <r>
    <x v="481"/>
    <n v="3.4465671397565498"/>
    <n v="4.2700000000000005"/>
    <n v="5"/>
    <n v="0.2"/>
    <n v="3"/>
    <n v="2.0663274966568164"/>
    <n v="0.60000000000000009"/>
    <x v="0"/>
    <n v="0"/>
    <n v="0"/>
    <n v="0.84227253204870145"/>
    <n v="0"/>
    <n v="6.5000000000000391E-2"/>
  </r>
  <r>
    <x v="482"/>
    <n v="3.4438493655509599"/>
    <n v="4.2700000000000005"/>
    <n v="6"/>
    <n v="0.2"/>
    <n v="4"/>
    <n v="2.7550973697670083"/>
    <n v="0.8"/>
    <x v="0"/>
    <n v="0"/>
    <n v="0"/>
    <n v="0.84227253204870145"/>
    <n v="0"/>
    <n v="6.5000000000000391E-2"/>
  </r>
  <r>
    <x v="483"/>
    <n v="3.4085893370598099"/>
    <n v="4.2700000000000005"/>
    <n v="7"/>
    <n v="0.2"/>
    <n v="5"/>
    <n v="3.4368152371789704"/>
    <n v="1"/>
    <x v="1"/>
    <n v="3.4368152371789704"/>
    <n v="0.83318476282103004"/>
    <n v="0.83318476282103004"/>
    <n v="-9.087769227671405E-3"/>
    <n v="6.5000000000000391E-2"/>
  </r>
  <r>
    <x v="484"/>
    <n v="3.34843875975199"/>
    <n v="4.2200000000000006"/>
    <n v="1"/>
    <n v="0.2"/>
    <n v="1"/>
    <n v="0.66968775195039809"/>
    <n v="0.2"/>
    <x v="0"/>
    <n v="0"/>
    <n v="0"/>
    <n v="0.83318476282103004"/>
    <n v="0"/>
    <n v="-4.9999999999999822E-2"/>
  </r>
  <r>
    <x v="485"/>
    <n v="3.3634875299273701"/>
    <n v="4.2200000000000006"/>
    <n v="2"/>
    <n v="0.2"/>
    <n v="2"/>
    <n v="1.3423852579358722"/>
    <n v="0.4"/>
    <x v="0"/>
    <n v="0"/>
    <n v="0"/>
    <n v="0.83318476282103004"/>
    <n v="0"/>
    <n v="-4.9999999999999822E-2"/>
  </r>
  <r>
    <x v="486"/>
    <n v="3.4174617229589801"/>
    <n v="4.2200000000000006"/>
    <n v="5"/>
    <n v="0.2"/>
    <n v="3"/>
    <n v="2.0258776025276681"/>
    <n v="0.60000000000000009"/>
    <x v="0"/>
    <n v="0"/>
    <n v="0"/>
    <n v="0.83318476282103004"/>
    <n v="0"/>
    <n v="-4.9999999999999822E-2"/>
  </r>
  <r>
    <x v="487"/>
    <n v="3.3942283451593398"/>
    <n v="4.2200000000000006"/>
    <n v="6"/>
    <n v="0.2"/>
    <n v="4"/>
    <n v="2.7047232715595362"/>
    <n v="0.8"/>
    <x v="0"/>
    <n v="0"/>
    <n v="0"/>
    <n v="0.83318476282103004"/>
    <n v="0"/>
    <n v="-4.9999999999999822E-2"/>
  </r>
  <r>
    <x v="488"/>
    <n v="3.4724096295378999"/>
    <n v="4.2200000000000006"/>
    <n v="7"/>
    <n v="0.2"/>
    <n v="5"/>
    <n v="3.3992051974671162"/>
    <n v="1"/>
    <x v="1"/>
    <n v="3.3992051974671162"/>
    <n v="0.82079480253288439"/>
    <n v="0.82079480253288439"/>
    <n v="-1.2389960288145652E-2"/>
    <n v="-4.9999999999999822E-2"/>
  </r>
  <r>
    <x v="489"/>
    <n v="3.4858096996422701"/>
    <n v="4.3000000000000007"/>
    <n v="1"/>
    <n v="0.2"/>
    <n v="1"/>
    <n v="0.6971619399284541"/>
    <n v="0.2"/>
    <x v="0"/>
    <n v="0"/>
    <n v="0"/>
    <n v="0.82079480253288439"/>
    <n v="0"/>
    <n v="8.0000000000000071E-2"/>
  </r>
  <r>
    <x v="490"/>
    <n v="3.4523536219729101"/>
    <n v="4.3000000000000007"/>
    <n v="2"/>
    <n v="0.2"/>
    <n v="2"/>
    <n v="1.3876326643230361"/>
    <n v="0.4"/>
    <x v="0"/>
    <n v="0"/>
    <n v="0"/>
    <n v="0.82079480253288439"/>
    <n v="0"/>
    <n v="8.0000000000000071E-2"/>
  </r>
  <r>
    <x v="491"/>
    <n v="3.45266754883475"/>
    <n v="4.3000000000000007"/>
    <n v="5"/>
    <n v="0.2"/>
    <n v="3"/>
    <n v="2.0781661740899864"/>
    <n v="0.60000000000000009"/>
    <x v="0"/>
    <n v="0"/>
    <n v="0"/>
    <n v="0.82079480253288439"/>
    <n v="0"/>
    <n v="8.0000000000000071E-2"/>
  </r>
  <r>
    <x v="492"/>
    <n v="3.4519694257459901"/>
    <n v="4.3000000000000007"/>
    <n v="6"/>
    <n v="0.2"/>
    <n v="4"/>
    <n v="2.7685600592391846"/>
    <n v="0.8"/>
    <x v="0"/>
    <n v="0"/>
    <n v="0"/>
    <n v="0.82079480253288439"/>
    <n v="0"/>
    <n v="8.0000000000000071E-2"/>
  </r>
  <r>
    <x v="493"/>
    <n v="3.4217405544715098"/>
    <n v="4.3000000000000007"/>
    <n v="7"/>
    <n v="0.2"/>
    <n v="5"/>
    <n v="3.4529081701334867"/>
    <n v="1"/>
    <x v="1"/>
    <n v="3.4529081701334867"/>
    <n v="0.84709182986651399"/>
    <n v="0.84709182986651399"/>
    <n v="2.6297027333629597E-2"/>
    <n v="8.0000000000000071E-2"/>
  </r>
  <r>
    <x v="494"/>
    <n v="3.4052671978447102"/>
    <n v="4.335"/>
    <n v="1"/>
    <n v="0.2"/>
    <n v="1"/>
    <n v="0.68105343956894204"/>
    <n v="0.2"/>
    <x v="0"/>
    <n v="0"/>
    <n v="0"/>
    <n v="0.84709182986651399"/>
    <n v="0"/>
    <n v="3.4999999999999254E-2"/>
  </r>
  <r>
    <x v="495"/>
    <n v="3.4306094277170498"/>
    <n v="4.335"/>
    <n v="2"/>
    <n v="0.2"/>
    <n v="2"/>
    <n v="1.3671753251123522"/>
    <n v="0.4"/>
    <x v="0"/>
    <n v="0"/>
    <n v="0"/>
    <n v="0.84709182986651399"/>
    <n v="0"/>
    <n v="3.4999999999999254E-2"/>
  </r>
  <r>
    <x v="496"/>
    <n v="3.44685935064701"/>
    <n v="4.335"/>
    <n v="5"/>
    <n v="0.2"/>
    <n v="3"/>
    <n v="2.0565471952417544"/>
    <n v="0.60000000000000009"/>
    <x v="0"/>
    <n v="0"/>
    <n v="0"/>
    <n v="0.84709182986651399"/>
    <n v="0"/>
    <n v="3.4999999999999254E-2"/>
  </r>
  <r>
    <x v="497"/>
    <n v="3.4727016332033198"/>
    <n v="4.335"/>
    <n v="6"/>
    <n v="0.2"/>
    <n v="4"/>
    <n v="2.7510875218824182"/>
    <n v="0.8"/>
    <x v="0"/>
    <n v="0"/>
    <n v="0"/>
    <n v="0.84709182986651399"/>
    <n v="0"/>
    <n v="3.4999999999999254E-2"/>
  </r>
  <r>
    <x v="498"/>
    <n v="3.5066269417846301"/>
    <n v="4.335"/>
    <n v="7"/>
    <n v="0.2"/>
    <n v="5"/>
    <n v="3.4524129102393442"/>
    <n v="1"/>
    <x v="1"/>
    <n v="3.4524129102393442"/>
    <n v="0.88258708976065581"/>
    <n v="0.88258708976065581"/>
    <n v="3.5495259894141817E-2"/>
    <n v="3.4999999999999254E-2"/>
  </r>
  <r>
    <x v="499"/>
    <n v="3.4840318134841599"/>
    <n v="4.2649999999999997"/>
    <n v="1"/>
    <n v="0.2"/>
    <n v="1"/>
    <n v="0.69680636269683205"/>
    <n v="0.2"/>
    <x v="0"/>
    <n v="0"/>
    <n v="0"/>
    <n v="0.88258708976065581"/>
    <n v="0"/>
    <n v="-7.0000000000000284E-2"/>
  </r>
  <r>
    <x v="500"/>
    <n v="3.4295560527023699"/>
    <n v="4.2649999999999997"/>
    <n v="2"/>
    <n v="0.2"/>
    <n v="2"/>
    <n v="1.382717573237306"/>
    <n v="0.4"/>
    <x v="0"/>
    <n v="0"/>
    <n v="0"/>
    <n v="0.88258708976065581"/>
    <n v="0"/>
    <n v="-7.0000000000000284E-2"/>
  </r>
  <r>
    <x v="501"/>
    <n v="3.39509627944707"/>
    <n v="4.2649999999999997"/>
    <n v="5"/>
    <n v="0.2"/>
    <n v="3"/>
    <n v="2.06173682912672"/>
    <n v="0.60000000000000009"/>
    <x v="0"/>
    <n v="0"/>
    <n v="0"/>
    <n v="0.88258708976065581"/>
    <n v="0"/>
    <n v="-7.0000000000000284E-2"/>
  </r>
  <r>
    <x v="502"/>
    <n v="3.3731827621311399"/>
    <n v="4.2649999999999997"/>
    <n v="6"/>
    <n v="0.2"/>
    <n v="4"/>
    <n v="2.7363733815529478"/>
    <n v="0.8"/>
    <x v="0"/>
    <n v="0"/>
    <n v="0"/>
    <n v="0.88258708976065581"/>
    <n v="0"/>
    <n v="-7.0000000000000284E-2"/>
  </r>
  <r>
    <x v="503"/>
    <n v="3.3750941774744798"/>
    <n v="4.2649999999999997"/>
    <n v="7"/>
    <n v="0.2"/>
    <n v="5"/>
    <n v="3.4113922170478439"/>
    <n v="1"/>
    <x v="1"/>
    <n v="3.4113922170478439"/>
    <n v="0.85360778295215578"/>
    <n v="0.85360778295215578"/>
    <n v="-2.8979306808500027E-2"/>
    <n v="-7.0000000000000284E-2"/>
  </r>
  <r>
    <x v="504"/>
    <n v="3.3155243251593798"/>
    <n v="4.1949999999999994"/>
    <n v="1"/>
    <n v="0.2"/>
    <n v="1"/>
    <n v="0.66310486503187605"/>
    <n v="0.2"/>
    <x v="0"/>
    <n v="0"/>
    <n v="0"/>
    <n v="0.85360778295215578"/>
    <n v="0"/>
    <n v="-7.0000000000000284E-2"/>
  </r>
  <r>
    <x v="505"/>
    <n v="3.31617276522991"/>
    <n v="4.1949999999999994"/>
    <n v="2"/>
    <n v="0.2"/>
    <n v="2"/>
    <n v="1.326339418077858"/>
    <n v="0.4"/>
    <x v="0"/>
    <n v="0"/>
    <n v="0"/>
    <n v="0.85360778295215578"/>
    <n v="0"/>
    <n v="-7.0000000000000284E-2"/>
  </r>
  <r>
    <x v="506"/>
    <n v="3.3408272423510099"/>
    <n v="4.1949999999999994"/>
    <n v="5"/>
    <n v="0.2"/>
    <n v="3"/>
    <n v="1.99450486654806"/>
    <n v="0.60000000000000009"/>
    <x v="0"/>
    <n v="0"/>
    <n v="0"/>
    <n v="0.85360778295215578"/>
    <n v="0"/>
    <n v="-7.0000000000000284E-2"/>
  </r>
  <r>
    <x v="507"/>
    <n v="3.33793129587505"/>
    <n v="4.1949999999999994"/>
    <n v="6"/>
    <n v="0.2"/>
    <n v="4"/>
    <n v="2.6620911257230699"/>
    <n v="0.8"/>
    <x v="0"/>
    <n v="0"/>
    <n v="0"/>
    <n v="0.85360778295215578"/>
    <n v="0"/>
    <n v="-7.0000000000000284E-2"/>
  </r>
  <r>
    <x v="508"/>
    <n v="3.35080102179215"/>
    <n v="4.1949999999999994"/>
    <n v="7"/>
    <n v="0.2"/>
    <n v="5"/>
    <n v="3.3322513300815002"/>
    <n v="1"/>
    <x v="1"/>
    <n v="3.3322513300815002"/>
    <n v="0.86274866991849919"/>
    <n v="0.86274866991849919"/>
    <n v="9.1408869663434089E-3"/>
    <n v="-7.0000000000000284E-2"/>
  </r>
  <r>
    <x v="509"/>
    <n v="3.40802093158428"/>
    <n v="4.2300000000000004"/>
    <n v="1"/>
    <n v="0.2"/>
    <n v="1"/>
    <n v="0.68160418631685604"/>
    <n v="0.2"/>
    <x v="0"/>
    <n v="0"/>
    <n v="0"/>
    <n v="0.86274866991849919"/>
    <n v="0"/>
    <n v="3.500000000000103E-2"/>
  </r>
  <r>
    <x v="510"/>
    <n v="3.4214944697037502"/>
    <n v="4.2300000000000004"/>
    <n v="5"/>
    <n v="0.2"/>
    <n v="2"/>
    <n v="1.3659030802576062"/>
    <n v="0.4"/>
    <x v="0"/>
    <n v="0"/>
    <n v="0"/>
    <n v="0.86274866991849919"/>
    <n v="0"/>
    <n v="3.500000000000103E-2"/>
  </r>
  <r>
    <x v="511"/>
    <n v="3.41581155049382"/>
    <n v="4.2300000000000004"/>
    <n v="6"/>
    <n v="0.2"/>
    <n v="3"/>
    <n v="2.04906539035637"/>
    <n v="0.60000000000000009"/>
    <x v="0"/>
    <n v="0"/>
    <n v="0"/>
    <n v="0.86274866991849919"/>
    <n v="0"/>
    <n v="3.500000000000103E-2"/>
  </r>
  <r>
    <x v="512"/>
    <n v="3.3712594555921802"/>
    <n v="4.2300000000000004"/>
    <n v="7"/>
    <n v="0.2"/>
    <n v="4"/>
    <n v="2.7233172814748059"/>
    <n v="0.8"/>
    <x v="1"/>
    <n v="3.4041466018435074"/>
    <n v="0.82585339815649306"/>
    <n v="0.82585339815649306"/>
    <n v="-3.6895271762006132E-2"/>
    <n v="3.500000000000103E-2"/>
  </r>
  <r>
    <x v="513"/>
    <n v="3.3653149178353798"/>
    <n v="4.2149999999999999"/>
    <n v="1"/>
    <n v="0.2"/>
    <n v="1"/>
    <n v="0.67306298356707606"/>
    <n v="0.2"/>
    <x v="0"/>
    <n v="0"/>
    <n v="0"/>
    <n v="0.82585339815649306"/>
    <n v="0"/>
    <n v="-1.5000000000000568E-2"/>
  </r>
  <r>
    <x v="514"/>
    <n v="3.34407232938596"/>
    <n v="4.2149999999999999"/>
    <n v="2"/>
    <n v="0.2"/>
    <n v="2"/>
    <n v="1.3418774494442682"/>
    <n v="0.4"/>
    <x v="0"/>
    <n v="0"/>
    <n v="0"/>
    <n v="0.82585339815649306"/>
    <n v="0"/>
    <n v="-1.5000000000000568E-2"/>
  </r>
  <r>
    <x v="515"/>
    <n v="3.3514611406408399"/>
    <n v="4.2149999999999999"/>
    <n v="5"/>
    <n v="0.2"/>
    <n v="3"/>
    <n v="2.0121696775724365"/>
    <n v="0.60000000000000009"/>
    <x v="0"/>
    <n v="0"/>
    <n v="0"/>
    <n v="0.82585339815649306"/>
    <n v="0"/>
    <n v="-1.5000000000000568E-2"/>
  </r>
  <r>
    <x v="516"/>
    <n v="3.3733743387763999"/>
    <n v="4.2149999999999999"/>
    <n v="6"/>
    <n v="0.2"/>
    <n v="4"/>
    <n v="2.6868445453277165"/>
    <n v="0.8"/>
    <x v="0"/>
    <n v="0"/>
    <n v="0"/>
    <n v="0.82585339815649306"/>
    <n v="0"/>
    <n v="-1.5000000000000568E-2"/>
  </r>
  <r>
    <x v="517"/>
    <n v="3.3274269650204"/>
    <n v="4.2149999999999999"/>
    <n v="7"/>
    <n v="0.2"/>
    <n v="5"/>
    <n v="3.3523299383317964"/>
    <n v="1"/>
    <x v="1"/>
    <n v="3.3523299383317964"/>
    <n v="0.86267006166820348"/>
    <n v="0.86267006166820348"/>
    <n v="3.6816663511710424E-2"/>
    <n v="-1.5000000000000568E-2"/>
  </r>
  <r>
    <x v="518"/>
    <n v="3.2875255326595201"/>
    <n v="4.1100000000000003"/>
    <n v="1"/>
    <n v="0.2"/>
    <n v="1"/>
    <n v="0.65750510653190408"/>
    <n v="0.2"/>
    <x v="0"/>
    <n v="0"/>
    <n v="0"/>
    <n v="0.86267006166820348"/>
    <n v="0"/>
    <n v="-0.10499999999999954"/>
  </r>
  <r>
    <x v="519"/>
    <n v="3.27582122809376"/>
    <n v="4.1100000000000003"/>
    <n v="2"/>
    <n v="0.2"/>
    <n v="2"/>
    <n v="1.3126693521506563"/>
    <n v="0.4"/>
    <x v="0"/>
    <n v="0"/>
    <n v="0"/>
    <n v="0.86267006166820348"/>
    <n v="0"/>
    <n v="-0.10499999999999954"/>
  </r>
  <r>
    <x v="520"/>
    <n v="3.28849941945206"/>
    <n v="4.1100000000000003"/>
    <n v="5"/>
    <n v="0.2"/>
    <n v="3"/>
    <n v="1.9703692360410683"/>
    <n v="0.60000000000000009"/>
    <x v="0"/>
    <n v="0"/>
    <n v="0"/>
    <n v="0.86267006166820348"/>
    <n v="0"/>
    <n v="-0.10499999999999954"/>
  </r>
  <r>
    <x v="521"/>
    <n v="3.2676928756403698"/>
    <n v="4.1100000000000003"/>
    <n v="6"/>
    <n v="0.2"/>
    <n v="4"/>
    <n v="2.6239078111691425"/>
    <n v="0.8"/>
    <x v="0"/>
    <n v="0"/>
    <n v="0"/>
    <n v="0.86267006166820348"/>
    <n v="0"/>
    <n v="-0.10499999999999954"/>
  </r>
  <r>
    <x v="522"/>
    <n v="3.2365593112173601"/>
    <n v="4.1100000000000003"/>
    <n v="7"/>
    <n v="0.2"/>
    <n v="5"/>
    <n v="3.2712196734126144"/>
    <n v="1"/>
    <x v="1"/>
    <n v="3.2712196734126144"/>
    <n v="0.83878032658738588"/>
    <n v="0.83878032658738588"/>
    <n v="-2.3889735080817598E-2"/>
    <n v="-0.10499999999999954"/>
  </r>
  <r>
    <x v="523"/>
    <n v="3.2302009300383201"/>
    <n v="4.1000000000000005"/>
    <n v="1"/>
    <n v="0.2"/>
    <n v="1"/>
    <n v="0.64604018600766411"/>
    <n v="0.2"/>
    <x v="0"/>
    <n v="0"/>
    <n v="0"/>
    <n v="0.83878032658738588"/>
    <n v="0"/>
    <n v="-9.9999999999997868E-3"/>
  </r>
  <r>
    <x v="524"/>
    <n v="3.26793441628852"/>
    <n v="4.1000000000000005"/>
    <n v="2"/>
    <n v="0.2"/>
    <n v="2"/>
    <n v="1.2996270692653682"/>
    <n v="0.4"/>
    <x v="0"/>
    <n v="0"/>
    <n v="0"/>
    <n v="0.83878032658738588"/>
    <n v="0"/>
    <n v="-9.9999999999997868E-3"/>
  </r>
  <r>
    <x v="525"/>
    <n v="3.2957313796738501"/>
    <n v="4.1000000000000005"/>
    <n v="5"/>
    <n v="0.2"/>
    <n v="3"/>
    <n v="1.9587733452001381"/>
    <n v="0.60000000000000009"/>
    <x v="0"/>
    <n v="0"/>
    <n v="0"/>
    <n v="0.83878032658738588"/>
    <n v="0"/>
    <n v="-9.9999999999997868E-3"/>
  </r>
  <r>
    <x v="526"/>
    <n v="3.2728026621506001"/>
    <n v="4.1000000000000005"/>
    <n v="6"/>
    <n v="0.2"/>
    <n v="4"/>
    <n v="2.6133338776302582"/>
    <n v="0.8"/>
    <x v="0"/>
    <n v="0"/>
    <n v="0"/>
    <n v="0.83878032658738588"/>
    <n v="0"/>
    <n v="-9.9999999999997868E-3"/>
  </r>
  <r>
    <x v="527"/>
    <n v="3.1970892272743101"/>
    <n v="4.1000000000000005"/>
    <n v="7"/>
    <n v="0.2"/>
    <n v="5"/>
    <n v="3.2527517230851202"/>
    <n v="1"/>
    <x v="1"/>
    <n v="3.2527517230851202"/>
    <n v="0.84724827691488036"/>
    <n v="0.84724827691488036"/>
    <n v="8.4679503274944778E-3"/>
    <n v="-9.9999999999997868E-3"/>
  </r>
  <r>
    <x v="528"/>
    <n v="3.1795097734540301"/>
    <n v="4.04"/>
    <n v="1"/>
    <n v="0.2"/>
    <n v="1"/>
    <n v="0.63590195469080601"/>
    <n v="0.2"/>
    <x v="0"/>
    <n v="0"/>
    <n v="0"/>
    <n v="0.84724827691488036"/>
    <n v="0"/>
    <n v="-6.0000000000000497E-2"/>
  </r>
  <r>
    <x v="529"/>
    <n v="3.2071722937792901"/>
    <n v="4.04"/>
    <n v="2"/>
    <n v="0.2"/>
    <n v="2"/>
    <n v="1.277336413446664"/>
    <n v="0.4"/>
    <x v="0"/>
    <n v="0"/>
    <n v="0"/>
    <n v="0.84724827691488036"/>
    <n v="0"/>
    <n v="-6.0000000000000497E-2"/>
  </r>
  <r>
    <x v="530"/>
    <n v="3.2249711814966302"/>
    <n v="4.04"/>
    <n v="5"/>
    <n v="0.2"/>
    <n v="3"/>
    <n v="1.92233064974599"/>
    <n v="0.60000000000000009"/>
    <x v="0"/>
    <n v="0"/>
    <n v="0"/>
    <n v="0.84724827691488036"/>
    <n v="0"/>
    <n v="-6.0000000000000497E-2"/>
  </r>
  <r>
    <x v="531"/>
    <n v="3.1906249352690699"/>
    <n v="4.04"/>
    <n v="6"/>
    <n v="0.2"/>
    <n v="4"/>
    <n v="2.5604556367998041"/>
    <n v="0.8"/>
    <x v="0"/>
    <n v="0"/>
    <n v="0"/>
    <n v="0.84724827691488036"/>
    <n v="0"/>
    <n v="-6.0000000000000497E-2"/>
  </r>
  <r>
    <x v="532"/>
    <n v="3.2003729321605299"/>
    <n v="4.04"/>
    <n v="7"/>
    <n v="0.2"/>
    <n v="5"/>
    <n v="3.2005302232319099"/>
    <n v="1"/>
    <x v="1"/>
    <n v="3.2005302232319099"/>
    <n v="0.83946977676809009"/>
    <n v="0.83946977676809009"/>
    <n v="-7.7785001467902681E-3"/>
    <n v="-6.0000000000000497E-2"/>
  </r>
  <r>
    <x v="533"/>
    <n v="3.2144312113226099"/>
    <n v="4.0200000000000005"/>
    <n v="1"/>
    <n v="0.2"/>
    <n v="1"/>
    <n v="0.64288624226452207"/>
    <n v="0.2"/>
    <x v="0"/>
    <n v="0"/>
    <n v="0"/>
    <n v="0.83946977676809009"/>
    <n v="0"/>
    <n v="-1.9999999999999574E-2"/>
  </r>
  <r>
    <x v="534"/>
    <n v="3.2062850314999101"/>
    <n v="4.0200000000000005"/>
    <n v="2"/>
    <n v="0.2"/>
    <n v="2"/>
    <n v="1.2841432485645041"/>
    <n v="0.4"/>
    <x v="0"/>
    <n v="0"/>
    <n v="0"/>
    <n v="0.83946977676809009"/>
    <n v="0"/>
    <n v="-1.9999999999999574E-2"/>
  </r>
  <r>
    <x v="535"/>
    <n v="3.1863361498629699"/>
    <n v="4.0200000000000005"/>
    <n v="6"/>
    <n v="0.2"/>
    <n v="3"/>
    <n v="1.9214104785370982"/>
    <n v="0.60000000000000009"/>
    <x v="0"/>
    <n v="0"/>
    <n v="0"/>
    <n v="0.83946977676809009"/>
    <n v="0"/>
    <n v="-1.9999999999999574E-2"/>
  </r>
  <r>
    <x v="536"/>
    <n v="3.0965824543668101"/>
    <n v="4.0200000000000005"/>
    <n v="7"/>
    <n v="0.2"/>
    <n v="4"/>
    <n v="2.5407269694104602"/>
    <n v="0.8"/>
    <x v="1"/>
    <n v="3.1759087117630749"/>
    <n v="0.84409128823692559"/>
    <n v="0.84409128823692559"/>
    <n v="4.621511468835493E-3"/>
    <n v="-1.9999999999999574E-2"/>
  </r>
  <r>
    <x v="537"/>
    <n v="3.12360003836893"/>
    <n v="4.0149999999999997"/>
    <n v="1"/>
    <n v="0.2"/>
    <n v="1"/>
    <n v="0.62472000767378599"/>
    <n v="0.2"/>
    <x v="0"/>
    <n v="0"/>
    <n v="0"/>
    <n v="0.84409128823692559"/>
    <n v="0"/>
    <n v="-5.0000000000007816E-3"/>
  </r>
  <r>
    <x v="538"/>
    <n v="3.1327170492887499"/>
    <n v="4.0149999999999997"/>
    <n v="2"/>
    <n v="0.2"/>
    <n v="2"/>
    <n v="1.251263417531536"/>
    <n v="0.4"/>
    <x v="0"/>
    <n v="0"/>
    <n v="0"/>
    <n v="0.84409128823692559"/>
    <n v="0"/>
    <n v="-5.0000000000007816E-3"/>
  </r>
  <r>
    <x v="539"/>
    <n v="3.2077358231055602"/>
    <n v="4.0149999999999997"/>
    <n v="5"/>
    <n v="0.2"/>
    <n v="3"/>
    <n v="1.8928105821526482"/>
    <n v="0.60000000000000009"/>
    <x v="0"/>
    <n v="0"/>
    <n v="0"/>
    <n v="0.84409128823692559"/>
    <n v="0"/>
    <n v="-5.0000000000007816E-3"/>
  </r>
  <r>
    <x v="540"/>
    <n v="3.2594551208520199"/>
    <n v="4.0149999999999997"/>
    <n v="6"/>
    <n v="0.2"/>
    <n v="4"/>
    <n v="2.5447016063230521"/>
    <n v="0.8"/>
    <x v="0"/>
    <n v="0"/>
    <n v="0"/>
    <n v="0.84409128823692559"/>
    <n v="0"/>
    <n v="-5.0000000000007816E-3"/>
  </r>
  <r>
    <x v="541"/>
    <n v="3.2635254657079802"/>
    <n v="4.0149999999999997"/>
    <n v="7"/>
    <n v="0.2"/>
    <n v="5"/>
    <n v="3.197406699464648"/>
    <n v="1"/>
    <x v="1"/>
    <n v="3.197406699464648"/>
    <n v="0.81759330053535173"/>
    <n v="0.81759330053535173"/>
    <n v="-2.6497987701573855E-2"/>
    <n v="-5.0000000000007816E-3"/>
  </r>
  <r>
    <x v="542"/>
    <n v="3.2377628105001701"/>
    <n v="4.1000000000000005"/>
    <n v="1"/>
    <n v="0.2"/>
    <n v="1"/>
    <n v="0.64755256210003409"/>
    <n v="0.2"/>
    <x v="0"/>
    <n v="0"/>
    <n v="0"/>
    <n v="0.81759330053535173"/>
    <n v="0"/>
    <n v="8.5000000000000853E-2"/>
  </r>
  <r>
    <x v="543"/>
    <n v="3.24953377621733"/>
    <n v="4.1000000000000005"/>
    <n v="2"/>
    <n v="0.2"/>
    <n v="2"/>
    <n v="1.2974593173435003"/>
    <n v="0.4"/>
    <x v="0"/>
    <n v="0"/>
    <n v="0"/>
    <n v="0.81759330053535173"/>
    <n v="0"/>
    <n v="8.5000000000000853E-2"/>
  </r>
  <r>
    <x v="544"/>
    <n v="3.2647835350343399"/>
    <n v="4.1000000000000005"/>
    <n v="5"/>
    <n v="0.2"/>
    <n v="3"/>
    <n v="1.9504160243503683"/>
    <n v="0.60000000000000009"/>
    <x v="0"/>
    <n v="0"/>
    <n v="0"/>
    <n v="0.81759330053535173"/>
    <n v="0"/>
    <n v="8.5000000000000853E-2"/>
  </r>
  <r>
    <x v="545"/>
    <n v="3.2863723435874199"/>
    <n v="4.1000000000000005"/>
    <n v="6"/>
    <n v="0.2"/>
    <n v="4"/>
    <n v="2.6076904930678522"/>
    <n v="0.8"/>
    <x v="0"/>
    <n v="0"/>
    <n v="0"/>
    <n v="0.81759330053535173"/>
    <n v="0"/>
    <n v="8.5000000000000853E-2"/>
  </r>
  <r>
    <x v="546"/>
    <n v="3.2835967922496798"/>
    <n v="4.1000000000000005"/>
    <n v="7"/>
    <n v="0.2"/>
    <n v="5"/>
    <n v="3.2644098515177884"/>
    <n v="1"/>
    <x v="1"/>
    <n v="3.2644098515177884"/>
    <n v="0.83559014848221214"/>
    <n v="0.83559014848221214"/>
    <n v="1.7996847946860406E-2"/>
    <n v="8.5000000000000853E-2"/>
  </r>
  <r>
    <x v="547"/>
    <n v="3.2368252535266899"/>
    <n v="4.07"/>
    <n v="1"/>
    <n v="0.2"/>
    <n v="1"/>
    <n v="0.64736505070533801"/>
    <n v="0.2"/>
    <x v="0"/>
    <n v="0"/>
    <n v="0"/>
    <n v="0.83559014848221214"/>
    <n v="0"/>
    <n v="-3.0000000000000249E-2"/>
  </r>
  <r>
    <x v="548"/>
    <n v="3.2532056158969298"/>
    <n v="4.07"/>
    <n v="2"/>
    <n v="0.2"/>
    <n v="2"/>
    <n v="1.2980061738847239"/>
    <n v="0.4"/>
    <x v="0"/>
    <n v="0"/>
    <n v="0"/>
    <n v="0.83559014848221214"/>
    <n v="0"/>
    <n v="-3.0000000000000249E-2"/>
  </r>
  <r>
    <x v="549"/>
    <n v="3.2401980086341502"/>
    <n v="4.07"/>
    <n v="5"/>
    <n v="0.2"/>
    <n v="3"/>
    <n v="1.9460457756115539"/>
    <n v="0.60000000000000009"/>
    <x v="0"/>
    <n v="0"/>
    <n v="0"/>
    <n v="0.83559014848221214"/>
    <n v="0"/>
    <n v="-3.0000000000000249E-2"/>
  </r>
  <r>
    <x v="550"/>
    <n v="3.2955237008358602"/>
    <n v="4.07"/>
    <n v="6"/>
    <n v="0.2"/>
    <n v="4"/>
    <n v="2.605150515778726"/>
    <n v="0.8"/>
    <x v="0"/>
    <n v="0"/>
    <n v="0"/>
    <n v="0.83559014848221214"/>
    <n v="0"/>
    <n v="-3.0000000000000249E-2"/>
  </r>
  <r>
    <x v="551"/>
    <n v="3.2554507349207298"/>
    <n v="4.07"/>
    <n v="7"/>
    <n v="0.2"/>
    <n v="5"/>
    <n v="3.2562406627628722"/>
    <n v="1"/>
    <x v="1"/>
    <n v="3.2562406627628722"/>
    <n v="0.81375933723712812"/>
    <n v="0.81375933723712812"/>
    <n v="-2.1830811245084014E-2"/>
    <n v="-3.0000000000000249E-2"/>
  </r>
  <r>
    <x v="552"/>
    <n v="3.2406996477189098"/>
    <n v="4.0149999999999997"/>
    <n v="1"/>
    <n v="0.2"/>
    <n v="1"/>
    <n v="0.64813992954378197"/>
    <n v="0.2"/>
    <x v="0"/>
    <n v="0"/>
    <n v="0"/>
    <n v="0.81375933723712812"/>
    <n v="0"/>
    <n v="-5.5000000000000604E-2"/>
  </r>
  <r>
    <x v="553"/>
    <n v="3.2387092672418598"/>
    <n v="4.0149999999999997"/>
    <n v="2"/>
    <n v="0.2"/>
    <n v="2"/>
    <n v="1.2958817829921538"/>
    <n v="0.4"/>
    <x v="0"/>
    <n v="0"/>
    <n v="0"/>
    <n v="0.81375933723712812"/>
    <n v="0"/>
    <n v="-5.5000000000000604E-2"/>
  </r>
  <r>
    <x v="554"/>
    <n v="3.2420059350164898"/>
    <n v="4.0149999999999997"/>
    <n v="5"/>
    <n v="0.2"/>
    <n v="3"/>
    <n v="1.9442829699954518"/>
    <n v="0.60000000000000009"/>
    <x v="0"/>
    <n v="0"/>
    <n v="0"/>
    <n v="0.81375933723712812"/>
    <n v="0"/>
    <n v="-5.5000000000000604E-2"/>
  </r>
  <r>
    <x v="555"/>
    <n v="3.2180523990892298"/>
    <n v="4.0149999999999997"/>
    <n v="6"/>
    <n v="0.2"/>
    <n v="4"/>
    <n v="2.5878934498132979"/>
    <n v="0.8"/>
    <x v="0"/>
    <n v="0"/>
    <n v="0"/>
    <n v="0.81375933723712812"/>
    <n v="0"/>
    <n v="-5.5000000000000604E-2"/>
  </r>
  <r>
    <x v="556"/>
    <n v="3.1948973800231402"/>
    <n v="4.0149999999999997"/>
    <n v="7"/>
    <n v="0.2"/>
    <n v="5"/>
    <n v="3.2268729258179261"/>
    <n v="1"/>
    <x v="1"/>
    <n v="3.2268729258179261"/>
    <n v="0.78812707418207362"/>
    <n v="0.78812707418207362"/>
    <n v="-2.5632263055054505E-2"/>
    <n v="-5.5000000000000604E-2"/>
  </r>
  <r>
    <x v="557"/>
    <n v="3.1705026484021301"/>
    <n v="3.9950000000000001"/>
    <n v="1"/>
    <n v="0.2"/>
    <n v="1"/>
    <n v="0.63410052968042607"/>
    <n v="0.2"/>
    <x v="0"/>
    <n v="0"/>
    <n v="0"/>
    <n v="0.78812707418207362"/>
    <n v="0"/>
    <n v="-1.9999999999999574E-2"/>
  </r>
  <r>
    <x v="558"/>
    <n v="3.1723768258530498"/>
    <n v="3.9950000000000001"/>
    <n v="2"/>
    <n v="0.2"/>
    <n v="2"/>
    <n v="1.2685758948510362"/>
    <n v="0.4"/>
    <x v="0"/>
    <n v="0"/>
    <n v="0"/>
    <n v="0.78812707418207362"/>
    <n v="0"/>
    <n v="-1.9999999999999574E-2"/>
  </r>
  <r>
    <x v="559"/>
    <n v="3.16005861973392"/>
    <n v="3.9950000000000001"/>
    <n v="5"/>
    <n v="0.2"/>
    <n v="3"/>
    <n v="1.9005876187978203"/>
    <n v="0.60000000000000009"/>
    <x v="0"/>
    <n v="0"/>
    <n v="0"/>
    <n v="0.78812707418207362"/>
    <n v="0"/>
    <n v="-1.9999999999999574E-2"/>
  </r>
  <r>
    <x v="560"/>
    <n v="3.2107808202984001"/>
    <n v="3.9950000000000001"/>
    <n v="6"/>
    <n v="0.2"/>
    <n v="4"/>
    <n v="2.5427437828575004"/>
    <n v="0.8"/>
    <x v="0"/>
    <n v="0"/>
    <n v="0"/>
    <n v="0.78812707418207362"/>
    <n v="0"/>
    <n v="-1.9999999999999574E-2"/>
  </r>
  <r>
    <x v="561"/>
    <n v="3.25804857470149"/>
    <n v="3.9950000000000001"/>
    <n v="7"/>
    <n v="0.2"/>
    <n v="5"/>
    <n v="3.1943534977977985"/>
    <n v="1"/>
    <x v="1"/>
    <n v="3.1943534977977985"/>
    <n v="0.80064650220220157"/>
    <n v="0.80064650220220157"/>
    <n v="1.2519428020127954E-2"/>
    <n v="-1.9999999999999574E-2"/>
  </r>
  <r>
    <x v="562"/>
    <n v="3.2816971853818702"/>
    <n v="4.0750000000000002"/>
    <n v="1"/>
    <n v="0.2"/>
    <n v="1"/>
    <n v="0.6563394370763741"/>
    <n v="0.2"/>
    <x v="0"/>
    <n v="0"/>
    <n v="0"/>
    <n v="0.80064650220220157"/>
    <n v="0"/>
    <n v="8.0000000000000071E-2"/>
  </r>
  <r>
    <x v="563"/>
    <n v="3.2664759262762"/>
    <n v="4.0750000000000002"/>
    <n v="5"/>
    <n v="0.2"/>
    <n v="2"/>
    <n v="1.3096346223316142"/>
    <n v="0.4"/>
    <x v="0"/>
    <n v="0"/>
    <n v="0"/>
    <n v="0.80064650220220157"/>
    <n v="0"/>
    <n v="8.0000000000000071E-2"/>
  </r>
  <r>
    <x v="564"/>
    <n v="3.2329417252497299"/>
    <n v="4.0750000000000002"/>
    <n v="6"/>
    <n v="0.2"/>
    <n v="3"/>
    <n v="1.9562229673815601"/>
    <n v="0.60000000000000009"/>
    <x v="0"/>
    <n v="0"/>
    <n v="0"/>
    <n v="0.80064650220220157"/>
    <n v="0"/>
    <n v="8.0000000000000071E-2"/>
  </r>
  <r>
    <x v="565"/>
    <n v="3.2185084565507598"/>
    <n v="4.0750000000000002"/>
    <n v="7"/>
    <n v="0.2"/>
    <n v="4"/>
    <n v="2.599924658691712"/>
    <n v="0.8"/>
    <x v="1"/>
    <n v="3.2499058233646396"/>
    <n v="0.82509417663536055"/>
    <n v="0.82509417663536055"/>
    <n v="2.4447674433158983E-2"/>
    <n v="8.0000000000000071E-2"/>
  </r>
  <r>
    <x v="566"/>
    <n v="3.20098644724558"/>
    <n v="4.03"/>
    <n v="1"/>
    <n v="0.2"/>
    <n v="1"/>
    <n v="0.64019728944911602"/>
    <n v="0.2"/>
    <x v="0"/>
    <n v="0"/>
    <n v="0"/>
    <n v="0.82509417663536055"/>
    <n v="0"/>
    <n v="-4.4999999999999929E-2"/>
  </r>
  <r>
    <x v="567"/>
    <n v="3.1874045932907902"/>
    <n v="4.03"/>
    <n v="2"/>
    <n v="0.2"/>
    <n v="2"/>
    <n v="1.2776782081072739"/>
    <n v="0.4"/>
    <x v="0"/>
    <n v="0"/>
    <n v="0"/>
    <n v="0.82509417663536055"/>
    <n v="0"/>
    <n v="-4.4999999999999929E-2"/>
  </r>
  <r>
    <x v="568"/>
    <n v="3.22381281335216"/>
    <n v="4.03"/>
    <n v="5"/>
    <n v="0.2"/>
    <n v="3"/>
    <n v="1.922440770777706"/>
    <n v="0.60000000000000009"/>
    <x v="0"/>
    <n v="0"/>
    <n v="0"/>
    <n v="0.82509417663536055"/>
    <n v="0"/>
    <n v="-4.4999999999999929E-2"/>
  </r>
  <r>
    <x v="569"/>
    <n v="3.2327612765480098"/>
    <n v="4.03"/>
    <n v="6"/>
    <n v="0.2"/>
    <n v="4"/>
    <n v="2.5689930260873082"/>
    <n v="0.8"/>
    <x v="0"/>
    <n v="0"/>
    <n v="0"/>
    <n v="0.82509417663536055"/>
    <n v="0"/>
    <n v="-4.4999999999999929E-2"/>
  </r>
  <r>
    <x v="570"/>
    <n v="3.23587971649664"/>
    <n v="4.03"/>
    <n v="7"/>
    <n v="0.2"/>
    <n v="5"/>
    <n v="3.2161689693866364"/>
    <n v="1"/>
    <x v="1"/>
    <n v="3.2161689693866364"/>
    <n v="0.81383103061336382"/>
    <n v="0.81383103061336382"/>
    <n v="-1.1263146021996739E-2"/>
    <n v="-4.4999999999999929E-2"/>
  </r>
  <r>
    <x v="571"/>
    <n v="3.1839990162061"/>
    <n v="4.03"/>
    <n v="1"/>
    <n v="0.2"/>
    <n v="1"/>
    <n v="0.6367998032412201"/>
    <n v="0.2"/>
    <x v="0"/>
    <n v="0"/>
    <n v="0"/>
    <n v="0.81383103061336382"/>
    <n v="0"/>
    <n v="0"/>
  </r>
  <r>
    <x v="572"/>
    <n v="3.1834552504580702"/>
    <n v="4.03"/>
    <n v="2"/>
    <n v="0.2"/>
    <n v="2"/>
    <n v="1.2734908533328342"/>
    <n v="0.4"/>
    <x v="0"/>
    <n v="0"/>
    <n v="0"/>
    <n v="0.81383103061336382"/>
    <n v="0"/>
    <n v="0"/>
  </r>
  <r>
    <x v="573"/>
    <n v="3.1797287048205698"/>
    <n v="4.03"/>
    <n v="5"/>
    <n v="0.2"/>
    <n v="3"/>
    <n v="1.9094365942969482"/>
    <n v="0.60000000000000009"/>
    <x v="0"/>
    <n v="0"/>
    <n v="0"/>
    <n v="0.81383103061336382"/>
    <n v="0"/>
    <n v="0"/>
  </r>
  <r>
    <x v="574"/>
    <n v="3.1713427686584299"/>
    <n v="4.03"/>
    <n v="6"/>
    <n v="0.2"/>
    <n v="4"/>
    <n v="2.5437051480286343"/>
    <n v="0.8"/>
    <x v="0"/>
    <n v="0"/>
    <n v="0"/>
    <n v="0.81383103061336382"/>
    <n v="0"/>
    <n v="0"/>
  </r>
  <r>
    <x v="575"/>
    <n v="3.18443166753908"/>
    <n v="4.03"/>
    <n v="7"/>
    <n v="0.2"/>
    <n v="5"/>
    <n v="3.1805914815364504"/>
    <n v="1"/>
    <x v="1"/>
    <n v="3.1805914815364504"/>
    <n v="0.84940851846354981"/>
    <n v="0.84940851846354981"/>
    <n v="3.5577487850185996E-2"/>
    <n v="0"/>
  </r>
  <r>
    <x v="576"/>
    <n v="3.2359256063250199"/>
    <n v="4.0200000000000005"/>
    <n v="1"/>
    <n v="0.2"/>
    <n v="1"/>
    <n v="0.64718512126500405"/>
    <n v="0.2"/>
    <x v="0"/>
    <n v="0"/>
    <n v="0"/>
    <n v="0.84940851846354981"/>
    <n v="0"/>
    <n v="-9.9999999999997868E-3"/>
  </r>
  <r>
    <x v="577"/>
    <n v="3.1915306555493599"/>
    <n v="4.0200000000000005"/>
    <n v="2"/>
    <n v="0.2"/>
    <n v="2"/>
    <n v="1.285491252374876"/>
    <n v="0.4"/>
    <x v="0"/>
    <n v="0"/>
    <n v="0"/>
    <n v="0.84940851846354981"/>
    <n v="0"/>
    <n v="-9.9999999999997868E-3"/>
  </r>
  <r>
    <x v="578"/>
    <n v="3.2049602013827001"/>
    <n v="4.0200000000000005"/>
    <n v="5"/>
    <n v="0.2"/>
    <n v="3"/>
    <n v="1.9264832926514162"/>
    <n v="0.60000000000000009"/>
    <x v="0"/>
    <n v="0"/>
    <n v="0"/>
    <n v="0.84940851846354981"/>
    <n v="0"/>
    <n v="-9.9999999999997868E-3"/>
  </r>
  <r>
    <x v="579"/>
    <n v="3.1823757597493798"/>
    <n v="4.0200000000000005"/>
    <n v="6"/>
    <n v="0.2"/>
    <n v="4"/>
    <n v="2.5629584446012923"/>
    <n v="0.8"/>
    <x v="0"/>
    <n v="0"/>
    <n v="0"/>
    <n v="0.84940851846354981"/>
    <n v="0"/>
    <n v="-9.9999999999997868E-3"/>
  </r>
  <r>
    <x v="580"/>
    <n v="3.2657922043638301"/>
    <n v="4.0200000000000005"/>
    <n v="7"/>
    <n v="0.2"/>
    <n v="5"/>
    <n v="3.2161168854740585"/>
    <n v="1"/>
    <x v="1"/>
    <n v="3.2161168854740585"/>
    <n v="0.80388311452594197"/>
    <n v="0.80388311452594197"/>
    <n v="-4.5525403937607845E-2"/>
    <n v="-9.9999999999997868E-3"/>
  </r>
  <r>
    <x v="581"/>
    <n v="3.2761065930147799"/>
    <n v="4.0649999999999995"/>
    <n v="1"/>
    <n v="0.2"/>
    <n v="1"/>
    <n v="0.65522131860295607"/>
    <n v="0.2"/>
    <x v="0"/>
    <n v="0"/>
    <n v="0"/>
    <n v="0.80388311452594197"/>
    <n v="0"/>
    <n v="4.4999999999999041E-2"/>
  </r>
  <r>
    <x v="582"/>
    <n v="3.2284236378811801"/>
    <n v="4.0649999999999995"/>
    <n v="2"/>
    <n v="0.2"/>
    <n v="2"/>
    <n v="1.3009060461791921"/>
    <n v="0.4"/>
    <x v="0"/>
    <n v="0"/>
    <n v="0"/>
    <n v="0.80388311452594197"/>
    <n v="0"/>
    <n v="4.4999999999999041E-2"/>
  </r>
  <r>
    <x v="583"/>
    <n v="3.2178217897536898"/>
    <n v="4.0649999999999995"/>
    <n v="5"/>
    <n v="0.2"/>
    <n v="3"/>
    <n v="1.9444704041299301"/>
    <n v="0.60000000000000009"/>
    <x v="0"/>
    <n v="0"/>
    <n v="0"/>
    <n v="0.80388311452594197"/>
    <n v="0"/>
    <n v="4.4999999999999041E-2"/>
  </r>
  <r>
    <x v="584"/>
    <n v="3.21632428795722"/>
    <n v="4.0649999999999995"/>
    <n v="6"/>
    <n v="0.2"/>
    <n v="4"/>
    <n v="2.5877352617213742"/>
    <n v="0.8"/>
    <x v="0"/>
    <n v="0"/>
    <n v="0"/>
    <n v="0.80388311452594197"/>
    <n v="0"/>
    <n v="4.4999999999999041E-2"/>
  </r>
  <r>
    <x v="585"/>
    <n v="3.2168042301856699"/>
    <n v="4.0649999999999995"/>
    <n v="7"/>
    <n v="0.2"/>
    <n v="5"/>
    <n v="3.2310961077585083"/>
    <n v="1"/>
    <x v="1"/>
    <n v="3.2310961077585083"/>
    <n v="0.8339038922414912"/>
    <n v="0.8339038922414912"/>
    <n v="3.0020777715549229E-2"/>
    <n v="4.4999999999999041E-2"/>
  </r>
  <r>
    <x v="586"/>
    <n v="3.1812952620623198"/>
    <n v="4.0200000000000005"/>
    <n v="1"/>
    <n v="0.2"/>
    <n v="1"/>
    <n v="0.63625905241246405"/>
    <n v="0.2"/>
    <x v="0"/>
    <n v="0"/>
    <n v="0"/>
    <n v="0.8339038922414912"/>
    <n v="0"/>
    <n v="-4.4999999999999041E-2"/>
  </r>
  <r>
    <x v="587"/>
    <n v="3.1721768972748698"/>
    <n v="4.0200000000000005"/>
    <n v="2"/>
    <n v="0.2"/>
    <n v="2"/>
    <n v="1.270694431867438"/>
    <n v="0.4"/>
    <x v="0"/>
    <n v="0"/>
    <n v="0"/>
    <n v="0.8339038922414912"/>
    <n v="0"/>
    <n v="-4.4999999999999041E-2"/>
  </r>
  <r>
    <x v="588"/>
    <n v="3.1826449451887"/>
    <n v="4.0200000000000005"/>
    <n v="5"/>
    <n v="0.2"/>
    <n v="3"/>
    <n v="1.9072234209051779"/>
    <n v="0.60000000000000009"/>
    <x v="0"/>
    <n v="0"/>
    <n v="0"/>
    <n v="0.8339038922414912"/>
    <n v="0"/>
    <n v="-4.4999999999999041E-2"/>
  </r>
  <r>
    <x v="589"/>
    <n v="3.1921232293895798"/>
    <n v="4.0200000000000005"/>
    <n v="6"/>
    <n v="0.2"/>
    <n v="4"/>
    <n v="2.5456480667830941"/>
    <n v="0.8"/>
    <x v="0"/>
    <n v="0"/>
    <n v="0"/>
    <n v="0.8339038922414912"/>
    <n v="0"/>
    <n v="-4.4999999999999041E-2"/>
  </r>
  <r>
    <x v="590"/>
    <n v="3.1611594965890202"/>
    <n v="4.0200000000000005"/>
    <n v="7"/>
    <n v="0.2"/>
    <n v="5"/>
    <n v="3.1778799661008983"/>
    <n v="1"/>
    <x v="1"/>
    <n v="3.1778799661008983"/>
    <n v="0.84212003389910217"/>
    <n v="0.84212003389910217"/>
    <n v="8.2161416576109758E-3"/>
    <n v="-4.4999999999999041E-2"/>
  </r>
  <r>
    <x v="591"/>
    <n v="3.1399551635126901"/>
    <n v="3.9749999999999996"/>
    <n v="1"/>
    <n v="0.2"/>
    <n v="1"/>
    <n v="0.62799103270253809"/>
    <n v="0.2"/>
    <x v="0"/>
    <n v="0"/>
    <n v="0"/>
    <n v="0.84212003389910217"/>
    <n v="0"/>
    <n v="-4.5000000000000817E-2"/>
  </r>
  <r>
    <x v="592"/>
    <n v="3.0935764216510502"/>
    <n v="3.9749999999999996"/>
    <n v="2"/>
    <n v="0.2"/>
    <n v="2"/>
    <n v="1.2467063170327481"/>
    <n v="0.4"/>
    <x v="0"/>
    <n v="0"/>
    <n v="0"/>
    <n v="0.84212003389910217"/>
    <n v="0"/>
    <n v="-4.5000000000000817E-2"/>
  </r>
  <r>
    <x v="593"/>
    <n v="3.1399786597886301"/>
    <n v="3.9749999999999996"/>
    <n v="5"/>
    <n v="0.2"/>
    <n v="3"/>
    <n v="1.8747020489904742"/>
    <n v="0.60000000000000009"/>
    <x v="0"/>
    <n v="0"/>
    <n v="0"/>
    <n v="0.84212003389910217"/>
    <n v="0"/>
    <n v="-4.5000000000000817E-2"/>
  </r>
  <r>
    <x v="594"/>
    <n v="3.1648384217316798"/>
    <n v="3.9749999999999996"/>
    <n v="6"/>
    <n v="0.2"/>
    <n v="4"/>
    <n v="2.5076697333368103"/>
    <n v="0.8"/>
    <x v="0"/>
    <n v="0"/>
    <n v="0"/>
    <n v="0.84212003389910217"/>
    <n v="0"/>
    <n v="-4.5000000000000817E-2"/>
  </r>
  <r>
    <x v="595"/>
    <n v="3.1828839679523702"/>
    <n v="3.9749999999999996"/>
    <n v="7"/>
    <n v="0.2"/>
    <n v="5"/>
    <n v="3.1442465269272843"/>
    <n v="1"/>
    <x v="1"/>
    <n v="3.1442465269272843"/>
    <n v="0.8307534730727153"/>
    <n v="0.8307534730727153"/>
    <n v="-1.1366560826386873E-2"/>
    <n v="-4.5000000000000817E-2"/>
  </r>
  <r>
    <x v="596"/>
    <n v="3.1567795766011701"/>
    <n v="3.9749999999999996"/>
    <n v="1"/>
    <n v="0.2"/>
    <n v="1"/>
    <n v="0.63135591532023405"/>
    <n v="0.2"/>
    <x v="0"/>
    <n v="0"/>
    <n v="0"/>
    <n v="0.8307534730727153"/>
    <n v="0"/>
    <n v="0"/>
  </r>
  <r>
    <x v="597"/>
    <n v="3.1508216358267802"/>
    <n v="3.9749999999999996"/>
    <n v="2"/>
    <n v="0.2"/>
    <n v="2"/>
    <n v="1.2615202424855902"/>
    <n v="0.4"/>
    <x v="0"/>
    <n v="0"/>
    <n v="0"/>
    <n v="0.8307534730727153"/>
    <n v="0"/>
    <n v="0"/>
  </r>
  <r>
    <x v="598"/>
    <n v="3.1385592562937199"/>
    <n v="3.9749999999999996"/>
    <n v="5"/>
    <n v="0.2"/>
    <n v="3"/>
    <n v="1.8892320937443343"/>
    <n v="0.60000000000000009"/>
    <x v="0"/>
    <n v="0"/>
    <n v="0"/>
    <n v="0.8307534730727153"/>
    <n v="0"/>
    <n v="0"/>
  </r>
  <r>
    <x v="599"/>
    <n v="3.12943696082093"/>
    <n v="3.9749999999999996"/>
    <n v="6"/>
    <n v="0.2"/>
    <n v="4"/>
    <n v="2.5151194859085204"/>
    <n v="0.8"/>
    <x v="0"/>
    <n v="0"/>
    <n v="0"/>
    <n v="0.8307534730727153"/>
    <n v="0"/>
    <n v="0"/>
  </r>
  <r>
    <x v="600"/>
    <n v="3.09887022841253"/>
    <n v="3.9749999999999996"/>
    <n v="7"/>
    <n v="0.2"/>
    <n v="5"/>
    <n v="3.1348935315910262"/>
    <n v="1"/>
    <x v="1"/>
    <n v="3.1348935315910262"/>
    <n v="0.84010646840897341"/>
    <n v="0.84010646840897341"/>
    <n v="9.3529953362581075E-3"/>
    <n v="0"/>
  </r>
  <r>
    <x v="601"/>
    <n v="3.0781225342059799"/>
    <n v="3.9749999999999996"/>
    <n v="1"/>
    <n v="0.2"/>
    <n v="1"/>
    <n v="0.61562450684119607"/>
    <n v="0.2"/>
    <x v="0"/>
    <n v="0"/>
    <n v="0"/>
    <n v="0.84010646840897341"/>
    <n v="0"/>
    <n v="0"/>
  </r>
  <r>
    <x v="602"/>
    <n v="3.0803371977218901"/>
    <n v="3.9749999999999996"/>
    <n v="2"/>
    <n v="0.2"/>
    <n v="2"/>
    <n v="1.231691946385574"/>
    <n v="0.4"/>
    <x v="0"/>
    <n v="0"/>
    <n v="0"/>
    <n v="0.84010646840897341"/>
    <n v="0"/>
    <n v="0"/>
  </r>
  <r>
    <x v="603"/>
    <n v="3.1334692922129599"/>
    <n v="3.9749999999999996"/>
    <n v="6"/>
    <n v="0.2"/>
    <n v="3"/>
    <n v="1.8583858048281661"/>
    <n v="0.60000000000000009"/>
    <x v="0"/>
    <n v="0"/>
    <n v="0"/>
    <n v="0.84010646840897341"/>
    <n v="0"/>
    <n v="0"/>
  </r>
  <r>
    <x v="604"/>
    <n v="3.1253552915520499"/>
    <n v="3.9749999999999996"/>
    <n v="7"/>
    <n v="0.2"/>
    <n v="4"/>
    <n v="2.4834568631385761"/>
    <n v="0.8"/>
    <x v="1"/>
    <n v="3.1043210789232201"/>
    <n v="0.87067892107677958"/>
    <n v="0.87067892107677958"/>
    <n v="3.0572452667806171E-2"/>
    <n v="0"/>
  </r>
  <r>
    <x v="605"/>
    <n v="3.1528316914569898"/>
    <n v="3.9950000000000001"/>
    <n v="1"/>
    <n v="0.2"/>
    <n v="1"/>
    <n v="0.63056633829139797"/>
    <n v="0.2"/>
    <x v="0"/>
    <n v="0"/>
    <n v="0"/>
    <n v="0.87067892107677958"/>
    <n v="0"/>
    <n v="2.0000000000000462E-2"/>
  </r>
  <r>
    <x v="606"/>
    <n v="3.1681849384338299"/>
    <n v="3.9950000000000001"/>
    <n v="2"/>
    <n v="0.2"/>
    <n v="2"/>
    <n v="1.264203325978164"/>
    <n v="0.4"/>
    <x v="0"/>
    <n v="0"/>
    <n v="0"/>
    <n v="0.87067892107677958"/>
    <n v="0"/>
    <n v="2.0000000000000462E-2"/>
  </r>
  <r>
    <x v="607"/>
    <n v="3.1760802516618698"/>
    <n v="3.9950000000000001"/>
    <n v="5"/>
    <n v="0.2"/>
    <n v="3"/>
    <n v="1.899419376310538"/>
    <n v="0.60000000000000009"/>
    <x v="0"/>
    <n v="0"/>
    <n v="0"/>
    <n v="0.87067892107677958"/>
    <n v="0"/>
    <n v="2.0000000000000462E-2"/>
  </r>
  <r>
    <x v="608"/>
    <n v="3.20426354311416"/>
    <n v="3.9950000000000001"/>
    <n v="6"/>
    <n v="0.2"/>
    <n v="4"/>
    <n v="2.54027208493337"/>
    <n v="0.8"/>
    <x v="0"/>
    <n v="0"/>
    <n v="0"/>
    <n v="0.87067892107677958"/>
    <n v="0"/>
    <n v="2.0000000000000462E-2"/>
  </r>
  <r>
    <x v="609"/>
    <n v="3.23966504008277"/>
    <n v="3.9950000000000001"/>
    <n v="7"/>
    <n v="0.2"/>
    <n v="5"/>
    <n v="3.1882050929499242"/>
    <n v="1"/>
    <x v="1"/>
    <n v="3.1882050929499242"/>
    <n v="0.80679490705007595"/>
    <n v="0.80679490705007595"/>
    <n v="-6.3884014026703628E-2"/>
    <n v="2.0000000000000462E-2"/>
  </r>
  <r>
    <x v="610"/>
    <n v="3.2385398598967701"/>
    <n v="4.1050000000000004"/>
    <n v="1"/>
    <n v="0.2"/>
    <n v="1"/>
    <n v="0.64770797197935404"/>
    <n v="0.2"/>
    <x v="0"/>
    <n v="0"/>
    <n v="0"/>
    <n v="0.80679490705007595"/>
    <n v="0"/>
    <n v="0.11000000000000032"/>
  </r>
  <r>
    <x v="611"/>
    <n v="3.3013053863626398"/>
    <n v="4.1050000000000004"/>
    <n v="2"/>
    <n v="0.2"/>
    <n v="2"/>
    <n v="1.3079690492518821"/>
    <n v="0.4"/>
    <x v="0"/>
    <n v="0"/>
    <n v="0"/>
    <n v="0.80679490705007595"/>
    <n v="0"/>
    <n v="0.11000000000000032"/>
  </r>
  <r>
    <x v="612"/>
    <n v="3.2813411057709199"/>
    <n v="4.1050000000000004"/>
    <n v="5"/>
    <n v="0.2"/>
    <n v="3"/>
    <n v="1.9642372704060662"/>
    <n v="0.60000000000000009"/>
    <x v="0"/>
    <n v="0"/>
    <n v="0"/>
    <n v="0.80679490705007595"/>
    <n v="0"/>
    <n v="0.11000000000000032"/>
  </r>
  <r>
    <x v="613"/>
    <n v="3.28408302284724"/>
    <n v="4.1050000000000004"/>
    <n v="6"/>
    <n v="0.2"/>
    <n v="4"/>
    <n v="2.6210538749755141"/>
    <n v="0.8"/>
    <x v="0"/>
    <n v="0"/>
    <n v="0"/>
    <n v="0.80679490705007595"/>
    <n v="0"/>
    <n v="0.11000000000000032"/>
  </r>
  <r>
    <x v="614"/>
    <n v="3.2889456294412902"/>
    <n v="4.1050000000000004"/>
    <n v="7"/>
    <n v="0.2"/>
    <n v="5"/>
    <n v="3.2788430008637723"/>
    <n v="1"/>
    <x v="1"/>
    <n v="3.2788430008637723"/>
    <n v="0.82615699913622809"/>
    <n v="0.82615699913622809"/>
    <n v="1.9362092086152138E-2"/>
    <n v="0.11000000000000032"/>
  </r>
  <r>
    <x v="615"/>
    <n v="3.3001731665241301"/>
    <n v="4.0750000000000002"/>
    <n v="1"/>
    <n v="0.2"/>
    <n v="1"/>
    <n v="0.66003463330482603"/>
    <n v="0.2"/>
    <x v="0"/>
    <n v="0"/>
    <n v="0"/>
    <n v="0.82615699913622809"/>
    <n v="0"/>
    <n v="-3.0000000000000249E-2"/>
  </r>
  <r>
    <x v="616"/>
    <n v="3.2564979130093699"/>
    <n v="4.0750000000000002"/>
    <n v="2"/>
    <n v="0.2"/>
    <n v="2"/>
    <n v="1.3113342159067001"/>
    <n v="0.4"/>
    <x v="0"/>
    <n v="0"/>
    <n v="0"/>
    <n v="0.82615699913622809"/>
    <n v="0"/>
    <n v="-3.0000000000000249E-2"/>
  </r>
  <r>
    <x v="617"/>
    <n v="3.2397623305872298"/>
    <n v="4.0750000000000002"/>
    <n v="5"/>
    <n v="0.2"/>
    <n v="3"/>
    <n v="1.9592866820241461"/>
    <n v="0.60000000000000009"/>
    <x v="0"/>
    <n v="0"/>
    <n v="0"/>
    <n v="0.82615699913622809"/>
    <n v="0"/>
    <n v="-3.0000000000000249E-2"/>
  </r>
  <r>
    <x v="618"/>
    <n v="3.2147148443632201"/>
    <n v="4.0750000000000002"/>
    <n v="6"/>
    <n v="0.2"/>
    <n v="4"/>
    <n v="2.6022296508967901"/>
    <n v="0.8"/>
    <x v="0"/>
    <n v="0"/>
    <n v="0"/>
    <n v="0.82615699913622809"/>
    <n v="0"/>
    <n v="-3.0000000000000249E-2"/>
  </r>
  <r>
    <x v="619"/>
    <n v="3.24020380359058"/>
    <n v="4.0750000000000002"/>
    <n v="7"/>
    <n v="0.2"/>
    <n v="5"/>
    <n v="3.2502704116149062"/>
    <n v="1"/>
    <x v="1"/>
    <n v="3.2502704116149062"/>
    <n v="0.82472958838509403"/>
    <n v="0.82472958838509403"/>
    <n v="-1.4274107511340617E-3"/>
    <n v="-3.0000000000000249E-2"/>
  </r>
  <r>
    <x v="620"/>
    <n v="3.19667473354923"/>
    <n v="4.04"/>
    <n v="1"/>
    <n v="0.2"/>
    <n v="1"/>
    <n v="0.63933494670984603"/>
    <n v="0.2"/>
    <x v="0"/>
    <n v="0"/>
    <n v="0"/>
    <n v="0.82472958838509403"/>
    <n v="0"/>
    <n v="-3.5000000000000142E-2"/>
  </r>
  <r>
    <x v="621"/>
    <n v="3.21516848659176"/>
    <n v="4.04"/>
    <n v="2"/>
    <n v="0.2"/>
    <n v="2"/>
    <n v="1.2823686440281981"/>
    <n v="0.4"/>
    <x v="0"/>
    <n v="0"/>
    <n v="0"/>
    <n v="0.82472958838509403"/>
    <n v="0"/>
    <n v="-3.5000000000000142E-2"/>
  </r>
  <r>
    <x v="622"/>
    <n v="3.1926835363021802"/>
    <n v="4.04"/>
    <n v="5"/>
    <n v="0.2"/>
    <n v="3"/>
    <n v="1.920905351288634"/>
    <n v="0.60000000000000009"/>
    <x v="0"/>
    <n v="0"/>
    <n v="0"/>
    <n v="0.82472958838509403"/>
    <n v="0"/>
    <n v="-3.5000000000000142E-2"/>
  </r>
  <r>
    <x v="623"/>
    <n v="3.2078957125058598"/>
    <n v="4.04"/>
    <n v="6"/>
    <n v="0.2"/>
    <n v="4"/>
    <n v="2.5624844937898059"/>
    <n v="0.8"/>
    <x v="0"/>
    <n v="0"/>
    <n v="0"/>
    <n v="0.82472958838509403"/>
    <n v="0"/>
    <n v="-3.5000000000000142E-2"/>
  </r>
  <r>
    <x v="624"/>
    <n v="3.1187867017573798"/>
    <n v="4.04"/>
    <n v="7"/>
    <n v="0.2"/>
    <n v="5"/>
    <n v="3.1862418341412821"/>
    <n v="1"/>
    <x v="1"/>
    <n v="3.1862418341412821"/>
    <n v="0.85375816585871789"/>
    <n v="0.85375816585871789"/>
    <n v="2.9028577473623862E-2"/>
    <n v="-3.5000000000000142E-2"/>
  </r>
  <r>
    <x v="625"/>
    <n v="3.13610168579967"/>
    <n v="3.9950000000000001"/>
    <n v="1"/>
    <n v="0.2"/>
    <n v="1"/>
    <n v="0.62722033715993408"/>
    <n v="0.2"/>
    <x v="0"/>
    <n v="0"/>
    <n v="0"/>
    <n v="0.85375816585871789"/>
    <n v="0"/>
    <n v="-4.4999999999999929E-2"/>
  </r>
  <r>
    <x v="626"/>
    <n v="3.14080245533752"/>
    <n v="3.9950000000000001"/>
    <n v="2"/>
    <n v="0.2"/>
    <n v="2"/>
    <n v="1.2553808282274381"/>
    <n v="0.4"/>
    <x v="0"/>
    <n v="0"/>
    <n v="0"/>
    <n v="0.85375816585871789"/>
    <n v="0"/>
    <n v="-4.4999999999999929E-2"/>
  </r>
  <r>
    <x v="627"/>
    <n v="3.12297819640008"/>
    <n v="3.9950000000000001"/>
    <n v="5"/>
    <n v="0.2"/>
    <n v="3"/>
    <n v="1.8799764675074542"/>
    <n v="0.60000000000000009"/>
    <x v="0"/>
    <n v="0"/>
    <n v="0"/>
    <n v="0.85375816585871789"/>
    <n v="0"/>
    <n v="-4.4999999999999929E-2"/>
  </r>
  <r>
    <x v="628"/>
    <n v="3.05716566753143"/>
    <n v="3.9950000000000001"/>
    <n v="6"/>
    <n v="0.2"/>
    <n v="4"/>
    <n v="2.4914096010137401"/>
    <n v="0.8"/>
    <x v="0"/>
    <n v="0"/>
    <n v="0"/>
    <n v="0.85375816585871789"/>
    <n v="0"/>
    <n v="-4.4999999999999929E-2"/>
  </r>
  <r>
    <x v="629"/>
    <n v="3.00695688776984"/>
    <n v="3.9950000000000001"/>
    <n v="7"/>
    <n v="0.2"/>
    <n v="5"/>
    <n v="3.0928009785677082"/>
    <n v="1"/>
    <x v="1"/>
    <n v="3.0928009785677082"/>
    <n v="0.90219902143229191"/>
    <n v="0.90219902143229191"/>
    <n v="4.8440855573574026E-2"/>
    <n v="-4.4999999999999929E-2"/>
  </r>
  <r>
    <x v="630"/>
    <n v="3.0093512074845101"/>
    <n v="3.8450000000000002"/>
    <n v="1"/>
    <n v="0.2"/>
    <n v="1"/>
    <n v="0.60187024149690205"/>
    <n v="0.2"/>
    <x v="0"/>
    <n v="0"/>
    <n v="0"/>
    <n v="0.90219902143229191"/>
    <n v="0"/>
    <n v="-0.14999999999999991"/>
  </r>
  <r>
    <x v="631"/>
    <n v="3.0064713691768699"/>
    <n v="3.8450000000000002"/>
    <n v="2"/>
    <n v="0.2"/>
    <n v="2"/>
    <n v="1.2031645153322761"/>
    <n v="0.4"/>
    <x v="0"/>
    <n v="0"/>
    <n v="0"/>
    <n v="0.90219902143229191"/>
    <n v="0"/>
    <n v="-0.14999999999999991"/>
  </r>
  <r>
    <x v="632"/>
    <n v="2.9156735260487601"/>
    <n v="3.8450000000000002"/>
    <n v="6"/>
    <n v="0.2"/>
    <n v="3"/>
    <n v="1.7862992205420283"/>
    <n v="0.60000000000000009"/>
    <x v="0"/>
    <n v="0"/>
    <n v="0"/>
    <n v="0.90219902143229191"/>
    <n v="0"/>
    <n v="-0.14999999999999991"/>
  </r>
  <r>
    <x v="633"/>
    <n v="2.8012763487796"/>
    <n v="3.8450000000000002"/>
    <n v="7"/>
    <n v="0.2"/>
    <n v="4"/>
    <n v="2.3465544902979483"/>
    <n v="0.8"/>
    <x v="1"/>
    <n v="2.9331931128724351"/>
    <n v="0.91180688712756508"/>
    <n v="0.91180688712756508"/>
    <n v="9.6078656952731656E-3"/>
    <n v="-0.14999999999999991"/>
  </r>
  <r>
    <x v="634"/>
    <n v="2.88997696662019"/>
    <n v="3.7949999999999999"/>
    <n v="1"/>
    <n v="0.2"/>
    <n v="1"/>
    <n v="0.57799539332403804"/>
    <n v="0.2"/>
    <x v="0"/>
    <n v="0"/>
    <n v="0"/>
    <n v="0.91180688712756508"/>
    <n v="0"/>
    <n v="-5.0000000000000266E-2"/>
  </r>
  <r>
    <x v="635"/>
    <n v="2.9089681552965998"/>
    <n v="3.7949999999999999"/>
    <n v="2"/>
    <n v="0.2"/>
    <n v="2"/>
    <n v="1.159789024383358"/>
    <n v="0.4"/>
    <x v="0"/>
    <n v="0"/>
    <n v="0"/>
    <n v="0.91180688712756508"/>
    <n v="0"/>
    <n v="-5.0000000000000266E-2"/>
  </r>
  <r>
    <x v="636"/>
    <n v="2.88228276625992"/>
    <n v="3.7949999999999999"/>
    <n v="5"/>
    <n v="0.2"/>
    <n v="3"/>
    <n v="1.736245577635342"/>
    <n v="0.60000000000000009"/>
    <x v="0"/>
    <n v="0"/>
    <n v="0"/>
    <n v="0.91180688712756508"/>
    <n v="0"/>
    <n v="-5.0000000000000266E-2"/>
  </r>
  <r>
    <x v="637"/>
    <n v="2.90260596221672"/>
    <n v="3.7949999999999999"/>
    <n v="6"/>
    <n v="0.2"/>
    <n v="4"/>
    <n v="2.316766770078686"/>
    <n v="0.8"/>
    <x v="0"/>
    <n v="0"/>
    <n v="0"/>
    <n v="0.91180688712756508"/>
    <n v="0"/>
    <n v="-5.0000000000000266E-2"/>
  </r>
  <r>
    <x v="638"/>
    <n v="2.91560839979166"/>
    <n v="3.7949999999999999"/>
    <n v="7"/>
    <n v="0.2"/>
    <n v="5"/>
    <n v="2.8998884500370181"/>
    <n v="1"/>
    <x v="1"/>
    <n v="2.8998884500370181"/>
    <n v="0.89511154996298181"/>
    <n v="0.89511154996298181"/>
    <n v="-1.6695337164583268E-2"/>
    <n v="-5.0000000000000266E-2"/>
  </r>
  <r>
    <x v="639"/>
    <n v="2.9569729972046299"/>
    <n v="3.855"/>
    <n v="1"/>
    <n v="0.2"/>
    <n v="1"/>
    <n v="0.59139459944092598"/>
    <n v="0.2"/>
    <x v="0"/>
    <n v="0"/>
    <n v="0"/>
    <n v="0.89511154996298181"/>
    <n v="0"/>
    <n v="6.0000000000000053E-2"/>
  </r>
  <r>
    <x v="640"/>
    <n v="2.9670641789919698"/>
    <n v="3.855"/>
    <n v="2"/>
    <n v="0.2"/>
    <n v="2"/>
    <n v="1.1848074352393199"/>
    <n v="0.4"/>
    <x v="0"/>
    <n v="0"/>
    <n v="0"/>
    <n v="0.89511154996298181"/>
    <n v="0"/>
    <n v="6.0000000000000053E-2"/>
  </r>
  <r>
    <x v="641"/>
    <n v="2.95063055740501"/>
    <n v="3.855"/>
    <n v="5"/>
    <n v="0.2"/>
    <n v="3"/>
    <n v="1.7749335467203218"/>
    <n v="0.60000000000000009"/>
    <x v="0"/>
    <n v="0"/>
    <n v="0"/>
    <n v="0.89511154996298181"/>
    <n v="0"/>
    <n v="6.0000000000000053E-2"/>
  </r>
  <r>
    <x v="642"/>
    <n v="2.9732615646767"/>
    <n v="3.855"/>
    <n v="6"/>
    <n v="0.2"/>
    <n v="4"/>
    <n v="2.369585859655662"/>
    <n v="0.8"/>
    <x v="0"/>
    <n v="0"/>
    <n v="0"/>
    <n v="0.89511154996298181"/>
    <n v="0"/>
    <n v="6.0000000000000053E-2"/>
  </r>
  <r>
    <x v="643"/>
    <n v="3.0090985385111702"/>
    <n v="3.855"/>
    <n v="7"/>
    <n v="0.2"/>
    <n v="5"/>
    <n v="2.9714055673578961"/>
    <n v="1"/>
    <x v="1"/>
    <n v="2.9714055673578961"/>
    <n v="0.88359443264210391"/>
    <n v="0.88359443264210391"/>
    <n v="-1.1517117320877901E-2"/>
    <n v="6.0000000000000053E-2"/>
  </r>
  <r>
    <x v="644"/>
    <n v="2.9884141965756501"/>
    <n v="3.8949999999999996"/>
    <n v="1"/>
    <n v="0.2"/>
    <n v="1"/>
    <n v="0.59768283931513"/>
    <n v="0.2"/>
    <x v="0"/>
    <n v="0"/>
    <n v="0"/>
    <n v="0.88359443264210391"/>
    <n v="0"/>
    <n v="3.9999999999999591E-2"/>
  </r>
  <r>
    <x v="645"/>
    <n v="3.0097405474457601"/>
    <n v="3.8949999999999996"/>
    <n v="2"/>
    <n v="0.2"/>
    <n v="2"/>
    <n v="1.1996309488042822"/>
    <n v="0.4"/>
    <x v="0"/>
    <n v="0"/>
    <n v="0"/>
    <n v="0.88359443264210391"/>
    <n v="0"/>
    <n v="3.9999999999999591E-2"/>
  </r>
  <r>
    <x v="646"/>
    <n v="3.04727792085342"/>
    <n v="3.8949999999999996"/>
    <n v="5"/>
    <n v="0.2"/>
    <n v="3"/>
    <n v="1.8090865329749661"/>
    <n v="0.60000000000000009"/>
    <x v="0"/>
    <n v="0"/>
    <n v="0"/>
    <n v="0.88359443264210391"/>
    <n v="0"/>
    <n v="3.9999999999999591E-2"/>
  </r>
  <r>
    <x v="647"/>
    <n v="3.0442418004482401"/>
    <n v="3.8949999999999996"/>
    <n v="6"/>
    <n v="0.2"/>
    <n v="4"/>
    <n v="2.4179348930646141"/>
    <n v="0.8"/>
    <x v="0"/>
    <n v="0"/>
    <n v="0"/>
    <n v="0.88359443264210391"/>
    <n v="0"/>
    <n v="3.9999999999999591E-2"/>
  </r>
  <r>
    <x v="648"/>
    <n v="3.04444949772784"/>
    <n v="3.8949999999999996"/>
    <n v="7"/>
    <n v="0.2"/>
    <n v="5"/>
    <n v="3.0268247926101823"/>
    <n v="1"/>
    <x v="1"/>
    <n v="3.0268247926101823"/>
    <n v="0.86817520738981724"/>
    <n v="0.86817520738981724"/>
    <n v="-1.5419225252286672E-2"/>
    <n v="3.9999999999999591E-2"/>
  </r>
  <r>
    <x v="649"/>
    <n v="3.05201083744713"/>
    <n v="3.8849999999999998"/>
    <n v="1"/>
    <n v="0.2"/>
    <n v="1"/>
    <n v="0.610402167489426"/>
    <n v="0.2"/>
    <x v="0"/>
    <n v="0"/>
    <n v="0"/>
    <n v="0.86817520738981724"/>
    <n v="0"/>
    <n v="-9.9999999999997868E-3"/>
  </r>
  <r>
    <x v="650"/>
    <n v="3.00136099640791"/>
    <n v="3.8849999999999998"/>
    <n v="2"/>
    <n v="0.2"/>
    <n v="2"/>
    <n v="1.210674366771008"/>
    <n v="0.4"/>
    <x v="0"/>
    <n v="0"/>
    <n v="0"/>
    <n v="0.86817520738981724"/>
    <n v="0"/>
    <n v="-9.9999999999997868E-3"/>
  </r>
  <r>
    <x v="651"/>
    <n v="3.0363365323845302"/>
    <n v="3.8849999999999998"/>
    <n v="5"/>
    <n v="0.2"/>
    <n v="3"/>
    <n v="1.8179416732479141"/>
    <n v="0.60000000000000009"/>
    <x v="0"/>
    <n v="0"/>
    <n v="0"/>
    <n v="0.86817520738981724"/>
    <n v="0"/>
    <n v="-9.9999999999997868E-3"/>
  </r>
  <r>
    <x v="652"/>
    <n v="3.03648433223462"/>
    <n v="3.8849999999999998"/>
    <n v="7"/>
    <n v="0.2"/>
    <n v="4"/>
    <n v="2.4252385396948384"/>
    <n v="0.8"/>
    <x v="1"/>
    <n v="3.031548174618548"/>
    <n v="0.85345182538145181"/>
    <n v="0.85345182538145181"/>
    <n v="-1.4723382008365427E-2"/>
    <n v="-9.9999999999997868E-3"/>
  </r>
  <r>
    <x v="653"/>
    <n v="3.0240880311784402"/>
    <n v="3.8650000000000002"/>
    <n v="1"/>
    <n v="0.2"/>
    <n v="1"/>
    <n v="0.60481760623568803"/>
    <n v="0.2"/>
    <x v="0"/>
    <n v="0"/>
    <n v="0"/>
    <n v="0.85345182538145181"/>
    <n v="0"/>
    <n v="-1.9999999999999574E-2"/>
  </r>
  <r>
    <x v="654"/>
    <n v="2.9883080633805301"/>
    <n v="3.8650000000000002"/>
    <n v="2"/>
    <n v="0.2"/>
    <n v="2"/>
    <n v="1.2024792189117941"/>
    <n v="0.4"/>
    <x v="0"/>
    <n v="0"/>
    <n v="0"/>
    <n v="0.85345182538145181"/>
    <n v="0"/>
    <n v="-1.9999999999999574E-2"/>
  </r>
  <r>
    <x v="655"/>
    <n v="2.9940977333827501"/>
    <n v="3.8650000000000002"/>
    <n v="5"/>
    <n v="0.2"/>
    <n v="3"/>
    <n v="1.8012987655883441"/>
    <n v="0.60000000000000009"/>
    <x v="0"/>
    <n v="0"/>
    <n v="0"/>
    <n v="0.85345182538145181"/>
    <n v="0"/>
    <n v="-1.9999999999999574E-2"/>
  </r>
  <r>
    <x v="656"/>
    <n v="2.98225794262494"/>
    <n v="3.8650000000000002"/>
    <n v="6"/>
    <n v="0.2"/>
    <n v="4"/>
    <n v="2.3977503541133323"/>
    <n v="0.8"/>
    <x v="0"/>
    <n v="0"/>
    <n v="0"/>
    <n v="0.85345182538145181"/>
    <n v="0"/>
    <n v="-1.9999999999999574E-2"/>
  </r>
  <r>
    <x v="657"/>
    <n v="3.0039537946355401"/>
    <n v="3.8650000000000002"/>
    <n v="7"/>
    <n v="0.2"/>
    <n v="5"/>
    <n v="2.9985411130404405"/>
    <n v="1"/>
    <x v="1"/>
    <n v="2.9985411130404405"/>
    <n v="0.86645888695955975"/>
    <n v="0.86645888695955975"/>
    <n v="1.3007061578107937E-2"/>
    <n v="-1.9999999999999574E-2"/>
  </r>
  <r>
    <x v="658"/>
    <n v="2.9824542230370898"/>
    <n v="3.8450000000000002"/>
    <n v="1"/>
    <n v="0.2"/>
    <n v="1"/>
    <n v="0.59649084460741797"/>
    <n v="0.2"/>
    <x v="0"/>
    <n v="0"/>
    <n v="0"/>
    <n v="0.86645888695955975"/>
    <n v="0"/>
    <n v="-2.0000000000000018E-2"/>
  </r>
  <r>
    <x v="659"/>
    <n v="2.96503071609644"/>
    <n v="3.8450000000000002"/>
    <n v="2"/>
    <n v="0.2"/>
    <n v="2"/>
    <n v="1.1894969878267059"/>
    <n v="0.4"/>
    <x v="0"/>
    <n v="0"/>
    <n v="0"/>
    <n v="0.86645888695955975"/>
    <n v="0"/>
    <n v="-2.0000000000000018E-2"/>
  </r>
  <r>
    <x v="660"/>
    <n v="2.9533754292471799"/>
    <n v="3.8450000000000002"/>
    <n v="5"/>
    <n v="0.2"/>
    <n v="3"/>
    <n v="1.7801720736761419"/>
    <n v="0.60000000000000009"/>
    <x v="0"/>
    <n v="0"/>
    <n v="0"/>
    <n v="0.86645888695955975"/>
    <n v="0"/>
    <n v="-2.0000000000000018E-2"/>
  </r>
  <r>
    <x v="661"/>
    <n v="2.8987235748393099"/>
    <n v="3.8450000000000002"/>
    <n v="6"/>
    <n v="0.2"/>
    <n v="4"/>
    <n v="2.359916788644004"/>
    <n v="0.8"/>
    <x v="0"/>
    <n v="0"/>
    <n v="0"/>
    <n v="0.86645888695955975"/>
    <n v="0"/>
    <n v="-2.0000000000000018E-2"/>
  </r>
  <r>
    <x v="662"/>
    <n v="2.8840952878375998"/>
    <n v="3.8450000000000002"/>
    <n v="7"/>
    <n v="0.2"/>
    <n v="5"/>
    <n v="2.9367358462115241"/>
    <n v="1"/>
    <x v="1"/>
    <n v="2.9367358462115241"/>
    <n v="0.90826415378847614"/>
    <n v="0.90826415378847614"/>
    <n v="4.1805266828916388E-2"/>
    <n v="-2.0000000000000018E-2"/>
  </r>
  <r>
    <x v="663"/>
    <n v="2.84568526355815"/>
    <n v="3.7650000000000001"/>
    <n v="2"/>
    <n v="0.2"/>
    <n v="1"/>
    <n v="0.56913705271163006"/>
    <n v="0.2"/>
    <x v="0"/>
    <n v="0"/>
    <n v="0"/>
    <n v="0.90826415378847614"/>
    <n v="0"/>
    <n v="-8.0000000000000071E-2"/>
  </r>
  <r>
    <x v="664"/>
    <n v="2.8622800897906999"/>
    <n v="3.7650000000000001"/>
    <n v="5"/>
    <n v="0.2"/>
    <n v="2"/>
    <n v="1.1415930706697701"/>
    <n v="0.4"/>
    <x v="0"/>
    <n v="0"/>
    <n v="0"/>
    <n v="0.90826415378847614"/>
    <n v="0"/>
    <n v="-8.0000000000000071E-2"/>
  </r>
  <r>
    <x v="665"/>
    <n v="2.92504129119764"/>
    <n v="3.7650000000000001"/>
    <n v="6"/>
    <n v="0.2"/>
    <n v="3"/>
    <n v="1.7266013289092981"/>
    <n v="0.60000000000000009"/>
    <x v="0"/>
    <n v="0"/>
    <n v="0"/>
    <n v="0.90826415378847614"/>
    <n v="0"/>
    <n v="-8.0000000000000071E-2"/>
  </r>
  <r>
    <x v="666"/>
    <n v="2.9323159668402701"/>
    <n v="3.7650000000000001"/>
    <n v="7"/>
    <n v="0.2"/>
    <n v="4"/>
    <n v="2.3130645222773523"/>
    <n v="0.8"/>
    <x v="1"/>
    <n v="2.89133065284669"/>
    <n v="0.87366934715331013"/>
    <n v="0.87366934715331013"/>
    <n v="-3.4594806635166009E-2"/>
    <n v="-8.0000000000000071E-2"/>
  </r>
  <r>
    <x v="667"/>
    <n v="2.90250988237801"/>
    <n v="3.8050000000000002"/>
    <n v="1"/>
    <n v="0.2"/>
    <n v="1"/>
    <n v="0.58050197647560198"/>
    <n v="0.2"/>
    <x v="0"/>
    <n v="0"/>
    <n v="0"/>
    <n v="0.87366934715331013"/>
    <n v="0"/>
    <n v="4.0000000000000036E-2"/>
  </r>
  <r>
    <x v="668"/>
    <n v="2.9546349103912699"/>
    <n v="3.8050000000000002"/>
    <n v="2"/>
    <n v="0.2"/>
    <n v="2"/>
    <n v="1.171428958553856"/>
    <n v="0.4"/>
    <x v="0"/>
    <n v="0"/>
    <n v="0"/>
    <n v="0.87366934715331013"/>
    <n v="0"/>
    <n v="4.0000000000000036E-2"/>
  </r>
  <r>
    <x v="669"/>
    <n v="2.9087586637234901"/>
    <n v="3.8050000000000002"/>
    <n v="5"/>
    <n v="0.2"/>
    <n v="3"/>
    <n v="1.7531806912985539"/>
    <n v="0.60000000000000009"/>
    <x v="0"/>
    <n v="0"/>
    <n v="0"/>
    <n v="0.87366934715331013"/>
    <n v="0"/>
    <n v="4.0000000000000036E-2"/>
  </r>
  <r>
    <x v="670"/>
    <n v="2.8860238028398202"/>
    <n v="3.8050000000000002"/>
    <n v="6"/>
    <n v="0.2"/>
    <n v="4"/>
    <n v="2.3303854518665181"/>
    <n v="0.8"/>
    <x v="0"/>
    <n v="0"/>
    <n v="0"/>
    <n v="0.87366934715331013"/>
    <n v="0"/>
    <n v="4.0000000000000036E-2"/>
  </r>
  <r>
    <x v="671"/>
    <n v="2.8515070487427501"/>
    <n v="3.8050000000000002"/>
    <n v="7"/>
    <n v="0.2"/>
    <n v="5"/>
    <n v="2.9006868616150681"/>
    <n v="1"/>
    <x v="1"/>
    <n v="2.9006868616150681"/>
    <n v="0.9043131383849321"/>
    <n v="0.9043131383849321"/>
    <n v="3.0643791231621975E-2"/>
    <n v="4.0000000000000036E-2"/>
  </r>
  <r>
    <x v="672"/>
    <n v="2.8634343397483599"/>
    <n v="3.6999999999999997"/>
    <n v="1"/>
    <n v="0.2"/>
    <n v="1"/>
    <n v="0.57268686794967205"/>
    <n v="0.2"/>
    <x v="0"/>
    <n v="0"/>
    <n v="0"/>
    <n v="0.9043131383849321"/>
    <n v="0"/>
    <n v="-0.10500000000000043"/>
  </r>
  <r>
    <x v="673"/>
    <n v="2.80057780204395"/>
    <n v="3.6999999999999997"/>
    <n v="2"/>
    <n v="0.2"/>
    <n v="2"/>
    <n v="1.1328024283584621"/>
    <n v="0.4"/>
    <x v="0"/>
    <n v="0"/>
    <n v="0"/>
    <n v="0.9043131383849321"/>
    <n v="0"/>
    <n v="-0.10500000000000043"/>
  </r>
  <r>
    <x v="674"/>
    <n v="2.8291749929655099"/>
    <n v="3.6999999999999997"/>
    <n v="5"/>
    <n v="0.2"/>
    <n v="3"/>
    <n v="1.6986374269515641"/>
    <n v="0.60000000000000009"/>
    <x v="0"/>
    <n v="0"/>
    <n v="0"/>
    <n v="0.9043131383849321"/>
    <n v="0"/>
    <n v="-0.10500000000000043"/>
  </r>
  <r>
    <x v="675"/>
    <n v="2.7872489970640002"/>
    <n v="3.6999999999999997"/>
    <n v="6"/>
    <n v="0.2"/>
    <n v="4"/>
    <n v="2.2560872263643641"/>
    <n v="0.8"/>
    <x v="0"/>
    <n v="0"/>
    <n v="0"/>
    <n v="0.9043131383849321"/>
    <n v="0"/>
    <n v="-0.10500000000000043"/>
  </r>
  <r>
    <x v="676"/>
    <n v="2.8371501312702399"/>
    <n v="3.6999999999999997"/>
    <n v="7"/>
    <n v="0.2"/>
    <n v="5"/>
    <n v="2.8235172526184122"/>
    <n v="1"/>
    <x v="1"/>
    <n v="2.8235172526184122"/>
    <n v="0.87648274738158749"/>
    <n v="0.87648274738158749"/>
    <n v="-2.7830391003344612E-2"/>
    <n v="-0.10500000000000043"/>
  </r>
  <r>
    <x v="677"/>
    <n v="2.8582300067965201"/>
    <n v="3.73"/>
    <n v="1"/>
    <n v="0.2"/>
    <n v="1"/>
    <n v="0.57164600135930399"/>
    <n v="0.2"/>
    <x v="0"/>
    <n v="0"/>
    <n v="0"/>
    <n v="0.87648274738158749"/>
    <n v="0"/>
    <n v="3.0000000000000249E-2"/>
  </r>
  <r>
    <x v="678"/>
    <n v="2.8337398573021799"/>
    <n v="3.73"/>
    <n v="2"/>
    <n v="0.2"/>
    <n v="2"/>
    <n v="1.1383939728197401"/>
    <n v="0.4"/>
    <x v="0"/>
    <n v="0"/>
    <n v="0"/>
    <n v="0.87648274738158749"/>
    <n v="0"/>
    <n v="3.0000000000000249E-2"/>
  </r>
  <r>
    <x v="679"/>
    <n v="2.8256441971088901"/>
    <n v="3.73"/>
    <n v="5"/>
    <n v="0.2"/>
    <n v="3"/>
    <n v="1.703522812241518"/>
    <n v="0.60000000000000009"/>
    <x v="0"/>
    <n v="0"/>
    <n v="0"/>
    <n v="0.87648274738158749"/>
    <n v="0"/>
    <n v="3.0000000000000249E-2"/>
  </r>
  <r>
    <x v="680"/>
    <n v="2.91032440435752"/>
    <n v="3.73"/>
    <n v="6"/>
    <n v="0.2"/>
    <n v="4"/>
    <n v="2.2855876931130221"/>
    <n v="0.8"/>
    <x v="0"/>
    <n v="0"/>
    <n v="0"/>
    <n v="0.87648274738158749"/>
    <n v="0"/>
    <n v="3.0000000000000249E-2"/>
  </r>
  <r>
    <x v="681"/>
    <n v="2.90975275027838"/>
    <n v="3.73"/>
    <n v="7"/>
    <n v="0.2"/>
    <n v="5"/>
    <n v="2.8675382431686982"/>
    <n v="1"/>
    <x v="1"/>
    <n v="2.8675382431686982"/>
    <n v="0.86246175683130177"/>
    <n v="0.86246175683130177"/>
    <n v="-1.4020990550285717E-2"/>
    <n v="3.0000000000000249E-2"/>
  </r>
  <r>
    <x v="682"/>
    <n v="2.8912427168811901"/>
    <n v="3.77"/>
    <n v="2"/>
    <n v="0.2"/>
    <n v="1"/>
    <n v="0.57824854337623799"/>
    <n v="0.2"/>
    <x v="0"/>
    <n v="0"/>
    <n v="0"/>
    <n v="0.86246175683130177"/>
    <n v="0"/>
    <n v="4.0000000000000036E-2"/>
  </r>
  <r>
    <x v="683"/>
    <n v="2.8609798255384802"/>
    <n v="3.77"/>
    <n v="5"/>
    <n v="0.2"/>
    <n v="2"/>
    <n v="1.1504445084839341"/>
    <n v="0.4"/>
    <x v="0"/>
    <n v="0"/>
    <n v="0"/>
    <n v="0.86246175683130177"/>
    <n v="0"/>
    <n v="4.0000000000000036E-2"/>
  </r>
  <r>
    <x v="684"/>
    <n v="2.8519980737177399"/>
    <n v="3.77"/>
    <n v="6"/>
    <n v="0.2"/>
    <n v="3"/>
    <n v="1.720844123227482"/>
    <n v="0.60000000000000009"/>
    <x v="0"/>
    <n v="0"/>
    <n v="0"/>
    <n v="0.86246175683130177"/>
    <n v="0"/>
    <n v="4.0000000000000036E-2"/>
  </r>
  <r>
    <x v="685"/>
    <n v="2.8338661414623698"/>
    <n v="3.77"/>
    <n v="7"/>
    <n v="0.2"/>
    <n v="4"/>
    <n v="2.2876173515199563"/>
    <n v="0.8"/>
    <x v="1"/>
    <n v="2.8595216893999451"/>
    <n v="0.91047831060005491"/>
    <n v="0.91047831060005491"/>
    <n v="4.8016553768753134E-2"/>
    <n v="4.0000000000000036E-2"/>
  </r>
  <r>
    <x v="686"/>
    <n v="2.7854452423976599"/>
    <n v="3.63"/>
    <n v="2"/>
    <n v="0.2"/>
    <n v="1"/>
    <n v="0.557089048479532"/>
    <n v="0.2"/>
    <x v="0"/>
    <n v="0"/>
    <n v="0"/>
    <n v="0.91047831060005491"/>
    <n v="0"/>
    <n v="-0.14000000000000012"/>
  </r>
  <r>
    <x v="687"/>
    <n v="2.6962701266687499"/>
    <n v="3.63"/>
    <n v="5"/>
    <n v="0.2"/>
    <n v="2"/>
    <n v="1.096343073813282"/>
    <n v="0.4"/>
    <x v="0"/>
    <n v="0"/>
    <n v="0"/>
    <n v="0.91047831060005491"/>
    <n v="0"/>
    <n v="-0.14000000000000012"/>
  </r>
  <r>
    <x v="688"/>
    <n v="2.61636453709349"/>
    <n v="3.63"/>
    <n v="6"/>
    <n v="0.2"/>
    <n v="3"/>
    <n v="1.6196159812319801"/>
    <n v="0.60000000000000009"/>
    <x v="0"/>
    <n v="0"/>
    <n v="0"/>
    <n v="0.91047831060005491"/>
    <n v="0"/>
    <n v="-0.14000000000000012"/>
  </r>
  <r>
    <x v="689"/>
    <n v="2.6248431051869581"/>
    <n v="3.63"/>
    <n v="7"/>
    <n v="0.2"/>
    <n v="4"/>
    <n v="2.1445846022693718"/>
    <n v="0.8"/>
    <x v="1"/>
    <n v="2.6807307528367144"/>
    <n v="0.94926924716328553"/>
    <n v="0.94926924716328553"/>
    <n v="3.8790936563230627E-2"/>
    <n v="-0.14000000000000012"/>
  </r>
  <r>
    <x v="690"/>
    <n v="2.6774292062275329"/>
    <n v="3.56"/>
    <n v="1"/>
    <n v="0.2"/>
    <n v="1"/>
    <n v="0.53548584124550658"/>
    <n v="0.2"/>
    <x v="0"/>
    <n v="0"/>
    <n v="0"/>
    <n v="0.94926924716328553"/>
    <n v="0"/>
    <n v="-6.999999999999984E-2"/>
  </r>
  <r>
    <x v="691"/>
    <n v="2.6462920309129299"/>
    <n v="3.56"/>
    <n v="2"/>
    <n v="0.2"/>
    <n v="2"/>
    <n v="1.0647442474280926"/>
    <n v="0.4"/>
    <x v="0"/>
    <n v="0"/>
    <n v="0"/>
    <n v="0.94926924716328553"/>
    <n v="0"/>
    <n v="-6.999999999999984E-2"/>
  </r>
  <r>
    <x v="692"/>
    <n v="2.5936190223084101"/>
    <n v="3.56"/>
    <n v="5"/>
    <n v="0.2"/>
    <n v="3"/>
    <n v="1.5834680518897746"/>
    <n v="0.60000000000000009"/>
    <x v="0"/>
    <n v="0"/>
    <n v="0"/>
    <n v="0.94926924716328553"/>
    <n v="0"/>
    <n v="-6.999999999999984E-2"/>
  </r>
  <r>
    <x v="693"/>
    <n v="2.57954379421794"/>
    <n v="3.56"/>
    <n v="6"/>
    <n v="0.2"/>
    <n v="4"/>
    <n v="2.0993768107333626"/>
    <n v="0.8"/>
    <x v="0"/>
    <n v="0"/>
    <n v="0"/>
    <n v="0.94926924716328553"/>
    <n v="0"/>
    <n v="-6.999999999999984E-2"/>
  </r>
  <r>
    <x v="694"/>
    <n v="2.49106608048328"/>
    <n v="3.56"/>
    <n v="7"/>
    <n v="0.2"/>
    <n v="5"/>
    <n v="2.5975900268300185"/>
    <n v="1"/>
    <x v="1"/>
    <n v="2.5975900268300185"/>
    <n v="0.96240997316998156"/>
    <n v="0.96240997316998156"/>
    <n v="1.3140726006696024E-2"/>
    <n v="-6.999999999999984E-2"/>
  </r>
  <r>
    <x v="695"/>
    <n v="2.4553295319883701"/>
    <n v="3.5549999999999997"/>
    <n v="1"/>
    <n v="0.2"/>
    <n v="1"/>
    <n v="0.49106590639767406"/>
    <n v="0.2"/>
    <x v="0"/>
    <n v="0"/>
    <n v="0"/>
    <n v="0.96240997316998156"/>
    <n v="0"/>
    <n v="-5.0000000000003375E-3"/>
  </r>
  <r>
    <x v="696"/>
    <n v="2.5454794820645601"/>
    <n v="3.5549999999999997"/>
    <n v="2"/>
    <n v="0.2"/>
    <n v="2"/>
    <n v="1.0001618028105861"/>
    <n v="0.4"/>
    <x v="0"/>
    <n v="0"/>
    <n v="0"/>
    <n v="0.96240997316998156"/>
    <n v="0"/>
    <n v="-5.0000000000003375E-3"/>
  </r>
  <r>
    <x v="697"/>
    <n v="2.55737179181423"/>
    <n v="3.5549999999999997"/>
    <n v="6"/>
    <n v="0.2"/>
    <n v="3"/>
    <n v="1.5116361611734321"/>
    <n v="0.60000000000000009"/>
    <x v="0"/>
    <n v="0"/>
    <n v="0"/>
    <n v="0.96240997316998156"/>
    <n v="0"/>
    <n v="-5.0000000000003375E-3"/>
  </r>
  <r>
    <x v="698"/>
    <n v="2.6084944348331098"/>
    <n v="3.5549999999999997"/>
    <n v="7"/>
    <n v="0.2"/>
    <n v="4"/>
    <n v="2.0333350481400543"/>
    <n v="0.8"/>
    <x v="1"/>
    <n v="2.5416688101750675"/>
    <n v="1.0133311898249322"/>
    <n v="1.0133311898249322"/>
    <n v="5.0921216654950641E-2"/>
    <n v="-5.0000000000003375E-3"/>
  </r>
  <r>
    <x v="699"/>
    <n v="2.6170205733531602"/>
    <n v="3.56"/>
    <n v="1"/>
    <n v="0.2"/>
    <n v="1"/>
    <n v="0.52340411467063208"/>
    <n v="0.2"/>
    <x v="0"/>
    <n v="0"/>
    <n v="0"/>
    <n v="1.0133311898249322"/>
    <n v="0"/>
    <n v="5.0000000000003375E-3"/>
  </r>
  <r>
    <x v="700"/>
    <n v="2.5688065849413189"/>
    <n v="3.56"/>
    <n v="2"/>
    <n v="0.2"/>
    <n v="2"/>
    <n v="1.0371654316588959"/>
    <n v="0.4"/>
    <x v="0"/>
    <n v="0"/>
    <n v="0"/>
    <n v="1.0133311898249322"/>
    <n v="0"/>
    <n v="5.0000000000003375E-3"/>
  </r>
  <r>
    <x v="701"/>
    <n v="2.5964187919228277"/>
    <n v="3.56"/>
    <n v="5"/>
    <n v="0.2"/>
    <n v="3"/>
    <n v="1.5564491900434614"/>
    <n v="0.60000000000000009"/>
    <x v="0"/>
    <n v="0"/>
    <n v="0"/>
    <n v="1.0133311898249322"/>
    <n v="0"/>
    <n v="5.0000000000003375E-3"/>
  </r>
  <r>
    <x v="702"/>
    <n v="2.58566791572217"/>
    <n v="3.56"/>
    <n v="6"/>
    <n v="0.2"/>
    <n v="4"/>
    <n v="2.0735827731878955"/>
    <n v="0.8"/>
    <x v="0"/>
    <n v="0"/>
    <n v="0"/>
    <n v="1.0133311898249322"/>
    <n v="0"/>
    <n v="5.0000000000003375E-3"/>
  </r>
  <r>
    <x v="703"/>
    <n v="2.5075854882079498"/>
    <n v="3.56"/>
    <n v="7"/>
    <n v="0.2"/>
    <n v="5"/>
    <n v="2.5750998708294857"/>
    <n v="1"/>
    <x v="1"/>
    <n v="2.5750998708294857"/>
    <n v="0.98490012917051439"/>
    <n v="0.98490012917051439"/>
    <n v="-2.8431060654417806E-2"/>
    <n v="5.0000000000003375E-3"/>
  </r>
  <r>
    <x v="704"/>
    <n v="2.5133603709402799"/>
    <n v="3.5149999999999997"/>
    <n v="1"/>
    <n v="0.2"/>
    <n v="1"/>
    <n v="0.50267207418805604"/>
    <n v="0.2"/>
    <x v="0"/>
    <n v="0"/>
    <n v="0"/>
    <n v="0.98490012917051439"/>
    <n v="0"/>
    <n v="-4.5000000000000373E-2"/>
  </r>
  <r>
    <x v="705"/>
    <n v="2.4526687901347302"/>
    <n v="3.5149999999999997"/>
    <n v="2"/>
    <n v="0.2"/>
    <n v="2"/>
    <n v="0.99320583221500214"/>
    <n v="0.4"/>
    <x v="0"/>
    <n v="0"/>
    <n v="0"/>
    <n v="0.98490012917051439"/>
    <n v="0"/>
    <n v="-4.5000000000000373E-2"/>
  </r>
  <r>
    <x v="706"/>
    <n v="2.4482414321452199"/>
    <n v="3.5149999999999997"/>
    <n v="5"/>
    <n v="0.2"/>
    <n v="3"/>
    <n v="1.4828541186440463"/>
    <n v="0.60000000000000009"/>
    <x v="0"/>
    <n v="0"/>
    <n v="0"/>
    <n v="0.98490012917051439"/>
    <n v="0"/>
    <n v="-4.5000000000000373E-2"/>
  </r>
  <r>
    <x v="707"/>
    <n v="2.5386092043872699"/>
    <n v="3.5149999999999997"/>
    <n v="6"/>
    <n v="0.2"/>
    <n v="4"/>
    <n v="1.9905759595215002"/>
    <n v="0.8"/>
    <x v="0"/>
    <n v="0"/>
    <n v="0"/>
    <n v="0.98490012917051439"/>
    <n v="0"/>
    <n v="-4.5000000000000373E-2"/>
  </r>
  <r>
    <x v="708"/>
    <n v="2.56620444102245"/>
    <n v="3.5149999999999997"/>
    <n v="7"/>
    <n v="0.2"/>
    <n v="5"/>
    <n v="2.5038168477259903"/>
    <n v="1"/>
    <x v="1"/>
    <n v="2.5038168477259903"/>
    <n v="1.0111831522740093"/>
    <n v="1.0111831522740093"/>
    <n v="2.6283023103494951E-2"/>
    <n v="-4.5000000000000373E-2"/>
  </r>
  <r>
    <x v="709"/>
    <n v="2.5588939804772202"/>
    <n v="3.59"/>
    <n v="1"/>
    <n v="0.2"/>
    <n v="1"/>
    <n v="0.51177879609544408"/>
    <n v="0.2"/>
    <x v="0"/>
    <n v="0"/>
    <n v="0"/>
    <n v="1.0111831522740093"/>
    <n v="0"/>
    <n v="7.5000000000000178E-2"/>
  </r>
  <r>
    <x v="710"/>
    <n v="2.6748566998957601"/>
    <n v="3.59"/>
    <n v="2"/>
    <n v="0.2"/>
    <n v="2"/>
    <n v="1.0467501360745961"/>
    <n v="0.4"/>
    <x v="0"/>
    <n v="0"/>
    <n v="0"/>
    <n v="1.0111831522740093"/>
    <n v="0"/>
    <n v="7.5000000000000178E-2"/>
  </r>
  <r>
    <x v="711"/>
    <n v="2.6856648240007002"/>
    <n v="3.59"/>
    <n v="5"/>
    <n v="0.2"/>
    <n v="3"/>
    <n v="1.5838831008747363"/>
    <n v="0.60000000000000009"/>
    <x v="0"/>
    <n v="0"/>
    <n v="0"/>
    <n v="1.0111831522740093"/>
    <n v="0"/>
    <n v="7.5000000000000178E-2"/>
  </r>
  <r>
    <x v="712"/>
    <n v="2.7450619013759301"/>
    <n v="3.59"/>
    <n v="6"/>
    <n v="0.2"/>
    <n v="4"/>
    <n v="2.1328954811499221"/>
    <n v="0.8"/>
    <x v="0"/>
    <n v="0"/>
    <n v="0"/>
    <n v="1.0111831522740093"/>
    <n v="0"/>
    <n v="7.5000000000000178E-2"/>
  </r>
  <r>
    <x v="713"/>
    <n v="2.7390944645368598"/>
    <n v="3.59"/>
    <n v="7"/>
    <n v="0.2"/>
    <n v="5"/>
    <n v="2.6807143740572941"/>
    <n v="1"/>
    <x v="1"/>
    <n v="2.6807143740572941"/>
    <n v="0.90928562594270579"/>
    <n v="0.90928562594270579"/>
    <n v="-0.10189752633130356"/>
    <n v="7.5000000000000178E-2"/>
  </r>
  <r>
    <x v="714"/>
    <n v="2.7217472845669599"/>
    <n v="3.6599999999999997"/>
    <n v="1"/>
    <n v="0.2"/>
    <n v="1"/>
    <n v="0.54434945691339198"/>
    <n v="0.2"/>
    <x v="0"/>
    <n v="0"/>
    <n v="0"/>
    <n v="0.90928562594270579"/>
    <n v="0"/>
    <n v="6.999999999999984E-2"/>
  </r>
  <r>
    <x v="715"/>
    <n v="2.7439532601441399"/>
    <n v="3.6599999999999997"/>
    <n v="2"/>
    <n v="0.2"/>
    <n v="2"/>
    <n v="1.0931401089422201"/>
    <n v="0.4"/>
    <x v="0"/>
    <n v="0"/>
    <n v="0"/>
    <n v="0.90928562594270579"/>
    <n v="0"/>
    <n v="6.999999999999984E-2"/>
  </r>
  <r>
    <x v="716"/>
    <n v="2.8647464299960101"/>
    <n v="3.6599999999999997"/>
    <n v="6"/>
    <n v="0.2"/>
    <n v="3"/>
    <n v="1.6660893949414222"/>
    <n v="0.60000000000000009"/>
    <x v="0"/>
    <n v="0"/>
    <n v="0"/>
    <n v="0.90928562594270579"/>
    <n v="0"/>
    <n v="6.999999999999984E-2"/>
  </r>
  <r>
    <x v="717"/>
    <n v="2.80663775198708"/>
    <n v="3.6599999999999997"/>
    <n v="7"/>
    <n v="0.2"/>
    <n v="4"/>
    <n v="2.2274169453388382"/>
    <n v="0.8"/>
    <x v="1"/>
    <n v="2.7842711816735477"/>
    <n v="0.875728818326452"/>
    <n v="0.875728818326452"/>
    <n v="-3.3556807616253792E-2"/>
    <n v="6.999999999999984E-2"/>
  </r>
  <r>
    <x v="718"/>
    <n v="2.8310816393070799"/>
    <n v="3.6999999999999997"/>
    <n v="1"/>
    <n v="0.2"/>
    <n v="1"/>
    <n v="0.56621632786141596"/>
    <n v="0.2"/>
    <x v="0"/>
    <n v="0"/>
    <n v="0"/>
    <n v="0.875728818326452"/>
    <n v="0"/>
    <n v="4.0000000000000036E-2"/>
  </r>
  <r>
    <x v="719"/>
    <n v="2.8495343936509898"/>
    <n v="3.6999999999999997"/>
    <n v="2"/>
    <n v="0.2"/>
    <n v="2"/>
    <n v="1.136123206591614"/>
    <n v="0.4"/>
    <x v="0"/>
    <n v="0"/>
    <n v="0"/>
    <n v="0.875728818326452"/>
    <n v="0"/>
    <n v="4.0000000000000036E-2"/>
  </r>
  <r>
    <x v="720"/>
    <n v="2.8051692512697501"/>
    <n v="3.6999999999999997"/>
    <n v="5"/>
    <n v="0.2"/>
    <n v="3"/>
    <n v="1.6971570568455641"/>
    <n v="0.60000000000000009"/>
    <x v="0"/>
    <n v="0"/>
    <n v="0"/>
    <n v="0.875728818326452"/>
    <n v="0"/>
    <n v="4.0000000000000036E-2"/>
  </r>
  <r>
    <x v="721"/>
    <n v="2.7456841844873301"/>
    <n v="3.6999999999999997"/>
    <n v="6"/>
    <n v="0.2"/>
    <n v="4"/>
    <n v="2.2462938937430303"/>
    <n v="0.8"/>
    <x v="0"/>
    <n v="0"/>
    <n v="0"/>
    <n v="0.875728818326452"/>
    <n v="0"/>
    <n v="4.0000000000000036E-2"/>
  </r>
  <r>
    <x v="722"/>
    <n v="2.7262373083687401"/>
    <n v="3.6999999999999997"/>
    <n v="7"/>
    <n v="0.2"/>
    <n v="5"/>
    <n v="2.7915413554167783"/>
    <n v="1"/>
    <x v="1"/>
    <n v="2.7915413554167783"/>
    <n v="0.90845864458322145"/>
    <n v="0.90845864458322145"/>
    <n v="3.2729826256769456E-2"/>
    <n v="4.0000000000000036E-2"/>
  </r>
  <r>
    <x v="723"/>
    <n v="2.7641939622688101"/>
    <n v="3.65"/>
    <n v="1"/>
    <n v="0.2"/>
    <n v="1"/>
    <n v="0.552838792453762"/>
    <n v="0.2"/>
    <x v="0"/>
    <n v="0"/>
    <n v="0"/>
    <n v="0.90845864458322145"/>
    <n v="0"/>
    <n v="-4.9999999999999822E-2"/>
  </r>
  <r>
    <x v="724"/>
    <n v="2.7365985708724101"/>
    <n v="3.65"/>
    <n v="2"/>
    <n v="0.2"/>
    <n v="2"/>
    <n v="1.100158506628244"/>
    <n v="0.4"/>
    <x v="0"/>
    <n v="0"/>
    <n v="0"/>
    <n v="0.90845864458322145"/>
    <n v="0"/>
    <n v="-4.9999999999999822E-2"/>
  </r>
  <r>
    <x v="725"/>
    <n v="2.7916349569467398"/>
    <n v="3.65"/>
    <n v="5"/>
    <n v="0.2"/>
    <n v="3"/>
    <n v="1.6584854980175918"/>
    <n v="0.60000000000000009"/>
    <x v="0"/>
    <n v="0"/>
    <n v="0"/>
    <n v="0.90845864458322145"/>
    <n v="0"/>
    <n v="-4.9999999999999822E-2"/>
  </r>
  <r>
    <x v="726"/>
    <n v="2.8341999400292899"/>
    <n v="3.65"/>
    <n v="6"/>
    <n v="0.2"/>
    <n v="4"/>
    <n v="2.2253254860234497"/>
    <n v="0.8"/>
    <x v="0"/>
    <n v="0"/>
    <n v="0"/>
    <n v="0.90845864458322145"/>
    <n v="0"/>
    <n v="-4.9999999999999822E-2"/>
  </r>
  <r>
    <x v="727"/>
    <n v="2.8241837227534399"/>
    <n v="3.65"/>
    <n v="7"/>
    <n v="0.2"/>
    <n v="5"/>
    <n v="2.7901622305741376"/>
    <n v="1"/>
    <x v="1"/>
    <n v="2.7901622305741376"/>
    <n v="0.85983776942586232"/>
    <n v="0.85983776942586232"/>
    <n v="-4.8620875157359134E-2"/>
    <n v="-4.9999999999999822E-2"/>
  </r>
  <r>
    <x v="728"/>
    <n v="2.81556157497667"/>
    <n v="3.76"/>
    <n v="1"/>
    <n v="0.2"/>
    <n v="1"/>
    <n v="0.56311231499533398"/>
    <n v="0.2"/>
    <x v="0"/>
    <n v="0"/>
    <n v="0"/>
    <n v="0.85983776942586232"/>
    <n v="0"/>
    <n v="0.10999999999999988"/>
  </r>
  <r>
    <x v="729"/>
    <n v="2.9303170109018999"/>
    <n v="3.76"/>
    <n v="2"/>
    <n v="0.2"/>
    <n v="2"/>
    <n v="1.149175717175714"/>
    <n v="0.4"/>
    <x v="0"/>
    <n v="0"/>
    <n v="0"/>
    <n v="0.85983776942586232"/>
    <n v="0"/>
    <n v="0.10999999999999988"/>
  </r>
  <r>
    <x v="730"/>
    <n v="2.90222752352993"/>
    <n v="3.76"/>
    <n v="5"/>
    <n v="0.2"/>
    <n v="3"/>
    <n v="1.7296212218817"/>
    <n v="0.60000000000000009"/>
    <x v="0"/>
    <n v="0"/>
    <n v="0"/>
    <n v="0.85983776942586232"/>
    <n v="0"/>
    <n v="0.10999999999999988"/>
  </r>
  <r>
    <x v="731"/>
    <n v="2.84635033680676"/>
    <n v="3.76"/>
    <n v="6"/>
    <n v="0.2"/>
    <n v="4"/>
    <n v="2.298891289243052"/>
    <n v="0.8"/>
    <x v="0"/>
    <n v="0"/>
    <n v="0"/>
    <n v="0.85983776942586232"/>
    <n v="0"/>
    <n v="0.10999999999999988"/>
  </r>
  <r>
    <x v="732"/>
    <n v="2.8278353033181198"/>
    <n v="3.76"/>
    <n v="7"/>
    <n v="0.2"/>
    <n v="5"/>
    <n v="2.864458349906676"/>
    <n v="1"/>
    <x v="1"/>
    <n v="2.864458349906676"/>
    <n v="0.89554165009332376"/>
    <n v="0.89554165009332376"/>
    <n v="3.5703880667461441E-2"/>
    <n v="0.10999999999999988"/>
  </r>
  <r>
    <x v="733"/>
    <n v="2.8138191102539798"/>
    <n v="3.6799999999999997"/>
    <n v="1"/>
    <n v="0.2"/>
    <n v="1"/>
    <n v="0.562763822050796"/>
    <n v="0.2"/>
    <x v="0"/>
    <n v="0"/>
    <n v="0"/>
    <n v="0.89554165009332376"/>
    <n v="0"/>
    <n v="-8.0000000000000071E-2"/>
  </r>
  <r>
    <x v="734"/>
    <n v="2.8315057491425"/>
    <n v="3.6799999999999997"/>
    <n v="2"/>
    <n v="0.2"/>
    <n v="2"/>
    <n v="1.129064971879296"/>
    <n v="0.4"/>
    <x v="0"/>
    <n v="0"/>
    <n v="0"/>
    <n v="0.89554165009332376"/>
    <n v="0"/>
    <n v="-8.0000000000000071E-2"/>
  </r>
  <r>
    <x v="735"/>
    <n v="2.8241768518279202"/>
    <n v="3.6799999999999997"/>
    <n v="5"/>
    <n v="0.2"/>
    <n v="3"/>
    <n v="1.6939003422448802"/>
    <n v="0.60000000000000009"/>
    <x v="0"/>
    <n v="0"/>
    <n v="0"/>
    <n v="0.89554165009332376"/>
    <n v="0"/>
    <n v="-8.0000000000000071E-2"/>
  </r>
  <r>
    <x v="736"/>
    <n v="2.79584100930466"/>
    <n v="3.6799999999999997"/>
    <n v="6"/>
    <n v="0.2"/>
    <n v="4"/>
    <n v="2.2530685441058123"/>
    <n v="0.8"/>
    <x v="0"/>
    <n v="0"/>
    <n v="0"/>
    <n v="0.89554165009332376"/>
    <n v="0"/>
    <n v="-8.0000000000000071E-2"/>
  </r>
  <r>
    <x v="737"/>
    <n v="2.6928489030954199"/>
    <n v="3.6799999999999997"/>
    <n v="7"/>
    <n v="0.2"/>
    <n v="5"/>
    <n v="2.7916383247248961"/>
    <n v="1"/>
    <x v="1"/>
    <n v="2.7916383247248961"/>
    <n v="0.88836167527510357"/>
    <n v="0.88836167527510357"/>
    <n v="-7.1799748182201917E-3"/>
    <n v="-8.0000000000000071E-2"/>
  </r>
  <r>
    <x v="738"/>
    <n v="2.70955656376128"/>
    <n v="3.59"/>
    <n v="1"/>
    <n v="0.2"/>
    <n v="1"/>
    <n v="0.54191131275225601"/>
    <n v="0.2"/>
    <x v="0"/>
    <n v="0"/>
    <n v="0"/>
    <n v="0.88836167527510357"/>
    <n v="0"/>
    <n v="-8.9999999999999858E-2"/>
  </r>
  <r>
    <x v="739"/>
    <n v="2.6717729385436999"/>
    <n v="3.59"/>
    <n v="2"/>
    <n v="0.2"/>
    <n v="2"/>
    <n v="1.076265900460996"/>
    <n v="0.4"/>
    <x v="0"/>
    <n v="0"/>
    <n v="0"/>
    <n v="0.88836167527510357"/>
    <n v="0"/>
    <n v="-8.9999999999999858E-2"/>
  </r>
  <r>
    <x v="740"/>
    <n v="2.6575094779916602"/>
    <n v="3.59"/>
    <n v="5"/>
    <n v="0.2"/>
    <n v="3"/>
    <n v="1.6077677960593282"/>
    <n v="0.60000000000000009"/>
    <x v="0"/>
    <n v="0"/>
    <n v="0"/>
    <n v="0.88836167527510357"/>
    <n v="0"/>
    <n v="-8.9999999999999858E-2"/>
  </r>
  <r>
    <x v="741"/>
    <n v="2.60984671554638"/>
    <n v="3.59"/>
    <n v="6"/>
    <n v="0.2"/>
    <n v="4"/>
    <n v="2.1297371391686042"/>
    <n v="0.8"/>
    <x v="0"/>
    <n v="0"/>
    <n v="0"/>
    <n v="0.88836167527510357"/>
    <n v="0"/>
    <n v="-8.9999999999999858E-2"/>
  </r>
  <r>
    <x v="742"/>
    <n v="2.6641693960453199"/>
    <n v="3.59"/>
    <n v="7"/>
    <n v="0.2"/>
    <n v="5"/>
    <n v="2.6625710183776681"/>
    <n v="1"/>
    <x v="1"/>
    <n v="2.6625710183776681"/>
    <n v="0.92742898162233178"/>
    <n v="0.92742898162233178"/>
    <n v="3.9067306347228214E-2"/>
    <n v="-8.9999999999999858E-2"/>
  </r>
  <r>
    <x v="743"/>
    <n v="2.7519990602785001"/>
    <n v="3.6"/>
    <n v="1"/>
    <n v="0.2"/>
    <n v="1"/>
    <n v="0.55039981205569999"/>
    <n v="0.2"/>
    <x v="0"/>
    <n v="0"/>
    <n v="0"/>
    <n v="0.92742898162233178"/>
    <n v="0"/>
    <n v="1.0000000000000231E-2"/>
  </r>
  <r>
    <x v="744"/>
    <n v="2.6934832462996599"/>
    <n v="3.6"/>
    <n v="2"/>
    <n v="0.2"/>
    <n v="2"/>
    <n v="1.089096461315632"/>
    <n v="0.4"/>
    <x v="0"/>
    <n v="0"/>
    <n v="0"/>
    <n v="0.92742898162233178"/>
    <n v="0"/>
    <n v="1.0000000000000231E-2"/>
  </r>
  <r>
    <x v="745"/>
    <n v="2.6906214304432701"/>
    <n v="3.6"/>
    <n v="5"/>
    <n v="0.2"/>
    <n v="3"/>
    <n v="1.6272207474042859"/>
    <n v="0.60000000000000009"/>
    <x v="0"/>
    <n v="0"/>
    <n v="0"/>
    <n v="0.92742898162233178"/>
    <n v="0"/>
    <n v="1.0000000000000231E-2"/>
  </r>
  <r>
    <x v="746"/>
    <n v="2.66103516127894"/>
    <n v="3.6"/>
    <n v="6"/>
    <n v="0.2"/>
    <n v="4"/>
    <n v="2.1594277796600738"/>
    <n v="0.8"/>
    <x v="0"/>
    <n v="0"/>
    <n v="0"/>
    <n v="0.92742898162233178"/>
    <n v="0"/>
    <n v="1.0000000000000231E-2"/>
  </r>
  <r>
    <x v="747"/>
    <n v="2.5992657753902901"/>
    <n v="3.6"/>
    <n v="7"/>
    <n v="0.2"/>
    <n v="5"/>
    <n v="2.6792809347381317"/>
    <n v="1"/>
    <x v="1"/>
    <n v="2.6792809347381317"/>
    <n v="0.92071906526186842"/>
    <n v="0.92071906526186842"/>
    <n v="-6.7099163604633638E-3"/>
    <n v="1.0000000000000231E-2"/>
  </r>
  <r>
    <x v="748"/>
    <n v="2.6512826680006101"/>
    <n v="3.56"/>
    <n v="1"/>
    <n v="0.2"/>
    <n v="1"/>
    <n v="0.53025653360012204"/>
    <n v="0.2"/>
    <x v="0"/>
    <n v="0"/>
    <n v="0"/>
    <n v="0.92071906526186842"/>
    <n v="0"/>
    <n v="-4.0000000000000036E-2"/>
  </r>
  <r>
    <x v="749"/>
    <n v="2.5908884215358099"/>
    <n v="3.56"/>
    <n v="2"/>
    <n v="0.2"/>
    <n v="2"/>
    <n v="1.0484342179072841"/>
    <n v="0.4"/>
    <x v="0"/>
    <n v="0"/>
    <n v="0"/>
    <n v="0.92071906526186842"/>
    <n v="0"/>
    <n v="-4.0000000000000036E-2"/>
  </r>
  <r>
    <x v="750"/>
    <n v="2.63391710374052"/>
    <n v="3.56"/>
    <n v="5"/>
    <n v="0.2"/>
    <n v="3"/>
    <n v="1.575217638655388"/>
    <n v="0.60000000000000009"/>
    <x v="0"/>
    <n v="0"/>
    <n v="0"/>
    <n v="0.92071906526186842"/>
    <n v="0"/>
    <n v="-4.0000000000000036E-2"/>
  </r>
  <r>
    <x v="751"/>
    <n v="2.6287824588785198"/>
    <n v="3.56"/>
    <n v="6"/>
    <n v="0.2"/>
    <n v="4"/>
    <n v="2.100974130431092"/>
    <n v="0.8"/>
    <x v="0"/>
    <n v="0"/>
    <n v="0"/>
    <n v="0.92071906526186842"/>
    <n v="0"/>
    <n v="-4.0000000000000036E-2"/>
  </r>
  <r>
    <x v="752"/>
    <n v="2.62032151165119"/>
    <n v="3.56"/>
    <n v="7"/>
    <n v="0.2"/>
    <n v="5"/>
    <n v="2.6250384327613299"/>
    <n v="1"/>
    <x v="1"/>
    <n v="2.6250384327613299"/>
    <n v="0.93496156723867019"/>
    <n v="0.93496156723867019"/>
    <n v="1.4242501976801769E-2"/>
    <n v="-4.0000000000000036E-2"/>
  </r>
  <r>
    <x v="753"/>
    <n v="2.6476582784281"/>
    <n v="3.5949999999999998"/>
    <n v="1"/>
    <n v="0.2"/>
    <n v="1"/>
    <n v="0.52953165568562"/>
    <n v="0.2"/>
    <x v="0"/>
    <n v="0"/>
    <n v="0"/>
    <n v="0.93496156723867019"/>
    <n v="0"/>
    <n v="3.4999999999999698E-2"/>
  </r>
  <r>
    <x v="754"/>
    <n v="2.6673945625319102"/>
    <n v="3.5949999999999998"/>
    <n v="2"/>
    <n v="0.2"/>
    <n v="2"/>
    <n v="1.0630105681920021"/>
    <n v="0.4"/>
    <x v="0"/>
    <n v="0"/>
    <n v="0"/>
    <n v="0.93496156723867019"/>
    <n v="0"/>
    <n v="3.4999999999999698E-2"/>
  </r>
  <r>
    <x v="755"/>
    <n v="2.64134045041691"/>
    <n v="3.5949999999999998"/>
    <n v="5"/>
    <n v="0.2"/>
    <n v="3"/>
    <n v="1.5912786582753842"/>
    <n v="0.60000000000000009"/>
    <x v="0"/>
    <n v="0"/>
    <n v="0"/>
    <n v="0.93496156723867019"/>
    <n v="0"/>
    <n v="3.4999999999999698E-2"/>
  </r>
  <r>
    <x v="756"/>
    <n v="2.5968587672613901"/>
    <n v="3.5949999999999998"/>
    <n v="6"/>
    <n v="0.2"/>
    <n v="4"/>
    <n v="2.1106504117276623"/>
    <n v="0.8"/>
    <x v="0"/>
    <n v="0"/>
    <n v="0"/>
    <n v="0.93496156723867019"/>
    <n v="0"/>
    <n v="3.4999999999999698E-2"/>
  </r>
  <r>
    <x v="757"/>
    <n v="2.58469358456979"/>
    <n v="3.5949999999999998"/>
    <n v="7"/>
    <n v="0.2"/>
    <n v="5"/>
    <n v="2.6275891286416204"/>
    <n v="1"/>
    <x v="1"/>
    <n v="2.6275891286416204"/>
    <n v="0.96741087135837933"/>
    <n v="0.96741087135837933"/>
    <n v="3.2449304119709144E-2"/>
    <n v="3.4999999999999698E-2"/>
  </r>
  <r>
    <x v="758"/>
    <n v="2.5759029417987498"/>
    <n v="3.55"/>
    <n v="1"/>
    <n v="0.2"/>
    <n v="1"/>
    <n v="0.51518058835975"/>
    <n v="0.2"/>
    <x v="0"/>
    <n v="0"/>
    <n v="0"/>
    <n v="0.96741087135837933"/>
    <n v="0"/>
    <n v="-4.4999999999999929E-2"/>
  </r>
  <r>
    <x v="759"/>
    <n v="2.56712042045777"/>
    <n v="3.55"/>
    <n v="2"/>
    <n v="0.2"/>
    <n v="2"/>
    <n v="1.028604672451304"/>
    <n v="0.4"/>
    <x v="0"/>
    <n v="0"/>
    <n v="0"/>
    <n v="0.96741087135837933"/>
    <n v="0"/>
    <n v="-4.4999999999999929E-2"/>
  </r>
  <r>
    <x v="760"/>
    <n v="2.59858921707026"/>
    <n v="3.55"/>
    <n v="5"/>
    <n v="0.2"/>
    <n v="3"/>
    <n v="1.548322515865356"/>
    <n v="0.60000000000000009"/>
    <x v="0"/>
    <n v="0"/>
    <n v="0"/>
    <n v="0.96741087135837933"/>
    <n v="0"/>
    <n v="-4.4999999999999929E-2"/>
  </r>
  <r>
    <x v="761"/>
    <n v="2.62252108008507"/>
    <n v="3.55"/>
    <n v="6"/>
    <n v="0.2"/>
    <n v="4"/>
    <n v="2.0728267318823699"/>
    <n v="0.8"/>
    <x v="0"/>
    <n v="0"/>
    <n v="0"/>
    <n v="0.96741087135837933"/>
    <n v="0"/>
    <n v="-4.4999999999999929E-2"/>
  </r>
  <r>
    <x v="762"/>
    <n v="2.6753264137467299"/>
    <n v="3.55"/>
    <n v="7"/>
    <n v="0.2"/>
    <n v="5"/>
    <n v="2.6078920146317159"/>
    <n v="1"/>
    <x v="1"/>
    <n v="2.6078920146317159"/>
    <n v="0.94210798536828388"/>
    <n v="0.94210798536828388"/>
    <n v="-2.5302885990095447E-2"/>
    <n v="-4.4999999999999929E-2"/>
  </r>
  <r>
    <x v="763"/>
    <n v="2.6562875815293401"/>
    <n v="3.58"/>
    <n v="1"/>
    <n v="0.2"/>
    <n v="1"/>
    <n v="0.53125751630586804"/>
    <n v="0.2"/>
    <x v="0"/>
    <n v="0"/>
    <n v="0"/>
    <n v="0.94210798536828388"/>
    <n v="0"/>
    <n v="3.0000000000000249E-2"/>
  </r>
  <r>
    <x v="764"/>
    <n v="2.62955921776924"/>
    <n v="3.58"/>
    <n v="2"/>
    <n v="0.2"/>
    <n v="2"/>
    <n v="1.0571693598597161"/>
    <n v="0.4"/>
    <x v="0"/>
    <n v="0"/>
    <n v="0"/>
    <n v="0.94210798536828388"/>
    <n v="0"/>
    <n v="3.0000000000000249E-2"/>
  </r>
  <r>
    <x v="765"/>
    <n v="2.6437338504186898"/>
    <n v="3.58"/>
    <n v="5"/>
    <n v="0.2"/>
    <n v="3"/>
    <n v="1.5859161299434539"/>
    <n v="0.60000000000000009"/>
    <x v="0"/>
    <n v="0"/>
    <n v="0"/>
    <n v="0.94210798536828388"/>
    <n v="0"/>
    <n v="3.0000000000000249E-2"/>
  </r>
  <r>
    <x v="766"/>
    <n v="2.6991414546305501"/>
    <n v="3.58"/>
    <n v="6"/>
    <n v="0.2"/>
    <n v="4"/>
    <n v="2.1257444208695642"/>
    <n v="0.8"/>
    <x v="0"/>
    <n v="0"/>
    <n v="0"/>
    <n v="0.94210798536828388"/>
    <n v="0"/>
    <n v="3.0000000000000249E-2"/>
  </r>
  <r>
    <x v="767"/>
    <n v="2.7467458715573199"/>
    <n v="3.58"/>
    <n v="7"/>
    <n v="0.2"/>
    <n v="5"/>
    <n v="2.6750935951810284"/>
    <n v="1"/>
    <x v="1"/>
    <n v="2.6750935951810284"/>
    <n v="0.90490640481897167"/>
    <n v="0.90490640481897167"/>
    <n v="-3.7201580549312219E-2"/>
    <n v="3.0000000000000249E-2"/>
  </r>
  <r>
    <x v="768"/>
    <n v="2.7480147229669498"/>
    <n v="3.6999999999999997"/>
    <n v="1"/>
    <n v="0.2"/>
    <n v="1"/>
    <n v="0.54960294459338999"/>
    <n v="0.2"/>
    <x v="0"/>
    <n v="0"/>
    <n v="0"/>
    <n v="0.90490640481897167"/>
    <n v="0"/>
    <n v="0.11999999999999966"/>
  </r>
  <r>
    <x v="769"/>
    <n v="2.8064099070641602"/>
    <n v="3.6999999999999997"/>
    <n v="2"/>
    <n v="0.2"/>
    <n v="2"/>
    <n v="1.1108849260062219"/>
    <n v="0.4"/>
    <x v="0"/>
    <n v="0"/>
    <n v="0"/>
    <n v="0.90490640481897167"/>
    <n v="0"/>
    <n v="0.11999999999999966"/>
  </r>
  <r>
    <x v="770"/>
    <n v="2.8416760056146502"/>
    <n v="3.6999999999999997"/>
    <n v="5"/>
    <n v="0.2"/>
    <n v="3"/>
    <n v="1.679220127129152"/>
    <n v="0.60000000000000009"/>
    <x v="0"/>
    <n v="0"/>
    <n v="0"/>
    <n v="0.90490640481897167"/>
    <n v="0"/>
    <n v="0.11999999999999966"/>
  </r>
  <r>
    <x v="771"/>
    <n v="2.8756484754346898"/>
    <n v="3.6999999999999997"/>
    <n v="6"/>
    <n v="0.2"/>
    <n v="4"/>
    <n v="2.2543498222160903"/>
    <n v="0.8"/>
    <x v="0"/>
    <n v="0"/>
    <n v="0"/>
    <n v="0.90490640481897167"/>
    <n v="0"/>
    <n v="0.11999999999999966"/>
  </r>
  <r>
    <x v="772"/>
    <n v="2.91930519695658"/>
    <n v="3.6999999999999997"/>
    <n v="7"/>
    <n v="0.2"/>
    <n v="5"/>
    <n v="2.8382108616074064"/>
    <n v="1"/>
    <x v="1"/>
    <n v="2.8382108616074064"/>
    <n v="0.8617891383925933"/>
    <n v="0.8617891383925933"/>
    <n v="-4.3117266426378364E-2"/>
    <n v="0.11999999999999966"/>
  </r>
  <r>
    <x v="773"/>
    <n v="2.86177796804412"/>
    <n v="3.75"/>
    <n v="1"/>
    <n v="0.2"/>
    <n v="1"/>
    <n v="0.57235559360882404"/>
    <n v="0.2"/>
    <x v="0"/>
    <n v="0"/>
    <n v="0"/>
    <n v="0.8617891383925933"/>
    <n v="0"/>
    <n v="5.0000000000000266E-2"/>
  </r>
  <r>
    <x v="774"/>
    <n v="2.8101076932532698"/>
    <n v="3.75"/>
    <n v="2"/>
    <n v="0.2"/>
    <n v="2"/>
    <n v="1.134377132259478"/>
    <n v="0.4"/>
    <x v="0"/>
    <n v="0"/>
    <n v="0"/>
    <n v="0.8617891383925933"/>
    <n v="0"/>
    <n v="5.0000000000000266E-2"/>
  </r>
  <r>
    <x v="775"/>
    <n v="2.9199815904284798"/>
    <n v="3.75"/>
    <n v="5"/>
    <n v="0.2"/>
    <n v="3"/>
    <n v="1.718373450345174"/>
    <n v="0.60000000000000009"/>
    <x v="0"/>
    <n v="0"/>
    <n v="0"/>
    <n v="0.8617891383925933"/>
    <n v="0"/>
    <n v="5.0000000000000266E-2"/>
  </r>
  <r>
    <x v="776"/>
    <n v="2.9362897451124002"/>
    <n v="3.75"/>
    <n v="6"/>
    <n v="0.2"/>
    <n v="4"/>
    <n v="2.305631399367654"/>
    <n v="0.8"/>
    <x v="0"/>
    <n v="0"/>
    <n v="0"/>
    <n v="0.8617891383925933"/>
    <n v="0"/>
    <n v="5.0000000000000266E-2"/>
  </r>
  <r>
    <x v="777"/>
    <n v="2.9586092652733198"/>
    <n v="3.75"/>
    <n v="7"/>
    <n v="0.2"/>
    <n v="5"/>
    <n v="2.897353252422318"/>
    <n v="1"/>
    <x v="1"/>
    <n v="2.897353252422318"/>
    <n v="0.852646747577682"/>
    <n v="0.852646747577682"/>
    <n v="-9.1423908149113053E-3"/>
    <n v="5.0000000000000266E-2"/>
  </r>
  <r>
    <x v="778"/>
    <n v="2.9068905487933598"/>
    <n v="3.7649999999999997"/>
    <n v="1"/>
    <n v="0.2"/>
    <n v="1"/>
    <n v="0.58137810975867199"/>
    <n v="0.2"/>
    <x v="0"/>
    <n v="0"/>
    <n v="0"/>
    <n v="0.852646747577682"/>
    <n v="0"/>
    <n v="1.499999999999968E-2"/>
  </r>
  <r>
    <x v="779"/>
    <n v="2.82631669904023"/>
    <n v="3.7649999999999997"/>
    <n v="2"/>
    <n v="0.2"/>
    <n v="2"/>
    <n v="1.1466414495667179"/>
    <n v="0.4"/>
    <x v="0"/>
    <n v="0"/>
    <n v="0"/>
    <n v="0.852646747577682"/>
    <n v="0"/>
    <n v="1.499999999999968E-2"/>
  </r>
  <r>
    <x v="780"/>
    <n v="2.8896799307946499"/>
    <n v="3.7649999999999997"/>
    <n v="5"/>
    <n v="0.2"/>
    <n v="3"/>
    <n v="1.724577435725648"/>
    <n v="0.60000000000000009"/>
    <x v="0"/>
    <n v="0"/>
    <n v="0"/>
    <n v="0.852646747577682"/>
    <n v="0"/>
    <n v="1.499999999999968E-2"/>
  </r>
  <r>
    <x v="781"/>
    <n v="2.9214483553786899"/>
    <n v="3.7649999999999997"/>
    <n v="6"/>
    <n v="0.2"/>
    <n v="4"/>
    <n v="2.3088671068013862"/>
    <n v="0.8"/>
    <x v="0"/>
    <n v="0"/>
    <n v="0"/>
    <n v="0.852646747577682"/>
    <n v="0"/>
    <n v="1.499999999999968E-2"/>
  </r>
  <r>
    <x v="782"/>
    <n v="2.9102623265110599"/>
    <n v="3.7649999999999997"/>
    <n v="7"/>
    <n v="0.2"/>
    <n v="5"/>
    <n v="2.8909195721035981"/>
    <n v="1"/>
    <x v="1"/>
    <n v="2.8909195721035981"/>
    <n v="0.87408042789640161"/>
    <n v="0.87408042789640161"/>
    <n v="2.1433680318719617E-2"/>
    <n v="1.499999999999968E-2"/>
  </r>
  <r>
    <x v="783"/>
    <n v="2.8599760435846102"/>
    <n v="3.77"/>
    <n v="1"/>
    <n v="0.2"/>
    <n v="1"/>
    <n v="0.57199520871692211"/>
    <n v="0.2"/>
    <x v="0"/>
    <n v="0"/>
    <n v="0"/>
    <n v="0.87408042789640161"/>
    <n v="0"/>
    <n v="5.0000000000003375E-3"/>
  </r>
  <r>
    <x v="784"/>
    <n v="2.8915210158303699"/>
    <n v="3.77"/>
    <n v="2"/>
    <n v="0.2"/>
    <n v="2"/>
    <n v="1.1502994118829961"/>
    <n v="0.4"/>
    <x v="0"/>
    <n v="0"/>
    <n v="0"/>
    <n v="0.87408042789640161"/>
    <n v="0"/>
    <n v="5.0000000000003375E-3"/>
  </r>
  <r>
    <x v="785"/>
    <n v="2.8500704386135798"/>
    <n v="3.77"/>
    <n v="6"/>
    <n v="0.2"/>
    <n v="3"/>
    <n v="1.7203134996057121"/>
    <n v="0.60000000000000009"/>
    <x v="0"/>
    <n v="0"/>
    <n v="0"/>
    <n v="0.87408042789640161"/>
    <n v="0"/>
    <n v="5.0000000000003375E-3"/>
  </r>
  <r>
    <x v="786"/>
    <n v="2.8460665334928898"/>
    <n v="3.77"/>
    <n v="7"/>
    <n v="0.2"/>
    <n v="4"/>
    <n v="2.28952680630429"/>
    <n v="0.8"/>
    <x v="1"/>
    <n v="2.8619085078803623"/>
    <n v="0.90809149211963769"/>
    <n v="0.90809149211963769"/>
    <n v="3.4011064223236076E-2"/>
    <n v="5.0000000000003375E-3"/>
  </r>
  <r>
    <x v="787"/>
    <n v="2.8413672152174398"/>
    <n v="3.77"/>
    <n v="1"/>
    <n v="0.2"/>
    <n v="1"/>
    <n v="0.56827344304348804"/>
    <n v="0.2"/>
    <x v="0"/>
    <n v="0"/>
    <n v="0"/>
    <n v="0.90809149211963769"/>
    <n v="0"/>
    <n v="0"/>
  </r>
  <r>
    <x v="788"/>
    <n v="2.8125589424365498"/>
    <n v="3.77"/>
    <n v="2"/>
    <n v="0.2"/>
    <n v="2"/>
    <n v="1.130785231530798"/>
    <n v="0.4"/>
    <x v="0"/>
    <n v="0"/>
    <n v="0"/>
    <n v="0.90809149211963769"/>
    <n v="0"/>
    <n v="0"/>
  </r>
  <r>
    <x v="789"/>
    <n v="2.8873082715202201"/>
    <n v="3.77"/>
    <n v="5"/>
    <n v="0.2"/>
    <n v="3"/>
    <n v="1.7082468858348421"/>
    <n v="0.60000000000000009"/>
    <x v="0"/>
    <n v="0"/>
    <n v="0"/>
    <n v="0.90809149211963769"/>
    <n v="0"/>
    <n v="0"/>
  </r>
  <r>
    <x v="790"/>
    <n v="2.96123512742628"/>
    <n v="3.77"/>
    <n v="6"/>
    <n v="0.2"/>
    <n v="4"/>
    <n v="2.300493911320098"/>
    <n v="0.8"/>
    <x v="0"/>
    <n v="0"/>
    <n v="0"/>
    <n v="0.90809149211963769"/>
    <n v="0"/>
    <n v="0"/>
  </r>
  <r>
    <x v="791"/>
    <n v="3.0744144315737501"/>
    <n v="3.77"/>
    <n v="7"/>
    <n v="0.2"/>
    <n v="5"/>
    <n v="2.9153767976348481"/>
    <n v="1"/>
    <x v="1"/>
    <n v="2.9153767976348481"/>
    <n v="0.85462320236515188"/>
    <n v="0.85462320236515188"/>
    <n v="-5.3468289754485809E-2"/>
    <n v="0"/>
  </r>
  <r>
    <x v="792"/>
    <n v="3.0256748636149999"/>
    <n v="3.94"/>
    <n v="1"/>
    <n v="0.2"/>
    <n v="1"/>
    <n v="0.60513497272299999"/>
    <n v="0.2"/>
    <x v="0"/>
    <n v="0"/>
    <n v="0"/>
    <n v="0.85462320236515188"/>
    <n v="0"/>
    <n v="0.16999999999999993"/>
  </r>
  <r>
    <x v="793"/>
    <n v="3.1185389251118698"/>
    <n v="3.94"/>
    <n v="2"/>
    <n v="0.2"/>
    <n v="2"/>
    <n v="1.228842757745374"/>
    <n v="0.4"/>
    <x v="0"/>
    <n v="0"/>
    <n v="0"/>
    <n v="0.85462320236515188"/>
    <n v="0"/>
    <n v="0.16999999999999993"/>
  </r>
  <r>
    <x v="794"/>
    <n v="3.0852280715370801"/>
    <n v="3.94"/>
    <n v="5"/>
    <n v="0.2"/>
    <n v="3"/>
    <n v="1.8458883720527901"/>
    <n v="0.60000000000000009"/>
    <x v="0"/>
    <n v="0"/>
    <n v="0"/>
    <n v="0.85462320236515188"/>
    <n v="0"/>
    <n v="0.16999999999999993"/>
  </r>
  <r>
    <x v="795"/>
    <n v="3.1292995796246399"/>
    <n v="3.94"/>
    <n v="6"/>
    <n v="0.2"/>
    <n v="4"/>
    <n v="2.471748287977718"/>
    <n v="0.8"/>
    <x v="0"/>
    <n v="0"/>
    <n v="0"/>
    <n v="0.85462320236515188"/>
    <n v="0"/>
    <n v="0.16999999999999993"/>
  </r>
  <r>
    <x v="796"/>
    <n v="3.1773446759928401"/>
    <n v="3.94"/>
    <n v="7"/>
    <n v="0.2"/>
    <n v="5"/>
    <n v="3.1072172231762858"/>
    <n v="1"/>
    <x v="1"/>
    <n v="3.1072172231762858"/>
    <n v="0.83278277682371415"/>
    <n v="0.83278277682371415"/>
    <n v="-2.1840425541437725E-2"/>
    <n v="0.16999999999999993"/>
  </r>
  <r>
    <x v="797"/>
    <n v="3.0761153132050598"/>
    <n v="3.9249999999999998"/>
    <n v="1"/>
    <n v="0.2"/>
    <n v="1"/>
    <n v="0.61522306264101201"/>
    <n v="0.2"/>
    <x v="0"/>
    <n v="0"/>
    <n v="0"/>
    <n v="0.83278277682371415"/>
    <n v="0"/>
    <n v="-1.5000000000000124E-2"/>
  </r>
  <r>
    <x v="798"/>
    <n v="3.0919401279735599"/>
    <n v="3.9249999999999998"/>
    <n v="2"/>
    <n v="0.2"/>
    <n v="2"/>
    <n v="1.2336110882357241"/>
    <n v="0.4"/>
    <x v="0"/>
    <n v="0"/>
    <n v="0"/>
    <n v="0.83278277682371415"/>
    <n v="0"/>
    <n v="-1.5000000000000124E-2"/>
  </r>
  <r>
    <x v="799"/>
    <n v="3.0848485059502999"/>
    <n v="3.9249999999999998"/>
    <n v="5"/>
    <n v="0.2"/>
    <n v="3"/>
    <n v="1.8505807894257842"/>
    <n v="0.60000000000000009"/>
    <x v="0"/>
    <n v="0"/>
    <n v="0"/>
    <n v="0.83278277682371415"/>
    <n v="0"/>
    <n v="-1.5000000000000124E-2"/>
  </r>
  <r>
    <x v="800"/>
    <n v="3.0537402902567599"/>
    <n v="3.9249999999999998"/>
    <n v="6"/>
    <n v="0.2"/>
    <n v="4"/>
    <n v="2.4613288474771364"/>
    <n v="0.8"/>
    <x v="0"/>
    <n v="0"/>
    <n v="0"/>
    <n v="0.83278277682371415"/>
    <n v="0"/>
    <n v="-1.5000000000000124E-2"/>
  </r>
  <r>
    <x v="801"/>
    <n v="3.03216152423493"/>
    <n v="3.9249999999999998"/>
    <n v="7"/>
    <n v="0.2"/>
    <n v="5"/>
    <n v="3.0677611523241226"/>
    <n v="1"/>
    <x v="1"/>
    <n v="3.0677611523241226"/>
    <n v="0.85723884767587721"/>
    <n v="0.85723884767587721"/>
    <n v="2.4456070852163059E-2"/>
    <n v="-1.5000000000000124E-2"/>
  </r>
  <r>
    <x v="802"/>
    <n v="3.0468019127231698"/>
    <n v="3.9449999999999994"/>
    <n v="1"/>
    <n v="0.2"/>
    <n v="1"/>
    <n v="0.60936038254463398"/>
    <n v="0.2"/>
    <x v="0"/>
    <n v="0"/>
    <n v="0"/>
    <n v="0.85723884767587721"/>
    <n v="0"/>
    <n v="1.9999999999999574E-2"/>
  </r>
  <r>
    <x v="803"/>
    <n v="2.9822174038917302"/>
    <n v="3.9449999999999994"/>
    <n v="2"/>
    <n v="0.2"/>
    <n v="2"/>
    <n v="1.2058038633229802"/>
    <n v="0.4"/>
    <x v="0"/>
    <n v="0"/>
    <n v="0"/>
    <n v="0.85723884767587721"/>
    <n v="0"/>
    <n v="1.9999999999999574E-2"/>
  </r>
  <r>
    <x v="804"/>
    <n v="3.0761568887156101"/>
    <n v="3.9449999999999994"/>
    <n v="5"/>
    <n v="0.2"/>
    <n v="3"/>
    <n v="1.8210352410661024"/>
    <n v="0.60000000000000009"/>
    <x v="0"/>
    <n v="0"/>
    <n v="0"/>
    <n v="0.85723884767587721"/>
    <n v="0"/>
    <n v="1.9999999999999574E-2"/>
  </r>
  <r>
    <x v="805"/>
    <n v="3.1219045210798799"/>
    <n v="3.9449999999999994"/>
    <n v="6"/>
    <n v="0.2"/>
    <n v="4"/>
    <n v="2.4454161452820786"/>
    <n v="0.8"/>
    <x v="0"/>
    <n v="0"/>
    <n v="0"/>
    <n v="0.85723884767587721"/>
    <n v="0"/>
    <n v="1.9999999999999574E-2"/>
  </r>
  <r>
    <x v="806"/>
    <n v="3.0912606104251101"/>
    <n v="3.9449999999999994"/>
    <n v="7"/>
    <n v="0.2"/>
    <n v="5"/>
    <n v="3.0636682673671007"/>
    <n v="1"/>
    <x v="1"/>
    <n v="3.0636682673671007"/>
    <n v="0.88133173263289866"/>
    <n v="0.88133173263289866"/>
    <n v="2.4092884957021443E-2"/>
    <n v="1.9999999999999574E-2"/>
  </r>
  <r>
    <x v="807"/>
    <n v="3.1158923075545402"/>
    <n v="3.98"/>
    <n v="1"/>
    <n v="0.2"/>
    <n v="1"/>
    <n v="0.62317846151090805"/>
    <n v="0.2"/>
    <x v="0"/>
    <n v="0"/>
    <n v="0"/>
    <n v="0.88133173263289866"/>
    <n v="0"/>
    <n v="3.5000000000000586E-2"/>
  </r>
  <r>
    <x v="808"/>
    <n v="3.2022687944333499"/>
    <n v="3.98"/>
    <n v="2"/>
    <n v="0.2"/>
    <n v="2"/>
    <n v="1.2636322203975781"/>
    <n v="0.4"/>
    <x v="0"/>
    <n v="0"/>
    <n v="0"/>
    <n v="0.88133173263289866"/>
    <n v="0"/>
    <n v="3.5000000000000586E-2"/>
  </r>
  <r>
    <x v="809"/>
    <n v="3.0851869199683102"/>
    <n v="3.98"/>
    <n v="5"/>
    <n v="0.2"/>
    <n v="3"/>
    <n v="1.8806696043912401"/>
    <n v="0.60000000000000009"/>
    <x v="0"/>
    <n v="0"/>
    <n v="0"/>
    <n v="0.88133173263289866"/>
    <n v="0"/>
    <n v="3.5000000000000586E-2"/>
  </r>
  <r>
    <x v="810"/>
    <n v="3.0732804432921599"/>
    <n v="3.98"/>
    <n v="6"/>
    <n v="0.2"/>
    <n v="4"/>
    <n v="2.4953256930496721"/>
    <n v="0.8"/>
    <x v="0"/>
    <n v="0"/>
    <n v="0"/>
    <n v="0.88133173263289866"/>
    <n v="0"/>
    <n v="3.5000000000000586E-2"/>
  </r>
  <r>
    <x v="811"/>
    <n v="3.16276525236256"/>
    <n v="3.98"/>
    <n v="7"/>
    <n v="0.2"/>
    <n v="5"/>
    <n v="3.1278787435221842"/>
    <n v="1"/>
    <x v="1"/>
    <n v="3.1278787435221842"/>
    <n v="0.85212125647781578"/>
    <n v="0.85212125647781578"/>
    <n v="-2.9210476155082876E-2"/>
    <n v="3.5000000000000586E-2"/>
  </r>
  <r>
    <x v="812"/>
    <n v="3.1329453977786899"/>
    <n v="3.94"/>
    <n v="1"/>
    <n v="0.2"/>
    <n v="1"/>
    <n v="0.62658907955573806"/>
    <n v="0.2"/>
    <x v="0"/>
    <n v="0"/>
    <n v="0"/>
    <n v="0.85212125647781578"/>
    <n v="0"/>
    <n v="-4.0000000000000036E-2"/>
  </r>
  <r>
    <x v="813"/>
    <n v="3.0409627195865201"/>
    <n v="3.94"/>
    <n v="5"/>
    <n v="0.2"/>
    <n v="2"/>
    <n v="1.234781623473042"/>
    <n v="0.4"/>
    <x v="0"/>
    <n v="0"/>
    <n v="0"/>
    <n v="0.85212125647781578"/>
    <n v="0"/>
    <n v="-4.0000000000000036E-2"/>
  </r>
  <r>
    <x v="814"/>
    <n v="3.00985191194196"/>
    <n v="3.94"/>
    <n v="6"/>
    <n v="0.2"/>
    <n v="3"/>
    <n v="1.8367520058614342"/>
    <n v="0.60000000000000009"/>
    <x v="0"/>
    <n v="0"/>
    <n v="0"/>
    <n v="0.85212125647781578"/>
    <n v="0"/>
    <n v="-4.0000000000000036E-2"/>
  </r>
  <r>
    <x v="815"/>
    <n v="2.9791453962399599"/>
    <n v="3.94"/>
    <n v="7"/>
    <n v="0.2"/>
    <n v="4"/>
    <n v="2.4325810851094261"/>
    <n v="0.8"/>
    <x v="1"/>
    <n v="3.0407263563867826"/>
    <n v="0.89927364361321738"/>
    <n v="0.89927364361321738"/>
    <n v="4.7152387135401597E-2"/>
    <n v="-4.0000000000000036E-2"/>
  </r>
  <r>
    <x v="816"/>
    <n v="3.0519928057207899"/>
    <n v="3.9899999999999998"/>
    <n v="1"/>
    <n v="0.2"/>
    <n v="1"/>
    <n v="0.61039856114415803"/>
    <n v="0.2"/>
    <x v="0"/>
    <n v="0"/>
    <n v="0"/>
    <n v="0.89927364361321738"/>
    <n v="0"/>
    <n v="4.9999999999999822E-2"/>
  </r>
  <r>
    <x v="817"/>
    <n v="3.1469144966257199"/>
    <n v="3.9899999999999998"/>
    <n v="2"/>
    <n v="0.2"/>
    <n v="2"/>
    <n v="1.239781460469302"/>
    <n v="0.4"/>
    <x v="0"/>
    <n v="0"/>
    <n v="0"/>
    <n v="0.89927364361321738"/>
    <n v="0"/>
    <n v="4.9999999999999822E-2"/>
  </r>
  <r>
    <x v="818"/>
    <n v="3.1440801611331"/>
    <n v="3.9899999999999998"/>
    <n v="5"/>
    <n v="0.2"/>
    <n v="3"/>
    <n v="1.8685974926959221"/>
    <n v="0.60000000000000009"/>
    <x v="0"/>
    <n v="0"/>
    <n v="0"/>
    <n v="0.89927364361321738"/>
    <n v="0"/>
    <n v="4.9999999999999822E-2"/>
  </r>
  <r>
    <x v="819"/>
    <n v="3.1081065530197201"/>
    <n v="3.9899999999999998"/>
    <n v="6"/>
    <n v="0.2"/>
    <n v="4"/>
    <n v="2.4902188032998662"/>
    <n v="0.8"/>
    <x v="0"/>
    <n v="0"/>
    <n v="0"/>
    <n v="0.89927364361321738"/>
    <n v="0"/>
    <n v="4.9999999999999822E-2"/>
  </r>
  <r>
    <x v="820"/>
    <n v="3.0651881254767099"/>
    <n v="3.9899999999999998"/>
    <n v="7"/>
    <n v="0.2"/>
    <n v="5"/>
    <n v="3.1032564283952082"/>
    <n v="1"/>
    <x v="1"/>
    <n v="3.1032564283952082"/>
    <n v="0.88674357160479156"/>
    <n v="0.88674357160479156"/>
    <n v="-1.2530072008425819E-2"/>
    <n v="4.9999999999999822E-2"/>
  </r>
  <r>
    <x v="821"/>
    <n v="3.0642370952529001"/>
    <n v="3.94"/>
    <n v="1"/>
    <n v="0.2"/>
    <n v="1"/>
    <n v="0.61284741905058004"/>
    <n v="0.2"/>
    <x v="0"/>
    <n v="0"/>
    <n v="0"/>
    <n v="0.88674357160479156"/>
    <n v="0"/>
    <n v="-4.9999999999999822E-2"/>
  </r>
  <r>
    <x v="822"/>
    <n v="3.0508649511892498"/>
    <n v="3.94"/>
    <n v="2"/>
    <n v="0.2"/>
    <n v="2"/>
    <n v="1.22302040928843"/>
    <n v="0.4"/>
    <x v="0"/>
    <n v="0"/>
    <n v="0"/>
    <n v="0.88674357160479156"/>
    <n v="0"/>
    <n v="-4.9999999999999822E-2"/>
  </r>
  <r>
    <x v="823"/>
    <n v="3.07026860246684"/>
    <n v="3.94"/>
    <n v="5"/>
    <n v="0.2"/>
    <n v="3"/>
    <n v="1.8370741297817981"/>
    <n v="0.60000000000000009"/>
    <x v="0"/>
    <n v="0"/>
    <n v="0"/>
    <n v="0.88674357160479156"/>
    <n v="0"/>
    <n v="-4.9999999999999822E-2"/>
  </r>
  <r>
    <x v="824"/>
    <n v="3.04099858929172"/>
    <n v="3.94"/>
    <n v="6"/>
    <n v="0.2"/>
    <n v="4"/>
    <n v="2.4452738476401423"/>
    <n v="0.8"/>
    <x v="0"/>
    <n v="0"/>
    <n v="0"/>
    <n v="0.88674357160479156"/>
    <n v="0"/>
    <n v="-4.9999999999999822E-2"/>
  </r>
  <r>
    <x v="825"/>
    <n v="3.0272722743659699"/>
    <n v="3.94"/>
    <n v="7"/>
    <n v="0.2"/>
    <n v="5"/>
    <n v="3.0507283025133365"/>
    <n v="1"/>
    <x v="1"/>
    <n v="3.0507283025133365"/>
    <n v="0.88927169748666346"/>
    <n v="0.88927169748666346"/>
    <n v="2.528125881871901E-3"/>
    <n v="-4.9999999999999822E-2"/>
  </r>
  <r>
    <x v="826"/>
    <n v="3.00152435884748"/>
    <n v="3.88"/>
    <n v="1"/>
    <n v="0.2"/>
    <n v="1"/>
    <n v="0.6003048717694961"/>
    <n v="0.2"/>
    <x v="0"/>
    <n v="0"/>
    <n v="0"/>
    <n v="0.88927169748666346"/>
    <n v="0"/>
    <n v="-6.0000000000000053E-2"/>
  </r>
  <r>
    <x v="827"/>
    <n v="3.00880742941581"/>
    <n v="3.88"/>
    <n v="2"/>
    <n v="0.2"/>
    <n v="2"/>
    <n v="1.202066357652658"/>
    <n v="0.4"/>
    <x v="0"/>
    <n v="0"/>
    <n v="0"/>
    <n v="0.88927169748666346"/>
    <n v="0"/>
    <n v="-6.0000000000000053E-2"/>
  </r>
  <r>
    <x v="828"/>
    <n v="2.9768819813504899"/>
    <n v="3.88"/>
    <n v="5"/>
    <n v="0.2"/>
    <n v="3"/>
    <n v="1.797442753922756"/>
    <n v="0.60000000000000009"/>
    <x v="0"/>
    <n v="0"/>
    <n v="0"/>
    <n v="0.88927169748666346"/>
    <n v="0"/>
    <n v="-6.0000000000000053E-2"/>
  </r>
  <r>
    <x v="829"/>
    <n v="2.9700273705701301"/>
    <n v="3.88"/>
    <n v="6"/>
    <n v="0.2"/>
    <n v="4"/>
    <n v="2.3914482280367819"/>
    <n v="0.8"/>
    <x v="0"/>
    <n v="0"/>
    <n v="0"/>
    <n v="0.88927169748666346"/>
    <n v="0"/>
    <n v="-6.0000000000000053E-2"/>
  </r>
  <r>
    <x v="830"/>
    <n v="2.9952166878972601"/>
    <n v="3.88"/>
    <n v="7"/>
    <n v="0.2"/>
    <n v="5"/>
    <n v="2.9904915656162339"/>
    <n v="1"/>
    <x v="1"/>
    <n v="2.9904915656162339"/>
    <n v="0.88950843438376603"/>
    <n v="0.88950843438376603"/>
    <n v="2.3673689710257406E-4"/>
    <n v="-6.0000000000000053E-2"/>
  </r>
  <r>
    <x v="831"/>
    <n v="2.9944455468035298"/>
    <n v="3.81"/>
    <n v="1"/>
    <n v="0.2"/>
    <n v="1"/>
    <n v="0.59888910936070594"/>
    <n v="0.2"/>
    <x v="0"/>
    <n v="0"/>
    <n v="0"/>
    <n v="0.88950843438376603"/>
    <n v="0"/>
    <n v="-6.999999999999984E-2"/>
  </r>
  <r>
    <x v="832"/>
    <n v="2.9155081259623699"/>
    <n v="3.81"/>
    <n v="2"/>
    <n v="0.2"/>
    <n v="2"/>
    <n v="1.1819907345531799"/>
    <n v="0.4"/>
    <x v="0"/>
    <n v="0"/>
    <n v="0"/>
    <n v="0.88950843438376603"/>
    <n v="0"/>
    <n v="-6.999999999999984E-2"/>
  </r>
  <r>
    <x v="833"/>
    <n v="2.8859588833612699"/>
    <n v="3.81"/>
    <n v="5"/>
    <n v="0.2"/>
    <n v="3"/>
    <n v="1.759182511225434"/>
    <n v="0.60000000000000009"/>
    <x v="0"/>
    <n v="0"/>
    <n v="0"/>
    <n v="0.88950843438376603"/>
    <n v="0"/>
    <n v="-6.999999999999984E-2"/>
  </r>
  <r>
    <x v="834"/>
    <n v="2.9592567116727899"/>
    <n v="3.81"/>
    <n v="6"/>
    <n v="0.2"/>
    <n v="4"/>
    <n v="2.3510338535599922"/>
    <n v="0.8"/>
    <x v="0"/>
    <n v="0"/>
    <n v="0"/>
    <n v="0.88950843438376603"/>
    <n v="0"/>
    <n v="-6.999999999999984E-2"/>
  </r>
  <r>
    <x v="835"/>
    <n v="3.0089114844805001"/>
    <n v="3.81"/>
    <n v="7"/>
    <n v="0.2"/>
    <n v="5"/>
    <n v="2.9528161504560924"/>
    <n v="1"/>
    <x v="1"/>
    <n v="2.9528161504560924"/>
    <n v="0.85718384954390769"/>
    <n v="0.85718384954390769"/>
    <n v="-3.2324584839858339E-2"/>
    <n v="-6.999999999999984E-2"/>
  </r>
  <r>
    <x v="836"/>
    <n v="2.9719648499802398"/>
    <n v="3.84"/>
    <n v="1"/>
    <n v="0.2"/>
    <n v="1"/>
    <n v="0.59439296999604796"/>
    <n v="0.2"/>
    <x v="0"/>
    <n v="0"/>
    <n v="0"/>
    <n v="0.85718384954390769"/>
    <n v="0"/>
    <n v="2.9999999999999805E-2"/>
  </r>
  <r>
    <x v="837"/>
    <n v="2.92350190324946"/>
    <n v="3.84"/>
    <n v="2"/>
    <n v="0.2"/>
    <n v="2"/>
    <n v="1.17909335064594"/>
    <n v="0.4"/>
    <x v="0"/>
    <n v="0"/>
    <n v="0"/>
    <n v="0.85718384954390769"/>
    <n v="0"/>
    <n v="2.9999999999999805E-2"/>
  </r>
  <r>
    <x v="838"/>
    <n v="2.9753003706109098"/>
    <n v="3.84"/>
    <n v="5"/>
    <n v="0.2"/>
    <n v="3"/>
    <n v="1.7741534247681221"/>
    <n v="0.60000000000000009"/>
    <x v="0"/>
    <n v="0"/>
    <n v="0"/>
    <n v="0.85718384954390769"/>
    <n v="0"/>
    <n v="2.9999999999999805E-2"/>
  </r>
  <r>
    <x v="839"/>
    <n v="2.8894517792115599"/>
    <n v="3.84"/>
    <n v="6"/>
    <n v="0.2"/>
    <n v="4"/>
    <n v="2.3520437806104342"/>
    <n v="0.8"/>
    <x v="0"/>
    <n v="0"/>
    <n v="0"/>
    <n v="0.85718384954390769"/>
    <n v="0"/>
    <n v="2.9999999999999805E-2"/>
  </r>
  <r>
    <x v="840"/>
    <n v="2.8863432484098199"/>
    <n v="3.84"/>
    <n v="7"/>
    <n v="0.2"/>
    <n v="5"/>
    <n v="2.9293124302923981"/>
    <n v="1"/>
    <x v="1"/>
    <n v="2.9293124302923981"/>
    <n v="0.91068756970760179"/>
    <n v="0.91068756970760179"/>
    <n v="5.3503720163694091E-2"/>
    <n v="2.9999999999999805E-2"/>
  </r>
  <r>
    <x v="841"/>
    <n v="2.94154866689746"/>
    <n v="3.83"/>
    <n v="1"/>
    <n v="0.2"/>
    <n v="1"/>
    <n v="0.58830973337949199"/>
    <n v="0.2"/>
    <x v="0"/>
    <n v="0"/>
    <n v="0"/>
    <n v="0.91068756970760179"/>
    <n v="0"/>
    <n v="-9.9999999999997868E-3"/>
  </r>
  <r>
    <x v="842"/>
    <n v="2.9622833477952701"/>
    <n v="3.83"/>
    <n v="2"/>
    <n v="0.2"/>
    <n v="2"/>
    <n v="1.1807664029385461"/>
    <n v="0.4"/>
    <x v="0"/>
    <n v="0"/>
    <n v="0"/>
    <n v="0.91068756970760179"/>
    <n v="0"/>
    <n v="-9.9999999999997868E-3"/>
  </r>
  <r>
    <x v="843"/>
    <n v="2.9357435322539001"/>
    <n v="3.83"/>
    <n v="5"/>
    <n v="0.2"/>
    <n v="3"/>
    <n v="1.7679151093893259"/>
    <n v="0.60000000000000009"/>
    <x v="0"/>
    <n v="0"/>
    <n v="0"/>
    <n v="0.91068756970760179"/>
    <n v="0"/>
    <n v="-9.9999999999997868E-3"/>
  </r>
  <r>
    <x v="844"/>
    <n v="2.9596582925735899"/>
    <n v="3.83"/>
    <n v="6"/>
    <n v="0.2"/>
    <n v="4"/>
    <n v="2.359846767904044"/>
    <n v="0.8"/>
    <x v="0"/>
    <n v="0"/>
    <n v="0"/>
    <n v="0.91068756970760179"/>
    <n v="0"/>
    <n v="-9.9999999999997868E-3"/>
  </r>
  <r>
    <x v="845"/>
    <n v="2.8898853758214198"/>
    <n v="3.83"/>
    <n v="7"/>
    <n v="0.2"/>
    <n v="5"/>
    <n v="2.9378238430683279"/>
    <n v="1"/>
    <x v="1"/>
    <n v="2.9378238430683279"/>
    <n v="0.89217615693167218"/>
    <n v="0.89217615693167218"/>
    <n v="-1.8511412775929603E-2"/>
    <n v="-9.9999999999997868E-3"/>
  </r>
  <r>
    <x v="846"/>
    <n v="2.85986737962509"/>
    <n v="3.7399999999999998"/>
    <n v="1"/>
    <n v="0.2"/>
    <n v="1"/>
    <n v="0.57197347592501802"/>
    <n v="0.2"/>
    <x v="0"/>
    <n v="0"/>
    <n v="0"/>
    <n v="0.89217615693167218"/>
    <n v="0"/>
    <n v="-9.0000000000000302E-2"/>
  </r>
  <r>
    <x v="847"/>
    <n v="2.8344803887664098"/>
    <n v="3.7399999999999998"/>
    <n v="2"/>
    <n v="0.2"/>
    <n v="2"/>
    <n v="1.1388695536783"/>
    <n v="0.4"/>
    <x v="0"/>
    <n v="0"/>
    <n v="0"/>
    <n v="0.89217615693167218"/>
    <n v="0"/>
    <n v="-9.0000000000000302E-2"/>
  </r>
  <r>
    <x v="848"/>
    <n v="2.79004351105465"/>
    <n v="3.7399999999999998"/>
    <n v="5"/>
    <n v="0.2"/>
    <n v="3"/>
    <n v="1.6968782558892301"/>
    <n v="0.60000000000000009"/>
    <x v="0"/>
    <n v="0"/>
    <n v="0"/>
    <n v="0.89217615693167218"/>
    <n v="0"/>
    <n v="-9.0000000000000302E-2"/>
  </r>
  <r>
    <x v="849"/>
    <n v="2.9080768711615201"/>
    <n v="3.7399999999999998"/>
    <n v="6"/>
    <n v="0.2"/>
    <n v="4"/>
    <n v="2.2784936301215342"/>
    <n v="0.8"/>
    <x v="0"/>
    <n v="0"/>
    <n v="0"/>
    <n v="0.89217615693167218"/>
    <n v="0"/>
    <n v="-9.0000000000000302E-2"/>
  </r>
  <r>
    <x v="850"/>
    <n v="2.9117942461472701"/>
    <n v="3.7399999999999998"/>
    <n v="7"/>
    <n v="0.2"/>
    <n v="5"/>
    <n v="2.8608524793509882"/>
    <n v="1"/>
    <x v="1"/>
    <n v="2.8608524793509882"/>
    <n v="0.87914752064901158"/>
    <n v="0.87914752064901158"/>
    <n v="-1.3028636282660599E-2"/>
    <n v="-9.0000000000000302E-2"/>
  </r>
  <r>
    <x v="851"/>
    <n v="2.9085457311755398"/>
    <n v="3.79"/>
    <n v="1"/>
    <n v="0.2"/>
    <n v="1"/>
    <n v="0.58170914623510794"/>
    <n v="0.2"/>
    <x v="0"/>
    <n v="0"/>
    <n v="0"/>
    <n v="0.87914752064901158"/>
    <n v="0"/>
    <n v="5.0000000000000266E-2"/>
  </r>
  <r>
    <x v="852"/>
    <n v="2.9130814289562301"/>
    <n v="3.79"/>
    <n v="2"/>
    <n v="0.2"/>
    <n v="2"/>
    <n v="1.1643254320263541"/>
    <n v="0.4"/>
    <x v="0"/>
    <n v="0"/>
    <n v="0"/>
    <n v="0.87914752064901158"/>
    <n v="0"/>
    <n v="5.0000000000000266E-2"/>
  </r>
  <r>
    <x v="853"/>
    <n v="2.9344470402340699"/>
    <n v="3.79"/>
    <n v="5"/>
    <n v="0.2"/>
    <n v="3"/>
    <n v="1.751214840073168"/>
    <n v="0.60000000000000009"/>
    <x v="0"/>
    <n v="0"/>
    <n v="0"/>
    <n v="0.87914752064901158"/>
    <n v="0"/>
    <n v="5.0000000000000266E-2"/>
  </r>
  <r>
    <x v="854"/>
    <n v="2.9096799662845698"/>
    <n v="3.79"/>
    <n v="6"/>
    <n v="0.2"/>
    <n v="4"/>
    <n v="2.3331508333300821"/>
    <n v="0.8"/>
    <x v="0"/>
    <n v="0"/>
    <n v="0"/>
    <n v="0.87914752064901158"/>
    <n v="0"/>
    <n v="5.0000000000000266E-2"/>
  </r>
  <r>
    <x v="855"/>
    <n v="2.9358931445910401"/>
    <n v="3.79"/>
    <n v="7"/>
    <n v="0.2"/>
    <n v="5"/>
    <n v="2.92032946224829"/>
    <n v="1"/>
    <x v="1"/>
    <n v="2.92032946224829"/>
    <n v="0.86967053775170999"/>
    <n v="0.86967053775170999"/>
    <n v="-9.476982897301589E-3"/>
    <n v="5.0000000000000266E-2"/>
  </r>
  <r>
    <x v="856"/>
    <n v="2.90498942377981"/>
    <n v="3.8"/>
    <n v="1"/>
    <n v="0.2"/>
    <n v="1"/>
    <n v="0.58099788475596204"/>
    <n v="0.2"/>
    <x v="0"/>
    <n v="0"/>
    <n v="0"/>
    <n v="0.86967053775170999"/>
    <n v="0"/>
    <n v="9.9999999999997868E-3"/>
  </r>
  <r>
    <x v="857"/>
    <n v="2.8787744272910301"/>
    <n v="3.8"/>
    <n v="2"/>
    <n v="0.2"/>
    <n v="2"/>
    <n v="1.156752770214168"/>
    <n v="0.4"/>
    <x v="0"/>
    <n v="0"/>
    <n v="0"/>
    <n v="0.86967053775170999"/>
    <n v="0"/>
    <n v="9.9999999999997868E-3"/>
  </r>
  <r>
    <x v="858"/>
    <n v="2.9185627226684798"/>
    <n v="3.8"/>
    <n v="6"/>
    <n v="0.2"/>
    <n v="3"/>
    <n v="1.7404653147478641"/>
    <n v="0.60000000000000009"/>
    <x v="0"/>
    <n v="0"/>
    <n v="0"/>
    <n v="0.86967053775170999"/>
    <n v="0"/>
    <n v="9.9999999999997868E-3"/>
  </r>
  <r>
    <x v="859"/>
    <n v="2.9027513521030701"/>
    <n v="3.8"/>
    <n v="7"/>
    <n v="0.2"/>
    <n v="4"/>
    <n v="2.3210155851684782"/>
    <n v="0.8"/>
    <x v="1"/>
    <n v="2.9012694814605977"/>
    <n v="0.89873051853940211"/>
    <n v="0.89873051853940211"/>
    <n v="2.9059980787692119E-2"/>
    <n v="9.9999999999997868E-3"/>
  </r>
  <r>
    <x v="860"/>
    <n v="2.9327229891480799"/>
    <n v="3.81"/>
    <n v="1"/>
    <n v="0.2"/>
    <n v="1"/>
    <n v="0.58654459782961599"/>
    <n v="0.2"/>
    <x v="0"/>
    <n v="0"/>
    <n v="0"/>
    <n v="0.89873051853940211"/>
    <n v="0"/>
    <n v="1.0000000000000231E-2"/>
  </r>
  <r>
    <x v="861"/>
    <n v="2.9154645829543302"/>
    <n v="3.81"/>
    <n v="2"/>
    <n v="0.2"/>
    <n v="2"/>
    <n v="1.169637514420482"/>
    <n v="0.4"/>
    <x v="0"/>
    <n v="0"/>
    <n v="0"/>
    <n v="0.89873051853940211"/>
    <n v="0"/>
    <n v="1.0000000000000231E-2"/>
  </r>
  <r>
    <x v="862"/>
    <n v="2.90800506731745"/>
    <n v="3.81"/>
    <n v="5"/>
    <n v="0.2"/>
    <n v="3"/>
    <n v="1.7512385278839719"/>
    <n v="0.60000000000000009"/>
    <x v="0"/>
    <n v="0"/>
    <n v="0"/>
    <n v="0.89873051853940211"/>
    <n v="0"/>
    <n v="1.0000000000000231E-2"/>
  </r>
  <r>
    <x v="863"/>
    <n v="2.9912109118513701"/>
    <n v="3.81"/>
    <n v="6"/>
    <n v="0.2"/>
    <n v="4"/>
    <n v="2.3494807102542459"/>
    <n v="0.8"/>
    <x v="0"/>
    <n v="0"/>
    <n v="0"/>
    <n v="0.89873051853940211"/>
    <n v="0"/>
    <n v="1.0000000000000231E-2"/>
  </r>
  <r>
    <x v="864"/>
    <n v="2.9926621611582802"/>
    <n v="3.81"/>
    <n v="7"/>
    <n v="0.2"/>
    <n v="5"/>
    <n v="2.9480131424859017"/>
    <n v="1"/>
    <x v="1"/>
    <n v="2.9480131424859017"/>
    <n v="0.86198685751409831"/>
    <n v="0.86198685751409831"/>
    <n v="-3.6743661025303798E-2"/>
    <n v="1.0000000000000231E-2"/>
  </r>
  <r>
    <x v="865"/>
    <n v="2.8946199392202701"/>
    <n v="3.7849999999999997"/>
    <n v="1"/>
    <n v="0.2"/>
    <n v="1"/>
    <n v="0.57892398784405408"/>
    <n v="0.2"/>
    <x v="0"/>
    <n v="0"/>
    <n v="0"/>
    <n v="0.86198685751409831"/>
    <n v="0"/>
    <n v="-2.5000000000000355E-2"/>
  </r>
  <r>
    <x v="866"/>
    <n v="2.8362882018725202"/>
    <n v="3.7849999999999997"/>
    <n v="2"/>
    <n v="0.2"/>
    <n v="2"/>
    <n v="1.1461816282185582"/>
    <n v="0.4"/>
    <x v="0"/>
    <n v="0"/>
    <n v="0"/>
    <n v="0.86198685751409831"/>
    <n v="0"/>
    <n v="-2.5000000000000355E-2"/>
  </r>
  <r>
    <x v="867"/>
    <n v="2.91486476009828"/>
    <n v="3.7849999999999997"/>
    <n v="5"/>
    <n v="0.2"/>
    <n v="3"/>
    <n v="1.7291545802382142"/>
    <n v="0.60000000000000009"/>
    <x v="0"/>
    <n v="0"/>
    <n v="0"/>
    <n v="0.86198685751409831"/>
    <n v="0"/>
    <n v="-2.5000000000000355E-2"/>
  </r>
  <r>
    <x v="868"/>
    <n v="2.8594352216235301"/>
    <n v="3.7849999999999997"/>
    <n v="6"/>
    <n v="0.2"/>
    <n v="4"/>
    <n v="2.3010416245629202"/>
    <n v="0.8"/>
    <x v="0"/>
    <n v="0"/>
    <n v="0"/>
    <n v="0.86198685751409831"/>
    <n v="0"/>
    <n v="-2.5000000000000355E-2"/>
  </r>
  <r>
    <x v="869"/>
    <n v="2.8734950564364601"/>
    <n v="3.7849999999999997"/>
    <n v="7"/>
    <n v="0.2"/>
    <n v="5"/>
    <n v="2.875740635850212"/>
    <n v="1"/>
    <x v="1"/>
    <n v="2.875740635850212"/>
    <n v="0.9092593641497877"/>
    <n v="0.9092593641497877"/>
    <n v="4.7272506635689382E-2"/>
    <n v="-2.5000000000000355E-2"/>
  </r>
  <r>
    <x v="870"/>
    <n v="2.8712695086990299"/>
    <n v="3.75"/>
    <n v="1"/>
    <n v="0.2"/>
    <n v="1"/>
    <n v="0.57425390173980595"/>
    <n v="0.2"/>
    <x v="0"/>
    <n v="0"/>
    <n v="0"/>
    <n v="0.9092593641497877"/>
    <n v="0"/>
    <n v="-3.4999999999999698E-2"/>
  </r>
  <r>
    <x v="871"/>
    <n v="2.8987506443333801"/>
    <n v="3.75"/>
    <n v="2"/>
    <n v="0.2"/>
    <n v="2"/>
    <n v="1.154004030606482"/>
    <n v="0.4"/>
    <x v="0"/>
    <n v="0"/>
    <n v="0"/>
    <n v="0.9092593641497877"/>
    <n v="0"/>
    <n v="-3.4999999999999698E-2"/>
  </r>
  <r>
    <x v="872"/>
    <n v="2.8546348135519901"/>
    <n v="3.75"/>
    <n v="5"/>
    <n v="0.2"/>
    <n v="3"/>
    <n v="1.7249309933168799"/>
    <n v="0.60000000000000009"/>
    <x v="0"/>
    <n v="0"/>
    <n v="0"/>
    <n v="0.9092593641497877"/>
    <n v="0"/>
    <n v="-3.4999999999999698E-2"/>
  </r>
  <r>
    <x v="873"/>
    <n v="2.8124515814242899"/>
    <n v="3.75"/>
    <n v="6"/>
    <n v="0.2"/>
    <n v="4"/>
    <n v="2.2874213096017382"/>
    <n v="0.8"/>
    <x v="0"/>
    <n v="0"/>
    <n v="0"/>
    <n v="0.9092593641497877"/>
    <n v="0"/>
    <n v="-3.4999999999999698E-2"/>
  </r>
  <r>
    <x v="874"/>
    <n v="2.8018988061488499"/>
    <n v="3.75"/>
    <n v="7"/>
    <n v="0.2"/>
    <n v="5"/>
    <n v="2.8478010708315082"/>
    <n v="1"/>
    <x v="1"/>
    <n v="2.8478010708315082"/>
    <n v="0.90219892916849176"/>
    <n v="0.90219892916849176"/>
    <n v="-7.0604349812959377E-3"/>
    <n v="-3.4999999999999698E-2"/>
  </r>
  <r>
    <x v="875"/>
    <n v="2.7784102270308701"/>
    <n v="3.6599999999999997"/>
    <n v="1"/>
    <n v="0.2"/>
    <n v="1"/>
    <n v="0.55568204540617405"/>
    <n v="0.2"/>
    <x v="0"/>
    <n v="0"/>
    <n v="0"/>
    <n v="0.90219892916849176"/>
    <n v="0"/>
    <n v="-9.0000000000000302E-2"/>
  </r>
  <r>
    <x v="876"/>
    <n v="2.7296334551710499"/>
    <n v="3.6599999999999997"/>
    <n v="2"/>
    <n v="0.2"/>
    <n v="2"/>
    <n v="1.1016087364403839"/>
    <n v="0.4"/>
    <x v="0"/>
    <n v="0"/>
    <n v="0"/>
    <n v="0.90219892916849176"/>
    <n v="0"/>
    <n v="-9.0000000000000302E-2"/>
  </r>
  <r>
    <x v="877"/>
    <n v="2.7734212235563001"/>
    <n v="3.6599999999999997"/>
    <n v="5"/>
    <n v="0.2"/>
    <n v="3"/>
    <n v="1.656292981151644"/>
    <n v="0.60000000000000009"/>
    <x v="0"/>
    <n v="0"/>
    <n v="0"/>
    <n v="0.90219892916849176"/>
    <n v="0"/>
    <n v="-9.0000000000000302E-2"/>
  </r>
  <r>
    <x v="878"/>
    <n v="2.7570320859498798"/>
    <n v="3.6599999999999997"/>
    <n v="6"/>
    <n v="0.2"/>
    <n v="4"/>
    <n v="2.20769939834162"/>
    <n v="0.8"/>
    <x v="0"/>
    <n v="0"/>
    <n v="0"/>
    <n v="0.90219892916849176"/>
    <n v="0"/>
    <n v="-9.0000000000000302E-2"/>
  </r>
  <r>
    <x v="879"/>
    <n v="2.77010275743095"/>
    <n v="3.6599999999999997"/>
    <n v="7"/>
    <n v="0.2"/>
    <n v="5"/>
    <n v="2.76171994982781"/>
    <n v="1"/>
    <x v="1"/>
    <n v="2.76171994982781"/>
    <n v="0.8982800501721897"/>
    <n v="0.8982800501721897"/>
    <n v="-3.9188789963020554E-3"/>
    <n v="-9.0000000000000302E-2"/>
  </r>
  <r>
    <x v="880"/>
    <n v="2.81486937200697"/>
    <n v="3.7199999999999998"/>
    <n v="1"/>
    <n v="0.2"/>
    <n v="1"/>
    <n v="0.56297387440139401"/>
    <n v="0.2"/>
    <x v="0"/>
    <n v="0"/>
    <n v="0"/>
    <n v="0.8982800501721897"/>
    <n v="0"/>
    <n v="6.0000000000000053E-2"/>
  </r>
  <r>
    <x v="881"/>
    <n v="2.8165675160693602"/>
    <n v="3.7199999999999998"/>
    <n v="2"/>
    <n v="0.2"/>
    <n v="2"/>
    <n v="1.1262873776152662"/>
    <n v="0.4"/>
    <x v="0"/>
    <n v="0"/>
    <n v="0"/>
    <n v="0.8982800501721897"/>
    <n v="0"/>
    <n v="6.0000000000000053E-2"/>
  </r>
  <r>
    <x v="882"/>
    <n v="2.7891999400544001"/>
    <n v="3.7199999999999998"/>
    <n v="6"/>
    <n v="0.2"/>
    <n v="3"/>
    <n v="1.6841273656261464"/>
    <n v="0.60000000000000009"/>
    <x v="0"/>
    <n v="0"/>
    <n v="0"/>
    <n v="0.8982800501721897"/>
    <n v="0"/>
    <n v="6.0000000000000053E-2"/>
  </r>
  <r>
    <x v="883"/>
    <n v="2.7081035827114999"/>
    <n v="3.7199999999999998"/>
    <n v="7"/>
    <n v="0.2"/>
    <n v="4"/>
    <n v="2.2257480821684466"/>
    <n v="0.8"/>
    <x v="1"/>
    <n v="2.782185102710558"/>
    <n v="0.93781489728944178"/>
    <n v="0.93781489728944178"/>
    <n v="3.9534847117252081E-2"/>
    <n v="6.0000000000000053E-2"/>
  </r>
  <r>
    <x v="884"/>
    <n v="2.73044392273518"/>
    <n v="3.69"/>
    <n v="1"/>
    <n v="0.2"/>
    <n v="1"/>
    <n v="0.54608878454703602"/>
    <n v="0.2"/>
    <x v="0"/>
    <n v="0"/>
    <n v="0"/>
    <n v="0.93781489728944178"/>
    <n v="0"/>
    <n v="-2.9999999999999805E-2"/>
  </r>
  <r>
    <x v="885"/>
    <n v="2.7334728347211201"/>
    <n v="3.69"/>
    <n v="2"/>
    <n v="0.2"/>
    <n v="2"/>
    <n v="1.0927833514912599"/>
    <n v="0.4"/>
    <x v="0"/>
    <n v="0"/>
    <n v="0"/>
    <n v="0.93781489728944178"/>
    <n v="0"/>
    <n v="-2.9999999999999805E-2"/>
  </r>
  <r>
    <x v="886"/>
    <n v="2.7352021596982001"/>
    <n v="3.69"/>
    <n v="5"/>
    <n v="0.2"/>
    <n v="3"/>
    <n v="1.6398237834309"/>
    <n v="0.60000000000000009"/>
    <x v="0"/>
    <n v="0"/>
    <n v="0"/>
    <n v="0.93781489728944178"/>
    <n v="0"/>
    <n v="-2.9999999999999805E-2"/>
  </r>
  <r>
    <x v="887"/>
    <n v="2.7729349961757701"/>
    <n v="3.69"/>
    <n v="6"/>
    <n v="0.2"/>
    <n v="4"/>
    <n v="2.1944107826660542"/>
    <n v="0.8"/>
    <x v="0"/>
    <n v="0"/>
    <n v="0"/>
    <n v="0.93781489728944178"/>
    <n v="0"/>
    <n v="-2.9999999999999805E-2"/>
  </r>
  <r>
    <x v="888"/>
    <n v="2.7446763066937101"/>
    <n v="3.69"/>
    <n v="7"/>
    <n v="0.2"/>
    <n v="5"/>
    <n v="2.7433460440047961"/>
    <n v="1"/>
    <x v="1"/>
    <n v="2.7433460440047961"/>
    <n v="0.94665395599520386"/>
    <n v="0.94665395599520386"/>
    <n v="8.8390587057620706E-3"/>
    <n v="-2.9999999999999805E-2"/>
  </r>
  <r>
    <x v="889"/>
    <n v="2.7173642653119501"/>
    <n v="3.6599999999999997"/>
    <n v="1"/>
    <n v="0.2"/>
    <n v="1"/>
    <n v="0.54347285306239002"/>
    <n v="0.2"/>
    <x v="0"/>
    <n v="0"/>
    <n v="0"/>
    <n v="0.94665395599520386"/>
    <n v="0"/>
    <n v="-3.0000000000000249E-2"/>
  </r>
  <r>
    <x v="890"/>
    <n v="2.77127537293183"/>
    <n v="3.6599999999999997"/>
    <n v="2"/>
    <n v="0.2"/>
    <n v="2"/>
    <n v="1.0977279276487559"/>
    <n v="0.4"/>
    <x v="0"/>
    <n v="0"/>
    <n v="0"/>
    <n v="0.94665395599520386"/>
    <n v="0"/>
    <n v="-3.0000000000000249E-2"/>
  </r>
  <r>
    <x v="891"/>
    <n v="2.7558575864349502"/>
    <n v="3.6599999999999997"/>
    <n v="5"/>
    <n v="0.2"/>
    <n v="3"/>
    <n v="1.6488994449357461"/>
    <n v="0.60000000000000009"/>
    <x v="0"/>
    <n v="0"/>
    <n v="0"/>
    <n v="0.94665395599520386"/>
    <n v="0"/>
    <n v="-3.0000000000000249E-2"/>
  </r>
  <r>
    <x v="892"/>
    <n v="2.7239833090670502"/>
    <n v="3.6599999999999997"/>
    <n v="6"/>
    <n v="0.2"/>
    <n v="4"/>
    <n v="2.1936961067491563"/>
    <n v="0.8"/>
    <x v="0"/>
    <n v="0"/>
    <n v="0"/>
    <n v="0.94665395599520386"/>
    <n v="0"/>
    <n v="-3.0000000000000249E-2"/>
  </r>
  <r>
    <x v="893"/>
    <n v="2.7958120452124602"/>
    <n v="3.6599999999999997"/>
    <n v="7"/>
    <n v="0.2"/>
    <n v="5"/>
    <n v="2.7528585157916483"/>
    <n v="1"/>
    <x v="1"/>
    <n v="2.7528585157916483"/>
    <n v="0.90714148420835139"/>
    <n v="0.90714148420835139"/>
    <n v="-3.9512471786852466E-2"/>
    <n v="-3.0000000000000249E-2"/>
  </r>
  <r>
    <x v="894"/>
    <n v="2.8760429870518398"/>
    <n v="3.77"/>
    <n v="1"/>
    <n v="0.2"/>
    <n v="1"/>
    <n v="0.57520859741036801"/>
    <n v="0.2"/>
    <x v="0"/>
    <n v="0"/>
    <n v="0"/>
    <n v="0.90714148420835139"/>
    <n v="0"/>
    <n v="0.11000000000000032"/>
  </r>
  <r>
    <x v="895"/>
    <n v="2.8444181025455899"/>
    <n v="3.77"/>
    <n v="2"/>
    <n v="0.2"/>
    <n v="2"/>
    <n v="1.1440922179194861"/>
    <n v="0.4"/>
    <x v="0"/>
    <n v="0"/>
    <n v="0"/>
    <n v="0.90714148420835139"/>
    <n v="0"/>
    <n v="0.11000000000000032"/>
  </r>
  <r>
    <x v="896"/>
    <n v="2.8650468207927799"/>
    <n v="3.77"/>
    <n v="5"/>
    <n v="0.2"/>
    <n v="3"/>
    <n v="1.7171015820780422"/>
    <n v="0.60000000000000009"/>
    <x v="0"/>
    <n v="0"/>
    <n v="0"/>
    <n v="0.90714148420835139"/>
    <n v="0"/>
    <n v="0.11000000000000032"/>
  </r>
  <r>
    <x v="897"/>
    <n v="2.8982983852453801"/>
    <n v="3.77"/>
    <n v="6"/>
    <n v="0.2"/>
    <n v="4"/>
    <n v="2.296761259127118"/>
    <n v="0.8"/>
    <x v="0"/>
    <n v="0"/>
    <n v="0"/>
    <n v="0.90714148420835139"/>
    <n v="0"/>
    <n v="0.11000000000000032"/>
  </r>
  <r>
    <x v="898"/>
    <n v="2.9340630334667899"/>
    <n v="3.77"/>
    <n v="7"/>
    <n v="0.2"/>
    <n v="5"/>
    <n v="2.8835738658204759"/>
    <n v="1"/>
    <x v="1"/>
    <n v="2.8835738658204759"/>
    <n v="0.88642613417952409"/>
    <n v="0.88642613417952409"/>
    <n v="-2.0715350028827295E-2"/>
    <n v="0.11000000000000032"/>
  </r>
  <r>
    <x v="899"/>
    <n v="2.9388026853832501"/>
    <n v="3.88"/>
    <n v="1"/>
    <n v="0.2"/>
    <n v="1"/>
    <n v="0.58776053707664999"/>
    <n v="0.2"/>
    <x v="0"/>
    <n v="0"/>
    <n v="0"/>
    <n v="0.88642613417952409"/>
    <n v="0"/>
    <n v="0.10999999999999988"/>
  </r>
  <r>
    <x v="900"/>
    <n v="3.0126979954339599"/>
    <n v="3.88"/>
    <n v="2"/>
    <n v="0.2"/>
    <n v="2"/>
    <n v="1.190300136163442"/>
    <n v="0.4"/>
    <x v="0"/>
    <n v="0"/>
    <n v="0"/>
    <n v="0.88642613417952409"/>
    <n v="0"/>
    <n v="0.10999999999999988"/>
  </r>
  <r>
    <x v="901"/>
    <n v="3.0394713990433302"/>
    <n v="3.88"/>
    <n v="5"/>
    <n v="0.2"/>
    <n v="3"/>
    <n v="1.7981944159721079"/>
    <n v="0.60000000000000009"/>
    <x v="0"/>
    <n v="0"/>
    <n v="0"/>
    <n v="0.88642613417952409"/>
    <n v="0"/>
    <n v="0.10999999999999988"/>
  </r>
  <r>
    <x v="902"/>
    <n v="3.0240881034818901"/>
    <n v="3.88"/>
    <n v="6"/>
    <n v="0.2"/>
    <n v="4"/>
    <n v="2.403012036668486"/>
    <n v="0.8"/>
    <x v="1"/>
    <n v="3.0037650458356073"/>
    <n v="0.87623495416439257"/>
    <n v="0.87623495416439257"/>
    <n v="-1.0191180015131529E-2"/>
    <n v="0.10999999999999988"/>
  </r>
  <r>
    <x v="903"/>
    <n v="3.0415503408748101"/>
    <n v="3.87"/>
    <n v="1"/>
    <n v="0.2"/>
    <n v="1"/>
    <n v="0.60831006817496203"/>
    <n v="0.2"/>
    <x v="0"/>
    <n v="0"/>
    <n v="0"/>
    <n v="0.87623495416439257"/>
    <n v="0"/>
    <n v="-9.9999999999997868E-3"/>
  </r>
  <r>
    <x v="904"/>
    <n v="3.0032203766891601"/>
    <n v="3.87"/>
    <n v="2"/>
    <n v="0.2"/>
    <n v="2"/>
    <n v="1.208954143512794"/>
    <n v="0.4"/>
    <x v="0"/>
    <n v="0"/>
    <n v="0"/>
    <n v="0.87623495416439257"/>
    <n v="0"/>
    <n v="-9.9999999999997868E-3"/>
  </r>
  <r>
    <x v="905"/>
    <n v="2.9962349476624799"/>
    <n v="3.87"/>
    <n v="5"/>
    <n v="0.2"/>
    <n v="3"/>
    <n v="1.8082011330452898"/>
    <n v="0.60000000000000009"/>
    <x v="0"/>
    <n v="0"/>
    <n v="0"/>
    <n v="0.87623495416439257"/>
    <n v="0"/>
    <n v="-9.9999999999997868E-3"/>
  </r>
  <r>
    <x v="906"/>
    <n v="2.9829487992520902"/>
    <n v="3.87"/>
    <n v="6"/>
    <n v="0.2"/>
    <n v="4"/>
    <n v="2.4047908928957078"/>
    <n v="0.8"/>
    <x v="0"/>
    <n v="0"/>
    <n v="0"/>
    <n v="0.87623495416439257"/>
    <n v="0"/>
    <n v="-9.9999999999997868E-3"/>
  </r>
  <r>
    <x v="907"/>
    <n v="2.97922271147955"/>
    <n v="3.87"/>
    <n v="7"/>
    <n v="0.2"/>
    <n v="5"/>
    <n v="3.0006354351916178"/>
    <n v="1"/>
    <x v="1"/>
    <n v="3.0006354351916178"/>
    <n v="0.86936456480838231"/>
    <n v="0.86936456480838231"/>
    <n v="-6.8703893560102536E-3"/>
    <n v="-9.9999999999997868E-3"/>
  </r>
  <r>
    <x v="908"/>
    <n v="2.9567440380932299"/>
    <n v="3.875"/>
    <n v="1"/>
    <n v="0.2"/>
    <n v="1"/>
    <n v="0.59134880761864606"/>
    <n v="0.2"/>
    <x v="0"/>
    <n v="0"/>
    <n v="0"/>
    <n v="0.86936456480838231"/>
    <n v="0"/>
    <n v="4.9999999999998934E-3"/>
  </r>
  <r>
    <x v="909"/>
    <n v="2.9778815410804498"/>
    <n v="3.875"/>
    <n v="2"/>
    <n v="0.2"/>
    <n v="2"/>
    <n v="1.186925115834736"/>
    <n v="0.4"/>
    <x v="0"/>
    <n v="0"/>
    <n v="0"/>
    <n v="0.86936456480838231"/>
    <n v="0"/>
    <n v="4.9999999999998934E-3"/>
  </r>
  <r>
    <x v="910"/>
    <n v="2.9783756626827098"/>
    <n v="3.875"/>
    <n v="5"/>
    <n v="0.2"/>
    <n v="3"/>
    <n v="1.7826002483712782"/>
    <n v="0.60000000000000009"/>
    <x v="0"/>
    <n v="0"/>
    <n v="0"/>
    <n v="0.86936456480838231"/>
    <n v="0"/>
    <n v="4.9999999999998934E-3"/>
  </r>
  <r>
    <x v="911"/>
    <n v="2.9726150604600501"/>
    <n v="3.875"/>
    <n v="6"/>
    <n v="0.2"/>
    <n v="4"/>
    <n v="2.3771232604632884"/>
    <n v="0.8"/>
    <x v="0"/>
    <n v="0"/>
    <n v="0"/>
    <n v="0.86936456480838231"/>
    <n v="0"/>
    <n v="4.9999999999998934E-3"/>
  </r>
  <r>
    <x v="912"/>
    <n v="2.9699990408330801"/>
    <n v="3.875"/>
    <n v="7"/>
    <n v="0.2"/>
    <n v="5"/>
    <n v="2.9711230686299044"/>
    <n v="1"/>
    <x v="1"/>
    <n v="2.9711230686299044"/>
    <n v="0.90387693137009562"/>
    <n v="0.90387693137009562"/>
    <n v="3.4512366561713304E-2"/>
    <n v="4.9999999999998934E-3"/>
  </r>
  <r>
    <x v="913"/>
    <n v="2.9627998266716902"/>
    <n v="3.83"/>
    <n v="2"/>
    <n v="0.2"/>
    <n v="1"/>
    <n v="0.59255996533433808"/>
    <n v="0.2"/>
    <x v="0"/>
    <n v="0"/>
    <n v="0"/>
    <n v="0.90387693137009562"/>
    <n v="0"/>
    <n v="-4.4999999999999929E-2"/>
  </r>
  <r>
    <x v="914"/>
    <n v="2.9474672658602201"/>
    <n v="3.83"/>
    <n v="5"/>
    <n v="0.2"/>
    <n v="2"/>
    <n v="1.1820534185063822"/>
    <n v="0.4"/>
    <x v="0"/>
    <n v="0"/>
    <n v="0"/>
    <n v="0.90387693137009562"/>
    <n v="0"/>
    <n v="-4.4999999999999929E-2"/>
  </r>
  <r>
    <x v="915"/>
    <n v="2.8947298491443201"/>
    <n v="3.83"/>
    <n v="6"/>
    <n v="0.2"/>
    <n v="3"/>
    <n v="1.7609993883352462"/>
    <n v="0.60000000000000009"/>
    <x v="0"/>
    <n v="0"/>
    <n v="0"/>
    <n v="0.90387693137009562"/>
    <n v="0"/>
    <n v="-4.4999999999999929E-2"/>
  </r>
  <r>
    <x v="916"/>
    <n v="2.9165593470462001"/>
    <n v="3.83"/>
    <n v="7"/>
    <n v="0.2"/>
    <n v="4"/>
    <n v="2.3443112577444865"/>
    <n v="0.8"/>
    <x v="1"/>
    <n v="2.9303890721806081"/>
    <n v="0.899610927819392"/>
    <n v="0.899610927819392"/>
    <n v="-4.266003550703612E-3"/>
    <n v="-4.4999999999999929E-2"/>
  </r>
  <r>
    <x v="917"/>
    <n v="3.0544306669029599"/>
    <n v="3.85"/>
    <n v="1"/>
    <n v="0.2"/>
    <n v="1"/>
    <n v="0.61088613338059206"/>
    <n v="0.2"/>
    <x v="0"/>
    <n v="0"/>
    <n v="0"/>
    <n v="0.899610927819392"/>
    <n v="0"/>
    <n v="2.0000000000000018E-2"/>
  </r>
  <r>
    <x v="918"/>
    <n v="2.9966381834712199"/>
    <n v="3.85"/>
    <n v="2"/>
    <n v="0.2"/>
    <n v="2"/>
    <n v="1.2102137700748361"/>
    <n v="0.4"/>
    <x v="0"/>
    <n v="0"/>
    <n v="0"/>
    <n v="0.899610927819392"/>
    <n v="0"/>
    <n v="2.0000000000000018E-2"/>
  </r>
  <r>
    <x v="919"/>
    <n v="2.9498986890501602"/>
    <n v="3.85"/>
    <n v="5"/>
    <n v="0.2"/>
    <n v="3"/>
    <n v="1.8001935078848681"/>
    <n v="0.60000000000000009"/>
    <x v="0"/>
    <n v="0"/>
    <n v="0"/>
    <n v="0.899610927819392"/>
    <n v="0"/>
    <n v="2.0000000000000018E-2"/>
  </r>
  <r>
    <x v="920"/>
    <n v="2.97492729888162"/>
    <n v="3.85"/>
    <n v="6"/>
    <n v="0.2"/>
    <n v="4"/>
    <n v="2.3951789676611921"/>
    <n v="0.8"/>
    <x v="0"/>
    <n v="0"/>
    <n v="0"/>
    <n v="0.899610927819392"/>
    <n v="0"/>
    <n v="2.0000000000000018E-2"/>
  </r>
  <r>
    <x v="921"/>
    <n v="2.9584562580557998"/>
    <n v="3.85"/>
    <n v="7"/>
    <n v="0.2"/>
    <n v="5"/>
    <n v="2.986870219272352"/>
    <n v="1"/>
    <x v="1"/>
    <n v="2.986870219272352"/>
    <n v="0.86312978072764812"/>
    <n v="0.86312978072764812"/>
    <n v="-3.6481147091743882E-2"/>
    <n v="2.0000000000000018E-2"/>
  </r>
  <r>
    <x v="922"/>
    <n v="2.9975278287112799"/>
    <n v="3.87"/>
    <n v="1"/>
    <n v="0.2"/>
    <n v="1"/>
    <n v="0.599505565742256"/>
    <n v="0.2"/>
    <x v="0"/>
    <n v="0"/>
    <n v="0"/>
    <n v="0.86312978072764812"/>
    <n v="0"/>
    <n v="2.0000000000000018E-2"/>
  </r>
  <r>
    <x v="923"/>
    <n v="2.93038775773327"/>
    <n v="3.87"/>
    <n v="2"/>
    <n v="0.2"/>
    <n v="2"/>
    <n v="1.18558311728891"/>
    <n v="0.4"/>
    <x v="0"/>
    <n v="0"/>
    <n v="0"/>
    <n v="0.86312978072764812"/>
    <n v="0"/>
    <n v="2.0000000000000018E-2"/>
  </r>
  <r>
    <x v="924"/>
    <n v="2.9956917661864102"/>
    <n v="3.87"/>
    <n v="5"/>
    <n v="0.2"/>
    <n v="3"/>
    <n v="1.784721470526192"/>
    <n v="0.60000000000000009"/>
    <x v="0"/>
    <n v="0"/>
    <n v="0"/>
    <n v="0.86312978072764812"/>
    <n v="0"/>
    <n v="2.0000000000000018E-2"/>
  </r>
  <r>
    <x v="925"/>
    <n v="3.0277544715368299"/>
    <n v="3.87"/>
    <n v="6"/>
    <n v="0.2"/>
    <n v="4"/>
    <n v="2.390272364833558"/>
    <n v="0.8"/>
    <x v="0"/>
    <n v="0"/>
    <n v="0"/>
    <n v="0.86312978072764812"/>
    <n v="0"/>
    <n v="2.0000000000000018E-2"/>
  </r>
  <r>
    <x v="926"/>
    <n v="3.0337070171743399"/>
    <n v="3.87"/>
    <n v="7"/>
    <n v="0.2"/>
    <n v="5"/>
    <n v="2.9970137682684261"/>
    <n v="1"/>
    <x v="1"/>
    <n v="2.9970137682684261"/>
    <n v="0.87298623173157397"/>
    <n v="0.87298623173157397"/>
    <n v="9.8564510039258479E-3"/>
    <n v="2.0000000000000018E-2"/>
  </r>
  <r>
    <x v="927"/>
    <n v="2.9938542795846499"/>
    <n v="3.86"/>
    <n v="1"/>
    <n v="0.2"/>
    <n v="1"/>
    <n v="0.59877085591693002"/>
    <n v="0.2"/>
    <x v="0"/>
    <n v="0"/>
    <n v="0"/>
    <n v="0.87298623173157397"/>
    <n v="0"/>
    <n v="-1.0000000000000231E-2"/>
  </r>
  <r>
    <x v="928"/>
    <n v="2.9654454819851401"/>
    <n v="3.86"/>
    <n v="2"/>
    <n v="0.2"/>
    <n v="2"/>
    <n v="1.1918599523139579"/>
    <n v="0.4"/>
    <x v="0"/>
    <n v="0"/>
    <n v="0"/>
    <n v="0.87298623173157397"/>
    <n v="0"/>
    <n v="-1.0000000000000231E-2"/>
  </r>
  <r>
    <x v="929"/>
    <n v="2.9731174036640602"/>
    <n v="3.86"/>
    <n v="5"/>
    <n v="0.2"/>
    <n v="3"/>
    <n v="1.78648343304677"/>
    <n v="0.60000000000000009"/>
    <x v="0"/>
    <n v="0"/>
    <n v="0"/>
    <n v="0.87298623173157397"/>
    <n v="0"/>
    <n v="-1.0000000000000231E-2"/>
  </r>
  <r>
    <x v="930"/>
    <n v="3.0177597197552002"/>
    <n v="3.86"/>
    <n v="6"/>
    <n v="0.2"/>
    <n v="4"/>
    <n v="2.39003537699781"/>
    <n v="0.8"/>
    <x v="0"/>
    <n v="0"/>
    <n v="0"/>
    <n v="0.87298623173157397"/>
    <n v="0"/>
    <n v="-1.0000000000000231E-2"/>
  </r>
  <r>
    <x v="931"/>
    <n v="3.0426080275796101"/>
    <n v="3.86"/>
    <n v="7"/>
    <n v="0.2"/>
    <n v="5"/>
    <n v="2.9985569825137319"/>
    <n v="1"/>
    <x v="1"/>
    <n v="2.9985569825137319"/>
    <n v="0.86144301748626795"/>
    <n v="0.86144301748626795"/>
    <n v="-1.1543214245306022E-2"/>
    <n v="-1.0000000000000231E-2"/>
  </r>
  <r>
    <x v="932"/>
    <n v="3.0275766664066102"/>
    <n v="3.9099999999999997"/>
    <n v="1"/>
    <n v="0.2"/>
    <n v="1"/>
    <n v="0.60551533328132212"/>
    <n v="0.2"/>
    <x v="0"/>
    <n v="0"/>
    <n v="0"/>
    <n v="0.86144301748626795"/>
    <n v="0"/>
    <n v="4.9999999999999822E-2"/>
  </r>
  <r>
    <x v="933"/>
    <n v="3.0029644484734299"/>
    <n v="3.9099999999999997"/>
    <n v="5"/>
    <n v="0.2"/>
    <n v="2"/>
    <n v="1.2061082229760083"/>
    <n v="0.4"/>
    <x v="0"/>
    <n v="0"/>
    <n v="0"/>
    <n v="0.86144301748626795"/>
    <n v="0"/>
    <n v="4.9999999999999822E-2"/>
  </r>
  <r>
    <x v="934"/>
    <n v="3.05738829293283"/>
    <n v="3.9099999999999997"/>
    <n v="6"/>
    <n v="0.2"/>
    <n v="3"/>
    <n v="1.8175858815625743"/>
    <n v="0.60000000000000009"/>
    <x v="0"/>
    <n v="0"/>
    <n v="0"/>
    <n v="0.86144301748626795"/>
    <n v="0"/>
    <n v="4.9999999999999822E-2"/>
  </r>
  <r>
    <x v="935"/>
    <n v="3.0484600868524701"/>
    <n v="3.9099999999999997"/>
    <n v="7"/>
    <n v="0.2"/>
    <n v="4"/>
    <n v="2.4272778989330686"/>
    <n v="0.8"/>
    <x v="1"/>
    <n v="3.0340973736663357"/>
    <n v="0.875902626333664"/>
    <n v="0.875902626333664"/>
    <n v="1.4459608847396055E-2"/>
    <n v="4.9999999999999822E-2"/>
  </r>
  <r>
    <x v="936"/>
    <n v="3.0053894082817201"/>
    <n v="3.87"/>
    <n v="1"/>
    <n v="0.2"/>
    <n v="1"/>
    <n v="0.60107788165634402"/>
    <n v="0.2"/>
    <x v="0"/>
    <n v="0"/>
    <n v="0"/>
    <n v="0.875902626333664"/>
    <n v="0"/>
    <n v="-3.9999999999999591E-2"/>
  </r>
  <r>
    <x v="937"/>
    <n v="2.993452685197"/>
    <n v="3.87"/>
    <n v="5"/>
    <n v="0.2"/>
    <n v="2"/>
    <n v="1.199768418695744"/>
    <n v="0.4"/>
    <x v="0"/>
    <n v="0"/>
    <n v="0"/>
    <n v="0.875902626333664"/>
    <n v="0"/>
    <n v="-3.9999999999999591E-2"/>
  </r>
  <r>
    <x v="938"/>
    <n v="2.99513727920968"/>
    <n v="3.87"/>
    <n v="6"/>
    <n v="0.2"/>
    <n v="3"/>
    <n v="1.7987958745376802"/>
    <n v="0.60000000000000009"/>
    <x v="0"/>
    <n v="0"/>
    <n v="0"/>
    <n v="0.875902626333664"/>
    <n v="0"/>
    <n v="-3.9999999999999591E-2"/>
  </r>
  <r>
    <x v="939"/>
    <n v="2.9334005201837599"/>
    <n v="3.87"/>
    <n v="7"/>
    <n v="0.2"/>
    <n v="4"/>
    <n v="2.3854759785744322"/>
    <n v="0.8"/>
    <x v="1"/>
    <n v="2.9818449732180401"/>
    <n v="0.88815502678196001"/>
    <n v="0.88815502678196001"/>
    <n v="1.2252400448296008E-2"/>
    <n v="-3.9999999999999591E-2"/>
  </r>
  <r>
    <x v="940"/>
    <n v="2.9119506998989602"/>
    <n v="3.82"/>
    <n v="1"/>
    <n v="0.2"/>
    <n v="1"/>
    <n v="0.58239013997979205"/>
    <n v="0.2"/>
    <x v="0"/>
    <n v="0"/>
    <n v="0"/>
    <n v="0.88815502678196001"/>
    <n v="0"/>
    <n v="-5.0000000000000266E-2"/>
  </r>
  <r>
    <x v="941"/>
    <n v="2.88545680781831"/>
    <n v="3.82"/>
    <n v="2"/>
    <n v="0.2"/>
    <n v="2"/>
    <n v="1.1594815015434541"/>
    <n v="0.4"/>
    <x v="0"/>
    <n v="0"/>
    <n v="0"/>
    <n v="0.88815502678196001"/>
    <n v="0"/>
    <n v="-5.0000000000000266E-2"/>
  </r>
  <r>
    <x v="942"/>
    <n v="2.8978342309890999"/>
    <n v="3.82"/>
    <n v="5"/>
    <n v="0.2"/>
    <n v="3"/>
    <n v="1.7390483477412739"/>
    <n v="0.60000000000000009"/>
    <x v="0"/>
    <n v="0"/>
    <n v="0"/>
    <n v="0.88815502678196001"/>
    <n v="0"/>
    <n v="-5.0000000000000266E-2"/>
  </r>
  <r>
    <x v="943"/>
    <n v="2.8424738889513801"/>
    <n v="3.82"/>
    <n v="6"/>
    <n v="0.2"/>
    <n v="4"/>
    <n v="2.3075431255315499"/>
    <n v="0.8"/>
    <x v="0"/>
    <n v="0"/>
    <n v="0"/>
    <n v="0.88815502678196001"/>
    <n v="0"/>
    <n v="-5.0000000000000266E-2"/>
  </r>
  <r>
    <x v="944"/>
    <n v="2.8127941632470699"/>
    <n v="3.82"/>
    <n v="7"/>
    <n v="0.2"/>
    <n v="5"/>
    <n v="2.8701019581809639"/>
    <n v="1"/>
    <x v="1"/>
    <n v="2.8701019581809639"/>
    <n v="0.94989804181903592"/>
    <n v="0.94989804181903592"/>
    <n v="6.174301503707591E-2"/>
    <n v="-5.0000000000000266E-2"/>
  </r>
  <r>
    <x v="945"/>
    <n v="2.82567876803239"/>
    <n v="3.71"/>
    <n v="1"/>
    <n v="0.2"/>
    <n v="1"/>
    <n v="0.56513575360647805"/>
    <n v="0.2"/>
    <x v="0"/>
    <n v="0"/>
    <n v="0"/>
    <n v="0.94989804181903592"/>
    <n v="0"/>
    <n v="-0.10999999999999988"/>
  </r>
  <r>
    <x v="946"/>
    <n v="2.78255799649583"/>
    <n v="3.71"/>
    <n v="2"/>
    <n v="0.2"/>
    <n v="2"/>
    <n v="1.1216473529056441"/>
    <n v="0.4"/>
    <x v="0"/>
    <n v="0"/>
    <n v="0"/>
    <n v="0.94989804181903592"/>
    <n v="0"/>
    <n v="-0.10999999999999988"/>
  </r>
  <r>
    <x v="947"/>
    <n v="2.78837847860318"/>
    <n v="3.71"/>
    <n v="6"/>
    <n v="0.2"/>
    <n v="3"/>
    <n v="1.67932304862628"/>
    <n v="0.60000000000000009"/>
    <x v="0"/>
    <n v="0"/>
    <n v="0"/>
    <n v="0.94989804181903592"/>
    <n v="0"/>
    <n v="-0.10999999999999988"/>
  </r>
  <r>
    <x v="948"/>
    <n v="2.7399955828051801"/>
    <n v="3.71"/>
    <n v="7"/>
    <n v="0.2"/>
    <n v="4"/>
    <n v="2.2273221651873163"/>
    <n v="0.8"/>
    <x v="1"/>
    <n v="2.7841527064841451"/>
    <n v="0.92584729351585482"/>
    <n v="0.92584729351585482"/>
    <n v="-2.4050748303181102E-2"/>
    <n v="-0.10999999999999988"/>
  </r>
  <r>
    <x v="949"/>
    <n v="2.7634717888750999"/>
    <n v="3.69"/>
    <n v="1"/>
    <n v="0.2"/>
    <n v="1"/>
    <n v="0.55269435777501996"/>
    <n v="0.2"/>
    <x v="0"/>
    <n v="0"/>
    <n v="0"/>
    <n v="0.92584729351585482"/>
    <n v="0"/>
    <n v="-2.0000000000000018E-2"/>
  </r>
  <r>
    <x v="950"/>
    <n v="2.7884908118762199"/>
    <n v="3.69"/>
    <n v="2"/>
    <n v="0.2"/>
    <n v="2"/>
    <n v="1.110392520150264"/>
    <n v="0.4"/>
    <x v="0"/>
    <n v="0"/>
    <n v="0"/>
    <n v="0.92584729351585482"/>
    <n v="0"/>
    <n v="-2.0000000000000018E-2"/>
  </r>
  <r>
    <x v="951"/>
    <n v="2.7702129413051901"/>
    <n v="3.69"/>
    <n v="5"/>
    <n v="0.2"/>
    <n v="3"/>
    <n v="1.664435108411302"/>
    <n v="0.60000000000000009"/>
    <x v="0"/>
    <n v="0"/>
    <n v="0"/>
    <n v="0.92584729351585482"/>
    <n v="0"/>
    <n v="-2.0000000000000018E-2"/>
  </r>
  <r>
    <x v="952"/>
    <n v="2.7316832790579499"/>
    <n v="3.69"/>
    <n v="6"/>
    <n v="0.2"/>
    <n v="4"/>
    <n v="2.2107717642228919"/>
    <n v="0.8"/>
    <x v="0"/>
    <n v="0"/>
    <n v="0"/>
    <n v="0.92584729351585482"/>
    <n v="0"/>
    <n v="-2.0000000000000018E-2"/>
  </r>
  <r>
    <x v="953"/>
    <n v="2.73574020589367"/>
    <n v="3.69"/>
    <n v="7"/>
    <n v="0.2"/>
    <n v="5"/>
    <n v="2.7579198054016261"/>
    <n v="1"/>
    <x v="1"/>
    <n v="2.7579198054016261"/>
    <n v="0.93208019459837388"/>
    <n v="0.93208019459837388"/>
    <n v="6.2329010825190601E-3"/>
    <n v="-2.0000000000000018E-2"/>
  </r>
  <r>
    <x v="954"/>
    <n v="2.70685241961761"/>
    <n v="3.62"/>
    <n v="1"/>
    <n v="0.2"/>
    <n v="1"/>
    <n v="0.54137048392352205"/>
    <n v="0.2"/>
    <x v="0"/>
    <n v="0"/>
    <n v="0"/>
    <n v="0.93208019459837388"/>
    <n v="0"/>
    <n v="-6.999999999999984E-2"/>
  </r>
  <r>
    <x v="955"/>
    <n v="2.6475345232254401"/>
    <n v="3.62"/>
    <n v="2"/>
    <n v="0.2"/>
    <n v="2"/>
    <n v="1.07087738856861"/>
    <n v="0.4"/>
    <x v="0"/>
    <n v="0"/>
    <n v="0"/>
    <n v="0.93208019459837388"/>
    <n v="0"/>
    <n v="-6.999999999999984E-2"/>
  </r>
  <r>
    <x v="956"/>
    <n v="2.7082747576934199"/>
    <n v="3.62"/>
    <n v="5"/>
    <n v="0.2"/>
    <n v="3"/>
    <n v="1.6125323401072942"/>
    <n v="0.60000000000000009"/>
    <x v="0"/>
    <n v="0"/>
    <n v="0"/>
    <n v="0.93208019459837388"/>
    <n v="0"/>
    <n v="-6.999999999999984E-2"/>
  </r>
  <r>
    <x v="957"/>
    <n v="2.6172888132357301"/>
    <n v="3.62"/>
    <n v="6"/>
    <n v="0.2"/>
    <n v="4"/>
    <n v="2.1359901027544401"/>
    <n v="0.8"/>
    <x v="0"/>
    <n v="0"/>
    <n v="0"/>
    <n v="0.93208019459837388"/>
    <n v="0"/>
    <n v="-6.999999999999984E-2"/>
  </r>
  <r>
    <x v="958"/>
    <n v="2.6150928157028002"/>
    <n v="3.62"/>
    <n v="7"/>
    <n v="0.2"/>
    <n v="5"/>
    <n v="2.6590086658950001"/>
    <n v="1"/>
    <x v="1"/>
    <n v="2.6590086658950001"/>
    <n v="0.96099133410500004"/>
    <n v="0.96099133410500004"/>
    <n v="2.891113950662616E-2"/>
    <n v="-6.999999999999984E-2"/>
  </r>
  <r>
    <x v="959"/>
    <n v="2.6195226711190198"/>
    <n v="3.5249999999999999"/>
    <n v="1"/>
    <n v="0.2"/>
    <n v="1"/>
    <n v="0.52390453422380401"/>
    <n v="0.2"/>
    <x v="0"/>
    <n v="0"/>
    <n v="0"/>
    <n v="0.96099133410500004"/>
    <n v="0"/>
    <n v="-9.5000000000000195E-2"/>
  </r>
  <r>
    <x v="960"/>
    <n v="2.6103236546711099"/>
    <n v="3.5249999999999999"/>
    <n v="2"/>
    <n v="0.2"/>
    <n v="2"/>
    <n v="1.0459692651580261"/>
    <n v="0.4"/>
    <x v="0"/>
    <n v="0"/>
    <n v="0"/>
    <n v="0.96099133410500004"/>
    <n v="0"/>
    <n v="-9.5000000000000195E-2"/>
  </r>
  <r>
    <x v="961"/>
    <n v="2.5303433230650998"/>
    <n v="3.5249999999999999"/>
    <n v="5"/>
    <n v="0.2"/>
    <n v="3"/>
    <n v="1.5520379297710463"/>
    <n v="0.60000000000000009"/>
    <x v="0"/>
    <n v="0"/>
    <n v="0"/>
    <n v="0.96099133410500004"/>
    <n v="0"/>
    <n v="-9.5000000000000195E-2"/>
  </r>
  <r>
    <x v="962"/>
    <n v="2.5047286028973201"/>
    <n v="3.5249999999999999"/>
    <n v="6"/>
    <n v="0.2"/>
    <n v="4"/>
    <n v="2.0529836503505106"/>
    <n v="0.8"/>
    <x v="0"/>
    <n v="0"/>
    <n v="0"/>
    <n v="0.96099133410500004"/>
    <n v="0"/>
    <n v="-9.5000000000000195E-2"/>
  </r>
  <r>
    <x v="963"/>
    <n v="2.4821302759437298"/>
    <n v="3.5249999999999999"/>
    <n v="7"/>
    <n v="0.2"/>
    <n v="5"/>
    <n v="2.5494097055392566"/>
    <n v="1"/>
    <x v="1"/>
    <n v="2.5494097055392566"/>
    <n v="0.9755902944607433"/>
    <n v="0.9755902944607433"/>
    <n v="1.4598960355743262E-2"/>
    <n v="-9.5000000000000195E-2"/>
  </r>
  <r>
    <x v="964"/>
    <n v="2.42881647726065"/>
    <n v="3.5249999999999999"/>
    <n v="1"/>
    <n v="0.2"/>
    <n v="1"/>
    <n v="0.48576329545213004"/>
    <n v="0.2"/>
    <x v="0"/>
    <n v="0"/>
    <n v="0"/>
    <n v="0.9755902944607433"/>
    <n v="0"/>
    <n v="0"/>
  </r>
  <r>
    <x v="965"/>
    <n v="2.5557387123841"/>
    <n v="3.5249999999999999"/>
    <n v="2"/>
    <n v="0.2"/>
    <n v="2"/>
    <n v="0.99691103792895008"/>
    <n v="0.4"/>
    <x v="0"/>
    <n v="0"/>
    <n v="0"/>
    <n v="0.9755902944607433"/>
    <n v="0"/>
    <n v="0"/>
  </r>
  <r>
    <x v="966"/>
    <n v="2.5621450125099101"/>
    <n v="3.5249999999999999"/>
    <n v="6"/>
    <n v="0.2"/>
    <n v="3"/>
    <n v="1.5093400404309323"/>
    <n v="0.60000000000000009"/>
    <x v="0"/>
    <n v="0"/>
    <n v="0"/>
    <n v="0.9755902944607433"/>
    <n v="0"/>
    <n v="0"/>
  </r>
  <r>
    <x v="967"/>
    <n v="2.60333938625172"/>
    <n v="3.5249999999999999"/>
    <n v="7"/>
    <n v="0.2"/>
    <n v="4"/>
    <n v="2.0300079176812762"/>
    <n v="0.8"/>
    <x v="1"/>
    <n v="2.5375098971015952"/>
    <n v="0.98749010289840466"/>
    <n v="0.98749010289840466"/>
    <n v="1.1899808437661363E-2"/>
    <n v="0"/>
  </r>
  <r>
    <x v="968"/>
    <n v="2.5443053522825401"/>
    <n v="3.52"/>
    <n v="1"/>
    <n v="0.2"/>
    <n v="1"/>
    <n v="0.50886107045650808"/>
    <n v="0.2"/>
    <x v="0"/>
    <n v="0"/>
    <n v="0"/>
    <n v="0.98749010289840466"/>
    <n v="0"/>
    <n v="-4.9999999999998934E-3"/>
  </r>
  <r>
    <x v="969"/>
    <n v="2.5449659922268899"/>
    <n v="3.52"/>
    <n v="2"/>
    <n v="0.2"/>
    <n v="2"/>
    <n v="1.0178542689018861"/>
    <n v="0.4"/>
    <x v="0"/>
    <n v="0"/>
    <n v="0"/>
    <n v="0.98749010289840466"/>
    <n v="0"/>
    <n v="-4.9999999999998934E-3"/>
  </r>
  <r>
    <x v="970"/>
    <n v="2.5540295471269099"/>
    <n v="3.52"/>
    <n v="5"/>
    <n v="0.2"/>
    <n v="3"/>
    <n v="1.528660178327268"/>
    <n v="0.60000000000000009"/>
    <x v="0"/>
    <n v="0"/>
    <n v="0"/>
    <n v="0.98749010289840466"/>
    <n v="0"/>
    <n v="-4.9999999999998934E-3"/>
  </r>
  <r>
    <x v="971"/>
    <n v="2.5356667445590699"/>
    <n v="3.52"/>
    <n v="6"/>
    <n v="0.2"/>
    <n v="4"/>
    <n v="2.0357935272390821"/>
    <n v="0.8"/>
    <x v="0"/>
    <n v="0"/>
    <n v="0"/>
    <n v="0.98749010289840466"/>
    <n v="0"/>
    <n v="-4.9999999999998934E-3"/>
  </r>
  <r>
    <x v="972"/>
    <n v="2.5165312715175401"/>
    <n v="3.52"/>
    <n v="7"/>
    <n v="0.2"/>
    <n v="5"/>
    <n v="2.53909978154259"/>
    <n v="1"/>
    <x v="1"/>
    <n v="2.53909978154259"/>
    <n v="0.98090021845741004"/>
    <n v="0.98090021845741004"/>
    <n v="-6.58988444099462E-3"/>
    <n v="-4.9999999999998934E-3"/>
  </r>
  <r>
    <x v="973"/>
    <n v="2.4936082120119001"/>
    <n v="3.5150000000000001"/>
    <n v="1"/>
    <n v="0.2"/>
    <n v="1"/>
    <n v="0.49872164240238004"/>
    <n v="0.2"/>
    <x v="0"/>
    <n v="0"/>
    <n v="0"/>
    <n v="0.98090021845741004"/>
    <n v="0"/>
    <n v="-4.9999999999998934E-3"/>
  </r>
  <r>
    <x v="974"/>
    <n v="2.5559111404476602"/>
    <n v="3.5150000000000001"/>
    <n v="2"/>
    <n v="0.2"/>
    <n v="2"/>
    <n v="1.0099038704919121"/>
    <n v="0.4"/>
    <x v="0"/>
    <n v="0"/>
    <n v="0"/>
    <n v="0.98090021845741004"/>
    <n v="0"/>
    <n v="-4.9999999999998934E-3"/>
  </r>
  <r>
    <x v="975"/>
    <n v="2.52735457322752"/>
    <n v="3.5150000000000001"/>
    <n v="5"/>
    <n v="0.2"/>
    <n v="3"/>
    <n v="1.515374785137416"/>
    <n v="0.60000000000000009"/>
    <x v="0"/>
    <n v="0"/>
    <n v="0"/>
    <n v="0.98090021845741004"/>
    <n v="0"/>
    <n v="-4.9999999999998934E-3"/>
  </r>
  <r>
    <x v="976"/>
    <n v="2.6160113869012802"/>
    <n v="3.5150000000000001"/>
    <n v="6"/>
    <n v="0.2"/>
    <n v="4"/>
    <n v="2.038577062517672"/>
    <n v="0.8"/>
    <x v="0"/>
    <n v="0"/>
    <n v="0"/>
    <n v="0.98090021845741004"/>
    <n v="0"/>
    <n v="-4.9999999999998934E-3"/>
  </r>
  <r>
    <x v="977"/>
    <n v="2.6371866759210301"/>
    <n v="3.5150000000000001"/>
    <n v="7"/>
    <n v="0.2"/>
    <n v="5"/>
    <n v="2.5660143977018781"/>
    <n v="1"/>
    <x v="1"/>
    <n v="2.5660143977018781"/>
    <n v="0.94898560229812201"/>
    <n v="0.94898560229812201"/>
    <n v="-3.1914616159288034E-2"/>
    <n v="-4.9999999999998934E-3"/>
  </r>
  <r>
    <x v="978"/>
    <n v="2.6040316185117298"/>
    <n v="3.5550000000000002"/>
    <n v="1"/>
    <n v="0.2"/>
    <n v="1"/>
    <n v="0.52080632370234603"/>
    <n v="0.2"/>
    <x v="0"/>
    <n v="0"/>
    <n v="0"/>
    <n v="0.94898560229812201"/>
    <n v="0"/>
    <n v="4.0000000000000036E-2"/>
  </r>
  <r>
    <x v="979"/>
    <n v="2.6456437130167698"/>
    <n v="3.5550000000000002"/>
    <n v="2"/>
    <n v="0.2"/>
    <n v="2"/>
    <n v="1.0499350663057001"/>
    <n v="0.4"/>
    <x v="0"/>
    <n v="0"/>
    <n v="0"/>
    <n v="0.94898560229812201"/>
    <n v="0"/>
    <n v="4.0000000000000036E-2"/>
  </r>
  <r>
    <x v="980"/>
    <n v="2.6797159507930601"/>
    <n v="3.5550000000000002"/>
    <n v="5"/>
    <n v="0.2"/>
    <n v="3"/>
    <n v="1.5858782564643121"/>
    <n v="0.60000000000000009"/>
    <x v="0"/>
    <n v="0"/>
    <n v="0"/>
    <n v="0.94898560229812201"/>
    <n v="0"/>
    <n v="4.0000000000000036E-2"/>
  </r>
  <r>
    <x v="981"/>
    <n v="2.6318246797468499"/>
    <n v="3.5550000000000002"/>
    <n v="6"/>
    <n v="0.2"/>
    <n v="4"/>
    <n v="2.1122431924136822"/>
    <n v="0.8"/>
    <x v="0"/>
    <n v="0"/>
    <n v="0"/>
    <n v="0.94898560229812201"/>
    <n v="0"/>
    <n v="4.0000000000000036E-2"/>
  </r>
  <r>
    <x v="982"/>
    <n v="2.6993160821671598"/>
    <n v="3.5550000000000002"/>
    <n v="7"/>
    <n v="0.2"/>
    <n v="5"/>
    <n v="2.6521064088471142"/>
    <n v="1"/>
    <x v="1"/>
    <n v="2.6521064088471142"/>
    <n v="0.90289359115288592"/>
    <n v="0.90289359115288592"/>
    <n v="-4.6092011145236089E-2"/>
    <n v="4.0000000000000036E-2"/>
  </r>
  <r>
    <x v="983"/>
    <n v="2.7087001450916599"/>
    <n v="3.605"/>
    <n v="1"/>
    <n v="0.2"/>
    <n v="1"/>
    <n v="0.54174002901833196"/>
    <n v="0.2"/>
    <x v="0"/>
    <n v="0"/>
    <n v="0"/>
    <n v="0.90289359115288592"/>
    <n v="0"/>
    <n v="4.9999999999999822E-2"/>
  </r>
  <r>
    <x v="984"/>
    <n v="2.7411857736504301"/>
    <n v="3.605"/>
    <n v="2"/>
    <n v="0.2"/>
    <n v="2"/>
    <n v="1.089977183748418"/>
    <n v="0.4"/>
    <x v="0"/>
    <n v="0"/>
    <n v="0"/>
    <n v="0.90289359115288592"/>
    <n v="0"/>
    <n v="4.9999999999999822E-2"/>
  </r>
  <r>
    <x v="985"/>
    <n v="2.7302113432602999"/>
    <n v="3.605"/>
    <n v="5"/>
    <n v="0.2"/>
    <n v="3"/>
    <n v="1.6360194524004781"/>
    <n v="0.60000000000000009"/>
    <x v="0"/>
    <n v="0"/>
    <n v="0"/>
    <n v="0.90289359115288592"/>
    <n v="0"/>
    <n v="4.9999999999999822E-2"/>
  </r>
  <r>
    <x v="986"/>
    <n v="2.7488667702223699"/>
    <n v="3.605"/>
    <n v="6"/>
    <n v="0.2"/>
    <n v="4"/>
    <n v="2.1857928064449519"/>
    <n v="0.8"/>
    <x v="0"/>
    <n v="0"/>
    <n v="0"/>
    <n v="0.90289359115288592"/>
    <n v="0"/>
    <n v="4.9999999999999822E-2"/>
  </r>
  <r>
    <x v="987"/>
    <n v="2.6989079918651599"/>
    <n v="3.605"/>
    <n v="7"/>
    <n v="0.2"/>
    <n v="5"/>
    <n v="2.725574404817984"/>
    <n v="1"/>
    <x v="1"/>
    <n v="2.725574404817984"/>
    <n v="0.87942559518201602"/>
    <n v="0.87942559518201602"/>
    <n v="-2.3467995970869904E-2"/>
    <n v="4.9999999999999822E-2"/>
  </r>
  <r>
    <x v="988"/>
    <n v="2.6507645211895499"/>
    <n v="3.585"/>
    <n v="1"/>
    <n v="0.2"/>
    <n v="1"/>
    <n v="0.53015290423790995"/>
    <n v="0.2"/>
    <x v="0"/>
    <n v="0"/>
    <n v="0"/>
    <n v="0.87942559518201602"/>
    <n v="0"/>
    <n v="-2.0000000000000018E-2"/>
  </r>
  <r>
    <x v="989"/>
    <n v="2.6443435040904602"/>
    <n v="3.585"/>
    <n v="2"/>
    <n v="0.2"/>
    <n v="2"/>
    <n v="1.059021605056002"/>
    <n v="0.4"/>
    <x v="0"/>
    <n v="0"/>
    <n v="0"/>
    <n v="0.87942559518201602"/>
    <n v="0"/>
    <n v="-2.0000000000000018E-2"/>
  </r>
  <r>
    <x v="990"/>
    <n v="2.6999804416345499"/>
    <n v="3.585"/>
    <n v="5"/>
    <n v="0.2"/>
    <n v="3"/>
    <n v="1.5990176933829119"/>
    <n v="0.60000000000000009"/>
    <x v="0"/>
    <n v="0"/>
    <n v="0"/>
    <n v="0.87942559518201602"/>
    <n v="0"/>
    <n v="-2.0000000000000018E-2"/>
  </r>
  <r>
    <x v="991"/>
    <n v="2.7181679952198698"/>
    <n v="3.585"/>
    <n v="6"/>
    <n v="0.2"/>
    <n v="4"/>
    <n v="2.1426512924268861"/>
    <n v="0.8"/>
    <x v="0"/>
    <n v="0"/>
    <n v="0"/>
    <n v="0.87942559518201602"/>
    <n v="0"/>
    <n v="-2.0000000000000018E-2"/>
  </r>
  <r>
    <x v="992"/>
    <n v="2.66584672213606"/>
    <n v="3.585"/>
    <n v="7"/>
    <n v="0.2"/>
    <n v="5"/>
    <n v="2.6758206368540982"/>
    <n v="1"/>
    <x v="1"/>
    <n v="2.6758206368540982"/>
    <n v="0.90917936314590175"/>
    <n v="0.90917936314590175"/>
    <n v="2.9753767963885736E-2"/>
    <n v="-2.0000000000000018E-2"/>
  </r>
  <r>
    <x v="993"/>
    <n v="2.6924441854195602"/>
    <n v="3.585"/>
    <n v="1"/>
    <n v="0.2"/>
    <n v="1"/>
    <n v="0.53848883708391204"/>
    <n v="0.2"/>
    <x v="0"/>
    <n v="0"/>
    <n v="0"/>
    <n v="0.90917936314590175"/>
    <n v="0"/>
    <n v="0"/>
  </r>
  <r>
    <x v="994"/>
    <n v="2.6784573232198698"/>
    <n v="3.585"/>
    <n v="5"/>
    <n v="0.2"/>
    <n v="2"/>
    <n v="1.0741803017278859"/>
    <n v="0.4"/>
    <x v="0"/>
    <n v="0"/>
    <n v="0"/>
    <n v="0.90917936314590175"/>
    <n v="0"/>
    <n v="0"/>
  </r>
  <r>
    <x v="995"/>
    <n v="2.5818538340504298"/>
    <n v="3.585"/>
    <n v="6"/>
    <n v="0.2"/>
    <n v="3"/>
    <n v="1.5905510685379718"/>
    <n v="0.60000000000000009"/>
    <x v="0"/>
    <n v="0"/>
    <n v="0"/>
    <n v="0.90917936314590175"/>
    <n v="0"/>
    <n v="0"/>
  </r>
  <r>
    <x v="996"/>
    <n v="2.5932132712975302"/>
    <n v="3.585"/>
    <n v="7"/>
    <n v="0.2"/>
    <n v="4"/>
    <n v="2.1091937227974777"/>
    <n v="0.8"/>
    <x v="1"/>
    <n v="2.6364921534968468"/>
    <n v="0.94850784650315312"/>
    <n v="0.94850784650315312"/>
    <n v="3.9328483357251365E-2"/>
    <n v="0"/>
  </r>
  <r>
    <x v="997"/>
    <n v="2.5397621553493499"/>
    <n v="3.4649999999999999"/>
    <n v="1"/>
    <n v="0.2"/>
    <n v="1"/>
    <n v="0.50795243106986998"/>
    <n v="0.2"/>
    <x v="0"/>
    <n v="0"/>
    <n v="0"/>
    <n v="0.94850784650315312"/>
    <n v="0"/>
    <n v="-0.12000000000000011"/>
  </r>
  <r>
    <x v="998"/>
    <n v="2.5354129105946002"/>
    <n v="3.4649999999999999"/>
    <n v="2"/>
    <n v="0.2"/>
    <n v="2"/>
    <n v="1.0150350131887902"/>
    <n v="0.4"/>
    <x v="0"/>
    <n v="0"/>
    <n v="0"/>
    <n v="0.94850784650315312"/>
    <n v="0"/>
    <n v="-0.12000000000000011"/>
  </r>
  <r>
    <x v="999"/>
    <n v="2.5272030973588802"/>
    <n v="3.4649999999999999"/>
    <n v="5"/>
    <n v="0.2"/>
    <n v="3"/>
    <n v="1.5204756326605664"/>
    <n v="0.60000000000000009"/>
    <x v="0"/>
    <n v="0"/>
    <n v="0"/>
    <n v="0.94850784650315312"/>
    <n v="0"/>
    <n v="-0.12000000000000011"/>
  </r>
  <r>
    <x v="1000"/>
    <n v="2.49044583951994"/>
    <n v="3.4649999999999999"/>
    <n v="6"/>
    <n v="0.2"/>
    <n v="4"/>
    <n v="2.0185648005645547"/>
    <n v="0.8"/>
    <x v="0"/>
    <n v="0"/>
    <n v="0"/>
    <n v="0.94850784650315312"/>
    <n v="0"/>
    <n v="-0.12000000000000011"/>
  </r>
  <r>
    <x v="1001"/>
    <n v="2.5206676223705302"/>
    <n v="3.4649999999999999"/>
    <n v="7"/>
    <n v="0.2"/>
    <n v="5"/>
    <n v="2.522698325038661"/>
    <n v="1"/>
    <x v="1"/>
    <n v="2.522698325038661"/>
    <n v="0.94230167496133888"/>
    <n v="0.94230167496133888"/>
    <n v="-6.2061715418142427E-3"/>
    <n v="-0.12000000000000011"/>
  </r>
  <r>
    <x v="1002"/>
    <n v="2.47278907327191"/>
    <n v="3.4550000000000001"/>
    <n v="1"/>
    <n v="0.2"/>
    <n v="1"/>
    <n v="0.49455781465438203"/>
    <n v="0.2"/>
    <x v="0"/>
    <n v="0"/>
    <n v="0"/>
    <n v="0.94230167496133888"/>
    <n v="0"/>
    <n v="-9.9999999999997868E-3"/>
  </r>
  <r>
    <x v="1003"/>
    <n v="2.47640548535824"/>
    <n v="3.4550000000000001"/>
    <n v="2"/>
    <n v="0.2"/>
    <n v="2"/>
    <n v="0.98983891172603"/>
    <n v="0.4"/>
    <x v="0"/>
    <n v="0"/>
    <n v="0"/>
    <n v="0.94230167496133888"/>
    <n v="0"/>
    <n v="-9.9999999999997868E-3"/>
  </r>
  <r>
    <x v="1004"/>
    <n v="2.4761946977279501"/>
    <n v="3.4550000000000001"/>
    <n v="5"/>
    <n v="0.2"/>
    <n v="3"/>
    <n v="1.4850778512716201"/>
    <n v="0.60000000000000009"/>
    <x v="0"/>
    <n v="0"/>
    <n v="0"/>
    <n v="0.94230167496133888"/>
    <n v="0"/>
    <n v="-9.9999999999997868E-3"/>
  </r>
  <r>
    <x v="1005"/>
    <n v="2.52514420347971"/>
    <n v="3.4550000000000001"/>
    <n v="6"/>
    <n v="0.2"/>
    <n v="4"/>
    <n v="1.9901066919675621"/>
    <n v="0.8"/>
    <x v="0"/>
    <n v="0"/>
    <n v="0"/>
    <n v="0.94230167496133888"/>
    <n v="0"/>
    <n v="-9.9999999999997868E-3"/>
  </r>
  <r>
    <x v="1006"/>
    <n v="2.5121043496510298"/>
    <n v="3.4550000000000001"/>
    <n v="7"/>
    <n v="0.2"/>
    <n v="5"/>
    <n v="2.4925275618977683"/>
    <n v="1"/>
    <x v="1"/>
    <n v="2.4925275618977683"/>
    <n v="0.96247243810223182"/>
    <n v="0.96247243810223182"/>
    <n v="2.0170763140892944E-2"/>
    <n v="-9.9999999999997868E-3"/>
  </r>
  <r>
    <x v="1007"/>
    <n v="2.5130719329869802"/>
    <n v="3.4899999999999998"/>
    <n v="1"/>
    <n v="0.2"/>
    <n v="1"/>
    <n v="0.5026143865973961"/>
    <n v="0.2"/>
    <x v="0"/>
    <n v="0"/>
    <n v="0"/>
    <n v="0.96247243810223182"/>
    <n v="0"/>
    <n v="3.4999999999999698E-2"/>
  </r>
  <r>
    <x v="1008"/>
    <n v="2.50830487739315"/>
    <n v="3.4899999999999998"/>
    <n v="2"/>
    <n v="0.2"/>
    <n v="2"/>
    <n v="1.0042753620760261"/>
    <n v="0.4"/>
    <x v="0"/>
    <n v="0"/>
    <n v="0"/>
    <n v="0.96247243810223182"/>
    <n v="0"/>
    <n v="3.4999999999999698E-2"/>
  </r>
  <r>
    <x v="1009"/>
    <n v="2.5181131981013598"/>
    <n v="3.4899999999999998"/>
    <n v="5"/>
    <n v="0.2"/>
    <n v="3"/>
    <n v="1.5078980016962982"/>
    <n v="0.60000000000000009"/>
    <x v="0"/>
    <n v="0"/>
    <n v="0"/>
    <n v="0.96247243810223182"/>
    <n v="0"/>
    <n v="3.4999999999999698E-2"/>
  </r>
  <r>
    <x v="1010"/>
    <n v="2.5437168006359601"/>
    <n v="3.4899999999999998"/>
    <n v="6"/>
    <n v="0.2"/>
    <n v="4"/>
    <n v="2.0166413618234902"/>
    <n v="0.8"/>
    <x v="0"/>
    <n v="0"/>
    <n v="0"/>
    <n v="0.96247243810223182"/>
    <n v="0"/>
    <n v="3.4999999999999698E-2"/>
  </r>
  <r>
    <x v="1011"/>
    <n v="2.6250547369401902"/>
    <n v="3.4899999999999998"/>
    <n v="7"/>
    <n v="0.2"/>
    <n v="5"/>
    <n v="2.5416523092115284"/>
    <n v="1"/>
    <x v="1"/>
    <n v="2.5416523092115284"/>
    <n v="0.94834769078847136"/>
    <n v="0.94834769078847136"/>
    <n v="-1.4124747313760455E-2"/>
    <n v="3.4999999999999698E-2"/>
  </r>
  <r>
    <x v="1012"/>
    <n v="2.6404764057609502"/>
    <n v="3.56"/>
    <n v="1"/>
    <n v="0.2"/>
    <n v="1"/>
    <n v="0.52809528115219007"/>
    <n v="0.2"/>
    <x v="0"/>
    <n v="0"/>
    <n v="0"/>
    <n v="0.94834769078847136"/>
    <n v="0"/>
    <n v="7.0000000000000284E-2"/>
  </r>
  <r>
    <x v="1013"/>
    <n v="2.6550245016792"/>
    <n v="3.56"/>
    <n v="2"/>
    <n v="0.2"/>
    <n v="2"/>
    <n v="1.0591001814880301"/>
    <n v="0.4"/>
    <x v="0"/>
    <n v="0"/>
    <n v="0"/>
    <n v="0.94834769078847136"/>
    <n v="0"/>
    <n v="7.0000000000000284E-2"/>
  </r>
  <r>
    <x v="1014"/>
    <n v="2.6615233310635298"/>
    <n v="3.56"/>
    <n v="5"/>
    <n v="0.2"/>
    <n v="3"/>
    <n v="1.5914048477007361"/>
    <n v="0.60000000000000009"/>
    <x v="0"/>
    <n v="0"/>
    <n v="0"/>
    <n v="0.94834769078847136"/>
    <n v="0"/>
    <n v="7.0000000000000284E-2"/>
  </r>
  <r>
    <x v="1015"/>
    <n v="2.6761661289504999"/>
    <n v="3.56"/>
    <n v="6"/>
    <n v="0.2"/>
    <n v="4"/>
    <n v="2.1266380734908363"/>
    <n v="0.8"/>
    <x v="0"/>
    <n v="0"/>
    <n v="0"/>
    <n v="0.94834769078847136"/>
    <n v="0"/>
    <n v="7.0000000000000284E-2"/>
  </r>
  <r>
    <x v="1016"/>
    <n v="2.6300132369593099"/>
    <n v="3.56"/>
    <n v="7"/>
    <n v="0.2"/>
    <n v="5"/>
    <n v="2.6526407208826983"/>
    <n v="1"/>
    <x v="1"/>
    <n v="2.6526407208826983"/>
    <n v="0.90735927911730174"/>
    <n v="0.90735927911730174"/>
    <n v="-4.0988411671169622E-2"/>
    <n v="7.0000000000000284E-2"/>
  </r>
  <r>
    <x v="1017"/>
    <n v="2.5822903724603399"/>
    <n v="3.51"/>
    <n v="1"/>
    <n v="0.2"/>
    <n v="1"/>
    <n v="0.51645807449206804"/>
    <n v="0.2"/>
    <x v="0"/>
    <n v="0"/>
    <n v="0"/>
    <n v="0.90735927911730174"/>
    <n v="0"/>
    <n v="-5.0000000000000266E-2"/>
  </r>
  <r>
    <x v="1018"/>
    <n v="2.5646426996598599"/>
    <n v="3.51"/>
    <n v="2"/>
    <n v="0.2"/>
    <n v="2"/>
    <n v="1.02938661442404"/>
    <n v="0.4"/>
    <x v="0"/>
    <n v="0"/>
    <n v="0"/>
    <n v="0.90735927911730174"/>
    <n v="0"/>
    <n v="-5.0000000000000266E-2"/>
  </r>
  <r>
    <x v="1019"/>
    <n v="2.6083213948699102"/>
    <n v="3.51"/>
    <n v="5"/>
    <n v="0.2"/>
    <n v="3"/>
    <n v="1.551050893398022"/>
    <n v="0.60000000000000009"/>
    <x v="0"/>
    <n v="0"/>
    <n v="0"/>
    <n v="0.90735927911730174"/>
    <n v="0"/>
    <n v="-5.0000000000000266E-2"/>
  </r>
  <r>
    <x v="1020"/>
    <n v="2.5475265739167301"/>
    <n v="3.51"/>
    <n v="6"/>
    <n v="0.2"/>
    <n v="4"/>
    <n v="2.0605562081813682"/>
    <n v="0.8"/>
    <x v="0"/>
    <n v="0"/>
    <n v="0"/>
    <n v="0.90735927911730174"/>
    <n v="0"/>
    <n v="-5.0000000000000266E-2"/>
  </r>
  <r>
    <x v="1021"/>
    <n v="2.55214527077672"/>
    <n v="3.51"/>
    <n v="7"/>
    <n v="0.2"/>
    <n v="5"/>
    <n v="2.5709852623367122"/>
    <n v="1"/>
    <x v="1"/>
    <n v="2.5709852623367122"/>
    <n v="0.93901473766328758"/>
    <n v="0.93901473766328758"/>
    <n v="3.1655458545985837E-2"/>
    <n v="-5.0000000000000266E-2"/>
  </r>
  <r>
    <x v="1022"/>
    <n v="2.5164663859594998"/>
    <n v="3.4449999999999998"/>
    <n v="1"/>
    <n v="0.2"/>
    <n v="1"/>
    <n v="0.50329327719189998"/>
    <n v="0.2"/>
    <x v="0"/>
    <n v="0"/>
    <n v="0"/>
    <n v="0.93901473766328758"/>
    <n v="0"/>
    <n v="-6.4999999999999947E-2"/>
  </r>
  <r>
    <x v="1023"/>
    <n v="2.5169224725100698"/>
    <n v="3.4449999999999998"/>
    <n v="2"/>
    <n v="0.2"/>
    <n v="2"/>
    <n v="1.0066777716939139"/>
    <n v="0.4"/>
    <x v="0"/>
    <n v="0"/>
    <n v="0"/>
    <n v="0.93901473766328758"/>
    <n v="0"/>
    <n v="-6.4999999999999947E-2"/>
  </r>
  <r>
    <x v="1024"/>
    <n v="2.5026837288081998"/>
    <n v="3.4449999999999998"/>
    <n v="5"/>
    <n v="0.2"/>
    <n v="3"/>
    <n v="1.5072145174555538"/>
    <n v="0.60000000000000009"/>
    <x v="0"/>
    <n v="0"/>
    <n v="0"/>
    <n v="0.93901473766328758"/>
    <n v="0"/>
    <n v="-6.4999999999999947E-2"/>
  </r>
  <r>
    <x v="1025"/>
    <n v="2.5182072919323999"/>
    <n v="3.4449999999999998"/>
    <n v="6"/>
    <n v="0.2"/>
    <n v="4"/>
    <n v="2.0108559758420337"/>
    <n v="0.8"/>
    <x v="0"/>
    <n v="0"/>
    <n v="0"/>
    <n v="0.93901473766328758"/>
    <n v="0"/>
    <n v="-6.4999999999999947E-2"/>
  </r>
  <r>
    <x v="1026"/>
    <n v="2.5137546946134099"/>
    <n v="3.4449999999999998"/>
    <n v="7"/>
    <n v="0.2"/>
    <n v="5"/>
    <n v="2.5136069147647158"/>
    <n v="1"/>
    <x v="1"/>
    <n v="2.5136069147647158"/>
    <n v="0.93139308523528408"/>
    <n v="0.93139308523528408"/>
    <n v="-7.6216524280035003E-3"/>
    <n v="-6.4999999999999947E-2"/>
  </r>
  <r>
    <x v="1027"/>
    <n v="2.5257961096675898"/>
    <n v="3.48"/>
    <n v="1"/>
    <n v="0.2"/>
    <n v="1"/>
    <n v="0.50515922193351803"/>
    <n v="0.2"/>
    <x v="0"/>
    <n v="0"/>
    <n v="0"/>
    <n v="0.93139308523528408"/>
    <n v="0"/>
    <n v="3.5000000000000142E-2"/>
  </r>
  <r>
    <x v="1028"/>
    <n v="2.4834878565514402"/>
    <n v="3.48"/>
    <n v="2"/>
    <n v="0.2"/>
    <n v="2"/>
    <n v="1.0018567932438061"/>
    <n v="0.4"/>
    <x v="0"/>
    <n v="0"/>
    <n v="0"/>
    <n v="0.93139308523528408"/>
    <n v="0"/>
    <n v="3.5000000000000142E-2"/>
  </r>
  <r>
    <x v="1029"/>
    <n v="2.5243153261906799"/>
    <n v="3.48"/>
    <n v="5"/>
    <n v="0.2"/>
    <n v="3"/>
    <n v="1.5067198584819419"/>
    <n v="0.60000000000000009"/>
    <x v="0"/>
    <n v="0"/>
    <n v="0"/>
    <n v="0.93139308523528408"/>
    <n v="0"/>
    <n v="3.5000000000000142E-2"/>
  </r>
  <r>
    <x v="1030"/>
    <n v="2.5507411556917998"/>
    <n v="3.48"/>
    <n v="6"/>
    <n v="0.2"/>
    <n v="4"/>
    <n v="2.016868089620302"/>
    <n v="0.8"/>
    <x v="0"/>
    <n v="0"/>
    <n v="0"/>
    <n v="0.93139308523528408"/>
    <n v="0"/>
    <n v="3.5000000000000142E-2"/>
  </r>
  <r>
    <x v="1031"/>
    <n v="2.6588027556734102"/>
    <n v="3.48"/>
    <n v="7"/>
    <n v="0.2"/>
    <n v="5"/>
    <n v="2.5486286407549841"/>
    <n v="1"/>
    <x v="1"/>
    <n v="2.5486286407549841"/>
    <n v="0.93137135924501591"/>
    <n v="0.93137135924501591"/>
    <n v="-2.1725990268173234E-5"/>
    <n v="3.5000000000000142E-2"/>
  </r>
  <r>
    <x v="1032"/>
    <n v="2.61087975726997"/>
    <n v="3.5150000000000001"/>
    <n v="1"/>
    <n v="0.2"/>
    <n v="1"/>
    <n v="0.52217595145399398"/>
    <n v="0.2"/>
    <x v="0"/>
    <n v="0"/>
    <n v="0"/>
    <n v="0.93137135924501591"/>
    <n v="0"/>
    <n v="3.5000000000000142E-2"/>
  </r>
  <r>
    <x v="1033"/>
    <n v="2.6144990771795702"/>
    <n v="3.5150000000000001"/>
    <n v="2"/>
    <n v="0.2"/>
    <n v="2"/>
    <n v="1.045075766889908"/>
    <n v="0.4"/>
    <x v="0"/>
    <n v="0"/>
    <n v="0"/>
    <n v="0.93137135924501591"/>
    <n v="0"/>
    <n v="3.5000000000000142E-2"/>
  </r>
  <r>
    <x v="1034"/>
    <n v="2.6073788484172402"/>
    <n v="3.5150000000000001"/>
    <n v="5"/>
    <n v="0.2"/>
    <n v="3"/>
    <n v="1.566551536573356"/>
    <n v="0.60000000000000009"/>
    <x v="0"/>
    <n v="0"/>
    <n v="0"/>
    <n v="0.93137135924501591"/>
    <n v="0"/>
    <n v="3.5000000000000142E-2"/>
  </r>
  <r>
    <x v="1035"/>
    <n v="2.6240146186215201"/>
    <n v="3.5150000000000001"/>
    <n v="6"/>
    <n v="0.2"/>
    <n v="4"/>
    <n v="2.0913544602976599"/>
    <n v="0.8"/>
    <x v="0"/>
    <n v="0"/>
    <n v="0"/>
    <n v="0.93137135924501591"/>
    <n v="0"/>
    <n v="3.5000000000000142E-2"/>
  </r>
  <r>
    <x v="1036"/>
    <n v="2.6451164330337602"/>
    <n v="3.5150000000000001"/>
    <n v="7"/>
    <n v="0.2"/>
    <n v="5"/>
    <n v="2.6203777469044121"/>
    <n v="1"/>
    <x v="1"/>
    <n v="2.6203777469044121"/>
    <n v="0.89462225309558807"/>
    <n v="0.89462225309558807"/>
    <n v="-3.6749106149427835E-2"/>
    <n v="3.5000000000000142E-2"/>
  </r>
  <r>
    <x v="1037"/>
    <n v="2.59920787607486"/>
    <n v="3.5350000000000001"/>
    <n v="1"/>
    <n v="0.2"/>
    <n v="1"/>
    <n v="0.51984157521497198"/>
    <n v="0.2"/>
    <x v="0"/>
    <n v="0"/>
    <n v="0"/>
    <n v="0.89462225309558807"/>
    <n v="0"/>
    <n v="2.0000000000000018E-2"/>
  </r>
  <r>
    <x v="1038"/>
    <n v="2.6025934291599802"/>
    <n v="3.5350000000000001"/>
    <n v="2"/>
    <n v="0.2"/>
    <n v="2"/>
    <n v="1.040360261046968"/>
    <n v="0.4"/>
    <x v="0"/>
    <n v="0"/>
    <n v="0"/>
    <n v="0.89462225309558807"/>
    <n v="0"/>
    <n v="2.0000000000000018E-2"/>
  </r>
  <r>
    <x v="1039"/>
    <n v="2.5912536258674699"/>
    <n v="3.5350000000000001"/>
    <n v="6"/>
    <n v="0.2"/>
    <n v="3"/>
    <n v="1.558610986220462"/>
    <n v="0.60000000000000009"/>
    <x v="0"/>
    <n v="0"/>
    <n v="0"/>
    <n v="0.89462225309558807"/>
    <n v="0"/>
    <n v="2.0000000000000018E-2"/>
  </r>
  <r>
    <x v="1040"/>
    <n v="2.6061508171936398"/>
    <n v="3.5350000000000001"/>
    <n v="7"/>
    <n v="0.2"/>
    <n v="4"/>
    <n v="2.07984114965919"/>
    <n v="0.8"/>
    <x v="1"/>
    <n v="2.5998014370739875"/>
    <n v="0.93519856292601267"/>
    <n v="0.93519856292601267"/>
    <n v="4.0576309830424595E-2"/>
    <n v="2.0000000000000018E-2"/>
  </r>
  <r>
    <x v="1041"/>
    <n v="2.5951614206570599"/>
    <n v="3.4750000000000001"/>
    <n v="1"/>
    <n v="0.2"/>
    <n v="1"/>
    <n v="0.519032284131412"/>
    <n v="0.2"/>
    <x v="0"/>
    <n v="0"/>
    <n v="0"/>
    <n v="0.93519856292601267"/>
    <n v="0"/>
    <n v="-6.0000000000000053E-2"/>
  </r>
  <r>
    <x v="1042"/>
    <n v="2.50110738001568"/>
    <n v="3.4750000000000001"/>
    <n v="2"/>
    <n v="0.2"/>
    <n v="2"/>
    <n v="1.0192537601345482"/>
    <n v="0.4"/>
    <x v="0"/>
    <n v="0"/>
    <n v="0"/>
    <n v="0.93519856292601267"/>
    <n v="0"/>
    <n v="-6.0000000000000053E-2"/>
  </r>
  <r>
    <x v="1043"/>
    <n v="2.50890733570674"/>
    <n v="3.4750000000000001"/>
    <n v="5"/>
    <n v="0.2"/>
    <n v="3"/>
    <n v="1.5210352272758962"/>
    <n v="0.60000000000000009"/>
    <x v="0"/>
    <n v="0"/>
    <n v="0"/>
    <n v="0.93519856292601267"/>
    <n v="0"/>
    <n v="-6.0000000000000053E-2"/>
  </r>
  <r>
    <x v="1044"/>
    <n v="2.5084011199927301"/>
    <n v="3.4750000000000001"/>
    <n v="6"/>
    <n v="0.2"/>
    <n v="4"/>
    <n v="2.0227154512744425"/>
    <n v="0.8"/>
    <x v="0"/>
    <n v="0"/>
    <n v="0"/>
    <n v="0.93519856292601267"/>
    <n v="0"/>
    <n v="-6.0000000000000053E-2"/>
  </r>
  <r>
    <x v="1045"/>
    <n v="2.5005077726390401"/>
    <n v="3.4750000000000001"/>
    <n v="7"/>
    <n v="0.2"/>
    <n v="5"/>
    <n v="2.5228170058022505"/>
    <n v="1"/>
    <x v="1"/>
    <n v="2.5228170058022505"/>
    <n v="0.95218299419774954"/>
    <n v="0.95218299419774954"/>
    <n v="1.6984431271736877E-2"/>
    <n v="-6.0000000000000053E-2"/>
  </r>
  <r>
    <x v="1046"/>
    <n v="2.4857330932558601"/>
    <n v="3.415"/>
    <n v="1"/>
    <n v="0.2"/>
    <n v="1"/>
    <n v="0.49714661865117205"/>
    <n v="0.2"/>
    <x v="0"/>
    <n v="0"/>
    <n v="0"/>
    <n v="0.95218299419774954"/>
    <n v="0"/>
    <n v="-6.0000000000000053E-2"/>
  </r>
  <r>
    <x v="1047"/>
    <n v="2.4694934611032302"/>
    <n v="3.415"/>
    <n v="2"/>
    <n v="0.2"/>
    <n v="2"/>
    <n v="0.99104531087181813"/>
    <n v="0.4"/>
    <x v="0"/>
    <n v="0"/>
    <n v="0"/>
    <n v="0.95218299419774954"/>
    <n v="0"/>
    <n v="-6.0000000000000053E-2"/>
  </r>
  <r>
    <x v="1048"/>
    <n v="2.45908468763596"/>
    <n v="3.415"/>
    <n v="5"/>
    <n v="0.2"/>
    <n v="3"/>
    <n v="1.4828622483990102"/>
    <n v="0.60000000000000009"/>
    <x v="0"/>
    <n v="0"/>
    <n v="0"/>
    <n v="0.95218299419774954"/>
    <n v="0"/>
    <n v="-6.0000000000000053E-2"/>
  </r>
  <r>
    <x v="1049"/>
    <n v="2.46769011076751"/>
    <n v="3.415"/>
    <n v="6"/>
    <n v="0.2"/>
    <n v="4"/>
    <n v="1.9764002705525121"/>
    <n v="0.8"/>
    <x v="0"/>
    <n v="0"/>
    <n v="0"/>
    <n v="0.95218299419774954"/>
    <n v="0"/>
    <n v="-6.0000000000000053E-2"/>
  </r>
  <r>
    <x v="1050"/>
    <n v="2.45037012960805"/>
    <n v="3.415"/>
    <n v="7"/>
    <n v="0.2"/>
    <n v="5"/>
    <n v="2.466474296474122"/>
    <n v="1"/>
    <x v="1"/>
    <n v="2.466474296474122"/>
    <n v="0.94852570352587806"/>
    <n v="0.94852570352587806"/>
    <n v="-3.6572906718714826E-3"/>
    <n v="-6.0000000000000053E-2"/>
  </r>
  <r>
    <x v="1051"/>
    <n v="2.4315261347107602"/>
    <n v="3.46"/>
    <n v="1"/>
    <n v="0.2"/>
    <n v="1"/>
    <n v="0.48630522694215206"/>
    <n v="0.2"/>
    <x v="0"/>
    <n v="0"/>
    <n v="0"/>
    <n v="0.94852570352587806"/>
    <n v="0"/>
    <n v="4.4999999999999929E-2"/>
  </r>
  <r>
    <x v="1052"/>
    <n v="2.47900822312821"/>
    <n v="3.46"/>
    <n v="2"/>
    <n v="0.2"/>
    <n v="2"/>
    <n v="0.98210687156779408"/>
    <n v="0.4"/>
    <x v="0"/>
    <n v="0"/>
    <n v="0"/>
    <n v="0.94852570352587806"/>
    <n v="0"/>
    <n v="4.4999999999999929E-2"/>
  </r>
  <r>
    <x v="1053"/>
    <n v="2.50328408923819"/>
    <n v="3.46"/>
    <n v="5"/>
    <n v="0.2"/>
    <n v="3"/>
    <n v="1.4827636894154321"/>
    <n v="0.60000000000000009"/>
    <x v="0"/>
    <n v="0"/>
    <n v="0"/>
    <n v="0.94852570352587806"/>
    <n v="0"/>
    <n v="4.4999999999999929E-2"/>
  </r>
  <r>
    <x v="1054"/>
    <n v="2.5153297074650598"/>
    <n v="3.46"/>
    <n v="6"/>
    <n v="0.2"/>
    <n v="4"/>
    <n v="1.985829630908444"/>
    <n v="0.8"/>
    <x v="0"/>
    <n v="0"/>
    <n v="0"/>
    <n v="0.94852570352587806"/>
    <n v="0"/>
    <n v="4.4999999999999929E-2"/>
  </r>
  <r>
    <x v="1055"/>
    <n v="2.51044994669209"/>
    <n v="3.46"/>
    <n v="7"/>
    <n v="0.2"/>
    <n v="5"/>
    <n v="2.4879196202468621"/>
    <n v="1"/>
    <x v="1"/>
    <n v="2.4879196202468621"/>
    <n v="0.97208037975313788"/>
    <n v="0.97208037975313788"/>
    <n v="2.3554676227259819E-2"/>
    <n v="4.4999999999999929E-2"/>
  </r>
  <r>
    <x v="1056"/>
    <n v="2.5328661525509899"/>
    <n v="3.355"/>
    <n v="1"/>
    <n v="0.2"/>
    <n v="1"/>
    <n v="0.50657323051019798"/>
    <n v="0.2"/>
    <x v="0"/>
    <n v="0"/>
    <n v="0"/>
    <n v="0.97208037975313788"/>
    <n v="0"/>
    <n v="-0.10499999999999998"/>
  </r>
  <r>
    <x v="1057"/>
    <n v="2.42238784637689"/>
    <n v="3.355"/>
    <n v="2"/>
    <n v="0.2"/>
    <n v="2"/>
    <n v="0.99105079978557598"/>
    <n v="0.4"/>
    <x v="0"/>
    <n v="0"/>
    <n v="0"/>
    <n v="0.97208037975313788"/>
    <n v="0"/>
    <n v="-0.10499999999999998"/>
  </r>
  <r>
    <x v="1058"/>
    <n v="2.28975271762293"/>
    <n v="3.355"/>
    <n v="5"/>
    <n v="0.2"/>
    <n v="3"/>
    <n v="1.4490013433101621"/>
    <n v="0.60000000000000009"/>
    <x v="0"/>
    <n v="0"/>
    <n v="0"/>
    <n v="0.97208037975313788"/>
    <n v="0"/>
    <n v="-0.10499999999999998"/>
  </r>
  <r>
    <x v="1059"/>
    <n v="2.2924928729045799"/>
    <n v="3.355"/>
    <n v="6"/>
    <n v="0.2"/>
    <n v="4"/>
    <n v="1.9074999178910781"/>
    <n v="0.8"/>
    <x v="0"/>
    <n v="0"/>
    <n v="0"/>
    <n v="0.97208037975313788"/>
    <n v="0"/>
    <n v="-0.10499999999999998"/>
  </r>
  <r>
    <x v="1060"/>
    <n v="2.2865529695176998"/>
    <n v="3.355"/>
    <n v="7"/>
    <n v="0.2"/>
    <n v="5"/>
    <n v="2.3648105117946181"/>
    <n v="1"/>
    <x v="1"/>
    <n v="2.3648105117946181"/>
    <n v="0.99018948820538188"/>
    <n v="0.99018948820538188"/>
    <n v="1.8109108452244005E-2"/>
    <n v="-0.10499999999999998"/>
  </r>
  <r>
    <x v="1061"/>
    <n v="2.2474863691242"/>
    <n v="3.2850000000000001"/>
    <n v="1"/>
    <n v="0.2"/>
    <n v="1"/>
    <n v="0.44949727382484"/>
    <n v="0.2"/>
    <x v="0"/>
    <n v="0"/>
    <n v="0"/>
    <n v="0.99018948820538188"/>
    <n v="0"/>
    <n v="-6.999999999999984E-2"/>
  </r>
  <r>
    <x v="1062"/>
    <n v="2.2397995226071998"/>
    <n v="3.2850000000000001"/>
    <n v="2"/>
    <n v="0.2"/>
    <n v="2"/>
    <n v="0.89745717834627992"/>
    <n v="0.4"/>
    <x v="0"/>
    <n v="0"/>
    <n v="0"/>
    <n v="0.99018948820538188"/>
    <n v="0"/>
    <n v="-6.999999999999984E-2"/>
  </r>
  <r>
    <x v="1063"/>
    <n v="2.1596234413025202"/>
    <n v="3.2850000000000001"/>
    <n v="6"/>
    <n v="0.2"/>
    <n v="3"/>
    <n v="1.329381866606784"/>
    <n v="0.60000000000000009"/>
    <x v="0"/>
    <n v="0"/>
    <n v="0"/>
    <n v="0.99018948820538188"/>
    <n v="0"/>
    <n v="-6.999999999999984E-2"/>
  </r>
  <r>
    <x v="1064"/>
    <n v="2.19882717699562"/>
    <n v="3.2850000000000001"/>
    <n v="7"/>
    <n v="0.2"/>
    <n v="4"/>
    <n v="1.7691473020059081"/>
    <n v="0.8"/>
    <x v="1"/>
    <n v="2.2114341275073848"/>
    <n v="1.0735658724926154"/>
    <n v="1.0735658724926154"/>
    <n v="8.3376384287233485E-2"/>
    <n v="-6.999999999999984E-2"/>
  </r>
  <r>
    <x v="1065"/>
    <n v="2.2327355208775002"/>
    <n v="3.2949999999999999"/>
    <n v="1"/>
    <n v="0.2"/>
    <n v="1"/>
    <n v="0.44654710417550003"/>
    <n v="0.2"/>
    <x v="0"/>
    <n v="0"/>
    <n v="0"/>
    <n v="1.0735658724926154"/>
    <n v="0"/>
    <n v="9.9999999999997868E-3"/>
  </r>
  <r>
    <x v="1066"/>
    <n v="2.22171317291324"/>
    <n v="3.2949999999999999"/>
    <n v="2"/>
    <n v="0.2"/>
    <n v="2"/>
    <n v="0.89088973875814803"/>
    <n v="0.4"/>
    <x v="0"/>
    <n v="0"/>
    <n v="0"/>
    <n v="1.0735658724926154"/>
    <n v="0"/>
    <n v="9.9999999999997868E-3"/>
  </r>
  <r>
    <x v="1067"/>
    <n v="2.2498836736013899"/>
    <n v="3.2949999999999999"/>
    <n v="5"/>
    <n v="0.2"/>
    <n v="3"/>
    <n v="1.3408664734784259"/>
    <n v="0.60000000000000009"/>
    <x v="0"/>
    <n v="0"/>
    <n v="0"/>
    <n v="1.0735658724926154"/>
    <n v="0"/>
    <n v="9.9999999999997868E-3"/>
  </r>
  <r>
    <x v="1068"/>
    <n v="2.3035973514028201"/>
    <n v="3.2949999999999999"/>
    <n v="6"/>
    <n v="0.2"/>
    <n v="4"/>
    <n v="1.8015859437589898"/>
    <n v="0.8"/>
    <x v="0"/>
    <n v="0"/>
    <n v="0"/>
    <n v="1.0735658724926154"/>
    <n v="0"/>
    <n v="9.9999999999997868E-3"/>
  </r>
  <r>
    <x v="1069"/>
    <n v="2.2780835111266402"/>
    <n v="3.2949999999999999"/>
    <n v="7"/>
    <n v="0.2"/>
    <n v="5"/>
    <n v="2.257202645984318"/>
    <n v="1"/>
    <x v="1"/>
    <n v="2.257202645984318"/>
    <n v="1.037797354015682"/>
    <n v="1.037797354015682"/>
    <n v="-3.5768518476933409E-2"/>
    <n v="9.9999999999997868E-3"/>
  </r>
  <r>
    <x v="1070"/>
    <n v="2.3132728669173401"/>
    <n v="3.3250000000000002"/>
    <n v="1"/>
    <n v="0.2"/>
    <n v="1"/>
    <n v="0.46265457338346805"/>
    <n v="0.2"/>
    <x v="0"/>
    <n v="0"/>
    <n v="0"/>
    <n v="1.037797354015682"/>
    <n v="0"/>
    <n v="3.0000000000000249E-2"/>
  </r>
  <r>
    <x v="1071"/>
    <n v="2.3587572487332702"/>
    <n v="3.3250000000000002"/>
    <n v="2"/>
    <n v="0.2"/>
    <n v="2"/>
    <n v="0.93440602313012211"/>
    <n v="0.4"/>
    <x v="0"/>
    <n v="0"/>
    <n v="0"/>
    <n v="1.037797354015682"/>
    <n v="0"/>
    <n v="3.0000000000000249E-2"/>
  </r>
  <r>
    <x v="1072"/>
    <n v="2.3547084525242998"/>
    <n v="3.3250000000000002"/>
    <n v="5"/>
    <n v="0.2"/>
    <n v="3"/>
    <n v="1.4053477136349821"/>
    <n v="0.60000000000000009"/>
    <x v="0"/>
    <n v="0"/>
    <n v="0"/>
    <n v="1.037797354015682"/>
    <n v="0"/>
    <n v="3.0000000000000249E-2"/>
  </r>
  <r>
    <x v="1073"/>
    <n v="2.3280330351195899"/>
    <n v="3.3250000000000002"/>
    <n v="6"/>
    <n v="0.2"/>
    <n v="4"/>
    <n v="1.8709543206589001"/>
    <n v="0.8"/>
    <x v="0"/>
    <n v="0"/>
    <n v="0"/>
    <n v="1.037797354015682"/>
    <n v="0"/>
    <n v="3.0000000000000249E-2"/>
  </r>
  <r>
    <x v="1074"/>
    <n v="2.34677807026147"/>
    <n v="3.3250000000000002"/>
    <n v="7"/>
    <n v="0.2"/>
    <n v="5"/>
    <n v="2.3403099347111942"/>
    <n v="1"/>
    <x v="1"/>
    <n v="2.3403099347111942"/>
    <n v="0.98469006528880598"/>
    <n v="0.98469006528880598"/>
    <n v="-5.3107288726875979E-2"/>
    <n v="3.0000000000000249E-2"/>
  </r>
  <r>
    <x v="1075"/>
    <n v="2.3508657378420699"/>
    <n v="3.355"/>
    <n v="1"/>
    <n v="0.2"/>
    <n v="1"/>
    <n v="0.470173147568414"/>
    <n v="0.2"/>
    <x v="0"/>
    <n v="0"/>
    <n v="0"/>
    <n v="0.98469006528880598"/>
    <n v="0"/>
    <n v="2.9999999999999805E-2"/>
  </r>
  <r>
    <x v="1076"/>
    <n v="2.3723679310859498"/>
    <n v="3.355"/>
    <n v="2"/>
    <n v="0.2"/>
    <n v="2"/>
    <n v="0.94464673378560393"/>
    <n v="0.4"/>
    <x v="0"/>
    <n v="0"/>
    <n v="0"/>
    <n v="0.98469006528880598"/>
    <n v="0"/>
    <n v="2.9999999999999805E-2"/>
  </r>
  <r>
    <x v="1077"/>
    <n v="2.3827340297619202"/>
    <n v="3.355"/>
    <n v="5"/>
    <n v="0.2"/>
    <n v="3"/>
    <n v="1.421193539737988"/>
    <n v="0.60000000000000009"/>
    <x v="0"/>
    <n v="0"/>
    <n v="0"/>
    <n v="0.98469006528880598"/>
    <n v="0"/>
    <n v="2.9999999999999805E-2"/>
  </r>
  <r>
    <x v="1078"/>
    <n v="2.3913145424010498"/>
    <n v="3.355"/>
    <n v="6"/>
    <n v="0.2"/>
    <n v="4"/>
    <n v="1.8994564482181979"/>
    <n v="0.8"/>
    <x v="0"/>
    <n v="0"/>
    <n v="0"/>
    <n v="0.98469006528880598"/>
    <n v="0"/>
    <n v="2.9999999999999805E-2"/>
  </r>
  <r>
    <x v="1079"/>
    <n v="2.3415396621578699"/>
    <n v="3.355"/>
    <n v="7"/>
    <n v="0.2"/>
    <n v="5"/>
    <n v="2.3677643806497719"/>
    <n v="1"/>
    <x v="1"/>
    <n v="2.3677643806497719"/>
    <n v="0.98723561935022808"/>
    <n v="0.98723561935022808"/>
    <n v="2.5455540614220951E-3"/>
    <n v="2.9999999999999805E-2"/>
  </r>
  <r>
    <x v="1080"/>
    <n v="2.3214949111864098"/>
    <n v="3.3050000000000002"/>
    <n v="1"/>
    <n v="0.2"/>
    <n v="1"/>
    <n v="0.464298982237282"/>
    <n v="0.2"/>
    <x v="0"/>
    <n v="0"/>
    <n v="0"/>
    <n v="0.98723561935022808"/>
    <n v="0"/>
    <n v="-4.9999999999999822E-2"/>
  </r>
  <r>
    <x v="1081"/>
    <n v="2.2658760705109899"/>
    <n v="3.3050000000000002"/>
    <n v="2"/>
    <n v="0.2"/>
    <n v="2"/>
    <n v="0.91747419633948002"/>
    <n v="0.4"/>
    <x v="0"/>
    <n v="0"/>
    <n v="0"/>
    <n v="0.98723561935022808"/>
    <n v="0"/>
    <n v="-4.9999999999999822E-2"/>
  </r>
  <r>
    <x v="1082"/>
    <n v="2.2903256966230399"/>
    <n v="3.3050000000000002"/>
    <n v="5"/>
    <n v="0.2"/>
    <n v="3"/>
    <n v="1.3755393356640879"/>
    <n v="0.60000000000000009"/>
    <x v="0"/>
    <n v="0"/>
    <n v="0"/>
    <n v="0.98723561935022808"/>
    <n v="0"/>
    <n v="-4.9999999999999822E-2"/>
  </r>
  <r>
    <x v="1083"/>
    <n v="2.3285237865503698"/>
    <n v="3.3050000000000002"/>
    <n v="6"/>
    <n v="0.2"/>
    <n v="4"/>
    <n v="1.8412440929741618"/>
    <n v="0.8"/>
    <x v="0"/>
    <n v="0"/>
    <n v="0"/>
    <n v="0.98723561935022808"/>
    <n v="0"/>
    <n v="-4.9999999999999822E-2"/>
  </r>
  <r>
    <x v="1084"/>
    <n v="2.3355292606834301"/>
    <n v="3.3050000000000002"/>
    <n v="7"/>
    <n v="0.2"/>
    <n v="5"/>
    <n v="2.308349945110848"/>
    <n v="1"/>
    <x v="1"/>
    <n v="2.308349945110848"/>
    <n v="0.99665005488915215"/>
    <n v="0.99665005488915215"/>
    <n v="9.4144355389240708E-3"/>
    <n v="-4.9999999999999822E-2"/>
  </r>
  <r>
    <x v="1085"/>
    <n v="2.2962196436559199"/>
    <n v="3.3250000000000002"/>
    <n v="1"/>
    <n v="0.2"/>
    <n v="1"/>
    <n v="0.45924392873118403"/>
    <n v="0.2"/>
    <x v="0"/>
    <n v="0"/>
    <n v="0"/>
    <n v="0.99665005488915215"/>
    <n v="0"/>
    <n v="2.0000000000000018E-2"/>
  </r>
  <r>
    <x v="1086"/>
    <n v="2.36176289703742"/>
    <n v="3.3250000000000002"/>
    <n v="2"/>
    <n v="0.2"/>
    <n v="2"/>
    <n v="0.93159650813866812"/>
    <n v="0.4"/>
    <x v="0"/>
    <n v="0"/>
    <n v="0"/>
    <n v="0.99665005488915215"/>
    <n v="0"/>
    <n v="2.0000000000000018E-2"/>
  </r>
  <r>
    <x v="1087"/>
    <n v="2.3691281963665198"/>
    <n v="3.3250000000000002"/>
    <n v="5"/>
    <n v="0.2"/>
    <n v="3"/>
    <n v="1.4054221474119721"/>
    <n v="0.60000000000000009"/>
    <x v="0"/>
    <n v="0"/>
    <n v="0"/>
    <n v="0.99665005488915215"/>
    <n v="0"/>
    <n v="2.0000000000000018E-2"/>
  </r>
  <r>
    <x v="1088"/>
    <n v="2.33119047788963"/>
    <n v="3.3250000000000002"/>
    <n v="6"/>
    <n v="0.2"/>
    <n v="4"/>
    <n v="1.8716602429898981"/>
    <n v="0.8"/>
    <x v="0"/>
    <n v="0"/>
    <n v="0"/>
    <n v="0.99665005488915215"/>
    <n v="0"/>
    <n v="2.0000000000000018E-2"/>
  </r>
  <r>
    <x v="1089"/>
    <n v="2.2940770499801002"/>
    <n v="3.3250000000000002"/>
    <n v="7"/>
    <n v="0.2"/>
    <n v="5"/>
    <n v="2.3304756529859181"/>
    <n v="1"/>
    <x v="1"/>
    <n v="2.3304756529859181"/>
    <n v="0.9945243470140821"/>
    <n v="0.9945243470140821"/>
    <n v="-2.1257078750700487E-3"/>
    <n v="2.0000000000000018E-2"/>
  </r>
  <r>
    <x v="1090"/>
    <n v="2.3497760407358701"/>
    <n v="3.3050000000000002"/>
    <n v="1"/>
    <n v="0.2"/>
    <n v="1"/>
    <n v="0.46995520814717406"/>
    <n v="0.2"/>
    <x v="0"/>
    <n v="0"/>
    <n v="0"/>
    <n v="0.9945243470140821"/>
    <n v="0"/>
    <n v="-2.0000000000000018E-2"/>
  </r>
  <r>
    <x v="1091"/>
    <n v="2.31461753479971"/>
    <n v="3.3050000000000002"/>
    <n v="2"/>
    <n v="0.2"/>
    <n v="2"/>
    <n v="0.93287871510711606"/>
    <n v="0.4"/>
    <x v="0"/>
    <n v="0"/>
    <n v="0"/>
    <n v="0.9945243470140821"/>
    <n v="0"/>
    <n v="-2.0000000000000018E-2"/>
  </r>
  <r>
    <x v="1092"/>
    <n v="2.34200914311478"/>
    <n v="3.3050000000000002"/>
    <n v="5"/>
    <n v="0.2"/>
    <n v="3"/>
    <n v="1.4012805437300722"/>
    <n v="0.60000000000000009"/>
    <x v="0"/>
    <n v="0"/>
    <n v="0"/>
    <n v="0.9945243470140821"/>
    <n v="0"/>
    <n v="-2.0000000000000018E-2"/>
  </r>
  <r>
    <x v="1093"/>
    <n v="2.35874720795284"/>
    <n v="3.3050000000000002"/>
    <n v="6"/>
    <n v="0.2"/>
    <n v="4"/>
    <n v="1.8730299853206402"/>
    <n v="0.8"/>
    <x v="0"/>
    <n v="0"/>
    <n v="0"/>
    <n v="0.9945243470140821"/>
    <n v="0"/>
    <n v="-2.0000000000000018E-2"/>
  </r>
  <r>
    <x v="1094"/>
    <n v="2.34960598186067"/>
    <n v="3.3050000000000002"/>
    <n v="7"/>
    <n v="0.2"/>
    <n v="5"/>
    <n v="2.3429511816927744"/>
    <n v="1"/>
    <x v="1"/>
    <n v="2.3429511816927744"/>
    <n v="0.96204881830722577"/>
    <n v="0.96204881830722577"/>
    <n v="-3.2475528706856327E-2"/>
    <n v="-2.0000000000000018E-2"/>
  </r>
  <r>
    <x v="1095"/>
    <n v="2.32201570653978"/>
    <n v="3.33"/>
    <n v="1"/>
    <n v="0.2"/>
    <n v="1"/>
    <n v="0.46440314130795601"/>
    <n v="0.2"/>
    <x v="0"/>
    <n v="0"/>
    <n v="0"/>
    <n v="0.96204881830722577"/>
    <n v="0"/>
    <n v="2.4999999999999911E-2"/>
  </r>
  <r>
    <x v="1096"/>
    <n v="2.3744079472292099"/>
    <n v="3.33"/>
    <n v="2"/>
    <n v="0.2"/>
    <n v="2"/>
    <n v="0.93928473075379804"/>
    <n v="0.4"/>
    <x v="0"/>
    <n v="0"/>
    <n v="0"/>
    <n v="0.96204881830722577"/>
    <n v="0"/>
    <n v="2.4999999999999911E-2"/>
  </r>
  <r>
    <x v="1097"/>
    <n v="2.35076611353908"/>
    <n v="3.33"/>
    <n v="5"/>
    <n v="0.2"/>
    <n v="3"/>
    <n v="1.4094379534616142"/>
    <n v="0.60000000000000009"/>
    <x v="0"/>
    <n v="0"/>
    <n v="0"/>
    <n v="0.96204881830722577"/>
    <n v="0"/>
    <n v="2.4999999999999911E-2"/>
  </r>
  <r>
    <x v="1098"/>
    <n v="2.34539470834196"/>
    <n v="3.33"/>
    <n v="6"/>
    <n v="0.2"/>
    <n v="4"/>
    <n v="1.8785168951300062"/>
    <n v="0.8"/>
    <x v="0"/>
    <n v="0"/>
    <n v="0"/>
    <n v="0.96204881830722577"/>
    <n v="0"/>
    <n v="2.4999999999999911E-2"/>
  </r>
  <r>
    <x v="1099"/>
    <n v="2.3488178258811199"/>
    <n v="3.33"/>
    <n v="7"/>
    <n v="0.2"/>
    <n v="5"/>
    <n v="2.3482804603062304"/>
    <n v="1"/>
    <x v="1"/>
    <n v="2.3482804603062304"/>
    <n v="0.98171953969376968"/>
    <n v="0.98171953969376968"/>
    <n v="1.967072138654391E-2"/>
    <n v="2.4999999999999911E-2"/>
  </r>
  <r>
    <x v="1100"/>
    <n v="2.35475537195207"/>
    <n v="3.335"/>
    <n v="1"/>
    <n v="0.2"/>
    <n v="1"/>
    <n v="0.470951074390414"/>
    <n v="0.2"/>
    <x v="0"/>
    <n v="0"/>
    <n v="0"/>
    <n v="0.98171953969376968"/>
    <n v="0"/>
    <n v="4.9999999999998934E-3"/>
  </r>
  <r>
    <x v="1101"/>
    <n v="2.3971487906373001"/>
    <n v="3.335"/>
    <n v="2"/>
    <n v="0.2"/>
    <n v="2"/>
    <n v="0.95038083251787397"/>
    <n v="0.4"/>
    <x v="0"/>
    <n v="0"/>
    <n v="0"/>
    <n v="0.98171953969376968"/>
    <n v="0"/>
    <n v="4.9999999999998934E-3"/>
  </r>
  <r>
    <x v="1102"/>
    <n v="2.3636791601900198"/>
    <n v="3.335"/>
    <n v="5"/>
    <n v="0.2"/>
    <n v="3"/>
    <n v="1.4231166645558779"/>
    <n v="0.60000000000000009"/>
    <x v="0"/>
    <n v="0"/>
    <n v="0"/>
    <n v="0.98171953969376968"/>
    <n v="0"/>
    <n v="4.9999999999998934E-3"/>
  </r>
  <r>
    <x v="1103"/>
    <n v="2.3673893775366199"/>
    <n v="3.335"/>
    <n v="6"/>
    <n v="0.2"/>
    <n v="4"/>
    <n v="1.8965945400632021"/>
    <n v="0.8"/>
    <x v="0"/>
    <n v="0"/>
    <n v="0"/>
    <n v="0.98171953969376968"/>
    <n v="0"/>
    <n v="4.9999999999998934E-3"/>
  </r>
  <r>
    <x v="1104"/>
    <n v="2.3666135397931098"/>
    <n v="3.335"/>
    <n v="7"/>
    <n v="0.2"/>
    <n v="5"/>
    <n v="2.369917248021824"/>
    <n v="1"/>
    <x v="1"/>
    <n v="2.369917248021824"/>
    <n v="0.96508275197817595"/>
    <n v="0.96508275197817595"/>
    <n v="-1.6636787715593737E-2"/>
    <n v="4.9999999999998934E-3"/>
  </r>
  <r>
    <x v="1105"/>
    <n v="2.3803157009582701"/>
    <n v="3.34"/>
    <n v="1"/>
    <n v="0.2"/>
    <n v="1"/>
    <n v="0.47606314019165402"/>
    <n v="0.2"/>
    <x v="0"/>
    <n v="0"/>
    <n v="0"/>
    <n v="0.96508275197817595"/>
    <n v="0"/>
    <n v="4.9999999999998934E-3"/>
  </r>
  <r>
    <x v="1106"/>
    <n v="2.3963402358760302"/>
    <n v="3.34"/>
    <n v="2"/>
    <n v="0.2"/>
    <n v="2"/>
    <n v="0.95533118736686007"/>
    <n v="0.4"/>
    <x v="0"/>
    <n v="0"/>
    <n v="0"/>
    <n v="0.96508275197817595"/>
    <n v="0"/>
    <n v="4.9999999999998934E-3"/>
  </r>
  <r>
    <x v="1107"/>
    <n v="2.3497707860559398"/>
    <n v="3.34"/>
    <n v="6"/>
    <n v="0.2"/>
    <n v="3"/>
    <n v="1.425285344578048"/>
    <n v="0.60000000000000009"/>
    <x v="0"/>
    <n v="0"/>
    <n v="0"/>
    <n v="0.96508275197817595"/>
    <n v="0"/>
    <n v="4.9999999999998934E-3"/>
  </r>
  <r>
    <x v="1108"/>
    <n v="2.3452158200023101"/>
    <n v="3.34"/>
    <n v="7"/>
    <n v="0.2"/>
    <n v="4"/>
    <n v="1.89432850857851"/>
    <n v="0.8"/>
    <x v="1"/>
    <n v="2.3679106357231374"/>
    <n v="0.97208936427686243"/>
    <n v="0.97208936427686243"/>
    <n v="7.0066122986864876E-3"/>
    <n v="4.9999999999998934E-3"/>
  </r>
  <r>
    <x v="1109"/>
    <n v="2.3842872829241002"/>
    <n v="3.375"/>
    <n v="1"/>
    <n v="0.2"/>
    <n v="1"/>
    <n v="0.47685745658482004"/>
    <n v="0.2"/>
    <x v="0"/>
    <n v="0"/>
    <n v="0"/>
    <n v="0.97208936427686243"/>
    <n v="0"/>
    <n v="3.5000000000000142E-2"/>
  </r>
  <r>
    <x v="1110"/>
    <n v="2.4473125668689599"/>
    <n v="3.375"/>
    <n v="2"/>
    <n v="0.2"/>
    <n v="2"/>
    <n v="0.96631996995861202"/>
    <n v="0.4"/>
    <x v="0"/>
    <n v="0"/>
    <n v="0"/>
    <n v="0.97208936427686243"/>
    <n v="0"/>
    <n v="3.5000000000000142E-2"/>
  </r>
  <r>
    <x v="1111"/>
    <n v="2.44286053650336"/>
    <n v="3.375"/>
    <n v="5"/>
    <n v="0.2"/>
    <n v="3"/>
    <n v="1.4548920772592839"/>
    <n v="0.60000000000000009"/>
    <x v="0"/>
    <n v="0"/>
    <n v="0"/>
    <n v="0.97208936427686243"/>
    <n v="0"/>
    <n v="3.5000000000000142E-2"/>
  </r>
  <r>
    <x v="1112"/>
    <n v="2.4759496030778601"/>
    <n v="3.375"/>
    <n v="6"/>
    <n v="0.2"/>
    <n v="4"/>
    <n v="1.950081997874856"/>
    <n v="0.8"/>
    <x v="0"/>
    <n v="0"/>
    <n v="0"/>
    <n v="0.97208936427686243"/>
    <n v="0"/>
    <n v="3.5000000000000142E-2"/>
  </r>
  <r>
    <x v="1113"/>
    <n v="2.44524956278855"/>
    <n v="3.375"/>
    <n v="7"/>
    <n v="0.2"/>
    <n v="5"/>
    <n v="2.4391319104325659"/>
    <n v="1"/>
    <x v="1"/>
    <n v="2.4391319104325659"/>
    <n v="0.93586808956743406"/>
    <n v="0.93586808956743406"/>
    <n v="-3.6221274709428375E-2"/>
    <n v="3.5000000000000142E-2"/>
  </r>
  <r>
    <x v="1114"/>
    <n v="2.45404364191142"/>
    <n v="3.38"/>
    <n v="1"/>
    <n v="0.2"/>
    <n v="1"/>
    <n v="0.49080872838228401"/>
    <n v="0.2"/>
    <x v="0"/>
    <n v="0"/>
    <n v="0"/>
    <n v="0.93586808956743406"/>
    <n v="0"/>
    <n v="4.9999999999998934E-3"/>
  </r>
  <r>
    <x v="1115"/>
    <n v="2.45470500500842"/>
    <n v="3.38"/>
    <n v="2"/>
    <n v="0.2"/>
    <n v="2"/>
    <n v="0.98174972938396809"/>
    <n v="0.4"/>
    <x v="0"/>
    <n v="0"/>
    <n v="0"/>
    <n v="0.93586808956743406"/>
    <n v="0"/>
    <n v="4.9999999999998934E-3"/>
  </r>
  <r>
    <x v="1116"/>
    <n v="2.4705200282403998"/>
    <n v="3.38"/>
    <n v="5"/>
    <n v="0.2"/>
    <n v="3"/>
    <n v="1.475853735032048"/>
    <n v="0.60000000000000009"/>
    <x v="0"/>
    <n v="0"/>
    <n v="0"/>
    <n v="0.93586808956743406"/>
    <n v="0"/>
    <n v="4.9999999999998934E-3"/>
  </r>
  <r>
    <x v="1117"/>
    <n v="2.4677434570547199"/>
    <n v="3.38"/>
    <n v="6"/>
    <n v="0.2"/>
    <n v="4"/>
    <n v="1.9694024264429919"/>
    <n v="0.8"/>
    <x v="0"/>
    <n v="0"/>
    <n v="0"/>
    <n v="0.93586808956743406"/>
    <n v="0"/>
    <n v="4.9999999999998934E-3"/>
  </r>
  <r>
    <x v="1118"/>
    <n v="2.4472298243210799"/>
    <n v="3.38"/>
    <n v="7"/>
    <n v="0.2"/>
    <n v="5"/>
    <n v="2.4588483913072077"/>
    <n v="1"/>
    <x v="1"/>
    <n v="2.4588483913072077"/>
    <n v="0.92115160869279222"/>
    <n v="0.92115160869279222"/>
    <n v="-1.4716480874641835E-2"/>
    <n v="4.9999999999998934E-3"/>
  </r>
  <r>
    <x v="1119"/>
    <n v="2.4229898766104698"/>
    <n v="3.2949999999999999"/>
    <n v="1"/>
    <n v="0.2"/>
    <n v="1"/>
    <n v="0.48459797532209398"/>
    <n v="0.2"/>
    <x v="0"/>
    <n v="0"/>
    <n v="0"/>
    <n v="0.92115160869279222"/>
    <n v="0"/>
    <n v="-8.4999999999999964E-2"/>
  </r>
  <r>
    <x v="1120"/>
    <n v="2.35417709036851"/>
    <n v="3.2949999999999999"/>
    <n v="2"/>
    <n v="0.2"/>
    <n v="2"/>
    <n v="0.95543339339579592"/>
    <n v="0.4"/>
    <x v="0"/>
    <n v="0"/>
    <n v="0"/>
    <n v="0.92115160869279222"/>
    <n v="0"/>
    <n v="-8.4999999999999964E-2"/>
  </r>
  <r>
    <x v="1121"/>
    <n v="2.3204598577200901"/>
    <n v="3.2949999999999999"/>
    <n v="5"/>
    <n v="0.2"/>
    <n v="3"/>
    <n v="1.4195253649398141"/>
    <n v="0.60000000000000009"/>
    <x v="0"/>
    <n v="0"/>
    <n v="0"/>
    <n v="0.92115160869279222"/>
    <n v="0"/>
    <n v="-8.4999999999999964E-2"/>
  </r>
  <r>
    <x v="1122"/>
    <n v="2.3036095465699198"/>
    <n v="3.2949999999999999"/>
    <n v="6"/>
    <n v="0.2"/>
    <n v="4"/>
    <n v="1.8802472742537981"/>
    <n v="0.8"/>
    <x v="0"/>
    <n v="0"/>
    <n v="0"/>
    <n v="0.92115160869279222"/>
    <n v="0"/>
    <n v="-8.4999999999999964E-2"/>
  </r>
  <r>
    <x v="1123"/>
    <n v="2.3175565245512799"/>
    <n v="3.2949999999999999"/>
    <n v="7"/>
    <n v="0.2"/>
    <n v="5"/>
    <n v="2.3437585791640543"/>
    <n v="1"/>
    <x v="1"/>
    <n v="2.3437585791640543"/>
    <n v="0.95124142083594565"/>
    <n v="0.95124142083594565"/>
    <n v="3.0089812143153427E-2"/>
    <n v="-8.4999999999999964E-2"/>
  </r>
  <r>
    <x v="1124"/>
    <n v="2.3157936267169901"/>
    <n v="3.2949999999999999"/>
    <n v="1"/>
    <n v="0.2"/>
    <n v="1"/>
    <n v="0.46315872534339803"/>
    <n v="0.2"/>
    <x v="0"/>
    <n v="0"/>
    <n v="0"/>
    <n v="0.95124142083594565"/>
    <n v="0"/>
    <n v="0"/>
  </r>
  <r>
    <x v="1125"/>
    <n v="2.3450247275103502"/>
    <n v="3.2949999999999999"/>
    <n v="2"/>
    <n v="0.2"/>
    <n v="2"/>
    <n v="0.93216367084546814"/>
    <n v="0.4"/>
    <x v="0"/>
    <n v="0"/>
    <n v="0"/>
    <n v="0.95124142083594565"/>
    <n v="0"/>
    <n v="0"/>
  </r>
  <r>
    <x v="1126"/>
    <n v="2.3593230360377899"/>
    <n v="3.2949999999999999"/>
    <n v="5"/>
    <n v="0.2"/>
    <n v="3"/>
    <n v="1.4040282780530262"/>
    <n v="0.60000000000000009"/>
    <x v="0"/>
    <n v="0"/>
    <n v="0"/>
    <n v="0.95124142083594565"/>
    <n v="0"/>
    <n v="0"/>
  </r>
  <r>
    <x v="1127"/>
    <n v="2.4007367882510802"/>
    <n v="3.2949999999999999"/>
    <n v="6"/>
    <n v="0.2"/>
    <n v="4"/>
    <n v="1.8841756357032422"/>
    <n v="0.8"/>
    <x v="0"/>
    <n v="0"/>
    <n v="0"/>
    <n v="0.95124142083594565"/>
    <n v="0"/>
    <n v="0"/>
  </r>
  <r>
    <x v="1128"/>
    <n v="2.4230964984502701"/>
    <n v="3.2949999999999999"/>
    <n v="7"/>
    <n v="0.2"/>
    <n v="5"/>
    <n v="2.3687949353932964"/>
    <n v="1"/>
    <x v="1"/>
    <n v="2.3687949353932964"/>
    <n v="0.92620506460670349"/>
    <n v="0.92620506460670349"/>
    <n v="-2.5036356229242163E-2"/>
    <n v="0"/>
  </r>
  <r>
    <x v="1129"/>
    <n v="2.4425561319038702"/>
    <n v="3.37"/>
    <n v="1"/>
    <n v="0.2"/>
    <n v="1"/>
    <n v="0.48851122638077404"/>
    <n v="0.2"/>
    <x v="0"/>
    <n v="0"/>
    <n v="0"/>
    <n v="0.92620506460670349"/>
    <n v="0"/>
    <n v="7.5000000000000178E-2"/>
  </r>
  <r>
    <x v="1130"/>
    <n v="2.4494735846374298"/>
    <n v="3.37"/>
    <n v="2"/>
    <n v="0.2"/>
    <n v="2"/>
    <n v="0.97840594330826003"/>
    <n v="0.4"/>
    <x v="0"/>
    <n v="0"/>
    <n v="0"/>
    <n v="0.92620506460670349"/>
    <n v="0"/>
    <n v="7.5000000000000178E-2"/>
  </r>
  <r>
    <x v="1131"/>
    <n v="2.4735241202306701"/>
    <n v="3.37"/>
    <n v="6"/>
    <n v="0.2"/>
    <n v="3"/>
    <n v="1.4731107673543939"/>
    <n v="0.60000000000000009"/>
    <x v="0"/>
    <n v="0"/>
    <n v="0"/>
    <n v="0.92620506460670349"/>
    <n v="0"/>
    <n v="7.5000000000000178E-2"/>
  </r>
  <r>
    <x v="1132"/>
    <n v="2.49089475229058"/>
    <n v="3.37"/>
    <n v="7"/>
    <n v="0.2"/>
    <n v="4"/>
    <n v="1.9712897178125099"/>
    <n v="0.8"/>
    <x v="1"/>
    <n v="2.4641121472656371"/>
    <n v="0.90588785273436301"/>
    <n v="0.90588785273436301"/>
    <n v="-2.0317211872340479E-2"/>
    <n v="7.5000000000000178E-2"/>
  </r>
  <r>
    <x v="1133"/>
    <n v="2.4566708605099099"/>
    <n v="3.395"/>
    <n v="1"/>
    <n v="0.2"/>
    <n v="1"/>
    <n v="0.49133417210198199"/>
    <n v="0.2"/>
    <x v="0"/>
    <n v="0"/>
    <n v="0"/>
    <n v="0.90588785273436301"/>
    <n v="0"/>
    <n v="2.4999999999999911E-2"/>
  </r>
  <r>
    <x v="1134"/>
    <n v="2.5031538447013899"/>
    <n v="3.395"/>
    <n v="2"/>
    <n v="0.2"/>
    <n v="2"/>
    <n v="0.99196494104225996"/>
    <n v="0.4"/>
    <x v="0"/>
    <n v="0"/>
    <n v="0"/>
    <n v="0.90588785273436301"/>
    <n v="0"/>
    <n v="2.4999999999999911E-2"/>
  </r>
  <r>
    <x v="1135"/>
    <n v="2.48665049817154"/>
    <n v="3.395"/>
    <n v="5"/>
    <n v="0.2"/>
    <n v="3"/>
    <n v="1.4892950406765679"/>
    <n v="0.60000000000000009"/>
    <x v="0"/>
    <n v="0"/>
    <n v="0"/>
    <n v="0.90588785273436301"/>
    <n v="0"/>
    <n v="2.4999999999999911E-2"/>
  </r>
  <r>
    <x v="1136"/>
    <n v="2.46551867128733"/>
    <n v="3.395"/>
    <n v="6"/>
    <n v="0.2"/>
    <n v="4"/>
    <n v="1.9823987749340339"/>
    <n v="0.8"/>
    <x v="0"/>
    <n v="0"/>
    <n v="0"/>
    <n v="0.90588785273436301"/>
    <n v="0"/>
    <n v="2.4999999999999911E-2"/>
  </r>
  <r>
    <x v="1137"/>
    <n v="2.4639577006004401"/>
    <n v="3.395"/>
    <n v="7"/>
    <n v="0.2"/>
    <n v="5"/>
    <n v="2.4751903150541219"/>
    <n v="1"/>
    <x v="1"/>
    <n v="2.4751903150541219"/>
    <n v="0.91980968494587811"/>
    <n v="0.91980968494587811"/>
    <n v="1.3921832211515106E-2"/>
    <n v="2.4999999999999911E-2"/>
  </r>
  <r>
    <x v="1138"/>
    <n v="2.45827138639036"/>
    <n v="3.37"/>
    <n v="1"/>
    <n v="0.2"/>
    <n v="1"/>
    <n v="0.49165427727807204"/>
    <n v="0.2"/>
    <x v="0"/>
    <n v="0"/>
    <n v="0"/>
    <n v="0.91980968494587811"/>
    <n v="0"/>
    <n v="-2.4999999999999911E-2"/>
  </r>
  <r>
    <x v="1139"/>
    <n v="2.4486777045586599"/>
    <n v="3.37"/>
    <n v="2"/>
    <n v="0.2"/>
    <n v="2"/>
    <n v="0.98138981818980398"/>
    <n v="0.4"/>
    <x v="0"/>
    <n v="0"/>
    <n v="0"/>
    <n v="0.91980968494587811"/>
    <n v="0"/>
    <n v="-2.4999999999999911E-2"/>
  </r>
  <r>
    <x v="1140"/>
    <n v="2.46526496945889"/>
    <n v="3.37"/>
    <n v="5"/>
    <n v="0.2"/>
    <n v="3"/>
    <n v="1.474442812081582"/>
    <n v="0.60000000000000009"/>
    <x v="0"/>
    <n v="0"/>
    <n v="0"/>
    <n v="0.91980968494587811"/>
    <n v="0"/>
    <n v="-2.4999999999999911E-2"/>
  </r>
  <r>
    <x v="1141"/>
    <n v="2.4661306434007502"/>
    <n v="3.37"/>
    <n v="6"/>
    <n v="0.2"/>
    <n v="4"/>
    <n v="1.967668940761732"/>
    <n v="0.8"/>
    <x v="0"/>
    <n v="0"/>
    <n v="0"/>
    <n v="0.91980968494587811"/>
    <n v="0"/>
    <n v="-2.4999999999999911E-2"/>
  </r>
  <r>
    <x v="1142"/>
    <n v="2.4860574973773799"/>
    <n v="3.37"/>
    <n v="7"/>
    <n v="0.2"/>
    <n v="5"/>
    <n v="2.464880440237208"/>
    <n v="1"/>
    <x v="1"/>
    <n v="2.464880440237208"/>
    <n v="0.90511955976279213"/>
    <n v="0.90511955976279213"/>
    <n v="-1.4690125183085989E-2"/>
    <n v="-2.4999999999999911E-2"/>
  </r>
  <r>
    <x v="1143"/>
    <n v="2.5299104688545802"/>
    <n v="3.415"/>
    <n v="1"/>
    <n v="0.2"/>
    <n v="1"/>
    <n v="0.50598209377091607"/>
    <n v="0.2"/>
    <x v="0"/>
    <n v="0"/>
    <n v="0"/>
    <n v="0.90511955976279213"/>
    <n v="0"/>
    <n v="4.4999999999999929E-2"/>
  </r>
  <r>
    <x v="1144"/>
    <n v="2.53316437266355"/>
    <n v="3.415"/>
    <n v="2"/>
    <n v="0.2"/>
    <n v="2"/>
    <n v="1.0126149683036261"/>
    <n v="0.4"/>
    <x v="0"/>
    <n v="0"/>
    <n v="0"/>
    <n v="0.90511955976279213"/>
    <n v="0"/>
    <n v="4.4999999999999929E-2"/>
  </r>
  <r>
    <x v="1145"/>
    <n v="2.5336094696522"/>
    <n v="3.415"/>
    <n v="5"/>
    <n v="0.2"/>
    <n v="3"/>
    <n v="1.5193368622340659"/>
    <n v="0.60000000000000009"/>
    <x v="0"/>
    <n v="0"/>
    <n v="0"/>
    <n v="0.90511955976279213"/>
    <n v="0"/>
    <n v="4.4999999999999929E-2"/>
  </r>
  <r>
    <x v="1146"/>
    <n v="2.5296440225789101"/>
    <n v="3.415"/>
    <n v="6"/>
    <n v="0.2"/>
    <n v="4"/>
    <n v="2.0252656667498479"/>
    <n v="0.8"/>
    <x v="0"/>
    <n v="0"/>
    <n v="0"/>
    <n v="0.90511955976279213"/>
    <n v="0"/>
    <n v="4.4999999999999929E-2"/>
  </r>
  <r>
    <x v="1147"/>
    <n v="2.52426864553397"/>
    <n v="3.415"/>
    <n v="7"/>
    <n v="0.2"/>
    <n v="5"/>
    <n v="2.5301193958566417"/>
    <n v="1"/>
    <x v="1"/>
    <n v="2.5301193958566417"/>
    <n v="0.88488060414335834"/>
    <n v="0.88488060414335834"/>
    <n v="-2.0238955619433785E-2"/>
    <n v="4.4999999999999929E-2"/>
  </r>
  <r>
    <x v="1148"/>
    <n v="2.53251832650023"/>
    <n v="3.4449999999999998"/>
    <n v="1"/>
    <n v="0.2"/>
    <n v="1"/>
    <n v="0.50650366530004598"/>
    <n v="0.2"/>
    <x v="0"/>
    <n v="0"/>
    <n v="0"/>
    <n v="0.88488060414335834"/>
    <n v="0"/>
    <n v="2.9999999999999805E-2"/>
  </r>
  <r>
    <x v="1149"/>
    <n v="2.5169810735830902"/>
    <n v="3.4449999999999998"/>
    <n v="2"/>
    <n v="0.2"/>
    <n v="2"/>
    <n v="1.0098998800166641"/>
    <n v="0.4"/>
    <x v="0"/>
    <n v="0"/>
    <n v="0"/>
    <n v="0.88488060414335834"/>
    <n v="0"/>
    <n v="2.9999999999999805E-2"/>
  </r>
  <r>
    <x v="1150"/>
    <n v="2.5437510721177499"/>
    <n v="3.4449999999999998"/>
    <n v="5"/>
    <n v="0.2"/>
    <n v="3"/>
    <n v="1.5186500944402139"/>
    <n v="0.60000000000000009"/>
    <x v="0"/>
    <n v="0"/>
    <n v="0"/>
    <n v="0.88488060414335834"/>
    <n v="0"/>
    <n v="2.9999999999999805E-2"/>
  </r>
  <r>
    <x v="1151"/>
    <n v="2.5815492501069399"/>
    <n v="3.4449999999999998"/>
    <n v="6"/>
    <n v="0.2"/>
    <n v="4"/>
    <n v="2.034959944461602"/>
    <n v="0.8"/>
    <x v="0"/>
    <n v="0"/>
    <n v="0"/>
    <n v="0.88488060414335834"/>
    <n v="0"/>
    <n v="2.9999999999999805E-2"/>
  </r>
  <r>
    <x v="1152"/>
    <n v="2.7578334689679198"/>
    <n v="3.4449999999999998"/>
    <n v="7"/>
    <n v="0.2"/>
    <n v="5"/>
    <n v="2.5865266382551861"/>
    <n v="1"/>
    <x v="1"/>
    <n v="2.5865266382551861"/>
    <n v="0.8584733617448137"/>
    <n v="0.8584733617448137"/>
    <n v="-2.6407242398544639E-2"/>
    <n v="2.9999999999999805E-2"/>
  </r>
  <r>
    <x v="1153"/>
    <n v="2.8203429128505602"/>
    <n v="3.8149999999999999"/>
    <n v="1"/>
    <n v="0.2"/>
    <n v="1"/>
    <n v="0.56406858257011205"/>
    <n v="0.2"/>
    <x v="0"/>
    <n v="0"/>
    <n v="0"/>
    <n v="0.8584733617448137"/>
    <n v="0"/>
    <n v="0.37000000000000011"/>
  </r>
  <r>
    <x v="1154"/>
    <n v="2.9518507510638798"/>
    <n v="3.8149999999999999"/>
    <n v="5"/>
    <n v="0.2"/>
    <n v="2"/>
    <n v="1.154438732782888"/>
    <n v="0.4"/>
    <x v="0"/>
    <n v="0"/>
    <n v="0"/>
    <n v="0.8584733617448137"/>
    <n v="0"/>
    <n v="0.37000000000000011"/>
  </r>
  <r>
    <x v="1155"/>
    <n v="2.938815281358"/>
    <n v="3.8149999999999999"/>
    <n v="6"/>
    <n v="0.2"/>
    <n v="3"/>
    <n v="1.7422017890544881"/>
    <n v="0.60000000000000009"/>
    <x v="0"/>
    <n v="0"/>
    <n v="0"/>
    <n v="0.8584733617448137"/>
    <n v="0"/>
    <n v="0.37000000000000011"/>
  </r>
  <r>
    <x v="1156"/>
    <n v="2.9180541697648699"/>
    <n v="3.8149999999999999"/>
    <n v="7"/>
    <n v="0.2"/>
    <n v="4"/>
    <n v="2.3258126230074621"/>
    <n v="0.8"/>
    <x v="1"/>
    <n v="2.9072657787593275"/>
    <n v="0.90773422124067249"/>
    <n v="0.90773422124067249"/>
    <n v="4.9260859495858789E-2"/>
    <n v="0.37000000000000011"/>
  </r>
  <r>
    <x v="1157"/>
    <n v="2.9579353811966902"/>
    <n v="3.9050000000000002"/>
    <n v="1"/>
    <n v="0.2"/>
    <n v="1"/>
    <n v="0.59158707623933804"/>
    <n v="0.2"/>
    <x v="0"/>
    <n v="0"/>
    <n v="0"/>
    <n v="0.90773422124067249"/>
    <n v="0"/>
    <n v="9.0000000000000302E-2"/>
  </r>
  <r>
    <x v="1158"/>
    <n v="3.03169131774919"/>
    <n v="3.9050000000000002"/>
    <n v="2"/>
    <n v="0.2"/>
    <n v="2"/>
    <n v="1.197925339789176"/>
    <n v="0.4"/>
    <x v="0"/>
    <n v="0"/>
    <n v="0"/>
    <n v="0.90773422124067249"/>
    <n v="0"/>
    <n v="9.0000000000000302E-2"/>
  </r>
  <r>
    <x v="1159"/>
    <n v="3.0422928996340901"/>
    <n v="3.9050000000000002"/>
    <n v="5"/>
    <n v="0.2"/>
    <n v="3"/>
    <n v="1.8063839197159941"/>
    <n v="0.60000000000000009"/>
    <x v="0"/>
    <n v="0"/>
    <n v="0"/>
    <n v="0.90773422124067249"/>
    <n v="0"/>
    <n v="9.0000000000000302E-2"/>
  </r>
  <r>
    <x v="1160"/>
    <n v="3.0253759468796799"/>
    <n v="3.9050000000000002"/>
    <n v="6"/>
    <n v="0.2"/>
    <n v="4"/>
    <n v="2.41145910909193"/>
    <n v="0.8"/>
    <x v="0"/>
    <n v="0"/>
    <n v="0"/>
    <n v="0.90773422124067249"/>
    <n v="0"/>
    <n v="9.0000000000000302E-2"/>
  </r>
  <r>
    <x v="1161"/>
    <n v="3.0811413392722198"/>
    <n v="3.9050000000000002"/>
    <n v="7"/>
    <n v="0.2"/>
    <n v="5"/>
    <n v="3.0276873769463739"/>
    <n v="1"/>
    <x v="1"/>
    <n v="3.0276873769463739"/>
    <n v="0.87731262305362634"/>
    <n v="0.87731262305362634"/>
    <n v="-3.042159818704615E-2"/>
    <n v="9.0000000000000302E-2"/>
  </r>
  <r>
    <x v="1162"/>
    <n v="3.1125235634348298"/>
    <n v="3.9550000000000001"/>
    <n v="2"/>
    <n v="0.2"/>
    <n v="1"/>
    <n v="0.62250471268696606"/>
    <n v="0.2"/>
    <x v="0"/>
    <n v="0"/>
    <n v="0"/>
    <n v="0.87731262305362634"/>
    <n v="0"/>
    <n v="4.9999999999999822E-2"/>
  </r>
  <r>
    <x v="1163"/>
    <n v="3.0232721749517699"/>
    <n v="3.9550000000000001"/>
    <n v="5"/>
    <n v="0.2"/>
    <n v="2"/>
    <n v="1.22715914767732"/>
    <n v="0.4"/>
    <x v="0"/>
    <n v="0"/>
    <n v="0"/>
    <n v="0.87731262305362634"/>
    <n v="0"/>
    <n v="4.9999999999999822E-2"/>
  </r>
  <r>
    <x v="1164"/>
    <n v="3.0032104294376101"/>
    <n v="3.9550000000000001"/>
    <n v="6"/>
    <n v="0.2"/>
    <n v="3"/>
    <n v="1.8278012335648421"/>
    <n v="0.60000000000000009"/>
    <x v="0"/>
    <n v="0"/>
    <n v="0"/>
    <n v="0.87731262305362634"/>
    <n v="0"/>
    <n v="4.9999999999999822E-2"/>
  </r>
  <r>
    <x v="1165"/>
    <n v="3.0600031389564002"/>
    <n v="3.9550000000000001"/>
    <n v="7"/>
    <n v="0.2"/>
    <n v="4"/>
    <n v="2.4398018613561221"/>
    <n v="0.8"/>
    <x v="1"/>
    <n v="3.0497523266951525"/>
    <n v="0.90524767330484757"/>
    <n v="0.90524767330484757"/>
    <n v="2.7935050251221227E-2"/>
    <n v="4.9999999999999822E-2"/>
  </r>
  <r>
    <x v="1166"/>
    <n v="3.13599610528588"/>
    <n v="4.0049999999999999"/>
    <n v="1"/>
    <n v="0.2"/>
    <n v="1"/>
    <n v="0.62719922105717607"/>
    <n v="0.2"/>
    <x v="0"/>
    <n v="0"/>
    <n v="0"/>
    <n v="0.90524767330484757"/>
    <n v="0"/>
    <n v="4.9999999999999822E-2"/>
  </r>
  <r>
    <x v="1167"/>
    <n v="3.0833533421517099"/>
    <n v="4.0049999999999999"/>
    <n v="2"/>
    <n v="0.2"/>
    <n v="2"/>
    <n v="1.243869889487518"/>
    <n v="0.4"/>
    <x v="0"/>
    <n v="0"/>
    <n v="0"/>
    <n v="0.90524767330484757"/>
    <n v="0"/>
    <n v="4.9999999999999822E-2"/>
  </r>
  <r>
    <x v="1168"/>
    <n v="3.0836284241838401"/>
    <n v="4.0049999999999999"/>
    <n v="5"/>
    <n v="0.2"/>
    <n v="3"/>
    <n v="1.8605955743242859"/>
    <n v="0.60000000000000009"/>
    <x v="0"/>
    <n v="0"/>
    <n v="0"/>
    <n v="0.90524767330484757"/>
    <n v="0"/>
    <n v="4.9999999999999822E-2"/>
  </r>
  <r>
    <x v="1169"/>
    <n v="3.0839441300707402"/>
    <n v="4.0049999999999999"/>
    <n v="6"/>
    <n v="0.2"/>
    <n v="4"/>
    <n v="2.4773844003384342"/>
    <n v="0.8"/>
    <x v="0"/>
    <n v="0"/>
    <n v="0"/>
    <n v="0.90524767330484757"/>
    <n v="0"/>
    <n v="4.9999999999999822E-2"/>
  </r>
  <r>
    <x v="1170"/>
    <n v="3.0288108885972802"/>
    <n v="4.0049999999999999"/>
    <n v="7"/>
    <n v="0.2"/>
    <n v="5"/>
    <n v="3.0831465780578902"/>
    <n v="1"/>
    <x v="1"/>
    <n v="3.0831465780578902"/>
    <n v="0.92185342194210973"/>
    <n v="0.92185342194210973"/>
    <n v="1.6605748637262163E-2"/>
    <n v="4.9999999999999822E-2"/>
  </r>
  <r>
    <x v="1171"/>
    <n v="3.05722705621156"/>
    <n v="4.0350000000000001"/>
    <n v="1"/>
    <n v="0.2"/>
    <n v="1"/>
    <n v="0.611445411242312"/>
    <n v="0.2"/>
    <x v="0"/>
    <n v="0"/>
    <n v="0"/>
    <n v="0.92185342194210973"/>
    <n v="0"/>
    <n v="3.0000000000000249E-2"/>
  </r>
  <r>
    <x v="1172"/>
    <n v="3.1428652362036398"/>
    <n v="4.0350000000000001"/>
    <n v="2"/>
    <n v="0.2"/>
    <n v="2"/>
    <n v="1.24001845848304"/>
    <n v="0.4"/>
    <x v="0"/>
    <n v="0"/>
    <n v="0"/>
    <n v="0.92185342194210973"/>
    <n v="0"/>
    <n v="3.0000000000000249E-2"/>
  </r>
  <r>
    <x v="1173"/>
    <n v="3.1502344995912401"/>
    <n v="4.0350000000000001"/>
    <n v="5"/>
    <n v="0.2"/>
    <n v="3"/>
    <n v="1.8700653584012881"/>
    <n v="0.60000000000000009"/>
    <x v="0"/>
    <n v="0"/>
    <n v="0"/>
    <n v="0.92185342194210973"/>
    <n v="0"/>
    <n v="3.0000000000000249E-2"/>
  </r>
  <r>
    <x v="1174"/>
    <n v="3.1621575354435998"/>
    <n v="4.0350000000000001"/>
    <n v="6"/>
    <n v="0.2"/>
    <n v="4"/>
    <n v="2.5024968654900079"/>
    <n v="0.8"/>
    <x v="0"/>
    <n v="0"/>
    <n v="0"/>
    <n v="0.92185342194210973"/>
    <n v="0"/>
    <n v="3.0000000000000249E-2"/>
  </r>
  <r>
    <x v="1175"/>
    <n v="3.2178280594971298"/>
    <n v="4.0350000000000001"/>
    <n v="7"/>
    <n v="0.2"/>
    <n v="5"/>
    <n v="3.1460624773894339"/>
    <n v="1"/>
    <x v="1"/>
    <n v="3.1460624773894339"/>
    <n v="0.88893752261056624"/>
    <n v="0.88893752261056624"/>
    <n v="-3.2915899331543486E-2"/>
    <n v="3.0000000000000249E-2"/>
  </r>
  <r>
    <x v="1176"/>
    <n v="3.3050524395001402"/>
    <n v="4.1749999999999998"/>
    <n v="1"/>
    <n v="0.2"/>
    <n v="1"/>
    <n v="0.66101048790002803"/>
    <n v="0.2"/>
    <x v="0"/>
    <n v="0"/>
    <n v="0"/>
    <n v="0.88893752261056624"/>
    <n v="0"/>
    <n v="0.13999999999999968"/>
  </r>
  <r>
    <x v="1177"/>
    <n v="3.3305211408689099"/>
    <n v="4.1749999999999998"/>
    <n v="2"/>
    <n v="0.2"/>
    <n v="2"/>
    <n v="1.3271147160738099"/>
    <n v="0.4"/>
    <x v="0"/>
    <n v="0"/>
    <n v="0"/>
    <n v="0.88893752261056624"/>
    <n v="0"/>
    <n v="0.13999999999999968"/>
  </r>
  <r>
    <x v="1178"/>
    <n v="3.2735630913423499"/>
    <n v="4.1749999999999998"/>
    <n v="5"/>
    <n v="0.2"/>
    <n v="3"/>
    <n v="1.9818273343422801"/>
    <n v="0.60000000000000009"/>
    <x v="0"/>
    <n v="0"/>
    <n v="0"/>
    <n v="0.88893752261056624"/>
    <n v="0"/>
    <n v="0.13999999999999968"/>
  </r>
  <r>
    <x v="1179"/>
    <n v="3.2884025896165299"/>
    <n v="4.1749999999999998"/>
    <n v="6"/>
    <n v="0.2"/>
    <n v="4"/>
    <n v="2.6395078522655862"/>
    <n v="0.8"/>
    <x v="0"/>
    <n v="0"/>
    <n v="0"/>
    <n v="0.88893752261056624"/>
    <n v="0"/>
    <n v="0.13999999999999968"/>
  </r>
  <r>
    <x v="1180"/>
    <n v="3.25892031354691"/>
    <n v="4.1749999999999998"/>
    <n v="7"/>
    <n v="0.2"/>
    <n v="5"/>
    <n v="3.291291914974968"/>
    <n v="1"/>
    <x v="1"/>
    <n v="3.291291914974968"/>
    <n v="0.88370808502503184"/>
    <n v="0.88370808502503184"/>
    <n v="-5.2294375855344022E-3"/>
    <n v="0.13999999999999968"/>
  </r>
  <r>
    <x v="1181"/>
    <n v="3.2544954518988001"/>
    <n v="4.1950000000000003"/>
    <n v="1"/>
    <n v="0.2"/>
    <n v="1"/>
    <n v="0.65089909037976001"/>
    <n v="0.2"/>
    <x v="0"/>
    <n v="0"/>
    <n v="0"/>
    <n v="0.88370808502503184"/>
    <n v="0"/>
    <n v="2.0000000000000462E-2"/>
  </r>
  <r>
    <x v="1182"/>
    <n v="3.25541429686829"/>
    <n v="4.1950000000000003"/>
    <n v="2"/>
    <n v="0.2"/>
    <n v="2"/>
    <n v="1.3019819497534182"/>
    <n v="0.4"/>
    <x v="0"/>
    <n v="0"/>
    <n v="0"/>
    <n v="0.88370808502503184"/>
    <n v="0"/>
    <n v="2.0000000000000462E-2"/>
  </r>
  <r>
    <x v="1183"/>
    <n v="3.2725828232051102"/>
    <n v="4.1950000000000003"/>
    <n v="6"/>
    <n v="0.2"/>
    <n v="3"/>
    <n v="1.9564985143944402"/>
    <n v="0.60000000000000009"/>
    <x v="0"/>
    <n v="0"/>
    <n v="0"/>
    <n v="0.88370808502503184"/>
    <n v="0"/>
    <n v="2.0000000000000462E-2"/>
  </r>
  <r>
    <x v="1184"/>
    <n v="3.2082776514321698"/>
    <n v="4.1950000000000003"/>
    <n v="7"/>
    <n v="0.2"/>
    <n v="4"/>
    <n v="2.5981540446808742"/>
    <n v="0.8"/>
    <x v="1"/>
    <n v="3.2476925558510925"/>
    <n v="0.94730744414890777"/>
    <n v="0.94730744414890777"/>
    <n v="6.3599359123875931E-2"/>
    <n v="2.0000000000000462E-2"/>
  </r>
  <r>
    <x v="1185"/>
    <n v="3.1554338932112498"/>
    <n v="4.0750000000000002"/>
    <n v="1"/>
    <n v="0.2"/>
    <n v="1"/>
    <n v="0.63108677864225005"/>
    <n v="0.2"/>
    <x v="0"/>
    <n v="0"/>
    <n v="0"/>
    <n v="0.94730744414890777"/>
    <n v="0"/>
    <n v="-0.12000000000000011"/>
  </r>
  <r>
    <x v="1186"/>
    <n v="3.0949306211781802"/>
    <n v="4.0750000000000002"/>
    <n v="2"/>
    <n v="0.2"/>
    <n v="2"/>
    <n v="1.2500729028778861"/>
    <n v="0.4"/>
    <x v="0"/>
    <n v="0"/>
    <n v="0"/>
    <n v="0.94730744414890777"/>
    <n v="0"/>
    <n v="-0.12000000000000011"/>
  </r>
  <r>
    <x v="1187"/>
    <n v="3.1214715085485301"/>
    <n v="4.0750000000000002"/>
    <n v="6"/>
    <n v="0.2"/>
    <n v="3"/>
    <n v="1.8743672045875921"/>
    <n v="0.60000000000000009"/>
    <x v="0"/>
    <n v="0"/>
    <n v="0"/>
    <n v="0.94730744414890777"/>
    <n v="0"/>
    <n v="-0.12000000000000011"/>
  </r>
  <r>
    <x v="1188"/>
    <n v="3.1384996351244299"/>
    <n v="4.0750000000000002"/>
    <n v="7"/>
    <n v="0.2"/>
    <n v="4"/>
    <n v="2.5020671316124781"/>
    <n v="0.8"/>
    <x v="1"/>
    <n v="3.1275839145155975"/>
    <n v="0.9474160854844027"/>
    <n v="0.9474160854844027"/>
    <n v="1.0864133549493005E-4"/>
    <n v="-0.12000000000000011"/>
  </r>
  <r>
    <x v="1189"/>
    <n v="3.0451114987111199"/>
    <n v="3.9950000000000001"/>
    <n v="1"/>
    <n v="0.2"/>
    <n v="1"/>
    <n v="0.60902229974222399"/>
    <n v="0.2"/>
    <x v="0"/>
    <n v="0"/>
    <n v="0"/>
    <n v="0.9474160854844027"/>
    <n v="0"/>
    <n v="-8.0000000000000071E-2"/>
  </r>
  <r>
    <x v="1190"/>
    <n v="3.1031472109984501"/>
    <n v="3.9950000000000001"/>
    <n v="2"/>
    <n v="0.2"/>
    <n v="2"/>
    <n v="1.2296517419419142"/>
    <n v="0.4"/>
    <x v="0"/>
    <n v="0"/>
    <n v="0"/>
    <n v="0.9474160854844027"/>
    <n v="0"/>
    <n v="-8.0000000000000071E-2"/>
  </r>
  <r>
    <x v="1191"/>
    <n v="3.0761940067362201"/>
    <n v="3.9950000000000001"/>
    <n v="5"/>
    <n v="0.2"/>
    <n v="3"/>
    <n v="1.8448905432891582"/>
    <n v="0.60000000000000009"/>
    <x v="0"/>
    <n v="0"/>
    <n v="0"/>
    <n v="0.9474160854844027"/>
    <n v="0"/>
    <n v="-8.0000000000000071E-2"/>
  </r>
  <r>
    <x v="1192"/>
    <n v="3.0731891921219798"/>
    <n v="3.9950000000000001"/>
    <n v="6"/>
    <n v="0.2"/>
    <n v="4"/>
    <n v="2.4595283817135543"/>
    <n v="0.8"/>
    <x v="0"/>
    <n v="0"/>
    <n v="0"/>
    <n v="0.9474160854844027"/>
    <n v="0"/>
    <n v="-8.0000000000000071E-2"/>
  </r>
  <r>
    <x v="1193"/>
    <n v="3.05308577181211"/>
    <n v="3.9950000000000001"/>
    <n v="7"/>
    <n v="0.2"/>
    <n v="5"/>
    <n v="3.0701455360759762"/>
    <n v="1"/>
    <x v="1"/>
    <n v="3.0701455360759762"/>
    <n v="0.92485446392402393"/>
    <n v="0.92485446392402393"/>
    <n v="-2.2561621560378775E-2"/>
    <n v="-8.0000000000000071E-2"/>
  </r>
  <r>
    <x v="1194"/>
    <n v="3.0490468852483001"/>
    <n v="3.9649999999999999"/>
    <n v="1"/>
    <n v="0.2"/>
    <n v="1"/>
    <n v="0.6098093770496601"/>
    <n v="0.2"/>
    <x v="0"/>
    <n v="0"/>
    <n v="0"/>
    <n v="0.92485446392402393"/>
    <n v="0"/>
    <n v="-3.0000000000000249E-2"/>
  </r>
  <r>
    <x v="1195"/>
    <n v="3.0821770129948698"/>
    <n v="3.9649999999999999"/>
    <n v="2"/>
    <n v="0.2"/>
    <n v="2"/>
    <n v="1.226244779648634"/>
    <n v="0.4"/>
    <x v="0"/>
    <n v="0"/>
    <n v="0"/>
    <n v="0.92485446392402393"/>
    <n v="0"/>
    <n v="-3.0000000000000249E-2"/>
  </r>
  <r>
    <x v="1196"/>
    <n v="3.03783768226076"/>
    <n v="3.9649999999999999"/>
    <n v="6"/>
    <n v="0.2"/>
    <n v="3"/>
    <n v="1.833812316100786"/>
    <n v="0.60000000000000009"/>
    <x v="0"/>
    <n v="0"/>
    <n v="0"/>
    <n v="0.92485446392402393"/>
    <n v="0"/>
    <n v="-3.0000000000000249E-2"/>
  </r>
  <r>
    <x v="1197"/>
    <n v="3.1230464878989399"/>
    <n v="3.9649999999999999"/>
    <n v="7"/>
    <n v="0.2"/>
    <n v="4"/>
    <n v="2.4584216136805739"/>
    <n v="0.8"/>
    <x v="1"/>
    <n v="3.073027017100717"/>
    <n v="0.89197298289928284"/>
    <n v="0.89197298289928284"/>
    <n v="-3.2881481024741088E-2"/>
    <n v="-3.0000000000000249E-2"/>
  </r>
  <r>
    <x v="1198"/>
    <n v="3.1861069346241799"/>
    <n v="4.04"/>
    <n v="1"/>
    <n v="0.2"/>
    <n v="1"/>
    <n v="0.63722138692483599"/>
    <n v="0.2"/>
    <x v="0"/>
    <n v="0"/>
    <n v="0"/>
    <n v="0.89197298289928284"/>
    <n v="0"/>
    <n v="7.5000000000000178E-2"/>
  </r>
  <r>
    <x v="1199"/>
    <n v="3.1835668268230601"/>
    <n v="4.04"/>
    <n v="2"/>
    <n v="0.2"/>
    <n v="2"/>
    <n v="1.2739347522894482"/>
    <n v="0.4"/>
    <x v="0"/>
    <n v="0"/>
    <n v="0"/>
    <n v="0.89197298289928284"/>
    <n v="0"/>
    <n v="7.5000000000000178E-2"/>
  </r>
  <r>
    <x v="1200"/>
    <n v="3.11336724887106"/>
    <n v="4.04"/>
    <n v="5"/>
    <n v="0.2"/>
    <n v="3"/>
    <n v="1.8966082020636601"/>
    <n v="0.60000000000000009"/>
    <x v="0"/>
    <n v="0"/>
    <n v="0"/>
    <n v="0.89197298289928284"/>
    <n v="0"/>
    <n v="7.5000000000000178E-2"/>
  </r>
  <r>
    <x v="1201"/>
    <n v="3.1829132943818701"/>
    <n v="4.04"/>
    <n v="6"/>
    <n v="0.2"/>
    <n v="4"/>
    <n v="2.5331908609400342"/>
    <n v="0.8"/>
    <x v="0"/>
    <n v="0"/>
    <n v="0"/>
    <n v="0.89197298289928284"/>
    <n v="0"/>
    <n v="7.5000000000000178E-2"/>
  </r>
  <r>
    <x v="1202"/>
    <n v="3.2322949335607598"/>
    <n v="4.04"/>
    <n v="7"/>
    <n v="0.2"/>
    <n v="5"/>
    <n v="3.1796498476521862"/>
    <n v="1"/>
    <x v="1"/>
    <n v="3.1796498476521862"/>
    <n v="0.86035015234781387"/>
    <n v="0.86035015234781387"/>
    <n v="-3.1622830551468972E-2"/>
    <n v="7.5000000000000178E-2"/>
  </r>
  <r>
    <x v="1203"/>
    <n v="3.2180488774769902"/>
    <n v="4.0650000000000004"/>
    <n v="1"/>
    <n v="0.2"/>
    <n v="1"/>
    <n v="0.64360977549539811"/>
    <n v="0.2"/>
    <x v="0"/>
    <n v="0"/>
    <n v="0"/>
    <n v="0.86035015234781387"/>
    <n v="0"/>
    <n v="2.5000000000000355E-2"/>
  </r>
  <r>
    <x v="1204"/>
    <n v="3.19076268089509"/>
    <n v="4.0650000000000004"/>
    <n v="2"/>
    <n v="0.2"/>
    <n v="2"/>
    <n v="1.2817623116744161"/>
    <n v="0.4"/>
    <x v="0"/>
    <n v="0"/>
    <n v="0"/>
    <n v="0.86035015234781387"/>
    <n v="0"/>
    <n v="2.5000000000000355E-2"/>
  </r>
  <r>
    <x v="1205"/>
    <n v="3.1841018118348199"/>
    <n v="4.0650000000000004"/>
    <n v="5"/>
    <n v="0.2"/>
    <n v="3"/>
    <n v="1.9185826740413803"/>
    <n v="0.60000000000000009"/>
    <x v="0"/>
    <n v="0"/>
    <n v="0"/>
    <n v="0.86035015234781387"/>
    <n v="0"/>
    <n v="2.5000000000000355E-2"/>
  </r>
  <r>
    <x v="1206"/>
    <n v="3.1648459578607699"/>
    <n v="4.0650000000000004"/>
    <n v="6"/>
    <n v="0.2"/>
    <n v="4"/>
    <n v="2.5515518656135345"/>
    <n v="0.8"/>
    <x v="0"/>
    <n v="0"/>
    <n v="0"/>
    <n v="0.86035015234781387"/>
    <n v="0"/>
    <n v="2.5000000000000355E-2"/>
  </r>
  <r>
    <x v="1207"/>
    <n v="3.18917499104727"/>
    <n v="4.0650000000000004"/>
    <n v="7"/>
    <n v="0.2"/>
    <n v="5"/>
    <n v="3.1893868638229885"/>
    <n v="1"/>
    <x v="1"/>
    <n v="3.1893868638229885"/>
    <n v="0.87561313617701186"/>
    <n v="0.87561313617701186"/>
    <n v="1.5262983829197996E-2"/>
    <n v="2.5000000000000355E-2"/>
  </r>
  <r>
    <x v="1208"/>
    <n v="3.1752248472544302"/>
    <n v="4.0199999999999996"/>
    <n v="1"/>
    <n v="0.2"/>
    <n v="1"/>
    <n v="0.63504496945088607"/>
    <n v="0.2"/>
    <x v="0"/>
    <n v="0"/>
    <n v="0"/>
    <n v="0.87561313617701186"/>
    <n v="0"/>
    <n v="-4.5000000000000817E-2"/>
  </r>
  <r>
    <x v="1209"/>
    <n v="3.1937009048335998"/>
    <n v="4.0199999999999996"/>
    <n v="2"/>
    <n v="0.2"/>
    <n v="2"/>
    <n v="1.2737851504176061"/>
    <n v="0.4"/>
    <x v="0"/>
    <n v="0"/>
    <n v="0"/>
    <n v="0.87561313617701186"/>
    <n v="0"/>
    <n v="-4.5000000000000817E-2"/>
  </r>
  <r>
    <x v="1210"/>
    <n v="3.12563821963785"/>
    <n v="4.0199999999999996"/>
    <n v="5"/>
    <n v="0.2"/>
    <n v="3"/>
    <n v="1.898912794345176"/>
    <n v="0.60000000000000009"/>
    <x v="0"/>
    <n v="0"/>
    <n v="0"/>
    <n v="0.87561313617701186"/>
    <n v="0"/>
    <n v="-4.5000000000000817E-2"/>
  </r>
  <r>
    <x v="1211"/>
    <n v="3.11144834473152"/>
    <n v="4.0199999999999996"/>
    <n v="6"/>
    <n v="0.2"/>
    <n v="4"/>
    <n v="2.52120246329148"/>
    <n v="0.8"/>
    <x v="0"/>
    <n v="0"/>
    <n v="0"/>
    <n v="0.87561313617701186"/>
    <n v="0"/>
    <n v="-4.5000000000000817E-2"/>
  </r>
  <r>
    <x v="1212"/>
    <n v="3.06145355695508"/>
    <n v="4.0199999999999996"/>
    <n v="7"/>
    <n v="0.2"/>
    <n v="5"/>
    <n v="3.1334931746824961"/>
    <n v="1"/>
    <x v="1"/>
    <n v="3.1334931746824961"/>
    <n v="0.88650682531750347"/>
    <n v="0.88650682531750347"/>
    <n v="1.0893689140491603E-2"/>
    <n v="-4.5000000000000817E-2"/>
  </r>
  <r>
    <x v="1213"/>
    <n v="3.1159737913786199"/>
    <n v="4.0250000000000004"/>
    <n v="1"/>
    <n v="0.2"/>
    <n v="1"/>
    <n v="0.62319475827572401"/>
    <n v="0.2"/>
    <x v="0"/>
    <n v="0"/>
    <n v="0"/>
    <n v="0.88650682531750347"/>
    <n v="0"/>
    <n v="5.0000000000007816E-3"/>
  </r>
  <r>
    <x v="1214"/>
    <n v="3.1266954027246601"/>
    <n v="4.0250000000000004"/>
    <n v="2"/>
    <n v="0.2"/>
    <n v="2"/>
    <n v="1.2485338388206562"/>
    <n v="0.4"/>
    <x v="0"/>
    <n v="0"/>
    <n v="0"/>
    <n v="0.88650682531750347"/>
    <n v="0"/>
    <n v="5.0000000000007816E-3"/>
  </r>
  <r>
    <x v="1215"/>
    <n v="3.14587454818964"/>
    <n v="4.0250000000000004"/>
    <n v="5"/>
    <n v="0.2"/>
    <n v="3"/>
    <n v="1.8777087484585842"/>
    <n v="0.60000000000000009"/>
    <x v="0"/>
    <n v="0"/>
    <n v="0"/>
    <n v="0.88650682531750347"/>
    <n v="0"/>
    <n v="5.0000000000007816E-3"/>
  </r>
  <r>
    <x v="1216"/>
    <n v="3.1762657063573001"/>
    <n v="4.0250000000000004"/>
    <n v="6"/>
    <n v="0.2"/>
    <n v="4"/>
    <n v="2.5129618897300441"/>
    <n v="0.8"/>
    <x v="0"/>
    <n v="0"/>
    <n v="0"/>
    <n v="0.88650682531750347"/>
    <n v="0"/>
    <n v="5.0000000000007816E-3"/>
  </r>
  <r>
    <x v="1217"/>
    <n v="3.2164698384240098"/>
    <n v="4.0250000000000004"/>
    <n v="7"/>
    <n v="0.2"/>
    <n v="5"/>
    <n v="3.156255857414846"/>
    <n v="1"/>
    <x v="1"/>
    <n v="3.156255857414846"/>
    <n v="0.86874414258515431"/>
    <n v="0.86874414258515431"/>
    <n v="-1.7762682732349155E-2"/>
    <n v="5.0000000000007816E-3"/>
  </r>
  <r>
    <x v="1218"/>
    <n v="3.1651345268873601"/>
    <n v="4.0350000000000001"/>
    <n v="1"/>
    <n v="0.2"/>
    <n v="1"/>
    <n v="0.63302690537747208"/>
    <n v="0.2"/>
    <x v="0"/>
    <n v="0"/>
    <n v="0"/>
    <n v="0.86874414258515431"/>
    <n v="0"/>
    <n v="9.9999999999997868E-3"/>
  </r>
  <r>
    <x v="1219"/>
    <n v="3.1413763100515402"/>
    <n v="4.0350000000000001"/>
    <n v="2"/>
    <n v="0.2"/>
    <n v="2"/>
    <n v="1.2613021673877802"/>
    <n v="0.4"/>
    <x v="0"/>
    <n v="0"/>
    <n v="0"/>
    <n v="0.86874414258515431"/>
    <n v="0"/>
    <n v="9.9999999999997868E-3"/>
  </r>
  <r>
    <x v="1220"/>
    <n v="3.15611019744426"/>
    <n v="4.0350000000000001"/>
    <n v="6"/>
    <n v="0.2"/>
    <n v="3"/>
    <n v="1.8925242068766321"/>
    <n v="0.60000000000000009"/>
    <x v="0"/>
    <n v="0"/>
    <n v="0"/>
    <n v="0.86874414258515431"/>
    <n v="0"/>
    <n v="9.9999999999997868E-3"/>
  </r>
  <r>
    <x v="1221"/>
    <n v="3.1530775330962602"/>
    <n v="4.0350000000000001"/>
    <n v="7"/>
    <n v="0.2"/>
    <n v="4"/>
    <n v="2.5231397134958842"/>
    <n v="0.8"/>
    <x v="1"/>
    <n v="3.153924641869855"/>
    <n v="0.88107535813014515"/>
    <n v="0.88107535813014515"/>
    <n v="1.2331215544990837E-2"/>
    <n v="9.9999999999997868E-3"/>
  </r>
  <r>
    <x v="1222"/>
    <n v="3.1200244614852002"/>
    <n v="3.9749999999999996"/>
    <n v="1"/>
    <n v="0.2"/>
    <n v="1"/>
    <n v="0.62400489229704004"/>
    <n v="0.2"/>
    <x v="0"/>
    <n v="0"/>
    <n v="0"/>
    <n v="0.88107535813014515"/>
    <n v="0"/>
    <n v="-6.0000000000000497E-2"/>
  </r>
  <r>
    <x v="1223"/>
    <n v="3.0479406911303002"/>
    <n v="3.9749999999999996"/>
    <n v="2"/>
    <n v="0.2"/>
    <n v="2"/>
    <n v="1.2335930305231"/>
    <n v="0.4"/>
    <x v="0"/>
    <n v="0"/>
    <n v="0"/>
    <n v="0.88107535813014515"/>
    <n v="0"/>
    <n v="-6.0000000000000497E-2"/>
  </r>
  <r>
    <x v="1224"/>
    <n v="3.1104332506902499"/>
    <n v="3.9749999999999996"/>
    <n v="5"/>
    <n v="0.2"/>
    <n v="3"/>
    <n v="1.85567968066115"/>
    <n v="0.60000000000000009"/>
    <x v="0"/>
    <n v="0"/>
    <n v="0"/>
    <n v="0.88107535813014515"/>
    <n v="0"/>
    <n v="-6.0000000000000497E-2"/>
  </r>
  <r>
    <x v="1225"/>
    <n v="3.10342915438406"/>
    <n v="3.9749999999999996"/>
    <n v="6"/>
    <n v="0.2"/>
    <n v="4"/>
    <n v="2.4763655115379621"/>
    <n v="0.8"/>
    <x v="0"/>
    <n v="0"/>
    <n v="0"/>
    <n v="0.88107535813014515"/>
    <n v="0"/>
    <n v="-6.0000000000000497E-2"/>
  </r>
  <r>
    <x v="1226"/>
    <n v="3.20642025134075"/>
    <n v="3.9749999999999996"/>
    <n v="7"/>
    <n v="0.2"/>
    <n v="5"/>
    <n v="3.117649561806112"/>
    <n v="1"/>
    <x v="1"/>
    <n v="3.117649561806112"/>
    <n v="0.85735043819388768"/>
    <n v="0.85735043819388768"/>
    <n v="-2.3724919936257471E-2"/>
    <n v="-6.0000000000000497E-2"/>
  </r>
  <r>
    <x v="1227"/>
    <n v="3.2342757341067498"/>
    <n v="4.085"/>
    <n v="1"/>
    <n v="0.2"/>
    <n v="1"/>
    <n v="0.64685514682135004"/>
    <n v="0.2"/>
    <x v="0"/>
    <n v="0"/>
    <n v="0"/>
    <n v="0.85735043819388768"/>
    <n v="0"/>
    <n v="0.11000000000000032"/>
  </r>
  <r>
    <x v="1228"/>
    <n v="3.2320225363083699"/>
    <n v="4.085"/>
    <n v="2"/>
    <n v="0.2"/>
    <n v="2"/>
    <n v="1.2932596540830241"/>
    <n v="0.4"/>
    <x v="0"/>
    <n v="0"/>
    <n v="0"/>
    <n v="0.85735043819388768"/>
    <n v="0"/>
    <n v="0.11000000000000032"/>
  </r>
  <r>
    <x v="1229"/>
    <n v="3.22523463201723"/>
    <n v="4.085"/>
    <n v="5"/>
    <n v="0.2"/>
    <n v="3"/>
    <n v="1.9383065804864703"/>
    <n v="0.60000000000000009"/>
    <x v="0"/>
    <n v="0"/>
    <n v="0"/>
    <n v="0.85735043819388768"/>
    <n v="0"/>
    <n v="0.11000000000000032"/>
  </r>
  <r>
    <x v="1230"/>
    <n v="3.2431556019799901"/>
    <n v="4.085"/>
    <n v="6"/>
    <n v="0.2"/>
    <n v="4"/>
    <n v="2.5869377008824683"/>
    <n v="0.8"/>
    <x v="0"/>
    <n v="0"/>
    <n v="0"/>
    <n v="0.85735043819388768"/>
    <n v="0"/>
    <n v="0.11000000000000032"/>
  </r>
  <r>
    <x v="1231"/>
    <n v="3.2819752362601502"/>
    <n v="4.085"/>
    <n v="7"/>
    <n v="0.2"/>
    <n v="5"/>
    <n v="3.2433327481344985"/>
    <n v="1"/>
    <x v="1"/>
    <n v="3.2433327481344985"/>
    <n v="0.84166725186550151"/>
    <n v="0.84166725186550151"/>
    <n v="-1.5683186328386167E-2"/>
    <n v="0.11000000000000032"/>
  </r>
  <r>
    <x v="1232"/>
    <n v="3.3406216672638802"/>
    <n v="4.1749999999999998"/>
    <n v="1"/>
    <n v="0.2"/>
    <n v="1"/>
    <n v="0.66812433345277611"/>
    <n v="0.2"/>
    <x v="0"/>
    <n v="0"/>
    <n v="0"/>
    <n v="0.84166725186550151"/>
    <n v="0"/>
    <n v="8.9999999999999858E-2"/>
  </r>
  <r>
    <x v="1233"/>
    <n v="3.3206925533128699"/>
    <n v="4.1749999999999998"/>
    <n v="2"/>
    <n v="0.2"/>
    <n v="2"/>
    <n v="1.3322628441153501"/>
    <n v="0.4"/>
    <x v="0"/>
    <n v="0"/>
    <n v="0"/>
    <n v="0.84166725186550151"/>
    <n v="0"/>
    <n v="8.9999999999999858E-2"/>
  </r>
  <r>
    <x v="1234"/>
    <n v="3.35448233982074"/>
    <n v="4.1749999999999998"/>
    <n v="5"/>
    <n v="0.2"/>
    <n v="3"/>
    <n v="2.0031593120794984"/>
    <n v="0.60000000000000009"/>
    <x v="0"/>
    <n v="0"/>
    <n v="0"/>
    <n v="0.84166725186550151"/>
    <n v="0"/>
    <n v="8.9999999999999858E-2"/>
  </r>
  <r>
    <x v="1235"/>
    <n v="3.3507469979464899"/>
    <n v="4.1749999999999998"/>
    <n v="6"/>
    <n v="0.2"/>
    <n v="4"/>
    <n v="2.6733087116687964"/>
    <n v="0.8"/>
    <x v="0"/>
    <n v="0"/>
    <n v="0"/>
    <n v="0.84166725186550151"/>
    <n v="0"/>
    <n v="8.9999999999999858E-2"/>
  </r>
  <r>
    <x v="1236"/>
    <n v="3.2454530703247602"/>
    <n v="4.1749999999999998"/>
    <n v="7"/>
    <n v="0.2"/>
    <n v="5"/>
    <n v="3.3223993257337483"/>
    <n v="1"/>
    <x v="1"/>
    <n v="3.3223993257337483"/>
    <n v="0.85260067426625152"/>
    <n v="0.85260067426625152"/>
    <n v="1.0933422400750015E-2"/>
    <n v="8.9999999999999858E-2"/>
  </r>
  <r>
    <x v="1237"/>
    <n v="3.2604043069453401"/>
    <n v="4.1050000000000004"/>
    <n v="1"/>
    <n v="0.2"/>
    <n v="1"/>
    <n v="0.65208086138906807"/>
    <n v="0.2"/>
    <x v="0"/>
    <n v="0"/>
    <n v="0"/>
    <n v="0.85260067426625152"/>
    <n v="0"/>
    <n v="-6.9999999999999396E-2"/>
  </r>
  <r>
    <x v="1238"/>
    <n v="3.2371023816739601"/>
    <n v="4.1050000000000004"/>
    <n v="2"/>
    <n v="0.2"/>
    <n v="2"/>
    <n v="1.2995013377238602"/>
    <n v="0.4"/>
    <x v="0"/>
    <n v="0"/>
    <n v="0"/>
    <n v="0.85260067426625152"/>
    <n v="0"/>
    <n v="-6.9999999999999396E-2"/>
  </r>
  <r>
    <x v="1239"/>
    <n v="3.2160937594911698"/>
    <n v="4.1050000000000004"/>
    <n v="5"/>
    <n v="0.2"/>
    <n v="3"/>
    <n v="1.9427200896220942"/>
    <n v="0.60000000000000009"/>
    <x v="0"/>
    <n v="0"/>
    <n v="0"/>
    <n v="0.85260067426625152"/>
    <n v="0"/>
    <n v="-6.9999999999999396E-2"/>
  </r>
  <r>
    <x v="1240"/>
    <n v="3.1691629122543801"/>
    <n v="4.1050000000000004"/>
    <n v="6"/>
    <n v="0.2"/>
    <n v="4"/>
    <n v="2.5765526720729701"/>
    <n v="0.8"/>
    <x v="0"/>
    <n v="0"/>
    <n v="0"/>
    <n v="0.85260067426625152"/>
    <n v="0"/>
    <n v="-6.9999999999999396E-2"/>
  </r>
  <r>
    <x v="1241"/>
    <n v="3.13601308669194"/>
    <n v="4.1050000000000004"/>
    <n v="7"/>
    <n v="0.2"/>
    <n v="5"/>
    <n v="3.2037552894113581"/>
    <n v="1"/>
    <x v="1"/>
    <n v="3.2037552894113581"/>
    <n v="0.90124471058864231"/>
    <n v="0.90124471058864231"/>
    <n v="4.8644036322390782E-2"/>
    <n v="-6.9999999999999396E-2"/>
  </r>
  <r>
    <x v="1242"/>
    <n v="3.16228142903738"/>
    <n v="4.0149999999999997"/>
    <n v="1"/>
    <n v="0.2"/>
    <n v="1"/>
    <n v="0.63245628580747604"/>
    <n v="0.2"/>
    <x v="0"/>
    <n v="0"/>
    <n v="0"/>
    <n v="0.90124471058864231"/>
    <n v="0"/>
    <n v="-9.0000000000000746E-2"/>
  </r>
  <r>
    <x v="1243"/>
    <n v="3.1557690807885401"/>
    <n v="4.0149999999999997"/>
    <n v="2"/>
    <n v="0.2"/>
    <n v="2"/>
    <n v="1.2636101019651842"/>
    <n v="0.4"/>
    <x v="0"/>
    <n v="0"/>
    <n v="0"/>
    <n v="0.90124471058864231"/>
    <n v="0"/>
    <n v="-9.0000000000000746E-2"/>
  </r>
  <r>
    <x v="1244"/>
    <n v="3.12573819371962"/>
    <n v="4.0149999999999997"/>
    <n v="5"/>
    <n v="0.2"/>
    <n v="3"/>
    <n v="1.8887577407091083"/>
    <n v="0.60000000000000009"/>
    <x v="0"/>
    <n v="0"/>
    <n v="0"/>
    <n v="0.90124471058864231"/>
    <n v="0"/>
    <n v="-9.0000000000000746E-2"/>
  </r>
  <r>
    <x v="1245"/>
    <n v="3.17921056091257"/>
    <n v="4.0149999999999997"/>
    <n v="6"/>
    <n v="0.2"/>
    <n v="4"/>
    <n v="2.5245998528916225"/>
    <n v="0.8"/>
    <x v="0"/>
    <n v="0"/>
    <n v="0"/>
    <n v="0.90124471058864231"/>
    <n v="0"/>
    <n v="-9.0000000000000746E-2"/>
  </r>
  <r>
    <x v="1246"/>
    <n v="3.14154244535563"/>
    <n v="4.0149999999999997"/>
    <n v="7"/>
    <n v="0.2"/>
    <n v="5"/>
    <n v="3.1529083419627484"/>
    <n v="1"/>
    <x v="1"/>
    <n v="3.1529083419627484"/>
    <n v="0.8620916580372513"/>
    <n v="0.8620916580372513"/>
    <n v="-3.915305255139101E-2"/>
    <n v="-9.0000000000000746E-2"/>
  </r>
  <r>
    <x v="1247"/>
    <n v="3.1654132061037701"/>
    <n v="3.9749999999999996"/>
    <n v="1"/>
    <n v="0.2"/>
    <n v="1"/>
    <n v="0.63308264122075408"/>
    <n v="0.2"/>
    <x v="0"/>
    <n v="0"/>
    <n v="0"/>
    <n v="0.8620916580372513"/>
    <n v="0"/>
    <n v="-4.0000000000000036E-2"/>
  </r>
  <r>
    <x v="1248"/>
    <n v="3.1464660335213801"/>
    <n v="3.9749999999999996"/>
    <n v="2"/>
    <n v="0.2"/>
    <n v="2"/>
    <n v="1.2623758479250302"/>
    <n v="0.4"/>
    <x v="0"/>
    <n v="0"/>
    <n v="0"/>
    <n v="0.8620916580372513"/>
    <n v="0"/>
    <n v="-4.0000000000000036E-2"/>
  </r>
  <r>
    <x v="1249"/>
    <n v="3.0927700686783002"/>
    <n v="3.9749999999999996"/>
    <n v="5"/>
    <n v="0.2"/>
    <n v="3"/>
    <n v="1.8809298616606904"/>
    <n v="0.60000000000000009"/>
    <x v="0"/>
    <n v="0"/>
    <n v="0"/>
    <n v="0.8620916580372513"/>
    <n v="0"/>
    <n v="-4.0000000000000036E-2"/>
  </r>
  <r>
    <x v="1250"/>
    <n v="3.0853787320257"/>
    <n v="3.9749999999999996"/>
    <n v="6"/>
    <n v="0.2"/>
    <n v="4"/>
    <n v="2.4980056080658306"/>
    <n v="0.8"/>
    <x v="0"/>
    <n v="0"/>
    <n v="0"/>
    <n v="0.8620916580372513"/>
    <n v="0"/>
    <n v="-4.0000000000000036E-2"/>
  </r>
  <r>
    <x v="1251"/>
    <n v="3.0998224631634499"/>
    <n v="3.9749999999999996"/>
    <n v="7"/>
    <n v="0.2"/>
    <n v="5"/>
    <n v="3.1179701006985208"/>
    <n v="1"/>
    <x v="1"/>
    <n v="3.1179701006985208"/>
    <n v="0.85702989930147888"/>
    <n v="0.85702989930147888"/>
    <n v="-5.0617587357724148E-3"/>
    <n v="-4.0000000000000036E-2"/>
  </r>
  <r>
    <x v="1252"/>
    <n v="3.0807227057386499"/>
    <n v="3.9550000000000001"/>
    <n v="1"/>
    <n v="0.2"/>
    <n v="1"/>
    <n v="0.61614454114772998"/>
    <n v="0.2"/>
    <x v="0"/>
    <n v="0"/>
    <n v="0"/>
    <n v="0.85702989930147888"/>
    <n v="0"/>
    <n v="-1.9999999999999574E-2"/>
  </r>
  <r>
    <x v="1253"/>
    <n v="3.1209189236978601"/>
    <n v="3.9550000000000001"/>
    <n v="2"/>
    <n v="0.2"/>
    <n v="2"/>
    <n v="1.2403283258873019"/>
    <n v="0.4"/>
    <x v="0"/>
    <n v="0"/>
    <n v="0"/>
    <n v="0.85702989930147888"/>
    <n v="0"/>
    <n v="-1.9999999999999574E-2"/>
  </r>
  <r>
    <x v="1254"/>
    <n v="3.1141964081853302"/>
    <n v="3.9550000000000001"/>
    <n v="5"/>
    <n v="0.2"/>
    <n v="3"/>
    <n v="1.8631676075243679"/>
    <n v="0.60000000000000009"/>
    <x v="0"/>
    <n v="0"/>
    <n v="0"/>
    <n v="0.85702989930147888"/>
    <n v="0"/>
    <n v="-1.9999999999999574E-2"/>
  </r>
  <r>
    <x v="1255"/>
    <n v="3.0374940248305098"/>
    <n v="3.9550000000000001"/>
    <n v="6"/>
    <n v="0.2"/>
    <n v="4"/>
    <n v="2.4706664124904698"/>
    <n v="0.8"/>
    <x v="0"/>
    <n v="0"/>
    <n v="0"/>
    <n v="0.85702989930147888"/>
    <n v="0"/>
    <n v="-1.9999999999999574E-2"/>
  </r>
  <r>
    <x v="1256"/>
    <n v="3.0385942417440401"/>
    <n v="3.9550000000000001"/>
    <n v="7"/>
    <n v="0.2"/>
    <n v="5"/>
    <n v="3.0783852608392781"/>
    <n v="1"/>
    <x v="1"/>
    <n v="3.0783852608392781"/>
    <n v="0.87661473916072197"/>
    <n v="0.87661473916072197"/>
    <n v="1.9584839859243086E-2"/>
    <n v="-1.9999999999999574E-2"/>
  </r>
  <r>
    <x v="1257"/>
    <n v="2.9754212603526402"/>
    <n v="3.8450000000000002"/>
    <n v="1"/>
    <n v="0.2"/>
    <n v="1"/>
    <n v="0.59508425207052806"/>
    <n v="0.2"/>
    <x v="0"/>
    <n v="0"/>
    <n v="0"/>
    <n v="0.87661473916072197"/>
    <n v="0"/>
    <n v="-0.10999999999999988"/>
  </r>
  <r>
    <x v="1258"/>
    <n v="2.98409934955184"/>
    <n v="3.8450000000000002"/>
    <n v="5"/>
    <n v="0.2"/>
    <n v="2"/>
    <n v="1.1919041219808961"/>
    <n v="0.4"/>
    <x v="0"/>
    <n v="0"/>
    <n v="0"/>
    <n v="0.87661473916072197"/>
    <n v="0"/>
    <n v="-0.10999999999999988"/>
  </r>
  <r>
    <x v="1259"/>
    <n v="2.9250473100689098"/>
    <n v="3.8450000000000002"/>
    <n v="6"/>
    <n v="0.2"/>
    <n v="3"/>
    <n v="1.7769135839946781"/>
    <n v="0.60000000000000009"/>
    <x v="0"/>
    <n v="0"/>
    <n v="0"/>
    <n v="0.87661473916072197"/>
    <n v="0"/>
    <n v="-0.10999999999999988"/>
  </r>
  <r>
    <x v="1260"/>
    <n v="2.9490872231359599"/>
    <n v="3.8450000000000002"/>
    <n v="7"/>
    <n v="0.2"/>
    <n v="4"/>
    <n v="2.3667310286218699"/>
    <n v="0.8"/>
    <x v="1"/>
    <n v="2.9584137857773372"/>
    <n v="0.88658621422266304"/>
    <n v="0.88658621422266304"/>
    <n v="9.9714750619410708E-3"/>
    <n v="-0.10999999999999988"/>
  </r>
  <r>
    <x v="1261"/>
    <n v="2.98817605273842"/>
    <n v="3.9050000000000002"/>
    <n v="1"/>
    <n v="0.2"/>
    <n v="1"/>
    <n v="0.59763521054768398"/>
    <n v="0.2"/>
    <x v="0"/>
    <n v="0"/>
    <n v="0"/>
    <n v="0.88658621422266304"/>
    <n v="0"/>
    <n v="6.0000000000000053E-2"/>
  </r>
  <r>
    <x v="1262"/>
    <n v="2.9809859854313698"/>
    <n v="3.9050000000000002"/>
    <n v="2"/>
    <n v="0.2"/>
    <n v="2"/>
    <n v="1.1938324076339579"/>
    <n v="0.4"/>
    <x v="0"/>
    <n v="0"/>
    <n v="0"/>
    <n v="0.88658621422266304"/>
    <n v="0"/>
    <n v="6.0000000000000053E-2"/>
  </r>
  <r>
    <x v="1263"/>
    <n v="3.0169909715329202"/>
    <n v="3.9050000000000002"/>
    <n v="5"/>
    <n v="0.2"/>
    <n v="3"/>
    <n v="1.797230601940542"/>
    <n v="0.60000000000000009"/>
    <x v="0"/>
    <n v="0"/>
    <n v="0"/>
    <n v="0.88658621422266304"/>
    <n v="0"/>
    <n v="6.0000000000000053E-2"/>
  </r>
  <r>
    <x v="1264"/>
    <n v="3.0874346795919401"/>
    <n v="3.9050000000000002"/>
    <n v="6"/>
    <n v="0.2"/>
    <n v="4"/>
    <n v="2.4147175378589303"/>
    <n v="0.8"/>
    <x v="0"/>
    <n v="0"/>
    <n v="0"/>
    <n v="0.88658621422266304"/>
    <n v="0"/>
    <n v="6.0000000000000053E-2"/>
  </r>
  <r>
    <x v="1265"/>
    <n v="3.0602135791338601"/>
    <n v="3.9050000000000002"/>
    <n v="7"/>
    <n v="0.2"/>
    <n v="5"/>
    <n v="3.0267602536857021"/>
    <n v="1"/>
    <x v="1"/>
    <n v="3.0267602536857021"/>
    <n v="0.87823974631429813"/>
    <n v="0.87823974631429813"/>
    <n v="-8.3464679083649074E-3"/>
    <n v="6.0000000000000053E-2"/>
  </r>
  <r>
    <x v="1266"/>
    <n v="3.0345757133158"/>
    <n v="3.8949999999999996"/>
    <n v="1"/>
    <n v="0.2"/>
    <n v="1"/>
    <n v="0.60691514266316005"/>
    <n v="0.2"/>
    <x v="0"/>
    <n v="0"/>
    <n v="0"/>
    <n v="0.87823974631429813"/>
    <n v="0"/>
    <n v="-1.0000000000000675E-2"/>
  </r>
  <r>
    <x v="1267"/>
    <n v="3.0168102354422901"/>
    <n v="3.8949999999999996"/>
    <n v="2"/>
    <n v="0.2"/>
    <n v="2"/>
    <n v="1.210277189751618"/>
    <n v="0.4"/>
    <x v="0"/>
    <n v="0"/>
    <n v="0"/>
    <n v="0.87823974631429813"/>
    <n v="0"/>
    <n v="-1.0000000000000675E-2"/>
  </r>
  <r>
    <x v="1268"/>
    <n v="3.0580560556291201"/>
    <n v="3.8949999999999996"/>
    <n v="5"/>
    <n v="0.2"/>
    <n v="3"/>
    <n v="1.8218884008774421"/>
    <n v="0.60000000000000009"/>
    <x v="0"/>
    <n v="0"/>
    <n v="0"/>
    <n v="0.87823974631429813"/>
    <n v="0"/>
    <n v="-1.0000000000000675E-2"/>
  </r>
  <r>
    <x v="1269"/>
    <n v="3.02195489821497"/>
    <n v="3.8949999999999996"/>
    <n v="6"/>
    <n v="0.2"/>
    <n v="4"/>
    <n v="2.4262793805204361"/>
    <n v="0.8"/>
    <x v="0"/>
    <n v="0"/>
    <n v="0"/>
    <n v="0.87823974631429813"/>
    <n v="0"/>
    <n v="-1.0000000000000675E-2"/>
  </r>
  <r>
    <x v="1270"/>
    <n v="3.04669100104817"/>
    <n v="3.8949999999999996"/>
    <n v="7"/>
    <n v="0.2"/>
    <n v="5"/>
    <n v="3.03561758073007"/>
    <n v="1"/>
    <x v="1"/>
    <n v="3.03561758073007"/>
    <n v="0.85938241926992953"/>
    <n v="0.85938241926992953"/>
    <n v="-1.8857327044368599E-2"/>
    <n v="-1.0000000000000675E-2"/>
  </r>
  <r>
    <x v="1271"/>
    <n v="3.0837456473004301"/>
    <n v="3.9249999999999998"/>
    <n v="1"/>
    <n v="0.2"/>
    <n v="1"/>
    <n v="0.61674912946008609"/>
    <n v="0.2"/>
    <x v="0"/>
    <n v="0"/>
    <n v="0"/>
    <n v="0.85938241926992953"/>
    <n v="0"/>
    <n v="3.0000000000000249E-2"/>
  </r>
  <r>
    <x v="1272"/>
    <n v="3.07550277889916"/>
    <n v="3.9249999999999998"/>
    <n v="2"/>
    <n v="0.2"/>
    <n v="2"/>
    <n v="1.2318496852399181"/>
    <n v="0.4"/>
    <x v="0"/>
    <n v="0"/>
    <n v="0"/>
    <n v="0.85938241926992953"/>
    <n v="0"/>
    <n v="3.0000000000000249E-2"/>
  </r>
  <r>
    <x v="1273"/>
    <n v="3.0924935285971999"/>
    <n v="3.9249999999999998"/>
    <n v="5"/>
    <n v="0.2"/>
    <n v="3"/>
    <n v="1.8503483909593581"/>
    <n v="0.60000000000000009"/>
    <x v="0"/>
    <n v="0"/>
    <n v="0"/>
    <n v="0.85938241926992953"/>
    <n v="0"/>
    <n v="3.0000000000000249E-2"/>
  </r>
  <r>
    <x v="1274"/>
    <n v="3.1238691664051901"/>
    <n v="3.9249999999999998"/>
    <n v="6"/>
    <n v="0.2"/>
    <n v="4"/>
    <n v="2.4751222242403963"/>
    <n v="0.8"/>
    <x v="0"/>
    <n v="0"/>
    <n v="0"/>
    <n v="0.85938241926992953"/>
    <n v="0"/>
    <n v="3.0000000000000249E-2"/>
  </r>
  <r>
    <x v="1275"/>
    <n v="3.1370226273665902"/>
    <n v="3.9249999999999998"/>
    <n v="7"/>
    <n v="0.2"/>
    <n v="5"/>
    <n v="3.1025267497137143"/>
    <n v="1"/>
    <x v="1"/>
    <n v="3.1025267497137143"/>
    <n v="0.82247325028628548"/>
    <n v="0.82247325028628548"/>
    <n v="-3.6909168983644047E-2"/>
    <n v="3.0000000000000249E-2"/>
  </r>
  <r>
    <x v="1276"/>
    <n v="3.13354455783506"/>
    <n v="3.8949999999999996"/>
    <n v="1"/>
    <n v="0.2"/>
    <n v="1"/>
    <n v="0.62670891156701203"/>
    <n v="0.2"/>
    <x v="0"/>
    <n v="0"/>
    <n v="0"/>
    <n v="0.82247325028628548"/>
    <n v="0"/>
    <n v="-3.0000000000000249E-2"/>
  </r>
  <r>
    <x v="1277"/>
    <n v="3.0503961031254101"/>
    <n v="3.8949999999999996"/>
    <n v="2"/>
    <n v="0.2"/>
    <n v="2"/>
    <n v="1.2367881321920939"/>
    <n v="0.4"/>
    <x v="0"/>
    <n v="0"/>
    <n v="0"/>
    <n v="0.82247325028628548"/>
    <n v="0"/>
    <n v="-3.0000000000000249E-2"/>
  </r>
  <r>
    <x v="1278"/>
    <n v="3.0540256886172599"/>
    <n v="3.8949999999999996"/>
    <n v="5"/>
    <n v="0.2"/>
    <n v="3"/>
    <n v="1.847593269915546"/>
    <n v="0.60000000000000009"/>
    <x v="0"/>
    <n v="0"/>
    <n v="0"/>
    <n v="0.82247325028628548"/>
    <n v="0"/>
    <n v="-3.0000000000000249E-2"/>
  </r>
  <r>
    <x v="1279"/>
    <n v="3.0367748690923499"/>
    <n v="3.8949999999999996"/>
    <n v="6"/>
    <n v="0.2"/>
    <n v="4"/>
    <n v="2.454948243734016"/>
    <n v="0.8"/>
    <x v="0"/>
    <n v="0"/>
    <n v="0"/>
    <n v="0.82247325028628548"/>
    <n v="0"/>
    <n v="-3.0000000000000249E-2"/>
  </r>
  <r>
    <x v="1280"/>
    <n v="2.9255759416218798"/>
    <n v="3.8949999999999996"/>
    <n v="7"/>
    <n v="0.2"/>
    <n v="5"/>
    <n v="3.0400634320583921"/>
    <n v="1"/>
    <x v="1"/>
    <n v="3.0400634320583921"/>
    <n v="0.85493656794160744"/>
    <n v="0.85493656794160744"/>
    <n v="3.2463317655321955E-2"/>
    <n v="-3.0000000000000249E-2"/>
  </r>
  <r>
    <x v="1281"/>
    <n v="2.96077919351512"/>
    <n v="3.8250000000000002"/>
    <n v="1"/>
    <n v="0.2"/>
    <n v="1"/>
    <n v="0.59215583870302402"/>
    <n v="0.2"/>
    <x v="0"/>
    <n v="0"/>
    <n v="0"/>
    <n v="0.85493656794160744"/>
    <n v="0"/>
    <n v="-6.9999999999999396E-2"/>
  </r>
  <r>
    <x v="1282"/>
    <n v="2.9772059927121801"/>
    <n v="3.8250000000000002"/>
    <n v="2"/>
    <n v="0.2"/>
    <n v="2"/>
    <n v="1.1875970372454601"/>
    <n v="0.4"/>
    <x v="0"/>
    <n v="0"/>
    <n v="0"/>
    <n v="0.85493656794160744"/>
    <n v="0"/>
    <n v="-6.9999999999999396E-2"/>
  </r>
  <r>
    <x v="1283"/>
    <n v="2.98253297919802"/>
    <n v="3.8250000000000002"/>
    <n v="5"/>
    <n v="0.2"/>
    <n v="3"/>
    <n v="1.7841036330850639"/>
    <n v="0.60000000000000009"/>
    <x v="0"/>
    <n v="0"/>
    <n v="0"/>
    <n v="0.85493656794160744"/>
    <n v="0"/>
    <n v="-6.9999999999999396E-2"/>
  </r>
  <r>
    <x v="1284"/>
    <n v="3.0058699919752301"/>
    <n v="3.8250000000000002"/>
    <n v="6"/>
    <n v="0.2"/>
    <n v="4"/>
    <n v="2.3852776314801099"/>
    <n v="0.8"/>
    <x v="0"/>
    <n v="0"/>
    <n v="0"/>
    <n v="0.85493656794160744"/>
    <n v="0"/>
    <n v="-6.9999999999999396E-2"/>
  </r>
  <r>
    <x v="1285"/>
    <n v="2.9850094443117499"/>
    <n v="3.8250000000000002"/>
    <n v="7"/>
    <n v="0.2"/>
    <n v="5"/>
    <n v="2.9822795203424599"/>
    <n v="1"/>
    <x v="1"/>
    <n v="2.9822795203424599"/>
    <n v="0.84272047965754027"/>
    <n v="0.84272047965754027"/>
    <n v="-1.2216088284067173E-2"/>
    <n v="-6.9999999999999396E-2"/>
  </r>
  <r>
    <x v="1286"/>
    <n v="2.9655991684288501"/>
    <n v="3.8149999999999999"/>
    <n v="1"/>
    <n v="0.2"/>
    <n v="1"/>
    <n v="0.59311983368577004"/>
    <n v="0.2"/>
    <x v="0"/>
    <n v="0"/>
    <n v="0"/>
    <n v="0.84272047965754027"/>
    <n v="0"/>
    <n v="-1.0000000000000231E-2"/>
  </r>
  <r>
    <x v="1287"/>
    <n v="2.9675370068735298"/>
    <n v="3.8149999999999999"/>
    <n v="2"/>
    <n v="0.2"/>
    <n v="2"/>
    <n v="1.1866272350604761"/>
    <n v="0.4"/>
    <x v="0"/>
    <n v="0"/>
    <n v="0"/>
    <n v="0.84272047965754027"/>
    <n v="0"/>
    <n v="-1.0000000000000231E-2"/>
  </r>
  <r>
    <x v="1288"/>
    <n v="2.9372545764826601"/>
    <n v="3.8149999999999999"/>
    <n v="6"/>
    <n v="0.2"/>
    <n v="3"/>
    <n v="1.774078150357008"/>
    <n v="0.60000000000000009"/>
    <x v="0"/>
    <n v="0"/>
    <n v="0"/>
    <n v="0.84272047965754027"/>
    <n v="0"/>
    <n v="-1.0000000000000231E-2"/>
  </r>
  <r>
    <x v="1289"/>
    <n v="2.9230211048442398"/>
    <n v="3.8149999999999999"/>
    <n v="7"/>
    <n v="0.2"/>
    <n v="4"/>
    <n v="2.3586823713258562"/>
    <n v="0.8"/>
    <x v="1"/>
    <n v="2.9483529641573201"/>
    <n v="0.86664703584267988"/>
    <n v="0.86664703584267988"/>
    <n v="2.3926556185139614E-2"/>
    <n v="-1.0000000000000231E-2"/>
  </r>
  <r>
    <x v="1290"/>
    <n v="2.9488855063004098"/>
    <n v="3.7650000000000001"/>
    <n v="1"/>
    <n v="0.2"/>
    <n v="1"/>
    <n v="0.58977710126008198"/>
    <n v="0.2"/>
    <x v="0"/>
    <n v="0"/>
    <n v="0"/>
    <n v="0.86664703584267988"/>
    <n v="0"/>
    <n v="-4.9999999999999822E-2"/>
  </r>
  <r>
    <x v="1291"/>
    <n v="2.90078451779174"/>
    <n v="3.7650000000000001"/>
    <n v="2"/>
    <n v="0.2"/>
    <n v="2"/>
    <n v="1.1699340048184301"/>
    <n v="0.4"/>
    <x v="0"/>
    <n v="0"/>
    <n v="0"/>
    <n v="0.86664703584267988"/>
    <n v="0"/>
    <n v="-4.9999999999999822E-2"/>
  </r>
  <r>
    <x v="1292"/>
    <n v="2.9134061518930401"/>
    <n v="3.7650000000000001"/>
    <n v="5"/>
    <n v="0.2"/>
    <n v="3"/>
    <n v="1.7526152351970383"/>
    <n v="0.60000000000000009"/>
    <x v="0"/>
    <n v="0"/>
    <n v="0"/>
    <n v="0.86664703584267988"/>
    <n v="0"/>
    <n v="-4.9999999999999822E-2"/>
  </r>
  <r>
    <x v="1293"/>
    <n v="2.87725867553146"/>
    <n v="3.7650000000000001"/>
    <n v="6"/>
    <n v="0.2"/>
    <n v="4"/>
    <n v="2.3280669703033303"/>
    <n v="0.8"/>
    <x v="0"/>
    <n v="0"/>
    <n v="0"/>
    <n v="0.86664703584267988"/>
    <n v="0"/>
    <n v="-4.9999999999999822E-2"/>
  </r>
  <r>
    <x v="1294"/>
    <n v="2.9007963657703"/>
    <n v="3.7650000000000001"/>
    <n v="7"/>
    <n v="0.2"/>
    <n v="5"/>
    <n v="2.9082262434573902"/>
    <n v="1"/>
    <x v="1"/>
    <n v="2.9082262434573902"/>
    <n v="0.8567737565426099"/>
    <n v="0.8567737565426099"/>
    <n v="-9.8732793000699814E-3"/>
    <n v="-4.9999999999999822E-2"/>
  </r>
  <r>
    <x v="1295"/>
    <n v="2.90843617288568"/>
    <n v="3.7850000000000001"/>
    <n v="1"/>
    <n v="0.2"/>
    <n v="1"/>
    <n v="0.581687234577136"/>
    <n v="0.2"/>
    <x v="0"/>
    <n v="0"/>
    <n v="0"/>
    <n v="0.8567737565426099"/>
    <n v="0"/>
    <n v="2.0000000000000018E-2"/>
  </r>
  <r>
    <x v="1296"/>
    <n v="2.9249537323478201"/>
    <n v="3.7850000000000001"/>
    <n v="2"/>
    <n v="0.2"/>
    <n v="2"/>
    <n v="1.1666779810467001"/>
    <n v="0.4"/>
    <x v="0"/>
    <n v="0"/>
    <n v="0"/>
    <n v="0.8567737565426099"/>
    <n v="0"/>
    <n v="2.0000000000000018E-2"/>
  </r>
  <r>
    <x v="1297"/>
    <n v="2.94258560480931"/>
    <n v="3.7850000000000001"/>
    <n v="5"/>
    <n v="0.2"/>
    <n v="3"/>
    <n v="1.7551951020085621"/>
    <n v="0.60000000000000009"/>
    <x v="0"/>
    <n v="0"/>
    <n v="0"/>
    <n v="0.8567737565426099"/>
    <n v="0"/>
    <n v="2.0000000000000018E-2"/>
  </r>
  <r>
    <x v="1298"/>
    <n v="2.9398654916265299"/>
    <n v="3.7850000000000001"/>
    <n v="6"/>
    <n v="0.2"/>
    <n v="4"/>
    <n v="2.3431682003338681"/>
    <n v="0.8"/>
    <x v="0"/>
    <n v="0"/>
    <n v="0"/>
    <n v="0.8567737565426099"/>
    <n v="0"/>
    <n v="2.0000000000000018E-2"/>
  </r>
  <r>
    <x v="1299"/>
    <n v="2.8752948215848"/>
    <n v="3.7850000000000001"/>
    <n v="7"/>
    <n v="0.2"/>
    <n v="5"/>
    <n v="2.918227164650828"/>
    <n v="1"/>
    <x v="1"/>
    <n v="2.918227164650828"/>
    <n v="0.86677283534917215"/>
    <n v="0.86677283534917215"/>
    <n v="9.999078806562256E-3"/>
    <n v="2.0000000000000018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275" firstHeaderRow="0" firstDataRow="1" firstDataCol="1" rowPageCount="1" colPageCount="1"/>
  <pivotFields count="14">
    <pivotField axis="axisRow" showAll="0" sortType="ascending">
      <items count="1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Page" showAll="0" defaultSubtotal="0">
      <items count="2">
        <item x="0"/>
        <item x="1"/>
      </items>
    </pivotField>
    <pivotField showAll="0"/>
    <pivotField dataField="1" multipleItemSelectionAllowed="1" showAll="0"/>
    <pivotField showAll="0" defaultSubtotal="0"/>
    <pivotField showAll="0" defaultSubtotal="0"/>
    <pivotField showAll="0" defaultSubtotal="0"/>
  </pivotFields>
  <rowFields count="1">
    <field x="0"/>
  </rowFields>
  <rowItems count="272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9"/>
    </i>
    <i>
      <x v="163"/>
    </i>
    <i>
      <x v="168"/>
    </i>
    <i>
      <x v="173"/>
    </i>
    <i>
      <x v="178"/>
    </i>
    <i>
      <x v="182"/>
    </i>
    <i>
      <x v="186"/>
    </i>
    <i>
      <x v="191"/>
    </i>
    <i>
      <x v="196"/>
    </i>
    <i>
      <x v="200"/>
    </i>
    <i>
      <x v="205"/>
    </i>
    <i>
      <x v="210"/>
    </i>
    <i>
      <x v="215"/>
    </i>
    <i>
      <x v="219"/>
    </i>
    <i>
      <x v="224"/>
    </i>
    <i>
      <x v="229"/>
    </i>
    <i>
      <x v="234"/>
    </i>
    <i>
      <x v="239"/>
    </i>
    <i>
      <x v="244"/>
    </i>
    <i>
      <x v="248"/>
    </i>
    <i>
      <x v="253"/>
    </i>
    <i>
      <x v="258"/>
    </i>
    <i>
      <x v="263"/>
    </i>
    <i>
      <x v="268"/>
    </i>
    <i>
      <x v="273"/>
    </i>
    <i>
      <x v="278"/>
    </i>
    <i>
      <x v="283"/>
    </i>
    <i>
      <x v="287"/>
    </i>
    <i>
      <x v="292"/>
    </i>
    <i>
      <x v="297"/>
    </i>
    <i>
      <x v="302"/>
    </i>
    <i>
      <x v="307"/>
    </i>
    <i>
      <x v="312"/>
    </i>
    <i>
      <x v="316"/>
    </i>
    <i>
      <x v="321"/>
    </i>
    <i>
      <x v="326"/>
    </i>
    <i>
      <x v="331"/>
    </i>
    <i>
      <x v="336"/>
    </i>
    <i>
      <x v="341"/>
    </i>
    <i>
      <x v="346"/>
    </i>
    <i>
      <x v="351"/>
    </i>
    <i>
      <x v="355"/>
    </i>
    <i>
      <x v="360"/>
    </i>
    <i>
      <x v="365"/>
    </i>
    <i>
      <x v="370"/>
    </i>
    <i>
      <x v="375"/>
    </i>
    <i>
      <x v="380"/>
    </i>
    <i>
      <x v="384"/>
    </i>
    <i>
      <x v="389"/>
    </i>
    <i>
      <x v="394"/>
    </i>
    <i>
      <x v="399"/>
    </i>
    <i>
      <x v="403"/>
    </i>
    <i>
      <x v="408"/>
    </i>
    <i>
      <x v="413"/>
    </i>
    <i>
      <x v="417"/>
    </i>
    <i>
      <x v="422"/>
    </i>
    <i>
      <x v="427"/>
    </i>
    <i>
      <x v="431"/>
    </i>
    <i>
      <x v="435"/>
    </i>
    <i>
      <x v="440"/>
    </i>
    <i>
      <x v="445"/>
    </i>
    <i>
      <x v="449"/>
    </i>
    <i>
      <x v="454"/>
    </i>
    <i>
      <x v="459"/>
    </i>
    <i>
      <x v="464"/>
    </i>
    <i>
      <x v="468"/>
    </i>
    <i>
      <x v="473"/>
    </i>
    <i>
      <x v="478"/>
    </i>
    <i>
      <x v="483"/>
    </i>
    <i>
      <x v="488"/>
    </i>
    <i>
      <x v="493"/>
    </i>
    <i>
      <x v="498"/>
    </i>
    <i>
      <x v="503"/>
    </i>
    <i>
      <x v="508"/>
    </i>
    <i>
      <x v="512"/>
    </i>
    <i>
      <x v="517"/>
    </i>
    <i>
      <x v="522"/>
    </i>
    <i>
      <x v="527"/>
    </i>
    <i>
      <x v="532"/>
    </i>
    <i>
      <x v="536"/>
    </i>
    <i>
      <x v="541"/>
    </i>
    <i>
      <x v="546"/>
    </i>
    <i>
      <x v="551"/>
    </i>
    <i>
      <x v="556"/>
    </i>
    <i>
      <x v="561"/>
    </i>
    <i>
      <x v="565"/>
    </i>
    <i>
      <x v="570"/>
    </i>
    <i>
      <x v="575"/>
    </i>
    <i>
      <x v="580"/>
    </i>
    <i>
      <x v="585"/>
    </i>
    <i>
      <x v="590"/>
    </i>
    <i>
      <x v="595"/>
    </i>
    <i>
      <x v="600"/>
    </i>
    <i>
      <x v="604"/>
    </i>
    <i>
      <x v="609"/>
    </i>
    <i>
      <x v="614"/>
    </i>
    <i>
      <x v="619"/>
    </i>
    <i>
      <x v="624"/>
    </i>
    <i>
      <x v="629"/>
    </i>
    <i>
      <x v="633"/>
    </i>
    <i>
      <x v="638"/>
    </i>
    <i>
      <x v="643"/>
    </i>
    <i>
      <x v="648"/>
    </i>
    <i>
      <x v="652"/>
    </i>
    <i>
      <x v="657"/>
    </i>
    <i>
      <x v="662"/>
    </i>
    <i>
      <x v="666"/>
    </i>
    <i>
      <x v="671"/>
    </i>
    <i>
      <x v="676"/>
    </i>
    <i>
      <x v="681"/>
    </i>
    <i>
      <x v="685"/>
    </i>
    <i>
      <x v="689"/>
    </i>
    <i>
      <x v="694"/>
    </i>
    <i>
      <x v="698"/>
    </i>
    <i>
      <x v="703"/>
    </i>
    <i>
      <x v="708"/>
    </i>
    <i>
      <x v="713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2"/>
    </i>
    <i>
      <x v="757"/>
    </i>
    <i>
      <x v="762"/>
    </i>
    <i>
      <x v="767"/>
    </i>
    <i>
      <x v="772"/>
    </i>
    <i>
      <x v="777"/>
    </i>
    <i>
      <x v="782"/>
    </i>
    <i>
      <x v="786"/>
    </i>
    <i>
      <x v="791"/>
    </i>
    <i>
      <x v="796"/>
    </i>
    <i>
      <x v="801"/>
    </i>
    <i>
      <x v="806"/>
    </i>
    <i>
      <x v="811"/>
    </i>
    <i>
      <x v="815"/>
    </i>
    <i>
      <x v="820"/>
    </i>
    <i>
      <x v="825"/>
    </i>
    <i>
      <x v="830"/>
    </i>
    <i>
      <x v="835"/>
    </i>
    <i>
      <x v="840"/>
    </i>
    <i>
      <x v="845"/>
    </i>
    <i>
      <x v="850"/>
    </i>
    <i>
      <x v="855"/>
    </i>
    <i>
      <x v="859"/>
    </i>
    <i>
      <x v="864"/>
    </i>
    <i>
      <x v="869"/>
    </i>
    <i>
      <x v="874"/>
    </i>
    <i>
      <x v="879"/>
    </i>
    <i>
      <x v="883"/>
    </i>
    <i>
      <x v="888"/>
    </i>
    <i>
      <x v="893"/>
    </i>
    <i>
      <x v="898"/>
    </i>
    <i>
      <x v="902"/>
    </i>
    <i>
      <x v="907"/>
    </i>
    <i>
      <x v="912"/>
    </i>
    <i>
      <x v="916"/>
    </i>
    <i>
      <x v="921"/>
    </i>
    <i>
      <x v="926"/>
    </i>
    <i>
      <x v="931"/>
    </i>
    <i>
      <x v="935"/>
    </i>
    <i>
      <x v="939"/>
    </i>
    <i>
      <x v="944"/>
    </i>
    <i>
      <x v="948"/>
    </i>
    <i>
      <x v="953"/>
    </i>
    <i>
      <x v="958"/>
    </i>
    <i>
      <x v="963"/>
    </i>
    <i>
      <x v="967"/>
    </i>
    <i>
      <x v="972"/>
    </i>
    <i>
      <x v="977"/>
    </i>
    <i>
      <x v="982"/>
    </i>
    <i>
      <x v="987"/>
    </i>
    <i>
      <x v="992"/>
    </i>
    <i>
      <x v="996"/>
    </i>
    <i>
      <x v="1001"/>
    </i>
    <i>
      <x v="1006"/>
    </i>
    <i>
      <x v="1011"/>
    </i>
    <i>
      <x v="1016"/>
    </i>
    <i>
      <x v="1021"/>
    </i>
    <i>
      <x v="1026"/>
    </i>
    <i>
      <x v="1031"/>
    </i>
    <i>
      <x v="1036"/>
    </i>
    <i>
      <x v="1040"/>
    </i>
    <i>
      <x v="1045"/>
    </i>
    <i>
      <x v="1050"/>
    </i>
    <i>
      <x v="1055"/>
    </i>
    <i>
      <x v="1060"/>
    </i>
    <i>
      <x v="1064"/>
    </i>
    <i>
      <x v="1069"/>
    </i>
    <i>
      <x v="1074"/>
    </i>
    <i>
      <x v="1079"/>
    </i>
    <i>
      <x v="1084"/>
    </i>
    <i>
      <x v="1089"/>
    </i>
    <i>
      <x v="1094"/>
    </i>
    <i>
      <x v="1099"/>
    </i>
    <i>
      <x v="1104"/>
    </i>
    <i>
      <x v="1108"/>
    </i>
    <i>
      <x v="1113"/>
    </i>
    <i>
      <x v="1118"/>
    </i>
    <i>
      <x v="1123"/>
    </i>
    <i>
      <x v="1128"/>
    </i>
    <i>
      <x v="1132"/>
    </i>
    <i>
      <x v="1137"/>
    </i>
    <i>
      <x v="1142"/>
    </i>
    <i>
      <x v="1147"/>
    </i>
    <i>
      <x v="1152"/>
    </i>
    <i>
      <x v="1156"/>
    </i>
    <i>
      <x v="1161"/>
    </i>
    <i>
      <x v="1165"/>
    </i>
    <i>
      <x v="1170"/>
    </i>
    <i>
      <x v="1175"/>
    </i>
    <i>
      <x v="1180"/>
    </i>
    <i>
      <x v="1184"/>
    </i>
    <i>
      <x v="1188"/>
    </i>
    <i>
      <x v="1193"/>
    </i>
    <i>
      <x v="1197"/>
    </i>
    <i>
      <x v="1202"/>
    </i>
    <i>
      <x v="1207"/>
    </i>
    <i>
      <x v="1212"/>
    </i>
    <i>
      <x v="1217"/>
    </i>
    <i>
      <x v="1221"/>
    </i>
    <i>
      <x v="1226"/>
    </i>
    <i>
      <x v="1231"/>
    </i>
    <i>
      <x v="1236"/>
    </i>
    <i>
      <x v="1241"/>
    </i>
    <i>
      <x v="1246"/>
    </i>
    <i>
      <x v="1251"/>
    </i>
    <i>
      <x v="1256"/>
    </i>
    <i>
      <x v="1260"/>
    </i>
    <i>
      <x v="1265"/>
    </i>
    <i>
      <x v="1270"/>
    </i>
    <i>
      <x v="1275"/>
    </i>
    <i>
      <x v="1280"/>
    </i>
    <i>
      <x v="1285"/>
    </i>
    <i>
      <x v="1289"/>
    </i>
    <i>
      <x v="1294"/>
    </i>
    <i>
      <x v="1299"/>
    </i>
    <i t="grand">
      <x/>
    </i>
  </rowItems>
  <colFields count="1">
    <field x="-2"/>
  </colFields>
  <colItems count="2">
    <i>
      <x/>
    </i>
    <i i="1">
      <x v="1"/>
    </i>
  </colItems>
  <pageFields count="1">
    <pageField fld="8" item="1" hier="-1"/>
  </pageFields>
  <dataFields count="2">
    <dataField name="FHLMC Survey Rate" fld="2" subtotal="average" baseField="0" baseItem="0"/>
    <dataField name="Implied Servicing Spread " fld="10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F3:H275" firstHeaderRow="0" firstDataRow="1" firstDataCol="1" rowPageCount="1" colPageCount="1"/>
  <pivotFields count="14">
    <pivotField axis="axisRow" showAll="0" sortType="descending">
      <items count="1301"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">
        <item x="0"/>
        <item x="1"/>
      </items>
    </pivotField>
    <pivotField showAll="0"/>
    <pivotField name="Changes" multipleItemSelectionAllowed="1" showAll="0"/>
    <pivotField showAll="0"/>
    <pivotField dataField="1" showAll="0"/>
    <pivotField dataField="1" showAll="0" defaultSubtotal="0"/>
  </pivotFields>
  <rowFields count="1">
    <field x="0"/>
  </rowFields>
  <rowItems count="272">
    <i>
      <x/>
    </i>
    <i>
      <x v="5"/>
    </i>
    <i>
      <x v="10"/>
    </i>
    <i>
      <x v="14"/>
    </i>
    <i>
      <x v="19"/>
    </i>
    <i>
      <x v="24"/>
    </i>
    <i>
      <x v="29"/>
    </i>
    <i>
      <x v="34"/>
    </i>
    <i>
      <x v="39"/>
    </i>
    <i>
      <x v="43"/>
    </i>
    <i>
      <x v="48"/>
    </i>
    <i>
      <x v="53"/>
    </i>
    <i>
      <x v="58"/>
    </i>
    <i>
      <x v="63"/>
    </i>
    <i>
      <x v="68"/>
    </i>
    <i>
      <x v="73"/>
    </i>
    <i>
      <x v="78"/>
    </i>
    <i>
      <x v="82"/>
    </i>
    <i>
      <x v="87"/>
    </i>
    <i>
      <x v="92"/>
    </i>
    <i>
      <x v="97"/>
    </i>
    <i>
      <x v="102"/>
    </i>
    <i>
      <x v="106"/>
    </i>
    <i>
      <x v="111"/>
    </i>
    <i>
      <x v="115"/>
    </i>
    <i>
      <x v="119"/>
    </i>
    <i>
      <x v="124"/>
    </i>
    <i>
      <x v="129"/>
    </i>
    <i>
      <x v="134"/>
    </i>
    <i>
      <x v="138"/>
    </i>
    <i>
      <x v="143"/>
    </i>
    <i>
      <x v="147"/>
    </i>
    <i>
      <x v="152"/>
    </i>
    <i>
      <x v="157"/>
    </i>
    <i>
      <x v="162"/>
    </i>
    <i>
      <x v="167"/>
    </i>
    <i>
      <x v="171"/>
    </i>
    <i>
      <x v="176"/>
    </i>
    <i>
      <x v="181"/>
    </i>
    <i>
      <x v="186"/>
    </i>
    <i>
      <x v="191"/>
    </i>
    <i>
      <x v="195"/>
    </i>
    <i>
      <x v="200"/>
    </i>
    <i>
      <x v="205"/>
    </i>
    <i>
      <x v="210"/>
    </i>
    <i>
      <x v="215"/>
    </i>
    <i>
      <x v="220"/>
    </i>
    <i>
      <x v="225"/>
    </i>
    <i>
      <x v="230"/>
    </i>
    <i>
      <x v="235"/>
    </i>
    <i>
      <x v="239"/>
    </i>
    <i>
      <x v="244"/>
    </i>
    <i>
      <x v="249"/>
    </i>
    <i>
      <x v="254"/>
    </i>
    <i>
      <x v="259"/>
    </i>
    <i>
      <x v="263"/>
    </i>
    <i>
      <x v="268"/>
    </i>
    <i>
      <x v="273"/>
    </i>
    <i>
      <x v="278"/>
    </i>
    <i>
      <x v="283"/>
    </i>
    <i>
      <x v="288"/>
    </i>
    <i>
      <x v="293"/>
    </i>
    <i>
      <x v="298"/>
    </i>
    <i>
      <x v="303"/>
    </i>
    <i>
      <x v="307"/>
    </i>
    <i>
      <x v="312"/>
    </i>
    <i>
      <x v="317"/>
    </i>
    <i>
      <x v="322"/>
    </i>
    <i>
      <x v="327"/>
    </i>
    <i>
      <x v="332"/>
    </i>
    <i>
      <x v="336"/>
    </i>
    <i>
      <x v="341"/>
    </i>
    <i>
      <x v="346"/>
    </i>
    <i>
      <x v="351"/>
    </i>
    <i>
      <x v="355"/>
    </i>
    <i>
      <x v="360"/>
    </i>
    <i>
      <x v="364"/>
    </i>
    <i>
      <x v="368"/>
    </i>
    <i>
      <x v="373"/>
    </i>
    <i>
      <x v="378"/>
    </i>
    <i>
      <x v="383"/>
    </i>
    <i>
      <x v="387"/>
    </i>
    <i>
      <x v="392"/>
    </i>
    <i>
      <x v="397"/>
    </i>
    <i>
      <x v="401"/>
    </i>
    <i>
      <x v="406"/>
    </i>
    <i>
      <x v="411"/>
    </i>
    <i>
      <x v="416"/>
    </i>
    <i>
      <x v="420"/>
    </i>
    <i>
      <x v="425"/>
    </i>
    <i>
      <x v="430"/>
    </i>
    <i>
      <x v="435"/>
    </i>
    <i>
      <x v="440"/>
    </i>
    <i>
      <x v="444"/>
    </i>
    <i>
      <x v="449"/>
    </i>
    <i>
      <x v="454"/>
    </i>
    <i>
      <x v="459"/>
    </i>
    <i>
      <x v="464"/>
    </i>
    <i>
      <x v="469"/>
    </i>
    <i>
      <x v="474"/>
    </i>
    <i>
      <x v="479"/>
    </i>
    <i>
      <x v="484"/>
    </i>
    <i>
      <x v="488"/>
    </i>
    <i>
      <x v="493"/>
    </i>
    <i>
      <x v="498"/>
    </i>
    <i>
      <x v="503"/>
    </i>
    <i>
      <x v="508"/>
    </i>
    <i>
      <x v="513"/>
    </i>
    <i>
      <x v="517"/>
    </i>
    <i>
      <x v="522"/>
    </i>
    <i>
      <x v="527"/>
    </i>
    <i>
      <x v="532"/>
    </i>
    <i>
      <x v="537"/>
    </i>
    <i>
      <x v="542"/>
    </i>
    <i>
      <x v="547"/>
    </i>
    <i>
      <x v="552"/>
    </i>
    <i>
      <x v="557"/>
    </i>
    <i>
      <x v="562"/>
    </i>
    <i>
      <x v="567"/>
    </i>
    <i>
      <x v="572"/>
    </i>
    <i>
      <x v="577"/>
    </i>
    <i>
      <x v="582"/>
    </i>
    <i>
      <x v="586"/>
    </i>
    <i>
      <x v="591"/>
    </i>
    <i>
      <x v="596"/>
    </i>
    <i>
      <x v="601"/>
    </i>
    <i>
      <x v="605"/>
    </i>
    <i>
      <x v="610"/>
    </i>
    <i>
      <x v="614"/>
    </i>
    <i>
      <x v="618"/>
    </i>
    <i>
      <x v="623"/>
    </i>
    <i>
      <x v="628"/>
    </i>
    <i>
      <x v="633"/>
    </i>
    <i>
      <x v="637"/>
    </i>
    <i>
      <x v="642"/>
    </i>
    <i>
      <x v="647"/>
    </i>
    <i>
      <x v="651"/>
    </i>
    <i>
      <x v="656"/>
    </i>
    <i>
      <x v="661"/>
    </i>
    <i>
      <x v="666"/>
    </i>
    <i>
      <x v="670"/>
    </i>
    <i>
      <x v="675"/>
    </i>
    <i>
      <x v="680"/>
    </i>
    <i>
      <x v="685"/>
    </i>
    <i>
      <x v="690"/>
    </i>
    <i>
      <x v="695"/>
    </i>
    <i>
      <x v="699"/>
    </i>
    <i>
      <x v="704"/>
    </i>
    <i>
      <x v="709"/>
    </i>
    <i>
      <x v="714"/>
    </i>
    <i>
      <x v="719"/>
    </i>
    <i>
      <x v="724"/>
    </i>
    <i>
      <x v="729"/>
    </i>
    <i>
      <x v="734"/>
    </i>
    <i>
      <x v="738"/>
    </i>
    <i>
      <x v="743"/>
    </i>
    <i>
      <x v="748"/>
    </i>
    <i>
      <x v="753"/>
    </i>
    <i>
      <x v="758"/>
    </i>
    <i>
      <x v="763"/>
    </i>
    <i>
      <x v="767"/>
    </i>
    <i>
      <x v="772"/>
    </i>
    <i>
      <x v="777"/>
    </i>
    <i>
      <x v="782"/>
    </i>
    <i>
      <x v="787"/>
    </i>
    <i>
      <x v="791"/>
    </i>
    <i>
      <x v="796"/>
    </i>
    <i>
      <x v="801"/>
    </i>
    <i>
      <x v="806"/>
    </i>
    <i>
      <x v="811"/>
    </i>
    <i>
      <x v="816"/>
    </i>
    <i>
      <x v="821"/>
    </i>
    <i>
      <x v="826"/>
    </i>
    <i>
      <x v="831"/>
    </i>
    <i>
      <x v="835"/>
    </i>
    <i>
      <x v="840"/>
    </i>
    <i>
      <x v="845"/>
    </i>
    <i>
      <x v="850"/>
    </i>
    <i>
      <x v="854"/>
    </i>
    <i>
      <x v="859"/>
    </i>
    <i>
      <x v="864"/>
    </i>
    <i>
      <x v="868"/>
    </i>
    <i>
      <x v="872"/>
    </i>
    <i>
      <x v="877"/>
    </i>
    <i>
      <x v="882"/>
    </i>
    <i>
      <x v="886"/>
    </i>
    <i>
      <x v="891"/>
    </i>
    <i>
      <x v="896"/>
    </i>
    <i>
      <x v="900"/>
    </i>
    <i>
      <x v="905"/>
    </i>
    <i>
      <x v="910"/>
    </i>
    <i>
      <x v="915"/>
    </i>
    <i>
      <x v="919"/>
    </i>
    <i>
      <x v="924"/>
    </i>
    <i>
      <x v="929"/>
    </i>
    <i>
      <x v="934"/>
    </i>
    <i>
      <x v="939"/>
    </i>
    <i>
      <x v="944"/>
    </i>
    <i>
      <x v="948"/>
    </i>
    <i>
      <x v="953"/>
    </i>
    <i>
      <x v="958"/>
    </i>
    <i>
      <x v="963"/>
    </i>
    <i>
      <x v="968"/>
    </i>
    <i>
      <x v="973"/>
    </i>
    <i>
      <x v="978"/>
    </i>
    <i>
      <x v="983"/>
    </i>
    <i>
      <x v="987"/>
    </i>
    <i>
      <x v="992"/>
    </i>
    <i>
      <x v="997"/>
    </i>
    <i>
      <x v="1002"/>
    </i>
    <i>
      <x v="1007"/>
    </i>
    <i>
      <x v="1012"/>
    </i>
    <i>
      <x v="1016"/>
    </i>
    <i>
      <x v="1021"/>
    </i>
    <i>
      <x v="1026"/>
    </i>
    <i>
      <x v="1031"/>
    </i>
    <i>
      <x v="1036"/>
    </i>
    <i>
      <x v="1041"/>
    </i>
    <i>
      <x v="1046"/>
    </i>
    <i>
      <x v="1051"/>
    </i>
    <i>
      <x v="1055"/>
    </i>
    <i>
      <x v="1060"/>
    </i>
    <i>
      <x v="1065"/>
    </i>
    <i>
      <x v="1070"/>
    </i>
    <i>
      <x v="1075"/>
    </i>
    <i>
      <x v="1080"/>
    </i>
    <i>
      <x v="1084"/>
    </i>
    <i>
      <x v="1089"/>
    </i>
    <i>
      <x v="1094"/>
    </i>
    <i>
      <x v="1099"/>
    </i>
    <i>
      <x v="1103"/>
    </i>
    <i>
      <x v="1108"/>
    </i>
    <i>
      <x v="1113"/>
    </i>
    <i>
      <x v="1117"/>
    </i>
    <i>
      <x v="1121"/>
    </i>
    <i>
      <x v="1126"/>
    </i>
    <i>
      <x v="1131"/>
    </i>
    <i>
      <x v="1136"/>
    </i>
    <i>
      <x v="1140"/>
    </i>
    <i>
      <x v="1145"/>
    </i>
    <i>
      <x v="1149"/>
    </i>
    <i>
      <x v="1154"/>
    </i>
    <i>
      <x v="1158"/>
    </i>
    <i>
      <x v="1163"/>
    </i>
    <i>
      <x v="1168"/>
    </i>
    <i>
      <x v="1172"/>
    </i>
    <i>
      <x v="1177"/>
    </i>
    <i>
      <x v="1182"/>
    </i>
    <i>
      <x v="1187"/>
    </i>
    <i>
      <x v="1192"/>
    </i>
    <i>
      <x v="1196"/>
    </i>
    <i>
      <x v="1201"/>
    </i>
    <i>
      <x v="1206"/>
    </i>
    <i>
      <x v="1211"/>
    </i>
    <i>
      <x v="1216"/>
    </i>
    <i>
      <x v="1221"/>
    </i>
    <i>
      <x v="1226"/>
    </i>
    <i>
      <x v="1231"/>
    </i>
    <i>
      <x v="1236"/>
    </i>
    <i>
      <x v="1240"/>
    </i>
    <i>
      <x v="1245"/>
    </i>
    <i>
      <x v="1250"/>
    </i>
    <i>
      <x v="1255"/>
    </i>
    <i>
      <x v="1260"/>
    </i>
    <i>
      <x v="1264"/>
    </i>
    <i>
      <x v="1269"/>
    </i>
    <i>
      <x v="1274"/>
    </i>
    <i>
      <x v="1279"/>
    </i>
    <i>
      <x v="1284"/>
    </i>
    <i>
      <x v="1289"/>
    </i>
    <i>
      <x v="1294"/>
    </i>
    <i t="grand">
      <x/>
    </i>
  </rowItems>
  <colFields count="1">
    <field x="-2"/>
  </colFields>
  <colItems count="2">
    <i>
      <x/>
    </i>
    <i i="1">
      <x v="1"/>
    </i>
  </colItems>
  <pageFields count="1">
    <pageField fld="8" item="1" hier="-1"/>
  </pageFields>
  <dataFields count="2">
    <dataField name="Survey Rate chg" fld="13" subtotal="average" baseField="0" baseItem="0"/>
    <dataField name="Servicing Spread chg" fld="1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3" unboundColumnsRight="11">
    <queryTableFields count="14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82" dataBound="0" tableColumnId="13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N3392" tableType="queryTable" totalsRowShown="0" headerRowDxfId="17" dataDxfId="16">
  <tableColumns count="14">
    <tableColumn id="10" uniqueName="10" name="AsOfDate" queryTableFieldId="51" dataDxfId="13" dataCellStyle="Normal 2 7"/>
    <tableColumn id="5" uniqueName="5" name="SeriesNumValue" queryTableFieldId="68" dataDxfId="12"/>
    <tableColumn id="1" uniqueName="1" name="Rate" queryTableFieldId="69" dataDxfId="11"/>
    <tableColumn id="2" uniqueName="2" name="Weekday" queryTableFieldId="70" dataDxfId="10" dataCellStyle="Normal 2 7">
      <calculatedColumnFormula>WEEKDAY(A5,14)</calculatedColumnFormula>
    </tableColumn>
    <tableColumn id="3" uniqueName="3" name="Weight" queryTableFieldId="75" dataDxfId="9" dataCellStyle="Normal 2 7">
      <calculatedColumnFormula>VLOOKUP(D5,Q$5:R$11,2,FALSE)</calculatedColumnFormula>
    </tableColumn>
    <tableColumn id="4" uniqueName="4" name="Counter" queryTableFieldId="74" dataDxfId="8" dataCellStyle="Normal 2 7">
      <calculatedColumnFormula>IF(AND(D5&gt;D4,F4&lt;6),F4+1,1)</calculatedColumnFormula>
    </tableColumn>
    <tableColumn id="6" uniqueName="6" name="Accumulated Weighted CC" queryTableFieldId="73" dataDxfId="7" dataCellStyle="Normal 2 7">
      <calculatedColumnFormula>IF(F5&gt;F4,G4+B5*E5,B5*E5)</calculatedColumnFormula>
    </tableColumn>
    <tableColumn id="7" uniqueName="7" name="AccumulatedWeight" queryTableFieldId="72" dataDxfId="6" dataCellStyle="Normal 2 7">
      <calculatedColumnFormula>IF(AND(F5&lt;6,F5&gt;F4),E5+H4,E5)</calculatedColumnFormula>
    </tableColumn>
    <tableColumn id="13" uniqueName="13" name="EndWeek" queryTableFieldId="82" dataDxfId="5" dataCellStyle="Normal 2 7">
      <calculatedColumnFormula>IF(F5&gt;F6,1,0)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Spread]]&lt;=0,L4,CurrentMtgRatesDataTable8[[#This Row],[Servicing Spread]])</calculatedColumnFormula>
    </tableColumn>
    <tableColumn id="12" uniqueName="12" name="Servicing Spread 1m chg" queryTableFieldId="78" dataDxfId="1" dataCellStyle="Normal 2 7">
      <calculatedColumnFormula>CurrentMtgRatesDataTable8[[#This Row],[Servicing Spread Non-Zero]]-L4</calculatedColumnFormula>
    </tableColumn>
    <tableColumn id="15" uniqueName="15" name="Survey Rate 1m chg" queryTableFieldId="81" dataDxfId="0" dataCellStyle="Normal 2 7">
      <calculatedColumnFormula>IF(J4&lt;&gt;0,CurrentMtgRatesDataTable8[[#This Row],[Rate]]-C4,N4)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showGridLines="0" topLeftCell="A19" zoomScale="90" zoomScaleNormal="90" workbookViewId="0">
      <selection activeCell="G57" sqref="G57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744</v>
      </c>
      <c r="U1" t="s">
        <v>1</v>
      </c>
      <c r="V1" s="2" t="s">
        <v>4</v>
      </c>
    </row>
    <row r="2" spans="19:22">
      <c r="S2" s="1" t="s">
        <v>2</v>
      </c>
      <c r="T2" s="3">
        <v>42907</v>
      </c>
    </row>
    <row r="3" spans="19:22">
      <c r="S3" s="1" t="s">
        <v>784</v>
      </c>
      <c r="T3" s="4" t="s">
        <v>785</v>
      </c>
    </row>
    <row r="4" spans="19:22">
      <c r="S4" s="1" t="s">
        <v>3</v>
      </c>
      <c r="T4" s="4" t="str">
        <f>PDFReportDir &amp; "Servicing Spread and Survey Rate " &amp; TEXT(CurrentCloseDate, "yyyy-mm-dd") &amp; ".pdf"</f>
        <v>S:\IT\Production\Daily Reports\Primary Market\tmp\Servicing Spread and Survey Rate 2017-06-21.pdf</v>
      </c>
    </row>
    <row r="8" spans="19:22">
      <c r="S8" t="s">
        <v>762</v>
      </c>
      <c r="T8" s="10">
        <f>IF(WEEKDAY(CurrentCloseDate,2)&gt;=4,CurrentCloseDate-WEEKDAY(CurrentCloseDate,2)+4,CurrentCloseDate-WEEKDAY(CurrentCloseDate,2)-7+4)</f>
        <v>42901</v>
      </c>
      <c r="U8" s="10"/>
    </row>
    <row r="9" spans="19:22">
      <c r="S9" t="s">
        <v>763</v>
      </c>
      <c r="T9" s="10">
        <f>LastSurveyDate-1</f>
        <v>42900</v>
      </c>
    </row>
    <row r="12" spans="19:22">
      <c r="T12" s="10"/>
    </row>
    <row r="50" spans="6:16">
      <c r="J50" s="36"/>
      <c r="P50" s="36"/>
    </row>
    <row r="54" spans="6:16">
      <c r="F54" s="37" t="s">
        <v>764</v>
      </c>
      <c r="G54" s="38">
        <f>LastSurveyDate</f>
        <v>42901</v>
      </c>
    </row>
    <row r="55" spans="6:16">
      <c r="F55" s="32"/>
      <c r="G55" s="22" t="s">
        <v>18</v>
      </c>
      <c r="H55" s="27" t="s">
        <v>778</v>
      </c>
      <c r="I55" s="29" t="s">
        <v>733</v>
      </c>
      <c r="J55" s="27" t="s">
        <v>734</v>
      </c>
      <c r="K55" s="30" t="s">
        <v>735</v>
      </c>
      <c r="L55" s="27" t="s">
        <v>736</v>
      </c>
    </row>
    <row r="56" spans="6:16">
      <c r="F56" s="25" t="s">
        <v>787</v>
      </c>
      <c r="G56" s="31" t="str">
        <f>'Historic Change'!C4&amp;"%"</f>
        <v>3.785%</v>
      </c>
      <c r="H56" s="34">
        <f>('Historic Change'!$C$4-'Historic Change'!E4)*100</f>
        <v>2.0000000000000018</v>
      </c>
      <c r="I56" s="33">
        <f>('Historic Change'!$C$4-'Historic Change'!F4)*100</f>
        <v>-10.999999999999943</v>
      </c>
      <c r="J56" s="34">
        <f>('Historic Change'!$C$4-'Historic Change'!G4)*100</f>
        <v>-38.999999999999972</v>
      </c>
      <c r="K56" s="35">
        <f>('Historic Change'!$C$4-'Historic Change'!H4)*100</f>
        <v>-20.999999999999996</v>
      </c>
      <c r="L56" s="34">
        <f>('Historic Change'!$C$4-'Historic Change'!I4)*100</f>
        <v>46</v>
      </c>
    </row>
    <row r="57" spans="6:16">
      <c r="F57" s="25" t="s">
        <v>737</v>
      </c>
      <c r="G57" s="23">
        <f>'Historic Change'!C5*100</f>
        <v>86.677283534917223</v>
      </c>
      <c r="H57" s="34">
        <f>('Historic Change'!$C$5-'Historic Change'!E5)*100</f>
        <v>0.9999078806562256</v>
      </c>
      <c r="I57" s="33">
        <f>('Historic Change'!$C$5-'Historic Change'!F5)*100</f>
        <v>1.1836267407564716</v>
      </c>
      <c r="J57" s="34">
        <f>('Historic Change'!$C$5-'Historic Change'!G5)*100</f>
        <v>1.4172161082920631</v>
      </c>
      <c r="K57" s="35">
        <f>('Historic Change'!$C$5-'Historic Change'!H5)*100</f>
        <v>-5.8081628574851774</v>
      </c>
      <c r="L57" s="34">
        <f>('Historic Change'!$C$5-'Historic Change'!I5)*100</f>
        <v>-11.791722993963383</v>
      </c>
    </row>
  </sheetData>
  <conditionalFormatting sqref="H56:L57">
    <cfRule type="cellIs" dxfId="15" priority="1" operator="lessThan">
      <formula>0</formula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5" orientation="landscape" horizontalDpi="1200" verticalDpi="1200" r:id="rId1"/>
  <headerFooter scaleWithDoc="0">
    <oddHeader>&amp;L&amp;G&amp;C&amp;"-,Bold"&amp;10&amp;K2E398A
&amp;15FHLMC Survey Rate and Implied Servicing Spread&amp;R&amp;"-,Bold"&amp;10&amp;K2E398A
As of 06/21/2017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R3506"/>
  <sheetViews>
    <sheetView tabSelected="1" workbookViewId="0">
      <selection activeCell="J23" sqref="J23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6.7109375" style="5" customWidth="1"/>
    <col min="10" max="10" width="15.7109375" style="5" bestFit="1" customWidth="1"/>
    <col min="11" max="11" width="14.140625" style="5" bestFit="1" customWidth="1"/>
    <col min="12" max="14" width="14.140625" style="5" customWidth="1"/>
    <col min="15" max="15" width="13.85546875" style="5" bestFit="1" customWidth="1"/>
    <col min="16" max="16" width="12.5703125" style="5" bestFit="1" customWidth="1"/>
    <col min="17" max="17" width="12" style="5" bestFit="1" customWidth="1"/>
    <col min="18" max="18" width="15.140625" style="5" bestFit="1" customWidth="1"/>
    <col min="19" max="19" width="14.140625" style="5" bestFit="1" customWidth="1"/>
    <col min="20" max="20" width="14.140625" style="5" customWidth="1"/>
    <col min="21" max="23" width="12" style="5" bestFit="1" customWidth="1"/>
    <col min="24" max="24" width="8" style="5" bestFit="1" customWidth="1"/>
    <col min="25" max="25" width="12" style="5" bestFit="1" customWidth="1"/>
    <col min="26" max="26" width="5.7109375" style="5" bestFit="1" customWidth="1"/>
    <col min="27" max="28" width="12" style="5" bestFit="1" customWidth="1"/>
    <col min="29" max="29" width="17.5703125" style="5" bestFit="1" customWidth="1"/>
    <col min="30" max="30" width="8.85546875" style="5" bestFit="1" customWidth="1"/>
    <col min="31" max="32" width="16" style="5" bestFit="1" customWidth="1"/>
    <col min="33" max="33" width="14.7109375" style="5" bestFit="1" customWidth="1"/>
    <col min="34" max="34" width="16" style="5" bestFit="1" customWidth="1"/>
    <col min="35" max="35" width="17.5703125" style="5" bestFit="1" customWidth="1"/>
    <col min="36" max="36" width="12.140625" style="5" bestFit="1" customWidth="1"/>
    <col min="37" max="37" width="8.5703125" style="5" bestFit="1" customWidth="1"/>
    <col min="38" max="38" width="15.28515625" style="5" customWidth="1"/>
    <col min="39" max="39" width="11.7109375" style="5" bestFit="1" customWidth="1"/>
    <col min="40" max="40" width="10.28515625" style="5" bestFit="1" customWidth="1"/>
    <col min="41" max="41" width="12" style="5" bestFit="1" customWidth="1"/>
    <col min="42" max="42" width="14.42578125" style="5" customWidth="1"/>
    <col min="43" max="43" width="18.5703125" style="5" bestFit="1" customWidth="1"/>
    <col min="44" max="44" width="10.7109375" style="5" bestFit="1" customWidth="1"/>
    <col min="45" max="45" width="16.42578125" style="5" bestFit="1" customWidth="1"/>
    <col min="46" max="46" width="16.140625" style="5" bestFit="1" customWidth="1"/>
    <col min="47" max="47" width="14.42578125" style="5" customWidth="1"/>
    <col min="48" max="48" width="12.28515625" style="5" customWidth="1"/>
    <col min="49" max="16384" width="9.140625" style="5"/>
  </cols>
  <sheetData>
    <row r="3" spans="1:18" ht="23.25">
      <c r="A3" s="6" t="s">
        <v>725</v>
      </c>
    </row>
    <row r="4" spans="1:18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0" t="s">
        <v>1199</v>
      </c>
      <c r="J4" s="21" t="s">
        <v>10</v>
      </c>
      <c r="K4" s="21" t="s">
        <v>729</v>
      </c>
      <c r="L4" s="20" t="s">
        <v>732</v>
      </c>
      <c r="M4" s="20" t="s">
        <v>775</v>
      </c>
      <c r="N4" s="20" t="s">
        <v>780</v>
      </c>
    </row>
    <row r="5" spans="1:18" s="7" customFormat="1">
      <c r="A5" s="8" t="s">
        <v>1357</v>
      </c>
      <c r="B5" s="16">
        <v>7.3040000000000003</v>
      </c>
      <c r="C5" s="15">
        <v>8.1950000000000003</v>
      </c>
      <c r="D5" s="14">
        <f t="shared" ref="D5:D68" si="0">WEEKDAY(A5,14)</f>
        <v>1</v>
      </c>
      <c r="E5" s="14">
        <f t="shared" ref="E5:E68" si="1">VLOOKUP(D5,Q$5:R$11,2,FALSE)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1.4608000000000001</v>
      </c>
      <c r="H5" s="14">
        <f t="shared" ref="H5:H68" si="4">IF(AND(F5&lt;6,F5&gt;F4),E5+H4,E5)</f>
        <v>0.2</v>
      </c>
      <c r="I5" s="14">
        <f t="shared" ref="I5:I68" si="5">IF(F5&gt;F6,1,0)</f>
        <v>0</v>
      </c>
      <c r="J5" s="14">
        <f t="shared" ref="J5:J68" si="6">IF(F5&gt;F6,G5/H5,0)</f>
        <v>0</v>
      </c>
      <c r="K5" s="15">
        <f>IF(CurrentMtgRatesDataTable8[[#This Row],[WA CC]]&lt;&gt;0,C4-CurrentMtgRatesDataTable8[[#This Row],[WA CC]],0)</f>
        <v>0</v>
      </c>
      <c r="L5" s="16" t="str">
        <f>IF(CurrentMtgRatesDataTable8[[#This Row],[Servicing Spread]]&lt;=0,L4,CurrentMtgRatesDataTable8[[#This Row],[Servicing Spread]])</f>
        <v>Servicing Spread Non-Zero</v>
      </c>
      <c r="M5" s="16" t="e">
        <f>CurrentMtgRatesDataTable8[[#This Row],[Servicing Spread Non-Zero]]-L4</f>
        <v>#VALUE!</v>
      </c>
      <c r="N5" s="16" t="e">
        <f>IF(J4&lt;&gt;0,CurrentMtgRatesDataTable8[[#This Row],[Rate]]-C4,N4)</f>
        <v>#VALUE!</v>
      </c>
      <c r="P5" s="7" t="s">
        <v>11</v>
      </c>
      <c r="Q5" s="7">
        <v>5</v>
      </c>
      <c r="R5" s="7">
        <v>0.2</v>
      </c>
    </row>
    <row r="6" spans="1:18" s="7" customFormat="1">
      <c r="A6" s="8" t="s">
        <v>1358</v>
      </c>
      <c r="B6" s="11">
        <v>7.359</v>
      </c>
      <c r="C6" s="13">
        <v>8.1950000000000003</v>
      </c>
      <c r="D6" s="14">
        <f t="shared" si="0"/>
        <v>2</v>
      </c>
      <c r="E6" s="14">
        <f t="shared" si="1"/>
        <v>0.2</v>
      </c>
      <c r="F6" s="14">
        <f t="shared" si="2"/>
        <v>2</v>
      </c>
      <c r="G6" s="14">
        <f t="shared" si="3"/>
        <v>2.9325999999999999</v>
      </c>
      <c r="H6" s="14">
        <f t="shared" si="4"/>
        <v>0.4</v>
      </c>
      <c r="I6" s="14">
        <f t="shared" si="5"/>
        <v>0</v>
      </c>
      <c r="J6" s="14">
        <f t="shared" si="6"/>
        <v>0</v>
      </c>
      <c r="K6" s="15">
        <f>IF(CurrentMtgRatesDataTable8[[#This Row],[WA CC]]&lt;&gt;0,C5-CurrentMtgRatesDataTable8[[#This Row],[WA CC]],0)</f>
        <v>0</v>
      </c>
      <c r="L6" s="16" t="str">
        <f>IF(CurrentMtgRatesDataTable8[[#This Row],[Servicing Spread]]&lt;=0,L5,CurrentMtgRatesDataTable8[[#This Row],[Servicing Spread]])</f>
        <v>Servicing Spread Non-Zero</v>
      </c>
      <c r="M6" s="16" t="e">
        <f>CurrentMtgRatesDataTable8[[#This Row],[Servicing Spread Non-Zero]]-L5</f>
        <v>#VALUE!</v>
      </c>
      <c r="N6" s="16" t="e">
        <f>IF(J5&lt;&gt;0,CurrentMtgRatesDataTable8[[#This Row],[Rate]]-C5,N5)</f>
        <v>#VALUE!</v>
      </c>
      <c r="P6" s="7" t="s">
        <v>12</v>
      </c>
      <c r="Q6" s="7">
        <v>6</v>
      </c>
      <c r="R6" s="7">
        <v>0.2</v>
      </c>
    </row>
    <row r="7" spans="1:18" s="7" customFormat="1">
      <c r="A7" s="8" t="s">
        <v>1359</v>
      </c>
      <c r="B7" s="11">
        <v>7.3940000000000001</v>
      </c>
      <c r="C7" s="13">
        <v>8.1950000000000003</v>
      </c>
      <c r="D7" s="14">
        <f t="shared" si="0"/>
        <v>5</v>
      </c>
      <c r="E7" s="14">
        <f t="shared" si="1"/>
        <v>0.2</v>
      </c>
      <c r="F7" s="14">
        <f t="shared" si="2"/>
        <v>3</v>
      </c>
      <c r="G7" s="14">
        <f t="shared" si="3"/>
        <v>4.4114000000000004</v>
      </c>
      <c r="H7" s="14">
        <f t="shared" si="4"/>
        <v>0.60000000000000009</v>
      </c>
      <c r="I7" s="14">
        <f t="shared" si="5"/>
        <v>0</v>
      </c>
      <c r="J7" s="14">
        <f t="shared" si="6"/>
        <v>0</v>
      </c>
      <c r="K7" s="15">
        <f>IF(CurrentMtgRatesDataTable8[[#This Row],[WA CC]]&lt;&gt;0,C6-CurrentMtgRatesDataTable8[[#This Row],[WA CC]],0)</f>
        <v>0</v>
      </c>
      <c r="L7" s="16" t="str">
        <f>IF(CurrentMtgRatesDataTable8[[#This Row],[Servicing Spread]]&lt;=0,L6,CurrentMtgRatesDataTable8[[#This Row],[Servicing Spread]])</f>
        <v>Servicing Spread Non-Zero</v>
      </c>
      <c r="M7" s="16" t="e">
        <f>CurrentMtgRatesDataTable8[[#This Row],[Servicing Spread Non-Zero]]-L6</f>
        <v>#VALUE!</v>
      </c>
      <c r="N7" s="16" t="e">
        <f>IF(J6&lt;&gt;0,CurrentMtgRatesDataTable8[[#This Row],[Rate]]-C6,N6)</f>
        <v>#VALUE!</v>
      </c>
      <c r="P7" s="7" t="s">
        <v>13</v>
      </c>
      <c r="Q7" s="7">
        <v>7</v>
      </c>
      <c r="R7" s="7">
        <v>0.2</v>
      </c>
    </row>
    <row r="8" spans="1:18" s="7" customFormat="1">
      <c r="A8" s="8" t="s">
        <v>1360</v>
      </c>
      <c r="B8" s="11">
        <v>7.5129999999999999</v>
      </c>
      <c r="C8" s="13">
        <v>8.1950000000000003</v>
      </c>
      <c r="D8" s="14">
        <f t="shared" si="0"/>
        <v>6</v>
      </c>
      <c r="E8" s="14">
        <f t="shared" si="1"/>
        <v>0.2</v>
      </c>
      <c r="F8" s="14">
        <f t="shared" si="2"/>
        <v>4</v>
      </c>
      <c r="G8" s="14">
        <f t="shared" si="3"/>
        <v>5.9140000000000006</v>
      </c>
      <c r="H8" s="14">
        <f t="shared" si="4"/>
        <v>0.8</v>
      </c>
      <c r="I8" s="14">
        <f t="shared" si="5"/>
        <v>0</v>
      </c>
      <c r="J8" s="14">
        <f t="shared" si="6"/>
        <v>0</v>
      </c>
      <c r="K8" s="15">
        <f>IF(CurrentMtgRatesDataTable8[[#This Row],[WA CC]]&lt;&gt;0,C7-CurrentMtgRatesDataTable8[[#This Row],[WA CC]],0)</f>
        <v>0</v>
      </c>
      <c r="L8" s="16" t="str">
        <f>IF(CurrentMtgRatesDataTable8[[#This Row],[Servicing Spread]]&lt;=0,L7,CurrentMtgRatesDataTable8[[#This Row],[Servicing Spread]])</f>
        <v>Servicing Spread Non-Zero</v>
      </c>
      <c r="M8" s="16" t="e">
        <f>CurrentMtgRatesDataTable8[[#This Row],[Servicing Spread Non-Zero]]-L7</f>
        <v>#VALUE!</v>
      </c>
      <c r="N8" s="16" t="e">
        <f>IF(J7&lt;&gt;0,CurrentMtgRatesDataTable8[[#This Row],[Rate]]-C7,N7)</f>
        <v>#VALUE!</v>
      </c>
      <c r="P8" s="7" t="s">
        <v>14</v>
      </c>
      <c r="Q8" s="7">
        <v>1</v>
      </c>
      <c r="R8" s="7">
        <v>0.2</v>
      </c>
    </row>
    <row r="9" spans="1:18" s="7" customFormat="1">
      <c r="A9" s="8" t="s">
        <v>1361</v>
      </c>
      <c r="B9" s="11">
        <v>7.5140000000000002</v>
      </c>
      <c r="C9" s="13">
        <v>8.1950000000000003</v>
      </c>
      <c r="D9" s="14">
        <f t="shared" si="0"/>
        <v>7</v>
      </c>
      <c r="E9" s="14">
        <f t="shared" si="1"/>
        <v>0.2</v>
      </c>
      <c r="F9" s="14">
        <f t="shared" si="2"/>
        <v>5</v>
      </c>
      <c r="G9" s="14">
        <f t="shared" si="3"/>
        <v>7.4168000000000003</v>
      </c>
      <c r="H9" s="14">
        <f t="shared" si="4"/>
        <v>1</v>
      </c>
      <c r="I9" s="14">
        <f t="shared" si="5"/>
        <v>1</v>
      </c>
      <c r="J9" s="14">
        <f t="shared" si="6"/>
        <v>7.4168000000000003</v>
      </c>
      <c r="K9" s="15">
        <f>IF(CurrentMtgRatesDataTable8[[#This Row],[WA CC]]&lt;&gt;0,C8-CurrentMtgRatesDataTable8[[#This Row],[WA CC]],0)</f>
        <v>0.7782</v>
      </c>
      <c r="L9" s="16">
        <f>IF(CurrentMtgRatesDataTable8[[#This Row],[Servicing Spread]]&lt;=0,L8,CurrentMtgRatesDataTable8[[#This Row],[Servicing Spread]])</f>
        <v>0.7782</v>
      </c>
      <c r="M9" s="16" t="e">
        <f>CurrentMtgRatesDataTable8[[#This Row],[Servicing Spread Non-Zero]]-L8</f>
        <v>#VALUE!</v>
      </c>
      <c r="N9" s="16" t="e">
        <f>IF(J8&lt;&gt;0,CurrentMtgRatesDataTable8[[#This Row],[Rate]]-C8,N8)</f>
        <v>#VALUE!</v>
      </c>
      <c r="P9" s="7" t="s">
        <v>15</v>
      </c>
      <c r="Q9" s="7">
        <v>2</v>
      </c>
      <c r="R9" s="7">
        <v>0.2</v>
      </c>
    </row>
    <row r="10" spans="1:18" s="7" customFormat="1">
      <c r="A10" s="8" t="s">
        <v>1362</v>
      </c>
      <c r="B10" s="11">
        <v>7.5810000000000004</v>
      </c>
      <c r="C10" s="13">
        <v>8.2900000000000009</v>
      </c>
      <c r="D10" s="14">
        <f t="shared" si="0"/>
        <v>1</v>
      </c>
      <c r="E10" s="14">
        <f t="shared" si="1"/>
        <v>0.2</v>
      </c>
      <c r="F10" s="14">
        <f t="shared" si="2"/>
        <v>1</v>
      </c>
      <c r="G10" s="14">
        <f t="shared" si="3"/>
        <v>1.5162000000000002</v>
      </c>
      <c r="H10" s="14">
        <f t="shared" si="4"/>
        <v>0.2</v>
      </c>
      <c r="I10" s="14">
        <f t="shared" si="5"/>
        <v>0</v>
      </c>
      <c r="J10" s="14">
        <f t="shared" si="6"/>
        <v>0</v>
      </c>
      <c r="K10" s="15">
        <f>IF(CurrentMtgRatesDataTable8[[#This Row],[WA CC]]&lt;&gt;0,C9-CurrentMtgRatesDataTable8[[#This Row],[WA CC]],0)</f>
        <v>0</v>
      </c>
      <c r="L10" s="16">
        <f>IF(CurrentMtgRatesDataTable8[[#This Row],[Servicing Spread]]&lt;=0,L9,CurrentMtgRatesDataTable8[[#This Row],[Servicing Spread]])</f>
        <v>0.7782</v>
      </c>
      <c r="M10" s="16">
        <f>CurrentMtgRatesDataTable8[[#This Row],[Servicing Spread Non-Zero]]-L9</f>
        <v>0</v>
      </c>
      <c r="N10" s="16">
        <f>IF(J9&lt;&gt;0,CurrentMtgRatesDataTable8[[#This Row],[Rate]]-C9,N9)</f>
        <v>9.5000000000000639E-2</v>
      </c>
      <c r="P10" s="7" t="s">
        <v>16</v>
      </c>
      <c r="Q10" s="7">
        <v>3</v>
      </c>
      <c r="R10" s="7">
        <v>0</v>
      </c>
    </row>
    <row r="11" spans="1:18" s="7" customFormat="1">
      <c r="A11" s="8" t="s">
        <v>1363</v>
      </c>
      <c r="B11" s="11">
        <v>7.6269999999999998</v>
      </c>
      <c r="C11" s="13">
        <v>8.2900000000000009</v>
      </c>
      <c r="D11" s="14">
        <f t="shared" si="0"/>
        <v>5</v>
      </c>
      <c r="E11" s="14">
        <f t="shared" si="1"/>
        <v>0.2</v>
      </c>
      <c r="F11" s="14">
        <f t="shared" si="2"/>
        <v>2</v>
      </c>
      <c r="G11" s="14">
        <f t="shared" si="3"/>
        <v>3.0416000000000003</v>
      </c>
      <c r="H11" s="14">
        <f t="shared" si="4"/>
        <v>0.4</v>
      </c>
      <c r="I11" s="14">
        <f t="shared" si="5"/>
        <v>0</v>
      </c>
      <c r="J11" s="14">
        <f t="shared" si="6"/>
        <v>0</v>
      </c>
      <c r="K11" s="15">
        <f>IF(CurrentMtgRatesDataTable8[[#This Row],[WA CC]]&lt;&gt;0,C10-CurrentMtgRatesDataTable8[[#This Row],[WA CC]],0)</f>
        <v>0</v>
      </c>
      <c r="L11" s="16">
        <f>IF(CurrentMtgRatesDataTable8[[#This Row],[Servicing Spread]]&lt;=0,L10,CurrentMtgRatesDataTable8[[#This Row],[Servicing Spread]])</f>
        <v>0.7782</v>
      </c>
      <c r="M11" s="16">
        <f>CurrentMtgRatesDataTable8[[#This Row],[Servicing Spread Non-Zero]]-L10</f>
        <v>0</v>
      </c>
      <c r="N11" s="16">
        <f>IF(J10&lt;&gt;0,CurrentMtgRatesDataTable8[[#This Row],[Rate]]-C10,N10)</f>
        <v>9.5000000000000639E-2</v>
      </c>
      <c r="P11" s="7" t="s">
        <v>17</v>
      </c>
      <c r="Q11" s="7">
        <v>4</v>
      </c>
      <c r="R11" s="7">
        <v>0</v>
      </c>
    </row>
    <row r="12" spans="1:18" s="7" customFormat="1">
      <c r="A12" s="8" t="s">
        <v>1364</v>
      </c>
      <c r="B12" s="11">
        <v>7.5810000000000004</v>
      </c>
      <c r="C12" s="13">
        <v>8.2900000000000009</v>
      </c>
      <c r="D12" s="14">
        <f t="shared" si="0"/>
        <v>6</v>
      </c>
      <c r="E12" s="14">
        <f t="shared" si="1"/>
        <v>0.2</v>
      </c>
      <c r="F12" s="14">
        <f t="shared" si="2"/>
        <v>3</v>
      </c>
      <c r="G12" s="14">
        <f t="shared" si="3"/>
        <v>4.5578000000000003</v>
      </c>
      <c r="H12" s="14">
        <f t="shared" si="4"/>
        <v>0.60000000000000009</v>
      </c>
      <c r="I12" s="14">
        <f t="shared" si="5"/>
        <v>0</v>
      </c>
      <c r="J12" s="14">
        <f t="shared" si="6"/>
        <v>0</v>
      </c>
      <c r="K12" s="15">
        <f>IF(CurrentMtgRatesDataTable8[[#This Row],[WA CC]]&lt;&gt;0,C11-CurrentMtgRatesDataTable8[[#This Row],[WA CC]],0)</f>
        <v>0</v>
      </c>
      <c r="L12" s="16">
        <f>IF(CurrentMtgRatesDataTable8[[#This Row],[Servicing Spread]]&lt;=0,L11,CurrentMtgRatesDataTable8[[#This Row],[Servicing Spread]])</f>
        <v>0.7782</v>
      </c>
      <c r="M12" s="16">
        <f>CurrentMtgRatesDataTable8[[#This Row],[Servicing Spread Non-Zero]]-L11</f>
        <v>0</v>
      </c>
      <c r="N12" s="16">
        <f>IF(J11&lt;&gt;0,CurrentMtgRatesDataTable8[[#This Row],[Rate]]-C11,N11)</f>
        <v>9.5000000000000639E-2</v>
      </c>
    </row>
    <row r="13" spans="1:18" s="7" customFormat="1">
      <c r="A13" s="8" t="s">
        <v>1365</v>
      </c>
      <c r="B13" s="11">
        <v>7.5519999999999996</v>
      </c>
      <c r="C13" s="13">
        <v>8.2900000000000009</v>
      </c>
      <c r="D13" s="14">
        <f t="shared" si="0"/>
        <v>7</v>
      </c>
      <c r="E13" s="14">
        <f t="shared" si="1"/>
        <v>0.2</v>
      </c>
      <c r="F13" s="14">
        <f t="shared" si="2"/>
        <v>4</v>
      </c>
      <c r="G13" s="14">
        <f t="shared" si="3"/>
        <v>6.0682</v>
      </c>
      <c r="H13" s="14">
        <f t="shared" si="4"/>
        <v>0.8</v>
      </c>
      <c r="I13" s="14">
        <f t="shared" si="5"/>
        <v>1</v>
      </c>
      <c r="J13" s="14">
        <f t="shared" si="6"/>
        <v>7.5852499999999994</v>
      </c>
      <c r="K13" s="15">
        <f>IF(CurrentMtgRatesDataTable8[[#This Row],[WA CC]]&lt;&gt;0,C12-CurrentMtgRatesDataTable8[[#This Row],[WA CC]],0)</f>
        <v>0.70475000000000154</v>
      </c>
      <c r="L13" s="16">
        <f>IF(CurrentMtgRatesDataTable8[[#This Row],[Servicing Spread]]&lt;=0,L12,CurrentMtgRatesDataTable8[[#This Row],[Servicing Spread]])</f>
        <v>0.70475000000000154</v>
      </c>
      <c r="M13" s="16">
        <f>CurrentMtgRatesDataTable8[[#This Row],[Servicing Spread Non-Zero]]-L12</f>
        <v>-7.3449999999998461E-2</v>
      </c>
      <c r="N13" s="16">
        <f>IF(J12&lt;&gt;0,CurrentMtgRatesDataTable8[[#This Row],[Rate]]-C12,N12)</f>
        <v>9.5000000000000639E-2</v>
      </c>
    </row>
    <row r="14" spans="1:18" s="7" customFormat="1">
      <c r="A14" s="8" t="s">
        <v>1366</v>
      </c>
      <c r="B14" s="11">
        <v>7.0919999999999996</v>
      </c>
      <c r="C14" s="13">
        <v>7.57</v>
      </c>
      <c r="D14" s="14">
        <f t="shared" si="0"/>
        <v>1</v>
      </c>
      <c r="E14" s="14">
        <f t="shared" si="1"/>
        <v>0.2</v>
      </c>
      <c r="F14" s="14">
        <f t="shared" si="2"/>
        <v>1</v>
      </c>
      <c r="G14" s="14">
        <f t="shared" si="3"/>
        <v>1.4184000000000001</v>
      </c>
      <c r="H14" s="14">
        <f t="shared" si="4"/>
        <v>0.2</v>
      </c>
      <c r="I14" s="14">
        <f t="shared" si="5"/>
        <v>0</v>
      </c>
      <c r="J14" s="14">
        <f t="shared" si="6"/>
        <v>0</v>
      </c>
      <c r="K14" s="15">
        <f>IF(CurrentMtgRatesDataTable8[[#This Row],[WA CC]]&lt;&gt;0,C13-CurrentMtgRatesDataTable8[[#This Row],[WA CC]],0)</f>
        <v>0</v>
      </c>
      <c r="L14" s="16">
        <f>IF(CurrentMtgRatesDataTable8[[#This Row],[Servicing Spread]]&lt;=0,L13,CurrentMtgRatesDataTable8[[#This Row],[Servicing Spread]])</f>
        <v>0.70475000000000154</v>
      </c>
      <c r="M14" s="16">
        <f>CurrentMtgRatesDataTable8[[#This Row],[Servicing Spread Non-Zero]]-L13</f>
        <v>0</v>
      </c>
      <c r="N14" s="16">
        <f>IF(J13&lt;&gt;0,CurrentMtgRatesDataTable8[[#This Row],[Rate]]-C13,N13)</f>
        <v>-0.72000000000000064</v>
      </c>
    </row>
    <row r="15" spans="1:18" s="7" customFormat="1">
      <c r="A15" s="8" t="s">
        <v>1367</v>
      </c>
      <c r="B15" s="11">
        <v>7.1449999999999996</v>
      </c>
      <c r="C15" s="13">
        <v>7.57</v>
      </c>
      <c r="D15" s="14">
        <f t="shared" si="0"/>
        <v>2</v>
      </c>
      <c r="E15" s="14">
        <f t="shared" si="1"/>
        <v>0.2</v>
      </c>
      <c r="F15" s="14">
        <f t="shared" si="2"/>
        <v>2</v>
      </c>
      <c r="G15" s="14">
        <f t="shared" si="3"/>
        <v>2.8474000000000004</v>
      </c>
      <c r="H15" s="14">
        <f t="shared" si="4"/>
        <v>0.4</v>
      </c>
      <c r="I15" s="14">
        <f t="shared" si="5"/>
        <v>0</v>
      </c>
      <c r="J15" s="14">
        <f t="shared" si="6"/>
        <v>0</v>
      </c>
      <c r="K15" s="15">
        <f>IF(CurrentMtgRatesDataTable8[[#This Row],[WA CC]]&lt;&gt;0,C14-CurrentMtgRatesDataTable8[[#This Row],[WA CC]],0)</f>
        <v>0</v>
      </c>
      <c r="L15" s="16">
        <f>IF(CurrentMtgRatesDataTable8[[#This Row],[Servicing Spread]]&lt;=0,L14,CurrentMtgRatesDataTable8[[#This Row],[Servicing Spread]])</f>
        <v>0.70475000000000154</v>
      </c>
      <c r="M15" s="16">
        <f>CurrentMtgRatesDataTable8[[#This Row],[Servicing Spread Non-Zero]]-L14</f>
        <v>0</v>
      </c>
      <c r="N15" s="16">
        <f>IF(J14&lt;&gt;0,CurrentMtgRatesDataTable8[[#This Row],[Rate]]-C14,N14)</f>
        <v>-0.72000000000000064</v>
      </c>
    </row>
    <row r="16" spans="1:18" s="7" customFormat="1">
      <c r="A16" s="8" t="s">
        <v>1368</v>
      </c>
      <c r="B16" s="11">
        <v>7.1820000000000004</v>
      </c>
      <c r="C16" s="13">
        <v>7.57</v>
      </c>
      <c r="D16" s="14">
        <f t="shared" si="0"/>
        <v>5</v>
      </c>
      <c r="E16" s="14">
        <f t="shared" si="1"/>
        <v>0.2</v>
      </c>
      <c r="F16" s="14">
        <f t="shared" si="2"/>
        <v>3</v>
      </c>
      <c r="G16" s="14">
        <f t="shared" si="3"/>
        <v>4.2838000000000003</v>
      </c>
      <c r="H16" s="14">
        <f t="shared" si="4"/>
        <v>0.60000000000000009</v>
      </c>
      <c r="I16" s="14">
        <f t="shared" si="5"/>
        <v>0</v>
      </c>
      <c r="J16" s="14">
        <f t="shared" si="6"/>
        <v>0</v>
      </c>
      <c r="K16" s="15">
        <f>IF(CurrentMtgRatesDataTable8[[#This Row],[WA CC]]&lt;&gt;0,C15-CurrentMtgRatesDataTable8[[#This Row],[WA CC]],0)</f>
        <v>0</v>
      </c>
      <c r="L16" s="16">
        <f>IF(CurrentMtgRatesDataTable8[[#This Row],[Servicing Spread]]&lt;=0,L15,CurrentMtgRatesDataTable8[[#This Row],[Servicing Spread]])</f>
        <v>0.70475000000000154</v>
      </c>
      <c r="M16" s="16">
        <f>CurrentMtgRatesDataTable8[[#This Row],[Servicing Spread Non-Zero]]-L15</f>
        <v>0</v>
      </c>
      <c r="N16" s="16">
        <f>IF(J15&lt;&gt;0,CurrentMtgRatesDataTable8[[#This Row],[Rate]]-C15,N15)</f>
        <v>-0.72000000000000064</v>
      </c>
    </row>
    <row r="17" spans="1:14" s="7" customFormat="1">
      <c r="A17" s="8" t="s">
        <v>1369</v>
      </c>
      <c r="B17" s="11">
        <v>7.1989999999999998</v>
      </c>
      <c r="C17" s="13">
        <v>7.57</v>
      </c>
      <c r="D17" s="14">
        <f t="shared" si="0"/>
        <v>6</v>
      </c>
      <c r="E17" s="14">
        <f t="shared" si="1"/>
        <v>0.2</v>
      </c>
      <c r="F17" s="14">
        <f t="shared" si="2"/>
        <v>4</v>
      </c>
      <c r="G17" s="14">
        <f t="shared" si="3"/>
        <v>5.7236000000000002</v>
      </c>
      <c r="H17" s="14">
        <f t="shared" si="4"/>
        <v>0.8</v>
      </c>
      <c r="I17" s="14">
        <f t="shared" si="5"/>
        <v>0</v>
      </c>
      <c r="J17" s="14">
        <f t="shared" si="6"/>
        <v>0</v>
      </c>
      <c r="K17" s="15">
        <f>IF(CurrentMtgRatesDataTable8[[#This Row],[WA CC]]&lt;&gt;0,C16-CurrentMtgRatesDataTable8[[#This Row],[WA CC]],0)</f>
        <v>0</v>
      </c>
      <c r="L17" s="16">
        <f>IF(CurrentMtgRatesDataTable8[[#This Row],[Servicing Spread]]&lt;=0,L16,CurrentMtgRatesDataTable8[[#This Row],[Servicing Spread]])</f>
        <v>0.70475000000000154</v>
      </c>
      <c r="M17" s="16">
        <f>CurrentMtgRatesDataTable8[[#This Row],[Servicing Spread Non-Zero]]-L16</f>
        <v>0</v>
      </c>
      <c r="N17" s="16">
        <f>IF(J16&lt;&gt;0,CurrentMtgRatesDataTable8[[#This Row],[Rate]]-C16,N16)</f>
        <v>-0.72000000000000064</v>
      </c>
    </row>
    <row r="18" spans="1:14" s="7" customFormat="1">
      <c r="A18" s="8" t="s">
        <v>1370</v>
      </c>
      <c r="B18" s="11">
        <v>7.1319999999999997</v>
      </c>
      <c r="C18" s="13">
        <v>7.57</v>
      </c>
      <c r="D18" s="14">
        <f t="shared" si="0"/>
        <v>7</v>
      </c>
      <c r="E18" s="14">
        <f t="shared" si="1"/>
        <v>0.2</v>
      </c>
      <c r="F18" s="14">
        <f t="shared" si="2"/>
        <v>5</v>
      </c>
      <c r="G18" s="14">
        <f t="shared" si="3"/>
        <v>7.15</v>
      </c>
      <c r="H18" s="14">
        <f t="shared" si="4"/>
        <v>1</v>
      </c>
      <c r="I18" s="14">
        <f t="shared" si="5"/>
        <v>1</v>
      </c>
      <c r="J18" s="14">
        <f t="shared" si="6"/>
        <v>7.15</v>
      </c>
      <c r="K18" s="15">
        <f>IF(CurrentMtgRatesDataTable8[[#This Row],[WA CC]]&lt;&gt;0,C17-CurrentMtgRatesDataTable8[[#This Row],[WA CC]],0)</f>
        <v>0.41999999999999993</v>
      </c>
      <c r="L18" s="16">
        <f>IF(CurrentMtgRatesDataTable8[[#This Row],[Servicing Spread]]&lt;=0,L17,CurrentMtgRatesDataTable8[[#This Row],[Servicing Spread]])</f>
        <v>0.41999999999999993</v>
      </c>
      <c r="M18" s="16">
        <f>CurrentMtgRatesDataTable8[[#This Row],[Servicing Spread Non-Zero]]-L17</f>
        <v>-0.28475000000000161</v>
      </c>
      <c r="N18" s="16">
        <f>IF(J17&lt;&gt;0,CurrentMtgRatesDataTable8[[#This Row],[Rate]]-C17,N17)</f>
        <v>-0.72000000000000064</v>
      </c>
    </row>
    <row r="19" spans="1:14" s="7" customFormat="1">
      <c r="A19" s="8" t="s">
        <v>1371</v>
      </c>
      <c r="B19" s="11">
        <v>6.5049999999999999</v>
      </c>
      <c r="C19" s="13">
        <v>6.83</v>
      </c>
      <c r="D19" s="14">
        <f t="shared" si="0"/>
        <v>1</v>
      </c>
      <c r="E19" s="14">
        <f t="shared" si="1"/>
        <v>0.2</v>
      </c>
      <c r="F19" s="14">
        <f t="shared" si="2"/>
        <v>1</v>
      </c>
      <c r="G19" s="14">
        <f t="shared" si="3"/>
        <v>1.3010000000000002</v>
      </c>
      <c r="H19" s="14">
        <f t="shared" si="4"/>
        <v>0.2</v>
      </c>
      <c r="I19" s="14">
        <f t="shared" si="5"/>
        <v>0</v>
      </c>
      <c r="J19" s="14">
        <f t="shared" si="6"/>
        <v>0</v>
      </c>
      <c r="K19" s="15">
        <f>IF(CurrentMtgRatesDataTable8[[#This Row],[WA CC]]&lt;&gt;0,C18-CurrentMtgRatesDataTable8[[#This Row],[WA CC]],0)</f>
        <v>0</v>
      </c>
      <c r="L19" s="16">
        <f>IF(CurrentMtgRatesDataTable8[[#This Row],[Servicing Spread]]&lt;=0,L18,CurrentMtgRatesDataTable8[[#This Row],[Servicing Spread]])</f>
        <v>0.41999999999999993</v>
      </c>
      <c r="M19" s="16">
        <f>CurrentMtgRatesDataTable8[[#This Row],[Servicing Spread Non-Zero]]-L18</f>
        <v>0</v>
      </c>
      <c r="N19" s="16">
        <f>IF(J18&lt;&gt;0,CurrentMtgRatesDataTable8[[#This Row],[Rate]]-C18,N18)</f>
        <v>-0.74000000000000021</v>
      </c>
    </row>
    <row r="20" spans="1:14" s="7" customFormat="1">
      <c r="A20" s="8" t="s">
        <v>1372</v>
      </c>
      <c r="B20" s="11">
        <v>6.4509999999999996</v>
      </c>
      <c r="C20" s="13">
        <v>6.83</v>
      </c>
      <c r="D20" s="14">
        <f t="shared" si="0"/>
        <v>5</v>
      </c>
      <c r="E20" s="14">
        <f t="shared" si="1"/>
        <v>0.2</v>
      </c>
      <c r="F20" s="14">
        <f t="shared" si="2"/>
        <v>2</v>
      </c>
      <c r="G20" s="14">
        <f t="shared" si="3"/>
        <v>2.5912000000000002</v>
      </c>
      <c r="H20" s="14">
        <f t="shared" si="4"/>
        <v>0.4</v>
      </c>
      <c r="I20" s="14">
        <f t="shared" si="5"/>
        <v>0</v>
      </c>
      <c r="J20" s="14">
        <f t="shared" si="6"/>
        <v>0</v>
      </c>
      <c r="K20" s="15">
        <f>IF(CurrentMtgRatesDataTable8[[#This Row],[WA CC]]&lt;&gt;0,C19-CurrentMtgRatesDataTable8[[#This Row],[WA CC]],0)</f>
        <v>0</v>
      </c>
      <c r="L20" s="16">
        <f>IF(CurrentMtgRatesDataTable8[[#This Row],[Servicing Spread]]&lt;=0,L19,CurrentMtgRatesDataTable8[[#This Row],[Servicing Spread]])</f>
        <v>0.41999999999999993</v>
      </c>
      <c r="M20" s="16">
        <f>CurrentMtgRatesDataTable8[[#This Row],[Servicing Spread Non-Zero]]-L19</f>
        <v>0</v>
      </c>
      <c r="N20" s="16">
        <f>IF(J19&lt;&gt;0,CurrentMtgRatesDataTable8[[#This Row],[Rate]]-C19,N19)</f>
        <v>-0.74000000000000021</v>
      </c>
    </row>
    <row r="21" spans="1:14" s="7" customFormat="1">
      <c r="A21" s="8" t="s">
        <v>1373</v>
      </c>
      <c r="B21" s="11">
        <v>6.3650000000000002</v>
      </c>
      <c r="C21" s="13">
        <v>6.83</v>
      </c>
      <c r="D21" s="14">
        <f t="shared" si="0"/>
        <v>6</v>
      </c>
      <c r="E21" s="14">
        <f t="shared" si="1"/>
        <v>0.2</v>
      </c>
      <c r="F21" s="14">
        <f t="shared" si="2"/>
        <v>3</v>
      </c>
      <c r="G21" s="14">
        <f t="shared" si="3"/>
        <v>3.8642000000000003</v>
      </c>
      <c r="H21" s="14">
        <f t="shared" si="4"/>
        <v>0.60000000000000009</v>
      </c>
      <c r="I21" s="14">
        <f t="shared" si="5"/>
        <v>0</v>
      </c>
      <c r="J21" s="14">
        <f t="shared" si="6"/>
        <v>0</v>
      </c>
      <c r="K21" s="15">
        <f>IF(CurrentMtgRatesDataTable8[[#This Row],[WA CC]]&lt;&gt;0,C20-CurrentMtgRatesDataTable8[[#This Row],[WA CC]],0)</f>
        <v>0</v>
      </c>
      <c r="L21" s="16">
        <f>IF(CurrentMtgRatesDataTable8[[#This Row],[Servicing Spread]]&lt;=0,L20,CurrentMtgRatesDataTable8[[#This Row],[Servicing Spread]])</f>
        <v>0.41999999999999993</v>
      </c>
      <c r="M21" s="16">
        <f>CurrentMtgRatesDataTable8[[#This Row],[Servicing Spread Non-Zero]]-L20</f>
        <v>0</v>
      </c>
      <c r="N21" s="16">
        <f>IF(J20&lt;&gt;0,CurrentMtgRatesDataTable8[[#This Row],[Rate]]-C20,N20)</f>
        <v>-0.74000000000000021</v>
      </c>
    </row>
    <row r="22" spans="1:14" s="7" customFormat="1">
      <c r="A22" s="8" t="s">
        <v>1374</v>
      </c>
      <c r="B22" s="11">
        <v>6.3259999999999996</v>
      </c>
      <c r="C22" s="13">
        <v>6.83</v>
      </c>
      <c r="D22" s="14">
        <f t="shared" si="0"/>
        <v>7</v>
      </c>
      <c r="E22" s="14">
        <f t="shared" si="1"/>
        <v>0.2</v>
      </c>
      <c r="F22" s="14">
        <f t="shared" si="2"/>
        <v>4</v>
      </c>
      <c r="G22" s="14">
        <f t="shared" si="3"/>
        <v>5.1294000000000004</v>
      </c>
      <c r="H22" s="14">
        <f t="shared" si="4"/>
        <v>0.8</v>
      </c>
      <c r="I22" s="14">
        <f t="shared" si="5"/>
        <v>1</v>
      </c>
      <c r="J22" s="14">
        <f t="shared" si="6"/>
        <v>6.4117500000000005</v>
      </c>
      <c r="K22" s="15">
        <f>IF(CurrentMtgRatesDataTable8[[#This Row],[WA CC]]&lt;&gt;0,C21-CurrentMtgRatesDataTable8[[#This Row],[WA CC]],0)</f>
        <v>0.41824999999999957</v>
      </c>
      <c r="L22" s="16">
        <f>IF(CurrentMtgRatesDataTable8[[#This Row],[Servicing Spread]]&lt;=0,L21,CurrentMtgRatesDataTable8[[#This Row],[Servicing Spread]])</f>
        <v>0.41824999999999957</v>
      </c>
      <c r="M22" s="16">
        <f>CurrentMtgRatesDataTable8[[#This Row],[Servicing Spread Non-Zero]]-L21</f>
        <v>-1.7500000000003624E-3</v>
      </c>
      <c r="N22" s="16">
        <f>IF(J21&lt;&gt;0,CurrentMtgRatesDataTable8[[#This Row],[Rate]]-C21,N21)</f>
        <v>-0.74000000000000021</v>
      </c>
    </row>
    <row r="23" spans="1:14" s="7" customFormat="1">
      <c r="A23" s="8" t="s">
        <v>1375</v>
      </c>
      <c r="B23" s="11">
        <v>5.0789999999999997</v>
      </c>
      <c r="C23" s="13">
        <v>5.7749999999999995</v>
      </c>
      <c r="D23" s="14">
        <f t="shared" si="0"/>
        <v>2</v>
      </c>
      <c r="E23" s="14">
        <f t="shared" si="1"/>
        <v>0.2</v>
      </c>
      <c r="F23" s="14">
        <f t="shared" si="2"/>
        <v>1</v>
      </c>
      <c r="G23" s="14">
        <f t="shared" si="3"/>
        <v>1.0158</v>
      </c>
      <c r="H23" s="14">
        <f t="shared" si="4"/>
        <v>0.2</v>
      </c>
      <c r="I23" s="14">
        <f t="shared" si="5"/>
        <v>0</v>
      </c>
      <c r="J23" s="14">
        <f t="shared" si="6"/>
        <v>0</v>
      </c>
      <c r="K23" s="15">
        <f>IF(CurrentMtgRatesDataTable8[[#This Row],[WA CC]]&lt;&gt;0,C22-CurrentMtgRatesDataTable8[[#This Row],[WA CC]],0)</f>
        <v>0</v>
      </c>
      <c r="L23" s="16">
        <f>IF(CurrentMtgRatesDataTable8[[#This Row],[Servicing Spread]]&lt;=0,L22,CurrentMtgRatesDataTable8[[#This Row],[Servicing Spread]])</f>
        <v>0.41824999999999957</v>
      </c>
      <c r="M23" s="16">
        <f>CurrentMtgRatesDataTable8[[#This Row],[Servicing Spread Non-Zero]]-L22</f>
        <v>0</v>
      </c>
      <c r="N23" s="16">
        <f>IF(J22&lt;&gt;0,CurrentMtgRatesDataTable8[[#This Row],[Rate]]-C22,N22)</f>
        <v>-1.0550000000000006</v>
      </c>
    </row>
    <row r="24" spans="1:14" s="7" customFormat="1">
      <c r="A24" s="8" t="s">
        <v>1376</v>
      </c>
      <c r="B24" s="11">
        <v>5.1280000000000001</v>
      </c>
      <c r="C24" s="13">
        <v>5.7749999999999995</v>
      </c>
      <c r="D24" s="14">
        <f t="shared" si="0"/>
        <v>5</v>
      </c>
      <c r="E24" s="14">
        <f t="shared" si="1"/>
        <v>0.2</v>
      </c>
      <c r="F24" s="14">
        <f t="shared" si="2"/>
        <v>2</v>
      </c>
      <c r="G24" s="14">
        <f t="shared" si="3"/>
        <v>2.0414000000000003</v>
      </c>
      <c r="H24" s="14">
        <f t="shared" si="4"/>
        <v>0.4</v>
      </c>
      <c r="I24" s="14">
        <f t="shared" si="5"/>
        <v>0</v>
      </c>
      <c r="J24" s="14">
        <f t="shared" si="6"/>
        <v>0</v>
      </c>
      <c r="K24" s="15">
        <f>IF(CurrentMtgRatesDataTable8[[#This Row],[WA CC]]&lt;&gt;0,C23-CurrentMtgRatesDataTable8[[#This Row],[WA CC]],0)</f>
        <v>0</v>
      </c>
      <c r="L24" s="16">
        <f>IF(CurrentMtgRatesDataTable8[[#This Row],[Servicing Spread]]&lt;=0,L23,CurrentMtgRatesDataTable8[[#This Row],[Servicing Spread]])</f>
        <v>0.41824999999999957</v>
      </c>
      <c r="M24" s="16">
        <f>CurrentMtgRatesDataTable8[[#This Row],[Servicing Spread Non-Zero]]-L23</f>
        <v>0</v>
      </c>
      <c r="N24" s="16">
        <f>IF(J23&lt;&gt;0,CurrentMtgRatesDataTable8[[#This Row],[Rate]]-C23,N23)</f>
        <v>-1.0550000000000006</v>
      </c>
    </row>
    <row r="25" spans="1:14" s="7" customFormat="1">
      <c r="A25" s="8" t="s">
        <v>1377</v>
      </c>
      <c r="B25" s="11">
        <v>5.149</v>
      </c>
      <c r="C25" s="13">
        <v>5.7749999999999995</v>
      </c>
      <c r="D25" s="14">
        <f t="shared" si="0"/>
        <v>6</v>
      </c>
      <c r="E25" s="14">
        <f t="shared" si="1"/>
        <v>0.2</v>
      </c>
      <c r="F25" s="14">
        <f t="shared" si="2"/>
        <v>3</v>
      </c>
      <c r="G25" s="14">
        <f t="shared" si="3"/>
        <v>3.0712000000000002</v>
      </c>
      <c r="H25" s="14">
        <f t="shared" si="4"/>
        <v>0.60000000000000009</v>
      </c>
      <c r="I25" s="14">
        <f t="shared" si="5"/>
        <v>0</v>
      </c>
      <c r="J25" s="14">
        <f t="shared" si="6"/>
        <v>0</v>
      </c>
      <c r="K25" s="15">
        <f>IF(CurrentMtgRatesDataTable8[[#This Row],[WA CC]]&lt;&gt;0,C24-CurrentMtgRatesDataTable8[[#This Row],[WA CC]],0)</f>
        <v>0</v>
      </c>
      <c r="L25" s="16">
        <f>IF(CurrentMtgRatesDataTable8[[#This Row],[Servicing Spread]]&lt;=0,L24,CurrentMtgRatesDataTable8[[#This Row],[Servicing Spread]])</f>
        <v>0.41824999999999957</v>
      </c>
      <c r="M25" s="16">
        <f>CurrentMtgRatesDataTable8[[#This Row],[Servicing Spread Non-Zero]]-L24</f>
        <v>0</v>
      </c>
      <c r="N25" s="16">
        <f>IF(J24&lt;&gt;0,CurrentMtgRatesDataTable8[[#This Row],[Rate]]-C24,N24)</f>
        <v>-1.0550000000000006</v>
      </c>
    </row>
    <row r="26" spans="1:14" s="7" customFormat="1">
      <c r="A26" s="8" t="s">
        <v>1378</v>
      </c>
      <c r="B26" s="11">
        <v>5.1269999999999998</v>
      </c>
      <c r="C26" s="13">
        <v>5.7749999999999995</v>
      </c>
      <c r="D26" s="14">
        <f t="shared" si="0"/>
        <v>7</v>
      </c>
      <c r="E26" s="14">
        <f t="shared" si="1"/>
        <v>0.2</v>
      </c>
      <c r="F26" s="14">
        <f t="shared" si="2"/>
        <v>4</v>
      </c>
      <c r="G26" s="14">
        <f t="shared" si="3"/>
        <v>4.0966000000000005</v>
      </c>
      <c r="H26" s="14">
        <f t="shared" si="4"/>
        <v>0.8</v>
      </c>
      <c r="I26" s="14">
        <f t="shared" si="5"/>
        <v>1</v>
      </c>
      <c r="J26" s="14">
        <f t="shared" si="6"/>
        <v>5.1207500000000001</v>
      </c>
      <c r="K26" s="15">
        <f>IF(CurrentMtgRatesDataTable8[[#This Row],[WA CC]]&lt;&gt;0,C25-CurrentMtgRatesDataTable8[[#This Row],[WA CC]],0)</f>
        <v>0.65424999999999933</v>
      </c>
      <c r="L26" s="16">
        <f>IF(CurrentMtgRatesDataTable8[[#This Row],[Servicing Spread]]&lt;=0,L25,CurrentMtgRatesDataTable8[[#This Row],[Servicing Spread]])</f>
        <v>0.65424999999999933</v>
      </c>
      <c r="M26" s="16">
        <f>CurrentMtgRatesDataTable8[[#This Row],[Servicing Spread Non-Zero]]-L25</f>
        <v>0.23599999999999977</v>
      </c>
      <c r="N26" s="16">
        <f>IF(J25&lt;&gt;0,CurrentMtgRatesDataTable8[[#This Row],[Rate]]-C25,N25)</f>
        <v>-1.0550000000000006</v>
      </c>
    </row>
    <row r="27" spans="1:14" s="7" customFormat="1">
      <c r="A27" s="8" t="s">
        <v>1379</v>
      </c>
      <c r="B27" s="11">
        <v>5.2380000000000004</v>
      </c>
      <c r="C27" s="13">
        <v>5.7949999999999999</v>
      </c>
      <c r="D27" s="14">
        <f t="shared" si="0"/>
        <v>2</v>
      </c>
      <c r="E27" s="14">
        <f t="shared" si="1"/>
        <v>0.2</v>
      </c>
      <c r="F27" s="14">
        <f t="shared" si="2"/>
        <v>1</v>
      </c>
      <c r="G27" s="14">
        <f t="shared" si="3"/>
        <v>1.0476000000000001</v>
      </c>
      <c r="H27" s="14">
        <f t="shared" si="4"/>
        <v>0.2</v>
      </c>
      <c r="I27" s="14">
        <f t="shared" si="5"/>
        <v>0</v>
      </c>
      <c r="J27" s="14">
        <f t="shared" si="6"/>
        <v>0</v>
      </c>
      <c r="K27" s="15">
        <f>IF(CurrentMtgRatesDataTable8[[#This Row],[WA CC]]&lt;&gt;0,C26-CurrentMtgRatesDataTable8[[#This Row],[WA CC]],0)</f>
        <v>0</v>
      </c>
      <c r="L27" s="16">
        <f>IF(CurrentMtgRatesDataTable8[[#This Row],[Servicing Spread]]&lt;=0,L26,CurrentMtgRatesDataTable8[[#This Row],[Servicing Spread]])</f>
        <v>0.65424999999999933</v>
      </c>
      <c r="M27" s="16">
        <f>CurrentMtgRatesDataTable8[[#This Row],[Servicing Spread Non-Zero]]-L26</f>
        <v>0</v>
      </c>
      <c r="N27" s="16">
        <f>IF(J26&lt;&gt;0,CurrentMtgRatesDataTable8[[#This Row],[Rate]]-C26,N26)</f>
        <v>2.0000000000000462E-2</v>
      </c>
    </row>
    <row r="28" spans="1:14" s="7" customFormat="1">
      <c r="A28" s="8" t="s">
        <v>1380</v>
      </c>
      <c r="B28" s="11">
        <v>5.2270000000000003</v>
      </c>
      <c r="C28" s="13">
        <v>5.7949999999999999</v>
      </c>
      <c r="D28" s="14">
        <f t="shared" si="0"/>
        <v>5</v>
      </c>
      <c r="E28" s="14">
        <f t="shared" si="1"/>
        <v>0.2</v>
      </c>
      <c r="F28" s="14">
        <f t="shared" si="2"/>
        <v>2</v>
      </c>
      <c r="G28" s="14">
        <f t="shared" si="3"/>
        <v>2.093</v>
      </c>
      <c r="H28" s="14">
        <f t="shared" si="4"/>
        <v>0.4</v>
      </c>
      <c r="I28" s="14">
        <f t="shared" si="5"/>
        <v>0</v>
      </c>
      <c r="J28" s="14">
        <f t="shared" si="6"/>
        <v>0</v>
      </c>
      <c r="K28" s="15">
        <f>IF(CurrentMtgRatesDataTable8[[#This Row],[WA CC]]&lt;&gt;0,C27-CurrentMtgRatesDataTable8[[#This Row],[WA CC]],0)</f>
        <v>0</v>
      </c>
      <c r="L28" s="16">
        <f>IF(CurrentMtgRatesDataTable8[[#This Row],[Servicing Spread]]&lt;=0,L27,CurrentMtgRatesDataTable8[[#This Row],[Servicing Spread]])</f>
        <v>0.65424999999999933</v>
      </c>
      <c r="M28" s="16">
        <f>CurrentMtgRatesDataTable8[[#This Row],[Servicing Spread Non-Zero]]-L27</f>
        <v>0</v>
      </c>
      <c r="N28" s="16">
        <f>IF(J27&lt;&gt;0,CurrentMtgRatesDataTable8[[#This Row],[Rate]]-C27,N27)</f>
        <v>2.0000000000000462E-2</v>
      </c>
    </row>
    <row r="29" spans="1:14" s="7" customFormat="1">
      <c r="A29" s="8" t="s">
        <v>1381</v>
      </c>
      <c r="B29" s="11">
        <v>5.1040000000000001</v>
      </c>
      <c r="C29" s="13">
        <v>5.7949999999999999</v>
      </c>
      <c r="D29" s="14">
        <f t="shared" si="0"/>
        <v>6</v>
      </c>
      <c r="E29" s="14">
        <f t="shared" si="1"/>
        <v>0.2</v>
      </c>
      <c r="F29" s="14">
        <f t="shared" si="2"/>
        <v>3</v>
      </c>
      <c r="G29" s="14">
        <f t="shared" si="3"/>
        <v>3.1138000000000003</v>
      </c>
      <c r="H29" s="14">
        <f t="shared" si="4"/>
        <v>0.60000000000000009</v>
      </c>
      <c r="I29" s="14">
        <f t="shared" si="5"/>
        <v>0</v>
      </c>
      <c r="J29" s="14">
        <f t="shared" si="6"/>
        <v>0</v>
      </c>
      <c r="K29" s="15">
        <f>IF(CurrentMtgRatesDataTable8[[#This Row],[WA CC]]&lt;&gt;0,C28-CurrentMtgRatesDataTable8[[#This Row],[WA CC]],0)</f>
        <v>0</v>
      </c>
      <c r="L29" s="16">
        <f>IF(CurrentMtgRatesDataTable8[[#This Row],[Servicing Spread]]&lt;=0,L28,CurrentMtgRatesDataTable8[[#This Row],[Servicing Spread]])</f>
        <v>0.65424999999999933</v>
      </c>
      <c r="M29" s="16">
        <f>CurrentMtgRatesDataTable8[[#This Row],[Servicing Spread Non-Zero]]-L28</f>
        <v>0</v>
      </c>
      <c r="N29" s="16">
        <f>IF(J28&lt;&gt;0,CurrentMtgRatesDataTable8[[#This Row],[Rate]]-C28,N28)</f>
        <v>2.0000000000000462E-2</v>
      </c>
    </row>
    <row r="30" spans="1:14" s="7" customFormat="1">
      <c r="A30" s="8" t="s">
        <v>1382</v>
      </c>
      <c r="B30" s="11">
        <v>5.0810000000000004</v>
      </c>
      <c r="C30" s="13">
        <v>5.7949999999999999</v>
      </c>
      <c r="D30" s="14">
        <f t="shared" si="0"/>
        <v>7</v>
      </c>
      <c r="E30" s="14">
        <f t="shared" si="1"/>
        <v>0.2</v>
      </c>
      <c r="F30" s="14">
        <f t="shared" si="2"/>
        <v>4</v>
      </c>
      <c r="G30" s="14">
        <f t="shared" si="3"/>
        <v>4.1300000000000008</v>
      </c>
      <c r="H30" s="14">
        <f t="shared" si="4"/>
        <v>0.8</v>
      </c>
      <c r="I30" s="14">
        <f t="shared" si="5"/>
        <v>1</v>
      </c>
      <c r="J30" s="14">
        <f t="shared" si="6"/>
        <v>5.1625000000000005</v>
      </c>
      <c r="K30" s="15">
        <f>IF(CurrentMtgRatesDataTable8[[#This Row],[WA CC]]&lt;&gt;0,C29-CurrentMtgRatesDataTable8[[#This Row],[WA CC]],0)</f>
        <v>0.6324999999999994</v>
      </c>
      <c r="L30" s="16">
        <f>IF(CurrentMtgRatesDataTable8[[#This Row],[Servicing Spread]]&lt;=0,L29,CurrentMtgRatesDataTable8[[#This Row],[Servicing Spread]])</f>
        <v>0.6324999999999994</v>
      </c>
      <c r="M30" s="16">
        <f>CurrentMtgRatesDataTable8[[#This Row],[Servicing Spread Non-Zero]]-L29</f>
        <v>-2.1749999999999936E-2</v>
      </c>
      <c r="N30" s="16">
        <f>IF(J29&lt;&gt;0,CurrentMtgRatesDataTable8[[#This Row],[Rate]]-C29,N29)</f>
        <v>2.0000000000000462E-2</v>
      </c>
    </row>
    <row r="31" spans="1:14" s="7" customFormat="1">
      <c r="A31" s="8" t="s">
        <v>1383</v>
      </c>
      <c r="B31" s="11">
        <v>5.0830000000000002</v>
      </c>
      <c r="C31" s="13">
        <v>5.5600000000000005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1.0166000000000002</v>
      </c>
      <c r="H31" s="14">
        <f t="shared" si="4"/>
        <v>0.2</v>
      </c>
      <c r="I31" s="14">
        <f t="shared" si="5"/>
        <v>0</v>
      </c>
      <c r="J31" s="14">
        <f t="shared" si="6"/>
        <v>0</v>
      </c>
      <c r="K31" s="15">
        <f>IF(CurrentMtgRatesDataTable8[[#This Row],[WA CC]]&lt;&gt;0,C30-CurrentMtgRatesDataTable8[[#This Row],[WA CC]],0)</f>
        <v>0</v>
      </c>
      <c r="L31" s="16">
        <f>IF(CurrentMtgRatesDataTable8[[#This Row],[Servicing Spread]]&lt;=0,L30,CurrentMtgRatesDataTable8[[#This Row],[Servicing Spread]])</f>
        <v>0.6324999999999994</v>
      </c>
      <c r="M31" s="16">
        <f>CurrentMtgRatesDataTable8[[#This Row],[Servicing Spread Non-Zero]]-L30</f>
        <v>0</v>
      </c>
      <c r="N31" s="16">
        <f>IF(J30&lt;&gt;0,CurrentMtgRatesDataTable8[[#This Row],[Rate]]-C30,N30)</f>
        <v>-0.23499999999999943</v>
      </c>
    </row>
    <row r="32" spans="1:14" s="7" customFormat="1">
      <c r="A32" s="8" t="s">
        <v>1384</v>
      </c>
      <c r="B32" s="11">
        <v>4.9530000000000003</v>
      </c>
      <c r="C32" s="13">
        <v>5.5600000000000005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2.0072000000000001</v>
      </c>
      <c r="H32" s="14">
        <f t="shared" si="4"/>
        <v>0.4</v>
      </c>
      <c r="I32" s="14">
        <f t="shared" si="5"/>
        <v>0</v>
      </c>
      <c r="J32" s="14">
        <f t="shared" si="6"/>
        <v>0</v>
      </c>
      <c r="K32" s="15">
        <f>IF(CurrentMtgRatesDataTable8[[#This Row],[WA CC]]&lt;&gt;0,C31-CurrentMtgRatesDataTable8[[#This Row],[WA CC]],0)</f>
        <v>0</v>
      </c>
      <c r="L32" s="16">
        <f>IF(CurrentMtgRatesDataTable8[[#This Row],[Servicing Spread]]&lt;=0,L31,CurrentMtgRatesDataTable8[[#This Row],[Servicing Spread]])</f>
        <v>0.6324999999999994</v>
      </c>
      <c r="M32" s="16">
        <f>CurrentMtgRatesDataTable8[[#This Row],[Servicing Spread Non-Zero]]-L31</f>
        <v>0</v>
      </c>
      <c r="N32" s="16">
        <f>IF(J31&lt;&gt;0,CurrentMtgRatesDataTable8[[#This Row],[Rate]]-C31,N31)</f>
        <v>-0.23499999999999943</v>
      </c>
    </row>
    <row r="33" spans="1:14" s="7" customFormat="1">
      <c r="A33" s="8" t="s">
        <v>1385</v>
      </c>
      <c r="B33" s="11">
        <v>4.9589999999999996</v>
      </c>
      <c r="C33" s="13">
        <v>5.5600000000000005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2.9990000000000001</v>
      </c>
      <c r="H33" s="14">
        <f t="shared" si="4"/>
        <v>0.60000000000000009</v>
      </c>
      <c r="I33" s="14">
        <f t="shared" si="5"/>
        <v>0</v>
      </c>
      <c r="J33" s="14">
        <f t="shared" si="6"/>
        <v>0</v>
      </c>
      <c r="K33" s="15">
        <f>IF(CurrentMtgRatesDataTable8[[#This Row],[WA CC]]&lt;&gt;0,C32-CurrentMtgRatesDataTable8[[#This Row],[WA CC]],0)</f>
        <v>0</v>
      </c>
      <c r="L33" s="16">
        <f>IF(CurrentMtgRatesDataTable8[[#This Row],[Servicing Spread]]&lt;=0,L32,CurrentMtgRatesDataTable8[[#This Row],[Servicing Spread]])</f>
        <v>0.6324999999999994</v>
      </c>
      <c r="M33" s="16">
        <f>CurrentMtgRatesDataTable8[[#This Row],[Servicing Spread Non-Zero]]-L32</f>
        <v>0</v>
      </c>
      <c r="N33" s="16">
        <f>IF(J32&lt;&gt;0,CurrentMtgRatesDataTable8[[#This Row],[Rate]]-C32,N32)</f>
        <v>-0.23499999999999943</v>
      </c>
    </row>
    <row r="34" spans="1:14" s="7" customFormat="1">
      <c r="A34" s="8" t="s">
        <v>1386</v>
      </c>
      <c r="B34" s="11">
        <v>4.9260000000000002</v>
      </c>
      <c r="C34" s="13">
        <v>5.5600000000000005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3.9842000000000004</v>
      </c>
      <c r="H34" s="14">
        <f t="shared" si="4"/>
        <v>0.8</v>
      </c>
      <c r="I34" s="14">
        <f t="shared" si="5"/>
        <v>0</v>
      </c>
      <c r="J34" s="14">
        <f t="shared" si="6"/>
        <v>0</v>
      </c>
      <c r="K34" s="15">
        <f>IF(CurrentMtgRatesDataTable8[[#This Row],[WA CC]]&lt;&gt;0,C33-CurrentMtgRatesDataTable8[[#This Row],[WA CC]],0)</f>
        <v>0</v>
      </c>
      <c r="L34" s="16">
        <f>IF(CurrentMtgRatesDataTable8[[#This Row],[Servicing Spread]]&lt;=0,L33,CurrentMtgRatesDataTable8[[#This Row],[Servicing Spread]])</f>
        <v>0.6324999999999994</v>
      </c>
      <c r="M34" s="16">
        <f>CurrentMtgRatesDataTable8[[#This Row],[Servicing Spread Non-Zero]]-L33</f>
        <v>0</v>
      </c>
      <c r="N34" s="16">
        <f>IF(J33&lt;&gt;0,CurrentMtgRatesDataTable8[[#This Row],[Rate]]-C33,N33)</f>
        <v>-0.23499999999999943</v>
      </c>
    </row>
    <row r="35" spans="1:14" s="7" customFormat="1">
      <c r="A35" s="8" t="s">
        <v>1387</v>
      </c>
      <c r="B35" s="11">
        <v>4.9059999999999997</v>
      </c>
      <c r="C35" s="13">
        <v>5.5600000000000005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4.9654000000000007</v>
      </c>
      <c r="H35" s="14">
        <f t="shared" si="4"/>
        <v>1</v>
      </c>
      <c r="I35" s="14">
        <f t="shared" si="5"/>
        <v>1</v>
      </c>
      <c r="J35" s="14">
        <f t="shared" si="6"/>
        <v>4.9654000000000007</v>
      </c>
      <c r="K35" s="15">
        <f>IF(CurrentMtgRatesDataTable8[[#This Row],[WA CC]]&lt;&gt;0,C34-CurrentMtgRatesDataTable8[[#This Row],[WA CC]],0)</f>
        <v>0.5945999999999998</v>
      </c>
      <c r="L35" s="16">
        <f>IF(CurrentMtgRatesDataTable8[[#This Row],[Servicing Spread]]&lt;=0,L34,CurrentMtgRatesDataTable8[[#This Row],[Servicing Spread]])</f>
        <v>0.5945999999999998</v>
      </c>
      <c r="M35" s="16">
        <f>CurrentMtgRatesDataTable8[[#This Row],[Servicing Spread Non-Zero]]-L34</f>
        <v>-3.7899999999999601E-2</v>
      </c>
      <c r="N35" s="16">
        <f>IF(J34&lt;&gt;0,CurrentMtgRatesDataTable8[[#This Row],[Rate]]-C34,N34)</f>
        <v>-0.23499999999999943</v>
      </c>
    </row>
    <row r="36" spans="1:14" s="7" customFormat="1">
      <c r="A36" s="8" t="s">
        <v>1388</v>
      </c>
      <c r="B36" s="11">
        <v>4.8819999999999997</v>
      </c>
      <c r="C36" s="13">
        <v>5.54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0.97639999999999993</v>
      </c>
      <c r="H36" s="14">
        <f t="shared" si="4"/>
        <v>0.2</v>
      </c>
      <c r="I36" s="14">
        <f t="shared" si="5"/>
        <v>0</v>
      </c>
      <c r="J36" s="14">
        <f t="shared" si="6"/>
        <v>0</v>
      </c>
      <c r="K36" s="15">
        <f>IF(CurrentMtgRatesDataTable8[[#This Row],[WA CC]]&lt;&gt;0,C35-CurrentMtgRatesDataTable8[[#This Row],[WA CC]],0)</f>
        <v>0</v>
      </c>
      <c r="L36" s="16">
        <f>IF(CurrentMtgRatesDataTable8[[#This Row],[Servicing Spread]]&lt;=0,L35,CurrentMtgRatesDataTable8[[#This Row],[Servicing Spread]])</f>
        <v>0.5945999999999998</v>
      </c>
      <c r="M36" s="16">
        <f>CurrentMtgRatesDataTable8[[#This Row],[Servicing Spread Non-Zero]]-L35</f>
        <v>0</v>
      </c>
      <c r="N36" s="16">
        <f>IF(J35&lt;&gt;0,CurrentMtgRatesDataTable8[[#This Row],[Rate]]-C35,N35)</f>
        <v>-2.0000000000000462E-2</v>
      </c>
    </row>
    <row r="37" spans="1:14" s="7" customFormat="1">
      <c r="A37" s="8" t="s">
        <v>1389</v>
      </c>
      <c r="B37" s="11">
        <v>4.931</v>
      </c>
      <c r="C37" s="13">
        <v>5.54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1.9626000000000001</v>
      </c>
      <c r="H37" s="14">
        <f t="shared" si="4"/>
        <v>0.4</v>
      </c>
      <c r="I37" s="14">
        <f t="shared" si="5"/>
        <v>0</v>
      </c>
      <c r="J37" s="14">
        <f t="shared" si="6"/>
        <v>0</v>
      </c>
      <c r="K37" s="15">
        <f>IF(CurrentMtgRatesDataTable8[[#This Row],[WA CC]]&lt;&gt;0,C36-CurrentMtgRatesDataTable8[[#This Row],[WA CC]],0)</f>
        <v>0</v>
      </c>
      <c r="L37" s="16">
        <f>IF(CurrentMtgRatesDataTable8[[#This Row],[Servicing Spread]]&lt;=0,L36,CurrentMtgRatesDataTable8[[#This Row],[Servicing Spread]])</f>
        <v>0.5945999999999998</v>
      </c>
      <c r="M37" s="16">
        <f>CurrentMtgRatesDataTable8[[#This Row],[Servicing Spread Non-Zero]]-L36</f>
        <v>0</v>
      </c>
      <c r="N37" s="16">
        <f>IF(J36&lt;&gt;0,CurrentMtgRatesDataTable8[[#This Row],[Rate]]-C36,N36)</f>
        <v>-2.0000000000000462E-2</v>
      </c>
    </row>
    <row r="38" spans="1:14" s="7" customFormat="1">
      <c r="A38" s="8" t="s">
        <v>1390</v>
      </c>
      <c r="B38" s="11">
        <v>4.9480000000000004</v>
      </c>
      <c r="C38" s="13">
        <v>5.54</v>
      </c>
      <c r="D38" s="14">
        <f t="shared" si="0"/>
        <v>6</v>
      </c>
      <c r="E38" s="14">
        <f t="shared" si="1"/>
        <v>0.2</v>
      </c>
      <c r="F38" s="14">
        <f t="shared" si="2"/>
        <v>3</v>
      </c>
      <c r="G38" s="14">
        <f t="shared" si="3"/>
        <v>2.9522000000000004</v>
      </c>
      <c r="H38" s="14">
        <f t="shared" si="4"/>
        <v>0.60000000000000009</v>
      </c>
      <c r="I38" s="14">
        <f t="shared" si="5"/>
        <v>0</v>
      </c>
      <c r="J38" s="14">
        <f t="shared" si="6"/>
        <v>0</v>
      </c>
      <c r="K38" s="15">
        <f>IF(CurrentMtgRatesDataTable8[[#This Row],[WA CC]]&lt;&gt;0,C37-CurrentMtgRatesDataTable8[[#This Row],[WA CC]],0)</f>
        <v>0</v>
      </c>
      <c r="L38" s="16">
        <f>IF(CurrentMtgRatesDataTable8[[#This Row],[Servicing Spread]]&lt;=0,L37,CurrentMtgRatesDataTable8[[#This Row],[Servicing Spread]])</f>
        <v>0.5945999999999998</v>
      </c>
      <c r="M38" s="16">
        <f>CurrentMtgRatesDataTable8[[#This Row],[Servicing Spread Non-Zero]]-L37</f>
        <v>0</v>
      </c>
      <c r="N38" s="16">
        <f>IF(J37&lt;&gt;0,CurrentMtgRatesDataTable8[[#This Row],[Rate]]-C37,N37)</f>
        <v>-2.0000000000000462E-2</v>
      </c>
    </row>
    <row r="39" spans="1:14" s="7" customFormat="1">
      <c r="A39" s="8" t="s">
        <v>1391</v>
      </c>
      <c r="B39" s="11">
        <v>4.931</v>
      </c>
      <c r="C39" s="13">
        <v>5.54</v>
      </c>
      <c r="D39" s="14">
        <f t="shared" si="0"/>
        <v>7</v>
      </c>
      <c r="E39" s="14">
        <f t="shared" si="1"/>
        <v>0.2</v>
      </c>
      <c r="F39" s="14">
        <f t="shared" si="2"/>
        <v>4</v>
      </c>
      <c r="G39" s="14">
        <f t="shared" si="3"/>
        <v>3.9384000000000006</v>
      </c>
      <c r="H39" s="14">
        <f t="shared" si="4"/>
        <v>0.8</v>
      </c>
      <c r="I39" s="14">
        <f t="shared" si="5"/>
        <v>1</v>
      </c>
      <c r="J39" s="14">
        <f t="shared" si="6"/>
        <v>4.923</v>
      </c>
      <c r="K39" s="15">
        <f>IF(CurrentMtgRatesDataTable8[[#This Row],[WA CC]]&lt;&gt;0,C38-CurrentMtgRatesDataTable8[[#This Row],[WA CC]],0)</f>
        <v>0.61699999999999999</v>
      </c>
      <c r="L39" s="16">
        <f>IF(CurrentMtgRatesDataTable8[[#This Row],[Servicing Spread]]&lt;=0,L38,CurrentMtgRatesDataTable8[[#This Row],[Servicing Spread]])</f>
        <v>0.61699999999999999</v>
      </c>
      <c r="M39" s="16">
        <f>CurrentMtgRatesDataTable8[[#This Row],[Servicing Spread Non-Zero]]-L38</f>
        <v>2.2400000000000198E-2</v>
      </c>
      <c r="N39" s="16">
        <f>IF(J38&lt;&gt;0,CurrentMtgRatesDataTable8[[#This Row],[Rate]]-C38,N38)</f>
        <v>-2.0000000000000462E-2</v>
      </c>
    </row>
    <row r="40" spans="1:14" s="7" customFormat="1">
      <c r="A40" s="8" t="s">
        <v>1392</v>
      </c>
      <c r="B40" s="11">
        <v>4.8869999999999996</v>
      </c>
      <c r="C40" s="13">
        <v>5.6049999999999995</v>
      </c>
      <c r="D40" s="14">
        <f t="shared" si="0"/>
        <v>1</v>
      </c>
      <c r="E40" s="14">
        <f t="shared" si="1"/>
        <v>0.2</v>
      </c>
      <c r="F40" s="14">
        <f t="shared" si="2"/>
        <v>1</v>
      </c>
      <c r="G40" s="14">
        <f t="shared" si="3"/>
        <v>0.97739999999999994</v>
      </c>
      <c r="H40" s="14">
        <f t="shared" si="4"/>
        <v>0.2</v>
      </c>
      <c r="I40" s="14">
        <f t="shared" si="5"/>
        <v>0</v>
      </c>
      <c r="J40" s="14">
        <f t="shared" si="6"/>
        <v>0</v>
      </c>
      <c r="K40" s="15">
        <f>IF(CurrentMtgRatesDataTable8[[#This Row],[WA CC]]&lt;&gt;0,C39-CurrentMtgRatesDataTable8[[#This Row],[WA CC]],0)</f>
        <v>0</v>
      </c>
      <c r="L40" s="16">
        <f>IF(CurrentMtgRatesDataTable8[[#This Row],[Servicing Spread]]&lt;=0,L39,CurrentMtgRatesDataTable8[[#This Row],[Servicing Spread]])</f>
        <v>0.61699999999999999</v>
      </c>
      <c r="M40" s="16">
        <f>CurrentMtgRatesDataTable8[[#This Row],[Servicing Spread Non-Zero]]-L39</f>
        <v>0</v>
      </c>
      <c r="N40" s="16">
        <f>IF(J39&lt;&gt;0,CurrentMtgRatesDataTable8[[#This Row],[Rate]]-C39,N39)</f>
        <v>6.4999999999999503E-2</v>
      </c>
    </row>
    <row r="41" spans="1:14" s="7" customFormat="1">
      <c r="A41" s="8" t="s">
        <v>1393</v>
      </c>
      <c r="B41" s="11">
        <v>4.9790000000000001</v>
      </c>
      <c r="C41" s="13">
        <v>5.6049999999999995</v>
      </c>
      <c r="D41" s="14">
        <f t="shared" si="0"/>
        <v>2</v>
      </c>
      <c r="E41" s="14">
        <f t="shared" si="1"/>
        <v>0.2</v>
      </c>
      <c r="F41" s="14">
        <f t="shared" si="2"/>
        <v>2</v>
      </c>
      <c r="G41" s="14">
        <f t="shared" si="3"/>
        <v>1.9731999999999998</v>
      </c>
      <c r="H41" s="14">
        <f t="shared" si="4"/>
        <v>0.4</v>
      </c>
      <c r="I41" s="14">
        <f t="shared" si="5"/>
        <v>0</v>
      </c>
      <c r="J41" s="14">
        <f t="shared" si="6"/>
        <v>0</v>
      </c>
      <c r="K41" s="15">
        <f>IF(CurrentMtgRatesDataTable8[[#This Row],[WA CC]]&lt;&gt;0,C40-CurrentMtgRatesDataTable8[[#This Row],[WA CC]],0)</f>
        <v>0</v>
      </c>
      <c r="L41" s="16">
        <f>IF(CurrentMtgRatesDataTable8[[#This Row],[Servicing Spread]]&lt;=0,L40,CurrentMtgRatesDataTable8[[#This Row],[Servicing Spread]])</f>
        <v>0.61699999999999999</v>
      </c>
      <c r="M41" s="16">
        <f>CurrentMtgRatesDataTable8[[#This Row],[Servicing Spread Non-Zero]]-L40</f>
        <v>0</v>
      </c>
      <c r="N41" s="16">
        <f>IF(J40&lt;&gt;0,CurrentMtgRatesDataTable8[[#This Row],[Rate]]-C40,N40)</f>
        <v>6.4999999999999503E-2</v>
      </c>
    </row>
    <row r="42" spans="1:14" s="7" customFormat="1">
      <c r="A42" s="8" t="s">
        <v>1394</v>
      </c>
      <c r="B42" s="11">
        <v>5.0380000000000003</v>
      </c>
      <c r="C42" s="13">
        <v>5.6049999999999995</v>
      </c>
      <c r="D42" s="14">
        <f t="shared" si="0"/>
        <v>5</v>
      </c>
      <c r="E42" s="14">
        <f t="shared" si="1"/>
        <v>0.2</v>
      </c>
      <c r="F42" s="14">
        <f t="shared" si="2"/>
        <v>3</v>
      </c>
      <c r="G42" s="14">
        <f t="shared" si="3"/>
        <v>2.9807999999999999</v>
      </c>
      <c r="H42" s="14">
        <f t="shared" si="4"/>
        <v>0.60000000000000009</v>
      </c>
      <c r="I42" s="14">
        <f t="shared" si="5"/>
        <v>0</v>
      </c>
      <c r="J42" s="14">
        <f t="shared" si="6"/>
        <v>0</v>
      </c>
      <c r="K42" s="15">
        <f>IF(CurrentMtgRatesDataTable8[[#This Row],[WA CC]]&lt;&gt;0,C41-CurrentMtgRatesDataTable8[[#This Row],[WA CC]],0)</f>
        <v>0</v>
      </c>
      <c r="L42" s="16">
        <f>IF(CurrentMtgRatesDataTable8[[#This Row],[Servicing Spread]]&lt;=0,L41,CurrentMtgRatesDataTable8[[#This Row],[Servicing Spread]])</f>
        <v>0.61699999999999999</v>
      </c>
      <c r="M42" s="16">
        <f>CurrentMtgRatesDataTable8[[#This Row],[Servicing Spread Non-Zero]]-L41</f>
        <v>0</v>
      </c>
      <c r="N42" s="16">
        <f>IF(J41&lt;&gt;0,CurrentMtgRatesDataTable8[[#This Row],[Rate]]-C41,N41)</f>
        <v>6.4999999999999503E-2</v>
      </c>
    </row>
    <row r="43" spans="1:14" s="7" customFormat="1">
      <c r="A43" s="8" t="s">
        <v>1395</v>
      </c>
      <c r="B43" s="11">
        <v>4.9939999999999998</v>
      </c>
      <c r="C43" s="13">
        <v>5.6049999999999995</v>
      </c>
      <c r="D43" s="14">
        <f t="shared" si="0"/>
        <v>6</v>
      </c>
      <c r="E43" s="14">
        <f t="shared" si="1"/>
        <v>0.2</v>
      </c>
      <c r="F43" s="14">
        <f t="shared" si="2"/>
        <v>4</v>
      </c>
      <c r="G43" s="14">
        <f t="shared" si="3"/>
        <v>3.9796</v>
      </c>
      <c r="H43" s="14">
        <f t="shared" si="4"/>
        <v>0.8</v>
      </c>
      <c r="I43" s="14">
        <f t="shared" si="5"/>
        <v>0</v>
      </c>
      <c r="J43" s="14">
        <f t="shared" si="6"/>
        <v>0</v>
      </c>
      <c r="K43" s="15">
        <f>IF(CurrentMtgRatesDataTable8[[#This Row],[WA CC]]&lt;&gt;0,C42-CurrentMtgRatesDataTable8[[#This Row],[WA CC]],0)</f>
        <v>0</v>
      </c>
      <c r="L43" s="16">
        <f>IF(CurrentMtgRatesDataTable8[[#This Row],[Servicing Spread]]&lt;=0,L42,CurrentMtgRatesDataTable8[[#This Row],[Servicing Spread]])</f>
        <v>0.61699999999999999</v>
      </c>
      <c r="M43" s="16">
        <f>CurrentMtgRatesDataTable8[[#This Row],[Servicing Spread Non-Zero]]-L42</f>
        <v>0</v>
      </c>
      <c r="N43" s="16">
        <f>IF(J42&lt;&gt;0,CurrentMtgRatesDataTable8[[#This Row],[Rate]]-C42,N42)</f>
        <v>6.4999999999999503E-2</v>
      </c>
    </row>
    <row r="44" spans="1:14" s="7" customFormat="1">
      <c r="A44" s="8" t="s">
        <v>1396</v>
      </c>
      <c r="B44" s="11">
        <v>5.1059999999999999</v>
      </c>
      <c r="C44" s="13">
        <v>5.6049999999999995</v>
      </c>
      <c r="D44" s="14">
        <f t="shared" si="0"/>
        <v>7</v>
      </c>
      <c r="E44" s="14">
        <f t="shared" si="1"/>
        <v>0.2</v>
      </c>
      <c r="F44" s="14">
        <f t="shared" si="2"/>
        <v>5</v>
      </c>
      <c r="G44" s="14">
        <f t="shared" si="3"/>
        <v>5.0007999999999999</v>
      </c>
      <c r="H44" s="14">
        <f t="shared" si="4"/>
        <v>1</v>
      </c>
      <c r="I44" s="14">
        <f t="shared" si="5"/>
        <v>1</v>
      </c>
      <c r="J44" s="14">
        <f t="shared" si="6"/>
        <v>5.0007999999999999</v>
      </c>
      <c r="K44" s="15">
        <f>IF(CurrentMtgRatesDataTable8[[#This Row],[WA CC]]&lt;&gt;0,C43-CurrentMtgRatesDataTable8[[#This Row],[WA CC]],0)</f>
        <v>0.60419999999999963</v>
      </c>
      <c r="L44" s="16">
        <f>IF(CurrentMtgRatesDataTable8[[#This Row],[Servicing Spread]]&lt;=0,L43,CurrentMtgRatesDataTable8[[#This Row],[Servicing Spread]])</f>
        <v>0.60419999999999963</v>
      </c>
      <c r="M44" s="16">
        <f>CurrentMtgRatesDataTable8[[#This Row],[Servicing Spread Non-Zero]]-L43</f>
        <v>-1.2800000000000367E-2</v>
      </c>
      <c r="N44" s="16">
        <f>IF(J43&lt;&gt;0,CurrentMtgRatesDataTable8[[#This Row],[Rate]]-C43,N43)</f>
        <v>6.4999999999999503E-2</v>
      </c>
    </row>
    <row r="45" spans="1:14" s="7" customFormat="1">
      <c r="A45" s="8" t="s">
        <v>1397</v>
      </c>
      <c r="B45" s="11">
        <v>5.125</v>
      </c>
      <c r="C45" s="13">
        <v>5.62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1.0250000000000001</v>
      </c>
      <c r="H45" s="14">
        <f t="shared" si="4"/>
        <v>0.2</v>
      </c>
      <c r="I45" s="14">
        <f t="shared" si="5"/>
        <v>0</v>
      </c>
      <c r="J45" s="14">
        <f t="shared" si="6"/>
        <v>0</v>
      </c>
      <c r="K45" s="15">
        <f>IF(CurrentMtgRatesDataTable8[[#This Row],[WA CC]]&lt;&gt;0,C44-CurrentMtgRatesDataTable8[[#This Row],[WA CC]],0)</f>
        <v>0</v>
      </c>
      <c r="L45" s="16">
        <f>IF(CurrentMtgRatesDataTable8[[#This Row],[Servicing Spread]]&lt;=0,L44,CurrentMtgRatesDataTable8[[#This Row],[Servicing Spread]])</f>
        <v>0.60419999999999963</v>
      </c>
      <c r="M45" s="16">
        <f>CurrentMtgRatesDataTable8[[#This Row],[Servicing Spread Non-Zero]]-L44</f>
        <v>0</v>
      </c>
      <c r="N45" s="16">
        <f>IF(J44&lt;&gt;0,CurrentMtgRatesDataTable8[[#This Row],[Rate]]-C44,N44)</f>
        <v>1.5000000000000568E-2</v>
      </c>
    </row>
    <row r="46" spans="1:14" s="7" customFormat="1">
      <c r="A46" s="8" t="s">
        <v>1398</v>
      </c>
      <c r="B46" s="11">
        <v>5.0510000000000002</v>
      </c>
      <c r="C46" s="13">
        <v>5.62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2.0352000000000001</v>
      </c>
      <c r="H46" s="14">
        <f t="shared" si="4"/>
        <v>0.4</v>
      </c>
      <c r="I46" s="14">
        <f t="shared" si="5"/>
        <v>0</v>
      </c>
      <c r="J46" s="14">
        <f t="shared" si="6"/>
        <v>0</v>
      </c>
      <c r="K46" s="15">
        <f>IF(CurrentMtgRatesDataTable8[[#This Row],[WA CC]]&lt;&gt;0,C45-CurrentMtgRatesDataTable8[[#This Row],[WA CC]],0)</f>
        <v>0</v>
      </c>
      <c r="L46" s="16">
        <f>IF(CurrentMtgRatesDataTable8[[#This Row],[Servicing Spread]]&lt;=0,L45,CurrentMtgRatesDataTable8[[#This Row],[Servicing Spread]])</f>
        <v>0.60419999999999963</v>
      </c>
      <c r="M46" s="16">
        <f>CurrentMtgRatesDataTable8[[#This Row],[Servicing Spread Non-Zero]]-L45</f>
        <v>0</v>
      </c>
      <c r="N46" s="16">
        <f>IF(J45&lt;&gt;0,CurrentMtgRatesDataTable8[[#This Row],[Rate]]-C45,N45)</f>
        <v>1.5000000000000568E-2</v>
      </c>
    </row>
    <row r="47" spans="1:14" s="7" customFormat="1">
      <c r="A47" s="8" t="s">
        <v>1399</v>
      </c>
      <c r="B47" s="11">
        <v>5.0439999999999996</v>
      </c>
      <c r="C47" s="13">
        <v>5.62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3.044</v>
      </c>
      <c r="H47" s="14">
        <f t="shared" si="4"/>
        <v>0.60000000000000009</v>
      </c>
      <c r="I47" s="14">
        <f t="shared" si="5"/>
        <v>0</v>
      </c>
      <c r="J47" s="14">
        <f t="shared" si="6"/>
        <v>0</v>
      </c>
      <c r="K47" s="15">
        <f>IF(CurrentMtgRatesDataTable8[[#This Row],[WA CC]]&lt;&gt;0,C46-CurrentMtgRatesDataTable8[[#This Row],[WA CC]],0)</f>
        <v>0</v>
      </c>
      <c r="L47" s="16">
        <f>IF(CurrentMtgRatesDataTable8[[#This Row],[Servicing Spread]]&lt;=0,L46,CurrentMtgRatesDataTable8[[#This Row],[Servicing Spread]])</f>
        <v>0.60419999999999963</v>
      </c>
      <c r="M47" s="16">
        <f>CurrentMtgRatesDataTable8[[#This Row],[Servicing Spread Non-Zero]]-L46</f>
        <v>0</v>
      </c>
      <c r="N47" s="16">
        <f>IF(J46&lt;&gt;0,CurrentMtgRatesDataTable8[[#This Row],[Rate]]-C46,N46)</f>
        <v>1.5000000000000568E-2</v>
      </c>
    </row>
    <row r="48" spans="1:14" s="7" customFormat="1">
      <c r="A48" s="8" t="s">
        <v>1400</v>
      </c>
      <c r="B48" s="11">
        <v>5.0039999999999996</v>
      </c>
      <c r="C48" s="13">
        <v>5.62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4.0448000000000004</v>
      </c>
      <c r="H48" s="14">
        <f t="shared" si="4"/>
        <v>0.8</v>
      </c>
      <c r="I48" s="14">
        <f t="shared" si="5"/>
        <v>0</v>
      </c>
      <c r="J48" s="14">
        <f t="shared" si="6"/>
        <v>0</v>
      </c>
      <c r="K48" s="15">
        <f>IF(CurrentMtgRatesDataTable8[[#This Row],[WA CC]]&lt;&gt;0,C47-CurrentMtgRatesDataTable8[[#This Row],[WA CC]],0)</f>
        <v>0</v>
      </c>
      <c r="L48" s="16">
        <f>IF(CurrentMtgRatesDataTable8[[#This Row],[Servicing Spread]]&lt;=0,L47,CurrentMtgRatesDataTable8[[#This Row],[Servicing Spread]])</f>
        <v>0.60419999999999963</v>
      </c>
      <c r="M48" s="16">
        <f>CurrentMtgRatesDataTable8[[#This Row],[Servicing Spread Non-Zero]]-L47</f>
        <v>0</v>
      </c>
      <c r="N48" s="16">
        <f>IF(J47&lt;&gt;0,CurrentMtgRatesDataTable8[[#This Row],[Rate]]-C47,N47)</f>
        <v>1.5000000000000568E-2</v>
      </c>
    </row>
    <row r="49" spans="1:14" s="7" customFormat="1">
      <c r="A49" s="8" t="s">
        <v>1401</v>
      </c>
      <c r="B49" s="11">
        <v>5.0279999999999996</v>
      </c>
      <c r="C49" s="13">
        <v>5.62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5.0504000000000007</v>
      </c>
      <c r="H49" s="14">
        <f t="shared" si="4"/>
        <v>1</v>
      </c>
      <c r="I49" s="14">
        <f t="shared" si="5"/>
        <v>1</v>
      </c>
      <c r="J49" s="14">
        <f t="shared" si="6"/>
        <v>5.0504000000000007</v>
      </c>
      <c r="K49" s="15">
        <f>IF(CurrentMtgRatesDataTable8[[#This Row],[WA CC]]&lt;&gt;0,C48-CurrentMtgRatesDataTable8[[#This Row],[WA CC]],0)</f>
        <v>0.56959999999999944</v>
      </c>
      <c r="L49" s="16">
        <f>IF(CurrentMtgRatesDataTable8[[#This Row],[Servicing Spread]]&lt;=0,L48,CurrentMtgRatesDataTable8[[#This Row],[Servicing Spread]])</f>
        <v>0.56959999999999944</v>
      </c>
      <c r="M49" s="16">
        <f>CurrentMtgRatesDataTable8[[#This Row],[Servicing Spread Non-Zero]]-L48</f>
        <v>-3.4600000000000186E-2</v>
      </c>
      <c r="N49" s="16">
        <f>IF(J48&lt;&gt;0,CurrentMtgRatesDataTable8[[#This Row],[Rate]]-C48,N48)</f>
        <v>1.5000000000000568E-2</v>
      </c>
    </row>
    <row r="50" spans="1:14" s="7" customFormat="1">
      <c r="A50" s="8" t="s">
        <v>1402</v>
      </c>
      <c r="B50" s="11">
        <v>5.09</v>
      </c>
      <c r="C50" s="13">
        <v>5.585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1.018</v>
      </c>
      <c r="H50" s="14">
        <f t="shared" si="4"/>
        <v>0.2</v>
      </c>
      <c r="I50" s="14">
        <f t="shared" si="5"/>
        <v>0</v>
      </c>
      <c r="J50" s="14">
        <f t="shared" si="6"/>
        <v>0</v>
      </c>
      <c r="K50" s="15">
        <f>IF(CurrentMtgRatesDataTable8[[#This Row],[WA CC]]&lt;&gt;0,C49-CurrentMtgRatesDataTable8[[#This Row],[WA CC]],0)</f>
        <v>0</v>
      </c>
      <c r="L50" s="16">
        <f>IF(CurrentMtgRatesDataTable8[[#This Row],[Servicing Spread]]&lt;=0,L49,CurrentMtgRatesDataTable8[[#This Row],[Servicing Spread]])</f>
        <v>0.56959999999999944</v>
      </c>
      <c r="M50" s="16">
        <f>CurrentMtgRatesDataTable8[[#This Row],[Servicing Spread Non-Zero]]-L49</f>
        <v>0</v>
      </c>
      <c r="N50" s="16">
        <f>IF(J49&lt;&gt;0,CurrentMtgRatesDataTable8[[#This Row],[Rate]]-C49,N49)</f>
        <v>-3.5000000000000142E-2</v>
      </c>
    </row>
    <row r="51" spans="1:14" s="7" customFormat="1">
      <c r="A51" s="8" t="s">
        <v>1403</v>
      </c>
      <c r="B51" s="11">
        <v>4.9989999999999997</v>
      </c>
      <c r="C51" s="13">
        <v>5.585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2.0178000000000003</v>
      </c>
      <c r="H51" s="14">
        <f t="shared" si="4"/>
        <v>0.4</v>
      </c>
      <c r="I51" s="14">
        <f t="shared" si="5"/>
        <v>0</v>
      </c>
      <c r="J51" s="14">
        <f t="shared" si="6"/>
        <v>0</v>
      </c>
      <c r="K51" s="15">
        <f>IF(CurrentMtgRatesDataTable8[[#This Row],[WA CC]]&lt;&gt;0,C50-CurrentMtgRatesDataTable8[[#This Row],[WA CC]],0)</f>
        <v>0</v>
      </c>
      <c r="L51" s="16">
        <f>IF(CurrentMtgRatesDataTable8[[#This Row],[Servicing Spread]]&lt;=0,L50,CurrentMtgRatesDataTable8[[#This Row],[Servicing Spread]])</f>
        <v>0.56959999999999944</v>
      </c>
      <c r="M51" s="16">
        <f>CurrentMtgRatesDataTable8[[#This Row],[Servicing Spread Non-Zero]]-L50</f>
        <v>0</v>
      </c>
      <c r="N51" s="16">
        <f>IF(J50&lt;&gt;0,CurrentMtgRatesDataTable8[[#This Row],[Rate]]-C50,N50)</f>
        <v>-3.5000000000000142E-2</v>
      </c>
    </row>
    <row r="52" spans="1:14" s="7" customFormat="1">
      <c r="A52" s="8" t="s">
        <v>1404</v>
      </c>
      <c r="B52" s="11">
        <v>4.9640000000000004</v>
      </c>
      <c r="C52" s="13">
        <v>5.585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3.0106000000000002</v>
      </c>
      <c r="H52" s="14">
        <f t="shared" si="4"/>
        <v>0.60000000000000009</v>
      </c>
      <c r="I52" s="14">
        <f t="shared" si="5"/>
        <v>0</v>
      </c>
      <c r="J52" s="14">
        <f t="shared" si="6"/>
        <v>0</v>
      </c>
      <c r="K52" s="15">
        <f>IF(CurrentMtgRatesDataTable8[[#This Row],[WA CC]]&lt;&gt;0,C51-CurrentMtgRatesDataTable8[[#This Row],[WA CC]],0)</f>
        <v>0</v>
      </c>
      <c r="L52" s="16">
        <f>IF(CurrentMtgRatesDataTable8[[#This Row],[Servicing Spread]]&lt;=0,L51,CurrentMtgRatesDataTable8[[#This Row],[Servicing Spread]])</f>
        <v>0.56959999999999944</v>
      </c>
      <c r="M52" s="16">
        <f>CurrentMtgRatesDataTable8[[#This Row],[Servicing Spread Non-Zero]]-L51</f>
        <v>0</v>
      </c>
      <c r="N52" s="16">
        <f>IF(J51&lt;&gt;0,CurrentMtgRatesDataTable8[[#This Row],[Rate]]-C51,N51)</f>
        <v>-3.5000000000000142E-2</v>
      </c>
    </row>
    <row r="53" spans="1:14" s="7" customFormat="1">
      <c r="A53" s="8" t="s">
        <v>1405</v>
      </c>
      <c r="B53" s="11">
        <v>4.9880000000000004</v>
      </c>
      <c r="C53" s="13">
        <v>5.585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4.0082000000000004</v>
      </c>
      <c r="H53" s="14">
        <f t="shared" si="4"/>
        <v>0.8</v>
      </c>
      <c r="I53" s="14">
        <f t="shared" si="5"/>
        <v>0</v>
      </c>
      <c r="J53" s="14">
        <f t="shared" si="6"/>
        <v>0</v>
      </c>
      <c r="K53" s="15">
        <f>IF(CurrentMtgRatesDataTable8[[#This Row],[WA CC]]&lt;&gt;0,C52-CurrentMtgRatesDataTable8[[#This Row],[WA CC]],0)</f>
        <v>0</v>
      </c>
      <c r="L53" s="16">
        <f>IF(CurrentMtgRatesDataTable8[[#This Row],[Servicing Spread]]&lt;=0,L52,CurrentMtgRatesDataTable8[[#This Row],[Servicing Spread]])</f>
        <v>0.56959999999999944</v>
      </c>
      <c r="M53" s="16">
        <f>CurrentMtgRatesDataTable8[[#This Row],[Servicing Spread Non-Zero]]-L52</f>
        <v>0</v>
      </c>
      <c r="N53" s="16">
        <f>IF(J52&lt;&gt;0,CurrentMtgRatesDataTable8[[#This Row],[Rate]]-C52,N52)</f>
        <v>-3.5000000000000142E-2</v>
      </c>
    </row>
    <row r="54" spans="1:14" s="7" customFormat="1">
      <c r="A54" s="8" t="s">
        <v>1406</v>
      </c>
      <c r="B54" s="11">
        <v>4.92</v>
      </c>
      <c r="C54" s="13">
        <v>5.585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4.9922000000000004</v>
      </c>
      <c r="H54" s="14">
        <f t="shared" si="4"/>
        <v>1</v>
      </c>
      <c r="I54" s="14">
        <f t="shared" si="5"/>
        <v>1</v>
      </c>
      <c r="J54" s="14">
        <f t="shared" si="6"/>
        <v>4.9922000000000004</v>
      </c>
      <c r="K54" s="15">
        <f>IF(CurrentMtgRatesDataTable8[[#This Row],[WA CC]]&lt;&gt;0,C53-CurrentMtgRatesDataTable8[[#This Row],[WA CC]],0)</f>
        <v>0.59279999999999955</v>
      </c>
      <c r="L54" s="16">
        <f>IF(CurrentMtgRatesDataTable8[[#This Row],[Servicing Spread]]&lt;=0,L53,CurrentMtgRatesDataTable8[[#This Row],[Servicing Spread]])</f>
        <v>0.59279999999999955</v>
      </c>
      <c r="M54" s="16">
        <f>CurrentMtgRatesDataTable8[[#This Row],[Servicing Spread Non-Zero]]-L53</f>
        <v>2.3200000000000109E-2</v>
      </c>
      <c r="N54" s="16">
        <f>IF(J53&lt;&gt;0,CurrentMtgRatesDataTable8[[#This Row],[Rate]]-C53,N53)</f>
        <v>-3.5000000000000142E-2</v>
      </c>
    </row>
    <row r="55" spans="1:14" s="7" customFormat="1">
      <c r="A55" s="8" t="s">
        <v>1407</v>
      </c>
      <c r="B55" s="11">
        <v>4.9409999999999998</v>
      </c>
      <c r="C55" s="13">
        <v>5.48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0.98819999999999997</v>
      </c>
      <c r="H55" s="14">
        <f t="shared" si="4"/>
        <v>0.2</v>
      </c>
      <c r="I55" s="14">
        <f t="shared" si="5"/>
        <v>0</v>
      </c>
      <c r="J55" s="14">
        <f t="shared" si="6"/>
        <v>0</v>
      </c>
      <c r="K55" s="15">
        <f>IF(CurrentMtgRatesDataTable8[[#This Row],[WA CC]]&lt;&gt;0,C54-CurrentMtgRatesDataTable8[[#This Row],[WA CC]],0)</f>
        <v>0</v>
      </c>
      <c r="L55" s="16">
        <f>IF(CurrentMtgRatesDataTable8[[#This Row],[Servicing Spread]]&lt;=0,L54,CurrentMtgRatesDataTable8[[#This Row],[Servicing Spread]])</f>
        <v>0.59279999999999955</v>
      </c>
      <c r="M55" s="16">
        <f>CurrentMtgRatesDataTable8[[#This Row],[Servicing Spread Non-Zero]]-L54</f>
        <v>0</v>
      </c>
      <c r="N55" s="16">
        <f>IF(J54&lt;&gt;0,CurrentMtgRatesDataTable8[[#This Row],[Rate]]-C54,N54)</f>
        <v>-0.10499999999999954</v>
      </c>
    </row>
    <row r="56" spans="1:14" s="7" customFormat="1">
      <c r="A56" s="8" t="s">
        <v>1408</v>
      </c>
      <c r="B56" s="11">
        <v>4.9089999999999998</v>
      </c>
      <c r="C56" s="13">
        <v>5.48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1.97</v>
      </c>
      <c r="H56" s="14">
        <f t="shared" si="4"/>
        <v>0.4</v>
      </c>
      <c r="I56" s="14">
        <f t="shared" si="5"/>
        <v>0</v>
      </c>
      <c r="J56" s="14">
        <f t="shared" si="6"/>
        <v>0</v>
      </c>
      <c r="K56" s="15">
        <f>IF(CurrentMtgRatesDataTable8[[#This Row],[WA CC]]&lt;&gt;0,C55-CurrentMtgRatesDataTable8[[#This Row],[WA CC]],0)</f>
        <v>0</v>
      </c>
      <c r="L56" s="16">
        <f>IF(CurrentMtgRatesDataTable8[[#This Row],[Servicing Spread]]&lt;=0,L55,CurrentMtgRatesDataTable8[[#This Row],[Servicing Spread]])</f>
        <v>0.59279999999999955</v>
      </c>
      <c r="M56" s="16">
        <f>CurrentMtgRatesDataTable8[[#This Row],[Servicing Spread Non-Zero]]-L55</f>
        <v>0</v>
      </c>
      <c r="N56" s="16">
        <f>IF(J55&lt;&gt;0,CurrentMtgRatesDataTable8[[#This Row],[Rate]]-C55,N55)</f>
        <v>-0.10499999999999954</v>
      </c>
    </row>
    <row r="57" spans="1:14" s="7" customFormat="1">
      <c r="A57" s="8" t="s">
        <v>1409</v>
      </c>
      <c r="B57" s="11">
        <v>4.9180000000000001</v>
      </c>
      <c r="C57" s="13">
        <v>5.48</v>
      </c>
      <c r="D57" s="14">
        <f t="shared" si="0"/>
        <v>6</v>
      </c>
      <c r="E57" s="14">
        <f t="shared" si="1"/>
        <v>0.2</v>
      </c>
      <c r="F57" s="14">
        <f t="shared" si="2"/>
        <v>3</v>
      </c>
      <c r="G57" s="14">
        <f t="shared" si="3"/>
        <v>2.9535999999999998</v>
      </c>
      <c r="H57" s="14">
        <f t="shared" si="4"/>
        <v>0.60000000000000009</v>
      </c>
      <c r="I57" s="14">
        <f t="shared" si="5"/>
        <v>0</v>
      </c>
      <c r="J57" s="14">
        <f t="shared" si="6"/>
        <v>0</v>
      </c>
      <c r="K57" s="15">
        <f>IF(CurrentMtgRatesDataTable8[[#This Row],[WA CC]]&lt;&gt;0,C56-CurrentMtgRatesDataTable8[[#This Row],[WA CC]],0)</f>
        <v>0</v>
      </c>
      <c r="L57" s="16">
        <f>IF(CurrentMtgRatesDataTable8[[#This Row],[Servicing Spread]]&lt;=0,L56,CurrentMtgRatesDataTable8[[#This Row],[Servicing Spread]])</f>
        <v>0.59279999999999955</v>
      </c>
      <c r="M57" s="16">
        <f>CurrentMtgRatesDataTable8[[#This Row],[Servicing Spread Non-Zero]]-L56</f>
        <v>0</v>
      </c>
      <c r="N57" s="16">
        <f>IF(J56&lt;&gt;0,CurrentMtgRatesDataTable8[[#This Row],[Rate]]-C56,N56)</f>
        <v>-0.10499999999999954</v>
      </c>
    </row>
    <row r="58" spans="1:14" s="7" customFormat="1">
      <c r="A58" s="8" t="s">
        <v>1410</v>
      </c>
      <c r="B58" s="11">
        <v>4.92</v>
      </c>
      <c r="C58" s="13">
        <v>5.48</v>
      </c>
      <c r="D58" s="14">
        <f t="shared" si="0"/>
        <v>7</v>
      </c>
      <c r="E58" s="14">
        <f t="shared" si="1"/>
        <v>0.2</v>
      </c>
      <c r="F58" s="14">
        <f t="shared" si="2"/>
        <v>4</v>
      </c>
      <c r="G58" s="14">
        <f t="shared" si="3"/>
        <v>3.9375999999999998</v>
      </c>
      <c r="H58" s="14">
        <f t="shared" si="4"/>
        <v>0.8</v>
      </c>
      <c r="I58" s="14">
        <f t="shared" si="5"/>
        <v>1</v>
      </c>
      <c r="J58" s="14">
        <f t="shared" si="6"/>
        <v>4.9219999999999997</v>
      </c>
      <c r="K58" s="15">
        <f>IF(CurrentMtgRatesDataTable8[[#This Row],[WA CC]]&lt;&gt;0,C57-CurrentMtgRatesDataTable8[[#This Row],[WA CC]],0)</f>
        <v>0.55800000000000072</v>
      </c>
      <c r="L58" s="16">
        <f>IF(CurrentMtgRatesDataTable8[[#This Row],[Servicing Spread]]&lt;=0,L57,CurrentMtgRatesDataTable8[[#This Row],[Servicing Spread]])</f>
        <v>0.55800000000000072</v>
      </c>
      <c r="M58" s="16">
        <f>CurrentMtgRatesDataTable8[[#This Row],[Servicing Spread Non-Zero]]-L57</f>
        <v>-3.4799999999998832E-2</v>
      </c>
      <c r="N58" s="16">
        <f>IF(J57&lt;&gt;0,CurrentMtgRatesDataTable8[[#This Row],[Rate]]-C57,N57)</f>
        <v>-0.10499999999999954</v>
      </c>
    </row>
    <row r="59" spans="1:14" s="7" customFormat="1">
      <c r="A59" s="8" t="s">
        <v>1411</v>
      </c>
      <c r="B59" s="11">
        <v>4.9059999999999997</v>
      </c>
      <c r="C59" s="13">
        <v>5.5049999999999999</v>
      </c>
      <c r="D59" s="14">
        <f t="shared" si="0"/>
        <v>1</v>
      </c>
      <c r="E59" s="14">
        <f t="shared" si="1"/>
        <v>0.2</v>
      </c>
      <c r="F59" s="14">
        <f t="shared" si="2"/>
        <v>1</v>
      </c>
      <c r="G59" s="14">
        <f t="shared" si="3"/>
        <v>0.98119999999999996</v>
      </c>
      <c r="H59" s="14">
        <f t="shared" si="4"/>
        <v>0.2</v>
      </c>
      <c r="I59" s="14">
        <f t="shared" si="5"/>
        <v>0</v>
      </c>
      <c r="J59" s="14">
        <f t="shared" si="6"/>
        <v>0</v>
      </c>
      <c r="K59" s="15">
        <f>IF(CurrentMtgRatesDataTable8[[#This Row],[WA CC]]&lt;&gt;0,C58-CurrentMtgRatesDataTable8[[#This Row],[WA CC]],0)</f>
        <v>0</v>
      </c>
      <c r="L59" s="16">
        <f>IF(CurrentMtgRatesDataTable8[[#This Row],[Servicing Spread]]&lt;=0,L58,CurrentMtgRatesDataTable8[[#This Row],[Servicing Spread]])</f>
        <v>0.55800000000000072</v>
      </c>
      <c r="M59" s="16">
        <f>CurrentMtgRatesDataTable8[[#This Row],[Servicing Spread Non-Zero]]-L58</f>
        <v>0</v>
      </c>
      <c r="N59" s="16">
        <f>IF(J58&lt;&gt;0,CurrentMtgRatesDataTable8[[#This Row],[Rate]]-C58,N58)</f>
        <v>2.4999999999999467E-2</v>
      </c>
    </row>
    <row r="60" spans="1:14" s="7" customFormat="1">
      <c r="A60" s="8" t="s">
        <v>1412</v>
      </c>
      <c r="B60" s="11">
        <v>4.952</v>
      </c>
      <c r="C60" s="13">
        <v>5.5049999999999999</v>
      </c>
      <c r="D60" s="14">
        <f t="shared" si="0"/>
        <v>2</v>
      </c>
      <c r="E60" s="14">
        <f t="shared" si="1"/>
        <v>0.2</v>
      </c>
      <c r="F60" s="14">
        <f t="shared" si="2"/>
        <v>2</v>
      </c>
      <c r="G60" s="14">
        <f t="shared" si="3"/>
        <v>1.9716</v>
      </c>
      <c r="H60" s="14">
        <f t="shared" si="4"/>
        <v>0.4</v>
      </c>
      <c r="I60" s="14">
        <f t="shared" si="5"/>
        <v>0</v>
      </c>
      <c r="J60" s="14">
        <f t="shared" si="6"/>
        <v>0</v>
      </c>
      <c r="K60" s="15">
        <f>IF(CurrentMtgRatesDataTable8[[#This Row],[WA CC]]&lt;&gt;0,C59-CurrentMtgRatesDataTable8[[#This Row],[WA CC]],0)</f>
        <v>0</v>
      </c>
      <c r="L60" s="16">
        <f>IF(CurrentMtgRatesDataTable8[[#This Row],[Servicing Spread]]&lt;=0,L59,CurrentMtgRatesDataTable8[[#This Row],[Servicing Spread]])</f>
        <v>0.55800000000000072</v>
      </c>
      <c r="M60" s="16">
        <f>CurrentMtgRatesDataTable8[[#This Row],[Servicing Spread Non-Zero]]-L59</f>
        <v>0</v>
      </c>
      <c r="N60" s="16">
        <f>IF(J59&lt;&gt;0,CurrentMtgRatesDataTable8[[#This Row],[Rate]]-C59,N59)</f>
        <v>2.4999999999999467E-2</v>
      </c>
    </row>
    <row r="61" spans="1:14" s="7" customFormat="1">
      <c r="A61" s="8" t="s">
        <v>1413</v>
      </c>
      <c r="B61" s="11">
        <v>4.9219999999999997</v>
      </c>
      <c r="C61" s="13">
        <v>5.5049999999999999</v>
      </c>
      <c r="D61" s="14">
        <f t="shared" si="0"/>
        <v>5</v>
      </c>
      <c r="E61" s="14">
        <f t="shared" si="1"/>
        <v>0.2</v>
      </c>
      <c r="F61" s="14">
        <f t="shared" si="2"/>
        <v>3</v>
      </c>
      <c r="G61" s="14">
        <f t="shared" si="3"/>
        <v>2.956</v>
      </c>
      <c r="H61" s="14">
        <f t="shared" si="4"/>
        <v>0.60000000000000009</v>
      </c>
      <c r="I61" s="14">
        <f t="shared" si="5"/>
        <v>0</v>
      </c>
      <c r="J61" s="14">
        <f t="shared" si="6"/>
        <v>0</v>
      </c>
      <c r="K61" s="15">
        <f>IF(CurrentMtgRatesDataTable8[[#This Row],[WA CC]]&lt;&gt;0,C60-CurrentMtgRatesDataTable8[[#This Row],[WA CC]],0)</f>
        <v>0</v>
      </c>
      <c r="L61" s="16">
        <f>IF(CurrentMtgRatesDataTable8[[#This Row],[Servicing Spread]]&lt;=0,L60,CurrentMtgRatesDataTable8[[#This Row],[Servicing Spread]])</f>
        <v>0.55800000000000072</v>
      </c>
      <c r="M61" s="16">
        <f>CurrentMtgRatesDataTable8[[#This Row],[Servicing Spread Non-Zero]]-L60</f>
        <v>0</v>
      </c>
      <c r="N61" s="16">
        <f>IF(J60&lt;&gt;0,CurrentMtgRatesDataTable8[[#This Row],[Rate]]-C60,N60)</f>
        <v>2.4999999999999467E-2</v>
      </c>
    </row>
    <row r="62" spans="1:14" s="7" customFormat="1">
      <c r="A62" s="8" t="s">
        <v>1414</v>
      </c>
      <c r="B62" s="11">
        <v>4.9119999999999999</v>
      </c>
      <c r="C62" s="13">
        <v>5.5049999999999999</v>
      </c>
      <c r="D62" s="14">
        <f t="shared" si="0"/>
        <v>6</v>
      </c>
      <c r="E62" s="14">
        <f t="shared" si="1"/>
        <v>0.2</v>
      </c>
      <c r="F62" s="14">
        <f t="shared" si="2"/>
        <v>4</v>
      </c>
      <c r="G62" s="14">
        <f t="shared" si="3"/>
        <v>3.9384000000000001</v>
      </c>
      <c r="H62" s="14">
        <f t="shared" si="4"/>
        <v>0.8</v>
      </c>
      <c r="I62" s="14">
        <f t="shared" si="5"/>
        <v>0</v>
      </c>
      <c r="J62" s="14">
        <f t="shared" si="6"/>
        <v>0</v>
      </c>
      <c r="K62" s="15">
        <f>IF(CurrentMtgRatesDataTable8[[#This Row],[WA CC]]&lt;&gt;0,C61-CurrentMtgRatesDataTable8[[#This Row],[WA CC]],0)</f>
        <v>0</v>
      </c>
      <c r="L62" s="16">
        <f>IF(CurrentMtgRatesDataTable8[[#This Row],[Servicing Spread]]&lt;=0,L61,CurrentMtgRatesDataTable8[[#This Row],[Servicing Spread]])</f>
        <v>0.55800000000000072</v>
      </c>
      <c r="M62" s="16">
        <f>CurrentMtgRatesDataTable8[[#This Row],[Servicing Spread Non-Zero]]-L61</f>
        <v>0</v>
      </c>
      <c r="N62" s="16">
        <f>IF(J61&lt;&gt;0,CurrentMtgRatesDataTable8[[#This Row],[Rate]]-C61,N61)</f>
        <v>2.4999999999999467E-2</v>
      </c>
    </row>
    <row r="63" spans="1:14" s="7" customFormat="1">
      <c r="A63" s="8" t="s">
        <v>1415</v>
      </c>
      <c r="B63" s="11">
        <v>4.9039999999999999</v>
      </c>
      <c r="C63" s="13">
        <v>5.5049999999999999</v>
      </c>
      <c r="D63" s="14">
        <f t="shared" si="0"/>
        <v>7</v>
      </c>
      <c r="E63" s="14">
        <f t="shared" si="1"/>
        <v>0.2</v>
      </c>
      <c r="F63" s="14">
        <f t="shared" si="2"/>
        <v>5</v>
      </c>
      <c r="G63" s="14">
        <f t="shared" si="3"/>
        <v>4.9192</v>
      </c>
      <c r="H63" s="14">
        <f t="shared" si="4"/>
        <v>1</v>
      </c>
      <c r="I63" s="14">
        <f t="shared" si="5"/>
        <v>1</v>
      </c>
      <c r="J63" s="14">
        <f t="shared" si="6"/>
        <v>4.9192</v>
      </c>
      <c r="K63" s="15">
        <f>IF(CurrentMtgRatesDataTable8[[#This Row],[WA CC]]&lt;&gt;0,C62-CurrentMtgRatesDataTable8[[#This Row],[WA CC]],0)</f>
        <v>0.58579999999999988</v>
      </c>
      <c r="L63" s="16">
        <f>IF(CurrentMtgRatesDataTable8[[#This Row],[Servicing Spread]]&lt;=0,L62,CurrentMtgRatesDataTable8[[#This Row],[Servicing Spread]])</f>
        <v>0.58579999999999988</v>
      </c>
      <c r="M63" s="16">
        <f>CurrentMtgRatesDataTable8[[#This Row],[Servicing Spread Non-Zero]]-L62</f>
        <v>2.7799999999999159E-2</v>
      </c>
      <c r="N63" s="16">
        <f>IF(J62&lt;&gt;0,CurrentMtgRatesDataTable8[[#This Row],[Rate]]-C62,N62)</f>
        <v>2.4999999999999467E-2</v>
      </c>
    </row>
    <row r="64" spans="1:14" s="7" customFormat="1">
      <c r="A64" s="8" t="s">
        <v>1416</v>
      </c>
      <c r="B64" s="11">
        <v>4.9329999999999998</v>
      </c>
      <c r="C64" s="13">
        <v>5.5149999999999997</v>
      </c>
      <c r="D64" s="14">
        <f t="shared" si="0"/>
        <v>1</v>
      </c>
      <c r="E64" s="14">
        <f t="shared" si="1"/>
        <v>0.2</v>
      </c>
      <c r="F64" s="14">
        <f t="shared" si="2"/>
        <v>1</v>
      </c>
      <c r="G64" s="14">
        <f t="shared" si="3"/>
        <v>0.98660000000000003</v>
      </c>
      <c r="H64" s="14">
        <f t="shared" si="4"/>
        <v>0.2</v>
      </c>
      <c r="I64" s="14">
        <f t="shared" si="5"/>
        <v>0</v>
      </c>
      <c r="J64" s="14">
        <f t="shared" si="6"/>
        <v>0</v>
      </c>
      <c r="K64" s="15">
        <f>IF(CurrentMtgRatesDataTable8[[#This Row],[WA CC]]&lt;&gt;0,C63-CurrentMtgRatesDataTable8[[#This Row],[WA CC]],0)</f>
        <v>0</v>
      </c>
      <c r="L64" s="16">
        <f>IF(CurrentMtgRatesDataTable8[[#This Row],[Servicing Spread]]&lt;=0,L63,CurrentMtgRatesDataTable8[[#This Row],[Servicing Spread]])</f>
        <v>0.58579999999999988</v>
      </c>
      <c r="M64" s="16">
        <f>CurrentMtgRatesDataTable8[[#This Row],[Servicing Spread Non-Zero]]-L63</f>
        <v>0</v>
      </c>
      <c r="N64" s="16">
        <f>IF(J63&lt;&gt;0,CurrentMtgRatesDataTable8[[#This Row],[Rate]]-C63,N63)</f>
        <v>9.9999999999997868E-3</v>
      </c>
    </row>
    <row r="65" spans="1:14" s="7" customFormat="1">
      <c r="A65" s="8" t="s">
        <v>1417</v>
      </c>
      <c r="B65" s="11">
        <v>4.9029999999999996</v>
      </c>
      <c r="C65" s="13">
        <v>5.5149999999999997</v>
      </c>
      <c r="D65" s="14">
        <f t="shared" si="0"/>
        <v>2</v>
      </c>
      <c r="E65" s="14">
        <f t="shared" si="1"/>
        <v>0.2</v>
      </c>
      <c r="F65" s="14">
        <f t="shared" si="2"/>
        <v>2</v>
      </c>
      <c r="G65" s="14">
        <f t="shared" si="3"/>
        <v>1.9672000000000001</v>
      </c>
      <c r="H65" s="14">
        <f t="shared" si="4"/>
        <v>0.4</v>
      </c>
      <c r="I65" s="14">
        <f t="shared" si="5"/>
        <v>0</v>
      </c>
      <c r="J65" s="14">
        <f t="shared" si="6"/>
        <v>0</v>
      </c>
      <c r="K65" s="15">
        <f>IF(CurrentMtgRatesDataTable8[[#This Row],[WA CC]]&lt;&gt;0,C64-CurrentMtgRatesDataTable8[[#This Row],[WA CC]],0)</f>
        <v>0</v>
      </c>
      <c r="L65" s="16">
        <f>IF(CurrentMtgRatesDataTable8[[#This Row],[Servicing Spread]]&lt;=0,L64,CurrentMtgRatesDataTable8[[#This Row],[Servicing Spread]])</f>
        <v>0.58579999999999988</v>
      </c>
      <c r="M65" s="16">
        <f>CurrentMtgRatesDataTable8[[#This Row],[Servicing Spread Non-Zero]]-L64</f>
        <v>0</v>
      </c>
      <c r="N65" s="16">
        <f>IF(J64&lt;&gt;0,CurrentMtgRatesDataTable8[[#This Row],[Rate]]-C64,N64)</f>
        <v>9.9999999999997868E-3</v>
      </c>
    </row>
    <row r="66" spans="1:14" s="7" customFormat="1">
      <c r="A66" s="8" t="s">
        <v>1418</v>
      </c>
      <c r="B66" s="11">
        <v>4.9000000000000004</v>
      </c>
      <c r="C66" s="13">
        <v>5.5149999999999997</v>
      </c>
      <c r="D66" s="14">
        <f t="shared" si="0"/>
        <v>5</v>
      </c>
      <c r="E66" s="14">
        <f t="shared" si="1"/>
        <v>0.2</v>
      </c>
      <c r="F66" s="14">
        <f t="shared" si="2"/>
        <v>3</v>
      </c>
      <c r="G66" s="14">
        <f t="shared" si="3"/>
        <v>2.9472</v>
      </c>
      <c r="H66" s="14">
        <f t="shared" si="4"/>
        <v>0.60000000000000009</v>
      </c>
      <c r="I66" s="14">
        <f t="shared" si="5"/>
        <v>0</v>
      </c>
      <c r="J66" s="14">
        <f t="shared" si="6"/>
        <v>0</v>
      </c>
      <c r="K66" s="15">
        <f>IF(CurrentMtgRatesDataTable8[[#This Row],[WA CC]]&lt;&gt;0,C65-CurrentMtgRatesDataTable8[[#This Row],[WA CC]],0)</f>
        <v>0</v>
      </c>
      <c r="L66" s="16">
        <f>IF(CurrentMtgRatesDataTable8[[#This Row],[Servicing Spread]]&lt;=0,L65,CurrentMtgRatesDataTable8[[#This Row],[Servicing Spread]])</f>
        <v>0.58579999999999988</v>
      </c>
      <c r="M66" s="16">
        <f>CurrentMtgRatesDataTable8[[#This Row],[Servicing Spread Non-Zero]]-L65</f>
        <v>0</v>
      </c>
      <c r="N66" s="16">
        <f>IF(J65&lt;&gt;0,CurrentMtgRatesDataTable8[[#This Row],[Rate]]-C65,N65)</f>
        <v>9.9999999999997868E-3</v>
      </c>
    </row>
    <row r="67" spans="1:14" s="7" customFormat="1">
      <c r="A67" s="8" t="s">
        <v>1419</v>
      </c>
      <c r="B67" s="11">
        <v>4.9349999999999996</v>
      </c>
      <c r="C67" s="13">
        <v>5.5149999999999997</v>
      </c>
      <c r="D67" s="14">
        <f t="shared" si="0"/>
        <v>6</v>
      </c>
      <c r="E67" s="14">
        <f t="shared" si="1"/>
        <v>0.2</v>
      </c>
      <c r="F67" s="14">
        <f t="shared" si="2"/>
        <v>4</v>
      </c>
      <c r="G67" s="14">
        <f t="shared" si="3"/>
        <v>3.9342000000000001</v>
      </c>
      <c r="H67" s="14">
        <f t="shared" si="4"/>
        <v>0.8</v>
      </c>
      <c r="I67" s="14">
        <f t="shared" si="5"/>
        <v>0</v>
      </c>
      <c r="J67" s="14">
        <f t="shared" si="6"/>
        <v>0</v>
      </c>
      <c r="K67" s="15">
        <f>IF(CurrentMtgRatesDataTable8[[#This Row],[WA CC]]&lt;&gt;0,C66-CurrentMtgRatesDataTable8[[#This Row],[WA CC]],0)</f>
        <v>0</v>
      </c>
      <c r="L67" s="16">
        <f>IF(CurrentMtgRatesDataTable8[[#This Row],[Servicing Spread]]&lt;=0,L66,CurrentMtgRatesDataTable8[[#This Row],[Servicing Spread]])</f>
        <v>0.58579999999999988</v>
      </c>
      <c r="M67" s="16">
        <f>CurrentMtgRatesDataTable8[[#This Row],[Servicing Spread Non-Zero]]-L66</f>
        <v>0</v>
      </c>
      <c r="N67" s="16">
        <f>IF(J66&lt;&gt;0,CurrentMtgRatesDataTable8[[#This Row],[Rate]]-C66,N66)</f>
        <v>9.9999999999997868E-3</v>
      </c>
    </row>
    <row r="68" spans="1:14" s="7" customFormat="1">
      <c r="A68" s="8" t="s">
        <v>1420</v>
      </c>
      <c r="B68" s="11">
        <v>4.9539999999999997</v>
      </c>
      <c r="C68" s="13">
        <v>5.5149999999999997</v>
      </c>
      <c r="D68" s="14">
        <f t="shared" si="0"/>
        <v>7</v>
      </c>
      <c r="E68" s="14">
        <f t="shared" si="1"/>
        <v>0.2</v>
      </c>
      <c r="F68" s="14">
        <f t="shared" si="2"/>
        <v>5</v>
      </c>
      <c r="G68" s="14">
        <f t="shared" si="3"/>
        <v>4.9249999999999998</v>
      </c>
      <c r="H68" s="14">
        <f t="shared" si="4"/>
        <v>1</v>
      </c>
      <c r="I68" s="14">
        <f t="shared" si="5"/>
        <v>1</v>
      </c>
      <c r="J68" s="14">
        <f t="shared" si="6"/>
        <v>4.9249999999999998</v>
      </c>
      <c r="K68" s="15">
        <f>IF(CurrentMtgRatesDataTable8[[#This Row],[WA CC]]&lt;&gt;0,C67-CurrentMtgRatesDataTable8[[#This Row],[WA CC]],0)</f>
        <v>0.58999999999999986</v>
      </c>
      <c r="L68" s="16">
        <f>IF(CurrentMtgRatesDataTable8[[#This Row],[Servicing Spread]]&lt;=0,L67,CurrentMtgRatesDataTable8[[#This Row],[Servicing Spread]])</f>
        <v>0.58999999999999986</v>
      </c>
      <c r="M68" s="16">
        <f>CurrentMtgRatesDataTable8[[#This Row],[Servicing Spread Non-Zero]]-L67</f>
        <v>4.1999999999999815E-3</v>
      </c>
      <c r="N68" s="16">
        <f>IF(J67&lt;&gt;0,CurrentMtgRatesDataTable8[[#This Row],[Rate]]-C67,N67)</f>
        <v>9.9999999999997868E-3</v>
      </c>
    </row>
    <row r="69" spans="1:14" s="7" customFormat="1">
      <c r="A69" s="8" t="s">
        <v>1421</v>
      </c>
      <c r="B69" s="11">
        <v>4.9409999999999998</v>
      </c>
      <c r="C69" s="13">
        <v>5.3100000000000005</v>
      </c>
      <c r="D69" s="14">
        <f t="shared" ref="D69:D132" si="7">WEEKDAY(A69,14)</f>
        <v>1</v>
      </c>
      <c r="E69" s="14">
        <f t="shared" ref="E69:E132" si="8">VLOOKUP(D69,Q$5:R$11,2,FALSE)</f>
        <v>0.2</v>
      </c>
      <c r="F69" s="14">
        <f t="shared" ref="F69:F132" si="9">IF(AND(D69&gt;D68,F68&lt;6),F68+1,1)</f>
        <v>1</v>
      </c>
      <c r="G69" s="14">
        <f t="shared" ref="G69:G132" si="10">IF(F69&gt;F68,G68+B69*E69,B69*E69)</f>
        <v>0.98819999999999997</v>
      </c>
      <c r="H69" s="14">
        <f t="shared" ref="H69:H132" si="11">IF(AND(F69&lt;6,F69&gt;F68),E69+H68,E69)</f>
        <v>0.2</v>
      </c>
      <c r="I69" s="14">
        <f t="shared" ref="I69:I132" si="12">IF(F69&gt;F70,1,0)</f>
        <v>0</v>
      </c>
      <c r="J69" s="14">
        <f t="shared" ref="J69:J132" si="13">IF(F69&gt;F70,G69/H69,0)</f>
        <v>0</v>
      </c>
      <c r="K69" s="15">
        <f>IF(CurrentMtgRatesDataTable8[[#This Row],[WA CC]]&lt;&gt;0,C68-CurrentMtgRatesDataTable8[[#This Row],[WA CC]],0)</f>
        <v>0</v>
      </c>
      <c r="L69" s="16">
        <f>IF(CurrentMtgRatesDataTable8[[#This Row],[Servicing Spread]]&lt;=0,L68,CurrentMtgRatesDataTable8[[#This Row],[Servicing Spread]])</f>
        <v>0.58999999999999986</v>
      </c>
      <c r="M69" s="16">
        <f>CurrentMtgRatesDataTable8[[#This Row],[Servicing Spread Non-Zero]]-L68</f>
        <v>0</v>
      </c>
      <c r="N69" s="16">
        <f>IF(J68&lt;&gt;0,CurrentMtgRatesDataTable8[[#This Row],[Rate]]-C68,N68)</f>
        <v>-0.20499999999999918</v>
      </c>
    </row>
    <row r="70" spans="1:14" s="7" customFormat="1">
      <c r="A70" s="8" t="s">
        <v>1422</v>
      </c>
      <c r="B70" s="11">
        <v>4.7720000000000002</v>
      </c>
      <c r="C70" s="13">
        <v>5.3100000000000005</v>
      </c>
      <c r="D70" s="14">
        <f t="shared" si="7"/>
        <v>2</v>
      </c>
      <c r="E70" s="14">
        <f t="shared" si="8"/>
        <v>0.2</v>
      </c>
      <c r="F70" s="14">
        <f t="shared" si="9"/>
        <v>2</v>
      </c>
      <c r="G70" s="14">
        <f t="shared" si="10"/>
        <v>1.9426000000000001</v>
      </c>
      <c r="H70" s="14">
        <f t="shared" si="11"/>
        <v>0.4</v>
      </c>
      <c r="I70" s="14">
        <f t="shared" si="12"/>
        <v>0</v>
      </c>
      <c r="J70" s="14">
        <f t="shared" si="13"/>
        <v>0</v>
      </c>
      <c r="K70" s="15">
        <f>IF(CurrentMtgRatesDataTable8[[#This Row],[WA CC]]&lt;&gt;0,C69-CurrentMtgRatesDataTable8[[#This Row],[WA CC]],0)</f>
        <v>0</v>
      </c>
      <c r="L70" s="16">
        <f>IF(CurrentMtgRatesDataTable8[[#This Row],[Servicing Spread]]&lt;=0,L69,CurrentMtgRatesDataTable8[[#This Row],[Servicing Spread]])</f>
        <v>0.58999999999999986</v>
      </c>
      <c r="M70" s="16">
        <f>CurrentMtgRatesDataTable8[[#This Row],[Servicing Spread Non-Zero]]-L69</f>
        <v>0</v>
      </c>
      <c r="N70" s="16">
        <f>IF(J69&lt;&gt;0,CurrentMtgRatesDataTable8[[#This Row],[Rate]]-C69,N69)</f>
        <v>-0.20499999999999918</v>
      </c>
    </row>
    <row r="71" spans="1:14" s="7" customFormat="1">
      <c r="A71" s="8" t="s">
        <v>1423</v>
      </c>
      <c r="B71" s="11">
        <v>4.7279999999999998</v>
      </c>
      <c r="C71" s="13">
        <v>5.3100000000000005</v>
      </c>
      <c r="D71" s="14">
        <f t="shared" si="7"/>
        <v>5</v>
      </c>
      <c r="E71" s="14">
        <f t="shared" si="8"/>
        <v>0.2</v>
      </c>
      <c r="F71" s="14">
        <f t="shared" si="9"/>
        <v>3</v>
      </c>
      <c r="G71" s="14">
        <f t="shared" si="10"/>
        <v>2.8882000000000003</v>
      </c>
      <c r="H71" s="14">
        <f t="shared" si="11"/>
        <v>0.60000000000000009</v>
      </c>
      <c r="I71" s="14">
        <f t="shared" si="12"/>
        <v>0</v>
      </c>
      <c r="J71" s="14">
        <f t="shared" si="13"/>
        <v>0</v>
      </c>
      <c r="K71" s="15">
        <f>IF(CurrentMtgRatesDataTable8[[#This Row],[WA CC]]&lt;&gt;0,C70-CurrentMtgRatesDataTable8[[#This Row],[WA CC]],0)</f>
        <v>0</v>
      </c>
      <c r="L71" s="16">
        <f>IF(CurrentMtgRatesDataTable8[[#This Row],[Servicing Spread]]&lt;=0,L70,CurrentMtgRatesDataTable8[[#This Row],[Servicing Spread]])</f>
        <v>0.58999999999999986</v>
      </c>
      <c r="M71" s="16">
        <f>CurrentMtgRatesDataTable8[[#This Row],[Servicing Spread Non-Zero]]-L70</f>
        <v>0</v>
      </c>
      <c r="N71" s="16">
        <f>IF(J70&lt;&gt;0,CurrentMtgRatesDataTable8[[#This Row],[Rate]]-C70,N70)</f>
        <v>-0.20499999999999918</v>
      </c>
    </row>
    <row r="72" spans="1:14" s="7" customFormat="1">
      <c r="A72" s="8" t="s">
        <v>1424</v>
      </c>
      <c r="B72" s="11">
        <v>4.6900000000000004</v>
      </c>
      <c r="C72" s="13">
        <v>5.3100000000000005</v>
      </c>
      <c r="D72" s="14">
        <f t="shared" si="7"/>
        <v>6</v>
      </c>
      <c r="E72" s="14">
        <f t="shared" si="8"/>
        <v>0.2</v>
      </c>
      <c r="F72" s="14">
        <f t="shared" si="9"/>
        <v>4</v>
      </c>
      <c r="G72" s="14">
        <f t="shared" si="10"/>
        <v>3.8262000000000005</v>
      </c>
      <c r="H72" s="14">
        <f t="shared" si="11"/>
        <v>0.8</v>
      </c>
      <c r="I72" s="14">
        <f t="shared" si="12"/>
        <v>0</v>
      </c>
      <c r="J72" s="14">
        <f t="shared" si="13"/>
        <v>0</v>
      </c>
      <c r="K72" s="15">
        <f>IF(CurrentMtgRatesDataTable8[[#This Row],[WA CC]]&lt;&gt;0,C71-CurrentMtgRatesDataTable8[[#This Row],[WA CC]],0)</f>
        <v>0</v>
      </c>
      <c r="L72" s="16">
        <f>IF(CurrentMtgRatesDataTable8[[#This Row],[Servicing Spread]]&lt;=0,L71,CurrentMtgRatesDataTable8[[#This Row],[Servicing Spread]])</f>
        <v>0.58999999999999986</v>
      </c>
      <c r="M72" s="16">
        <f>CurrentMtgRatesDataTable8[[#This Row],[Servicing Spread Non-Zero]]-L71</f>
        <v>0</v>
      </c>
      <c r="N72" s="16">
        <f>IF(J71&lt;&gt;0,CurrentMtgRatesDataTable8[[#This Row],[Rate]]-C71,N71)</f>
        <v>-0.20499999999999918</v>
      </c>
    </row>
    <row r="73" spans="1:14" s="7" customFormat="1">
      <c r="A73" s="8" t="s">
        <v>1425</v>
      </c>
      <c r="B73" s="11">
        <v>4.6779999999999999</v>
      </c>
      <c r="C73" s="13">
        <v>5.3100000000000005</v>
      </c>
      <c r="D73" s="14">
        <f t="shared" si="7"/>
        <v>7</v>
      </c>
      <c r="E73" s="14">
        <f t="shared" si="8"/>
        <v>0.2</v>
      </c>
      <c r="F73" s="14">
        <f t="shared" si="9"/>
        <v>5</v>
      </c>
      <c r="G73" s="14">
        <f t="shared" si="10"/>
        <v>4.7618000000000009</v>
      </c>
      <c r="H73" s="14">
        <f t="shared" si="11"/>
        <v>1</v>
      </c>
      <c r="I73" s="14">
        <f t="shared" si="12"/>
        <v>1</v>
      </c>
      <c r="J73" s="14">
        <f t="shared" si="13"/>
        <v>4.7618000000000009</v>
      </c>
      <c r="K73" s="15">
        <f>IF(CurrentMtgRatesDataTable8[[#This Row],[WA CC]]&lt;&gt;0,C72-CurrentMtgRatesDataTable8[[#This Row],[WA CC]],0)</f>
        <v>0.54819999999999958</v>
      </c>
      <c r="L73" s="16">
        <f>IF(CurrentMtgRatesDataTable8[[#This Row],[Servicing Spread]]&lt;=0,L72,CurrentMtgRatesDataTable8[[#This Row],[Servicing Spread]])</f>
        <v>0.54819999999999958</v>
      </c>
      <c r="M73" s="16">
        <f>CurrentMtgRatesDataTable8[[#This Row],[Servicing Spread Non-Zero]]-L72</f>
        <v>-4.1800000000000281E-2</v>
      </c>
      <c r="N73" s="16">
        <f>IF(J72&lt;&gt;0,CurrentMtgRatesDataTable8[[#This Row],[Rate]]-C72,N72)</f>
        <v>-0.20499999999999918</v>
      </c>
    </row>
    <row r="74" spans="1:14" s="7" customFormat="1">
      <c r="A74" s="8" t="s">
        <v>1426</v>
      </c>
      <c r="B74" s="11">
        <v>4.6680000000000001</v>
      </c>
      <c r="C74" s="13">
        <v>5.3049999999999997</v>
      </c>
      <c r="D74" s="14">
        <f t="shared" si="7"/>
        <v>1</v>
      </c>
      <c r="E74" s="14">
        <f t="shared" si="8"/>
        <v>0.2</v>
      </c>
      <c r="F74" s="14">
        <f t="shared" si="9"/>
        <v>1</v>
      </c>
      <c r="G74" s="14">
        <f t="shared" si="10"/>
        <v>0.9336000000000001</v>
      </c>
      <c r="H74" s="14">
        <f t="shared" si="11"/>
        <v>0.2</v>
      </c>
      <c r="I74" s="14">
        <f t="shared" si="12"/>
        <v>0</v>
      </c>
      <c r="J74" s="14">
        <f t="shared" si="13"/>
        <v>0</v>
      </c>
      <c r="K74" s="15">
        <f>IF(CurrentMtgRatesDataTable8[[#This Row],[WA CC]]&lt;&gt;0,C73-CurrentMtgRatesDataTable8[[#This Row],[WA CC]],0)</f>
        <v>0</v>
      </c>
      <c r="L74" s="16">
        <f>IF(CurrentMtgRatesDataTable8[[#This Row],[Servicing Spread]]&lt;=0,L73,CurrentMtgRatesDataTable8[[#This Row],[Servicing Spread]])</f>
        <v>0.54819999999999958</v>
      </c>
      <c r="M74" s="16">
        <f>CurrentMtgRatesDataTable8[[#This Row],[Servicing Spread Non-Zero]]-L73</f>
        <v>0</v>
      </c>
      <c r="N74" s="16">
        <f>IF(J73&lt;&gt;0,CurrentMtgRatesDataTable8[[#This Row],[Rate]]-C73,N73)</f>
        <v>-5.0000000000007816E-3</v>
      </c>
    </row>
    <row r="75" spans="1:14" s="7" customFormat="1">
      <c r="A75" s="8" t="s">
        <v>1427</v>
      </c>
      <c r="B75" s="11">
        <v>4.7039999999999997</v>
      </c>
      <c r="C75" s="13">
        <v>5.3049999999999997</v>
      </c>
      <c r="D75" s="14">
        <f t="shared" si="7"/>
        <v>2</v>
      </c>
      <c r="E75" s="14">
        <f t="shared" si="8"/>
        <v>0.2</v>
      </c>
      <c r="F75" s="14">
        <f t="shared" si="9"/>
        <v>2</v>
      </c>
      <c r="G75" s="14">
        <f t="shared" si="10"/>
        <v>1.8744000000000001</v>
      </c>
      <c r="H75" s="14">
        <f t="shared" si="11"/>
        <v>0.4</v>
      </c>
      <c r="I75" s="14">
        <f t="shared" si="12"/>
        <v>0</v>
      </c>
      <c r="J75" s="14">
        <f t="shared" si="13"/>
        <v>0</v>
      </c>
      <c r="K75" s="15">
        <f>IF(CurrentMtgRatesDataTable8[[#This Row],[WA CC]]&lt;&gt;0,C74-CurrentMtgRatesDataTable8[[#This Row],[WA CC]],0)</f>
        <v>0</v>
      </c>
      <c r="L75" s="16">
        <f>IF(CurrentMtgRatesDataTable8[[#This Row],[Servicing Spread]]&lt;=0,L74,CurrentMtgRatesDataTable8[[#This Row],[Servicing Spread]])</f>
        <v>0.54819999999999958</v>
      </c>
      <c r="M75" s="16">
        <f>CurrentMtgRatesDataTable8[[#This Row],[Servicing Spread Non-Zero]]-L74</f>
        <v>0</v>
      </c>
      <c r="N75" s="16">
        <f>IF(J74&lt;&gt;0,CurrentMtgRatesDataTable8[[#This Row],[Rate]]-C74,N74)</f>
        <v>-5.0000000000007816E-3</v>
      </c>
    </row>
    <row r="76" spans="1:14" s="7" customFormat="1">
      <c r="A76" s="8" t="s">
        <v>1428</v>
      </c>
      <c r="B76" s="11">
        <v>4.7290000000000001</v>
      </c>
      <c r="C76" s="13">
        <v>5.3049999999999997</v>
      </c>
      <c r="D76" s="14">
        <f t="shared" si="7"/>
        <v>5</v>
      </c>
      <c r="E76" s="14">
        <f t="shared" si="8"/>
        <v>0.2</v>
      </c>
      <c r="F76" s="14">
        <f t="shared" si="9"/>
        <v>3</v>
      </c>
      <c r="G76" s="14">
        <f t="shared" si="10"/>
        <v>2.8202000000000003</v>
      </c>
      <c r="H76" s="14">
        <f t="shared" si="11"/>
        <v>0.60000000000000009</v>
      </c>
      <c r="I76" s="14">
        <f t="shared" si="12"/>
        <v>0</v>
      </c>
      <c r="J76" s="14">
        <f t="shared" si="13"/>
        <v>0</v>
      </c>
      <c r="K76" s="15">
        <f>IF(CurrentMtgRatesDataTable8[[#This Row],[WA CC]]&lt;&gt;0,C75-CurrentMtgRatesDataTable8[[#This Row],[WA CC]],0)</f>
        <v>0</v>
      </c>
      <c r="L76" s="16">
        <f>IF(CurrentMtgRatesDataTable8[[#This Row],[Servicing Spread]]&lt;=0,L75,CurrentMtgRatesDataTable8[[#This Row],[Servicing Spread]])</f>
        <v>0.54819999999999958</v>
      </c>
      <c r="M76" s="16">
        <f>CurrentMtgRatesDataTable8[[#This Row],[Servicing Spread Non-Zero]]-L75</f>
        <v>0</v>
      </c>
      <c r="N76" s="16">
        <f>IF(J75&lt;&gt;0,CurrentMtgRatesDataTable8[[#This Row],[Rate]]-C75,N75)</f>
        <v>-5.0000000000007816E-3</v>
      </c>
    </row>
    <row r="77" spans="1:14" s="7" customFormat="1">
      <c r="A77" s="8" t="s">
        <v>1429</v>
      </c>
      <c r="B77" s="11">
        <v>4.6369999999999996</v>
      </c>
      <c r="C77" s="13">
        <v>5.3049999999999997</v>
      </c>
      <c r="D77" s="14">
        <f t="shared" si="7"/>
        <v>6</v>
      </c>
      <c r="E77" s="14">
        <f t="shared" si="8"/>
        <v>0.2</v>
      </c>
      <c r="F77" s="14">
        <f t="shared" si="9"/>
        <v>4</v>
      </c>
      <c r="G77" s="14">
        <f t="shared" si="10"/>
        <v>3.7476000000000003</v>
      </c>
      <c r="H77" s="14">
        <f t="shared" si="11"/>
        <v>0.8</v>
      </c>
      <c r="I77" s="14">
        <f t="shared" si="12"/>
        <v>0</v>
      </c>
      <c r="J77" s="14">
        <f t="shared" si="13"/>
        <v>0</v>
      </c>
      <c r="K77" s="15">
        <f>IF(CurrentMtgRatesDataTable8[[#This Row],[WA CC]]&lt;&gt;0,C76-CurrentMtgRatesDataTable8[[#This Row],[WA CC]],0)</f>
        <v>0</v>
      </c>
      <c r="L77" s="16">
        <f>IF(CurrentMtgRatesDataTable8[[#This Row],[Servicing Spread]]&lt;=0,L76,CurrentMtgRatesDataTable8[[#This Row],[Servicing Spread]])</f>
        <v>0.54819999999999958</v>
      </c>
      <c r="M77" s="16">
        <f>CurrentMtgRatesDataTable8[[#This Row],[Servicing Spread Non-Zero]]-L76</f>
        <v>0</v>
      </c>
      <c r="N77" s="16">
        <f>IF(J76&lt;&gt;0,CurrentMtgRatesDataTable8[[#This Row],[Rate]]-C76,N76)</f>
        <v>-5.0000000000007816E-3</v>
      </c>
    </row>
    <row r="78" spans="1:14" s="7" customFormat="1">
      <c r="A78" s="8" t="s">
        <v>1430</v>
      </c>
      <c r="B78" s="11">
        <v>4.6349999999999998</v>
      </c>
      <c r="C78" s="13">
        <v>5.3049999999999997</v>
      </c>
      <c r="D78" s="14">
        <f t="shared" si="7"/>
        <v>7</v>
      </c>
      <c r="E78" s="14">
        <f t="shared" si="8"/>
        <v>0.2</v>
      </c>
      <c r="F78" s="14">
        <f t="shared" si="9"/>
        <v>5</v>
      </c>
      <c r="G78" s="14">
        <f t="shared" si="10"/>
        <v>4.6745999999999999</v>
      </c>
      <c r="H78" s="14">
        <f t="shared" si="11"/>
        <v>1</v>
      </c>
      <c r="I78" s="14">
        <f t="shared" si="12"/>
        <v>1</v>
      </c>
      <c r="J78" s="14">
        <f t="shared" si="13"/>
        <v>4.6745999999999999</v>
      </c>
      <c r="K78" s="15">
        <f>IF(CurrentMtgRatesDataTable8[[#This Row],[WA CC]]&lt;&gt;0,C77-CurrentMtgRatesDataTable8[[#This Row],[WA CC]],0)</f>
        <v>0.63039999999999985</v>
      </c>
      <c r="L78" s="16">
        <f>IF(CurrentMtgRatesDataTable8[[#This Row],[Servicing Spread]]&lt;=0,L77,CurrentMtgRatesDataTable8[[#This Row],[Servicing Spread]])</f>
        <v>0.63039999999999985</v>
      </c>
      <c r="M78" s="16">
        <f>CurrentMtgRatesDataTable8[[#This Row],[Servicing Spread Non-Zero]]-L77</f>
        <v>8.2200000000000273E-2</v>
      </c>
      <c r="N78" s="16">
        <f>IF(J77&lt;&gt;0,CurrentMtgRatesDataTable8[[#This Row],[Rate]]-C77,N77)</f>
        <v>-5.0000000000007816E-3</v>
      </c>
    </row>
    <row r="79" spans="1:14" s="9" customFormat="1">
      <c r="A79" s="8" t="s">
        <v>1431</v>
      </c>
      <c r="B79" s="11">
        <v>4.7110000000000003</v>
      </c>
      <c r="C79" s="13">
        <v>5.3250000000000002</v>
      </c>
      <c r="D79" s="14">
        <f t="shared" si="7"/>
        <v>1</v>
      </c>
      <c r="E79" s="14">
        <f t="shared" si="8"/>
        <v>0.2</v>
      </c>
      <c r="F79" s="14">
        <f t="shared" si="9"/>
        <v>1</v>
      </c>
      <c r="G79" s="14">
        <f t="shared" si="10"/>
        <v>0.94220000000000015</v>
      </c>
      <c r="H79" s="14">
        <f t="shared" si="11"/>
        <v>0.2</v>
      </c>
      <c r="I79" s="14">
        <f t="shared" si="12"/>
        <v>0</v>
      </c>
      <c r="J79" s="14">
        <f t="shared" si="13"/>
        <v>0</v>
      </c>
      <c r="K79" s="15">
        <f>IF(CurrentMtgRatesDataTable8[[#This Row],[WA CC]]&lt;&gt;0,C78-CurrentMtgRatesDataTable8[[#This Row],[WA CC]],0)</f>
        <v>0</v>
      </c>
      <c r="L79" s="16">
        <f>IF(CurrentMtgRatesDataTable8[[#This Row],[Servicing Spread]]&lt;=0,L78,CurrentMtgRatesDataTable8[[#This Row],[Servicing Spread]])</f>
        <v>0.63039999999999985</v>
      </c>
      <c r="M79" s="16">
        <f>CurrentMtgRatesDataTable8[[#This Row],[Servicing Spread Non-Zero]]-L78</f>
        <v>0</v>
      </c>
      <c r="N79" s="16">
        <f>IF(J78&lt;&gt;0,CurrentMtgRatesDataTable8[[#This Row],[Rate]]-C78,N78)</f>
        <v>2.0000000000000462E-2</v>
      </c>
    </row>
    <row r="80" spans="1:14" s="9" customFormat="1">
      <c r="A80" s="8" t="s">
        <v>1432</v>
      </c>
      <c r="B80" s="11">
        <v>4.7549999999999999</v>
      </c>
      <c r="C80" s="13">
        <v>5.3250000000000002</v>
      </c>
      <c r="D80" s="14">
        <f t="shared" si="7"/>
        <v>2</v>
      </c>
      <c r="E80" s="14">
        <f t="shared" si="8"/>
        <v>0.2</v>
      </c>
      <c r="F80" s="14">
        <f t="shared" si="9"/>
        <v>2</v>
      </c>
      <c r="G80" s="14">
        <f t="shared" si="10"/>
        <v>1.8932000000000002</v>
      </c>
      <c r="H80" s="14">
        <f t="shared" si="11"/>
        <v>0.4</v>
      </c>
      <c r="I80" s="14">
        <f t="shared" si="12"/>
        <v>0</v>
      </c>
      <c r="J80" s="14">
        <f t="shared" si="13"/>
        <v>0</v>
      </c>
      <c r="K80" s="15">
        <f>IF(CurrentMtgRatesDataTable8[[#This Row],[WA CC]]&lt;&gt;0,C79-CurrentMtgRatesDataTable8[[#This Row],[WA CC]],0)</f>
        <v>0</v>
      </c>
      <c r="L80" s="16">
        <f>IF(CurrentMtgRatesDataTable8[[#This Row],[Servicing Spread]]&lt;=0,L79,CurrentMtgRatesDataTable8[[#This Row],[Servicing Spread]])</f>
        <v>0.63039999999999985</v>
      </c>
      <c r="M80" s="16">
        <f>CurrentMtgRatesDataTable8[[#This Row],[Servicing Spread Non-Zero]]-L79</f>
        <v>0</v>
      </c>
      <c r="N80" s="16">
        <f>IF(J79&lt;&gt;0,CurrentMtgRatesDataTable8[[#This Row],[Rate]]-C79,N79)</f>
        <v>2.0000000000000462E-2</v>
      </c>
    </row>
    <row r="81" spans="1:14" s="9" customFormat="1">
      <c r="A81" s="8" t="s">
        <v>1433</v>
      </c>
      <c r="B81" s="11">
        <v>4.7039999999999997</v>
      </c>
      <c r="C81" s="13">
        <v>5.3250000000000002</v>
      </c>
      <c r="D81" s="14">
        <f t="shared" si="7"/>
        <v>5</v>
      </c>
      <c r="E81" s="14">
        <f t="shared" si="8"/>
        <v>0.2</v>
      </c>
      <c r="F81" s="14">
        <f t="shared" si="9"/>
        <v>3</v>
      </c>
      <c r="G81" s="14">
        <f t="shared" si="10"/>
        <v>2.8340000000000001</v>
      </c>
      <c r="H81" s="14">
        <f t="shared" si="11"/>
        <v>0.60000000000000009</v>
      </c>
      <c r="I81" s="14">
        <f t="shared" si="12"/>
        <v>0</v>
      </c>
      <c r="J81" s="14">
        <f t="shared" si="13"/>
        <v>0</v>
      </c>
      <c r="K81" s="15">
        <f>IF(CurrentMtgRatesDataTable8[[#This Row],[WA CC]]&lt;&gt;0,C80-CurrentMtgRatesDataTable8[[#This Row],[WA CC]],0)</f>
        <v>0</v>
      </c>
      <c r="L81" s="16">
        <f>IF(CurrentMtgRatesDataTable8[[#This Row],[Servicing Spread]]&lt;=0,L80,CurrentMtgRatesDataTable8[[#This Row],[Servicing Spread]])</f>
        <v>0.63039999999999985</v>
      </c>
      <c r="M81" s="16">
        <f>CurrentMtgRatesDataTable8[[#This Row],[Servicing Spread Non-Zero]]-L80</f>
        <v>0</v>
      </c>
      <c r="N81" s="16">
        <f>IF(J80&lt;&gt;0,CurrentMtgRatesDataTable8[[#This Row],[Rate]]-C80,N80)</f>
        <v>2.0000000000000462E-2</v>
      </c>
    </row>
    <row r="82" spans="1:14" s="9" customFormat="1">
      <c r="A82" s="8" t="s">
        <v>1434</v>
      </c>
      <c r="B82" s="11">
        <v>4.6820000000000004</v>
      </c>
      <c r="C82" s="13">
        <v>5.3250000000000002</v>
      </c>
      <c r="D82" s="14">
        <f t="shared" si="7"/>
        <v>6</v>
      </c>
      <c r="E82" s="14">
        <f t="shared" si="8"/>
        <v>0.2</v>
      </c>
      <c r="F82" s="14">
        <f t="shared" si="9"/>
        <v>4</v>
      </c>
      <c r="G82" s="14">
        <f t="shared" si="10"/>
        <v>3.7704000000000004</v>
      </c>
      <c r="H82" s="14">
        <f t="shared" si="11"/>
        <v>0.8</v>
      </c>
      <c r="I82" s="14">
        <f t="shared" si="12"/>
        <v>0</v>
      </c>
      <c r="J82" s="14">
        <f t="shared" si="13"/>
        <v>0</v>
      </c>
      <c r="K82" s="15">
        <f>IF(CurrentMtgRatesDataTable8[[#This Row],[WA CC]]&lt;&gt;0,C81-CurrentMtgRatesDataTable8[[#This Row],[WA CC]],0)</f>
        <v>0</v>
      </c>
      <c r="L82" s="16">
        <f>IF(CurrentMtgRatesDataTable8[[#This Row],[Servicing Spread]]&lt;=0,L81,CurrentMtgRatesDataTable8[[#This Row],[Servicing Spread]])</f>
        <v>0.63039999999999985</v>
      </c>
      <c r="M82" s="16">
        <f>CurrentMtgRatesDataTable8[[#This Row],[Servicing Spread Non-Zero]]-L81</f>
        <v>0</v>
      </c>
      <c r="N82" s="16">
        <f>IF(J81&lt;&gt;0,CurrentMtgRatesDataTable8[[#This Row],[Rate]]-C81,N81)</f>
        <v>2.0000000000000462E-2</v>
      </c>
    </row>
    <row r="83" spans="1:14" s="9" customFormat="1">
      <c r="A83" s="8" t="s">
        <v>1435</v>
      </c>
      <c r="B83" s="11">
        <v>4.6779999999999999</v>
      </c>
      <c r="C83" s="13">
        <v>5.3250000000000002</v>
      </c>
      <c r="D83" s="14">
        <f t="shared" si="7"/>
        <v>7</v>
      </c>
      <c r="E83" s="14">
        <f t="shared" si="8"/>
        <v>0.2</v>
      </c>
      <c r="F83" s="14">
        <f t="shared" si="9"/>
        <v>5</v>
      </c>
      <c r="G83" s="14">
        <f t="shared" si="10"/>
        <v>4.7060000000000004</v>
      </c>
      <c r="H83" s="14">
        <f t="shared" si="11"/>
        <v>1</v>
      </c>
      <c r="I83" s="14">
        <f t="shared" si="12"/>
        <v>1</v>
      </c>
      <c r="J83" s="14">
        <f t="shared" si="13"/>
        <v>4.7060000000000004</v>
      </c>
      <c r="K83" s="15">
        <f>IF(CurrentMtgRatesDataTable8[[#This Row],[WA CC]]&lt;&gt;0,C82-CurrentMtgRatesDataTable8[[#This Row],[WA CC]],0)</f>
        <v>0.61899999999999977</v>
      </c>
      <c r="L83" s="16">
        <f>IF(CurrentMtgRatesDataTable8[[#This Row],[Servicing Spread]]&lt;=0,L82,CurrentMtgRatesDataTable8[[#This Row],[Servicing Spread]])</f>
        <v>0.61899999999999977</v>
      </c>
      <c r="M83" s="16">
        <f>CurrentMtgRatesDataTable8[[#This Row],[Servicing Spread Non-Zero]]-L82</f>
        <v>-1.1400000000000077E-2</v>
      </c>
      <c r="N83" s="16">
        <f>IF(J82&lt;&gt;0,CurrentMtgRatesDataTable8[[#This Row],[Rate]]-C82,N82)</f>
        <v>2.0000000000000462E-2</v>
      </c>
    </row>
    <row r="84" spans="1:14" s="9" customFormat="1">
      <c r="A84" s="8" t="s">
        <v>1436</v>
      </c>
      <c r="B84" s="11">
        <v>4.7240000000000002</v>
      </c>
      <c r="C84" s="13">
        <v>5.42</v>
      </c>
      <c r="D84" s="14">
        <f t="shared" si="7"/>
        <v>1</v>
      </c>
      <c r="E84" s="14">
        <f t="shared" si="8"/>
        <v>0.2</v>
      </c>
      <c r="F84" s="14">
        <f t="shared" si="9"/>
        <v>1</v>
      </c>
      <c r="G84" s="14">
        <f t="shared" si="10"/>
        <v>0.94480000000000008</v>
      </c>
      <c r="H84" s="14">
        <f t="shared" si="11"/>
        <v>0.2</v>
      </c>
      <c r="I84" s="14">
        <f t="shared" si="12"/>
        <v>0</v>
      </c>
      <c r="J84" s="14">
        <f t="shared" si="13"/>
        <v>0</v>
      </c>
      <c r="K84" s="15">
        <f>IF(CurrentMtgRatesDataTable8[[#This Row],[WA CC]]&lt;&gt;0,C83-CurrentMtgRatesDataTable8[[#This Row],[WA CC]],0)</f>
        <v>0</v>
      </c>
      <c r="L84" s="16">
        <f>IF(CurrentMtgRatesDataTable8[[#This Row],[Servicing Spread]]&lt;=0,L83,CurrentMtgRatesDataTable8[[#This Row],[Servicing Spread]])</f>
        <v>0.61899999999999977</v>
      </c>
      <c r="M84" s="16">
        <f>CurrentMtgRatesDataTable8[[#This Row],[Servicing Spread Non-Zero]]-L83</f>
        <v>0</v>
      </c>
      <c r="N84" s="16">
        <f>IF(J83&lt;&gt;0,CurrentMtgRatesDataTable8[[#This Row],[Rate]]-C83,N83)</f>
        <v>9.4999999999999751E-2</v>
      </c>
    </row>
    <row r="85" spans="1:14" s="9" customFormat="1">
      <c r="A85" s="8" t="s">
        <v>1437</v>
      </c>
      <c r="B85" s="11">
        <v>4.8499999999999996</v>
      </c>
      <c r="C85" s="13">
        <v>5.42</v>
      </c>
      <c r="D85" s="14">
        <f t="shared" si="7"/>
        <v>2</v>
      </c>
      <c r="E85" s="14">
        <f t="shared" si="8"/>
        <v>0.2</v>
      </c>
      <c r="F85" s="14">
        <f t="shared" si="9"/>
        <v>2</v>
      </c>
      <c r="G85" s="14">
        <f t="shared" si="10"/>
        <v>1.9148000000000001</v>
      </c>
      <c r="H85" s="14">
        <f t="shared" si="11"/>
        <v>0.4</v>
      </c>
      <c r="I85" s="14">
        <f t="shared" si="12"/>
        <v>0</v>
      </c>
      <c r="J85" s="14">
        <f t="shared" si="13"/>
        <v>0</v>
      </c>
      <c r="K85" s="15">
        <f>IF(CurrentMtgRatesDataTable8[[#This Row],[WA CC]]&lt;&gt;0,C84-CurrentMtgRatesDataTable8[[#This Row],[WA CC]],0)</f>
        <v>0</v>
      </c>
      <c r="L85" s="16">
        <f>IF(CurrentMtgRatesDataTable8[[#This Row],[Servicing Spread]]&lt;=0,L84,CurrentMtgRatesDataTable8[[#This Row],[Servicing Spread]])</f>
        <v>0.61899999999999977</v>
      </c>
      <c r="M85" s="16">
        <f>CurrentMtgRatesDataTable8[[#This Row],[Servicing Spread Non-Zero]]-L84</f>
        <v>0</v>
      </c>
      <c r="N85" s="16">
        <f>IF(J84&lt;&gt;0,CurrentMtgRatesDataTable8[[#This Row],[Rate]]-C84,N84)</f>
        <v>9.4999999999999751E-2</v>
      </c>
    </row>
    <row r="86" spans="1:14" s="9" customFormat="1">
      <c r="A86" s="8" t="s">
        <v>1438</v>
      </c>
      <c r="B86" s="11">
        <v>4.8879999999999999</v>
      </c>
      <c r="C86" s="13">
        <v>5.42</v>
      </c>
      <c r="D86" s="14">
        <f t="shared" si="7"/>
        <v>5</v>
      </c>
      <c r="E86" s="14">
        <f t="shared" si="8"/>
        <v>0.2</v>
      </c>
      <c r="F86" s="14">
        <f t="shared" si="9"/>
        <v>3</v>
      </c>
      <c r="G86" s="14">
        <f t="shared" si="10"/>
        <v>2.8924000000000003</v>
      </c>
      <c r="H86" s="14">
        <f t="shared" si="11"/>
        <v>0.60000000000000009</v>
      </c>
      <c r="I86" s="14">
        <f t="shared" si="12"/>
        <v>0</v>
      </c>
      <c r="J86" s="14">
        <f t="shared" si="13"/>
        <v>0</v>
      </c>
      <c r="K86" s="15">
        <f>IF(CurrentMtgRatesDataTable8[[#This Row],[WA CC]]&lt;&gt;0,C85-CurrentMtgRatesDataTable8[[#This Row],[WA CC]],0)</f>
        <v>0</v>
      </c>
      <c r="L86" s="16">
        <f>IF(CurrentMtgRatesDataTable8[[#This Row],[Servicing Spread]]&lt;=0,L85,CurrentMtgRatesDataTable8[[#This Row],[Servicing Spread]])</f>
        <v>0.61899999999999977</v>
      </c>
      <c r="M86" s="16">
        <f>CurrentMtgRatesDataTable8[[#This Row],[Servicing Spread Non-Zero]]-L85</f>
        <v>0</v>
      </c>
      <c r="N86" s="16">
        <f>IF(J85&lt;&gt;0,CurrentMtgRatesDataTable8[[#This Row],[Rate]]-C85,N85)</f>
        <v>9.4999999999999751E-2</v>
      </c>
    </row>
    <row r="87" spans="1:14" s="9" customFormat="1">
      <c r="A87" s="8" t="s">
        <v>1439</v>
      </c>
      <c r="B87" s="11">
        <v>4.8899999999999997</v>
      </c>
      <c r="C87" s="13">
        <v>5.42</v>
      </c>
      <c r="D87" s="14">
        <f t="shared" si="7"/>
        <v>6</v>
      </c>
      <c r="E87" s="14">
        <f t="shared" si="8"/>
        <v>0.2</v>
      </c>
      <c r="F87" s="14">
        <f t="shared" si="9"/>
        <v>4</v>
      </c>
      <c r="G87" s="14">
        <f t="shared" si="10"/>
        <v>3.8704000000000001</v>
      </c>
      <c r="H87" s="14">
        <f t="shared" si="11"/>
        <v>0.8</v>
      </c>
      <c r="I87" s="14">
        <f t="shared" si="12"/>
        <v>0</v>
      </c>
      <c r="J87" s="14">
        <f t="shared" si="13"/>
        <v>0</v>
      </c>
      <c r="K87" s="15">
        <f>IF(CurrentMtgRatesDataTable8[[#This Row],[WA CC]]&lt;&gt;0,C86-CurrentMtgRatesDataTable8[[#This Row],[WA CC]],0)</f>
        <v>0</v>
      </c>
      <c r="L87" s="16">
        <f>IF(CurrentMtgRatesDataTable8[[#This Row],[Servicing Spread]]&lt;=0,L86,CurrentMtgRatesDataTable8[[#This Row],[Servicing Spread]])</f>
        <v>0.61899999999999977</v>
      </c>
      <c r="M87" s="16">
        <f>CurrentMtgRatesDataTable8[[#This Row],[Servicing Spread Non-Zero]]-L86</f>
        <v>0</v>
      </c>
      <c r="N87" s="16">
        <f>IF(J86&lt;&gt;0,CurrentMtgRatesDataTable8[[#This Row],[Rate]]-C86,N86)</f>
        <v>9.4999999999999751E-2</v>
      </c>
    </row>
    <row r="88" spans="1:14" s="9" customFormat="1">
      <c r="A88" s="8" t="s">
        <v>1440</v>
      </c>
      <c r="B88" s="11">
        <v>4.8369999999999997</v>
      </c>
      <c r="C88" s="13">
        <v>5.42</v>
      </c>
      <c r="D88" s="14">
        <f t="shared" si="7"/>
        <v>7</v>
      </c>
      <c r="E88" s="14">
        <f t="shared" si="8"/>
        <v>0.2</v>
      </c>
      <c r="F88" s="14">
        <f t="shared" si="9"/>
        <v>5</v>
      </c>
      <c r="G88" s="14">
        <f t="shared" si="10"/>
        <v>4.8377999999999997</v>
      </c>
      <c r="H88" s="14">
        <f t="shared" si="11"/>
        <v>1</v>
      </c>
      <c r="I88" s="14">
        <f t="shared" si="12"/>
        <v>1</v>
      </c>
      <c r="J88" s="14">
        <f t="shared" si="13"/>
        <v>4.8377999999999997</v>
      </c>
      <c r="K88" s="15">
        <f>IF(CurrentMtgRatesDataTable8[[#This Row],[WA CC]]&lt;&gt;0,C87-CurrentMtgRatesDataTable8[[#This Row],[WA CC]],0)</f>
        <v>0.58220000000000027</v>
      </c>
      <c r="L88" s="16">
        <f>IF(CurrentMtgRatesDataTable8[[#This Row],[Servicing Spread]]&lt;=0,L87,CurrentMtgRatesDataTable8[[#This Row],[Servicing Spread]])</f>
        <v>0.58220000000000027</v>
      </c>
      <c r="M88" s="16">
        <f>CurrentMtgRatesDataTable8[[#This Row],[Servicing Spread Non-Zero]]-L87</f>
        <v>-3.67999999999995E-2</v>
      </c>
      <c r="N88" s="16">
        <f>IF(J87&lt;&gt;0,CurrentMtgRatesDataTable8[[#This Row],[Rate]]-C87,N87)</f>
        <v>9.4999999999999751E-2</v>
      </c>
    </row>
    <row r="89" spans="1:14" s="9" customFormat="1">
      <c r="A89" s="8" t="s">
        <v>1441</v>
      </c>
      <c r="B89" s="11">
        <v>4.8849999999999998</v>
      </c>
      <c r="C89" s="13">
        <v>5.7149999999999999</v>
      </c>
      <c r="D89" s="14">
        <f t="shared" si="7"/>
        <v>1</v>
      </c>
      <c r="E89" s="14">
        <f t="shared" si="8"/>
        <v>0.2</v>
      </c>
      <c r="F89" s="14">
        <f t="shared" si="9"/>
        <v>1</v>
      </c>
      <c r="G89" s="14">
        <f t="shared" si="10"/>
        <v>0.97699999999999998</v>
      </c>
      <c r="H89" s="14">
        <f t="shared" si="11"/>
        <v>0.2</v>
      </c>
      <c r="I89" s="14">
        <f t="shared" si="12"/>
        <v>0</v>
      </c>
      <c r="J89" s="14">
        <f t="shared" si="13"/>
        <v>0</v>
      </c>
      <c r="K89" s="15">
        <f>IF(CurrentMtgRatesDataTable8[[#This Row],[WA CC]]&lt;&gt;0,C88-CurrentMtgRatesDataTable8[[#This Row],[WA CC]],0)</f>
        <v>0</v>
      </c>
      <c r="L89" s="16">
        <f>IF(CurrentMtgRatesDataTable8[[#This Row],[Servicing Spread]]&lt;=0,L88,CurrentMtgRatesDataTable8[[#This Row],[Servicing Spread]])</f>
        <v>0.58220000000000027</v>
      </c>
      <c r="M89" s="16">
        <f>CurrentMtgRatesDataTable8[[#This Row],[Servicing Spread Non-Zero]]-L88</f>
        <v>0</v>
      </c>
      <c r="N89" s="16">
        <f>IF(J88&lt;&gt;0,CurrentMtgRatesDataTable8[[#This Row],[Rate]]-C88,N88)</f>
        <v>0.29499999999999993</v>
      </c>
    </row>
    <row r="90" spans="1:14" s="9" customFormat="1">
      <c r="A90" s="8" t="s">
        <v>1442</v>
      </c>
      <c r="B90" s="11">
        <v>5.1289999999999996</v>
      </c>
      <c r="C90" s="13">
        <v>5.7149999999999999</v>
      </c>
      <c r="D90" s="14">
        <f t="shared" si="7"/>
        <v>2</v>
      </c>
      <c r="E90" s="14">
        <f t="shared" si="8"/>
        <v>0.2</v>
      </c>
      <c r="F90" s="14">
        <f t="shared" si="9"/>
        <v>2</v>
      </c>
      <c r="G90" s="14">
        <f t="shared" si="10"/>
        <v>2.0028000000000001</v>
      </c>
      <c r="H90" s="14">
        <f t="shared" si="11"/>
        <v>0.4</v>
      </c>
      <c r="I90" s="14">
        <f t="shared" si="12"/>
        <v>0</v>
      </c>
      <c r="J90" s="14">
        <f t="shared" si="13"/>
        <v>0</v>
      </c>
      <c r="K90" s="15">
        <f>IF(CurrentMtgRatesDataTable8[[#This Row],[WA CC]]&lt;&gt;0,C89-CurrentMtgRatesDataTable8[[#This Row],[WA CC]],0)</f>
        <v>0</v>
      </c>
      <c r="L90" s="16">
        <f>IF(CurrentMtgRatesDataTable8[[#This Row],[Servicing Spread]]&lt;=0,L89,CurrentMtgRatesDataTable8[[#This Row],[Servicing Spread]])</f>
        <v>0.58220000000000027</v>
      </c>
      <c r="M90" s="16">
        <f>CurrentMtgRatesDataTable8[[#This Row],[Servicing Spread Non-Zero]]-L89</f>
        <v>0</v>
      </c>
      <c r="N90" s="16">
        <f>IF(J89&lt;&gt;0,CurrentMtgRatesDataTable8[[#This Row],[Rate]]-C89,N89)</f>
        <v>0.29499999999999993</v>
      </c>
    </row>
    <row r="91" spans="1:14" s="9" customFormat="1">
      <c r="A91" s="8" t="s">
        <v>1443</v>
      </c>
      <c r="B91" s="11">
        <v>5.2080000000000002</v>
      </c>
      <c r="C91" s="13">
        <v>5.7149999999999999</v>
      </c>
      <c r="D91" s="14">
        <f t="shared" si="7"/>
        <v>5</v>
      </c>
      <c r="E91" s="14">
        <f t="shared" si="8"/>
        <v>0.2</v>
      </c>
      <c r="F91" s="14">
        <f t="shared" si="9"/>
        <v>3</v>
      </c>
      <c r="G91" s="14">
        <f t="shared" si="10"/>
        <v>3.0444000000000004</v>
      </c>
      <c r="H91" s="14">
        <f t="shared" si="11"/>
        <v>0.60000000000000009</v>
      </c>
      <c r="I91" s="14">
        <f t="shared" si="12"/>
        <v>0</v>
      </c>
      <c r="J91" s="14">
        <f t="shared" si="13"/>
        <v>0</v>
      </c>
      <c r="K91" s="15">
        <f>IF(CurrentMtgRatesDataTable8[[#This Row],[WA CC]]&lt;&gt;0,C90-CurrentMtgRatesDataTable8[[#This Row],[WA CC]],0)</f>
        <v>0</v>
      </c>
      <c r="L91" s="16">
        <f>IF(CurrentMtgRatesDataTable8[[#This Row],[Servicing Spread]]&lt;=0,L90,CurrentMtgRatesDataTable8[[#This Row],[Servicing Spread]])</f>
        <v>0.58220000000000027</v>
      </c>
      <c r="M91" s="16">
        <f>CurrentMtgRatesDataTable8[[#This Row],[Servicing Spread Non-Zero]]-L90</f>
        <v>0</v>
      </c>
      <c r="N91" s="16">
        <f>IF(J90&lt;&gt;0,CurrentMtgRatesDataTable8[[#This Row],[Rate]]-C90,N90)</f>
        <v>0.29499999999999993</v>
      </c>
    </row>
    <row r="92" spans="1:14" s="9" customFormat="1">
      <c r="A92" s="8" t="s">
        <v>1444</v>
      </c>
      <c r="B92" s="11">
        <v>5.1340000000000003</v>
      </c>
      <c r="C92" s="13">
        <v>5.7149999999999999</v>
      </c>
      <c r="D92" s="14">
        <f t="shared" si="7"/>
        <v>6</v>
      </c>
      <c r="E92" s="14">
        <f t="shared" si="8"/>
        <v>0.2</v>
      </c>
      <c r="F92" s="14">
        <f t="shared" si="9"/>
        <v>4</v>
      </c>
      <c r="G92" s="14">
        <f t="shared" si="10"/>
        <v>4.071200000000001</v>
      </c>
      <c r="H92" s="14">
        <f t="shared" si="11"/>
        <v>0.8</v>
      </c>
      <c r="I92" s="14">
        <f t="shared" si="12"/>
        <v>0</v>
      </c>
      <c r="J92" s="14">
        <f t="shared" si="13"/>
        <v>0</v>
      </c>
      <c r="K92" s="15">
        <f>IF(CurrentMtgRatesDataTable8[[#This Row],[WA CC]]&lt;&gt;0,C91-CurrentMtgRatesDataTable8[[#This Row],[WA CC]],0)</f>
        <v>0</v>
      </c>
      <c r="L92" s="16">
        <f>IF(CurrentMtgRatesDataTable8[[#This Row],[Servicing Spread]]&lt;=0,L91,CurrentMtgRatesDataTable8[[#This Row],[Servicing Spread]])</f>
        <v>0.58220000000000027</v>
      </c>
      <c r="M92" s="16">
        <f>CurrentMtgRatesDataTable8[[#This Row],[Servicing Spread Non-Zero]]-L91</f>
        <v>0</v>
      </c>
      <c r="N92" s="16">
        <f>IF(J91&lt;&gt;0,CurrentMtgRatesDataTable8[[#This Row],[Rate]]-C91,N91)</f>
        <v>0.29499999999999993</v>
      </c>
    </row>
    <row r="93" spans="1:14" s="9" customFormat="1">
      <c r="A93" s="8" t="s">
        <v>1445</v>
      </c>
      <c r="B93" s="11">
        <v>5.0869999999999997</v>
      </c>
      <c r="C93" s="13">
        <v>5.7149999999999999</v>
      </c>
      <c r="D93" s="14">
        <f t="shared" si="7"/>
        <v>7</v>
      </c>
      <c r="E93" s="14">
        <f t="shared" si="8"/>
        <v>0.2</v>
      </c>
      <c r="F93" s="14">
        <f t="shared" si="9"/>
        <v>5</v>
      </c>
      <c r="G93" s="14">
        <f t="shared" si="10"/>
        <v>5.0886000000000013</v>
      </c>
      <c r="H93" s="14">
        <f t="shared" si="11"/>
        <v>1</v>
      </c>
      <c r="I93" s="14">
        <f t="shared" si="12"/>
        <v>1</v>
      </c>
      <c r="J93" s="14">
        <f t="shared" si="13"/>
        <v>5.0886000000000013</v>
      </c>
      <c r="K93" s="15">
        <f>IF(CurrentMtgRatesDataTable8[[#This Row],[WA CC]]&lt;&gt;0,C92-CurrentMtgRatesDataTable8[[#This Row],[WA CC]],0)</f>
        <v>0.62639999999999851</v>
      </c>
      <c r="L93" s="16">
        <f>IF(CurrentMtgRatesDataTable8[[#This Row],[Servicing Spread]]&lt;=0,L92,CurrentMtgRatesDataTable8[[#This Row],[Servicing Spread]])</f>
        <v>0.62639999999999851</v>
      </c>
      <c r="M93" s="16">
        <f>CurrentMtgRatesDataTable8[[#This Row],[Servicing Spread Non-Zero]]-L92</f>
        <v>4.4199999999998241E-2</v>
      </c>
      <c r="N93" s="16">
        <f>IF(J92&lt;&gt;0,CurrentMtgRatesDataTable8[[#This Row],[Rate]]-C92,N92)</f>
        <v>0.29499999999999993</v>
      </c>
    </row>
    <row r="94" spans="1:14" s="9" customFormat="1">
      <c r="A94" s="8" t="s">
        <v>1446</v>
      </c>
      <c r="B94" s="11">
        <v>5.1260000000000003</v>
      </c>
      <c r="C94" s="13">
        <v>5.79</v>
      </c>
      <c r="D94" s="14">
        <f t="shared" si="7"/>
        <v>1</v>
      </c>
      <c r="E94" s="14">
        <f t="shared" si="8"/>
        <v>0.2</v>
      </c>
      <c r="F94" s="14">
        <f t="shared" si="9"/>
        <v>1</v>
      </c>
      <c r="G94" s="14">
        <f t="shared" si="10"/>
        <v>1.0252000000000001</v>
      </c>
      <c r="H94" s="14">
        <f t="shared" si="11"/>
        <v>0.2</v>
      </c>
      <c r="I94" s="14">
        <f t="shared" si="12"/>
        <v>0</v>
      </c>
      <c r="J94" s="14">
        <f t="shared" si="13"/>
        <v>0</v>
      </c>
      <c r="K94" s="15">
        <f>IF(CurrentMtgRatesDataTable8[[#This Row],[WA CC]]&lt;&gt;0,C93-CurrentMtgRatesDataTable8[[#This Row],[WA CC]],0)</f>
        <v>0</v>
      </c>
      <c r="L94" s="16">
        <f>IF(CurrentMtgRatesDataTable8[[#This Row],[Servicing Spread]]&lt;=0,L93,CurrentMtgRatesDataTable8[[#This Row],[Servicing Spread]])</f>
        <v>0.62639999999999851</v>
      </c>
      <c r="M94" s="16">
        <f>CurrentMtgRatesDataTable8[[#This Row],[Servicing Spread Non-Zero]]-L93</f>
        <v>0</v>
      </c>
      <c r="N94" s="16">
        <f>IF(J93&lt;&gt;0,CurrentMtgRatesDataTable8[[#This Row],[Rate]]-C93,N93)</f>
        <v>7.5000000000000178E-2</v>
      </c>
    </row>
    <row r="95" spans="1:14" s="9" customFormat="1">
      <c r="A95" s="8" t="s">
        <v>1447</v>
      </c>
      <c r="B95" s="11">
        <v>5.1689999999999996</v>
      </c>
      <c r="C95" s="13">
        <v>5.79</v>
      </c>
      <c r="D95" s="14">
        <f t="shared" si="7"/>
        <v>5</v>
      </c>
      <c r="E95" s="14">
        <f t="shared" si="8"/>
        <v>0.2</v>
      </c>
      <c r="F95" s="14">
        <f t="shared" si="9"/>
        <v>2</v>
      </c>
      <c r="G95" s="14">
        <f t="shared" si="10"/>
        <v>2.0590000000000002</v>
      </c>
      <c r="H95" s="14">
        <f t="shared" si="11"/>
        <v>0.4</v>
      </c>
      <c r="I95" s="14">
        <f t="shared" si="12"/>
        <v>0</v>
      </c>
      <c r="J95" s="14">
        <f t="shared" si="13"/>
        <v>0</v>
      </c>
      <c r="K95" s="15">
        <f>IF(CurrentMtgRatesDataTable8[[#This Row],[WA CC]]&lt;&gt;0,C94-CurrentMtgRatesDataTable8[[#This Row],[WA CC]],0)</f>
        <v>0</v>
      </c>
      <c r="L95" s="16">
        <f>IF(CurrentMtgRatesDataTable8[[#This Row],[Servicing Spread]]&lt;=0,L94,CurrentMtgRatesDataTable8[[#This Row],[Servicing Spread]])</f>
        <v>0.62639999999999851</v>
      </c>
      <c r="M95" s="16">
        <f>CurrentMtgRatesDataTable8[[#This Row],[Servicing Spread Non-Zero]]-L94</f>
        <v>0</v>
      </c>
      <c r="N95" s="16">
        <f>IF(J94&lt;&gt;0,CurrentMtgRatesDataTable8[[#This Row],[Rate]]-C94,N94)</f>
        <v>7.5000000000000178E-2</v>
      </c>
    </row>
    <row r="96" spans="1:14" s="9" customFormat="1">
      <c r="A96" s="8" t="s">
        <v>1448</v>
      </c>
      <c r="B96" s="11">
        <v>5.2729999999999997</v>
      </c>
      <c r="C96" s="13">
        <v>5.79</v>
      </c>
      <c r="D96" s="14">
        <f t="shared" si="7"/>
        <v>6</v>
      </c>
      <c r="E96" s="14">
        <f t="shared" si="8"/>
        <v>0.2</v>
      </c>
      <c r="F96" s="14">
        <f t="shared" si="9"/>
        <v>3</v>
      </c>
      <c r="G96" s="14">
        <f t="shared" si="10"/>
        <v>3.1135999999999999</v>
      </c>
      <c r="H96" s="14">
        <f t="shared" si="11"/>
        <v>0.60000000000000009</v>
      </c>
      <c r="I96" s="14">
        <f t="shared" si="12"/>
        <v>0</v>
      </c>
      <c r="J96" s="14">
        <f t="shared" si="13"/>
        <v>0</v>
      </c>
      <c r="K96" s="15">
        <f>IF(CurrentMtgRatesDataTable8[[#This Row],[WA CC]]&lt;&gt;0,C95-CurrentMtgRatesDataTable8[[#This Row],[WA CC]],0)</f>
        <v>0</v>
      </c>
      <c r="L96" s="16">
        <f>IF(CurrentMtgRatesDataTable8[[#This Row],[Servicing Spread]]&lt;=0,L95,CurrentMtgRatesDataTable8[[#This Row],[Servicing Spread]])</f>
        <v>0.62639999999999851</v>
      </c>
      <c r="M96" s="16">
        <f>CurrentMtgRatesDataTable8[[#This Row],[Servicing Spread Non-Zero]]-L95</f>
        <v>0</v>
      </c>
      <c r="N96" s="16">
        <f>IF(J95&lt;&gt;0,CurrentMtgRatesDataTable8[[#This Row],[Rate]]-C95,N95)</f>
        <v>7.5000000000000178E-2</v>
      </c>
    </row>
    <row r="97" spans="1:14" s="9" customFormat="1">
      <c r="A97" s="8" t="s">
        <v>1449</v>
      </c>
      <c r="B97" s="11">
        <v>5.3159999999999998</v>
      </c>
      <c r="C97" s="13">
        <v>5.79</v>
      </c>
      <c r="D97" s="14">
        <f t="shared" si="7"/>
        <v>7</v>
      </c>
      <c r="E97" s="14">
        <f t="shared" si="8"/>
        <v>0.2</v>
      </c>
      <c r="F97" s="14">
        <f t="shared" si="9"/>
        <v>4</v>
      </c>
      <c r="G97" s="14">
        <f t="shared" si="10"/>
        <v>4.1768000000000001</v>
      </c>
      <c r="H97" s="14">
        <f t="shared" si="11"/>
        <v>0.8</v>
      </c>
      <c r="I97" s="14">
        <f t="shared" si="12"/>
        <v>1</v>
      </c>
      <c r="J97" s="14">
        <f t="shared" si="13"/>
        <v>5.2210000000000001</v>
      </c>
      <c r="K97" s="15">
        <f>IF(CurrentMtgRatesDataTable8[[#This Row],[WA CC]]&lt;&gt;0,C96-CurrentMtgRatesDataTable8[[#This Row],[WA CC]],0)</f>
        <v>0.56899999999999995</v>
      </c>
      <c r="L97" s="16">
        <f>IF(CurrentMtgRatesDataTable8[[#This Row],[Servicing Spread]]&lt;=0,L96,CurrentMtgRatesDataTable8[[#This Row],[Servicing Spread]])</f>
        <v>0.56899999999999995</v>
      </c>
      <c r="M97" s="16">
        <f>CurrentMtgRatesDataTable8[[#This Row],[Servicing Spread Non-Zero]]-L96</f>
        <v>-5.7399999999998563E-2</v>
      </c>
      <c r="N97" s="16">
        <f>IF(J96&lt;&gt;0,CurrentMtgRatesDataTable8[[#This Row],[Rate]]-C96,N96)</f>
        <v>7.5000000000000178E-2</v>
      </c>
    </row>
    <row r="98" spans="1:14" s="9" customFormat="1">
      <c r="A98" s="8" t="s">
        <v>1450</v>
      </c>
      <c r="B98" s="11">
        <v>5.3280000000000003</v>
      </c>
      <c r="C98" s="13">
        <v>5.8650000000000002</v>
      </c>
      <c r="D98" s="14">
        <f t="shared" si="7"/>
        <v>1</v>
      </c>
      <c r="E98" s="14">
        <f t="shared" si="8"/>
        <v>0.2</v>
      </c>
      <c r="F98" s="14">
        <f t="shared" si="9"/>
        <v>1</v>
      </c>
      <c r="G98" s="14">
        <f t="shared" si="10"/>
        <v>1.0656000000000001</v>
      </c>
      <c r="H98" s="14">
        <f t="shared" si="11"/>
        <v>0.2</v>
      </c>
      <c r="I98" s="14">
        <f t="shared" si="12"/>
        <v>0</v>
      </c>
      <c r="J98" s="14">
        <f t="shared" si="13"/>
        <v>0</v>
      </c>
      <c r="K98" s="15">
        <f>IF(CurrentMtgRatesDataTable8[[#This Row],[WA CC]]&lt;&gt;0,C97-CurrentMtgRatesDataTable8[[#This Row],[WA CC]],0)</f>
        <v>0</v>
      </c>
      <c r="L98" s="16">
        <f>IF(CurrentMtgRatesDataTable8[[#This Row],[Servicing Spread]]&lt;=0,L97,CurrentMtgRatesDataTable8[[#This Row],[Servicing Spread]])</f>
        <v>0.56899999999999995</v>
      </c>
      <c r="M98" s="16">
        <f>CurrentMtgRatesDataTable8[[#This Row],[Servicing Spread Non-Zero]]-L97</f>
        <v>0</v>
      </c>
      <c r="N98" s="16">
        <f>IF(J97&lt;&gt;0,CurrentMtgRatesDataTable8[[#This Row],[Rate]]-C97,N97)</f>
        <v>7.5000000000000178E-2</v>
      </c>
    </row>
    <row r="99" spans="1:14" s="9" customFormat="1">
      <c r="A99" s="8" t="s">
        <v>1451</v>
      </c>
      <c r="B99" s="11">
        <v>5.2750000000000004</v>
      </c>
      <c r="C99" s="13">
        <v>5.8650000000000002</v>
      </c>
      <c r="D99" s="14">
        <f t="shared" si="7"/>
        <v>2</v>
      </c>
      <c r="E99" s="14">
        <f t="shared" si="8"/>
        <v>0.2</v>
      </c>
      <c r="F99" s="14">
        <f t="shared" si="9"/>
        <v>2</v>
      </c>
      <c r="G99" s="14">
        <f t="shared" si="10"/>
        <v>2.1206000000000005</v>
      </c>
      <c r="H99" s="14">
        <f t="shared" si="11"/>
        <v>0.4</v>
      </c>
      <c r="I99" s="14">
        <f t="shared" si="12"/>
        <v>0</v>
      </c>
      <c r="J99" s="14">
        <f t="shared" si="13"/>
        <v>0</v>
      </c>
      <c r="K99" s="15">
        <f>IF(CurrentMtgRatesDataTable8[[#This Row],[WA CC]]&lt;&gt;0,C98-CurrentMtgRatesDataTable8[[#This Row],[WA CC]],0)</f>
        <v>0</v>
      </c>
      <c r="L99" s="16">
        <f>IF(CurrentMtgRatesDataTable8[[#This Row],[Servicing Spread]]&lt;=0,L98,CurrentMtgRatesDataTable8[[#This Row],[Servicing Spread]])</f>
        <v>0.56899999999999995</v>
      </c>
      <c r="M99" s="16">
        <f>CurrentMtgRatesDataTable8[[#This Row],[Servicing Spread Non-Zero]]-L98</f>
        <v>0</v>
      </c>
      <c r="N99" s="16">
        <f>IF(J98&lt;&gt;0,CurrentMtgRatesDataTable8[[#This Row],[Rate]]-C98,N98)</f>
        <v>7.5000000000000178E-2</v>
      </c>
    </row>
    <row r="100" spans="1:14" s="9" customFormat="1">
      <c r="A100" s="8" t="s">
        <v>1452</v>
      </c>
      <c r="B100" s="11">
        <v>5.2889999999999997</v>
      </c>
      <c r="C100" s="13">
        <v>5.8650000000000002</v>
      </c>
      <c r="D100" s="14">
        <f t="shared" si="7"/>
        <v>5</v>
      </c>
      <c r="E100" s="14">
        <f t="shared" si="8"/>
        <v>0.2</v>
      </c>
      <c r="F100" s="14">
        <f t="shared" si="9"/>
        <v>3</v>
      </c>
      <c r="G100" s="14">
        <f t="shared" si="10"/>
        <v>3.1784000000000008</v>
      </c>
      <c r="H100" s="14">
        <f t="shared" si="11"/>
        <v>0.60000000000000009</v>
      </c>
      <c r="I100" s="14">
        <f t="shared" si="12"/>
        <v>0</v>
      </c>
      <c r="J100" s="14">
        <f t="shared" si="13"/>
        <v>0</v>
      </c>
      <c r="K100" s="15">
        <f>IF(CurrentMtgRatesDataTable8[[#This Row],[WA CC]]&lt;&gt;0,C99-CurrentMtgRatesDataTable8[[#This Row],[WA CC]],0)</f>
        <v>0</v>
      </c>
      <c r="L100" s="16">
        <f>IF(CurrentMtgRatesDataTable8[[#This Row],[Servicing Spread]]&lt;=0,L99,CurrentMtgRatesDataTable8[[#This Row],[Servicing Spread]])</f>
        <v>0.56899999999999995</v>
      </c>
      <c r="M100" s="16">
        <f>CurrentMtgRatesDataTable8[[#This Row],[Servicing Spread Non-Zero]]-L99</f>
        <v>0</v>
      </c>
      <c r="N100" s="16">
        <f>IF(J99&lt;&gt;0,CurrentMtgRatesDataTable8[[#This Row],[Rate]]-C99,N99)</f>
        <v>7.5000000000000178E-2</v>
      </c>
    </row>
    <row r="101" spans="1:14" s="9" customFormat="1">
      <c r="A101" s="8" t="s">
        <v>1453</v>
      </c>
      <c r="B101" s="11">
        <v>5.33</v>
      </c>
      <c r="C101" s="13">
        <v>5.8650000000000002</v>
      </c>
      <c r="D101" s="14">
        <f t="shared" si="7"/>
        <v>6</v>
      </c>
      <c r="E101" s="14">
        <f t="shared" si="8"/>
        <v>0.2</v>
      </c>
      <c r="F101" s="14">
        <f t="shared" si="9"/>
        <v>4</v>
      </c>
      <c r="G101" s="14">
        <f t="shared" si="10"/>
        <v>4.2444000000000006</v>
      </c>
      <c r="H101" s="14">
        <f t="shared" si="11"/>
        <v>0.8</v>
      </c>
      <c r="I101" s="14">
        <f t="shared" si="12"/>
        <v>0</v>
      </c>
      <c r="J101" s="14">
        <f t="shared" si="13"/>
        <v>0</v>
      </c>
      <c r="K101" s="15">
        <f>IF(CurrentMtgRatesDataTable8[[#This Row],[WA CC]]&lt;&gt;0,C100-CurrentMtgRatesDataTable8[[#This Row],[WA CC]],0)</f>
        <v>0</v>
      </c>
      <c r="L101" s="16">
        <f>IF(CurrentMtgRatesDataTable8[[#This Row],[Servicing Spread]]&lt;=0,L100,CurrentMtgRatesDataTable8[[#This Row],[Servicing Spread]])</f>
        <v>0.56899999999999995</v>
      </c>
      <c r="M101" s="16">
        <f>CurrentMtgRatesDataTable8[[#This Row],[Servicing Spread Non-Zero]]-L100</f>
        <v>0</v>
      </c>
      <c r="N101" s="16">
        <f>IF(J100&lt;&gt;0,CurrentMtgRatesDataTable8[[#This Row],[Rate]]-C100,N100)</f>
        <v>7.5000000000000178E-2</v>
      </c>
    </row>
    <row r="102" spans="1:14" s="9" customFormat="1">
      <c r="A102" s="8" t="s">
        <v>1454</v>
      </c>
      <c r="B102" s="11">
        <v>5.3650000000000002</v>
      </c>
      <c r="C102" s="13">
        <v>5.8650000000000002</v>
      </c>
      <c r="D102" s="14">
        <f t="shared" si="7"/>
        <v>7</v>
      </c>
      <c r="E102" s="14">
        <f t="shared" si="8"/>
        <v>0.2</v>
      </c>
      <c r="F102" s="14">
        <f t="shared" si="9"/>
        <v>5</v>
      </c>
      <c r="G102" s="14">
        <f t="shared" si="10"/>
        <v>5.317400000000001</v>
      </c>
      <c r="H102" s="14">
        <f t="shared" si="11"/>
        <v>1</v>
      </c>
      <c r="I102" s="14">
        <f t="shared" si="12"/>
        <v>1</v>
      </c>
      <c r="J102" s="14">
        <f t="shared" si="13"/>
        <v>5.317400000000001</v>
      </c>
      <c r="K102" s="15">
        <f>IF(CurrentMtgRatesDataTable8[[#This Row],[WA CC]]&lt;&gt;0,C101-CurrentMtgRatesDataTable8[[#This Row],[WA CC]],0)</f>
        <v>0.5475999999999992</v>
      </c>
      <c r="L102" s="16">
        <f>IF(CurrentMtgRatesDataTable8[[#This Row],[Servicing Spread]]&lt;=0,L101,CurrentMtgRatesDataTable8[[#This Row],[Servicing Spread]])</f>
        <v>0.5475999999999992</v>
      </c>
      <c r="M102" s="16">
        <f>CurrentMtgRatesDataTable8[[#This Row],[Servicing Spread Non-Zero]]-L101</f>
        <v>-2.1400000000000752E-2</v>
      </c>
      <c r="N102" s="16">
        <f>IF(J101&lt;&gt;0,CurrentMtgRatesDataTable8[[#This Row],[Rate]]-C101,N101)</f>
        <v>7.5000000000000178E-2</v>
      </c>
    </row>
    <row r="103" spans="1:14" s="9" customFormat="1">
      <c r="A103" s="8" t="s">
        <v>1455</v>
      </c>
      <c r="B103" s="11">
        <v>5.3209999999999997</v>
      </c>
      <c r="C103" s="13">
        <v>5.9349999999999996</v>
      </c>
      <c r="D103" s="14">
        <f t="shared" si="7"/>
        <v>1</v>
      </c>
      <c r="E103" s="14">
        <f t="shared" si="8"/>
        <v>0.2</v>
      </c>
      <c r="F103" s="14">
        <f t="shared" si="9"/>
        <v>1</v>
      </c>
      <c r="G103" s="14">
        <f t="shared" si="10"/>
        <v>1.0642</v>
      </c>
      <c r="H103" s="14">
        <f t="shared" si="11"/>
        <v>0.2</v>
      </c>
      <c r="I103" s="14">
        <f t="shared" si="12"/>
        <v>0</v>
      </c>
      <c r="J103" s="14">
        <f t="shared" si="13"/>
        <v>0</v>
      </c>
      <c r="K103" s="15">
        <f>IF(CurrentMtgRatesDataTable8[[#This Row],[WA CC]]&lt;&gt;0,C102-CurrentMtgRatesDataTable8[[#This Row],[WA CC]],0)</f>
        <v>0</v>
      </c>
      <c r="L103" s="16">
        <f>IF(CurrentMtgRatesDataTable8[[#This Row],[Servicing Spread]]&lt;=0,L102,CurrentMtgRatesDataTable8[[#This Row],[Servicing Spread]])</f>
        <v>0.5475999999999992</v>
      </c>
      <c r="M103" s="16">
        <f>CurrentMtgRatesDataTable8[[#This Row],[Servicing Spread Non-Zero]]-L102</f>
        <v>0</v>
      </c>
      <c r="N103" s="16">
        <f>IF(J102&lt;&gt;0,CurrentMtgRatesDataTable8[[#This Row],[Rate]]-C102,N102)</f>
        <v>6.9999999999999396E-2</v>
      </c>
    </row>
    <row r="104" spans="1:14" s="9" customFormat="1">
      <c r="A104" s="8" t="s">
        <v>1456</v>
      </c>
      <c r="B104" s="11">
        <v>5.391</v>
      </c>
      <c r="C104" s="13">
        <v>5.9349999999999996</v>
      </c>
      <c r="D104" s="14">
        <f t="shared" si="7"/>
        <v>2</v>
      </c>
      <c r="E104" s="14">
        <f t="shared" si="8"/>
        <v>0.2</v>
      </c>
      <c r="F104" s="14">
        <f t="shared" si="9"/>
        <v>2</v>
      </c>
      <c r="G104" s="14">
        <f t="shared" si="10"/>
        <v>2.1424000000000003</v>
      </c>
      <c r="H104" s="14">
        <f t="shared" si="11"/>
        <v>0.4</v>
      </c>
      <c r="I104" s="14">
        <f t="shared" si="12"/>
        <v>0</v>
      </c>
      <c r="J104" s="14">
        <f t="shared" si="13"/>
        <v>0</v>
      </c>
      <c r="K104" s="15">
        <f>IF(CurrentMtgRatesDataTable8[[#This Row],[WA CC]]&lt;&gt;0,C103-CurrentMtgRatesDataTable8[[#This Row],[WA CC]],0)</f>
        <v>0</v>
      </c>
      <c r="L104" s="16">
        <f>IF(CurrentMtgRatesDataTable8[[#This Row],[Servicing Spread]]&lt;=0,L103,CurrentMtgRatesDataTable8[[#This Row],[Servicing Spread]])</f>
        <v>0.5475999999999992</v>
      </c>
      <c r="M104" s="16">
        <f>CurrentMtgRatesDataTable8[[#This Row],[Servicing Spread Non-Zero]]-L103</f>
        <v>0</v>
      </c>
      <c r="N104" s="16">
        <f>IF(J103&lt;&gt;0,CurrentMtgRatesDataTable8[[#This Row],[Rate]]-C103,N103)</f>
        <v>6.9999999999999396E-2</v>
      </c>
    </row>
    <row r="105" spans="1:14" s="9" customFormat="1">
      <c r="A105" s="8" t="s">
        <v>1457</v>
      </c>
      <c r="B105" s="11">
        <v>5.3949999999999996</v>
      </c>
      <c r="C105" s="13">
        <v>5.9349999999999996</v>
      </c>
      <c r="D105" s="14">
        <f t="shared" si="7"/>
        <v>5</v>
      </c>
      <c r="E105" s="14">
        <f t="shared" si="8"/>
        <v>0.2</v>
      </c>
      <c r="F105" s="14">
        <f t="shared" si="9"/>
        <v>3</v>
      </c>
      <c r="G105" s="14">
        <f t="shared" si="10"/>
        <v>3.2214</v>
      </c>
      <c r="H105" s="14">
        <f t="shared" si="11"/>
        <v>0.60000000000000009</v>
      </c>
      <c r="I105" s="14">
        <f t="shared" si="12"/>
        <v>0</v>
      </c>
      <c r="J105" s="14">
        <f t="shared" si="13"/>
        <v>0</v>
      </c>
      <c r="K105" s="15">
        <f>IF(CurrentMtgRatesDataTable8[[#This Row],[WA CC]]&lt;&gt;0,C104-CurrentMtgRatesDataTable8[[#This Row],[WA CC]],0)</f>
        <v>0</v>
      </c>
      <c r="L105" s="16">
        <f>IF(CurrentMtgRatesDataTable8[[#This Row],[Servicing Spread]]&lt;=0,L104,CurrentMtgRatesDataTable8[[#This Row],[Servicing Spread]])</f>
        <v>0.5475999999999992</v>
      </c>
      <c r="M105" s="16">
        <f>CurrentMtgRatesDataTable8[[#This Row],[Servicing Spread Non-Zero]]-L104</f>
        <v>0</v>
      </c>
      <c r="N105" s="16">
        <f>IF(J104&lt;&gt;0,CurrentMtgRatesDataTable8[[#This Row],[Rate]]-C104,N104)</f>
        <v>6.9999999999999396E-2</v>
      </c>
    </row>
    <row r="106" spans="1:14" s="9" customFormat="1">
      <c r="A106" s="8" t="s">
        <v>1458</v>
      </c>
      <c r="B106" s="11">
        <v>5.3650000000000002</v>
      </c>
      <c r="C106" s="13">
        <v>5.9349999999999996</v>
      </c>
      <c r="D106" s="14">
        <f t="shared" si="7"/>
        <v>6</v>
      </c>
      <c r="E106" s="14">
        <f t="shared" si="8"/>
        <v>0.2</v>
      </c>
      <c r="F106" s="14">
        <f t="shared" si="9"/>
        <v>4</v>
      </c>
      <c r="G106" s="14">
        <f t="shared" si="10"/>
        <v>4.2944000000000004</v>
      </c>
      <c r="H106" s="14">
        <f t="shared" si="11"/>
        <v>0.8</v>
      </c>
      <c r="I106" s="14">
        <f t="shared" si="12"/>
        <v>0</v>
      </c>
      <c r="J106" s="14">
        <f t="shared" si="13"/>
        <v>0</v>
      </c>
      <c r="K106" s="15">
        <f>IF(CurrentMtgRatesDataTable8[[#This Row],[WA CC]]&lt;&gt;0,C105-CurrentMtgRatesDataTable8[[#This Row],[WA CC]],0)</f>
        <v>0</v>
      </c>
      <c r="L106" s="16">
        <f>IF(CurrentMtgRatesDataTable8[[#This Row],[Servicing Spread]]&lt;=0,L105,CurrentMtgRatesDataTable8[[#This Row],[Servicing Spread]])</f>
        <v>0.5475999999999992</v>
      </c>
      <c r="M106" s="16">
        <f>CurrentMtgRatesDataTable8[[#This Row],[Servicing Spread Non-Zero]]-L105</f>
        <v>0</v>
      </c>
      <c r="N106" s="16">
        <f>IF(J105&lt;&gt;0,CurrentMtgRatesDataTable8[[#This Row],[Rate]]-C105,N105)</f>
        <v>6.9999999999999396E-2</v>
      </c>
    </row>
    <row r="107" spans="1:14" s="9" customFormat="1">
      <c r="A107" s="8" t="s">
        <v>1459</v>
      </c>
      <c r="B107" s="11">
        <v>5.4139999999999997</v>
      </c>
      <c r="C107" s="13">
        <v>5.9349999999999996</v>
      </c>
      <c r="D107" s="14">
        <f t="shared" si="7"/>
        <v>7</v>
      </c>
      <c r="E107" s="14">
        <f t="shared" si="8"/>
        <v>0.2</v>
      </c>
      <c r="F107" s="14">
        <f t="shared" si="9"/>
        <v>5</v>
      </c>
      <c r="G107" s="14">
        <f t="shared" si="10"/>
        <v>5.3772000000000002</v>
      </c>
      <c r="H107" s="14">
        <f t="shared" si="11"/>
        <v>1</v>
      </c>
      <c r="I107" s="14">
        <f t="shared" si="12"/>
        <v>1</v>
      </c>
      <c r="J107" s="14">
        <f t="shared" si="13"/>
        <v>5.3772000000000002</v>
      </c>
      <c r="K107" s="15">
        <f>IF(CurrentMtgRatesDataTable8[[#This Row],[WA CC]]&lt;&gt;0,C106-CurrentMtgRatesDataTable8[[#This Row],[WA CC]],0)</f>
        <v>0.55779999999999941</v>
      </c>
      <c r="L107" s="16">
        <f>IF(CurrentMtgRatesDataTable8[[#This Row],[Servicing Spread]]&lt;=0,L106,CurrentMtgRatesDataTable8[[#This Row],[Servicing Spread]])</f>
        <v>0.55779999999999941</v>
      </c>
      <c r="M107" s="16">
        <f>CurrentMtgRatesDataTable8[[#This Row],[Servicing Spread Non-Zero]]-L106</f>
        <v>1.0200000000000209E-2</v>
      </c>
      <c r="N107" s="16">
        <f>IF(J106&lt;&gt;0,CurrentMtgRatesDataTable8[[#This Row],[Rate]]-C106,N106)</f>
        <v>6.9999999999999396E-2</v>
      </c>
    </row>
    <row r="108" spans="1:14" s="9" customFormat="1">
      <c r="A108" s="8" t="s">
        <v>1460</v>
      </c>
      <c r="B108" s="11">
        <v>5.5030000000000001</v>
      </c>
      <c r="C108" s="13">
        <v>6.0449999999999999</v>
      </c>
      <c r="D108" s="14">
        <f t="shared" si="7"/>
        <v>1</v>
      </c>
      <c r="E108" s="14">
        <f t="shared" si="8"/>
        <v>0.2</v>
      </c>
      <c r="F108" s="14">
        <f t="shared" si="9"/>
        <v>1</v>
      </c>
      <c r="G108" s="14">
        <f t="shared" si="10"/>
        <v>1.1006</v>
      </c>
      <c r="H108" s="14">
        <f t="shared" si="11"/>
        <v>0.2</v>
      </c>
      <c r="I108" s="14">
        <f t="shared" si="12"/>
        <v>0</v>
      </c>
      <c r="J108" s="14">
        <f t="shared" si="13"/>
        <v>0</v>
      </c>
      <c r="K108" s="15">
        <f>IF(CurrentMtgRatesDataTable8[[#This Row],[WA CC]]&lt;&gt;0,C107-CurrentMtgRatesDataTable8[[#This Row],[WA CC]],0)</f>
        <v>0</v>
      </c>
      <c r="L108" s="16">
        <f>IF(CurrentMtgRatesDataTable8[[#This Row],[Servicing Spread]]&lt;=0,L107,CurrentMtgRatesDataTable8[[#This Row],[Servicing Spread]])</f>
        <v>0.55779999999999941</v>
      </c>
      <c r="M108" s="16">
        <f>CurrentMtgRatesDataTable8[[#This Row],[Servicing Spread Non-Zero]]-L107</f>
        <v>0</v>
      </c>
      <c r="N108" s="16">
        <f>IF(J107&lt;&gt;0,CurrentMtgRatesDataTable8[[#This Row],[Rate]]-C107,N107)</f>
        <v>0.11000000000000032</v>
      </c>
    </row>
    <row r="109" spans="1:14" s="9" customFormat="1">
      <c r="A109" s="8" t="s">
        <v>1461</v>
      </c>
      <c r="B109" s="11">
        <v>5.48</v>
      </c>
      <c r="C109" s="13">
        <v>6.0449999999999999</v>
      </c>
      <c r="D109" s="14">
        <f t="shared" si="7"/>
        <v>2</v>
      </c>
      <c r="E109" s="14">
        <f t="shared" si="8"/>
        <v>0.2</v>
      </c>
      <c r="F109" s="14">
        <f t="shared" si="9"/>
        <v>2</v>
      </c>
      <c r="G109" s="14">
        <f t="shared" si="10"/>
        <v>2.1966000000000001</v>
      </c>
      <c r="H109" s="14">
        <f t="shared" si="11"/>
        <v>0.4</v>
      </c>
      <c r="I109" s="14">
        <f t="shared" si="12"/>
        <v>0</v>
      </c>
      <c r="J109" s="14">
        <f t="shared" si="13"/>
        <v>0</v>
      </c>
      <c r="K109" s="15">
        <f>IF(CurrentMtgRatesDataTable8[[#This Row],[WA CC]]&lt;&gt;0,C108-CurrentMtgRatesDataTable8[[#This Row],[WA CC]],0)</f>
        <v>0</v>
      </c>
      <c r="L109" s="16">
        <f>IF(CurrentMtgRatesDataTable8[[#This Row],[Servicing Spread]]&lt;=0,L108,CurrentMtgRatesDataTable8[[#This Row],[Servicing Spread]])</f>
        <v>0.55779999999999941</v>
      </c>
      <c r="M109" s="16">
        <f>CurrentMtgRatesDataTable8[[#This Row],[Servicing Spread Non-Zero]]-L108</f>
        <v>0</v>
      </c>
      <c r="N109" s="16">
        <f>IF(J108&lt;&gt;0,CurrentMtgRatesDataTable8[[#This Row],[Rate]]-C108,N108)</f>
        <v>0.11000000000000032</v>
      </c>
    </row>
    <row r="110" spans="1:14" s="9" customFormat="1">
      <c r="A110" s="8" t="s">
        <v>1462</v>
      </c>
      <c r="B110" s="11">
        <v>5.5039999999999996</v>
      </c>
      <c r="C110" s="13">
        <v>6.0449999999999999</v>
      </c>
      <c r="D110" s="14">
        <f t="shared" si="7"/>
        <v>5</v>
      </c>
      <c r="E110" s="14">
        <f t="shared" si="8"/>
        <v>0.2</v>
      </c>
      <c r="F110" s="14">
        <f t="shared" si="9"/>
        <v>3</v>
      </c>
      <c r="G110" s="14">
        <f t="shared" si="10"/>
        <v>3.2974000000000001</v>
      </c>
      <c r="H110" s="14">
        <f t="shared" si="11"/>
        <v>0.60000000000000009</v>
      </c>
      <c r="I110" s="14">
        <f t="shared" si="12"/>
        <v>0</v>
      </c>
      <c r="J110" s="14">
        <f t="shared" si="13"/>
        <v>0</v>
      </c>
      <c r="K110" s="15">
        <f>IF(CurrentMtgRatesDataTable8[[#This Row],[WA CC]]&lt;&gt;0,C109-CurrentMtgRatesDataTable8[[#This Row],[WA CC]],0)</f>
        <v>0</v>
      </c>
      <c r="L110" s="16">
        <f>IF(CurrentMtgRatesDataTable8[[#This Row],[Servicing Spread]]&lt;=0,L109,CurrentMtgRatesDataTable8[[#This Row],[Servicing Spread]])</f>
        <v>0.55779999999999941</v>
      </c>
      <c r="M110" s="16">
        <f>CurrentMtgRatesDataTable8[[#This Row],[Servicing Spread Non-Zero]]-L109</f>
        <v>0</v>
      </c>
      <c r="N110" s="16">
        <f>IF(J109&lt;&gt;0,CurrentMtgRatesDataTable8[[#This Row],[Rate]]-C109,N109)</f>
        <v>0.11000000000000032</v>
      </c>
    </row>
    <row r="111" spans="1:14" s="9" customFormat="1">
      <c r="A111" s="8" t="s">
        <v>1463</v>
      </c>
      <c r="B111" s="11">
        <v>5.524</v>
      </c>
      <c r="C111" s="13">
        <v>6.0449999999999999</v>
      </c>
      <c r="D111" s="14">
        <f t="shared" si="7"/>
        <v>6</v>
      </c>
      <c r="E111" s="14">
        <f t="shared" si="8"/>
        <v>0.2</v>
      </c>
      <c r="F111" s="14">
        <f t="shared" si="9"/>
        <v>4</v>
      </c>
      <c r="G111" s="14">
        <f t="shared" si="10"/>
        <v>4.4022000000000006</v>
      </c>
      <c r="H111" s="14">
        <f t="shared" si="11"/>
        <v>0.8</v>
      </c>
      <c r="I111" s="14">
        <f t="shared" si="12"/>
        <v>0</v>
      </c>
      <c r="J111" s="14">
        <f t="shared" si="13"/>
        <v>0</v>
      </c>
      <c r="K111" s="15">
        <f>IF(CurrentMtgRatesDataTable8[[#This Row],[WA CC]]&lt;&gt;0,C110-CurrentMtgRatesDataTable8[[#This Row],[WA CC]],0)</f>
        <v>0</v>
      </c>
      <c r="L111" s="16">
        <f>IF(CurrentMtgRatesDataTable8[[#This Row],[Servicing Spread]]&lt;=0,L110,CurrentMtgRatesDataTable8[[#This Row],[Servicing Spread]])</f>
        <v>0.55779999999999941</v>
      </c>
      <c r="M111" s="16">
        <f>CurrentMtgRatesDataTable8[[#This Row],[Servicing Spread Non-Zero]]-L110</f>
        <v>0</v>
      </c>
      <c r="N111" s="16">
        <f>IF(J110&lt;&gt;0,CurrentMtgRatesDataTable8[[#This Row],[Rate]]-C110,N110)</f>
        <v>0.11000000000000032</v>
      </c>
    </row>
    <row r="112" spans="1:14" s="9" customFormat="1">
      <c r="A112" s="8" t="s">
        <v>1464</v>
      </c>
      <c r="B112" s="11">
        <v>5.6020000000000003</v>
      </c>
      <c r="C112" s="13">
        <v>6.0449999999999999</v>
      </c>
      <c r="D112" s="14">
        <f t="shared" si="7"/>
        <v>7</v>
      </c>
      <c r="E112" s="14">
        <f t="shared" si="8"/>
        <v>0.2</v>
      </c>
      <c r="F112" s="14">
        <f t="shared" si="9"/>
        <v>5</v>
      </c>
      <c r="G112" s="14">
        <f t="shared" si="10"/>
        <v>5.5226000000000006</v>
      </c>
      <c r="H112" s="14">
        <f t="shared" si="11"/>
        <v>1</v>
      </c>
      <c r="I112" s="14">
        <f t="shared" si="12"/>
        <v>1</v>
      </c>
      <c r="J112" s="14">
        <f t="shared" si="13"/>
        <v>5.5226000000000006</v>
      </c>
      <c r="K112" s="15">
        <f>IF(CurrentMtgRatesDataTable8[[#This Row],[WA CC]]&lt;&gt;0,C111-CurrentMtgRatesDataTable8[[#This Row],[WA CC]],0)</f>
        <v>0.52239999999999931</v>
      </c>
      <c r="L112" s="16">
        <f>IF(CurrentMtgRatesDataTable8[[#This Row],[Servicing Spread]]&lt;=0,L111,CurrentMtgRatesDataTable8[[#This Row],[Servicing Spread]])</f>
        <v>0.52239999999999931</v>
      </c>
      <c r="M112" s="16">
        <f>CurrentMtgRatesDataTable8[[#This Row],[Servicing Spread Non-Zero]]-L111</f>
        <v>-3.5400000000000098E-2</v>
      </c>
      <c r="N112" s="16">
        <f>IF(J111&lt;&gt;0,CurrentMtgRatesDataTable8[[#This Row],[Rate]]-C111,N111)</f>
        <v>0.11000000000000032</v>
      </c>
    </row>
    <row r="113" spans="1:14" s="9" customFormat="1">
      <c r="A113" s="8" t="s">
        <v>1465</v>
      </c>
      <c r="B113" s="11">
        <v>5.6470000000000002</v>
      </c>
      <c r="C113" s="13">
        <v>6.2649999999999997</v>
      </c>
      <c r="D113" s="14">
        <f t="shared" si="7"/>
        <v>1</v>
      </c>
      <c r="E113" s="14">
        <f t="shared" si="8"/>
        <v>0.2</v>
      </c>
      <c r="F113" s="14">
        <f t="shared" si="9"/>
        <v>1</v>
      </c>
      <c r="G113" s="14">
        <f t="shared" si="10"/>
        <v>1.1294000000000002</v>
      </c>
      <c r="H113" s="14">
        <f t="shared" si="11"/>
        <v>0.2</v>
      </c>
      <c r="I113" s="14">
        <f t="shared" si="12"/>
        <v>0</v>
      </c>
      <c r="J113" s="14">
        <f t="shared" si="13"/>
        <v>0</v>
      </c>
      <c r="K113" s="15">
        <f>IF(CurrentMtgRatesDataTable8[[#This Row],[WA CC]]&lt;&gt;0,C112-CurrentMtgRatesDataTable8[[#This Row],[WA CC]],0)</f>
        <v>0</v>
      </c>
      <c r="L113" s="16">
        <f>IF(CurrentMtgRatesDataTable8[[#This Row],[Servicing Spread]]&lt;=0,L112,CurrentMtgRatesDataTable8[[#This Row],[Servicing Spread]])</f>
        <v>0.52239999999999931</v>
      </c>
      <c r="M113" s="16">
        <f>CurrentMtgRatesDataTable8[[#This Row],[Servicing Spread Non-Zero]]-L112</f>
        <v>0</v>
      </c>
      <c r="N113" s="16">
        <f>IF(J112&lt;&gt;0,CurrentMtgRatesDataTable8[[#This Row],[Rate]]-C112,N112)</f>
        <v>0.21999999999999975</v>
      </c>
    </row>
    <row r="114" spans="1:14" s="9" customFormat="1">
      <c r="A114" s="8" t="s">
        <v>1466</v>
      </c>
      <c r="B114" s="11">
        <v>5.8179999999999996</v>
      </c>
      <c r="C114" s="13">
        <v>6.2649999999999997</v>
      </c>
      <c r="D114" s="14">
        <f t="shared" si="7"/>
        <v>2</v>
      </c>
      <c r="E114" s="14">
        <f t="shared" si="8"/>
        <v>0.2</v>
      </c>
      <c r="F114" s="14">
        <f t="shared" si="9"/>
        <v>2</v>
      </c>
      <c r="G114" s="14">
        <f t="shared" si="10"/>
        <v>2.2930000000000001</v>
      </c>
      <c r="H114" s="14">
        <f t="shared" si="11"/>
        <v>0.4</v>
      </c>
      <c r="I114" s="14">
        <f t="shared" si="12"/>
        <v>0</v>
      </c>
      <c r="J114" s="14">
        <f t="shared" si="13"/>
        <v>0</v>
      </c>
      <c r="K114" s="15">
        <f>IF(CurrentMtgRatesDataTable8[[#This Row],[WA CC]]&lt;&gt;0,C113-CurrentMtgRatesDataTable8[[#This Row],[WA CC]],0)</f>
        <v>0</v>
      </c>
      <c r="L114" s="16">
        <f>IF(CurrentMtgRatesDataTable8[[#This Row],[Servicing Spread]]&lt;=0,L113,CurrentMtgRatesDataTable8[[#This Row],[Servicing Spread]])</f>
        <v>0.52239999999999931</v>
      </c>
      <c r="M114" s="16">
        <f>CurrentMtgRatesDataTable8[[#This Row],[Servicing Spread Non-Zero]]-L113</f>
        <v>0</v>
      </c>
      <c r="N114" s="16">
        <f>IF(J113&lt;&gt;0,CurrentMtgRatesDataTable8[[#This Row],[Rate]]-C113,N113)</f>
        <v>0.21999999999999975</v>
      </c>
    </row>
    <row r="115" spans="1:14" s="9" customFormat="1">
      <c r="A115" s="8" t="s">
        <v>1467</v>
      </c>
      <c r="B115" s="11">
        <v>5.7809999999999997</v>
      </c>
      <c r="C115" s="13">
        <v>6.2649999999999997</v>
      </c>
      <c r="D115" s="14">
        <f t="shared" si="7"/>
        <v>5</v>
      </c>
      <c r="E115" s="14">
        <f t="shared" si="8"/>
        <v>0.2</v>
      </c>
      <c r="F115" s="14">
        <f t="shared" si="9"/>
        <v>3</v>
      </c>
      <c r="G115" s="14">
        <f t="shared" si="10"/>
        <v>3.4492000000000003</v>
      </c>
      <c r="H115" s="14">
        <f t="shared" si="11"/>
        <v>0.60000000000000009</v>
      </c>
      <c r="I115" s="14">
        <f t="shared" si="12"/>
        <v>0</v>
      </c>
      <c r="J115" s="14">
        <f t="shared" si="13"/>
        <v>0</v>
      </c>
      <c r="K115" s="15">
        <f>IF(CurrentMtgRatesDataTable8[[#This Row],[WA CC]]&lt;&gt;0,C114-CurrentMtgRatesDataTable8[[#This Row],[WA CC]],0)</f>
        <v>0</v>
      </c>
      <c r="L115" s="16">
        <f>IF(CurrentMtgRatesDataTable8[[#This Row],[Servicing Spread]]&lt;=0,L114,CurrentMtgRatesDataTable8[[#This Row],[Servicing Spread]])</f>
        <v>0.52239999999999931</v>
      </c>
      <c r="M115" s="16">
        <f>CurrentMtgRatesDataTable8[[#This Row],[Servicing Spread Non-Zero]]-L114</f>
        <v>0</v>
      </c>
      <c r="N115" s="16">
        <f>IF(J114&lt;&gt;0,CurrentMtgRatesDataTable8[[#This Row],[Rate]]-C114,N114)</f>
        <v>0.21999999999999975</v>
      </c>
    </row>
    <row r="116" spans="1:14" s="9" customFormat="1">
      <c r="A116" s="8" t="s">
        <v>1468</v>
      </c>
      <c r="B116" s="11">
        <v>5.7279999999999998</v>
      </c>
      <c r="C116" s="13">
        <v>6.2649999999999997</v>
      </c>
      <c r="D116" s="14">
        <f t="shared" si="7"/>
        <v>6</v>
      </c>
      <c r="E116" s="14">
        <f t="shared" si="8"/>
        <v>0.2</v>
      </c>
      <c r="F116" s="14">
        <f t="shared" si="9"/>
        <v>4</v>
      </c>
      <c r="G116" s="14">
        <f t="shared" si="10"/>
        <v>4.5948000000000002</v>
      </c>
      <c r="H116" s="14">
        <f t="shared" si="11"/>
        <v>0.8</v>
      </c>
      <c r="I116" s="14">
        <f t="shared" si="12"/>
        <v>0</v>
      </c>
      <c r="J116" s="14">
        <f t="shared" si="13"/>
        <v>0</v>
      </c>
      <c r="K116" s="15">
        <f>IF(CurrentMtgRatesDataTable8[[#This Row],[WA CC]]&lt;&gt;0,C115-CurrentMtgRatesDataTable8[[#This Row],[WA CC]],0)</f>
        <v>0</v>
      </c>
      <c r="L116" s="16">
        <f>IF(CurrentMtgRatesDataTable8[[#This Row],[Servicing Spread]]&lt;=0,L115,CurrentMtgRatesDataTable8[[#This Row],[Servicing Spread]])</f>
        <v>0.52239999999999931</v>
      </c>
      <c r="M116" s="16">
        <f>CurrentMtgRatesDataTable8[[#This Row],[Servicing Spread Non-Zero]]-L115</f>
        <v>0</v>
      </c>
      <c r="N116" s="16">
        <f>IF(J115&lt;&gt;0,CurrentMtgRatesDataTable8[[#This Row],[Rate]]-C115,N115)</f>
        <v>0.21999999999999975</v>
      </c>
    </row>
    <row r="117" spans="1:14" s="9" customFormat="1">
      <c r="A117" s="8" t="s">
        <v>1469</v>
      </c>
      <c r="B117" s="11">
        <v>5.7229999999999999</v>
      </c>
      <c r="C117" s="13">
        <v>6.2649999999999997</v>
      </c>
      <c r="D117" s="14">
        <f t="shared" si="7"/>
        <v>7</v>
      </c>
      <c r="E117" s="14">
        <f t="shared" si="8"/>
        <v>0.2</v>
      </c>
      <c r="F117" s="14">
        <f t="shared" si="9"/>
        <v>5</v>
      </c>
      <c r="G117" s="14">
        <f t="shared" si="10"/>
        <v>5.7393999999999998</v>
      </c>
      <c r="H117" s="14">
        <f t="shared" si="11"/>
        <v>1</v>
      </c>
      <c r="I117" s="14">
        <f t="shared" si="12"/>
        <v>1</v>
      </c>
      <c r="J117" s="14">
        <f t="shared" si="13"/>
        <v>5.7393999999999998</v>
      </c>
      <c r="K117" s="15">
        <f>IF(CurrentMtgRatesDataTable8[[#This Row],[WA CC]]&lt;&gt;0,C116-CurrentMtgRatesDataTable8[[#This Row],[WA CC]],0)</f>
        <v>0.52559999999999985</v>
      </c>
      <c r="L117" s="16">
        <f>IF(CurrentMtgRatesDataTable8[[#This Row],[Servicing Spread]]&lt;=0,L116,CurrentMtgRatesDataTable8[[#This Row],[Servicing Spread]])</f>
        <v>0.52559999999999985</v>
      </c>
      <c r="M117" s="16">
        <f>CurrentMtgRatesDataTable8[[#This Row],[Servicing Spread Non-Zero]]-L116</f>
        <v>3.2000000000005357E-3</v>
      </c>
      <c r="N117" s="16">
        <f>IF(J116&lt;&gt;0,CurrentMtgRatesDataTable8[[#This Row],[Rate]]-C116,N116)</f>
        <v>0.21999999999999975</v>
      </c>
    </row>
    <row r="118" spans="1:14" s="9" customFormat="1">
      <c r="A118" s="8" t="s">
        <v>1470</v>
      </c>
      <c r="B118" s="11">
        <v>5.766</v>
      </c>
      <c r="C118" s="13">
        <v>6.2249999999999996</v>
      </c>
      <c r="D118" s="14">
        <f t="shared" si="7"/>
        <v>1</v>
      </c>
      <c r="E118" s="14">
        <f t="shared" si="8"/>
        <v>0.2</v>
      </c>
      <c r="F118" s="14">
        <f t="shared" si="9"/>
        <v>1</v>
      </c>
      <c r="G118" s="14">
        <f t="shared" si="10"/>
        <v>1.1532</v>
      </c>
      <c r="H118" s="14">
        <f t="shared" si="11"/>
        <v>0.2</v>
      </c>
      <c r="I118" s="14">
        <f t="shared" si="12"/>
        <v>0</v>
      </c>
      <c r="J118" s="14">
        <f t="shared" si="13"/>
        <v>0</v>
      </c>
      <c r="K118" s="15">
        <f>IF(CurrentMtgRatesDataTable8[[#This Row],[WA CC]]&lt;&gt;0,C117-CurrentMtgRatesDataTable8[[#This Row],[WA CC]],0)</f>
        <v>0</v>
      </c>
      <c r="L118" s="16">
        <f>IF(CurrentMtgRatesDataTable8[[#This Row],[Servicing Spread]]&lt;=0,L117,CurrentMtgRatesDataTable8[[#This Row],[Servicing Spread]])</f>
        <v>0.52559999999999985</v>
      </c>
      <c r="M118" s="16">
        <f>CurrentMtgRatesDataTable8[[#This Row],[Servicing Spread Non-Zero]]-L117</f>
        <v>0</v>
      </c>
      <c r="N118" s="16">
        <f>IF(J117&lt;&gt;0,CurrentMtgRatesDataTable8[[#This Row],[Rate]]-C117,N117)</f>
        <v>-4.0000000000000036E-2</v>
      </c>
    </row>
    <row r="119" spans="1:14" s="9" customFormat="1">
      <c r="A119" s="8" t="s">
        <v>1471</v>
      </c>
      <c r="B119" s="11">
        <v>5.6970000000000001</v>
      </c>
      <c r="C119" s="13">
        <v>6.2249999999999996</v>
      </c>
      <c r="D119" s="14">
        <f t="shared" si="7"/>
        <v>2</v>
      </c>
      <c r="E119" s="14">
        <f t="shared" si="8"/>
        <v>0.2</v>
      </c>
      <c r="F119" s="14">
        <f t="shared" si="9"/>
        <v>2</v>
      </c>
      <c r="G119" s="14">
        <f t="shared" si="10"/>
        <v>2.2926000000000002</v>
      </c>
      <c r="H119" s="14">
        <f t="shared" si="11"/>
        <v>0.4</v>
      </c>
      <c r="I119" s="14">
        <f t="shared" si="12"/>
        <v>0</v>
      </c>
      <c r="J119" s="14">
        <f t="shared" si="13"/>
        <v>0</v>
      </c>
      <c r="K119" s="15">
        <f>IF(CurrentMtgRatesDataTable8[[#This Row],[WA CC]]&lt;&gt;0,C118-CurrentMtgRatesDataTable8[[#This Row],[WA CC]],0)</f>
        <v>0</v>
      </c>
      <c r="L119" s="16">
        <f>IF(CurrentMtgRatesDataTable8[[#This Row],[Servicing Spread]]&lt;=0,L118,CurrentMtgRatesDataTable8[[#This Row],[Servicing Spread]])</f>
        <v>0.52559999999999985</v>
      </c>
      <c r="M119" s="16">
        <f>CurrentMtgRatesDataTable8[[#This Row],[Servicing Spread Non-Zero]]-L118</f>
        <v>0</v>
      </c>
      <c r="N119" s="16">
        <f>IF(J118&lt;&gt;0,CurrentMtgRatesDataTable8[[#This Row],[Rate]]-C118,N118)</f>
        <v>-4.0000000000000036E-2</v>
      </c>
    </row>
    <row r="120" spans="1:14" s="9" customFormat="1">
      <c r="A120" s="8" t="s">
        <v>1472</v>
      </c>
      <c r="B120" s="11">
        <v>5.6189999999999998</v>
      </c>
      <c r="C120" s="13">
        <v>6.2249999999999996</v>
      </c>
      <c r="D120" s="14">
        <f t="shared" si="7"/>
        <v>5</v>
      </c>
      <c r="E120" s="14">
        <f t="shared" si="8"/>
        <v>0.2</v>
      </c>
      <c r="F120" s="14">
        <f t="shared" si="9"/>
        <v>3</v>
      </c>
      <c r="G120" s="14">
        <f t="shared" si="10"/>
        <v>3.4164000000000003</v>
      </c>
      <c r="H120" s="14">
        <f t="shared" si="11"/>
        <v>0.60000000000000009</v>
      </c>
      <c r="I120" s="14">
        <f t="shared" si="12"/>
        <v>0</v>
      </c>
      <c r="J120" s="14">
        <f t="shared" si="13"/>
        <v>0</v>
      </c>
      <c r="K120" s="15">
        <f>IF(CurrentMtgRatesDataTable8[[#This Row],[WA CC]]&lt;&gt;0,C119-CurrentMtgRatesDataTable8[[#This Row],[WA CC]],0)</f>
        <v>0</v>
      </c>
      <c r="L120" s="16">
        <f>IF(CurrentMtgRatesDataTable8[[#This Row],[Servicing Spread]]&lt;=0,L119,CurrentMtgRatesDataTable8[[#This Row],[Servicing Spread]])</f>
        <v>0.52559999999999985</v>
      </c>
      <c r="M120" s="16">
        <f>CurrentMtgRatesDataTable8[[#This Row],[Servicing Spread Non-Zero]]-L119</f>
        <v>0</v>
      </c>
      <c r="N120" s="16">
        <f>IF(J119&lt;&gt;0,CurrentMtgRatesDataTable8[[#This Row],[Rate]]-C119,N119)</f>
        <v>-4.0000000000000036E-2</v>
      </c>
    </row>
    <row r="121" spans="1:14" s="9" customFormat="1">
      <c r="A121" s="8" t="s">
        <v>1473</v>
      </c>
      <c r="B121" s="11">
        <v>5.6609999999999996</v>
      </c>
      <c r="C121" s="13">
        <v>6.2249999999999996</v>
      </c>
      <c r="D121" s="14">
        <f t="shared" si="7"/>
        <v>6</v>
      </c>
      <c r="E121" s="14">
        <f t="shared" si="8"/>
        <v>0.2</v>
      </c>
      <c r="F121" s="14">
        <f t="shared" si="9"/>
        <v>4</v>
      </c>
      <c r="G121" s="14">
        <f t="shared" si="10"/>
        <v>4.5486000000000004</v>
      </c>
      <c r="H121" s="14">
        <f t="shared" si="11"/>
        <v>0.8</v>
      </c>
      <c r="I121" s="14">
        <f t="shared" si="12"/>
        <v>0</v>
      </c>
      <c r="J121" s="14">
        <f t="shared" si="13"/>
        <v>0</v>
      </c>
      <c r="K121" s="15">
        <f>IF(CurrentMtgRatesDataTable8[[#This Row],[WA CC]]&lt;&gt;0,C120-CurrentMtgRatesDataTable8[[#This Row],[WA CC]],0)</f>
        <v>0</v>
      </c>
      <c r="L121" s="16">
        <f>IF(CurrentMtgRatesDataTable8[[#This Row],[Servicing Spread]]&lt;=0,L120,CurrentMtgRatesDataTable8[[#This Row],[Servicing Spread]])</f>
        <v>0.52559999999999985</v>
      </c>
      <c r="M121" s="16">
        <f>CurrentMtgRatesDataTable8[[#This Row],[Servicing Spread Non-Zero]]-L120</f>
        <v>0</v>
      </c>
      <c r="N121" s="16">
        <f>IF(J120&lt;&gt;0,CurrentMtgRatesDataTable8[[#This Row],[Rate]]-C120,N120)</f>
        <v>-4.0000000000000036E-2</v>
      </c>
    </row>
    <row r="122" spans="1:14" s="9" customFormat="1">
      <c r="A122" s="8" t="s">
        <v>1474</v>
      </c>
      <c r="B122" s="11">
        <v>5.7329999999999997</v>
      </c>
      <c r="C122" s="13">
        <v>6.2249999999999996</v>
      </c>
      <c r="D122" s="14">
        <f t="shared" si="7"/>
        <v>7</v>
      </c>
      <c r="E122" s="14">
        <f t="shared" si="8"/>
        <v>0.2</v>
      </c>
      <c r="F122" s="14">
        <f t="shared" si="9"/>
        <v>5</v>
      </c>
      <c r="G122" s="14">
        <f t="shared" si="10"/>
        <v>5.6952000000000007</v>
      </c>
      <c r="H122" s="14">
        <f t="shared" si="11"/>
        <v>1</v>
      </c>
      <c r="I122" s="14">
        <f t="shared" si="12"/>
        <v>1</v>
      </c>
      <c r="J122" s="14">
        <f t="shared" si="13"/>
        <v>5.6952000000000007</v>
      </c>
      <c r="K122" s="15">
        <f>IF(CurrentMtgRatesDataTable8[[#This Row],[WA CC]]&lt;&gt;0,C121-CurrentMtgRatesDataTable8[[#This Row],[WA CC]],0)</f>
        <v>0.52979999999999894</v>
      </c>
      <c r="L122" s="16">
        <f>IF(CurrentMtgRatesDataTable8[[#This Row],[Servicing Spread]]&lt;=0,L121,CurrentMtgRatesDataTable8[[#This Row],[Servicing Spread]])</f>
        <v>0.52979999999999894</v>
      </c>
      <c r="M122" s="16">
        <f>CurrentMtgRatesDataTable8[[#This Row],[Servicing Spread Non-Zero]]-L121</f>
        <v>4.1999999999990933E-3</v>
      </c>
      <c r="N122" s="16">
        <f>IF(J121&lt;&gt;0,CurrentMtgRatesDataTable8[[#This Row],[Rate]]-C121,N121)</f>
        <v>-4.0000000000000036E-2</v>
      </c>
    </row>
    <row r="123" spans="1:14" s="9" customFormat="1">
      <c r="A123" s="8" t="s">
        <v>1475</v>
      </c>
      <c r="B123" s="11">
        <v>5.6719999999999997</v>
      </c>
      <c r="C123" s="13">
        <v>6.2200000000000006</v>
      </c>
      <c r="D123" s="14">
        <f t="shared" si="7"/>
        <v>1</v>
      </c>
      <c r="E123" s="14">
        <f t="shared" si="8"/>
        <v>0.2</v>
      </c>
      <c r="F123" s="14">
        <f t="shared" si="9"/>
        <v>1</v>
      </c>
      <c r="G123" s="14">
        <f t="shared" si="10"/>
        <v>1.1344000000000001</v>
      </c>
      <c r="H123" s="14">
        <f t="shared" si="11"/>
        <v>0.2</v>
      </c>
      <c r="I123" s="14">
        <f t="shared" si="12"/>
        <v>0</v>
      </c>
      <c r="J123" s="14">
        <f t="shared" si="13"/>
        <v>0</v>
      </c>
      <c r="K123" s="15">
        <f>IF(CurrentMtgRatesDataTable8[[#This Row],[WA CC]]&lt;&gt;0,C122-CurrentMtgRatesDataTable8[[#This Row],[WA CC]],0)</f>
        <v>0</v>
      </c>
      <c r="L123" s="16">
        <f>IF(CurrentMtgRatesDataTable8[[#This Row],[Servicing Spread]]&lt;=0,L122,CurrentMtgRatesDataTable8[[#This Row],[Servicing Spread]])</f>
        <v>0.52979999999999894</v>
      </c>
      <c r="M123" s="16">
        <f>CurrentMtgRatesDataTable8[[#This Row],[Servicing Spread Non-Zero]]-L122</f>
        <v>0</v>
      </c>
      <c r="N123" s="16">
        <f>IF(J122&lt;&gt;0,CurrentMtgRatesDataTable8[[#This Row],[Rate]]-C122,N122)</f>
        <v>-4.9999999999990052E-3</v>
      </c>
    </row>
    <row r="124" spans="1:14" s="9" customFormat="1">
      <c r="A124" s="8" t="s">
        <v>1476</v>
      </c>
      <c r="B124" s="11">
        <v>5.7110000000000003</v>
      </c>
      <c r="C124" s="13">
        <v>6.2200000000000006</v>
      </c>
      <c r="D124" s="14">
        <f t="shared" si="7"/>
        <v>2</v>
      </c>
      <c r="E124" s="14">
        <f t="shared" si="8"/>
        <v>0.2</v>
      </c>
      <c r="F124" s="14">
        <f t="shared" si="9"/>
        <v>2</v>
      </c>
      <c r="G124" s="14">
        <f t="shared" si="10"/>
        <v>2.2766000000000002</v>
      </c>
      <c r="H124" s="14">
        <f t="shared" si="11"/>
        <v>0.4</v>
      </c>
      <c r="I124" s="14">
        <f t="shared" si="12"/>
        <v>0</v>
      </c>
      <c r="J124" s="14">
        <f t="shared" si="13"/>
        <v>0</v>
      </c>
      <c r="K124" s="15">
        <f>IF(CurrentMtgRatesDataTable8[[#This Row],[WA CC]]&lt;&gt;0,C123-CurrentMtgRatesDataTable8[[#This Row],[WA CC]],0)</f>
        <v>0</v>
      </c>
      <c r="L124" s="16">
        <f>IF(CurrentMtgRatesDataTable8[[#This Row],[Servicing Spread]]&lt;=0,L123,CurrentMtgRatesDataTable8[[#This Row],[Servicing Spread]])</f>
        <v>0.52979999999999894</v>
      </c>
      <c r="M124" s="16">
        <f>CurrentMtgRatesDataTable8[[#This Row],[Servicing Spread Non-Zero]]-L123</f>
        <v>0</v>
      </c>
      <c r="N124" s="16">
        <f>IF(J123&lt;&gt;0,CurrentMtgRatesDataTable8[[#This Row],[Rate]]-C123,N123)</f>
        <v>-4.9999999999990052E-3</v>
      </c>
    </row>
    <row r="125" spans="1:14" s="9" customFormat="1">
      <c r="A125" s="8" t="s">
        <v>1477</v>
      </c>
      <c r="B125" s="11">
        <v>5.6929999999999996</v>
      </c>
      <c r="C125" s="13">
        <v>6.2200000000000006</v>
      </c>
      <c r="D125" s="14">
        <f t="shared" si="7"/>
        <v>5</v>
      </c>
      <c r="E125" s="14">
        <f t="shared" si="8"/>
        <v>0.2</v>
      </c>
      <c r="F125" s="14">
        <f t="shared" si="9"/>
        <v>3</v>
      </c>
      <c r="G125" s="14">
        <f t="shared" si="10"/>
        <v>3.4152000000000005</v>
      </c>
      <c r="H125" s="14">
        <f t="shared" si="11"/>
        <v>0.60000000000000009</v>
      </c>
      <c r="I125" s="14">
        <f t="shared" si="12"/>
        <v>0</v>
      </c>
      <c r="J125" s="14">
        <f t="shared" si="13"/>
        <v>0</v>
      </c>
      <c r="K125" s="15">
        <f>IF(CurrentMtgRatesDataTable8[[#This Row],[WA CC]]&lt;&gt;0,C124-CurrentMtgRatesDataTable8[[#This Row],[WA CC]],0)</f>
        <v>0</v>
      </c>
      <c r="L125" s="16">
        <f>IF(CurrentMtgRatesDataTable8[[#This Row],[Servicing Spread]]&lt;=0,L124,CurrentMtgRatesDataTable8[[#This Row],[Servicing Spread]])</f>
        <v>0.52979999999999894</v>
      </c>
      <c r="M125" s="16">
        <f>CurrentMtgRatesDataTable8[[#This Row],[Servicing Spread Non-Zero]]-L124</f>
        <v>0</v>
      </c>
      <c r="N125" s="16">
        <f>IF(J124&lt;&gt;0,CurrentMtgRatesDataTable8[[#This Row],[Rate]]-C124,N124)</f>
        <v>-4.9999999999990052E-3</v>
      </c>
    </row>
    <row r="126" spans="1:14" s="9" customFormat="1">
      <c r="A126" s="8" t="s">
        <v>1478</v>
      </c>
      <c r="B126" s="11">
        <v>5.6909999999999998</v>
      </c>
      <c r="C126" s="13">
        <v>6.2200000000000006</v>
      </c>
      <c r="D126" s="14">
        <f t="shared" si="7"/>
        <v>6</v>
      </c>
      <c r="E126" s="14">
        <f t="shared" si="8"/>
        <v>0.2</v>
      </c>
      <c r="F126" s="14">
        <f t="shared" si="9"/>
        <v>4</v>
      </c>
      <c r="G126" s="14">
        <f t="shared" si="10"/>
        <v>4.5534000000000008</v>
      </c>
      <c r="H126" s="14">
        <f t="shared" si="11"/>
        <v>0.8</v>
      </c>
      <c r="I126" s="14">
        <f t="shared" si="12"/>
        <v>0</v>
      </c>
      <c r="J126" s="14">
        <f t="shared" si="13"/>
        <v>0</v>
      </c>
      <c r="K126" s="15">
        <f>IF(CurrentMtgRatesDataTable8[[#This Row],[WA CC]]&lt;&gt;0,C125-CurrentMtgRatesDataTable8[[#This Row],[WA CC]],0)</f>
        <v>0</v>
      </c>
      <c r="L126" s="16">
        <f>IF(CurrentMtgRatesDataTable8[[#This Row],[Servicing Spread]]&lt;=0,L125,CurrentMtgRatesDataTable8[[#This Row],[Servicing Spread]])</f>
        <v>0.52979999999999894</v>
      </c>
      <c r="M126" s="16">
        <f>CurrentMtgRatesDataTable8[[#This Row],[Servicing Spread Non-Zero]]-L125</f>
        <v>0</v>
      </c>
      <c r="N126" s="16">
        <f>IF(J125&lt;&gt;0,CurrentMtgRatesDataTable8[[#This Row],[Rate]]-C125,N125)</f>
        <v>-4.9999999999990052E-3</v>
      </c>
    </row>
    <row r="127" spans="1:14" s="9" customFormat="1">
      <c r="A127" s="8" t="s">
        <v>1479</v>
      </c>
      <c r="B127" s="11">
        <v>5.6429999999999998</v>
      </c>
      <c r="C127" s="13">
        <v>6.2200000000000006</v>
      </c>
      <c r="D127" s="14">
        <f t="shared" si="7"/>
        <v>7</v>
      </c>
      <c r="E127" s="14">
        <f t="shared" si="8"/>
        <v>0.2</v>
      </c>
      <c r="F127" s="14">
        <f t="shared" si="9"/>
        <v>5</v>
      </c>
      <c r="G127" s="14">
        <f t="shared" si="10"/>
        <v>5.6820000000000004</v>
      </c>
      <c r="H127" s="14">
        <f t="shared" si="11"/>
        <v>1</v>
      </c>
      <c r="I127" s="14">
        <f t="shared" si="12"/>
        <v>1</v>
      </c>
      <c r="J127" s="14">
        <f t="shared" si="13"/>
        <v>5.6820000000000004</v>
      </c>
      <c r="K127" s="15">
        <f>IF(CurrentMtgRatesDataTable8[[#This Row],[WA CC]]&lt;&gt;0,C126-CurrentMtgRatesDataTable8[[#This Row],[WA CC]],0)</f>
        <v>0.53800000000000026</v>
      </c>
      <c r="L127" s="16">
        <f>IF(CurrentMtgRatesDataTable8[[#This Row],[Servicing Spread]]&lt;=0,L126,CurrentMtgRatesDataTable8[[#This Row],[Servicing Spread]])</f>
        <v>0.53800000000000026</v>
      </c>
      <c r="M127" s="16">
        <f>CurrentMtgRatesDataTable8[[#This Row],[Servicing Spread Non-Zero]]-L126</f>
        <v>8.2000000000013173E-3</v>
      </c>
      <c r="N127" s="16">
        <f>IF(J126&lt;&gt;0,CurrentMtgRatesDataTable8[[#This Row],[Rate]]-C126,N126)</f>
        <v>-4.9999999999990052E-3</v>
      </c>
    </row>
    <row r="128" spans="1:14" s="9" customFormat="1">
      <c r="A128" s="8" t="s">
        <v>1480</v>
      </c>
      <c r="B128" s="11">
        <v>5.5510000000000002</v>
      </c>
      <c r="C128" s="13">
        <v>6.2050000000000001</v>
      </c>
      <c r="D128" s="14">
        <f t="shared" si="7"/>
        <v>1</v>
      </c>
      <c r="E128" s="14">
        <f t="shared" si="8"/>
        <v>0.2</v>
      </c>
      <c r="F128" s="14">
        <f t="shared" si="9"/>
        <v>1</v>
      </c>
      <c r="G128" s="14">
        <f t="shared" si="10"/>
        <v>1.1102000000000001</v>
      </c>
      <c r="H128" s="14">
        <f t="shared" si="11"/>
        <v>0.2</v>
      </c>
      <c r="I128" s="14">
        <f t="shared" si="12"/>
        <v>0</v>
      </c>
      <c r="J128" s="14">
        <f t="shared" si="13"/>
        <v>0</v>
      </c>
      <c r="K128" s="15">
        <f>IF(CurrentMtgRatesDataTable8[[#This Row],[WA CC]]&lt;&gt;0,C127-CurrentMtgRatesDataTable8[[#This Row],[WA CC]],0)</f>
        <v>0</v>
      </c>
      <c r="L128" s="16">
        <f>IF(CurrentMtgRatesDataTable8[[#This Row],[Servicing Spread]]&lt;=0,L127,CurrentMtgRatesDataTable8[[#This Row],[Servicing Spread]])</f>
        <v>0.53800000000000026</v>
      </c>
      <c r="M128" s="16">
        <f>CurrentMtgRatesDataTable8[[#This Row],[Servicing Spread Non-Zero]]-L127</f>
        <v>0</v>
      </c>
      <c r="N128" s="16">
        <f>IF(J127&lt;&gt;0,CurrentMtgRatesDataTable8[[#This Row],[Rate]]-C127,N127)</f>
        <v>-1.5000000000000568E-2</v>
      </c>
    </row>
    <row r="129" spans="1:14" s="9" customFormat="1">
      <c r="A129" s="8" t="s">
        <v>1481</v>
      </c>
      <c r="B129" s="11">
        <v>5.6269999999999998</v>
      </c>
      <c r="C129" s="13">
        <v>6.2050000000000001</v>
      </c>
      <c r="D129" s="14">
        <f t="shared" si="7"/>
        <v>2</v>
      </c>
      <c r="E129" s="14">
        <f t="shared" si="8"/>
        <v>0.2</v>
      </c>
      <c r="F129" s="14">
        <f t="shared" si="9"/>
        <v>2</v>
      </c>
      <c r="G129" s="14">
        <f t="shared" si="10"/>
        <v>2.2355999999999998</v>
      </c>
      <c r="H129" s="14">
        <f t="shared" si="11"/>
        <v>0.4</v>
      </c>
      <c r="I129" s="14">
        <f t="shared" si="12"/>
        <v>0</v>
      </c>
      <c r="J129" s="14">
        <f t="shared" si="13"/>
        <v>0</v>
      </c>
      <c r="K129" s="15">
        <f>IF(CurrentMtgRatesDataTable8[[#This Row],[WA CC]]&lt;&gt;0,C128-CurrentMtgRatesDataTable8[[#This Row],[WA CC]],0)</f>
        <v>0</v>
      </c>
      <c r="L129" s="16">
        <f>IF(CurrentMtgRatesDataTable8[[#This Row],[Servicing Spread]]&lt;=0,L128,CurrentMtgRatesDataTable8[[#This Row],[Servicing Spread]])</f>
        <v>0.53800000000000026</v>
      </c>
      <c r="M129" s="16">
        <f>CurrentMtgRatesDataTable8[[#This Row],[Servicing Spread Non-Zero]]-L128</f>
        <v>0</v>
      </c>
      <c r="N129" s="16">
        <f>IF(J128&lt;&gt;0,CurrentMtgRatesDataTable8[[#This Row],[Rate]]-C128,N128)</f>
        <v>-1.5000000000000568E-2</v>
      </c>
    </row>
    <row r="130" spans="1:14" s="9" customFormat="1">
      <c r="A130" s="8" t="s">
        <v>1482</v>
      </c>
      <c r="B130" s="11">
        <v>5.67</v>
      </c>
      <c r="C130" s="13">
        <v>6.2050000000000001</v>
      </c>
      <c r="D130" s="14">
        <f t="shared" si="7"/>
        <v>6</v>
      </c>
      <c r="E130" s="14">
        <f t="shared" si="8"/>
        <v>0.2</v>
      </c>
      <c r="F130" s="14">
        <f t="shared" si="9"/>
        <v>3</v>
      </c>
      <c r="G130" s="14">
        <f t="shared" si="10"/>
        <v>3.3696000000000002</v>
      </c>
      <c r="H130" s="14">
        <f t="shared" si="11"/>
        <v>0.60000000000000009</v>
      </c>
      <c r="I130" s="14">
        <f t="shared" si="12"/>
        <v>0</v>
      </c>
      <c r="J130" s="14">
        <f t="shared" si="13"/>
        <v>0</v>
      </c>
      <c r="K130" s="15">
        <f>IF(CurrentMtgRatesDataTable8[[#This Row],[WA CC]]&lt;&gt;0,C129-CurrentMtgRatesDataTable8[[#This Row],[WA CC]],0)</f>
        <v>0</v>
      </c>
      <c r="L130" s="16">
        <f>IF(CurrentMtgRatesDataTable8[[#This Row],[Servicing Spread]]&lt;=0,L129,CurrentMtgRatesDataTable8[[#This Row],[Servicing Spread]])</f>
        <v>0.53800000000000026</v>
      </c>
      <c r="M130" s="16">
        <f>CurrentMtgRatesDataTable8[[#This Row],[Servicing Spread Non-Zero]]-L129</f>
        <v>0</v>
      </c>
      <c r="N130" s="16">
        <f>IF(J129&lt;&gt;0,CurrentMtgRatesDataTable8[[#This Row],[Rate]]-C129,N129)</f>
        <v>-1.5000000000000568E-2</v>
      </c>
    </row>
    <row r="131" spans="1:14" s="9" customFormat="1">
      <c r="A131" s="8" t="s">
        <v>1483</v>
      </c>
      <c r="B131" s="11">
        <v>5.69</v>
      </c>
      <c r="C131" s="13">
        <v>6.2050000000000001</v>
      </c>
      <c r="D131" s="14">
        <f t="shared" si="7"/>
        <v>7</v>
      </c>
      <c r="E131" s="14">
        <f t="shared" si="8"/>
        <v>0.2</v>
      </c>
      <c r="F131" s="14">
        <f t="shared" si="9"/>
        <v>4</v>
      </c>
      <c r="G131" s="14">
        <f t="shared" si="10"/>
        <v>4.5076000000000001</v>
      </c>
      <c r="H131" s="14">
        <f t="shared" si="11"/>
        <v>0.8</v>
      </c>
      <c r="I131" s="14">
        <f t="shared" si="12"/>
        <v>1</v>
      </c>
      <c r="J131" s="14">
        <f t="shared" si="13"/>
        <v>5.6345000000000001</v>
      </c>
      <c r="K131" s="15">
        <f>IF(CurrentMtgRatesDataTable8[[#This Row],[WA CC]]&lt;&gt;0,C130-CurrentMtgRatesDataTable8[[#This Row],[WA CC]],0)</f>
        <v>0.57050000000000001</v>
      </c>
      <c r="L131" s="16">
        <f>IF(CurrentMtgRatesDataTable8[[#This Row],[Servicing Spread]]&lt;=0,L130,CurrentMtgRatesDataTable8[[#This Row],[Servicing Spread]])</f>
        <v>0.57050000000000001</v>
      </c>
      <c r="M131" s="16">
        <f>CurrentMtgRatesDataTable8[[#This Row],[Servicing Spread Non-Zero]]-L130</f>
        <v>3.2499999999999751E-2</v>
      </c>
      <c r="N131" s="16">
        <f>IF(J130&lt;&gt;0,CurrentMtgRatesDataTable8[[#This Row],[Rate]]-C130,N130)</f>
        <v>-1.5000000000000568E-2</v>
      </c>
    </row>
    <row r="132" spans="1:14" s="9" customFormat="1">
      <c r="A132" s="8" t="s">
        <v>1484</v>
      </c>
      <c r="B132" s="11">
        <v>5.665</v>
      </c>
      <c r="C132" s="13">
        <v>6.2249999999999996</v>
      </c>
      <c r="D132" s="14">
        <f t="shared" si="7"/>
        <v>1</v>
      </c>
      <c r="E132" s="14">
        <f t="shared" si="8"/>
        <v>0.2</v>
      </c>
      <c r="F132" s="14">
        <f t="shared" si="9"/>
        <v>1</v>
      </c>
      <c r="G132" s="14">
        <f t="shared" si="10"/>
        <v>1.133</v>
      </c>
      <c r="H132" s="14">
        <f t="shared" si="11"/>
        <v>0.2</v>
      </c>
      <c r="I132" s="14">
        <f t="shared" si="12"/>
        <v>0</v>
      </c>
      <c r="J132" s="14">
        <f t="shared" si="13"/>
        <v>0</v>
      </c>
      <c r="K132" s="15">
        <f>IF(CurrentMtgRatesDataTable8[[#This Row],[WA CC]]&lt;&gt;0,C131-CurrentMtgRatesDataTable8[[#This Row],[WA CC]],0)</f>
        <v>0</v>
      </c>
      <c r="L132" s="16">
        <f>IF(CurrentMtgRatesDataTable8[[#This Row],[Servicing Spread]]&lt;=0,L131,CurrentMtgRatesDataTable8[[#This Row],[Servicing Spread]])</f>
        <v>0.57050000000000001</v>
      </c>
      <c r="M132" s="16">
        <f>CurrentMtgRatesDataTable8[[#This Row],[Servicing Spread Non-Zero]]-L131</f>
        <v>0</v>
      </c>
      <c r="N132" s="16">
        <f>IF(J131&lt;&gt;0,CurrentMtgRatesDataTable8[[#This Row],[Rate]]-C131,N131)</f>
        <v>1.9999999999999574E-2</v>
      </c>
    </row>
    <row r="133" spans="1:14" s="9" customFormat="1">
      <c r="A133" s="8" t="s">
        <v>1485</v>
      </c>
      <c r="B133" s="11">
        <v>5.6840000000000002</v>
      </c>
      <c r="C133" s="13">
        <v>6.2249999999999996</v>
      </c>
      <c r="D133" s="14">
        <f t="shared" ref="D133:D196" si="14">WEEKDAY(A133,14)</f>
        <v>2</v>
      </c>
      <c r="E133" s="14">
        <f t="shared" ref="E133:E196" si="15">VLOOKUP(D133,Q$5:R$11,2,FALSE)</f>
        <v>0.2</v>
      </c>
      <c r="F133" s="14">
        <f t="shared" ref="F133:F196" si="16">IF(AND(D133&gt;D132,F132&lt;6),F132+1,1)</f>
        <v>2</v>
      </c>
      <c r="G133" s="14">
        <f t="shared" ref="G133:G196" si="17">IF(F133&gt;F132,G132+B133*E133,B133*E133)</f>
        <v>2.2698</v>
      </c>
      <c r="H133" s="14">
        <f t="shared" ref="H133:H196" si="18">IF(AND(F133&lt;6,F133&gt;F132),E133+H132,E133)</f>
        <v>0.4</v>
      </c>
      <c r="I133" s="14">
        <f t="shared" ref="I133:I196" si="19">IF(F133&gt;F134,1,0)</f>
        <v>0</v>
      </c>
      <c r="J133" s="14">
        <f t="shared" ref="J133:J196" si="20">IF(F133&gt;F134,G133/H133,0)</f>
        <v>0</v>
      </c>
      <c r="K133" s="15">
        <f>IF(CurrentMtgRatesDataTable8[[#This Row],[WA CC]]&lt;&gt;0,C132-CurrentMtgRatesDataTable8[[#This Row],[WA CC]],0)</f>
        <v>0</v>
      </c>
      <c r="L133" s="16">
        <f>IF(CurrentMtgRatesDataTable8[[#This Row],[Servicing Spread]]&lt;=0,L132,CurrentMtgRatesDataTable8[[#This Row],[Servicing Spread]])</f>
        <v>0.57050000000000001</v>
      </c>
      <c r="M133" s="16">
        <f>CurrentMtgRatesDataTable8[[#This Row],[Servicing Spread Non-Zero]]-L132</f>
        <v>0</v>
      </c>
      <c r="N133" s="16">
        <f>IF(J132&lt;&gt;0,CurrentMtgRatesDataTable8[[#This Row],[Rate]]-C132,N132)</f>
        <v>1.9999999999999574E-2</v>
      </c>
    </row>
    <row r="134" spans="1:14" s="9" customFormat="1">
      <c r="A134" s="8" t="s">
        <v>1486</v>
      </c>
      <c r="B134" s="11">
        <v>5.6660000000000004</v>
      </c>
      <c r="C134" s="13">
        <v>6.2249999999999996</v>
      </c>
      <c r="D134" s="14">
        <f t="shared" si="14"/>
        <v>5</v>
      </c>
      <c r="E134" s="14">
        <f t="shared" si="15"/>
        <v>0.2</v>
      </c>
      <c r="F134" s="14">
        <f t="shared" si="16"/>
        <v>3</v>
      </c>
      <c r="G134" s="14">
        <f t="shared" si="17"/>
        <v>3.4030000000000005</v>
      </c>
      <c r="H134" s="14">
        <f t="shared" si="18"/>
        <v>0.60000000000000009</v>
      </c>
      <c r="I134" s="14">
        <f t="shared" si="19"/>
        <v>0</v>
      </c>
      <c r="J134" s="14">
        <f t="shared" si="20"/>
        <v>0</v>
      </c>
      <c r="K134" s="15">
        <f>IF(CurrentMtgRatesDataTable8[[#This Row],[WA CC]]&lt;&gt;0,C133-CurrentMtgRatesDataTable8[[#This Row],[WA CC]],0)</f>
        <v>0</v>
      </c>
      <c r="L134" s="16">
        <f>IF(CurrentMtgRatesDataTable8[[#This Row],[Servicing Spread]]&lt;=0,L133,CurrentMtgRatesDataTable8[[#This Row],[Servicing Spread]])</f>
        <v>0.57050000000000001</v>
      </c>
      <c r="M134" s="16">
        <f>CurrentMtgRatesDataTable8[[#This Row],[Servicing Spread Non-Zero]]-L133</f>
        <v>0</v>
      </c>
      <c r="N134" s="16">
        <f>IF(J133&lt;&gt;0,CurrentMtgRatesDataTable8[[#This Row],[Rate]]-C133,N133)</f>
        <v>1.9999999999999574E-2</v>
      </c>
    </row>
    <row r="135" spans="1:14" s="9" customFormat="1">
      <c r="A135" s="8" t="s">
        <v>1487</v>
      </c>
      <c r="B135" s="11">
        <v>5.66</v>
      </c>
      <c r="C135" s="13">
        <v>6.2249999999999996</v>
      </c>
      <c r="D135" s="14">
        <f t="shared" si="14"/>
        <v>6</v>
      </c>
      <c r="E135" s="14">
        <f t="shared" si="15"/>
        <v>0.2</v>
      </c>
      <c r="F135" s="14">
        <f t="shared" si="16"/>
        <v>4</v>
      </c>
      <c r="G135" s="14">
        <f t="shared" si="17"/>
        <v>4.5350000000000001</v>
      </c>
      <c r="H135" s="14">
        <f t="shared" si="18"/>
        <v>0.8</v>
      </c>
      <c r="I135" s="14">
        <f t="shared" si="19"/>
        <v>0</v>
      </c>
      <c r="J135" s="14">
        <f t="shared" si="20"/>
        <v>0</v>
      </c>
      <c r="K135" s="15">
        <f>IF(CurrentMtgRatesDataTable8[[#This Row],[WA CC]]&lt;&gt;0,C134-CurrentMtgRatesDataTable8[[#This Row],[WA CC]],0)</f>
        <v>0</v>
      </c>
      <c r="L135" s="16">
        <f>IF(CurrentMtgRatesDataTable8[[#This Row],[Servicing Spread]]&lt;=0,L134,CurrentMtgRatesDataTable8[[#This Row],[Servicing Spread]])</f>
        <v>0.57050000000000001</v>
      </c>
      <c r="M135" s="16">
        <f>CurrentMtgRatesDataTable8[[#This Row],[Servicing Spread Non-Zero]]-L134</f>
        <v>0</v>
      </c>
      <c r="N135" s="16">
        <f>IF(J134&lt;&gt;0,CurrentMtgRatesDataTable8[[#This Row],[Rate]]-C134,N134)</f>
        <v>1.9999999999999574E-2</v>
      </c>
    </row>
    <row r="136" spans="1:14" s="9" customFormat="1">
      <c r="A136" s="8" t="s">
        <v>1488</v>
      </c>
      <c r="B136" s="11">
        <v>5.7110000000000003</v>
      </c>
      <c r="C136" s="13">
        <v>6.2249999999999996</v>
      </c>
      <c r="D136" s="14">
        <f t="shared" si="14"/>
        <v>7</v>
      </c>
      <c r="E136" s="14">
        <f t="shared" si="15"/>
        <v>0.2</v>
      </c>
      <c r="F136" s="14">
        <f t="shared" si="16"/>
        <v>5</v>
      </c>
      <c r="G136" s="14">
        <f t="shared" si="17"/>
        <v>5.6772</v>
      </c>
      <c r="H136" s="14">
        <f t="shared" si="18"/>
        <v>1</v>
      </c>
      <c r="I136" s="14">
        <f t="shared" si="19"/>
        <v>1</v>
      </c>
      <c r="J136" s="14">
        <f t="shared" si="20"/>
        <v>5.6772</v>
      </c>
      <c r="K136" s="15">
        <f>IF(CurrentMtgRatesDataTable8[[#This Row],[WA CC]]&lt;&gt;0,C135-CurrentMtgRatesDataTable8[[#This Row],[WA CC]],0)</f>
        <v>0.54779999999999962</v>
      </c>
      <c r="L136" s="16">
        <f>IF(CurrentMtgRatesDataTable8[[#This Row],[Servicing Spread]]&lt;=0,L135,CurrentMtgRatesDataTable8[[#This Row],[Servicing Spread]])</f>
        <v>0.54779999999999962</v>
      </c>
      <c r="M136" s="16">
        <f>CurrentMtgRatesDataTable8[[#This Row],[Servicing Spread Non-Zero]]-L135</f>
        <v>-2.2700000000000387E-2</v>
      </c>
      <c r="N136" s="16">
        <f>IF(J135&lt;&gt;0,CurrentMtgRatesDataTable8[[#This Row],[Rate]]-C135,N135)</f>
        <v>1.9999999999999574E-2</v>
      </c>
    </row>
    <row r="137" spans="1:14" s="9" customFormat="1">
      <c r="A137" s="8" t="s">
        <v>1489</v>
      </c>
      <c r="B137" s="11">
        <v>5.7210000000000001</v>
      </c>
      <c r="C137" s="13">
        <v>6.1950000000000003</v>
      </c>
      <c r="D137" s="14">
        <f t="shared" si="14"/>
        <v>1</v>
      </c>
      <c r="E137" s="14">
        <f t="shared" si="15"/>
        <v>0.2</v>
      </c>
      <c r="F137" s="14">
        <f t="shared" si="16"/>
        <v>1</v>
      </c>
      <c r="G137" s="14">
        <f t="shared" si="17"/>
        <v>1.1442000000000001</v>
      </c>
      <c r="H137" s="14">
        <f t="shared" si="18"/>
        <v>0.2</v>
      </c>
      <c r="I137" s="14">
        <f t="shared" si="19"/>
        <v>0</v>
      </c>
      <c r="J137" s="14">
        <f t="shared" si="20"/>
        <v>0</v>
      </c>
      <c r="K137" s="15">
        <f>IF(CurrentMtgRatesDataTable8[[#This Row],[WA CC]]&lt;&gt;0,C136-CurrentMtgRatesDataTable8[[#This Row],[WA CC]],0)</f>
        <v>0</v>
      </c>
      <c r="L137" s="16">
        <f>IF(CurrentMtgRatesDataTable8[[#This Row],[Servicing Spread]]&lt;=0,L136,CurrentMtgRatesDataTable8[[#This Row],[Servicing Spread]])</f>
        <v>0.54779999999999962</v>
      </c>
      <c r="M137" s="16">
        <f>CurrentMtgRatesDataTable8[[#This Row],[Servicing Spread Non-Zero]]-L136</f>
        <v>0</v>
      </c>
      <c r="N137" s="16">
        <f>IF(J136&lt;&gt;0,CurrentMtgRatesDataTable8[[#This Row],[Rate]]-C136,N136)</f>
        <v>-2.9999999999999361E-2</v>
      </c>
    </row>
    <row r="138" spans="1:14" s="9" customFormat="1">
      <c r="A138" s="8" t="s">
        <v>1490</v>
      </c>
      <c r="B138" s="11">
        <v>5.7210000000000001</v>
      </c>
      <c r="C138" s="13">
        <v>6.1950000000000003</v>
      </c>
      <c r="D138" s="14">
        <f t="shared" si="14"/>
        <v>2</v>
      </c>
      <c r="E138" s="14">
        <f t="shared" si="15"/>
        <v>0.2</v>
      </c>
      <c r="F138" s="14">
        <f t="shared" si="16"/>
        <v>2</v>
      </c>
      <c r="G138" s="14">
        <f t="shared" si="17"/>
        <v>2.2884000000000002</v>
      </c>
      <c r="H138" s="14">
        <f t="shared" si="18"/>
        <v>0.4</v>
      </c>
      <c r="I138" s="14">
        <f t="shared" si="19"/>
        <v>0</v>
      </c>
      <c r="J138" s="14">
        <f t="shared" si="20"/>
        <v>0</v>
      </c>
      <c r="K138" s="15">
        <f>IF(CurrentMtgRatesDataTable8[[#This Row],[WA CC]]&lt;&gt;0,C137-CurrentMtgRatesDataTable8[[#This Row],[WA CC]],0)</f>
        <v>0</v>
      </c>
      <c r="L138" s="16">
        <f>IF(CurrentMtgRatesDataTable8[[#This Row],[Servicing Spread]]&lt;=0,L137,CurrentMtgRatesDataTable8[[#This Row],[Servicing Spread]])</f>
        <v>0.54779999999999962</v>
      </c>
      <c r="M138" s="16">
        <f>CurrentMtgRatesDataTable8[[#This Row],[Servicing Spread Non-Zero]]-L137</f>
        <v>0</v>
      </c>
      <c r="N138" s="16">
        <f>IF(J137&lt;&gt;0,CurrentMtgRatesDataTable8[[#This Row],[Rate]]-C137,N137)</f>
        <v>-2.9999999999999361E-2</v>
      </c>
    </row>
    <row r="139" spans="1:14" s="9" customFormat="1">
      <c r="A139" s="8" t="s">
        <v>1491</v>
      </c>
      <c r="B139" s="11">
        <v>5.8339999999999996</v>
      </c>
      <c r="C139" s="13">
        <v>6.1950000000000003</v>
      </c>
      <c r="D139" s="14">
        <f t="shared" si="14"/>
        <v>5</v>
      </c>
      <c r="E139" s="14">
        <f t="shared" si="15"/>
        <v>0.2</v>
      </c>
      <c r="F139" s="14">
        <f t="shared" si="16"/>
        <v>3</v>
      </c>
      <c r="G139" s="14">
        <f t="shared" si="17"/>
        <v>3.4552000000000005</v>
      </c>
      <c r="H139" s="14">
        <f t="shared" si="18"/>
        <v>0.60000000000000009</v>
      </c>
      <c r="I139" s="14">
        <f t="shared" si="19"/>
        <v>0</v>
      </c>
      <c r="J139" s="14">
        <f t="shared" si="20"/>
        <v>0</v>
      </c>
      <c r="K139" s="15">
        <f>IF(CurrentMtgRatesDataTable8[[#This Row],[WA CC]]&lt;&gt;0,C138-CurrentMtgRatesDataTable8[[#This Row],[WA CC]],0)</f>
        <v>0</v>
      </c>
      <c r="L139" s="16">
        <f>IF(CurrentMtgRatesDataTable8[[#This Row],[Servicing Spread]]&lt;=0,L138,CurrentMtgRatesDataTable8[[#This Row],[Servicing Spread]])</f>
        <v>0.54779999999999962</v>
      </c>
      <c r="M139" s="16">
        <f>CurrentMtgRatesDataTable8[[#This Row],[Servicing Spread Non-Zero]]-L138</f>
        <v>0</v>
      </c>
      <c r="N139" s="16">
        <f>IF(J138&lt;&gt;0,CurrentMtgRatesDataTable8[[#This Row],[Rate]]-C138,N138)</f>
        <v>-2.9999999999999361E-2</v>
      </c>
    </row>
    <row r="140" spans="1:14" s="9" customFormat="1">
      <c r="A140" s="8" t="s">
        <v>1492</v>
      </c>
      <c r="B140" s="11">
        <v>5.6319999999999997</v>
      </c>
      <c r="C140" s="13">
        <v>6.1950000000000003</v>
      </c>
      <c r="D140" s="14">
        <f t="shared" si="14"/>
        <v>6</v>
      </c>
      <c r="E140" s="14">
        <f t="shared" si="15"/>
        <v>0.2</v>
      </c>
      <c r="F140" s="14">
        <f t="shared" si="16"/>
        <v>4</v>
      </c>
      <c r="G140" s="14">
        <f t="shared" si="17"/>
        <v>4.5816000000000008</v>
      </c>
      <c r="H140" s="14">
        <f t="shared" si="18"/>
        <v>0.8</v>
      </c>
      <c r="I140" s="14">
        <f t="shared" si="19"/>
        <v>0</v>
      </c>
      <c r="J140" s="14">
        <f t="shared" si="20"/>
        <v>0</v>
      </c>
      <c r="K140" s="15">
        <f>IF(CurrentMtgRatesDataTable8[[#This Row],[WA CC]]&lt;&gt;0,C139-CurrentMtgRatesDataTable8[[#This Row],[WA CC]],0)</f>
        <v>0</v>
      </c>
      <c r="L140" s="16">
        <f>IF(CurrentMtgRatesDataTable8[[#This Row],[Servicing Spread]]&lt;=0,L139,CurrentMtgRatesDataTable8[[#This Row],[Servicing Spread]])</f>
        <v>0.54779999999999962</v>
      </c>
      <c r="M140" s="16">
        <f>CurrentMtgRatesDataTable8[[#This Row],[Servicing Spread Non-Zero]]-L139</f>
        <v>0</v>
      </c>
      <c r="N140" s="16">
        <f>IF(J139&lt;&gt;0,CurrentMtgRatesDataTable8[[#This Row],[Rate]]-C139,N139)</f>
        <v>-2.9999999999999361E-2</v>
      </c>
    </row>
    <row r="141" spans="1:14" s="9" customFormat="1">
      <c r="A141" s="8" t="s">
        <v>1493</v>
      </c>
      <c r="B141" s="11">
        <v>5.673</v>
      </c>
      <c r="C141" s="13">
        <v>6.1950000000000003</v>
      </c>
      <c r="D141" s="14">
        <f t="shared" si="14"/>
        <v>7</v>
      </c>
      <c r="E141" s="14">
        <f t="shared" si="15"/>
        <v>0.2</v>
      </c>
      <c r="F141" s="14">
        <f t="shared" si="16"/>
        <v>5</v>
      </c>
      <c r="G141" s="14">
        <f t="shared" si="17"/>
        <v>5.7162000000000006</v>
      </c>
      <c r="H141" s="14">
        <f t="shared" si="18"/>
        <v>1</v>
      </c>
      <c r="I141" s="14">
        <f t="shared" si="19"/>
        <v>1</v>
      </c>
      <c r="J141" s="14">
        <f t="shared" si="20"/>
        <v>5.7162000000000006</v>
      </c>
      <c r="K141" s="15">
        <f>IF(CurrentMtgRatesDataTable8[[#This Row],[WA CC]]&lt;&gt;0,C140-CurrentMtgRatesDataTable8[[#This Row],[WA CC]],0)</f>
        <v>0.47879999999999967</v>
      </c>
      <c r="L141" s="16">
        <f>IF(CurrentMtgRatesDataTable8[[#This Row],[Servicing Spread]]&lt;=0,L140,CurrentMtgRatesDataTable8[[#This Row],[Servicing Spread]])</f>
        <v>0.47879999999999967</v>
      </c>
      <c r="M141" s="16">
        <f>CurrentMtgRatesDataTable8[[#This Row],[Servicing Spread Non-Zero]]-L140</f>
        <v>-6.899999999999995E-2</v>
      </c>
      <c r="N141" s="16">
        <f>IF(J140&lt;&gt;0,CurrentMtgRatesDataTable8[[#This Row],[Rate]]-C140,N140)</f>
        <v>-2.9999999999999361E-2</v>
      </c>
    </row>
    <row r="142" spans="1:14" s="9" customFormat="1">
      <c r="A142" s="8" t="s">
        <v>1494</v>
      </c>
      <c r="B142" s="11">
        <v>5.6239999999999997</v>
      </c>
      <c r="C142" s="13">
        <v>6.15</v>
      </c>
      <c r="D142" s="14">
        <f t="shared" si="14"/>
        <v>1</v>
      </c>
      <c r="E142" s="14">
        <f t="shared" si="15"/>
        <v>0.2</v>
      </c>
      <c r="F142" s="14">
        <f t="shared" si="16"/>
        <v>1</v>
      </c>
      <c r="G142" s="14">
        <f t="shared" si="17"/>
        <v>1.1248</v>
      </c>
      <c r="H142" s="14">
        <f t="shared" si="18"/>
        <v>0.2</v>
      </c>
      <c r="I142" s="14">
        <f t="shared" si="19"/>
        <v>0</v>
      </c>
      <c r="J142" s="14">
        <f t="shared" si="20"/>
        <v>0</v>
      </c>
      <c r="K142" s="15">
        <f>IF(CurrentMtgRatesDataTable8[[#This Row],[WA CC]]&lt;&gt;0,C141-CurrentMtgRatesDataTable8[[#This Row],[WA CC]],0)</f>
        <v>0</v>
      </c>
      <c r="L142" s="16">
        <f>IF(CurrentMtgRatesDataTable8[[#This Row],[Servicing Spread]]&lt;=0,L141,CurrentMtgRatesDataTable8[[#This Row],[Servicing Spread]])</f>
        <v>0.47879999999999967</v>
      </c>
      <c r="M142" s="16">
        <f>CurrentMtgRatesDataTable8[[#This Row],[Servicing Spread Non-Zero]]-L141</f>
        <v>0</v>
      </c>
      <c r="N142" s="16">
        <f>IF(J141&lt;&gt;0,CurrentMtgRatesDataTable8[[#This Row],[Rate]]-C141,N141)</f>
        <v>-4.4999999999999929E-2</v>
      </c>
    </row>
    <row r="143" spans="1:14" s="9" customFormat="1">
      <c r="A143" s="8" t="s">
        <v>1495</v>
      </c>
      <c r="B143" s="11">
        <v>5.6310000000000002</v>
      </c>
      <c r="C143" s="13">
        <v>6.15</v>
      </c>
      <c r="D143" s="14">
        <f t="shared" si="14"/>
        <v>2</v>
      </c>
      <c r="E143" s="14">
        <f t="shared" si="15"/>
        <v>0.2</v>
      </c>
      <c r="F143" s="14">
        <f t="shared" si="16"/>
        <v>2</v>
      </c>
      <c r="G143" s="14">
        <f t="shared" si="17"/>
        <v>2.2510000000000003</v>
      </c>
      <c r="H143" s="14">
        <f t="shared" si="18"/>
        <v>0.4</v>
      </c>
      <c r="I143" s="14">
        <f t="shared" si="19"/>
        <v>0</v>
      </c>
      <c r="J143" s="14">
        <f t="shared" si="20"/>
        <v>0</v>
      </c>
      <c r="K143" s="15">
        <f>IF(CurrentMtgRatesDataTable8[[#This Row],[WA CC]]&lt;&gt;0,C142-CurrentMtgRatesDataTable8[[#This Row],[WA CC]],0)</f>
        <v>0</v>
      </c>
      <c r="L143" s="16">
        <f>IF(CurrentMtgRatesDataTable8[[#This Row],[Servicing Spread]]&lt;=0,L142,CurrentMtgRatesDataTable8[[#This Row],[Servicing Spread]])</f>
        <v>0.47879999999999967</v>
      </c>
      <c r="M143" s="16">
        <f>CurrentMtgRatesDataTable8[[#This Row],[Servicing Spread Non-Zero]]-L142</f>
        <v>0</v>
      </c>
      <c r="N143" s="16">
        <f>IF(J142&lt;&gt;0,CurrentMtgRatesDataTable8[[#This Row],[Rate]]-C142,N142)</f>
        <v>-4.4999999999999929E-2</v>
      </c>
    </row>
    <row r="144" spans="1:14" s="9" customFormat="1">
      <c r="A144" s="8" t="s">
        <v>1496</v>
      </c>
      <c r="B144" s="11">
        <v>5.6260000000000003</v>
      </c>
      <c r="C144" s="13">
        <v>6.15</v>
      </c>
      <c r="D144" s="14">
        <f t="shared" si="14"/>
        <v>5</v>
      </c>
      <c r="E144" s="14">
        <f t="shared" si="15"/>
        <v>0.2</v>
      </c>
      <c r="F144" s="14">
        <f t="shared" si="16"/>
        <v>3</v>
      </c>
      <c r="G144" s="14">
        <f t="shared" si="17"/>
        <v>3.3762000000000008</v>
      </c>
      <c r="H144" s="14">
        <f t="shared" si="18"/>
        <v>0.60000000000000009</v>
      </c>
      <c r="I144" s="14">
        <f t="shared" si="19"/>
        <v>0</v>
      </c>
      <c r="J144" s="14">
        <f t="shared" si="20"/>
        <v>0</v>
      </c>
      <c r="K144" s="15">
        <f>IF(CurrentMtgRatesDataTable8[[#This Row],[WA CC]]&lt;&gt;0,C143-CurrentMtgRatesDataTable8[[#This Row],[WA CC]],0)</f>
        <v>0</v>
      </c>
      <c r="L144" s="16">
        <f>IF(CurrentMtgRatesDataTable8[[#This Row],[Servicing Spread]]&lt;=0,L143,CurrentMtgRatesDataTable8[[#This Row],[Servicing Spread]])</f>
        <v>0.47879999999999967</v>
      </c>
      <c r="M144" s="16">
        <f>CurrentMtgRatesDataTable8[[#This Row],[Servicing Spread Non-Zero]]-L143</f>
        <v>0</v>
      </c>
      <c r="N144" s="16">
        <f>IF(J143&lt;&gt;0,CurrentMtgRatesDataTable8[[#This Row],[Rate]]-C143,N143)</f>
        <v>-4.4999999999999929E-2</v>
      </c>
    </row>
    <row r="145" spans="1:14" s="9" customFormat="1">
      <c r="A145" s="8" t="s">
        <v>1497</v>
      </c>
      <c r="B145" s="11">
        <v>5.64</v>
      </c>
      <c r="C145" s="13">
        <v>6.15</v>
      </c>
      <c r="D145" s="14">
        <f t="shared" si="14"/>
        <v>6</v>
      </c>
      <c r="E145" s="14">
        <f t="shared" si="15"/>
        <v>0.2</v>
      </c>
      <c r="F145" s="14">
        <f t="shared" si="16"/>
        <v>4</v>
      </c>
      <c r="G145" s="14">
        <f t="shared" si="17"/>
        <v>4.5042000000000009</v>
      </c>
      <c r="H145" s="14">
        <f t="shared" si="18"/>
        <v>0.8</v>
      </c>
      <c r="I145" s="14">
        <f t="shared" si="19"/>
        <v>0</v>
      </c>
      <c r="J145" s="14">
        <f t="shared" si="20"/>
        <v>0</v>
      </c>
      <c r="K145" s="15">
        <f>IF(CurrentMtgRatesDataTable8[[#This Row],[WA CC]]&lt;&gt;0,C144-CurrentMtgRatesDataTable8[[#This Row],[WA CC]],0)</f>
        <v>0</v>
      </c>
      <c r="L145" s="16">
        <f>IF(CurrentMtgRatesDataTable8[[#This Row],[Servicing Spread]]&lt;=0,L144,CurrentMtgRatesDataTable8[[#This Row],[Servicing Spread]])</f>
        <v>0.47879999999999967</v>
      </c>
      <c r="M145" s="16">
        <f>CurrentMtgRatesDataTable8[[#This Row],[Servicing Spread Non-Zero]]-L144</f>
        <v>0</v>
      </c>
      <c r="N145" s="16">
        <f>IF(J144&lt;&gt;0,CurrentMtgRatesDataTable8[[#This Row],[Rate]]-C144,N144)</f>
        <v>-4.4999999999999929E-2</v>
      </c>
    </row>
    <row r="146" spans="1:14" s="9" customFormat="1">
      <c r="A146" s="8" t="s">
        <v>1498</v>
      </c>
      <c r="B146" s="11">
        <v>5.625</v>
      </c>
      <c r="C146" s="13">
        <v>6.15</v>
      </c>
      <c r="D146" s="14">
        <f t="shared" si="14"/>
        <v>7</v>
      </c>
      <c r="E146" s="14">
        <f t="shared" si="15"/>
        <v>0.2</v>
      </c>
      <c r="F146" s="14">
        <f t="shared" si="16"/>
        <v>5</v>
      </c>
      <c r="G146" s="14">
        <f t="shared" si="17"/>
        <v>5.6292000000000009</v>
      </c>
      <c r="H146" s="14">
        <f t="shared" si="18"/>
        <v>1</v>
      </c>
      <c r="I146" s="14">
        <f t="shared" si="19"/>
        <v>1</v>
      </c>
      <c r="J146" s="14">
        <f t="shared" si="20"/>
        <v>5.6292000000000009</v>
      </c>
      <c r="K146" s="15">
        <f>IF(CurrentMtgRatesDataTable8[[#This Row],[WA CC]]&lt;&gt;0,C145-CurrentMtgRatesDataTable8[[#This Row],[WA CC]],0)</f>
        <v>0.52079999999999949</v>
      </c>
      <c r="L146" s="16">
        <f>IF(CurrentMtgRatesDataTable8[[#This Row],[Servicing Spread]]&lt;=0,L145,CurrentMtgRatesDataTable8[[#This Row],[Servicing Spread]])</f>
        <v>0.52079999999999949</v>
      </c>
      <c r="M146" s="16">
        <f>CurrentMtgRatesDataTable8[[#This Row],[Servicing Spread Non-Zero]]-L145</f>
        <v>4.1999999999999815E-2</v>
      </c>
      <c r="N146" s="16">
        <f>IF(J145&lt;&gt;0,CurrentMtgRatesDataTable8[[#This Row],[Rate]]-C145,N145)</f>
        <v>-4.4999999999999929E-2</v>
      </c>
    </row>
    <row r="147" spans="1:14" s="9" customFormat="1">
      <c r="A147" s="8" t="s">
        <v>1499</v>
      </c>
      <c r="B147" s="11">
        <v>5.5860000000000003</v>
      </c>
      <c r="C147" s="13">
        <v>6.11</v>
      </c>
      <c r="D147" s="14">
        <f t="shared" si="14"/>
        <v>1</v>
      </c>
      <c r="E147" s="14">
        <f t="shared" si="15"/>
        <v>0.2</v>
      </c>
      <c r="F147" s="14">
        <f t="shared" si="16"/>
        <v>1</v>
      </c>
      <c r="G147" s="14">
        <f t="shared" si="17"/>
        <v>1.1172000000000002</v>
      </c>
      <c r="H147" s="14">
        <f t="shared" si="18"/>
        <v>0.2</v>
      </c>
      <c r="I147" s="14">
        <f t="shared" si="19"/>
        <v>0</v>
      </c>
      <c r="J147" s="14">
        <f t="shared" si="20"/>
        <v>0</v>
      </c>
      <c r="K147" s="15">
        <f>IF(CurrentMtgRatesDataTable8[[#This Row],[WA CC]]&lt;&gt;0,C146-CurrentMtgRatesDataTable8[[#This Row],[WA CC]],0)</f>
        <v>0</v>
      </c>
      <c r="L147" s="16">
        <f>IF(CurrentMtgRatesDataTable8[[#This Row],[Servicing Spread]]&lt;=0,L146,CurrentMtgRatesDataTable8[[#This Row],[Servicing Spread]])</f>
        <v>0.52079999999999949</v>
      </c>
      <c r="M147" s="16">
        <f>CurrentMtgRatesDataTable8[[#This Row],[Servicing Spread Non-Zero]]-L146</f>
        <v>0</v>
      </c>
      <c r="N147" s="16">
        <f>IF(J146&lt;&gt;0,CurrentMtgRatesDataTable8[[#This Row],[Rate]]-C146,N146)</f>
        <v>-4.0000000000000036E-2</v>
      </c>
    </row>
    <row r="148" spans="1:14" s="9" customFormat="1">
      <c r="A148" s="8" t="s">
        <v>1500</v>
      </c>
      <c r="B148" s="11">
        <v>5.58</v>
      </c>
      <c r="C148" s="13">
        <v>6.11</v>
      </c>
      <c r="D148" s="14">
        <f t="shared" si="14"/>
        <v>2</v>
      </c>
      <c r="E148" s="14">
        <f t="shared" si="15"/>
        <v>0.2</v>
      </c>
      <c r="F148" s="14">
        <f t="shared" si="16"/>
        <v>2</v>
      </c>
      <c r="G148" s="14">
        <f t="shared" si="17"/>
        <v>2.2332000000000001</v>
      </c>
      <c r="H148" s="14">
        <f t="shared" si="18"/>
        <v>0.4</v>
      </c>
      <c r="I148" s="14">
        <f t="shared" si="19"/>
        <v>0</v>
      </c>
      <c r="J148" s="14">
        <f t="shared" si="20"/>
        <v>0</v>
      </c>
      <c r="K148" s="15">
        <f>IF(CurrentMtgRatesDataTable8[[#This Row],[WA CC]]&lt;&gt;0,C147-CurrentMtgRatesDataTable8[[#This Row],[WA CC]],0)</f>
        <v>0</v>
      </c>
      <c r="L148" s="16">
        <f>IF(CurrentMtgRatesDataTable8[[#This Row],[Servicing Spread]]&lt;=0,L147,CurrentMtgRatesDataTable8[[#This Row],[Servicing Spread]])</f>
        <v>0.52079999999999949</v>
      </c>
      <c r="M148" s="16">
        <f>CurrentMtgRatesDataTable8[[#This Row],[Servicing Spread Non-Zero]]-L147</f>
        <v>0</v>
      </c>
      <c r="N148" s="16">
        <f>IF(J147&lt;&gt;0,CurrentMtgRatesDataTable8[[#This Row],[Rate]]-C147,N147)</f>
        <v>-4.0000000000000036E-2</v>
      </c>
    </row>
    <row r="149" spans="1:14" s="9" customFormat="1">
      <c r="A149" s="8" t="s">
        <v>1501</v>
      </c>
      <c r="B149" s="11">
        <v>5.6689999999999996</v>
      </c>
      <c r="C149" s="13">
        <v>6.11</v>
      </c>
      <c r="D149" s="14">
        <f t="shared" si="14"/>
        <v>5</v>
      </c>
      <c r="E149" s="14">
        <f t="shared" si="15"/>
        <v>0.2</v>
      </c>
      <c r="F149" s="14">
        <f t="shared" si="16"/>
        <v>3</v>
      </c>
      <c r="G149" s="14">
        <f t="shared" si="17"/>
        <v>3.367</v>
      </c>
      <c r="H149" s="14">
        <f t="shared" si="18"/>
        <v>0.60000000000000009</v>
      </c>
      <c r="I149" s="14">
        <f t="shared" si="19"/>
        <v>0</v>
      </c>
      <c r="J149" s="14">
        <f t="shared" si="20"/>
        <v>0</v>
      </c>
      <c r="K149" s="15">
        <f>IF(CurrentMtgRatesDataTable8[[#This Row],[WA CC]]&lt;&gt;0,C148-CurrentMtgRatesDataTable8[[#This Row],[WA CC]],0)</f>
        <v>0</v>
      </c>
      <c r="L149" s="16">
        <f>IF(CurrentMtgRatesDataTable8[[#This Row],[Servicing Spread]]&lt;=0,L148,CurrentMtgRatesDataTable8[[#This Row],[Servicing Spread]])</f>
        <v>0.52079999999999949</v>
      </c>
      <c r="M149" s="16">
        <f>CurrentMtgRatesDataTable8[[#This Row],[Servicing Spread Non-Zero]]-L148</f>
        <v>0</v>
      </c>
      <c r="N149" s="16">
        <f>IF(J148&lt;&gt;0,CurrentMtgRatesDataTable8[[#This Row],[Rate]]-C148,N148)</f>
        <v>-4.0000000000000036E-2</v>
      </c>
    </row>
    <row r="150" spans="1:14" s="9" customFormat="1">
      <c r="A150" s="8" t="s">
        <v>1502</v>
      </c>
      <c r="B150" s="11">
        <v>5.6260000000000003</v>
      </c>
      <c r="C150" s="13">
        <v>6.11</v>
      </c>
      <c r="D150" s="14">
        <f t="shared" si="14"/>
        <v>6</v>
      </c>
      <c r="E150" s="14">
        <f t="shared" si="15"/>
        <v>0.2</v>
      </c>
      <c r="F150" s="14">
        <f t="shared" si="16"/>
        <v>4</v>
      </c>
      <c r="G150" s="14">
        <f t="shared" si="17"/>
        <v>4.4922000000000004</v>
      </c>
      <c r="H150" s="14">
        <f t="shared" si="18"/>
        <v>0.8</v>
      </c>
      <c r="I150" s="14">
        <f t="shared" si="19"/>
        <v>0</v>
      </c>
      <c r="J150" s="14">
        <f t="shared" si="20"/>
        <v>0</v>
      </c>
      <c r="K150" s="15">
        <f>IF(CurrentMtgRatesDataTable8[[#This Row],[WA CC]]&lt;&gt;0,C149-CurrentMtgRatesDataTable8[[#This Row],[WA CC]],0)</f>
        <v>0</v>
      </c>
      <c r="L150" s="16">
        <f>IF(CurrentMtgRatesDataTable8[[#This Row],[Servicing Spread]]&lt;=0,L149,CurrentMtgRatesDataTable8[[#This Row],[Servicing Spread]])</f>
        <v>0.52079999999999949</v>
      </c>
      <c r="M150" s="16">
        <f>CurrentMtgRatesDataTable8[[#This Row],[Servicing Spread Non-Zero]]-L149</f>
        <v>0</v>
      </c>
      <c r="N150" s="16">
        <f>IF(J149&lt;&gt;0,CurrentMtgRatesDataTable8[[#This Row],[Rate]]-C149,N149)</f>
        <v>-4.0000000000000036E-2</v>
      </c>
    </row>
    <row r="151" spans="1:14" s="9" customFormat="1">
      <c r="A151" s="8" t="s">
        <v>1503</v>
      </c>
      <c r="B151" s="11">
        <v>5.5250000000000004</v>
      </c>
      <c r="C151" s="13">
        <v>6.11</v>
      </c>
      <c r="D151" s="14">
        <f t="shared" si="14"/>
        <v>7</v>
      </c>
      <c r="E151" s="14">
        <f t="shared" si="15"/>
        <v>0.2</v>
      </c>
      <c r="F151" s="14">
        <f t="shared" si="16"/>
        <v>5</v>
      </c>
      <c r="G151" s="14">
        <f t="shared" si="17"/>
        <v>5.5972000000000008</v>
      </c>
      <c r="H151" s="14">
        <f t="shared" si="18"/>
        <v>1</v>
      </c>
      <c r="I151" s="14">
        <f t="shared" si="19"/>
        <v>1</v>
      </c>
      <c r="J151" s="14">
        <f t="shared" si="20"/>
        <v>5.5972000000000008</v>
      </c>
      <c r="K151" s="15">
        <f>IF(CurrentMtgRatesDataTable8[[#This Row],[WA CC]]&lt;&gt;0,C150-CurrentMtgRatesDataTable8[[#This Row],[WA CC]],0)</f>
        <v>0.51279999999999948</v>
      </c>
      <c r="L151" s="16">
        <f>IF(CurrentMtgRatesDataTable8[[#This Row],[Servicing Spread]]&lt;=0,L150,CurrentMtgRatesDataTable8[[#This Row],[Servicing Spread]])</f>
        <v>0.51279999999999948</v>
      </c>
      <c r="M151" s="16">
        <f>CurrentMtgRatesDataTable8[[#This Row],[Servicing Spread Non-Zero]]-L150</f>
        <v>-8.0000000000000071E-3</v>
      </c>
      <c r="N151" s="16">
        <f>IF(J150&lt;&gt;0,CurrentMtgRatesDataTable8[[#This Row],[Rate]]-C150,N150)</f>
        <v>-4.0000000000000036E-2</v>
      </c>
    </row>
    <row r="152" spans="1:14">
      <c r="A152" s="8" t="s">
        <v>1504</v>
      </c>
      <c r="B152" s="11">
        <v>5.452</v>
      </c>
      <c r="C152" s="13">
        <v>5.91</v>
      </c>
      <c r="D152" s="14">
        <f t="shared" si="14"/>
        <v>1</v>
      </c>
      <c r="E152" s="14">
        <f t="shared" si="15"/>
        <v>0.2</v>
      </c>
      <c r="F152" s="14">
        <f t="shared" si="16"/>
        <v>1</v>
      </c>
      <c r="G152" s="14">
        <f t="shared" si="17"/>
        <v>1.0904</v>
      </c>
      <c r="H152" s="14">
        <f t="shared" si="18"/>
        <v>0.2</v>
      </c>
      <c r="I152" s="14">
        <f t="shared" si="19"/>
        <v>0</v>
      </c>
      <c r="J152" s="14">
        <f t="shared" si="20"/>
        <v>0</v>
      </c>
      <c r="K152" s="15">
        <f>IF(CurrentMtgRatesDataTable8[[#This Row],[WA CC]]&lt;&gt;0,C151-CurrentMtgRatesDataTable8[[#This Row],[WA CC]],0)</f>
        <v>0</v>
      </c>
      <c r="L152" s="16">
        <f>IF(CurrentMtgRatesDataTable8[[#This Row],[Servicing Spread]]&lt;=0,L151,CurrentMtgRatesDataTable8[[#This Row],[Servicing Spread]])</f>
        <v>0.51279999999999948</v>
      </c>
      <c r="M152" s="16">
        <f>CurrentMtgRatesDataTable8[[#This Row],[Servicing Spread Non-Zero]]-L151</f>
        <v>0</v>
      </c>
      <c r="N152" s="16">
        <f>IF(J151&lt;&gt;0,CurrentMtgRatesDataTable8[[#This Row],[Rate]]-C151,N151)</f>
        <v>-0.20000000000000018</v>
      </c>
    </row>
    <row r="153" spans="1:14">
      <c r="A153" s="8" t="s">
        <v>1505</v>
      </c>
      <c r="B153" s="11">
        <v>5.3639999999999999</v>
      </c>
      <c r="C153" s="13">
        <v>5.91</v>
      </c>
      <c r="D153" s="14">
        <f t="shared" si="14"/>
        <v>2</v>
      </c>
      <c r="E153" s="14">
        <f t="shared" si="15"/>
        <v>0.2</v>
      </c>
      <c r="F153" s="14">
        <f t="shared" si="16"/>
        <v>2</v>
      </c>
      <c r="G153" s="14">
        <f t="shared" si="17"/>
        <v>2.1631999999999998</v>
      </c>
      <c r="H153" s="14">
        <f t="shared" si="18"/>
        <v>0.4</v>
      </c>
      <c r="I153" s="14">
        <f t="shared" si="19"/>
        <v>0</v>
      </c>
      <c r="J153" s="14">
        <f t="shared" si="20"/>
        <v>0</v>
      </c>
      <c r="K153" s="15">
        <f>IF(CurrentMtgRatesDataTable8[[#This Row],[WA CC]]&lt;&gt;0,C152-CurrentMtgRatesDataTable8[[#This Row],[WA CC]],0)</f>
        <v>0</v>
      </c>
      <c r="L153" s="16">
        <f>IF(CurrentMtgRatesDataTable8[[#This Row],[Servicing Spread]]&lt;=0,L152,CurrentMtgRatesDataTable8[[#This Row],[Servicing Spread]])</f>
        <v>0.51279999999999948</v>
      </c>
      <c r="M153" s="16">
        <f>CurrentMtgRatesDataTable8[[#This Row],[Servicing Spread Non-Zero]]-L152</f>
        <v>0</v>
      </c>
      <c r="N153" s="16">
        <f>IF(J152&lt;&gt;0,CurrentMtgRatesDataTable8[[#This Row],[Rate]]-C152,N152)</f>
        <v>-0.20000000000000018</v>
      </c>
    </row>
    <row r="154" spans="1:14">
      <c r="A154" s="8" t="s">
        <v>1506</v>
      </c>
      <c r="B154" s="11">
        <v>5.3860000000000001</v>
      </c>
      <c r="C154" s="13">
        <v>5.91</v>
      </c>
      <c r="D154" s="14">
        <f t="shared" si="14"/>
        <v>6</v>
      </c>
      <c r="E154" s="14">
        <f t="shared" si="15"/>
        <v>0.2</v>
      </c>
      <c r="F154" s="14">
        <f t="shared" si="16"/>
        <v>3</v>
      </c>
      <c r="G154" s="14">
        <f t="shared" si="17"/>
        <v>3.2404000000000002</v>
      </c>
      <c r="H154" s="14">
        <f t="shared" si="18"/>
        <v>0.60000000000000009</v>
      </c>
      <c r="I154" s="14">
        <f t="shared" si="19"/>
        <v>0</v>
      </c>
      <c r="J154" s="14">
        <f t="shared" si="20"/>
        <v>0</v>
      </c>
      <c r="K154" s="15">
        <f>IF(CurrentMtgRatesDataTable8[[#This Row],[WA CC]]&lt;&gt;0,C153-CurrentMtgRatesDataTable8[[#This Row],[WA CC]],0)</f>
        <v>0</v>
      </c>
      <c r="L154" s="16">
        <f>IF(CurrentMtgRatesDataTable8[[#This Row],[Servicing Spread]]&lt;=0,L153,CurrentMtgRatesDataTable8[[#This Row],[Servicing Spread]])</f>
        <v>0.51279999999999948</v>
      </c>
      <c r="M154" s="16">
        <f>CurrentMtgRatesDataTable8[[#This Row],[Servicing Spread Non-Zero]]-L153</f>
        <v>0</v>
      </c>
      <c r="N154" s="16">
        <f>IF(J153&lt;&gt;0,CurrentMtgRatesDataTable8[[#This Row],[Rate]]-C153,N153)</f>
        <v>-0.20000000000000018</v>
      </c>
    </row>
    <row r="155" spans="1:14">
      <c r="A155" s="8" t="s">
        <v>1507</v>
      </c>
      <c r="B155" s="11">
        <v>5.3929999999999998</v>
      </c>
      <c r="C155" s="13">
        <v>5.91</v>
      </c>
      <c r="D155" s="14">
        <f t="shared" si="14"/>
        <v>7</v>
      </c>
      <c r="E155" s="14">
        <f t="shared" si="15"/>
        <v>0.2</v>
      </c>
      <c r="F155" s="14">
        <f t="shared" si="16"/>
        <v>4</v>
      </c>
      <c r="G155" s="14">
        <f t="shared" si="17"/>
        <v>4.319</v>
      </c>
      <c r="H155" s="14">
        <f t="shared" si="18"/>
        <v>0.8</v>
      </c>
      <c r="I155" s="14">
        <f t="shared" si="19"/>
        <v>1</v>
      </c>
      <c r="J155" s="14">
        <f t="shared" si="20"/>
        <v>5.3987499999999997</v>
      </c>
      <c r="K155" s="15">
        <f>IF(CurrentMtgRatesDataTable8[[#This Row],[WA CC]]&lt;&gt;0,C154-CurrentMtgRatesDataTable8[[#This Row],[WA CC]],0)</f>
        <v>0.51125000000000043</v>
      </c>
      <c r="L155" s="16">
        <f>IF(CurrentMtgRatesDataTable8[[#This Row],[Servicing Spread]]&lt;=0,L154,CurrentMtgRatesDataTable8[[#This Row],[Servicing Spread]])</f>
        <v>0.51125000000000043</v>
      </c>
      <c r="M155" s="16">
        <f>CurrentMtgRatesDataTable8[[#This Row],[Servicing Spread Non-Zero]]-L154</f>
        <v>-1.5499999999990521E-3</v>
      </c>
      <c r="N155" s="16">
        <f>IF(J154&lt;&gt;0,CurrentMtgRatesDataTable8[[#This Row],[Rate]]-C154,N154)</f>
        <v>-0.20000000000000018</v>
      </c>
    </row>
    <row r="156" spans="1:14">
      <c r="A156" s="8" t="s">
        <v>1508</v>
      </c>
      <c r="B156" s="11">
        <v>5.3840000000000003</v>
      </c>
      <c r="C156" s="13">
        <v>5.9</v>
      </c>
      <c r="D156" s="14">
        <f t="shared" si="14"/>
        <v>1</v>
      </c>
      <c r="E156" s="14">
        <f t="shared" si="15"/>
        <v>0.2</v>
      </c>
      <c r="F156" s="14">
        <f t="shared" si="16"/>
        <v>1</v>
      </c>
      <c r="G156" s="14">
        <f t="shared" si="17"/>
        <v>1.0768000000000002</v>
      </c>
      <c r="H156" s="14">
        <f t="shared" si="18"/>
        <v>0.2</v>
      </c>
      <c r="I156" s="14">
        <f t="shared" si="19"/>
        <v>0</v>
      </c>
      <c r="J156" s="14">
        <f t="shared" si="20"/>
        <v>0</v>
      </c>
      <c r="K156" s="15">
        <f>IF(CurrentMtgRatesDataTable8[[#This Row],[WA CC]]&lt;&gt;0,C155-CurrentMtgRatesDataTable8[[#This Row],[WA CC]],0)</f>
        <v>0</v>
      </c>
      <c r="L156" s="16">
        <f>IF(CurrentMtgRatesDataTable8[[#This Row],[Servicing Spread]]&lt;=0,L155,CurrentMtgRatesDataTable8[[#This Row],[Servicing Spread]])</f>
        <v>0.51125000000000043</v>
      </c>
      <c r="M156" s="16">
        <f>CurrentMtgRatesDataTable8[[#This Row],[Servicing Spread Non-Zero]]-L155</f>
        <v>0</v>
      </c>
      <c r="N156" s="16">
        <f>IF(J155&lt;&gt;0,CurrentMtgRatesDataTable8[[#This Row],[Rate]]-C155,N155)</f>
        <v>-9.9999999999997868E-3</v>
      </c>
    </row>
    <row r="157" spans="1:14">
      <c r="A157" s="8" t="s">
        <v>1509</v>
      </c>
      <c r="B157" s="11">
        <v>5.3760000000000003</v>
      </c>
      <c r="C157" s="13">
        <v>5.9</v>
      </c>
      <c r="D157" s="14">
        <f t="shared" si="14"/>
        <v>2</v>
      </c>
      <c r="E157" s="14">
        <f t="shared" si="15"/>
        <v>0.2</v>
      </c>
      <c r="F157" s="14">
        <f t="shared" si="16"/>
        <v>2</v>
      </c>
      <c r="G157" s="14">
        <f t="shared" si="17"/>
        <v>2.1520000000000001</v>
      </c>
      <c r="H157" s="14">
        <f t="shared" si="18"/>
        <v>0.4</v>
      </c>
      <c r="I157" s="14">
        <f t="shared" si="19"/>
        <v>0</v>
      </c>
      <c r="J157" s="14">
        <f t="shared" si="20"/>
        <v>0</v>
      </c>
      <c r="K157" s="15">
        <f>IF(CurrentMtgRatesDataTable8[[#This Row],[WA CC]]&lt;&gt;0,C156-CurrentMtgRatesDataTable8[[#This Row],[WA CC]],0)</f>
        <v>0</v>
      </c>
      <c r="L157" s="16">
        <f>IF(CurrentMtgRatesDataTable8[[#This Row],[Servicing Spread]]&lt;=0,L156,CurrentMtgRatesDataTable8[[#This Row],[Servicing Spread]])</f>
        <v>0.51125000000000043</v>
      </c>
      <c r="M157" s="16">
        <f>CurrentMtgRatesDataTable8[[#This Row],[Servicing Spread Non-Zero]]-L156</f>
        <v>0</v>
      </c>
      <c r="N157" s="16">
        <f>IF(J156&lt;&gt;0,CurrentMtgRatesDataTable8[[#This Row],[Rate]]-C156,N156)</f>
        <v>-9.9999999999997868E-3</v>
      </c>
    </row>
    <row r="158" spans="1:14">
      <c r="A158" s="8" t="s">
        <v>1510</v>
      </c>
      <c r="B158" s="11">
        <v>5.3639999999999999</v>
      </c>
      <c r="C158" s="13">
        <v>5.9</v>
      </c>
      <c r="D158" s="14">
        <f t="shared" si="14"/>
        <v>5</v>
      </c>
      <c r="E158" s="14">
        <f t="shared" si="15"/>
        <v>0.2</v>
      </c>
      <c r="F158" s="14">
        <f t="shared" si="16"/>
        <v>3</v>
      </c>
      <c r="G158" s="14">
        <f t="shared" si="17"/>
        <v>3.2248000000000001</v>
      </c>
      <c r="H158" s="14">
        <f t="shared" si="18"/>
        <v>0.60000000000000009</v>
      </c>
      <c r="I158" s="14">
        <f t="shared" si="19"/>
        <v>0</v>
      </c>
      <c r="J158" s="14">
        <f t="shared" si="20"/>
        <v>0</v>
      </c>
      <c r="K158" s="15">
        <f>IF(CurrentMtgRatesDataTable8[[#This Row],[WA CC]]&lt;&gt;0,C157-CurrentMtgRatesDataTable8[[#This Row],[WA CC]],0)</f>
        <v>0</v>
      </c>
      <c r="L158" s="16">
        <f>IF(CurrentMtgRatesDataTable8[[#This Row],[Servicing Spread]]&lt;=0,L157,CurrentMtgRatesDataTable8[[#This Row],[Servicing Spread]])</f>
        <v>0.51125000000000043</v>
      </c>
      <c r="M158" s="16">
        <f>CurrentMtgRatesDataTable8[[#This Row],[Servicing Spread Non-Zero]]-L157</f>
        <v>0</v>
      </c>
      <c r="N158" s="16">
        <f>IF(J157&lt;&gt;0,CurrentMtgRatesDataTable8[[#This Row],[Rate]]-C157,N157)</f>
        <v>-9.9999999999997868E-3</v>
      </c>
    </row>
    <row r="159" spans="1:14">
      <c r="A159" s="8" t="s">
        <v>1511</v>
      </c>
      <c r="B159" s="11">
        <v>5.42</v>
      </c>
      <c r="C159" s="13">
        <v>5.9</v>
      </c>
      <c r="D159" s="14">
        <f t="shared" si="14"/>
        <v>6</v>
      </c>
      <c r="E159" s="14">
        <f t="shared" si="15"/>
        <v>0.2</v>
      </c>
      <c r="F159" s="14">
        <f t="shared" si="16"/>
        <v>4</v>
      </c>
      <c r="G159" s="14">
        <f t="shared" si="17"/>
        <v>4.3087999999999997</v>
      </c>
      <c r="H159" s="14">
        <f t="shared" si="18"/>
        <v>0.8</v>
      </c>
      <c r="I159" s="14">
        <f t="shared" si="19"/>
        <v>0</v>
      </c>
      <c r="J159" s="14">
        <f t="shared" si="20"/>
        <v>0</v>
      </c>
      <c r="K159" s="15">
        <f>IF(CurrentMtgRatesDataTable8[[#This Row],[WA CC]]&lt;&gt;0,C158-CurrentMtgRatesDataTable8[[#This Row],[WA CC]],0)</f>
        <v>0</v>
      </c>
      <c r="L159" s="16">
        <f>IF(CurrentMtgRatesDataTable8[[#This Row],[Servicing Spread]]&lt;=0,L158,CurrentMtgRatesDataTable8[[#This Row],[Servicing Spread]])</f>
        <v>0.51125000000000043</v>
      </c>
      <c r="M159" s="16">
        <f>CurrentMtgRatesDataTable8[[#This Row],[Servicing Spread Non-Zero]]-L158</f>
        <v>0</v>
      </c>
      <c r="N159" s="16">
        <f>IF(J158&lt;&gt;0,CurrentMtgRatesDataTable8[[#This Row],[Rate]]-C158,N158)</f>
        <v>-9.9999999999997868E-3</v>
      </c>
    </row>
    <row r="160" spans="1:14">
      <c r="A160" s="8" t="s">
        <v>1512</v>
      </c>
      <c r="B160" s="11">
        <v>5.4390000000000001</v>
      </c>
      <c r="C160" s="13">
        <v>5.9</v>
      </c>
      <c r="D160" s="14">
        <f t="shared" si="14"/>
        <v>7</v>
      </c>
      <c r="E160" s="14">
        <f t="shared" si="15"/>
        <v>0.2</v>
      </c>
      <c r="F160" s="14">
        <f t="shared" si="16"/>
        <v>5</v>
      </c>
      <c r="G160" s="14">
        <f t="shared" si="17"/>
        <v>5.3965999999999994</v>
      </c>
      <c r="H160" s="14">
        <f t="shared" si="18"/>
        <v>1</v>
      </c>
      <c r="I160" s="14">
        <f t="shared" si="19"/>
        <v>1</v>
      </c>
      <c r="J160" s="14">
        <f t="shared" si="20"/>
        <v>5.3965999999999994</v>
      </c>
      <c r="K160" s="15">
        <f>IF(CurrentMtgRatesDataTable8[[#This Row],[WA CC]]&lt;&gt;0,C159-CurrentMtgRatesDataTable8[[#This Row],[WA CC]],0)</f>
        <v>0.50340000000000096</v>
      </c>
      <c r="L160" s="16">
        <f>IF(CurrentMtgRatesDataTable8[[#This Row],[Servicing Spread]]&lt;=0,L159,CurrentMtgRatesDataTable8[[#This Row],[Servicing Spread]])</f>
        <v>0.50340000000000096</v>
      </c>
      <c r="M160" s="16">
        <f>CurrentMtgRatesDataTable8[[#This Row],[Servicing Spread Non-Zero]]-L159</f>
        <v>-7.8499999999994685E-3</v>
      </c>
      <c r="N160" s="16">
        <f>IF(J159&lt;&gt;0,CurrentMtgRatesDataTable8[[#This Row],[Rate]]-C159,N159)</f>
        <v>-9.9999999999997868E-3</v>
      </c>
    </row>
    <row r="161" spans="1:14">
      <c r="A161" s="8" t="s">
        <v>1513</v>
      </c>
      <c r="B161" s="11">
        <v>5.423</v>
      </c>
      <c r="C161" s="13">
        <v>5.8800000000000008</v>
      </c>
      <c r="D161" s="14">
        <f t="shared" si="14"/>
        <v>1</v>
      </c>
      <c r="E161" s="14">
        <f t="shared" si="15"/>
        <v>0.2</v>
      </c>
      <c r="F161" s="14">
        <f t="shared" si="16"/>
        <v>1</v>
      </c>
      <c r="G161" s="14">
        <f t="shared" si="17"/>
        <v>1.0846</v>
      </c>
      <c r="H161" s="14">
        <f t="shared" si="18"/>
        <v>0.2</v>
      </c>
      <c r="I161" s="14">
        <f t="shared" si="19"/>
        <v>0</v>
      </c>
      <c r="J161" s="14">
        <f t="shared" si="20"/>
        <v>0</v>
      </c>
      <c r="K161" s="15">
        <f>IF(CurrentMtgRatesDataTable8[[#This Row],[WA CC]]&lt;&gt;0,C160-CurrentMtgRatesDataTable8[[#This Row],[WA CC]],0)</f>
        <v>0</v>
      </c>
      <c r="L161" s="16">
        <f>IF(CurrentMtgRatesDataTable8[[#This Row],[Servicing Spread]]&lt;=0,L160,CurrentMtgRatesDataTable8[[#This Row],[Servicing Spread]])</f>
        <v>0.50340000000000096</v>
      </c>
      <c r="M161" s="16">
        <f>CurrentMtgRatesDataTable8[[#This Row],[Servicing Spread Non-Zero]]-L160</f>
        <v>0</v>
      </c>
      <c r="N161" s="16">
        <f>IF(J160&lt;&gt;0,CurrentMtgRatesDataTable8[[#This Row],[Rate]]-C160,N160)</f>
        <v>-1.9999999999999574E-2</v>
      </c>
    </row>
    <row r="162" spans="1:14">
      <c r="A162" s="8" t="s">
        <v>1514</v>
      </c>
      <c r="B162" s="11">
        <v>5.3040000000000003</v>
      </c>
      <c r="C162" s="13">
        <v>5.8800000000000008</v>
      </c>
      <c r="D162" s="14">
        <f t="shared" si="14"/>
        <v>2</v>
      </c>
      <c r="E162" s="14">
        <f t="shared" si="15"/>
        <v>0.2</v>
      </c>
      <c r="F162" s="14">
        <f t="shared" si="16"/>
        <v>2</v>
      </c>
      <c r="G162" s="14">
        <f t="shared" si="17"/>
        <v>2.1454000000000004</v>
      </c>
      <c r="H162" s="14">
        <f t="shared" si="18"/>
        <v>0.4</v>
      </c>
      <c r="I162" s="14">
        <f t="shared" si="19"/>
        <v>0</v>
      </c>
      <c r="J162" s="14">
        <f t="shared" si="20"/>
        <v>0</v>
      </c>
      <c r="K162" s="15">
        <f>IF(CurrentMtgRatesDataTable8[[#This Row],[WA CC]]&lt;&gt;0,C161-CurrentMtgRatesDataTable8[[#This Row],[WA CC]],0)</f>
        <v>0</v>
      </c>
      <c r="L162" s="16">
        <f>IF(CurrentMtgRatesDataTable8[[#This Row],[Servicing Spread]]&lt;=0,L161,CurrentMtgRatesDataTable8[[#This Row],[Servicing Spread]])</f>
        <v>0.50340000000000096</v>
      </c>
      <c r="M162" s="16">
        <f>CurrentMtgRatesDataTable8[[#This Row],[Servicing Spread Non-Zero]]-L161</f>
        <v>0</v>
      </c>
      <c r="N162" s="16">
        <f>IF(J161&lt;&gt;0,CurrentMtgRatesDataTable8[[#This Row],[Rate]]-C161,N161)</f>
        <v>-1.9999999999999574E-2</v>
      </c>
    </row>
    <row r="163" spans="1:14">
      <c r="A163" s="8" t="s">
        <v>1515</v>
      </c>
      <c r="B163" s="11">
        <v>5.3150000000000004</v>
      </c>
      <c r="C163" s="13">
        <v>5.8800000000000008</v>
      </c>
      <c r="D163" s="14">
        <f t="shared" si="14"/>
        <v>5</v>
      </c>
      <c r="E163" s="14">
        <f t="shared" si="15"/>
        <v>0.2</v>
      </c>
      <c r="F163" s="14">
        <f t="shared" si="16"/>
        <v>3</v>
      </c>
      <c r="G163" s="14">
        <f t="shared" si="17"/>
        <v>3.2084000000000006</v>
      </c>
      <c r="H163" s="14">
        <f t="shared" si="18"/>
        <v>0.60000000000000009</v>
      </c>
      <c r="I163" s="14">
        <f t="shared" si="19"/>
        <v>0</v>
      </c>
      <c r="J163" s="14">
        <f t="shared" si="20"/>
        <v>0</v>
      </c>
      <c r="K163" s="15">
        <f>IF(CurrentMtgRatesDataTable8[[#This Row],[WA CC]]&lt;&gt;0,C162-CurrentMtgRatesDataTable8[[#This Row],[WA CC]],0)</f>
        <v>0</v>
      </c>
      <c r="L163" s="16">
        <f>IF(CurrentMtgRatesDataTable8[[#This Row],[Servicing Spread]]&lt;=0,L162,CurrentMtgRatesDataTable8[[#This Row],[Servicing Spread]])</f>
        <v>0.50340000000000096</v>
      </c>
      <c r="M163" s="16">
        <f>CurrentMtgRatesDataTable8[[#This Row],[Servicing Spread Non-Zero]]-L162</f>
        <v>0</v>
      </c>
      <c r="N163" s="16">
        <f>IF(J162&lt;&gt;0,CurrentMtgRatesDataTable8[[#This Row],[Rate]]-C162,N162)</f>
        <v>-1.9999999999999574E-2</v>
      </c>
    </row>
    <row r="164" spans="1:14">
      <c r="A164" s="8" t="s">
        <v>1516</v>
      </c>
      <c r="B164" s="11">
        <v>5.3959999999999999</v>
      </c>
      <c r="C164" s="13">
        <v>5.8800000000000008</v>
      </c>
      <c r="D164" s="14">
        <f t="shared" si="14"/>
        <v>6</v>
      </c>
      <c r="E164" s="14">
        <f t="shared" si="15"/>
        <v>0.2</v>
      </c>
      <c r="F164" s="14">
        <f t="shared" si="16"/>
        <v>4</v>
      </c>
      <c r="G164" s="14">
        <f t="shared" si="17"/>
        <v>4.2876000000000003</v>
      </c>
      <c r="H164" s="14">
        <f t="shared" si="18"/>
        <v>0.8</v>
      </c>
      <c r="I164" s="14">
        <f t="shared" si="19"/>
        <v>0</v>
      </c>
      <c r="J164" s="14">
        <f t="shared" si="20"/>
        <v>0</v>
      </c>
      <c r="K164" s="15">
        <f>IF(CurrentMtgRatesDataTable8[[#This Row],[WA CC]]&lt;&gt;0,C163-CurrentMtgRatesDataTable8[[#This Row],[WA CC]],0)</f>
        <v>0</v>
      </c>
      <c r="L164" s="16">
        <f>IF(CurrentMtgRatesDataTable8[[#This Row],[Servicing Spread]]&lt;=0,L163,CurrentMtgRatesDataTable8[[#This Row],[Servicing Spread]])</f>
        <v>0.50340000000000096</v>
      </c>
      <c r="M164" s="16">
        <f>CurrentMtgRatesDataTable8[[#This Row],[Servicing Spread Non-Zero]]-L163</f>
        <v>0</v>
      </c>
      <c r="N164" s="16">
        <f>IF(J163&lt;&gt;0,CurrentMtgRatesDataTable8[[#This Row],[Rate]]-C163,N163)</f>
        <v>-1.9999999999999574E-2</v>
      </c>
    </row>
    <row r="165" spans="1:14">
      <c r="A165" s="8" t="s">
        <v>1517</v>
      </c>
      <c r="B165" s="11">
        <v>5.4130000000000003</v>
      </c>
      <c r="C165" s="13">
        <v>5.8800000000000008</v>
      </c>
      <c r="D165" s="14">
        <f t="shared" si="14"/>
        <v>7</v>
      </c>
      <c r="E165" s="14">
        <f t="shared" si="15"/>
        <v>0.2</v>
      </c>
      <c r="F165" s="14">
        <f t="shared" si="16"/>
        <v>5</v>
      </c>
      <c r="G165" s="14">
        <f t="shared" si="17"/>
        <v>5.3702000000000005</v>
      </c>
      <c r="H165" s="14">
        <f t="shared" si="18"/>
        <v>1</v>
      </c>
      <c r="I165" s="14">
        <f t="shared" si="19"/>
        <v>1</v>
      </c>
      <c r="J165" s="14">
        <f t="shared" si="20"/>
        <v>5.3702000000000005</v>
      </c>
      <c r="K165" s="15">
        <f>IF(CurrentMtgRatesDataTable8[[#This Row],[WA CC]]&lt;&gt;0,C164-CurrentMtgRatesDataTable8[[#This Row],[WA CC]],0)</f>
        <v>0.50980000000000025</v>
      </c>
      <c r="L165" s="16">
        <f>IF(CurrentMtgRatesDataTable8[[#This Row],[Servicing Spread]]&lt;=0,L164,CurrentMtgRatesDataTable8[[#This Row],[Servicing Spread]])</f>
        <v>0.50980000000000025</v>
      </c>
      <c r="M165" s="16">
        <f>CurrentMtgRatesDataTable8[[#This Row],[Servicing Spread Non-Zero]]-L164</f>
        <v>6.3999999999992951E-3</v>
      </c>
      <c r="N165" s="16">
        <f>IF(J164&lt;&gt;0,CurrentMtgRatesDataTable8[[#This Row],[Rate]]-C164,N164)</f>
        <v>-1.9999999999999574E-2</v>
      </c>
    </row>
    <row r="166" spans="1:14">
      <c r="A166" s="8" t="s">
        <v>1518</v>
      </c>
      <c r="B166" s="11">
        <v>5.383</v>
      </c>
      <c r="C166" s="13">
        <v>5.98</v>
      </c>
      <c r="D166" s="14">
        <f t="shared" si="14"/>
        <v>1</v>
      </c>
      <c r="E166" s="14">
        <f t="shared" si="15"/>
        <v>0.2</v>
      </c>
      <c r="F166" s="14">
        <f t="shared" si="16"/>
        <v>1</v>
      </c>
      <c r="G166" s="14">
        <f t="shared" si="17"/>
        <v>1.0766</v>
      </c>
      <c r="H166" s="14">
        <f t="shared" si="18"/>
        <v>0.2</v>
      </c>
      <c r="I166" s="14">
        <f t="shared" si="19"/>
        <v>0</v>
      </c>
      <c r="J166" s="14">
        <f t="shared" si="20"/>
        <v>0</v>
      </c>
      <c r="K166" s="15">
        <f>IF(CurrentMtgRatesDataTable8[[#This Row],[WA CC]]&lt;&gt;0,C165-CurrentMtgRatesDataTable8[[#This Row],[WA CC]],0)</f>
        <v>0</v>
      </c>
      <c r="L166" s="16">
        <f>IF(CurrentMtgRatesDataTable8[[#This Row],[Servicing Spread]]&lt;=0,L165,CurrentMtgRatesDataTable8[[#This Row],[Servicing Spread]])</f>
        <v>0.50980000000000025</v>
      </c>
      <c r="M166" s="16">
        <f>CurrentMtgRatesDataTable8[[#This Row],[Servicing Spread Non-Zero]]-L165</f>
        <v>0</v>
      </c>
      <c r="N166" s="16">
        <f>IF(J165&lt;&gt;0,CurrentMtgRatesDataTable8[[#This Row],[Rate]]-C165,N165)</f>
        <v>9.9999999999999645E-2</v>
      </c>
    </row>
    <row r="167" spans="1:14">
      <c r="A167" s="8" t="s">
        <v>1519</v>
      </c>
      <c r="B167" s="11">
        <v>5.37</v>
      </c>
      <c r="C167" s="13">
        <v>5.98</v>
      </c>
      <c r="D167" s="14">
        <f t="shared" si="14"/>
        <v>2</v>
      </c>
      <c r="E167" s="14">
        <f t="shared" si="15"/>
        <v>0.2</v>
      </c>
      <c r="F167" s="14">
        <f t="shared" si="16"/>
        <v>2</v>
      </c>
      <c r="G167" s="14">
        <f t="shared" si="17"/>
        <v>2.1505999999999998</v>
      </c>
      <c r="H167" s="14">
        <f t="shared" si="18"/>
        <v>0.4</v>
      </c>
      <c r="I167" s="14">
        <f t="shared" si="19"/>
        <v>0</v>
      </c>
      <c r="J167" s="14">
        <f t="shared" si="20"/>
        <v>0</v>
      </c>
      <c r="K167" s="15">
        <f>IF(CurrentMtgRatesDataTable8[[#This Row],[WA CC]]&lt;&gt;0,C166-CurrentMtgRatesDataTable8[[#This Row],[WA CC]],0)</f>
        <v>0</v>
      </c>
      <c r="L167" s="16">
        <f>IF(CurrentMtgRatesDataTable8[[#This Row],[Servicing Spread]]&lt;=0,L166,CurrentMtgRatesDataTable8[[#This Row],[Servicing Spread]])</f>
        <v>0.50980000000000025</v>
      </c>
      <c r="M167" s="16">
        <f>CurrentMtgRatesDataTable8[[#This Row],[Servicing Spread Non-Zero]]-L166</f>
        <v>0</v>
      </c>
      <c r="N167" s="16">
        <f>IF(J166&lt;&gt;0,CurrentMtgRatesDataTable8[[#This Row],[Rate]]-C166,N166)</f>
        <v>9.9999999999999645E-2</v>
      </c>
    </row>
    <row r="168" spans="1:14">
      <c r="A168" s="8" t="s">
        <v>1520</v>
      </c>
      <c r="B168" s="11">
        <v>5.3940000000000001</v>
      </c>
      <c r="C168" s="13">
        <v>5.98</v>
      </c>
      <c r="D168" s="14">
        <f t="shared" si="14"/>
        <v>5</v>
      </c>
      <c r="E168" s="14">
        <f t="shared" si="15"/>
        <v>0.2</v>
      </c>
      <c r="F168" s="14">
        <f t="shared" si="16"/>
        <v>3</v>
      </c>
      <c r="G168" s="14">
        <f t="shared" si="17"/>
        <v>3.2294</v>
      </c>
      <c r="H168" s="14">
        <f t="shared" si="18"/>
        <v>0.60000000000000009</v>
      </c>
      <c r="I168" s="14">
        <f t="shared" si="19"/>
        <v>0</v>
      </c>
      <c r="J168" s="14">
        <f t="shared" si="20"/>
        <v>0</v>
      </c>
      <c r="K168" s="15">
        <f>IF(CurrentMtgRatesDataTable8[[#This Row],[WA CC]]&lt;&gt;0,C167-CurrentMtgRatesDataTable8[[#This Row],[WA CC]],0)</f>
        <v>0</v>
      </c>
      <c r="L168" s="16">
        <f>IF(CurrentMtgRatesDataTable8[[#This Row],[Servicing Spread]]&lt;=0,L167,CurrentMtgRatesDataTable8[[#This Row],[Servicing Spread]])</f>
        <v>0.50980000000000025</v>
      </c>
      <c r="M168" s="16">
        <f>CurrentMtgRatesDataTable8[[#This Row],[Servicing Spread Non-Zero]]-L167</f>
        <v>0</v>
      </c>
      <c r="N168" s="16">
        <f>IF(J167&lt;&gt;0,CurrentMtgRatesDataTable8[[#This Row],[Rate]]-C167,N167)</f>
        <v>9.9999999999999645E-2</v>
      </c>
    </row>
    <row r="169" spans="1:14">
      <c r="A169" s="8" t="s">
        <v>1521</v>
      </c>
      <c r="B169" s="11">
        <v>5.5149999999999997</v>
      </c>
      <c r="C169" s="13">
        <v>5.98</v>
      </c>
      <c r="D169" s="14">
        <f t="shared" si="14"/>
        <v>6</v>
      </c>
      <c r="E169" s="14">
        <f t="shared" si="15"/>
        <v>0.2</v>
      </c>
      <c r="F169" s="14">
        <f t="shared" si="16"/>
        <v>4</v>
      </c>
      <c r="G169" s="14">
        <f t="shared" si="17"/>
        <v>4.3323999999999998</v>
      </c>
      <c r="H169" s="14">
        <f t="shared" si="18"/>
        <v>0.8</v>
      </c>
      <c r="I169" s="14">
        <f t="shared" si="19"/>
        <v>0</v>
      </c>
      <c r="J169" s="14">
        <f t="shared" si="20"/>
        <v>0</v>
      </c>
      <c r="K169" s="15">
        <f>IF(CurrentMtgRatesDataTable8[[#This Row],[WA CC]]&lt;&gt;0,C168-CurrentMtgRatesDataTable8[[#This Row],[WA CC]],0)</f>
        <v>0</v>
      </c>
      <c r="L169" s="16">
        <f>IF(CurrentMtgRatesDataTable8[[#This Row],[Servicing Spread]]&lt;=0,L168,CurrentMtgRatesDataTable8[[#This Row],[Servicing Spread]])</f>
        <v>0.50980000000000025</v>
      </c>
      <c r="M169" s="16">
        <f>CurrentMtgRatesDataTable8[[#This Row],[Servicing Spread Non-Zero]]-L168</f>
        <v>0</v>
      </c>
      <c r="N169" s="16">
        <f>IF(J168&lt;&gt;0,CurrentMtgRatesDataTable8[[#This Row],[Rate]]-C168,N168)</f>
        <v>9.9999999999999645E-2</v>
      </c>
    </row>
    <row r="170" spans="1:14">
      <c r="A170" s="8" t="s">
        <v>1522</v>
      </c>
      <c r="B170" s="11">
        <v>5.4939999999999998</v>
      </c>
      <c r="C170" s="13">
        <v>5.98</v>
      </c>
      <c r="D170" s="14">
        <f t="shared" si="14"/>
        <v>7</v>
      </c>
      <c r="E170" s="14">
        <f t="shared" si="15"/>
        <v>0.2</v>
      </c>
      <c r="F170" s="14">
        <f t="shared" si="16"/>
        <v>5</v>
      </c>
      <c r="G170" s="14">
        <f t="shared" si="17"/>
        <v>5.4311999999999996</v>
      </c>
      <c r="H170" s="14">
        <f t="shared" si="18"/>
        <v>1</v>
      </c>
      <c r="I170" s="14">
        <f t="shared" si="19"/>
        <v>1</v>
      </c>
      <c r="J170" s="14">
        <f t="shared" si="20"/>
        <v>5.4311999999999996</v>
      </c>
      <c r="K170" s="15">
        <f>IF(CurrentMtgRatesDataTable8[[#This Row],[WA CC]]&lt;&gt;0,C169-CurrentMtgRatesDataTable8[[#This Row],[WA CC]],0)</f>
        <v>0.54880000000000084</v>
      </c>
      <c r="L170" s="16">
        <f>IF(CurrentMtgRatesDataTable8[[#This Row],[Servicing Spread]]&lt;=0,L169,CurrentMtgRatesDataTable8[[#This Row],[Servicing Spread]])</f>
        <v>0.54880000000000084</v>
      </c>
      <c r="M170" s="16">
        <f>CurrentMtgRatesDataTable8[[#This Row],[Servicing Spread Non-Zero]]-L169</f>
        <v>3.900000000000059E-2</v>
      </c>
      <c r="N170" s="16">
        <f>IF(J169&lt;&gt;0,CurrentMtgRatesDataTable8[[#This Row],[Rate]]-C169,N169)</f>
        <v>9.9999999999999645E-2</v>
      </c>
    </row>
    <row r="171" spans="1:14">
      <c r="A171" s="8" t="s">
        <v>1523</v>
      </c>
      <c r="B171" s="11">
        <v>5.468</v>
      </c>
      <c r="C171" s="13">
        <v>5.915</v>
      </c>
      <c r="D171" s="14">
        <f t="shared" si="14"/>
        <v>1</v>
      </c>
      <c r="E171" s="14">
        <f t="shared" si="15"/>
        <v>0.2</v>
      </c>
      <c r="F171" s="14">
        <f t="shared" si="16"/>
        <v>1</v>
      </c>
      <c r="G171" s="14">
        <f t="shared" si="17"/>
        <v>1.0936000000000001</v>
      </c>
      <c r="H171" s="14">
        <f t="shared" si="18"/>
        <v>0.2</v>
      </c>
      <c r="I171" s="14">
        <f t="shared" si="19"/>
        <v>0</v>
      </c>
      <c r="J171" s="14">
        <f t="shared" si="20"/>
        <v>0</v>
      </c>
      <c r="K171" s="15">
        <f>IF(CurrentMtgRatesDataTable8[[#This Row],[WA CC]]&lt;&gt;0,C170-CurrentMtgRatesDataTable8[[#This Row],[WA CC]],0)</f>
        <v>0</v>
      </c>
      <c r="L171" s="16">
        <f>IF(CurrentMtgRatesDataTable8[[#This Row],[Servicing Spread]]&lt;=0,L170,CurrentMtgRatesDataTable8[[#This Row],[Servicing Spread]])</f>
        <v>0.54880000000000084</v>
      </c>
      <c r="M171" s="16">
        <f>CurrentMtgRatesDataTable8[[#This Row],[Servicing Spread Non-Zero]]-L170</f>
        <v>0</v>
      </c>
      <c r="N171" s="16">
        <f>IF(J170&lt;&gt;0,CurrentMtgRatesDataTable8[[#This Row],[Rate]]-C170,N170)</f>
        <v>-6.5000000000000391E-2</v>
      </c>
    </row>
    <row r="172" spans="1:14">
      <c r="A172" s="8" t="s">
        <v>1524</v>
      </c>
      <c r="B172" s="11">
        <v>5.3959999999999999</v>
      </c>
      <c r="C172" s="13">
        <v>5.915</v>
      </c>
      <c r="D172" s="14">
        <f t="shared" si="14"/>
        <v>2</v>
      </c>
      <c r="E172" s="14">
        <f t="shared" si="15"/>
        <v>0.2</v>
      </c>
      <c r="F172" s="14">
        <f t="shared" si="16"/>
        <v>2</v>
      </c>
      <c r="G172" s="14">
        <f t="shared" si="17"/>
        <v>2.1728000000000001</v>
      </c>
      <c r="H172" s="14">
        <f t="shared" si="18"/>
        <v>0.4</v>
      </c>
      <c r="I172" s="14">
        <f t="shared" si="19"/>
        <v>0</v>
      </c>
      <c r="J172" s="14">
        <f t="shared" si="20"/>
        <v>0</v>
      </c>
      <c r="K172" s="15">
        <f>IF(CurrentMtgRatesDataTable8[[#This Row],[WA CC]]&lt;&gt;0,C171-CurrentMtgRatesDataTable8[[#This Row],[WA CC]],0)</f>
        <v>0</v>
      </c>
      <c r="L172" s="16">
        <f>IF(CurrentMtgRatesDataTable8[[#This Row],[Servicing Spread]]&lt;=0,L171,CurrentMtgRatesDataTable8[[#This Row],[Servicing Spread]])</f>
        <v>0.54880000000000084</v>
      </c>
      <c r="M172" s="16">
        <f>CurrentMtgRatesDataTable8[[#This Row],[Servicing Spread Non-Zero]]-L171</f>
        <v>0</v>
      </c>
      <c r="N172" s="16">
        <f>IF(J171&lt;&gt;0,CurrentMtgRatesDataTable8[[#This Row],[Rate]]-C171,N171)</f>
        <v>-6.5000000000000391E-2</v>
      </c>
    </row>
    <row r="173" spans="1:14">
      <c r="A173" s="8" t="s">
        <v>1525</v>
      </c>
      <c r="B173" s="11">
        <v>5.3789999999999996</v>
      </c>
      <c r="C173" s="13">
        <v>5.915</v>
      </c>
      <c r="D173" s="14">
        <f t="shared" si="14"/>
        <v>5</v>
      </c>
      <c r="E173" s="14">
        <f t="shared" si="15"/>
        <v>0.2</v>
      </c>
      <c r="F173" s="14">
        <f t="shared" si="16"/>
        <v>3</v>
      </c>
      <c r="G173" s="14">
        <f t="shared" si="17"/>
        <v>3.2485999999999997</v>
      </c>
      <c r="H173" s="14">
        <f t="shared" si="18"/>
        <v>0.60000000000000009</v>
      </c>
      <c r="I173" s="14">
        <f t="shared" si="19"/>
        <v>0</v>
      </c>
      <c r="J173" s="14">
        <f t="shared" si="20"/>
        <v>0</v>
      </c>
      <c r="K173" s="15">
        <f>IF(CurrentMtgRatesDataTable8[[#This Row],[WA CC]]&lt;&gt;0,C172-CurrentMtgRatesDataTable8[[#This Row],[WA CC]],0)</f>
        <v>0</v>
      </c>
      <c r="L173" s="16">
        <f>IF(CurrentMtgRatesDataTable8[[#This Row],[Servicing Spread]]&lt;=0,L172,CurrentMtgRatesDataTable8[[#This Row],[Servicing Spread]])</f>
        <v>0.54880000000000084</v>
      </c>
      <c r="M173" s="16">
        <f>CurrentMtgRatesDataTable8[[#This Row],[Servicing Spread Non-Zero]]-L172</f>
        <v>0</v>
      </c>
      <c r="N173" s="16">
        <f>IF(J172&lt;&gt;0,CurrentMtgRatesDataTable8[[#This Row],[Rate]]-C172,N172)</f>
        <v>-6.5000000000000391E-2</v>
      </c>
    </row>
    <row r="174" spans="1:14">
      <c r="A174" s="8" t="s">
        <v>1526</v>
      </c>
      <c r="B174" s="11">
        <v>5.3490000000000002</v>
      </c>
      <c r="C174" s="13">
        <v>5.915</v>
      </c>
      <c r="D174" s="14">
        <f t="shared" si="14"/>
        <v>6</v>
      </c>
      <c r="E174" s="14">
        <f t="shared" si="15"/>
        <v>0.2</v>
      </c>
      <c r="F174" s="14">
        <f t="shared" si="16"/>
        <v>4</v>
      </c>
      <c r="G174" s="14">
        <f t="shared" si="17"/>
        <v>4.3183999999999996</v>
      </c>
      <c r="H174" s="14">
        <f t="shared" si="18"/>
        <v>0.8</v>
      </c>
      <c r="I174" s="14">
        <f t="shared" si="19"/>
        <v>0</v>
      </c>
      <c r="J174" s="14">
        <f t="shared" si="20"/>
        <v>0</v>
      </c>
      <c r="K174" s="15">
        <f>IF(CurrentMtgRatesDataTable8[[#This Row],[WA CC]]&lt;&gt;0,C173-CurrentMtgRatesDataTable8[[#This Row],[WA CC]],0)</f>
        <v>0</v>
      </c>
      <c r="L174" s="16">
        <f>IF(CurrentMtgRatesDataTable8[[#This Row],[Servicing Spread]]&lt;=0,L173,CurrentMtgRatesDataTable8[[#This Row],[Servicing Spread]])</f>
        <v>0.54880000000000084</v>
      </c>
      <c r="M174" s="16">
        <f>CurrentMtgRatesDataTable8[[#This Row],[Servicing Spread Non-Zero]]-L173</f>
        <v>0</v>
      </c>
      <c r="N174" s="16">
        <f>IF(J173&lt;&gt;0,CurrentMtgRatesDataTable8[[#This Row],[Rate]]-C173,N173)</f>
        <v>-6.5000000000000391E-2</v>
      </c>
    </row>
    <row r="175" spans="1:14">
      <c r="A175" s="8" t="s">
        <v>1527</v>
      </c>
      <c r="B175" s="11">
        <v>5.3630000000000004</v>
      </c>
      <c r="C175" s="13">
        <v>5.915</v>
      </c>
      <c r="D175" s="14">
        <f t="shared" si="14"/>
        <v>7</v>
      </c>
      <c r="E175" s="14">
        <f t="shared" si="15"/>
        <v>0.2</v>
      </c>
      <c r="F175" s="14">
        <f t="shared" si="16"/>
        <v>5</v>
      </c>
      <c r="G175" s="14">
        <f t="shared" si="17"/>
        <v>5.391</v>
      </c>
      <c r="H175" s="14">
        <f t="shared" si="18"/>
        <v>1</v>
      </c>
      <c r="I175" s="14">
        <f t="shared" si="19"/>
        <v>1</v>
      </c>
      <c r="J175" s="14">
        <f t="shared" si="20"/>
        <v>5.391</v>
      </c>
      <c r="K175" s="15">
        <f>IF(CurrentMtgRatesDataTable8[[#This Row],[WA CC]]&lt;&gt;0,C174-CurrentMtgRatesDataTable8[[#This Row],[WA CC]],0)</f>
        <v>0.52400000000000002</v>
      </c>
      <c r="L175" s="16">
        <f>IF(CurrentMtgRatesDataTable8[[#This Row],[Servicing Spread]]&lt;=0,L174,CurrentMtgRatesDataTable8[[#This Row],[Servicing Spread]])</f>
        <v>0.52400000000000002</v>
      </c>
      <c r="M175" s="16">
        <f>CurrentMtgRatesDataTable8[[#This Row],[Servicing Spread Non-Zero]]-L174</f>
        <v>-2.4800000000000821E-2</v>
      </c>
      <c r="N175" s="16">
        <f>IF(J174&lt;&gt;0,CurrentMtgRatesDataTable8[[#This Row],[Rate]]-C174,N174)</f>
        <v>-6.5000000000000391E-2</v>
      </c>
    </row>
    <row r="176" spans="1:14">
      <c r="A176" s="8" t="s">
        <v>1528</v>
      </c>
      <c r="B176" s="11">
        <v>5.3310000000000004</v>
      </c>
      <c r="C176" s="13">
        <v>5.75</v>
      </c>
      <c r="D176" s="14">
        <f t="shared" si="14"/>
        <v>1</v>
      </c>
      <c r="E176" s="14">
        <f t="shared" si="15"/>
        <v>0.2</v>
      </c>
      <c r="F176" s="14">
        <f t="shared" si="16"/>
        <v>1</v>
      </c>
      <c r="G176" s="14">
        <f t="shared" si="17"/>
        <v>1.0662</v>
      </c>
      <c r="H176" s="14">
        <f t="shared" si="18"/>
        <v>0.2</v>
      </c>
      <c r="I176" s="14">
        <f t="shared" si="19"/>
        <v>0</v>
      </c>
      <c r="J176" s="14">
        <f t="shared" si="20"/>
        <v>0</v>
      </c>
      <c r="K176" s="15">
        <f>IF(CurrentMtgRatesDataTable8[[#This Row],[WA CC]]&lt;&gt;0,C175-CurrentMtgRatesDataTable8[[#This Row],[WA CC]],0)</f>
        <v>0</v>
      </c>
      <c r="L176" s="16">
        <f>IF(CurrentMtgRatesDataTable8[[#This Row],[Servicing Spread]]&lt;=0,L175,CurrentMtgRatesDataTable8[[#This Row],[Servicing Spread]])</f>
        <v>0.52400000000000002</v>
      </c>
      <c r="M176" s="16">
        <f>CurrentMtgRatesDataTable8[[#This Row],[Servicing Spread Non-Zero]]-L175</f>
        <v>0</v>
      </c>
      <c r="N176" s="16">
        <f>IF(J175&lt;&gt;0,CurrentMtgRatesDataTable8[[#This Row],[Rate]]-C175,N175)</f>
        <v>-0.16500000000000004</v>
      </c>
    </row>
    <row r="177" spans="1:14">
      <c r="A177" s="8" t="s">
        <v>1529</v>
      </c>
      <c r="B177" s="11">
        <v>5.157</v>
      </c>
      <c r="C177" s="13">
        <v>5.75</v>
      </c>
      <c r="D177" s="14">
        <f t="shared" si="14"/>
        <v>2</v>
      </c>
      <c r="E177" s="14">
        <f t="shared" si="15"/>
        <v>0.2</v>
      </c>
      <c r="F177" s="14">
        <f t="shared" si="16"/>
        <v>2</v>
      </c>
      <c r="G177" s="14">
        <f t="shared" si="17"/>
        <v>2.0975999999999999</v>
      </c>
      <c r="H177" s="14">
        <f t="shared" si="18"/>
        <v>0.4</v>
      </c>
      <c r="I177" s="14">
        <f t="shared" si="19"/>
        <v>0</v>
      </c>
      <c r="J177" s="14">
        <f t="shared" si="20"/>
        <v>0</v>
      </c>
      <c r="K177" s="15">
        <f>IF(CurrentMtgRatesDataTable8[[#This Row],[WA CC]]&lt;&gt;0,C176-CurrentMtgRatesDataTable8[[#This Row],[WA CC]],0)</f>
        <v>0</v>
      </c>
      <c r="L177" s="16">
        <f>IF(CurrentMtgRatesDataTable8[[#This Row],[Servicing Spread]]&lt;=0,L176,CurrentMtgRatesDataTable8[[#This Row],[Servicing Spread]])</f>
        <v>0.52400000000000002</v>
      </c>
      <c r="M177" s="16">
        <f>CurrentMtgRatesDataTable8[[#This Row],[Servicing Spread Non-Zero]]-L176</f>
        <v>0</v>
      </c>
      <c r="N177" s="16">
        <f>IF(J176&lt;&gt;0,CurrentMtgRatesDataTable8[[#This Row],[Rate]]-C176,N176)</f>
        <v>-0.16500000000000004</v>
      </c>
    </row>
    <row r="178" spans="1:14">
      <c r="A178" s="8" t="s">
        <v>1530</v>
      </c>
      <c r="B178" s="11">
        <v>5.19</v>
      </c>
      <c r="C178" s="13">
        <v>5.75</v>
      </c>
      <c r="D178" s="14">
        <f t="shared" si="14"/>
        <v>5</v>
      </c>
      <c r="E178" s="14">
        <f t="shared" si="15"/>
        <v>0.2</v>
      </c>
      <c r="F178" s="14">
        <f t="shared" si="16"/>
        <v>3</v>
      </c>
      <c r="G178" s="14">
        <f t="shared" si="17"/>
        <v>3.1356000000000002</v>
      </c>
      <c r="H178" s="14">
        <f t="shared" si="18"/>
        <v>0.60000000000000009</v>
      </c>
      <c r="I178" s="14">
        <f t="shared" si="19"/>
        <v>0</v>
      </c>
      <c r="J178" s="14">
        <f t="shared" si="20"/>
        <v>0</v>
      </c>
      <c r="K178" s="15">
        <f>IF(CurrentMtgRatesDataTable8[[#This Row],[WA CC]]&lt;&gt;0,C177-CurrentMtgRatesDataTable8[[#This Row],[WA CC]],0)</f>
        <v>0</v>
      </c>
      <c r="L178" s="16">
        <f>IF(CurrentMtgRatesDataTable8[[#This Row],[Servicing Spread]]&lt;=0,L177,CurrentMtgRatesDataTable8[[#This Row],[Servicing Spread]])</f>
        <v>0.52400000000000002</v>
      </c>
      <c r="M178" s="16">
        <f>CurrentMtgRatesDataTable8[[#This Row],[Servicing Spread Non-Zero]]-L177</f>
        <v>0</v>
      </c>
      <c r="N178" s="16">
        <f>IF(J177&lt;&gt;0,CurrentMtgRatesDataTable8[[#This Row],[Rate]]-C177,N177)</f>
        <v>-0.16500000000000004</v>
      </c>
    </row>
    <row r="179" spans="1:14">
      <c r="A179" s="8" t="s">
        <v>1531</v>
      </c>
      <c r="B179" s="11">
        <v>5.2409999999999997</v>
      </c>
      <c r="C179" s="13">
        <v>5.75</v>
      </c>
      <c r="D179" s="14">
        <f t="shared" si="14"/>
        <v>6</v>
      </c>
      <c r="E179" s="14">
        <f t="shared" si="15"/>
        <v>0.2</v>
      </c>
      <c r="F179" s="14">
        <f t="shared" si="16"/>
        <v>4</v>
      </c>
      <c r="G179" s="14">
        <f t="shared" si="17"/>
        <v>4.1837999999999997</v>
      </c>
      <c r="H179" s="14">
        <f t="shared" si="18"/>
        <v>0.8</v>
      </c>
      <c r="I179" s="14">
        <f t="shared" si="19"/>
        <v>0</v>
      </c>
      <c r="J179" s="14">
        <f t="shared" si="20"/>
        <v>0</v>
      </c>
      <c r="K179" s="15">
        <f>IF(CurrentMtgRatesDataTable8[[#This Row],[WA CC]]&lt;&gt;0,C178-CurrentMtgRatesDataTable8[[#This Row],[WA CC]],0)</f>
        <v>0</v>
      </c>
      <c r="L179" s="16">
        <f>IF(CurrentMtgRatesDataTable8[[#This Row],[Servicing Spread]]&lt;=0,L178,CurrentMtgRatesDataTable8[[#This Row],[Servicing Spread]])</f>
        <v>0.52400000000000002</v>
      </c>
      <c r="M179" s="16">
        <f>CurrentMtgRatesDataTable8[[#This Row],[Servicing Spread Non-Zero]]-L178</f>
        <v>0</v>
      </c>
      <c r="N179" s="16">
        <f>IF(J178&lt;&gt;0,CurrentMtgRatesDataTable8[[#This Row],[Rate]]-C178,N178)</f>
        <v>-0.16500000000000004</v>
      </c>
    </row>
    <row r="180" spans="1:14">
      <c r="A180" s="8" t="s">
        <v>1532</v>
      </c>
      <c r="B180" s="11">
        <v>5.2210000000000001</v>
      </c>
      <c r="C180" s="13">
        <v>5.75</v>
      </c>
      <c r="D180" s="14">
        <f t="shared" si="14"/>
        <v>7</v>
      </c>
      <c r="E180" s="14">
        <f t="shared" si="15"/>
        <v>0.2</v>
      </c>
      <c r="F180" s="14">
        <f t="shared" si="16"/>
        <v>5</v>
      </c>
      <c r="G180" s="14">
        <f t="shared" si="17"/>
        <v>5.2279999999999998</v>
      </c>
      <c r="H180" s="14">
        <f t="shared" si="18"/>
        <v>1</v>
      </c>
      <c r="I180" s="14">
        <f t="shared" si="19"/>
        <v>1</v>
      </c>
      <c r="J180" s="14">
        <f t="shared" si="20"/>
        <v>5.2279999999999998</v>
      </c>
      <c r="K180" s="15">
        <f>IF(CurrentMtgRatesDataTable8[[#This Row],[WA CC]]&lt;&gt;0,C179-CurrentMtgRatesDataTable8[[#This Row],[WA CC]],0)</f>
        <v>0.52200000000000024</v>
      </c>
      <c r="L180" s="16">
        <f>IF(CurrentMtgRatesDataTable8[[#This Row],[Servicing Spread]]&lt;=0,L179,CurrentMtgRatesDataTable8[[#This Row],[Servicing Spread]])</f>
        <v>0.52200000000000024</v>
      </c>
      <c r="M180" s="16">
        <f>CurrentMtgRatesDataTable8[[#This Row],[Servicing Spread Non-Zero]]-L179</f>
        <v>-1.9999999999997797E-3</v>
      </c>
      <c r="N180" s="16">
        <f>IF(J179&lt;&gt;0,CurrentMtgRatesDataTable8[[#This Row],[Rate]]-C179,N179)</f>
        <v>-0.16500000000000004</v>
      </c>
    </row>
    <row r="181" spans="1:14">
      <c r="A181" s="8" t="s">
        <v>1533</v>
      </c>
      <c r="B181" s="11">
        <v>5.1890000000000001</v>
      </c>
      <c r="C181" s="13">
        <v>5.7349999999999994</v>
      </c>
      <c r="D181" s="14">
        <f t="shared" si="14"/>
        <v>1</v>
      </c>
      <c r="E181" s="14">
        <f t="shared" si="15"/>
        <v>0.2</v>
      </c>
      <c r="F181" s="14">
        <f t="shared" si="16"/>
        <v>1</v>
      </c>
      <c r="G181" s="14">
        <f t="shared" si="17"/>
        <v>1.0378000000000001</v>
      </c>
      <c r="H181" s="14">
        <f t="shared" si="18"/>
        <v>0.2</v>
      </c>
      <c r="I181" s="14">
        <f t="shared" si="19"/>
        <v>0</v>
      </c>
      <c r="J181" s="14">
        <f t="shared" si="20"/>
        <v>0</v>
      </c>
      <c r="K181" s="15">
        <f>IF(CurrentMtgRatesDataTable8[[#This Row],[WA CC]]&lt;&gt;0,C180-CurrentMtgRatesDataTable8[[#This Row],[WA CC]],0)</f>
        <v>0</v>
      </c>
      <c r="L181" s="16">
        <f>IF(CurrentMtgRatesDataTable8[[#This Row],[Servicing Spread]]&lt;=0,L180,CurrentMtgRatesDataTable8[[#This Row],[Servicing Spread]])</f>
        <v>0.52200000000000024</v>
      </c>
      <c r="M181" s="16">
        <f>CurrentMtgRatesDataTable8[[#This Row],[Servicing Spread Non-Zero]]-L180</f>
        <v>0</v>
      </c>
      <c r="N181" s="16">
        <f>IF(J180&lt;&gt;0,CurrentMtgRatesDataTable8[[#This Row],[Rate]]-C180,N180)</f>
        <v>-1.5000000000000568E-2</v>
      </c>
    </row>
    <row r="182" spans="1:14">
      <c r="A182" s="8" t="s">
        <v>1534</v>
      </c>
      <c r="B182" s="11">
        <v>5.16</v>
      </c>
      <c r="C182" s="13">
        <v>5.7349999999999994</v>
      </c>
      <c r="D182" s="14">
        <f t="shared" si="14"/>
        <v>2</v>
      </c>
      <c r="E182" s="14">
        <f t="shared" si="15"/>
        <v>0.2</v>
      </c>
      <c r="F182" s="14">
        <f t="shared" si="16"/>
        <v>2</v>
      </c>
      <c r="G182" s="14">
        <f t="shared" si="17"/>
        <v>2.0697999999999999</v>
      </c>
      <c r="H182" s="14">
        <f t="shared" si="18"/>
        <v>0.4</v>
      </c>
      <c r="I182" s="14">
        <f t="shared" si="19"/>
        <v>0</v>
      </c>
      <c r="J182" s="14">
        <f t="shared" si="20"/>
        <v>0</v>
      </c>
      <c r="K182" s="15">
        <f>IF(CurrentMtgRatesDataTable8[[#This Row],[WA CC]]&lt;&gt;0,C181-CurrentMtgRatesDataTable8[[#This Row],[WA CC]],0)</f>
        <v>0</v>
      </c>
      <c r="L182" s="16">
        <f>IF(CurrentMtgRatesDataTable8[[#This Row],[Servicing Spread]]&lt;=0,L181,CurrentMtgRatesDataTable8[[#This Row],[Servicing Spread]])</f>
        <v>0.52200000000000024</v>
      </c>
      <c r="M182" s="16">
        <f>CurrentMtgRatesDataTable8[[#This Row],[Servicing Spread Non-Zero]]-L181</f>
        <v>0</v>
      </c>
      <c r="N182" s="16">
        <f>IF(J181&lt;&gt;0,CurrentMtgRatesDataTable8[[#This Row],[Rate]]-C181,N181)</f>
        <v>-1.5000000000000568E-2</v>
      </c>
    </row>
    <row r="183" spans="1:14">
      <c r="A183" s="8" t="s">
        <v>1535</v>
      </c>
      <c r="B183" s="11">
        <v>5.2</v>
      </c>
      <c r="C183" s="13">
        <v>5.7349999999999994</v>
      </c>
      <c r="D183" s="14">
        <f t="shared" si="14"/>
        <v>5</v>
      </c>
      <c r="E183" s="14">
        <f t="shared" si="15"/>
        <v>0.2</v>
      </c>
      <c r="F183" s="14">
        <f t="shared" si="16"/>
        <v>3</v>
      </c>
      <c r="G183" s="14">
        <f t="shared" si="17"/>
        <v>3.1097999999999999</v>
      </c>
      <c r="H183" s="14">
        <f t="shared" si="18"/>
        <v>0.60000000000000009</v>
      </c>
      <c r="I183" s="14">
        <f t="shared" si="19"/>
        <v>0</v>
      </c>
      <c r="J183" s="14">
        <f t="shared" si="20"/>
        <v>0</v>
      </c>
      <c r="K183" s="15">
        <f>IF(CurrentMtgRatesDataTable8[[#This Row],[WA CC]]&lt;&gt;0,C182-CurrentMtgRatesDataTable8[[#This Row],[WA CC]],0)</f>
        <v>0</v>
      </c>
      <c r="L183" s="16">
        <f>IF(CurrentMtgRatesDataTable8[[#This Row],[Servicing Spread]]&lt;=0,L182,CurrentMtgRatesDataTable8[[#This Row],[Servicing Spread]])</f>
        <v>0.52200000000000024</v>
      </c>
      <c r="M183" s="16">
        <f>CurrentMtgRatesDataTable8[[#This Row],[Servicing Spread Non-Zero]]-L182</f>
        <v>0</v>
      </c>
      <c r="N183" s="16">
        <f>IF(J182&lt;&gt;0,CurrentMtgRatesDataTable8[[#This Row],[Rate]]-C182,N182)</f>
        <v>-1.5000000000000568E-2</v>
      </c>
    </row>
    <row r="184" spans="1:14">
      <c r="A184" s="8" t="s">
        <v>1536</v>
      </c>
      <c r="B184" s="11">
        <v>5.14</v>
      </c>
      <c r="C184" s="13">
        <v>5.7349999999999994</v>
      </c>
      <c r="D184" s="14">
        <f t="shared" si="14"/>
        <v>6</v>
      </c>
      <c r="E184" s="14">
        <f t="shared" si="15"/>
        <v>0.2</v>
      </c>
      <c r="F184" s="14">
        <f t="shared" si="16"/>
        <v>4</v>
      </c>
      <c r="G184" s="14">
        <f t="shared" si="17"/>
        <v>4.1378000000000004</v>
      </c>
      <c r="H184" s="14">
        <f t="shared" si="18"/>
        <v>0.8</v>
      </c>
      <c r="I184" s="14">
        <f t="shared" si="19"/>
        <v>0</v>
      </c>
      <c r="J184" s="14">
        <f t="shared" si="20"/>
        <v>0</v>
      </c>
      <c r="K184" s="15">
        <f>IF(CurrentMtgRatesDataTable8[[#This Row],[WA CC]]&lt;&gt;0,C183-CurrentMtgRatesDataTable8[[#This Row],[WA CC]],0)</f>
        <v>0</v>
      </c>
      <c r="L184" s="16">
        <f>IF(CurrentMtgRatesDataTable8[[#This Row],[Servicing Spread]]&lt;=0,L183,CurrentMtgRatesDataTable8[[#This Row],[Servicing Spread]])</f>
        <v>0.52200000000000024</v>
      </c>
      <c r="M184" s="16">
        <f>CurrentMtgRatesDataTable8[[#This Row],[Servicing Spread Non-Zero]]-L183</f>
        <v>0</v>
      </c>
      <c r="N184" s="16">
        <f>IF(J183&lt;&gt;0,CurrentMtgRatesDataTable8[[#This Row],[Rate]]-C183,N183)</f>
        <v>-1.5000000000000568E-2</v>
      </c>
    </row>
    <row r="185" spans="1:14">
      <c r="A185" s="8" t="s">
        <v>1537</v>
      </c>
      <c r="B185" s="11">
        <v>5.1669999999999998</v>
      </c>
      <c r="C185" s="13">
        <v>5.7349999999999994</v>
      </c>
      <c r="D185" s="14">
        <f t="shared" si="14"/>
        <v>7</v>
      </c>
      <c r="E185" s="14">
        <f t="shared" si="15"/>
        <v>0.2</v>
      </c>
      <c r="F185" s="14">
        <f t="shared" si="16"/>
        <v>5</v>
      </c>
      <c r="G185" s="14">
        <f t="shared" si="17"/>
        <v>5.1712000000000007</v>
      </c>
      <c r="H185" s="14">
        <f t="shared" si="18"/>
        <v>1</v>
      </c>
      <c r="I185" s="14">
        <f t="shared" si="19"/>
        <v>1</v>
      </c>
      <c r="J185" s="14">
        <f t="shared" si="20"/>
        <v>5.1712000000000007</v>
      </c>
      <c r="K185" s="15">
        <f>IF(CurrentMtgRatesDataTable8[[#This Row],[WA CC]]&lt;&gt;0,C184-CurrentMtgRatesDataTable8[[#This Row],[WA CC]],0)</f>
        <v>0.56379999999999875</v>
      </c>
      <c r="L185" s="16">
        <f>IF(CurrentMtgRatesDataTable8[[#This Row],[Servicing Spread]]&lt;=0,L184,CurrentMtgRatesDataTable8[[#This Row],[Servicing Spread]])</f>
        <v>0.56379999999999875</v>
      </c>
      <c r="M185" s="16">
        <f>CurrentMtgRatesDataTable8[[#This Row],[Servicing Spread Non-Zero]]-L184</f>
        <v>4.1799999999998505E-2</v>
      </c>
      <c r="N185" s="16">
        <f>IF(J184&lt;&gt;0,CurrentMtgRatesDataTable8[[#This Row],[Rate]]-C184,N184)</f>
        <v>-1.5000000000000568E-2</v>
      </c>
    </row>
    <row r="186" spans="1:14">
      <c r="A186" s="8" t="s">
        <v>1538</v>
      </c>
      <c r="B186" s="11">
        <v>5.15</v>
      </c>
      <c r="C186" s="13">
        <v>5.7450000000000001</v>
      </c>
      <c r="D186" s="14">
        <f t="shared" si="14"/>
        <v>1</v>
      </c>
      <c r="E186" s="14">
        <f t="shared" si="15"/>
        <v>0.2</v>
      </c>
      <c r="F186" s="14">
        <f t="shared" si="16"/>
        <v>1</v>
      </c>
      <c r="G186" s="14">
        <f t="shared" si="17"/>
        <v>1.03</v>
      </c>
      <c r="H186" s="14">
        <f t="shared" si="18"/>
        <v>0.2</v>
      </c>
      <c r="I186" s="14">
        <f t="shared" si="19"/>
        <v>0</v>
      </c>
      <c r="J186" s="14">
        <f t="shared" si="20"/>
        <v>0</v>
      </c>
      <c r="K186" s="15">
        <f>IF(CurrentMtgRatesDataTable8[[#This Row],[WA CC]]&lt;&gt;0,C185-CurrentMtgRatesDataTable8[[#This Row],[WA CC]],0)</f>
        <v>0</v>
      </c>
      <c r="L186" s="16">
        <f>IF(CurrentMtgRatesDataTable8[[#This Row],[Servicing Spread]]&lt;=0,L185,CurrentMtgRatesDataTable8[[#This Row],[Servicing Spread]])</f>
        <v>0.56379999999999875</v>
      </c>
      <c r="M186" s="16">
        <f>CurrentMtgRatesDataTable8[[#This Row],[Servicing Spread Non-Zero]]-L185</f>
        <v>0</v>
      </c>
      <c r="N186" s="16">
        <f>IF(J185&lt;&gt;0,CurrentMtgRatesDataTable8[[#This Row],[Rate]]-C185,N185)</f>
        <v>1.0000000000000675E-2</v>
      </c>
    </row>
    <row r="187" spans="1:14">
      <c r="A187" s="8" t="s">
        <v>1539</v>
      </c>
      <c r="B187" s="11">
        <v>5.1740000000000004</v>
      </c>
      <c r="C187" s="13">
        <v>5.7450000000000001</v>
      </c>
      <c r="D187" s="14">
        <f t="shared" si="14"/>
        <v>2</v>
      </c>
      <c r="E187" s="14">
        <f t="shared" si="15"/>
        <v>0.2</v>
      </c>
      <c r="F187" s="14">
        <f t="shared" si="16"/>
        <v>2</v>
      </c>
      <c r="G187" s="14">
        <f t="shared" si="17"/>
        <v>2.0648</v>
      </c>
      <c r="H187" s="14">
        <f t="shared" si="18"/>
        <v>0.4</v>
      </c>
      <c r="I187" s="14">
        <f t="shared" si="19"/>
        <v>0</v>
      </c>
      <c r="J187" s="14">
        <f t="shared" si="20"/>
        <v>0</v>
      </c>
      <c r="K187" s="15">
        <f>IF(CurrentMtgRatesDataTable8[[#This Row],[WA CC]]&lt;&gt;0,C186-CurrentMtgRatesDataTable8[[#This Row],[WA CC]],0)</f>
        <v>0</v>
      </c>
      <c r="L187" s="16">
        <f>IF(CurrentMtgRatesDataTable8[[#This Row],[Servicing Spread]]&lt;=0,L186,CurrentMtgRatesDataTable8[[#This Row],[Servicing Spread]])</f>
        <v>0.56379999999999875</v>
      </c>
      <c r="M187" s="16">
        <f>CurrentMtgRatesDataTable8[[#This Row],[Servicing Spread Non-Zero]]-L186</f>
        <v>0</v>
      </c>
      <c r="N187" s="16">
        <f>IF(J186&lt;&gt;0,CurrentMtgRatesDataTable8[[#This Row],[Rate]]-C186,N186)</f>
        <v>1.0000000000000675E-2</v>
      </c>
    </row>
    <row r="188" spans="1:14">
      <c r="A188" s="8" t="s">
        <v>1540</v>
      </c>
      <c r="B188" s="11">
        <v>5.2110000000000003</v>
      </c>
      <c r="C188" s="13">
        <v>5.7450000000000001</v>
      </c>
      <c r="D188" s="14">
        <f t="shared" si="14"/>
        <v>5</v>
      </c>
      <c r="E188" s="14">
        <f t="shared" si="15"/>
        <v>0.2</v>
      </c>
      <c r="F188" s="14">
        <f t="shared" si="16"/>
        <v>3</v>
      </c>
      <c r="G188" s="14">
        <f t="shared" si="17"/>
        <v>3.1070000000000002</v>
      </c>
      <c r="H188" s="14">
        <f t="shared" si="18"/>
        <v>0.60000000000000009</v>
      </c>
      <c r="I188" s="14">
        <f t="shared" si="19"/>
        <v>0</v>
      </c>
      <c r="J188" s="14">
        <f t="shared" si="20"/>
        <v>0</v>
      </c>
      <c r="K188" s="15">
        <f>IF(CurrentMtgRatesDataTable8[[#This Row],[WA CC]]&lt;&gt;0,C187-CurrentMtgRatesDataTable8[[#This Row],[WA CC]],0)</f>
        <v>0</v>
      </c>
      <c r="L188" s="16">
        <f>IF(CurrentMtgRatesDataTable8[[#This Row],[Servicing Spread]]&lt;=0,L187,CurrentMtgRatesDataTable8[[#This Row],[Servicing Spread]])</f>
        <v>0.56379999999999875</v>
      </c>
      <c r="M188" s="16">
        <f>CurrentMtgRatesDataTable8[[#This Row],[Servicing Spread Non-Zero]]-L187</f>
        <v>0</v>
      </c>
      <c r="N188" s="16">
        <f>IF(J187&lt;&gt;0,CurrentMtgRatesDataTable8[[#This Row],[Rate]]-C187,N187)</f>
        <v>1.0000000000000675E-2</v>
      </c>
    </row>
    <row r="189" spans="1:14">
      <c r="A189" s="8" t="s">
        <v>1541</v>
      </c>
      <c r="B189" s="11">
        <v>5.2160000000000002</v>
      </c>
      <c r="C189" s="13">
        <v>5.7450000000000001</v>
      </c>
      <c r="D189" s="14">
        <f t="shared" si="14"/>
        <v>6</v>
      </c>
      <c r="E189" s="14">
        <f t="shared" si="15"/>
        <v>0.2</v>
      </c>
      <c r="F189" s="14">
        <f t="shared" si="16"/>
        <v>4</v>
      </c>
      <c r="G189" s="14">
        <f t="shared" si="17"/>
        <v>4.1501999999999999</v>
      </c>
      <c r="H189" s="14">
        <f t="shared" si="18"/>
        <v>0.8</v>
      </c>
      <c r="I189" s="14">
        <f t="shared" si="19"/>
        <v>0</v>
      </c>
      <c r="J189" s="14">
        <f t="shared" si="20"/>
        <v>0</v>
      </c>
      <c r="K189" s="15">
        <f>IF(CurrentMtgRatesDataTable8[[#This Row],[WA CC]]&lt;&gt;0,C188-CurrentMtgRatesDataTable8[[#This Row],[WA CC]],0)</f>
        <v>0</v>
      </c>
      <c r="L189" s="16">
        <f>IF(CurrentMtgRatesDataTable8[[#This Row],[Servicing Spread]]&lt;=0,L188,CurrentMtgRatesDataTable8[[#This Row],[Servicing Spread]])</f>
        <v>0.56379999999999875</v>
      </c>
      <c r="M189" s="16">
        <f>CurrentMtgRatesDataTable8[[#This Row],[Servicing Spread Non-Zero]]-L188</f>
        <v>0</v>
      </c>
      <c r="N189" s="16">
        <f>IF(J188&lt;&gt;0,CurrentMtgRatesDataTable8[[#This Row],[Rate]]-C188,N188)</f>
        <v>1.0000000000000675E-2</v>
      </c>
    </row>
    <row r="190" spans="1:14">
      <c r="A190" s="8" t="s">
        <v>1542</v>
      </c>
      <c r="B190" s="11">
        <v>5.2030000000000003</v>
      </c>
      <c r="C190" s="13">
        <v>5.7450000000000001</v>
      </c>
      <c r="D190" s="14">
        <f t="shared" si="14"/>
        <v>7</v>
      </c>
      <c r="E190" s="14">
        <f t="shared" si="15"/>
        <v>0.2</v>
      </c>
      <c r="F190" s="14">
        <f t="shared" si="16"/>
        <v>5</v>
      </c>
      <c r="G190" s="14">
        <f t="shared" si="17"/>
        <v>5.1908000000000003</v>
      </c>
      <c r="H190" s="14">
        <f t="shared" si="18"/>
        <v>1</v>
      </c>
      <c r="I190" s="14">
        <f t="shared" si="19"/>
        <v>1</v>
      </c>
      <c r="J190" s="14">
        <f t="shared" si="20"/>
        <v>5.1908000000000003</v>
      </c>
      <c r="K190" s="15">
        <f>IF(CurrentMtgRatesDataTable8[[#This Row],[WA CC]]&lt;&gt;0,C189-CurrentMtgRatesDataTable8[[#This Row],[WA CC]],0)</f>
        <v>0.5541999999999998</v>
      </c>
      <c r="L190" s="16">
        <f>IF(CurrentMtgRatesDataTable8[[#This Row],[Servicing Spread]]&lt;=0,L189,CurrentMtgRatesDataTable8[[#This Row],[Servicing Spread]])</f>
        <v>0.5541999999999998</v>
      </c>
      <c r="M190" s="16">
        <f>CurrentMtgRatesDataTable8[[#This Row],[Servicing Spread Non-Zero]]-L189</f>
        <v>-9.5999999999989427E-3</v>
      </c>
      <c r="N190" s="16">
        <f>IF(J189&lt;&gt;0,CurrentMtgRatesDataTable8[[#This Row],[Rate]]-C189,N189)</f>
        <v>1.0000000000000675E-2</v>
      </c>
    </row>
    <row r="191" spans="1:14">
      <c r="A191" s="8" t="s">
        <v>1543</v>
      </c>
      <c r="B191" s="11">
        <v>5.1749999999999998</v>
      </c>
      <c r="C191" s="13">
        <v>5.72</v>
      </c>
      <c r="D191" s="14">
        <f t="shared" si="14"/>
        <v>1</v>
      </c>
      <c r="E191" s="14">
        <f t="shared" si="15"/>
        <v>0.2</v>
      </c>
      <c r="F191" s="14">
        <f t="shared" si="16"/>
        <v>1</v>
      </c>
      <c r="G191" s="14">
        <f t="shared" si="17"/>
        <v>1.0349999999999999</v>
      </c>
      <c r="H191" s="14">
        <f t="shared" si="18"/>
        <v>0.2</v>
      </c>
      <c r="I191" s="14">
        <f t="shared" si="19"/>
        <v>0</v>
      </c>
      <c r="J191" s="14">
        <f t="shared" si="20"/>
        <v>0</v>
      </c>
      <c r="K191" s="15">
        <f>IF(CurrentMtgRatesDataTable8[[#This Row],[WA CC]]&lt;&gt;0,C190-CurrentMtgRatesDataTable8[[#This Row],[WA CC]],0)</f>
        <v>0</v>
      </c>
      <c r="L191" s="16">
        <f>IF(CurrentMtgRatesDataTable8[[#This Row],[Servicing Spread]]&lt;=0,L190,CurrentMtgRatesDataTable8[[#This Row],[Servicing Spread]])</f>
        <v>0.5541999999999998</v>
      </c>
      <c r="M191" s="16">
        <f>CurrentMtgRatesDataTable8[[#This Row],[Servicing Spread Non-Zero]]-L190</f>
        <v>0</v>
      </c>
      <c r="N191" s="16">
        <f>IF(J190&lt;&gt;0,CurrentMtgRatesDataTable8[[#This Row],[Rate]]-C190,N190)</f>
        <v>-2.5000000000000355E-2</v>
      </c>
    </row>
    <row r="192" spans="1:14">
      <c r="A192" s="8" t="s">
        <v>1544</v>
      </c>
      <c r="B192" s="11">
        <v>5.181</v>
      </c>
      <c r="C192" s="13">
        <v>5.72</v>
      </c>
      <c r="D192" s="14">
        <f t="shared" si="14"/>
        <v>2</v>
      </c>
      <c r="E192" s="14">
        <f t="shared" si="15"/>
        <v>0.2</v>
      </c>
      <c r="F192" s="14">
        <f t="shared" si="16"/>
        <v>2</v>
      </c>
      <c r="G192" s="14">
        <f t="shared" si="17"/>
        <v>2.0712000000000002</v>
      </c>
      <c r="H192" s="14">
        <f t="shared" si="18"/>
        <v>0.4</v>
      </c>
      <c r="I192" s="14">
        <f t="shared" si="19"/>
        <v>0</v>
      </c>
      <c r="J192" s="14">
        <f t="shared" si="20"/>
        <v>0</v>
      </c>
      <c r="K192" s="15">
        <f>IF(CurrentMtgRatesDataTable8[[#This Row],[WA CC]]&lt;&gt;0,C191-CurrentMtgRatesDataTable8[[#This Row],[WA CC]],0)</f>
        <v>0</v>
      </c>
      <c r="L192" s="16">
        <f>IF(CurrentMtgRatesDataTable8[[#This Row],[Servicing Spread]]&lt;=0,L191,CurrentMtgRatesDataTable8[[#This Row],[Servicing Spread]])</f>
        <v>0.5541999999999998</v>
      </c>
      <c r="M192" s="16">
        <f>CurrentMtgRatesDataTable8[[#This Row],[Servicing Spread Non-Zero]]-L191</f>
        <v>0</v>
      </c>
      <c r="N192" s="16">
        <f>IF(J191&lt;&gt;0,CurrentMtgRatesDataTable8[[#This Row],[Rate]]-C191,N191)</f>
        <v>-2.5000000000000355E-2</v>
      </c>
    </row>
    <row r="193" spans="1:14">
      <c r="A193" s="8" t="s">
        <v>1545</v>
      </c>
      <c r="B193" s="11">
        <v>5.1349999999999998</v>
      </c>
      <c r="C193" s="13">
        <v>5.72</v>
      </c>
      <c r="D193" s="14">
        <f t="shared" si="14"/>
        <v>5</v>
      </c>
      <c r="E193" s="14">
        <f t="shared" si="15"/>
        <v>0.2</v>
      </c>
      <c r="F193" s="14">
        <f t="shared" si="16"/>
        <v>3</v>
      </c>
      <c r="G193" s="14">
        <f t="shared" si="17"/>
        <v>3.0982000000000003</v>
      </c>
      <c r="H193" s="14">
        <f t="shared" si="18"/>
        <v>0.60000000000000009</v>
      </c>
      <c r="I193" s="14">
        <f t="shared" si="19"/>
        <v>0</v>
      </c>
      <c r="J193" s="14">
        <f t="shared" si="20"/>
        <v>0</v>
      </c>
      <c r="K193" s="15">
        <f>IF(CurrentMtgRatesDataTable8[[#This Row],[WA CC]]&lt;&gt;0,C192-CurrentMtgRatesDataTable8[[#This Row],[WA CC]],0)</f>
        <v>0</v>
      </c>
      <c r="L193" s="16">
        <f>IF(CurrentMtgRatesDataTable8[[#This Row],[Servicing Spread]]&lt;=0,L192,CurrentMtgRatesDataTable8[[#This Row],[Servicing Spread]])</f>
        <v>0.5541999999999998</v>
      </c>
      <c r="M193" s="16">
        <f>CurrentMtgRatesDataTable8[[#This Row],[Servicing Spread Non-Zero]]-L192</f>
        <v>0</v>
      </c>
      <c r="N193" s="16">
        <f>IF(J192&lt;&gt;0,CurrentMtgRatesDataTable8[[#This Row],[Rate]]-C192,N192)</f>
        <v>-2.5000000000000355E-2</v>
      </c>
    </row>
    <row r="194" spans="1:14">
      <c r="A194" s="8" t="s">
        <v>1546</v>
      </c>
      <c r="B194" s="11">
        <v>5.0720000000000001</v>
      </c>
      <c r="C194" s="13">
        <v>5.72</v>
      </c>
      <c r="D194" s="14">
        <f t="shared" si="14"/>
        <v>6</v>
      </c>
      <c r="E194" s="14">
        <f t="shared" si="15"/>
        <v>0.2</v>
      </c>
      <c r="F194" s="14">
        <f t="shared" si="16"/>
        <v>4</v>
      </c>
      <c r="G194" s="14">
        <f t="shared" si="17"/>
        <v>4.1126000000000005</v>
      </c>
      <c r="H194" s="14">
        <f t="shared" si="18"/>
        <v>0.8</v>
      </c>
      <c r="I194" s="14">
        <f t="shared" si="19"/>
        <v>0</v>
      </c>
      <c r="J194" s="14">
        <f t="shared" si="20"/>
        <v>0</v>
      </c>
      <c r="K194" s="15">
        <f>IF(CurrentMtgRatesDataTable8[[#This Row],[WA CC]]&lt;&gt;0,C193-CurrentMtgRatesDataTable8[[#This Row],[WA CC]],0)</f>
        <v>0</v>
      </c>
      <c r="L194" s="16">
        <f>IF(CurrentMtgRatesDataTable8[[#This Row],[Servicing Spread]]&lt;=0,L193,CurrentMtgRatesDataTable8[[#This Row],[Servicing Spread]])</f>
        <v>0.5541999999999998</v>
      </c>
      <c r="M194" s="16">
        <f>CurrentMtgRatesDataTable8[[#This Row],[Servicing Spread Non-Zero]]-L193</f>
        <v>0</v>
      </c>
      <c r="N194" s="16">
        <f>IF(J193&lt;&gt;0,CurrentMtgRatesDataTable8[[#This Row],[Rate]]-C193,N193)</f>
        <v>-2.5000000000000355E-2</v>
      </c>
    </row>
    <row r="195" spans="1:14">
      <c r="A195" s="8" t="s">
        <v>1547</v>
      </c>
      <c r="B195" s="11">
        <v>5.0739999999999998</v>
      </c>
      <c r="C195" s="13">
        <v>5.72</v>
      </c>
      <c r="D195" s="14">
        <f t="shared" si="14"/>
        <v>7</v>
      </c>
      <c r="E195" s="14">
        <f t="shared" si="15"/>
        <v>0.2</v>
      </c>
      <c r="F195" s="14">
        <f t="shared" si="16"/>
        <v>5</v>
      </c>
      <c r="G195" s="14">
        <f t="shared" si="17"/>
        <v>5.1274000000000006</v>
      </c>
      <c r="H195" s="14">
        <f t="shared" si="18"/>
        <v>1</v>
      </c>
      <c r="I195" s="14">
        <f t="shared" si="19"/>
        <v>1</v>
      </c>
      <c r="J195" s="14">
        <f t="shared" si="20"/>
        <v>5.1274000000000006</v>
      </c>
      <c r="K195" s="15">
        <f>IF(CurrentMtgRatesDataTable8[[#This Row],[WA CC]]&lt;&gt;0,C194-CurrentMtgRatesDataTable8[[#This Row],[WA CC]],0)</f>
        <v>0.59259999999999913</v>
      </c>
      <c r="L195" s="16">
        <f>IF(CurrentMtgRatesDataTable8[[#This Row],[Servicing Spread]]&lt;=0,L194,CurrentMtgRatesDataTable8[[#This Row],[Servicing Spread]])</f>
        <v>0.59259999999999913</v>
      </c>
      <c r="M195" s="16">
        <f>CurrentMtgRatesDataTable8[[#This Row],[Servicing Spread Non-Zero]]-L194</f>
        <v>3.8399999999999324E-2</v>
      </c>
      <c r="N195" s="16">
        <f>IF(J194&lt;&gt;0,CurrentMtgRatesDataTable8[[#This Row],[Rate]]-C194,N194)</f>
        <v>-2.5000000000000355E-2</v>
      </c>
    </row>
    <row r="196" spans="1:14">
      <c r="A196" s="8" t="s">
        <v>1548</v>
      </c>
      <c r="B196" s="11">
        <v>5.1479999999999997</v>
      </c>
      <c r="C196" s="13">
        <v>5.78</v>
      </c>
      <c r="D196" s="14">
        <f t="shared" si="14"/>
        <v>1</v>
      </c>
      <c r="E196" s="14">
        <f t="shared" si="15"/>
        <v>0.2</v>
      </c>
      <c r="F196" s="14">
        <f t="shared" si="16"/>
        <v>1</v>
      </c>
      <c r="G196" s="14">
        <f t="shared" si="17"/>
        <v>1.0296000000000001</v>
      </c>
      <c r="H196" s="14">
        <f t="shared" si="18"/>
        <v>0.2</v>
      </c>
      <c r="I196" s="14">
        <f t="shared" si="19"/>
        <v>0</v>
      </c>
      <c r="J196" s="14">
        <f t="shared" si="20"/>
        <v>0</v>
      </c>
      <c r="K196" s="15">
        <f>IF(CurrentMtgRatesDataTable8[[#This Row],[WA CC]]&lt;&gt;0,C195-CurrentMtgRatesDataTable8[[#This Row],[WA CC]],0)</f>
        <v>0</v>
      </c>
      <c r="L196" s="16">
        <f>IF(CurrentMtgRatesDataTable8[[#This Row],[Servicing Spread]]&lt;=0,L195,CurrentMtgRatesDataTable8[[#This Row],[Servicing Spread]])</f>
        <v>0.59259999999999913</v>
      </c>
      <c r="M196" s="16">
        <f>CurrentMtgRatesDataTable8[[#This Row],[Servicing Spread Non-Zero]]-L195</f>
        <v>0</v>
      </c>
      <c r="N196" s="16">
        <f>IF(J195&lt;&gt;0,CurrentMtgRatesDataTable8[[#This Row],[Rate]]-C195,N195)</f>
        <v>6.0000000000000497E-2</v>
      </c>
    </row>
    <row r="197" spans="1:14">
      <c r="A197" s="8" t="s">
        <v>1549</v>
      </c>
      <c r="B197" s="11">
        <v>5.2430000000000003</v>
      </c>
      <c r="C197" s="13">
        <v>5.78</v>
      </c>
      <c r="D197" s="14">
        <f t="shared" ref="D197:D260" si="21">WEEKDAY(A197,14)</f>
        <v>2</v>
      </c>
      <c r="E197" s="14">
        <f t="shared" ref="E197:E260" si="22">VLOOKUP(D197,Q$5:R$11,2,FALSE)</f>
        <v>0.2</v>
      </c>
      <c r="F197" s="14">
        <f t="shared" ref="F197:F260" si="23">IF(AND(D197&gt;D196,F196&lt;6),F196+1,1)</f>
        <v>2</v>
      </c>
      <c r="G197" s="14">
        <f t="shared" ref="G197:G260" si="24">IF(F197&gt;F196,G196+B197*E197,B197*E197)</f>
        <v>2.0782000000000003</v>
      </c>
      <c r="H197" s="14">
        <f t="shared" ref="H197:H260" si="25">IF(AND(F197&lt;6,F197&gt;F196),E197+H196,E197)</f>
        <v>0.4</v>
      </c>
      <c r="I197" s="14">
        <f t="shared" ref="I197:I260" si="26">IF(F197&gt;F198,1,0)</f>
        <v>0</v>
      </c>
      <c r="J197" s="14">
        <f t="shared" ref="J197:J260" si="27">IF(F197&gt;F198,G197/H197,0)</f>
        <v>0</v>
      </c>
      <c r="K197" s="15">
        <f>IF(CurrentMtgRatesDataTable8[[#This Row],[WA CC]]&lt;&gt;0,C196-CurrentMtgRatesDataTable8[[#This Row],[WA CC]],0)</f>
        <v>0</v>
      </c>
      <c r="L197" s="16">
        <f>IF(CurrentMtgRatesDataTable8[[#This Row],[Servicing Spread]]&lt;=0,L196,CurrentMtgRatesDataTable8[[#This Row],[Servicing Spread]])</f>
        <v>0.59259999999999913</v>
      </c>
      <c r="M197" s="16">
        <f>CurrentMtgRatesDataTable8[[#This Row],[Servicing Spread Non-Zero]]-L196</f>
        <v>0</v>
      </c>
      <c r="N197" s="16">
        <f>IF(J196&lt;&gt;0,CurrentMtgRatesDataTable8[[#This Row],[Rate]]-C196,N196)</f>
        <v>6.0000000000000497E-2</v>
      </c>
    </row>
    <row r="198" spans="1:14">
      <c r="A198" s="8" t="s">
        <v>1550</v>
      </c>
      <c r="B198" s="11">
        <v>5.18</v>
      </c>
      <c r="C198" s="13">
        <v>5.78</v>
      </c>
      <c r="D198" s="14">
        <f t="shared" si="21"/>
        <v>6</v>
      </c>
      <c r="E198" s="14">
        <f t="shared" si="22"/>
        <v>0.2</v>
      </c>
      <c r="F198" s="14">
        <f t="shared" si="23"/>
        <v>3</v>
      </c>
      <c r="G198" s="14">
        <f t="shared" si="24"/>
        <v>3.1142000000000003</v>
      </c>
      <c r="H198" s="14">
        <f t="shared" si="25"/>
        <v>0.60000000000000009</v>
      </c>
      <c r="I198" s="14">
        <f t="shared" si="26"/>
        <v>0</v>
      </c>
      <c r="J198" s="14">
        <f t="shared" si="27"/>
        <v>0</v>
      </c>
      <c r="K198" s="15">
        <f>IF(CurrentMtgRatesDataTable8[[#This Row],[WA CC]]&lt;&gt;0,C197-CurrentMtgRatesDataTable8[[#This Row],[WA CC]],0)</f>
        <v>0</v>
      </c>
      <c r="L198" s="16">
        <f>IF(CurrentMtgRatesDataTable8[[#This Row],[Servicing Spread]]&lt;=0,L197,CurrentMtgRatesDataTable8[[#This Row],[Servicing Spread]])</f>
        <v>0.59259999999999913</v>
      </c>
      <c r="M198" s="16">
        <f>CurrentMtgRatesDataTable8[[#This Row],[Servicing Spread Non-Zero]]-L197</f>
        <v>0</v>
      </c>
      <c r="N198" s="16">
        <f>IF(J197&lt;&gt;0,CurrentMtgRatesDataTable8[[#This Row],[Rate]]-C197,N197)</f>
        <v>6.0000000000000497E-2</v>
      </c>
    </row>
    <row r="199" spans="1:14">
      <c r="A199" s="8" t="s">
        <v>1551</v>
      </c>
      <c r="B199" s="11">
        <v>5.0869999999999997</v>
      </c>
      <c r="C199" s="13">
        <v>5.78</v>
      </c>
      <c r="D199" s="14">
        <f t="shared" si="21"/>
        <v>7</v>
      </c>
      <c r="E199" s="14">
        <f t="shared" si="22"/>
        <v>0.2</v>
      </c>
      <c r="F199" s="14">
        <f t="shared" si="23"/>
        <v>4</v>
      </c>
      <c r="G199" s="14">
        <f t="shared" si="24"/>
        <v>4.1316000000000006</v>
      </c>
      <c r="H199" s="14">
        <f t="shared" si="25"/>
        <v>0.8</v>
      </c>
      <c r="I199" s="14">
        <f t="shared" si="26"/>
        <v>1</v>
      </c>
      <c r="J199" s="14">
        <f t="shared" si="27"/>
        <v>5.1645000000000003</v>
      </c>
      <c r="K199" s="15">
        <f>IF(CurrentMtgRatesDataTable8[[#This Row],[WA CC]]&lt;&gt;0,C198-CurrentMtgRatesDataTable8[[#This Row],[WA CC]],0)</f>
        <v>0.61549999999999994</v>
      </c>
      <c r="L199" s="16">
        <f>IF(CurrentMtgRatesDataTable8[[#This Row],[Servicing Spread]]&lt;=0,L198,CurrentMtgRatesDataTable8[[#This Row],[Servicing Spread]])</f>
        <v>0.61549999999999994</v>
      </c>
      <c r="M199" s="16">
        <f>CurrentMtgRatesDataTable8[[#This Row],[Servicing Spread Non-Zero]]-L198</f>
        <v>2.2900000000000809E-2</v>
      </c>
      <c r="N199" s="16">
        <f>IF(J198&lt;&gt;0,CurrentMtgRatesDataTable8[[#This Row],[Rate]]-C198,N198)</f>
        <v>6.0000000000000497E-2</v>
      </c>
    </row>
    <row r="200" spans="1:14">
      <c r="A200" s="8" t="s">
        <v>1552</v>
      </c>
      <c r="B200" s="11">
        <v>5.1340000000000003</v>
      </c>
      <c r="C200" s="13">
        <v>5.7</v>
      </c>
      <c r="D200" s="14">
        <f t="shared" si="21"/>
        <v>1</v>
      </c>
      <c r="E200" s="14">
        <f t="shared" si="22"/>
        <v>0.2</v>
      </c>
      <c r="F200" s="14">
        <f t="shared" si="23"/>
        <v>1</v>
      </c>
      <c r="G200" s="14">
        <f t="shared" si="24"/>
        <v>1.0268000000000002</v>
      </c>
      <c r="H200" s="14">
        <f t="shared" si="25"/>
        <v>0.2</v>
      </c>
      <c r="I200" s="14">
        <f t="shared" si="26"/>
        <v>0</v>
      </c>
      <c r="J200" s="14">
        <f t="shared" si="27"/>
        <v>0</v>
      </c>
      <c r="K200" s="15">
        <f>IF(CurrentMtgRatesDataTable8[[#This Row],[WA CC]]&lt;&gt;0,C199-CurrentMtgRatesDataTable8[[#This Row],[WA CC]],0)</f>
        <v>0</v>
      </c>
      <c r="L200" s="16">
        <f>IF(CurrentMtgRatesDataTable8[[#This Row],[Servicing Spread]]&lt;=0,L199,CurrentMtgRatesDataTable8[[#This Row],[Servicing Spread]])</f>
        <v>0.61549999999999994</v>
      </c>
      <c r="M200" s="16">
        <f>CurrentMtgRatesDataTable8[[#This Row],[Servicing Spread Non-Zero]]-L199</f>
        <v>0</v>
      </c>
      <c r="N200" s="16">
        <f>IF(J199&lt;&gt;0,CurrentMtgRatesDataTable8[[#This Row],[Rate]]-C199,N199)</f>
        <v>-8.0000000000000071E-2</v>
      </c>
    </row>
    <row r="201" spans="1:14">
      <c r="A201" s="8" t="s">
        <v>1553</v>
      </c>
      <c r="B201" s="11">
        <v>5.1139999999999999</v>
      </c>
      <c r="C201" s="13">
        <v>5.7</v>
      </c>
      <c r="D201" s="14">
        <f t="shared" si="21"/>
        <v>2</v>
      </c>
      <c r="E201" s="14">
        <f t="shared" si="22"/>
        <v>0.2</v>
      </c>
      <c r="F201" s="14">
        <f t="shared" si="23"/>
        <v>2</v>
      </c>
      <c r="G201" s="14">
        <f t="shared" si="24"/>
        <v>2.0495999999999999</v>
      </c>
      <c r="H201" s="14">
        <f t="shared" si="25"/>
        <v>0.4</v>
      </c>
      <c r="I201" s="14">
        <f t="shared" si="26"/>
        <v>0</v>
      </c>
      <c r="J201" s="14">
        <f t="shared" si="27"/>
        <v>0</v>
      </c>
      <c r="K201" s="15">
        <f>IF(CurrentMtgRatesDataTable8[[#This Row],[WA CC]]&lt;&gt;0,C200-CurrentMtgRatesDataTable8[[#This Row],[WA CC]],0)</f>
        <v>0</v>
      </c>
      <c r="L201" s="16">
        <f>IF(CurrentMtgRatesDataTable8[[#This Row],[Servicing Spread]]&lt;=0,L200,CurrentMtgRatesDataTable8[[#This Row],[Servicing Spread]])</f>
        <v>0.61549999999999994</v>
      </c>
      <c r="M201" s="16">
        <f>CurrentMtgRatesDataTable8[[#This Row],[Servicing Spread Non-Zero]]-L200</f>
        <v>0</v>
      </c>
      <c r="N201" s="16">
        <f>IF(J200&lt;&gt;0,CurrentMtgRatesDataTable8[[#This Row],[Rate]]-C200,N200)</f>
        <v>-8.0000000000000071E-2</v>
      </c>
    </row>
    <row r="202" spans="1:14">
      <c r="A202" s="8" t="s">
        <v>1554</v>
      </c>
      <c r="B202" s="11">
        <v>5.0839999999999996</v>
      </c>
      <c r="C202" s="13">
        <v>5.7</v>
      </c>
      <c r="D202" s="14">
        <f t="shared" si="21"/>
        <v>5</v>
      </c>
      <c r="E202" s="14">
        <f t="shared" si="22"/>
        <v>0.2</v>
      </c>
      <c r="F202" s="14">
        <f t="shared" si="23"/>
        <v>3</v>
      </c>
      <c r="G202" s="14">
        <f t="shared" si="24"/>
        <v>3.0663999999999998</v>
      </c>
      <c r="H202" s="14">
        <f t="shared" si="25"/>
        <v>0.60000000000000009</v>
      </c>
      <c r="I202" s="14">
        <f t="shared" si="26"/>
        <v>0</v>
      </c>
      <c r="J202" s="14">
        <f t="shared" si="27"/>
        <v>0</v>
      </c>
      <c r="K202" s="15">
        <f>IF(CurrentMtgRatesDataTable8[[#This Row],[WA CC]]&lt;&gt;0,C201-CurrentMtgRatesDataTable8[[#This Row],[WA CC]],0)</f>
        <v>0</v>
      </c>
      <c r="L202" s="16">
        <f>IF(CurrentMtgRatesDataTable8[[#This Row],[Servicing Spread]]&lt;=0,L201,CurrentMtgRatesDataTable8[[#This Row],[Servicing Spread]])</f>
        <v>0.61549999999999994</v>
      </c>
      <c r="M202" s="16">
        <f>CurrentMtgRatesDataTable8[[#This Row],[Servicing Spread Non-Zero]]-L201</f>
        <v>0</v>
      </c>
      <c r="N202" s="16">
        <f>IF(J201&lt;&gt;0,CurrentMtgRatesDataTable8[[#This Row],[Rate]]-C201,N201)</f>
        <v>-8.0000000000000071E-2</v>
      </c>
    </row>
    <row r="203" spans="1:14">
      <c r="A203" s="8" t="s">
        <v>1555</v>
      </c>
      <c r="B203" s="11">
        <v>5.0529999999999999</v>
      </c>
      <c r="C203" s="13">
        <v>5.7</v>
      </c>
      <c r="D203" s="14">
        <f t="shared" si="21"/>
        <v>6</v>
      </c>
      <c r="E203" s="14">
        <f t="shared" si="22"/>
        <v>0.2</v>
      </c>
      <c r="F203" s="14">
        <f t="shared" si="23"/>
        <v>4</v>
      </c>
      <c r="G203" s="14">
        <f t="shared" si="24"/>
        <v>4.077</v>
      </c>
      <c r="H203" s="14">
        <f t="shared" si="25"/>
        <v>0.8</v>
      </c>
      <c r="I203" s="14">
        <f t="shared" si="26"/>
        <v>0</v>
      </c>
      <c r="J203" s="14">
        <f t="shared" si="27"/>
        <v>0</v>
      </c>
      <c r="K203" s="15">
        <f>IF(CurrentMtgRatesDataTable8[[#This Row],[WA CC]]&lt;&gt;0,C202-CurrentMtgRatesDataTable8[[#This Row],[WA CC]],0)</f>
        <v>0</v>
      </c>
      <c r="L203" s="16">
        <f>IF(CurrentMtgRatesDataTable8[[#This Row],[Servicing Spread]]&lt;=0,L202,CurrentMtgRatesDataTable8[[#This Row],[Servicing Spread]])</f>
        <v>0.61549999999999994</v>
      </c>
      <c r="M203" s="16">
        <f>CurrentMtgRatesDataTable8[[#This Row],[Servicing Spread Non-Zero]]-L202</f>
        <v>0</v>
      </c>
      <c r="N203" s="16">
        <f>IF(J202&lt;&gt;0,CurrentMtgRatesDataTable8[[#This Row],[Rate]]-C202,N202)</f>
        <v>-8.0000000000000071E-2</v>
      </c>
    </row>
    <row r="204" spans="1:14">
      <c r="A204" s="8" t="s">
        <v>1556</v>
      </c>
      <c r="B204" s="11">
        <v>5.0830000000000002</v>
      </c>
      <c r="C204" s="13">
        <v>5.7</v>
      </c>
      <c r="D204" s="14">
        <f t="shared" si="21"/>
        <v>7</v>
      </c>
      <c r="E204" s="14">
        <f t="shared" si="22"/>
        <v>0.2</v>
      </c>
      <c r="F204" s="14">
        <f t="shared" si="23"/>
        <v>5</v>
      </c>
      <c r="G204" s="14">
        <f t="shared" si="24"/>
        <v>5.0936000000000003</v>
      </c>
      <c r="H204" s="14">
        <f t="shared" si="25"/>
        <v>1</v>
      </c>
      <c r="I204" s="14">
        <f t="shared" si="26"/>
        <v>1</v>
      </c>
      <c r="J204" s="14">
        <f t="shared" si="27"/>
        <v>5.0936000000000003</v>
      </c>
      <c r="K204" s="15">
        <f>IF(CurrentMtgRatesDataTable8[[#This Row],[WA CC]]&lt;&gt;0,C203-CurrentMtgRatesDataTable8[[#This Row],[WA CC]],0)</f>
        <v>0.60639999999999983</v>
      </c>
      <c r="L204" s="16">
        <f>IF(CurrentMtgRatesDataTable8[[#This Row],[Servicing Spread]]&lt;=0,L203,CurrentMtgRatesDataTable8[[#This Row],[Servicing Spread]])</f>
        <v>0.60639999999999983</v>
      </c>
      <c r="M204" s="16">
        <f>CurrentMtgRatesDataTable8[[#This Row],[Servicing Spread Non-Zero]]-L203</f>
        <v>-9.100000000000108E-3</v>
      </c>
      <c r="N204" s="16">
        <f>IF(J203&lt;&gt;0,CurrentMtgRatesDataTable8[[#This Row],[Rate]]-C203,N203)</f>
        <v>-8.0000000000000071E-2</v>
      </c>
    </row>
    <row r="205" spans="1:14">
      <c r="A205" s="8" t="s">
        <v>1557</v>
      </c>
      <c r="B205" s="11">
        <v>4.9969999999999999</v>
      </c>
      <c r="C205" s="13">
        <v>5.625</v>
      </c>
      <c r="D205" s="14">
        <f t="shared" si="21"/>
        <v>1</v>
      </c>
      <c r="E205" s="14">
        <f t="shared" si="22"/>
        <v>0.2</v>
      </c>
      <c r="F205" s="14">
        <f t="shared" si="23"/>
        <v>1</v>
      </c>
      <c r="G205" s="14">
        <f t="shared" si="24"/>
        <v>0.99940000000000007</v>
      </c>
      <c r="H205" s="14">
        <f t="shared" si="25"/>
        <v>0.2</v>
      </c>
      <c r="I205" s="14">
        <f t="shared" si="26"/>
        <v>0</v>
      </c>
      <c r="J205" s="14">
        <f t="shared" si="27"/>
        <v>0</v>
      </c>
      <c r="K205" s="15">
        <f>IF(CurrentMtgRatesDataTable8[[#This Row],[WA CC]]&lt;&gt;0,C204-CurrentMtgRatesDataTable8[[#This Row],[WA CC]],0)</f>
        <v>0</v>
      </c>
      <c r="L205" s="16">
        <f>IF(CurrentMtgRatesDataTable8[[#This Row],[Servicing Spread]]&lt;=0,L204,CurrentMtgRatesDataTable8[[#This Row],[Servicing Spread]])</f>
        <v>0.60639999999999983</v>
      </c>
      <c r="M205" s="16">
        <f>CurrentMtgRatesDataTable8[[#This Row],[Servicing Spread Non-Zero]]-L204</f>
        <v>0</v>
      </c>
      <c r="N205" s="16">
        <f>IF(J204&lt;&gt;0,CurrentMtgRatesDataTable8[[#This Row],[Rate]]-C204,N204)</f>
        <v>-7.5000000000000178E-2</v>
      </c>
    </row>
    <row r="206" spans="1:14">
      <c r="A206" s="8" t="s">
        <v>1558</v>
      </c>
      <c r="B206" s="11">
        <v>5.0780000000000003</v>
      </c>
      <c r="C206" s="13">
        <v>5.625</v>
      </c>
      <c r="D206" s="14">
        <f t="shared" si="21"/>
        <v>2</v>
      </c>
      <c r="E206" s="14">
        <f t="shared" si="22"/>
        <v>0.2</v>
      </c>
      <c r="F206" s="14">
        <f t="shared" si="23"/>
        <v>2</v>
      </c>
      <c r="G206" s="14">
        <f t="shared" si="24"/>
        <v>2.0150000000000001</v>
      </c>
      <c r="H206" s="14">
        <f t="shared" si="25"/>
        <v>0.4</v>
      </c>
      <c r="I206" s="14">
        <f t="shared" si="26"/>
        <v>0</v>
      </c>
      <c r="J206" s="14">
        <f t="shared" si="27"/>
        <v>0</v>
      </c>
      <c r="K206" s="15">
        <f>IF(CurrentMtgRatesDataTable8[[#This Row],[WA CC]]&lt;&gt;0,C205-CurrentMtgRatesDataTable8[[#This Row],[WA CC]],0)</f>
        <v>0</v>
      </c>
      <c r="L206" s="16">
        <f>IF(CurrentMtgRatesDataTable8[[#This Row],[Servicing Spread]]&lt;=0,L205,CurrentMtgRatesDataTable8[[#This Row],[Servicing Spread]])</f>
        <v>0.60639999999999983</v>
      </c>
      <c r="M206" s="16">
        <f>CurrentMtgRatesDataTable8[[#This Row],[Servicing Spread Non-Zero]]-L205</f>
        <v>0</v>
      </c>
      <c r="N206" s="16">
        <f>IF(J205&lt;&gt;0,CurrentMtgRatesDataTable8[[#This Row],[Rate]]-C205,N205)</f>
        <v>-7.5000000000000178E-2</v>
      </c>
    </row>
    <row r="207" spans="1:14">
      <c r="A207" s="8" t="s">
        <v>1559</v>
      </c>
      <c r="B207" s="11">
        <v>5.01</v>
      </c>
      <c r="C207" s="13">
        <v>5.625</v>
      </c>
      <c r="D207" s="14">
        <f t="shared" si="21"/>
        <v>5</v>
      </c>
      <c r="E207" s="14">
        <f t="shared" si="22"/>
        <v>0.2</v>
      </c>
      <c r="F207" s="14">
        <f t="shared" si="23"/>
        <v>3</v>
      </c>
      <c r="G207" s="14">
        <f t="shared" si="24"/>
        <v>3.0170000000000003</v>
      </c>
      <c r="H207" s="14">
        <f t="shared" si="25"/>
        <v>0.60000000000000009</v>
      </c>
      <c r="I207" s="14">
        <f t="shared" si="26"/>
        <v>0</v>
      </c>
      <c r="J207" s="14">
        <f t="shared" si="27"/>
        <v>0</v>
      </c>
      <c r="K207" s="15">
        <f>IF(CurrentMtgRatesDataTable8[[#This Row],[WA CC]]&lt;&gt;0,C206-CurrentMtgRatesDataTable8[[#This Row],[WA CC]],0)</f>
        <v>0</v>
      </c>
      <c r="L207" s="16">
        <f>IF(CurrentMtgRatesDataTable8[[#This Row],[Servicing Spread]]&lt;=0,L206,CurrentMtgRatesDataTable8[[#This Row],[Servicing Spread]])</f>
        <v>0.60639999999999983</v>
      </c>
      <c r="M207" s="16">
        <f>CurrentMtgRatesDataTable8[[#This Row],[Servicing Spread Non-Zero]]-L206</f>
        <v>0</v>
      </c>
      <c r="N207" s="16">
        <f>IF(J206&lt;&gt;0,CurrentMtgRatesDataTable8[[#This Row],[Rate]]-C206,N206)</f>
        <v>-7.5000000000000178E-2</v>
      </c>
    </row>
    <row r="208" spans="1:14">
      <c r="A208" s="8" t="s">
        <v>1560</v>
      </c>
      <c r="B208" s="11">
        <v>5.0060000000000002</v>
      </c>
      <c r="C208" s="13">
        <v>5.625</v>
      </c>
      <c r="D208" s="14">
        <f t="shared" si="21"/>
        <v>6</v>
      </c>
      <c r="E208" s="14">
        <f t="shared" si="22"/>
        <v>0.2</v>
      </c>
      <c r="F208" s="14">
        <f t="shared" si="23"/>
        <v>4</v>
      </c>
      <c r="G208" s="14">
        <f t="shared" si="24"/>
        <v>4.0182000000000002</v>
      </c>
      <c r="H208" s="14">
        <f t="shared" si="25"/>
        <v>0.8</v>
      </c>
      <c r="I208" s="14">
        <f t="shared" si="26"/>
        <v>0</v>
      </c>
      <c r="J208" s="14">
        <f t="shared" si="27"/>
        <v>0</v>
      </c>
      <c r="K208" s="15">
        <f>IF(CurrentMtgRatesDataTable8[[#This Row],[WA CC]]&lt;&gt;0,C207-CurrentMtgRatesDataTable8[[#This Row],[WA CC]],0)</f>
        <v>0</v>
      </c>
      <c r="L208" s="16">
        <f>IF(CurrentMtgRatesDataTable8[[#This Row],[Servicing Spread]]&lt;=0,L207,CurrentMtgRatesDataTable8[[#This Row],[Servicing Spread]])</f>
        <v>0.60639999999999983</v>
      </c>
      <c r="M208" s="16">
        <f>CurrentMtgRatesDataTable8[[#This Row],[Servicing Spread Non-Zero]]-L207</f>
        <v>0</v>
      </c>
      <c r="N208" s="16">
        <f>IF(J207&lt;&gt;0,CurrentMtgRatesDataTable8[[#This Row],[Rate]]-C207,N207)</f>
        <v>-7.5000000000000178E-2</v>
      </c>
    </row>
    <row r="209" spans="1:14">
      <c r="A209" s="8" t="s">
        <v>1561</v>
      </c>
      <c r="B209" s="11">
        <v>4.9749999999999996</v>
      </c>
      <c r="C209" s="13">
        <v>5.625</v>
      </c>
      <c r="D209" s="14">
        <f t="shared" si="21"/>
        <v>7</v>
      </c>
      <c r="E209" s="14">
        <f t="shared" si="22"/>
        <v>0.2</v>
      </c>
      <c r="F209" s="14">
        <f t="shared" si="23"/>
        <v>5</v>
      </c>
      <c r="G209" s="14">
        <f t="shared" si="24"/>
        <v>5.0132000000000003</v>
      </c>
      <c r="H209" s="14">
        <f t="shared" si="25"/>
        <v>1</v>
      </c>
      <c r="I209" s="14">
        <f t="shared" si="26"/>
        <v>1</v>
      </c>
      <c r="J209" s="14">
        <f t="shared" si="27"/>
        <v>5.0132000000000003</v>
      </c>
      <c r="K209" s="15">
        <f>IF(CurrentMtgRatesDataTable8[[#This Row],[WA CC]]&lt;&gt;0,C208-CurrentMtgRatesDataTable8[[#This Row],[WA CC]],0)</f>
        <v>0.61179999999999968</v>
      </c>
      <c r="L209" s="16">
        <f>IF(CurrentMtgRatesDataTable8[[#This Row],[Servicing Spread]]&lt;=0,L208,CurrentMtgRatesDataTable8[[#This Row],[Servicing Spread]])</f>
        <v>0.61179999999999968</v>
      </c>
      <c r="M209" s="16">
        <f>CurrentMtgRatesDataTable8[[#This Row],[Servicing Spread Non-Zero]]-L208</f>
        <v>5.3999999999998494E-3</v>
      </c>
      <c r="N209" s="16">
        <f>IF(J208&lt;&gt;0,CurrentMtgRatesDataTable8[[#This Row],[Rate]]-C208,N208)</f>
        <v>-7.5000000000000178E-2</v>
      </c>
    </row>
    <row r="210" spans="1:14">
      <c r="A210" s="8" t="s">
        <v>1562</v>
      </c>
      <c r="B210" s="11">
        <v>5.0090000000000003</v>
      </c>
      <c r="C210" s="13">
        <v>5.62</v>
      </c>
      <c r="D210" s="14">
        <f t="shared" si="21"/>
        <v>1</v>
      </c>
      <c r="E210" s="14">
        <f t="shared" si="22"/>
        <v>0.2</v>
      </c>
      <c r="F210" s="14">
        <f t="shared" si="23"/>
        <v>1</v>
      </c>
      <c r="G210" s="14">
        <f t="shared" si="24"/>
        <v>1.0018</v>
      </c>
      <c r="H210" s="14">
        <f t="shared" si="25"/>
        <v>0.2</v>
      </c>
      <c r="I210" s="14">
        <f t="shared" si="26"/>
        <v>0</v>
      </c>
      <c r="J210" s="14">
        <f t="shared" si="27"/>
        <v>0</v>
      </c>
      <c r="K210" s="15">
        <f>IF(CurrentMtgRatesDataTable8[[#This Row],[WA CC]]&lt;&gt;0,C209-CurrentMtgRatesDataTable8[[#This Row],[WA CC]],0)</f>
        <v>0</v>
      </c>
      <c r="L210" s="16">
        <f>IF(CurrentMtgRatesDataTable8[[#This Row],[Servicing Spread]]&lt;=0,L209,CurrentMtgRatesDataTable8[[#This Row],[Servicing Spread]])</f>
        <v>0.61179999999999968</v>
      </c>
      <c r="M210" s="16">
        <f>CurrentMtgRatesDataTable8[[#This Row],[Servicing Spread Non-Zero]]-L209</f>
        <v>0</v>
      </c>
      <c r="N210" s="16">
        <f>IF(J209&lt;&gt;0,CurrentMtgRatesDataTable8[[#This Row],[Rate]]-C209,N209)</f>
        <v>-4.9999999999998934E-3</v>
      </c>
    </row>
    <row r="211" spans="1:14">
      <c r="A211" s="8" t="s">
        <v>1563</v>
      </c>
      <c r="B211" s="11">
        <v>5.0270000000000001</v>
      </c>
      <c r="C211" s="13">
        <v>5.62</v>
      </c>
      <c r="D211" s="14">
        <f t="shared" si="21"/>
        <v>2</v>
      </c>
      <c r="E211" s="14">
        <f t="shared" si="22"/>
        <v>0.2</v>
      </c>
      <c r="F211" s="14">
        <f t="shared" si="23"/>
        <v>2</v>
      </c>
      <c r="G211" s="14">
        <f t="shared" si="24"/>
        <v>2.0072000000000001</v>
      </c>
      <c r="H211" s="14">
        <f t="shared" si="25"/>
        <v>0.4</v>
      </c>
      <c r="I211" s="14">
        <f t="shared" si="26"/>
        <v>0</v>
      </c>
      <c r="J211" s="14">
        <f t="shared" si="27"/>
        <v>0</v>
      </c>
      <c r="K211" s="15">
        <f>IF(CurrentMtgRatesDataTable8[[#This Row],[WA CC]]&lt;&gt;0,C210-CurrentMtgRatesDataTable8[[#This Row],[WA CC]],0)</f>
        <v>0</v>
      </c>
      <c r="L211" s="16">
        <f>IF(CurrentMtgRatesDataTable8[[#This Row],[Servicing Spread]]&lt;=0,L210,CurrentMtgRatesDataTable8[[#This Row],[Servicing Spread]])</f>
        <v>0.61179999999999968</v>
      </c>
      <c r="M211" s="16">
        <f>CurrentMtgRatesDataTable8[[#This Row],[Servicing Spread Non-Zero]]-L210</f>
        <v>0</v>
      </c>
      <c r="N211" s="16">
        <f>IF(J210&lt;&gt;0,CurrentMtgRatesDataTable8[[#This Row],[Rate]]-C210,N210)</f>
        <v>-4.9999999999998934E-3</v>
      </c>
    </row>
    <row r="212" spans="1:14">
      <c r="A212" s="8" t="s">
        <v>1564</v>
      </c>
      <c r="B212" s="11">
        <v>5.01</v>
      </c>
      <c r="C212" s="13">
        <v>5.62</v>
      </c>
      <c r="D212" s="14">
        <f t="shared" si="21"/>
        <v>5</v>
      </c>
      <c r="E212" s="14">
        <f t="shared" si="22"/>
        <v>0.2</v>
      </c>
      <c r="F212" s="14">
        <f t="shared" si="23"/>
        <v>3</v>
      </c>
      <c r="G212" s="14">
        <f t="shared" si="24"/>
        <v>3.0091999999999999</v>
      </c>
      <c r="H212" s="14">
        <f t="shared" si="25"/>
        <v>0.60000000000000009</v>
      </c>
      <c r="I212" s="14">
        <f t="shared" si="26"/>
        <v>0</v>
      </c>
      <c r="J212" s="14">
        <f t="shared" si="27"/>
        <v>0</v>
      </c>
      <c r="K212" s="15">
        <f>IF(CurrentMtgRatesDataTable8[[#This Row],[WA CC]]&lt;&gt;0,C211-CurrentMtgRatesDataTable8[[#This Row],[WA CC]],0)</f>
        <v>0</v>
      </c>
      <c r="L212" s="16">
        <f>IF(CurrentMtgRatesDataTable8[[#This Row],[Servicing Spread]]&lt;=0,L211,CurrentMtgRatesDataTable8[[#This Row],[Servicing Spread]])</f>
        <v>0.61179999999999968</v>
      </c>
      <c r="M212" s="16">
        <f>CurrentMtgRatesDataTable8[[#This Row],[Servicing Spread Non-Zero]]-L211</f>
        <v>0</v>
      </c>
      <c r="N212" s="16">
        <f>IF(J211&lt;&gt;0,CurrentMtgRatesDataTable8[[#This Row],[Rate]]-C211,N211)</f>
        <v>-4.9999999999998934E-3</v>
      </c>
    </row>
    <row r="213" spans="1:14">
      <c r="A213" s="8" t="s">
        <v>1565</v>
      </c>
      <c r="B213" s="11">
        <v>5.0309999999999997</v>
      </c>
      <c r="C213" s="13">
        <v>5.62</v>
      </c>
      <c r="D213" s="14">
        <f t="shared" si="21"/>
        <v>6</v>
      </c>
      <c r="E213" s="14">
        <f t="shared" si="22"/>
        <v>0.2</v>
      </c>
      <c r="F213" s="14">
        <f t="shared" si="23"/>
        <v>4</v>
      </c>
      <c r="G213" s="14">
        <f t="shared" si="24"/>
        <v>4.0153999999999996</v>
      </c>
      <c r="H213" s="14">
        <f t="shared" si="25"/>
        <v>0.8</v>
      </c>
      <c r="I213" s="14">
        <f t="shared" si="26"/>
        <v>0</v>
      </c>
      <c r="J213" s="14">
        <f t="shared" si="27"/>
        <v>0</v>
      </c>
      <c r="K213" s="15">
        <f>IF(CurrentMtgRatesDataTable8[[#This Row],[WA CC]]&lt;&gt;0,C212-CurrentMtgRatesDataTable8[[#This Row],[WA CC]],0)</f>
        <v>0</v>
      </c>
      <c r="L213" s="16">
        <f>IF(CurrentMtgRatesDataTable8[[#This Row],[Servicing Spread]]&lt;=0,L212,CurrentMtgRatesDataTable8[[#This Row],[Servicing Spread]])</f>
        <v>0.61179999999999968</v>
      </c>
      <c r="M213" s="16">
        <f>CurrentMtgRatesDataTable8[[#This Row],[Servicing Spread Non-Zero]]-L212</f>
        <v>0</v>
      </c>
      <c r="N213" s="16">
        <f>IF(J212&lt;&gt;0,CurrentMtgRatesDataTable8[[#This Row],[Rate]]-C212,N212)</f>
        <v>-4.9999999999998934E-3</v>
      </c>
    </row>
    <row r="214" spans="1:14">
      <c r="A214" s="8" t="s">
        <v>1566</v>
      </c>
      <c r="B214" s="11">
        <v>5.1059999999999999</v>
      </c>
      <c r="C214" s="13">
        <v>5.62</v>
      </c>
      <c r="D214" s="14">
        <f t="shared" si="21"/>
        <v>7</v>
      </c>
      <c r="E214" s="14">
        <f t="shared" si="22"/>
        <v>0.2</v>
      </c>
      <c r="F214" s="14">
        <f t="shared" si="23"/>
        <v>5</v>
      </c>
      <c r="G214" s="14">
        <f t="shared" si="24"/>
        <v>5.0366</v>
      </c>
      <c r="H214" s="14">
        <f t="shared" si="25"/>
        <v>1</v>
      </c>
      <c r="I214" s="14">
        <f t="shared" si="26"/>
        <v>1</v>
      </c>
      <c r="J214" s="14">
        <f t="shared" si="27"/>
        <v>5.0366</v>
      </c>
      <c r="K214" s="15">
        <f>IF(CurrentMtgRatesDataTable8[[#This Row],[WA CC]]&lt;&gt;0,C213-CurrentMtgRatesDataTable8[[#This Row],[WA CC]],0)</f>
        <v>0.58340000000000014</v>
      </c>
      <c r="L214" s="16">
        <f>IF(CurrentMtgRatesDataTable8[[#This Row],[Servicing Spread]]&lt;=0,L213,CurrentMtgRatesDataTable8[[#This Row],[Servicing Spread]])</f>
        <v>0.58340000000000014</v>
      </c>
      <c r="M214" s="16">
        <f>CurrentMtgRatesDataTable8[[#This Row],[Servicing Spread Non-Zero]]-L213</f>
        <v>-2.8399999999999537E-2</v>
      </c>
      <c r="N214" s="16">
        <f>IF(J213&lt;&gt;0,CurrentMtgRatesDataTable8[[#This Row],[Rate]]-C213,N213)</f>
        <v>-4.9999999999998934E-3</v>
      </c>
    </row>
    <row r="215" spans="1:14">
      <c r="A215" s="8" t="s">
        <v>1567</v>
      </c>
      <c r="B215" s="11">
        <v>5.14</v>
      </c>
      <c r="C215" s="13">
        <v>5.7200000000000006</v>
      </c>
      <c r="D215" s="14">
        <f t="shared" si="21"/>
        <v>1</v>
      </c>
      <c r="E215" s="14">
        <f t="shared" si="22"/>
        <v>0.2</v>
      </c>
      <c r="F215" s="14">
        <f t="shared" si="23"/>
        <v>1</v>
      </c>
      <c r="G215" s="14">
        <f t="shared" si="24"/>
        <v>1.028</v>
      </c>
      <c r="H215" s="14">
        <f t="shared" si="25"/>
        <v>0.2</v>
      </c>
      <c r="I215" s="14">
        <f t="shared" si="26"/>
        <v>0</v>
      </c>
      <c r="J215" s="14">
        <f t="shared" si="27"/>
        <v>0</v>
      </c>
      <c r="K215" s="15">
        <f>IF(CurrentMtgRatesDataTable8[[#This Row],[WA CC]]&lt;&gt;0,C214-CurrentMtgRatesDataTable8[[#This Row],[WA CC]],0)</f>
        <v>0</v>
      </c>
      <c r="L215" s="16">
        <f>IF(CurrentMtgRatesDataTable8[[#This Row],[Servicing Spread]]&lt;=0,L214,CurrentMtgRatesDataTable8[[#This Row],[Servicing Spread]])</f>
        <v>0.58340000000000014</v>
      </c>
      <c r="M215" s="16">
        <f>CurrentMtgRatesDataTable8[[#This Row],[Servicing Spread Non-Zero]]-L214</f>
        <v>0</v>
      </c>
      <c r="N215" s="16">
        <f>IF(J214&lt;&gt;0,CurrentMtgRatesDataTable8[[#This Row],[Rate]]-C214,N214)</f>
        <v>0.10000000000000053</v>
      </c>
    </row>
    <row r="216" spans="1:14">
      <c r="A216" s="8" t="s">
        <v>1568</v>
      </c>
      <c r="B216" s="11">
        <v>5.2009999999999996</v>
      </c>
      <c r="C216" s="13">
        <v>5.7200000000000006</v>
      </c>
      <c r="D216" s="14">
        <f t="shared" si="21"/>
        <v>2</v>
      </c>
      <c r="E216" s="14">
        <f t="shared" si="22"/>
        <v>0.2</v>
      </c>
      <c r="F216" s="14">
        <f t="shared" si="23"/>
        <v>2</v>
      </c>
      <c r="G216" s="14">
        <f t="shared" si="24"/>
        <v>2.0682</v>
      </c>
      <c r="H216" s="14">
        <f t="shared" si="25"/>
        <v>0.4</v>
      </c>
      <c r="I216" s="14">
        <f t="shared" si="26"/>
        <v>0</v>
      </c>
      <c r="J216" s="14">
        <f t="shared" si="27"/>
        <v>0</v>
      </c>
      <c r="K216" s="15">
        <f>IF(CurrentMtgRatesDataTable8[[#This Row],[WA CC]]&lt;&gt;0,C215-CurrentMtgRatesDataTable8[[#This Row],[WA CC]],0)</f>
        <v>0</v>
      </c>
      <c r="L216" s="16">
        <f>IF(CurrentMtgRatesDataTable8[[#This Row],[Servicing Spread]]&lt;=0,L215,CurrentMtgRatesDataTable8[[#This Row],[Servicing Spread]])</f>
        <v>0.58340000000000014</v>
      </c>
      <c r="M216" s="16">
        <f>CurrentMtgRatesDataTable8[[#This Row],[Servicing Spread Non-Zero]]-L215</f>
        <v>0</v>
      </c>
      <c r="N216" s="16">
        <f>IF(J215&lt;&gt;0,CurrentMtgRatesDataTable8[[#This Row],[Rate]]-C215,N215)</f>
        <v>0.10000000000000053</v>
      </c>
    </row>
    <row r="217" spans="1:14">
      <c r="A217" s="8" t="s">
        <v>1569</v>
      </c>
      <c r="B217" s="11">
        <v>5.1840000000000002</v>
      </c>
      <c r="C217" s="13">
        <v>5.7200000000000006</v>
      </c>
      <c r="D217" s="14">
        <f t="shared" si="21"/>
        <v>5</v>
      </c>
      <c r="E217" s="14">
        <f t="shared" si="22"/>
        <v>0.2</v>
      </c>
      <c r="F217" s="14">
        <f t="shared" si="23"/>
        <v>3</v>
      </c>
      <c r="G217" s="14">
        <f t="shared" si="24"/>
        <v>3.1050000000000004</v>
      </c>
      <c r="H217" s="14">
        <f t="shared" si="25"/>
        <v>0.60000000000000009</v>
      </c>
      <c r="I217" s="14">
        <f t="shared" si="26"/>
        <v>0</v>
      </c>
      <c r="J217" s="14">
        <f t="shared" si="27"/>
        <v>0</v>
      </c>
      <c r="K217" s="15">
        <f>IF(CurrentMtgRatesDataTable8[[#This Row],[WA CC]]&lt;&gt;0,C216-CurrentMtgRatesDataTable8[[#This Row],[WA CC]],0)</f>
        <v>0</v>
      </c>
      <c r="L217" s="16">
        <f>IF(CurrentMtgRatesDataTable8[[#This Row],[Servicing Spread]]&lt;=0,L216,CurrentMtgRatesDataTable8[[#This Row],[Servicing Spread]])</f>
        <v>0.58340000000000014</v>
      </c>
      <c r="M217" s="16">
        <f>CurrentMtgRatesDataTable8[[#This Row],[Servicing Spread Non-Zero]]-L216</f>
        <v>0</v>
      </c>
      <c r="N217" s="16">
        <f>IF(J216&lt;&gt;0,CurrentMtgRatesDataTable8[[#This Row],[Rate]]-C216,N216)</f>
        <v>0.10000000000000053</v>
      </c>
    </row>
    <row r="218" spans="1:14">
      <c r="A218" s="8" t="s">
        <v>1570</v>
      </c>
      <c r="B218" s="11">
        <v>5.1710000000000003</v>
      </c>
      <c r="C218" s="13">
        <v>5.7200000000000006</v>
      </c>
      <c r="D218" s="14">
        <f t="shared" si="21"/>
        <v>6</v>
      </c>
      <c r="E218" s="14">
        <f t="shared" si="22"/>
        <v>0.2</v>
      </c>
      <c r="F218" s="14">
        <f t="shared" si="23"/>
        <v>4</v>
      </c>
      <c r="G218" s="14">
        <f t="shared" si="24"/>
        <v>4.1392000000000007</v>
      </c>
      <c r="H218" s="14">
        <f t="shared" si="25"/>
        <v>0.8</v>
      </c>
      <c r="I218" s="14">
        <f t="shared" si="26"/>
        <v>0</v>
      </c>
      <c r="J218" s="14">
        <f t="shared" si="27"/>
        <v>0</v>
      </c>
      <c r="K218" s="15">
        <f>IF(CurrentMtgRatesDataTable8[[#This Row],[WA CC]]&lt;&gt;0,C217-CurrentMtgRatesDataTable8[[#This Row],[WA CC]],0)</f>
        <v>0</v>
      </c>
      <c r="L218" s="16">
        <f>IF(CurrentMtgRatesDataTable8[[#This Row],[Servicing Spread]]&lt;=0,L217,CurrentMtgRatesDataTable8[[#This Row],[Servicing Spread]])</f>
        <v>0.58340000000000014</v>
      </c>
      <c r="M218" s="16">
        <f>CurrentMtgRatesDataTable8[[#This Row],[Servicing Spread Non-Zero]]-L217</f>
        <v>0</v>
      </c>
      <c r="N218" s="16">
        <f>IF(J217&lt;&gt;0,CurrentMtgRatesDataTable8[[#This Row],[Rate]]-C217,N217)</f>
        <v>0.10000000000000053</v>
      </c>
    </row>
    <row r="219" spans="1:14">
      <c r="A219" s="8" t="s">
        <v>1571</v>
      </c>
      <c r="B219" s="11">
        <v>5.2050000000000001</v>
      </c>
      <c r="C219" s="13">
        <v>5.7200000000000006</v>
      </c>
      <c r="D219" s="14">
        <f t="shared" si="21"/>
        <v>7</v>
      </c>
      <c r="E219" s="14">
        <f t="shared" si="22"/>
        <v>0.2</v>
      </c>
      <c r="F219" s="14">
        <f t="shared" si="23"/>
        <v>5</v>
      </c>
      <c r="G219" s="14">
        <f t="shared" si="24"/>
        <v>5.180200000000001</v>
      </c>
      <c r="H219" s="14">
        <f t="shared" si="25"/>
        <v>1</v>
      </c>
      <c r="I219" s="14">
        <f t="shared" si="26"/>
        <v>1</v>
      </c>
      <c r="J219" s="14">
        <f t="shared" si="27"/>
        <v>5.180200000000001</v>
      </c>
      <c r="K219" s="15">
        <f>IF(CurrentMtgRatesDataTable8[[#This Row],[WA CC]]&lt;&gt;0,C218-CurrentMtgRatesDataTable8[[#This Row],[WA CC]],0)</f>
        <v>0.53979999999999961</v>
      </c>
      <c r="L219" s="16">
        <f>IF(CurrentMtgRatesDataTable8[[#This Row],[Servicing Spread]]&lt;=0,L218,CurrentMtgRatesDataTable8[[#This Row],[Servicing Spread]])</f>
        <v>0.53979999999999961</v>
      </c>
      <c r="M219" s="16">
        <f>CurrentMtgRatesDataTable8[[#This Row],[Servicing Spread Non-Zero]]-L218</f>
        <v>-4.3600000000000527E-2</v>
      </c>
      <c r="N219" s="16">
        <f>IF(J218&lt;&gt;0,CurrentMtgRatesDataTable8[[#This Row],[Rate]]-C218,N218)</f>
        <v>0.10000000000000053</v>
      </c>
    </row>
    <row r="220" spans="1:14">
      <c r="A220" s="8" t="s">
        <v>1572</v>
      </c>
      <c r="B220" s="11">
        <v>5.22</v>
      </c>
      <c r="C220" s="13">
        <v>5.6400000000000006</v>
      </c>
      <c r="D220" s="14">
        <f t="shared" si="21"/>
        <v>1</v>
      </c>
      <c r="E220" s="14">
        <f t="shared" si="22"/>
        <v>0.2</v>
      </c>
      <c r="F220" s="14">
        <f t="shared" si="23"/>
        <v>1</v>
      </c>
      <c r="G220" s="14">
        <f t="shared" si="24"/>
        <v>1.044</v>
      </c>
      <c r="H220" s="14">
        <f t="shared" si="25"/>
        <v>0.2</v>
      </c>
      <c r="I220" s="14">
        <f t="shared" si="26"/>
        <v>0</v>
      </c>
      <c r="J220" s="14">
        <f t="shared" si="27"/>
        <v>0</v>
      </c>
      <c r="K220" s="15">
        <f>IF(CurrentMtgRatesDataTable8[[#This Row],[WA CC]]&lt;&gt;0,C219-CurrentMtgRatesDataTable8[[#This Row],[WA CC]],0)</f>
        <v>0</v>
      </c>
      <c r="L220" s="16">
        <f>IF(CurrentMtgRatesDataTable8[[#This Row],[Servicing Spread]]&lt;=0,L219,CurrentMtgRatesDataTable8[[#This Row],[Servicing Spread]])</f>
        <v>0.53979999999999961</v>
      </c>
      <c r="M220" s="16">
        <f>CurrentMtgRatesDataTable8[[#This Row],[Servicing Spread Non-Zero]]-L219</f>
        <v>0</v>
      </c>
      <c r="N220" s="16">
        <f>IF(J219&lt;&gt;0,CurrentMtgRatesDataTable8[[#This Row],[Rate]]-C219,N219)</f>
        <v>-8.0000000000000071E-2</v>
      </c>
    </row>
    <row r="221" spans="1:14">
      <c r="A221" s="8" t="s">
        <v>1573</v>
      </c>
      <c r="B221" s="11">
        <v>5.09</v>
      </c>
      <c r="C221" s="13">
        <v>5.6400000000000006</v>
      </c>
      <c r="D221" s="14">
        <f t="shared" si="21"/>
        <v>2</v>
      </c>
      <c r="E221" s="14">
        <f t="shared" si="22"/>
        <v>0.2</v>
      </c>
      <c r="F221" s="14">
        <f t="shared" si="23"/>
        <v>2</v>
      </c>
      <c r="G221" s="14">
        <f t="shared" si="24"/>
        <v>2.0620000000000003</v>
      </c>
      <c r="H221" s="14">
        <f t="shared" si="25"/>
        <v>0.4</v>
      </c>
      <c r="I221" s="14">
        <f t="shared" si="26"/>
        <v>0</v>
      </c>
      <c r="J221" s="14">
        <f t="shared" si="27"/>
        <v>0</v>
      </c>
      <c r="K221" s="15">
        <f>IF(CurrentMtgRatesDataTable8[[#This Row],[WA CC]]&lt;&gt;0,C220-CurrentMtgRatesDataTable8[[#This Row],[WA CC]],0)</f>
        <v>0</v>
      </c>
      <c r="L221" s="16">
        <f>IF(CurrentMtgRatesDataTable8[[#This Row],[Servicing Spread]]&lt;=0,L220,CurrentMtgRatesDataTable8[[#This Row],[Servicing Spread]])</f>
        <v>0.53979999999999961</v>
      </c>
      <c r="M221" s="16">
        <f>CurrentMtgRatesDataTable8[[#This Row],[Servicing Spread Non-Zero]]-L220</f>
        <v>0</v>
      </c>
      <c r="N221" s="16">
        <f>IF(J220&lt;&gt;0,CurrentMtgRatesDataTable8[[#This Row],[Rate]]-C220,N220)</f>
        <v>-8.0000000000000071E-2</v>
      </c>
    </row>
    <row r="222" spans="1:14">
      <c r="A222" s="8" t="s">
        <v>1574</v>
      </c>
      <c r="B222" s="11">
        <v>5.0650000000000004</v>
      </c>
      <c r="C222" s="13">
        <v>5.6400000000000006</v>
      </c>
      <c r="D222" s="14">
        <f t="shared" si="21"/>
        <v>6</v>
      </c>
      <c r="E222" s="14">
        <f t="shared" si="22"/>
        <v>0.2</v>
      </c>
      <c r="F222" s="14">
        <f t="shared" si="23"/>
        <v>3</v>
      </c>
      <c r="G222" s="14">
        <f t="shared" si="24"/>
        <v>3.0750000000000002</v>
      </c>
      <c r="H222" s="14">
        <f t="shared" si="25"/>
        <v>0.60000000000000009</v>
      </c>
      <c r="I222" s="14">
        <f t="shared" si="26"/>
        <v>0</v>
      </c>
      <c r="J222" s="14">
        <f t="shared" si="27"/>
        <v>0</v>
      </c>
      <c r="K222" s="15">
        <f>IF(CurrentMtgRatesDataTable8[[#This Row],[WA CC]]&lt;&gt;0,C221-CurrentMtgRatesDataTable8[[#This Row],[WA CC]],0)</f>
        <v>0</v>
      </c>
      <c r="L222" s="16">
        <f>IF(CurrentMtgRatesDataTable8[[#This Row],[Servicing Spread]]&lt;=0,L221,CurrentMtgRatesDataTable8[[#This Row],[Servicing Spread]])</f>
        <v>0.53979999999999961</v>
      </c>
      <c r="M222" s="16">
        <f>CurrentMtgRatesDataTable8[[#This Row],[Servicing Spread Non-Zero]]-L221</f>
        <v>0</v>
      </c>
      <c r="N222" s="16">
        <f>IF(J221&lt;&gt;0,CurrentMtgRatesDataTable8[[#This Row],[Rate]]-C221,N221)</f>
        <v>-8.0000000000000071E-2</v>
      </c>
    </row>
    <row r="223" spans="1:14">
      <c r="A223" s="8" t="s">
        <v>1575</v>
      </c>
      <c r="B223" s="11">
        <v>5.0469999999999997</v>
      </c>
      <c r="C223" s="13">
        <v>5.6400000000000006</v>
      </c>
      <c r="D223" s="14">
        <f t="shared" si="21"/>
        <v>7</v>
      </c>
      <c r="E223" s="14">
        <f t="shared" si="22"/>
        <v>0.2</v>
      </c>
      <c r="F223" s="14">
        <f t="shared" si="23"/>
        <v>4</v>
      </c>
      <c r="G223" s="14">
        <f t="shared" si="24"/>
        <v>4.0844000000000005</v>
      </c>
      <c r="H223" s="14">
        <f t="shared" si="25"/>
        <v>0.8</v>
      </c>
      <c r="I223" s="14">
        <f t="shared" si="26"/>
        <v>1</v>
      </c>
      <c r="J223" s="14">
        <f t="shared" si="27"/>
        <v>5.1055000000000001</v>
      </c>
      <c r="K223" s="15">
        <f>IF(CurrentMtgRatesDataTable8[[#This Row],[WA CC]]&lt;&gt;0,C222-CurrentMtgRatesDataTable8[[#This Row],[WA CC]],0)</f>
        <v>0.53450000000000042</v>
      </c>
      <c r="L223" s="16">
        <f>IF(CurrentMtgRatesDataTable8[[#This Row],[Servicing Spread]]&lt;=0,L222,CurrentMtgRatesDataTable8[[#This Row],[Servicing Spread]])</f>
        <v>0.53450000000000042</v>
      </c>
      <c r="M223" s="16">
        <f>CurrentMtgRatesDataTable8[[#This Row],[Servicing Spread Non-Zero]]-L222</f>
        <v>-5.2999999999991942E-3</v>
      </c>
      <c r="N223" s="16">
        <f>IF(J222&lt;&gt;0,CurrentMtgRatesDataTable8[[#This Row],[Rate]]-C222,N222)</f>
        <v>-8.0000000000000071E-2</v>
      </c>
    </row>
    <row r="224" spans="1:14">
      <c r="A224" s="8" t="s">
        <v>1576</v>
      </c>
      <c r="B224" s="11">
        <v>4.9950000000000001</v>
      </c>
      <c r="C224" s="13">
        <v>5.6150000000000002</v>
      </c>
      <c r="D224" s="14">
        <f t="shared" si="21"/>
        <v>1</v>
      </c>
      <c r="E224" s="14">
        <f t="shared" si="22"/>
        <v>0.2</v>
      </c>
      <c r="F224" s="14">
        <f t="shared" si="23"/>
        <v>1</v>
      </c>
      <c r="G224" s="14">
        <f t="shared" si="24"/>
        <v>0.99900000000000011</v>
      </c>
      <c r="H224" s="14">
        <f t="shared" si="25"/>
        <v>0.2</v>
      </c>
      <c r="I224" s="14">
        <f t="shared" si="26"/>
        <v>0</v>
      </c>
      <c r="J224" s="14">
        <f t="shared" si="27"/>
        <v>0</v>
      </c>
      <c r="K224" s="15">
        <f>IF(CurrentMtgRatesDataTable8[[#This Row],[WA CC]]&lt;&gt;0,C223-CurrentMtgRatesDataTable8[[#This Row],[WA CC]],0)</f>
        <v>0</v>
      </c>
      <c r="L224" s="16">
        <f>IF(CurrentMtgRatesDataTable8[[#This Row],[Servicing Spread]]&lt;=0,L223,CurrentMtgRatesDataTable8[[#This Row],[Servicing Spread]])</f>
        <v>0.53450000000000042</v>
      </c>
      <c r="M224" s="16">
        <f>CurrentMtgRatesDataTable8[[#This Row],[Servicing Spread Non-Zero]]-L223</f>
        <v>0</v>
      </c>
      <c r="N224" s="16">
        <f>IF(J223&lt;&gt;0,CurrentMtgRatesDataTable8[[#This Row],[Rate]]-C223,N223)</f>
        <v>-2.5000000000000355E-2</v>
      </c>
    </row>
    <row r="225" spans="1:14">
      <c r="A225" s="8" t="s">
        <v>1577</v>
      </c>
      <c r="B225" s="11">
        <v>5.0259999999999998</v>
      </c>
      <c r="C225" s="13">
        <v>5.6150000000000002</v>
      </c>
      <c r="D225" s="14">
        <f t="shared" si="21"/>
        <v>2</v>
      </c>
      <c r="E225" s="14">
        <f t="shared" si="22"/>
        <v>0.2</v>
      </c>
      <c r="F225" s="14">
        <f t="shared" si="23"/>
        <v>2</v>
      </c>
      <c r="G225" s="14">
        <f t="shared" si="24"/>
        <v>2.0042</v>
      </c>
      <c r="H225" s="14">
        <f t="shared" si="25"/>
        <v>0.4</v>
      </c>
      <c r="I225" s="14">
        <f t="shared" si="26"/>
        <v>0</v>
      </c>
      <c r="J225" s="14">
        <f t="shared" si="27"/>
        <v>0</v>
      </c>
      <c r="K225" s="15">
        <f>IF(CurrentMtgRatesDataTable8[[#This Row],[WA CC]]&lt;&gt;0,C224-CurrentMtgRatesDataTable8[[#This Row],[WA CC]],0)</f>
        <v>0</v>
      </c>
      <c r="L225" s="16">
        <f>IF(CurrentMtgRatesDataTable8[[#This Row],[Servicing Spread]]&lt;=0,L224,CurrentMtgRatesDataTable8[[#This Row],[Servicing Spread]])</f>
        <v>0.53450000000000042</v>
      </c>
      <c r="M225" s="16">
        <f>CurrentMtgRatesDataTable8[[#This Row],[Servicing Spread Non-Zero]]-L224</f>
        <v>0</v>
      </c>
      <c r="N225" s="16">
        <f>IF(J224&lt;&gt;0,CurrentMtgRatesDataTable8[[#This Row],[Rate]]-C224,N224)</f>
        <v>-2.5000000000000355E-2</v>
      </c>
    </row>
    <row r="226" spans="1:14">
      <c r="A226" s="8" t="s">
        <v>1578</v>
      </c>
      <c r="B226" s="11">
        <v>5.0279999999999996</v>
      </c>
      <c r="C226" s="13">
        <v>5.6150000000000002</v>
      </c>
      <c r="D226" s="14">
        <f t="shared" si="21"/>
        <v>5</v>
      </c>
      <c r="E226" s="14">
        <f t="shared" si="22"/>
        <v>0.2</v>
      </c>
      <c r="F226" s="14">
        <f t="shared" si="23"/>
        <v>3</v>
      </c>
      <c r="G226" s="14">
        <f t="shared" si="24"/>
        <v>3.0098000000000003</v>
      </c>
      <c r="H226" s="14">
        <f t="shared" si="25"/>
        <v>0.60000000000000009</v>
      </c>
      <c r="I226" s="14">
        <f t="shared" si="26"/>
        <v>0</v>
      </c>
      <c r="J226" s="14">
        <f t="shared" si="27"/>
        <v>0</v>
      </c>
      <c r="K226" s="15">
        <f>IF(CurrentMtgRatesDataTable8[[#This Row],[WA CC]]&lt;&gt;0,C225-CurrentMtgRatesDataTable8[[#This Row],[WA CC]],0)</f>
        <v>0</v>
      </c>
      <c r="L226" s="16">
        <f>IF(CurrentMtgRatesDataTable8[[#This Row],[Servicing Spread]]&lt;=0,L225,CurrentMtgRatesDataTable8[[#This Row],[Servicing Spread]])</f>
        <v>0.53450000000000042</v>
      </c>
      <c r="M226" s="16">
        <f>CurrentMtgRatesDataTable8[[#This Row],[Servicing Spread Non-Zero]]-L225</f>
        <v>0</v>
      </c>
      <c r="N226" s="16">
        <f>IF(J225&lt;&gt;0,CurrentMtgRatesDataTable8[[#This Row],[Rate]]-C225,N225)</f>
        <v>-2.5000000000000355E-2</v>
      </c>
    </row>
    <row r="227" spans="1:14">
      <c r="A227" s="8" t="s">
        <v>1579</v>
      </c>
      <c r="B227" s="11">
        <v>5.0170000000000003</v>
      </c>
      <c r="C227" s="13">
        <v>5.6150000000000002</v>
      </c>
      <c r="D227" s="14">
        <f t="shared" si="21"/>
        <v>6</v>
      </c>
      <c r="E227" s="14">
        <f t="shared" si="22"/>
        <v>0.2</v>
      </c>
      <c r="F227" s="14">
        <f t="shared" si="23"/>
        <v>4</v>
      </c>
      <c r="G227" s="14">
        <f t="shared" si="24"/>
        <v>4.0132000000000003</v>
      </c>
      <c r="H227" s="14">
        <f t="shared" si="25"/>
        <v>0.8</v>
      </c>
      <c r="I227" s="14">
        <f t="shared" si="26"/>
        <v>0</v>
      </c>
      <c r="J227" s="14">
        <f t="shared" si="27"/>
        <v>0</v>
      </c>
      <c r="K227" s="15">
        <f>IF(CurrentMtgRatesDataTable8[[#This Row],[WA CC]]&lt;&gt;0,C226-CurrentMtgRatesDataTable8[[#This Row],[WA CC]],0)</f>
        <v>0</v>
      </c>
      <c r="L227" s="16">
        <f>IF(CurrentMtgRatesDataTable8[[#This Row],[Servicing Spread]]&lt;=0,L226,CurrentMtgRatesDataTable8[[#This Row],[Servicing Spread]])</f>
        <v>0.53450000000000042</v>
      </c>
      <c r="M227" s="16">
        <f>CurrentMtgRatesDataTable8[[#This Row],[Servicing Spread Non-Zero]]-L226</f>
        <v>0</v>
      </c>
      <c r="N227" s="16">
        <f>IF(J226&lt;&gt;0,CurrentMtgRatesDataTable8[[#This Row],[Rate]]-C226,N226)</f>
        <v>-2.5000000000000355E-2</v>
      </c>
    </row>
    <row r="228" spans="1:14">
      <c r="A228" s="8" t="s">
        <v>1580</v>
      </c>
      <c r="B228" s="11">
        <v>4.9740000000000002</v>
      </c>
      <c r="C228" s="13">
        <v>5.6150000000000002</v>
      </c>
      <c r="D228" s="14">
        <f t="shared" si="21"/>
        <v>7</v>
      </c>
      <c r="E228" s="14">
        <f t="shared" si="22"/>
        <v>0.2</v>
      </c>
      <c r="F228" s="14">
        <f t="shared" si="23"/>
        <v>5</v>
      </c>
      <c r="G228" s="14">
        <f t="shared" si="24"/>
        <v>5.0080000000000009</v>
      </c>
      <c r="H228" s="14">
        <f t="shared" si="25"/>
        <v>1</v>
      </c>
      <c r="I228" s="14">
        <f t="shared" si="26"/>
        <v>1</v>
      </c>
      <c r="J228" s="14">
        <f t="shared" si="27"/>
        <v>5.0080000000000009</v>
      </c>
      <c r="K228" s="15">
        <f>IF(CurrentMtgRatesDataTable8[[#This Row],[WA CC]]&lt;&gt;0,C227-CurrentMtgRatesDataTable8[[#This Row],[WA CC]],0)</f>
        <v>0.60699999999999932</v>
      </c>
      <c r="L228" s="16">
        <f>IF(CurrentMtgRatesDataTable8[[#This Row],[Servicing Spread]]&lt;=0,L227,CurrentMtgRatesDataTable8[[#This Row],[Servicing Spread]])</f>
        <v>0.60699999999999932</v>
      </c>
      <c r="M228" s="16">
        <f>CurrentMtgRatesDataTable8[[#This Row],[Servicing Spread Non-Zero]]-L227</f>
        <v>7.2499999999998899E-2</v>
      </c>
      <c r="N228" s="16">
        <f>IF(J227&lt;&gt;0,CurrentMtgRatesDataTable8[[#This Row],[Rate]]-C227,N227)</f>
        <v>-2.5000000000000355E-2</v>
      </c>
    </row>
    <row r="229" spans="1:14">
      <c r="A229" s="8" t="s">
        <v>1581</v>
      </c>
      <c r="B229" s="11">
        <v>4.9749999999999996</v>
      </c>
      <c r="C229" s="13">
        <v>5.5649999999999995</v>
      </c>
      <c r="D229" s="14">
        <f t="shared" si="21"/>
        <v>1</v>
      </c>
      <c r="E229" s="14">
        <f t="shared" si="22"/>
        <v>0.2</v>
      </c>
      <c r="F229" s="14">
        <f t="shared" si="23"/>
        <v>1</v>
      </c>
      <c r="G229" s="14">
        <f t="shared" si="24"/>
        <v>0.995</v>
      </c>
      <c r="H229" s="14">
        <f t="shared" si="25"/>
        <v>0.2</v>
      </c>
      <c r="I229" s="14">
        <f t="shared" si="26"/>
        <v>0</v>
      </c>
      <c r="J229" s="14">
        <f t="shared" si="27"/>
        <v>0</v>
      </c>
      <c r="K229" s="15">
        <f>IF(CurrentMtgRatesDataTable8[[#This Row],[WA CC]]&lt;&gt;0,C228-CurrentMtgRatesDataTable8[[#This Row],[WA CC]],0)</f>
        <v>0</v>
      </c>
      <c r="L229" s="16">
        <f>IF(CurrentMtgRatesDataTable8[[#This Row],[Servicing Spread]]&lt;=0,L228,CurrentMtgRatesDataTable8[[#This Row],[Servicing Spread]])</f>
        <v>0.60699999999999932</v>
      </c>
      <c r="M229" s="16">
        <f>CurrentMtgRatesDataTable8[[#This Row],[Servicing Spread Non-Zero]]-L228</f>
        <v>0</v>
      </c>
      <c r="N229" s="16">
        <f>IF(J228&lt;&gt;0,CurrentMtgRatesDataTable8[[#This Row],[Rate]]-C228,N228)</f>
        <v>-5.0000000000000711E-2</v>
      </c>
    </row>
    <row r="230" spans="1:14">
      <c r="A230" s="8" t="s">
        <v>1582</v>
      </c>
      <c r="B230" s="11">
        <v>4.9669999999999996</v>
      </c>
      <c r="C230" s="13">
        <v>5.5649999999999995</v>
      </c>
      <c r="D230" s="14">
        <f t="shared" si="21"/>
        <v>2</v>
      </c>
      <c r="E230" s="14">
        <f t="shared" si="22"/>
        <v>0.2</v>
      </c>
      <c r="F230" s="14">
        <f t="shared" si="23"/>
        <v>2</v>
      </c>
      <c r="G230" s="14">
        <f t="shared" si="24"/>
        <v>1.9883999999999999</v>
      </c>
      <c r="H230" s="14">
        <f t="shared" si="25"/>
        <v>0.4</v>
      </c>
      <c r="I230" s="14">
        <f t="shared" si="26"/>
        <v>0</v>
      </c>
      <c r="J230" s="14">
        <f t="shared" si="27"/>
        <v>0</v>
      </c>
      <c r="K230" s="15">
        <f>IF(CurrentMtgRatesDataTable8[[#This Row],[WA CC]]&lt;&gt;0,C229-CurrentMtgRatesDataTable8[[#This Row],[WA CC]],0)</f>
        <v>0</v>
      </c>
      <c r="L230" s="16">
        <f>IF(CurrentMtgRatesDataTable8[[#This Row],[Servicing Spread]]&lt;=0,L229,CurrentMtgRatesDataTable8[[#This Row],[Servicing Spread]])</f>
        <v>0.60699999999999932</v>
      </c>
      <c r="M230" s="16">
        <f>CurrentMtgRatesDataTable8[[#This Row],[Servicing Spread Non-Zero]]-L229</f>
        <v>0</v>
      </c>
      <c r="N230" s="16">
        <f>IF(J229&lt;&gt;0,CurrentMtgRatesDataTable8[[#This Row],[Rate]]-C229,N229)</f>
        <v>-5.0000000000000711E-2</v>
      </c>
    </row>
    <row r="231" spans="1:14">
      <c r="A231" s="8" t="s">
        <v>1583</v>
      </c>
      <c r="B231" s="11">
        <v>4.9550000000000001</v>
      </c>
      <c r="C231" s="13">
        <v>5.5649999999999995</v>
      </c>
      <c r="D231" s="14">
        <f t="shared" si="21"/>
        <v>5</v>
      </c>
      <c r="E231" s="14">
        <f t="shared" si="22"/>
        <v>0.2</v>
      </c>
      <c r="F231" s="14">
        <f t="shared" si="23"/>
        <v>3</v>
      </c>
      <c r="G231" s="14">
        <f t="shared" si="24"/>
        <v>2.9794</v>
      </c>
      <c r="H231" s="14">
        <f t="shared" si="25"/>
        <v>0.60000000000000009</v>
      </c>
      <c r="I231" s="14">
        <f t="shared" si="26"/>
        <v>0</v>
      </c>
      <c r="J231" s="14">
        <f t="shared" si="27"/>
        <v>0</v>
      </c>
      <c r="K231" s="15">
        <f>IF(CurrentMtgRatesDataTable8[[#This Row],[WA CC]]&lt;&gt;0,C230-CurrentMtgRatesDataTable8[[#This Row],[WA CC]],0)</f>
        <v>0</v>
      </c>
      <c r="L231" s="16">
        <f>IF(CurrentMtgRatesDataTable8[[#This Row],[Servicing Spread]]&lt;=0,L230,CurrentMtgRatesDataTable8[[#This Row],[Servicing Spread]])</f>
        <v>0.60699999999999932</v>
      </c>
      <c r="M231" s="16">
        <f>CurrentMtgRatesDataTable8[[#This Row],[Servicing Spread Non-Zero]]-L230</f>
        <v>0</v>
      </c>
      <c r="N231" s="16">
        <f>IF(J230&lt;&gt;0,CurrentMtgRatesDataTable8[[#This Row],[Rate]]-C230,N230)</f>
        <v>-5.0000000000000711E-2</v>
      </c>
    </row>
    <row r="232" spans="1:14">
      <c r="A232" s="8" t="s">
        <v>1584</v>
      </c>
      <c r="B232" s="11">
        <v>4.9889999999999999</v>
      </c>
      <c r="C232" s="13">
        <v>5.5649999999999995</v>
      </c>
      <c r="D232" s="14">
        <f t="shared" si="21"/>
        <v>6</v>
      </c>
      <c r="E232" s="14">
        <f t="shared" si="22"/>
        <v>0.2</v>
      </c>
      <c r="F232" s="14">
        <f t="shared" si="23"/>
        <v>4</v>
      </c>
      <c r="G232" s="14">
        <f t="shared" si="24"/>
        <v>3.9771999999999998</v>
      </c>
      <c r="H232" s="14">
        <f t="shared" si="25"/>
        <v>0.8</v>
      </c>
      <c r="I232" s="14">
        <f t="shared" si="26"/>
        <v>0</v>
      </c>
      <c r="J232" s="14">
        <f t="shared" si="27"/>
        <v>0</v>
      </c>
      <c r="K232" s="15">
        <f>IF(CurrentMtgRatesDataTable8[[#This Row],[WA CC]]&lt;&gt;0,C231-CurrentMtgRatesDataTable8[[#This Row],[WA CC]],0)</f>
        <v>0</v>
      </c>
      <c r="L232" s="16">
        <f>IF(CurrentMtgRatesDataTable8[[#This Row],[Servicing Spread]]&lt;=0,L231,CurrentMtgRatesDataTable8[[#This Row],[Servicing Spread]])</f>
        <v>0.60699999999999932</v>
      </c>
      <c r="M232" s="16">
        <f>CurrentMtgRatesDataTable8[[#This Row],[Servicing Spread Non-Zero]]-L231</f>
        <v>0</v>
      </c>
      <c r="N232" s="16">
        <f>IF(J231&lt;&gt;0,CurrentMtgRatesDataTable8[[#This Row],[Rate]]-C231,N231)</f>
        <v>-5.0000000000000711E-2</v>
      </c>
    </row>
    <row r="233" spans="1:14">
      <c r="A233" s="8" t="s">
        <v>1585</v>
      </c>
      <c r="B233" s="11">
        <v>5.0540000000000003</v>
      </c>
      <c r="C233" s="13">
        <v>5.5649999999999995</v>
      </c>
      <c r="D233" s="14">
        <f t="shared" si="21"/>
        <v>7</v>
      </c>
      <c r="E233" s="14">
        <f t="shared" si="22"/>
        <v>0.2</v>
      </c>
      <c r="F233" s="14">
        <f t="shared" si="23"/>
        <v>5</v>
      </c>
      <c r="G233" s="14">
        <f t="shared" si="24"/>
        <v>4.9879999999999995</v>
      </c>
      <c r="H233" s="14">
        <f t="shared" si="25"/>
        <v>1</v>
      </c>
      <c r="I233" s="14">
        <f t="shared" si="26"/>
        <v>1</v>
      </c>
      <c r="J233" s="14">
        <f t="shared" si="27"/>
        <v>4.9879999999999995</v>
      </c>
      <c r="K233" s="15">
        <f>IF(CurrentMtgRatesDataTable8[[#This Row],[WA CC]]&lt;&gt;0,C232-CurrentMtgRatesDataTable8[[#This Row],[WA CC]],0)</f>
        <v>0.57699999999999996</v>
      </c>
      <c r="L233" s="16">
        <f>IF(CurrentMtgRatesDataTable8[[#This Row],[Servicing Spread]]&lt;=0,L232,CurrentMtgRatesDataTable8[[#This Row],[Servicing Spread]])</f>
        <v>0.57699999999999996</v>
      </c>
      <c r="M233" s="16">
        <f>CurrentMtgRatesDataTable8[[#This Row],[Servicing Spread Non-Zero]]-L232</f>
        <v>-2.9999999999999361E-2</v>
      </c>
      <c r="N233" s="16">
        <f>IF(J232&lt;&gt;0,CurrentMtgRatesDataTable8[[#This Row],[Rate]]-C232,N232)</f>
        <v>-5.0000000000000711E-2</v>
      </c>
    </row>
    <row r="234" spans="1:14">
      <c r="A234" s="8" t="s">
        <v>1586</v>
      </c>
      <c r="B234" s="11">
        <v>5.0430000000000001</v>
      </c>
      <c r="C234" s="13">
        <v>5.6000000000000005</v>
      </c>
      <c r="D234" s="14">
        <f t="shared" si="21"/>
        <v>1</v>
      </c>
      <c r="E234" s="14">
        <f t="shared" si="22"/>
        <v>0.2</v>
      </c>
      <c r="F234" s="14">
        <f t="shared" si="23"/>
        <v>1</v>
      </c>
      <c r="G234" s="14">
        <f t="shared" si="24"/>
        <v>1.0086000000000002</v>
      </c>
      <c r="H234" s="14">
        <f t="shared" si="25"/>
        <v>0.2</v>
      </c>
      <c r="I234" s="14">
        <f t="shared" si="26"/>
        <v>0</v>
      </c>
      <c r="J234" s="14">
        <f t="shared" si="27"/>
        <v>0</v>
      </c>
      <c r="K234" s="15">
        <f>IF(CurrentMtgRatesDataTable8[[#This Row],[WA CC]]&lt;&gt;0,C233-CurrentMtgRatesDataTable8[[#This Row],[WA CC]],0)</f>
        <v>0</v>
      </c>
      <c r="L234" s="16">
        <f>IF(CurrentMtgRatesDataTable8[[#This Row],[Servicing Spread]]&lt;=0,L233,CurrentMtgRatesDataTable8[[#This Row],[Servicing Spread]])</f>
        <v>0.57699999999999996</v>
      </c>
      <c r="M234" s="16">
        <f>CurrentMtgRatesDataTable8[[#This Row],[Servicing Spread Non-Zero]]-L233</f>
        <v>0</v>
      </c>
      <c r="N234" s="16">
        <f>IF(J233&lt;&gt;0,CurrentMtgRatesDataTable8[[#This Row],[Rate]]-C233,N233)</f>
        <v>3.500000000000103E-2</v>
      </c>
    </row>
    <row r="235" spans="1:14">
      <c r="A235" s="8" t="s">
        <v>1587</v>
      </c>
      <c r="B235" s="11">
        <v>4.992</v>
      </c>
      <c r="C235" s="13">
        <v>5.6000000000000005</v>
      </c>
      <c r="D235" s="14">
        <f t="shared" si="21"/>
        <v>2</v>
      </c>
      <c r="E235" s="14">
        <f t="shared" si="22"/>
        <v>0.2</v>
      </c>
      <c r="F235" s="14">
        <f t="shared" si="23"/>
        <v>2</v>
      </c>
      <c r="G235" s="14">
        <f t="shared" si="24"/>
        <v>2.0070000000000001</v>
      </c>
      <c r="H235" s="14">
        <f t="shared" si="25"/>
        <v>0.4</v>
      </c>
      <c r="I235" s="14">
        <f t="shared" si="26"/>
        <v>0</v>
      </c>
      <c r="J235" s="14">
        <f t="shared" si="27"/>
        <v>0</v>
      </c>
      <c r="K235" s="15">
        <f>IF(CurrentMtgRatesDataTable8[[#This Row],[WA CC]]&lt;&gt;0,C234-CurrentMtgRatesDataTable8[[#This Row],[WA CC]],0)</f>
        <v>0</v>
      </c>
      <c r="L235" s="16">
        <f>IF(CurrentMtgRatesDataTable8[[#This Row],[Servicing Spread]]&lt;=0,L234,CurrentMtgRatesDataTable8[[#This Row],[Servicing Spread]])</f>
        <v>0.57699999999999996</v>
      </c>
      <c r="M235" s="16">
        <f>CurrentMtgRatesDataTable8[[#This Row],[Servicing Spread Non-Zero]]-L234</f>
        <v>0</v>
      </c>
      <c r="N235" s="16">
        <f>IF(J234&lt;&gt;0,CurrentMtgRatesDataTable8[[#This Row],[Rate]]-C234,N234)</f>
        <v>3.500000000000103E-2</v>
      </c>
    </row>
    <row r="236" spans="1:14">
      <c r="A236" s="8" t="s">
        <v>1588</v>
      </c>
      <c r="B236" s="11">
        <v>5.0380000000000003</v>
      </c>
      <c r="C236" s="13">
        <v>5.6000000000000005</v>
      </c>
      <c r="D236" s="14">
        <f t="shared" si="21"/>
        <v>5</v>
      </c>
      <c r="E236" s="14">
        <f t="shared" si="22"/>
        <v>0.2</v>
      </c>
      <c r="F236" s="14">
        <f t="shared" si="23"/>
        <v>3</v>
      </c>
      <c r="G236" s="14">
        <f t="shared" si="24"/>
        <v>3.0146000000000002</v>
      </c>
      <c r="H236" s="14">
        <f t="shared" si="25"/>
        <v>0.60000000000000009</v>
      </c>
      <c r="I236" s="14">
        <f t="shared" si="26"/>
        <v>0</v>
      </c>
      <c r="J236" s="14">
        <f t="shared" si="27"/>
        <v>0</v>
      </c>
      <c r="K236" s="15">
        <f>IF(CurrentMtgRatesDataTable8[[#This Row],[WA CC]]&lt;&gt;0,C235-CurrentMtgRatesDataTable8[[#This Row],[WA CC]],0)</f>
        <v>0</v>
      </c>
      <c r="L236" s="16">
        <f>IF(CurrentMtgRatesDataTable8[[#This Row],[Servicing Spread]]&lt;=0,L235,CurrentMtgRatesDataTable8[[#This Row],[Servicing Spread]])</f>
        <v>0.57699999999999996</v>
      </c>
      <c r="M236" s="16">
        <f>CurrentMtgRatesDataTable8[[#This Row],[Servicing Spread Non-Zero]]-L235</f>
        <v>0</v>
      </c>
      <c r="N236" s="16">
        <f>IF(J235&lt;&gt;0,CurrentMtgRatesDataTable8[[#This Row],[Rate]]-C235,N235)</f>
        <v>3.500000000000103E-2</v>
      </c>
    </row>
    <row r="237" spans="1:14">
      <c r="A237" s="8" t="s">
        <v>1589</v>
      </c>
      <c r="B237" s="11">
        <v>5.0199999999999996</v>
      </c>
      <c r="C237" s="13">
        <v>5.6000000000000005</v>
      </c>
      <c r="D237" s="14">
        <f t="shared" si="21"/>
        <v>6</v>
      </c>
      <c r="E237" s="14">
        <f t="shared" si="22"/>
        <v>0.2</v>
      </c>
      <c r="F237" s="14">
        <f t="shared" si="23"/>
        <v>4</v>
      </c>
      <c r="G237" s="14">
        <f t="shared" si="24"/>
        <v>4.0186000000000002</v>
      </c>
      <c r="H237" s="14">
        <f t="shared" si="25"/>
        <v>0.8</v>
      </c>
      <c r="I237" s="14">
        <f t="shared" si="26"/>
        <v>0</v>
      </c>
      <c r="J237" s="14">
        <f t="shared" si="27"/>
        <v>0</v>
      </c>
      <c r="K237" s="15">
        <f>IF(CurrentMtgRatesDataTable8[[#This Row],[WA CC]]&lt;&gt;0,C236-CurrentMtgRatesDataTable8[[#This Row],[WA CC]],0)</f>
        <v>0</v>
      </c>
      <c r="L237" s="16">
        <f>IF(CurrentMtgRatesDataTable8[[#This Row],[Servicing Spread]]&lt;=0,L236,CurrentMtgRatesDataTable8[[#This Row],[Servicing Spread]])</f>
        <v>0.57699999999999996</v>
      </c>
      <c r="M237" s="16">
        <f>CurrentMtgRatesDataTable8[[#This Row],[Servicing Spread Non-Zero]]-L236</f>
        <v>0</v>
      </c>
      <c r="N237" s="16">
        <f>IF(J236&lt;&gt;0,CurrentMtgRatesDataTable8[[#This Row],[Rate]]-C236,N236)</f>
        <v>3.500000000000103E-2</v>
      </c>
    </row>
    <row r="238" spans="1:14">
      <c r="A238" s="8" t="s">
        <v>1590</v>
      </c>
      <c r="B238" s="11">
        <v>5.0039999999999996</v>
      </c>
      <c r="C238" s="13">
        <v>5.6000000000000005</v>
      </c>
      <c r="D238" s="14">
        <f t="shared" si="21"/>
        <v>7</v>
      </c>
      <c r="E238" s="14">
        <f t="shared" si="22"/>
        <v>0.2</v>
      </c>
      <c r="F238" s="14">
        <f t="shared" si="23"/>
        <v>5</v>
      </c>
      <c r="G238" s="14">
        <f t="shared" si="24"/>
        <v>5.0194000000000001</v>
      </c>
      <c r="H238" s="14">
        <f t="shared" si="25"/>
        <v>1</v>
      </c>
      <c r="I238" s="14">
        <f t="shared" si="26"/>
        <v>1</v>
      </c>
      <c r="J238" s="14">
        <f t="shared" si="27"/>
        <v>5.0194000000000001</v>
      </c>
      <c r="K238" s="15">
        <f>IF(CurrentMtgRatesDataTable8[[#This Row],[WA CC]]&lt;&gt;0,C237-CurrentMtgRatesDataTable8[[#This Row],[WA CC]],0)</f>
        <v>0.58060000000000045</v>
      </c>
      <c r="L238" s="16">
        <f>IF(CurrentMtgRatesDataTable8[[#This Row],[Servicing Spread]]&lt;=0,L237,CurrentMtgRatesDataTable8[[#This Row],[Servicing Spread]])</f>
        <v>0.58060000000000045</v>
      </c>
      <c r="M238" s="16">
        <f>CurrentMtgRatesDataTable8[[#This Row],[Servicing Spread Non-Zero]]-L237</f>
        <v>3.6000000000004917E-3</v>
      </c>
      <c r="N238" s="16">
        <f>IF(J237&lt;&gt;0,CurrentMtgRatesDataTable8[[#This Row],[Rate]]-C237,N237)</f>
        <v>3.500000000000103E-2</v>
      </c>
    </row>
    <row r="239" spans="1:14">
      <c r="A239" s="8" t="s">
        <v>1591</v>
      </c>
      <c r="B239" s="11">
        <v>5.0049999999999999</v>
      </c>
      <c r="C239" s="13">
        <v>5.6849999999999996</v>
      </c>
      <c r="D239" s="14">
        <f t="shared" si="21"/>
        <v>1</v>
      </c>
      <c r="E239" s="14">
        <f t="shared" si="22"/>
        <v>0.2</v>
      </c>
      <c r="F239" s="14">
        <f t="shared" si="23"/>
        <v>1</v>
      </c>
      <c r="G239" s="14">
        <f t="shared" si="24"/>
        <v>1.0010000000000001</v>
      </c>
      <c r="H239" s="14">
        <f t="shared" si="25"/>
        <v>0.2</v>
      </c>
      <c r="I239" s="14">
        <f t="shared" si="26"/>
        <v>0</v>
      </c>
      <c r="J239" s="14">
        <f t="shared" si="27"/>
        <v>0</v>
      </c>
      <c r="K239" s="15">
        <f>IF(CurrentMtgRatesDataTable8[[#This Row],[WA CC]]&lt;&gt;0,C238-CurrentMtgRatesDataTable8[[#This Row],[WA CC]],0)</f>
        <v>0</v>
      </c>
      <c r="L239" s="16">
        <f>IF(CurrentMtgRatesDataTable8[[#This Row],[Servicing Spread]]&lt;=0,L238,CurrentMtgRatesDataTable8[[#This Row],[Servicing Spread]])</f>
        <v>0.58060000000000045</v>
      </c>
      <c r="M239" s="16">
        <f>CurrentMtgRatesDataTable8[[#This Row],[Servicing Spread Non-Zero]]-L238</f>
        <v>0</v>
      </c>
      <c r="N239" s="16">
        <f>IF(J238&lt;&gt;0,CurrentMtgRatesDataTable8[[#This Row],[Rate]]-C238,N238)</f>
        <v>8.4999999999999076E-2</v>
      </c>
    </row>
    <row r="240" spans="1:14">
      <c r="A240" s="8" t="s">
        <v>1592</v>
      </c>
      <c r="B240" s="11">
        <v>5.0999999999999996</v>
      </c>
      <c r="C240" s="13">
        <v>5.6849999999999996</v>
      </c>
      <c r="D240" s="14">
        <f t="shared" si="21"/>
        <v>2</v>
      </c>
      <c r="E240" s="14">
        <f t="shared" si="22"/>
        <v>0.2</v>
      </c>
      <c r="F240" s="14">
        <f t="shared" si="23"/>
        <v>2</v>
      </c>
      <c r="G240" s="14">
        <f t="shared" si="24"/>
        <v>2.0209999999999999</v>
      </c>
      <c r="H240" s="14">
        <f t="shared" si="25"/>
        <v>0.4</v>
      </c>
      <c r="I240" s="14">
        <f t="shared" si="26"/>
        <v>0</v>
      </c>
      <c r="J240" s="14">
        <f t="shared" si="27"/>
        <v>0</v>
      </c>
      <c r="K240" s="15">
        <f>IF(CurrentMtgRatesDataTable8[[#This Row],[WA CC]]&lt;&gt;0,C239-CurrentMtgRatesDataTable8[[#This Row],[WA CC]],0)</f>
        <v>0</v>
      </c>
      <c r="L240" s="16">
        <f>IF(CurrentMtgRatesDataTable8[[#This Row],[Servicing Spread]]&lt;=0,L239,CurrentMtgRatesDataTable8[[#This Row],[Servicing Spread]])</f>
        <v>0.58060000000000045</v>
      </c>
      <c r="M240" s="16">
        <f>CurrentMtgRatesDataTable8[[#This Row],[Servicing Spread Non-Zero]]-L239</f>
        <v>0</v>
      </c>
      <c r="N240" s="16">
        <f>IF(J239&lt;&gt;0,CurrentMtgRatesDataTable8[[#This Row],[Rate]]-C239,N239)</f>
        <v>8.4999999999999076E-2</v>
      </c>
    </row>
    <row r="241" spans="1:14">
      <c r="A241" s="8" t="s">
        <v>1593</v>
      </c>
      <c r="B241" s="11">
        <v>5.1150000000000002</v>
      </c>
      <c r="C241" s="13">
        <v>5.6849999999999996</v>
      </c>
      <c r="D241" s="14">
        <f t="shared" si="21"/>
        <v>5</v>
      </c>
      <c r="E241" s="14">
        <f t="shared" si="22"/>
        <v>0.2</v>
      </c>
      <c r="F241" s="14">
        <f t="shared" si="23"/>
        <v>3</v>
      </c>
      <c r="G241" s="14">
        <f t="shared" si="24"/>
        <v>3.044</v>
      </c>
      <c r="H241" s="14">
        <f t="shared" si="25"/>
        <v>0.60000000000000009</v>
      </c>
      <c r="I241" s="14">
        <f t="shared" si="26"/>
        <v>0</v>
      </c>
      <c r="J241" s="14">
        <f t="shared" si="27"/>
        <v>0</v>
      </c>
      <c r="K241" s="15">
        <f>IF(CurrentMtgRatesDataTable8[[#This Row],[WA CC]]&lt;&gt;0,C240-CurrentMtgRatesDataTable8[[#This Row],[WA CC]],0)</f>
        <v>0</v>
      </c>
      <c r="L241" s="16">
        <f>IF(CurrentMtgRatesDataTable8[[#This Row],[Servicing Spread]]&lt;=0,L240,CurrentMtgRatesDataTable8[[#This Row],[Servicing Spread]])</f>
        <v>0.58060000000000045</v>
      </c>
      <c r="M241" s="16">
        <f>CurrentMtgRatesDataTable8[[#This Row],[Servicing Spread Non-Zero]]-L240</f>
        <v>0</v>
      </c>
      <c r="N241" s="16">
        <f>IF(J240&lt;&gt;0,CurrentMtgRatesDataTable8[[#This Row],[Rate]]-C240,N240)</f>
        <v>8.4999999999999076E-2</v>
      </c>
    </row>
    <row r="242" spans="1:14">
      <c r="A242" s="8" t="s">
        <v>1594</v>
      </c>
      <c r="B242" s="11">
        <v>5.1109999999999998</v>
      </c>
      <c r="C242" s="13">
        <v>5.6849999999999996</v>
      </c>
      <c r="D242" s="14">
        <f t="shared" si="21"/>
        <v>6</v>
      </c>
      <c r="E242" s="14">
        <f t="shared" si="22"/>
        <v>0.2</v>
      </c>
      <c r="F242" s="14">
        <f t="shared" si="23"/>
        <v>4</v>
      </c>
      <c r="G242" s="14">
        <f t="shared" si="24"/>
        <v>4.0662000000000003</v>
      </c>
      <c r="H242" s="14">
        <f t="shared" si="25"/>
        <v>0.8</v>
      </c>
      <c r="I242" s="14">
        <f t="shared" si="26"/>
        <v>0</v>
      </c>
      <c r="J242" s="14">
        <f t="shared" si="27"/>
        <v>0</v>
      </c>
      <c r="K242" s="15">
        <f>IF(CurrentMtgRatesDataTable8[[#This Row],[WA CC]]&lt;&gt;0,C241-CurrentMtgRatesDataTable8[[#This Row],[WA CC]],0)</f>
        <v>0</v>
      </c>
      <c r="L242" s="16">
        <f>IF(CurrentMtgRatesDataTable8[[#This Row],[Servicing Spread]]&lt;=0,L241,CurrentMtgRatesDataTable8[[#This Row],[Servicing Spread]])</f>
        <v>0.58060000000000045</v>
      </c>
      <c r="M242" s="16">
        <f>CurrentMtgRatesDataTable8[[#This Row],[Servicing Spread Non-Zero]]-L241</f>
        <v>0</v>
      </c>
      <c r="N242" s="16">
        <f>IF(J241&lt;&gt;0,CurrentMtgRatesDataTable8[[#This Row],[Rate]]-C241,N241)</f>
        <v>8.4999999999999076E-2</v>
      </c>
    </row>
    <row r="243" spans="1:14">
      <c r="A243" s="8" t="s">
        <v>1595</v>
      </c>
      <c r="B243" s="11">
        <v>5.14</v>
      </c>
      <c r="C243" s="13">
        <v>5.6849999999999996</v>
      </c>
      <c r="D243" s="14">
        <f t="shared" si="21"/>
        <v>7</v>
      </c>
      <c r="E243" s="14">
        <f t="shared" si="22"/>
        <v>0.2</v>
      </c>
      <c r="F243" s="14">
        <f t="shared" si="23"/>
        <v>5</v>
      </c>
      <c r="G243" s="14">
        <f t="shared" si="24"/>
        <v>5.0942000000000007</v>
      </c>
      <c r="H243" s="14">
        <f t="shared" si="25"/>
        <v>1</v>
      </c>
      <c r="I243" s="14">
        <f t="shared" si="26"/>
        <v>1</v>
      </c>
      <c r="J243" s="14">
        <f t="shared" si="27"/>
        <v>5.0942000000000007</v>
      </c>
      <c r="K243" s="15">
        <f>IF(CurrentMtgRatesDataTable8[[#This Row],[WA CC]]&lt;&gt;0,C242-CurrentMtgRatesDataTable8[[#This Row],[WA CC]],0)</f>
        <v>0.59079999999999888</v>
      </c>
      <c r="L243" s="16">
        <f>IF(CurrentMtgRatesDataTable8[[#This Row],[Servicing Spread]]&lt;=0,L242,CurrentMtgRatesDataTable8[[#This Row],[Servicing Spread]])</f>
        <v>0.59079999999999888</v>
      </c>
      <c r="M243" s="16">
        <f>CurrentMtgRatesDataTable8[[#This Row],[Servicing Spread Non-Zero]]-L242</f>
        <v>1.0199999999998433E-2</v>
      </c>
      <c r="N243" s="16">
        <f>IF(J242&lt;&gt;0,CurrentMtgRatesDataTable8[[#This Row],[Rate]]-C242,N242)</f>
        <v>8.4999999999999076E-2</v>
      </c>
    </row>
    <row r="244" spans="1:14">
      <c r="A244" s="8" t="s">
        <v>1596</v>
      </c>
      <c r="B244" s="11">
        <v>5.1070000000000002</v>
      </c>
      <c r="C244" s="13">
        <v>5.6400000000000006</v>
      </c>
      <c r="D244" s="14">
        <f t="shared" si="21"/>
        <v>2</v>
      </c>
      <c r="E244" s="14">
        <f t="shared" si="22"/>
        <v>0.2</v>
      </c>
      <c r="F244" s="14">
        <f t="shared" si="23"/>
        <v>1</v>
      </c>
      <c r="G244" s="14">
        <f t="shared" si="24"/>
        <v>1.0214000000000001</v>
      </c>
      <c r="H244" s="14">
        <f t="shared" si="25"/>
        <v>0.2</v>
      </c>
      <c r="I244" s="14">
        <f t="shared" si="26"/>
        <v>0</v>
      </c>
      <c r="J244" s="14">
        <f t="shared" si="27"/>
        <v>0</v>
      </c>
      <c r="K244" s="15">
        <f>IF(CurrentMtgRatesDataTable8[[#This Row],[WA CC]]&lt;&gt;0,C243-CurrentMtgRatesDataTable8[[#This Row],[WA CC]],0)</f>
        <v>0</v>
      </c>
      <c r="L244" s="16">
        <f>IF(CurrentMtgRatesDataTable8[[#This Row],[Servicing Spread]]&lt;=0,L243,CurrentMtgRatesDataTable8[[#This Row],[Servicing Spread]])</f>
        <v>0.59079999999999888</v>
      </c>
      <c r="M244" s="16">
        <f>CurrentMtgRatesDataTable8[[#This Row],[Servicing Spread Non-Zero]]-L243</f>
        <v>0</v>
      </c>
      <c r="N244" s="16">
        <f>IF(J243&lt;&gt;0,CurrentMtgRatesDataTable8[[#This Row],[Rate]]-C243,N243)</f>
        <v>-4.4999999999999041E-2</v>
      </c>
    </row>
    <row r="245" spans="1:14">
      <c r="A245" s="8" t="s">
        <v>1597</v>
      </c>
      <c r="B245" s="11">
        <v>5.0990000000000002</v>
      </c>
      <c r="C245" s="13">
        <v>5.6400000000000006</v>
      </c>
      <c r="D245" s="14">
        <f t="shared" si="21"/>
        <v>5</v>
      </c>
      <c r="E245" s="14">
        <f t="shared" si="22"/>
        <v>0.2</v>
      </c>
      <c r="F245" s="14">
        <f t="shared" si="23"/>
        <v>2</v>
      </c>
      <c r="G245" s="14">
        <f t="shared" si="24"/>
        <v>2.0411999999999999</v>
      </c>
      <c r="H245" s="14">
        <f t="shared" si="25"/>
        <v>0.4</v>
      </c>
      <c r="I245" s="14">
        <f t="shared" si="26"/>
        <v>0</v>
      </c>
      <c r="J245" s="14">
        <f t="shared" si="27"/>
        <v>0</v>
      </c>
      <c r="K245" s="15">
        <f>IF(CurrentMtgRatesDataTable8[[#This Row],[WA CC]]&lt;&gt;0,C244-CurrentMtgRatesDataTable8[[#This Row],[WA CC]],0)</f>
        <v>0</v>
      </c>
      <c r="L245" s="16">
        <f>IF(CurrentMtgRatesDataTable8[[#This Row],[Servicing Spread]]&lt;=0,L244,CurrentMtgRatesDataTable8[[#This Row],[Servicing Spread]])</f>
        <v>0.59079999999999888</v>
      </c>
      <c r="M245" s="16">
        <f>CurrentMtgRatesDataTable8[[#This Row],[Servicing Spread Non-Zero]]-L244</f>
        <v>0</v>
      </c>
      <c r="N245" s="16">
        <f>IF(J244&lt;&gt;0,CurrentMtgRatesDataTable8[[#This Row],[Rate]]-C244,N244)</f>
        <v>-4.4999999999999041E-2</v>
      </c>
    </row>
    <row r="246" spans="1:14">
      <c r="A246" s="8" t="s">
        <v>1598</v>
      </c>
      <c r="B246" s="11">
        <v>5.1139999999999999</v>
      </c>
      <c r="C246" s="13">
        <v>5.6400000000000006</v>
      </c>
      <c r="D246" s="14">
        <f t="shared" si="21"/>
        <v>6</v>
      </c>
      <c r="E246" s="14">
        <f t="shared" si="22"/>
        <v>0.2</v>
      </c>
      <c r="F246" s="14">
        <f t="shared" si="23"/>
        <v>3</v>
      </c>
      <c r="G246" s="14">
        <f t="shared" si="24"/>
        <v>3.0640000000000001</v>
      </c>
      <c r="H246" s="14">
        <f t="shared" si="25"/>
        <v>0.60000000000000009</v>
      </c>
      <c r="I246" s="14">
        <f t="shared" si="26"/>
        <v>0</v>
      </c>
      <c r="J246" s="14">
        <f t="shared" si="27"/>
        <v>0</v>
      </c>
      <c r="K246" s="15">
        <f>IF(CurrentMtgRatesDataTable8[[#This Row],[WA CC]]&lt;&gt;0,C245-CurrentMtgRatesDataTable8[[#This Row],[WA CC]],0)</f>
        <v>0</v>
      </c>
      <c r="L246" s="16">
        <f>IF(CurrentMtgRatesDataTable8[[#This Row],[Servicing Spread]]&lt;=0,L245,CurrentMtgRatesDataTable8[[#This Row],[Servicing Spread]])</f>
        <v>0.59079999999999888</v>
      </c>
      <c r="M246" s="16">
        <f>CurrentMtgRatesDataTable8[[#This Row],[Servicing Spread Non-Zero]]-L245</f>
        <v>0</v>
      </c>
      <c r="N246" s="16">
        <f>IF(J245&lt;&gt;0,CurrentMtgRatesDataTable8[[#This Row],[Rate]]-C245,N245)</f>
        <v>-4.4999999999999041E-2</v>
      </c>
    </row>
    <row r="247" spans="1:14">
      <c r="A247" s="8" t="s">
        <v>1599</v>
      </c>
      <c r="B247" s="11">
        <v>5.0419999999999998</v>
      </c>
      <c r="C247" s="13">
        <v>5.6400000000000006</v>
      </c>
      <c r="D247" s="14">
        <f t="shared" si="21"/>
        <v>7</v>
      </c>
      <c r="E247" s="14">
        <f t="shared" si="22"/>
        <v>0.2</v>
      </c>
      <c r="F247" s="14">
        <f t="shared" si="23"/>
        <v>4</v>
      </c>
      <c r="G247" s="14">
        <f t="shared" si="24"/>
        <v>4.0724</v>
      </c>
      <c r="H247" s="14">
        <f t="shared" si="25"/>
        <v>0.8</v>
      </c>
      <c r="I247" s="14">
        <f t="shared" si="26"/>
        <v>1</v>
      </c>
      <c r="J247" s="14">
        <f t="shared" si="27"/>
        <v>5.0904999999999996</v>
      </c>
      <c r="K247" s="15">
        <f>IF(CurrentMtgRatesDataTable8[[#This Row],[WA CC]]&lt;&gt;0,C246-CurrentMtgRatesDataTable8[[#This Row],[WA CC]],0)</f>
        <v>0.54950000000000099</v>
      </c>
      <c r="L247" s="16">
        <f>IF(CurrentMtgRatesDataTable8[[#This Row],[Servicing Spread]]&lt;=0,L246,CurrentMtgRatesDataTable8[[#This Row],[Servicing Spread]])</f>
        <v>0.54950000000000099</v>
      </c>
      <c r="M247" s="16">
        <f>CurrentMtgRatesDataTable8[[#This Row],[Servicing Spread Non-Zero]]-L246</f>
        <v>-4.1299999999997894E-2</v>
      </c>
      <c r="N247" s="16">
        <f>IF(J246&lt;&gt;0,CurrentMtgRatesDataTable8[[#This Row],[Rate]]-C246,N246)</f>
        <v>-4.4999999999999041E-2</v>
      </c>
    </row>
    <row r="248" spans="1:14">
      <c r="A248" s="8" t="s">
        <v>1600</v>
      </c>
      <c r="B248" s="11">
        <v>5.01</v>
      </c>
      <c r="C248" s="13">
        <v>5.62</v>
      </c>
      <c r="D248" s="14">
        <f t="shared" si="21"/>
        <v>1</v>
      </c>
      <c r="E248" s="14">
        <f t="shared" si="22"/>
        <v>0.2</v>
      </c>
      <c r="F248" s="14">
        <f t="shared" si="23"/>
        <v>1</v>
      </c>
      <c r="G248" s="14">
        <f t="shared" si="24"/>
        <v>1.002</v>
      </c>
      <c r="H248" s="14">
        <f t="shared" si="25"/>
        <v>0.2</v>
      </c>
      <c r="I248" s="14">
        <f t="shared" si="26"/>
        <v>0</v>
      </c>
      <c r="J248" s="14">
        <f t="shared" si="27"/>
        <v>0</v>
      </c>
      <c r="K248" s="15">
        <f>IF(CurrentMtgRatesDataTable8[[#This Row],[WA CC]]&lt;&gt;0,C247-CurrentMtgRatesDataTable8[[#This Row],[WA CC]],0)</f>
        <v>0</v>
      </c>
      <c r="L248" s="16">
        <f>IF(CurrentMtgRatesDataTable8[[#This Row],[Servicing Spread]]&lt;=0,L247,CurrentMtgRatesDataTable8[[#This Row],[Servicing Spread]])</f>
        <v>0.54950000000000099</v>
      </c>
      <c r="M248" s="16">
        <f>CurrentMtgRatesDataTable8[[#This Row],[Servicing Spread Non-Zero]]-L247</f>
        <v>0</v>
      </c>
      <c r="N248" s="16">
        <f>IF(J247&lt;&gt;0,CurrentMtgRatesDataTable8[[#This Row],[Rate]]-C247,N247)</f>
        <v>-2.0000000000000462E-2</v>
      </c>
    </row>
    <row r="249" spans="1:14">
      <c r="A249" s="8" t="s">
        <v>1601</v>
      </c>
      <c r="B249" s="11">
        <v>5.069</v>
      </c>
      <c r="C249" s="13">
        <v>5.62</v>
      </c>
      <c r="D249" s="14">
        <f t="shared" si="21"/>
        <v>2</v>
      </c>
      <c r="E249" s="14">
        <f t="shared" si="22"/>
        <v>0.2</v>
      </c>
      <c r="F249" s="14">
        <f t="shared" si="23"/>
        <v>2</v>
      </c>
      <c r="G249" s="14">
        <f t="shared" si="24"/>
        <v>2.0158</v>
      </c>
      <c r="H249" s="14">
        <f t="shared" si="25"/>
        <v>0.4</v>
      </c>
      <c r="I249" s="14">
        <f t="shared" si="26"/>
        <v>0</v>
      </c>
      <c r="J249" s="14">
        <f t="shared" si="27"/>
        <v>0</v>
      </c>
      <c r="K249" s="15">
        <f>IF(CurrentMtgRatesDataTable8[[#This Row],[WA CC]]&lt;&gt;0,C248-CurrentMtgRatesDataTable8[[#This Row],[WA CC]],0)</f>
        <v>0</v>
      </c>
      <c r="L249" s="16">
        <f>IF(CurrentMtgRatesDataTable8[[#This Row],[Servicing Spread]]&lt;=0,L248,CurrentMtgRatesDataTable8[[#This Row],[Servicing Spread]])</f>
        <v>0.54950000000000099</v>
      </c>
      <c r="M249" s="16">
        <f>CurrentMtgRatesDataTable8[[#This Row],[Servicing Spread Non-Zero]]-L248</f>
        <v>0</v>
      </c>
      <c r="N249" s="16">
        <f>IF(J248&lt;&gt;0,CurrentMtgRatesDataTable8[[#This Row],[Rate]]-C248,N248)</f>
        <v>-2.0000000000000462E-2</v>
      </c>
    </row>
    <row r="250" spans="1:14">
      <c r="A250" s="8" t="s">
        <v>1602</v>
      </c>
      <c r="B250" s="11">
        <v>5.0309999999999997</v>
      </c>
      <c r="C250" s="13">
        <v>5.62</v>
      </c>
      <c r="D250" s="14">
        <f t="shared" si="21"/>
        <v>5</v>
      </c>
      <c r="E250" s="14">
        <f t="shared" si="22"/>
        <v>0.2</v>
      </c>
      <c r="F250" s="14">
        <f t="shared" si="23"/>
        <v>3</v>
      </c>
      <c r="G250" s="14">
        <f t="shared" si="24"/>
        <v>3.0220000000000002</v>
      </c>
      <c r="H250" s="14">
        <f t="shared" si="25"/>
        <v>0.60000000000000009</v>
      </c>
      <c r="I250" s="14">
        <f t="shared" si="26"/>
        <v>0</v>
      </c>
      <c r="J250" s="14">
        <f t="shared" si="27"/>
        <v>0</v>
      </c>
      <c r="K250" s="15">
        <f>IF(CurrentMtgRatesDataTable8[[#This Row],[WA CC]]&lt;&gt;0,C249-CurrentMtgRatesDataTable8[[#This Row],[WA CC]],0)</f>
        <v>0</v>
      </c>
      <c r="L250" s="16">
        <f>IF(CurrentMtgRatesDataTable8[[#This Row],[Servicing Spread]]&lt;=0,L249,CurrentMtgRatesDataTable8[[#This Row],[Servicing Spread]])</f>
        <v>0.54950000000000099</v>
      </c>
      <c r="M250" s="16">
        <f>CurrentMtgRatesDataTable8[[#This Row],[Servicing Spread Non-Zero]]-L249</f>
        <v>0</v>
      </c>
      <c r="N250" s="16">
        <f>IF(J249&lt;&gt;0,CurrentMtgRatesDataTable8[[#This Row],[Rate]]-C249,N249)</f>
        <v>-2.0000000000000462E-2</v>
      </c>
    </row>
    <row r="251" spans="1:14">
      <c r="A251" s="8" t="s">
        <v>1603</v>
      </c>
      <c r="B251" s="11">
        <v>5.0460000000000003</v>
      </c>
      <c r="C251" s="13">
        <v>5.62</v>
      </c>
      <c r="D251" s="14">
        <f t="shared" si="21"/>
        <v>6</v>
      </c>
      <c r="E251" s="14">
        <f t="shared" si="22"/>
        <v>0.2</v>
      </c>
      <c r="F251" s="14">
        <f t="shared" si="23"/>
        <v>4</v>
      </c>
      <c r="G251" s="14">
        <f t="shared" si="24"/>
        <v>4.0312000000000001</v>
      </c>
      <c r="H251" s="14">
        <f t="shared" si="25"/>
        <v>0.8</v>
      </c>
      <c r="I251" s="14">
        <f t="shared" si="26"/>
        <v>0</v>
      </c>
      <c r="J251" s="14">
        <f t="shared" si="27"/>
        <v>0</v>
      </c>
      <c r="K251" s="15">
        <f>IF(CurrentMtgRatesDataTable8[[#This Row],[WA CC]]&lt;&gt;0,C250-CurrentMtgRatesDataTable8[[#This Row],[WA CC]],0)</f>
        <v>0</v>
      </c>
      <c r="L251" s="16">
        <f>IF(CurrentMtgRatesDataTable8[[#This Row],[Servicing Spread]]&lt;=0,L250,CurrentMtgRatesDataTable8[[#This Row],[Servicing Spread]])</f>
        <v>0.54950000000000099</v>
      </c>
      <c r="M251" s="16">
        <f>CurrentMtgRatesDataTable8[[#This Row],[Servicing Spread Non-Zero]]-L250</f>
        <v>0</v>
      </c>
      <c r="N251" s="16">
        <f>IF(J250&lt;&gt;0,CurrentMtgRatesDataTable8[[#This Row],[Rate]]-C250,N250)</f>
        <v>-2.0000000000000462E-2</v>
      </c>
    </row>
    <row r="252" spans="1:14">
      <c r="A252" s="8" t="s">
        <v>1604</v>
      </c>
      <c r="B252" s="11">
        <v>5.056</v>
      </c>
      <c r="C252" s="13">
        <v>5.62</v>
      </c>
      <c r="D252" s="14">
        <f t="shared" si="21"/>
        <v>7</v>
      </c>
      <c r="E252" s="14">
        <f t="shared" si="22"/>
        <v>0.2</v>
      </c>
      <c r="F252" s="14">
        <f t="shared" si="23"/>
        <v>5</v>
      </c>
      <c r="G252" s="14">
        <f t="shared" si="24"/>
        <v>5.0424000000000007</v>
      </c>
      <c r="H252" s="14">
        <f t="shared" si="25"/>
        <v>1</v>
      </c>
      <c r="I252" s="14">
        <f t="shared" si="26"/>
        <v>1</v>
      </c>
      <c r="J252" s="14">
        <f t="shared" si="27"/>
        <v>5.0424000000000007</v>
      </c>
      <c r="K252" s="15">
        <f>IF(CurrentMtgRatesDataTable8[[#This Row],[WA CC]]&lt;&gt;0,C251-CurrentMtgRatesDataTable8[[#This Row],[WA CC]],0)</f>
        <v>0.57759999999999945</v>
      </c>
      <c r="L252" s="16">
        <f>IF(CurrentMtgRatesDataTable8[[#This Row],[Servicing Spread]]&lt;=0,L251,CurrentMtgRatesDataTable8[[#This Row],[Servicing Spread]])</f>
        <v>0.57759999999999945</v>
      </c>
      <c r="M252" s="16">
        <f>CurrentMtgRatesDataTable8[[#This Row],[Servicing Spread Non-Zero]]-L251</f>
        <v>2.809999999999846E-2</v>
      </c>
      <c r="N252" s="16">
        <f>IF(J251&lt;&gt;0,CurrentMtgRatesDataTable8[[#This Row],[Rate]]-C251,N251)</f>
        <v>-2.0000000000000462E-2</v>
      </c>
    </row>
    <row r="253" spans="1:14">
      <c r="A253" s="8" t="s">
        <v>1605</v>
      </c>
      <c r="B253" s="11">
        <v>5.1100000000000003</v>
      </c>
      <c r="C253" s="13">
        <v>5.71</v>
      </c>
      <c r="D253" s="14">
        <f t="shared" si="21"/>
        <v>2</v>
      </c>
      <c r="E253" s="14">
        <f t="shared" si="22"/>
        <v>0.2</v>
      </c>
      <c r="F253" s="14">
        <f t="shared" si="23"/>
        <v>1</v>
      </c>
      <c r="G253" s="14">
        <f t="shared" si="24"/>
        <v>1.022</v>
      </c>
      <c r="H253" s="14">
        <f t="shared" si="25"/>
        <v>0.2</v>
      </c>
      <c r="I253" s="14">
        <f t="shared" si="26"/>
        <v>0</v>
      </c>
      <c r="J253" s="14">
        <f t="shared" si="27"/>
        <v>0</v>
      </c>
      <c r="K253" s="15">
        <f>IF(CurrentMtgRatesDataTable8[[#This Row],[WA CC]]&lt;&gt;0,C252-CurrentMtgRatesDataTable8[[#This Row],[WA CC]],0)</f>
        <v>0</v>
      </c>
      <c r="L253" s="16">
        <f>IF(CurrentMtgRatesDataTable8[[#This Row],[Servicing Spread]]&lt;=0,L252,CurrentMtgRatesDataTable8[[#This Row],[Servicing Spread]])</f>
        <v>0.57759999999999945</v>
      </c>
      <c r="M253" s="16">
        <f>CurrentMtgRatesDataTable8[[#This Row],[Servicing Spread Non-Zero]]-L252</f>
        <v>0</v>
      </c>
      <c r="N253" s="16">
        <f>IF(J252&lt;&gt;0,CurrentMtgRatesDataTable8[[#This Row],[Rate]]-C252,N252)</f>
        <v>8.9999999999999858E-2</v>
      </c>
    </row>
    <row r="254" spans="1:14">
      <c r="A254" s="8" t="s">
        <v>1606</v>
      </c>
      <c r="B254" s="11">
        <v>5.181</v>
      </c>
      <c r="C254" s="13">
        <v>5.71</v>
      </c>
      <c r="D254" s="14">
        <f t="shared" si="21"/>
        <v>5</v>
      </c>
      <c r="E254" s="14">
        <f t="shared" si="22"/>
        <v>0.2</v>
      </c>
      <c r="F254" s="14">
        <f t="shared" si="23"/>
        <v>2</v>
      </c>
      <c r="G254" s="14">
        <f t="shared" si="24"/>
        <v>2.0582000000000003</v>
      </c>
      <c r="H254" s="14">
        <f t="shared" si="25"/>
        <v>0.4</v>
      </c>
      <c r="I254" s="14">
        <f t="shared" si="26"/>
        <v>0</v>
      </c>
      <c r="J254" s="14">
        <f t="shared" si="27"/>
        <v>0</v>
      </c>
      <c r="K254" s="15">
        <f>IF(CurrentMtgRatesDataTable8[[#This Row],[WA CC]]&lt;&gt;0,C253-CurrentMtgRatesDataTable8[[#This Row],[WA CC]],0)</f>
        <v>0</v>
      </c>
      <c r="L254" s="16">
        <f>IF(CurrentMtgRatesDataTable8[[#This Row],[Servicing Spread]]&lt;=0,L253,CurrentMtgRatesDataTable8[[#This Row],[Servicing Spread]])</f>
        <v>0.57759999999999945</v>
      </c>
      <c r="M254" s="16">
        <f>CurrentMtgRatesDataTable8[[#This Row],[Servicing Spread Non-Zero]]-L253</f>
        <v>0</v>
      </c>
      <c r="N254" s="16">
        <f>IF(J253&lt;&gt;0,CurrentMtgRatesDataTable8[[#This Row],[Rate]]-C253,N253)</f>
        <v>8.9999999999999858E-2</v>
      </c>
    </row>
    <row r="255" spans="1:14">
      <c r="A255" s="8" t="s">
        <v>1607</v>
      </c>
      <c r="B255" s="11">
        <v>5.1959999999999997</v>
      </c>
      <c r="C255" s="13">
        <v>5.71</v>
      </c>
      <c r="D255" s="14">
        <f t="shared" si="21"/>
        <v>6</v>
      </c>
      <c r="E255" s="14">
        <f t="shared" si="22"/>
        <v>0.2</v>
      </c>
      <c r="F255" s="14">
        <f t="shared" si="23"/>
        <v>3</v>
      </c>
      <c r="G255" s="14">
        <f t="shared" si="24"/>
        <v>3.0974000000000004</v>
      </c>
      <c r="H255" s="14">
        <f t="shared" si="25"/>
        <v>0.60000000000000009</v>
      </c>
      <c r="I255" s="14">
        <f t="shared" si="26"/>
        <v>0</v>
      </c>
      <c r="J255" s="14">
        <f t="shared" si="27"/>
        <v>0</v>
      </c>
      <c r="K255" s="15">
        <f>IF(CurrentMtgRatesDataTable8[[#This Row],[WA CC]]&lt;&gt;0,C254-CurrentMtgRatesDataTable8[[#This Row],[WA CC]],0)</f>
        <v>0</v>
      </c>
      <c r="L255" s="16">
        <f>IF(CurrentMtgRatesDataTable8[[#This Row],[Servicing Spread]]&lt;=0,L254,CurrentMtgRatesDataTable8[[#This Row],[Servicing Spread]])</f>
        <v>0.57759999999999945</v>
      </c>
      <c r="M255" s="16">
        <f>CurrentMtgRatesDataTable8[[#This Row],[Servicing Spread Non-Zero]]-L254</f>
        <v>0</v>
      </c>
      <c r="N255" s="16">
        <f>IF(J254&lt;&gt;0,CurrentMtgRatesDataTable8[[#This Row],[Rate]]-C254,N254)</f>
        <v>8.9999999999999858E-2</v>
      </c>
    </row>
    <row r="256" spans="1:14">
      <c r="A256" s="8" t="s">
        <v>1608</v>
      </c>
      <c r="B256" s="11">
        <v>5.2130000000000001</v>
      </c>
      <c r="C256" s="13">
        <v>5.71</v>
      </c>
      <c r="D256" s="14">
        <f t="shared" si="21"/>
        <v>7</v>
      </c>
      <c r="E256" s="14">
        <f t="shared" si="22"/>
        <v>0.2</v>
      </c>
      <c r="F256" s="14">
        <f t="shared" si="23"/>
        <v>4</v>
      </c>
      <c r="G256" s="14">
        <f t="shared" si="24"/>
        <v>4.1400000000000006</v>
      </c>
      <c r="H256" s="14">
        <f t="shared" si="25"/>
        <v>0.8</v>
      </c>
      <c r="I256" s="14">
        <f t="shared" si="26"/>
        <v>1</v>
      </c>
      <c r="J256" s="14">
        <f t="shared" si="27"/>
        <v>5.1750000000000007</v>
      </c>
      <c r="K256" s="15">
        <f>IF(CurrentMtgRatesDataTable8[[#This Row],[WA CC]]&lt;&gt;0,C255-CurrentMtgRatesDataTable8[[#This Row],[WA CC]],0)</f>
        <v>0.53499999999999925</v>
      </c>
      <c r="L256" s="16">
        <f>IF(CurrentMtgRatesDataTable8[[#This Row],[Servicing Spread]]&lt;=0,L255,CurrentMtgRatesDataTable8[[#This Row],[Servicing Spread]])</f>
        <v>0.53499999999999925</v>
      </c>
      <c r="M256" s="16">
        <f>CurrentMtgRatesDataTable8[[#This Row],[Servicing Spread Non-Zero]]-L255</f>
        <v>-4.2600000000000193E-2</v>
      </c>
      <c r="N256" s="16">
        <f>IF(J255&lt;&gt;0,CurrentMtgRatesDataTable8[[#This Row],[Rate]]-C255,N255)</f>
        <v>8.9999999999999858E-2</v>
      </c>
    </row>
    <row r="257" spans="1:14">
      <c r="A257" s="8" t="s">
        <v>1609</v>
      </c>
      <c r="B257" s="11">
        <v>5.26</v>
      </c>
      <c r="C257" s="13">
        <v>5.6349999999999998</v>
      </c>
      <c r="D257" s="14">
        <f t="shared" si="21"/>
        <v>1</v>
      </c>
      <c r="E257" s="14">
        <f t="shared" si="22"/>
        <v>0.2</v>
      </c>
      <c r="F257" s="14">
        <f t="shared" si="23"/>
        <v>1</v>
      </c>
      <c r="G257" s="14">
        <f t="shared" si="24"/>
        <v>1.052</v>
      </c>
      <c r="H257" s="14">
        <f t="shared" si="25"/>
        <v>0.2</v>
      </c>
      <c r="I257" s="14">
        <f t="shared" si="26"/>
        <v>0</v>
      </c>
      <c r="J257" s="14">
        <f t="shared" si="27"/>
        <v>0</v>
      </c>
      <c r="K257" s="15">
        <f>IF(CurrentMtgRatesDataTable8[[#This Row],[WA CC]]&lt;&gt;0,C256-CurrentMtgRatesDataTable8[[#This Row],[WA CC]],0)</f>
        <v>0</v>
      </c>
      <c r="L257" s="16">
        <f>IF(CurrentMtgRatesDataTable8[[#This Row],[Servicing Spread]]&lt;=0,L256,CurrentMtgRatesDataTable8[[#This Row],[Servicing Spread]])</f>
        <v>0.53499999999999925</v>
      </c>
      <c r="M257" s="16">
        <f>CurrentMtgRatesDataTable8[[#This Row],[Servicing Spread Non-Zero]]-L256</f>
        <v>0</v>
      </c>
      <c r="N257" s="16">
        <f>IF(J256&lt;&gt;0,CurrentMtgRatesDataTable8[[#This Row],[Rate]]-C256,N256)</f>
        <v>-7.5000000000000178E-2</v>
      </c>
    </row>
    <row r="258" spans="1:14">
      <c r="A258" s="8" t="s">
        <v>1610</v>
      </c>
      <c r="B258" s="11">
        <v>5.1210000000000004</v>
      </c>
      <c r="C258" s="13">
        <v>5.6349999999999998</v>
      </c>
      <c r="D258" s="14">
        <f t="shared" si="21"/>
        <v>2</v>
      </c>
      <c r="E258" s="14">
        <f t="shared" si="22"/>
        <v>0.2</v>
      </c>
      <c r="F258" s="14">
        <f t="shared" si="23"/>
        <v>2</v>
      </c>
      <c r="G258" s="14">
        <f t="shared" si="24"/>
        <v>2.0762</v>
      </c>
      <c r="H258" s="14">
        <f t="shared" si="25"/>
        <v>0.4</v>
      </c>
      <c r="I258" s="14">
        <f t="shared" si="26"/>
        <v>0</v>
      </c>
      <c r="J258" s="14">
        <f t="shared" si="27"/>
        <v>0</v>
      </c>
      <c r="K258" s="15">
        <f>IF(CurrentMtgRatesDataTable8[[#This Row],[WA CC]]&lt;&gt;0,C257-CurrentMtgRatesDataTable8[[#This Row],[WA CC]],0)</f>
        <v>0</v>
      </c>
      <c r="L258" s="16">
        <f>IF(CurrentMtgRatesDataTable8[[#This Row],[Servicing Spread]]&lt;=0,L257,CurrentMtgRatesDataTable8[[#This Row],[Servicing Spread]])</f>
        <v>0.53499999999999925</v>
      </c>
      <c r="M258" s="16">
        <f>CurrentMtgRatesDataTable8[[#This Row],[Servicing Spread Non-Zero]]-L257</f>
        <v>0</v>
      </c>
      <c r="N258" s="16">
        <f>IF(J257&lt;&gt;0,CurrentMtgRatesDataTable8[[#This Row],[Rate]]-C257,N257)</f>
        <v>-7.5000000000000178E-2</v>
      </c>
    </row>
    <row r="259" spans="1:14">
      <c r="A259" s="8" t="s">
        <v>1611</v>
      </c>
      <c r="B259" s="11">
        <v>5.056</v>
      </c>
      <c r="C259" s="13">
        <v>5.6349999999999998</v>
      </c>
      <c r="D259" s="14">
        <f t="shared" si="21"/>
        <v>5</v>
      </c>
      <c r="E259" s="14">
        <f t="shared" si="22"/>
        <v>0.2</v>
      </c>
      <c r="F259" s="14">
        <f t="shared" si="23"/>
        <v>3</v>
      </c>
      <c r="G259" s="14">
        <f t="shared" si="24"/>
        <v>3.0874000000000001</v>
      </c>
      <c r="H259" s="14">
        <f t="shared" si="25"/>
        <v>0.60000000000000009</v>
      </c>
      <c r="I259" s="14">
        <f t="shared" si="26"/>
        <v>0</v>
      </c>
      <c r="J259" s="14">
        <f t="shared" si="27"/>
        <v>0</v>
      </c>
      <c r="K259" s="15">
        <f>IF(CurrentMtgRatesDataTable8[[#This Row],[WA CC]]&lt;&gt;0,C258-CurrentMtgRatesDataTable8[[#This Row],[WA CC]],0)</f>
        <v>0</v>
      </c>
      <c r="L259" s="16">
        <f>IF(CurrentMtgRatesDataTable8[[#This Row],[Servicing Spread]]&lt;=0,L258,CurrentMtgRatesDataTable8[[#This Row],[Servicing Spread]])</f>
        <v>0.53499999999999925</v>
      </c>
      <c r="M259" s="16">
        <f>CurrentMtgRatesDataTable8[[#This Row],[Servicing Spread Non-Zero]]-L258</f>
        <v>0</v>
      </c>
      <c r="N259" s="16">
        <f>IF(J258&lt;&gt;0,CurrentMtgRatesDataTable8[[#This Row],[Rate]]-C258,N258)</f>
        <v>-7.5000000000000178E-2</v>
      </c>
    </row>
    <row r="260" spans="1:14">
      <c r="A260" s="8" t="s">
        <v>1612</v>
      </c>
      <c r="B260" s="11">
        <v>5.0369999999999999</v>
      </c>
      <c r="C260" s="13">
        <v>5.6349999999999998</v>
      </c>
      <c r="D260" s="14">
        <f t="shared" si="21"/>
        <v>6</v>
      </c>
      <c r="E260" s="14">
        <f t="shared" si="22"/>
        <v>0.2</v>
      </c>
      <c r="F260" s="14">
        <f t="shared" si="23"/>
        <v>4</v>
      </c>
      <c r="G260" s="14">
        <f t="shared" si="24"/>
        <v>4.0948000000000002</v>
      </c>
      <c r="H260" s="14">
        <f t="shared" si="25"/>
        <v>0.8</v>
      </c>
      <c r="I260" s="14">
        <f t="shared" si="26"/>
        <v>0</v>
      </c>
      <c r="J260" s="14">
        <f t="shared" si="27"/>
        <v>0</v>
      </c>
      <c r="K260" s="15">
        <f>IF(CurrentMtgRatesDataTable8[[#This Row],[WA CC]]&lt;&gt;0,C259-CurrentMtgRatesDataTable8[[#This Row],[WA CC]],0)</f>
        <v>0</v>
      </c>
      <c r="L260" s="16">
        <f>IF(CurrentMtgRatesDataTable8[[#This Row],[Servicing Spread]]&lt;=0,L259,CurrentMtgRatesDataTable8[[#This Row],[Servicing Spread]])</f>
        <v>0.53499999999999925</v>
      </c>
      <c r="M260" s="16">
        <f>CurrentMtgRatesDataTable8[[#This Row],[Servicing Spread Non-Zero]]-L259</f>
        <v>0</v>
      </c>
      <c r="N260" s="16">
        <f>IF(J259&lt;&gt;0,CurrentMtgRatesDataTable8[[#This Row],[Rate]]-C259,N259)</f>
        <v>-7.5000000000000178E-2</v>
      </c>
    </row>
    <row r="261" spans="1:14">
      <c r="A261" s="8" t="s">
        <v>1613</v>
      </c>
      <c r="B261" s="11">
        <v>4.97</v>
      </c>
      <c r="C261" s="13">
        <v>5.6349999999999998</v>
      </c>
      <c r="D261" s="14">
        <f t="shared" ref="D261:D324" si="28">WEEKDAY(A261,14)</f>
        <v>7</v>
      </c>
      <c r="E261" s="14">
        <f t="shared" ref="E261:E324" si="29">VLOOKUP(D261,Q$5:R$11,2,FALSE)</f>
        <v>0.2</v>
      </c>
      <c r="F261" s="14">
        <f t="shared" ref="F261:F324" si="30">IF(AND(D261&gt;D260,F260&lt;6),F260+1,1)</f>
        <v>5</v>
      </c>
      <c r="G261" s="14">
        <f t="shared" ref="G261:G324" si="31">IF(F261&gt;F260,G260+B261*E261,B261*E261)</f>
        <v>5.0888</v>
      </c>
      <c r="H261" s="14">
        <f t="shared" ref="H261:H324" si="32">IF(AND(F261&lt;6,F261&gt;F260),E261+H260,E261)</f>
        <v>1</v>
      </c>
      <c r="I261" s="14">
        <f t="shared" ref="I261:I324" si="33">IF(F261&gt;F262,1,0)</f>
        <v>1</v>
      </c>
      <c r="J261" s="14">
        <f t="shared" ref="J261:J324" si="34">IF(F261&gt;F262,G261/H261,0)</f>
        <v>5.0888</v>
      </c>
      <c r="K261" s="15">
        <f>IF(CurrentMtgRatesDataTable8[[#This Row],[WA CC]]&lt;&gt;0,C260-CurrentMtgRatesDataTable8[[#This Row],[WA CC]],0)</f>
        <v>0.5461999999999998</v>
      </c>
      <c r="L261" s="16">
        <f>IF(CurrentMtgRatesDataTable8[[#This Row],[Servicing Spread]]&lt;=0,L260,CurrentMtgRatesDataTable8[[#This Row],[Servicing Spread]])</f>
        <v>0.5461999999999998</v>
      </c>
      <c r="M261" s="16">
        <f>CurrentMtgRatesDataTable8[[#This Row],[Servicing Spread Non-Zero]]-L260</f>
        <v>1.1200000000000543E-2</v>
      </c>
      <c r="N261" s="16">
        <f>IF(J260&lt;&gt;0,CurrentMtgRatesDataTable8[[#This Row],[Rate]]-C260,N260)</f>
        <v>-7.5000000000000178E-2</v>
      </c>
    </row>
    <row r="262" spans="1:14">
      <c r="A262" s="8" t="s">
        <v>1614</v>
      </c>
      <c r="B262" s="11">
        <v>5.0209999999999999</v>
      </c>
      <c r="C262" s="13">
        <v>5.58</v>
      </c>
      <c r="D262" s="14">
        <f t="shared" si="28"/>
        <v>1</v>
      </c>
      <c r="E262" s="14">
        <f t="shared" si="29"/>
        <v>0.2</v>
      </c>
      <c r="F262" s="14">
        <f t="shared" si="30"/>
        <v>1</v>
      </c>
      <c r="G262" s="14">
        <f t="shared" si="31"/>
        <v>1.0042</v>
      </c>
      <c r="H262" s="14">
        <f t="shared" si="32"/>
        <v>0.2</v>
      </c>
      <c r="I262" s="14">
        <f t="shared" si="33"/>
        <v>0</v>
      </c>
      <c r="J262" s="14">
        <f t="shared" si="34"/>
        <v>0</v>
      </c>
      <c r="K262" s="15">
        <f>IF(CurrentMtgRatesDataTable8[[#This Row],[WA CC]]&lt;&gt;0,C261-CurrentMtgRatesDataTable8[[#This Row],[WA CC]],0)</f>
        <v>0</v>
      </c>
      <c r="L262" s="16">
        <f>IF(CurrentMtgRatesDataTable8[[#This Row],[Servicing Spread]]&lt;=0,L261,CurrentMtgRatesDataTable8[[#This Row],[Servicing Spread]])</f>
        <v>0.5461999999999998</v>
      </c>
      <c r="M262" s="16">
        <f>CurrentMtgRatesDataTable8[[#This Row],[Servicing Spread Non-Zero]]-L261</f>
        <v>0</v>
      </c>
      <c r="N262" s="16">
        <f>IF(J261&lt;&gt;0,CurrentMtgRatesDataTable8[[#This Row],[Rate]]-C261,N261)</f>
        <v>-5.4999999999999716E-2</v>
      </c>
    </row>
    <row r="263" spans="1:14">
      <c r="A263" s="8" t="s">
        <v>1615</v>
      </c>
      <c r="B263" s="11">
        <v>5.0270000000000001</v>
      </c>
      <c r="C263" s="13">
        <v>5.58</v>
      </c>
      <c r="D263" s="14">
        <f t="shared" si="28"/>
        <v>2</v>
      </c>
      <c r="E263" s="14">
        <f t="shared" si="29"/>
        <v>0.2</v>
      </c>
      <c r="F263" s="14">
        <f t="shared" si="30"/>
        <v>2</v>
      </c>
      <c r="G263" s="14">
        <f t="shared" si="31"/>
        <v>2.0095999999999998</v>
      </c>
      <c r="H263" s="14">
        <f t="shared" si="32"/>
        <v>0.4</v>
      </c>
      <c r="I263" s="14">
        <f t="shared" si="33"/>
        <v>0</v>
      </c>
      <c r="J263" s="14">
        <f t="shared" si="34"/>
        <v>0</v>
      </c>
      <c r="K263" s="15">
        <f>IF(CurrentMtgRatesDataTable8[[#This Row],[WA CC]]&lt;&gt;0,C262-CurrentMtgRatesDataTable8[[#This Row],[WA CC]],0)</f>
        <v>0</v>
      </c>
      <c r="L263" s="16">
        <f>IF(CurrentMtgRatesDataTable8[[#This Row],[Servicing Spread]]&lt;=0,L262,CurrentMtgRatesDataTable8[[#This Row],[Servicing Spread]])</f>
        <v>0.5461999999999998</v>
      </c>
      <c r="M263" s="16">
        <f>CurrentMtgRatesDataTable8[[#This Row],[Servicing Spread Non-Zero]]-L262</f>
        <v>0</v>
      </c>
      <c r="N263" s="16">
        <f>IF(J262&lt;&gt;0,CurrentMtgRatesDataTable8[[#This Row],[Rate]]-C262,N262)</f>
        <v>-5.4999999999999716E-2</v>
      </c>
    </row>
    <row r="264" spans="1:14">
      <c r="A264" s="8" t="s">
        <v>1616</v>
      </c>
      <c r="B264" s="11">
        <v>5.0229999999999997</v>
      </c>
      <c r="C264" s="13">
        <v>5.58</v>
      </c>
      <c r="D264" s="14">
        <f t="shared" si="28"/>
        <v>5</v>
      </c>
      <c r="E264" s="14">
        <f t="shared" si="29"/>
        <v>0.2</v>
      </c>
      <c r="F264" s="14">
        <f t="shared" si="30"/>
        <v>3</v>
      </c>
      <c r="G264" s="14">
        <f t="shared" si="31"/>
        <v>3.0141999999999998</v>
      </c>
      <c r="H264" s="14">
        <f t="shared" si="32"/>
        <v>0.60000000000000009</v>
      </c>
      <c r="I264" s="14">
        <f t="shared" si="33"/>
        <v>0</v>
      </c>
      <c r="J264" s="14">
        <f t="shared" si="34"/>
        <v>0</v>
      </c>
      <c r="K264" s="15">
        <f>IF(CurrentMtgRatesDataTable8[[#This Row],[WA CC]]&lt;&gt;0,C263-CurrentMtgRatesDataTable8[[#This Row],[WA CC]],0)</f>
        <v>0</v>
      </c>
      <c r="L264" s="16">
        <f>IF(CurrentMtgRatesDataTable8[[#This Row],[Servicing Spread]]&lt;=0,L263,CurrentMtgRatesDataTable8[[#This Row],[Servicing Spread]])</f>
        <v>0.5461999999999998</v>
      </c>
      <c r="M264" s="16">
        <f>CurrentMtgRatesDataTable8[[#This Row],[Servicing Spread Non-Zero]]-L263</f>
        <v>0</v>
      </c>
      <c r="N264" s="16">
        <f>IF(J263&lt;&gt;0,CurrentMtgRatesDataTable8[[#This Row],[Rate]]-C263,N263)</f>
        <v>-5.4999999999999716E-2</v>
      </c>
    </row>
    <row r="265" spans="1:14">
      <c r="A265" s="8" t="s">
        <v>1617</v>
      </c>
      <c r="B265" s="11">
        <v>5.0119999999999996</v>
      </c>
      <c r="C265" s="13">
        <v>5.58</v>
      </c>
      <c r="D265" s="14">
        <f t="shared" si="28"/>
        <v>6</v>
      </c>
      <c r="E265" s="14">
        <f t="shared" si="29"/>
        <v>0.2</v>
      </c>
      <c r="F265" s="14">
        <f t="shared" si="30"/>
        <v>4</v>
      </c>
      <c r="G265" s="14">
        <f t="shared" si="31"/>
        <v>4.0165999999999995</v>
      </c>
      <c r="H265" s="14">
        <f t="shared" si="32"/>
        <v>0.8</v>
      </c>
      <c r="I265" s="14">
        <f t="shared" si="33"/>
        <v>0</v>
      </c>
      <c r="J265" s="14">
        <f t="shared" si="34"/>
        <v>0</v>
      </c>
      <c r="K265" s="15">
        <f>IF(CurrentMtgRatesDataTable8[[#This Row],[WA CC]]&lt;&gt;0,C264-CurrentMtgRatesDataTable8[[#This Row],[WA CC]],0)</f>
        <v>0</v>
      </c>
      <c r="L265" s="16">
        <f>IF(CurrentMtgRatesDataTable8[[#This Row],[Servicing Spread]]&lt;=0,L264,CurrentMtgRatesDataTable8[[#This Row],[Servicing Spread]])</f>
        <v>0.5461999999999998</v>
      </c>
      <c r="M265" s="16">
        <f>CurrentMtgRatesDataTable8[[#This Row],[Servicing Spread Non-Zero]]-L264</f>
        <v>0</v>
      </c>
      <c r="N265" s="16">
        <f>IF(J264&lt;&gt;0,CurrentMtgRatesDataTable8[[#This Row],[Rate]]-C264,N264)</f>
        <v>-5.4999999999999716E-2</v>
      </c>
    </row>
    <row r="266" spans="1:14">
      <c r="A266" s="8" t="s">
        <v>1618</v>
      </c>
      <c r="B266" s="11">
        <v>4.9720000000000004</v>
      </c>
      <c r="C266" s="13">
        <v>5.58</v>
      </c>
      <c r="D266" s="14">
        <f t="shared" si="28"/>
        <v>7</v>
      </c>
      <c r="E266" s="14">
        <f t="shared" si="29"/>
        <v>0.2</v>
      </c>
      <c r="F266" s="14">
        <f t="shared" si="30"/>
        <v>5</v>
      </c>
      <c r="G266" s="14">
        <f t="shared" si="31"/>
        <v>5.0109999999999992</v>
      </c>
      <c r="H266" s="14">
        <f t="shared" si="32"/>
        <v>1</v>
      </c>
      <c r="I266" s="14">
        <f t="shared" si="33"/>
        <v>1</v>
      </c>
      <c r="J266" s="14">
        <f t="shared" si="34"/>
        <v>5.0109999999999992</v>
      </c>
      <c r="K266" s="15">
        <f>IF(CurrentMtgRatesDataTable8[[#This Row],[WA CC]]&lt;&gt;0,C265-CurrentMtgRatesDataTable8[[#This Row],[WA CC]],0)</f>
        <v>0.56900000000000084</v>
      </c>
      <c r="L266" s="16">
        <f>IF(CurrentMtgRatesDataTable8[[#This Row],[Servicing Spread]]&lt;=0,L265,CurrentMtgRatesDataTable8[[#This Row],[Servicing Spread]])</f>
        <v>0.56900000000000084</v>
      </c>
      <c r="M266" s="16">
        <f>CurrentMtgRatesDataTable8[[#This Row],[Servicing Spread Non-Zero]]-L265</f>
        <v>2.2800000000001042E-2</v>
      </c>
      <c r="N266" s="16">
        <f>IF(J265&lt;&gt;0,CurrentMtgRatesDataTable8[[#This Row],[Rate]]-C265,N265)</f>
        <v>-5.4999999999999716E-2</v>
      </c>
    </row>
    <row r="267" spans="1:14">
      <c r="A267" s="8" t="s">
        <v>1619</v>
      </c>
      <c r="B267" s="11">
        <v>5.0720000000000001</v>
      </c>
      <c r="C267" s="13">
        <v>5.65</v>
      </c>
      <c r="D267" s="14">
        <f t="shared" si="28"/>
        <v>1</v>
      </c>
      <c r="E267" s="14">
        <f t="shared" si="29"/>
        <v>0.2</v>
      </c>
      <c r="F267" s="14">
        <f t="shared" si="30"/>
        <v>1</v>
      </c>
      <c r="G267" s="14">
        <f t="shared" si="31"/>
        <v>1.0144</v>
      </c>
      <c r="H267" s="14">
        <f t="shared" si="32"/>
        <v>0.2</v>
      </c>
      <c r="I267" s="14">
        <f t="shared" si="33"/>
        <v>0</v>
      </c>
      <c r="J267" s="14">
        <f t="shared" si="34"/>
        <v>0</v>
      </c>
      <c r="K267" s="15">
        <f>IF(CurrentMtgRatesDataTable8[[#This Row],[WA CC]]&lt;&gt;0,C266-CurrentMtgRatesDataTable8[[#This Row],[WA CC]],0)</f>
        <v>0</v>
      </c>
      <c r="L267" s="16">
        <f>IF(CurrentMtgRatesDataTable8[[#This Row],[Servicing Spread]]&lt;=0,L266,CurrentMtgRatesDataTable8[[#This Row],[Servicing Spread]])</f>
        <v>0.56900000000000084</v>
      </c>
      <c r="M267" s="16">
        <f>CurrentMtgRatesDataTable8[[#This Row],[Servicing Spread Non-Zero]]-L266</f>
        <v>0</v>
      </c>
      <c r="N267" s="16">
        <f>IF(J266&lt;&gt;0,CurrentMtgRatesDataTable8[[#This Row],[Rate]]-C266,N266)</f>
        <v>7.0000000000000284E-2</v>
      </c>
    </row>
    <row r="268" spans="1:14">
      <c r="A268" s="8" t="s">
        <v>1620</v>
      </c>
      <c r="B268" s="11">
        <v>5.1120000000000001</v>
      </c>
      <c r="C268" s="13">
        <v>5.65</v>
      </c>
      <c r="D268" s="14">
        <f t="shared" si="28"/>
        <v>2</v>
      </c>
      <c r="E268" s="14">
        <f t="shared" si="29"/>
        <v>0.2</v>
      </c>
      <c r="F268" s="14">
        <f t="shared" si="30"/>
        <v>2</v>
      </c>
      <c r="G268" s="14">
        <f t="shared" si="31"/>
        <v>2.0367999999999999</v>
      </c>
      <c r="H268" s="14">
        <f t="shared" si="32"/>
        <v>0.4</v>
      </c>
      <c r="I268" s="14">
        <f t="shared" si="33"/>
        <v>0</v>
      </c>
      <c r="J268" s="14">
        <f t="shared" si="34"/>
        <v>0</v>
      </c>
      <c r="K268" s="15">
        <f>IF(CurrentMtgRatesDataTable8[[#This Row],[WA CC]]&lt;&gt;0,C267-CurrentMtgRatesDataTable8[[#This Row],[WA CC]],0)</f>
        <v>0</v>
      </c>
      <c r="L268" s="16">
        <f>IF(CurrentMtgRatesDataTable8[[#This Row],[Servicing Spread]]&lt;=0,L267,CurrentMtgRatesDataTable8[[#This Row],[Servicing Spread]])</f>
        <v>0.56900000000000084</v>
      </c>
      <c r="M268" s="16">
        <f>CurrentMtgRatesDataTable8[[#This Row],[Servicing Spread Non-Zero]]-L267</f>
        <v>0</v>
      </c>
      <c r="N268" s="16">
        <f>IF(J267&lt;&gt;0,CurrentMtgRatesDataTable8[[#This Row],[Rate]]-C267,N267)</f>
        <v>7.0000000000000284E-2</v>
      </c>
    </row>
    <row r="269" spans="1:14">
      <c r="A269" s="8" t="s">
        <v>1621</v>
      </c>
      <c r="B269" s="11">
        <v>5.1059999999999999</v>
      </c>
      <c r="C269" s="13">
        <v>5.65</v>
      </c>
      <c r="D269" s="14">
        <f t="shared" si="28"/>
        <v>5</v>
      </c>
      <c r="E269" s="14">
        <f t="shared" si="29"/>
        <v>0.2</v>
      </c>
      <c r="F269" s="14">
        <f t="shared" si="30"/>
        <v>3</v>
      </c>
      <c r="G269" s="14">
        <f t="shared" si="31"/>
        <v>3.0579999999999998</v>
      </c>
      <c r="H269" s="14">
        <f t="shared" si="32"/>
        <v>0.60000000000000009</v>
      </c>
      <c r="I269" s="14">
        <f t="shared" si="33"/>
        <v>0</v>
      </c>
      <c r="J269" s="14">
        <f t="shared" si="34"/>
        <v>0</v>
      </c>
      <c r="K269" s="15">
        <f>IF(CurrentMtgRatesDataTable8[[#This Row],[WA CC]]&lt;&gt;0,C268-CurrentMtgRatesDataTable8[[#This Row],[WA CC]],0)</f>
        <v>0</v>
      </c>
      <c r="L269" s="16">
        <f>IF(CurrentMtgRatesDataTable8[[#This Row],[Servicing Spread]]&lt;=0,L268,CurrentMtgRatesDataTable8[[#This Row],[Servicing Spread]])</f>
        <v>0.56900000000000084</v>
      </c>
      <c r="M269" s="16">
        <f>CurrentMtgRatesDataTable8[[#This Row],[Servicing Spread Non-Zero]]-L268</f>
        <v>0</v>
      </c>
      <c r="N269" s="16">
        <f>IF(J268&lt;&gt;0,CurrentMtgRatesDataTable8[[#This Row],[Rate]]-C268,N268)</f>
        <v>7.0000000000000284E-2</v>
      </c>
    </row>
    <row r="270" spans="1:14">
      <c r="A270" s="8" t="s">
        <v>1622</v>
      </c>
      <c r="B270" s="11">
        <v>5.0659999999999998</v>
      </c>
      <c r="C270" s="13">
        <v>5.65</v>
      </c>
      <c r="D270" s="14">
        <f t="shared" si="28"/>
        <v>6</v>
      </c>
      <c r="E270" s="14">
        <f t="shared" si="29"/>
        <v>0.2</v>
      </c>
      <c r="F270" s="14">
        <f t="shared" si="30"/>
        <v>4</v>
      </c>
      <c r="G270" s="14">
        <f t="shared" si="31"/>
        <v>4.0712000000000002</v>
      </c>
      <c r="H270" s="14">
        <f t="shared" si="32"/>
        <v>0.8</v>
      </c>
      <c r="I270" s="14">
        <f t="shared" si="33"/>
        <v>0</v>
      </c>
      <c r="J270" s="14">
        <f t="shared" si="34"/>
        <v>0</v>
      </c>
      <c r="K270" s="15">
        <f>IF(CurrentMtgRatesDataTable8[[#This Row],[WA CC]]&lt;&gt;0,C269-CurrentMtgRatesDataTable8[[#This Row],[WA CC]],0)</f>
        <v>0</v>
      </c>
      <c r="L270" s="16">
        <f>IF(CurrentMtgRatesDataTable8[[#This Row],[Servicing Spread]]&lt;=0,L269,CurrentMtgRatesDataTable8[[#This Row],[Servicing Spread]])</f>
        <v>0.56900000000000084</v>
      </c>
      <c r="M270" s="16">
        <f>CurrentMtgRatesDataTable8[[#This Row],[Servicing Spread Non-Zero]]-L269</f>
        <v>0</v>
      </c>
      <c r="N270" s="16">
        <f>IF(J269&lt;&gt;0,CurrentMtgRatesDataTable8[[#This Row],[Rate]]-C269,N269)</f>
        <v>7.0000000000000284E-2</v>
      </c>
    </row>
    <row r="271" spans="1:14">
      <c r="A271" s="8" t="s">
        <v>1623</v>
      </c>
      <c r="B271" s="11">
        <v>5.0890000000000004</v>
      </c>
      <c r="C271" s="13">
        <v>5.65</v>
      </c>
      <c r="D271" s="14">
        <f t="shared" si="28"/>
        <v>7</v>
      </c>
      <c r="E271" s="14">
        <f t="shared" si="29"/>
        <v>0.2</v>
      </c>
      <c r="F271" s="14">
        <f t="shared" si="30"/>
        <v>5</v>
      </c>
      <c r="G271" s="14">
        <f t="shared" si="31"/>
        <v>5.0890000000000004</v>
      </c>
      <c r="H271" s="14">
        <f t="shared" si="32"/>
        <v>1</v>
      </c>
      <c r="I271" s="14">
        <f t="shared" si="33"/>
        <v>1</v>
      </c>
      <c r="J271" s="14">
        <f t="shared" si="34"/>
        <v>5.0890000000000004</v>
      </c>
      <c r="K271" s="15">
        <f>IF(CurrentMtgRatesDataTable8[[#This Row],[WA CC]]&lt;&gt;0,C270-CurrentMtgRatesDataTable8[[#This Row],[WA CC]],0)</f>
        <v>0.56099999999999994</v>
      </c>
      <c r="L271" s="16">
        <f>IF(CurrentMtgRatesDataTable8[[#This Row],[Servicing Spread]]&lt;=0,L270,CurrentMtgRatesDataTable8[[#This Row],[Servicing Spread]])</f>
        <v>0.56099999999999994</v>
      </c>
      <c r="M271" s="16">
        <f>CurrentMtgRatesDataTable8[[#This Row],[Servicing Spread Non-Zero]]-L270</f>
        <v>-8.0000000000008953E-3</v>
      </c>
      <c r="N271" s="16">
        <f>IF(J270&lt;&gt;0,CurrentMtgRatesDataTable8[[#This Row],[Rate]]-C270,N270)</f>
        <v>7.0000000000000284E-2</v>
      </c>
    </row>
    <row r="272" spans="1:14">
      <c r="A272" s="8" t="s">
        <v>1624</v>
      </c>
      <c r="B272" s="11">
        <v>5.109</v>
      </c>
      <c r="C272" s="13">
        <v>5.71</v>
      </c>
      <c r="D272" s="14">
        <f t="shared" si="28"/>
        <v>1</v>
      </c>
      <c r="E272" s="14">
        <f t="shared" si="29"/>
        <v>0.2</v>
      </c>
      <c r="F272" s="14">
        <f t="shared" si="30"/>
        <v>1</v>
      </c>
      <c r="G272" s="14">
        <f t="shared" si="31"/>
        <v>1.0218</v>
      </c>
      <c r="H272" s="14">
        <f t="shared" si="32"/>
        <v>0.2</v>
      </c>
      <c r="I272" s="14">
        <f t="shared" si="33"/>
        <v>0</v>
      </c>
      <c r="J272" s="14">
        <f t="shared" si="34"/>
        <v>0</v>
      </c>
      <c r="K272" s="15">
        <f>IF(CurrentMtgRatesDataTable8[[#This Row],[WA CC]]&lt;&gt;0,C271-CurrentMtgRatesDataTable8[[#This Row],[WA CC]],0)</f>
        <v>0</v>
      </c>
      <c r="L272" s="16">
        <f>IF(CurrentMtgRatesDataTable8[[#This Row],[Servicing Spread]]&lt;=0,L271,CurrentMtgRatesDataTable8[[#This Row],[Servicing Spread]])</f>
        <v>0.56099999999999994</v>
      </c>
      <c r="M272" s="16">
        <f>CurrentMtgRatesDataTable8[[#This Row],[Servicing Spread Non-Zero]]-L271</f>
        <v>0</v>
      </c>
      <c r="N272" s="16">
        <f>IF(J271&lt;&gt;0,CurrentMtgRatesDataTable8[[#This Row],[Rate]]-C271,N271)</f>
        <v>5.9999999999999609E-2</v>
      </c>
    </row>
    <row r="273" spans="1:14">
      <c r="A273" s="8" t="s">
        <v>1625</v>
      </c>
      <c r="B273" s="11">
        <v>5.1689999999999996</v>
      </c>
      <c r="C273" s="13">
        <v>5.71</v>
      </c>
      <c r="D273" s="14">
        <f t="shared" si="28"/>
        <v>5</v>
      </c>
      <c r="E273" s="14">
        <f t="shared" si="29"/>
        <v>0.2</v>
      </c>
      <c r="F273" s="14">
        <f t="shared" si="30"/>
        <v>2</v>
      </c>
      <c r="G273" s="14">
        <f t="shared" si="31"/>
        <v>2.0556000000000001</v>
      </c>
      <c r="H273" s="14">
        <f t="shared" si="32"/>
        <v>0.4</v>
      </c>
      <c r="I273" s="14">
        <f t="shared" si="33"/>
        <v>0</v>
      </c>
      <c r="J273" s="14">
        <f t="shared" si="34"/>
        <v>0</v>
      </c>
      <c r="K273" s="15">
        <f>IF(CurrentMtgRatesDataTable8[[#This Row],[WA CC]]&lt;&gt;0,C272-CurrentMtgRatesDataTable8[[#This Row],[WA CC]],0)</f>
        <v>0</v>
      </c>
      <c r="L273" s="16">
        <f>IF(CurrentMtgRatesDataTable8[[#This Row],[Servicing Spread]]&lt;=0,L272,CurrentMtgRatesDataTable8[[#This Row],[Servicing Spread]])</f>
        <v>0.56099999999999994</v>
      </c>
      <c r="M273" s="16">
        <f>CurrentMtgRatesDataTable8[[#This Row],[Servicing Spread Non-Zero]]-L272</f>
        <v>0</v>
      </c>
      <c r="N273" s="16">
        <f>IF(J272&lt;&gt;0,CurrentMtgRatesDataTable8[[#This Row],[Rate]]-C272,N272)</f>
        <v>5.9999999999999609E-2</v>
      </c>
    </row>
    <row r="274" spans="1:14">
      <c r="A274" s="8" t="s">
        <v>1626</v>
      </c>
      <c r="B274" s="11">
        <v>5.1719999999999997</v>
      </c>
      <c r="C274" s="13">
        <v>5.71</v>
      </c>
      <c r="D274" s="14">
        <f t="shared" si="28"/>
        <v>6</v>
      </c>
      <c r="E274" s="14">
        <f t="shared" si="29"/>
        <v>0.2</v>
      </c>
      <c r="F274" s="14">
        <f t="shared" si="30"/>
        <v>3</v>
      </c>
      <c r="G274" s="14">
        <f t="shared" si="31"/>
        <v>3.09</v>
      </c>
      <c r="H274" s="14">
        <f t="shared" si="32"/>
        <v>0.60000000000000009</v>
      </c>
      <c r="I274" s="14">
        <f t="shared" si="33"/>
        <v>0</v>
      </c>
      <c r="J274" s="14">
        <f t="shared" si="34"/>
        <v>0</v>
      </c>
      <c r="K274" s="15">
        <f>IF(CurrentMtgRatesDataTable8[[#This Row],[WA CC]]&lt;&gt;0,C273-CurrentMtgRatesDataTable8[[#This Row],[WA CC]],0)</f>
        <v>0</v>
      </c>
      <c r="L274" s="16">
        <f>IF(CurrentMtgRatesDataTable8[[#This Row],[Servicing Spread]]&lt;=0,L273,CurrentMtgRatesDataTable8[[#This Row],[Servicing Spread]])</f>
        <v>0.56099999999999994</v>
      </c>
      <c r="M274" s="16">
        <f>CurrentMtgRatesDataTable8[[#This Row],[Servicing Spread Non-Zero]]-L273</f>
        <v>0</v>
      </c>
      <c r="N274" s="16">
        <f>IF(J273&lt;&gt;0,CurrentMtgRatesDataTable8[[#This Row],[Rate]]-C273,N273)</f>
        <v>5.9999999999999609E-2</v>
      </c>
    </row>
    <row r="275" spans="1:14">
      <c r="A275" s="8" t="s">
        <v>1627</v>
      </c>
      <c r="B275" s="11">
        <v>5.1970000000000001</v>
      </c>
      <c r="C275" s="13">
        <v>5.71</v>
      </c>
      <c r="D275" s="14">
        <f t="shared" si="28"/>
        <v>7</v>
      </c>
      <c r="E275" s="14">
        <f t="shared" si="29"/>
        <v>0.2</v>
      </c>
      <c r="F275" s="14">
        <f t="shared" si="30"/>
        <v>4</v>
      </c>
      <c r="G275" s="14">
        <f t="shared" si="31"/>
        <v>4.1294000000000004</v>
      </c>
      <c r="H275" s="14">
        <f t="shared" si="32"/>
        <v>0.8</v>
      </c>
      <c r="I275" s="14">
        <f t="shared" si="33"/>
        <v>1</v>
      </c>
      <c r="J275" s="14">
        <f t="shared" si="34"/>
        <v>5.1617500000000005</v>
      </c>
      <c r="K275" s="15">
        <f>IF(CurrentMtgRatesDataTable8[[#This Row],[WA CC]]&lt;&gt;0,C274-CurrentMtgRatesDataTable8[[#This Row],[WA CC]],0)</f>
        <v>0.54824999999999946</v>
      </c>
      <c r="L275" s="16">
        <f>IF(CurrentMtgRatesDataTable8[[#This Row],[Servicing Spread]]&lt;=0,L274,CurrentMtgRatesDataTable8[[#This Row],[Servicing Spread]])</f>
        <v>0.54824999999999946</v>
      </c>
      <c r="M275" s="16">
        <f>CurrentMtgRatesDataTable8[[#This Row],[Servicing Spread Non-Zero]]-L274</f>
        <v>-1.2750000000000483E-2</v>
      </c>
      <c r="N275" s="16">
        <f>IF(J274&lt;&gt;0,CurrentMtgRatesDataTable8[[#This Row],[Rate]]-C274,N274)</f>
        <v>5.9999999999999609E-2</v>
      </c>
    </row>
    <row r="276" spans="1:14">
      <c r="A276" s="8" t="s">
        <v>1628</v>
      </c>
      <c r="B276" s="11">
        <v>5.1340000000000003</v>
      </c>
      <c r="C276" s="13">
        <v>5.6949999999999994</v>
      </c>
      <c r="D276" s="14">
        <f t="shared" si="28"/>
        <v>1</v>
      </c>
      <c r="E276" s="14">
        <f t="shared" si="29"/>
        <v>0.2</v>
      </c>
      <c r="F276" s="14">
        <f t="shared" si="30"/>
        <v>1</v>
      </c>
      <c r="G276" s="14">
        <f t="shared" si="31"/>
        <v>1.0268000000000002</v>
      </c>
      <c r="H276" s="14">
        <f t="shared" si="32"/>
        <v>0.2</v>
      </c>
      <c r="I276" s="14">
        <f t="shared" si="33"/>
        <v>0</v>
      </c>
      <c r="J276" s="14">
        <f t="shared" si="34"/>
        <v>0</v>
      </c>
      <c r="K276" s="15">
        <f>IF(CurrentMtgRatesDataTable8[[#This Row],[WA CC]]&lt;&gt;0,C275-CurrentMtgRatesDataTable8[[#This Row],[WA CC]],0)</f>
        <v>0</v>
      </c>
      <c r="L276" s="16">
        <f>IF(CurrentMtgRatesDataTable8[[#This Row],[Servicing Spread]]&lt;=0,L275,CurrentMtgRatesDataTable8[[#This Row],[Servicing Spread]])</f>
        <v>0.54824999999999946</v>
      </c>
      <c r="M276" s="16">
        <f>CurrentMtgRatesDataTable8[[#This Row],[Servicing Spread Non-Zero]]-L275</f>
        <v>0</v>
      </c>
      <c r="N276" s="16">
        <f>IF(J275&lt;&gt;0,CurrentMtgRatesDataTable8[[#This Row],[Rate]]-C275,N275)</f>
        <v>-1.5000000000000568E-2</v>
      </c>
    </row>
    <row r="277" spans="1:14">
      <c r="A277" s="8" t="s">
        <v>1629</v>
      </c>
      <c r="B277" s="11">
        <v>5.0720000000000001</v>
      </c>
      <c r="C277" s="13">
        <v>5.6949999999999994</v>
      </c>
      <c r="D277" s="14">
        <f t="shared" si="28"/>
        <v>2</v>
      </c>
      <c r="E277" s="14">
        <f t="shared" si="29"/>
        <v>0.2</v>
      </c>
      <c r="F277" s="14">
        <f t="shared" si="30"/>
        <v>2</v>
      </c>
      <c r="G277" s="14">
        <f t="shared" si="31"/>
        <v>2.0411999999999999</v>
      </c>
      <c r="H277" s="14">
        <f t="shared" si="32"/>
        <v>0.4</v>
      </c>
      <c r="I277" s="14">
        <f t="shared" si="33"/>
        <v>0</v>
      </c>
      <c r="J277" s="14">
        <f t="shared" si="34"/>
        <v>0</v>
      </c>
      <c r="K277" s="15">
        <f>IF(CurrentMtgRatesDataTable8[[#This Row],[WA CC]]&lt;&gt;0,C276-CurrentMtgRatesDataTable8[[#This Row],[WA CC]],0)</f>
        <v>0</v>
      </c>
      <c r="L277" s="16">
        <f>IF(CurrentMtgRatesDataTable8[[#This Row],[Servicing Spread]]&lt;=0,L276,CurrentMtgRatesDataTable8[[#This Row],[Servicing Spread]])</f>
        <v>0.54824999999999946</v>
      </c>
      <c r="M277" s="16">
        <f>CurrentMtgRatesDataTable8[[#This Row],[Servicing Spread Non-Zero]]-L276</f>
        <v>0</v>
      </c>
      <c r="N277" s="16">
        <f>IF(J276&lt;&gt;0,CurrentMtgRatesDataTable8[[#This Row],[Rate]]-C276,N276)</f>
        <v>-1.5000000000000568E-2</v>
      </c>
    </row>
    <row r="278" spans="1:14">
      <c r="A278" s="8" t="s">
        <v>1630</v>
      </c>
      <c r="B278" s="11">
        <v>5.0810000000000004</v>
      </c>
      <c r="C278" s="13">
        <v>5.6949999999999994</v>
      </c>
      <c r="D278" s="14">
        <f t="shared" si="28"/>
        <v>5</v>
      </c>
      <c r="E278" s="14">
        <f t="shared" si="29"/>
        <v>0.2</v>
      </c>
      <c r="F278" s="14">
        <f t="shared" si="30"/>
        <v>3</v>
      </c>
      <c r="G278" s="14">
        <f t="shared" si="31"/>
        <v>3.0574000000000003</v>
      </c>
      <c r="H278" s="14">
        <f t="shared" si="32"/>
        <v>0.60000000000000009</v>
      </c>
      <c r="I278" s="14">
        <f t="shared" si="33"/>
        <v>0</v>
      </c>
      <c r="J278" s="14">
        <f t="shared" si="34"/>
        <v>0</v>
      </c>
      <c r="K278" s="15">
        <f>IF(CurrentMtgRatesDataTable8[[#This Row],[WA CC]]&lt;&gt;0,C277-CurrentMtgRatesDataTable8[[#This Row],[WA CC]],0)</f>
        <v>0</v>
      </c>
      <c r="L278" s="16">
        <f>IF(CurrentMtgRatesDataTable8[[#This Row],[Servicing Spread]]&lt;=0,L277,CurrentMtgRatesDataTable8[[#This Row],[Servicing Spread]])</f>
        <v>0.54824999999999946</v>
      </c>
      <c r="M278" s="16">
        <f>CurrentMtgRatesDataTable8[[#This Row],[Servicing Spread Non-Zero]]-L277</f>
        <v>0</v>
      </c>
      <c r="N278" s="16">
        <f>IF(J277&lt;&gt;0,CurrentMtgRatesDataTable8[[#This Row],[Rate]]-C277,N277)</f>
        <v>-1.5000000000000568E-2</v>
      </c>
    </row>
    <row r="279" spans="1:14">
      <c r="A279" s="8" t="s">
        <v>1631</v>
      </c>
      <c r="B279" s="11">
        <v>5.15</v>
      </c>
      <c r="C279" s="13">
        <v>5.6949999999999994</v>
      </c>
      <c r="D279" s="14">
        <f t="shared" si="28"/>
        <v>6</v>
      </c>
      <c r="E279" s="14">
        <f t="shared" si="29"/>
        <v>0.2</v>
      </c>
      <c r="F279" s="14">
        <f t="shared" si="30"/>
        <v>4</v>
      </c>
      <c r="G279" s="14">
        <f t="shared" si="31"/>
        <v>4.0874000000000006</v>
      </c>
      <c r="H279" s="14">
        <f t="shared" si="32"/>
        <v>0.8</v>
      </c>
      <c r="I279" s="14">
        <f t="shared" si="33"/>
        <v>0</v>
      </c>
      <c r="J279" s="14">
        <f t="shared" si="34"/>
        <v>0</v>
      </c>
      <c r="K279" s="15">
        <f>IF(CurrentMtgRatesDataTable8[[#This Row],[WA CC]]&lt;&gt;0,C278-CurrentMtgRatesDataTable8[[#This Row],[WA CC]],0)</f>
        <v>0</v>
      </c>
      <c r="L279" s="16">
        <f>IF(CurrentMtgRatesDataTable8[[#This Row],[Servicing Spread]]&lt;=0,L278,CurrentMtgRatesDataTable8[[#This Row],[Servicing Spread]])</f>
        <v>0.54824999999999946</v>
      </c>
      <c r="M279" s="16">
        <f>CurrentMtgRatesDataTable8[[#This Row],[Servicing Spread Non-Zero]]-L278</f>
        <v>0</v>
      </c>
      <c r="N279" s="16">
        <f>IF(J278&lt;&gt;0,CurrentMtgRatesDataTable8[[#This Row],[Rate]]-C278,N278)</f>
        <v>-1.5000000000000568E-2</v>
      </c>
    </row>
    <row r="280" spans="1:14">
      <c r="A280" s="8" t="s">
        <v>1632</v>
      </c>
      <c r="B280" s="11">
        <v>5.1589999999999998</v>
      </c>
      <c r="C280" s="13">
        <v>5.6949999999999994</v>
      </c>
      <c r="D280" s="14">
        <f t="shared" si="28"/>
        <v>7</v>
      </c>
      <c r="E280" s="14">
        <f t="shared" si="29"/>
        <v>0.2</v>
      </c>
      <c r="F280" s="14">
        <f t="shared" si="30"/>
        <v>5</v>
      </c>
      <c r="G280" s="14">
        <f t="shared" si="31"/>
        <v>5.1192000000000011</v>
      </c>
      <c r="H280" s="14">
        <f t="shared" si="32"/>
        <v>1</v>
      </c>
      <c r="I280" s="14">
        <f t="shared" si="33"/>
        <v>1</v>
      </c>
      <c r="J280" s="14">
        <f t="shared" si="34"/>
        <v>5.1192000000000011</v>
      </c>
      <c r="K280" s="15">
        <f>IF(CurrentMtgRatesDataTable8[[#This Row],[WA CC]]&lt;&gt;0,C279-CurrentMtgRatesDataTable8[[#This Row],[WA CC]],0)</f>
        <v>0.57579999999999831</v>
      </c>
      <c r="L280" s="16">
        <f>IF(CurrentMtgRatesDataTable8[[#This Row],[Servicing Spread]]&lt;=0,L279,CurrentMtgRatesDataTable8[[#This Row],[Servicing Spread]])</f>
        <v>0.57579999999999831</v>
      </c>
      <c r="M280" s="16">
        <f>CurrentMtgRatesDataTable8[[#This Row],[Servicing Spread Non-Zero]]-L279</f>
        <v>2.7549999999998853E-2</v>
      </c>
      <c r="N280" s="16">
        <f>IF(J279&lt;&gt;0,CurrentMtgRatesDataTable8[[#This Row],[Rate]]-C279,N279)</f>
        <v>-1.5000000000000568E-2</v>
      </c>
    </row>
    <row r="281" spans="1:14">
      <c r="A281" s="8" t="s">
        <v>1633</v>
      </c>
      <c r="B281" s="11">
        <v>5.14</v>
      </c>
      <c r="C281" s="13">
        <v>5.6400000000000006</v>
      </c>
      <c r="D281" s="14">
        <f t="shared" si="28"/>
        <v>1</v>
      </c>
      <c r="E281" s="14">
        <f t="shared" si="29"/>
        <v>0.2</v>
      </c>
      <c r="F281" s="14">
        <f t="shared" si="30"/>
        <v>1</v>
      </c>
      <c r="G281" s="14">
        <f t="shared" si="31"/>
        <v>1.028</v>
      </c>
      <c r="H281" s="14">
        <f t="shared" si="32"/>
        <v>0.2</v>
      </c>
      <c r="I281" s="14">
        <f t="shared" si="33"/>
        <v>0</v>
      </c>
      <c r="J281" s="14">
        <f t="shared" si="34"/>
        <v>0</v>
      </c>
      <c r="K281" s="15">
        <f>IF(CurrentMtgRatesDataTable8[[#This Row],[WA CC]]&lt;&gt;0,C280-CurrentMtgRatesDataTable8[[#This Row],[WA CC]],0)</f>
        <v>0</v>
      </c>
      <c r="L281" s="16">
        <f>IF(CurrentMtgRatesDataTable8[[#This Row],[Servicing Spread]]&lt;=0,L280,CurrentMtgRatesDataTable8[[#This Row],[Servicing Spread]])</f>
        <v>0.57579999999999831</v>
      </c>
      <c r="M281" s="16">
        <f>CurrentMtgRatesDataTable8[[#This Row],[Servicing Spread Non-Zero]]-L280</f>
        <v>0</v>
      </c>
      <c r="N281" s="16">
        <f>IF(J280&lt;&gt;0,CurrentMtgRatesDataTable8[[#This Row],[Rate]]-C280,N280)</f>
        <v>-5.4999999999998828E-2</v>
      </c>
    </row>
    <row r="282" spans="1:14">
      <c r="A282" s="8" t="s">
        <v>1634</v>
      </c>
      <c r="B282" s="11">
        <v>5.1310000000000002</v>
      </c>
      <c r="C282" s="13">
        <v>5.6400000000000006</v>
      </c>
      <c r="D282" s="14">
        <f t="shared" si="28"/>
        <v>2</v>
      </c>
      <c r="E282" s="14">
        <f t="shared" si="29"/>
        <v>0.2</v>
      </c>
      <c r="F282" s="14">
        <f t="shared" si="30"/>
        <v>2</v>
      </c>
      <c r="G282" s="14">
        <f t="shared" si="31"/>
        <v>2.0541999999999998</v>
      </c>
      <c r="H282" s="14">
        <f t="shared" si="32"/>
        <v>0.4</v>
      </c>
      <c r="I282" s="14">
        <f t="shared" si="33"/>
        <v>0</v>
      </c>
      <c r="J282" s="14">
        <f t="shared" si="34"/>
        <v>0</v>
      </c>
      <c r="K282" s="15">
        <f>IF(CurrentMtgRatesDataTable8[[#This Row],[WA CC]]&lt;&gt;0,C281-CurrentMtgRatesDataTable8[[#This Row],[WA CC]],0)</f>
        <v>0</v>
      </c>
      <c r="L282" s="16">
        <f>IF(CurrentMtgRatesDataTable8[[#This Row],[Servicing Spread]]&lt;=0,L281,CurrentMtgRatesDataTable8[[#This Row],[Servicing Spread]])</f>
        <v>0.57579999999999831</v>
      </c>
      <c r="M282" s="16">
        <f>CurrentMtgRatesDataTable8[[#This Row],[Servicing Spread Non-Zero]]-L281</f>
        <v>0</v>
      </c>
      <c r="N282" s="16">
        <f>IF(J281&lt;&gt;0,CurrentMtgRatesDataTable8[[#This Row],[Rate]]-C281,N281)</f>
        <v>-5.4999999999998828E-2</v>
      </c>
    </row>
    <row r="283" spans="1:14">
      <c r="A283" s="8" t="s">
        <v>1635</v>
      </c>
      <c r="B283" s="11">
        <v>5.12</v>
      </c>
      <c r="C283" s="13">
        <v>5.6400000000000006</v>
      </c>
      <c r="D283" s="14">
        <f t="shared" si="28"/>
        <v>5</v>
      </c>
      <c r="E283" s="14">
        <f t="shared" si="29"/>
        <v>0.2</v>
      </c>
      <c r="F283" s="14">
        <f t="shared" si="30"/>
        <v>3</v>
      </c>
      <c r="G283" s="14">
        <f t="shared" si="31"/>
        <v>3.0781999999999998</v>
      </c>
      <c r="H283" s="14">
        <f t="shared" si="32"/>
        <v>0.60000000000000009</v>
      </c>
      <c r="I283" s="14">
        <f t="shared" si="33"/>
        <v>0</v>
      </c>
      <c r="J283" s="14">
        <f t="shared" si="34"/>
        <v>0</v>
      </c>
      <c r="K283" s="15">
        <f>IF(CurrentMtgRatesDataTable8[[#This Row],[WA CC]]&lt;&gt;0,C282-CurrentMtgRatesDataTable8[[#This Row],[WA CC]],0)</f>
        <v>0</v>
      </c>
      <c r="L283" s="16">
        <f>IF(CurrentMtgRatesDataTable8[[#This Row],[Servicing Spread]]&lt;=0,L282,CurrentMtgRatesDataTable8[[#This Row],[Servicing Spread]])</f>
        <v>0.57579999999999831</v>
      </c>
      <c r="M283" s="16">
        <f>CurrentMtgRatesDataTable8[[#This Row],[Servicing Spread Non-Zero]]-L282</f>
        <v>0</v>
      </c>
      <c r="N283" s="16">
        <f>IF(J282&lt;&gt;0,CurrentMtgRatesDataTable8[[#This Row],[Rate]]-C282,N282)</f>
        <v>-5.4999999999998828E-2</v>
      </c>
    </row>
    <row r="284" spans="1:14">
      <c r="A284" s="8" t="s">
        <v>1636</v>
      </c>
      <c r="B284" s="11">
        <v>5.0869999999999997</v>
      </c>
      <c r="C284" s="13">
        <v>5.6400000000000006</v>
      </c>
      <c r="D284" s="14">
        <f t="shared" si="28"/>
        <v>6</v>
      </c>
      <c r="E284" s="14">
        <f t="shared" si="29"/>
        <v>0.2</v>
      </c>
      <c r="F284" s="14">
        <f t="shared" si="30"/>
        <v>4</v>
      </c>
      <c r="G284" s="14">
        <f t="shared" si="31"/>
        <v>4.0956000000000001</v>
      </c>
      <c r="H284" s="14">
        <f t="shared" si="32"/>
        <v>0.8</v>
      </c>
      <c r="I284" s="14">
        <f t="shared" si="33"/>
        <v>0</v>
      </c>
      <c r="J284" s="14">
        <f t="shared" si="34"/>
        <v>0</v>
      </c>
      <c r="K284" s="15">
        <f>IF(CurrentMtgRatesDataTable8[[#This Row],[WA CC]]&lt;&gt;0,C283-CurrentMtgRatesDataTable8[[#This Row],[WA CC]],0)</f>
        <v>0</v>
      </c>
      <c r="L284" s="16">
        <f>IF(CurrentMtgRatesDataTable8[[#This Row],[Servicing Spread]]&lt;=0,L283,CurrentMtgRatesDataTable8[[#This Row],[Servicing Spread]])</f>
        <v>0.57579999999999831</v>
      </c>
      <c r="M284" s="16">
        <f>CurrentMtgRatesDataTable8[[#This Row],[Servicing Spread Non-Zero]]-L283</f>
        <v>0</v>
      </c>
      <c r="N284" s="16">
        <f>IF(J283&lt;&gt;0,CurrentMtgRatesDataTable8[[#This Row],[Rate]]-C283,N283)</f>
        <v>-5.4999999999998828E-2</v>
      </c>
    </row>
    <row r="285" spans="1:14">
      <c r="A285" s="8" t="s">
        <v>1637</v>
      </c>
      <c r="B285" s="11">
        <v>5.0529999999999999</v>
      </c>
      <c r="C285" s="13">
        <v>5.6400000000000006</v>
      </c>
      <c r="D285" s="14">
        <f t="shared" si="28"/>
        <v>7</v>
      </c>
      <c r="E285" s="14">
        <f t="shared" si="29"/>
        <v>0.2</v>
      </c>
      <c r="F285" s="14">
        <f t="shared" si="30"/>
        <v>5</v>
      </c>
      <c r="G285" s="14">
        <f t="shared" si="31"/>
        <v>5.1062000000000003</v>
      </c>
      <c r="H285" s="14">
        <f t="shared" si="32"/>
        <v>1</v>
      </c>
      <c r="I285" s="14">
        <f t="shared" si="33"/>
        <v>1</v>
      </c>
      <c r="J285" s="14">
        <f t="shared" si="34"/>
        <v>5.1062000000000003</v>
      </c>
      <c r="K285" s="15">
        <f>IF(CurrentMtgRatesDataTable8[[#This Row],[WA CC]]&lt;&gt;0,C284-CurrentMtgRatesDataTable8[[#This Row],[WA CC]],0)</f>
        <v>0.53380000000000027</v>
      </c>
      <c r="L285" s="16">
        <f>IF(CurrentMtgRatesDataTable8[[#This Row],[Servicing Spread]]&lt;=0,L284,CurrentMtgRatesDataTable8[[#This Row],[Servicing Spread]])</f>
        <v>0.53380000000000027</v>
      </c>
      <c r="M285" s="16">
        <f>CurrentMtgRatesDataTable8[[#This Row],[Servicing Spread Non-Zero]]-L284</f>
        <v>-4.1999999999998039E-2</v>
      </c>
      <c r="N285" s="16">
        <f>IF(J284&lt;&gt;0,CurrentMtgRatesDataTable8[[#This Row],[Rate]]-C284,N284)</f>
        <v>-5.4999999999998828E-2</v>
      </c>
    </row>
    <row r="286" spans="1:14">
      <c r="A286" s="8" t="s">
        <v>1638</v>
      </c>
      <c r="B286" s="11">
        <v>5.0069999999999997</v>
      </c>
      <c r="C286" s="13">
        <v>5.5949999999999998</v>
      </c>
      <c r="D286" s="14">
        <f t="shared" si="28"/>
        <v>1</v>
      </c>
      <c r="E286" s="14">
        <f t="shared" si="29"/>
        <v>0.2</v>
      </c>
      <c r="F286" s="14">
        <f t="shared" si="30"/>
        <v>1</v>
      </c>
      <c r="G286" s="14">
        <f t="shared" si="31"/>
        <v>1.0014000000000001</v>
      </c>
      <c r="H286" s="14">
        <f t="shared" si="32"/>
        <v>0.2</v>
      </c>
      <c r="I286" s="14">
        <f t="shared" si="33"/>
        <v>0</v>
      </c>
      <c r="J286" s="14">
        <f t="shared" si="34"/>
        <v>0</v>
      </c>
      <c r="K286" s="15">
        <f>IF(CurrentMtgRatesDataTable8[[#This Row],[WA CC]]&lt;&gt;0,C285-CurrentMtgRatesDataTable8[[#This Row],[WA CC]],0)</f>
        <v>0</v>
      </c>
      <c r="L286" s="16">
        <f>IF(CurrentMtgRatesDataTable8[[#This Row],[Servicing Spread]]&lt;=0,L285,CurrentMtgRatesDataTable8[[#This Row],[Servicing Spread]])</f>
        <v>0.53380000000000027</v>
      </c>
      <c r="M286" s="16">
        <f>CurrentMtgRatesDataTable8[[#This Row],[Servicing Spread Non-Zero]]-L285</f>
        <v>0</v>
      </c>
      <c r="N286" s="16">
        <f>IF(J285&lt;&gt;0,CurrentMtgRatesDataTable8[[#This Row],[Rate]]-C285,N285)</f>
        <v>-4.5000000000000817E-2</v>
      </c>
    </row>
    <row r="287" spans="1:14">
      <c r="A287" s="8" t="s">
        <v>1639</v>
      </c>
      <c r="B287" s="11">
        <v>5.0369999999999999</v>
      </c>
      <c r="C287" s="13">
        <v>5.5949999999999998</v>
      </c>
      <c r="D287" s="14">
        <f t="shared" si="28"/>
        <v>2</v>
      </c>
      <c r="E287" s="14">
        <f t="shared" si="29"/>
        <v>0.2</v>
      </c>
      <c r="F287" s="14">
        <f t="shared" si="30"/>
        <v>2</v>
      </c>
      <c r="G287" s="14">
        <f t="shared" si="31"/>
        <v>2.0087999999999999</v>
      </c>
      <c r="H287" s="14">
        <f t="shared" si="32"/>
        <v>0.4</v>
      </c>
      <c r="I287" s="14">
        <f t="shared" si="33"/>
        <v>0</v>
      </c>
      <c r="J287" s="14">
        <f t="shared" si="34"/>
        <v>0</v>
      </c>
      <c r="K287" s="15">
        <f>IF(CurrentMtgRatesDataTable8[[#This Row],[WA CC]]&lt;&gt;0,C286-CurrentMtgRatesDataTable8[[#This Row],[WA CC]],0)</f>
        <v>0</v>
      </c>
      <c r="L287" s="16">
        <f>IF(CurrentMtgRatesDataTable8[[#This Row],[Servicing Spread]]&lt;=0,L286,CurrentMtgRatesDataTable8[[#This Row],[Servicing Spread]])</f>
        <v>0.53380000000000027</v>
      </c>
      <c r="M287" s="16">
        <f>CurrentMtgRatesDataTable8[[#This Row],[Servicing Spread Non-Zero]]-L286</f>
        <v>0</v>
      </c>
      <c r="N287" s="16">
        <f>IF(J286&lt;&gt;0,CurrentMtgRatesDataTable8[[#This Row],[Rate]]-C286,N286)</f>
        <v>-4.5000000000000817E-2</v>
      </c>
    </row>
    <row r="288" spans="1:14">
      <c r="A288" s="8" t="s">
        <v>1640</v>
      </c>
      <c r="B288" s="11">
        <v>4.9939999999999998</v>
      </c>
      <c r="C288" s="13">
        <v>5.5949999999999998</v>
      </c>
      <c r="D288" s="14">
        <f t="shared" si="28"/>
        <v>6</v>
      </c>
      <c r="E288" s="14">
        <f t="shared" si="29"/>
        <v>0.2</v>
      </c>
      <c r="F288" s="14">
        <f t="shared" si="30"/>
        <v>3</v>
      </c>
      <c r="G288" s="14">
        <f t="shared" si="31"/>
        <v>3.0076000000000001</v>
      </c>
      <c r="H288" s="14">
        <f t="shared" si="32"/>
        <v>0.60000000000000009</v>
      </c>
      <c r="I288" s="14">
        <f t="shared" si="33"/>
        <v>0</v>
      </c>
      <c r="J288" s="14">
        <f t="shared" si="34"/>
        <v>0</v>
      </c>
      <c r="K288" s="15">
        <f>IF(CurrentMtgRatesDataTable8[[#This Row],[WA CC]]&lt;&gt;0,C287-CurrentMtgRatesDataTable8[[#This Row],[WA CC]],0)</f>
        <v>0</v>
      </c>
      <c r="L288" s="16">
        <f>IF(CurrentMtgRatesDataTable8[[#This Row],[Servicing Spread]]&lt;=0,L287,CurrentMtgRatesDataTable8[[#This Row],[Servicing Spread]])</f>
        <v>0.53380000000000027</v>
      </c>
      <c r="M288" s="16">
        <f>CurrentMtgRatesDataTable8[[#This Row],[Servicing Spread Non-Zero]]-L287</f>
        <v>0</v>
      </c>
      <c r="N288" s="16">
        <f>IF(J287&lt;&gt;0,CurrentMtgRatesDataTable8[[#This Row],[Rate]]-C287,N287)</f>
        <v>-4.5000000000000817E-2</v>
      </c>
    </row>
    <row r="289" spans="1:14">
      <c r="A289" s="8" t="s">
        <v>1641</v>
      </c>
      <c r="B289" s="11">
        <v>4.9820000000000002</v>
      </c>
      <c r="C289" s="13">
        <v>5.5949999999999998</v>
      </c>
      <c r="D289" s="14">
        <f t="shared" si="28"/>
        <v>7</v>
      </c>
      <c r="E289" s="14">
        <f t="shared" si="29"/>
        <v>0.2</v>
      </c>
      <c r="F289" s="14">
        <f t="shared" si="30"/>
        <v>4</v>
      </c>
      <c r="G289" s="14">
        <f t="shared" si="31"/>
        <v>4.0040000000000004</v>
      </c>
      <c r="H289" s="14">
        <f t="shared" si="32"/>
        <v>0.8</v>
      </c>
      <c r="I289" s="14">
        <f t="shared" si="33"/>
        <v>1</v>
      </c>
      <c r="J289" s="14">
        <f t="shared" si="34"/>
        <v>5.0049999999999999</v>
      </c>
      <c r="K289" s="15">
        <f>IF(CurrentMtgRatesDataTable8[[#This Row],[WA CC]]&lt;&gt;0,C288-CurrentMtgRatesDataTable8[[#This Row],[WA CC]],0)</f>
        <v>0.58999999999999986</v>
      </c>
      <c r="L289" s="16">
        <f>IF(CurrentMtgRatesDataTable8[[#This Row],[Servicing Spread]]&lt;=0,L288,CurrentMtgRatesDataTable8[[#This Row],[Servicing Spread]])</f>
        <v>0.58999999999999986</v>
      </c>
      <c r="M289" s="16">
        <f>CurrentMtgRatesDataTable8[[#This Row],[Servicing Spread Non-Zero]]-L288</f>
        <v>5.6199999999999584E-2</v>
      </c>
      <c r="N289" s="16">
        <f>IF(J288&lt;&gt;0,CurrentMtgRatesDataTable8[[#This Row],[Rate]]-C288,N288)</f>
        <v>-4.5000000000000817E-2</v>
      </c>
    </row>
    <row r="290" spans="1:14">
      <c r="A290" s="8" t="s">
        <v>1642</v>
      </c>
      <c r="B290" s="11">
        <v>4.9409999999999998</v>
      </c>
      <c r="C290" s="13">
        <v>5.5600000000000005</v>
      </c>
      <c r="D290" s="14">
        <f t="shared" si="28"/>
        <v>1</v>
      </c>
      <c r="E290" s="14">
        <f t="shared" si="29"/>
        <v>0.2</v>
      </c>
      <c r="F290" s="14">
        <f t="shared" si="30"/>
        <v>1</v>
      </c>
      <c r="G290" s="14">
        <f t="shared" si="31"/>
        <v>0.98819999999999997</v>
      </c>
      <c r="H290" s="14">
        <f t="shared" si="32"/>
        <v>0.2</v>
      </c>
      <c r="I290" s="14">
        <f t="shared" si="33"/>
        <v>0</v>
      </c>
      <c r="J290" s="14">
        <f t="shared" si="34"/>
        <v>0</v>
      </c>
      <c r="K290" s="15">
        <f>IF(CurrentMtgRatesDataTable8[[#This Row],[WA CC]]&lt;&gt;0,C289-CurrentMtgRatesDataTable8[[#This Row],[WA CC]],0)</f>
        <v>0</v>
      </c>
      <c r="L290" s="16">
        <f>IF(CurrentMtgRatesDataTable8[[#This Row],[Servicing Spread]]&lt;=0,L289,CurrentMtgRatesDataTable8[[#This Row],[Servicing Spread]])</f>
        <v>0.58999999999999986</v>
      </c>
      <c r="M290" s="16">
        <f>CurrentMtgRatesDataTable8[[#This Row],[Servicing Spread Non-Zero]]-L289</f>
        <v>0</v>
      </c>
      <c r="N290" s="16">
        <f>IF(J289&lt;&gt;0,CurrentMtgRatesDataTable8[[#This Row],[Rate]]-C289,N289)</f>
        <v>-3.4999999999999254E-2</v>
      </c>
    </row>
    <row r="291" spans="1:14">
      <c r="A291" s="8" t="s">
        <v>1643</v>
      </c>
      <c r="B291" s="11">
        <v>4.9169999999999998</v>
      </c>
      <c r="C291" s="13">
        <v>5.5600000000000005</v>
      </c>
      <c r="D291" s="14">
        <f t="shared" si="28"/>
        <v>2</v>
      </c>
      <c r="E291" s="14">
        <f t="shared" si="29"/>
        <v>0.2</v>
      </c>
      <c r="F291" s="14">
        <f t="shared" si="30"/>
        <v>2</v>
      </c>
      <c r="G291" s="14">
        <f t="shared" si="31"/>
        <v>1.9716</v>
      </c>
      <c r="H291" s="14">
        <f t="shared" si="32"/>
        <v>0.4</v>
      </c>
      <c r="I291" s="14">
        <f t="shared" si="33"/>
        <v>0</v>
      </c>
      <c r="J291" s="14">
        <f t="shared" si="34"/>
        <v>0</v>
      </c>
      <c r="K291" s="15">
        <f>IF(CurrentMtgRatesDataTable8[[#This Row],[WA CC]]&lt;&gt;0,C290-CurrentMtgRatesDataTable8[[#This Row],[WA CC]],0)</f>
        <v>0</v>
      </c>
      <c r="L291" s="16">
        <f>IF(CurrentMtgRatesDataTable8[[#This Row],[Servicing Spread]]&lt;=0,L290,CurrentMtgRatesDataTable8[[#This Row],[Servicing Spread]])</f>
        <v>0.58999999999999986</v>
      </c>
      <c r="M291" s="16">
        <f>CurrentMtgRatesDataTable8[[#This Row],[Servicing Spread Non-Zero]]-L290</f>
        <v>0</v>
      </c>
      <c r="N291" s="16">
        <f>IF(J290&lt;&gt;0,CurrentMtgRatesDataTable8[[#This Row],[Rate]]-C290,N290)</f>
        <v>-3.4999999999999254E-2</v>
      </c>
    </row>
    <row r="292" spans="1:14">
      <c r="A292" s="8" t="s">
        <v>1644</v>
      </c>
      <c r="B292" s="11">
        <v>4.9240000000000004</v>
      </c>
      <c r="C292" s="13">
        <v>5.5600000000000005</v>
      </c>
      <c r="D292" s="14">
        <f t="shared" si="28"/>
        <v>5</v>
      </c>
      <c r="E292" s="14">
        <f t="shared" si="29"/>
        <v>0.2</v>
      </c>
      <c r="F292" s="14">
        <f t="shared" si="30"/>
        <v>3</v>
      </c>
      <c r="G292" s="14">
        <f t="shared" si="31"/>
        <v>2.9564000000000004</v>
      </c>
      <c r="H292" s="14">
        <f t="shared" si="32"/>
        <v>0.60000000000000009</v>
      </c>
      <c r="I292" s="14">
        <f t="shared" si="33"/>
        <v>0</v>
      </c>
      <c r="J292" s="14">
        <f t="shared" si="34"/>
        <v>0</v>
      </c>
      <c r="K292" s="15">
        <f>IF(CurrentMtgRatesDataTable8[[#This Row],[WA CC]]&lt;&gt;0,C291-CurrentMtgRatesDataTable8[[#This Row],[WA CC]],0)</f>
        <v>0</v>
      </c>
      <c r="L292" s="16">
        <f>IF(CurrentMtgRatesDataTable8[[#This Row],[Servicing Spread]]&lt;=0,L291,CurrentMtgRatesDataTable8[[#This Row],[Servicing Spread]])</f>
        <v>0.58999999999999986</v>
      </c>
      <c r="M292" s="16">
        <f>CurrentMtgRatesDataTable8[[#This Row],[Servicing Spread Non-Zero]]-L291</f>
        <v>0</v>
      </c>
      <c r="N292" s="16">
        <f>IF(J291&lt;&gt;0,CurrentMtgRatesDataTable8[[#This Row],[Rate]]-C291,N291)</f>
        <v>-3.4999999999999254E-2</v>
      </c>
    </row>
    <row r="293" spans="1:14">
      <c r="A293" s="8" t="s">
        <v>1645</v>
      </c>
      <c r="B293" s="11">
        <v>4.9770000000000003</v>
      </c>
      <c r="C293" s="13">
        <v>5.5600000000000005</v>
      </c>
      <c r="D293" s="14">
        <f t="shared" si="28"/>
        <v>6</v>
      </c>
      <c r="E293" s="14">
        <f t="shared" si="29"/>
        <v>0.2</v>
      </c>
      <c r="F293" s="14">
        <f t="shared" si="30"/>
        <v>4</v>
      </c>
      <c r="G293" s="14">
        <f t="shared" si="31"/>
        <v>3.9518000000000004</v>
      </c>
      <c r="H293" s="14">
        <f t="shared" si="32"/>
        <v>0.8</v>
      </c>
      <c r="I293" s="14">
        <f t="shared" si="33"/>
        <v>0</v>
      </c>
      <c r="J293" s="14">
        <f t="shared" si="34"/>
        <v>0</v>
      </c>
      <c r="K293" s="15">
        <f>IF(CurrentMtgRatesDataTable8[[#This Row],[WA CC]]&lt;&gt;0,C292-CurrentMtgRatesDataTable8[[#This Row],[WA CC]],0)</f>
        <v>0</v>
      </c>
      <c r="L293" s="16">
        <f>IF(CurrentMtgRatesDataTable8[[#This Row],[Servicing Spread]]&lt;=0,L292,CurrentMtgRatesDataTable8[[#This Row],[Servicing Spread]])</f>
        <v>0.58999999999999986</v>
      </c>
      <c r="M293" s="16">
        <f>CurrentMtgRatesDataTable8[[#This Row],[Servicing Spread Non-Zero]]-L292</f>
        <v>0</v>
      </c>
      <c r="N293" s="16">
        <f>IF(J292&lt;&gt;0,CurrentMtgRatesDataTable8[[#This Row],[Rate]]-C292,N292)</f>
        <v>-3.4999999999999254E-2</v>
      </c>
    </row>
    <row r="294" spans="1:14">
      <c r="A294" s="8" t="s">
        <v>1646</v>
      </c>
      <c r="B294" s="11">
        <v>5.0010000000000003</v>
      </c>
      <c r="C294" s="13">
        <v>5.5600000000000005</v>
      </c>
      <c r="D294" s="14">
        <f t="shared" si="28"/>
        <v>7</v>
      </c>
      <c r="E294" s="14">
        <f t="shared" si="29"/>
        <v>0.2</v>
      </c>
      <c r="F294" s="14">
        <f t="shared" si="30"/>
        <v>5</v>
      </c>
      <c r="G294" s="14">
        <f t="shared" si="31"/>
        <v>4.9520000000000008</v>
      </c>
      <c r="H294" s="14">
        <f t="shared" si="32"/>
        <v>1</v>
      </c>
      <c r="I294" s="14">
        <f t="shared" si="33"/>
        <v>1</v>
      </c>
      <c r="J294" s="14">
        <f t="shared" si="34"/>
        <v>4.9520000000000008</v>
      </c>
      <c r="K294" s="15">
        <f>IF(CurrentMtgRatesDataTable8[[#This Row],[WA CC]]&lt;&gt;0,C293-CurrentMtgRatesDataTable8[[#This Row],[WA CC]],0)</f>
        <v>0.60799999999999965</v>
      </c>
      <c r="L294" s="16">
        <f>IF(CurrentMtgRatesDataTable8[[#This Row],[Servicing Spread]]&lt;=0,L293,CurrentMtgRatesDataTable8[[#This Row],[Servicing Spread]])</f>
        <v>0.60799999999999965</v>
      </c>
      <c r="M294" s="16">
        <f>CurrentMtgRatesDataTable8[[#This Row],[Servicing Spread Non-Zero]]-L293</f>
        <v>1.7999999999999794E-2</v>
      </c>
      <c r="N294" s="16">
        <f>IF(J293&lt;&gt;0,CurrentMtgRatesDataTable8[[#This Row],[Rate]]-C293,N293)</f>
        <v>-3.4999999999999254E-2</v>
      </c>
    </row>
    <row r="295" spans="1:14">
      <c r="A295" s="8" t="s">
        <v>1647</v>
      </c>
      <c r="B295" s="11">
        <v>5.0179999999999998</v>
      </c>
      <c r="C295" s="13">
        <v>5.5549999999999997</v>
      </c>
      <c r="D295" s="14">
        <f t="shared" si="28"/>
        <v>1</v>
      </c>
      <c r="E295" s="14">
        <f t="shared" si="29"/>
        <v>0.2</v>
      </c>
      <c r="F295" s="14">
        <f t="shared" si="30"/>
        <v>1</v>
      </c>
      <c r="G295" s="14">
        <f t="shared" si="31"/>
        <v>1.0036</v>
      </c>
      <c r="H295" s="14">
        <f t="shared" si="32"/>
        <v>0.2</v>
      </c>
      <c r="I295" s="14">
        <f t="shared" si="33"/>
        <v>0</v>
      </c>
      <c r="J295" s="14">
        <f t="shared" si="34"/>
        <v>0</v>
      </c>
      <c r="K295" s="15">
        <f>IF(CurrentMtgRatesDataTable8[[#This Row],[WA CC]]&lt;&gt;0,C294-CurrentMtgRatesDataTable8[[#This Row],[WA CC]],0)</f>
        <v>0</v>
      </c>
      <c r="L295" s="16">
        <f>IF(CurrentMtgRatesDataTable8[[#This Row],[Servicing Spread]]&lt;=0,L294,CurrentMtgRatesDataTable8[[#This Row],[Servicing Spread]])</f>
        <v>0.60799999999999965</v>
      </c>
      <c r="M295" s="16">
        <f>CurrentMtgRatesDataTable8[[#This Row],[Servicing Spread Non-Zero]]-L294</f>
        <v>0</v>
      </c>
      <c r="N295" s="16">
        <f>IF(J294&lt;&gt;0,CurrentMtgRatesDataTable8[[#This Row],[Rate]]-C294,N294)</f>
        <v>-5.0000000000007816E-3</v>
      </c>
    </row>
    <row r="296" spans="1:14">
      <c r="A296" s="8" t="s">
        <v>1648</v>
      </c>
      <c r="B296" s="11">
        <v>4.97</v>
      </c>
      <c r="C296" s="13">
        <v>5.5549999999999997</v>
      </c>
      <c r="D296" s="14">
        <f t="shared" si="28"/>
        <v>2</v>
      </c>
      <c r="E296" s="14">
        <f t="shared" si="29"/>
        <v>0.2</v>
      </c>
      <c r="F296" s="14">
        <f t="shared" si="30"/>
        <v>2</v>
      </c>
      <c r="G296" s="14">
        <f t="shared" si="31"/>
        <v>1.9976</v>
      </c>
      <c r="H296" s="14">
        <f t="shared" si="32"/>
        <v>0.4</v>
      </c>
      <c r="I296" s="14">
        <f t="shared" si="33"/>
        <v>0</v>
      </c>
      <c r="J296" s="14">
        <f t="shared" si="34"/>
        <v>0</v>
      </c>
      <c r="K296" s="15">
        <f>IF(CurrentMtgRatesDataTable8[[#This Row],[WA CC]]&lt;&gt;0,C295-CurrentMtgRatesDataTable8[[#This Row],[WA CC]],0)</f>
        <v>0</v>
      </c>
      <c r="L296" s="16">
        <f>IF(CurrentMtgRatesDataTable8[[#This Row],[Servicing Spread]]&lt;=0,L295,CurrentMtgRatesDataTable8[[#This Row],[Servicing Spread]])</f>
        <v>0.60799999999999965</v>
      </c>
      <c r="M296" s="16">
        <f>CurrentMtgRatesDataTable8[[#This Row],[Servicing Spread Non-Zero]]-L295</f>
        <v>0</v>
      </c>
      <c r="N296" s="16">
        <f>IF(J295&lt;&gt;0,CurrentMtgRatesDataTable8[[#This Row],[Rate]]-C295,N295)</f>
        <v>-5.0000000000007816E-3</v>
      </c>
    </row>
    <row r="297" spans="1:14">
      <c r="A297" s="8" t="s">
        <v>1649</v>
      </c>
      <c r="B297" s="11">
        <v>4.9580000000000002</v>
      </c>
      <c r="C297" s="13">
        <v>5.5549999999999997</v>
      </c>
      <c r="D297" s="14">
        <f t="shared" si="28"/>
        <v>5</v>
      </c>
      <c r="E297" s="14">
        <f t="shared" si="29"/>
        <v>0.2</v>
      </c>
      <c r="F297" s="14">
        <f t="shared" si="30"/>
        <v>3</v>
      </c>
      <c r="G297" s="14">
        <f t="shared" si="31"/>
        <v>2.9892000000000003</v>
      </c>
      <c r="H297" s="14">
        <f t="shared" si="32"/>
        <v>0.60000000000000009</v>
      </c>
      <c r="I297" s="14">
        <f t="shared" si="33"/>
        <v>0</v>
      </c>
      <c r="J297" s="14">
        <f t="shared" si="34"/>
        <v>0</v>
      </c>
      <c r="K297" s="15">
        <f>IF(CurrentMtgRatesDataTable8[[#This Row],[WA CC]]&lt;&gt;0,C296-CurrentMtgRatesDataTable8[[#This Row],[WA CC]],0)</f>
        <v>0</v>
      </c>
      <c r="L297" s="16">
        <f>IF(CurrentMtgRatesDataTable8[[#This Row],[Servicing Spread]]&lt;=0,L296,CurrentMtgRatesDataTable8[[#This Row],[Servicing Spread]])</f>
        <v>0.60799999999999965</v>
      </c>
      <c r="M297" s="16">
        <f>CurrentMtgRatesDataTable8[[#This Row],[Servicing Spread Non-Zero]]-L296</f>
        <v>0</v>
      </c>
      <c r="N297" s="16">
        <f>IF(J296&lt;&gt;0,CurrentMtgRatesDataTable8[[#This Row],[Rate]]-C296,N296)</f>
        <v>-5.0000000000007816E-3</v>
      </c>
    </row>
    <row r="298" spans="1:14">
      <c r="A298" s="8" t="s">
        <v>1650</v>
      </c>
      <c r="B298" s="11">
        <v>4.9690000000000003</v>
      </c>
      <c r="C298" s="13">
        <v>5.5549999999999997</v>
      </c>
      <c r="D298" s="14">
        <f t="shared" si="28"/>
        <v>6</v>
      </c>
      <c r="E298" s="14">
        <f t="shared" si="29"/>
        <v>0.2</v>
      </c>
      <c r="F298" s="14">
        <f t="shared" si="30"/>
        <v>4</v>
      </c>
      <c r="G298" s="14">
        <f t="shared" si="31"/>
        <v>3.9830000000000005</v>
      </c>
      <c r="H298" s="14">
        <f t="shared" si="32"/>
        <v>0.8</v>
      </c>
      <c r="I298" s="14">
        <f t="shared" si="33"/>
        <v>0</v>
      </c>
      <c r="J298" s="14">
        <f t="shared" si="34"/>
        <v>0</v>
      </c>
      <c r="K298" s="15">
        <f>IF(CurrentMtgRatesDataTable8[[#This Row],[WA CC]]&lt;&gt;0,C297-CurrentMtgRatesDataTable8[[#This Row],[WA CC]],0)</f>
        <v>0</v>
      </c>
      <c r="L298" s="16">
        <f>IF(CurrentMtgRatesDataTable8[[#This Row],[Servicing Spread]]&lt;=0,L297,CurrentMtgRatesDataTable8[[#This Row],[Servicing Spread]])</f>
        <v>0.60799999999999965</v>
      </c>
      <c r="M298" s="16">
        <f>CurrentMtgRatesDataTable8[[#This Row],[Servicing Spread Non-Zero]]-L297</f>
        <v>0</v>
      </c>
      <c r="N298" s="16">
        <f>IF(J297&lt;&gt;0,CurrentMtgRatesDataTable8[[#This Row],[Rate]]-C297,N297)</f>
        <v>-5.0000000000007816E-3</v>
      </c>
    </row>
    <row r="299" spans="1:14">
      <c r="A299" s="8" t="s">
        <v>1651</v>
      </c>
      <c r="B299" s="11">
        <v>4.9550000000000001</v>
      </c>
      <c r="C299" s="13">
        <v>5.5549999999999997</v>
      </c>
      <c r="D299" s="14">
        <f t="shared" si="28"/>
        <v>7</v>
      </c>
      <c r="E299" s="14">
        <f t="shared" si="29"/>
        <v>0.2</v>
      </c>
      <c r="F299" s="14">
        <f t="shared" si="30"/>
        <v>5</v>
      </c>
      <c r="G299" s="14">
        <f t="shared" si="31"/>
        <v>4.9740000000000002</v>
      </c>
      <c r="H299" s="14">
        <f t="shared" si="32"/>
        <v>1</v>
      </c>
      <c r="I299" s="14">
        <f t="shared" si="33"/>
        <v>1</v>
      </c>
      <c r="J299" s="14">
        <f t="shared" si="34"/>
        <v>4.9740000000000002</v>
      </c>
      <c r="K299" s="15">
        <f>IF(CurrentMtgRatesDataTable8[[#This Row],[WA CC]]&lt;&gt;0,C298-CurrentMtgRatesDataTable8[[#This Row],[WA CC]],0)</f>
        <v>0.58099999999999952</v>
      </c>
      <c r="L299" s="16">
        <f>IF(CurrentMtgRatesDataTable8[[#This Row],[Servicing Spread]]&lt;=0,L298,CurrentMtgRatesDataTable8[[#This Row],[Servicing Spread]])</f>
        <v>0.58099999999999952</v>
      </c>
      <c r="M299" s="16">
        <f>CurrentMtgRatesDataTable8[[#This Row],[Servicing Spread Non-Zero]]-L298</f>
        <v>-2.7000000000000135E-2</v>
      </c>
      <c r="N299" s="16">
        <f>IF(J298&lt;&gt;0,CurrentMtgRatesDataTable8[[#This Row],[Rate]]-C298,N298)</f>
        <v>-5.0000000000007816E-3</v>
      </c>
    </row>
    <row r="300" spans="1:14">
      <c r="A300" s="8" t="s">
        <v>1652</v>
      </c>
      <c r="B300" s="11">
        <v>4.9800000000000004</v>
      </c>
      <c r="C300" s="13">
        <v>5.5200000000000005</v>
      </c>
      <c r="D300" s="14">
        <f t="shared" si="28"/>
        <v>1</v>
      </c>
      <c r="E300" s="14">
        <f t="shared" si="29"/>
        <v>0.2</v>
      </c>
      <c r="F300" s="14">
        <f t="shared" si="30"/>
        <v>1</v>
      </c>
      <c r="G300" s="14">
        <f t="shared" si="31"/>
        <v>0.99600000000000011</v>
      </c>
      <c r="H300" s="14">
        <f t="shared" si="32"/>
        <v>0.2</v>
      </c>
      <c r="I300" s="14">
        <f t="shared" si="33"/>
        <v>0</v>
      </c>
      <c r="J300" s="14">
        <f t="shared" si="34"/>
        <v>0</v>
      </c>
      <c r="K300" s="15">
        <f>IF(CurrentMtgRatesDataTable8[[#This Row],[WA CC]]&lt;&gt;0,C299-CurrentMtgRatesDataTable8[[#This Row],[WA CC]],0)</f>
        <v>0</v>
      </c>
      <c r="L300" s="16">
        <f>IF(CurrentMtgRatesDataTable8[[#This Row],[Servicing Spread]]&lt;=0,L299,CurrentMtgRatesDataTable8[[#This Row],[Servicing Spread]])</f>
        <v>0.58099999999999952</v>
      </c>
      <c r="M300" s="16">
        <f>CurrentMtgRatesDataTable8[[#This Row],[Servicing Spread Non-Zero]]-L299</f>
        <v>0</v>
      </c>
      <c r="N300" s="16">
        <f>IF(J299&lt;&gt;0,CurrentMtgRatesDataTable8[[#This Row],[Rate]]-C299,N299)</f>
        <v>-3.4999999999999254E-2</v>
      </c>
    </row>
    <row r="301" spans="1:14">
      <c r="A301" s="8" t="s">
        <v>1653</v>
      </c>
      <c r="B301" s="11">
        <v>4.8760000000000003</v>
      </c>
      <c r="C301" s="13">
        <v>5.5200000000000005</v>
      </c>
      <c r="D301" s="14">
        <f t="shared" si="28"/>
        <v>2</v>
      </c>
      <c r="E301" s="14">
        <f t="shared" si="29"/>
        <v>0.2</v>
      </c>
      <c r="F301" s="14">
        <f t="shared" si="30"/>
        <v>2</v>
      </c>
      <c r="G301" s="14">
        <f t="shared" si="31"/>
        <v>1.9712000000000001</v>
      </c>
      <c r="H301" s="14">
        <f t="shared" si="32"/>
        <v>0.4</v>
      </c>
      <c r="I301" s="14">
        <f t="shared" si="33"/>
        <v>0</v>
      </c>
      <c r="J301" s="14">
        <f t="shared" si="34"/>
        <v>0</v>
      </c>
      <c r="K301" s="15">
        <f>IF(CurrentMtgRatesDataTable8[[#This Row],[WA CC]]&lt;&gt;0,C300-CurrentMtgRatesDataTable8[[#This Row],[WA CC]],0)</f>
        <v>0</v>
      </c>
      <c r="L301" s="16">
        <f>IF(CurrentMtgRatesDataTable8[[#This Row],[Servicing Spread]]&lt;=0,L300,CurrentMtgRatesDataTable8[[#This Row],[Servicing Spread]])</f>
        <v>0.58099999999999952</v>
      </c>
      <c r="M301" s="16">
        <f>CurrentMtgRatesDataTable8[[#This Row],[Servicing Spread Non-Zero]]-L300</f>
        <v>0</v>
      </c>
      <c r="N301" s="16">
        <f>IF(J300&lt;&gt;0,CurrentMtgRatesDataTable8[[#This Row],[Rate]]-C300,N300)</f>
        <v>-3.4999999999999254E-2</v>
      </c>
    </row>
    <row r="302" spans="1:14">
      <c r="A302" s="8" t="s">
        <v>1654</v>
      </c>
      <c r="B302" s="11">
        <v>4.8540000000000001</v>
      </c>
      <c r="C302" s="13">
        <v>5.5200000000000005</v>
      </c>
      <c r="D302" s="14">
        <f t="shared" si="28"/>
        <v>5</v>
      </c>
      <c r="E302" s="14">
        <f t="shared" si="29"/>
        <v>0.2</v>
      </c>
      <c r="F302" s="14">
        <f t="shared" si="30"/>
        <v>3</v>
      </c>
      <c r="G302" s="14">
        <f t="shared" si="31"/>
        <v>2.9420000000000002</v>
      </c>
      <c r="H302" s="14">
        <f t="shared" si="32"/>
        <v>0.60000000000000009</v>
      </c>
      <c r="I302" s="14">
        <f t="shared" si="33"/>
        <v>0</v>
      </c>
      <c r="J302" s="14">
        <f t="shared" si="34"/>
        <v>0</v>
      </c>
      <c r="K302" s="15">
        <f>IF(CurrentMtgRatesDataTable8[[#This Row],[WA CC]]&lt;&gt;0,C301-CurrentMtgRatesDataTable8[[#This Row],[WA CC]],0)</f>
        <v>0</v>
      </c>
      <c r="L302" s="16">
        <f>IF(CurrentMtgRatesDataTable8[[#This Row],[Servicing Spread]]&lt;=0,L301,CurrentMtgRatesDataTable8[[#This Row],[Servicing Spread]])</f>
        <v>0.58099999999999952</v>
      </c>
      <c r="M302" s="16">
        <f>CurrentMtgRatesDataTable8[[#This Row],[Servicing Spread Non-Zero]]-L301</f>
        <v>0</v>
      </c>
      <c r="N302" s="16">
        <f>IF(J301&lt;&gt;0,CurrentMtgRatesDataTable8[[#This Row],[Rate]]-C301,N301)</f>
        <v>-3.4999999999999254E-2</v>
      </c>
    </row>
    <row r="303" spans="1:14">
      <c r="A303" s="8" t="s">
        <v>1655</v>
      </c>
      <c r="B303" s="11">
        <v>4.8559999999999999</v>
      </c>
      <c r="C303" s="13">
        <v>5.5200000000000005</v>
      </c>
      <c r="D303" s="14">
        <f t="shared" si="28"/>
        <v>6</v>
      </c>
      <c r="E303" s="14">
        <f t="shared" si="29"/>
        <v>0.2</v>
      </c>
      <c r="F303" s="14">
        <f t="shared" si="30"/>
        <v>4</v>
      </c>
      <c r="G303" s="14">
        <f t="shared" si="31"/>
        <v>3.9132000000000002</v>
      </c>
      <c r="H303" s="14">
        <f t="shared" si="32"/>
        <v>0.8</v>
      </c>
      <c r="I303" s="14">
        <f t="shared" si="33"/>
        <v>0</v>
      </c>
      <c r="J303" s="14">
        <f t="shared" si="34"/>
        <v>0</v>
      </c>
      <c r="K303" s="15">
        <f>IF(CurrentMtgRatesDataTable8[[#This Row],[WA CC]]&lt;&gt;0,C302-CurrentMtgRatesDataTable8[[#This Row],[WA CC]],0)</f>
        <v>0</v>
      </c>
      <c r="L303" s="16">
        <f>IF(CurrentMtgRatesDataTable8[[#This Row],[Servicing Spread]]&lt;=0,L302,CurrentMtgRatesDataTable8[[#This Row],[Servicing Spread]])</f>
        <v>0.58099999999999952</v>
      </c>
      <c r="M303" s="16">
        <f>CurrentMtgRatesDataTable8[[#This Row],[Servicing Spread Non-Zero]]-L302</f>
        <v>0</v>
      </c>
      <c r="N303" s="16">
        <f>IF(J302&lt;&gt;0,CurrentMtgRatesDataTable8[[#This Row],[Rate]]-C302,N302)</f>
        <v>-3.4999999999999254E-2</v>
      </c>
    </row>
    <row r="304" spans="1:14">
      <c r="A304" s="8" t="s">
        <v>1656</v>
      </c>
      <c r="B304" s="11">
        <v>4.8179999999999996</v>
      </c>
      <c r="C304" s="13">
        <v>5.5200000000000005</v>
      </c>
      <c r="D304" s="14">
        <f t="shared" si="28"/>
        <v>7</v>
      </c>
      <c r="E304" s="14">
        <f t="shared" si="29"/>
        <v>0.2</v>
      </c>
      <c r="F304" s="14">
        <f t="shared" si="30"/>
        <v>5</v>
      </c>
      <c r="G304" s="14">
        <f t="shared" si="31"/>
        <v>4.8768000000000002</v>
      </c>
      <c r="H304" s="14">
        <f t="shared" si="32"/>
        <v>1</v>
      </c>
      <c r="I304" s="14">
        <f t="shared" si="33"/>
        <v>1</v>
      </c>
      <c r="J304" s="14">
        <f t="shared" si="34"/>
        <v>4.8768000000000002</v>
      </c>
      <c r="K304" s="15">
        <f>IF(CurrentMtgRatesDataTable8[[#This Row],[WA CC]]&lt;&gt;0,C303-CurrentMtgRatesDataTable8[[#This Row],[WA CC]],0)</f>
        <v>0.64320000000000022</v>
      </c>
      <c r="L304" s="16">
        <f>IF(CurrentMtgRatesDataTable8[[#This Row],[Servicing Spread]]&lt;=0,L303,CurrentMtgRatesDataTable8[[#This Row],[Servicing Spread]])</f>
        <v>0.64320000000000022</v>
      </c>
      <c r="M304" s="16">
        <f>CurrentMtgRatesDataTable8[[#This Row],[Servicing Spread Non-Zero]]-L303</f>
        <v>6.2200000000000699E-2</v>
      </c>
      <c r="N304" s="16">
        <f>IF(J303&lt;&gt;0,CurrentMtgRatesDataTable8[[#This Row],[Rate]]-C303,N303)</f>
        <v>-3.4999999999999254E-2</v>
      </c>
    </row>
    <row r="305" spans="1:14">
      <c r="A305" s="8" t="s">
        <v>1657</v>
      </c>
      <c r="B305" s="11">
        <v>4.8899999999999997</v>
      </c>
      <c r="C305" s="13">
        <v>5.5449999999999999</v>
      </c>
      <c r="D305" s="14">
        <f t="shared" si="28"/>
        <v>1</v>
      </c>
      <c r="E305" s="14">
        <f t="shared" si="29"/>
        <v>0.2</v>
      </c>
      <c r="F305" s="14">
        <f t="shared" si="30"/>
        <v>1</v>
      </c>
      <c r="G305" s="14">
        <f t="shared" si="31"/>
        <v>0.97799999999999998</v>
      </c>
      <c r="H305" s="14">
        <f t="shared" si="32"/>
        <v>0.2</v>
      </c>
      <c r="I305" s="14">
        <f t="shared" si="33"/>
        <v>0</v>
      </c>
      <c r="J305" s="14">
        <f t="shared" si="34"/>
        <v>0</v>
      </c>
      <c r="K305" s="15">
        <f>IF(CurrentMtgRatesDataTable8[[#This Row],[WA CC]]&lt;&gt;0,C304-CurrentMtgRatesDataTable8[[#This Row],[WA CC]],0)</f>
        <v>0</v>
      </c>
      <c r="L305" s="16">
        <f>IF(CurrentMtgRatesDataTable8[[#This Row],[Servicing Spread]]&lt;=0,L304,CurrentMtgRatesDataTable8[[#This Row],[Servicing Spread]])</f>
        <v>0.64320000000000022</v>
      </c>
      <c r="M305" s="16">
        <f>CurrentMtgRatesDataTable8[[#This Row],[Servicing Spread Non-Zero]]-L304</f>
        <v>0</v>
      </c>
      <c r="N305" s="16">
        <f>IF(J304&lt;&gt;0,CurrentMtgRatesDataTable8[[#This Row],[Rate]]-C304,N304)</f>
        <v>2.4999999999999467E-2</v>
      </c>
    </row>
    <row r="306" spans="1:14">
      <c r="A306" s="8" t="s">
        <v>1658</v>
      </c>
      <c r="B306" s="11">
        <v>4.93</v>
      </c>
      <c r="C306" s="13">
        <v>5.5449999999999999</v>
      </c>
      <c r="D306" s="14">
        <f t="shared" si="28"/>
        <v>2</v>
      </c>
      <c r="E306" s="14">
        <f t="shared" si="29"/>
        <v>0.2</v>
      </c>
      <c r="F306" s="14">
        <f t="shared" si="30"/>
        <v>2</v>
      </c>
      <c r="G306" s="14">
        <f t="shared" si="31"/>
        <v>1.964</v>
      </c>
      <c r="H306" s="14">
        <f t="shared" si="32"/>
        <v>0.4</v>
      </c>
      <c r="I306" s="14">
        <f t="shared" si="33"/>
        <v>0</v>
      </c>
      <c r="J306" s="14">
        <f t="shared" si="34"/>
        <v>0</v>
      </c>
      <c r="K306" s="15">
        <f>IF(CurrentMtgRatesDataTable8[[#This Row],[WA CC]]&lt;&gt;0,C305-CurrentMtgRatesDataTable8[[#This Row],[WA CC]],0)</f>
        <v>0</v>
      </c>
      <c r="L306" s="16">
        <f>IF(CurrentMtgRatesDataTable8[[#This Row],[Servicing Spread]]&lt;=0,L305,CurrentMtgRatesDataTable8[[#This Row],[Servicing Spread]])</f>
        <v>0.64320000000000022</v>
      </c>
      <c r="M306" s="16">
        <f>CurrentMtgRatesDataTable8[[#This Row],[Servicing Spread Non-Zero]]-L305</f>
        <v>0</v>
      </c>
      <c r="N306" s="16">
        <f>IF(J305&lt;&gt;0,CurrentMtgRatesDataTable8[[#This Row],[Rate]]-C305,N305)</f>
        <v>2.4999999999999467E-2</v>
      </c>
    </row>
    <row r="307" spans="1:14">
      <c r="A307" s="8" t="s">
        <v>1659</v>
      </c>
      <c r="B307" s="11">
        <v>4.9260000000000002</v>
      </c>
      <c r="C307" s="13">
        <v>5.5449999999999999</v>
      </c>
      <c r="D307" s="14">
        <f t="shared" si="28"/>
        <v>5</v>
      </c>
      <c r="E307" s="14">
        <f t="shared" si="29"/>
        <v>0.2</v>
      </c>
      <c r="F307" s="14">
        <f t="shared" si="30"/>
        <v>3</v>
      </c>
      <c r="G307" s="14">
        <f t="shared" si="31"/>
        <v>2.9492000000000003</v>
      </c>
      <c r="H307" s="14">
        <f t="shared" si="32"/>
        <v>0.60000000000000009</v>
      </c>
      <c r="I307" s="14">
        <f t="shared" si="33"/>
        <v>0</v>
      </c>
      <c r="J307" s="14">
        <f t="shared" si="34"/>
        <v>0</v>
      </c>
      <c r="K307" s="15">
        <f>IF(CurrentMtgRatesDataTable8[[#This Row],[WA CC]]&lt;&gt;0,C306-CurrentMtgRatesDataTable8[[#This Row],[WA CC]],0)</f>
        <v>0</v>
      </c>
      <c r="L307" s="16">
        <f>IF(CurrentMtgRatesDataTable8[[#This Row],[Servicing Spread]]&lt;=0,L306,CurrentMtgRatesDataTable8[[#This Row],[Servicing Spread]])</f>
        <v>0.64320000000000022</v>
      </c>
      <c r="M307" s="16">
        <f>CurrentMtgRatesDataTable8[[#This Row],[Servicing Spread Non-Zero]]-L306</f>
        <v>0</v>
      </c>
      <c r="N307" s="16">
        <f>IF(J306&lt;&gt;0,CurrentMtgRatesDataTable8[[#This Row],[Rate]]-C306,N306)</f>
        <v>2.4999999999999467E-2</v>
      </c>
    </row>
    <row r="308" spans="1:14">
      <c r="A308" s="8" t="s">
        <v>1660</v>
      </c>
      <c r="B308" s="11">
        <v>4.96</v>
      </c>
      <c r="C308" s="13">
        <v>5.5449999999999999</v>
      </c>
      <c r="D308" s="14">
        <f t="shared" si="28"/>
        <v>6</v>
      </c>
      <c r="E308" s="14">
        <f t="shared" si="29"/>
        <v>0.2</v>
      </c>
      <c r="F308" s="14">
        <f t="shared" si="30"/>
        <v>4</v>
      </c>
      <c r="G308" s="14">
        <f t="shared" si="31"/>
        <v>3.9412000000000003</v>
      </c>
      <c r="H308" s="14">
        <f t="shared" si="32"/>
        <v>0.8</v>
      </c>
      <c r="I308" s="14">
        <f t="shared" si="33"/>
        <v>0</v>
      </c>
      <c r="J308" s="14">
        <f t="shared" si="34"/>
        <v>0</v>
      </c>
      <c r="K308" s="15">
        <f>IF(CurrentMtgRatesDataTable8[[#This Row],[WA CC]]&lt;&gt;0,C307-CurrentMtgRatesDataTable8[[#This Row],[WA CC]],0)</f>
        <v>0</v>
      </c>
      <c r="L308" s="16">
        <f>IF(CurrentMtgRatesDataTable8[[#This Row],[Servicing Spread]]&lt;=0,L307,CurrentMtgRatesDataTable8[[#This Row],[Servicing Spread]])</f>
        <v>0.64320000000000022</v>
      </c>
      <c r="M308" s="16">
        <f>CurrentMtgRatesDataTable8[[#This Row],[Servicing Spread Non-Zero]]-L307</f>
        <v>0</v>
      </c>
      <c r="N308" s="16">
        <f>IF(J307&lt;&gt;0,CurrentMtgRatesDataTable8[[#This Row],[Rate]]-C307,N307)</f>
        <v>2.4999999999999467E-2</v>
      </c>
    </row>
    <row r="309" spans="1:14">
      <c r="A309" s="8" t="s">
        <v>1661</v>
      </c>
      <c r="B309" s="11">
        <v>4.992</v>
      </c>
      <c r="C309" s="13">
        <v>5.5449999999999999</v>
      </c>
      <c r="D309" s="14">
        <f t="shared" si="28"/>
        <v>7</v>
      </c>
      <c r="E309" s="14">
        <f t="shared" si="29"/>
        <v>0.2</v>
      </c>
      <c r="F309" s="14">
        <f t="shared" si="30"/>
        <v>5</v>
      </c>
      <c r="G309" s="14">
        <f t="shared" si="31"/>
        <v>4.9396000000000004</v>
      </c>
      <c r="H309" s="14">
        <f t="shared" si="32"/>
        <v>1</v>
      </c>
      <c r="I309" s="14">
        <f t="shared" si="33"/>
        <v>1</v>
      </c>
      <c r="J309" s="14">
        <f t="shared" si="34"/>
        <v>4.9396000000000004</v>
      </c>
      <c r="K309" s="15">
        <f>IF(CurrentMtgRatesDataTable8[[#This Row],[WA CC]]&lt;&gt;0,C308-CurrentMtgRatesDataTable8[[#This Row],[WA CC]],0)</f>
        <v>0.60539999999999949</v>
      </c>
      <c r="L309" s="16">
        <f>IF(CurrentMtgRatesDataTable8[[#This Row],[Servicing Spread]]&lt;=0,L308,CurrentMtgRatesDataTable8[[#This Row],[Servicing Spread]])</f>
        <v>0.60539999999999949</v>
      </c>
      <c r="M309" s="16">
        <f>CurrentMtgRatesDataTable8[[#This Row],[Servicing Spread Non-Zero]]-L308</f>
        <v>-3.7800000000000722E-2</v>
      </c>
      <c r="N309" s="16">
        <f>IF(J308&lt;&gt;0,CurrentMtgRatesDataTable8[[#This Row],[Rate]]-C308,N308)</f>
        <v>2.4999999999999467E-2</v>
      </c>
    </row>
    <row r="310" spans="1:14">
      <c r="A310" s="8" t="s">
        <v>1662</v>
      </c>
      <c r="B310" s="11">
        <v>4.9939999999999998</v>
      </c>
      <c r="C310" s="13">
        <v>5.6150000000000002</v>
      </c>
      <c r="D310" s="14">
        <f t="shared" si="28"/>
        <v>1</v>
      </c>
      <c r="E310" s="14">
        <f t="shared" si="29"/>
        <v>0.2</v>
      </c>
      <c r="F310" s="14">
        <f t="shared" si="30"/>
        <v>1</v>
      </c>
      <c r="G310" s="14">
        <f t="shared" si="31"/>
        <v>0.99880000000000002</v>
      </c>
      <c r="H310" s="14">
        <f t="shared" si="32"/>
        <v>0.2</v>
      </c>
      <c r="I310" s="14">
        <f t="shared" si="33"/>
        <v>0</v>
      </c>
      <c r="J310" s="14">
        <f t="shared" si="34"/>
        <v>0</v>
      </c>
      <c r="K310" s="15">
        <f>IF(CurrentMtgRatesDataTable8[[#This Row],[WA CC]]&lt;&gt;0,C309-CurrentMtgRatesDataTable8[[#This Row],[WA CC]],0)</f>
        <v>0</v>
      </c>
      <c r="L310" s="16">
        <f>IF(CurrentMtgRatesDataTable8[[#This Row],[Servicing Spread]]&lt;=0,L309,CurrentMtgRatesDataTable8[[#This Row],[Servicing Spread]])</f>
        <v>0.60539999999999949</v>
      </c>
      <c r="M310" s="16">
        <f>CurrentMtgRatesDataTable8[[#This Row],[Servicing Spread Non-Zero]]-L309</f>
        <v>0</v>
      </c>
      <c r="N310" s="16">
        <f>IF(J309&lt;&gt;0,CurrentMtgRatesDataTable8[[#This Row],[Rate]]-C309,N309)</f>
        <v>7.0000000000000284E-2</v>
      </c>
    </row>
    <row r="311" spans="1:14">
      <c r="A311" s="8" t="s">
        <v>1663</v>
      </c>
      <c r="B311" s="11">
        <v>5.0750000000000002</v>
      </c>
      <c r="C311" s="13">
        <v>5.6150000000000002</v>
      </c>
      <c r="D311" s="14">
        <f t="shared" si="28"/>
        <v>2</v>
      </c>
      <c r="E311" s="14">
        <f t="shared" si="29"/>
        <v>0.2</v>
      </c>
      <c r="F311" s="14">
        <f t="shared" si="30"/>
        <v>2</v>
      </c>
      <c r="G311" s="14">
        <f t="shared" si="31"/>
        <v>2.0138000000000003</v>
      </c>
      <c r="H311" s="14">
        <f t="shared" si="32"/>
        <v>0.4</v>
      </c>
      <c r="I311" s="14">
        <f t="shared" si="33"/>
        <v>0</v>
      </c>
      <c r="J311" s="14">
        <f t="shared" si="34"/>
        <v>0</v>
      </c>
      <c r="K311" s="15">
        <f>IF(CurrentMtgRatesDataTable8[[#This Row],[WA CC]]&lt;&gt;0,C310-CurrentMtgRatesDataTable8[[#This Row],[WA CC]],0)</f>
        <v>0</v>
      </c>
      <c r="L311" s="16">
        <f>IF(CurrentMtgRatesDataTable8[[#This Row],[Servicing Spread]]&lt;=0,L310,CurrentMtgRatesDataTable8[[#This Row],[Servicing Spread]])</f>
        <v>0.60539999999999949</v>
      </c>
      <c r="M311" s="16">
        <f>CurrentMtgRatesDataTable8[[#This Row],[Servicing Spread Non-Zero]]-L310</f>
        <v>0</v>
      </c>
      <c r="N311" s="16">
        <f>IF(J310&lt;&gt;0,CurrentMtgRatesDataTable8[[#This Row],[Rate]]-C310,N310)</f>
        <v>7.0000000000000284E-2</v>
      </c>
    </row>
    <row r="312" spans="1:14">
      <c r="A312" s="8" t="s">
        <v>1664</v>
      </c>
      <c r="B312" s="11">
        <v>5.1059999999999999</v>
      </c>
      <c r="C312" s="13">
        <v>5.6150000000000002</v>
      </c>
      <c r="D312" s="14">
        <f t="shared" si="28"/>
        <v>6</v>
      </c>
      <c r="E312" s="14">
        <f t="shared" si="29"/>
        <v>0.2</v>
      </c>
      <c r="F312" s="14">
        <f t="shared" si="30"/>
        <v>3</v>
      </c>
      <c r="G312" s="14">
        <f t="shared" si="31"/>
        <v>3.0350000000000001</v>
      </c>
      <c r="H312" s="14">
        <f t="shared" si="32"/>
        <v>0.60000000000000009</v>
      </c>
      <c r="I312" s="14">
        <f t="shared" si="33"/>
        <v>0</v>
      </c>
      <c r="J312" s="14">
        <f t="shared" si="34"/>
        <v>0</v>
      </c>
      <c r="K312" s="15">
        <f>IF(CurrentMtgRatesDataTable8[[#This Row],[WA CC]]&lt;&gt;0,C311-CurrentMtgRatesDataTable8[[#This Row],[WA CC]],0)</f>
        <v>0</v>
      </c>
      <c r="L312" s="16">
        <f>IF(CurrentMtgRatesDataTable8[[#This Row],[Servicing Spread]]&lt;=0,L311,CurrentMtgRatesDataTable8[[#This Row],[Servicing Spread]])</f>
        <v>0.60539999999999949</v>
      </c>
      <c r="M312" s="16">
        <f>CurrentMtgRatesDataTable8[[#This Row],[Servicing Spread Non-Zero]]-L311</f>
        <v>0</v>
      </c>
      <c r="N312" s="16">
        <f>IF(J311&lt;&gt;0,CurrentMtgRatesDataTable8[[#This Row],[Rate]]-C311,N311)</f>
        <v>7.0000000000000284E-2</v>
      </c>
    </row>
    <row r="313" spans="1:14">
      <c r="A313" s="8" t="s">
        <v>1665</v>
      </c>
      <c r="B313" s="11">
        <v>5.0789999999999997</v>
      </c>
      <c r="C313" s="13">
        <v>5.6150000000000002</v>
      </c>
      <c r="D313" s="14">
        <f t="shared" si="28"/>
        <v>7</v>
      </c>
      <c r="E313" s="14">
        <f t="shared" si="29"/>
        <v>0.2</v>
      </c>
      <c r="F313" s="14">
        <f t="shared" si="30"/>
        <v>4</v>
      </c>
      <c r="G313" s="14">
        <f t="shared" si="31"/>
        <v>4.0508000000000006</v>
      </c>
      <c r="H313" s="14">
        <f t="shared" si="32"/>
        <v>0.8</v>
      </c>
      <c r="I313" s="14">
        <f t="shared" si="33"/>
        <v>1</v>
      </c>
      <c r="J313" s="14">
        <f t="shared" si="34"/>
        <v>5.0635000000000003</v>
      </c>
      <c r="K313" s="15">
        <f>IF(CurrentMtgRatesDataTable8[[#This Row],[WA CC]]&lt;&gt;0,C312-CurrentMtgRatesDataTable8[[#This Row],[WA CC]],0)</f>
        <v>0.55149999999999988</v>
      </c>
      <c r="L313" s="16">
        <f>IF(CurrentMtgRatesDataTable8[[#This Row],[Servicing Spread]]&lt;=0,L312,CurrentMtgRatesDataTable8[[#This Row],[Servicing Spread]])</f>
        <v>0.55149999999999988</v>
      </c>
      <c r="M313" s="16">
        <f>CurrentMtgRatesDataTable8[[#This Row],[Servicing Spread Non-Zero]]-L312</f>
        <v>-5.3899999999999615E-2</v>
      </c>
      <c r="N313" s="16">
        <f>IF(J312&lt;&gt;0,CurrentMtgRatesDataTable8[[#This Row],[Rate]]-C312,N312)</f>
        <v>7.0000000000000284E-2</v>
      </c>
    </row>
    <row r="314" spans="1:14">
      <c r="A314" s="8" t="s">
        <v>1666</v>
      </c>
      <c r="B314" s="11">
        <v>5.1100000000000003</v>
      </c>
      <c r="C314" s="13">
        <v>5.7149999999999999</v>
      </c>
      <c r="D314" s="14">
        <f t="shared" si="28"/>
        <v>1</v>
      </c>
      <c r="E314" s="14">
        <f t="shared" si="29"/>
        <v>0.2</v>
      </c>
      <c r="F314" s="14">
        <f t="shared" si="30"/>
        <v>1</v>
      </c>
      <c r="G314" s="14">
        <f t="shared" si="31"/>
        <v>1.022</v>
      </c>
      <c r="H314" s="14">
        <f t="shared" si="32"/>
        <v>0.2</v>
      </c>
      <c r="I314" s="14">
        <f t="shared" si="33"/>
        <v>0</v>
      </c>
      <c r="J314" s="14">
        <f t="shared" si="34"/>
        <v>0</v>
      </c>
      <c r="K314" s="15">
        <f>IF(CurrentMtgRatesDataTable8[[#This Row],[WA CC]]&lt;&gt;0,C313-CurrentMtgRatesDataTable8[[#This Row],[WA CC]],0)</f>
        <v>0</v>
      </c>
      <c r="L314" s="16">
        <f>IF(CurrentMtgRatesDataTable8[[#This Row],[Servicing Spread]]&lt;=0,L313,CurrentMtgRatesDataTable8[[#This Row],[Servicing Spread]])</f>
        <v>0.55149999999999988</v>
      </c>
      <c r="M314" s="16">
        <f>CurrentMtgRatesDataTable8[[#This Row],[Servicing Spread Non-Zero]]-L313</f>
        <v>0</v>
      </c>
      <c r="N314" s="16">
        <f>IF(J313&lt;&gt;0,CurrentMtgRatesDataTable8[[#This Row],[Rate]]-C313,N313)</f>
        <v>9.9999999999999645E-2</v>
      </c>
    </row>
    <row r="315" spans="1:14">
      <c r="A315" s="8" t="s">
        <v>1667</v>
      </c>
      <c r="B315" s="11">
        <v>5.1139999999999999</v>
      </c>
      <c r="C315" s="13">
        <v>5.7149999999999999</v>
      </c>
      <c r="D315" s="14">
        <f t="shared" si="28"/>
        <v>2</v>
      </c>
      <c r="E315" s="14">
        <f t="shared" si="29"/>
        <v>0.2</v>
      </c>
      <c r="F315" s="14">
        <f t="shared" si="30"/>
        <v>2</v>
      </c>
      <c r="G315" s="14">
        <f t="shared" si="31"/>
        <v>2.0448</v>
      </c>
      <c r="H315" s="14">
        <f t="shared" si="32"/>
        <v>0.4</v>
      </c>
      <c r="I315" s="14">
        <f t="shared" si="33"/>
        <v>0</v>
      </c>
      <c r="J315" s="14">
        <f t="shared" si="34"/>
        <v>0</v>
      </c>
      <c r="K315" s="15">
        <f>IF(CurrentMtgRatesDataTable8[[#This Row],[WA CC]]&lt;&gt;0,C314-CurrentMtgRatesDataTable8[[#This Row],[WA CC]],0)</f>
        <v>0</v>
      </c>
      <c r="L315" s="16">
        <f>IF(CurrentMtgRatesDataTable8[[#This Row],[Servicing Spread]]&lt;=0,L314,CurrentMtgRatesDataTable8[[#This Row],[Servicing Spread]])</f>
        <v>0.55149999999999988</v>
      </c>
      <c r="M315" s="16">
        <f>CurrentMtgRatesDataTable8[[#This Row],[Servicing Spread Non-Zero]]-L314</f>
        <v>0</v>
      </c>
      <c r="N315" s="16">
        <f>IF(J314&lt;&gt;0,CurrentMtgRatesDataTable8[[#This Row],[Rate]]-C314,N314)</f>
        <v>9.9999999999999645E-2</v>
      </c>
    </row>
    <row r="316" spans="1:14">
      <c r="A316" s="8" t="s">
        <v>1668</v>
      </c>
      <c r="B316" s="11">
        <v>5.2309999999999999</v>
      </c>
      <c r="C316" s="13">
        <v>5.7149999999999999</v>
      </c>
      <c r="D316" s="14">
        <f t="shared" si="28"/>
        <v>5</v>
      </c>
      <c r="E316" s="14">
        <f t="shared" si="29"/>
        <v>0.2</v>
      </c>
      <c r="F316" s="14">
        <f t="shared" si="30"/>
        <v>3</v>
      </c>
      <c r="G316" s="14">
        <f t="shared" si="31"/>
        <v>3.0910000000000002</v>
      </c>
      <c r="H316" s="14">
        <f t="shared" si="32"/>
        <v>0.60000000000000009</v>
      </c>
      <c r="I316" s="14">
        <f t="shared" si="33"/>
        <v>0</v>
      </c>
      <c r="J316" s="14">
        <f t="shared" si="34"/>
        <v>0</v>
      </c>
      <c r="K316" s="15">
        <f>IF(CurrentMtgRatesDataTable8[[#This Row],[WA CC]]&lt;&gt;0,C315-CurrentMtgRatesDataTable8[[#This Row],[WA CC]],0)</f>
        <v>0</v>
      </c>
      <c r="L316" s="16">
        <f>IF(CurrentMtgRatesDataTable8[[#This Row],[Servicing Spread]]&lt;=0,L315,CurrentMtgRatesDataTable8[[#This Row],[Servicing Spread]])</f>
        <v>0.55149999999999988</v>
      </c>
      <c r="M316" s="16">
        <f>CurrentMtgRatesDataTable8[[#This Row],[Servicing Spread Non-Zero]]-L315</f>
        <v>0</v>
      </c>
      <c r="N316" s="16">
        <f>IF(J315&lt;&gt;0,CurrentMtgRatesDataTable8[[#This Row],[Rate]]-C315,N315)</f>
        <v>9.9999999999999645E-2</v>
      </c>
    </row>
    <row r="317" spans="1:14">
      <c r="A317" s="8" t="s">
        <v>1669</v>
      </c>
      <c r="B317" s="11">
        <v>5.2610000000000001</v>
      </c>
      <c r="C317" s="13">
        <v>5.7149999999999999</v>
      </c>
      <c r="D317" s="14">
        <f t="shared" si="28"/>
        <v>6</v>
      </c>
      <c r="E317" s="14">
        <f t="shared" si="29"/>
        <v>0.2</v>
      </c>
      <c r="F317" s="14">
        <f t="shared" si="30"/>
        <v>4</v>
      </c>
      <c r="G317" s="14">
        <f t="shared" si="31"/>
        <v>4.1432000000000002</v>
      </c>
      <c r="H317" s="14">
        <f t="shared" si="32"/>
        <v>0.8</v>
      </c>
      <c r="I317" s="14">
        <f t="shared" si="33"/>
        <v>0</v>
      </c>
      <c r="J317" s="14">
        <f t="shared" si="34"/>
        <v>0</v>
      </c>
      <c r="K317" s="15">
        <f>IF(CurrentMtgRatesDataTable8[[#This Row],[WA CC]]&lt;&gt;0,C316-CurrentMtgRatesDataTable8[[#This Row],[WA CC]],0)</f>
        <v>0</v>
      </c>
      <c r="L317" s="16">
        <f>IF(CurrentMtgRatesDataTable8[[#This Row],[Servicing Spread]]&lt;=0,L316,CurrentMtgRatesDataTable8[[#This Row],[Servicing Spread]])</f>
        <v>0.55149999999999988</v>
      </c>
      <c r="M317" s="16">
        <f>CurrentMtgRatesDataTable8[[#This Row],[Servicing Spread Non-Zero]]-L316</f>
        <v>0</v>
      </c>
      <c r="N317" s="16">
        <f>IF(J316&lt;&gt;0,CurrentMtgRatesDataTable8[[#This Row],[Rate]]-C316,N316)</f>
        <v>9.9999999999999645E-2</v>
      </c>
    </row>
    <row r="318" spans="1:14">
      <c r="A318" s="8" t="s">
        <v>1670</v>
      </c>
      <c r="B318" s="11">
        <v>5.2450000000000001</v>
      </c>
      <c r="C318" s="13">
        <v>5.7149999999999999</v>
      </c>
      <c r="D318" s="14">
        <f t="shared" si="28"/>
        <v>7</v>
      </c>
      <c r="E318" s="14">
        <f t="shared" si="29"/>
        <v>0.2</v>
      </c>
      <c r="F318" s="14">
        <f t="shared" si="30"/>
        <v>5</v>
      </c>
      <c r="G318" s="14">
        <f t="shared" si="31"/>
        <v>5.1922000000000006</v>
      </c>
      <c r="H318" s="14">
        <f t="shared" si="32"/>
        <v>1</v>
      </c>
      <c r="I318" s="14">
        <f t="shared" si="33"/>
        <v>1</v>
      </c>
      <c r="J318" s="14">
        <f t="shared" si="34"/>
        <v>5.1922000000000006</v>
      </c>
      <c r="K318" s="15">
        <f>IF(CurrentMtgRatesDataTable8[[#This Row],[WA CC]]&lt;&gt;0,C317-CurrentMtgRatesDataTable8[[#This Row],[WA CC]],0)</f>
        <v>0.52279999999999927</v>
      </c>
      <c r="L318" s="16">
        <f>IF(CurrentMtgRatesDataTable8[[#This Row],[Servicing Spread]]&lt;=0,L317,CurrentMtgRatesDataTable8[[#This Row],[Servicing Spread]])</f>
        <v>0.52279999999999927</v>
      </c>
      <c r="M318" s="16">
        <f>CurrentMtgRatesDataTable8[[#This Row],[Servicing Spread Non-Zero]]-L317</f>
        <v>-2.8700000000000614E-2</v>
      </c>
      <c r="N318" s="16">
        <f>IF(J317&lt;&gt;0,CurrentMtgRatesDataTable8[[#This Row],[Rate]]-C317,N317)</f>
        <v>9.9999999999999645E-2</v>
      </c>
    </row>
    <row r="319" spans="1:14">
      <c r="A319" s="8" t="s">
        <v>1671</v>
      </c>
      <c r="B319" s="11">
        <v>5.2389999999999999</v>
      </c>
      <c r="C319" s="13">
        <v>5.75</v>
      </c>
      <c r="D319" s="14">
        <f t="shared" si="28"/>
        <v>1</v>
      </c>
      <c r="E319" s="14">
        <f t="shared" si="29"/>
        <v>0.2</v>
      </c>
      <c r="F319" s="14">
        <f t="shared" si="30"/>
        <v>1</v>
      </c>
      <c r="G319" s="14">
        <f t="shared" si="31"/>
        <v>1.0478000000000001</v>
      </c>
      <c r="H319" s="14">
        <f t="shared" si="32"/>
        <v>0.2</v>
      </c>
      <c r="I319" s="14">
        <f t="shared" si="33"/>
        <v>0</v>
      </c>
      <c r="J319" s="14">
        <f t="shared" si="34"/>
        <v>0</v>
      </c>
      <c r="K319" s="15">
        <f>IF(CurrentMtgRatesDataTable8[[#This Row],[WA CC]]&lt;&gt;0,C318-CurrentMtgRatesDataTable8[[#This Row],[WA CC]],0)</f>
        <v>0</v>
      </c>
      <c r="L319" s="16">
        <f>IF(CurrentMtgRatesDataTable8[[#This Row],[Servicing Spread]]&lt;=0,L318,CurrentMtgRatesDataTable8[[#This Row],[Servicing Spread]])</f>
        <v>0.52279999999999927</v>
      </c>
      <c r="M319" s="16">
        <f>CurrentMtgRatesDataTable8[[#This Row],[Servicing Spread Non-Zero]]-L318</f>
        <v>0</v>
      </c>
      <c r="N319" s="16">
        <f>IF(J318&lt;&gt;0,CurrentMtgRatesDataTable8[[#This Row],[Rate]]-C318,N318)</f>
        <v>3.5000000000000142E-2</v>
      </c>
    </row>
    <row r="320" spans="1:14">
      <c r="A320" s="8" t="s">
        <v>1672</v>
      </c>
      <c r="B320" s="11">
        <v>5.1429999999999998</v>
      </c>
      <c r="C320" s="13">
        <v>5.75</v>
      </c>
      <c r="D320" s="14">
        <f t="shared" si="28"/>
        <v>2</v>
      </c>
      <c r="E320" s="14">
        <f t="shared" si="29"/>
        <v>0.2</v>
      </c>
      <c r="F320" s="14">
        <f t="shared" si="30"/>
        <v>2</v>
      </c>
      <c r="G320" s="14">
        <f t="shared" si="31"/>
        <v>2.0764</v>
      </c>
      <c r="H320" s="14">
        <f t="shared" si="32"/>
        <v>0.4</v>
      </c>
      <c r="I320" s="14">
        <f t="shared" si="33"/>
        <v>0</v>
      </c>
      <c r="J320" s="14">
        <f t="shared" si="34"/>
        <v>0</v>
      </c>
      <c r="K320" s="15">
        <f>IF(CurrentMtgRatesDataTable8[[#This Row],[WA CC]]&lt;&gt;0,C319-CurrentMtgRatesDataTable8[[#This Row],[WA CC]],0)</f>
        <v>0</v>
      </c>
      <c r="L320" s="16">
        <f>IF(CurrentMtgRatesDataTable8[[#This Row],[Servicing Spread]]&lt;=0,L319,CurrentMtgRatesDataTable8[[#This Row],[Servicing Spread]])</f>
        <v>0.52279999999999927</v>
      </c>
      <c r="M320" s="16">
        <f>CurrentMtgRatesDataTable8[[#This Row],[Servicing Spread Non-Zero]]-L319</f>
        <v>0</v>
      </c>
      <c r="N320" s="16">
        <f>IF(J319&lt;&gt;0,CurrentMtgRatesDataTable8[[#This Row],[Rate]]-C319,N319)</f>
        <v>3.5000000000000142E-2</v>
      </c>
    </row>
    <row r="321" spans="1:14">
      <c r="A321" s="8" t="s">
        <v>1673</v>
      </c>
      <c r="B321" s="11">
        <v>5.1239999999999997</v>
      </c>
      <c r="C321" s="13">
        <v>5.75</v>
      </c>
      <c r="D321" s="14">
        <f t="shared" si="28"/>
        <v>5</v>
      </c>
      <c r="E321" s="14">
        <f t="shared" si="29"/>
        <v>0.2</v>
      </c>
      <c r="F321" s="14">
        <f t="shared" si="30"/>
        <v>3</v>
      </c>
      <c r="G321" s="14">
        <f t="shared" si="31"/>
        <v>3.1012</v>
      </c>
      <c r="H321" s="14">
        <f t="shared" si="32"/>
        <v>0.60000000000000009</v>
      </c>
      <c r="I321" s="14">
        <f t="shared" si="33"/>
        <v>0</v>
      </c>
      <c r="J321" s="14">
        <f t="shared" si="34"/>
        <v>0</v>
      </c>
      <c r="K321" s="15">
        <f>IF(CurrentMtgRatesDataTable8[[#This Row],[WA CC]]&lt;&gt;0,C320-CurrentMtgRatesDataTable8[[#This Row],[WA CC]],0)</f>
        <v>0</v>
      </c>
      <c r="L321" s="16">
        <f>IF(CurrentMtgRatesDataTable8[[#This Row],[Servicing Spread]]&lt;=0,L320,CurrentMtgRatesDataTable8[[#This Row],[Servicing Spread]])</f>
        <v>0.52279999999999927</v>
      </c>
      <c r="M321" s="16">
        <f>CurrentMtgRatesDataTable8[[#This Row],[Servicing Spread Non-Zero]]-L320</f>
        <v>0</v>
      </c>
      <c r="N321" s="16">
        <f>IF(J320&lt;&gt;0,CurrentMtgRatesDataTable8[[#This Row],[Rate]]-C320,N320)</f>
        <v>3.5000000000000142E-2</v>
      </c>
    </row>
    <row r="322" spans="1:14">
      <c r="A322" s="8" t="s">
        <v>1674</v>
      </c>
      <c r="B322" s="11">
        <v>5.2160000000000002</v>
      </c>
      <c r="C322" s="13">
        <v>5.75</v>
      </c>
      <c r="D322" s="14">
        <f t="shared" si="28"/>
        <v>6</v>
      </c>
      <c r="E322" s="14">
        <f t="shared" si="29"/>
        <v>0.2</v>
      </c>
      <c r="F322" s="14">
        <f t="shared" si="30"/>
        <v>4</v>
      </c>
      <c r="G322" s="14">
        <f t="shared" si="31"/>
        <v>4.1444000000000001</v>
      </c>
      <c r="H322" s="14">
        <f t="shared" si="32"/>
        <v>0.8</v>
      </c>
      <c r="I322" s="14">
        <f t="shared" si="33"/>
        <v>0</v>
      </c>
      <c r="J322" s="14">
        <f t="shared" si="34"/>
        <v>0</v>
      </c>
      <c r="K322" s="15">
        <f>IF(CurrentMtgRatesDataTable8[[#This Row],[WA CC]]&lt;&gt;0,C321-CurrentMtgRatesDataTable8[[#This Row],[WA CC]],0)</f>
        <v>0</v>
      </c>
      <c r="L322" s="16">
        <f>IF(CurrentMtgRatesDataTable8[[#This Row],[Servicing Spread]]&lt;=0,L321,CurrentMtgRatesDataTable8[[#This Row],[Servicing Spread]])</f>
        <v>0.52279999999999927</v>
      </c>
      <c r="M322" s="16">
        <f>CurrentMtgRatesDataTable8[[#This Row],[Servicing Spread Non-Zero]]-L321</f>
        <v>0</v>
      </c>
      <c r="N322" s="16">
        <f>IF(J321&lt;&gt;0,CurrentMtgRatesDataTable8[[#This Row],[Rate]]-C321,N321)</f>
        <v>3.5000000000000142E-2</v>
      </c>
    </row>
    <row r="323" spans="1:14">
      <c r="A323" s="8" t="s">
        <v>1675</v>
      </c>
      <c r="B323" s="11">
        <v>5.3680000000000003</v>
      </c>
      <c r="C323" s="13">
        <v>5.75</v>
      </c>
      <c r="D323" s="14">
        <f t="shared" si="28"/>
        <v>7</v>
      </c>
      <c r="E323" s="14">
        <f t="shared" si="29"/>
        <v>0.2</v>
      </c>
      <c r="F323" s="14">
        <f t="shared" si="30"/>
        <v>5</v>
      </c>
      <c r="G323" s="14">
        <f t="shared" si="31"/>
        <v>5.218</v>
      </c>
      <c r="H323" s="14">
        <f t="shared" si="32"/>
        <v>1</v>
      </c>
      <c r="I323" s="14">
        <f t="shared" si="33"/>
        <v>1</v>
      </c>
      <c r="J323" s="14">
        <f t="shared" si="34"/>
        <v>5.218</v>
      </c>
      <c r="K323" s="15">
        <f>IF(CurrentMtgRatesDataTable8[[#This Row],[WA CC]]&lt;&gt;0,C322-CurrentMtgRatesDataTable8[[#This Row],[WA CC]],0)</f>
        <v>0.53200000000000003</v>
      </c>
      <c r="L323" s="16">
        <f>IF(CurrentMtgRatesDataTable8[[#This Row],[Servicing Spread]]&lt;=0,L322,CurrentMtgRatesDataTable8[[#This Row],[Servicing Spread]])</f>
        <v>0.53200000000000003</v>
      </c>
      <c r="M323" s="16">
        <f>CurrentMtgRatesDataTable8[[#This Row],[Servicing Spread Non-Zero]]-L322</f>
        <v>9.2000000000007631E-3</v>
      </c>
      <c r="N323" s="16">
        <f>IF(J322&lt;&gt;0,CurrentMtgRatesDataTable8[[#This Row],[Rate]]-C322,N322)</f>
        <v>3.5000000000000142E-2</v>
      </c>
    </row>
    <row r="324" spans="1:14">
      <c r="A324" s="8" t="s">
        <v>1676</v>
      </c>
      <c r="B324" s="11">
        <v>5.3170000000000002</v>
      </c>
      <c r="C324" s="13">
        <v>5.875</v>
      </c>
      <c r="D324" s="14">
        <f t="shared" si="28"/>
        <v>1</v>
      </c>
      <c r="E324" s="14">
        <f t="shared" si="29"/>
        <v>0.2</v>
      </c>
      <c r="F324" s="14">
        <f t="shared" si="30"/>
        <v>1</v>
      </c>
      <c r="G324" s="14">
        <f t="shared" si="31"/>
        <v>1.0634000000000001</v>
      </c>
      <c r="H324" s="14">
        <f t="shared" si="32"/>
        <v>0.2</v>
      </c>
      <c r="I324" s="14">
        <f t="shared" si="33"/>
        <v>0</v>
      </c>
      <c r="J324" s="14">
        <f t="shared" si="34"/>
        <v>0</v>
      </c>
      <c r="K324" s="15">
        <f>IF(CurrentMtgRatesDataTable8[[#This Row],[WA CC]]&lt;&gt;0,C323-CurrentMtgRatesDataTable8[[#This Row],[WA CC]],0)</f>
        <v>0</v>
      </c>
      <c r="L324" s="16">
        <f>IF(CurrentMtgRatesDataTable8[[#This Row],[Servicing Spread]]&lt;=0,L323,CurrentMtgRatesDataTable8[[#This Row],[Servicing Spread]])</f>
        <v>0.53200000000000003</v>
      </c>
      <c r="M324" s="16">
        <f>CurrentMtgRatesDataTable8[[#This Row],[Servicing Spread Non-Zero]]-L323</f>
        <v>0</v>
      </c>
      <c r="N324" s="16">
        <f>IF(J323&lt;&gt;0,CurrentMtgRatesDataTable8[[#This Row],[Rate]]-C323,N323)</f>
        <v>0.125</v>
      </c>
    </row>
    <row r="325" spans="1:14">
      <c r="A325" s="8" t="s">
        <v>1677</v>
      </c>
      <c r="B325" s="11">
        <v>5.3959999999999999</v>
      </c>
      <c r="C325" s="13">
        <v>5.875</v>
      </c>
      <c r="D325" s="14">
        <f t="shared" ref="D325:D388" si="35">WEEKDAY(A325,14)</f>
        <v>2</v>
      </c>
      <c r="E325" s="14">
        <f t="shared" ref="E325:E388" si="36">VLOOKUP(D325,Q$5:R$11,2,FALSE)</f>
        <v>0.2</v>
      </c>
      <c r="F325" s="14">
        <f t="shared" ref="F325:F388" si="37">IF(AND(D325&gt;D324,F324&lt;6),F324+1,1)</f>
        <v>2</v>
      </c>
      <c r="G325" s="14">
        <f t="shared" ref="G325:G388" si="38">IF(F325&gt;F324,G324+B325*E325,B325*E325)</f>
        <v>2.1425999999999998</v>
      </c>
      <c r="H325" s="14">
        <f t="shared" ref="H325:H388" si="39">IF(AND(F325&lt;6,F325&gt;F324),E325+H324,E325)</f>
        <v>0.4</v>
      </c>
      <c r="I325" s="14">
        <f t="shared" ref="I325:I388" si="40">IF(F325&gt;F326,1,0)</f>
        <v>0</v>
      </c>
      <c r="J325" s="14">
        <f t="shared" ref="J325:J388" si="41">IF(F325&gt;F326,G325/H325,0)</f>
        <v>0</v>
      </c>
      <c r="K325" s="15">
        <f>IF(CurrentMtgRatesDataTable8[[#This Row],[WA CC]]&lt;&gt;0,C324-CurrentMtgRatesDataTable8[[#This Row],[WA CC]],0)</f>
        <v>0</v>
      </c>
      <c r="L325" s="16">
        <f>IF(CurrentMtgRatesDataTable8[[#This Row],[Servicing Spread]]&lt;=0,L324,CurrentMtgRatesDataTable8[[#This Row],[Servicing Spread]])</f>
        <v>0.53200000000000003</v>
      </c>
      <c r="M325" s="16">
        <f>CurrentMtgRatesDataTable8[[#This Row],[Servicing Spread Non-Zero]]-L324</f>
        <v>0</v>
      </c>
      <c r="N325" s="16">
        <f>IF(J324&lt;&gt;0,CurrentMtgRatesDataTable8[[#This Row],[Rate]]-C324,N324)</f>
        <v>0.125</v>
      </c>
    </row>
    <row r="326" spans="1:14">
      <c r="A326" s="8" t="s">
        <v>1678</v>
      </c>
      <c r="B326" s="11">
        <v>5.3819999999999997</v>
      </c>
      <c r="C326" s="13">
        <v>5.875</v>
      </c>
      <c r="D326" s="14">
        <f t="shared" si="35"/>
        <v>5</v>
      </c>
      <c r="E326" s="14">
        <f t="shared" si="36"/>
        <v>0.2</v>
      </c>
      <c r="F326" s="14">
        <f t="shared" si="37"/>
        <v>3</v>
      </c>
      <c r="G326" s="14">
        <f t="shared" si="38"/>
        <v>3.2189999999999999</v>
      </c>
      <c r="H326" s="14">
        <f t="shared" si="39"/>
        <v>0.60000000000000009</v>
      </c>
      <c r="I326" s="14">
        <f t="shared" si="40"/>
        <v>0</v>
      </c>
      <c r="J326" s="14">
        <f t="shared" si="41"/>
        <v>0</v>
      </c>
      <c r="K326" s="15">
        <f>IF(CurrentMtgRatesDataTable8[[#This Row],[WA CC]]&lt;&gt;0,C325-CurrentMtgRatesDataTable8[[#This Row],[WA CC]],0)</f>
        <v>0</v>
      </c>
      <c r="L326" s="16">
        <f>IF(CurrentMtgRatesDataTable8[[#This Row],[Servicing Spread]]&lt;=0,L325,CurrentMtgRatesDataTable8[[#This Row],[Servicing Spread]])</f>
        <v>0.53200000000000003</v>
      </c>
      <c r="M326" s="16">
        <f>CurrentMtgRatesDataTable8[[#This Row],[Servicing Spread Non-Zero]]-L325</f>
        <v>0</v>
      </c>
      <c r="N326" s="16">
        <f>IF(J325&lt;&gt;0,CurrentMtgRatesDataTable8[[#This Row],[Rate]]-C325,N325)</f>
        <v>0.125</v>
      </c>
    </row>
    <row r="327" spans="1:14">
      <c r="A327" s="8" t="s">
        <v>1679</v>
      </c>
      <c r="B327" s="11">
        <v>5.3970000000000002</v>
      </c>
      <c r="C327" s="13">
        <v>5.875</v>
      </c>
      <c r="D327" s="14">
        <f t="shared" si="35"/>
        <v>6</v>
      </c>
      <c r="E327" s="14">
        <f t="shared" si="36"/>
        <v>0.2</v>
      </c>
      <c r="F327" s="14">
        <f t="shared" si="37"/>
        <v>4</v>
      </c>
      <c r="G327" s="14">
        <f t="shared" si="38"/>
        <v>4.2984</v>
      </c>
      <c r="H327" s="14">
        <f t="shared" si="39"/>
        <v>0.8</v>
      </c>
      <c r="I327" s="14">
        <f t="shared" si="40"/>
        <v>0</v>
      </c>
      <c r="J327" s="14">
        <f t="shared" si="41"/>
        <v>0</v>
      </c>
      <c r="K327" s="15">
        <f>IF(CurrentMtgRatesDataTable8[[#This Row],[WA CC]]&lt;&gt;0,C326-CurrentMtgRatesDataTable8[[#This Row],[WA CC]],0)</f>
        <v>0</v>
      </c>
      <c r="L327" s="16">
        <f>IF(CurrentMtgRatesDataTable8[[#This Row],[Servicing Spread]]&lt;=0,L326,CurrentMtgRatesDataTable8[[#This Row],[Servicing Spread]])</f>
        <v>0.53200000000000003</v>
      </c>
      <c r="M327" s="16">
        <f>CurrentMtgRatesDataTable8[[#This Row],[Servicing Spread Non-Zero]]-L326</f>
        <v>0</v>
      </c>
      <c r="N327" s="16">
        <f>IF(J326&lt;&gt;0,CurrentMtgRatesDataTable8[[#This Row],[Rate]]-C326,N326)</f>
        <v>0.125</v>
      </c>
    </row>
    <row r="328" spans="1:14">
      <c r="A328" s="8" t="s">
        <v>1680</v>
      </c>
      <c r="B328" s="11">
        <v>5.3849999999999998</v>
      </c>
      <c r="C328" s="13">
        <v>5.875</v>
      </c>
      <c r="D328" s="14">
        <f t="shared" si="35"/>
        <v>7</v>
      </c>
      <c r="E328" s="14">
        <f t="shared" si="36"/>
        <v>0.2</v>
      </c>
      <c r="F328" s="14">
        <f t="shared" si="37"/>
        <v>5</v>
      </c>
      <c r="G328" s="14">
        <f t="shared" si="38"/>
        <v>5.3754</v>
      </c>
      <c r="H328" s="14">
        <f t="shared" si="39"/>
        <v>1</v>
      </c>
      <c r="I328" s="14">
        <f t="shared" si="40"/>
        <v>1</v>
      </c>
      <c r="J328" s="14">
        <f t="shared" si="41"/>
        <v>5.3754</v>
      </c>
      <c r="K328" s="15">
        <f>IF(CurrentMtgRatesDataTable8[[#This Row],[WA CC]]&lt;&gt;0,C327-CurrentMtgRatesDataTable8[[#This Row],[WA CC]],0)</f>
        <v>0.49960000000000004</v>
      </c>
      <c r="L328" s="16">
        <f>IF(CurrentMtgRatesDataTable8[[#This Row],[Servicing Spread]]&lt;=0,L327,CurrentMtgRatesDataTable8[[#This Row],[Servicing Spread]])</f>
        <v>0.49960000000000004</v>
      </c>
      <c r="M328" s="16">
        <f>CurrentMtgRatesDataTable8[[#This Row],[Servicing Spread Non-Zero]]-L327</f>
        <v>-3.2399999999999984E-2</v>
      </c>
      <c r="N328" s="16">
        <f>IF(J327&lt;&gt;0,CurrentMtgRatesDataTable8[[#This Row],[Rate]]-C327,N327)</f>
        <v>0.125</v>
      </c>
    </row>
    <row r="329" spans="1:14">
      <c r="A329" s="8" t="s">
        <v>1681</v>
      </c>
      <c r="B329" s="11">
        <v>5.3360000000000003</v>
      </c>
      <c r="C329" s="13">
        <v>5.9349999999999996</v>
      </c>
      <c r="D329" s="14">
        <f t="shared" si="35"/>
        <v>1</v>
      </c>
      <c r="E329" s="14">
        <f t="shared" si="36"/>
        <v>0.2</v>
      </c>
      <c r="F329" s="14">
        <f t="shared" si="37"/>
        <v>1</v>
      </c>
      <c r="G329" s="14">
        <f t="shared" si="38"/>
        <v>1.0672000000000001</v>
      </c>
      <c r="H329" s="14">
        <f t="shared" si="39"/>
        <v>0.2</v>
      </c>
      <c r="I329" s="14">
        <f t="shared" si="40"/>
        <v>0</v>
      </c>
      <c r="J329" s="14">
        <f t="shared" si="41"/>
        <v>0</v>
      </c>
      <c r="K329" s="15">
        <f>IF(CurrentMtgRatesDataTable8[[#This Row],[WA CC]]&lt;&gt;0,C328-CurrentMtgRatesDataTable8[[#This Row],[WA CC]],0)</f>
        <v>0</v>
      </c>
      <c r="L329" s="16">
        <f>IF(CurrentMtgRatesDataTable8[[#This Row],[Servicing Spread]]&lt;=0,L328,CurrentMtgRatesDataTable8[[#This Row],[Servicing Spread]])</f>
        <v>0.49960000000000004</v>
      </c>
      <c r="M329" s="16">
        <f>CurrentMtgRatesDataTable8[[#This Row],[Servicing Spread Non-Zero]]-L328</f>
        <v>0</v>
      </c>
      <c r="N329" s="16">
        <f>IF(J328&lt;&gt;0,CurrentMtgRatesDataTable8[[#This Row],[Rate]]-C328,N328)</f>
        <v>5.9999999999999609E-2</v>
      </c>
    </row>
    <row r="330" spans="1:14">
      <c r="A330" s="8" t="s">
        <v>1682</v>
      </c>
      <c r="B330" s="11">
        <v>5.3529999999999998</v>
      </c>
      <c r="C330" s="13">
        <v>5.9349999999999996</v>
      </c>
      <c r="D330" s="14">
        <f t="shared" si="35"/>
        <v>2</v>
      </c>
      <c r="E330" s="14">
        <f t="shared" si="36"/>
        <v>0.2</v>
      </c>
      <c r="F330" s="14">
        <f t="shared" si="37"/>
        <v>2</v>
      </c>
      <c r="G330" s="14">
        <f t="shared" si="38"/>
        <v>2.1378000000000004</v>
      </c>
      <c r="H330" s="14">
        <f t="shared" si="39"/>
        <v>0.4</v>
      </c>
      <c r="I330" s="14">
        <f t="shared" si="40"/>
        <v>0</v>
      </c>
      <c r="J330" s="14">
        <f t="shared" si="41"/>
        <v>0</v>
      </c>
      <c r="K330" s="15">
        <f>IF(CurrentMtgRatesDataTable8[[#This Row],[WA CC]]&lt;&gt;0,C329-CurrentMtgRatesDataTable8[[#This Row],[WA CC]],0)</f>
        <v>0</v>
      </c>
      <c r="L330" s="16">
        <f>IF(CurrentMtgRatesDataTable8[[#This Row],[Servicing Spread]]&lt;=0,L329,CurrentMtgRatesDataTable8[[#This Row],[Servicing Spread]])</f>
        <v>0.49960000000000004</v>
      </c>
      <c r="M330" s="16">
        <f>CurrentMtgRatesDataTable8[[#This Row],[Servicing Spread Non-Zero]]-L329</f>
        <v>0</v>
      </c>
      <c r="N330" s="16">
        <f>IF(J329&lt;&gt;0,CurrentMtgRatesDataTable8[[#This Row],[Rate]]-C329,N329)</f>
        <v>5.9999999999999609E-2</v>
      </c>
    </row>
    <row r="331" spans="1:14">
      <c r="A331" s="8" t="s">
        <v>1683</v>
      </c>
      <c r="B331" s="11">
        <v>5.39</v>
      </c>
      <c r="C331" s="13">
        <v>5.9349999999999996</v>
      </c>
      <c r="D331" s="14">
        <f t="shared" si="35"/>
        <v>5</v>
      </c>
      <c r="E331" s="14">
        <f t="shared" si="36"/>
        <v>0.2</v>
      </c>
      <c r="F331" s="14">
        <f t="shared" si="37"/>
        <v>3</v>
      </c>
      <c r="G331" s="14">
        <f t="shared" si="38"/>
        <v>3.2158000000000007</v>
      </c>
      <c r="H331" s="14">
        <f t="shared" si="39"/>
        <v>0.60000000000000009</v>
      </c>
      <c r="I331" s="14">
        <f t="shared" si="40"/>
        <v>0</v>
      </c>
      <c r="J331" s="14">
        <f t="shared" si="41"/>
        <v>0</v>
      </c>
      <c r="K331" s="15">
        <f>IF(CurrentMtgRatesDataTable8[[#This Row],[WA CC]]&lt;&gt;0,C330-CurrentMtgRatesDataTable8[[#This Row],[WA CC]],0)</f>
        <v>0</v>
      </c>
      <c r="L331" s="16">
        <f>IF(CurrentMtgRatesDataTable8[[#This Row],[Servicing Spread]]&lt;=0,L330,CurrentMtgRatesDataTable8[[#This Row],[Servicing Spread]])</f>
        <v>0.49960000000000004</v>
      </c>
      <c r="M331" s="16">
        <f>CurrentMtgRatesDataTable8[[#This Row],[Servicing Spread Non-Zero]]-L330</f>
        <v>0</v>
      </c>
      <c r="N331" s="16">
        <f>IF(J330&lt;&gt;0,CurrentMtgRatesDataTable8[[#This Row],[Rate]]-C330,N330)</f>
        <v>5.9999999999999609E-2</v>
      </c>
    </row>
    <row r="332" spans="1:14">
      <c r="A332" s="8" t="s">
        <v>1684</v>
      </c>
      <c r="B332" s="11">
        <v>5.492</v>
      </c>
      <c r="C332" s="13">
        <v>5.9349999999999996</v>
      </c>
      <c r="D332" s="14">
        <f t="shared" si="35"/>
        <v>6</v>
      </c>
      <c r="E332" s="14">
        <f t="shared" si="36"/>
        <v>0.2</v>
      </c>
      <c r="F332" s="14">
        <f t="shared" si="37"/>
        <v>4</v>
      </c>
      <c r="G332" s="14">
        <f t="shared" si="38"/>
        <v>4.3142000000000005</v>
      </c>
      <c r="H332" s="14">
        <f t="shared" si="39"/>
        <v>0.8</v>
      </c>
      <c r="I332" s="14">
        <f t="shared" si="40"/>
        <v>0</v>
      </c>
      <c r="J332" s="14">
        <f t="shared" si="41"/>
        <v>0</v>
      </c>
      <c r="K332" s="15">
        <f>IF(CurrentMtgRatesDataTable8[[#This Row],[WA CC]]&lt;&gt;0,C331-CurrentMtgRatesDataTable8[[#This Row],[WA CC]],0)</f>
        <v>0</v>
      </c>
      <c r="L332" s="16">
        <f>IF(CurrentMtgRatesDataTable8[[#This Row],[Servicing Spread]]&lt;=0,L331,CurrentMtgRatesDataTable8[[#This Row],[Servicing Spread]])</f>
        <v>0.49960000000000004</v>
      </c>
      <c r="M332" s="16">
        <f>CurrentMtgRatesDataTable8[[#This Row],[Servicing Spread Non-Zero]]-L331</f>
        <v>0</v>
      </c>
      <c r="N332" s="16">
        <f>IF(J331&lt;&gt;0,CurrentMtgRatesDataTable8[[#This Row],[Rate]]-C331,N331)</f>
        <v>5.9999999999999609E-2</v>
      </c>
    </row>
    <row r="333" spans="1:14">
      <c r="A333" s="8" t="s">
        <v>1685</v>
      </c>
      <c r="B333" s="11">
        <v>5.5250000000000004</v>
      </c>
      <c r="C333" s="13">
        <v>5.9349999999999996</v>
      </c>
      <c r="D333" s="14">
        <f t="shared" si="35"/>
        <v>7</v>
      </c>
      <c r="E333" s="14">
        <f t="shared" si="36"/>
        <v>0.2</v>
      </c>
      <c r="F333" s="14">
        <f t="shared" si="37"/>
        <v>5</v>
      </c>
      <c r="G333" s="14">
        <f t="shared" si="38"/>
        <v>5.4192000000000009</v>
      </c>
      <c r="H333" s="14">
        <f t="shared" si="39"/>
        <v>1</v>
      </c>
      <c r="I333" s="14">
        <f t="shared" si="40"/>
        <v>1</v>
      </c>
      <c r="J333" s="14">
        <f t="shared" si="41"/>
        <v>5.4192000000000009</v>
      </c>
      <c r="K333" s="15">
        <f>IF(CurrentMtgRatesDataTable8[[#This Row],[WA CC]]&lt;&gt;0,C332-CurrentMtgRatesDataTable8[[#This Row],[WA CC]],0)</f>
        <v>0.5157999999999987</v>
      </c>
      <c r="L333" s="16">
        <f>IF(CurrentMtgRatesDataTable8[[#This Row],[Servicing Spread]]&lt;=0,L332,CurrentMtgRatesDataTable8[[#This Row],[Servicing Spread]])</f>
        <v>0.5157999999999987</v>
      </c>
      <c r="M333" s="16">
        <f>CurrentMtgRatesDataTable8[[#This Row],[Servicing Spread Non-Zero]]-L332</f>
        <v>1.619999999999866E-2</v>
      </c>
      <c r="N333" s="16">
        <f>IF(J332&lt;&gt;0,CurrentMtgRatesDataTable8[[#This Row],[Rate]]-C332,N332)</f>
        <v>5.9999999999999609E-2</v>
      </c>
    </row>
    <row r="334" spans="1:14">
      <c r="A334" s="8" t="s">
        <v>1686</v>
      </c>
      <c r="B334" s="11">
        <v>5.5019999999999998</v>
      </c>
      <c r="C334" s="13">
        <v>5.9649999999999999</v>
      </c>
      <c r="D334" s="14">
        <f t="shared" si="35"/>
        <v>1</v>
      </c>
      <c r="E334" s="14">
        <f t="shared" si="36"/>
        <v>0.2</v>
      </c>
      <c r="F334" s="14">
        <f t="shared" si="37"/>
        <v>1</v>
      </c>
      <c r="G334" s="14">
        <f t="shared" si="38"/>
        <v>1.1004</v>
      </c>
      <c r="H334" s="14">
        <f t="shared" si="39"/>
        <v>0.2</v>
      </c>
      <c r="I334" s="14">
        <f t="shared" si="40"/>
        <v>0</v>
      </c>
      <c r="J334" s="14">
        <f t="shared" si="41"/>
        <v>0</v>
      </c>
      <c r="K334" s="15">
        <f>IF(CurrentMtgRatesDataTable8[[#This Row],[WA CC]]&lt;&gt;0,C333-CurrentMtgRatesDataTable8[[#This Row],[WA CC]],0)</f>
        <v>0</v>
      </c>
      <c r="L334" s="16">
        <f>IF(CurrentMtgRatesDataTable8[[#This Row],[Servicing Spread]]&lt;=0,L333,CurrentMtgRatesDataTable8[[#This Row],[Servicing Spread]])</f>
        <v>0.5157999999999987</v>
      </c>
      <c r="M334" s="16">
        <f>CurrentMtgRatesDataTable8[[#This Row],[Servicing Spread Non-Zero]]-L333</f>
        <v>0</v>
      </c>
      <c r="N334" s="16">
        <f>IF(J333&lt;&gt;0,CurrentMtgRatesDataTable8[[#This Row],[Rate]]-C333,N333)</f>
        <v>3.0000000000000249E-2</v>
      </c>
    </row>
    <row r="335" spans="1:14">
      <c r="A335" s="8" t="s">
        <v>1687</v>
      </c>
      <c r="B335" s="11">
        <v>5.5380000000000003</v>
      </c>
      <c r="C335" s="13">
        <v>5.9649999999999999</v>
      </c>
      <c r="D335" s="14">
        <f t="shared" si="35"/>
        <v>5</v>
      </c>
      <c r="E335" s="14">
        <f t="shared" si="36"/>
        <v>0.2</v>
      </c>
      <c r="F335" s="14">
        <f t="shared" si="37"/>
        <v>2</v>
      </c>
      <c r="G335" s="14">
        <f t="shared" si="38"/>
        <v>2.2080000000000002</v>
      </c>
      <c r="H335" s="14">
        <f t="shared" si="39"/>
        <v>0.4</v>
      </c>
      <c r="I335" s="14">
        <f t="shared" si="40"/>
        <v>0</v>
      </c>
      <c r="J335" s="14">
        <f t="shared" si="41"/>
        <v>0</v>
      </c>
      <c r="K335" s="15">
        <f>IF(CurrentMtgRatesDataTable8[[#This Row],[WA CC]]&lt;&gt;0,C334-CurrentMtgRatesDataTable8[[#This Row],[WA CC]],0)</f>
        <v>0</v>
      </c>
      <c r="L335" s="16">
        <f>IF(CurrentMtgRatesDataTable8[[#This Row],[Servicing Spread]]&lt;=0,L334,CurrentMtgRatesDataTable8[[#This Row],[Servicing Spread]])</f>
        <v>0.5157999999999987</v>
      </c>
      <c r="M335" s="16">
        <f>CurrentMtgRatesDataTable8[[#This Row],[Servicing Spread Non-Zero]]-L334</f>
        <v>0</v>
      </c>
      <c r="N335" s="16">
        <f>IF(J334&lt;&gt;0,CurrentMtgRatesDataTable8[[#This Row],[Rate]]-C334,N334)</f>
        <v>3.0000000000000249E-2</v>
      </c>
    </row>
    <row r="336" spans="1:14">
      <c r="A336" s="8" t="s">
        <v>1688</v>
      </c>
      <c r="B336" s="11">
        <v>5.5060000000000002</v>
      </c>
      <c r="C336" s="13">
        <v>5.9649999999999999</v>
      </c>
      <c r="D336" s="14">
        <f t="shared" si="35"/>
        <v>6</v>
      </c>
      <c r="E336" s="14">
        <f t="shared" si="36"/>
        <v>0.2</v>
      </c>
      <c r="F336" s="14">
        <f t="shared" si="37"/>
        <v>3</v>
      </c>
      <c r="G336" s="14">
        <f t="shared" si="38"/>
        <v>3.3092000000000006</v>
      </c>
      <c r="H336" s="14">
        <f t="shared" si="39"/>
        <v>0.60000000000000009</v>
      </c>
      <c r="I336" s="14">
        <f t="shared" si="40"/>
        <v>0</v>
      </c>
      <c r="J336" s="14">
        <f t="shared" si="41"/>
        <v>0</v>
      </c>
      <c r="K336" s="15">
        <f>IF(CurrentMtgRatesDataTable8[[#This Row],[WA CC]]&lt;&gt;0,C335-CurrentMtgRatesDataTable8[[#This Row],[WA CC]],0)</f>
        <v>0</v>
      </c>
      <c r="L336" s="16">
        <f>IF(CurrentMtgRatesDataTable8[[#This Row],[Servicing Spread]]&lt;=0,L335,CurrentMtgRatesDataTable8[[#This Row],[Servicing Spread]])</f>
        <v>0.5157999999999987</v>
      </c>
      <c r="M336" s="16">
        <f>CurrentMtgRatesDataTable8[[#This Row],[Servicing Spread Non-Zero]]-L335</f>
        <v>0</v>
      </c>
      <c r="N336" s="16">
        <f>IF(J335&lt;&gt;0,CurrentMtgRatesDataTable8[[#This Row],[Rate]]-C335,N335)</f>
        <v>3.0000000000000249E-2</v>
      </c>
    </row>
    <row r="337" spans="1:14">
      <c r="A337" s="8" t="s">
        <v>1689</v>
      </c>
      <c r="B337" s="11">
        <v>5.4610000000000003</v>
      </c>
      <c r="C337" s="13">
        <v>5.9649999999999999</v>
      </c>
      <c r="D337" s="14">
        <f t="shared" si="35"/>
        <v>7</v>
      </c>
      <c r="E337" s="14">
        <f t="shared" si="36"/>
        <v>0.2</v>
      </c>
      <c r="F337" s="14">
        <f t="shared" si="37"/>
        <v>4</v>
      </c>
      <c r="G337" s="14">
        <f t="shared" si="38"/>
        <v>4.4014000000000006</v>
      </c>
      <c r="H337" s="14">
        <f t="shared" si="39"/>
        <v>0.8</v>
      </c>
      <c r="I337" s="14">
        <f t="shared" si="40"/>
        <v>1</v>
      </c>
      <c r="J337" s="14">
        <f t="shared" si="41"/>
        <v>5.5017500000000004</v>
      </c>
      <c r="K337" s="15">
        <f>IF(CurrentMtgRatesDataTable8[[#This Row],[WA CC]]&lt;&gt;0,C336-CurrentMtgRatesDataTable8[[#This Row],[WA CC]],0)</f>
        <v>0.4632499999999995</v>
      </c>
      <c r="L337" s="16">
        <f>IF(CurrentMtgRatesDataTable8[[#This Row],[Servicing Spread]]&lt;=0,L336,CurrentMtgRatesDataTable8[[#This Row],[Servicing Spread]])</f>
        <v>0.4632499999999995</v>
      </c>
      <c r="M337" s="16">
        <f>CurrentMtgRatesDataTable8[[#This Row],[Servicing Spread Non-Zero]]-L336</f>
        <v>-5.2549999999999208E-2</v>
      </c>
      <c r="N337" s="16">
        <f>IF(J336&lt;&gt;0,CurrentMtgRatesDataTable8[[#This Row],[Rate]]-C336,N336)</f>
        <v>3.0000000000000249E-2</v>
      </c>
    </row>
    <row r="338" spans="1:14">
      <c r="A338" s="8" t="s">
        <v>1690</v>
      </c>
      <c r="B338" s="11">
        <v>5.3879999999999999</v>
      </c>
      <c r="C338" s="13">
        <v>5.8549999999999995</v>
      </c>
      <c r="D338" s="14">
        <f t="shared" si="35"/>
        <v>1</v>
      </c>
      <c r="E338" s="14">
        <f t="shared" si="36"/>
        <v>0.2</v>
      </c>
      <c r="F338" s="14">
        <f t="shared" si="37"/>
        <v>1</v>
      </c>
      <c r="G338" s="14">
        <f t="shared" si="38"/>
        <v>1.0776000000000001</v>
      </c>
      <c r="H338" s="14">
        <f t="shared" si="39"/>
        <v>0.2</v>
      </c>
      <c r="I338" s="14">
        <f t="shared" si="40"/>
        <v>0</v>
      </c>
      <c r="J338" s="14">
        <f t="shared" si="41"/>
        <v>0</v>
      </c>
      <c r="K338" s="15">
        <f>IF(CurrentMtgRatesDataTable8[[#This Row],[WA CC]]&lt;&gt;0,C337-CurrentMtgRatesDataTable8[[#This Row],[WA CC]],0)</f>
        <v>0</v>
      </c>
      <c r="L338" s="16">
        <f>IF(CurrentMtgRatesDataTable8[[#This Row],[Servicing Spread]]&lt;=0,L337,CurrentMtgRatesDataTable8[[#This Row],[Servicing Spread]])</f>
        <v>0.4632499999999995</v>
      </c>
      <c r="M338" s="16">
        <f>CurrentMtgRatesDataTable8[[#This Row],[Servicing Spread Non-Zero]]-L337</f>
        <v>0</v>
      </c>
      <c r="N338" s="16">
        <f>IF(J337&lt;&gt;0,CurrentMtgRatesDataTable8[[#This Row],[Rate]]-C337,N337)</f>
        <v>-0.11000000000000032</v>
      </c>
    </row>
    <row r="339" spans="1:14">
      <c r="A339" s="8" t="s">
        <v>1691</v>
      </c>
      <c r="B339" s="11">
        <v>5.3369999999999997</v>
      </c>
      <c r="C339" s="13">
        <v>5.8549999999999995</v>
      </c>
      <c r="D339" s="14">
        <f t="shared" si="35"/>
        <v>2</v>
      </c>
      <c r="E339" s="14">
        <f t="shared" si="36"/>
        <v>0.2</v>
      </c>
      <c r="F339" s="14">
        <f t="shared" si="37"/>
        <v>2</v>
      </c>
      <c r="G339" s="14">
        <f t="shared" si="38"/>
        <v>2.145</v>
      </c>
      <c r="H339" s="14">
        <f t="shared" si="39"/>
        <v>0.4</v>
      </c>
      <c r="I339" s="14">
        <f t="shared" si="40"/>
        <v>0</v>
      </c>
      <c r="J339" s="14">
        <f t="shared" si="41"/>
        <v>0</v>
      </c>
      <c r="K339" s="15">
        <f>IF(CurrentMtgRatesDataTable8[[#This Row],[WA CC]]&lt;&gt;0,C338-CurrentMtgRatesDataTable8[[#This Row],[WA CC]],0)</f>
        <v>0</v>
      </c>
      <c r="L339" s="16">
        <f>IF(CurrentMtgRatesDataTable8[[#This Row],[Servicing Spread]]&lt;=0,L338,CurrentMtgRatesDataTable8[[#This Row],[Servicing Spread]])</f>
        <v>0.4632499999999995</v>
      </c>
      <c r="M339" s="16">
        <f>CurrentMtgRatesDataTable8[[#This Row],[Servicing Spread Non-Zero]]-L338</f>
        <v>0</v>
      </c>
      <c r="N339" s="16">
        <f>IF(J338&lt;&gt;0,CurrentMtgRatesDataTable8[[#This Row],[Rate]]-C338,N338)</f>
        <v>-0.11000000000000032</v>
      </c>
    </row>
    <row r="340" spans="1:14">
      <c r="A340" s="8" t="s">
        <v>1692</v>
      </c>
      <c r="B340" s="11">
        <v>5.3529999999999998</v>
      </c>
      <c r="C340" s="13">
        <v>5.8549999999999995</v>
      </c>
      <c r="D340" s="14">
        <f t="shared" si="35"/>
        <v>5</v>
      </c>
      <c r="E340" s="14">
        <f t="shared" si="36"/>
        <v>0.2</v>
      </c>
      <c r="F340" s="14">
        <f t="shared" si="37"/>
        <v>3</v>
      </c>
      <c r="G340" s="14">
        <f t="shared" si="38"/>
        <v>3.2156000000000002</v>
      </c>
      <c r="H340" s="14">
        <f t="shared" si="39"/>
        <v>0.60000000000000009</v>
      </c>
      <c r="I340" s="14">
        <f t="shared" si="40"/>
        <v>0</v>
      </c>
      <c r="J340" s="14">
        <f t="shared" si="41"/>
        <v>0</v>
      </c>
      <c r="K340" s="15">
        <f>IF(CurrentMtgRatesDataTable8[[#This Row],[WA CC]]&lt;&gt;0,C339-CurrentMtgRatesDataTable8[[#This Row],[WA CC]],0)</f>
        <v>0</v>
      </c>
      <c r="L340" s="16">
        <f>IF(CurrentMtgRatesDataTable8[[#This Row],[Servicing Spread]]&lt;=0,L339,CurrentMtgRatesDataTable8[[#This Row],[Servicing Spread]])</f>
        <v>0.4632499999999995</v>
      </c>
      <c r="M340" s="16">
        <f>CurrentMtgRatesDataTable8[[#This Row],[Servicing Spread Non-Zero]]-L339</f>
        <v>0</v>
      </c>
      <c r="N340" s="16">
        <f>IF(J339&lt;&gt;0,CurrentMtgRatesDataTable8[[#This Row],[Rate]]-C339,N339)</f>
        <v>-0.11000000000000032</v>
      </c>
    </row>
    <row r="341" spans="1:14">
      <c r="A341" s="8" t="s">
        <v>1693</v>
      </c>
      <c r="B341" s="11">
        <v>5.3810000000000002</v>
      </c>
      <c r="C341" s="13">
        <v>5.8549999999999995</v>
      </c>
      <c r="D341" s="14">
        <f t="shared" si="35"/>
        <v>6</v>
      </c>
      <c r="E341" s="14">
        <f t="shared" si="36"/>
        <v>0.2</v>
      </c>
      <c r="F341" s="14">
        <f t="shared" si="37"/>
        <v>4</v>
      </c>
      <c r="G341" s="14">
        <f t="shared" si="38"/>
        <v>4.2918000000000003</v>
      </c>
      <c r="H341" s="14">
        <f t="shared" si="39"/>
        <v>0.8</v>
      </c>
      <c r="I341" s="14">
        <f t="shared" si="40"/>
        <v>0</v>
      </c>
      <c r="J341" s="14">
        <f t="shared" si="41"/>
        <v>0</v>
      </c>
      <c r="K341" s="15">
        <f>IF(CurrentMtgRatesDataTable8[[#This Row],[WA CC]]&lt;&gt;0,C340-CurrentMtgRatesDataTable8[[#This Row],[WA CC]],0)</f>
        <v>0</v>
      </c>
      <c r="L341" s="16">
        <f>IF(CurrentMtgRatesDataTable8[[#This Row],[Servicing Spread]]&lt;=0,L340,CurrentMtgRatesDataTable8[[#This Row],[Servicing Spread]])</f>
        <v>0.4632499999999995</v>
      </c>
      <c r="M341" s="16">
        <f>CurrentMtgRatesDataTable8[[#This Row],[Servicing Spread Non-Zero]]-L340</f>
        <v>0</v>
      </c>
      <c r="N341" s="16">
        <f>IF(J340&lt;&gt;0,CurrentMtgRatesDataTable8[[#This Row],[Rate]]-C340,N340)</f>
        <v>-0.11000000000000032</v>
      </c>
    </row>
    <row r="342" spans="1:14">
      <c r="A342" s="8" t="s">
        <v>1694</v>
      </c>
      <c r="B342" s="11">
        <v>5.351</v>
      </c>
      <c r="C342" s="13">
        <v>5.8549999999999995</v>
      </c>
      <c r="D342" s="14">
        <f t="shared" si="35"/>
        <v>7</v>
      </c>
      <c r="E342" s="14">
        <f t="shared" si="36"/>
        <v>0.2</v>
      </c>
      <c r="F342" s="14">
        <f t="shared" si="37"/>
        <v>5</v>
      </c>
      <c r="G342" s="14">
        <f t="shared" si="38"/>
        <v>5.3620000000000001</v>
      </c>
      <c r="H342" s="14">
        <f t="shared" si="39"/>
        <v>1</v>
      </c>
      <c r="I342" s="14">
        <f t="shared" si="40"/>
        <v>1</v>
      </c>
      <c r="J342" s="14">
        <f t="shared" si="41"/>
        <v>5.3620000000000001</v>
      </c>
      <c r="K342" s="15">
        <f>IF(CurrentMtgRatesDataTable8[[#This Row],[WA CC]]&lt;&gt;0,C341-CurrentMtgRatesDataTable8[[#This Row],[WA CC]],0)</f>
        <v>0.49299999999999944</v>
      </c>
      <c r="L342" s="16">
        <f>IF(CurrentMtgRatesDataTable8[[#This Row],[Servicing Spread]]&lt;=0,L341,CurrentMtgRatesDataTable8[[#This Row],[Servicing Spread]])</f>
        <v>0.49299999999999944</v>
      </c>
      <c r="M342" s="16">
        <f>CurrentMtgRatesDataTable8[[#This Row],[Servicing Spread Non-Zero]]-L341</f>
        <v>2.9749999999999943E-2</v>
      </c>
      <c r="N342" s="16">
        <f>IF(J341&lt;&gt;0,CurrentMtgRatesDataTable8[[#This Row],[Rate]]-C341,N341)</f>
        <v>-0.11000000000000032</v>
      </c>
    </row>
    <row r="343" spans="1:14">
      <c r="A343" s="8" t="s">
        <v>1695</v>
      </c>
      <c r="B343" s="11">
        <v>5.3760000000000003</v>
      </c>
      <c r="C343" s="13">
        <v>5.835</v>
      </c>
      <c r="D343" s="14">
        <f t="shared" si="35"/>
        <v>1</v>
      </c>
      <c r="E343" s="14">
        <f t="shared" si="36"/>
        <v>0.2</v>
      </c>
      <c r="F343" s="14">
        <f t="shared" si="37"/>
        <v>1</v>
      </c>
      <c r="G343" s="14">
        <f t="shared" si="38"/>
        <v>1.0752000000000002</v>
      </c>
      <c r="H343" s="14">
        <f t="shared" si="39"/>
        <v>0.2</v>
      </c>
      <c r="I343" s="14">
        <f t="shared" si="40"/>
        <v>0</v>
      </c>
      <c r="J343" s="14">
        <f t="shared" si="41"/>
        <v>0</v>
      </c>
      <c r="K343" s="15">
        <f>IF(CurrentMtgRatesDataTable8[[#This Row],[WA CC]]&lt;&gt;0,C342-CurrentMtgRatesDataTable8[[#This Row],[WA CC]],0)</f>
        <v>0</v>
      </c>
      <c r="L343" s="16">
        <f>IF(CurrentMtgRatesDataTable8[[#This Row],[Servicing Spread]]&lt;=0,L342,CurrentMtgRatesDataTable8[[#This Row],[Servicing Spread]])</f>
        <v>0.49299999999999944</v>
      </c>
      <c r="M343" s="16">
        <f>CurrentMtgRatesDataTable8[[#This Row],[Servicing Spread Non-Zero]]-L342</f>
        <v>0</v>
      </c>
      <c r="N343" s="16">
        <f>IF(J342&lt;&gt;0,CurrentMtgRatesDataTable8[[#This Row],[Rate]]-C342,N342)</f>
        <v>-1.9999999999999574E-2</v>
      </c>
    </row>
    <row r="344" spans="1:14">
      <c r="A344" s="8" t="s">
        <v>1696</v>
      </c>
      <c r="B344" s="11">
        <v>5.4139999999999997</v>
      </c>
      <c r="C344" s="13">
        <v>5.835</v>
      </c>
      <c r="D344" s="14">
        <f t="shared" si="35"/>
        <v>2</v>
      </c>
      <c r="E344" s="14">
        <f t="shared" si="36"/>
        <v>0.2</v>
      </c>
      <c r="F344" s="14">
        <f t="shared" si="37"/>
        <v>2</v>
      </c>
      <c r="G344" s="14">
        <f t="shared" si="38"/>
        <v>2.1580000000000004</v>
      </c>
      <c r="H344" s="14">
        <f t="shared" si="39"/>
        <v>0.4</v>
      </c>
      <c r="I344" s="14">
        <f t="shared" si="40"/>
        <v>0</v>
      </c>
      <c r="J344" s="14">
        <f t="shared" si="41"/>
        <v>0</v>
      </c>
      <c r="K344" s="15">
        <f>IF(CurrentMtgRatesDataTable8[[#This Row],[WA CC]]&lt;&gt;0,C343-CurrentMtgRatesDataTable8[[#This Row],[WA CC]],0)</f>
        <v>0</v>
      </c>
      <c r="L344" s="16">
        <f>IF(CurrentMtgRatesDataTable8[[#This Row],[Servicing Spread]]&lt;=0,L343,CurrentMtgRatesDataTable8[[#This Row],[Servicing Spread]])</f>
        <v>0.49299999999999944</v>
      </c>
      <c r="M344" s="16">
        <f>CurrentMtgRatesDataTable8[[#This Row],[Servicing Spread Non-Zero]]-L343</f>
        <v>0</v>
      </c>
      <c r="N344" s="16">
        <f>IF(J343&lt;&gt;0,CurrentMtgRatesDataTable8[[#This Row],[Rate]]-C343,N343)</f>
        <v>-1.9999999999999574E-2</v>
      </c>
    </row>
    <row r="345" spans="1:14">
      <c r="A345" s="8" t="s">
        <v>1697</v>
      </c>
      <c r="B345" s="11">
        <v>5.3959999999999999</v>
      </c>
      <c r="C345" s="13">
        <v>5.835</v>
      </c>
      <c r="D345" s="14">
        <f t="shared" si="35"/>
        <v>5</v>
      </c>
      <c r="E345" s="14">
        <f t="shared" si="36"/>
        <v>0.2</v>
      </c>
      <c r="F345" s="14">
        <f t="shared" si="37"/>
        <v>3</v>
      </c>
      <c r="G345" s="14">
        <f t="shared" si="38"/>
        <v>3.2372000000000005</v>
      </c>
      <c r="H345" s="14">
        <f t="shared" si="39"/>
        <v>0.60000000000000009</v>
      </c>
      <c r="I345" s="14">
        <f t="shared" si="40"/>
        <v>0</v>
      </c>
      <c r="J345" s="14">
        <f t="shared" si="41"/>
        <v>0</v>
      </c>
      <c r="K345" s="15">
        <f>IF(CurrentMtgRatesDataTable8[[#This Row],[WA CC]]&lt;&gt;0,C344-CurrentMtgRatesDataTable8[[#This Row],[WA CC]],0)</f>
        <v>0</v>
      </c>
      <c r="L345" s="16">
        <f>IF(CurrentMtgRatesDataTable8[[#This Row],[Servicing Spread]]&lt;=0,L344,CurrentMtgRatesDataTable8[[#This Row],[Servicing Spread]])</f>
        <v>0.49299999999999944</v>
      </c>
      <c r="M345" s="16">
        <f>CurrentMtgRatesDataTable8[[#This Row],[Servicing Spread Non-Zero]]-L344</f>
        <v>0</v>
      </c>
      <c r="N345" s="16">
        <f>IF(J344&lt;&gt;0,CurrentMtgRatesDataTable8[[#This Row],[Rate]]-C344,N344)</f>
        <v>-1.9999999999999574E-2</v>
      </c>
    </row>
    <row r="346" spans="1:14">
      <c r="A346" s="8" t="s">
        <v>1698</v>
      </c>
      <c r="B346" s="11">
        <v>5.3049999999999997</v>
      </c>
      <c r="C346" s="13">
        <v>5.835</v>
      </c>
      <c r="D346" s="14">
        <f t="shared" si="35"/>
        <v>6</v>
      </c>
      <c r="E346" s="14">
        <f t="shared" si="36"/>
        <v>0.2</v>
      </c>
      <c r="F346" s="14">
        <f t="shared" si="37"/>
        <v>4</v>
      </c>
      <c r="G346" s="14">
        <f t="shared" si="38"/>
        <v>4.2982000000000005</v>
      </c>
      <c r="H346" s="14">
        <f t="shared" si="39"/>
        <v>0.8</v>
      </c>
      <c r="I346" s="14">
        <f t="shared" si="40"/>
        <v>0</v>
      </c>
      <c r="J346" s="14">
        <f t="shared" si="41"/>
        <v>0</v>
      </c>
      <c r="K346" s="15">
        <f>IF(CurrentMtgRatesDataTable8[[#This Row],[WA CC]]&lt;&gt;0,C345-CurrentMtgRatesDataTable8[[#This Row],[WA CC]],0)</f>
        <v>0</v>
      </c>
      <c r="L346" s="16">
        <f>IF(CurrentMtgRatesDataTable8[[#This Row],[Servicing Spread]]&lt;=0,L345,CurrentMtgRatesDataTable8[[#This Row],[Servicing Spread]])</f>
        <v>0.49299999999999944</v>
      </c>
      <c r="M346" s="16">
        <f>CurrentMtgRatesDataTable8[[#This Row],[Servicing Spread Non-Zero]]-L345</f>
        <v>0</v>
      </c>
      <c r="N346" s="16">
        <f>IF(J345&lt;&gt;0,CurrentMtgRatesDataTable8[[#This Row],[Rate]]-C345,N345)</f>
        <v>-1.9999999999999574E-2</v>
      </c>
    </row>
    <row r="347" spans="1:14">
      <c r="A347" s="8" t="s">
        <v>1699</v>
      </c>
      <c r="B347" s="11">
        <v>5.2960000000000003</v>
      </c>
      <c r="C347" s="13">
        <v>5.835</v>
      </c>
      <c r="D347" s="14">
        <f t="shared" si="35"/>
        <v>7</v>
      </c>
      <c r="E347" s="14">
        <f t="shared" si="36"/>
        <v>0.2</v>
      </c>
      <c r="F347" s="14">
        <f t="shared" si="37"/>
        <v>5</v>
      </c>
      <c r="G347" s="14">
        <f t="shared" si="38"/>
        <v>5.3574000000000002</v>
      </c>
      <c r="H347" s="14">
        <f t="shared" si="39"/>
        <v>1</v>
      </c>
      <c r="I347" s="14">
        <f t="shared" si="40"/>
        <v>1</v>
      </c>
      <c r="J347" s="14">
        <f t="shared" si="41"/>
        <v>5.3574000000000002</v>
      </c>
      <c r="K347" s="15">
        <f>IF(CurrentMtgRatesDataTable8[[#This Row],[WA CC]]&lt;&gt;0,C346-CurrentMtgRatesDataTable8[[#This Row],[WA CC]],0)</f>
        <v>0.4775999999999998</v>
      </c>
      <c r="L347" s="16">
        <f>IF(CurrentMtgRatesDataTable8[[#This Row],[Servicing Spread]]&lt;=0,L346,CurrentMtgRatesDataTable8[[#This Row],[Servicing Spread]])</f>
        <v>0.4775999999999998</v>
      </c>
      <c r="M347" s="16">
        <f>CurrentMtgRatesDataTable8[[#This Row],[Servicing Spread Non-Zero]]-L346</f>
        <v>-1.5399999999999636E-2</v>
      </c>
      <c r="N347" s="16">
        <f>IF(J346&lt;&gt;0,CurrentMtgRatesDataTable8[[#This Row],[Rate]]-C346,N346)</f>
        <v>-1.9999999999999574E-2</v>
      </c>
    </row>
    <row r="348" spans="1:14">
      <c r="A348" s="8" t="s">
        <v>1700</v>
      </c>
      <c r="B348" s="11">
        <v>5.2789999999999999</v>
      </c>
      <c r="C348" s="13">
        <v>5.6749999999999998</v>
      </c>
      <c r="D348" s="14">
        <f t="shared" si="35"/>
        <v>1</v>
      </c>
      <c r="E348" s="14">
        <f t="shared" si="36"/>
        <v>0.2</v>
      </c>
      <c r="F348" s="14">
        <f t="shared" si="37"/>
        <v>1</v>
      </c>
      <c r="G348" s="14">
        <f t="shared" si="38"/>
        <v>1.0558000000000001</v>
      </c>
      <c r="H348" s="14">
        <f t="shared" si="39"/>
        <v>0.2</v>
      </c>
      <c r="I348" s="14">
        <f t="shared" si="40"/>
        <v>0</v>
      </c>
      <c r="J348" s="14">
        <f t="shared" si="41"/>
        <v>0</v>
      </c>
      <c r="K348" s="15">
        <f>IF(CurrentMtgRatesDataTable8[[#This Row],[WA CC]]&lt;&gt;0,C347-CurrentMtgRatesDataTable8[[#This Row],[WA CC]],0)</f>
        <v>0</v>
      </c>
      <c r="L348" s="16">
        <f>IF(CurrentMtgRatesDataTable8[[#This Row],[Servicing Spread]]&lt;=0,L347,CurrentMtgRatesDataTable8[[#This Row],[Servicing Spread]])</f>
        <v>0.4775999999999998</v>
      </c>
      <c r="M348" s="16">
        <f>CurrentMtgRatesDataTable8[[#This Row],[Servicing Spread Non-Zero]]-L347</f>
        <v>0</v>
      </c>
      <c r="N348" s="16">
        <f>IF(J347&lt;&gt;0,CurrentMtgRatesDataTable8[[#This Row],[Rate]]-C347,N347)</f>
        <v>-0.16000000000000014</v>
      </c>
    </row>
    <row r="349" spans="1:14">
      <c r="A349" s="8" t="s">
        <v>1701</v>
      </c>
      <c r="B349" s="11">
        <v>5.2060000000000004</v>
      </c>
      <c r="C349" s="13">
        <v>5.6749999999999998</v>
      </c>
      <c r="D349" s="14">
        <f t="shared" si="35"/>
        <v>2</v>
      </c>
      <c r="E349" s="14">
        <f t="shared" si="36"/>
        <v>0.2</v>
      </c>
      <c r="F349" s="14">
        <f t="shared" si="37"/>
        <v>2</v>
      </c>
      <c r="G349" s="14">
        <f t="shared" si="38"/>
        <v>2.0970000000000004</v>
      </c>
      <c r="H349" s="14">
        <f t="shared" si="39"/>
        <v>0.4</v>
      </c>
      <c r="I349" s="14">
        <f t="shared" si="40"/>
        <v>0</v>
      </c>
      <c r="J349" s="14">
        <f t="shared" si="41"/>
        <v>0</v>
      </c>
      <c r="K349" s="15">
        <f>IF(CurrentMtgRatesDataTable8[[#This Row],[WA CC]]&lt;&gt;0,C348-CurrentMtgRatesDataTable8[[#This Row],[WA CC]],0)</f>
        <v>0</v>
      </c>
      <c r="L349" s="16">
        <f>IF(CurrentMtgRatesDataTable8[[#This Row],[Servicing Spread]]&lt;=0,L348,CurrentMtgRatesDataTable8[[#This Row],[Servicing Spread]])</f>
        <v>0.4775999999999998</v>
      </c>
      <c r="M349" s="16">
        <f>CurrentMtgRatesDataTable8[[#This Row],[Servicing Spread Non-Zero]]-L348</f>
        <v>0</v>
      </c>
      <c r="N349" s="16">
        <f>IF(J348&lt;&gt;0,CurrentMtgRatesDataTable8[[#This Row],[Rate]]-C348,N348)</f>
        <v>-0.16000000000000014</v>
      </c>
    </row>
    <row r="350" spans="1:14">
      <c r="A350" s="8" t="s">
        <v>1702</v>
      </c>
      <c r="B350" s="11">
        <v>5.1950000000000003</v>
      </c>
      <c r="C350" s="13">
        <v>5.6749999999999998</v>
      </c>
      <c r="D350" s="14">
        <f t="shared" si="35"/>
        <v>5</v>
      </c>
      <c r="E350" s="14">
        <f t="shared" si="36"/>
        <v>0.2</v>
      </c>
      <c r="F350" s="14">
        <f t="shared" si="37"/>
        <v>3</v>
      </c>
      <c r="G350" s="14">
        <f t="shared" si="38"/>
        <v>3.1360000000000006</v>
      </c>
      <c r="H350" s="14">
        <f t="shared" si="39"/>
        <v>0.60000000000000009</v>
      </c>
      <c r="I350" s="14">
        <f t="shared" si="40"/>
        <v>0</v>
      </c>
      <c r="J350" s="14">
        <f t="shared" si="41"/>
        <v>0</v>
      </c>
      <c r="K350" s="15">
        <f>IF(CurrentMtgRatesDataTable8[[#This Row],[WA CC]]&lt;&gt;0,C349-CurrentMtgRatesDataTable8[[#This Row],[WA CC]],0)</f>
        <v>0</v>
      </c>
      <c r="L350" s="16">
        <f>IF(CurrentMtgRatesDataTable8[[#This Row],[Servicing Spread]]&lt;=0,L349,CurrentMtgRatesDataTable8[[#This Row],[Servicing Spread]])</f>
        <v>0.4775999999999998</v>
      </c>
      <c r="M350" s="16">
        <f>CurrentMtgRatesDataTable8[[#This Row],[Servicing Spread Non-Zero]]-L349</f>
        <v>0</v>
      </c>
      <c r="N350" s="16">
        <f>IF(J349&lt;&gt;0,CurrentMtgRatesDataTable8[[#This Row],[Rate]]-C349,N349)</f>
        <v>-0.16000000000000014</v>
      </c>
    </row>
    <row r="351" spans="1:14">
      <c r="A351" s="8" t="s">
        <v>1703</v>
      </c>
      <c r="B351" s="11">
        <v>5.1230000000000002</v>
      </c>
      <c r="C351" s="13">
        <v>5.6749999999999998</v>
      </c>
      <c r="D351" s="14">
        <f t="shared" si="35"/>
        <v>6</v>
      </c>
      <c r="E351" s="14">
        <f t="shared" si="36"/>
        <v>0.2</v>
      </c>
      <c r="F351" s="14">
        <f t="shared" si="37"/>
        <v>4</v>
      </c>
      <c r="G351" s="14">
        <f t="shared" si="38"/>
        <v>4.1606000000000005</v>
      </c>
      <c r="H351" s="14">
        <f t="shared" si="39"/>
        <v>0.8</v>
      </c>
      <c r="I351" s="14">
        <f t="shared" si="40"/>
        <v>0</v>
      </c>
      <c r="J351" s="14">
        <f t="shared" si="41"/>
        <v>0</v>
      </c>
      <c r="K351" s="15">
        <f>IF(CurrentMtgRatesDataTable8[[#This Row],[WA CC]]&lt;&gt;0,C350-CurrentMtgRatesDataTable8[[#This Row],[WA CC]],0)</f>
        <v>0</v>
      </c>
      <c r="L351" s="16">
        <f>IF(CurrentMtgRatesDataTable8[[#This Row],[Servicing Spread]]&lt;=0,L350,CurrentMtgRatesDataTable8[[#This Row],[Servicing Spread]])</f>
        <v>0.4775999999999998</v>
      </c>
      <c r="M351" s="16">
        <f>CurrentMtgRatesDataTable8[[#This Row],[Servicing Spread Non-Zero]]-L350</f>
        <v>0</v>
      </c>
      <c r="N351" s="16">
        <f>IF(J350&lt;&gt;0,CurrentMtgRatesDataTable8[[#This Row],[Rate]]-C350,N350)</f>
        <v>-0.16000000000000014</v>
      </c>
    </row>
    <row r="352" spans="1:14">
      <c r="A352" s="8" t="s">
        <v>1704</v>
      </c>
      <c r="B352" s="11">
        <v>5.1260000000000003</v>
      </c>
      <c r="C352" s="13">
        <v>5.6749999999999998</v>
      </c>
      <c r="D352" s="14">
        <f t="shared" si="35"/>
        <v>7</v>
      </c>
      <c r="E352" s="14">
        <f t="shared" si="36"/>
        <v>0.2</v>
      </c>
      <c r="F352" s="14">
        <f t="shared" si="37"/>
        <v>5</v>
      </c>
      <c r="G352" s="14">
        <f t="shared" si="38"/>
        <v>5.1858000000000004</v>
      </c>
      <c r="H352" s="14">
        <f t="shared" si="39"/>
        <v>1</v>
      </c>
      <c r="I352" s="14">
        <f t="shared" si="40"/>
        <v>1</v>
      </c>
      <c r="J352" s="14">
        <f t="shared" si="41"/>
        <v>5.1858000000000004</v>
      </c>
      <c r="K352" s="15">
        <f>IF(CurrentMtgRatesDataTable8[[#This Row],[WA CC]]&lt;&gt;0,C351-CurrentMtgRatesDataTable8[[#This Row],[WA CC]],0)</f>
        <v>0.48919999999999941</v>
      </c>
      <c r="L352" s="16">
        <f>IF(CurrentMtgRatesDataTable8[[#This Row],[Servicing Spread]]&lt;=0,L351,CurrentMtgRatesDataTable8[[#This Row],[Servicing Spread]])</f>
        <v>0.48919999999999941</v>
      </c>
      <c r="M352" s="16">
        <f>CurrentMtgRatesDataTable8[[#This Row],[Servicing Spread Non-Zero]]-L351</f>
        <v>1.1599999999999611E-2</v>
      </c>
      <c r="N352" s="16">
        <f>IF(J351&lt;&gt;0,CurrentMtgRatesDataTable8[[#This Row],[Rate]]-C351,N351)</f>
        <v>-0.16000000000000014</v>
      </c>
    </row>
    <row r="353" spans="1:14">
      <c r="A353" s="8" t="s">
        <v>1705</v>
      </c>
      <c r="B353" s="11">
        <v>5.2229999999999999</v>
      </c>
      <c r="C353" s="13">
        <v>5.6800000000000006</v>
      </c>
      <c r="D353" s="14">
        <f t="shared" si="35"/>
        <v>1</v>
      </c>
      <c r="E353" s="14">
        <f t="shared" si="36"/>
        <v>0.2</v>
      </c>
      <c r="F353" s="14">
        <f t="shared" si="37"/>
        <v>1</v>
      </c>
      <c r="G353" s="14">
        <f t="shared" si="38"/>
        <v>1.0446</v>
      </c>
      <c r="H353" s="14">
        <f t="shared" si="39"/>
        <v>0.2</v>
      </c>
      <c r="I353" s="14">
        <f t="shared" si="40"/>
        <v>0</v>
      </c>
      <c r="J353" s="14">
        <f t="shared" si="41"/>
        <v>0</v>
      </c>
      <c r="K353" s="15">
        <f>IF(CurrentMtgRatesDataTable8[[#This Row],[WA CC]]&lt;&gt;0,C352-CurrentMtgRatesDataTable8[[#This Row],[WA CC]],0)</f>
        <v>0</v>
      </c>
      <c r="L353" s="16">
        <f>IF(CurrentMtgRatesDataTable8[[#This Row],[Servicing Spread]]&lt;=0,L352,CurrentMtgRatesDataTable8[[#This Row],[Servicing Spread]])</f>
        <v>0.48919999999999941</v>
      </c>
      <c r="M353" s="16">
        <f>CurrentMtgRatesDataTable8[[#This Row],[Servicing Spread Non-Zero]]-L352</f>
        <v>0</v>
      </c>
      <c r="N353" s="16">
        <f>IF(J352&lt;&gt;0,CurrentMtgRatesDataTable8[[#This Row],[Rate]]-C352,N352)</f>
        <v>5.0000000000007816E-3</v>
      </c>
    </row>
    <row r="354" spans="1:14">
      <c r="A354" s="8" t="s">
        <v>1706</v>
      </c>
      <c r="B354" s="11">
        <v>5.173</v>
      </c>
      <c r="C354" s="13">
        <v>5.6800000000000006</v>
      </c>
      <c r="D354" s="14">
        <f t="shared" si="35"/>
        <v>2</v>
      </c>
      <c r="E354" s="14">
        <f t="shared" si="36"/>
        <v>0.2</v>
      </c>
      <c r="F354" s="14">
        <f t="shared" si="37"/>
        <v>2</v>
      </c>
      <c r="G354" s="14">
        <f t="shared" si="38"/>
        <v>2.0792000000000002</v>
      </c>
      <c r="H354" s="14">
        <f t="shared" si="39"/>
        <v>0.4</v>
      </c>
      <c r="I354" s="14">
        <f t="shared" si="40"/>
        <v>0</v>
      </c>
      <c r="J354" s="14">
        <f t="shared" si="41"/>
        <v>0</v>
      </c>
      <c r="K354" s="15">
        <f>IF(CurrentMtgRatesDataTable8[[#This Row],[WA CC]]&lt;&gt;0,C353-CurrentMtgRatesDataTable8[[#This Row],[WA CC]],0)</f>
        <v>0</v>
      </c>
      <c r="L354" s="16">
        <f>IF(CurrentMtgRatesDataTable8[[#This Row],[Servicing Spread]]&lt;=0,L353,CurrentMtgRatesDataTable8[[#This Row],[Servicing Spread]])</f>
        <v>0.48919999999999941</v>
      </c>
      <c r="M354" s="16">
        <f>CurrentMtgRatesDataTable8[[#This Row],[Servicing Spread Non-Zero]]-L353</f>
        <v>0</v>
      </c>
      <c r="N354" s="16">
        <f>IF(J353&lt;&gt;0,CurrentMtgRatesDataTable8[[#This Row],[Rate]]-C353,N353)</f>
        <v>5.0000000000007816E-3</v>
      </c>
    </row>
    <row r="355" spans="1:14">
      <c r="A355" s="8" t="s">
        <v>1707</v>
      </c>
      <c r="B355" s="11">
        <v>5.1829999999999998</v>
      </c>
      <c r="C355" s="13">
        <v>5.6800000000000006</v>
      </c>
      <c r="D355" s="14">
        <f t="shared" si="35"/>
        <v>5</v>
      </c>
      <c r="E355" s="14">
        <f t="shared" si="36"/>
        <v>0.2</v>
      </c>
      <c r="F355" s="14">
        <f t="shared" si="37"/>
        <v>3</v>
      </c>
      <c r="G355" s="14">
        <f t="shared" si="38"/>
        <v>3.1158000000000001</v>
      </c>
      <c r="H355" s="14">
        <f t="shared" si="39"/>
        <v>0.60000000000000009</v>
      </c>
      <c r="I355" s="14">
        <f t="shared" si="40"/>
        <v>0</v>
      </c>
      <c r="J355" s="14">
        <f t="shared" si="41"/>
        <v>0</v>
      </c>
      <c r="K355" s="15">
        <f>IF(CurrentMtgRatesDataTable8[[#This Row],[WA CC]]&lt;&gt;0,C354-CurrentMtgRatesDataTable8[[#This Row],[WA CC]],0)</f>
        <v>0</v>
      </c>
      <c r="L355" s="16">
        <f>IF(CurrentMtgRatesDataTable8[[#This Row],[Servicing Spread]]&lt;=0,L354,CurrentMtgRatesDataTable8[[#This Row],[Servicing Spread]])</f>
        <v>0.48919999999999941</v>
      </c>
      <c r="M355" s="16">
        <f>CurrentMtgRatesDataTable8[[#This Row],[Servicing Spread Non-Zero]]-L354</f>
        <v>0</v>
      </c>
      <c r="N355" s="16">
        <f>IF(J354&lt;&gt;0,CurrentMtgRatesDataTable8[[#This Row],[Rate]]-C354,N354)</f>
        <v>5.0000000000007816E-3</v>
      </c>
    </row>
    <row r="356" spans="1:14">
      <c r="A356" s="8" t="s">
        <v>1708</v>
      </c>
      <c r="B356" s="11">
        <v>5.1840000000000002</v>
      </c>
      <c r="C356" s="13">
        <v>5.6800000000000006</v>
      </c>
      <c r="D356" s="14">
        <f t="shared" si="35"/>
        <v>6</v>
      </c>
      <c r="E356" s="14">
        <f t="shared" si="36"/>
        <v>0.2</v>
      </c>
      <c r="F356" s="14">
        <f t="shared" si="37"/>
        <v>4</v>
      </c>
      <c r="G356" s="14">
        <f t="shared" si="38"/>
        <v>4.1526000000000005</v>
      </c>
      <c r="H356" s="14">
        <f t="shared" si="39"/>
        <v>0.8</v>
      </c>
      <c r="I356" s="14">
        <f t="shared" si="40"/>
        <v>0</v>
      </c>
      <c r="J356" s="14">
        <f t="shared" si="41"/>
        <v>0</v>
      </c>
      <c r="K356" s="15">
        <f>IF(CurrentMtgRatesDataTable8[[#This Row],[WA CC]]&lt;&gt;0,C355-CurrentMtgRatesDataTable8[[#This Row],[WA CC]],0)</f>
        <v>0</v>
      </c>
      <c r="L356" s="16">
        <f>IF(CurrentMtgRatesDataTable8[[#This Row],[Servicing Spread]]&lt;=0,L355,CurrentMtgRatesDataTable8[[#This Row],[Servicing Spread]])</f>
        <v>0.48919999999999941</v>
      </c>
      <c r="M356" s="16">
        <f>CurrentMtgRatesDataTable8[[#This Row],[Servicing Spread Non-Zero]]-L355</f>
        <v>0</v>
      </c>
      <c r="N356" s="16">
        <f>IF(J355&lt;&gt;0,CurrentMtgRatesDataTable8[[#This Row],[Rate]]-C355,N355)</f>
        <v>5.0000000000007816E-3</v>
      </c>
    </row>
    <row r="357" spans="1:14">
      <c r="A357" s="8" t="s">
        <v>1709</v>
      </c>
      <c r="B357" s="11">
        <v>5.1609999999999996</v>
      </c>
      <c r="C357" s="13">
        <v>5.6800000000000006</v>
      </c>
      <c r="D357" s="14">
        <f t="shared" si="35"/>
        <v>7</v>
      </c>
      <c r="E357" s="14">
        <f t="shared" si="36"/>
        <v>0.2</v>
      </c>
      <c r="F357" s="14">
        <f t="shared" si="37"/>
        <v>5</v>
      </c>
      <c r="G357" s="14">
        <f t="shared" si="38"/>
        <v>5.184800000000001</v>
      </c>
      <c r="H357" s="14">
        <f t="shared" si="39"/>
        <v>1</v>
      </c>
      <c r="I357" s="14">
        <f t="shared" si="40"/>
        <v>1</v>
      </c>
      <c r="J357" s="14">
        <f t="shared" si="41"/>
        <v>5.184800000000001</v>
      </c>
      <c r="K357" s="15">
        <f>IF(CurrentMtgRatesDataTable8[[#This Row],[WA CC]]&lt;&gt;0,C356-CurrentMtgRatesDataTable8[[#This Row],[WA CC]],0)</f>
        <v>0.49519999999999964</v>
      </c>
      <c r="L357" s="16">
        <f>IF(CurrentMtgRatesDataTable8[[#This Row],[Servicing Spread]]&lt;=0,L356,CurrentMtgRatesDataTable8[[#This Row],[Servicing Spread]])</f>
        <v>0.49519999999999964</v>
      </c>
      <c r="M357" s="16">
        <f>CurrentMtgRatesDataTable8[[#This Row],[Servicing Spread Non-Zero]]-L356</f>
        <v>6.0000000000002274E-3</v>
      </c>
      <c r="N357" s="16">
        <f>IF(J356&lt;&gt;0,CurrentMtgRatesDataTable8[[#This Row],[Rate]]-C356,N356)</f>
        <v>5.0000000000007816E-3</v>
      </c>
    </row>
    <row r="358" spans="1:14">
      <c r="A358" s="8" t="s">
        <v>1710</v>
      </c>
      <c r="B358" s="11">
        <v>5.0910000000000002</v>
      </c>
      <c r="C358" s="13">
        <v>5.65</v>
      </c>
      <c r="D358" s="14">
        <f t="shared" si="35"/>
        <v>1</v>
      </c>
      <c r="E358" s="14">
        <f t="shared" si="36"/>
        <v>0.2</v>
      </c>
      <c r="F358" s="14">
        <f t="shared" si="37"/>
        <v>1</v>
      </c>
      <c r="G358" s="14">
        <f t="shared" si="38"/>
        <v>1.0182</v>
      </c>
      <c r="H358" s="14">
        <f t="shared" si="39"/>
        <v>0.2</v>
      </c>
      <c r="I358" s="14">
        <f t="shared" si="40"/>
        <v>0</v>
      </c>
      <c r="J358" s="14">
        <f t="shared" si="41"/>
        <v>0</v>
      </c>
      <c r="K358" s="15">
        <f>IF(CurrentMtgRatesDataTable8[[#This Row],[WA CC]]&lt;&gt;0,C357-CurrentMtgRatesDataTable8[[#This Row],[WA CC]],0)</f>
        <v>0</v>
      </c>
      <c r="L358" s="16">
        <f>IF(CurrentMtgRatesDataTable8[[#This Row],[Servicing Spread]]&lt;=0,L357,CurrentMtgRatesDataTable8[[#This Row],[Servicing Spread]])</f>
        <v>0.49519999999999964</v>
      </c>
      <c r="M358" s="16">
        <f>CurrentMtgRatesDataTable8[[#This Row],[Servicing Spread Non-Zero]]-L357</f>
        <v>0</v>
      </c>
      <c r="N358" s="16">
        <f>IF(J357&lt;&gt;0,CurrentMtgRatesDataTable8[[#This Row],[Rate]]-C357,N357)</f>
        <v>-3.0000000000000249E-2</v>
      </c>
    </row>
    <row r="359" spans="1:14">
      <c r="A359" s="8" t="s">
        <v>1711</v>
      </c>
      <c r="B359" s="11">
        <v>5.1390000000000002</v>
      </c>
      <c r="C359" s="13">
        <v>5.65</v>
      </c>
      <c r="D359" s="14">
        <f t="shared" si="35"/>
        <v>2</v>
      </c>
      <c r="E359" s="14">
        <f t="shared" si="36"/>
        <v>0.2</v>
      </c>
      <c r="F359" s="14">
        <f t="shared" si="37"/>
        <v>2</v>
      </c>
      <c r="G359" s="14">
        <f t="shared" si="38"/>
        <v>2.0460000000000003</v>
      </c>
      <c r="H359" s="14">
        <f t="shared" si="39"/>
        <v>0.4</v>
      </c>
      <c r="I359" s="14">
        <f t="shared" si="40"/>
        <v>0</v>
      </c>
      <c r="J359" s="14">
        <f t="shared" si="41"/>
        <v>0</v>
      </c>
      <c r="K359" s="15">
        <f>IF(CurrentMtgRatesDataTable8[[#This Row],[WA CC]]&lt;&gt;0,C358-CurrentMtgRatesDataTable8[[#This Row],[WA CC]],0)</f>
        <v>0</v>
      </c>
      <c r="L359" s="16">
        <f>IF(CurrentMtgRatesDataTable8[[#This Row],[Servicing Spread]]&lt;=0,L358,CurrentMtgRatesDataTable8[[#This Row],[Servicing Spread]])</f>
        <v>0.49519999999999964</v>
      </c>
      <c r="M359" s="16">
        <f>CurrentMtgRatesDataTable8[[#This Row],[Servicing Spread Non-Zero]]-L358</f>
        <v>0</v>
      </c>
      <c r="N359" s="16">
        <f>IF(J358&lt;&gt;0,CurrentMtgRatesDataTable8[[#This Row],[Rate]]-C358,N358)</f>
        <v>-3.0000000000000249E-2</v>
      </c>
    </row>
    <row r="360" spans="1:14">
      <c r="A360" s="8" t="s">
        <v>1712</v>
      </c>
      <c r="B360" s="11">
        <v>5.1319999999999997</v>
      </c>
      <c r="C360" s="13">
        <v>5.65</v>
      </c>
      <c r="D360" s="14">
        <f t="shared" si="35"/>
        <v>5</v>
      </c>
      <c r="E360" s="14">
        <f t="shared" si="36"/>
        <v>0.2</v>
      </c>
      <c r="F360" s="14">
        <f t="shared" si="37"/>
        <v>3</v>
      </c>
      <c r="G360" s="14">
        <f t="shared" si="38"/>
        <v>3.0724</v>
      </c>
      <c r="H360" s="14">
        <f t="shared" si="39"/>
        <v>0.60000000000000009</v>
      </c>
      <c r="I360" s="14">
        <f t="shared" si="40"/>
        <v>0</v>
      </c>
      <c r="J360" s="14">
        <f t="shared" si="41"/>
        <v>0</v>
      </c>
      <c r="K360" s="15">
        <f>IF(CurrentMtgRatesDataTable8[[#This Row],[WA CC]]&lt;&gt;0,C359-CurrentMtgRatesDataTable8[[#This Row],[WA CC]],0)</f>
        <v>0</v>
      </c>
      <c r="L360" s="16">
        <f>IF(CurrentMtgRatesDataTable8[[#This Row],[Servicing Spread]]&lt;=0,L359,CurrentMtgRatesDataTable8[[#This Row],[Servicing Spread]])</f>
        <v>0.49519999999999964</v>
      </c>
      <c r="M360" s="16">
        <f>CurrentMtgRatesDataTable8[[#This Row],[Servicing Spread Non-Zero]]-L359</f>
        <v>0</v>
      </c>
      <c r="N360" s="16">
        <f>IF(J359&lt;&gt;0,CurrentMtgRatesDataTable8[[#This Row],[Rate]]-C359,N359)</f>
        <v>-3.0000000000000249E-2</v>
      </c>
    </row>
    <row r="361" spans="1:14">
      <c r="A361" s="8" t="s">
        <v>1713</v>
      </c>
      <c r="B361" s="11">
        <v>5.1420000000000003</v>
      </c>
      <c r="C361" s="13">
        <v>5.65</v>
      </c>
      <c r="D361" s="14">
        <f t="shared" si="35"/>
        <v>6</v>
      </c>
      <c r="E361" s="14">
        <f t="shared" si="36"/>
        <v>0.2</v>
      </c>
      <c r="F361" s="14">
        <f t="shared" si="37"/>
        <v>4</v>
      </c>
      <c r="G361" s="14">
        <f t="shared" si="38"/>
        <v>4.1008000000000004</v>
      </c>
      <c r="H361" s="14">
        <f t="shared" si="39"/>
        <v>0.8</v>
      </c>
      <c r="I361" s="14">
        <f t="shared" si="40"/>
        <v>0</v>
      </c>
      <c r="J361" s="14">
        <f t="shared" si="41"/>
        <v>0</v>
      </c>
      <c r="K361" s="15">
        <f>IF(CurrentMtgRatesDataTable8[[#This Row],[WA CC]]&lt;&gt;0,C360-CurrentMtgRatesDataTable8[[#This Row],[WA CC]],0)</f>
        <v>0</v>
      </c>
      <c r="L361" s="16">
        <f>IF(CurrentMtgRatesDataTable8[[#This Row],[Servicing Spread]]&lt;=0,L360,CurrentMtgRatesDataTable8[[#This Row],[Servicing Spread]])</f>
        <v>0.49519999999999964</v>
      </c>
      <c r="M361" s="16">
        <f>CurrentMtgRatesDataTable8[[#This Row],[Servicing Spread Non-Zero]]-L360</f>
        <v>0</v>
      </c>
      <c r="N361" s="16">
        <f>IF(J360&lt;&gt;0,CurrentMtgRatesDataTable8[[#This Row],[Rate]]-C360,N360)</f>
        <v>-3.0000000000000249E-2</v>
      </c>
    </row>
    <row r="362" spans="1:14">
      <c r="A362" s="8" t="s">
        <v>1714</v>
      </c>
      <c r="B362" s="11">
        <v>5.1100000000000003</v>
      </c>
      <c r="C362" s="13">
        <v>5.65</v>
      </c>
      <c r="D362" s="14">
        <f t="shared" si="35"/>
        <v>7</v>
      </c>
      <c r="E362" s="14">
        <f t="shared" si="36"/>
        <v>0.2</v>
      </c>
      <c r="F362" s="14">
        <f t="shared" si="37"/>
        <v>5</v>
      </c>
      <c r="G362" s="14">
        <f t="shared" si="38"/>
        <v>5.1228000000000007</v>
      </c>
      <c r="H362" s="14">
        <f t="shared" si="39"/>
        <v>1</v>
      </c>
      <c r="I362" s="14">
        <f t="shared" si="40"/>
        <v>1</v>
      </c>
      <c r="J362" s="14">
        <f t="shared" si="41"/>
        <v>5.1228000000000007</v>
      </c>
      <c r="K362" s="15">
        <f>IF(CurrentMtgRatesDataTable8[[#This Row],[WA CC]]&lt;&gt;0,C361-CurrentMtgRatesDataTable8[[#This Row],[WA CC]],0)</f>
        <v>0.52719999999999967</v>
      </c>
      <c r="L362" s="16">
        <f>IF(CurrentMtgRatesDataTable8[[#This Row],[Servicing Spread]]&lt;=0,L361,CurrentMtgRatesDataTable8[[#This Row],[Servicing Spread]])</f>
        <v>0.52719999999999967</v>
      </c>
      <c r="M362" s="16">
        <f>CurrentMtgRatesDataTable8[[#This Row],[Servicing Spread Non-Zero]]-L361</f>
        <v>3.2000000000000028E-2</v>
      </c>
      <c r="N362" s="16">
        <f>IF(J361&lt;&gt;0,CurrentMtgRatesDataTable8[[#This Row],[Rate]]-C361,N361)</f>
        <v>-3.0000000000000249E-2</v>
      </c>
    </row>
    <row r="363" spans="1:14">
      <c r="A363" s="8" t="s">
        <v>1715</v>
      </c>
      <c r="B363" s="11">
        <v>5.056</v>
      </c>
      <c r="C363" s="13">
        <v>5.6449999999999996</v>
      </c>
      <c r="D363" s="14">
        <f t="shared" si="35"/>
        <v>1</v>
      </c>
      <c r="E363" s="14">
        <f t="shared" si="36"/>
        <v>0.2</v>
      </c>
      <c r="F363" s="14">
        <f t="shared" si="37"/>
        <v>1</v>
      </c>
      <c r="G363" s="14">
        <f t="shared" si="38"/>
        <v>1.0112000000000001</v>
      </c>
      <c r="H363" s="14">
        <f t="shared" si="39"/>
        <v>0.2</v>
      </c>
      <c r="I363" s="14">
        <f t="shared" si="40"/>
        <v>0</v>
      </c>
      <c r="J363" s="14">
        <f t="shared" si="41"/>
        <v>0</v>
      </c>
      <c r="K363" s="15">
        <f>IF(CurrentMtgRatesDataTable8[[#This Row],[WA CC]]&lt;&gt;0,C362-CurrentMtgRatesDataTable8[[#This Row],[WA CC]],0)</f>
        <v>0</v>
      </c>
      <c r="L363" s="16">
        <f>IF(CurrentMtgRatesDataTable8[[#This Row],[Servicing Spread]]&lt;=0,L362,CurrentMtgRatesDataTable8[[#This Row],[Servicing Spread]])</f>
        <v>0.52719999999999967</v>
      </c>
      <c r="M363" s="16">
        <f>CurrentMtgRatesDataTable8[[#This Row],[Servicing Spread Non-Zero]]-L362</f>
        <v>0</v>
      </c>
      <c r="N363" s="16">
        <f>IF(J362&lt;&gt;0,CurrentMtgRatesDataTable8[[#This Row],[Rate]]-C362,N362)</f>
        <v>-5.0000000000007816E-3</v>
      </c>
    </row>
    <row r="364" spans="1:14">
      <c r="A364" s="8" t="s">
        <v>1716</v>
      </c>
      <c r="B364" s="11">
        <v>5.1680000000000001</v>
      </c>
      <c r="C364" s="13">
        <v>5.6449999999999996</v>
      </c>
      <c r="D364" s="14">
        <f t="shared" si="35"/>
        <v>2</v>
      </c>
      <c r="E364" s="14">
        <f t="shared" si="36"/>
        <v>0.2</v>
      </c>
      <c r="F364" s="14">
        <f t="shared" si="37"/>
        <v>2</v>
      </c>
      <c r="G364" s="14">
        <f t="shared" si="38"/>
        <v>2.0448000000000004</v>
      </c>
      <c r="H364" s="14">
        <f t="shared" si="39"/>
        <v>0.4</v>
      </c>
      <c r="I364" s="14">
        <f t="shared" si="40"/>
        <v>0</v>
      </c>
      <c r="J364" s="14">
        <f t="shared" si="41"/>
        <v>0</v>
      </c>
      <c r="K364" s="15">
        <f>IF(CurrentMtgRatesDataTable8[[#This Row],[WA CC]]&lt;&gt;0,C363-CurrentMtgRatesDataTable8[[#This Row],[WA CC]],0)</f>
        <v>0</v>
      </c>
      <c r="L364" s="16">
        <f>IF(CurrentMtgRatesDataTable8[[#This Row],[Servicing Spread]]&lt;=0,L363,CurrentMtgRatesDataTable8[[#This Row],[Servicing Spread]])</f>
        <v>0.52719999999999967</v>
      </c>
      <c r="M364" s="16">
        <f>CurrentMtgRatesDataTable8[[#This Row],[Servicing Spread Non-Zero]]-L363</f>
        <v>0</v>
      </c>
      <c r="N364" s="16">
        <f>IF(J363&lt;&gt;0,CurrentMtgRatesDataTable8[[#This Row],[Rate]]-C363,N363)</f>
        <v>-5.0000000000007816E-3</v>
      </c>
    </row>
    <row r="365" spans="1:14">
      <c r="A365" s="8" t="s">
        <v>1717</v>
      </c>
      <c r="B365" s="11">
        <v>5.1909999999999998</v>
      </c>
      <c r="C365" s="13">
        <v>5.6449999999999996</v>
      </c>
      <c r="D365" s="14">
        <f t="shared" si="35"/>
        <v>5</v>
      </c>
      <c r="E365" s="14">
        <f t="shared" si="36"/>
        <v>0.2</v>
      </c>
      <c r="F365" s="14">
        <f t="shared" si="37"/>
        <v>3</v>
      </c>
      <c r="G365" s="14">
        <f t="shared" si="38"/>
        <v>3.0830000000000002</v>
      </c>
      <c r="H365" s="14">
        <f t="shared" si="39"/>
        <v>0.60000000000000009</v>
      </c>
      <c r="I365" s="14">
        <f t="shared" si="40"/>
        <v>0</v>
      </c>
      <c r="J365" s="14">
        <f t="shared" si="41"/>
        <v>0</v>
      </c>
      <c r="K365" s="15">
        <f>IF(CurrentMtgRatesDataTable8[[#This Row],[WA CC]]&lt;&gt;0,C364-CurrentMtgRatesDataTable8[[#This Row],[WA CC]],0)</f>
        <v>0</v>
      </c>
      <c r="L365" s="16">
        <f>IF(CurrentMtgRatesDataTable8[[#This Row],[Servicing Spread]]&lt;=0,L364,CurrentMtgRatesDataTable8[[#This Row],[Servicing Spread]])</f>
        <v>0.52719999999999967</v>
      </c>
      <c r="M365" s="16">
        <f>CurrentMtgRatesDataTable8[[#This Row],[Servicing Spread Non-Zero]]-L364</f>
        <v>0</v>
      </c>
      <c r="N365" s="16">
        <f>IF(J364&lt;&gt;0,CurrentMtgRatesDataTable8[[#This Row],[Rate]]-C364,N364)</f>
        <v>-5.0000000000007816E-3</v>
      </c>
    </row>
    <row r="366" spans="1:14">
      <c r="A366" s="8" t="s">
        <v>1718</v>
      </c>
      <c r="B366" s="11">
        <v>5.1369999999999996</v>
      </c>
      <c r="C366" s="13">
        <v>5.6449999999999996</v>
      </c>
      <c r="D366" s="14">
        <f t="shared" si="35"/>
        <v>6</v>
      </c>
      <c r="E366" s="14">
        <f t="shared" si="36"/>
        <v>0.2</v>
      </c>
      <c r="F366" s="14">
        <f t="shared" si="37"/>
        <v>4</v>
      </c>
      <c r="G366" s="14">
        <f t="shared" si="38"/>
        <v>4.1104000000000003</v>
      </c>
      <c r="H366" s="14">
        <f t="shared" si="39"/>
        <v>0.8</v>
      </c>
      <c r="I366" s="14">
        <f t="shared" si="40"/>
        <v>0</v>
      </c>
      <c r="J366" s="14">
        <f t="shared" si="41"/>
        <v>0</v>
      </c>
      <c r="K366" s="15">
        <f>IF(CurrentMtgRatesDataTable8[[#This Row],[WA CC]]&lt;&gt;0,C365-CurrentMtgRatesDataTable8[[#This Row],[WA CC]],0)</f>
        <v>0</v>
      </c>
      <c r="L366" s="16">
        <f>IF(CurrentMtgRatesDataTable8[[#This Row],[Servicing Spread]]&lt;=0,L365,CurrentMtgRatesDataTable8[[#This Row],[Servicing Spread]])</f>
        <v>0.52719999999999967</v>
      </c>
      <c r="M366" s="16">
        <f>CurrentMtgRatesDataTable8[[#This Row],[Servicing Spread Non-Zero]]-L365</f>
        <v>0</v>
      </c>
      <c r="N366" s="16">
        <f>IF(J365&lt;&gt;0,CurrentMtgRatesDataTable8[[#This Row],[Rate]]-C365,N365)</f>
        <v>-5.0000000000007816E-3</v>
      </c>
    </row>
    <row r="367" spans="1:14">
      <c r="A367" s="8" t="s">
        <v>1719</v>
      </c>
      <c r="B367" s="11">
        <v>5.1479999999999997</v>
      </c>
      <c r="C367" s="13">
        <v>5.6449999999999996</v>
      </c>
      <c r="D367" s="14">
        <f t="shared" si="35"/>
        <v>7</v>
      </c>
      <c r="E367" s="14">
        <f t="shared" si="36"/>
        <v>0.2</v>
      </c>
      <c r="F367" s="14">
        <f t="shared" si="37"/>
        <v>5</v>
      </c>
      <c r="G367" s="14">
        <f t="shared" si="38"/>
        <v>5.1400000000000006</v>
      </c>
      <c r="H367" s="14">
        <f t="shared" si="39"/>
        <v>1</v>
      </c>
      <c r="I367" s="14">
        <f t="shared" si="40"/>
        <v>1</v>
      </c>
      <c r="J367" s="14">
        <f t="shared" si="41"/>
        <v>5.1400000000000006</v>
      </c>
      <c r="K367" s="15">
        <f>IF(CurrentMtgRatesDataTable8[[#This Row],[WA CC]]&lt;&gt;0,C366-CurrentMtgRatesDataTable8[[#This Row],[WA CC]],0)</f>
        <v>0.50499999999999901</v>
      </c>
      <c r="L367" s="16">
        <f>IF(CurrentMtgRatesDataTable8[[#This Row],[Servicing Spread]]&lt;=0,L366,CurrentMtgRatesDataTable8[[#This Row],[Servicing Spread]])</f>
        <v>0.50499999999999901</v>
      </c>
      <c r="M367" s="16">
        <f>CurrentMtgRatesDataTable8[[#This Row],[Servicing Spread Non-Zero]]-L366</f>
        <v>-2.2200000000000664E-2</v>
      </c>
      <c r="N367" s="16">
        <f>IF(J366&lt;&gt;0,CurrentMtgRatesDataTable8[[#This Row],[Rate]]-C366,N366)</f>
        <v>-5.0000000000007816E-3</v>
      </c>
    </row>
    <row r="368" spans="1:14">
      <c r="A368" s="8" t="s">
        <v>1720</v>
      </c>
      <c r="B368" s="11">
        <v>5.1230000000000002</v>
      </c>
      <c r="C368" s="13">
        <v>5.6349999999999998</v>
      </c>
      <c r="D368" s="14">
        <f t="shared" si="35"/>
        <v>1</v>
      </c>
      <c r="E368" s="14">
        <f t="shared" si="36"/>
        <v>0.2</v>
      </c>
      <c r="F368" s="14">
        <f t="shared" si="37"/>
        <v>1</v>
      </c>
      <c r="G368" s="14">
        <f t="shared" si="38"/>
        <v>1.0246000000000002</v>
      </c>
      <c r="H368" s="14">
        <f t="shared" si="39"/>
        <v>0.2</v>
      </c>
      <c r="I368" s="14">
        <f t="shared" si="40"/>
        <v>0</v>
      </c>
      <c r="J368" s="14">
        <f t="shared" si="41"/>
        <v>0</v>
      </c>
      <c r="K368" s="15">
        <f>IF(CurrentMtgRatesDataTable8[[#This Row],[WA CC]]&lt;&gt;0,C367-CurrentMtgRatesDataTable8[[#This Row],[WA CC]],0)</f>
        <v>0</v>
      </c>
      <c r="L368" s="16">
        <f>IF(CurrentMtgRatesDataTable8[[#This Row],[Servicing Spread]]&lt;=0,L367,CurrentMtgRatesDataTable8[[#This Row],[Servicing Spread]])</f>
        <v>0.50499999999999901</v>
      </c>
      <c r="M368" s="16">
        <f>CurrentMtgRatesDataTable8[[#This Row],[Servicing Spread Non-Zero]]-L367</f>
        <v>0</v>
      </c>
      <c r="N368" s="16">
        <f>IF(J367&lt;&gt;0,CurrentMtgRatesDataTable8[[#This Row],[Rate]]-C367,N367)</f>
        <v>-9.9999999999997868E-3</v>
      </c>
    </row>
    <row r="369" spans="1:14">
      <c r="A369" s="8" t="s">
        <v>1721</v>
      </c>
      <c r="B369" s="11">
        <v>5.0869999999999997</v>
      </c>
      <c r="C369" s="13">
        <v>5.6349999999999998</v>
      </c>
      <c r="D369" s="14">
        <f t="shared" si="35"/>
        <v>2</v>
      </c>
      <c r="E369" s="14">
        <f t="shared" si="36"/>
        <v>0.2</v>
      </c>
      <c r="F369" s="14">
        <f t="shared" si="37"/>
        <v>2</v>
      </c>
      <c r="G369" s="14">
        <f t="shared" si="38"/>
        <v>2.0420000000000003</v>
      </c>
      <c r="H369" s="14">
        <f t="shared" si="39"/>
        <v>0.4</v>
      </c>
      <c r="I369" s="14">
        <f t="shared" si="40"/>
        <v>0</v>
      </c>
      <c r="J369" s="14">
        <f t="shared" si="41"/>
        <v>0</v>
      </c>
      <c r="K369" s="15">
        <f>IF(CurrentMtgRatesDataTable8[[#This Row],[WA CC]]&lt;&gt;0,C368-CurrentMtgRatesDataTable8[[#This Row],[WA CC]],0)</f>
        <v>0</v>
      </c>
      <c r="L369" s="16">
        <f>IF(CurrentMtgRatesDataTable8[[#This Row],[Servicing Spread]]&lt;=0,L368,CurrentMtgRatesDataTable8[[#This Row],[Servicing Spread]])</f>
        <v>0.50499999999999901</v>
      </c>
      <c r="M369" s="16">
        <f>CurrentMtgRatesDataTable8[[#This Row],[Servicing Spread Non-Zero]]-L368</f>
        <v>0</v>
      </c>
      <c r="N369" s="16">
        <f>IF(J368&lt;&gt;0,CurrentMtgRatesDataTable8[[#This Row],[Rate]]-C368,N368)</f>
        <v>-9.9999999999997868E-3</v>
      </c>
    </row>
    <row r="370" spans="1:14">
      <c r="A370" s="8" t="s">
        <v>1722</v>
      </c>
      <c r="B370" s="11">
        <v>5.07</v>
      </c>
      <c r="C370" s="13">
        <v>5.6349999999999998</v>
      </c>
      <c r="D370" s="14">
        <f t="shared" si="35"/>
        <v>5</v>
      </c>
      <c r="E370" s="14">
        <f t="shared" si="36"/>
        <v>0.2</v>
      </c>
      <c r="F370" s="14">
        <f t="shared" si="37"/>
        <v>3</v>
      </c>
      <c r="G370" s="14">
        <f t="shared" si="38"/>
        <v>3.056</v>
      </c>
      <c r="H370" s="14">
        <f t="shared" si="39"/>
        <v>0.60000000000000009</v>
      </c>
      <c r="I370" s="14">
        <f t="shared" si="40"/>
        <v>0</v>
      </c>
      <c r="J370" s="14">
        <f t="shared" si="41"/>
        <v>0</v>
      </c>
      <c r="K370" s="15">
        <f>IF(CurrentMtgRatesDataTable8[[#This Row],[WA CC]]&lt;&gt;0,C369-CurrentMtgRatesDataTable8[[#This Row],[WA CC]],0)</f>
        <v>0</v>
      </c>
      <c r="L370" s="16">
        <f>IF(CurrentMtgRatesDataTable8[[#This Row],[Servicing Spread]]&lt;=0,L369,CurrentMtgRatesDataTable8[[#This Row],[Servicing Spread]])</f>
        <v>0.50499999999999901</v>
      </c>
      <c r="M370" s="16">
        <f>CurrentMtgRatesDataTable8[[#This Row],[Servicing Spread Non-Zero]]-L369</f>
        <v>0</v>
      </c>
      <c r="N370" s="16">
        <f>IF(J369&lt;&gt;0,CurrentMtgRatesDataTable8[[#This Row],[Rate]]-C369,N369)</f>
        <v>-9.9999999999997868E-3</v>
      </c>
    </row>
    <row r="371" spans="1:14">
      <c r="A371" s="8" t="s">
        <v>1723</v>
      </c>
      <c r="B371" s="11">
        <v>5.0810000000000004</v>
      </c>
      <c r="C371" s="13">
        <v>5.6349999999999998</v>
      </c>
      <c r="D371" s="14">
        <f t="shared" si="35"/>
        <v>6</v>
      </c>
      <c r="E371" s="14">
        <f t="shared" si="36"/>
        <v>0.2</v>
      </c>
      <c r="F371" s="14">
        <f t="shared" si="37"/>
        <v>4</v>
      </c>
      <c r="G371" s="14">
        <f t="shared" si="38"/>
        <v>4.0722000000000005</v>
      </c>
      <c r="H371" s="14">
        <f t="shared" si="39"/>
        <v>0.8</v>
      </c>
      <c r="I371" s="14">
        <f t="shared" si="40"/>
        <v>0</v>
      </c>
      <c r="J371" s="14">
        <f t="shared" si="41"/>
        <v>0</v>
      </c>
      <c r="K371" s="15">
        <f>IF(CurrentMtgRatesDataTable8[[#This Row],[WA CC]]&lt;&gt;0,C370-CurrentMtgRatesDataTable8[[#This Row],[WA CC]],0)</f>
        <v>0</v>
      </c>
      <c r="L371" s="16">
        <f>IF(CurrentMtgRatesDataTable8[[#This Row],[Servicing Spread]]&lt;=0,L370,CurrentMtgRatesDataTable8[[#This Row],[Servicing Spread]])</f>
        <v>0.50499999999999901</v>
      </c>
      <c r="M371" s="16">
        <f>CurrentMtgRatesDataTable8[[#This Row],[Servicing Spread Non-Zero]]-L370</f>
        <v>0</v>
      </c>
      <c r="N371" s="16">
        <f>IF(J370&lt;&gt;0,CurrentMtgRatesDataTable8[[#This Row],[Rate]]-C370,N370)</f>
        <v>-9.9999999999997868E-3</v>
      </c>
    </row>
    <row r="372" spans="1:14">
      <c r="A372" s="8" t="s">
        <v>1724</v>
      </c>
      <c r="B372" s="11">
        <v>5.0209999999999999</v>
      </c>
      <c r="C372" s="13">
        <v>5.6349999999999998</v>
      </c>
      <c r="D372" s="14">
        <f t="shared" si="35"/>
        <v>7</v>
      </c>
      <c r="E372" s="14">
        <f t="shared" si="36"/>
        <v>0.2</v>
      </c>
      <c r="F372" s="14">
        <f t="shared" si="37"/>
        <v>5</v>
      </c>
      <c r="G372" s="14">
        <f t="shared" si="38"/>
        <v>5.0764000000000005</v>
      </c>
      <c r="H372" s="14">
        <f t="shared" si="39"/>
        <v>1</v>
      </c>
      <c r="I372" s="14">
        <f t="shared" si="40"/>
        <v>1</v>
      </c>
      <c r="J372" s="14">
        <f t="shared" si="41"/>
        <v>5.0764000000000005</v>
      </c>
      <c r="K372" s="15">
        <f>IF(CurrentMtgRatesDataTable8[[#This Row],[WA CC]]&lt;&gt;0,C371-CurrentMtgRatesDataTable8[[#This Row],[WA CC]],0)</f>
        <v>0.55859999999999932</v>
      </c>
      <c r="L372" s="16">
        <f>IF(CurrentMtgRatesDataTable8[[#This Row],[Servicing Spread]]&lt;=0,L371,CurrentMtgRatesDataTable8[[#This Row],[Servicing Spread]])</f>
        <v>0.55859999999999932</v>
      </c>
      <c r="M372" s="16">
        <f>CurrentMtgRatesDataTable8[[#This Row],[Servicing Spread Non-Zero]]-L371</f>
        <v>5.3600000000000314E-2</v>
      </c>
      <c r="N372" s="16">
        <f>IF(J371&lt;&gt;0,CurrentMtgRatesDataTable8[[#This Row],[Rate]]-C371,N371)</f>
        <v>-9.9999999999997868E-3</v>
      </c>
    </row>
    <row r="373" spans="1:14">
      <c r="A373" s="8" t="s">
        <v>1725</v>
      </c>
      <c r="B373" s="11">
        <v>5.04</v>
      </c>
      <c r="C373" s="13">
        <v>5.5500000000000007</v>
      </c>
      <c r="D373" s="14">
        <f t="shared" si="35"/>
        <v>1</v>
      </c>
      <c r="E373" s="14">
        <f t="shared" si="36"/>
        <v>0.2</v>
      </c>
      <c r="F373" s="14">
        <f t="shared" si="37"/>
        <v>1</v>
      </c>
      <c r="G373" s="14">
        <f t="shared" si="38"/>
        <v>1.008</v>
      </c>
      <c r="H373" s="14">
        <f t="shared" si="39"/>
        <v>0.2</v>
      </c>
      <c r="I373" s="14">
        <f t="shared" si="40"/>
        <v>0</v>
      </c>
      <c r="J373" s="14">
        <f t="shared" si="41"/>
        <v>0</v>
      </c>
      <c r="K373" s="15">
        <f>IF(CurrentMtgRatesDataTable8[[#This Row],[WA CC]]&lt;&gt;0,C372-CurrentMtgRatesDataTable8[[#This Row],[WA CC]],0)</f>
        <v>0</v>
      </c>
      <c r="L373" s="16">
        <f>IF(CurrentMtgRatesDataTable8[[#This Row],[Servicing Spread]]&lt;=0,L372,CurrentMtgRatesDataTable8[[#This Row],[Servicing Spread]])</f>
        <v>0.55859999999999932</v>
      </c>
      <c r="M373" s="16">
        <f>CurrentMtgRatesDataTable8[[#This Row],[Servicing Spread Non-Zero]]-L372</f>
        <v>0</v>
      </c>
      <c r="N373" s="16">
        <f>IF(J372&lt;&gt;0,CurrentMtgRatesDataTable8[[#This Row],[Rate]]-C372,N372)</f>
        <v>-8.4999999999999076E-2</v>
      </c>
    </row>
    <row r="374" spans="1:14">
      <c r="A374" s="8" t="s">
        <v>1726</v>
      </c>
      <c r="B374" s="11">
        <v>5.0750000000000002</v>
      </c>
      <c r="C374" s="13">
        <v>5.5500000000000007</v>
      </c>
      <c r="D374" s="14">
        <f t="shared" si="35"/>
        <v>2</v>
      </c>
      <c r="E374" s="14">
        <f t="shared" si="36"/>
        <v>0.2</v>
      </c>
      <c r="F374" s="14">
        <f t="shared" si="37"/>
        <v>2</v>
      </c>
      <c r="G374" s="14">
        <f t="shared" si="38"/>
        <v>2.0230000000000001</v>
      </c>
      <c r="H374" s="14">
        <f t="shared" si="39"/>
        <v>0.4</v>
      </c>
      <c r="I374" s="14">
        <f t="shared" si="40"/>
        <v>0</v>
      </c>
      <c r="J374" s="14">
        <f t="shared" si="41"/>
        <v>0</v>
      </c>
      <c r="K374" s="15">
        <f>IF(CurrentMtgRatesDataTable8[[#This Row],[WA CC]]&lt;&gt;0,C373-CurrentMtgRatesDataTable8[[#This Row],[WA CC]],0)</f>
        <v>0</v>
      </c>
      <c r="L374" s="16">
        <f>IF(CurrentMtgRatesDataTable8[[#This Row],[Servicing Spread]]&lt;=0,L373,CurrentMtgRatesDataTable8[[#This Row],[Servicing Spread]])</f>
        <v>0.55859999999999932</v>
      </c>
      <c r="M374" s="16">
        <f>CurrentMtgRatesDataTable8[[#This Row],[Servicing Spread Non-Zero]]-L373</f>
        <v>0</v>
      </c>
      <c r="N374" s="16">
        <f>IF(J373&lt;&gt;0,CurrentMtgRatesDataTable8[[#This Row],[Rate]]-C373,N373)</f>
        <v>-8.4999999999999076E-2</v>
      </c>
    </row>
    <row r="375" spans="1:14">
      <c r="A375" s="8" t="s">
        <v>1727</v>
      </c>
      <c r="B375" s="11">
        <v>5.0199999999999996</v>
      </c>
      <c r="C375" s="13">
        <v>5.5500000000000007</v>
      </c>
      <c r="D375" s="14">
        <f t="shared" si="35"/>
        <v>5</v>
      </c>
      <c r="E375" s="14">
        <f t="shared" si="36"/>
        <v>0.2</v>
      </c>
      <c r="F375" s="14">
        <f t="shared" si="37"/>
        <v>3</v>
      </c>
      <c r="G375" s="14">
        <f t="shared" si="38"/>
        <v>3.0270000000000001</v>
      </c>
      <c r="H375" s="14">
        <f t="shared" si="39"/>
        <v>0.60000000000000009</v>
      </c>
      <c r="I375" s="14">
        <f t="shared" si="40"/>
        <v>0</v>
      </c>
      <c r="J375" s="14">
        <f t="shared" si="41"/>
        <v>0</v>
      </c>
      <c r="K375" s="15">
        <f>IF(CurrentMtgRatesDataTable8[[#This Row],[WA CC]]&lt;&gt;0,C374-CurrentMtgRatesDataTable8[[#This Row],[WA CC]],0)</f>
        <v>0</v>
      </c>
      <c r="L375" s="16">
        <f>IF(CurrentMtgRatesDataTable8[[#This Row],[Servicing Spread]]&lt;=0,L374,CurrentMtgRatesDataTable8[[#This Row],[Servicing Spread]])</f>
        <v>0.55859999999999932</v>
      </c>
      <c r="M375" s="16">
        <f>CurrentMtgRatesDataTable8[[#This Row],[Servicing Spread Non-Zero]]-L374</f>
        <v>0</v>
      </c>
      <c r="N375" s="16">
        <f>IF(J374&lt;&gt;0,CurrentMtgRatesDataTable8[[#This Row],[Rate]]-C374,N374)</f>
        <v>-8.4999999999999076E-2</v>
      </c>
    </row>
    <row r="376" spans="1:14">
      <c r="A376" s="8" t="s">
        <v>1728</v>
      </c>
      <c r="B376" s="11">
        <v>4.9980000000000002</v>
      </c>
      <c r="C376" s="13">
        <v>5.5500000000000007</v>
      </c>
      <c r="D376" s="14">
        <f t="shared" si="35"/>
        <v>6</v>
      </c>
      <c r="E376" s="14">
        <f t="shared" si="36"/>
        <v>0.2</v>
      </c>
      <c r="F376" s="14">
        <f t="shared" si="37"/>
        <v>4</v>
      </c>
      <c r="G376" s="14">
        <f t="shared" si="38"/>
        <v>4.0266000000000002</v>
      </c>
      <c r="H376" s="14">
        <f t="shared" si="39"/>
        <v>0.8</v>
      </c>
      <c r="I376" s="14">
        <f t="shared" si="40"/>
        <v>0</v>
      </c>
      <c r="J376" s="14">
        <f t="shared" si="41"/>
        <v>0</v>
      </c>
      <c r="K376" s="15">
        <f>IF(CurrentMtgRatesDataTable8[[#This Row],[WA CC]]&lt;&gt;0,C375-CurrentMtgRatesDataTable8[[#This Row],[WA CC]],0)</f>
        <v>0</v>
      </c>
      <c r="L376" s="16">
        <f>IF(CurrentMtgRatesDataTable8[[#This Row],[Servicing Spread]]&lt;=0,L375,CurrentMtgRatesDataTable8[[#This Row],[Servicing Spread]])</f>
        <v>0.55859999999999932</v>
      </c>
      <c r="M376" s="16">
        <f>CurrentMtgRatesDataTable8[[#This Row],[Servicing Spread Non-Zero]]-L375</f>
        <v>0</v>
      </c>
      <c r="N376" s="16">
        <f>IF(J375&lt;&gt;0,CurrentMtgRatesDataTable8[[#This Row],[Rate]]-C375,N375)</f>
        <v>-8.4999999999999076E-2</v>
      </c>
    </row>
    <row r="377" spans="1:14">
      <c r="A377" s="8" t="s">
        <v>1729</v>
      </c>
      <c r="B377" s="11">
        <v>5.0110000000000001</v>
      </c>
      <c r="C377" s="13">
        <v>5.5500000000000007</v>
      </c>
      <c r="D377" s="14">
        <f t="shared" si="35"/>
        <v>7</v>
      </c>
      <c r="E377" s="14">
        <f t="shared" si="36"/>
        <v>0.2</v>
      </c>
      <c r="F377" s="14">
        <f t="shared" si="37"/>
        <v>5</v>
      </c>
      <c r="G377" s="14">
        <f t="shared" si="38"/>
        <v>5.0288000000000004</v>
      </c>
      <c r="H377" s="14">
        <f t="shared" si="39"/>
        <v>1</v>
      </c>
      <c r="I377" s="14">
        <f t="shared" si="40"/>
        <v>1</v>
      </c>
      <c r="J377" s="14">
        <f t="shared" si="41"/>
        <v>5.0288000000000004</v>
      </c>
      <c r="K377" s="15">
        <f>IF(CurrentMtgRatesDataTable8[[#This Row],[WA CC]]&lt;&gt;0,C376-CurrentMtgRatesDataTable8[[#This Row],[WA CC]],0)</f>
        <v>0.52120000000000033</v>
      </c>
      <c r="L377" s="16">
        <f>IF(CurrentMtgRatesDataTable8[[#This Row],[Servicing Spread]]&lt;=0,L376,CurrentMtgRatesDataTable8[[#This Row],[Servicing Spread]])</f>
        <v>0.52120000000000033</v>
      </c>
      <c r="M377" s="16">
        <f>CurrentMtgRatesDataTable8[[#This Row],[Servicing Spread Non-Zero]]-L376</f>
        <v>-3.739999999999899E-2</v>
      </c>
      <c r="N377" s="16">
        <f>IF(J376&lt;&gt;0,CurrentMtgRatesDataTable8[[#This Row],[Rate]]-C376,N376)</f>
        <v>-8.4999999999999076E-2</v>
      </c>
    </row>
    <row r="378" spans="1:14">
      <c r="A378" s="8" t="s">
        <v>1730</v>
      </c>
      <c r="B378" s="11">
        <v>5.0039999999999996</v>
      </c>
      <c r="C378" s="13">
        <v>5.5200000000000005</v>
      </c>
      <c r="D378" s="14">
        <f t="shared" si="35"/>
        <v>1</v>
      </c>
      <c r="E378" s="14">
        <f t="shared" si="36"/>
        <v>0.2</v>
      </c>
      <c r="F378" s="14">
        <f t="shared" si="37"/>
        <v>1</v>
      </c>
      <c r="G378" s="14">
        <f t="shared" si="38"/>
        <v>1.0007999999999999</v>
      </c>
      <c r="H378" s="14">
        <f t="shared" si="39"/>
        <v>0.2</v>
      </c>
      <c r="I378" s="14">
        <f t="shared" si="40"/>
        <v>0</v>
      </c>
      <c r="J378" s="14">
        <f t="shared" si="41"/>
        <v>0</v>
      </c>
      <c r="K378" s="15">
        <f>IF(CurrentMtgRatesDataTable8[[#This Row],[WA CC]]&lt;&gt;0,C377-CurrentMtgRatesDataTable8[[#This Row],[WA CC]],0)</f>
        <v>0</v>
      </c>
      <c r="L378" s="16">
        <f>IF(CurrentMtgRatesDataTable8[[#This Row],[Servicing Spread]]&lt;=0,L377,CurrentMtgRatesDataTable8[[#This Row],[Servicing Spread]])</f>
        <v>0.52120000000000033</v>
      </c>
      <c r="M378" s="16">
        <f>CurrentMtgRatesDataTable8[[#This Row],[Servicing Spread Non-Zero]]-L377</f>
        <v>0</v>
      </c>
      <c r="N378" s="16">
        <f>IF(J377&lt;&gt;0,CurrentMtgRatesDataTable8[[#This Row],[Rate]]-C377,N377)</f>
        <v>-3.0000000000000249E-2</v>
      </c>
    </row>
    <row r="379" spans="1:14">
      <c r="A379" s="8" t="s">
        <v>1731</v>
      </c>
      <c r="B379" s="11">
        <v>4.992</v>
      </c>
      <c r="C379" s="13">
        <v>5.5200000000000005</v>
      </c>
      <c r="D379" s="14">
        <f t="shared" si="35"/>
        <v>2</v>
      </c>
      <c r="E379" s="14">
        <f t="shared" si="36"/>
        <v>0.2</v>
      </c>
      <c r="F379" s="14">
        <f t="shared" si="37"/>
        <v>2</v>
      </c>
      <c r="G379" s="14">
        <f t="shared" si="38"/>
        <v>1.9992000000000001</v>
      </c>
      <c r="H379" s="14">
        <f t="shared" si="39"/>
        <v>0.4</v>
      </c>
      <c r="I379" s="14">
        <f t="shared" si="40"/>
        <v>0</v>
      </c>
      <c r="J379" s="14">
        <f t="shared" si="41"/>
        <v>0</v>
      </c>
      <c r="K379" s="15">
        <f>IF(CurrentMtgRatesDataTable8[[#This Row],[WA CC]]&lt;&gt;0,C378-CurrentMtgRatesDataTable8[[#This Row],[WA CC]],0)</f>
        <v>0</v>
      </c>
      <c r="L379" s="16">
        <f>IF(CurrentMtgRatesDataTable8[[#This Row],[Servicing Spread]]&lt;=0,L378,CurrentMtgRatesDataTable8[[#This Row],[Servicing Spread]])</f>
        <v>0.52120000000000033</v>
      </c>
      <c r="M379" s="16">
        <f>CurrentMtgRatesDataTable8[[#This Row],[Servicing Spread Non-Zero]]-L378</f>
        <v>0</v>
      </c>
      <c r="N379" s="16">
        <f>IF(J378&lt;&gt;0,CurrentMtgRatesDataTable8[[#This Row],[Rate]]-C378,N378)</f>
        <v>-3.0000000000000249E-2</v>
      </c>
    </row>
    <row r="380" spans="1:14">
      <c r="A380" s="8" t="s">
        <v>1732</v>
      </c>
      <c r="B380" s="11">
        <v>4.9400000000000004</v>
      </c>
      <c r="C380" s="13">
        <v>5.5200000000000005</v>
      </c>
      <c r="D380" s="14">
        <f t="shared" si="35"/>
        <v>6</v>
      </c>
      <c r="E380" s="14">
        <f t="shared" si="36"/>
        <v>0.2</v>
      </c>
      <c r="F380" s="14">
        <f t="shared" si="37"/>
        <v>3</v>
      </c>
      <c r="G380" s="14">
        <f t="shared" si="38"/>
        <v>2.9872000000000001</v>
      </c>
      <c r="H380" s="14">
        <f t="shared" si="39"/>
        <v>0.60000000000000009</v>
      </c>
      <c r="I380" s="14">
        <f t="shared" si="40"/>
        <v>0</v>
      </c>
      <c r="J380" s="14">
        <f t="shared" si="41"/>
        <v>0</v>
      </c>
      <c r="K380" s="15">
        <f>IF(CurrentMtgRatesDataTable8[[#This Row],[WA CC]]&lt;&gt;0,C379-CurrentMtgRatesDataTable8[[#This Row],[WA CC]],0)</f>
        <v>0</v>
      </c>
      <c r="L380" s="16">
        <f>IF(CurrentMtgRatesDataTable8[[#This Row],[Servicing Spread]]&lt;=0,L379,CurrentMtgRatesDataTable8[[#This Row],[Servicing Spread]])</f>
        <v>0.52120000000000033</v>
      </c>
      <c r="M380" s="16">
        <f>CurrentMtgRatesDataTable8[[#This Row],[Servicing Spread Non-Zero]]-L379</f>
        <v>0</v>
      </c>
      <c r="N380" s="16">
        <f>IF(J379&lt;&gt;0,CurrentMtgRatesDataTable8[[#This Row],[Rate]]-C379,N379)</f>
        <v>-3.0000000000000249E-2</v>
      </c>
    </row>
    <row r="381" spans="1:14">
      <c r="A381" s="8" t="s">
        <v>1733</v>
      </c>
      <c r="B381" s="11">
        <v>4.83</v>
      </c>
      <c r="C381" s="13">
        <v>5.5200000000000005</v>
      </c>
      <c r="D381" s="14">
        <f t="shared" si="35"/>
        <v>7</v>
      </c>
      <c r="E381" s="14">
        <f t="shared" si="36"/>
        <v>0.2</v>
      </c>
      <c r="F381" s="14">
        <f t="shared" si="37"/>
        <v>4</v>
      </c>
      <c r="G381" s="14">
        <f t="shared" si="38"/>
        <v>3.9532000000000003</v>
      </c>
      <c r="H381" s="14">
        <f t="shared" si="39"/>
        <v>0.8</v>
      </c>
      <c r="I381" s="14">
        <f t="shared" si="40"/>
        <v>1</v>
      </c>
      <c r="J381" s="14">
        <f t="shared" si="41"/>
        <v>4.9415000000000004</v>
      </c>
      <c r="K381" s="15">
        <f>IF(CurrentMtgRatesDataTable8[[#This Row],[WA CC]]&lt;&gt;0,C380-CurrentMtgRatesDataTable8[[#This Row],[WA CC]],0)</f>
        <v>0.57850000000000001</v>
      </c>
      <c r="L381" s="16">
        <f>IF(CurrentMtgRatesDataTable8[[#This Row],[Servicing Spread]]&lt;=0,L380,CurrentMtgRatesDataTable8[[#This Row],[Servicing Spread]])</f>
        <v>0.57850000000000001</v>
      </c>
      <c r="M381" s="16">
        <f>CurrentMtgRatesDataTable8[[#This Row],[Servicing Spread Non-Zero]]-L380</f>
        <v>5.7299999999999685E-2</v>
      </c>
      <c r="N381" s="16">
        <f>IF(J380&lt;&gt;0,CurrentMtgRatesDataTable8[[#This Row],[Rate]]-C380,N380)</f>
        <v>-3.0000000000000249E-2</v>
      </c>
    </row>
    <row r="382" spans="1:14">
      <c r="A382" s="8" t="s">
        <v>1734</v>
      </c>
      <c r="B382" s="11">
        <v>4.843</v>
      </c>
      <c r="C382" s="13">
        <v>5.46</v>
      </c>
      <c r="D382" s="14">
        <f t="shared" si="35"/>
        <v>1</v>
      </c>
      <c r="E382" s="14">
        <f t="shared" si="36"/>
        <v>0.2</v>
      </c>
      <c r="F382" s="14">
        <f t="shared" si="37"/>
        <v>1</v>
      </c>
      <c r="G382" s="14">
        <f t="shared" si="38"/>
        <v>0.96860000000000002</v>
      </c>
      <c r="H382" s="14">
        <f t="shared" si="39"/>
        <v>0.2</v>
      </c>
      <c r="I382" s="14">
        <f t="shared" si="40"/>
        <v>0</v>
      </c>
      <c r="J382" s="14">
        <f t="shared" si="41"/>
        <v>0</v>
      </c>
      <c r="K382" s="15">
        <f>IF(CurrentMtgRatesDataTable8[[#This Row],[WA CC]]&lt;&gt;0,C381-CurrentMtgRatesDataTable8[[#This Row],[WA CC]],0)</f>
        <v>0</v>
      </c>
      <c r="L382" s="16">
        <f>IF(CurrentMtgRatesDataTable8[[#This Row],[Servicing Spread]]&lt;=0,L381,CurrentMtgRatesDataTable8[[#This Row],[Servicing Spread]])</f>
        <v>0.57850000000000001</v>
      </c>
      <c r="M382" s="16">
        <f>CurrentMtgRatesDataTable8[[#This Row],[Servicing Spread Non-Zero]]-L381</f>
        <v>0</v>
      </c>
      <c r="N382" s="16">
        <f>IF(J381&lt;&gt;0,CurrentMtgRatesDataTable8[[#This Row],[Rate]]-C381,N381)</f>
        <v>-6.0000000000000497E-2</v>
      </c>
    </row>
    <row r="383" spans="1:14">
      <c r="A383" s="8" t="s">
        <v>1735</v>
      </c>
      <c r="B383" s="11">
        <v>4.9349999999999996</v>
      </c>
      <c r="C383" s="13">
        <v>5.46</v>
      </c>
      <c r="D383" s="14">
        <f t="shared" si="35"/>
        <v>2</v>
      </c>
      <c r="E383" s="14">
        <f t="shared" si="36"/>
        <v>0.2</v>
      </c>
      <c r="F383" s="14">
        <f t="shared" si="37"/>
        <v>2</v>
      </c>
      <c r="G383" s="14">
        <f t="shared" si="38"/>
        <v>1.9556</v>
      </c>
      <c r="H383" s="14">
        <f t="shared" si="39"/>
        <v>0.4</v>
      </c>
      <c r="I383" s="14">
        <f t="shared" si="40"/>
        <v>0</v>
      </c>
      <c r="J383" s="14">
        <f t="shared" si="41"/>
        <v>0</v>
      </c>
      <c r="K383" s="15">
        <f>IF(CurrentMtgRatesDataTable8[[#This Row],[WA CC]]&lt;&gt;0,C382-CurrentMtgRatesDataTable8[[#This Row],[WA CC]],0)</f>
        <v>0</v>
      </c>
      <c r="L383" s="16">
        <f>IF(CurrentMtgRatesDataTable8[[#This Row],[Servicing Spread]]&lt;=0,L382,CurrentMtgRatesDataTable8[[#This Row],[Servicing Spread]])</f>
        <v>0.57850000000000001</v>
      </c>
      <c r="M383" s="16">
        <f>CurrentMtgRatesDataTable8[[#This Row],[Servicing Spread Non-Zero]]-L382</f>
        <v>0</v>
      </c>
      <c r="N383" s="16">
        <f>IF(J382&lt;&gt;0,CurrentMtgRatesDataTable8[[#This Row],[Rate]]-C382,N382)</f>
        <v>-6.0000000000000497E-2</v>
      </c>
    </row>
    <row r="384" spans="1:14">
      <c r="A384" s="8" t="s">
        <v>1736</v>
      </c>
      <c r="B384" s="11">
        <v>4.9370000000000003</v>
      </c>
      <c r="C384" s="13">
        <v>5.46</v>
      </c>
      <c r="D384" s="14">
        <f t="shared" si="35"/>
        <v>5</v>
      </c>
      <c r="E384" s="14">
        <f t="shared" si="36"/>
        <v>0.2</v>
      </c>
      <c r="F384" s="14">
        <f t="shared" si="37"/>
        <v>3</v>
      </c>
      <c r="G384" s="14">
        <f t="shared" si="38"/>
        <v>2.9430000000000001</v>
      </c>
      <c r="H384" s="14">
        <f t="shared" si="39"/>
        <v>0.60000000000000009</v>
      </c>
      <c r="I384" s="14">
        <f t="shared" si="40"/>
        <v>0</v>
      </c>
      <c r="J384" s="14">
        <f t="shared" si="41"/>
        <v>0</v>
      </c>
      <c r="K384" s="15">
        <f>IF(CurrentMtgRatesDataTable8[[#This Row],[WA CC]]&lt;&gt;0,C383-CurrentMtgRatesDataTable8[[#This Row],[WA CC]],0)</f>
        <v>0</v>
      </c>
      <c r="L384" s="16">
        <f>IF(CurrentMtgRatesDataTable8[[#This Row],[Servicing Spread]]&lt;=0,L383,CurrentMtgRatesDataTable8[[#This Row],[Servicing Spread]])</f>
        <v>0.57850000000000001</v>
      </c>
      <c r="M384" s="16">
        <f>CurrentMtgRatesDataTable8[[#This Row],[Servicing Spread Non-Zero]]-L383</f>
        <v>0</v>
      </c>
      <c r="N384" s="16">
        <f>IF(J383&lt;&gt;0,CurrentMtgRatesDataTable8[[#This Row],[Rate]]-C383,N383)</f>
        <v>-6.0000000000000497E-2</v>
      </c>
    </row>
    <row r="385" spans="1:14">
      <c r="A385" s="8" t="s">
        <v>1737</v>
      </c>
      <c r="B385" s="11">
        <v>4.8680000000000003</v>
      </c>
      <c r="C385" s="13">
        <v>5.46</v>
      </c>
      <c r="D385" s="14">
        <f t="shared" si="35"/>
        <v>6</v>
      </c>
      <c r="E385" s="14">
        <f t="shared" si="36"/>
        <v>0.2</v>
      </c>
      <c r="F385" s="14">
        <f t="shared" si="37"/>
        <v>4</v>
      </c>
      <c r="G385" s="14">
        <f t="shared" si="38"/>
        <v>3.9166000000000003</v>
      </c>
      <c r="H385" s="14">
        <f t="shared" si="39"/>
        <v>0.8</v>
      </c>
      <c r="I385" s="14">
        <f t="shared" si="40"/>
        <v>0</v>
      </c>
      <c r="J385" s="14">
        <f t="shared" si="41"/>
        <v>0</v>
      </c>
      <c r="K385" s="15">
        <f>IF(CurrentMtgRatesDataTable8[[#This Row],[WA CC]]&lt;&gt;0,C384-CurrentMtgRatesDataTable8[[#This Row],[WA CC]],0)</f>
        <v>0</v>
      </c>
      <c r="L385" s="16">
        <f>IF(CurrentMtgRatesDataTable8[[#This Row],[Servicing Spread]]&lt;=0,L384,CurrentMtgRatesDataTable8[[#This Row],[Servicing Spread]])</f>
        <v>0.57850000000000001</v>
      </c>
      <c r="M385" s="16">
        <f>CurrentMtgRatesDataTable8[[#This Row],[Servicing Spread Non-Zero]]-L384</f>
        <v>0</v>
      </c>
      <c r="N385" s="16">
        <f>IF(J384&lt;&gt;0,CurrentMtgRatesDataTable8[[#This Row],[Rate]]-C384,N384)</f>
        <v>-6.0000000000000497E-2</v>
      </c>
    </row>
    <row r="386" spans="1:14">
      <c r="A386" s="8" t="s">
        <v>1738</v>
      </c>
      <c r="B386" s="11">
        <v>4.8890000000000002</v>
      </c>
      <c r="C386" s="13">
        <v>5.46</v>
      </c>
      <c r="D386" s="14">
        <f t="shared" si="35"/>
        <v>7</v>
      </c>
      <c r="E386" s="14">
        <f t="shared" si="36"/>
        <v>0.2</v>
      </c>
      <c r="F386" s="14">
        <f t="shared" si="37"/>
        <v>5</v>
      </c>
      <c r="G386" s="14">
        <f t="shared" si="38"/>
        <v>4.8944000000000001</v>
      </c>
      <c r="H386" s="14">
        <f t="shared" si="39"/>
        <v>1</v>
      </c>
      <c r="I386" s="14">
        <f t="shared" si="40"/>
        <v>1</v>
      </c>
      <c r="J386" s="14">
        <f t="shared" si="41"/>
        <v>4.8944000000000001</v>
      </c>
      <c r="K386" s="15">
        <f>IF(CurrentMtgRatesDataTable8[[#This Row],[WA CC]]&lt;&gt;0,C385-CurrentMtgRatesDataTable8[[#This Row],[WA CC]],0)</f>
        <v>0.56559999999999988</v>
      </c>
      <c r="L386" s="16">
        <f>IF(CurrentMtgRatesDataTable8[[#This Row],[Servicing Spread]]&lt;=0,L385,CurrentMtgRatesDataTable8[[#This Row],[Servicing Spread]])</f>
        <v>0.56559999999999988</v>
      </c>
      <c r="M386" s="16">
        <f>CurrentMtgRatesDataTable8[[#This Row],[Servicing Spread Non-Zero]]-L385</f>
        <v>-1.2900000000000134E-2</v>
      </c>
      <c r="N386" s="16">
        <f>IF(J385&lt;&gt;0,CurrentMtgRatesDataTable8[[#This Row],[Rate]]-C385,N385)</f>
        <v>-6.0000000000000497E-2</v>
      </c>
    </row>
    <row r="387" spans="1:14">
      <c r="A387" s="8" t="s">
        <v>1739</v>
      </c>
      <c r="B387" s="11">
        <v>4.9119999999999999</v>
      </c>
      <c r="C387" s="13">
        <v>5.5049999999999999</v>
      </c>
      <c r="D387" s="14">
        <f t="shared" si="35"/>
        <v>1</v>
      </c>
      <c r="E387" s="14">
        <f t="shared" si="36"/>
        <v>0.2</v>
      </c>
      <c r="F387" s="14">
        <f t="shared" si="37"/>
        <v>1</v>
      </c>
      <c r="G387" s="14">
        <f t="shared" si="38"/>
        <v>0.98240000000000005</v>
      </c>
      <c r="H387" s="14">
        <f t="shared" si="39"/>
        <v>0.2</v>
      </c>
      <c r="I387" s="14">
        <f t="shared" si="40"/>
        <v>0</v>
      </c>
      <c r="J387" s="14">
        <f t="shared" si="41"/>
        <v>0</v>
      </c>
      <c r="K387" s="15">
        <f>IF(CurrentMtgRatesDataTable8[[#This Row],[WA CC]]&lt;&gt;0,C386-CurrentMtgRatesDataTable8[[#This Row],[WA CC]],0)</f>
        <v>0</v>
      </c>
      <c r="L387" s="16">
        <f>IF(CurrentMtgRatesDataTable8[[#This Row],[Servicing Spread]]&lt;=0,L386,CurrentMtgRatesDataTable8[[#This Row],[Servicing Spread]])</f>
        <v>0.56559999999999988</v>
      </c>
      <c r="M387" s="16">
        <f>CurrentMtgRatesDataTable8[[#This Row],[Servicing Spread Non-Zero]]-L386</f>
        <v>0</v>
      </c>
      <c r="N387" s="16">
        <f>IF(J386&lt;&gt;0,CurrentMtgRatesDataTable8[[#This Row],[Rate]]-C386,N386)</f>
        <v>4.4999999999999929E-2</v>
      </c>
    </row>
    <row r="388" spans="1:14">
      <c r="A388" s="8" t="s">
        <v>1740</v>
      </c>
      <c r="B388" s="11">
        <v>5</v>
      </c>
      <c r="C388" s="13">
        <v>5.5049999999999999</v>
      </c>
      <c r="D388" s="14">
        <f t="shared" si="35"/>
        <v>2</v>
      </c>
      <c r="E388" s="14">
        <f t="shared" si="36"/>
        <v>0.2</v>
      </c>
      <c r="F388" s="14">
        <f t="shared" si="37"/>
        <v>2</v>
      </c>
      <c r="G388" s="14">
        <f t="shared" si="38"/>
        <v>1.9824000000000002</v>
      </c>
      <c r="H388" s="14">
        <f t="shared" si="39"/>
        <v>0.4</v>
      </c>
      <c r="I388" s="14">
        <f t="shared" si="40"/>
        <v>0</v>
      </c>
      <c r="J388" s="14">
        <f t="shared" si="41"/>
        <v>0</v>
      </c>
      <c r="K388" s="15">
        <f>IF(CurrentMtgRatesDataTable8[[#This Row],[WA CC]]&lt;&gt;0,C387-CurrentMtgRatesDataTable8[[#This Row],[WA CC]],0)</f>
        <v>0</v>
      </c>
      <c r="L388" s="16">
        <f>IF(CurrentMtgRatesDataTable8[[#This Row],[Servicing Spread]]&lt;=0,L387,CurrentMtgRatesDataTable8[[#This Row],[Servicing Spread]])</f>
        <v>0.56559999999999988</v>
      </c>
      <c r="M388" s="16">
        <f>CurrentMtgRatesDataTable8[[#This Row],[Servicing Spread Non-Zero]]-L387</f>
        <v>0</v>
      </c>
      <c r="N388" s="16">
        <f>IF(J387&lt;&gt;0,CurrentMtgRatesDataTable8[[#This Row],[Rate]]-C387,N387)</f>
        <v>4.4999999999999929E-2</v>
      </c>
    </row>
    <row r="389" spans="1:14">
      <c r="A389" s="8" t="s">
        <v>1741</v>
      </c>
      <c r="B389" s="11">
        <v>5.0410000000000004</v>
      </c>
      <c r="C389" s="13">
        <v>5.5049999999999999</v>
      </c>
      <c r="D389" s="14">
        <f t="shared" ref="D389:D452" si="42">WEEKDAY(A389,14)</f>
        <v>5</v>
      </c>
      <c r="E389" s="14">
        <f t="shared" ref="E389:E452" si="43">VLOOKUP(D389,Q$5:R$11,2,FALSE)</f>
        <v>0.2</v>
      </c>
      <c r="F389" s="14">
        <f t="shared" ref="F389:F452" si="44">IF(AND(D389&gt;D388,F388&lt;6),F388+1,1)</f>
        <v>3</v>
      </c>
      <c r="G389" s="14">
        <f t="shared" ref="G389:G452" si="45">IF(F389&gt;F388,G388+B389*E389,B389*E389)</f>
        <v>2.9906000000000006</v>
      </c>
      <c r="H389" s="14">
        <f t="shared" ref="H389:H452" si="46">IF(AND(F389&lt;6,F389&gt;F388),E389+H388,E389)</f>
        <v>0.60000000000000009</v>
      </c>
      <c r="I389" s="14">
        <f t="shared" ref="I389:I452" si="47">IF(F389&gt;F390,1,0)</f>
        <v>0</v>
      </c>
      <c r="J389" s="14">
        <f t="shared" ref="J389:J452" si="48">IF(F389&gt;F390,G389/H389,0)</f>
        <v>0</v>
      </c>
      <c r="K389" s="15">
        <f>IF(CurrentMtgRatesDataTable8[[#This Row],[WA CC]]&lt;&gt;0,C388-CurrentMtgRatesDataTable8[[#This Row],[WA CC]],0)</f>
        <v>0</v>
      </c>
      <c r="L389" s="16">
        <f>IF(CurrentMtgRatesDataTable8[[#This Row],[Servicing Spread]]&lt;=0,L388,CurrentMtgRatesDataTable8[[#This Row],[Servicing Spread]])</f>
        <v>0.56559999999999988</v>
      </c>
      <c r="M389" s="16">
        <f>CurrentMtgRatesDataTable8[[#This Row],[Servicing Spread Non-Zero]]-L388</f>
        <v>0</v>
      </c>
      <c r="N389" s="16">
        <f>IF(J388&lt;&gt;0,CurrentMtgRatesDataTable8[[#This Row],[Rate]]-C388,N388)</f>
        <v>4.4999999999999929E-2</v>
      </c>
    </row>
    <row r="390" spans="1:14">
      <c r="A390" s="8" t="s">
        <v>1742</v>
      </c>
      <c r="B390" s="11">
        <v>5.0359999999999996</v>
      </c>
      <c r="C390" s="13">
        <v>5.5049999999999999</v>
      </c>
      <c r="D390" s="14">
        <f t="shared" si="42"/>
        <v>6</v>
      </c>
      <c r="E390" s="14">
        <f t="shared" si="43"/>
        <v>0.2</v>
      </c>
      <c r="F390" s="14">
        <f t="shared" si="44"/>
        <v>4</v>
      </c>
      <c r="G390" s="14">
        <f t="shared" si="45"/>
        <v>3.9978000000000007</v>
      </c>
      <c r="H390" s="14">
        <f t="shared" si="46"/>
        <v>0.8</v>
      </c>
      <c r="I390" s="14">
        <f t="shared" si="47"/>
        <v>0</v>
      </c>
      <c r="J390" s="14">
        <f t="shared" si="48"/>
        <v>0</v>
      </c>
      <c r="K390" s="15">
        <f>IF(CurrentMtgRatesDataTable8[[#This Row],[WA CC]]&lt;&gt;0,C389-CurrentMtgRatesDataTable8[[#This Row],[WA CC]],0)</f>
        <v>0</v>
      </c>
      <c r="L390" s="16">
        <f>IF(CurrentMtgRatesDataTable8[[#This Row],[Servicing Spread]]&lt;=0,L389,CurrentMtgRatesDataTable8[[#This Row],[Servicing Spread]])</f>
        <v>0.56559999999999988</v>
      </c>
      <c r="M390" s="16">
        <f>CurrentMtgRatesDataTable8[[#This Row],[Servicing Spread Non-Zero]]-L389</f>
        <v>0</v>
      </c>
      <c r="N390" s="16">
        <f>IF(J389&lt;&gt;0,CurrentMtgRatesDataTable8[[#This Row],[Rate]]-C389,N389)</f>
        <v>4.4999999999999929E-2</v>
      </c>
    </row>
    <row r="391" spans="1:14">
      <c r="A391" s="8" t="s">
        <v>1743</v>
      </c>
      <c r="B391" s="11">
        <v>4.9980000000000002</v>
      </c>
      <c r="C391" s="13">
        <v>5.5049999999999999</v>
      </c>
      <c r="D391" s="14">
        <f t="shared" si="42"/>
        <v>7</v>
      </c>
      <c r="E391" s="14">
        <f t="shared" si="43"/>
        <v>0.2</v>
      </c>
      <c r="F391" s="14">
        <f t="shared" si="44"/>
        <v>5</v>
      </c>
      <c r="G391" s="14">
        <f t="shared" si="45"/>
        <v>4.9974000000000007</v>
      </c>
      <c r="H391" s="14">
        <f t="shared" si="46"/>
        <v>1</v>
      </c>
      <c r="I391" s="14">
        <f t="shared" si="47"/>
        <v>1</v>
      </c>
      <c r="J391" s="14">
        <f t="shared" si="48"/>
        <v>4.9974000000000007</v>
      </c>
      <c r="K391" s="15">
        <f>IF(CurrentMtgRatesDataTable8[[#This Row],[WA CC]]&lt;&gt;0,C390-CurrentMtgRatesDataTable8[[#This Row],[WA CC]],0)</f>
        <v>0.50759999999999916</v>
      </c>
      <c r="L391" s="16">
        <f>IF(CurrentMtgRatesDataTable8[[#This Row],[Servicing Spread]]&lt;=0,L390,CurrentMtgRatesDataTable8[[#This Row],[Servicing Spread]])</f>
        <v>0.50759999999999916</v>
      </c>
      <c r="M391" s="16">
        <f>CurrentMtgRatesDataTable8[[#This Row],[Servicing Spread Non-Zero]]-L390</f>
        <v>-5.8000000000000718E-2</v>
      </c>
      <c r="N391" s="16">
        <f>IF(J390&lt;&gt;0,CurrentMtgRatesDataTable8[[#This Row],[Rate]]-C390,N390)</f>
        <v>4.4999999999999929E-2</v>
      </c>
    </row>
    <row r="392" spans="1:14">
      <c r="A392" s="8" t="s">
        <v>1744</v>
      </c>
      <c r="B392" s="11">
        <v>4.9710000000000001</v>
      </c>
      <c r="C392" s="13">
        <v>5.4700000000000006</v>
      </c>
      <c r="D392" s="14">
        <f t="shared" si="42"/>
        <v>1</v>
      </c>
      <c r="E392" s="14">
        <f t="shared" si="43"/>
        <v>0.2</v>
      </c>
      <c r="F392" s="14">
        <f t="shared" si="44"/>
        <v>1</v>
      </c>
      <c r="G392" s="14">
        <f t="shared" si="45"/>
        <v>0.99420000000000008</v>
      </c>
      <c r="H392" s="14">
        <f t="shared" si="46"/>
        <v>0.2</v>
      </c>
      <c r="I392" s="14">
        <f t="shared" si="47"/>
        <v>0</v>
      </c>
      <c r="J392" s="14">
        <f t="shared" si="48"/>
        <v>0</v>
      </c>
      <c r="K392" s="15">
        <f>IF(CurrentMtgRatesDataTable8[[#This Row],[WA CC]]&lt;&gt;0,C391-CurrentMtgRatesDataTable8[[#This Row],[WA CC]],0)</f>
        <v>0</v>
      </c>
      <c r="L392" s="16">
        <f>IF(CurrentMtgRatesDataTable8[[#This Row],[Servicing Spread]]&lt;=0,L391,CurrentMtgRatesDataTable8[[#This Row],[Servicing Spread]])</f>
        <v>0.50759999999999916</v>
      </c>
      <c r="M392" s="16">
        <f>CurrentMtgRatesDataTable8[[#This Row],[Servicing Spread Non-Zero]]-L391</f>
        <v>0</v>
      </c>
      <c r="N392" s="16">
        <f>IF(J391&lt;&gt;0,CurrentMtgRatesDataTable8[[#This Row],[Rate]]-C391,N391)</f>
        <v>-3.4999999999999254E-2</v>
      </c>
    </row>
    <row r="393" spans="1:14">
      <c r="A393" s="8" t="s">
        <v>1745</v>
      </c>
      <c r="B393" s="11">
        <v>4.992</v>
      </c>
      <c r="C393" s="13">
        <v>5.4700000000000006</v>
      </c>
      <c r="D393" s="14">
        <f t="shared" si="42"/>
        <v>2</v>
      </c>
      <c r="E393" s="14">
        <f t="shared" si="43"/>
        <v>0.2</v>
      </c>
      <c r="F393" s="14">
        <f t="shared" si="44"/>
        <v>2</v>
      </c>
      <c r="G393" s="14">
        <f t="shared" si="45"/>
        <v>1.9926000000000001</v>
      </c>
      <c r="H393" s="14">
        <f t="shared" si="46"/>
        <v>0.4</v>
      </c>
      <c r="I393" s="14">
        <f t="shared" si="47"/>
        <v>0</v>
      </c>
      <c r="J393" s="14">
        <f t="shared" si="48"/>
        <v>0</v>
      </c>
      <c r="K393" s="15">
        <f>IF(CurrentMtgRatesDataTable8[[#This Row],[WA CC]]&lt;&gt;0,C392-CurrentMtgRatesDataTable8[[#This Row],[WA CC]],0)</f>
        <v>0</v>
      </c>
      <c r="L393" s="16">
        <f>IF(CurrentMtgRatesDataTable8[[#This Row],[Servicing Spread]]&lt;=0,L392,CurrentMtgRatesDataTable8[[#This Row],[Servicing Spread]])</f>
        <v>0.50759999999999916</v>
      </c>
      <c r="M393" s="16">
        <f>CurrentMtgRatesDataTable8[[#This Row],[Servicing Spread Non-Zero]]-L392</f>
        <v>0</v>
      </c>
      <c r="N393" s="16">
        <f>IF(J392&lt;&gt;0,CurrentMtgRatesDataTable8[[#This Row],[Rate]]-C392,N392)</f>
        <v>-3.4999999999999254E-2</v>
      </c>
    </row>
    <row r="394" spans="1:14">
      <c r="A394" s="8" t="s">
        <v>1746</v>
      </c>
      <c r="B394" s="11">
        <v>5.0010000000000003</v>
      </c>
      <c r="C394" s="13">
        <v>5.4700000000000006</v>
      </c>
      <c r="D394" s="14">
        <f t="shared" si="42"/>
        <v>5</v>
      </c>
      <c r="E394" s="14">
        <f t="shared" si="43"/>
        <v>0.2</v>
      </c>
      <c r="F394" s="14">
        <f t="shared" si="44"/>
        <v>3</v>
      </c>
      <c r="G394" s="14">
        <f t="shared" si="45"/>
        <v>2.9928000000000003</v>
      </c>
      <c r="H394" s="14">
        <f t="shared" si="46"/>
        <v>0.60000000000000009</v>
      </c>
      <c r="I394" s="14">
        <f t="shared" si="47"/>
        <v>0</v>
      </c>
      <c r="J394" s="14">
        <f t="shared" si="48"/>
        <v>0</v>
      </c>
      <c r="K394" s="15">
        <f>IF(CurrentMtgRatesDataTable8[[#This Row],[WA CC]]&lt;&gt;0,C393-CurrentMtgRatesDataTable8[[#This Row],[WA CC]],0)</f>
        <v>0</v>
      </c>
      <c r="L394" s="16">
        <f>IF(CurrentMtgRatesDataTable8[[#This Row],[Servicing Spread]]&lt;=0,L393,CurrentMtgRatesDataTable8[[#This Row],[Servicing Spread]])</f>
        <v>0.50759999999999916</v>
      </c>
      <c r="M394" s="16">
        <f>CurrentMtgRatesDataTable8[[#This Row],[Servicing Spread Non-Zero]]-L393</f>
        <v>0</v>
      </c>
      <c r="N394" s="16">
        <f>IF(J393&lt;&gt;0,CurrentMtgRatesDataTable8[[#This Row],[Rate]]-C393,N393)</f>
        <v>-3.4999999999999254E-2</v>
      </c>
    </row>
    <row r="395" spans="1:14">
      <c r="A395" s="8" t="s">
        <v>1747</v>
      </c>
      <c r="B395" s="11">
        <v>4.9630000000000001</v>
      </c>
      <c r="C395" s="13">
        <v>5.4700000000000006</v>
      </c>
      <c r="D395" s="14">
        <f t="shared" si="42"/>
        <v>6</v>
      </c>
      <c r="E395" s="14">
        <f t="shared" si="43"/>
        <v>0.2</v>
      </c>
      <c r="F395" s="14">
        <f t="shared" si="44"/>
        <v>4</v>
      </c>
      <c r="G395" s="14">
        <f t="shared" si="45"/>
        <v>3.9854000000000003</v>
      </c>
      <c r="H395" s="14">
        <f t="shared" si="46"/>
        <v>0.8</v>
      </c>
      <c r="I395" s="14">
        <f t="shared" si="47"/>
        <v>0</v>
      </c>
      <c r="J395" s="14">
        <f t="shared" si="48"/>
        <v>0</v>
      </c>
      <c r="K395" s="15">
        <f>IF(CurrentMtgRatesDataTable8[[#This Row],[WA CC]]&lt;&gt;0,C394-CurrentMtgRatesDataTable8[[#This Row],[WA CC]],0)</f>
        <v>0</v>
      </c>
      <c r="L395" s="16">
        <f>IF(CurrentMtgRatesDataTable8[[#This Row],[Servicing Spread]]&lt;=0,L394,CurrentMtgRatesDataTable8[[#This Row],[Servicing Spread]])</f>
        <v>0.50759999999999916</v>
      </c>
      <c r="M395" s="16">
        <f>CurrentMtgRatesDataTable8[[#This Row],[Servicing Spread Non-Zero]]-L394</f>
        <v>0</v>
      </c>
      <c r="N395" s="16">
        <f>IF(J394&lt;&gt;0,CurrentMtgRatesDataTable8[[#This Row],[Rate]]-C394,N394)</f>
        <v>-3.4999999999999254E-2</v>
      </c>
    </row>
    <row r="396" spans="1:14">
      <c r="A396" s="8" t="s">
        <v>1748</v>
      </c>
      <c r="B396" s="11">
        <v>4.87</v>
      </c>
      <c r="C396" s="13">
        <v>5.4700000000000006</v>
      </c>
      <c r="D396" s="14">
        <f t="shared" si="42"/>
        <v>7</v>
      </c>
      <c r="E396" s="14">
        <f t="shared" si="43"/>
        <v>0.2</v>
      </c>
      <c r="F396" s="14">
        <f t="shared" si="44"/>
        <v>5</v>
      </c>
      <c r="G396" s="14">
        <f t="shared" si="45"/>
        <v>4.9594000000000005</v>
      </c>
      <c r="H396" s="14">
        <f t="shared" si="46"/>
        <v>1</v>
      </c>
      <c r="I396" s="14">
        <f t="shared" si="47"/>
        <v>1</v>
      </c>
      <c r="J396" s="14">
        <f t="shared" si="48"/>
        <v>4.9594000000000005</v>
      </c>
      <c r="K396" s="15">
        <f>IF(CurrentMtgRatesDataTable8[[#This Row],[WA CC]]&lt;&gt;0,C395-CurrentMtgRatesDataTable8[[#This Row],[WA CC]],0)</f>
        <v>0.51060000000000016</v>
      </c>
      <c r="L396" s="16">
        <f>IF(CurrentMtgRatesDataTable8[[#This Row],[Servicing Spread]]&lt;=0,L395,CurrentMtgRatesDataTable8[[#This Row],[Servicing Spread]])</f>
        <v>0.51060000000000016</v>
      </c>
      <c r="M396" s="16">
        <f>CurrentMtgRatesDataTable8[[#This Row],[Servicing Spread Non-Zero]]-L395</f>
        <v>3.0000000000010019E-3</v>
      </c>
      <c r="N396" s="16">
        <f>IF(J395&lt;&gt;0,CurrentMtgRatesDataTable8[[#This Row],[Rate]]-C395,N395)</f>
        <v>-3.4999999999999254E-2</v>
      </c>
    </row>
    <row r="397" spans="1:14">
      <c r="A397" s="8" t="s">
        <v>1749</v>
      </c>
      <c r="B397" s="11">
        <v>4.9059999999999997</v>
      </c>
      <c r="C397" s="13">
        <v>5.4300000000000006</v>
      </c>
      <c r="D397" s="14">
        <f t="shared" si="42"/>
        <v>1</v>
      </c>
      <c r="E397" s="14">
        <f t="shared" si="43"/>
        <v>0.2</v>
      </c>
      <c r="F397" s="14">
        <f t="shared" si="44"/>
        <v>1</v>
      </c>
      <c r="G397" s="14">
        <f t="shared" si="45"/>
        <v>0.98119999999999996</v>
      </c>
      <c r="H397" s="14">
        <f t="shared" si="46"/>
        <v>0.2</v>
      </c>
      <c r="I397" s="14">
        <f t="shared" si="47"/>
        <v>0</v>
      </c>
      <c r="J397" s="14">
        <f t="shared" si="48"/>
        <v>0</v>
      </c>
      <c r="K397" s="15">
        <f>IF(CurrentMtgRatesDataTable8[[#This Row],[WA CC]]&lt;&gt;0,C396-CurrentMtgRatesDataTable8[[#This Row],[WA CC]],0)</f>
        <v>0</v>
      </c>
      <c r="L397" s="16">
        <f>IF(CurrentMtgRatesDataTable8[[#This Row],[Servicing Spread]]&lt;=0,L396,CurrentMtgRatesDataTable8[[#This Row],[Servicing Spread]])</f>
        <v>0.51060000000000016</v>
      </c>
      <c r="M397" s="16">
        <f>CurrentMtgRatesDataTable8[[#This Row],[Servicing Spread Non-Zero]]-L396</f>
        <v>0</v>
      </c>
      <c r="N397" s="16">
        <f>IF(J396&lt;&gt;0,CurrentMtgRatesDataTable8[[#This Row],[Rate]]-C396,N396)</f>
        <v>-4.0000000000000036E-2</v>
      </c>
    </row>
    <row r="398" spans="1:14">
      <c r="A398" s="8" t="s">
        <v>1750</v>
      </c>
      <c r="B398" s="11">
        <v>4.8780000000000001</v>
      </c>
      <c r="C398" s="13">
        <v>5.4300000000000006</v>
      </c>
      <c r="D398" s="14">
        <f t="shared" si="42"/>
        <v>2</v>
      </c>
      <c r="E398" s="14">
        <f t="shared" si="43"/>
        <v>0.2</v>
      </c>
      <c r="F398" s="14">
        <f t="shared" si="44"/>
        <v>2</v>
      </c>
      <c r="G398" s="14">
        <f t="shared" si="45"/>
        <v>1.9567999999999999</v>
      </c>
      <c r="H398" s="14">
        <f t="shared" si="46"/>
        <v>0.4</v>
      </c>
      <c r="I398" s="14">
        <f t="shared" si="47"/>
        <v>0</v>
      </c>
      <c r="J398" s="14">
        <f t="shared" si="48"/>
        <v>0</v>
      </c>
      <c r="K398" s="15">
        <f>IF(CurrentMtgRatesDataTable8[[#This Row],[WA CC]]&lt;&gt;0,C397-CurrentMtgRatesDataTable8[[#This Row],[WA CC]],0)</f>
        <v>0</v>
      </c>
      <c r="L398" s="16">
        <f>IF(CurrentMtgRatesDataTable8[[#This Row],[Servicing Spread]]&lt;=0,L397,CurrentMtgRatesDataTable8[[#This Row],[Servicing Spread]])</f>
        <v>0.51060000000000016</v>
      </c>
      <c r="M398" s="16">
        <f>CurrentMtgRatesDataTable8[[#This Row],[Servicing Spread Non-Zero]]-L397</f>
        <v>0</v>
      </c>
      <c r="N398" s="16">
        <f>IF(J397&lt;&gt;0,CurrentMtgRatesDataTable8[[#This Row],[Rate]]-C397,N397)</f>
        <v>-4.0000000000000036E-2</v>
      </c>
    </row>
    <row r="399" spans="1:14">
      <c r="A399" s="8" t="s">
        <v>1751</v>
      </c>
      <c r="B399" s="11">
        <v>4.8840000000000003</v>
      </c>
      <c r="C399" s="13">
        <v>5.4300000000000006</v>
      </c>
      <c r="D399" s="14">
        <f t="shared" si="42"/>
        <v>5</v>
      </c>
      <c r="E399" s="14">
        <f t="shared" si="43"/>
        <v>0.2</v>
      </c>
      <c r="F399" s="14">
        <f t="shared" si="44"/>
        <v>3</v>
      </c>
      <c r="G399" s="14">
        <f t="shared" si="45"/>
        <v>2.9336000000000002</v>
      </c>
      <c r="H399" s="14">
        <f t="shared" si="46"/>
        <v>0.60000000000000009</v>
      </c>
      <c r="I399" s="14">
        <f t="shared" si="47"/>
        <v>0</v>
      </c>
      <c r="J399" s="14">
        <f t="shared" si="48"/>
        <v>0</v>
      </c>
      <c r="K399" s="15">
        <f>IF(CurrentMtgRatesDataTable8[[#This Row],[WA CC]]&lt;&gt;0,C398-CurrentMtgRatesDataTable8[[#This Row],[WA CC]],0)</f>
        <v>0</v>
      </c>
      <c r="L399" s="16">
        <f>IF(CurrentMtgRatesDataTable8[[#This Row],[Servicing Spread]]&lt;=0,L398,CurrentMtgRatesDataTable8[[#This Row],[Servicing Spread]])</f>
        <v>0.51060000000000016</v>
      </c>
      <c r="M399" s="16">
        <f>CurrentMtgRatesDataTable8[[#This Row],[Servicing Spread Non-Zero]]-L398</f>
        <v>0</v>
      </c>
      <c r="N399" s="16">
        <f>IF(J398&lt;&gt;0,CurrentMtgRatesDataTable8[[#This Row],[Rate]]-C398,N398)</f>
        <v>-4.0000000000000036E-2</v>
      </c>
    </row>
    <row r="400" spans="1:14">
      <c r="A400" s="8" t="s">
        <v>1752</v>
      </c>
      <c r="B400" s="11">
        <v>4.9189999999999996</v>
      </c>
      <c r="C400" s="13">
        <v>5.4300000000000006</v>
      </c>
      <c r="D400" s="14">
        <f t="shared" si="42"/>
        <v>6</v>
      </c>
      <c r="E400" s="14">
        <f t="shared" si="43"/>
        <v>0.2</v>
      </c>
      <c r="F400" s="14">
        <f t="shared" si="44"/>
        <v>4</v>
      </c>
      <c r="G400" s="14">
        <f t="shared" si="45"/>
        <v>3.9174000000000002</v>
      </c>
      <c r="H400" s="14">
        <f t="shared" si="46"/>
        <v>0.8</v>
      </c>
      <c r="I400" s="14">
        <f t="shared" si="47"/>
        <v>0</v>
      </c>
      <c r="J400" s="14">
        <f t="shared" si="48"/>
        <v>0</v>
      </c>
      <c r="K400" s="15">
        <f>IF(CurrentMtgRatesDataTable8[[#This Row],[WA CC]]&lt;&gt;0,C399-CurrentMtgRatesDataTable8[[#This Row],[WA CC]],0)</f>
        <v>0</v>
      </c>
      <c r="L400" s="16">
        <f>IF(CurrentMtgRatesDataTable8[[#This Row],[Servicing Spread]]&lt;=0,L399,CurrentMtgRatesDataTable8[[#This Row],[Servicing Spread]])</f>
        <v>0.51060000000000016</v>
      </c>
      <c r="M400" s="16">
        <f>CurrentMtgRatesDataTable8[[#This Row],[Servicing Spread Non-Zero]]-L399</f>
        <v>0</v>
      </c>
      <c r="N400" s="16">
        <f>IF(J399&lt;&gt;0,CurrentMtgRatesDataTable8[[#This Row],[Rate]]-C399,N399)</f>
        <v>-4.0000000000000036E-2</v>
      </c>
    </row>
    <row r="401" spans="1:14">
      <c r="A401" s="8" t="s">
        <v>1753</v>
      </c>
      <c r="B401" s="11">
        <v>4.9429999999999996</v>
      </c>
      <c r="C401" s="13">
        <v>5.4300000000000006</v>
      </c>
      <c r="D401" s="14">
        <f t="shared" si="42"/>
        <v>7</v>
      </c>
      <c r="E401" s="14">
        <f t="shared" si="43"/>
        <v>0.2</v>
      </c>
      <c r="F401" s="14">
        <f t="shared" si="44"/>
        <v>5</v>
      </c>
      <c r="G401" s="14">
        <f t="shared" si="45"/>
        <v>4.9060000000000006</v>
      </c>
      <c r="H401" s="14">
        <f t="shared" si="46"/>
        <v>1</v>
      </c>
      <c r="I401" s="14">
        <f t="shared" si="47"/>
        <v>1</v>
      </c>
      <c r="J401" s="14">
        <f t="shared" si="48"/>
        <v>4.9060000000000006</v>
      </c>
      <c r="K401" s="15">
        <f>IF(CurrentMtgRatesDataTable8[[#This Row],[WA CC]]&lt;&gt;0,C400-CurrentMtgRatesDataTable8[[#This Row],[WA CC]],0)</f>
        <v>0.52400000000000002</v>
      </c>
      <c r="L401" s="16">
        <f>IF(CurrentMtgRatesDataTable8[[#This Row],[Servicing Spread]]&lt;=0,L400,CurrentMtgRatesDataTable8[[#This Row],[Servicing Spread]])</f>
        <v>0.52400000000000002</v>
      </c>
      <c r="M401" s="16">
        <f>CurrentMtgRatesDataTable8[[#This Row],[Servicing Spread Non-Zero]]-L400</f>
        <v>1.3399999999999856E-2</v>
      </c>
      <c r="N401" s="16">
        <f>IF(J400&lt;&gt;0,CurrentMtgRatesDataTable8[[#This Row],[Rate]]-C400,N400)</f>
        <v>-4.0000000000000036E-2</v>
      </c>
    </row>
    <row r="402" spans="1:14">
      <c r="A402" s="8" t="s">
        <v>1754</v>
      </c>
      <c r="B402" s="11">
        <v>4.91</v>
      </c>
      <c r="C402" s="13">
        <v>5.5200000000000005</v>
      </c>
      <c r="D402" s="14">
        <f t="shared" si="42"/>
        <v>1</v>
      </c>
      <c r="E402" s="14">
        <f t="shared" si="43"/>
        <v>0.2</v>
      </c>
      <c r="F402" s="14">
        <f t="shared" si="44"/>
        <v>1</v>
      </c>
      <c r="G402" s="14">
        <f t="shared" si="45"/>
        <v>0.9820000000000001</v>
      </c>
      <c r="H402" s="14">
        <f t="shared" si="46"/>
        <v>0.2</v>
      </c>
      <c r="I402" s="14">
        <f t="shared" si="47"/>
        <v>0</v>
      </c>
      <c r="J402" s="14">
        <f t="shared" si="48"/>
        <v>0</v>
      </c>
      <c r="K402" s="15">
        <f>IF(CurrentMtgRatesDataTable8[[#This Row],[WA CC]]&lt;&gt;0,C401-CurrentMtgRatesDataTable8[[#This Row],[WA CC]],0)</f>
        <v>0</v>
      </c>
      <c r="L402" s="16">
        <f>IF(CurrentMtgRatesDataTable8[[#This Row],[Servicing Spread]]&lt;=0,L401,CurrentMtgRatesDataTable8[[#This Row],[Servicing Spread]])</f>
        <v>0.52400000000000002</v>
      </c>
      <c r="M402" s="16">
        <f>CurrentMtgRatesDataTable8[[#This Row],[Servicing Spread Non-Zero]]-L401</f>
        <v>0</v>
      </c>
      <c r="N402" s="16">
        <f>IF(J401&lt;&gt;0,CurrentMtgRatesDataTable8[[#This Row],[Rate]]-C401,N401)</f>
        <v>8.9999999999999858E-2</v>
      </c>
    </row>
    <row r="403" spans="1:14">
      <c r="A403" s="8" t="s">
        <v>1755</v>
      </c>
      <c r="B403" s="11">
        <v>4.99</v>
      </c>
      <c r="C403" s="13">
        <v>5.5200000000000005</v>
      </c>
      <c r="D403" s="14">
        <f t="shared" si="42"/>
        <v>2</v>
      </c>
      <c r="E403" s="14">
        <f t="shared" si="43"/>
        <v>0.2</v>
      </c>
      <c r="F403" s="14">
        <f t="shared" si="44"/>
        <v>2</v>
      </c>
      <c r="G403" s="14">
        <f t="shared" si="45"/>
        <v>1.9800000000000002</v>
      </c>
      <c r="H403" s="14">
        <f t="shared" si="46"/>
        <v>0.4</v>
      </c>
      <c r="I403" s="14">
        <f t="shared" si="47"/>
        <v>0</v>
      </c>
      <c r="J403" s="14">
        <f t="shared" si="48"/>
        <v>0</v>
      </c>
      <c r="K403" s="15">
        <f>IF(CurrentMtgRatesDataTable8[[#This Row],[WA CC]]&lt;&gt;0,C402-CurrentMtgRatesDataTable8[[#This Row],[WA CC]],0)</f>
        <v>0</v>
      </c>
      <c r="L403" s="16">
        <f>IF(CurrentMtgRatesDataTable8[[#This Row],[Servicing Spread]]&lt;=0,L402,CurrentMtgRatesDataTable8[[#This Row],[Servicing Spread]])</f>
        <v>0.52400000000000002</v>
      </c>
      <c r="M403" s="16">
        <f>CurrentMtgRatesDataTable8[[#This Row],[Servicing Spread Non-Zero]]-L402</f>
        <v>0</v>
      </c>
      <c r="N403" s="16">
        <f>IF(J402&lt;&gt;0,CurrentMtgRatesDataTable8[[#This Row],[Rate]]-C402,N402)</f>
        <v>8.9999999999999858E-2</v>
      </c>
    </row>
    <row r="404" spans="1:14">
      <c r="A404" s="8" t="s">
        <v>1756</v>
      </c>
      <c r="B404" s="11">
        <v>5.0670000000000002</v>
      </c>
      <c r="C404" s="13">
        <v>5.5200000000000005</v>
      </c>
      <c r="D404" s="14">
        <f t="shared" si="42"/>
        <v>6</v>
      </c>
      <c r="E404" s="14">
        <f t="shared" si="43"/>
        <v>0.2</v>
      </c>
      <c r="F404" s="14">
        <f t="shared" si="44"/>
        <v>3</v>
      </c>
      <c r="G404" s="14">
        <f t="shared" si="45"/>
        <v>2.9934000000000003</v>
      </c>
      <c r="H404" s="14">
        <f t="shared" si="46"/>
        <v>0.60000000000000009</v>
      </c>
      <c r="I404" s="14">
        <f t="shared" si="47"/>
        <v>0</v>
      </c>
      <c r="J404" s="14">
        <f t="shared" si="48"/>
        <v>0</v>
      </c>
      <c r="K404" s="15">
        <f>IF(CurrentMtgRatesDataTable8[[#This Row],[WA CC]]&lt;&gt;0,C403-CurrentMtgRatesDataTable8[[#This Row],[WA CC]],0)</f>
        <v>0</v>
      </c>
      <c r="L404" s="16">
        <f>IF(CurrentMtgRatesDataTable8[[#This Row],[Servicing Spread]]&lt;=0,L403,CurrentMtgRatesDataTable8[[#This Row],[Servicing Spread]])</f>
        <v>0.52400000000000002</v>
      </c>
      <c r="M404" s="16">
        <f>CurrentMtgRatesDataTable8[[#This Row],[Servicing Spread Non-Zero]]-L403</f>
        <v>0</v>
      </c>
      <c r="N404" s="16">
        <f>IF(J403&lt;&gt;0,CurrentMtgRatesDataTable8[[#This Row],[Rate]]-C403,N403)</f>
        <v>8.9999999999999858E-2</v>
      </c>
    </row>
    <row r="405" spans="1:14">
      <c r="A405" s="8" t="s">
        <v>1757</v>
      </c>
      <c r="B405" s="11">
        <v>5.0369999999999999</v>
      </c>
      <c r="C405" s="13">
        <v>5.5200000000000005</v>
      </c>
      <c r="D405" s="14">
        <f t="shared" si="42"/>
        <v>7</v>
      </c>
      <c r="E405" s="14">
        <f t="shared" si="43"/>
        <v>0.2</v>
      </c>
      <c r="F405" s="14">
        <f t="shared" si="44"/>
        <v>4</v>
      </c>
      <c r="G405" s="14">
        <f t="shared" si="45"/>
        <v>4.0007999999999999</v>
      </c>
      <c r="H405" s="14">
        <f t="shared" si="46"/>
        <v>0.8</v>
      </c>
      <c r="I405" s="14">
        <f t="shared" si="47"/>
        <v>1</v>
      </c>
      <c r="J405" s="14">
        <f t="shared" si="48"/>
        <v>5.0009999999999994</v>
      </c>
      <c r="K405" s="15">
        <f>IF(CurrentMtgRatesDataTable8[[#This Row],[WA CC]]&lt;&gt;0,C404-CurrentMtgRatesDataTable8[[#This Row],[WA CC]],0)</f>
        <v>0.51900000000000102</v>
      </c>
      <c r="L405" s="16">
        <f>IF(CurrentMtgRatesDataTable8[[#This Row],[Servicing Spread]]&lt;=0,L404,CurrentMtgRatesDataTable8[[#This Row],[Servicing Spread]])</f>
        <v>0.51900000000000102</v>
      </c>
      <c r="M405" s="16">
        <f>CurrentMtgRatesDataTable8[[#This Row],[Servicing Spread Non-Zero]]-L404</f>
        <v>-4.9999999999990052E-3</v>
      </c>
      <c r="N405" s="16">
        <f>IF(J404&lt;&gt;0,CurrentMtgRatesDataTable8[[#This Row],[Rate]]-C404,N404)</f>
        <v>8.9999999999999858E-2</v>
      </c>
    </row>
    <row r="406" spans="1:14">
      <c r="A406" s="8" t="s">
        <v>1758</v>
      </c>
      <c r="B406" s="11">
        <v>5.0330000000000004</v>
      </c>
      <c r="C406" s="13">
        <v>5.5600000000000005</v>
      </c>
      <c r="D406" s="14">
        <f t="shared" si="42"/>
        <v>1</v>
      </c>
      <c r="E406" s="14">
        <f t="shared" si="43"/>
        <v>0.2</v>
      </c>
      <c r="F406" s="14">
        <f t="shared" si="44"/>
        <v>1</v>
      </c>
      <c r="G406" s="14">
        <f t="shared" si="45"/>
        <v>1.0066000000000002</v>
      </c>
      <c r="H406" s="14">
        <f t="shared" si="46"/>
        <v>0.2</v>
      </c>
      <c r="I406" s="14">
        <f t="shared" si="47"/>
        <v>0</v>
      </c>
      <c r="J406" s="14">
        <f t="shared" si="48"/>
        <v>0</v>
      </c>
      <c r="K406" s="15">
        <f>IF(CurrentMtgRatesDataTable8[[#This Row],[WA CC]]&lt;&gt;0,C405-CurrentMtgRatesDataTable8[[#This Row],[WA CC]],0)</f>
        <v>0</v>
      </c>
      <c r="L406" s="16">
        <f>IF(CurrentMtgRatesDataTable8[[#This Row],[Servicing Spread]]&lt;=0,L405,CurrentMtgRatesDataTable8[[#This Row],[Servicing Spread]])</f>
        <v>0.51900000000000102</v>
      </c>
      <c r="M406" s="16">
        <f>CurrentMtgRatesDataTable8[[#This Row],[Servicing Spread Non-Zero]]-L405</f>
        <v>0</v>
      </c>
      <c r="N406" s="16">
        <f>IF(J405&lt;&gt;0,CurrentMtgRatesDataTable8[[#This Row],[Rate]]-C405,N405)</f>
        <v>4.0000000000000036E-2</v>
      </c>
    </row>
    <row r="407" spans="1:14">
      <c r="A407" s="8" t="s">
        <v>1759</v>
      </c>
      <c r="B407" s="11">
        <v>5.0670000000000002</v>
      </c>
      <c r="C407" s="13">
        <v>5.5600000000000005</v>
      </c>
      <c r="D407" s="14">
        <f t="shared" si="42"/>
        <v>2</v>
      </c>
      <c r="E407" s="14">
        <f t="shared" si="43"/>
        <v>0.2</v>
      </c>
      <c r="F407" s="14">
        <f t="shared" si="44"/>
        <v>2</v>
      </c>
      <c r="G407" s="14">
        <f t="shared" si="45"/>
        <v>2.0200000000000005</v>
      </c>
      <c r="H407" s="14">
        <f t="shared" si="46"/>
        <v>0.4</v>
      </c>
      <c r="I407" s="14">
        <f t="shared" si="47"/>
        <v>0</v>
      </c>
      <c r="J407" s="14">
        <f t="shared" si="48"/>
        <v>0</v>
      </c>
      <c r="K407" s="15">
        <f>IF(CurrentMtgRatesDataTable8[[#This Row],[WA CC]]&lt;&gt;0,C406-CurrentMtgRatesDataTable8[[#This Row],[WA CC]],0)</f>
        <v>0</v>
      </c>
      <c r="L407" s="16">
        <f>IF(CurrentMtgRatesDataTable8[[#This Row],[Servicing Spread]]&lt;=0,L406,CurrentMtgRatesDataTable8[[#This Row],[Servicing Spread]])</f>
        <v>0.51900000000000102</v>
      </c>
      <c r="M407" s="16">
        <f>CurrentMtgRatesDataTable8[[#This Row],[Servicing Spread Non-Zero]]-L406</f>
        <v>0</v>
      </c>
      <c r="N407" s="16">
        <f>IF(J406&lt;&gt;0,CurrentMtgRatesDataTable8[[#This Row],[Rate]]-C406,N406)</f>
        <v>4.0000000000000036E-2</v>
      </c>
    </row>
    <row r="408" spans="1:14">
      <c r="A408" s="8" t="s">
        <v>1760</v>
      </c>
      <c r="B408" s="11">
        <v>5.07</v>
      </c>
      <c r="C408" s="13">
        <v>5.5600000000000005</v>
      </c>
      <c r="D408" s="14">
        <f t="shared" si="42"/>
        <v>5</v>
      </c>
      <c r="E408" s="14">
        <f t="shared" si="43"/>
        <v>0.2</v>
      </c>
      <c r="F408" s="14">
        <f t="shared" si="44"/>
        <v>3</v>
      </c>
      <c r="G408" s="14">
        <f t="shared" si="45"/>
        <v>3.0340000000000007</v>
      </c>
      <c r="H408" s="14">
        <f t="shared" si="46"/>
        <v>0.60000000000000009</v>
      </c>
      <c r="I408" s="14">
        <f t="shared" si="47"/>
        <v>0</v>
      </c>
      <c r="J408" s="14">
        <f t="shared" si="48"/>
        <v>0</v>
      </c>
      <c r="K408" s="15">
        <f>IF(CurrentMtgRatesDataTable8[[#This Row],[WA CC]]&lt;&gt;0,C407-CurrentMtgRatesDataTable8[[#This Row],[WA CC]],0)</f>
        <v>0</v>
      </c>
      <c r="L408" s="16">
        <f>IF(CurrentMtgRatesDataTable8[[#This Row],[Servicing Spread]]&lt;=0,L407,CurrentMtgRatesDataTable8[[#This Row],[Servicing Spread]])</f>
        <v>0.51900000000000102</v>
      </c>
      <c r="M408" s="16">
        <f>CurrentMtgRatesDataTable8[[#This Row],[Servicing Spread Non-Zero]]-L407</f>
        <v>0</v>
      </c>
      <c r="N408" s="16">
        <f>IF(J407&lt;&gt;0,CurrentMtgRatesDataTable8[[#This Row],[Rate]]-C407,N407)</f>
        <v>4.0000000000000036E-2</v>
      </c>
    </row>
    <row r="409" spans="1:14">
      <c r="A409" s="8" t="s">
        <v>1761</v>
      </c>
      <c r="B409" s="11">
        <v>5.1230000000000002</v>
      </c>
      <c r="C409" s="13">
        <v>5.5600000000000005</v>
      </c>
      <c r="D409" s="14">
        <f t="shared" si="42"/>
        <v>6</v>
      </c>
      <c r="E409" s="14">
        <f t="shared" si="43"/>
        <v>0.2</v>
      </c>
      <c r="F409" s="14">
        <f t="shared" si="44"/>
        <v>4</v>
      </c>
      <c r="G409" s="14">
        <f t="shared" si="45"/>
        <v>4.0586000000000011</v>
      </c>
      <c r="H409" s="14">
        <f t="shared" si="46"/>
        <v>0.8</v>
      </c>
      <c r="I409" s="14">
        <f t="shared" si="47"/>
        <v>0</v>
      </c>
      <c r="J409" s="14">
        <f t="shared" si="48"/>
        <v>0</v>
      </c>
      <c r="K409" s="15">
        <f>IF(CurrentMtgRatesDataTable8[[#This Row],[WA CC]]&lt;&gt;0,C408-CurrentMtgRatesDataTable8[[#This Row],[WA CC]],0)</f>
        <v>0</v>
      </c>
      <c r="L409" s="16">
        <f>IF(CurrentMtgRatesDataTable8[[#This Row],[Servicing Spread]]&lt;=0,L408,CurrentMtgRatesDataTable8[[#This Row],[Servicing Spread]])</f>
        <v>0.51900000000000102</v>
      </c>
      <c r="M409" s="16">
        <f>CurrentMtgRatesDataTable8[[#This Row],[Servicing Spread Non-Zero]]-L408</f>
        <v>0</v>
      </c>
      <c r="N409" s="16">
        <f>IF(J408&lt;&gt;0,CurrentMtgRatesDataTable8[[#This Row],[Rate]]-C408,N408)</f>
        <v>4.0000000000000036E-2</v>
      </c>
    </row>
    <row r="410" spans="1:14">
      <c r="A410" s="8" t="s">
        <v>1762</v>
      </c>
      <c r="B410" s="11">
        <v>5.1479999999999997</v>
      </c>
      <c r="C410" s="13">
        <v>5.5600000000000005</v>
      </c>
      <c r="D410" s="14">
        <f t="shared" si="42"/>
        <v>7</v>
      </c>
      <c r="E410" s="14">
        <f t="shared" si="43"/>
        <v>0.2</v>
      </c>
      <c r="F410" s="14">
        <f t="shared" si="44"/>
        <v>5</v>
      </c>
      <c r="G410" s="14">
        <f t="shared" si="45"/>
        <v>5.0882000000000014</v>
      </c>
      <c r="H410" s="14">
        <f t="shared" si="46"/>
        <v>1</v>
      </c>
      <c r="I410" s="14">
        <f t="shared" si="47"/>
        <v>1</v>
      </c>
      <c r="J410" s="14">
        <f t="shared" si="48"/>
        <v>5.0882000000000014</v>
      </c>
      <c r="K410" s="15">
        <f>IF(CurrentMtgRatesDataTable8[[#This Row],[WA CC]]&lt;&gt;0,C409-CurrentMtgRatesDataTable8[[#This Row],[WA CC]],0)</f>
        <v>0.47179999999999911</v>
      </c>
      <c r="L410" s="16">
        <f>IF(CurrentMtgRatesDataTable8[[#This Row],[Servicing Spread]]&lt;=0,L409,CurrentMtgRatesDataTable8[[#This Row],[Servicing Spread]])</f>
        <v>0.47179999999999911</v>
      </c>
      <c r="M410" s="16">
        <f>CurrentMtgRatesDataTable8[[#This Row],[Servicing Spread Non-Zero]]-L409</f>
        <v>-4.7200000000001907E-2</v>
      </c>
      <c r="N410" s="16">
        <f>IF(J409&lt;&gt;0,CurrentMtgRatesDataTable8[[#This Row],[Rate]]-C409,N409)</f>
        <v>4.0000000000000036E-2</v>
      </c>
    </row>
    <row r="411" spans="1:14">
      <c r="A411" s="8" t="s">
        <v>1763</v>
      </c>
      <c r="B411" s="11">
        <v>5.1509999999999998</v>
      </c>
      <c r="C411" s="13">
        <v>5.58</v>
      </c>
      <c r="D411" s="14">
        <f t="shared" si="42"/>
        <v>1</v>
      </c>
      <c r="E411" s="14">
        <f t="shared" si="43"/>
        <v>0.2</v>
      </c>
      <c r="F411" s="14">
        <f t="shared" si="44"/>
        <v>1</v>
      </c>
      <c r="G411" s="14">
        <f t="shared" si="45"/>
        <v>1.0302</v>
      </c>
      <c r="H411" s="14">
        <f t="shared" si="46"/>
        <v>0.2</v>
      </c>
      <c r="I411" s="14">
        <f t="shared" si="47"/>
        <v>0</v>
      </c>
      <c r="J411" s="14">
        <f t="shared" si="48"/>
        <v>0</v>
      </c>
      <c r="K411" s="15">
        <f>IF(CurrentMtgRatesDataTable8[[#This Row],[WA CC]]&lt;&gt;0,C410-CurrentMtgRatesDataTable8[[#This Row],[WA CC]],0)</f>
        <v>0</v>
      </c>
      <c r="L411" s="16">
        <f>IF(CurrentMtgRatesDataTable8[[#This Row],[Servicing Spread]]&lt;=0,L410,CurrentMtgRatesDataTable8[[#This Row],[Servicing Spread]])</f>
        <v>0.47179999999999911</v>
      </c>
      <c r="M411" s="16">
        <f>CurrentMtgRatesDataTable8[[#This Row],[Servicing Spread Non-Zero]]-L410</f>
        <v>0</v>
      </c>
      <c r="N411" s="16">
        <f>IF(J410&lt;&gt;0,CurrentMtgRatesDataTable8[[#This Row],[Rate]]-C410,N410)</f>
        <v>1.9999999999999574E-2</v>
      </c>
    </row>
    <row r="412" spans="1:14">
      <c r="A412" s="8" t="s">
        <v>1764</v>
      </c>
      <c r="B412" s="11">
        <v>5.141</v>
      </c>
      <c r="C412" s="13">
        <v>5.58</v>
      </c>
      <c r="D412" s="14">
        <f t="shared" si="42"/>
        <v>2</v>
      </c>
      <c r="E412" s="14">
        <f t="shared" si="43"/>
        <v>0.2</v>
      </c>
      <c r="F412" s="14">
        <f t="shared" si="44"/>
        <v>2</v>
      </c>
      <c r="G412" s="14">
        <f t="shared" si="45"/>
        <v>2.0583999999999998</v>
      </c>
      <c r="H412" s="14">
        <f t="shared" si="46"/>
        <v>0.4</v>
      </c>
      <c r="I412" s="14">
        <f t="shared" si="47"/>
        <v>0</v>
      </c>
      <c r="J412" s="14">
        <f t="shared" si="48"/>
        <v>0</v>
      </c>
      <c r="K412" s="15">
        <f>IF(CurrentMtgRatesDataTable8[[#This Row],[WA CC]]&lt;&gt;0,C411-CurrentMtgRatesDataTable8[[#This Row],[WA CC]],0)</f>
        <v>0</v>
      </c>
      <c r="L412" s="16">
        <f>IF(CurrentMtgRatesDataTable8[[#This Row],[Servicing Spread]]&lt;=0,L411,CurrentMtgRatesDataTable8[[#This Row],[Servicing Spread]])</f>
        <v>0.47179999999999911</v>
      </c>
      <c r="M412" s="16">
        <f>CurrentMtgRatesDataTable8[[#This Row],[Servicing Spread Non-Zero]]-L411</f>
        <v>0</v>
      </c>
      <c r="N412" s="16">
        <f>IF(J411&lt;&gt;0,CurrentMtgRatesDataTable8[[#This Row],[Rate]]-C411,N411)</f>
        <v>1.9999999999999574E-2</v>
      </c>
    </row>
    <row r="413" spans="1:14">
      <c r="A413" s="8" t="s">
        <v>1765</v>
      </c>
      <c r="B413" s="11">
        <v>5.1840000000000002</v>
      </c>
      <c r="C413" s="13">
        <v>5.58</v>
      </c>
      <c r="D413" s="14">
        <f t="shared" si="42"/>
        <v>5</v>
      </c>
      <c r="E413" s="14">
        <f t="shared" si="43"/>
        <v>0.2</v>
      </c>
      <c r="F413" s="14">
        <f t="shared" si="44"/>
        <v>3</v>
      </c>
      <c r="G413" s="14">
        <f t="shared" si="45"/>
        <v>3.0952000000000002</v>
      </c>
      <c r="H413" s="14">
        <f t="shared" si="46"/>
        <v>0.60000000000000009</v>
      </c>
      <c r="I413" s="14">
        <f t="shared" si="47"/>
        <v>0</v>
      </c>
      <c r="J413" s="14">
        <f t="shared" si="48"/>
        <v>0</v>
      </c>
      <c r="K413" s="15">
        <f>IF(CurrentMtgRatesDataTable8[[#This Row],[WA CC]]&lt;&gt;0,C412-CurrentMtgRatesDataTable8[[#This Row],[WA CC]],0)</f>
        <v>0</v>
      </c>
      <c r="L413" s="16">
        <f>IF(CurrentMtgRatesDataTable8[[#This Row],[Servicing Spread]]&lt;=0,L412,CurrentMtgRatesDataTable8[[#This Row],[Servicing Spread]])</f>
        <v>0.47179999999999911</v>
      </c>
      <c r="M413" s="16">
        <f>CurrentMtgRatesDataTable8[[#This Row],[Servicing Spread Non-Zero]]-L412</f>
        <v>0</v>
      </c>
      <c r="N413" s="16">
        <f>IF(J412&lt;&gt;0,CurrentMtgRatesDataTable8[[#This Row],[Rate]]-C412,N412)</f>
        <v>1.9999999999999574E-2</v>
      </c>
    </row>
    <row r="414" spans="1:14">
      <c r="A414" s="8" t="s">
        <v>1766</v>
      </c>
      <c r="B414" s="11">
        <v>5.16</v>
      </c>
      <c r="C414" s="13">
        <v>5.58</v>
      </c>
      <c r="D414" s="14">
        <f t="shared" si="42"/>
        <v>6</v>
      </c>
      <c r="E414" s="14">
        <f t="shared" si="43"/>
        <v>0.2</v>
      </c>
      <c r="F414" s="14">
        <f t="shared" si="44"/>
        <v>4</v>
      </c>
      <c r="G414" s="14">
        <f t="shared" si="45"/>
        <v>4.1272000000000002</v>
      </c>
      <c r="H414" s="14">
        <f t="shared" si="46"/>
        <v>0.8</v>
      </c>
      <c r="I414" s="14">
        <f t="shared" si="47"/>
        <v>0</v>
      </c>
      <c r="J414" s="14">
        <f t="shared" si="48"/>
        <v>0</v>
      </c>
      <c r="K414" s="15">
        <f>IF(CurrentMtgRatesDataTable8[[#This Row],[WA CC]]&lt;&gt;0,C413-CurrentMtgRatesDataTable8[[#This Row],[WA CC]],0)</f>
        <v>0</v>
      </c>
      <c r="L414" s="16">
        <f>IF(CurrentMtgRatesDataTable8[[#This Row],[Servicing Spread]]&lt;=0,L413,CurrentMtgRatesDataTable8[[#This Row],[Servicing Spread]])</f>
        <v>0.47179999999999911</v>
      </c>
      <c r="M414" s="16">
        <f>CurrentMtgRatesDataTable8[[#This Row],[Servicing Spread Non-Zero]]-L413</f>
        <v>0</v>
      </c>
      <c r="N414" s="16">
        <f>IF(J413&lt;&gt;0,CurrentMtgRatesDataTable8[[#This Row],[Rate]]-C413,N413)</f>
        <v>1.9999999999999574E-2</v>
      </c>
    </row>
    <row r="415" spans="1:14">
      <c r="A415" s="8" t="s">
        <v>1767</v>
      </c>
      <c r="B415" s="11">
        <v>5.1349999999999998</v>
      </c>
      <c r="C415" s="13">
        <v>5.58</v>
      </c>
      <c r="D415" s="14">
        <f t="shared" si="42"/>
        <v>7</v>
      </c>
      <c r="E415" s="14">
        <f t="shared" si="43"/>
        <v>0.2</v>
      </c>
      <c r="F415" s="14">
        <f t="shared" si="44"/>
        <v>5</v>
      </c>
      <c r="G415" s="14">
        <f t="shared" si="45"/>
        <v>5.1542000000000003</v>
      </c>
      <c r="H415" s="14">
        <f t="shared" si="46"/>
        <v>1</v>
      </c>
      <c r="I415" s="14">
        <f t="shared" si="47"/>
        <v>1</v>
      </c>
      <c r="J415" s="14">
        <f t="shared" si="48"/>
        <v>5.1542000000000003</v>
      </c>
      <c r="K415" s="15">
        <f>IF(CurrentMtgRatesDataTable8[[#This Row],[WA CC]]&lt;&gt;0,C414-CurrentMtgRatesDataTable8[[#This Row],[WA CC]],0)</f>
        <v>0.42579999999999973</v>
      </c>
      <c r="L415" s="16">
        <f>IF(CurrentMtgRatesDataTable8[[#This Row],[Servicing Spread]]&lt;=0,L414,CurrentMtgRatesDataTable8[[#This Row],[Servicing Spread]])</f>
        <v>0.42579999999999973</v>
      </c>
      <c r="M415" s="16">
        <f>CurrentMtgRatesDataTable8[[#This Row],[Servicing Spread Non-Zero]]-L414</f>
        <v>-4.5999999999999375E-2</v>
      </c>
      <c r="N415" s="16">
        <f>IF(J414&lt;&gt;0,CurrentMtgRatesDataTable8[[#This Row],[Rate]]-C414,N414)</f>
        <v>1.9999999999999574E-2</v>
      </c>
    </row>
    <row r="416" spans="1:14">
      <c r="A416" s="8" t="s">
        <v>1768</v>
      </c>
      <c r="B416" s="11">
        <v>5.27</v>
      </c>
      <c r="C416" s="13">
        <v>5.6449999999999996</v>
      </c>
      <c r="D416" s="14">
        <f t="shared" si="42"/>
        <v>1</v>
      </c>
      <c r="E416" s="14">
        <f t="shared" si="43"/>
        <v>0.2</v>
      </c>
      <c r="F416" s="14">
        <f t="shared" si="44"/>
        <v>1</v>
      </c>
      <c r="G416" s="14">
        <f t="shared" si="45"/>
        <v>1.054</v>
      </c>
      <c r="H416" s="14">
        <f t="shared" si="46"/>
        <v>0.2</v>
      </c>
      <c r="I416" s="14">
        <f t="shared" si="47"/>
        <v>0</v>
      </c>
      <c r="J416" s="14">
        <f t="shared" si="48"/>
        <v>0</v>
      </c>
      <c r="K416" s="15">
        <f>IF(CurrentMtgRatesDataTable8[[#This Row],[WA CC]]&lt;&gt;0,C415-CurrentMtgRatesDataTable8[[#This Row],[WA CC]],0)</f>
        <v>0</v>
      </c>
      <c r="L416" s="16">
        <f>IF(CurrentMtgRatesDataTable8[[#This Row],[Servicing Spread]]&lt;=0,L415,CurrentMtgRatesDataTable8[[#This Row],[Servicing Spread]])</f>
        <v>0.42579999999999973</v>
      </c>
      <c r="M416" s="16">
        <f>CurrentMtgRatesDataTable8[[#This Row],[Servicing Spread Non-Zero]]-L415</f>
        <v>0</v>
      </c>
      <c r="N416" s="16">
        <f>IF(J415&lt;&gt;0,CurrentMtgRatesDataTable8[[#This Row],[Rate]]-C415,N415)</f>
        <v>6.4999999999999503E-2</v>
      </c>
    </row>
    <row r="417" spans="1:14">
      <c r="A417" s="8" t="s">
        <v>1769</v>
      </c>
      <c r="B417" s="11">
        <v>5.2220000000000004</v>
      </c>
      <c r="C417" s="13">
        <v>5.6449999999999996</v>
      </c>
      <c r="D417" s="14">
        <f t="shared" si="42"/>
        <v>2</v>
      </c>
      <c r="E417" s="14">
        <f t="shared" si="43"/>
        <v>0.2</v>
      </c>
      <c r="F417" s="14">
        <f t="shared" si="44"/>
        <v>2</v>
      </c>
      <c r="G417" s="14">
        <f t="shared" si="45"/>
        <v>2.0984000000000003</v>
      </c>
      <c r="H417" s="14">
        <f t="shared" si="46"/>
        <v>0.4</v>
      </c>
      <c r="I417" s="14">
        <f t="shared" si="47"/>
        <v>0</v>
      </c>
      <c r="J417" s="14">
        <f t="shared" si="48"/>
        <v>0</v>
      </c>
      <c r="K417" s="15">
        <f>IF(CurrentMtgRatesDataTable8[[#This Row],[WA CC]]&lt;&gt;0,C416-CurrentMtgRatesDataTable8[[#This Row],[WA CC]],0)</f>
        <v>0</v>
      </c>
      <c r="L417" s="16">
        <f>IF(CurrentMtgRatesDataTable8[[#This Row],[Servicing Spread]]&lt;=0,L416,CurrentMtgRatesDataTable8[[#This Row],[Servicing Spread]])</f>
        <v>0.42579999999999973</v>
      </c>
      <c r="M417" s="16">
        <f>CurrentMtgRatesDataTable8[[#This Row],[Servicing Spread Non-Zero]]-L416</f>
        <v>0</v>
      </c>
      <c r="N417" s="16">
        <f>IF(J416&lt;&gt;0,CurrentMtgRatesDataTable8[[#This Row],[Rate]]-C416,N416)</f>
        <v>6.4999999999999503E-2</v>
      </c>
    </row>
    <row r="418" spans="1:14">
      <c r="A418" s="8" t="s">
        <v>1770</v>
      </c>
      <c r="B418" s="11">
        <v>5.2519999999999998</v>
      </c>
      <c r="C418" s="13">
        <v>5.6449999999999996</v>
      </c>
      <c r="D418" s="14">
        <f t="shared" si="42"/>
        <v>5</v>
      </c>
      <c r="E418" s="14">
        <f t="shared" si="43"/>
        <v>0.2</v>
      </c>
      <c r="F418" s="14">
        <f t="shared" si="44"/>
        <v>3</v>
      </c>
      <c r="G418" s="14">
        <f t="shared" si="45"/>
        <v>3.1488000000000005</v>
      </c>
      <c r="H418" s="14">
        <f t="shared" si="46"/>
        <v>0.60000000000000009</v>
      </c>
      <c r="I418" s="14">
        <f t="shared" si="47"/>
        <v>0</v>
      </c>
      <c r="J418" s="14">
        <f t="shared" si="48"/>
        <v>0</v>
      </c>
      <c r="K418" s="15">
        <f>IF(CurrentMtgRatesDataTable8[[#This Row],[WA CC]]&lt;&gt;0,C417-CurrentMtgRatesDataTable8[[#This Row],[WA CC]],0)</f>
        <v>0</v>
      </c>
      <c r="L418" s="16">
        <f>IF(CurrentMtgRatesDataTable8[[#This Row],[Servicing Spread]]&lt;=0,L417,CurrentMtgRatesDataTable8[[#This Row],[Servicing Spread]])</f>
        <v>0.42579999999999973</v>
      </c>
      <c r="M418" s="16">
        <f>CurrentMtgRatesDataTable8[[#This Row],[Servicing Spread Non-Zero]]-L417</f>
        <v>0</v>
      </c>
      <c r="N418" s="16">
        <f>IF(J417&lt;&gt;0,CurrentMtgRatesDataTable8[[#This Row],[Rate]]-C417,N417)</f>
        <v>6.4999999999999503E-2</v>
      </c>
    </row>
    <row r="419" spans="1:14">
      <c r="A419" s="8" t="s">
        <v>1771</v>
      </c>
      <c r="B419" s="11">
        <v>5.2430000000000003</v>
      </c>
      <c r="C419" s="13">
        <v>5.6449999999999996</v>
      </c>
      <c r="D419" s="14">
        <f t="shared" si="42"/>
        <v>6</v>
      </c>
      <c r="E419" s="14">
        <f t="shared" si="43"/>
        <v>0.2</v>
      </c>
      <c r="F419" s="14">
        <f t="shared" si="44"/>
        <v>4</v>
      </c>
      <c r="G419" s="14">
        <f t="shared" si="45"/>
        <v>4.1974000000000009</v>
      </c>
      <c r="H419" s="14">
        <f t="shared" si="46"/>
        <v>0.8</v>
      </c>
      <c r="I419" s="14">
        <f t="shared" si="47"/>
        <v>0</v>
      </c>
      <c r="J419" s="14">
        <f t="shared" si="48"/>
        <v>0</v>
      </c>
      <c r="K419" s="15">
        <f>IF(CurrentMtgRatesDataTable8[[#This Row],[WA CC]]&lt;&gt;0,C418-CurrentMtgRatesDataTable8[[#This Row],[WA CC]],0)</f>
        <v>0</v>
      </c>
      <c r="L419" s="16">
        <f>IF(CurrentMtgRatesDataTable8[[#This Row],[Servicing Spread]]&lt;=0,L418,CurrentMtgRatesDataTable8[[#This Row],[Servicing Spread]])</f>
        <v>0.42579999999999973</v>
      </c>
      <c r="M419" s="16">
        <f>CurrentMtgRatesDataTable8[[#This Row],[Servicing Spread Non-Zero]]-L418</f>
        <v>0</v>
      </c>
      <c r="N419" s="16">
        <f>IF(J418&lt;&gt;0,CurrentMtgRatesDataTable8[[#This Row],[Rate]]-C418,N418)</f>
        <v>6.4999999999999503E-2</v>
      </c>
    </row>
    <row r="420" spans="1:14">
      <c r="A420" s="8" t="s">
        <v>1772</v>
      </c>
      <c r="B420" s="11">
        <v>5.258</v>
      </c>
      <c r="C420" s="13">
        <v>5.6449999999999996</v>
      </c>
      <c r="D420" s="14">
        <f t="shared" si="42"/>
        <v>7</v>
      </c>
      <c r="E420" s="14">
        <f t="shared" si="43"/>
        <v>0.2</v>
      </c>
      <c r="F420" s="14">
        <f t="shared" si="44"/>
        <v>5</v>
      </c>
      <c r="G420" s="14">
        <f t="shared" si="45"/>
        <v>5.2490000000000006</v>
      </c>
      <c r="H420" s="14">
        <f t="shared" si="46"/>
        <v>1</v>
      </c>
      <c r="I420" s="14">
        <f t="shared" si="47"/>
        <v>1</v>
      </c>
      <c r="J420" s="14">
        <f t="shared" si="48"/>
        <v>5.2490000000000006</v>
      </c>
      <c r="K420" s="15">
        <f>IF(CurrentMtgRatesDataTable8[[#This Row],[WA CC]]&lt;&gt;0,C419-CurrentMtgRatesDataTable8[[#This Row],[WA CC]],0)</f>
        <v>0.39599999999999902</v>
      </c>
      <c r="L420" s="16">
        <f>IF(CurrentMtgRatesDataTable8[[#This Row],[Servicing Spread]]&lt;=0,L419,CurrentMtgRatesDataTable8[[#This Row],[Servicing Spread]])</f>
        <v>0.39599999999999902</v>
      </c>
      <c r="M420" s="16">
        <f>CurrentMtgRatesDataTable8[[#This Row],[Servicing Spread Non-Zero]]-L419</f>
        <v>-2.9800000000000715E-2</v>
      </c>
      <c r="N420" s="16">
        <f>IF(J419&lt;&gt;0,CurrentMtgRatesDataTable8[[#This Row],[Rate]]-C419,N419)</f>
        <v>6.4999999999999503E-2</v>
      </c>
    </row>
    <row r="421" spans="1:14">
      <c r="A421" s="8" t="s">
        <v>1773</v>
      </c>
      <c r="B421" s="11">
        <v>5.194</v>
      </c>
      <c r="C421" s="13">
        <v>5.7200000000000006</v>
      </c>
      <c r="D421" s="14">
        <f t="shared" si="42"/>
        <v>1</v>
      </c>
      <c r="E421" s="14">
        <f t="shared" si="43"/>
        <v>0.2</v>
      </c>
      <c r="F421" s="14">
        <f t="shared" si="44"/>
        <v>1</v>
      </c>
      <c r="G421" s="14">
        <f t="shared" si="45"/>
        <v>1.0387999999999999</v>
      </c>
      <c r="H421" s="14">
        <f t="shared" si="46"/>
        <v>0.2</v>
      </c>
      <c r="I421" s="14">
        <f t="shared" si="47"/>
        <v>0</v>
      </c>
      <c r="J421" s="14">
        <f t="shared" si="48"/>
        <v>0</v>
      </c>
      <c r="K421" s="15">
        <f>IF(CurrentMtgRatesDataTable8[[#This Row],[WA CC]]&lt;&gt;0,C420-CurrentMtgRatesDataTable8[[#This Row],[WA CC]],0)</f>
        <v>0</v>
      </c>
      <c r="L421" s="16">
        <f>IF(CurrentMtgRatesDataTable8[[#This Row],[Servicing Spread]]&lt;=0,L420,CurrentMtgRatesDataTable8[[#This Row],[Servicing Spread]])</f>
        <v>0.39599999999999902</v>
      </c>
      <c r="M421" s="16">
        <f>CurrentMtgRatesDataTable8[[#This Row],[Servicing Spread Non-Zero]]-L420</f>
        <v>0</v>
      </c>
      <c r="N421" s="16">
        <f>IF(J420&lt;&gt;0,CurrentMtgRatesDataTable8[[#This Row],[Rate]]-C420,N420)</f>
        <v>7.5000000000001066E-2</v>
      </c>
    </row>
    <row r="422" spans="1:14">
      <c r="A422" s="8" t="s">
        <v>1774</v>
      </c>
      <c r="B422" s="11">
        <v>5.2830000000000004</v>
      </c>
      <c r="C422" s="13">
        <v>5.7200000000000006</v>
      </c>
      <c r="D422" s="14">
        <f t="shared" si="42"/>
        <v>2</v>
      </c>
      <c r="E422" s="14">
        <f t="shared" si="43"/>
        <v>0.2</v>
      </c>
      <c r="F422" s="14">
        <f t="shared" si="44"/>
        <v>2</v>
      </c>
      <c r="G422" s="14">
        <f t="shared" si="45"/>
        <v>2.0954000000000002</v>
      </c>
      <c r="H422" s="14">
        <f t="shared" si="46"/>
        <v>0.4</v>
      </c>
      <c r="I422" s="14">
        <f t="shared" si="47"/>
        <v>0</v>
      </c>
      <c r="J422" s="14">
        <f t="shared" si="48"/>
        <v>0</v>
      </c>
      <c r="K422" s="15">
        <f>IF(CurrentMtgRatesDataTable8[[#This Row],[WA CC]]&lt;&gt;0,C421-CurrentMtgRatesDataTable8[[#This Row],[WA CC]],0)</f>
        <v>0</v>
      </c>
      <c r="L422" s="16">
        <f>IF(CurrentMtgRatesDataTable8[[#This Row],[Servicing Spread]]&lt;=0,L421,CurrentMtgRatesDataTable8[[#This Row],[Servicing Spread]])</f>
        <v>0.39599999999999902</v>
      </c>
      <c r="M422" s="16">
        <f>CurrentMtgRatesDataTable8[[#This Row],[Servicing Spread Non-Zero]]-L421</f>
        <v>0</v>
      </c>
      <c r="N422" s="16">
        <f>IF(J421&lt;&gt;0,CurrentMtgRatesDataTable8[[#This Row],[Rate]]-C421,N421)</f>
        <v>7.5000000000001066E-2</v>
      </c>
    </row>
    <row r="423" spans="1:14">
      <c r="A423" s="8" t="s">
        <v>1775</v>
      </c>
      <c r="B423" s="11">
        <v>5.3310000000000004</v>
      </c>
      <c r="C423" s="13">
        <v>5.7200000000000006</v>
      </c>
      <c r="D423" s="14">
        <f t="shared" si="42"/>
        <v>5</v>
      </c>
      <c r="E423" s="14">
        <f t="shared" si="43"/>
        <v>0.2</v>
      </c>
      <c r="F423" s="14">
        <f t="shared" si="44"/>
        <v>3</v>
      </c>
      <c r="G423" s="14">
        <f t="shared" si="45"/>
        <v>3.1616</v>
      </c>
      <c r="H423" s="14">
        <f t="shared" si="46"/>
        <v>0.60000000000000009</v>
      </c>
      <c r="I423" s="14">
        <f t="shared" si="47"/>
        <v>0</v>
      </c>
      <c r="J423" s="14">
        <f t="shared" si="48"/>
        <v>0</v>
      </c>
      <c r="K423" s="15">
        <f>IF(CurrentMtgRatesDataTable8[[#This Row],[WA CC]]&lt;&gt;0,C422-CurrentMtgRatesDataTable8[[#This Row],[WA CC]],0)</f>
        <v>0</v>
      </c>
      <c r="L423" s="16">
        <f>IF(CurrentMtgRatesDataTable8[[#This Row],[Servicing Spread]]&lt;=0,L422,CurrentMtgRatesDataTable8[[#This Row],[Servicing Spread]])</f>
        <v>0.39599999999999902</v>
      </c>
      <c r="M423" s="16">
        <f>CurrentMtgRatesDataTable8[[#This Row],[Servicing Spread Non-Zero]]-L422</f>
        <v>0</v>
      </c>
      <c r="N423" s="16">
        <f>IF(J422&lt;&gt;0,CurrentMtgRatesDataTable8[[#This Row],[Rate]]-C422,N422)</f>
        <v>7.5000000000001066E-2</v>
      </c>
    </row>
    <row r="424" spans="1:14">
      <c r="A424" s="8" t="s">
        <v>1776</v>
      </c>
      <c r="B424" s="11">
        <v>5.3470000000000004</v>
      </c>
      <c r="C424" s="13">
        <v>5.7200000000000006</v>
      </c>
      <c r="D424" s="14">
        <f t="shared" si="42"/>
        <v>6</v>
      </c>
      <c r="E424" s="14">
        <f t="shared" si="43"/>
        <v>0.2</v>
      </c>
      <c r="F424" s="14">
        <f t="shared" si="44"/>
        <v>4</v>
      </c>
      <c r="G424" s="14">
        <f t="shared" si="45"/>
        <v>4.2309999999999999</v>
      </c>
      <c r="H424" s="14">
        <f t="shared" si="46"/>
        <v>0.8</v>
      </c>
      <c r="I424" s="14">
        <f t="shared" si="47"/>
        <v>0</v>
      </c>
      <c r="J424" s="14">
        <f t="shared" si="48"/>
        <v>0</v>
      </c>
      <c r="K424" s="15">
        <f>IF(CurrentMtgRatesDataTable8[[#This Row],[WA CC]]&lt;&gt;0,C423-CurrentMtgRatesDataTable8[[#This Row],[WA CC]],0)</f>
        <v>0</v>
      </c>
      <c r="L424" s="16">
        <f>IF(CurrentMtgRatesDataTable8[[#This Row],[Servicing Spread]]&lt;=0,L423,CurrentMtgRatesDataTable8[[#This Row],[Servicing Spread]])</f>
        <v>0.39599999999999902</v>
      </c>
      <c r="M424" s="16">
        <f>CurrentMtgRatesDataTable8[[#This Row],[Servicing Spread Non-Zero]]-L423</f>
        <v>0</v>
      </c>
      <c r="N424" s="16">
        <f>IF(J423&lt;&gt;0,CurrentMtgRatesDataTable8[[#This Row],[Rate]]-C423,N423)</f>
        <v>7.5000000000001066E-2</v>
      </c>
    </row>
    <row r="425" spans="1:14">
      <c r="A425" s="8" t="s">
        <v>1777</v>
      </c>
      <c r="B425" s="11">
        <v>5.3029999999999999</v>
      </c>
      <c r="C425" s="13">
        <v>5.7200000000000006</v>
      </c>
      <c r="D425" s="14">
        <f t="shared" si="42"/>
        <v>7</v>
      </c>
      <c r="E425" s="14">
        <f t="shared" si="43"/>
        <v>0.2</v>
      </c>
      <c r="F425" s="14">
        <f t="shared" si="44"/>
        <v>5</v>
      </c>
      <c r="G425" s="14">
        <f t="shared" si="45"/>
        <v>5.2915999999999999</v>
      </c>
      <c r="H425" s="14">
        <f t="shared" si="46"/>
        <v>1</v>
      </c>
      <c r="I425" s="14">
        <f t="shared" si="47"/>
        <v>1</v>
      </c>
      <c r="J425" s="14">
        <f t="shared" si="48"/>
        <v>5.2915999999999999</v>
      </c>
      <c r="K425" s="15">
        <f>IF(CurrentMtgRatesDataTable8[[#This Row],[WA CC]]&lt;&gt;0,C424-CurrentMtgRatesDataTable8[[#This Row],[WA CC]],0)</f>
        <v>0.42840000000000078</v>
      </c>
      <c r="L425" s="16">
        <f>IF(CurrentMtgRatesDataTable8[[#This Row],[Servicing Spread]]&lt;=0,L424,CurrentMtgRatesDataTable8[[#This Row],[Servicing Spread]])</f>
        <v>0.42840000000000078</v>
      </c>
      <c r="M425" s="16">
        <f>CurrentMtgRatesDataTable8[[#This Row],[Servicing Spread Non-Zero]]-L424</f>
        <v>3.2400000000001761E-2</v>
      </c>
      <c r="N425" s="16">
        <f>IF(J424&lt;&gt;0,CurrentMtgRatesDataTable8[[#This Row],[Rate]]-C424,N424)</f>
        <v>7.5000000000001066E-2</v>
      </c>
    </row>
    <row r="426" spans="1:14">
      <c r="A426" s="8" t="s">
        <v>1778</v>
      </c>
      <c r="B426" s="11">
        <v>5.3230000000000004</v>
      </c>
      <c r="C426" s="13">
        <v>5.7649999999999997</v>
      </c>
      <c r="D426" s="14">
        <f t="shared" si="42"/>
        <v>1</v>
      </c>
      <c r="E426" s="14">
        <f t="shared" si="43"/>
        <v>0.2</v>
      </c>
      <c r="F426" s="14">
        <f t="shared" si="44"/>
        <v>1</v>
      </c>
      <c r="G426" s="14">
        <f t="shared" si="45"/>
        <v>1.0646000000000002</v>
      </c>
      <c r="H426" s="14">
        <f t="shared" si="46"/>
        <v>0.2</v>
      </c>
      <c r="I426" s="14">
        <f t="shared" si="47"/>
        <v>0</v>
      </c>
      <c r="J426" s="14">
        <f t="shared" si="48"/>
        <v>0</v>
      </c>
      <c r="K426" s="15">
        <f>IF(CurrentMtgRatesDataTable8[[#This Row],[WA CC]]&lt;&gt;0,C425-CurrentMtgRatesDataTable8[[#This Row],[WA CC]],0)</f>
        <v>0</v>
      </c>
      <c r="L426" s="16">
        <f>IF(CurrentMtgRatesDataTable8[[#This Row],[Servicing Spread]]&lt;=0,L425,CurrentMtgRatesDataTable8[[#This Row],[Servicing Spread]])</f>
        <v>0.42840000000000078</v>
      </c>
      <c r="M426" s="16">
        <f>CurrentMtgRatesDataTable8[[#This Row],[Servicing Spread Non-Zero]]-L425</f>
        <v>0</v>
      </c>
      <c r="N426" s="16">
        <f>IF(J425&lt;&gt;0,CurrentMtgRatesDataTable8[[#This Row],[Rate]]-C425,N425)</f>
        <v>4.4999999999999041E-2</v>
      </c>
    </row>
    <row r="427" spans="1:14">
      <c r="A427" s="8" t="s">
        <v>1779</v>
      </c>
      <c r="B427" s="11">
        <v>5.4039999999999999</v>
      </c>
      <c r="C427" s="13">
        <v>5.7649999999999997</v>
      </c>
      <c r="D427" s="14">
        <f t="shared" si="42"/>
        <v>2</v>
      </c>
      <c r="E427" s="14">
        <f t="shared" si="43"/>
        <v>0.2</v>
      </c>
      <c r="F427" s="14">
        <f t="shared" si="44"/>
        <v>2</v>
      </c>
      <c r="G427" s="14">
        <f t="shared" si="45"/>
        <v>2.1454000000000004</v>
      </c>
      <c r="H427" s="14">
        <f t="shared" si="46"/>
        <v>0.4</v>
      </c>
      <c r="I427" s="14">
        <f t="shared" si="47"/>
        <v>0</v>
      </c>
      <c r="J427" s="14">
        <f t="shared" si="48"/>
        <v>0</v>
      </c>
      <c r="K427" s="15">
        <f>IF(CurrentMtgRatesDataTable8[[#This Row],[WA CC]]&lt;&gt;0,C426-CurrentMtgRatesDataTable8[[#This Row],[WA CC]],0)</f>
        <v>0</v>
      </c>
      <c r="L427" s="16">
        <f>IF(CurrentMtgRatesDataTable8[[#This Row],[Servicing Spread]]&lt;=0,L426,CurrentMtgRatesDataTable8[[#This Row],[Servicing Spread]])</f>
        <v>0.42840000000000078</v>
      </c>
      <c r="M427" s="16">
        <f>CurrentMtgRatesDataTable8[[#This Row],[Servicing Spread Non-Zero]]-L426</f>
        <v>0</v>
      </c>
      <c r="N427" s="16">
        <f>IF(J426&lt;&gt;0,CurrentMtgRatesDataTable8[[#This Row],[Rate]]-C426,N426)</f>
        <v>4.4999999999999041E-2</v>
      </c>
    </row>
    <row r="428" spans="1:14">
      <c r="A428" s="8" t="s">
        <v>1780</v>
      </c>
      <c r="B428" s="11">
        <v>5.4359999999999999</v>
      </c>
      <c r="C428" s="13">
        <v>5.7649999999999997</v>
      </c>
      <c r="D428" s="14">
        <f t="shared" si="42"/>
        <v>5</v>
      </c>
      <c r="E428" s="14">
        <f t="shared" si="43"/>
        <v>0.2</v>
      </c>
      <c r="F428" s="14">
        <f t="shared" si="44"/>
        <v>3</v>
      </c>
      <c r="G428" s="14">
        <f t="shared" si="45"/>
        <v>3.2326000000000006</v>
      </c>
      <c r="H428" s="14">
        <f t="shared" si="46"/>
        <v>0.60000000000000009</v>
      </c>
      <c r="I428" s="14">
        <f t="shared" si="47"/>
        <v>0</v>
      </c>
      <c r="J428" s="14">
        <f t="shared" si="48"/>
        <v>0</v>
      </c>
      <c r="K428" s="15">
        <f>IF(CurrentMtgRatesDataTable8[[#This Row],[WA CC]]&lt;&gt;0,C427-CurrentMtgRatesDataTable8[[#This Row],[WA CC]],0)</f>
        <v>0</v>
      </c>
      <c r="L428" s="16">
        <f>IF(CurrentMtgRatesDataTable8[[#This Row],[Servicing Spread]]&lt;=0,L427,CurrentMtgRatesDataTable8[[#This Row],[Servicing Spread]])</f>
        <v>0.42840000000000078</v>
      </c>
      <c r="M428" s="16">
        <f>CurrentMtgRatesDataTable8[[#This Row],[Servicing Spread Non-Zero]]-L427</f>
        <v>0</v>
      </c>
      <c r="N428" s="16">
        <f>IF(J427&lt;&gt;0,CurrentMtgRatesDataTable8[[#This Row],[Rate]]-C427,N427)</f>
        <v>4.4999999999999041E-2</v>
      </c>
    </row>
    <row r="429" spans="1:14">
      <c r="A429" s="8" t="s">
        <v>1781</v>
      </c>
      <c r="B429" s="11">
        <v>5.4039999999999999</v>
      </c>
      <c r="C429" s="13">
        <v>5.7649999999999997</v>
      </c>
      <c r="D429" s="14">
        <f t="shared" si="42"/>
        <v>6</v>
      </c>
      <c r="E429" s="14">
        <f t="shared" si="43"/>
        <v>0.2</v>
      </c>
      <c r="F429" s="14">
        <f t="shared" si="44"/>
        <v>4</v>
      </c>
      <c r="G429" s="14">
        <f t="shared" si="45"/>
        <v>4.3134000000000006</v>
      </c>
      <c r="H429" s="14">
        <f t="shared" si="46"/>
        <v>0.8</v>
      </c>
      <c r="I429" s="14">
        <f t="shared" si="47"/>
        <v>0</v>
      </c>
      <c r="J429" s="14">
        <f t="shared" si="48"/>
        <v>0</v>
      </c>
      <c r="K429" s="15">
        <f>IF(CurrentMtgRatesDataTable8[[#This Row],[WA CC]]&lt;&gt;0,C428-CurrentMtgRatesDataTable8[[#This Row],[WA CC]],0)</f>
        <v>0</v>
      </c>
      <c r="L429" s="16">
        <f>IF(CurrentMtgRatesDataTable8[[#This Row],[Servicing Spread]]&lt;=0,L428,CurrentMtgRatesDataTable8[[#This Row],[Servicing Spread]])</f>
        <v>0.42840000000000078</v>
      </c>
      <c r="M429" s="16">
        <f>CurrentMtgRatesDataTable8[[#This Row],[Servicing Spread Non-Zero]]-L428</f>
        <v>0</v>
      </c>
      <c r="N429" s="16">
        <f>IF(J428&lt;&gt;0,CurrentMtgRatesDataTable8[[#This Row],[Rate]]-C428,N428)</f>
        <v>4.4999999999999041E-2</v>
      </c>
    </row>
    <row r="430" spans="1:14">
      <c r="A430" s="8" t="s">
        <v>1782</v>
      </c>
      <c r="B430" s="11">
        <v>5.391</v>
      </c>
      <c r="C430" s="13">
        <v>5.7649999999999997</v>
      </c>
      <c r="D430" s="14">
        <f t="shared" si="42"/>
        <v>7</v>
      </c>
      <c r="E430" s="14">
        <f t="shared" si="43"/>
        <v>0.2</v>
      </c>
      <c r="F430" s="14">
        <f t="shared" si="44"/>
        <v>5</v>
      </c>
      <c r="G430" s="14">
        <f t="shared" si="45"/>
        <v>5.3916000000000004</v>
      </c>
      <c r="H430" s="14">
        <f t="shared" si="46"/>
        <v>1</v>
      </c>
      <c r="I430" s="14">
        <f t="shared" si="47"/>
        <v>1</v>
      </c>
      <c r="J430" s="14">
        <f t="shared" si="48"/>
        <v>5.3916000000000004</v>
      </c>
      <c r="K430" s="15">
        <f>IF(CurrentMtgRatesDataTable8[[#This Row],[WA CC]]&lt;&gt;0,C429-CurrentMtgRatesDataTable8[[#This Row],[WA CC]],0)</f>
        <v>0.37339999999999929</v>
      </c>
      <c r="L430" s="16">
        <f>IF(CurrentMtgRatesDataTable8[[#This Row],[Servicing Spread]]&lt;=0,L429,CurrentMtgRatesDataTable8[[#This Row],[Servicing Spread]])</f>
        <v>0.37339999999999929</v>
      </c>
      <c r="M430" s="16">
        <f>CurrentMtgRatesDataTable8[[#This Row],[Servicing Spread Non-Zero]]-L429</f>
        <v>-5.5000000000001492E-2</v>
      </c>
      <c r="N430" s="16">
        <f>IF(J429&lt;&gt;0,CurrentMtgRatesDataTable8[[#This Row],[Rate]]-C429,N429)</f>
        <v>4.4999999999999041E-2</v>
      </c>
    </row>
    <row r="431" spans="1:14">
      <c r="A431" s="8" t="s">
        <v>1783</v>
      </c>
      <c r="B431" s="11">
        <v>5.3289999999999997</v>
      </c>
      <c r="C431" s="13">
        <v>5.6749999999999998</v>
      </c>
      <c r="D431" s="14">
        <f t="shared" si="42"/>
        <v>1</v>
      </c>
      <c r="E431" s="14">
        <f t="shared" si="43"/>
        <v>0.2</v>
      </c>
      <c r="F431" s="14">
        <f t="shared" si="44"/>
        <v>1</v>
      </c>
      <c r="G431" s="14">
        <f t="shared" si="45"/>
        <v>1.0658000000000001</v>
      </c>
      <c r="H431" s="14">
        <f t="shared" si="46"/>
        <v>0.2</v>
      </c>
      <c r="I431" s="14">
        <f t="shared" si="47"/>
        <v>0</v>
      </c>
      <c r="J431" s="14">
        <f t="shared" si="48"/>
        <v>0</v>
      </c>
      <c r="K431" s="15">
        <f>IF(CurrentMtgRatesDataTable8[[#This Row],[WA CC]]&lt;&gt;0,C430-CurrentMtgRatesDataTable8[[#This Row],[WA CC]],0)</f>
        <v>0</v>
      </c>
      <c r="L431" s="16">
        <f>IF(CurrentMtgRatesDataTable8[[#This Row],[Servicing Spread]]&lt;=0,L430,CurrentMtgRatesDataTable8[[#This Row],[Servicing Spread]])</f>
        <v>0.37339999999999929</v>
      </c>
      <c r="M431" s="16">
        <f>CurrentMtgRatesDataTable8[[#This Row],[Servicing Spread Non-Zero]]-L430</f>
        <v>0</v>
      </c>
      <c r="N431" s="16">
        <f>IF(J430&lt;&gt;0,CurrentMtgRatesDataTable8[[#This Row],[Rate]]-C430,N430)</f>
        <v>-8.9999999999999858E-2</v>
      </c>
    </row>
    <row r="432" spans="1:14">
      <c r="A432" s="8" t="s">
        <v>1784</v>
      </c>
      <c r="B432" s="11">
        <v>5.25</v>
      </c>
      <c r="C432" s="13">
        <v>5.6749999999999998</v>
      </c>
      <c r="D432" s="14">
        <f t="shared" si="42"/>
        <v>2</v>
      </c>
      <c r="E432" s="14">
        <f t="shared" si="43"/>
        <v>0.2</v>
      </c>
      <c r="F432" s="14">
        <f t="shared" si="44"/>
        <v>2</v>
      </c>
      <c r="G432" s="14">
        <f t="shared" si="45"/>
        <v>2.1158000000000001</v>
      </c>
      <c r="H432" s="14">
        <f t="shared" si="46"/>
        <v>0.4</v>
      </c>
      <c r="I432" s="14">
        <f t="shared" si="47"/>
        <v>0</v>
      </c>
      <c r="J432" s="14">
        <f t="shared" si="48"/>
        <v>0</v>
      </c>
      <c r="K432" s="15">
        <f>IF(CurrentMtgRatesDataTable8[[#This Row],[WA CC]]&lt;&gt;0,C431-CurrentMtgRatesDataTable8[[#This Row],[WA CC]],0)</f>
        <v>0</v>
      </c>
      <c r="L432" s="16">
        <f>IF(CurrentMtgRatesDataTable8[[#This Row],[Servicing Spread]]&lt;=0,L431,CurrentMtgRatesDataTable8[[#This Row],[Servicing Spread]])</f>
        <v>0.37339999999999929</v>
      </c>
      <c r="M432" s="16">
        <f>CurrentMtgRatesDataTable8[[#This Row],[Servicing Spread Non-Zero]]-L431</f>
        <v>0</v>
      </c>
      <c r="N432" s="16">
        <f>IF(J431&lt;&gt;0,CurrentMtgRatesDataTable8[[#This Row],[Rate]]-C431,N431)</f>
        <v>-8.9999999999999858E-2</v>
      </c>
    </row>
    <row r="433" spans="1:14">
      <c r="A433" s="8" t="s">
        <v>1785</v>
      </c>
      <c r="B433" s="11">
        <v>5.3019999999999996</v>
      </c>
      <c r="C433" s="13">
        <v>5.6749999999999998</v>
      </c>
      <c r="D433" s="14">
        <f t="shared" si="42"/>
        <v>5</v>
      </c>
      <c r="E433" s="14">
        <f t="shared" si="43"/>
        <v>0.2</v>
      </c>
      <c r="F433" s="14">
        <f t="shared" si="44"/>
        <v>3</v>
      </c>
      <c r="G433" s="14">
        <f t="shared" si="45"/>
        <v>3.1762000000000001</v>
      </c>
      <c r="H433" s="14">
        <f t="shared" si="46"/>
        <v>0.60000000000000009</v>
      </c>
      <c r="I433" s="14">
        <f t="shared" si="47"/>
        <v>0</v>
      </c>
      <c r="J433" s="14">
        <f t="shared" si="48"/>
        <v>0</v>
      </c>
      <c r="K433" s="15">
        <f>IF(CurrentMtgRatesDataTable8[[#This Row],[WA CC]]&lt;&gt;0,C432-CurrentMtgRatesDataTable8[[#This Row],[WA CC]],0)</f>
        <v>0</v>
      </c>
      <c r="L433" s="16">
        <f>IF(CurrentMtgRatesDataTable8[[#This Row],[Servicing Spread]]&lt;=0,L432,CurrentMtgRatesDataTable8[[#This Row],[Servicing Spread]])</f>
        <v>0.37339999999999929</v>
      </c>
      <c r="M433" s="16">
        <f>CurrentMtgRatesDataTable8[[#This Row],[Servicing Spread Non-Zero]]-L432</f>
        <v>0</v>
      </c>
      <c r="N433" s="16">
        <f>IF(J432&lt;&gt;0,CurrentMtgRatesDataTable8[[#This Row],[Rate]]-C432,N432)</f>
        <v>-8.9999999999999858E-2</v>
      </c>
    </row>
    <row r="434" spans="1:14">
      <c r="A434" s="8" t="s">
        <v>1786</v>
      </c>
      <c r="B434" s="11">
        <v>5.2549999999999999</v>
      </c>
      <c r="C434" s="13">
        <v>5.6749999999999998</v>
      </c>
      <c r="D434" s="14">
        <f t="shared" si="42"/>
        <v>6</v>
      </c>
      <c r="E434" s="14">
        <f t="shared" si="43"/>
        <v>0.2</v>
      </c>
      <c r="F434" s="14">
        <f t="shared" si="44"/>
        <v>4</v>
      </c>
      <c r="G434" s="14">
        <f t="shared" si="45"/>
        <v>4.2271999999999998</v>
      </c>
      <c r="H434" s="14">
        <f t="shared" si="46"/>
        <v>0.8</v>
      </c>
      <c r="I434" s="14">
        <f t="shared" si="47"/>
        <v>0</v>
      </c>
      <c r="J434" s="14">
        <f t="shared" si="48"/>
        <v>0</v>
      </c>
      <c r="K434" s="15">
        <f>IF(CurrentMtgRatesDataTable8[[#This Row],[WA CC]]&lt;&gt;0,C433-CurrentMtgRatesDataTable8[[#This Row],[WA CC]],0)</f>
        <v>0</v>
      </c>
      <c r="L434" s="16">
        <f>IF(CurrentMtgRatesDataTable8[[#This Row],[Servicing Spread]]&lt;=0,L433,CurrentMtgRatesDataTable8[[#This Row],[Servicing Spread]])</f>
        <v>0.37339999999999929</v>
      </c>
      <c r="M434" s="16">
        <f>CurrentMtgRatesDataTable8[[#This Row],[Servicing Spread Non-Zero]]-L433</f>
        <v>0</v>
      </c>
      <c r="N434" s="16">
        <f>IF(J433&lt;&gt;0,CurrentMtgRatesDataTable8[[#This Row],[Rate]]-C433,N433)</f>
        <v>-8.9999999999999858E-2</v>
      </c>
    </row>
    <row r="435" spans="1:14">
      <c r="A435" s="8" t="s">
        <v>1787</v>
      </c>
      <c r="B435" s="11">
        <v>5.3230000000000004</v>
      </c>
      <c r="C435" s="13">
        <v>5.6749999999999998</v>
      </c>
      <c r="D435" s="14">
        <f t="shared" si="42"/>
        <v>7</v>
      </c>
      <c r="E435" s="14">
        <f t="shared" si="43"/>
        <v>0.2</v>
      </c>
      <c r="F435" s="14">
        <f t="shared" si="44"/>
        <v>5</v>
      </c>
      <c r="G435" s="14">
        <f t="shared" si="45"/>
        <v>5.2918000000000003</v>
      </c>
      <c r="H435" s="14">
        <f t="shared" si="46"/>
        <v>1</v>
      </c>
      <c r="I435" s="14">
        <f t="shared" si="47"/>
        <v>1</v>
      </c>
      <c r="J435" s="14">
        <f t="shared" si="48"/>
        <v>5.2918000000000003</v>
      </c>
      <c r="K435" s="15">
        <f>IF(CurrentMtgRatesDataTable8[[#This Row],[WA CC]]&lt;&gt;0,C434-CurrentMtgRatesDataTable8[[#This Row],[WA CC]],0)</f>
        <v>0.38319999999999954</v>
      </c>
      <c r="L435" s="16">
        <f>IF(CurrentMtgRatesDataTable8[[#This Row],[Servicing Spread]]&lt;=0,L434,CurrentMtgRatesDataTable8[[#This Row],[Servicing Spread]])</f>
        <v>0.38319999999999954</v>
      </c>
      <c r="M435" s="16">
        <f>CurrentMtgRatesDataTable8[[#This Row],[Servicing Spread Non-Zero]]-L434</f>
        <v>9.800000000000253E-3</v>
      </c>
      <c r="N435" s="16">
        <f>IF(J434&lt;&gt;0,CurrentMtgRatesDataTable8[[#This Row],[Rate]]-C434,N434)</f>
        <v>-8.9999999999999858E-2</v>
      </c>
    </row>
    <row r="436" spans="1:14">
      <c r="A436" s="8" t="s">
        <v>1788</v>
      </c>
      <c r="B436" s="11">
        <v>5.2569999999999997</v>
      </c>
      <c r="C436" s="13">
        <v>5.6449999999999996</v>
      </c>
      <c r="D436" s="14">
        <f t="shared" si="42"/>
        <v>1</v>
      </c>
      <c r="E436" s="14">
        <f t="shared" si="43"/>
        <v>0.2</v>
      </c>
      <c r="F436" s="14">
        <f t="shared" si="44"/>
        <v>1</v>
      </c>
      <c r="G436" s="14">
        <f t="shared" si="45"/>
        <v>1.0513999999999999</v>
      </c>
      <c r="H436" s="14">
        <f t="shared" si="46"/>
        <v>0.2</v>
      </c>
      <c r="I436" s="14">
        <f t="shared" si="47"/>
        <v>0</v>
      </c>
      <c r="J436" s="14">
        <f t="shared" si="48"/>
        <v>0</v>
      </c>
      <c r="K436" s="15">
        <f>IF(CurrentMtgRatesDataTable8[[#This Row],[WA CC]]&lt;&gt;0,C435-CurrentMtgRatesDataTable8[[#This Row],[WA CC]],0)</f>
        <v>0</v>
      </c>
      <c r="L436" s="16">
        <f>IF(CurrentMtgRatesDataTable8[[#This Row],[Servicing Spread]]&lt;=0,L435,CurrentMtgRatesDataTable8[[#This Row],[Servicing Spread]])</f>
        <v>0.38319999999999954</v>
      </c>
      <c r="M436" s="16">
        <f>CurrentMtgRatesDataTable8[[#This Row],[Servicing Spread Non-Zero]]-L435</f>
        <v>0</v>
      </c>
      <c r="N436" s="16">
        <f>IF(J435&lt;&gt;0,CurrentMtgRatesDataTable8[[#This Row],[Rate]]-C435,N435)</f>
        <v>-3.0000000000000249E-2</v>
      </c>
    </row>
    <row r="437" spans="1:14">
      <c r="A437" s="8" t="s">
        <v>1789</v>
      </c>
      <c r="B437" s="11">
        <v>5.26</v>
      </c>
      <c r="C437" s="13">
        <v>5.6449999999999996</v>
      </c>
      <c r="D437" s="14">
        <f t="shared" si="42"/>
        <v>2</v>
      </c>
      <c r="E437" s="14">
        <f t="shared" si="43"/>
        <v>0.2</v>
      </c>
      <c r="F437" s="14">
        <f t="shared" si="44"/>
        <v>2</v>
      </c>
      <c r="G437" s="14">
        <f t="shared" si="45"/>
        <v>2.1033999999999997</v>
      </c>
      <c r="H437" s="14">
        <f t="shared" si="46"/>
        <v>0.4</v>
      </c>
      <c r="I437" s="14">
        <f t="shared" si="47"/>
        <v>0</v>
      </c>
      <c r="J437" s="14">
        <f t="shared" si="48"/>
        <v>0</v>
      </c>
      <c r="K437" s="15">
        <f>IF(CurrentMtgRatesDataTable8[[#This Row],[WA CC]]&lt;&gt;0,C436-CurrentMtgRatesDataTable8[[#This Row],[WA CC]],0)</f>
        <v>0</v>
      </c>
      <c r="L437" s="16">
        <f>IF(CurrentMtgRatesDataTable8[[#This Row],[Servicing Spread]]&lt;=0,L436,CurrentMtgRatesDataTable8[[#This Row],[Servicing Spread]])</f>
        <v>0.38319999999999954</v>
      </c>
      <c r="M437" s="16">
        <f>CurrentMtgRatesDataTable8[[#This Row],[Servicing Spread Non-Zero]]-L436</f>
        <v>0</v>
      </c>
      <c r="N437" s="16">
        <f>IF(J436&lt;&gt;0,CurrentMtgRatesDataTable8[[#This Row],[Rate]]-C436,N436)</f>
        <v>-3.0000000000000249E-2</v>
      </c>
    </row>
    <row r="438" spans="1:14">
      <c r="A438" s="8" t="s">
        <v>1790</v>
      </c>
      <c r="B438" s="11">
        <v>5.27</v>
      </c>
      <c r="C438" s="13">
        <v>5.6449999999999996</v>
      </c>
      <c r="D438" s="14">
        <f t="shared" si="42"/>
        <v>5</v>
      </c>
      <c r="E438" s="14">
        <f t="shared" si="43"/>
        <v>0.2</v>
      </c>
      <c r="F438" s="14">
        <f t="shared" si="44"/>
        <v>3</v>
      </c>
      <c r="G438" s="14">
        <f t="shared" si="45"/>
        <v>3.1574</v>
      </c>
      <c r="H438" s="14">
        <f t="shared" si="46"/>
        <v>0.60000000000000009</v>
      </c>
      <c r="I438" s="14">
        <f t="shared" si="47"/>
        <v>0</v>
      </c>
      <c r="J438" s="14">
        <f t="shared" si="48"/>
        <v>0</v>
      </c>
      <c r="K438" s="15">
        <f>IF(CurrentMtgRatesDataTable8[[#This Row],[WA CC]]&lt;&gt;0,C437-CurrentMtgRatesDataTable8[[#This Row],[WA CC]],0)</f>
        <v>0</v>
      </c>
      <c r="L438" s="16">
        <f>IF(CurrentMtgRatesDataTable8[[#This Row],[Servicing Spread]]&lt;=0,L437,CurrentMtgRatesDataTable8[[#This Row],[Servicing Spread]])</f>
        <v>0.38319999999999954</v>
      </c>
      <c r="M438" s="16">
        <f>CurrentMtgRatesDataTable8[[#This Row],[Servicing Spread Non-Zero]]-L437</f>
        <v>0</v>
      </c>
      <c r="N438" s="16">
        <f>IF(J437&lt;&gt;0,CurrentMtgRatesDataTable8[[#This Row],[Rate]]-C437,N437)</f>
        <v>-3.0000000000000249E-2</v>
      </c>
    </row>
    <row r="439" spans="1:14">
      <c r="A439" s="8" t="s">
        <v>1791</v>
      </c>
      <c r="B439" s="11">
        <v>5.25</v>
      </c>
      <c r="C439" s="13">
        <v>5.6449999999999996</v>
      </c>
      <c r="D439" s="14">
        <f t="shared" si="42"/>
        <v>6</v>
      </c>
      <c r="E439" s="14">
        <f t="shared" si="43"/>
        <v>0.2</v>
      </c>
      <c r="F439" s="14">
        <f t="shared" si="44"/>
        <v>4</v>
      </c>
      <c r="G439" s="14">
        <f t="shared" si="45"/>
        <v>4.2073999999999998</v>
      </c>
      <c r="H439" s="14">
        <f t="shared" si="46"/>
        <v>0.8</v>
      </c>
      <c r="I439" s="14">
        <f t="shared" si="47"/>
        <v>0</v>
      </c>
      <c r="J439" s="14">
        <f t="shared" si="48"/>
        <v>0</v>
      </c>
      <c r="K439" s="15">
        <f>IF(CurrentMtgRatesDataTable8[[#This Row],[WA CC]]&lt;&gt;0,C438-CurrentMtgRatesDataTable8[[#This Row],[WA CC]],0)</f>
        <v>0</v>
      </c>
      <c r="L439" s="16">
        <f>IF(CurrentMtgRatesDataTable8[[#This Row],[Servicing Spread]]&lt;=0,L438,CurrentMtgRatesDataTable8[[#This Row],[Servicing Spread]])</f>
        <v>0.38319999999999954</v>
      </c>
      <c r="M439" s="16">
        <f>CurrentMtgRatesDataTable8[[#This Row],[Servicing Spread Non-Zero]]-L438</f>
        <v>0</v>
      </c>
      <c r="N439" s="16">
        <f>IF(J438&lt;&gt;0,CurrentMtgRatesDataTable8[[#This Row],[Rate]]-C438,N438)</f>
        <v>-3.0000000000000249E-2</v>
      </c>
    </row>
    <row r="440" spans="1:14">
      <c r="A440" s="8" t="s">
        <v>1792</v>
      </c>
      <c r="B440" s="11">
        <v>5.2409999999999997</v>
      </c>
      <c r="C440" s="13">
        <v>5.6449999999999996</v>
      </c>
      <c r="D440" s="14">
        <f t="shared" si="42"/>
        <v>7</v>
      </c>
      <c r="E440" s="14">
        <f t="shared" si="43"/>
        <v>0.2</v>
      </c>
      <c r="F440" s="14">
        <f t="shared" si="44"/>
        <v>5</v>
      </c>
      <c r="G440" s="14">
        <f t="shared" si="45"/>
        <v>5.2555999999999994</v>
      </c>
      <c r="H440" s="14">
        <f t="shared" si="46"/>
        <v>1</v>
      </c>
      <c r="I440" s="14">
        <f t="shared" si="47"/>
        <v>1</v>
      </c>
      <c r="J440" s="14">
        <f t="shared" si="48"/>
        <v>5.2555999999999994</v>
      </c>
      <c r="K440" s="15">
        <f>IF(CurrentMtgRatesDataTable8[[#This Row],[WA CC]]&lt;&gt;0,C439-CurrentMtgRatesDataTable8[[#This Row],[WA CC]],0)</f>
        <v>0.38940000000000019</v>
      </c>
      <c r="L440" s="16">
        <f>IF(CurrentMtgRatesDataTable8[[#This Row],[Servicing Spread]]&lt;=0,L439,CurrentMtgRatesDataTable8[[#This Row],[Servicing Spread]])</f>
        <v>0.38940000000000019</v>
      </c>
      <c r="M440" s="16">
        <f>CurrentMtgRatesDataTable8[[#This Row],[Servicing Spread Non-Zero]]-L439</f>
        <v>6.2000000000006494E-3</v>
      </c>
      <c r="N440" s="16">
        <f>IF(J439&lt;&gt;0,CurrentMtgRatesDataTable8[[#This Row],[Rate]]-C439,N439)</f>
        <v>-3.0000000000000249E-2</v>
      </c>
    </row>
    <row r="441" spans="1:14">
      <c r="A441" s="8" t="s">
        <v>1793</v>
      </c>
      <c r="B441" s="11">
        <v>5.2089999999999996</v>
      </c>
      <c r="C441" s="13">
        <v>5.61</v>
      </c>
      <c r="D441" s="14">
        <f t="shared" si="42"/>
        <v>1</v>
      </c>
      <c r="E441" s="14">
        <f t="shared" si="43"/>
        <v>0.2</v>
      </c>
      <c r="F441" s="14">
        <f t="shared" si="44"/>
        <v>1</v>
      </c>
      <c r="G441" s="14">
        <f t="shared" si="45"/>
        <v>1.0418000000000001</v>
      </c>
      <c r="H441" s="14">
        <f t="shared" si="46"/>
        <v>0.2</v>
      </c>
      <c r="I441" s="14">
        <f t="shared" si="47"/>
        <v>0</v>
      </c>
      <c r="J441" s="14">
        <f t="shared" si="48"/>
        <v>0</v>
      </c>
      <c r="K441" s="15">
        <f>IF(CurrentMtgRatesDataTable8[[#This Row],[WA CC]]&lt;&gt;0,C440-CurrentMtgRatesDataTable8[[#This Row],[WA CC]],0)</f>
        <v>0</v>
      </c>
      <c r="L441" s="16">
        <f>IF(CurrentMtgRatesDataTable8[[#This Row],[Servicing Spread]]&lt;=0,L440,CurrentMtgRatesDataTable8[[#This Row],[Servicing Spread]])</f>
        <v>0.38940000000000019</v>
      </c>
      <c r="M441" s="16">
        <f>CurrentMtgRatesDataTable8[[#This Row],[Servicing Spread Non-Zero]]-L440</f>
        <v>0</v>
      </c>
      <c r="N441" s="16">
        <f>IF(J440&lt;&gt;0,CurrentMtgRatesDataTable8[[#This Row],[Rate]]-C440,N440)</f>
        <v>-3.4999999999999254E-2</v>
      </c>
    </row>
    <row r="442" spans="1:14">
      <c r="A442" s="8" t="s">
        <v>1794</v>
      </c>
      <c r="B442" s="11">
        <v>5.2480000000000002</v>
      </c>
      <c r="C442" s="13">
        <v>5.61</v>
      </c>
      <c r="D442" s="14">
        <f t="shared" si="42"/>
        <v>2</v>
      </c>
      <c r="E442" s="14">
        <f t="shared" si="43"/>
        <v>0.2</v>
      </c>
      <c r="F442" s="14">
        <f t="shared" si="44"/>
        <v>2</v>
      </c>
      <c r="G442" s="14">
        <f t="shared" si="45"/>
        <v>2.0914000000000001</v>
      </c>
      <c r="H442" s="14">
        <f t="shared" si="46"/>
        <v>0.4</v>
      </c>
      <c r="I442" s="14">
        <f t="shared" si="47"/>
        <v>0</v>
      </c>
      <c r="J442" s="14">
        <f t="shared" si="48"/>
        <v>0</v>
      </c>
      <c r="K442" s="15">
        <f>IF(CurrentMtgRatesDataTable8[[#This Row],[WA CC]]&lt;&gt;0,C441-CurrentMtgRatesDataTable8[[#This Row],[WA CC]],0)</f>
        <v>0</v>
      </c>
      <c r="L442" s="16">
        <f>IF(CurrentMtgRatesDataTable8[[#This Row],[Servicing Spread]]&lt;=0,L441,CurrentMtgRatesDataTable8[[#This Row],[Servicing Spread]])</f>
        <v>0.38940000000000019</v>
      </c>
      <c r="M442" s="16">
        <f>CurrentMtgRatesDataTable8[[#This Row],[Servicing Spread Non-Zero]]-L441</f>
        <v>0</v>
      </c>
      <c r="N442" s="16">
        <f>IF(J441&lt;&gt;0,CurrentMtgRatesDataTable8[[#This Row],[Rate]]-C441,N441)</f>
        <v>-3.4999999999999254E-2</v>
      </c>
    </row>
    <row r="443" spans="1:14">
      <c r="A443" s="12" t="s">
        <v>1795</v>
      </c>
      <c r="B443" s="13">
        <v>5.2460000000000004</v>
      </c>
      <c r="C443" s="13">
        <v>5.61</v>
      </c>
      <c r="D443" s="14">
        <f t="shared" si="42"/>
        <v>5</v>
      </c>
      <c r="E443" s="14">
        <f t="shared" si="43"/>
        <v>0.2</v>
      </c>
      <c r="F443" s="14">
        <f t="shared" si="44"/>
        <v>3</v>
      </c>
      <c r="G443" s="14">
        <f t="shared" si="45"/>
        <v>3.1406000000000001</v>
      </c>
      <c r="H443" s="14">
        <f t="shared" si="46"/>
        <v>0.60000000000000009</v>
      </c>
      <c r="I443" s="14">
        <f t="shared" si="47"/>
        <v>0</v>
      </c>
      <c r="J443" s="14">
        <f t="shared" si="48"/>
        <v>0</v>
      </c>
      <c r="K443" s="15">
        <f>IF(CurrentMtgRatesDataTable8[[#This Row],[WA CC]]&lt;&gt;0,C442-CurrentMtgRatesDataTable8[[#This Row],[WA CC]],0)</f>
        <v>0</v>
      </c>
      <c r="L443" s="16">
        <f>IF(CurrentMtgRatesDataTable8[[#This Row],[Servicing Spread]]&lt;=0,L442,CurrentMtgRatesDataTable8[[#This Row],[Servicing Spread]])</f>
        <v>0.38940000000000019</v>
      </c>
      <c r="M443" s="16">
        <f>CurrentMtgRatesDataTable8[[#This Row],[Servicing Spread Non-Zero]]-L442</f>
        <v>0</v>
      </c>
      <c r="N443" s="16">
        <f>IF(J442&lt;&gt;0,CurrentMtgRatesDataTable8[[#This Row],[Rate]]-C442,N442)</f>
        <v>-3.4999999999999254E-2</v>
      </c>
    </row>
    <row r="444" spans="1:14">
      <c r="A444" s="12" t="s">
        <v>1796</v>
      </c>
      <c r="B444" s="13">
        <v>5.1749999999999998</v>
      </c>
      <c r="C444" s="13">
        <v>5.61</v>
      </c>
      <c r="D444" s="15">
        <f t="shared" si="42"/>
        <v>6</v>
      </c>
      <c r="E444" s="15">
        <f t="shared" si="43"/>
        <v>0.2</v>
      </c>
      <c r="F444" s="15">
        <f t="shared" si="44"/>
        <v>4</v>
      </c>
      <c r="G444" s="15">
        <f t="shared" si="45"/>
        <v>4.1756000000000002</v>
      </c>
      <c r="H444" s="15">
        <f t="shared" si="46"/>
        <v>0.8</v>
      </c>
      <c r="I444" s="15">
        <f t="shared" si="47"/>
        <v>0</v>
      </c>
      <c r="J444" s="15">
        <f t="shared" si="48"/>
        <v>0</v>
      </c>
      <c r="K444" s="15">
        <f>IF(CurrentMtgRatesDataTable8[[#This Row],[WA CC]]&lt;&gt;0,C443-CurrentMtgRatesDataTable8[[#This Row],[WA CC]],0)</f>
        <v>0</v>
      </c>
      <c r="L444" s="16">
        <f>IF(CurrentMtgRatesDataTable8[[#This Row],[Servicing Spread]]&lt;=0,L443,CurrentMtgRatesDataTable8[[#This Row],[Servicing Spread]])</f>
        <v>0.38940000000000019</v>
      </c>
      <c r="M444" s="16">
        <f>CurrentMtgRatesDataTable8[[#This Row],[Servicing Spread Non-Zero]]-L443</f>
        <v>0</v>
      </c>
      <c r="N444" s="16">
        <f>IF(J443&lt;&gt;0,CurrentMtgRatesDataTable8[[#This Row],[Rate]]-C443,N443)</f>
        <v>-3.4999999999999254E-2</v>
      </c>
    </row>
    <row r="445" spans="1:14">
      <c r="A445" s="12" t="s">
        <v>1797</v>
      </c>
      <c r="B445" s="13">
        <v>5.0869999999999997</v>
      </c>
      <c r="C445" s="13">
        <v>5.61</v>
      </c>
      <c r="D445" s="15">
        <f t="shared" si="42"/>
        <v>7</v>
      </c>
      <c r="E445" s="15">
        <f t="shared" si="43"/>
        <v>0.2</v>
      </c>
      <c r="F445" s="15">
        <f t="shared" si="44"/>
        <v>5</v>
      </c>
      <c r="G445" s="15">
        <f t="shared" si="45"/>
        <v>5.1930000000000005</v>
      </c>
      <c r="H445" s="15">
        <f t="shared" si="46"/>
        <v>1</v>
      </c>
      <c r="I445" s="15">
        <f t="shared" si="47"/>
        <v>1</v>
      </c>
      <c r="J445" s="15">
        <f t="shared" si="48"/>
        <v>5.1930000000000005</v>
      </c>
      <c r="K445" s="15">
        <f>IF(CurrentMtgRatesDataTable8[[#This Row],[WA CC]]&lt;&gt;0,C444-CurrentMtgRatesDataTable8[[#This Row],[WA CC]],0)</f>
        <v>0.41699999999999982</v>
      </c>
      <c r="L445" s="16">
        <f>IF(CurrentMtgRatesDataTable8[[#This Row],[Servicing Spread]]&lt;=0,L444,CurrentMtgRatesDataTable8[[#This Row],[Servicing Spread]])</f>
        <v>0.41699999999999982</v>
      </c>
      <c r="M445" s="16">
        <f>CurrentMtgRatesDataTable8[[#This Row],[Servicing Spread Non-Zero]]-L444</f>
        <v>2.7599999999999625E-2</v>
      </c>
      <c r="N445" s="16">
        <f>IF(J444&lt;&gt;0,CurrentMtgRatesDataTable8[[#This Row],[Rate]]-C444,N444)</f>
        <v>-3.4999999999999254E-2</v>
      </c>
    </row>
    <row r="446" spans="1:14">
      <c r="A446" s="12" t="s">
        <v>1798</v>
      </c>
      <c r="B446" s="13">
        <v>5.048</v>
      </c>
      <c r="C446" s="13">
        <v>5.61</v>
      </c>
      <c r="D446" s="15">
        <f t="shared" si="42"/>
        <v>1</v>
      </c>
      <c r="E446" s="15">
        <f t="shared" si="43"/>
        <v>0.2</v>
      </c>
      <c r="F446" s="15">
        <f t="shared" si="44"/>
        <v>1</v>
      </c>
      <c r="G446" s="15">
        <f t="shared" si="45"/>
        <v>1.0096000000000001</v>
      </c>
      <c r="H446" s="15">
        <f t="shared" si="46"/>
        <v>0.2</v>
      </c>
      <c r="I446" s="15">
        <f t="shared" si="47"/>
        <v>0</v>
      </c>
      <c r="J446" s="15">
        <f t="shared" si="48"/>
        <v>0</v>
      </c>
      <c r="K446" s="15">
        <f>IF(CurrentMtgRatesDataTable8[[#This Row],[WA CC]]&lt;&gt;0,C445-CurrentMtgRatesDataTable8[[#This Row],[WA CC]],0)</f>
        <v>0</v>
      </c>
      <c r="L446" s="16">
        <f>IF(CurrentMtgRatesDataTable8[[#This Row],[Servicing Spread]]&lt;=0,L445,CurrentMtgRatesDataTable8[[#This Row],[Servicing Spread]])</f>
        <v>0.41699999999999982</v>
      </c>
      <c r="M446" s="16">
        <f>CurrentMtgRatesDataTable8[[#This Row],[Servicing Spread Non-Zero]]-L445</f>
        <v>0</v>
      </c>
      <c r="N446" s="16">
        <f>IF(J445&lt;&gt;0,CurrentMtgRatesDataTable8[[#This Row],[Rate]]-C445,N445)</f>
        <v>0</v>
      </c>
    </row>
    <row r="447" spans="1:14">
      <c r="A447" s="12" t="s">
        <v>1799</v>
      </c>
      <c r="B447" s="13">
        <v>5.0709999999999997</v>
      </c>
      <c r="C447" s="13">
        <v>5.61</v>
      </c>
      <c r="D447" s="15">
        <f t="shared" si="42"/>
        <v>2</v>
      </c>
      <c r="E447" s="15">
        <f t="shared" si="43"/>
        <v>0.2</v>
      </c>
      <c r="F447" s="15">
        <f t="shared" si="44"/>
        <v>2</v>
      </c>
      <c r="G447" s="15">
        <f t="shared" si="45"/>
        <v>2.0238</v>
      </c>
      <c r="H447" s="15">
        <f t="shared" si="46"/>
        <v>0.4</v>
      </c>
      <c r="I447" s="15">
        <f t="shared" si="47"/>
        <v>0</v>
      </c>
      <c r="J447" s="15">
        <f t="shared" si="48"/>
        <v>0</v>
      </c>
      <c r="K447" s="15">
        <f>IF(CurrentMtgRatesDataTable8[[#This Row],[WA CC]]&lt;&gt;0,C446-CurrentMtgRatesDataTable8[[#This Row],[WA CC]],0)</f>
        <v>0</v>
      </c>
      <c r="L447" s="16">
        <f>IF(CurrentMtgRatesDataTable8[[#This Row],[Servicing Spread]]&lt;=0,L446,CurrentMtgRatesDataTable8[[#This Row],[Servicing Spread]])</f>
        <v>0.41699999999999982</v>
      </c>
      <c r="M447" s="16">
        <f>CurrentMtgRatesDataTable8[[#This Row],[Servicing Spread Non-Zero]]-L446</f>
        <v>0</v>
      </c>
      <c r="N447" s="16">
        <f>IF(J446&lt;&gt;0,CurrentMtgRatesDataTable8[[#This Row],[Rate]]-C446,N446)</f>
        <v>0</v>
      </c>
    </row>
    <row r="448" spans="1:14">
      <c r="A448" s="12" t="s">
        <v>1800</v>
      </c>
      <c r="B448" s="13">
        <v>5.15</v>
      </c>
      <c r="C448" s="13">
        <v>5.61</v>
      </c>
      <c r="D448" s="15">
        <f t="shared" si="42"/>
        <v>6</v>
      </c>
      <c r="E448" s="15">
        <f t="shared" si="43"/>
        <v>0.2</v>
      </c>
      <c r="F448" s="15">
        <f t="shared" si="44"/>
        <v>3</v>
      </c>
      <c r="G448" s="15">
        <f t="shared" si="45"/>
        <v>3.0537999999999998</v>
      </c>
      <c r="H448" s="15">
        <f t="shared" si="46"/>
        <v>0.60000000000000009</v>
      </c>
      <c r="I448" s="15">
        <f t="shared" si="47"/>
        <v>0</v>
      </c>
      <c r="J448" s="15">
        <f t="shared" si="48"/>
        <v>0</v>
      </c>
      <c r="K448" s="15">
        <f>IF(CurrentMtgRatesDataTable8[[#This Row],[WA CC]]&lt;&gt;0,C447-CurrentMtgRatesDataTable8[[#This Row],[WA CC]],0)</f>
        <v>0</v>
      </c>
      <c r="L448" s="16">
        <f>IF(CurrentMtgRatesDataTable8[[#This Row],[Servicing Spread]]&lt;=0,L447,CurrentMtgRatesDataTable8[[#This Row],[Servicing Spread]])</f>
        <v>0.41699999999999982</v>
      </c>
      <c r="M448" s="16">
        <f>CurrentMtgRatesDataTable8[[#This Row],[Servicing Spread Non-Zero]]-L447</f>
        <v>0</v>
      </c>
      <c r="N448" s="16">
        <f>IF(J447&lt;&gt;0,CurrentMtgRatesDataTable8[[#This Row],[Rate]]-C447,N447)</f>
        <v>0</v>
      </c>
    </row>
    <row r="449" spans="1:14">
      <c r="A449" s="12" t="s">
        <v>1801</v>
      </c>
      <c r="B449" s="13">
        <v>5.2110000000000003</v>
      </c>
      <c r="C449" s="13">
        <v>5.61</v>
      </c>
      <c r="D449" s="15">
        <f t="shared" si="42"/>
        <v>7</v>
      </c>
      <c r="E449" s="15">
        <f t="shared" si="43"/>
        <v>0.2</v>
      </c>
      <c r="F449" s="15">
        <f t="shared" si="44"/>
        <v>4</v>
      </c>
      <c r="G449" s="15">
        <f t="shared" si="45"/>
        <v>4.0960000000000001</v>
      </c>
      <c r="H449" s="15">
        <f t="shared" si="46"/>
        <v>0.8</v>
      </c>
      <c r="I449" s="15">
        <f t="shared" si="47"/>
        <v>1</v>
      </c>
      <c r="J449" s="15">
        <f t="shared" si="48"/>
        <v>5.12</v>
      </c>
      <c r="K449" s="15">
        <f>IF(CurrentMtgRatesDataTable8[[#This Row],[WA CC]]&lt;&gt;0,C448-CurrentMtgRatesDataTable8[[#This Row],[WA CC]],0)</f>
        <v>0.49000000000000021</v>
      </c>
      <c r="L449" s="16">
        <f>IF(CurrentMtgRatesDataTable8[[#This Row],[Servicing Spread]]&lt;=0,L448,CurrentMtgRatesDataTable8[[#This Row],[Servicing Spread]])</f>
        <v>0.49000000000000021</v>
      </c>
      <c r="M449" s="16">
        <f>CurrentMtgRatesDataTable8[[#This Row],[Servicing Spread Non-Zero]]-L448</f>
        <v>7.3000000000000398E-2</v>
      </c>
      <c r="N449" s="16">
        <f>IF(J448&lt;&gt;0,CurrentMtgRatesDataTable8[[#This Row],[Rate]]-C448,N448)</f>
        <v>0</v>
      </c>
    </row>
    <row r="450" spans="1:14">
      <c r="A450" s="12" t="s">
        <v>1802</v>
      </c>
      <c r="B450" s="13">
        <v>5.2080000000000002</v>
      </c>
      <c r="C450" s="13">
        <v>5.6400000000000006</v>
      </c>
      <c r="D450" s="15">
        <f t="shared" si="42"/>
        <v>1</v>
      </c>
      <c r="E450" s="15">
        <f t="shared" si="43"/>
        <v>0.2</v>
      </c>
      <c r="F450" s="15">
        <f t="shared" si="44"/>
        <v>1</v>
      </c>
      <c r="G450" s="15">
        <f t="shared" si="45"/>
        <v>1.0416000000000001</v>
      </c>
      <c r="H450" s="15">
        <f t="shared" si="46"/>
        <v>0.2</v>
      </c>
      <c r="I450" s="15">
        <f t="shared" si="47"/>
        <v>0</v>
      </c>
      <c r="J450" s="15">
        <f t="shared" si="48"/>
        <v>0</v>
      </c>
      <c r="K450" s="15">
        <f>IF(CurrentMtgRatesDataTable8[[#This Row],[WA CC]]&lt;&gt;0,C449-CurrentMtgRatesDataTable8[[#This Row],[WA CC]],0)</f>
        <v>0</v>
      </c>
      <c r="L450" s="16">
        <f>IF(CurrentMtgRatesDataTable8[[#This Row],[Servicing Spread]]&lt;=0,L449,CurrentMtgRatesDataTable8[[#This Row],[Servicing Spread]])</f>
        <v>0.49000000000000021</v>
      </c>
      <c r="M450" s="16">
        <f>CurrentMtgRatesDataTable8[[#This Row],[Servicing Spread Non-Zero]]-L449</f>
        <v>0</v>
      </c>
      <c r="N450" s="16">
        <f>IF(J449&lt;&gt;0,CurrentMtgRatesDataTable8[[#This Row],[Rate]]-C449,N449)</f>
        <v>3.0000000000000249E-2</v>
      </c>
    </row>
    <row r="451" spans="1:14">
      <c r="A451" s="12" t="s">
        <v>1803</v>
      </c>
      <c r="B451" s="13">
        <v>5.1959999999999997</v>
      </c>
      <c r="C451" s="13">
        <v>5.6400000000000006</v>
      </c>
      <c r="D451" s="15">
        <f t="shared" si="42"/>
        <v>2</v>
      </c>
      <c r="E451" s="15">
        <f t="shared" si="43"/>
        <v>0.2</v>
      </c>
      <c r="F451" s="15">
        <f t="shared" si="44"/>
        <v>2</v>
      </c>
      <c r="G451" s="15">
        <f t="shared" si="45"/>
        <v>2.0808</v>
      </c>
      <c r="H451" s="15">
        <f t="shared" si="46"/>
        <v>0.4</v>
      </c>
      <c r="I451" s="15">
        <f t="shared" si="47"/>
        <v>0</v>
      </c>
      <c r="J451" s="15">
        <f t="shared" si="48"/>
        <v>0</v>
      </c>
      <c r="K451" s="15">
        <f>IF(CurrentMtgRatesDataTable8[[#This Row],[WA CC]]&lt;&gt;0,C450-CurrentMtgRatesDataTable8[[#This Row],[WA CC]],0)</f>
        <v>0</v>
      </c>
      <c r="L451" s="16">
        <f>IF(CurrentMtgRatesDataTable8[[#This Row],[Servicing Spread]]&lt;=0,L450,CurrentMtgRatesDataTable8[[#This Row],[Servicing Spread]])</f>
        <v>0.49000000000000021</v>
      </c>
      <c r="M451" s="16">
        <f>CurrentMtgRatesDataTable8[[#This Row],[Servicing Spread Non-Zero]]-L450</f>
        <v>0</v>
      </c>
      <c r="N451" s="16">
        <f>IF(J450&lt;&gt;0,CurrentMtgRatesDataTable8[[#This Row],[Rate]]-C450,N450)</f>
        <v>3.0000000000000249E-2</v>
      </c>
    </row>
    <row r="452" spans="1:14">
      <c r="A452" s="12" t="s">
        <v>1804</v>
      </c>
      <c r="B452" s="13">
        <v>5.2220000000000004</v>
      </c>
      <c r="C452" s="13">
        <v>5.6400000000000006</v>
      </c>
      <c r="D452" s="15">
        <f t="shared" si="42"/>
        <v>5</v>
      </c>
      <c r="E452" s="15">
        <f t="shared" si="43"/>
        <v>0.2</v>
      </c>
      <c r="F452" s="15">
        <f t="shared" si="44"/>
        <v>3</v>
      </c>
      <c r="G452" s="15">
        <f t="shared" si="45"/>
        <v>3.1252000000000004</v>
      </c>
      <c r="H452" s="15">
        <f t="shared" si="46"/>
        <v>0.60000000000000009</v>
      </c>
      <c r="I452" s="15">
        <f t="shared" si="47"/>
        <v>0</v>
      </c>
      <c r="J452" s="15">
        <f t="shared" si="48"/>
        <v>0</v>
      </c>
      <c r="K452" s="15">
        <f>IF(CurrentMtgRatesDataTable8[[#This Row],[WA CC]]&lt;&gt;0,C451-CurrentMtgRatesDataTable8[[#This Row],[WA CC]],0)</f>
        <v>0</v>
      </c>
      <c r="L452" s="16">
        <f>IF(CurrentMtgRatesDataTable8[[#This Row],[Servicing Spread]]&lt;=0,L451,CurrentMtgRatesDataTable8[[#This Row],[Servicing Spread]])</f>
        <v>0.49000000000000021</v>
      </c>
      <c r="M452" s="16">
        <f>CurrentMtgRatesDataTable8[[#This Row],[Servicing Spread Non-Zero]]-L451</f>
        <v>0</v>
      </c>
      <c r="N452" s="16">
        <f>IF(J451&lt;&gt;0,CurrentMtgRatesDataTable8[[#This Row],[Rate]]-C451,N451)</f>
        <v>3.0000000000000249E-2</v>
      </c>
    </row>
    <row r="453" spans="1:14">
      <c r="A453" s="12" t="s">
        <v>1805</v>
      </c>
      <c r="B453" s="13">
        <v>5.2030000000000003</v>
      </c>
      <c r="C453" s="13">
        <v>5.6400000000000006</v>
      </c>
      <c r="D453" s="15">
        <f t="shared" ref="D453:D516" si="49">WEEKDAY(A453,14)</f>
        <v>6</v>
      </c>
      <c r="E453" s="15">
        <f t="shared" ref="E453:E516" si="50">VLOOKUP(D453,Q$5:R$11,2,FALSE)</f>
        <v>0.2</v>
      </c>
      <c r="F453" s="15">
        <f t="shared" ref="F453:F516" si="51">IF(AND(D453&gt;D452,F452&lt;6),F452+1,1)</f>
        <v>4</v>
      </c>
      <c r="G453" s="15">
        <f t="shared" ref="G453:G516" si="52">IF(F453&gt;F452,G452+B453*E453,B453*E453)</f>
        <v>4.1658000000000008</v>
      </c>
      <c r="H453" s="15">
        <f t="shared" ref="H453:H516" si="53">IF(AND(F453&lt;6,F453&gt;F452),E453+H452,E453)</f>
        <v>0.8</v>
      </c>
      <c r="I453" s="15">
        <f t="shared" ref="I453:I516" si="54">IF(F453&gt;F454,1,0)</f>
        <v>0</v>
      </c>
      <c r="J453" s="15">
        <f t="shared" ref="J453:J516" si="55">IF(F453&gt;F454,G453/H453,0)</f>
        <v>0</v>
      </c>
      <c r="K453" s="15">
        <f>IF(CurrentMtgRatesDataTable8[[#This Row],[WA CC]]&lt;&gt;0,C452-CurrentMtgRatesDataTable8[[#This Row],[WA CC]],0)</f>
        <v>0</v>
      </c>
      <c r="L453" s="16">
        <f>IF(CurrentMtgRatesDataTable8[[#This Row],[Servicing Spread]]&lt;=0,L452,CurrentMtgRatesDataTable8[[#This Row],[Servicing Spread]])</f>
        <v>0.49000000000000021</v>
      </c>
      <c r="M453" s="16">
        <f>CurrentMtgRatesDataTable8[[#This Row],[Servicing Spread Non-Zero]]-L452</f>
        <v>0</v>
      </c>
      <c r="N453" s="16">
        <f>IF(J452&lt;&gt;0,CurrentMtgRatesDataTable8[[#This Row],[Rate]]-C452,N452)</f>
        <v>3.0000000000000249E-2</v>
      </c>
    </row>
    <row r="454" spans="1:14">
      <c r="A454" s="12" t="s">
        <v>1806</v>
      </c>
      <c r="B454" s="13">
        <v>5.2389999999999999</v>
      </c>
      <c r="C454" s="13">
        <v>5.6400000000000006</v>
      </c>
      <c r="D454" s="15">
        <f t="shared" si="49"/>
        <v>7</v>
      </c>
      <c r="E454" s="15">
        <f t="shared" si="50"/>
        <v>0.2</v>
      </c>
      <c r="F454" s="15">
        <f t="shared" si="51"/>
        <v>5</v>
      </c>
      <c r="G454" s="15">
        <f t="shared" si="52"/>
        <v>5.2136000000000013</v>
      </c>
      <c r="H454" s="15">
        <f t="shared" si="53"/>
        <v>1</v>
      </c>
      <c r="I454" s="15">
        <f t="shared" si="54"/>
        <v>1</v>
      </c>
      <c r="J454" s="15">
        <f t="shared" si="55"/>
        <v>5.2136000000000013</v>
      </c>
      <c r="K454" s="15">
        <f>IF(CurrentMtgRatesDataTable8[[#This Row],[WA CC]]&lt;&gt;0,C453-CurrentMtgRatesDataTable8[[#This Row],[WA CC]],0)</f>
        <v>0.42639999999999922</v>
      </c>
      <c r="L454" s="16">
        <f>IF(CurrentMtgRatesDataTable8[[#This Row],[Servicing Spread]]&lt;=0,L453,CurrentMtgRatesDataTable8[[#This Row],[Servicing Spread]])</f>
        <v>0.42639999999999922</v>
      </c>
      <c r="M454" s="16">
        <f>CurrentMtgRatesDataTable8[[#This Row],[Servicing Spread Non-Zero]]-L453</f>
        <v>-6.3600000000000989E-2</v>
      </c>
      <c r="N454" s="16">
        <f>IF(J453&lt;&gt;0,CurrentMtgRatesDataTable8[[#This Row],[Rate]]-C453,N453)</f>
        <v>3.0000000000000249E-2</v>
      </c>
    </row>
    <row r="455" spans="1:14">
      <c r="A455" s="12" t="s">
        <v>1807</v>
      </c>
      <c r="B455" s="13">
        <v>5.2690000000000001</v>
      </c>
      <c r="C455" s="13">
        <v>5.7</v>
      </c>
      <c r="D455" s="15">
        <f t="shared" si="49"/>
        <v>1</v>
      </c>
      <c r="E455" s="15">
        <f t="shared" si="50"/>
        <v>0.2</v>
      </c>
      <c r="F455" s="15">
        <f t="shared" si="51"/>
        <v>1</v>
      </c>
      <c r="G455" s="15">
        <f t="shared" si="52"/>
        <v>1.0538000000000001</v>
      </c>
      <c r="H455" s="15">
        <f t="shared" si="53"/>
        <v>0.2</v>
      </c>
      <c r="I455" s="15">
        <f t="shared" si="54"/>
        <v>0</v>
      </c>
      <c r="J455" s="15">
        <f t="shared" si="55"/>
        <v>0</v>
      </c>
      <c r="K455" s="15">
        <f>IF(CurrentMtgRatesDataTable8[[#This Row],[WA CC]]&lt;&gt;0,C454-CurrentMtgRatesDataTable8[[#This Row],[WA CC]],0)</f>
        <v>0</v>
      </c>
      <c r="L455" s="16">
        <f>IF(CurrentMtgRatesDataTable8[[#This Row],[Servicing Spread]]&lt;=0,L454,CurrentMtgRatesDataTable8[[#This Row],[Servicing Spread]])</f>
        <v>0.42639999999999922</v>
      </c>
      <c r="M455" s="16">
        <f>CurrentMtgRatesDataTable8[[#This Row],[Servicing Spread Non-Zero]]-L454</f>
        <v>0</v>
      </c>
      <c r="N455" s="16">
        <f>IF(J454&lt;&gt;0,CurrentMtgRatesDataTable8[[#This Row],[Rate]]-C454,N454)</f>
        <v>5.9999999999999609E-2</v>
      </c>
    </row>
    <row r="456" spans="1:14">
      <c r="A456" s="12" t="s">
        <v>1808</v>
      </c>
      <c r="B456" s="13">
        <v>5.3239999999999998</v>
      </c>
      <c r="C456" s="13">
        <v>5.7</v>
      </c>
      <c r="D456" s="15">
        <f t="shared" si="49"/>
        <v>2</v>
      </c>
      <c r="E456" s="15">
        <f t="shared" si="50"/>
        <v>0.2</v>
      </c>
      <c r="F456" s="15">
        <f t="shared" si="51"/>
        <v>2</v>
      </c>
      <c r="G456" s="15">
        <f t="shared" si="52"/>
        <v>2.1185999999999998</v>
      </c>
      <c r="H456" s="15">
        <f t="shared" si="53"/>
        <v>0.4</v>
      </c>
      <c r="I456" s="15">
        <f t="shared" si="54"/>
        <v>0</v>
      </c>
      <c r="J456" s="15">
        <f t="shared" si="55"/>
        <v>0</v>
      </c>
      <c r="K456" s="15">
        <f>IF(CurrentMtgRatesDataTable8[[#This Row],[WA CC]]&lt;&gt;0,C455-CurrentMtgRatesDataTable8[[#This Row],[WA CC]],0)</f>
        <v>0</v>
      </c>
      <c r="L456" s="16">
        <f>IF(CurrentMtgRatesDataTable8[[#This Row],[Servicing Spread]]&lt;=0,L455,CurrentMtgRatesDataTable8[[#This Row],[Servicing Spread]])</f>
        <v>0.42639999999999922</v>
      </c>
      <c r="M456" s="16">
        <f>CurrentMtgRatesDataTable8[[#This Row],[Servicing Spread Non-Zero]]-L455</f>
        <v>0</v>
      </c>
      <c r="N456" s="16">
        <f>IF(J455&lt;&gt;0,CurrentMtgRatesDataTable8[[#This Row],[Rate]]-C455,N455)</f>
        <v>5.9999999999999609E-2</v>
      </c>
    </row>
    <row r="457" spans="1:14">
      <c r="A457" s="12" t="s">
        <v>1809</v>
      </c>
      <c r="B457" s="13">
        <v>5.3040000000000003</v>
      </c>
      <c r="C457" s="13">
        <v>5.7</v>
      </c>
      <c r="D457" s="15">
        <f t="shared" si="49"/>
        <v>5</v>
      </c>
      <c r="E457" s="15">
        <f t="shared" si="50"/>
        <v>0.2</v>
      </c>
      <c r="F457" s="15">
        <f t="shared" si="51"/>
        <v>3</v>
      </c>
      <c r="G457" s="15">
        <f t="shared" si="52"/>
        <v>3.1794000000000002</v>
      </c>
      <c r="H457" s="15">
        <f t="shared" si="53"/>
        <v>0.60000000000000009</v>
      </c>
      <c r="I457" s="15">
        <f t="shared" si="54"/>
        <v>0</v>
      </c>
      <c r="J457" s="15">
        <f t="shared" si="55"/>
        <v>0</v>
      </c>
      <c r="K457" s="15">
        <f>IF(CurrentMtgRatesDataTable8[[#This Row],[WA CC]]&lt;&gt;0,C456-CurrentMtgRatesDataTable8[[#This Row],[WA CC]],0)</f>
        <v>0</v>
      </c>
      <c r="L457" s="16">
        <f>IF(CurrentMtgRatesDataTable8[[#This Row],[Servicing Spread]]&lt;=0,L456,CurrentMtgRatesDataTable8[[#This Row],[Servicing Spread]])</f>
        <v>0.42639999999999922</v>
      </c>
      <c r="M457" s="16">
        <f>CurrentMtgRatesDataTable8[[#This Row],[Servicing Spread Non-Zero]]-L456</f>
        <v>0</v>
      </c>
      <c r="N457" s="16">
        <f>IF(J456&lt;&gt;0,CurrentMtgRatesDataTable8[[#This Row],[Rate]]-C456,N456)</f>
        <v>5.9999999999999609E-2</v>
      </c>
    </row>
    <row r="458" spans="1:14">
      <c r="A458" s="12" t="s">
        <v>1810</v>
      </c>
      <c r="B458" s="13">
        <v>5.3159999999999998</v>
      </c>
      <c r="C458" s="13">
        <v>5.7</v>
      </c>
      <c r="D458" s="15">
        <f t="shared" si="49"/>
        <v>6</v>
      </c>
      <c r="E458" s="15">
        <f t="shared" si="50"/>
        <v>0.2</v>
      </c>
      <c r="F458" s="15">
        <f t="shared" si="51"/>
        <v>4</v>
      </c>
      <c r="G458" s="15">
        <f t="shared" si="52"/>
        <v>4.2426000000000004</v>
      </c>
      <c r="H458" s="15">
        <f t="shared" si="53"/>
        <v>0.8</v>
      </c>
      <c r="I458" s="15">
        <f t="shared" si="54"/>
        <v>0</v>
      </c>
      <c r="J458" s="15">
        <f t="shared" si="55"/>
        <v>0</v>
      </c>
      <c r="K458" s="15">
        <f>IF(CurrentMtgRatesDataTable8[[#This Row],[WA CC]]&lt;&gt;0,C457-CurrentMtgRatesDataTable8[[#This Row],[WA CC]],0)</f>
        <v>0</v>
      </c>
      <c r="L458" s="16">
        <f>IF(CurrentMtgRatesDataTable8[[#This Row],[Servicing Spread]]&lt;=0,L457,CurrentMtgRatesDataTable8[[#This Row],[Servicing Spread]])</f>
        <v>0.42639999999999922</v>
      </c>
      <c r="M458" s="16">
        <f>CurrentMtgRatesDataTable8[[#This Row],[Servicing Spread Non-Zero]]-L457</f>
        <v>0</v>
      </c>
      <c r="N458" s="16">
        <f>IF(J457&lt;&gt;0,CurrentMtgRatesDataTable8[[#This Row],[Rate]]-C457,N457)</f>
        <v>5.9999999999999609E-2</v>
      </c>
    </row>
    <row r="459" spans="1:14">
      <c r="A459" s="12" t="s">
        <v>1811</v>
      </c>
      <c r="B459" s="13">
        <v>5.2729999999999997</v>
      </c>
      <c r="C459" s="13">
        <v>5.7</v>
      </c>
      <c r="D459" s="15">
        <f t="shared" si="49"/>
        <v>7</v>
      </c>
      <c r="E459" s="15">
        <f t="shared" si="50"/>
        <v>0.2</v>
      </c>
      <c r="F459" s="15">
        <f t="shared" si="51"/>
        <v>5</v>
      </c>
      <c r="G459" s="15">
        <f t="shared" si="52"/>
        <v>5.2972000000000001</v>
      </c>
      <c r="H459" s="15">
        <f t="shared" si="53"/>
        <v>1</v>
      </c>
      <c r="I459" s="15">
        <f t="shared" si="54"/>
        <v>1</v>
      </c>
      <c r="J459" s="15">
        <f t="shared" si="55"/>
        <v>5.2972000000000001</v>
      </c>
      <c r="K459" s="15">
        <f>IF(CurrentMtgRatesDataTable8[[#This Row],[WA CC]]&lt;&gt;0,C458-CurrentMtgRatesDataTable8[[#This Row],[WA CC]],0)</f>
        <v>0.40280000000000005</v>
      </c>
      <c r="L459" s="16">
        <f>IF(CurrentMtgRatesDataTable8[[#This Row],[Servicing Spread]]&lt;=0,L458,CurrentMtgRatesDataTable8[[#This Row],[Servicing Spread]])</f>
        <v>0.40280000000000005</v>
      </c>
      <c r="M459" s="16">
        <f>CurrentMtgRatesDataTable8[[#This Row],[Servicing Spread Non-Zero]]-L458</f>
        <v>-2.3599999999999177E-2</v>
      </c>
      <c r="N459" s="16">
        <f>IF(J458&lt;&gt;0,CurrentMtgRatesDataTable8[[#This Row],[Rate]]-C458,N458)</f>
        <v>5.9999999999999609E-2</v>
      </c>
    </row>
    <row r="460" spans="1:14">
      <c r="A460" s="12" t="s">
        <v>1812</v>
      </c>
      <c r="B460" s="13">
        <v>5.2640000000000002</v>
      </c>
      <c r="C460" s="13">
        <v>5.7850000000000001</v>
      </c>
      <c r="D460" s="15">
        <f t="shared" si="49"/>
        <v>1</v>
      </c>
      <c r="E460" s="15">
        <f t="shared" si="50"/>
        <v>0.2</v>
      </c>
      <c r="F460" s="15">
        <f t="shared" si="51"/>
        <v>1</v>
      </c>
      <c r="G460" s="15">
        <f t="shared" si="52"/>
        <v>1.0528000000000002</v>
      </c>
      <c r="H460" s="15">
        <f t="shared" si="53"/>
        <v>0.2</v>
      </c>
      <c r="I460" s="15">
        <f t="shared" si="54"/>
        <v>0</v>
      </c>
      <c r="J460" s="15">
        <f t="shared" si="55"/>
        <v>0</v>
      </c>
      <c r="K460" s="15">
        <f>IF(CurrentMtgRatesDataTable8[[#This Row],[WA CC]]&lt;&gt;0,C459-CurrentMtgRatesDataTable8[[#This Row],[WA CC]],0)</f>
        <v>0</v>
      </c>
      <c r="L460" s="16">
        <f>IF(CurrentMtgRatesDataTable8[[#This Row],[Servicing Spread]]&lt;=0,L459,CurrentMtgRatesDataTable8[[#This Row],[Servicing Spread]])</f>
        <v>0.40280000000000005</v>
      </c>
      <c r="M460" s="16">
        <f>CurrentMtgRatesDataTable8[[#This Row],[Servicing Spread Non-Zero]]-L459</f>
        <v>0</v>
      </c>
      <c r="N460" s="16">
        <f>IF(J459&lt;&gt;0,CurrentMtgRatesDataTable8[[#This Row],[Rate]]-C459,N459)</f>
        <v>8.4999999999999964E-2</v>
      </c>
    </row>
    <row r="461" spans="1:14">
      <c r="A461" s="12" t="s">
        <v>1813</v>
      </c>
      <c r="B461" s="13">
        <v>5.3310000000000004</v>
      </c>
      <c r="C461" s="13">
        <v>5.7850000000000001</v>
      </c>
      <c r="D461" s="15">
        <f t="shared" si="49"/>
        <v>2</v>
      </c>
      <c r="E461" s="15">
        <f t="shared" si="50"/>
        <v>0.2</v>
      </c>
      <c r="F461" s="15">
        <f t="shared" si="51"/>
        <v>2</v>
      </c>
      <c r="G461" s="15">
        <f t="shared" si="52"/>
        <v>2.1190000000000002</v>
      </c>
      <c r="H461" s="15">
        <f t="shared" si="53"/>
        <v>0.4</v>
      </c>
      <c r="I461" s="15">
        <f t="shared" si="54"/>
        <v>0</v>
      </c>
      <c r="J461" s="15">
        <f t="shared" si="55"/>
        <v>0</v>
      </c>
      <c r="K461" s="15">
        <f>IF(CurrentMtgRatesDataTable8[[#This Row],[WA CC]]&lt;&gt;0,C460-CurrentMtgRatesDataTable8[[#This Row],[WA CC]],0)</f>
        <v>0</v>
      </c>
      <c r="L461" s="16">
        <f>IF(CurrentMtgRatesDataTable8[[#This Row],[Servicing Spread]]&lt;=0,L460,CurrentMtgRatesDataTable8[[#This Row],[Servicing Spread]])</f>
        <v>0.40280000000000005</v>
      </c>
      <c r="M461" s="16">
        <f>CurrentMtgRatesDataTable8[[#This Row],[Servicing Spread Non-Zero]]-L460</f>
        <v>0</v>
      </c>
      <c r="N461" s="16">
        <f>IF(J460&lt;&gt;0,CurrentMtgRatesDataTable8[[#This Row],[Rate]]-C460,N460)</f>
        <v>8.4999999999999964E-2</v>
      </c>
    </row>
    <row r="462" spans="1:14">
      <c r="A462" s="12" t="s">
        <v>1814</v>
      </c>
      <c r="B462" s="13">
        <v>5.3689999999999998</v>
      </c>
      <c r="C462" s="13">
        <v>5.7850000000000001</v>
      </c>
      <c r="D462" s="15">
        <f t="shared" si="49"/>
        <v>5</v>
      </c>
      <c r="E462" s="15">
        <f t="shared" si="50"/>
        <v>0.2</v>
      </c>
      <c r="F462" s="15">
        <f t="shared" si="51"/>
        <v>3</v>
      </c>
      <c r="G462" s="15">
        <f t="shared" si="52"/>
        <v>3.1928000000000001</v>
      </c>
      <c r="H462" s="15">
        <f t="shared" si="53"/>
        <v>0.60000000000000009</v>
      </c>
      <c r="I462" s="15">
        <f t="shared" si="54"/>
        <v>0</v>
      </c>
      <c r="J462" s="15">
        <f t="shared" si="55"/>
        <v>0</v>
      </c>
      <c r="K462" s="15">
        <f>IF(CurrentMtgRatesDataTable8[[#This Row],[WA CC]]&lt;&gt;0,C461-CurrentMtgRatesDataTable8[[#This Row],[WA CC]],0)</f>
        <v>0</v>
      </c>
      <c r="L462" s="16">
        <f>IF(CurrentMtgRatesDataTable8[[#This Row],[Servicing Spread]]&lt;=0,L461,CurrentMtgRatesDataTable8[[#This Row],[Servicing Spread]])</f>
        <v>0.40280000000000005</v>
      </c>
      <c r="M462" s="16">
        <f>CurrentMtgRatesDataTable8[[#This Row],[Servicing Spread Non-Zero]]-L461</f>
        <v>0</v>
      </c>
      <c r="N462" s="16">
        <f>IF(J461&lt;&gt;0,CurrentMtgRatesDataTable8[[#This Row],[Rate]]-C461,N461)</f>
        <v>8.4999999999999964E-2</v>
      </c>
    </row>
    <row r="463" spans="1:14">
      <c r="A463" s="12" t="s">
        <v>1815</v>
      </c>
      <c r="B463" s="13">
        <v>5.38</v>
      </c>
      <c r="C463" s="13">
        <v>5.7850000000000001</v>
      </c>
      <c r="D463" s="15">
        <f t="shared" si="49"/>
        <v>6</v>
      </c>
      <c r="E463" s="15">
        <f t="shared" si="50"/>
        <v>0.2</v>
      </c>
      <c r="F463" s="15">
        <f t="shared" si="51"/>
        <v>4</v>
      </c>
      <c r="G463" s="15">
        <f t="shared" si="52"/>
        <v>4.2688000000000006</v>
      </c>
      <c r="H463" s="15">
        <f t="shared" si="53"/>
        <v>0.8</v>
      </c>
      <c r="I463" s="15">
        <f t="shared" si="54"/>
        <v>0</v>
      </c>
      <c r="J463" s="15">
        <f t="shared" si="55"/>
        <v>0</v>
      </c>
      <c r="K463" s="15">
        <f>IF(CurrentMtgRatesDataTable8[[#This Row],[WA CC]]&lt;&gt;0,C462-CurrentMtgRatesDataTable8[[#This Row],[WA CC]],0)</f>
        <v>0</v>
      </c>
      <c r="L463" s="16">
        <f>IF(CurrentMtgRatesDataTable8[[#This Row],[Servicing Spread]]&lt;=0,L462,CurrentMtgRatesDataTable8[[#This Row],[Servicing Spread]])</f>
        <v>0.40280000000000005</v>
      </c>
      <c r="M463" s="16">
        <f>CurrentMtgRatesDataTable8[[#This Row],[Servicing Spread Non-Zero]]-L462</f>
        <v>0</v>
      </c>
      <c r="N463" s="16">
        <f>IF(J462&lt;&gt;0,CurrentMtgRatesDataTable8[[#This Row],[Rate]]-C462,N462)</f>
        <v>8.4999999999999964E-2</v>
      </c>
    </row>
    <row r="464" spans="1:14">
      <c r="A464" s="12" t="s">
        <v>1816</v>
      </c>
      <c r="B464" s="13">
        <v>5.3479999999999999</v>
      </c>
      <c r="C464" s="13">
        <v>5.7850000000000001</v>
      </c>
      <c r="D464" s="15">
        <f t="shared" si="49"/>
        <v>7</v>
      </c>
      <c r="E464" s="15">
        <f t="shared" si="50"/>
        <v>0.2</v>
      </c>
      <c r="F464" s="15">
        <f t="shared" si="51"/>
        <v>5</v>
      </c>
      <c r="G464" s="15">
        <f t="shared" si="52"/>
        <v>5.3384000000000009</v>
      </c>
      <c r="H464" s="15">
        <f t="shared" si="53"/>
        <v>1</v>
      </c>
      <c r="I464" s="15">
        <f t="shared" si="54"/>
        <v>1</v>
      </c>
      <c r="J464" s="15">
        <f t="shared" si="55"/>
        <v>5.3384000000000009</v>
      </c>
      <c r="K464" s="15">
        <f>IF(CurrentMtgRatesDataTable8[[#This Row],[WA CC]]&lt;&gt;0,C463-CurrentMtgRatesDataTable8[[#This Row],[WA CC]],0)</f>
        <v>0.44659999999999922</v>
      </c>
      <c r="L464" s="16">
        <f>IF(CurrentMtgRatesDataTable8[[#This Row],[Servicing Spread]]&lt;=0,L463,CurrentMtgRatesDataTable8[[#This Row],[Servicing Spread]])</f>
        <v>0.44659999999999922</v>
      </c>
      <c r="M464" s="16">
        <f>CurrentMtgRatesDataTable8[[#This Row],[Servicing Spread Non-Zero]]-L463</f>
        <v>4.3799999999999173E-2</v>
      </c>
      <c r="N464" s="16">
        <f>IF(J463&lt;&gt;0,CurrentMtgRatesDataTable8[[#This Row],[Rate]]-C463,N463)</f>
        <v>8.4999999999999964E-2</v>
      </c>
    </row>
    <row r="465" spans="1:14">
      <c r="A465" s="12" t="s">
        <v>1817</v>
      </c>
      <c r="B465" s="13">
        <v>5.3710000000000004</v>
      </c>
      <c r="C465" s="13">
        <v>5.8550000000000004</v>
      </c>
      <c r="D465" s="15">
        <f t="shared" si="49"/>
        <v>1</v>
      </c>
      <c r="E465" s="15">
        <f t="shared" si="50"/>
        <v>0.2</v>
      </c>
      <c r="F465" s="15">
        <f t="shared" si="51"/>
        <v>1</v>
      </c>
      <c r="G465" s="15">
        <f t="shared" si="52"/>
        <v>1.0742</v>
      </c>
      <c r="H465" s="15">
        <f t="shared" si="53"/>
        <v>0.2</v>
      </c>
      <c r="I465" s="15">
        <f t="shared" si="54"/>
        <v>0</v>
      </c>
      <c r="J465" s="15">
        <f t="shared" si="55"/>
        <v>0</v>
      </c>
      <c r="K465" s="15">
        <f>IF(CurrentMtgRatesDataTable8[[#This Row],[WA CC]]&lt;&gt;0,C464-CurrentMtgRatesDataTable8[[#This Row],[WA CC]],0)</f>
        <v>0</v>
      </c>
      <c r="L465" s="16">
        <f>IF(CurrentMtgRatesDataTable8[[#This Row],[Servicing Spread]]&lt;=0,L464,CurrentMtgRatesDataTable8[[#This Row],[Servicing Spread]])</f>
        <v>0.44659999999999922</v>
      </c>
      <c r="M465" s="16">
        <f>CurrentMtgRatesDataTable8[[#This Row],[Servicing Spread Non-Zero]]-L464</f>
        <v>0</v>
      </c>
      <c r="N465" s="16">
        <f>IF(J464&lt;&gt;0,CurrentMtgRatesDataTable8[[#This Row],[Rate]]-C464,N464)</f>
        <v>7.0000000000000284E-2</v>
      </c>
    </row>
    <row r="466" spans="1:14">
      <c r="A466" s="12" t="s">
        <v>1818</v>
      </c>
      <c r="B466" s="13">
        <v>5.4210000000000003</v>
      </c>
      <c r="C466" s="13">
        <v>5.8550000000000004</v>
      </c>
      <c r="D466" s="15">
        <f t="shared" si="49"/>
        <v>2</v>
      </c>
      <c r="E466" s="15">
        <f t="shared" si="50"/>
        <v>0.2</v>
      </c>
      <c r="F466" s="15">
        <f t="shared" si="51"/>
        <v>2</v>
      </c>
      <c r="G466" s="15">
        <f t="shared" si="52"/>
        <v>2.1584000000000003</v>
      </c>
      <c r="H466" s="15">
        <f t="shared" si="53"/>
        <v>0.4</v>
      </c>
      <c r="I466" s="15">
        <f t="shared" si="54"/>
        <v>0</v>
      </c>
      <c r="J466" s="15">
        <f t="shared" si="55"/>
        <v>0</v>
      </c>
      <c r="K466" s="15">
        <f>IF(CurrentMtgRatesDataTable8[[#This Row],[WA CC]]&lt;&gt;0,C465-CurrentMtgRatesDataTable8[[#This Row],[WA CC]],0)</f>
        <v>0</v>
      </c>
      <c r="L466" s="16">
        <f>IF(CurrentMtgRatesDataTable8[[#This Row],[Servicing Spread]]&lt;=0,L465,CurrentMtgRatesDataTable8[[#This Row],[Servicing Spread]])</f>
        <v>0.44659999999999922</v>
      </c>
      <c r="M466" s="16">
        <f>CurrentMtgRatesDataTable8[[#This Row],[Servicing Spread Non-Zero]]-L465</f>
        <v>0</v>
      </c>
      <c r="N466" s="16">
        <f>IF(J465&lt;&gt;0,CurrentMtgRatesDataTable8[[#This Row],[Rate]]-C465,N465)</f>
        <v>7.0000000000000284E-2</v>
      </c>
    </row>
    <row r="467" spans="1:14">
      <c r="A467" s="12" t="s">
        <v>1819</v>
      </c>
      <c r="B467" s="13">
        <v>5.4850000000000003</v>
      </c>
      <c r="C467" s="13">
        <v>5.8550000000000004</v>
      </c>
      <c r="D467" s="15">
        <f t="shared" si="49"/>
        <v>5</v>
      </c>
      <c r="E467" s="15">
        <f t="shared" si="50"/>
        <v>0.2</v>
      </c>
      <c r="F467" s="15">
        <f t="shared" si="51"/>
        <v>3</v>
      </c>
      <c r="G467" s="15">
        <f t="shared" si="52"/>
        <v>3.2554000000000007</v>
      </c>
      <c r="H467" s="15">
        <f t="shared" si="53"/>
        <v>0.60000000000000009</v>
      </c>
      <c r="I467" s="15">
        <f t="shared" si="54"/>
        <v>0</v>
      </c>
      <c r="J467" s="15">
        <f t="shared" si="55"/>
        <v>0</v>
      </c>
      <c r="K467" s="15">
        <f>IF(CurrentMtgRatesDataTable8[[#This Row],[WA CC]]&lt;&gt;0,C466-CurrentMtgRatesDataTable8[[#This Row],[WA CC]],0)</f>
        <v>0</v>
      </c>
      <c r="L467" s="16">
        <f>IF(CurrentMtgRatesDataTable8[[#This Row],[Servicing Spread]]&lt;=0,L466,CurrentMtgRatesDataTable8[[#This Row],[Servicing Spread]])</f>
        <v>0.44659999999999922</v>
      </c>
      <c r="M467" s="16">
        <f>CurrentMtgRatesDataTable8[[#This Row],[Servicing Spread Non-Zero]]-L466</f>
        <v>0</v>
      </c>
      <c r="N467" s="16">
        <f>IF(J466&lt;&gt;0,CurrentMtgRatesDataTable8[[#This Row],[Rate]]-C466,N466)</f>
        <v>7.0000000000000284E-2</v>
      </c>
    </row>
    <row r="468" spans="1:14">
      <c r="A468" s="12" t="s">
        <v>1820</v>
      </c>
      <c r="B468" s="13">
        <v>5.4859999999999998</v>
      </c>
      <c r="C468" s="13">
        <v>5.8550000000000004</v>
      </c>
      <c r="D468" s="15">
        <f t="shared" si="49"/>
        <v>6</v>
      </c>
      <c r="E468" s="15">
        <f t="shared" si="50"/>
        <v>0.2</v>
      </c>
      <c r="F468" s="15">
        <f t="shared" si="51"/>
        <v>4</v>
      </c>
      <c r="G468" s="15">
        <f t="shared" si="52"/>
        <v>4.3526000000000007</v>
      </c>
      <c r="H468" s="15">
        <f t="shared" si="53"/>
        <v>0.8</v>
      </c>
      <c r="I468" s="15">
        <f t="shared" si="54"/>
        <v>0</v>
      </c>
      <c r="J468" s="15">
        <f t="shared" si="55"/>
        <v>0</v>
      </c>
      <c r="K468" s="15">
        <f>IF(CurrentMtgRatesDataTable8[[#This Row],[WA CC]]&lt;&gt;0,C467-CurrentMtgRatesDataTable8[[#This Row],[WA CC]],0)</f>
        <v>0</v>
      </c>
      <c r="L468" s="16">
        <f>IF(CurrentMtgRatesDataTable8[[#This Row],[Servicing Spread]]&lt;=0,L467,CurrentMtgRatesDataTable8[[#This Row],[Servicing Spread]])</f>
        <v>0.44659999999999922</v>
      </c>
      <c r="M468" s="16">
        <f>CurrentMtgRatesDataTable8[[#This Row],[Servicing Spread Non-Zero]]-L467</f>
        <v>0</v>
      </c>
      <c r="N468" s="16">
        <f>IF(J467&lt;&gt;0,CurrentMtgRatesDataTable8[[#This Row],[Rate]]-C467,N467)</f>
        <v>7.0000000000000284E-2</v>
      </c>
    </row>
    <row r="469" spans="1:14">
      <c r="A469" s="12" t="s">
        <v>1821</v>
      </c>
      <c r="B469" s="13">
        <v>5.47</v>
      </c>
      <c r="C469" s="13">
        <v>5.8550000000000004</v>
      </c>
      <c r="D469" s="15">
        <f t="shared" si="49"/>
        <v>7</v>
      </c>
      <c r="E469" s="15">
        <f t="shared" si="50"/>
        <v>0.2</v>
      </c>
      <c r="F469" s="15">
        <f t="shared" si="51"/>
        <v>5</v>
      </c>
      <c r="G469" s="15">
        <f t="shared" si="52"/>
        <v>5.446600000000001</v>
      </c>
      <c r="H469" s="15">
        <f t="shared" si="53"/>
        <v>1</v>
      </c>
      <c r="I469" s="15">
        <f t="shared" si="54"/>
        <v>1</v>
      </c>
      <c r="J469" s="15">
        <f t="shared" si="55"/>
        <v>5.446600000000001</v>
      </c>
      <c r="K469" s="15">
        <f>IF(CurrentMtgRatesDataTable8[[#This Row],[WA CC]]&lt;&gt;0,C468-CurrentMtgRatesDataTable8[[#This Row],[WA CC]],0)</f>
        <v>0.40839999999999943</v>
      </c>
      <c r="L469" s="16">
        <f>IF(CurrentMtgRatesDataTable8[[#This Row],[Servicing Spread]]&lt;=0,L468,CurrentMtgRatesDataTable8[[#This Row],[Servicing Spread]])</f>
        <v>0.40839999999999943</v>
      </c>
      <c r="M469" s="16">
        <f>CurrentMtgRatesDataTable8[[#This Row],[Servicing Spread Non-Zero]]-L468</f>
        <v>-3.819999999999979E-2</v>
      </c>
      <c r="N469" s="16">
        <f>IF(J468&lt;&gt;0,CurrentMtgRatesDataTable8[[#This Row],[Rate]]-C468,N468)</f>
        <v>7.0000000000000284E-2</v>
      </c>
    </row>
    <row r="470" spans="1:14">
      <c r="A470" s="12" t="s">
        <v>1822</v>
      </c>
      <c r="B470" s="13">
        <v>5.4690000000000003</v>
      </c>
      <c r="C470" s="13">
        <v>5.9300000000000006</v>
      </c>
      <c r="D470" s="15">
        <f t="shared" si="49"/>
        <v>1</v>
      </c>
      <c r="E470" s="15">
        <f t="shared" si="50"/>
        <v>0.2</v>
      </c>
      <c r="F470" s="15">
        <f t="shared" si="51"/>
        <v>1</v>
      </c>
      <c r="G470" s="15">
        <f t="shared" si="52"/>
        <v>1.0938000000000001</v>
      </c>
      <c r="H470" s="15">
        <f t="shared" si="53"/>
        <v>0.2</v>
      </c>
      <c r="I470" s="15">
        <f t="shared" si="54"/>
        <v>0</v>
      </c>
      <c r="J470" s="15">
        <f t="shared" si="55"/>
        <v>0</v>
      </c>
      <c r="K470" s="15">
        <f>IF(CurrentMtgRatesDataTable8[[#This Row],[WA CC]]&lt;&gt;0,C469-CurrentMtgRatesDataTable8[[#This Row],[WA CC]],0)</f>
        <v>0</v>
      </c>
      <c r="L470" s="16">
        <f>IF(CurrentMtgRatesDataTable8[[#This Row],[Servicing Spread]]&lt;=0,L469,CurrentMtgRatesDataTable8[[#This Row],[Servicing Spread]])</f>
        <v>0.40839999999999943</v>
      </c>
      <c r="M470" s="16">
        <f>CurrentMtgRatesDataTable8[[#This Row],[Servicing Spread Non-Zero]]-L469</f>
        <v>0</v>
      </c>
      <c r="N470" s="16">
        <f>IF(J469&lt;&gt;0,CurrentMtgRatesDataTable8[[#This Row],[Rate]]-C469,N469)</f>
        <v>7.5000000000000178E-2</v>
      </c>
    </row>
    <row r="471" spans="1:14">
      <c r="A471" s="12" t="s">
        <v>1823</v>
      </c>
      <c r="B471" s="13">
        <v>5.4660000000000002</v>
      </c>
      <c r="C471" s="13">
        <v>5.9300000000000006</v>
      </c>
      <c r="D471" s="15">
        <f t="shared" si="49"/>
        <v>2</v>
      </c>
      <c r="E471" s="15">
        <f t="shared" si="50"/>
        <v>0.2</v>
      </c>
      <c r="F471" s="15">
        <f t="shared" si="51"/>
        <v>2</v>
      </c>
      <c r="G471" s="15">
        <f t="shared" si="52"/>
        <v>2.1870000000000003</v>
      </c>
      <c r="H471" s="15">
        <f t="shared" si="53"/>
        <v>0.4</v>
      </c>
      <c r="I471" s="15">
        <f t="shared" si="54"/>
        <v>0</v>
      </c>
      <c r="J471" s="15">
        <f t="shared" si="55"/>
        <v>0</v>
      </c>
      <c r="K471" s="15">
        <f>IF(CurrentMtgRatesDataTable8[[#This Row],[WA CC]]&lt;&gt;0,C470-CurrentMtgRatesDataTable8[[#This Row],[WA CC]],0)</f>
        <v>0</v>
      </c>
      <c r="L471" s="16">
        <f>IF(CurrentMtgRatesDataTable8[[#This Row],[Servicing Spread]]&lt;=0,L470,CurrentMtgRatesDataTable8[[#This Row],[Servicing Spread]])</f>
        <v>0.40839999999999943</v>
      </c>
      <c r="M471" s="16">
        <f>CurrentMtgRatesDataTable8[[#This Row],[Servicing Spread Non-Zero]]-L470</f>
        <v>0</v>
      </c>
      <c r="N471" s="16">
        <f>IF(J470&lt;&gt;0,CurrentMtgRatesDataTable8[[#This Row],[Rate]]-C470,N470)</f>
        <v>7.5000000000000178E-2</v>
      </c>
    </row>
    <row r="472" spans="1:14">
      <c r="A472" s="12" t="s">
        <v>1824</v>
      </c>
      <c r="B472" s="13">
        <v>5.4880000000000004</v>
      </c>
      <c r="C472" s="13">
        <v>5.9300000000000006</v>
      </c>
      <c r="D472" s="15">
        <f t="shared" si="49"/>
        <v>6</v>
      </c>
      <c r="E472" s="15">
        <f t="shared" si="50"/>
        <v>0.2</v>
      </c>
      <c r="F472" s="15">
        <f t="shared" si="51"/>
        <v>3</v>
      </c>
      <c r="G472" s="15">
        <f t="shared" si="52"/>
        <v>3.2846000000000002</v>
      </c>
      <c r="H472" s="15">
        <f t="shared" si="53"/>
        <v>0.60000000000000009</v>
      </c>
      <c r="I472" s="15">
        <f t="shared" si="54"/>
        <v>0</v>
      </c>
      <c r="J472" s="15">
        <f t="shared" si="55"/>
        <v>0</v>
      </c>
      <c r="K472" s="15">
        <f>IF(CurrentMtgRatesDataTable8[[#This Row],[WA CC]]&lt;&gt;0,C471-CurrentMtgRatesDataTable8[[#This Row],[WA CC]],0)</f>
        <v>0</v>
      </c>
      <c r="L472" s="16">
        <f>IF(CurrentMtgRatesDataTable8[[#This Row],[Servicing Spread]]&lt;=0,L471,CurrentMtgRatesDataTable8[[#This Row],[Servicing Spread]])</f>
        <v>0.40839999999999943</v>
      </c>
      <c r="M472" s="16">
        <f>CurrentMtgRatesDataTable8[[#This Row],[Servicing Spread Non-Zero]]-L471</f>
        <v>0</v>
      </c>
      <c r="N472" s="16">
        <f>IF(J471&lt;&gt;0,CurrentMtgRatesDataTable8[[#This Row],[Rate]]-C471,N471)</f>
        <v>7.5000000000000178E-2</v>
      </c>
    </row>
    <row r="473" spans="1:14">
      <c r="A473" s="12" t="s">
        <v>1825</v>
      </c>
      <c r="B473" s="13">
        <v>5.5380000000000003</v>
      </c>
      <c r="C473" s="13">
        <v>5.9300000000000006</v>
      </c>
      <c r="D473" s="15">
        <f t="shared" si="49"/>
        <v>7</v>
      </c>
      <c r="E473" s="15">
        <f t="shared" si="50"/>
        <v>0.2</v>
      </c>
      <c r="F473" s="15">
        <f t="shared" si="51"/>
        <v>4</v>
      </c>
      <c r="G473" s="15">
        <f t="shared" si="52"/>
        <v>4.3922000000000008</v>
      </c>
      <c r="H473" s="15">
        <f t="shared" si="53"/>
        <v>0.8</v>
      </c>
      <c r="I473" s="15">
        <f t="shared" si="54"/>
        <v>1</v>
      </c>
      <c r="J473" s="15">
        <f t="shared" si="55"/>
        <v>5.4902500000000005</v>
      </c>
      <c r="K473" s="15">
        <f>IF(CurrentMtgRatesDataTable8[[#This Row],[WA CC]]&lt;&gt;0,C472-CurrentMtgRatesDataTable8[[#This Row],[WA CC]],0)</f>
        <v>0.43975000000000009</v>
      </c>
      <c r="L473" s="16">
        <f>IF(CurrentMtgRatesDataTable8[[#This Row],[Servicing Spread]]&lt;=0,L472,CurrentMtgRatesDataTable8[[#This Row],[Servicing Spread]])</f>
        <v>0.43975000000000009</v>
      </c>
      <c r="M473" s="16">
        <f>CurrentMtgRatesDataTable8[[#This Row],[Servicing Spread Non-Zero]]-L472</f>
        <v>3.1350000000000655E-2</v>
      </c>
      <c r="N473" s="16">
        <f>IF(J472&lt;&gt;0,CurrentMtgRatesDataTable8[[#This Row],[Rate]]-C472,N472)</f>
        <v>7.5000000000000178E-2</v>
      </c>
    </row>
    <row r="474" spans="1:14">
      <c r="A474" s="12" t="s">
        <v>1826</v>
      </c>
      <c r="B474" s="13">
        <v>5.5789999999999997</v>
      </c>
      <c r="C474" s="13">
        <v>5.9749999999999996</v>
      </c>
      <c r="D474" s="15">
        <f t="shared" si="49"/>
        <v>1</v>
      </c>
      <c r="E474" s="15">
        <f t="shared" si="50"/>
        <v>0.2</v>
      </c>
      <c r="F474" s="15">
        <f t="shared" si="51"/>
        <v>1</v>
      </c>
      <c r="G474" s="15">
        <f t="shared" si="52"/>
        <v>1.1157999999999999</v>
      </c>
      <c r="H474" s="15">
        <f t="shared" si="53"/>
        <v>0.2</v>
      </c>
      <c r="I474" s="15">
        <f t="shared" si="54"/>
        <v>0</v>
      </c>
      <c r="J474" s="15">
        <f t="shared" si="55"/>
        <v>0</v>
      </c>
      <c r="K474" s="15">
        <f>IF(CurrentMtgRatesDataTable8[[#This Row],[WA CC]]&lt;&gt;0,C473-CurrentMtgRatesDataTable8[[#This Row],[WA CC]],0)</f>
        <v>0</v>
      </c>
      <c r="L474" s="16">
        <f>IF(CurrentMtgRatesDataTable8[[#This Row],[Servicing Spread]]&lt;=0,L473,CurrentMtgRatesDataTable8[[#This Row],[Servicing Spread]])</f>
        <v>0.43975000000000009</v>
      </c>
      <c r="M474" s="16">
        <f>CurrentMtgRatesDataTable8[[#This Row],[Servicing Spread Non-Zero]]-L473</f>
        <v>0</v>
      </c>
      <c r="N474" s="16">
        <f>IF(J473&lt;&gt;0,CurrentMtgRatesDataTable8[[#This Row],[Rate]]-C473,N473)</f>
        <v>4.4999999999999041E-2</v>
      </c>
    </row>
    <row r="475" spans="1:14">
      <c r="A475" s="12" t="s">
        <v>1827</v>
      </c>
      <c r="B475" s="13">
        <v>5.5990000000000002</v>
      </c>
      <c r="C475" s="13">
        <v>5.9749999999999996</v>
      </c>
      <c r="D475" s="15">
        <f t="shared" si="49"/>
        <v>2</v>
      </c>
      <c r="E475" s="15">
        <f t="shared" si="50"/>
        <v>0.2</v>
      </c>
      <c r="F475" s="15">
        <f t="shared" si="51"/>
        <v>2</v>
      </c>
      <c r="G475" s="15">
        <f t="shared" si="52"/>
        <v>2.2355999999999998</v>
      </c>
      <c r="H475" s="15">
        <f t="shared" si="53"/>
        <v>0.4</v>
      </c>
      <c r="I475" s="15">
        <f t="shared" si="54"/>
        <v>0</v>
      </c>
      <c r="J475" s="15">
        <f t="shared" si="55"/>
        <v>0</v>
      </c>
      <c r="K475" s="15">
        <f>IF(CurrentMtgRatesDataTable8[[#This Row],[WA CC]]&lt;&gt;0,C474-CurrentMtgRatesDataTable8[[#This Row],[WA CC]],0)</f>
        <v>0</v>
      </c>
      <c r="L475" s="16">
        <f>IF(CurrentMtgRatesDataTable8[[#This Row],[Servicing Spread]]&lt;=0,L474,CurrentMtgRatesDataTable8[[#This Row],[Servicing Spread]])</f>
        <v>0.43975000000000009</v>
      </c>
      <c r="M475" s="16">
        <f>CurrentMtgRatesDataTable8[[#This Row],[Servicing Spread Non-Zero]]-L474</f>
        <v>0</v>
      </c>
      <c r="N475" s="16">
        <f>IF(J474&lt;&gt;0,CurrentMtgRatesDataTable8[[#This Row],[Rate]]-C474,N474)</f>
        <v>4.4999999999999041E-2</v>
      </c>
    </row>
    <row r="476" spans="1:14">
      <c r="A476" s="12" t="s">
        <v>1828</v>
      </c>
      <c r="B476" s="13">
        <v>5.5960000000000001</v>
      </c>
      <c r="C476" s="13">
        <v>5.9749999999999996</v>
      </c>
      <c r="D476" s="15">
        <f t="shared" si="49"/>
        <v>5</v>
      </c>
      <c r="E476" s="15">
        <f t="shared" si="50"/>
        <v>0.2</v>
      </c>
      <c r="F476" s="15">
        <f t="shared" si="51"/>
        <v>3</v>
      </c>
      <c r="G476" s="15">
        <f t="shared" si="52"/>
        <v>3.3548</v>
      </c>
      <c r="H476" s="15">
        <f t="shared" si="53"/>
        <v>0.60000000000000009</v>
      </c>
      <c r="I476" s="15">
        <f t="shared" si="54"/>
        <v>0</v>
      </c>
      <c r="J476" s="15">
        <f t="shared" si="55"/>
        <v>0</v>
      </c>
      <c r="K476" s="15">
        <f>IF(CurrentMtgRatesDataTable8[[#This Row],[WA CC]]&lt;&gt;0,C475-CurrentMtgRatesDataTable8[[#This Row],[WA CC]],0)</f>
        <v>0</v>
      </c>
      <c r="L476" s="16">
        <f>IF(CurrentMtgRatesDataTable8[[#This Row],[Servicing Spread]]&lt;=0,L475,CurrentMtgRatesDataTable8[[#This Row],[Servicing Spread]])</f>
        <v>0.43975000000000009</v>
      </c>
      <c r="M476" s="16">
        <f>CurrentMtgRatesDataTable8[[#This Row],[Servicing Spread Non-Zero]]-L475</f>
        <v>0</v>
      </c>
      <c r="N476" s="16">
        <f>IF(J475&lt;&gt;0,CurrentMtgRatesDataTable8[[#This Row],[Rate]]-C475,N475)</f>
        <v>4.4999999999999041E-2</v>
      </c>
    </row>
    <row r="477" spans="1:14">
      <c r="A477" s="12" t="s">
        <v>1829</v>
      </c>
      <c r="B477" s="13">
        <v>5.5880000000000001</v>
      </c>
      <c r="C477" s="13">
        <v>5.9749999999999996</v>
      </c>
      <c r="D477" s="15">
        <f t="shared" si="49"/>
        <v>6</v>
      </c>
      <c r="E477" s="15">
        <f t="shared" si="50"/>
        <v>0.2</v>
      </c>
      <c r="F477" s="15">
        <f t="shared" si="51"/>
        <v>4</v>
      </c>
      <c r="G477" s="15">
        <f t="shared" si="52"/>
        <v>4.4724000000000004</v>
      </c>
      <c r="H477" s="15">
        <f t="shared" si="53"/>
        <v>0.8</v>
      </c>
      <c r="I477" s="15">
        <f t="shared" si="54"/>
        <v>0</v>
      </c>
      <c r="J477" s="15">
        <f t="shared" si="55"/>
        <v>0</v>
      </c>
      <c r="K477" s="15">
        <f>IF(CurrentMtgRatesDataTable8[[#This Row],[WA CC]]&lt;&gt;0,C476-CurrentMtgRatesDataTable8[[#This Row],[WA CC]],0)</f>
        <v>0</v>
      </c>
      <c r="L477" s="16">
        <f>IF(CurrentMtgRatesDataTable8[[#This Row],[Servicing Spread]]&lt;=0,L476,CurrentMtgRatesDataTable8[[#This Row],[Servicing Spread]])</f>
        <v>0.43975000000000009</v>
      </c>
      <c r="M477" s="16">
        <f>CurrentMtgRatesDataTable8[[#This Row],[Servicing Spread Non-Zero]]-L476</f>
        <v>0</v>
      </c>
      <c r="N477" s="16">
        <f>IF(J476&lt;&gt;0,CurrentMtgRatesDataTable8[[#This Row],[Rate]]-C476,N476)</f>
        <v>4.4999999999999041E-2</v>
      </c>
    </row>
    <row r="478" spans="1:14">
      <c r="A478" s="12" t="s">
        <v>1830</v>
      </c>
      <c r="B478" s="13">
        <v>5.569</v>
      </c>
      <c r="C478" s="13">
        <v>5.9749999999999996</v>
      </c>
      <c r="D478" s="15">
        <f t="shared" si="49"/>
        <v>7</v>
      </c>
      <c r="E478" s="15">
        <f t="shared" si="50"/>
        <v>0.2</v>
      </c>
      <c r="F478" s="15">
        <f t="shared" si="51"/>
        <v>5</v>
      </c>
      <c r="G478" s="15">
        <f t="shared" si="52"/>
        <v>5.5862000000000007</v>
      </c>
      <c r="H478" s="15">
        <f t="shared" si="53"/>
        <v>1</v>
      </c>
      <c r="I478" s="15">
        <f t="shared" si="54"/>
        <v>1</v>
      </c>
      <c r="J478" s="15">
        <f t="shared" si="55"/>
        <v>5.5862000000000007</v>
      </c>
      <c r="K478" s="15">
        <f>IF(CurrentMtgRatesDataTable8[[#This Row],[WA CC]]&lt;&gt;0,C477-CurrentMtgRatesDataTable8[[#This Row],[WA CC]],0)</f>
        <v>0.38879999999999892</v>
      </c>
      <c r="L478" s="16">
        <f>IF(CurrentMtgRatesDataTable8[[#This Row],[Servicing Spread]]&lt;=0,L477,CurrentMtgRatesDataTable8[[#This Row],[Servicing Spread]])</f>
        <v>0.38879999999999892</v>
      </c>
      <c r="M478" s="16">
        <f>CurrentMtgRatesDataTable8[[#This Row],[Servicing Spread Non-Zero]]-L477</f>
        <v>-5.0950000000001161E-2</v>
      </c>
      <c r="N478" s="16">
        <f>IF(J477&lt;&gt;0,CurrentMtgRatesDataTable8[[#This Row],[Rate]]-C477,N477)</f>
        <v>4.4999999999999041E-2</v>
      </c>
    </row>
    <row r="479" spans="1:14">
      <c r="A479" s="12" t="s">
        <v>1831</v>
      </c>
      <c r="B479" s="13">
        <v>5.5780000000000003</v>
      </c>
      <c r="C479" s="13">
        <v>6.0250000000000004</v>
      </c>
      <c r="D479" s="15">
        <f t="shared" si="49"/>
        <v>1</v>
      </c>
      <c r="E479" s="15">
        <f t="shared" si="50"/>
        <v>0.2</v>
      </c>
      <c r="F479" s="15">
        <f t="shared" si="51"/>
        <v>1</v>
      </c>
      <c r="G479" s="15">
        <f t="shared" si="52"/>
        <v>1.1156000000000001</v>
      </c>
      <c r="H479" s="15">
        <f t="shared" si="53"/>
        <v>0.2</v>
      </c>
      <c r="I479" s="15">
        <f t="shared" si="54"/>
        <v>0</v>
      </c>
      <c r="J479" s="15">
        <f t="shared" si="55"/>
        <v>0</v>
      </c>
      <c r="K479" s="15">
        <f>IF(CurrentMtgRatesDataTable8[[#This Row],[WA CC]]&lt;&gt;0,C478-CurrentMtgRatesDataTable8[[#This Row],[WA CC]],0)</f>
        <v>0</v>
      </c>
      <c r="L479" s="16">
        <f>IF(CurrentMtgRatesDataTable8[[#This Row],[Servicing Spread]]&lt;=0,L478,CurrentMtgRatesDataTable8[[#This Row],[Servicing Spread]])</f>
        <v>0.38879999999999892</v>
      </c>
      <c r="M479" s="16">
        <f>CurrentMtgRatesDataTable8[[#This Row],[Servicing Spread Non-Zero]]-L478</f>
        <v>0</v>
      </c>
      <c r="N479" s="16">
        <f>IF(J478&lt;&gt;0,CurrentMtgRatesDataTable8[[#This Row],[Rate]]-C478,N478)</f>
        <v>5.0000000000000711E-2</v>
      </c>
    </row>
    <row r="480" spans="1:14">
      <c r="A480" s="12" t="s">
        <v>1832</v>
      </c>
      <c r="B480" s="13">
        <v>5.5250000000000004</v>
      </c>
      <c r="C480" s="13">
        <v>6.0250000000000004</v>
      </c>
      <c r="D480" s="15">
        <f t="shared" si="49"/>
        <v>2</v>
      </c>
      <c r="E480" s="15">
        <f t="shared" si="50"/>
        <v>0.2</v>
      </c>
      <c r="F480" s="15">
        <f t="shared" si="51"/>
        <v>2</v>
      </c>
      <c r="G480" s="15">
        <f t="shared" si="52"/>
        <v>2.2206000000000001</v>
      </c>
      <c r="H480" s="15">
        <f t="shared" si="53"/>
        <v>0.4</v>
      </c>
      <c r="I480" s="15">
        <f t="shared" si="54"/>
        <v>0</v>
      </c>
      <c r="J480" s="15">
        <f t="shared" si="55"/>
        <v>0</v>
      </c>
      <c r="K480" s="15">
        <f>IF(CurrentMtgRatesDataTable8[[#This Row],[WA CC]]&lt;&gt;0,C479-CurrentMtgRatesDataTable8[[#This Row],[WA CC]],0)</f>
        <v>0</v>
      </c>
      <c r="L480" s="16">
        <f>IF(CurrentMtgRatesDataTable8[[#This Row],[Servicing Spread]]&lt;=0,L479,CurrentMtgRatesDataTable8[[#This Row],[Servicing Spread]])</f>
        <v>0.38879999999999892</v>
      </c>
      <c r="M480" s="16">
        <f>CurrentMtgRatesDataTable8[[#This Row],[Servicing Spread Non-Zero]]-L479</f>
        <v>0</v>
      </c>
      <c r="N480" s="16">
        <f>IF(J479&lt;&gt;0,CurrentMtgRatesDataTable8[[#This Row],[Rate]]-C479,N479)</f>
        <v>5.0000000000000711E-2</v>
      </c>
    </row>
    <row r="481" spans="1:14">
      <c r="A481" s="12" t="s">
        <v>1833</v>
      </c>
      <c r="B481" s="13">
        <v>5.5739999999999998</v>
      </c>
      <c r="C481" s="13">
        <v>6.0250000000000004</v>
      </c>
      <c r="D481" s="15">
        <f t="shared" si="49"/>
        <v>5</v>
      </c>
      <c r="E481" s="15">
        <f t="shared" si="50"/>
        <v>0.2</v>
      </c>
      <c r="F481" s="15">
        <f t="shared" si="51"/>
        <v>3</v>
      </c>
      <c r="G481" s="15">
        <f t="shared" si="52"/>
        <v>3.3353999999999999</v>
      </c>
      <c r="H481" s="15">
        <f t="shared" si="53"/>
        <v>0.60000000000000009</v>
      </c>
      <c r="I481" s="15">
        <f t="shared" si="54"/>
        <v>0</v>
      </c>
      <c r="J481" s="15">
        <f t="shared" si="55"/>
        <v>0</v>
      </c>
      <c r="K481" s="15">
        <f>IF(CurrentMtgRatesDataTable8[[#This Row],[WA CC]]&lt;&gt;0,C480-CurrentMtgRatesDataTable8[[#This Row],[WA CC]],0)</f>
        <v>0</v>
      </c>
      <c r="L481" s="16">
        <f>IF(CurrentMtgRatesDataTable8[[#This Row],[Servicing Spread]]&lt;=0,L480,CurrentMtgRatesDataTable8[[#This Row],[Servicing Spread]])</f>
        <v>0.38879999999999892</v>
      </c>
      <c r="M481" s="16">
        <f>CurrentMtgRatesDataTable8[[#This Row],[Servicing Spread Non-Zero]]-L480</f>
        <v>0</v>
      </c>
      <c r="N481" s="16">
        <f>IF(J480&lt;&gt;0,CurrentMtgRatesDataTable8[[#This Row],[Rate]]-C480,N480)</f>
        <v>5.0000000000000711E-2</v>
      </c>
    </row>
    <row r="482" spans="1:14">
      <c r="A482" s="12" t="s">
        <v>1834</v>
      </c>
      <c r="B482" s="13">
        <v>5.6449999999999996</v>
      </c>
      <c r="C482" s="13">
        <v>6.0250000000000004</v>
      </c>
      <c r="D482" s="15">
        <f t="shared" si="49"/>
        <v>6</v>
      </c>
      <c r="E482" s="15">
        <f t="shared" si="50"/>
        <v>0.2</v>
      </c>
      <c r="F482" s="15">
        <f t="shared" si="51"/>
        <v>4</v>
      </c>
      <c r="G482" s="15">
        <f t="shared" si="52"/>
        <v>4.4643999999999995</v>
      </c>
      <c r="H482" s="15">
        <f t="shared" si="53"/>
        <v>0.8</v>
      </c>
      <c r="I482" s="15">
        <f t="shared" si="54"/>
        <v>0</v>
      </c>
      <c r="J482" s="15">
        <f t="shared" si="55"/>
        <v>0</v>
      </c>
      <c r="K482" s="15">
        <f>IF(CurrentMtgRatesDataTable8[[#This Row],[WA CC]]&lt;&gt;0,C481-CurrentMtgRatesDataTable8[[#This Row],[WA CC]],0)</f>
        <v>0</v>
      </c>
      <c r="L482" s="16">
        <f>IF(CurrentMtgRatesDataTable8[[#This Row],[Servicing Spread]]&lt;=0,L481,CurrentMtgRatesDataTable8[[#This Row],[Servicing Spread]])</f>
        <v>0.38879999999999892</v>
      </c>
      <c r="M482" s="16">
        <f>CurrentMtgRatesDataTable8[[#This Row],[Servicing Spread Non-Zero]]-L481</f>
        <v>0</v>
      </c>
      <c r="N482" s="16">
        <f>IF(J481&lt;&gt;0,CurrentMtgRatesDataTable8[[#This Row],[Rate]]-C481,N481)</f>
        <v>5.0000000000000711E-2</v>
      </c>
    </row>
    <row r="483" spans="1:14">
      <c r="A483" s="12" t="s">
        <v>1835</v>
      </c>
      <c r="B483" s="13">
        <v>5.7320000000000002</v>
      </c>
      <c r="C483" s="13">
        <v>6.0250000000000004</v>
      </c>
      <c r="D483" s="15">
        <f t="shared" si="49"/>
        <v>7</v>
      </c>
      <c r="E483" s="15">
        <f t="shared" si="50"/>
        <v>0.2</v>
      </c>
      <c r="F483" s="15">
        <f t="shared" si="51"/>
        <v>5</v>
      </c>
      <c r="G483" s="15">
        <f t="shared" si="52"/>
        <v>5.6107999999999993</v>
      </c>
      <c r="H483" s="15">
        <f t="shared" si="53"/>
        <v>1</v>
      </c>
      <c r="I483" s="15">
        <f t="shared" si="54"/>
        <v>1</v>
      </c>
      <c r="J483" s="15">
        <f t="shared" si="55"/>
        <v>5.6107999999999993</v>
      </c>
      <c r="K483" s="15">
        <f>IF(CurrentMtgRatesDataTable8[[#This Row],[WA CC]]&lt;&gt;0,C482-CurrentMtgRatesDataTable8[[#This Row],[WA CC]],0)</f>
        <v>0.41420000000000101</v>
      </c>
      <c r="L483" s="16">
        <f>IF(CurrentMtgRatesDataTable8[[#This Row],[Servicing Spread]]&lt;=0,L482,CurrentMtgRatesDataTable8[[#This Row],[Servicing Spread]])</f>
        <v>0.41420000000000101</v>
      </c>
      <c r="M483" s="16">
        <f>CurrentMtgRatesDataTable8[[#This Row],[Servicing Spread Non-Zero]]-L482</f>
        <v>2.5400000000002088E-2</v>
      </c>
      <c r="N483" s="16">
        <f>IF(J482&lt;&gt;0,CurrentMtgRatesDataTable8[[#This Row],[Rate]]-C482,N482)</f>
        <v>5.0000000000000711E-2</v>
      </c>
    </row>
    <row r="484" spans="1:14">
      <c r="A484" s="12" t="s">
        <v>1836</v>
      </c>
      <c r="B484" s="13">
        <v>5.7130000000000001</v>
      </c>
      <c r="C484" s="13">
        <v>6.1849999999999996</v>
      </c>
      <c r="D484" s="15">
        <f t="shared" si="49"/>
        <v>1</v>
      </c>
      <c r="E484" s="15">
        <f t="shared" si="50"/>
        <v>0.2</v>
      </c>
      <c r="F484" s="15">
        <f t="shared" si="51"/>
        <v>1</v>
      </c>
      <c r="G484" s="15">
        <f t="shared" si="52"/>
        <v>1.1426000000000001</v>
      </c>
      <c r="H484" s="15">
        <f t="shared" si="53"/>
        <v>0.2</v>
      </c>
      <c r="I484" s="15">
        <f t="shared" si="54"/>
        <v>0</v>
      </c>
      <c r="J484" s="15">
        <f t="shared" si="55"/>
        <v>0</v>
      </c>
      <c r="K484" s="15">
        <f>IF(CurrentMtgRatesDataTable8[[#This Row],[WA CC]]&lt;&gt;0,C483-CurrentMtgRatesDataTable8[[#This Row],[WA CC]],0)</f>
        <v>0</v>
      </c>
      <c r="L484" s="16">
        <f>IF(CurrentMtgRatesDataTable8[[#This Row],[Servicing Spread]]&lt;=0,L483,CurrentMtgRatesDataTable8[[#This Row],[Servicing Spread]])</f>
        <v>0.41420000000000101</v>
      </c>
      <c r="M484" s="16">
        <f>CurrentMtgRatesDataTable8[[#This Row],[Servicing Spread Non-Zero]]-L483</f>
        <v>0</v>
      </c>
      <c r="N484" s="16">
        <f>IF(J483&lt;&gt;0,CurrentMtgRatesDataTable8[[#This Row],[Rate]]-C483,N483)</f>
        <v>0.15999999999999925</v>
      </c>
    </row>
    <row r="485" spans="1:14">
      <c r="A485" s="12" t="s">
        <v>1837</v>
      </c>
      <c r="B485" s="13">
        <v>5.7329999999999997</v>
      </c>
      <c r="C485" s="13">
        <v>6.1849999999999996</v>
      </c>
      <c r="D485" s="15">
        <f t="shared" si="49"/>
        <v>2</v>
      </c>
      <c r="E485" s="15">
        <f t="shared" si="50"/>
        <v>0.2</v>
      </c>
      <c r="F485" s="15">
        <f t="shared" si="51"/>
        <v>2</v>
      </c>
      <c r="G485" s="15">
        <f t="shared" si="52"/>
        <v>2.2892000000000001</v>
      </c>
      <c r="H485" s="15">
        <f t="shared" si="53"/>
        <v>0.4</v>
      </c>
      <c r="I485" s="15">
        <f t="shared" si="54"/>
        <v>0</v>
      </c>
      <c r="J485" s="15">
        <f t="shared" si="55"/>
        <v>0</v>
      </c>
      <c r="K485" s="15">
        <f>IF(CurrentMtgRatesDataTable8[[#This Row],[WA CC]]&lt;&gt;0,C484-CurrentMtgRatesDataTable8[[#This Row],[WA CC]],0)</f>
        <v>0</v>
      </c>
      <c r="L485" s="16">
        <f>IF(CurrentMtgRatesDataTable8[[#This Row],[Servicing Spread]]&lt;=0,L484,CurrentMtgRatesDataTable8[[#This Row],[Servicing Spread]])</f>
        <v>0.41420000000000101</v>
      </c>
      <c r="M485" s="16">
        <f>CurrentMtgRatesDataTable8[[#This Row],[Servicing Spread Non-Zero]]-L484</f>
        <v>0</v>
      </c>
      <c r="N485" s="16">
        <f>IF(J484&lt;&gt;0,CurrentMtgRatesDataTable8[[#This Row],[Rate]]-C484,N484)</f>
        <v>0.15999999999999925</v>
      </c>
    </row>
    <row r="486" spans="1:14">
      <c r="A486" s="12" t="s">
        <v>1838</v>
      </c>
      <c r="B486" s="13">
        <v>5.7380000000000004</v>
      </c>
      <c r="C486" s="13">
        <v>6.1849999999999996</v>
      </c>
      <c r="D486" s="15">
        <f t="shared" si="49"/>
        <v>5</v>
      </c>
      <c r="E486" s="15">
        <f t="shared" si="50"/>
        <v>0.2</v>
      </c>
      <c r="F486" s="15">
        <f t="shared" si="51"/>
        <v>3</v>
      </c>
      <c r="G486" s="15">
        <f t="shared" si="52"/>
        <v>3.4368000000000003</v>
      </c>
      <c r="H486" s="15">
        <f t="shared" si="53"/>
        <v>0.60000000000000009</v>
      </c>
      <c r="I486" s="15">
        <f t="shared" si="54"/>
        <v>0</v>
      </c>
      <c r="J486" s="15">
        <f t="shared" si="55"/>
        <v>0</v>
      </c>
      <c r="K486" s="15">
        <f>IF(CurrentMtgRatesDataTable8[[#This Row],[WA CC]]&lt;&gt;0,C485-CurrentMtgRatesDataTable8[[#This Row],[WA CC]],0)</f>
        <v>0</v>
      </c>
      <c r="L486" s="16">
        <f>IF(CurrentMtgRatesDataTable8[[#This Row],[Servicing Spread]]&lt;=0,L485,CurrentMtgRatesDataTable8[[#This Row],[Servicing Spread]])</f>
        <v>0.41420000000000101</v>
      </c>
      <c r="M486" s="16">
        <f>CurrentMtgRatesDataTable8[[#This Row],[Servicing Spread Non-Zero]]-L485</f>
        <v>0</v>
      </c>
      <c r="N486" s="16">
        <f>IF(J485&lt;&gt;0,CurrentMtgRatesDataTable8[[#This Row],[Rate]]-C485,N485)</f>
        <v>0.15999999999999925</v>
      </c>
    </row>
    <row r="487" spans="1:14">
      <c r="A487" s="12" t="s">
        <v>1839</v>
      </c>
      <c r="B487" s="13">
        <v>5.7679999999999998</v>
      </c>
      <c r="C487" s="13">
        <v>6.1849999999999996</v>
      </c>
      <c r="D487" s="15">
        <f t="shared" si="49"/>
        <v>6</v>
      </c>
      <c r="E487" s="15">
        <f t="shared" si="50"/>
        <v>0.2</v>
      </c>
      <c r="F487" s="15">
        <f t="shared" si="51"/>
        <v>4</v>
      </c>
      <c r="G487" s="15">
        <f t="shared" si="52"/>
        <v>4.5904000000000007</v>
      </c>
      <c r="H487" s="15">
        <f t="shared" si="53"/>
        <v>0.8</v>
      </c>
      <c r="I487" s="15">
        <f t="shared" si="54"/>
        <v>0</v>
      </c>
      <c r="J487" s="15">
        <f t="shared" si="55"/>
        <v>0</v>
      </c>
      <c r="K487" s="15">
        <f>IF(CurrentMtgRatesDataTable8[[#This Row],[WA CC]]&lt;&gt;0,C486-CurrentMtgRatesDataTable8[[#This Row],[WA CC]],0)</f>
        <v>0</v>
      </c>
      <c r="L487" s="16">
        <f>IF(CurrentMtgRatesDataTable8[[#This Row],[Servicing Spread]]&lt;=0,L486,CurrentMtgRatesDataTable8[[#This Row],[Servicing Spread]])</f>
        <v>0.41420000000000101</v>
      </c>
      <c r="M487" s="16">
        <f>CurrentMtgRatesDataTable8[[#This Row],[Servicing Spread Non-Zero]]-L486</f>
        <v>0</v>
      </c>
      <c r="N487" s="16">
        <f>IF(J486&lt;&gt;0,CurrentMtgRatesDataTable8[[#This Row],[Rate]]-C486,N486)</f>
        <v>0.15999999999999925</v>
      </c>
    </row>
    <row r="488" spans="1:14">
      <c r="A488" s="12" t="s">
        <v>1840</v>
      </c>
      <c r="B488" s="13">
        <v>5.8090000000000002</v>
      </c>
      <c r="C488" s="13">
        <v>6.1849999999999996</v>
      </c>
      <c r="D488" s="15">
        <f t="shared" si="49"/>
        <v>7</v>
      </c>
      <c r="E488" s="15">
        <f t="shared" si="50"/>
        <v>0.2</v>
      </c>
      <c r="F488" s="15">
        <f t="shared" si="51"/>
        <v>5</v>
      </c>
      <c r="G488" s="15">
        <f t="shared" si="52"/>
        <v>5.7522000000000011</v>
      </c>
      <c r="H488" s="15">
        <f t="shared" si="53"/>
        <v>1</v>
      </c>
      <c r="I488" s="15">
        <f t="shared" si="54"/>
        <v>1</v>
      </c>
      <c r="J488" s="15">
        <f t="shared" si="55"/>
        <v>5.7522000000000011</v>
      </c>
      <c r="K488" s="15">
        <f>IF(CurrentMtgRatesDataTable8[[#This Row],[WA CC]]&lt;&gt;0,C487-CurrentMtgRatesDataTable8[[#This Row],[WA CC]],0)</f>
        <v>0.43279999999999852</v>
      </c>
      <c r="L488" s="16">
        <f>IF(CurrentMtgRatesDataTable8[[#This Row],[Servicing Spread]]&lt;=0,L487,CurrentMtgRatesDataTable8[[#This Row],[Servicing Spread]])</f>
        <v>0.43279999999999852</v>
      </c>
      <c r="M488" s="16">
        <f>CurrentMtgRatesDataTable8[[#This Row],[Servicing Spread Non-Zero]]-L487</f>
        <v>1.8599999999997507E-2</v>
      </c>
      <c r="N488" s="16">
        <f>IF(J487&lt;&gt;0,CurrentMtgRatesDataTable8[[#This Row],[Rate]]-C487,N487)</f>
        <v>0.15999999999999925</v>
      </c>
    </row>
    <row r="489" spans="1:14">
      <c r="A489" s="12" t="s">
        <v>1841</v>
      </c>
      <c r="B489" s="13">
        <v>5.8659999999999997</v>
      </c>
      <c r="C489" s="13">
        <v>6.2350000000000003</v>
      </c>
      <c r="D489" s="15">
        <f t="shared" si="49"/>
        <v>1</v>
      </c>
      <c r="E489" s="15">
        <f t="shared" si="50"/>
        <v>0.2</v>
      </c>
      <c r="F489" s="15">
        <f t="shared" si="51"/>
        <v>1</v>
      </c>
      <c r="G489" s="15">
        <f t="shared" si="52"/>
        <v>1.1732</v>
      </c>
      <c r="H489" s="15">
        <f t="shared" si="53"/>
        <v>0.2</v>
      </c>
      <c r="I489" s="15">
        <f t="shared" si="54"/>
        <v>0</v>
      </c>
      <c r="J489" s="15">
        <f t="shared" si="55"/>
        <v>0</v>
      </c>
      <c r="K489" s="15">
        <f>IF(CurrentMtgRatesDataTable8[[#This Row],[WA CC]]&lt;&gt;0,C488-CurrentMtgRatesDataTable8[[#This Row],[WA CC]],0)</f>
        <v>0</v>
      </c>
      <c r="L489" s="16">
        <f>IF(CurrentMtgRatesDataTable8[[#This Row],[Servicing Spread]]&lt;=0,L488,CurrentMtgRatesDataTable8[[#This Row],[Servicing Spread]])</f>
        <v>0.43279999999999852</v>
      </c>
      <c r="M489" s="16">
        <f>CurrentMtgRatesDataTable8[[#This Row],[Servicing Spread Non-Zero]]-L488</f>
        <v>0</v>
      </c>
      <c r="N489" s="16">
        <f>IF(J488&lt;&gt;0,CurrentMtgRatesDataTable8[[#This Row],[Rate]]-C488,N488)</f>
        <v>5.0000000000000711E-2</v>
      </c>
    </row>
    <row r="490" spans="1:14">
      <c r="A490" s="12" t="s">
        <v>1842</v>
      </c>
      <c r="B490" s="13">
        <v>5.8929999999999998</v>
      </c>
      <c r="C490" s="13">
        <v>6.2350000000000003</v>
      </c>
      <c r="D490" s="15">
        <f t="shared" si="49"/>
        <v>2</v>
      </c>
      <c r="E490" s="15">
        <f t="shared" si="50"/>
        <v>0.2</v>
      </c>
      <c r="F490" s="15">
        <f t="shared" si="51"/>
        <v>2</v>
      </c>
      <c r="G490" s="15">
        <f t="shared" si="52"/>
        <v>2.3517999999999999</v>
      </c>
      <c r="H490" s="15">
        <f t="shared" si="53"/>
        <v>0.4</v>
      </c>
      <c r="I490" s="15">
        <f t="shared" si="54"/>
        <v>0</v>
      </c>
      <c r="J490" s="15">
        <f t="shared" si="55"/>
        <v>0</v>
      </c>
      <c r="K490" s="15">
        <f>IF(CurrentMtgRatesDataTable8[[#This Row],[WA CC]]&lt;&gt;0,C489-CurrentMtgRatesDataTable8[[#This Row],[WA CC]],0)</f>
        <v>0</v>
      </c>
      <c r="L490" s="16">
        <f>IF(CurrentMtgRatesDataTable8[[#This Row],[Servicing Spread]]&lt;=0,L489,CurrentMtgRatesDataTable8[[#This Row],[Servicing Spread]])</f>
        <v>0.43279999999999852</v>
      </c>
      <c r="M490" s="16">
        <f>CurrentMtgRatesDataTable8[[#This Row],[Servicing Spread Non-Zero]]-L489</f>
        <v>0</v>
      </c>
      <c r="N490" s="16">
        <f>IF(J489&lt;&gt;0,CurrentMtgRatesDataTable8[[#This Row],[Rate]]-C489,N489)</f>
        <v>5.0000000000000711E-2</v>
      </c>
    </row>
    <row r="491" spans="1:14">
      <c r="A491" s="12" t="s">
        <v>1843</v>
      </c>
      <c r="B491" s="13">
        <v>5.883</v>
      </c>
      <c r="C491" s="13">
        <v>6.2350000000000003</v>
      </c>
      <c r="D491" s="15">
        <f t="shared" si="49"/>
        <v>5</v>
      </c>
      <c r="E491" s="15">
        <f t="shared" si="50"/>
        <v>0.2</v>
      </c>
      <c r="F491" s="15">
        <f t="shared" si="51"/>
        <v>3</v>
      </c>
      <c r="G491" s="15">
        <f t="shared" si="52"/>
        <v>3.5284</v>
      </c>
      <c r="H491" s="15">
        <f t="shared" si="53"/>
        <v>0.60000000000000009</v>
      </c>
      <c r="I491" s="15">
        <f t="shared" si="54"/>
        <v>0</v>
      </c>
      <c r="J491" s="15">
        <f t="shared" si="55"/>
        <v>0</v>
      </c>
      <c r="K491" s="15">
        <f>IF(CurrentMtgRatesDataTable8[[#This Row],[WA CC]]&lt;&gt;0,C490-CurrentMtgRatesDataTable8[[#This Row],[WA CC]],0)</f>
        <v>0</v>
      </c>
      <c r="L491" s="16">
        <f>IF(CurrentMtgRatesDataTable8[[#This Row],[Servicing Spread]]&lt;=0,L490,CurrentMtgRatesDataTable8[[#This Row],[Servicing Spread]])</f>
        <v>0.43279999999999852</v>
      </c>
      <c r="M491" s="16">
        <f>CurrentMtgRatesDataTable8[[#This Row],[Servicing Spread Non-Zero]]-L490</f>
        <v>0</v>
      </c>
      <c r="N491" s="16">
        <f>IF(J490&lt;&gt;0,CurrentMtgRatesDataTable8[[#This Row],[Rate]]-C490,N490)</f>
        <v>5.0000000000000711E-2</v>
      </c>
    </row>
    <row r="492" spans="1:14">
      <c r="A492" s="12" t="s">
        <v>1844</v>
      </c>
      <c r="B492" s="13">
        <v>5.8220000000000001</v>
      </c>
      <c r="C492" s="13">
        <v>6.2350000000000003</v>
      </c>
      <c r="D492" s="15">
        <f t="shared" si="49"/>
        <v>6</v>
      </c>
      <c r="E492" s="15">
        <f t="shared" si="50"/>
        <v>0.2</v>
      </c>
      <c r="F492" s="15">
        <f t="shared" si="51"/>
        <v>4</v>
      </c>
      <c r="G492" s="15">
        <f t="shared" si="52"/>
        <v>4.6928000000000001</v>
      </c>
      <c r="H492" s="15">
        <f t="shared" si="53"/>
        <v>0.8</v>
      </c>
      <c r="I492" s="15">
        <f t="shared" si="54"/>
        <v>0</v>
      </c>
      <c r="J492" s="15">
        <f t="shared" si="55"/>
        <v>0</v>
      </c>
      <c r="K492" s="15">
        <f>IF(CurrentMtgRatesDataTable8[[#This Row],[WA CC]]&lt;&gt;0,C491-CurrentMtgRatesDataTable8[[#This Row],[WA CC]],0)</f>
        <v>0</v>
      </c>
      <c r="L492" s="16">
        <f>IF(CurrentMtgRatesDataTable8[[#This Row],[Servicing Spread]]&lt;=0,L491,CurrentMtgRatesDataTable8[[#This Row],[Servicing Spread]])</f>
        <v>0.43279999999999852</v>
      </c>
      <c r="M492" s="16">
        <f>CurrentMtgRatesDataTable8[[#This Row],[Servicing Spread Non-Zero]]-L491</f>
        <v>0</v>
      </c>
      <c r="N492" s="16">
        <f>IF(J491&lt;&gt;0,CurrentMtgRatesDataTable8[[#This Row],[Rate]]-C491,N491)</f>
        <v>5.0000000000000711E-2</v>
      </c>
    </row>
    <row r="493" spans="1:14">
      <c r="A493" s="12" t="s">
        <v>1845</v>
      </c>
      <c r="B493" s="13">
        <v>5.875</v>
      </c>
      <c r="C493" s="13">
        <v>6.2350000000000003</v>
      </c>
      <c r="D493" s="15">
        <f t="shared" si="49"/>
        <v>7</v>
      </c>
      <c r="E493" s="15">
        <f t="shared" si="50"/>
        <v>0.2</v>
      </c>
      <c r="F493" s="15">
        <f t="shared" si="51"/>
        <v>5</v>
      </c>
      <c r="G493" s="15">
        <f t="shared" si="52"/>
        <v>5.8677999999999999</v>
      </c>
      <c r="H493" s="15">
        <f t="shared" si="53"/>
        <v>1</v>
      </c>
      <c r="I493" s="15">
        <f t="shared" si="54"/>
        <v>1</v>
      </c>
      <c r="J493" s="15">
        <f t="shared" si="55"/>
        <v>5.8677999999999999</v>
      </c>
      <c r="K493" s="15">
        <f>IF(CurrentMtgRatesDataTable8[[#This Row],[WA CC]]&lt;&gt;0,C492-CurrentMtgRatesDataTable8[[#This Row],[WA CC]],0)</f>
        <v>0.36720000000000041</v>
      </c>
      <c r="L493" s="16">
        <f>IF(CurrentMtgRatesDataTable8[[#This Row],[Servicing Spread]]&lt;=0,L492,CurrentMtgRatesDataTable8[[#This Row],[Servicing Spread]])</f>
        <v>0.36720000000000041</v>
      </c>
      <c r="M493" s="16">
        <f>CurrentMtgRatesDataTable8[[#This Row],[Servicing Spread Non-Zero]]-L492</f>
        <v>-6.5599999999998104E-2</v>
      </c>
      <c r="N493" s="16">
        <f>IF(J492&lt;&gt;0,CurrentMtgRatesDataTable8[[#This Row],[Rate]]-C492,N492)</f>
        <v>5.0000000000000711E-2</v>
      </c>
    </row>
    <row r="494" spans="1:14">
      <c r="A494" s="12" t="s">
        <v>1846</v>
      </c>
      <c r="B494" s="13">
        <v>5.8230000000000004</v>
      </c>
      <c r="C494" s="13">
        <v>6.2700000000000005</v>
      </c>
      <c r="D494" s="15">
        <f t="shared" si="49"/>
        <v>1</v>
      </c>
      <c r="E494" s="15">
        <f t="shared" si="50"/>
        <v>0.2</v>
      </c>
      <c r="F494" s="15">
        <f t="shared" si="51"/>
        <v>1</v>
      </c>
      <c r="G494" s="15">
        <f t="shared" si="52"/>
        <v>1.1646000000000001</v>
      </c>
      <c r="H494" s="15">
        <f t="shared" si="53"/>
        <v>0.2</v>
      </c>
      <c r="I494" s="15">
        <f t="shared" si="54"/>
        <v>0</v>
      </c>
      <c r="J494" s="15">
        <f t="shared" si="55"/>
        <v>0</v>
      </c>
      <c r="K494" s="15">
        <f>IF(CurrentMtgRatesDataTable8[[#This Row],[WA CC]]&lt;&gt;0,C493-CurrentMtgRatesDataTable8[[#This Row],[WA CC]],0)</f>
        <v>0</v>
      </c>
      <c r="L494" s="16">
        <f>IF(CurrentMtgRatesDataTable8[[#This Row],[Servicing Spread]]&lt;=0,L493,CurrentMtgRatesDataTable8[[#This Row],[Servicing Spread]])</f>
        <v>0.36720000000000041</v>
      </c>
      <c r="M494" s="16">
        <f>CurrentMtgRatesDataTable8[[#This Row],[Servicing Spread Non-Zero]]-L493</f>
        <v>0</v>
      </c>
      <c r="N494" s="16">
        <f>IF(J493&lt;&gt;0,CurrentMtgRatesDataTable8[[#This Row],[Rate]]-C493,N493)</f>
        <v>3.5000000000000142E-2</v>
      </c>
    </row>
    <row r="495" spans="1:14">
      <c r="A495" s="12" t="s">
        <v>1847</v>
      </c>
      <c r="B495" s="13">
        <v>5.8769999999999998</v>
      </c>
      <c r="C495" s="13">
        <v>6.2700000000000005</v>
      </c>
      <c r="D495" s="15">
        <f t="shared" si="49"/>
        <v>5</v>
      </c>
      <c r="E495" s="15">
        <f t="shared" si="50"/>
        <v>0.2</v>
      </c>
      <c r="F495" s="15">
        <f t="shared" si="51"/>
        <v>2</v>
      </c>
      <c r="G495" s="15">
        <f t="shared" si="52"/>
        <v>2.34</v>
      </c>
      <c r="H495" s="15">
        <f t="shared" si="53"/>
        <v>0.4</v>
      </c>
      <c r="I495" s="15">
        <f t="shared" si="54"/>
        <v>0</v>
      </c>
      <c r="J495" s="15">
        <f t="shared" si="55"/>
        <v>0</v>
      </c>
      <c r="K495" s="15">
        <f>IF(CurrentMtgRatesDataTable8[[#This Row],[WA CC]]&lt;&gt;0,C494-CurrentMtgRatesDataTable8[[#This Row],[WA CC]],0)</f>
        <v>0</v>
      </c>
      <c r="L495" s="16">
        <f>IF(CurrentMtgRatesDataTable8[[#This Row],[Servicing Spread]]&lt;=0,L494,CurrentMtgRatesDataTable8[[#This Row],[Servicing Spread]])</f>
        <v>0.36720000000000041</v>
      </c>
      <c r="M495" s="16">
        <f>CurrentMtgRatesDataTable8[[#This Row],[Servicing Spread Non-Zero]]-L494</f>
        <v>0</v>
      </c>
      <c r="N495" s="16">
        <f>IF(J494&lt;&gt;0,CurrentMtgRatesDataTable8[[#This Row],[Rate]]-C494,N494)</f>
        <v>3.5000000000000142E-2</v>
      </c>
    </row>
    <row r="496" spans="1:14">
      <c r="A496" s="12" t="s">
        <v>1848</v>
      </c>
      <c r="B496" s="13">
        <v>5.851</v>
      </c>
      <c r="C496" s="13">
        <v>6.2700000000000005</v>
      </c>
      <c r="D496" s="15">
        <f t="shared" si="49"/>
        <v>6</v>
      </c>
      <c r="E496" s="15">
        <f t="shared" si="50"/>
        <v>0.2</v>
      </c>
      <c r="F496" s="15">
        <f t="shared" si="51"/>
        <v>3</v>
      </c>
      <c r="G496" s="15">
        <f t="shared" si="52"/>
        <v>3.5102000000000002</v>
      </c>
      <c r="H496" s="15">
        <f t="shared" si="53"/>
        <v>0.60000000000000009</v>
      </c>
      <c r="I496" s="15">
        <f t="shared" si="54"/>
        <v>0</v>
      </c>
      <c r="J496" s="15">
        <f t="shared" si="55"/>
        <v>0</v>
      </c>
      <c r="K496" s="15">
        <f>IF(CurrentMtgRatesDataTable8[[#This Row],[WA CC]]&lt;&gt;0,C495-CurrentMtgRatesDataTable8[[#This Row],[WA CC]],0)</f>
        <v>0</v>
      </c>
      <c r="L496" s="16">
        <f>IF(CurrentMtgRatesDataTable8[[#This Row],[Servicing Spread]]&lt;=0,L495,CurrentMtgRatesDataTable8[[#This Row],[Servicing Spread]])</f>
        <v>0.36720000000000041</v>
      </c>
      <c r="M496" s="16">
        <f>CurrentMtgRatesDataTable8[[#This Row],[Servicing Spread Non-Zero]]-L495</f>
        <v>0</v>
      </c>
      <c r="N496" s="16">
        <f>IF(J495&lt;&gt;0,CurrentMtgRatesDataTable8[[#This Row],[Rate]]-C495,N495)</f>
        <v>3.5000000000000142E-2</v>
      </c>
    </row>
    <row r="497" spans="1:14">
      <c r="A497" s="12" t="s">
        <v>1849</v>
      </c>
      <c r="B497" s="13">
        <v>5.7960000000000003</v>
      </c>
      <c r="C497" s="13">
        <v>6.2700000000000005</v>
      </c>
      <c r="D497" s="15">
        <f t="shared" si="49"/>
        <v>7</v>
      </c>
      <c r="E497" s="15">
        <f t="shared" si="50"/>
        <v>0.2</v>
      </c>
      <c r="F497" s="15">
        <f t="shared" si="51"/>
        <v>4</v>
      </c>
      <c r="G497" s="15">
        <f t="shared" si="52"/>
        <v>4.6694000000000004</v>
      </c>
      <c r="H497" s="15">
        <f t="shared" si="53"/>
        <v>0.8</v>
      </c>
      <c r="I497" s="15">
        <f t="shared" si="54"/>
        <v>1</v>
      </c>
      <c r="J497" s="15">
        <f t="shared" si="55"/>
        <v>5.8367500000000003</v>
      </c>
      <c r="K497" s="15">
        <f>IF(CurrentMtgRatesDataTable8[[#This Row],[WA CC]]&lt;&gt;0,C496-CurrentMtgRatesDataTable8[[#This Row],[WA CC]],0)</f>
        <v>0.43325000000000014</v>
      </c>
      <c r="L497" s="16">
        <f>IF(CurrentMtgRatesDataTable8[[#This Row],[Servicing Spread]]&lt;=0,L496,CurrentMtgRatesDataTable8[[#This Row],[Servicing Spread]])</f>
        <v>0.43325000000000014</v>
      </c>
      <c r="M497" s="16">
        <f>CurrentMtgRatesDataTable8[[#This Row],[Servicing Spread Non-Zero]]-L496</f>
        <v>6.604999999999972E-2</v>
      </c>
      <c r="N497" s="16">
        <f>IF(J496&lt;&gt;0,CurrentMtgRatesDataTable8[[#This Row],[Rate]]-C496,N496)</f>
        <v>3.5000000000000142E-2</v>
      </c>
    </row>
    <row r="498" spans="1:14">
      <c r="A498" s="12" t="s">
        <v>1850</v>
      </c>
      <c r="B498" s="13">
        <v>5.7539999999999996</v>
      </c>
      <c r="C498" s="13">
        <v>6.1800000000000006</v>
      </c>
      <c r="D498" s="15">
        <f t="shared" si="49"/>
        <v>1</v>
      </c>
      <c r="E498" s="15">
        <f t="shared" si="50"/>
        <v>0.2</v>
      </c>
      <c r="F498" s="15">
        <f t="shared" si="51"/>
        <v>1</v>
      </c>
      <c r="G498" s="15">
        <f t="shared" si="52"/>
        <v>1.1508</v>
      </c>
      <c r="H498" s="15">
        <f t="shared" si="53"/>
        <v>0.2</v>
      </c>
      <c r="I498" s="15">
        <f t="shared" si="54"/>
        <v>0</v>
      </c>
      <c r="J498" s="15">
        <f t="shared" si="55"/>
        <v>0</v>
      </c>
      <c r="K498" s="15">
        <f>IF(CurrentMtgRatesDataTable8[[#This Row],[WA CC]]&lt;&gt;0,C497-CurrentMtgRatesDataTable8[[#This Row],[WA CC]],0)</f>
        <v>0</v>
      </c>
      <c r="L498" s="16">
        <f>IF(CurrentMtgRatesDataTable8[[#This Row],[Servicing Spread]]&lt;=0,L497,CurrentMtgRatesDataTable8[[#This Row],[Servicing Spread]])</f>
        <v>0.43325000000000014</v>
      </c>
      <c r="M498" s="16">
        <f>CurrentMtgRatesDataTable8[[#This Row],[Servicing Spread Non-Zero]]-L497</f>
        <v>0</v>
      </c>
      <c r="N498" s="16">
        <f>IF(J497&lt;&gt;0,CurrentMtgRatesDataTable8[[#This Row],[Rate]]-C497,N497)</f>
        <v>-8.9999999999999858E-2</v>
      </c>
    </row>
    <row r="499" spans="1:14">
      <c r="A499" s="12" t="s">
        <v>1851</v>
      </c>
      <c r="B499" s="13">
        <v>5.7839999999999998</v>
      </c>
      <c r="C499" s="13">
        <v>6.1800000000000006</v>
      </c>
      <c r="D499" s="15">
        <f t="shared" si="49"/>
        <v>2</v>
      </c>
      <c r="E499" s="15">
        <f t="shared" si="50"/>
        <v>0.2</v>
      </c>
      <c r="F499" s="15">
        <f t="shared" si="51"/>
        <v>2</v>
      </c>
      <c r="G499" s="15">
        <f t="shared" si="52"/>
        <v>2.3075999999999999</v>
      </c>
      <c r="H499" s="15">
        <f t="shared" si="53"/>
        <v>0.4</v>
      </c>
      <c r="I499" s="15">
        <f t="shared" si="54"/>
        <v>0</v>
      </c>
      <c r="J499" s="15">
        <f t="shared" si="55"/>
        <v>0</v>
      </c>
      <c r="K499" s="15">
        <f>IF(CurrentMtgRatesDataTable8[[#This Row],[WA CC]]&lt;&gt;0,C498-CurrentMtgRatesDataTable8[[#This Row],[WA CC]],0)</f>
        <v>0</v>
      </c>
      <c r="L499" s="16">
        <f>IF(CurrentMtgRatesDataTable8[[#This Row],[Servicing Spread]]&lt;=0,L498,CurrentMtgRatesDataTable8[[#This Row],[Servicing Spread]])</f>
        <v>0.43325000000000014</v>
      </c>
      <c r="M499" s="16">
        <f>CurrentMtgRatesDataTable8[[#This Row],[Servicing Spread Non-Zero]]-L498</f>
        <v>0</v>
      </c>
      <c r="N499" s="16">
        <f>IF(J498&lt;&gt;0,CurrentMtgRatesDataTable8[[#This Row],[Rate]]-C498,N498)</f>
        <v>-8.9999999999999858E-2</v>
      </c>
    </row>
    <row r="500" spans="1:14">
      <c r="A500" s="12" t="s">
        <v>1852</v>
      </c>
      <c r="B500" s="13">
        <v>5.7290000000000001</v>
      </c>
      <c r="C500" s="13">
        <v>6.1800000000000006</v>
      </c>
      <c r="D500" s="15">
        <f t="shared" si="49"/>
        <v>5</v>
      </c>
      <c r="E500" s="15">
        <f t="shared" si="50"/>
        <v>0.2</v>
      </c>
      <c r="F500" s="15">
        <f t="shared" si="51"/>
        <v>3</v>
      </c>
      <c r="G500" s="15">
        <f t="shared" si="52"/>
        <v>3.4534000000000002</v>
      </c>
      <c r="H500" s="15">
        <f t="shared" si="53"/>
        <v>0.60000000000000009</v>
      </c>
      <c r="I500" s="15">
        <f t="shared" si="54"/>
        <v>0</v>
      </c>
      <c r="J500" s="15">
        <f t="shared" si="55"/>
        <v>0</v>
      </c>
      <c r="K500" s="15">
        <f>IF(CurrentMtgRatesDataTable8[[#This Row],[WA CC]]&lt;&gt;0,C499-CurrentMtgRatesDataTable8[[#This Row],[WA CC]],0)</f>
        <v>0</v>
      </c>
      <c r="L500" s="16">
        <f>IF(CurrentMtgRatesDataTable8[[#This Row],[Servicing Spread]]&lt;=0,L499,CurrentMtgRatesDataTable8[[#This Row],[Servicing Spread]])</f>
        <v>0.43325000000000014</v>
      </c>
      <c r="M500" s="16">
        <f>CurrentMtgRatesDataTable8[[#This Row],[Servicing Spread Non-Zero]]-L499</f>
        <v>0</v>
      </c>
      <c r="N500" s="16">
        <f>IF(J499&lt;&gt;0,CurrentMtgRatesDataTable8[[#This Row],[Rate]]-C499,N499)</f>
        <v>-8.9999999999999858E-2</v>
      </c>
    </row>
    <row r="501" spans="1:14">
      <c r="A501" s="12" t="s">
        <v>1853</v>
      </c>
      <c r="B501" s="13">
        <v>5.6619999999999999</v>
      </c>
      <c r="C501" s="13">
        <v>6.1800000000000006</v>
      </c>
      <c r="D501" s="15">
        <f t="shared" si="49"/>
        <v>6</v>
      </c>
      <c r="E501" s="15">
        <f t="shared" si="50"/>
        <v>0.2</v>
      </c>
      <c r="F501" s="15">
        <f t="shared" si="51"/>
        <v>4</v>
      </c>
      <c r="G501" s="15">
        <f t="shared" si="52"/>
        <v>4.5858000000000008</v>
      </c>
      <c r="H501" s="15">
        <f t="shared" si="53"/>
        <v>0.8</v>
      </c>
      <c r="I501" s="15">
        <f t="shared" si="54"/>
        <v>0</v>
      </c>
      <c r="J501" s="15">
        <f t="shared" si="55"/>
        <v>0</v>
      </c>
      <c r="K501" s="15">
        <f>IF(CurrentMtgRatesDataTable8[[#This Row],[WA CC]]&lt;&gt;0,C500-CurrentMtgRatesDataTable8[[#This Row],[WA CC]],0)</f>
        <v>0</v>
      </c>
      <c r="L501" s="16">
        <f>IF(CurrentMtgRatesDataTable8[[#This Row],[Servicing Spread]]&lt;=0,L500,CurrentMtgRatesDataTable8[[#This Row],[Servicing Spread]])</f>
        <v>0.43325000000000014</v>
      </c>
      <c r="M501" s="16">
        <f>CurrentMtgRatesDataTable8[[#This Row],[Servicing Spread Non-Zero]]-L500</f>
        <v>0</v>
      </c>
      <c r="N501" s="16">
        <f>IF(J500&lt;&gt;0,CurrentMtgRatesDataTable8[[#This Row],[Rate]]-C500,N500)</f>
        <v>-8.9999999999999858E-2</v>
      </c>
    </row>
    <row r="502" spans="1:14">
      <c r="A502" s="12" t="s">
        <v>1854</v>
      </c>
      <c r="B502" s="13">
        <v>5.7069999999999999</v>
      </c>
      <c r="C502" s="13">
        <v>6.1800000000000006</v>
      </c>
      <c r="D502" s="15">
        <f t="shared" si="49"/>
        <v>7</v>
      </c>
      <c r="E502" s="15">
        <f t="shared" si="50"/>
        <v>0.2</v>
      </c>
      <c r="F502" s="15">
        <f t="shared" si="51"/>
        <v>5</v>
      </c>
      <c r="G502" s="15">
        <f t="shared" si="52"/>
        <v>5.7272000000000007</v>
      </c>
      <c r="H502" s="15">
        <f t="shared" si="53"/>
        <v>1</v>
      </c>
      <c r="I502" s="15">
        <f t="shared" si="54"/>
        <v>1</v>
      </c>
      <c r="J502" s="15">
        <f t="shared" si="55"/>
        <v>5.7272000000000007</v>
      </c>
      <c r="K502" s="15">
        <f>IF(CurrentMtgRatesDataTable8[[#This Row],[WA CC]]&lt;&gt;0,C501-CurrentMtgRatesDataTable8[[#This Row],[WA CC]],0)</f>
        <v>0.45279999999999987</v>
      </c>
      <c r="L502" s="16">
        <f>IF(CurrentMtgRatesDataTable8[[#This Row],[Servicing Spread]]&lt;=0,L501,CurrentMtgRatesDataTable8[[#This Row],[Servicing Spread]])</f>
        <v>0.45279999999999987</v>
      </c>
      <c r="M502" s="16">
        <f>CurrentMtgRatesDataTable8[[#This Row],[Servicing Spread Non-Zero]]-L501</f>
        <v>1.9549999999999734E-2</v>
      </c>
      <c r="N502" s="16">
        <f>IF(J501&lt;&gt;0,CurrentMtgRatesDataTable8[[#This Row],[Rate]]-C501,N501)</f>
        <v>-8.9999999999999858E-2</v>
      </c>
    </row>
    <row r="503" spans="1:14">
      <c r="A503" s="12" t="s">
        <v>1855</v>
      </c>
      <c r="B503" s="13">
        <v>5.6749999999999998</v>
      </c>
      <c r="C503" s="13">
        <v>6.1349999999999998</v>
      </c>
      <c r="D503" s="15">
        <f t="shared" si="49"/>
        <v>2</v>
      </c>
      <c r="E503" s="15">
        <f t="shared" si="50"/>
        <v>0.2</v>
      </c>
      <c r="F503" s="15">
        <f t="shared" si="51"/>
        <v>1</v>
      </c>
      <c r="G503" s="15">
        <f t="shared" si="52"/>
        <v>1.135</v>
      </c>
      <c r="H503" s="15">
        <f t="shared" si="53"/>
        <v>0.2</v>
      </c>
      <c r="I503" s="15">
        <f t="shared" si="54"/>
        <v>0</v>
      </c>
      <c r="J503" s="15">
        <f t="shared" si="55"/>
        <v>0</v>
      </c>
      <c r="K503" s="15">
        <f>IF(CurrentMtgRatesDataTable8[[#This Row],[WA CC]]&lt;&gt;0,C502-CurrentMtgRatesDataTable8[[#This Row],[WA CC]],0)</f>
        <v>0</v>
      </c>
      <c r="L503" s="16">
        <f>IF(CurrentMtgRatesDataTable8[[#This Row],[Servicing Spread]]&lt;=0,L502,CurrentMtgRatesDataTable8[[#This Row],[Servicing Spread]])</f>
        <v>0.45279999999999987</v>
      </c>
      <c r="M503" s="16">
        <f>CurrentMtgRatesDataTable8[[#This Row],[Servicing Spread Non-Zero]]-L502</f>
        <v>0</v>
      </c>
      <c r="N503" s="16">
        <f>IF(J502&lt;&gt;0,CurrentMtgRatesDataTable8[[#This Row],[Rate]]-C502,N502)</f>
        <v>-4.5000000000000817E-2</v>
      </c>
    </row>
    <row r="504" spans="1:14">
      <c r="A504" s="12" t="s">
        <v>1856</v>
      </c>
      <c r="B504" s="13">
        <v>5.6719999999999997</v>
      </c>
      <c r="C504" s="13">
        <v>6.1349999999999998</v>
      </c>
      <c r="D504" s="15">
        <f t="shared" si="49"/>
        <v>5</v>
      </c>
      <c r="E504" s="15">
        <f t="shared" si="50"/>
        <v>0.2</v>
      </c>
      <c r="F504" s="15">
        <f t="shared" si="51"/>
        <v>2</v>
      </c>
      <c r="G504" s="15">
        <f t="shared" si="52"/>
        <v>2.2694000000000001</v>
      </c>
      <c r="H504" s="15">
        <f t="shared" si="53"/>
        <v>0.4</v>
      </c>
      <c r="I504" s="15">
        <f t="shared" si="54"/>
        <v>0</v>
      </c>
      <c r="J504" s="15">
        <f t="shared" si="55"/>
        <v>0</v>
      </c>
      <c r="K504" s="15">
        <f>IF(CurrentMtgRatesDataTable8[[#This Row],[WA CC]]&lt;&gt;0,C503-CurrentMtgRatesDataTable8[[#This Row],[WA CC]],0)</f>
        <v>0</v>
      </c>
      <c r="L504" s="16">
        <f>IF(CurrentMtgRatesDataTable8[[#This Row],[Servicing Spread]]&lt;=0,L503,CurrentMtgRatesDataTable8[[#This Row],[Servicing Spread]])</f>
        <v>0.45279999999999987</v>
      </c>
      <c r="M504" s="16">
        <f>CurrentMtgRatesDataTable8[[#This Row],[Servicing Spread Non-Zero]]-L503</f>
        <v>0</v>
      </c>
      <c r="N504" s="16">
        <f>IF(J503&lt;&gt;0,CurrentMtgRatesDataTable8[[#This Row],[Rate]]-C503,N503)</f>
        <v>-4.5000000000000817E-2</v>
      </c>
    </row>
    <row r="505" spans="1:14">
      <c r="A505" s="12" t="s">
        <v>1857</v>
      </c>
      <c r="B505" s="13">
        <v>5.7560000000000002</v>
      </c>
      <c r="C505" s="13">
        <v>6.1349999999999998</v>
      </c>
      <c r="D505" s="15">
        <f t="shared" si="49"/>
        <v>6</v>
      </c>
      <c r="E505" s="15">
        <f t="shared" si="50"/>
        <v>0.2</v>
      </c>
      <c r="F505" s="15">
        <f t="shared" si="51"/>
        <v>3</v>
      </c>
      <c r="G505" s="15">
        <f t="shared" si="52"/>
        <v>3.4206000000000003</v>
      </c>
      <c r="H505" s="15">
        <f t="shared" si="53"/>
        <v>0.60000000000000009</v>
      </c>
      <c r="I505" s="15">
        <f t="shared" si="54"/>
        <v>0</v>
      </c>
      <c r="J505" s="15">
        <f t="shared" si="55"/>
        <v>0</v>
      </c>
      <c r="K505" s="15">
        <f>IF(CurrentMtgRatesDataTable8[[#This Row],[WA CC]]&lt;&gt;0,C504-CurrentMtgRatesDataTable8[[#This Row],[WA CC]],0)</f>
        <v>0</v>
      </c>
      <c r="L505" s="16">
        <f>IF(CurrentMtgRatesDataTable8[[#This Row],[Servicing Spread]]&lt;=0,L504,CurrentMtgRatesDataTable8[[#This Row],[Servicing Spread]])</f>
        <v>0.45279999999999987</v>
      </c>
      <c r="M505" s="16">
        <f>CurrentMtgRatesDataTable8[[#This Row],[Servicing Spread Non-Zero]]-L504</f>
        <v>0</v>
      </c>
      <c r="N505" s="16">
        <f>IF(J504&lt;&gt;0,CurrentMtgRatesDataTable8[[#This Row],[Rate]]-C504,N504)</f>
        <v>-4.5000000000000817E-2</v>
      </c>
    </row>
    <row r="506" spans="1:14">
      <c r="A506" s="12" t="s">
        <v>1858</v>
      </c>
      <c r="B506" s="13">
        <v>5.7960000000000003</v>
      </c>
      <c r="C506" s="13">
        <v>6.1349999999999998</v>
      </c>
      <c r="D506" s="15">
        <f t="shared" si="49"/>
        <v>7</v>
      </c>
      <c r="E506" s="15">
        <f t="shared" si="50"/>
        <v>0.2</v>
      </c>
      <c r="F506" s="15">
        <f t="shared" si="51"/>
        <v>4</v>
      </c>
      <c r="G506" s="15">
        <f t="shared" si="52"/>
        <v>4.5798000000000005</v>
      </c>
      <c r="H506" s="15">
        <f t="shared" si="53"/>
        <v>0.8</v>
      </c>
      <c r="I506" s="15">
        <f t="shared" si="54"/>
        <v>1</v>
      </c>
      <c r="J506" s="15">
        <f t="shared" si="55"/>
        <v>5.7247500000000002</v>
      </c>
      <c r="K506" s="15">
        <f>IF(CurrentMtgRatesDataTable8[[#This Row],[WA CC]]&lt;&gt;0,C505-CurrentMtgRatesDataTable8[[#This Row],[WA CC]],0)</f>
        <v>0.41024999999999956</v>
      </c>
      <c r="L506" s="16">
        <f>IF(CurrentMtgRatesDataTable8[[#This Row],[Servicing Spread]]&lt;=0,L505,CurrentMtgRatesDataTable8[[#This Row],[Servicing Spread]])</f>
        <v>0.41024999999999956</v>
      </c>
      <c r="M506" s="16">
        <f>CurrentMtgRatesDataTable8[[#This Row],[Servicing Spread Non-Zero]]-L505</f>
        <v>-4.255000000000031E-2</v>
      </c>
      <c r="N506" s="16">
        <f>IF(J505&lt;&gt;0,CurrentMtgRatesDataTable8[[#This Row],[Rate]]-C505,N505)</f>
        <v>-4.5000000000000817E-2</v>
      </c>
    </row>
    <row r="507" spans="1:14">
      <c r="A507" s="12" t="s">
        <v>1859</v>
      </c>
      <c r="B507" s="13">
        <v>5.8380000000000001</v>
      </c>
      <c r="C507" s="13">
        <v>6.2200000000000006</v>
      </c>
      <c r="D507" s="15">
        <f t="shared" si="49"/>
        <v>1</v>
      </c>
      <c r="E507" s="15">
        <f t="shared" si="50"/>
        <v>0.2</v>
      </c>
      <c r="F507" s="15">
        <f t="shared" si="51"/>
        <v>1</v>
      </c>
      <c r="G507" s="15">
        <f t="shared" si="52"/>
        <v>1.1676</v>
      </c>
      <c r="H507" s="15">
        <f t="shared" si="53"/>
        <v>0.2</v>
      </c>
      <c r="I507" s="15">
        <f t="shared" si="54"/>
        <v>0</v>
      </c>
      <c r="J507" s="15">
        <f t="shared" si="55"/>
        <v>0</v>
      </c>
      <c r="K507" s="15">
        <f>IF(CurrentMtgRatesDataTable8[[#This Row],[WA CC]]&lt;&gt;0,C506-CurrentMtgRatesDataTable8[[#This Row],[WA CC]],0)</f>
        <v>0</v>
      </c>
      <c r="L507" s="16">
        <f>IF(CurrentMtgRatesDataTable8[[#This Row],[Servicing Spread]]&lt;=0,L506,CurrentMtgRatesDataTable8[[#This Row],[Servicing Spread]])</f>
        <v>0.41024999999999956</v>
      </c>
      <c r="M507" s="16">
        <f>CurrentMtgRatesDataTable8[[#This Row],[Servicing Spread Non-Zero]]-L506</f>
        <v>0</v>
      </c>
      <c r="N507" s="16">
        <f>IF(J506&lt;&gt;0,CurrentMtgRatesDataTable8[[#This Row],[Rate]]-C506,N506)</f>
        <v>8.5000000000000853E-2</v>
      </c>
    </row>
    <row r="508" spans="1:14">
      <c r="A508" s="12" t="s">
        <v>1860</v>
      </c>
      <c r="B508" s="13">
        <v>5.8289999999999997</v>
      </c>
      <c r="C508" s="13">
        <v>6.2200000000000006</v>
      </c>
      <c r="D508" s="15">
        <f t="shared" si="49"/>
        <v>2</v>
      </c>
      <c r="E508" s="15">
        <f t="shared" si="50"/>
        <v>0.2</v>
      </c>
      <c r="F508" s="15">
        <f t="shared" si="51"/>
        <v>2</v>
      </c>
      <c r="G508" s="15">
        <f t="shared" si="52"/>
        <v>2.3334000000000001</v>
      </c>
      <c r="H508" s="15">
        <f t="shared" si="53"/>
        <v>0.4</v>
      </c>
      <c r="I508" s="15">
        <f t="shared" si="54"/>
        <v>0</v>
      </c>
      <c r="J508" s="15">
        <f t="shared" si="55"/>
        <v>0</v>
      </c>
      <c r="K508" s="15">
        <f>IF(CurrentMtgRatesDataTable8[[#This Row],[WA CC]]&lt;&gt;0,C507-CurrentMtgRatesDataTable8[[#This Row],[WA CC]],0)</f>
        <v>0</v>
      </c>
      <c r="L508" s="16">
        <f>IF(CurrentMtgRatesDataTable8[[#This Row],[Servicing Spread]]&lt;=0,L507,CurrentMtgRatesDataTable8[[#This Row],[Servicing Spread]])</f>
        <v>0.41024999999999956</v>
      </c>
      <c r="M508" s="16">
        <f>CurrentMtgRatesDataTable8[[#This Row],[Servicing Spread Non-Zero]]-L507</f>
        <v>0</v>
      </c>
      <c r="N508" s="16">
        <f>IF(J507&lt;&gt;0,CurrentMtgRatesDataTable8[[#This Row],[Rate]]-C507,N507)</f>
        <v>8.5000000000000853E-2</v>
      </c>
    </row>
    <row r="509" spans="1:14">
      <c r="A509" s="12" t="s">
        <v>1861</v>
      </c>
      <c r="B509" s="13">
        <v>5.8579999999999997</v>
      </c>
      <c r="C509" s="13">
        <v>6.2200000000000006</v>
      </c>
      <c r="D509" s="15">
        <f t="shared" si="49"/>
        <v>5</v>
      </c>
      <c r="E509" s="15">
        <f t="shared" si="50"/>
        <v>0.2</v>
      </c>
      <c r="F509" s="15">
        <f t="shared" si="51"/>
        <v>3</v>
      </c>
      <c r="G509" s="15">
        <f t="shared" si="52"/>
        <v>3.5049999999999999</v>
      </c>
      <c r="H509" s="15">
        <f t="shared" si="53"/>
        <v>0.60000000000000009</v>
      </c>
      <c r="I509" s="15">
        <f t="shared" si="54"/>
        <v>0</v>
      </c>
      <c r="J509" s="15">
        <f t="shared" si="55"/>
        <v>0</v>
      </c>
      <c r="K509" s="15">
        <f>IF(CurrentMtgRatesDataTable8[[#This Row],[WA CC]]&lt;&gt;0,C508-CurrentMtgRatesDataTable8[[#This Row],[WA CC]],0)</f>
        <v>0</v>
      </c>
      <c r="L509" s="16">
        <f>IF(CurrentMtgRatesDataTable8[[#This Row],[Servicing Spread]]&lt;=0,L508,CurrentMtgRatesDataTable8[[#This Row],[Servicing Spread]])</f>
        <v>0.41024999999999956</v>
      </c>
      <c r="M509" s="16">
        <f>CurrentMtgRatesDataTable8[[#This Row],[Servicing Spread Non-Zero]]-L508</f>
        <v>0</v>
      </c>
      <c r="N509" s="16">
        <f>IF(J508&lt;&gt;0,CurrentMtgRatesDataTable8[[#This Row],[Rate]]-C508,N508)</f>
        <v>8.5000000000000853E-2</v>
      </c>
    </row>
    <row r="510" spans="1:14">
      <c r="A510" s="12" t="s">
        <v>1862</v>
      </c>
      <c r="B510" s="13">
        <v>5.782</v>
      </c>
      <c r="C510" s="13">
        <v>6.2200000000000006</v>
      </c>
      <c r="D510" s="15">
        <f t="shared" si="49"/>
        <v>6</v>
      </c>
      <c r="E510" s="15">
        <f t="shared" si="50"/>
        <v>0.2</v>
      </c>
      <c r="F510" s="15">
        <f t="shared" si="51"/>
        <v>4</v>
      </c>
      <c r="G510" s="15">
        <f t="shared" si="52"/>
        <v>4.6614000000000004</v>
      </c>
      <c r="H510" s="15">
        <f t="shared" si="53"/>
        <v>0.8</v>
      </c>
      <c r="I510" s="15">
        <f t="shared" si="54"/>
        <v>0</v>
      </c>
      <c r="J510" s="15">
        <f t="shared" si="55"/>
        <v>0</v>
      </c>
      <c r="K510" s="15">
        <f>IF(CurrentMtgRatesDataTable8[[#This Row],[WA CC]]&lt;&gt;0,C509-CurrentMtgRatesDataTable8[[#This Row],[WA CC]],0)</f>
        <v>0</v>
      </c>
      <c r="L510" s="16">
        <f>IF(CurrentMtgRatesDataTable8[[#This Row],[Servicing Spread]]&lt;=0,L509,CurrentMtgRatesDataTable8[[#This Row],[Servicing Spread]])</f>
        <v>0.41024999999999956</v>
      </c>
      <c r="M510" s="16">
        <f>CurrentMtgRatesDataTable8[[#This Row],[Servicing Spread Non-Zero]]-L509</f>
        <v>0</v>
      </c>
      <c r="N510" s="16">
        <f>IF(J509&lt;&gt;0,CurrentMtgRatesDataTable8[[#This Row],[Rate]]-C509,N509)</f>
        <v>8.5000000000000853E-2</v>
      </c>
    </row>
    <row r="511" spans="1:14">
      <c r="A511" s="12" t="s">
        <v>1863</v>
      </c>
      <c r="B511" s="13">
        <v>5.8010000000000002</v>
      </c>
      <c r="C511" s="13">
        <v>6.2200000000000006</v>
      </c>
      <c r="D511" s="15">
        <f t="shared" si="49"/>
        <v>7</v>
      </c>
      <c r="E511" s="15">
        <f t="shared" si="50"/>
        <v>0.2</v>
      </c>
      <c r="F511" s="15">
        <f t="shared" si="51"/>
        <v>5</v>
      </c>
      <c r="G511" s="15">
        <f t="shared" si="52"/>
        <v>5.8216000000000001</v>
      </c>
      <c r="H511" s="15">
        <f t="shared" si="53"/>
        <v>1</v>
      </c>
      <c r="I511" s="15">
        <f t="shared" si="54"/>
        <v>1</v>
      </c>
      <c r="J511" s="15">
        <f t="shared" si="55"/>
        <v>5.8216000000000001</v>
      </c>
      <c r="K511" s="15">
        <f>IF(CurrentMtgRatesDataTable8[[#This Row],[WA CC]]&lt;&gt;0,C510-CurrentMtgRatesDataTable8[[#This Row],[WA CC]],0)</f>
        <v>0.39840000000000053</v>
      </c>
      <c r="L511" s="16">
        <f>IF(CurrentMtgRatesDataTable8[[#This Row],[Servicing Spread]]&lt;=0,L510,CurrentMtgRatesDataTable8[[#This Row],[Servicing Spread]])</f>
        <v>0.39840000000000053</v>
      </c>
      <c r="M511" s="16">
        <f>CurrentMtgRatesDataTable8[[#This Row],[Servicing Spread Non-Zero]]-L510</f>
        <v>-1.1849999999999028E-2</v>
      </c>
      <c r="N511" s="16">
        <f>IF(J510&lt;&gt;0,CurrentMtgRatesDataTable8[[#This Row],[Rate]]-C510,N510)</f>
        <v>8.5000000000000853E-2</v>
      </c>
    </row>
    <row r="512" spans="1:14">
      <c r="A512" s="12" t="s">
        <v>1864</v>
      </c>
      <c r="B512" s="13">
        <v>5.7320000000000002</v>
      </c>
      <c r="C512" s="13">
        <v>6.1749999999999998</v>
      </c>
      <c r="D512" s="15">
        <f t="shared" si="49"/>
        <v>1</v>
      </c>
      <c r="E512" s="15">
        <f t="shared" si="50"/>
        <v>0.2</v>
      </c>
      <c r="F512" s="15">
        <f t="shared" si="51"/>
        <v>1</v>
      </c>
      <c r="G512" s="15">
        <f t="shared" si="52"/>
        <v>1.1464000000000001</v>
      </c>
      <c r="H512" s="15">
        <f t="shared" si="53"/>
        <v>0.2</v>
      </c>
      <c r="I512" s="15">
        <f t="shared" si="54"/>
        <v>0</v>
      </c>
      <c r="J512" s="15">
        <f t="shared" si="55"/>
        <v>0</v>
      </c>
      <c r="K512" s="15">
        <f>IF(CurrentMtgRatesDataTable8[[#This Row],[WA CC]]&lt;&gt;0,C511-CurrentMtgRatesDataTable8[[#This Row],[WA CC]],0)</f>
        <v>0</v>
      </c>
      <c r="L512" s="16">
        <f>IF(CurrentMtgRatesDataTable8[[#This Row],[Servicing Spread]]&lt;=0,L511,CurrentMtgRatesDataTable8[[#This Row],[Servicing Spread]])</f>
        <v>0.39840000000000053</v>
      </c>
      <c r="M512" s="16">
        <f>CurrentMtgRatesDataTable8[[#This Row],[Servicing Spread Non-Zero]]-L511</f>
        <v>0</v>
      </c>
      <c r="N512" s="16">
        <f>IF(J511&lt;&gt;0,CurrentMtgRatesDataTable8[[#This Row],[Rate]]-C511,N511)</f>
        <v>-4.5000000000000817E-2</v>
      </c>
    </row>
    <row r="513" spans="1:14">
      <c r="A513" s="12" t="s">
        <v>1865</v>
      </c>
      <c r="B513" s="13">
        <v>5.806</v>
      </c>
      <c r="C513" s="13">
        <v>6.1749999999999998</v>
      </c>
      <c r="D513" s="15">
        <f t="shared" si="49"/>
        <v>2</v>
      </c>
      <c r="E513" s="15">
        <f t="shared" si="50"/>
        <v>0.2</v>
      </c>
      <c r="F513" s="15">
        <f t="shared" si="51"/>
        <v>2</v>
      </c>
      <c r="G513" s="15">
        <f t="shared" si="52"/>
        <v>2.3075999999999999</v>
      </c>
      <c r="H513" s="15">
        <f t="shared" si="53"/>
        <v>0.4</v>
      </c>
      <c r="I513" s="15">
        <f t="shared" si="54"/>
        <v>0</v>
      </c>
      <c r="J513" s="15">
        <f t="shared" si="55"/>
        <v>0</v>
      </c>
      <c r="K513" s="15">
        <f>IF(CurrentMtgRatesDataTable8[[#This Row],[WA CC]]&lt;&gt;0,C512-CurrentMtgRatesDataTable8[[#This Row],[WA CC]],0)</f>
        <v>0</v>
      </c>
      <c r="L513" s="16">
        <f>IF(CurrentMtgRatesDataTable8[[#This Row],[Servicing Spread]]&lt;=0,L512,CurrentMtgRatesDataTable8[[#This Row],[Servicing Spread]])</f>
        <v>0.39840000000000053</v>
      </c>
      <c r="M513" s="16">
        <f>CurrentMtgRatesDataTable8[[#This Row],[Servicing Spread Non-Zero]]-L512</f>
        <v>0</v>
      </c>
      <c r="N513" s="16">
        <f>IF(J512&lt;&gt;0,CurrentMtgRatesDataTable8[[#This Row],[Rate]]-C512,N512)</f>
        <v>-4.5000000000000817E-2</v>
      </c>
    </row>
    <row r="514" spans="1:14">
      <c r="A514" s="12" t="s">
        <v>1866</v>
      </c>
      <c r="B514" s="13">
        <v>5.82</v>
      </c>
      <c r="C514" s="13">
        <v>6.1749999999999998</v>
      </c>
      <c r="D514" s="15">
        <f t="shared" si="49"/>
        <v>5</v>
      </c>
      <c r="E514" s="15">
        <f t="shared" si="50"/>
        <v>0.2</v>
      </c>
      <c r="F514" s="15">
        <f t="shared" si="51"/>
        <v>3</v>
      </c>
      <c r="G514" s="15">
        <f t="shared" si="52"/>
        <v>3.4716</v>
      </c>
      <c r="H514" s="15">
        <f t="shared" si="53"/>
        <v>0.60000000000000009</v>
      </c>
      <c r="I514" s="15">
        <f t="shared" si="54"/>
        <v>0</v>
      </c>
      <c r="J514" s="15">
        <f t="shared" si="55"/>
        <v>0</v>
      </c>
      <c r="K514" s="15">
        <f>IF(CurrentMtgRatesDataTable8[[#This Row],[WA CC]]&lt;&gt;0,C513-CurrentMtgRatesDataTable8[[#This Row],[WA CC]],0)</f>
        <v>0</v>
      </c>
      <c r="L514" s="16">
        <f>IF(CurrentMtgRatesDataTable8[[#This Row],[Servicing Spread]]&lt;=0,L513,CurrentMtgRatesDataTable8[[#This Row],[Servicing Spread]])</f>
        <v>0.39840000000000053</v>
      </c>
      <c r="M514" s="16">
        <f>CurrentMtgRatesDataTable8[[#This Row],[Servicing Spread Non-Zero]]-L513</f>
        <v>0</v>
      </c>
      <c r="N514" s="16">
        <f>IF(J513&lt;&gt;0,CurrentMtgRatesDataTable8[[#This Row],[Rate]]-C513,N513)</f>
        <v>-4.5000000000000817E-2</v>
      </c>
    </row>
    <row r="515" spans="1:14">
      <c r="A515" s="12" t="s">
        <v>1867</v>
      </c>
      <c r="B515" s="13">
        <v>5.7850000000000001</v>
      </c>
      <c r="C515" s="13">
        <v>6.1749999999999998</v>
      </c>
      <c r="D515" s="15">
        <f t="shared" si="49"/>
        <v>6</v>
      </c>
      <c r="E515" s="15">
        <f t="shared" si="50"/>
        <v>0.2</v>
      </c>
      <c r="F515" s="15">
        <f t="shared" si="51"/>
        <v>4</v>
      </c>
      <c r="G515" s="15">
        <f t="shared" si="52"/>
        <v>4.6286000000000005</v>
      </c>
      <c r="H515" s="15">
        <f t="shared" si="53"/>
        <v>0.8</v>
      </c>
      <c r="I515" s="15">
        <f t="shared" si="54"/>
        <v>0</v>
      </c>
      <c r="J515" s="15">
        <f t="shared" si="55"/>
        <v>0</v>
      </c>
      <c r="K515" s="15">
        <f>IF(CurrentMtgRatesDataTable8[[#This Row],[WA CC]]&lt;&gt;0,C514-CurrentMtgRatesDataTable8[[#This Row],[WA CC]],0)</f>
        <v>0</v>
      </c>
      <c r="L515" s="16">
        <f>IF(CurrentMtgRatesDataTable8[[#This Row],[Servicing Spread]]&lt;=0,L514,CurrentMtgRatesDataTable8[[#This Row],[Servicing Spread]])</f>
        <v>0.39840000000000053</v>
      </c>
      <c r="M515" s="16">
        <f>CurrentMtgRatesDataTable8[[#This Row],[Servicing Spread Non-Zero]]-L514</f>
        <v>0</v>
      </c>
      <c r="N515" s="16">
        <f>IF(J514&lt;&gt;0,CurrentMtgRatesDataTable8[[#This Row],[Rate]]-C514,N514)</f>
        <v>-4.5000000000000817E-2</v>
      </c>
    </row>
    <row r="516" spans="1:14">
      <c r="A516" s="12" t="s">
        <v>1868</v>
      </c>
      <c r="B516" s="13">
        <v>5.7130000000000001</v>
      </c>
      <c r="C516" s="13">
        <v>6.1749999999999998</v>
      </c>
      <c r="D516" s="15">
        <f t="shared" si="49"/>
        <v>7</v>
      </c>
      <c r="E516" s="15">
        <f t="shared" si="50"/>
        <v>0.2</v>
      </c>
      <c r="F516" s="15">
        <f t="shared" si="51"/>
        <v>5</v>
      </c>
      <c r="G516" s="15">
        <f t="shared" si="52"/>
        <v>5.7712000000000003</v>
      </c>
      <c r="H516" s="15">
        <f t="shared" si="53"/>
        <v>1</v>
      </c>
      <c r="I516" s="15">
        <f t="shared" si="54"/>
        <v>1</v>
      </c>
      <c r="J516" s="15">
        <f t="shared" si="55"/>
        <v>5.7712000000000003</v>
      </c>
      <c r="K516" s="15">
        <f>IF(CurrentMtgRatesDataTable8[[#This Row],[WA CC]]&lt;&gt;0,C515-CurrentMtgRatesDataTable8[[#This Row],[WA CC]],0)</f>
        <v>0.40379999999999949</v>
      </c>
      <c r="L516" s="16">
        <f>IF(CurrentMtgRatesDataTable8[[#This Row],[Servicing Spread]]&lt;=0,L515,CurrentMtgRatesDataTable8[[#This Row],[Servicing Spread]])</f>
        <v>0.40379999999999949</v>
      </c>
      <c r="M516" s="16">
        <f>CurrentMtgRatesDataTable8[[#This Row],[Servicing Spread Non-Zero]]-L515</f>
        <v>5.3999999999989612E-3</v>
      </c>
      <c r="N516" s="16">
        <f>IF(J515&lt;&gt;0,CurrentMtgRatesDataTable8[[#This Row],[Rate]]-C515,N515)</f>
        <v>-4.5000000000000817E-2</v>
      </c>
    </row>
    <row r="517" spans="1:14">
      <c r="A517" s="12" t="s">
        <v>1869</v>
      </c>
      <c r="B517" s="13">
        <v>5.7130000000000001</v>
      </c>
      <c r="C517" s="13">
        <v>6.16</v>
      </c>
      <c r="D517" s="15">
        <f t="shared" ref="D517:D580" si="56">WEEKDAY(A517,14)</f>
        <v>1</v>
      </c>
      <c r="E517" s="15">
        <f t="shared" ref="E517:E580" si="57">VLOOKUP(D517,Q$5:R$11,2,FALSE)</f>
        <v>0.2</v>
      </c>
      <c r="F517" s="15">
        <f t="shared" ref="F517:F580" si="58">IF(AND(D517&gt;D516,F516&lt;6),F516+1,1)</f>
        <v>1</v>
      </c>
      <c r="G517" s="15">
        <f t="shared" ref="G517:G580" si="59">IF(F517&gt;F516,G516+B517*E517,B517*E517)</f>
        <v>1.1426000000000001</v>
      </c>
      <c r="H517" s="15">
        <f t="shared" ref="H517:H580" si="60">IF(AND(F517&lt;6,F517&gt;F516),E517+H516,E517)</f>
        <v>0.2</v>
      </c>
      <c r="I517" s="15">
        <f t="shared" ref="I517:I580" si="61">IF(F517&gt;F518,1,0)</f>
        <v>0</v>
      </c>
      <c r="J517" s="15">
        <f t="shared" ref="J517:J580" si="62">IF(F517&gt;F518,G517/H517,0)</f>
        <v>0</v>
      </c>
      <c r="K517" s="15">
        <f>IF(CurrentMtgRatesDataTable8[[#This Row],[WA CC]]&lt;&gt;0,C516-CurrentMtgRatesDataTable8[[#This Row],[WA CC]],0)</f>
        <v>0</v>
      </c>
      <c r="L517" s="16">
        <f>IF(CurrentMtgRatesDataTable8[[#This Row],[Servicing Spread]]&lt;=0,L516,CurrentMtgRatesDataTable8[[#This Row],[Servicing Spread]])</f>
        <v>0.40379999999999949</v>
      </c>
      <c r="M517" s="16">
        <f>CurrentMtgRatesDataTable8[[#This Row],[Servicing Spread Non-Zero]]-L516</f>
        <v>0</v>
      </c>
      <c r="N517" s="16">
        <f>IF(J516&lt;&gt;0,CurrentMtgRatesDataTable8[[#This Row],[Rate]]-C516,N516)</f>
        <v>-1.499999999999968E-2</v>
      </c>
    </row>
    <row r="518" spans="1:14">
      <c r="A518" s="12" t="s">
        <v>1870</v>
      </c>
      <c r="B518" s="13">
        <v>5.6950000000000003</v>
      </c>
      <c r="C518" s="13">
        <v>6.16</v>
      </c>
      <c r="D518" s="15">
        <f t="shared" si="56"/>
        <v>2</v>
      </c>
      <c r="E518" s="15">
        <f t="shared" si="57"/>
        <v>0.2</v>
      </c>
      <c r="F518" s="15">
        <f t="shared" si="58"/>
        <v>2</v>
      </c>
      <c r="G518" s="15">
        <f t="shared" si="59"/>
        <v>2.2816000000000001</v>
      </c>
      <c r="H518" s="15">
        <f t="shared" si="60"/>
        <v>0.4</v>
      </c>
      <c r="I518" s="15">
        <f t="shared" si="61"/>
        <v>0</v>
      </c>
      <c r="J518" s="15">
        <f t="shared" si="62"/>
        <v>0</v>
      </c>
      <c r="K518" s="15">
        <f>IF(CurrentMtgRatesDataTable8[[#This Row],[WA CC]]&lt;&gt;0,C517-CurrentMtgRatesDataTable8[[#This Row],[WA CC]],0)</f>
        <v>0</v>
      </c>
      <c r="L518" s="16">
        <f>IF(CurrentMtgRatesDataTable8[[#This Row],[Servicing Spread]]&lt;=0,L517,CurrentMtgRatesDataTable8[[#This Row],[Servicing Spread]])</f>
        <v>0.40379999999999949</v>
      </c>
      <c r="M518" s="16">
        <f>CurrentMtgRatesDataTable8[[#This Row],[Servicing Spread Non-Zero]]-L517</f>
        <v>0</v>
      </c>
      <c r="N518" s="16">
        <f>IF(J517&lt;&gt;0,CurrentMtgRatesDataTable8[[#This Row],[Rate]]-C517,N517)</f>
        <v>-1.499999999999968E-2</v>
      </c>
    </row>
    <row r="519" spans="1:14">
      <c r="A519" s="12" t="s">
        <v>1871</v>
      </c>
      <c r="B519" s="13">
        <v>5.6879999999999997</v>
      </c>
      <c r="C519" s="13">
        <v>6.16</v>
      </c>
      <c r="D519" s="15">
        <f t="shared" si="56"/>
        <v>5</v>
      </c>
      <c r="E519" s="15">
        <f t="shared" si="57"/>
        <v>0.2</v>
      </c>
      <c r="F519" s="15">
        <f t="shared" si="58"/>
        <v>3</v>
      </c>
      <c r="G519" s="15">
        <f t="shared" si="59"/>
        <v>3.4192</v>
      </c>
      <c r="H519" s="15">
        <f t="shared" si="60"/>
        <v>0.60000000000000009</v>
      </c>
      <c r="I519" s="15">
        <f t="shared" si="61"/>
        <v>0</v>
      </c>
      <c r="J519" s="15">
        <f t="shared" si="62"/>
        <v>0</v>
      </c>
      <c r="K519" s="15">
        <f>IF(CurrentMtgRatesDataTable8[[#This Row],[WA CC]]&lt;&gt;0,C518-CurrentMtgRatesDataTable8[[#This Row],[WA CC]],0)</f>
        <v>0</v>
      </c>
      <c r="L519" s="16">
        <f>IF(CurrentMtgRatesDataTable8[[#This Row],[Servicing Spread]]&lt;=0,L518,CurrentMtgRatesDataTable8[[#This Row],[Servicing Spread]])</f>
        <v>0.40379999999999949</v>
      </c>
      <c r="M519" s="16">
        <f>CurrentMtgRatesDataTable8[[#This Row],[Servicing Spread Non-Zero]]-L518</f>
        <v>0</v>
      </c>
      <c r="N519" s="16">
        <f>IF(J518&lt;&gt;0,CurrentMtgRatesDataTable8[[#This Row],[Rate]]-C518,N518)</f>
        <v>-1.499999999999968E-2</v>
      </c>
    </row>
    <row r="520" spans="1:14">
      <c r="A520" s="12" t="s">
        <v>1872</v>
      </c>
      <c r="B520" s="13">
        <v>5.7030000000000003</v>
      </c>
      <c r="C520" s="13">
        <v>6.16</v>
      </c>
      <c r="D520" s="15">
        <f t="shared" si="56"/>
        <v>6</v>
      </c>
      <c r="E520" s="15">
        <f t="shared" si="57"/>
        <v>0.2</v>
      </c>
      <c r="F520" s="15">
        <f t="shared" si="58"/>
        <v>4</v>
      </c>
      <c r="G520" s="15">
        <f t="shared" si="59"/>
        <v>4.5598000000000001</v>
      </c>
      <c r="H520" s="15">
        <f t="shared" si="60"/>
        <v>0.8</v>
      </c>
      <c r="I520" s="15">
        <f t="shared" si="61"/>
        <v>0</v>
      </c>
      <c r="J520" s="15">
        <f t="shared" si="62"/>
        <v>0</v>
      </c>
      <c r="K520" s="15">
        <f>IF(CurrentMtgRatesDataTable8[[#This Row],[WA CC]]&lt;&gt;0,C519-CurrentMtgRatesDataTable8[[#This Row],[WA CC]],0)</f>
        <v>0</v>
      </c>
      <c r="L520" s="16">
        <f>IF(CurrentMtgRatesDataTable8[[#This Row],[Servicing Spread]]&lt;=0,L519,CurrentMtgRatesDataTable8[[#This Row],[Servicing Spread]])</f>
        <v>0.40379999999999949</v>
      </c>
      <c r="M520" s="16">
        <f>CurrentMtgRatesDataTable8[[#This Row],[Servicing Spread Non-Zero]]-L519</f>
        <v>0</v>
      </c>
      <c r="N520" s="16">
        <f>IF(J519&lt;&gt;0,CurrentMtgRatesDataTable8[[#This Row],[Rate]]-C519,N519)</f>
        <v>-1.499999999999968E-2</v>
      </c>
    </row>
    <row r="521" spans="1:14">
      <c r="A521" s="12" t="s">
        <v>1873</v>
      </c>
      <c r="B521" s="13">
        <v>5.718</v>
      </c>
      <c r="C521" s="13">
        <v>6.16</v>
      </c>
      <c r="D521" s="15">
        <f t="shared" si="56"/>
        <v>7</v>
      </c>
      <c r="E521" s="15">
        <f t="shared" si="57"/>
        <v>0.2</v>
      </c>
      <c r="F521" s="15">
        <f t="shared" si="58"/>
        <v>5</v>
      </c>
      <c r="G521" s="15">
        <f t="shared" si="59"/>
        <v>5.7034000000000002</v>
      </c>
      <c r="H521" s="15">
        <f t="shared" si="60"/>
        <v>1</v>
      </c>
      <c r="I521" s="15">
        <f t="shared" si="61"/>
        <v>1</v>
      </c>
      <c r="J521" s="15">
        <f t="shared" si="62"/>
        <v>5.7034000000000002</v>
      </c>
      <c r="K521" s="15">
        <f>IF(CurrentMtgRatesDataTable8[[#This Row],[WA CC]]&lt;&gt;0,C520-CurrentMtgRatesDataTable8[[#This Row],[WA CC]],0)</f>
        <v>0.45659999999999989</v>
      </c>
      <c r="L521" s="16">
        <f>IF(CurrentMtgRatesDataTable8[[#This Row],[Servicing Spread]]&lt;=0,L520,CurrentMtgRatesDataTable8[[#This Row],[Servicing Spread]])</f>
        <v>0.45659999999999989</v>
      </c>
      <c r="M521" s="16">
        <f>CurrentMtgRatesDataTable8[[#This Row],[Servicing Spread Non-Zero]]-L520</f>
        <v>5.2800000000000402E-2</v>
      </c>
      <c r="N521" s="16">
        <f>IF(J520&lt;&gt;0,CurrentMtgRatesDataTable8[[#This Row],[Rate]]-C520,N520)</f>
        <v>-1.499999999999968E-2</v>
      </c>
    </row>
    <row r="522" spans="1:14">
      <c r="A522" s="12" t="s">
        <v>1874</v>
      </c>
      <c r="B522" s="13">
        <v>5.6769999999999996</v>
      </c>
      <c r="C522" s="13">
        <v>6.0949999999999998</v>
      </c>
      <c r="D522" s="15">
        <f t="shared" si="56"/>
        <v>1</v>
      </c>
      <c r="E522" s="15">
        <f t="shared" si="57"/>
        <v>0.2</v>
      </c>
      <c r="F522" s="15">
        <f t="shared" si="58"/>
        <v>1</v>
      </c>
      <c r="G522" s="15">
        <f t="shared" si="59"/>
        <v>1.1354</v>
      </c>
      <c r="H522" s="15">
        <f t="shared" si="60"/>
        <v>0.2</v>
      </c>
      <c r="I522" s="15">
        <f t="shared" si="61"/>
        <v>0</v>
      </c>
      <c r="J522" s="15">
        <f t="shared" si="62"/>
        <v>0</v>
      </c>
      <c r="K522" s="15">
        <f>IF(CurrentMtgRatesDataTable8[[#This Row],[WA CC]]&lt;&gt;0,C521-CurrentMtgRatesDataTable8[[#This Row],[WA CC]],0)</f>
        <v>0</v>
      </c>
      <c r="L522" s="16">
        <f>IF(CurrentMtgRatesDataTable8[[#This Row],[Servicing Spread]]&lt;=0,L521,CurrentMtgRatesDataTable8[[#This Row],[Servicing Spread]])</f>
        <v>0.45659999999999989</v>
      </c>
      <c r="M522" s="16">
        <f>CurrentMtgRatesDataTable8[[#This Row],[Servicing Spread Non-Zero]]-L521</f>
        <v>0</v>
      </c>
      <c r="N522" s="16">
        <f>IF(J521&lt;&gt;0,CurrentMtgRatesDataTable8[[#This Row],[Rate]]-C521,N521)</f>
        <v>-6.5000000000000391E-2</v>
      </c>
    </row>
    <row r="523" spans="1:14">
      <c r="A523" s="12" t="s">
        <v>1875</v>
      </c>
      <c r="B523" s="13">
        <v>5.6369999999999996</v>
      </c>
      <c r="C523" s="13">
        <v>6.0949999999999998</v>
      </c>
      <c r="D523" s="15">
        <f t="shared" si="56"/>
        <v>2</v>
      </c>
      <c r="E523" s="15">
        <f t="shared" si="57"/>
        <v>0.2</v>
      </c>
      <c r="F523" s="15">
        <f t="shared" si="58"/>
        <v>2</v>
      </c>
      <c r="G523" s="15">
        <f t="shared" si="59"/>
        <v>2.2627999999999999</v>
      </c>
      <c r="H523" s="15">
        <f t="shared" si="60"/>
        <v>0.4</v>
      </c>
      <c r="I523" s="15">
        <f t="shared" si="61"/>
        <v>0</v>
      </c>
      <c r="J523" s="15">
        <f t="shared" si="62"/>
        <v>0</v>
      </c>
      <c r="K523" s="15">
        <f>IF(CurrentMtgRatesDataTable8[[#This Row],[WA CC]]&lt;&gt;0,C522-CurrentMtgRatesDataTable8[[#This Row],[WA CC]],0)</f>
        <v>0</v>
      </c>
      <c r="L523" s="16">
        <f>IF(CurrentMtgRatesDataTable8[[#This Row],[Servicing Spread]]&lt;=0,L522,CurrentMtgRatesDataTable8[[#This Row],[Servicing Spread]])</f>
        <v>0.45659999999999989</v>
      </c>
      <c r="M523" s="16">
        <f>CurrentMtgRatesDataTable8[[#This Row],[Servicing Spread Non-Zero]]-L522</f>
        <v>0</v>
      </c>
      <c r="N523" s="16">
        <f>IF(J522&lt;&gt;0,CurrentMtgRatesDataTable8[[#This Row],[Rate]]-C522,N522)</f>
        <v>-6.5000000000000391E-2</v>
      </c>
    </row>
    <row r="524" spans="1:14">
      <c r="A524" s="12" t="s">
        <v>1876</v>
      </c>
      <c r="B524" s="13">
        <v>5.5919999999999996</v>
      </c>
      <c r="C524" s="13">
        <v>6.0949999999999998</v>
      </c>
      <c r="D524" s="15">
        <f t="shared" si="56"/>
        <v>6</v>
      </c>
      <c r="E524" s="15">
        <f t="shared" si="57"/>
        <v>0.2</v>
      </c>
      <c r="F524" s="15">
        <f t="shared" si="58"/>
        <v>3</v>
      </c>
      <c r="G524" s="15">
        <f t="shared" si="59"/>
        <v>3.3811999999999998</v>
      </c>
      <c r="H524" s="15">
        <f t="shared" si="60"/>
        <v>0.60000000000000009</v>
      </c>
      <c r="I524" s="15">
        <f t="shared" si="61"/>
        <v>0</v>
      </c>
      <c r="J524" s="15">
        <f t="shared" si="62"/>
        <v>0</v>
      </c>
      <c r="K524" s="15">
        <f>IF(CurrentMtgRatesDataTable8[[#This Row],[WA CC]]&lt;&gt;0,C523-CurrentMtgRatesDataTable8[[#This Row],[WA CC]],0)</f>
        <v>0</v>
      </c>
      <c r="L524" s="16">
        <f>IF(CurrentMtgRatesDataTable8[[#This Row],[Servicing Spread]]&lt;=0,L523,CurrentMtgRatesDataTable8[[#This Row],[Servicing Spread]])</f>
        <v>0.45659999999999989</v>
      </c>
      <c r="M524" s="16">
        <f>CurrentMtgRatesDataTable8[[#This Row],[Servicing Spread Non-Zero]]-L523</f>
        <v>0</v>
      </c>
      <c r="N524" s="16">
        <f>IF(J523&lt;&gt;0,CurrentMtgRatesDataTable8[[#This Row],[Rate]]-C523,N523)</f>
        <v>-6.5000000000000391E-2</v>
      </c>
    </row>
    <row r="525" spans="1:14">
      <c r="A525" s="12" t="s">
        <v>1877</v>
      </c>
      <c r="B525" s="13">
        <v>5.6319999999999997</v>
      </c>
      <c r="C525" s="13">
        <v>6.0949999999999998</v>
      </c>
      <c r="D525" s="15">
        <f t="shared" si="56"/>
        <v>7</v>
      </c>
      <c r="E525" s="15">
        <f t="shared" si="57"/>
        <v>0.2</v>
      </c>
      <c r="F525" s="15">
        <f t="shared" si="58"/>
        <v>4</v>
      </c>
      <c r="G525" s="15">
        <f t="shared" si="59"/>
        <v>4.5076000000000001</v>
      </c>
      <c r="H525" s="15">
        <f t="shared" si="60"/>
        <v>0.8</v>
      </c>
      <c r="I525" s="15">
        <f t="shared" si="61"/>
        <v>1</v>
      </c>
      <c r="J525" s="15">
        <f t="shared" si="62"/>
        <v>5.6345000000000001</v>
      </c>
      <c r="K525" s="15">
        <f>IF(CurrentMtgRatesDataTable8[[#This Row],[WA CC]]&lt;&gt;0,C524-CurrentMtgRatesDataTable8[[#This Row],[WA CC]],0)</f>
        <v>0.46049999999999969</v>
      </c>
      <c r="L525" s="16">
        <f>IF(CurrentMtgRatesDataTable8[[#This Row],[Servicing Spread]]&lt;=0,L524,CurrentMtgRatesDataTable8[[#This Row],[Servicing Spread]])</f>
        <v>0.46049999999999969</v>
      </c>
      <c r="M525" s="16">
        <f>CurrentMtgRatesDataTable8[[#This Row],[Servicing Spread Non-Zero]]-L524</f>
        <v>3.8999999999997925E-3</v>
      </c>
      <c r="N525" s="16">
        <f>IF(J524&lt;&gt;0,CurrentMtgRatesDataTable8[[#This Row],[Rate]]-C524,N524)</f>
        <v>-6.5000000000000391E-2</v>
      </c>
    </row>
    <row r="526" spans="1:14">
      <c r="A526" s="12" t="s">
        <v>1878</v>
      </c>
      <c r="B526" s="13">
        <v>5.6420000000000003</v>
      </c>
      <c r="C526" s="13">
        <v>6.085</v>
      </c>
      <c r="D526" s="15">
        <f t="shared" si="56"/>
        <v>1</v>
      </c>
      <c r="E526" s="15">
        <f t="shared" si="57"/>
        <v>0.2</v>
      </c>
      <c r="F526" s="15">
        <f t="shared" si="58"/>
        <v>1</v>
      </c>
      <c r="G526" s="15">
        <f t="shared" si="59"/>
        <v>1.1284000000000001</v>
      </c>
      <c r="H526" s="15">
        <f t="shared" si="60"/>
        <v>0.2</v>
      </c>
      <c r="I526" s="15">
        <f t="shared" si="61"/>
        <v>0</v>
      </c>
      <c r="J526" s="15">
        <f t="shared" si="62"/>
        <v>0</v>
      </c>
      <c r="K526" s="15">
        <f>IF(CurrentMtgRatesDataTable8[[#This Row],[WA CC]]&lt;&gt;0,C525-CurrentMtgRatesDataTable8[[#This Row],[WA CC]],0)</f>
        <v>0</v>
      </c>
      <c r="L526" s="16">
        <f>IF(CurrentMtgRatesDataTable8[[#This Row],[Servicing Spread]]&lt;=0,L525,CurrentMtgRatesDataTable8[[#This Row],[Servicing Spread]])</f>
        <v>0.46049999999999969</v>
      </c>
      <c r="M526" s="16">
        <f>CurrentMtgRatesDataTable8[[#This Row],[Servicing Spread Non-Zero]]-L525</f>
        <v>0</v>
      </c>
      <c r="N526" s="16">
        <f>IF(J525&lt;&gt;0,CurrentMtgRatesDataTable8[[#This Row],[Rate]]-C525,N525)</f>
        <v>-9.9999999999997868E-3</v>
      </c>
    </row>
    <row r="527" spans="1:14">
      <c r="A527" s="12" t="s">
        <v>1879</v>
      </c>
      <c r="B527" s="13">
        <v>5.6589999999999998</v>
      </c>
      <c r="C527" s="13">
        <v>6.085</v>
      </c>
      <c r="D527" s="15">
        <f t="shared" si="56"/>
        <v>2</v>
      </c>
      <c r="E527" s="15">
        <f t="shared" si="57"/>
        <v>0.2</v>
      </c>
      <c r="F527" s="15">
        <f t="shared" si="58"/>
        <v>2</v>
      </c>
      <c r="G527" s="15">
        <f t="shared" si="59"/>
        <v>2.2602000000000002</v>
      </c>
      <c r="H527" s="15">
        <f t="shared" si="60"/>
        <v>0.4</v>
      </c>
      <c r="I527" s="15">
        <f t="shared" si="61"/>
        <v>0</v>
      </c>
      <c r="J527" s="15">
        <f t="shared" si="62"/>
        <v>0</v>
      </c>
      <c r="K527" s="15">
        <f>IF(CurrentMtgRatesDataTable8[[#This Row],[WA CC]]&lt;&gt;0,C526-CurrentMtgRatesDataTable8[[#This Row],[WA CC]],0)</f>
        <v>0</v>
      </c>
      <c r="L527" s="16">
        <f>IF(CurrentMtgRatesDataTable8[[#This Row],[Servicing Spread]]&lt;=0,L526,CurrentMtgRatesDataTable8[[#This Row],[Servicing Spread]])</f>
        <v>0.46049999999999969</v>
      </c>
      <c r="M527" s="16">
        <f>CurrentMtgRatesDataTable8[[#This Row],[Servicing Spread Non-Zero]]-L526</f>
        <v>0</v>
      </c>
      <c r="N527" s="16">
        <f>IF(J526&lt;&gt;0,CurrentMtgRatesDataTable8[[#This Row],[Rate]]-C526,N526)</f>
        <v>-9.9999999999997868E-3</v>
      </c>
    </row>
    <row r="528" spans="1:14">
      <c r="A528" s="12" t="s">
        <v>1880</v>
      </c>
      <c r="B528" s="13">
        <v>5.6260000000000003</v>
      </c>
      <c r="C528" s="13">
        <v>6.085</v>
      </c>
      <c r="D528" s="15">
        <f t="shared" si="56"/>
        <v>6</v>
      </c>
      <c r="E528" s="15">
        <f t="shared" si="57"/>
        <v>0.2</v>
      </c>
      <c r="F528" s="15">
        <f t="shared" si="58"/>
        <v>3</v>
      </c>
      <c r="G528" s="15">
        <f t="shared" si="59"/>
        <v>3.3854000000000006</v>
      </c>
      <c r="H528" s="15">
        <f t="shared" si="60"/>
        <v>0.60000000000000009</v>
      </c>
      <c r="I528" s="15">
        <f t="shared" si="61"/>
        <v>0</v>
      </c>
      <c r="J528" s="15">
        <f t="shared" si="62"/>
        <v>0</v>
      </c>
      <c r="K528" s="15">
        <f>IF(CurrentMtgRatesDataTable8[[#This Row],[WA CC]]&lt;&gt;0,C527-CurrentMtgRatesDataTable8[[#This Row],[WA CC]],0)</f>
        <v>0</v>
      </c>
      <c r="L528" s="16">
        <f>IF(CurrentMtgRatesDataTable8[[#This Row],[Servicing Spread]]&lt;=0,L527,CurrentMtgRatesDataTable8[[#This Row],[Servicing Spread]])</f>
        <v>0.46049999999999969</v>
      </c>
      <c r="M528" s="16">
        <f>CurrentMtgRatesDataTable8[[#This Row],[Servicing Spread Non-Zero]]-L527</f>
        <v>0</v>
      </c>
      <c r="N528" s="16">
        <f>IF(J527&lt;&gt;0,CurrentMtgRatesDataTable8[[#This Row],[Rate]]-C527,N527)</f>
        <v>-9.9999999999997868E-3</v>
      </c>
    </row>
    <row r="529" spans="1:14">
      <c r="A529" s="12" t="s">
        <v>1881</v>
      </c>
      <c r="B529" s="13">
        <v>5.5750000000000002</v>
      </c>
      <c r="C529" s="13">
        <v>6.085</v>
      </c>
      <c r="D529" s="15">
        <f t="shared" si="56"/>
        <v>7</v>
      </c>
      <c r="E529" s="15">
        <f t="shared" si="57"/>
        <v>0.2</v>
      </c>
      <c r="F529" s="15">
        <f t="shared" si="58"/>
        <v>4</v>
      </c>
      <c r="G529" s="15">
        <f t="shared" si="59"/>
        <v>4.5004000000000008</v>
      </c>
      <c r="H529" s="15">
        <f t="shared" si="60"/>
        <v>0.8</v>
      </c>
      <c r="I529" s="15">
        <f t="shared" si="61"/>
        <v>1</v>
      </c>
      <c r="J529" s="15">
        <f t="shared" si="62"/>
        <v>5.6255000000000006</v>
      </c>
      <c r="K529" s="15">
        <f>IF(CurrentMtgRatesDataTable8[[#This Row],[WA CC]]&lt;&gt;0,C528-CurrentMtgRatesDataTable8[[#This Row],[WA CC]],0)</f>
        <v>0.45949999999999935</v>
      </c>
      <c r="L529" s="16">
        <f>IF(CurrentMtgRatesDataTable8[[#This Row],[Servicing Spread]]&lt;=0,L528,CurrentMtgRatesDataTable8[[#This Row],[Servicing Spread]])</f>
        <v>0.45949999999999935</v>
      </c>
      <c r="M529" s="16">
        <f>CurrentMtgRatesDataTable8[[#This Row],[Servicing Spread Non-Zero]]-L528</f>
        <v>-1.000000000000334E-3</v>
      </c>
      <c r="N529" s="16">
        <f>IF(J528&lt;&gt;0,CurrentMtgRatesDataTable8[[#This Row],[Rate]]-C528,N528)</f>
        <v>-9.9999999999997868E-3</v>
      </c>
    </row>
    <row r="530" spans="1:14">
      <c r="A530" s="12" t="s">
        <v>1882</v>
      </c>
      <c r="B530" s="13">
        <v>5.5609999999999999</v>
      </c>
      <c r="C530" s="13">
        <v>6.0500000000000007</v>
      </c>
      <c r="D530" s="15">
        <f t="shared" si="56"/>
        <v>1</v>
      </c>
      <c r="E530" s="15">
        <f t="shared" si="57"/>
        <v>0.2</v>
      </c>
      <c r="F530" s="15">
        <f t="shared" si="58"/>
        <v>1</v>
      </c>
      <c r="G530" s="15">
        <f t="shared" si="59"/>
        <v>1.1122000000000001</v>
      </c>
      <c r="H530" s="15">
        <f t="shared" si="60"/>
        <v>0.2</v>
      </c>
      <c r="I530" s="15">
        <f t="shared" si="61"/>
        <v>0</v>
      </c>
      <c r="J530" s="15">
        <f t="shared" si="62"/>
        <v>0</v>
      </c>
      <c r="K530" s="15">
        <f>IF(CurrentMtgRatesDataTable8[[#This Row],[WA CC]]&lt;&gt;0,C529-CurrentMtgRatesDataTable8[[#This Row],[WA CC]],0)</f>
        <v>0</v>
      </c>
      <c r="L530" s="16">
        <f>IF(CurrentMtgRatesDataTable8[[#This Row],[Servicing Spread]]&lt;=0,L529,CurrentMtgRatesDataTable8[[#This Row],[Servicing Spread]])</f>
        <v>0.45949999999999935</v>
      </c>
      <c r="M530" s="16">
        <f>CurrentMtgRatesDataTable8[[#This Row],[Servicing Spread Non-Zero]]-L529</f>
        <v>0</v>
      </c>
      <c r="N530" s="16">
        <f>IF(J529&lt;&gt;0,CurrentMtgRatesDataTable8[[#This Row],[Rate]]-C529,N529)</f>
        <v>-3.4999999999999254E-2</v>
      </c>
    </row>
    <row r="531" spans="1:14">
      <c r="A531" s="12" t="s">
        <v>1883</v>
      </c>
      <c r="B531" s="13">
        <v>5.5579999999999998</v>
      </c>
      <c r="C531" s="13">
        <v>6.0500000000000007</v>
      </c>
      <c r="D531" s="15">
        <f t="shared" si="56"/>
        <v>2</v>
      </c>
      <c r="E531" s="15">
        <f t="shared" si="57"/>
        <v>0.2</v>
      </c>
      <c r="F531" s="15">
        <f t="shared" si="58"/>
        <v>2</v>
      </c>
      <c r="G531" s="15">
        <f t="shared" si="59"/>
        <v>2.2237999999999998</v>
      </c>
      <c r="H531" s="15">
        <f t="shared" si="60"/>
        <v>0.4</v>
      </c>
      <c r="I531" s="15">
        <f t="shared" si="61"/>
        <v>0</v>
      </c>
      <c r="J531" s="15">
        <f t="shared" si="62"/>
        <v>0</v>
      </c>
      <c r="K531" s="15">
        <f>IF(CurrentMtgRatesDataTable8[[#This Row],[WA CC]]&lt;&gt;0,C530-CurrentMtgRatesDataTable8[[#This Row],[WA CC]],0)</f>
        <v>0</v>
      </c>
      <c r="L531" s="16">
        <f>IF(CurrentMtgRatesDataTable8[[#This Row],[Servicing Spread]]&lt;=0,L530,CurrentMtgRatesDataTable8[[#This Row],[Servicing Spread]])</f>
        <v>0.45949999999999935</v>
      </c>
      <c r="M531" s="16">
        <f>CurrentMtgRatesDataTable8[[#This Row],[Servicing Spread Non-Zero]]-L530</f>
        <v>0</v>
      </c>
      <c r="N531" s="16">
        <f>IF(J530&lt;&gt;0,CurrentMtgRatesDataTable8[[#This Row],[Rate]]-C530,N530)</f>
        <v>-3.4999999999999254E-2</v>
      </c>
    </row>
    <row r="532" spans="1:14">
      <c r="A532" s="12" t="s">
        <v>1884</v>
      </c>
      <c r="B532" s="13">
        <v>5.5460000000000003</v>
      </c>
      <c r="C532" s="13">
        <v>6.0500000000000007</v>
      </c>
      <c r="D532" s="15">
        <f t="shared" si="56"/>
        <v>5</v>
      </c>
      <c r="E532" s="15">
        <f t="shared" si="57"/>
        <v>0.2</v>
      </c>
      <c r="F532" s="15">
        <f t="shared" si="58"/>
        <v>3</v>
      </c>
      <c r="G532" s="15">
        <f t="shared" si="59"/>
        <v>3.3330000000000002</v>
      </c>
      <c r="H532" s="15">
        <f t="shared" si="60"/>
        <v>0.60000000000000009</v>
      </c>
      <c r="I532" s="15">
        <f t="shared" si="61"/>
        <v>0</v>
      </c>
      <c r="J532" s="15">
        <f t="shared" si="62"/>
        <v>0</v>
      </c>
      <c r="K532" s="15">
        <f>IF(CurrentMtgRatesDataTable8[[#This Row],[WA CC]]&lt;&gt;0,C531-CurrentMtgRatesDataTable8[[#This Row],[WA CC]],0)</f>
        <v>0</v>
      </c>
      <c r="L532" s="16">
        <f>IF(CurrentMtgRatesDataTable8[[#This Row],[Servicing Spread]]&lt;=0,L531,CurrentMtgRatesDataTable8[[#This Row],[Servicing Spread]])</f>
        <v>0.45949999999999935</v>
      </c>
      <c r="M532" s="16">
        <f>CurrentMtgRatesDataTable8[[#This Row],[Servicing Spread Non-Zero]]-L531</f>
        <v>0</v>
      </c>
      <c r="N532" s="16">
        <f>IF(J531&lt;&gt;0,CurrentMtgRatesDataTable8[[#This Row],[Rate]]-C531,N531)</f>
        <v>-3.4999999999999254E-2</v>
      </c>
    </row>
    <row r="533" spans="1:14">
      <c r="A533" s="12" t="s">
        <v>1885</v>
      </c>
      <c r="B533" s="13">
        <v>5.6130000000000004</v>
      </c>
      <c r="C533" s="13">
        <v>6.0500000000000007</v>
      </c>
      <c r="D533" s="15">
        <f t="shared" si="56"/>
        <v>6</v>
      </c>
      <c r="E533" s="15">
        <f t="shared" si="57"/>
        <v>0.2</v>
      </c>
      <c r="F533" s="15">
        <f t="shared" si="58"/>
        <v>4</v>
      </c>
      <c r="G533" s="15">
        <f t="shared" si="59"/>
        <v>4.4556000000000004</v>
      </c>
      <c r="H533" s="15">
        <f t="shared" si="60"/>
        <v>0.8</v>
      </c>
      <c r="I533" s="15">
        <f t="shared" si="61"/>
        <v>0</v>
      </c>
      <c r="J533" s="15">
        <f t="shared" si="62"/>
        <v>0</v>
      </c>
      <c r="K533" s="15">
        <f>IF(CurrentMtgRatesDataTable8[[#This Row],[WA CC]]&lt;&gt;0,C532-CurrentMtgRatesDataTable8[[#This Row],[WA CC]],0)</f>
        <v>0</v>
      </c>
      <c r="L533" s="16">
        <f>IF(CurrentMtgRatesDataTable8[[#This Row],[Servicing Spread]]&lt;=0,L532,CurrentMtgRatesDataTable8[[#This Row],[Servicing Spread]])</f>
        <v>0.45949999999999935</v>
      </c>
      <c r="M533" s="16">
        <f>CurrentMtgRatesDataTable8[[#This Row],[Servicing Spread Non-Zero]]-L532</f>
        <v>0</v>
      </c>
      <c r="N533" s="16">
        <f>IF(J532&lt;&gt;0,CurrentMtgRatesDataTable8[[#This Row],[Rate]]-C532,N532)</f>
        <v>-3.4999999999999254E-2</v>
      </c>
    </row>
    <row r="534" spans="1:14">
      <c r="A534" s="12" t="s">
        <v>1886</v>
      </c>
      <c r="B534" s="13">
        <v>5.6390000000000002</v>
      </c>
      <c r="C534" s="13">
        <v>6.0500000000000007</v>
      </c>
      <c r="D534" s="15">
        <f t="shared" si="56"/>
        <v>7</v>
      </c>
      <c r="E534" s="15">
        <f t="shared" si="57"/>
        <v>0.2</v>
      </c>
      <c r="F534" s="15">
        <f t="shared" si="58"/>
        <v>5</v>
      </c>
      <c r="G534" s="15">
        <f t="shared" si="59"/>
        <v>5.583400000000001</v>
      </c>
      <c r="H534" s="15">
        <f t="shared" si="60"/>
        <v>1</v>
      </c>
      <c r="I534" s="15">
        <f t="shared" si="61"/>
        <v>1</v>
      </c>
      <c r="J534" s="15">
        <f t="shared" si="62"/>
        <v>5.583400000000001</v>
      </c>
      <c r="K534" s="15">
        <f>IF(CurrentMtgRatesDataTable8[[#This Row],[WA CC]]&lt;&gt;0,C533-CurrentMtgRatesDataTable8[[#This Row],[WA CC]],0)</f>
        <v>0.46659999999999968</v>
      </c>
      <c r="L534" s="16">
        <f>IF(CurrentMtgRatesDataTable8[[#This Row],[Servicing Spread]]&lt;=0,L533,CurrentMtgRatesDataTable8[[#This Row],[Servicing Spread]])</f>
        <v>0.46659999999999968</v>
      </c>
      <c r="M534" s="16">
        <f>CurrentMtgRatesDataTable8[[#This Row],[Servicing Spread Non-Zero]]-L533</f>
        <v>7.1000000000003283E-3</v>
      </c>
      <c r="N534" s="16">
        <f>IF(J533&lt;&gt;0,CurrentMtgRatesDataTable8[[#This Row],[Rate]]-C533,N533)</f>
        <v>-3.4999999999999254E-2</v>
      </c>
    </row>
    <row r="535" spans="1:14">
      <c r="A535" s="12" t="s">
        <v>1887</v>
      </c>
      <c r="B535" s="13">
        <v>5.5750000000000002</v>
      </c>
      <c r="C535" s="13">
        <v>5.9749999999999996</v>
      </c>
      <c r="D535" s="15">
        <f t="shared" si="56"/>
        <v>1</v>
      </c>
      <c r="E535" s="15">
        <f t="shared" si="57"/>
        <v>0.2</v>
      </c>
      <c r="F535" s="15">
        <f t="shared" si="58"/>
        <v>1</v>
      </c>
      <c r="G535" s="15">
        <f t="shared" si="59"/>
        <v>1.115</v>
      </c>
      <c r="H535" s="15">
        <f t="shared" si="60"/>
        <v>0.2</v>
      </c>
      <c r="I535" s="15">
        <f t="shared" si="61"/>
        <v>0</v>
      </c>
      <c r="J535" s="15">
        <f t="shared" si="62"/>
        <v>0</v>
      </c>
      <c r="K535" s="15">
        <f>IF(CurrentMtgRatesDataTable8[[#This Row],[WA CC]]&lt;&gt;0,C534-CurrentMtgRatesDataTable8[[#This Row],[WA CC]],0)</f>
        <v>0</v>
      </c>
      <c r="L535" s="16">
        <f>IF(CurrentMtgRatesDataTable8[[#This Row],[Servicing Spread]]&lt;=0,L534,CurrentMtgRatesDataTable8[[#This Row],[Servicing Spread]])</f>
        <v>0.46659999999999968</v>
      </c>
      <c r="M535" s="16">
        <f>CurrentMtgRatesDataTable8[[#This Row],[Servicing Spread Non-Zero]]-L534</f>
        <v>0</v>
      </c>
      <c r="N535" s="16">
        <f>IF(J534&lt;&gt;0,CurrentMtgRatesDataTable8[[#This Row],[Rate]]-C534,N534)</f>
        <v>-7.5000000000001066E-2</v>
      </c>
    </row>
    <row r="536" spans="1:14">
      <c r="A536" s="12" t="s">
        <v>1888</v>
      </c>
      <c r="B536" s="13">
        <v>5.52</v>
      </c>
      <c r="C536" s="13">
        <v>5.9749999999999996</v>
      </c>
      <c r="D536" s="15">
        <f t="shared" si="56"/>
        <v>2</v>
      </c>
      <c r="E536" s="15">
        <f t="shared" si="57"/>
        <v>0.2</v>
      </c>
      <c r="F536" s="15">
        <f t="shared" si="58"/>
        <v>2</v>
      </c>
      <c r="G536" s="15">
        <f t="shared" si="59"/>
        <v>2.2189999999999999</v>
      </c>
      <c r="H536" s="15">
        <f t="shared" si="60"/>
        <v>0.4</v>
      </c>
      <c r="I536" s="15">
        <f t="shared" si="61"/>
        <v>0</v>
      </c>
      <c r="J536" s="15">
        <f t="shared" si="62"/>
        <v>0</v>
      </c>
      <c r="K536" s="15">
        <f>IF(CurrentMtgRatesDataTable8[[#This Row],[WA CC]]&lt;&gt;0,C535-CurrentMtgRatesDataTable8[[#This Row],[WA CC]],0)</f>
        <v>0</v>
      </c>
      <c r="L536" s="16">
        <f>IF(CurrentMtgRatesDataTable8[[#This Row],[Servicing Spread]]&lt;=0,L535,CurrentMtgRatesDataTable8[[#This Row],[Servicing Spread]])</f>
        <v>0.46659999999999968</v>
      </c>
      <c r="M536" s="16">
        <f>CurrentMtgRatesDataTable8[[#This Row],[Servicing Spread Non-Zero]]-L535</f>
        <v>0</v>
      </c>
      <c r="N536" s="16">
        <f>IF(J535&lt;&gt;0,CurrentMtgRatesDataTable8[[#This Row],[Rate]]-C535,N535)</f>
        <v>-7.5000000000001066E-2</v>
      </c>
    </row>
    <row r="537" spans="1:14">
      <c r="A537" s="12" t="s">
        <v>1889</v>
      </c>
      <c r="B537" s="13">
        <v>5.5</v>
      </c>
      <c r="C537" s="13">
        <v>5.9749999999999996</v>
      </c>
      <c r="D537" s="15">
        <f t="shared" si="56"/>
        <v>6</v>
      </c>
      <c r="E537" s="15">
        <f t="shared" si="57"/>
        <v>0.2</v>
      </c>
      <c r="F537" s="15">
        <f t="shared" si="58"/>
        <v>3</v>
      </c>
      <c r="G537" s="15">
        <f t="shared" si="59"/>
        <v>3.319</v>
      </c>
      <c r="H537" s="15">
        <f t="shared" si="60"/>
        <v>0.60000000000000009</v>
      </c>
      <c r="I537" s="15">
        <f t="shared" si="61"/>
        <v>0</v>
      </c>
      <c r="J537" s="15">
        <f t="shared" si="62"/>
        <v>0</v>
      </c>
      <c r="K537" s="15">
        <f>IF(CurrentMtgRatesDataTable8[[#This Row],[WA CC]]&lt;&gt;0,C536-CurrentMtgRatesDataTable8[[#This Row],[WA CC]],0)</f>
        <v>0</v>
      </c>
      <c r="L537" s="16">
        <f>IF(CurrentMtgRatesDataTable8[[#This Row],[Servicing Spread]]&lt;=0,L536,CurrentMtgRatesDataTable8[[#This Row],[Servicing Spread]])</f>
        <v>0.46659999999999968</v>
      </c>
      <c r="M537" s="16">
        <f>CurrentMtgRatesDataTable8[[#This Row],[Servicing Spread Non-Zero]]-L536</f>
        <v>0</v>
      </c>
      <c r="N537" s="16">
        <f>IF(J536&lt;&gt;0,CurrentMtgRatesDataTable8[[#This Row],[Rate]]-C536,N536)</f>
        <v>-7.5000000000001066E-2</v>
      </c>
    </row>
    <row r="538" spans="1:14">
      <c r="A538" s="12" t="s">
        <v>1890</v>
      </c>
      <c r="B538" s="13">
        <v>5.5090000000000003</v>
      </c>
      <c r="C538" s="13">
        <v>5.9749999999999996</v>
      </c>
      <c r="D538" s="15">
        <f t="shared" si="56"/>
        <v>7</v>
      </c>
      <c r="E538" s="15">
        <f t="shared" si="57"/>
        <v>0.2</v>
      </c>
      <c r="F538" s="15">
        <f t="shared" si="58"/>
        <v>4</v>
      </c>
      <c r="G538" s="15">
        <f t="shared" si="59"/>
        <v>4.4207999999999998</v>
      </c>
      <c r="H538" s="15">
        <f t="shared" si="60"/>
        <v>0.8</v>
      </c>
      <c r="I538" s="15">
        <f t="shared" si="61"/>
        <v>1</v>
      </c>
      <c r="J538" s="15">
        <f t="shared" si="62"/>
        <v>5.5259999999999998</v>
      </c>
      <c r="K538" s="15">
        <f>IF(CurrentMtgRatesDataTable8[[#This Row],[WA CC]]&lt;&gt;0,C537-CurrentMtgRatesDataTable8[[#This Row],[WA CC]],0)</f>
        <v>0.44899999999999984</v>
      </c>
      <c r="L538" s="16">
        <f>IF(CurrentMtgRatesDataTable8[[#This Row],[Servicing Spread]]&lt;=0,L537,CurrentMtgRatesDataTable8[[#This Row],[Servicing Spread]])</f>
        <v>0.44899999999999984</v>
      </c>
      <c r="M538" s="16">
        <f>CurrentMtgRatesDataTable8[[#This Row],[Servicing Spread Non-Zero]]-L537</f>
        <v>-1.7599999999999838E-2</v>
      </c>
      <c r="N538" s="16">
        <f>IF(J537&lt;&gt;0,CurrentMtgRatesDataTable8[[#This Row],[Rate]]-C537,N537)</f>
        <v>-7.5000000000001066E-2</v>
      </c>
    </row>
    <row r="539" spans="1:14">
      <c r="A539" s="12" t="s">
        <v>1891</v>
      </c>
      <c r="B539" s="13">
        <v>5.54</v>
      </c>
      <c r="C539" s="13">
        <v>5.9950000000000001</v>
      </c>
      <c r="D539" s="15">
        <f t="shared" si="56"/>
        <v>1</v>
      </c>
      <c r="E539" s="15">
        <f t="shared" si="57"/>
        <v>0.2</v>
      </c>
      <c r="F539" s="15">
        <f t="shared" si="58"/>
        <v>1</v>
      </c>
      <c r="G539" s="15">
        <f t="shared" si="59"/>
        <v>1.1080000000000001</v>
      </c>
      <c r="H539" s="15">
        <f t="shared" si="60"/>
        <v>0.2</v>
      </c>
      <c r="I539" s="15">
        <f t="shared" si="61"/>
        <v>0</v>
      </c>
      <c r="J539" s="15">
        <f t="shared" si="62"/>
        <v>0</v>
      </c>
      <c r="K539" s="15">
        <f>IF(CurrentMtgRatesDataTable8[[#This Row],[WA CC]]&lt;&gt;0,C538-CurrentMtgRatesDataTable8[[#This Row],[WA CC]],0)</f>
        <v>0</v>
      </c>
      <c r="L539" s="16">
        <f>IF(CurrentMtgRatesDataTable8[[#This Row],[Servicing Spread]]&lt;=0,L538,CurrentMtgRatesDataTable8[[#This Row],[Servicing Spread]])</f>
        <v>0.44899999999999984</v>
      </c>
      <c r="M539" s="16">
        <f>CurrentMtgRatesDataTable8[[#This Row],[Servicing Spread Non-Zero]]-L538</f>
        <v>0</v>
      </c>
      <c r="N539" s="16">
        <f>IF(J538&lt;&gt;0,CurrentMtgRatesDataTable8[[#This Row],[Rate]]-C538,N538)</f>
        <v>2.0000000000000462E-2</v>
      </c>
    </row>
    <row r="540" spans="1:14">
      <c r="A540" s="12" t="s">
        <v>1892</v>
      </c>
      <c r="B540" s="13">
        <v>5.5090000000000003</v>
      </c>
      <c r="C540" s="13">
        <v>5.9950000000000001</v>
      </c>
      <c r="D540" s="15">
        <f t="shared" si="56"/>
        <v>2</v>
      </c>
      <c r="E540" s="15">
        <f t="shared" si="57"/>
        <v>0.2</v>
      </c>
      <c r="F540" s="15">
        <f t="shared" si="58"/>
        <v>2</v>
      </c>
      <c r="G540" s="15">
        <f t="shared" si="59"/>
        <v>2.2098000000000004</v>
      </c>
      <c r="H540" s="15">
        <f t="shared" si="60"/>
        <v>0.4</v>
      </c>
      <c r="I540" s="15">
        <f t="shared" si="61"/>
        <v>0</v>
      </c>
      <c r="J540" s="15">
        <f t="shared" si="62"/>
        <v>0</v>
      </c>
      <c r="K540" s="15">
        <f>IF(CurrentMtgRatesDataTable8[[#This Row],[WA CC]]&lt;&gt;0,C539-CurrentMtgRatesDataTable8[[#This Row],[WA CC]],0)</f>
        <v>0</v>
      </c>
      <c r="L540" s="16">
        <f>IF(CurrentMtgRatesDataTable8[[#This Row],[Servicing Spread]]&lt;=0,L539,CurrentMtgRatesDataTable8[[#This Row],[Servicing Spread]])</f>
        <v>0.44899999999999984</v>
      </c>
      <c r="M540" s="16">
        <f>CurrentMtgRatesDataTable8[[#This Row],[Servicing Spread Non-Zero]]-L539</f>
        <v>0</v>
      </c>
      <c r="N540" s="16">
        <f>IF(J539&lt;&gt;0,CurrentMtgRatesDataTable8[[#This Row],[Rate]]-C539,N539)</f>
        <v>2.0000000000000462E-2</v>
      </c>
    </row>
    <row r="541" spans="1:14">
      <c r="A541" s="12" t="s">
        <v>1893</v>
      </c>
      <c r="B541" s="13">
        <v>5.5039999999999996</v>
      </c>
      <c r="C541" s="13">
        <v>5.9950000000000001</v>
      </c>
      <c r="D541" s="15">
        <f t="shared" si="56"/>
        <v>5</v>
      </c>
      <c r="E541" s="15">
        <f t="shared" si="57"/>
        <v>0.2</v>
      </c>
      <c r="F541" s="15">
        <f t="shared" si="58"/>
        <v>3</v>
      </c>
      <c r="G541" s="15">
        <f t="shared" si="59"/>
        <v>3.3106000000000004</v>
      </c>
      <c r="H541" s="15">
        <f t="shared" si="60"/>
        <v>0.60000000000000009</v>
      </c>
      <c r="I541" s="15">
        <f t="shared" si="61"/>
        <v>0</v>
      </c>
      <c r="J541" s="15">
        <f t="shared" si="62"/>
        <v>0</v>
      </c>
      <c r="K541" s="15">
        <f>IF(CurrentMtgRatesDataTable8[[#This Row],[WA CC]]&lt;&gt;0,C540-CurrentMtgRatesDataTable8[[#This Row],[WA CC]],0)</f>
        <v>0</v>
      </c>
      <c r="L541" s="16">
        <f>IF(CurrentMtgRatesDataTable8[[#This Row],[Servicing Spread]]&lt;=0,L540,CurrentMtgRatesDataTable8[[#This Row],[Servicing Spread]])</f>
        <v>0.44899999999999984</v>
      </c>
      <c r="M541" s="16">
        <f>CurrentMtgRatesDataTable8[[#This Row],[Servicing Spread Non-Zero]]-L540</f>
        <v>0</v>
      </c>
      <c r="N541" s="16">
        <f>IF(J540&lt;&gt;0,CurrentMtgRatesDataTable8[[#This Row],[Rate]]-C540,N540)</f>
        <v>2.0000000000000462E-2</v>
      </c>
    </row>
    <row r="542" spans="1:14">
      <c r="A542" s="12" t="s">
        <v>1894</v>
      </c>
      <c r="B542" s="13">
        <v>5.5359999999999996</v>
      </c>
      <c r="C542" s="13">
        <v>5.9950000000000001</v>
      </c>
      <c r="D542" s="15">
        <f t="shared" si="56"/>
        <v>6</v>
      </c>
      <c r="E542" s="15">
        <f t="shared" si="57"/>
        <v>0.2</v>
      </c>
      <c r="F542" s="15">
        <f t="shared" si="58"/>
        <v>4</v>
      </c>
      <c r="G542" s="15">
        <f t="shared" si="59"/>
        <v>4.4178000000000006</v>
      </c>
      <c r="H542" s="15">
        <f t="shared" si="60"/>
        <v>0.8</v>
      </c>
      <c r="I542" s="15">
        <f t="shared" si="61"/>
        <v>0</v>
      </c>
      <c r="J542" s="15">
        <f t="shared" si="62"/>
        <v>0</v>
      </c>
      <c r="K542" s="15">
        <f>IF(CurrentMtgRatesDataTable8[[#This Row],[WA CC]]&lt;&gt;0,C541-CurrentMtgRatesDataTable8[[#This Row],[WA CC]],0)</f>
        <v>0</v>
      </c>
      <c r="L542" s="16">
        <f>IF(CurrentMtgRatesDataTable8[[#This Row],[Servicing Spread]]&lt;=0,L541,CurrentMtgRatesDataTable8[[#This Row],[Servicing Spread]])</f>
        <v>0.44899999999999984</v>
      </c>
      <c r="M542" s="16">
        <f>CurrentMtgRatesDataTable8[[#This Row],[Servicing Spread Non-Zero]]-L541</f>
        <v>0</v>
      </c>
      <c r="N542" s="16">
        <f>IF(J541&lt;&gt;0,CurrentMtgRatesDataTable8[[#This Row],[Rate]]-C541,N541)</f>
        <v>2.0000000000000462E-2</v>
      </c>
    </row>
    <row r="543" spans="1:14">
      <c r="A543" s="12" t="s">
        <v>1895</v>
      </c>
      <c r="B543" s="13">
        <v>5.63</v>
      </c>
      <c r="C543" s="13">
        <v>5.9950000000000001</v>
      </c>
      <c r="D543" s="15">
        <f t="shared" si="56"/>
        <v>7</v>
      </c>
      <c r="E543" s="15">
        <f t="shared" si="57"/>
        <v>0.2</v>
      </c>
      <c r="F543" s="15">
        <f t="shared" si="58"/>
        <v>5</v>
      </c>
      <c r="G543" s="15">
        <f t="shared" si="59"/>
        <v>5.5438000000000009</v>
      </c>
      <c r="H543" s="15">
        <f t="shared" si="60"/>
        <v>1</v>
      </c>
      <c r="I543" s="15">
        <f t="shared" si="61"/>
        <v>1</v>
      </c>
      <c r="J543" s="15">
        <f t="shared" si="62"/>
        <v>5.5438000000000009</v>
      </c>
      <c r="K543" s="15">
        <f>IF(CurrentMtgRatesDataTable8[[#This Row],[WA CC]]&lt;&gt;0,C542-CurrentMtgRatesDataTable8[[#This Row],[WA CC]],0)</f>
        <v>0.45119999999999916</v>
      </c>
      <c r="L543" s="16">
        <f>IF(CurrentMtgRatesDataTable8[[#This Row],[Servicing Spread]]&lt;=0,L542,CurrentMtgRatesDataTable8[[#This Row],[Servicing Spread]])</f>
        <v>0.45119999999999916</v>
      </c>
      <c r="M543" s="16">
        <f>CurrentMtgRatesDataTable8[[#This Row],[Servicing Spread Non-Zero]]-L542</f>
        <v>2.1999999999993136E-3</v>
      </c>
      <c r="N543" s="16">
        <f>IF(J542&lt;&gt;0,CurrentMtgRatesDataTable8[[#This Row],[Rate]]-C542,N542)</f>
        <v>2.0000000000000462E-2</v>
      </c>
    </row>
    <row r="544" spans="1:14">
      <c r="A544" s="12" t="s">
        <v>1896</v>
      </c>
      <c r="B544" s="13">
        <v>5.68</v>
      </c>
      <c r="C544" s="13">
        <v>6.1050000000000004</v>
      </c>
      <c r="D544" s="15">
        <f t="shared" si="56"/>
        <v>1</v>
      </c>
      <c r="E544" s="15">
        <f t="shared" si="57"/>
        <v>0.2</v>
      </c>
      <c r="F544" s="15">
        <f t="shared" si="58"/>
        <v>1</v>
      </c>
      <c r="G544" s="15">
        <f t="shared" si="59"/>
        <v>1.1359999999999999</v>
      </c>
      <c r="H544" s="15">
        <f t="shared" si="60"/>
        <v>0.2</v>
      </c>
      <c r="I544" s="15">
        <f t="shared" si="61"/>
        <v>0</v>
      </c>
      <c r="J544" s="15">
        <f t="shared" si="62"/>
        <v>0</v>
      </c>
      <c r="K544" s="15">
        <f>IF(CurrentMtgRatesDataTable8[[#This Row],[WA CC]]&lt;&gt;0,C543-CurrentMtgRatesDataTable8[[#This Row],[WA CC]],0)</f>
        <v>0</v>
      </c>
      <c r="L544" s="16">
        <f>IF(CurrentMtgRatesDataTable8[[#This Row],[Servicing Spread]]&lt;=0,L543,CurrentMtgRatesDataTable8[[#This Row],[Servicing Spread]])</f>
        <v>0.45119999999999916</v>
      </c>
      <c r="M544" s="16">
        <f>CurrentMtgRatesDataTable8[[#This Row],[Servicing Spread Non-Zero]]-L543</f>
        <v>0</v>
      </c>
      <c r="N544" s="16">
        <f>IF(J543&lt;&gt;0,CurrentMtgRatesDataTable8[[#This Row],[Rate]]-C543,N543)</f>
        <v>0.11000000000000032</v>
      </c>
    </row>
    <row r="545" spans="1:14">
      <c r="A545" s="12" t="s">
        <v>1897</v>
      </c>
      <c r="B545" s="13">
        <v>5.6580000000000004</v>
      </c>
      <c r="C545" s="13">
        <v>6.1050000000000004</v>
      </c>
      <c r="D545" s="15">
        <f t="shared" si="56"/>
        <v>2</v>
      </c>
      <c r="E545" s="15">
        <f t="shared" si="57"/>
        <v>0.2</v>
      </c>
      <c r="F545" s="15">
        <f t="shared" si="58"/>
        <v>2</v>
      </c>
      <c r="G545" s="15">
        <f t="shared" si="59"/>
        <v>2.2675999999999998</v>
      </c>
      <c r="H545" s="15">
        <f t="shared" si="60"/>
        <v>0.4</v>
      </c>
      <c r="I545" s="15">
        <f t="shared" si="61"/>
        <v>0</v>
      </c>
      <c r="J545" s="15">
        <f t="shared" si="62"/>
        <v>0</v>
      </c>
      <c r="K545" s="15">
        <f>IF(CurrentMtgRatesDataTable8[[#This Row],[WA CC]]&lt;&gt;0,C544-CurrentMtgRatesDataTable8[[#This Row],[WA CC]],0)</f>
        <v>0</v>
      </c>
      <c r="L545" s="16">
        <f>IF(CurrentMtgRatesDataTable8[[#This Row],[Servicing Spread]]&lt;=0,L544,CurrentMtgRatesDataTable8[[#This Row],[Servicing Spread]])</f>
        <v>0.45119999999999916</v>
      </c>
      <c r="M545" s="16">
        <f>CurrentMtgRatesDataTable8[[#This Row],[Servicing Spread Non-Zero]]-L544</f>
        <v>0</v>
      </c>
      <c r="N545" s="16">
        <f>IF(J544&lt;&gt;0,CurrentMtgRatesDataTable8[[#This Row],[Rate]]-C544,N544)</f>
        <v>0.11000000000000032</v>
      </c>
    </row>
    <row r="546" spans="1:14">
      <c r="A546" s="12" t="s">
        <v>1898</v>
      </c>
      <c r="B546" s="13">
        <v>5.68</v>
      </c>
      <c r="C546" s="13">
        <v>6.1050000000000004</v>
      </c>
      <c r="D546" s="15">
        <f t="shared" si="56"/>
        <v>5</v>
      </c>
      <c r="E546" s="15">
        <f t="shared" si="57"/>
        <v>0.2</v>
      </c>
      <c r="F546" s="15">
        <f t="shared" si="58"/>
        <v>3</v>
      </c>
      <c r="G546" s="15">
        <f t="shared" si="59"/>
        <v>3.4036</v>
      </c>
      <c r="H546" s="15">
        <f t="shared" si="60"/>
        <v>0.60000000000000009</v>
      </c>
      <c r="I546" s="15">
        <f t="shared" si="61"/>
        <v>0</v>
      </c>
      <c r="J546" s="15">
        <f t="shared" si="62"/>
        <v>0</v>
      </c>
      <c r="K546" s="15">
        <f>IF(CurrentMtgRatesDataTable8[[#This Row],[WA CC]]&lt;&gt;0,C545-CurrentMtgRatesDataTable8[[#This Row],[WA CC]],0)</f>
        <v>0</v>
      </c>
      <c r="L546" s="16">
        <f>IF(CurrentMtgRatesDataTable8[[#This Row],[Servicing Spread]]&lt;=0,L545,CurrentMtgRatesDataTable8[[#This Row],[Servicing Spread]])</f>
        <v>0.45119999999999916</v>
      </c>
      <c r="M546" s="16">
        <f>CurrentMtgRatesDataTable8[[#This Row],[Servicing Spread Non-Zero]]-L545</f>
        <v>0</v>
      </c>
      <c r="N546" s="16">
        <f>IF(J545&lt;&gt;0,CurrentMtgRatesDataTable8[[#This Row],[Rate]]-C545,N545)</f>
        <v>0.11000000000000032</v>
      </c>
    </row>
    <row r="547" spans="1:14">
      <c r="A547" s="12" t="s">
        <v>1899</v>
      </c>
      <c r="B547" s="13">
        <v>5.6870000000000003</v>
      </c>
      <c r="C547" s="13">
        <v>6.1050000000000004</v>
      </c>
      <c r="D547" s="15">
        <f t="shared" si="56"/>
        <v>6</v>
      </c>
      <c r="E547" s="15">
        <f t="shared" si="57"/>
        <v>0.2</v>
      </c>
      <c r="F547" s="15">
        <f t="shared" si="58"/>
        <v>4</v>
      </c>
      <c r="G547" s="15">
        <f t="shared" si="59"/>
        <v>4.5410000000000004</v>
      </c>
      <c r="H547" s="15">
        <f t="shared" si="60"/>
        <v>0.8</v>
      </c>
      <c r="I547" s="15">
        <f t="shared" si="61"/>
        <v>0</v>
      </c>
      <c r="J547" s="15">
        <f t="shared" si="62"/>
        <v>0</v>
      </c>
      <c r="K547" s="15">
        <f>IF(CurrentMtgRatesDataTable8[[#This Row],[WA CC]]&lt;&gt;0,C546-CurrentMtgRatesDataTable8[[#This Row],[WA CC]],0)</f>
        <v>0</v>
      </c>
      <c r="L547" s="16">
        <f>IF(CurrentMtgRatesDataTable8[[#This Row],[Servicing Spread]]&lt;=0,L546,CurrentMtgRatesDataTable8[[#This Row],[Servicing Spread]])</f>
        <v>0.45119999999999916</v>
      </c>
      <c r="M547" s="16">
        <f>CurrentMtgRatesDataTable8[[#This Row],[Servicing Spread Non-Zero]]-L546</f>
        <v>0</v>
      </c>
      <c r="N547" s="16">
        <f>IF(J546&lt;&gt;0,CurrentMtgRatesDataTable8[[#This Row],[Rate]]-C546,N546)</f>
        <v>0.11000000000000032</v>
      </c>
    </row>
    <row r="548" spans="1:14">
      <c r="A548" s="12" t="s">
        <v>1900</v>
      </c>
      <c r="B548" s="13">
        <v>5.734</v>
      </c>
      <c r="C548" s="13">
        <v>6.1050000000000004</v>
      </c>
      <c r="D548" s="15">
        <f t="shared" si="56"/>
        <v>7</v>
      </c>
      <c r="E548" s="15">
        <f t="shared" si="57"/>
        <v>0.2</v>
      </c>
      <c r="F548" s="15">
        <f t="shared" si="58"/>
        <v>5</v>
      </c>
      <c r="G548" s="15">
        <f t="shared" si="59"/>
        <v>5.6878000000000002</v>
      </c>
      <c r="H548" s="15">
        <f t="shared" si="60"/>
        <v>1</v>
      </c>
      <c r="I548" s="15">
        <f t="shared" si="61"/>
        <v>1</v>
      </c>
      <c r="J548" s="15">
        <f t="shared" si="62"/>
        <v>5.6878000000000002</v>
      </c>
      <c r="K548" s="15">
        <f>IF(CurrentMtgRatesDataTable8[[#This Row],[WA CC]]&lt;&gt;0,C547-CurrentMtgRatesDataTable8[[#This Row],[WA CC]],0)</f>
        <v>0.41720000000000024</v>
      </c>
      <c r="L548" s="16">
        <f>IF(CurrentMtgRatesDataTable8[[#This Row],[Servicing Spread]]&lt;=0,L547,CurrentMtgRatesDataTable8[[#This Row],[Servicing Spread]])</f>
        <v>0.41720000000000024</v>
      </c>
      <c r="M548" s="16">
        <f>CurrentMtgRatesDataTable8[[#This Row],[Servicing Spread Non-Zero]]-L547</f>
        <v>-3.399999999999892E-2</v>
      </c>
      <c r="N548" s="16">
        <f>IF(J547&lt;&gt;0,CurrentMtgRatesDataTable8[[#This Row],[Rate]]-C547,N547)</f>
        <v>0.11000000000000032</v>
      </c>
    </row>
    <row r="549" spans="1:14">
      <c r="A549" s="12" t="s">
        <v>1901</v>
      </c>
      <c r="B549" s="13">
        <v>5.7309999999999999</v>
      </c>
      <c r="C549" s="13">
        <v>6.1400000000000006</v>
      </c>
      <c r="D549" s="15">
        <f t="shared" si="56"/>
        <v>1</v>
      </c>
      <c r="E549" s="15">
        <f t="shared" si="57"/>
        <v>0.2</v>
      </c>
      <c r="F549" s="15">
        <f t="shared" si="58"/>
        <v>1</v>
      </c>
      <c r="G549" s="15">
        <f t="shared" si="59"/>
        <v>1.1462000000000001</v>
      </c>
      <c r="H549" s="15">
        <f t="shared" si="60"/>
        <v>0.2</v>
      </c>
      <c r="I549" s="15">
        <f t="shared" si="61"/>
        <v>0</v>
      </c>
      <c r="J549" s="15">
        <f t="shared" si="62"/>
        <v>0</v>
      </c>
      <c r="K549" s="15">
        <f>IF(CurrentMtgRatesDataTable8[[#This Row],[WA CC]]&lt;&gt;0,C548-CurrentMtgRatesDataTable8[[#This Row],[WA CC]],0)</f>
        <v>0</v>
      </c>
      <c r="L549" s="16">
        <f>IF(CurrentMtgRatesDataTable8[[#This Row],[Servicing Spread]]&lt;=0,L548,CurrentMtgRatesDataTable8[[#This Row],[Servicing Spread]])</f>
        <v>0.41720000000000024</v>
      </c>
      <c r="M549" s="16">
        <f>CurrentMtgRatesDataTable8[[#This Row],[Servicing Spread Non-Zero]]-L548</f>
        <v>0</v>
      </c>
      <c r="N549" s="16">
        <f>IF(J548&lt;&gt;0,CurrentMtgRatesDataTable8[[#This Row],[Rate]]-C548,N548)</f>
        <v>3.5000000000000142E-2</v>
      </c>
    </row>
    <row r="550" spans="1:14">
      <c r="A550" s="12" t="s">
        <v>1902</v>
      </c>
      <c r="B550" s="13">
        <v>5.7229999999999999</v>
      </c>
      <c r="C550" s="13">
        <v>6.1400000000000006</v>
      </c>
      <c r="D550" s="15">
        <f t="shared" si="56"/>
        <v>2</v>
      </c>
      <c r="E550" s="15">
        <f t="shared" si="57"/>
        <v>0.2</v>
      </c>
      <c r="F550" s="15">
        <f t="shared" si="58"/>
        <v>2</v>
      </c>
      <c r="G550" s="15">
        <f t="shared" si="59"/>
        <v>2.2907999999999999</v>
      </c>
      <c r="H550" s="15">
        <f t="shared" si="60"/>
        <v>0.4</v>
      </c>
      <c r="I550" s="15">
        <f t="shared" si="61"/>
        <v>0</v>
      </c>
      <c r="J550" s="15">
        <f t="shared" si="62"/>
        <v>0</v>
      </c>
      <c r="K550" s="15">
        <f>IF(CurrentMtgRatesDataTable8[[#This Row],[WA CC]]&lt;&gt;0,C549-CurrentMtgRatesDataTable8[[#This Row],[WA CC]],0)</f>
        <v>0</v>
      </c>
      <c r="L550" s="16">
        <f>IF(CurrentMtgRatesDataTable8[[#This Row],[Servicing Spread]]&lt;=0,L549,CurrentMtgRatesDataTable8[[#This Row],[Servicing Spread]])</f>
        <v>0.41720000000000024</v>
      </c>
      <c r="M550" s="16">
        <f>CurrentMtgRatesDataTable8[[#This Row],[Servicing Spread Non-Zero]]-L549</f>
        <v>0</v>
      </c>
      <c r="N550" s="16">
        <f>IF(J549&lt;&gt;0,CurrentMtgRatesDataTable8[[#This Row],[Rate]]-C549,N549)</f>
        <v>3.5000000000000142E-2</v>
      </c>
    </row>
    <row r="551" spans="1:14">
      <c r="A551" s="12" t="s">
        <v>1903</v>
      </c>
      <c r="B551" s="13">
        <v>5.7229999999999999</v>
      </c>
      <c r="C551" s="13">
        <v>6.1400000000000006</v>
      </c>
      <c r="D551" s="15">
        <f t="shared" si="56"/>
        <v>5</v>
      </c>
      <c r="E551" s="15">
        <f t="shared" si="57"/>
        <v>0.2</v>
      </c>
      <c r="F551" s="15">
        <f t="shared" si="58"/>
        <v>3</v>
      </c>
      <c r="G551" s="15">
        <f t="shared" si="59"/>
        <v>3.4354</v>
      </c>
      <c r="H551" s="15">
        <f t="shared" si="60"/>
        <v>0.60000000000000009</v>
      </c>
      <c r="I551" s="15">
        <f t="shared" si="61"/>
        <v>0</v>
      </c>
      <c r="J551" s="15">
        <f t="shared" si="62"/>
        <v>0</v>
      </c>
      <c r="K551" s="15">
        <f>IF(CurrentMtgRatesDataTable8[[#This Row],[WA CC]]&lt;&gt;0,C550-CurrentMtgRatesDataTable8[[#This Row],[WA CC]],0)</f>
        <v>0</v>
      </c>
      <c r="L551" s="16">
        <f>IF(CurrentMtgRatesDataTable8[[#This Row],[Servicing Spread]]&lt;=0,L550,CurrentMtgRatesDataTable8[[#This Row],[Servicing Spread]])</f>
        <v>0.41720000000000024</v>
      </c>
      <c r="M551" s="16">
        <f>CurrentMtgRatesDataTable8[[#This Row],[Servicing Spread Non-Zero]]-L550</f>
        <v>0</v>
      </c>
      <c r="N551" s="16">
        <f>IF(J550&lt;&gt;0,CurrentMtgRatesDataTable8[[#This Row],[Rate]]-C550,N550)</f>
        <v>3.5000000000000142E-2</v>
      </c>
    </row>
    <row r="552" spans="1:14">
      <c r="A552" s="12" t="s">
        <v>1904</v>
      </c>
      <c r="B552" s="13">
        <v>5.7229999999999999</v>
      </c>
      <c r="C552" s="13">
        <v>6.1400000000000006</v>
      </c>
      <c r="D552" s="15">
        <f t="shared" si="56"/>
        <v>6</v>
      </c>
      <c r="E552" s="15">
        <f t="shared" si="57"/>
        <v>0.2</v>
      </c>
      <c r="F552" s="15">
        <f t="shared" si="58"/>
        <v>4</v>
      </c>
      <c r="G552" s="15">
        <f t="shared" si="59"/>
        <v>4.58</v>
      </c>
      <c r="H552" s="15">
        <f t="shared" si="60"/>
        <v>0.8</v>
      </c>
      <c r="I552" s="15">
        <f t="shared" si="61"/>
        <v>0</v>
      </c>
      <c r="J552" s="15">
        <f t="shared" si="62"/>
        <v>0</v>
      </c>
      <c r="K552" s="15">
        <f>IF(CurrentMtgRatesDataTable8[[#This Row],[WA CC]]&lt;&gt;0,C551-CurrentMtgRatesDataTable8[[#This Row],[WA CC]],0)</f>
        <v>0</v>
      </c>
      <c r="L552" s="16">
        <f>IF(CurrentMtgRatesDataTable8[[#This Row],[Servicing Spread]]&lt;=0,L551,CurrentMtgRatesDataTable8[[#This Row],[Servicing Spread]])</f>
        <v>0.41720000000000024</v>
      </c>
      <c r="M552" s="16">
        <f>CurrentMtgRatesDataTable8[[#This Row],[Servicing Spread Non-Zero]]-L551</f>
        <v>0</v>
      </c>
      <c r="N552" s="16">
        <f>IF(J551&lt;&gt;0,CurrentMtgRatesDataTable8[[#This Row],[Rate]]-C551,N551)</f>
        <v>3.5000000000000142E-2</v>
      </c>
    </row>
    <row r="553" spans="1:14">
      <c r="A553" s="12" t="s">
        <v>1905</v>
      </c>
      <c r="B553" s="13">
        <v>5.7460000000000004</v>
      </c>
      <c r="C553" s="13">
        <v>6.1400000000000006</v>
      </c>
      <c r="D553" s="15">
        <f t="shared" si="56"/>
        <v>7</v>
      </c>
      <c r="E553" s="15">
        <f t="shared" si="57"/>
        <v>0.2</v>
      </c>
      <c r="F553" s="15">
        <f t="shared" si="58"/>
        <v>5</v>
      </c>
      <c r="G553" s="15">
        <f t="shared" si="59"/>
        <v>5.7292000000000005</v>
      </c>
      <c r="H553" s="15">
        <f t="shared" si="60"/>
        <v>1</v>
      </c>
      <c r="I553" s="15">
        <f t="shared" si="61"/>
        <v>1</v>
      </c>
      <c r="J553" s="15">
        <f t="shared" si="62"/>
        <v>5.7292000000000005</v>
      </c>
      <c r="K553" s="15">
        <f>IF(CurrentMtgRatesDataTable8[[#This Row],[WA CC]]&lt;&gt;0,C552-CurrentMtgRatesDataTable8[[#This Row],[WA CC]],0)</f>
        <v>0.41080000000000005</v>
      </c>
      <c r="L553" s="16">
        <f>IF(CurrentMtgRatesDataTable8[[#This Row],[Servicing Spread]]&lt;=0,L552,CurrentMtgRatesDataTable8[[#This Row],[Servicing Spread]])</f>
        <v>0.41080000000000005</v>
      </c>
      <c r="M553" s="16">
        <f>CurrentMtgRatesDataTable8[[#This Row],[Servicing Spread Non-Zero]]-L552</f>
        <v>-6.4000000000001833E-3</v>
      </c>
      <c r="N553" s="16">
        <f>IF(J552&lt;&gt;0,CurrentMtgRatesDataTable8[[#This Row],[Rate]]-C552,N552)</f>
        <v>3.5000000000000142E-2</v>
      </c>
    </row>
    <row r="554" spans="1:14">
      <c r="A554" s="12" t="s">
        <v>1906</v>
      </c>
      <c r="B554" s="13">
        <v>5.7359999999999998</v>
      </c>
      <c r="C554" s="13">
        <v>6.1550000000000002</v>
      </c>
      <c r="D554" s="15">
        <f t="shared" si="56"/>
        <v>1</v>
      </c>
      <c r="E554" s="15">
        <f t="shared" si="57"/>
        <v>0.2</v>
      </c>
      <c r="F554" s="15">
        <f t="shared" si="58"/>
        <v>1</v>
      </c>
      <c r="G554" s="15">
        <f t="shared" si="59"/>
        <v>1.1472</v>
      </c>
      <c r="H554" s="15">
        <f t="shared" si="60"/>
        <v>0.2</v>
      </c>
      <c r="I554" s="15">
        <f t="shared" si="61"/>
        <v>0</v>
      </c>
      <c r="J554" s="15">
        <f t="shared" si="62"/>
        <v>0</v>
      </c>
      <c r="K554" s="15">
        <f>IF(CurrentMtgRatesDataTable8[[#This Row],[WA CC]]&lt;&gt;0,C553-CurrentMtgRatesDataTable8[[#This Row],[WA CC]],0)</f>
        <v>0</v>
      </c>
      <c r="L554" s="16">
        <f>IF(CurrentMtgRatesDataTable8[[#This Row],[Servicing Spread]]&lt;=0,L553,CurrentMtgRatesDataTable8[[#This Row],[Servicing Spread]])</f>
        <v>0.41080000000000005</v>
      </c>
      <c r="M554" s="16">
        <f>CurrentMtgRatesDataTable8[[#This Row],[Servicing Spread Non-Zero]]-L553</f>
        <v>0</v>
      </c>
      <c r="N554" s="16">
        <f>IF(J553&lt;&gt;0,CurrentMtgRatesDataTable8[[#This Row],[Rate]]-C553,N553)</f>
        <v>1.499999999999968E-2</v>
      </c>
    </row>
    <row r="555" spans="1:14">
      <c r="A555" s="12" t="s">
        <v>1907</v>
      </c>
      <c r="B555" s="13">
        <v>5.77</v>
      </c>
      <c r="C555" s="13">
        <v>6.1550000000000002</v>
      </c>
      <c r="D555" s="15">
        <f t="shared" si="56"/>
        <v>2</v>
      </c>
      <c r="E555" s="15">
        <f t="shared" si="57"/>
        <v>0.2</v>
      </c>
      <c r="F555" s="15">
        <f t="shared" si="58"/>
        <v>2</v>
      </c>
      <c r="G555" s="15">
        <f t="shared" si="59"/>
        <v>2.3011999999999997</v>
      </c>
      <c r="H555" s="15">
        <f t="shared" si="60"/>
        <v>0.4</v>
      </c>
      <c r="I555" s="15">
        <f t="shared" si="61"/>
        <v>0</v>
      </c>
      <c r="J555" s="15">
        <f t="shared" si="62"/>
        <v>0</v>
      </c>
      <c r="K555" s="15">
        <f>IF(CurrentMtgRatesDataTable8[[#This Row],[WA CC]]&lt;&gt;0,C554-CurrentMtgRatesDataTable8[[#This Row],[WA CC]],0)</f>
        <v>0</v>
      </c>
      <c r="L555" s="16">
        <f>IF(CurrentMtgRatesDataTable8[[#This Row],[Servicing Spread]]&lt;=0,L554,CurrentMtgRatesDataTable8[[#This Row],[Servicing Spread]])</f>
        <v>0.41080000000000005</v>
      </c>
      <c r="M555" s="16">
        <f>CurrentMtgRatesDataTable8[[#This Row],[Servicing Spread Non-Zero]]-L554</f>
        <v>0</v>
      </c>
      <c r="N555" s="16">
        <f>IF(J554&lt;&gt;0,CurrentMtgRatesDataTable8[[#This Row],[Rate]]-C554,N554)</f>
        <v>1.499999999999968E-2</v>
      </c>
    </row>
    <row r="556" spans="1:14">
      <c r="A556" s="12" t="s">
        <v>1908</v>
      </c>
      <c r="B556" s="13">
        <v>5.7759999999999998</v>
      </c>
      <c r="C556" s="13">
        <v>6.1550000000000002</v>
      </c>
      <c r="D556" s="15">
        <f t="shared" si="56"/>
        <v>5</v>
      </c>
      <c r="E556" s="15">
        <f t="shared" si="57"/>
        <v>0.2</v>
      </c>
      <c r="F556" s="15">
        <f t="shared" si="58"/>
        <v>3</v>
      </c>
      <c r="G556" s="15">
        <f t="shared" si="59"/>
        <v>3.4563999999999995</v>
      </c>
      <c r="H556" s="15">
        <f t="shared" si="60"/>
        <v>0.60000000000000009</v>
      </c>
      <c r="I556" s="15">
        <f t="shared" si="61"/>
        <v>0</v>
      </c>
      <c r="J556" s="15">
        <f t="shared" si="62"/>
        <v>0</v>
      </c>
      <c r="K556" s="15">
        <f>IF(CurrentMtgRatesDataTable8[[#This Row],[WA CC]]&lt;&gt;0,C555-CurrentMtgRatesDataTable8[[#This Row],[WA CC]],0)</f>
        <v>0</v>
      </c>
      <c r="L556" s="16">
        <f>IF(CurrentMtgRatesDataTable8[[#This Row],[Servicing Spread]]&lt;=0,L555,CurrentMtgRatesDataTable8[[#This Row],[Servicing Spread]])</f>
        <v>0.41080000000000005</v>
      </c>
      <c r="M556" s="16">
        <f>CurrentMtgRatesDataTable8[[#This Row],[Servicing Spread Non-Zero]]-L555</f>
        <v>0</v>
      </c>
      <c r="N556" s="16">
        <f>IF(J555&lt;&gt;0,CurrentMtgRatesDataTable8[[#This Row],[Rate]]-C555,N555)</f>
        <v>1.499999999999968E-2</v>
      </c>
    </row>
    <row r="557" spans="1:14">
      <c r="A557" s="12" t="s">
        <v>1909</v>
      </c>
      <c r="B557" s="13">
        <v>5.8079999999999998</v>
      </c>
      <c r="C557" s="13">
        <v>6.1550000000000002</v>
      </c>
      <c r="D557" s="15">
        <f t="shared" si="56"/>
        <v>6</v>
      </c>
      <c r="E557" s="15">
        <f t="shared" si="57"/>
        <v>0.2</v>
      </c>
      <c r="F557" s="15">
        <f t="shared" si="58"/>
        <v>4</v>
      </c>
      <c r="G557" s="15">
        <f t="shared" si="59"/>
        <v>4.6179999999999994</v>
      </c>
      <c r="H557" s="15">
        <f t="shared" si="60"/>
        <v>0.8</v>
      </c>
      <c r="I557" s="15">
        <f t="shared" si="61"/>
        <v>0</v>
      </c>
      <c r="J557" s="15">
        <f t="shared" si="62"/>
        <v>0</v>
      </c>
      <c r="K557" s="15">
        <f>IF(CurrentMtgRatesDataTable8[[#This Row],[WA CC]]&lt;&gt;0,C556-CurrentMtgRatesDataTable8[[#This Row],[WA CC]],0)</f>
        <v>0</v>
      </c>
      <c r="L557" s="16">
        <f>IF(CurrentMtgRatesDataTable8[[#This Row],[Servicing Spread]]&lt;=0,L556,CurrentMtgRatesDataTable8[[#This Row],[Servicing Spread]])</f>
        <v>0.41080000000000005</v>
      </c>
      <c r="M557" s="16">
        <f>CurrentMtgRatesDataTable8[[#This Row],[Servicing Spread Non-Zero]]-L556</f>
        <v>0</v>
      </c>
      <c r="N557" s="16">
        <f>IF(J556&lt;&gt;0,CurrentMtgRatesDataTable8[[#This Row],[Rate]]-C556,N556)</f>
        <v>1.499999999999968E-2</v>
      </c>
    </row>
    <row r="558" spans="1:14">
      <c r="A558" s="12" t="s">
        <v>1910</v>
      </c>
      <c r="B558" s="13">
        <v>5.8029999999999999</v>
      </c>
      <c r="C558" s="13">
        <v>6.1550000000000002</v>
      </c>
      <c r="D558" s="15">
        <f t="shared" si="56"/>
        <v>7</v>
      </c>
      <c r="E558" s="15">
        <f t="shared" si="57"/>
        <v>0.2</v>
      </c>
      <c r="F558" s="15">
        <f t="shared" si="58"/>
        <v>5</v>
      </c>
      <c r="G558" s="15">
        <f t="shared" si="59"/>
        <v>5.7785999999999991</v>
      </c>
      <c r="H558" s="15">
        <f t="shared" si="60"/>
        <v>1</v>
      </c>
      <c r="I558" s="15">
        <f t="shared" si="61"/>
        <v>1</v>
      </c>
      <c r="J558" s="15">
        <f t="shared" si="62"/>
        <v>5.7785999999999991</v>
      </c>
      <c r="K558" s="15">
        <f>IF(CurrentMtgRatesDataTable8[[#This Row],[WA CC]]&lt;&gt;0,C557-CurrentMtgRatesDataTable8[[#This Row],[WA CC]],0)</f>
        <v>0.37640000000000118</v>
      </c>
      <c r="L558" s="16">
        <f>IF(CurrentMtgRatesDataTable8[[#This Row],[Servicing Spread]]&lt;=0,L557,CurrentMtgRatesDataTable8[[#This Row],[Servicing Spread]])</f>
        <v>0.37640000000000118</v>
      </c>
      <c r="M558" s="16">
        <f>CurrentMtgRatesDataTable8[[#This Row],[Servicing Spread Non-Zero]]-L557</f>
        <v>-3.4399999999998876E-2</v>
      </c>
      <c r="N558" s="16">
        <f>IF(J557&lt;&gt;0,CurrentMtgRatesDataTable8[[#This Row],[Rate]]-C557,N557)</f>
        <v>1.499999999999968E-2</v>
      </c>
    </row>
    <row r="559" spans="1:14">
      <c r="A559" s="12" t="s">
        <v>1911</v>
      </c>
      <c r="B559" s="13">
        <v>5.782</v>
      </c>
      <c r="C559" s="13">
        <v>6.16</v>
      </c>
      <c r="D559" s="15">
        <f t="shared" si="56"/>
        <v>1</v>
      </c>
      <c r="E559" s="15">
        <f t="shared" si="57"/>
        <v>0.2</v>
      </c>
      <c r="F559" s="15">
        <f t="shared" si="58"/>
        <v>1</v>
      </c>
      <c r="G559" s="15">
        <f t="shared" si="59"/>
        <v>1.1564000000000001</v>
      </c>
      <c r="H559" s="15">
        <f t="shared" si="60"/>
        <v>0.2</v>
      </c>
      <c r="I559" s="15">
        <f t="shared" si="61"/>
        <v>0</v>
      </c>
      <c r="J559" s="15">
        <f t="shared" si="62"/>
        <v>0</v>
      </c>
      <c r="K559" s="15">
        <f>IF(CurrentMtgRatesDataTable8[[#This Row],[WA CC]]&lt;&gt;0,C558-CurrentMtgRatesDataTable8[[#This Row],[WA CC]],0)</f>
        <v>0</v>
      </c>
      <c r="L559" s="16">
        <f>IF(CurrentMtgRatesDataTable8[[#This Row],[Servicing Spread]]&lt;=0,L558,CurrentMtgRatesDataTable8[[#This Row],[Servicing Spread]])</f>
        <v>0.37640000000000118</v>
      </c>
      <c r="M559" s="16">
        <f>CurrentMtgRatesDataTable8[[#This Row],[Servicing Spread Non-Zero]]-L558</f>
        <v>0</v>
      </c>
      <c r="N559" s="16">
        <f>IF(J558&lt;&gt;0,CurrentMtgRatesDataTable8[[#This Row],[Rate]]-C558,N558)</f>
        <v>4.9999999999998934E-3</v>
      </c>
    </row>
    <row r="560" spans="1:14">
      <c r="A560" s="12" t="s">
        <v>1912</v>
      </c>
      <c r="B560" s="13">
        <v>5.7130000000000001</v>
      </c>
      <c r="C560" s="13">
        <v>6.16</v>
      </c>
      <c r="D560" s="15">
        <f t="shared" si="56"/>
        <v>2</v>
      </c>
      <c r="E560" s="15">
        <f t="shared" si="57"/>
        <v>0.2</v>
      </c>
      <c r="F560" s="15">
        <f t="shared" si="58"/>
        <v>2</v>
      </c>
      <c r="G560" s="15">
        <f t="shared" si="59"/>
        <v>2.2990000000000004</v>
      </c>
      <c r="H560" s="15">
        <f t="shared" si="60"/>
        <v>0.4</v>
      </c>
      <c r="I560" s="15">
        <f t="shared" si="61"/>
        <v>0</v>
      </c>
      <c r="J560" s="15">
        <f t="shared" si="62"/>
        <v>0</v>
      </c>
      <c r="K560" s="15">
        <f>IF(CurrentMtgRatesDataTable8[[#This Row],[WA CC]]&lt;&gt;0,C559-CurrentMtgRatesDataTable8[[#This Row],[WA CC]],0)</f>
        <v>0</v>
      </c>
      <c r="L560" s="16">
        <f>IF(CurrentMtgRatesDataTable8[[#This Row],[Servicing Spread]]&lt;=0,L559,CurrentMtgRatesDataTable8[[#This Row],[Servicing Spread]])</f>
        <v>0.37640000000000118</v>
      </c>
      <c r="M560" s="16">
        <f>CurrentMtgRatesDataTable8[[#This Row],[Servicing Spread Non-Zero]]-L559</f>
        <v>0</v>
      </c>
      <c r="N560" s="16">
        <f>IF(J559&lt;&gt;0,CurrentMtgRatesDataTable8[[#This Row],[Rate]]-C559,N559)</f>
        <v>4.9999999999998934E-3</v>
      </c>
    </row>
    <row r="561" spans="1:14">
      <c r="A561" s="12" t="s">
        <v>1913</v>
      </c>
      <c r="B561" s="13">
        <v>5.7389999999999999</v>
      </c>
      <c r="C561" s="13">
        <v>6.16</v>
      </c>
      <c r="D561" s="15">
        <f t="shared" si="56"/>
        <v>6</v>
      </c>
      <c r="E561" s="15">
        <f t="shared" si="57"/>
        <v>0.2</v>
      </c>
      <c r="F561" s="15">
        <f t="shared" si="58"/>
        <v>3</v>
      </c>
      <c r="G561" s="15">
        <f t="shared" si="59"/>
        <v>3.4468000000000005</v>
      </c>
      <c r="H561" s="15">
        <f t="shared" si="60"/>
        <v>0.60000000000000009</v>
      </c>
      <c r="I561" s="15">
        <f t="shared" si="61"/>
        <v>0</v>
      </c>
      <c r="J561" s="15">
        <f t="shared" si="62"/>
        <v>0</v>
      </c>
      <c r="K561" s="15">
        <f>IF(CurrentMtgRatesDataTable8[[#This Row],[WA CC]]&lt;&gt;0,C560-CurrentMtgRatesDataTable8[[#This Row],[WA CC]],0)</f>
        <v>0</v>
      </c>
      <c r="L561" s="16">
        <f>IF(CurrentMtgRatesDataTable8[[#This Row],[Servicing Spread]]&lt;=0,L560,CurrentMtgRatesDataTable8[[#This Row],[Servicing Spread]])</f>
        <v>0.37640000000000118</v>
      </c>
      <c r="M561" s="16">
        <f>CurrentMtgRatesDataTable8[[#This Row],[Servicing Spread Non-Zero]]-L560</f>
        <v>0</v>
      </c>
      <c r="N561" s="16">
        <f>IF(J560&lt;&gt;0,CurrentMtgRatesDataTable8[[#This Row],[Rate]]-C560,N560)</f>
        <v>4.9999999999998934E-3</v>
      </c>
    </row>
    <row r="562" spans="1:14">
      <c r="A562" s="12" t="s">
        <v>1914</v>
      </c>
      <c r="B562" s="13">
        <v>5.7039999999999997</v>
      </c>
      <c r="C562" s="13">
        <v>6.16</v>
      </c>
      <c r="D562" s="15">
        <f t="shared" si="56"/>
        <v>7</v>
      </c>
      <c r="E562" s="15">
        <f t="shared" si="57"/>
        <v>0.2</v>
      </c>
      <c r="F562" s="15">
        <f t="shared" si="58"/>
        <v>4</v>
      </c>
      <c r="G562" s="15">
        <f t="shared" si="59"/>
        <v>4.5876000000000001</v>
      </c>
      <c r="H562" s="15">
        <f t="shared" si="60"/>
        <v>0.8</v>
      </c>
      <c r="I562" s="15">
        <f t="shared" si="61"/>
        <v>1</v>
      </c>
      <c r="J562" s="15">
        <f t="shared" si="62"/>
        <v>5.7344999999999997</v>
      </c>
      <c r="K562" s="15">
        <f>IF(CurrentMtgRatesDataTable8[[#This Row],[WA CC]]&lt;&gt;0,C561-CurrentMtgRatesDataTable8[[#This Row],[WA CC]],0)</f>
        <v>0.42550000000000043</v>
      </c>
      <c r="L562" s="16">
        <f>IF(CurrentMtgRatesDataTable8[[#This Row],[Servicing Spread]]&lt;=0,L561,CurrentMtgRatesDataTable8[[#This Row],[Servicing Spread]])</f>
        <v>0.42550000000000043</v>
      </c>
      <c r="M562" s="16">
        <f>CurrentMtgRatesDataTable8[[#This Row],[Servicing Spread Non-Zero]]-L561</f>
        <v>4.9099999999999255E-2</v>
      </c>
      <c r="N562" s="16">
        <f>IF(J561&lt;&gt;0,CurrentMtgRatesDataTable8[[#This Row],[Rate]]-C561,N561)</f>
        <v>4.9999999999998934E-3</v>
      </c>
    </row>
    <row r="563" spans="1:14">
      <c r="A563" s="12" t="s">
        <v>1915</v>
      </c>
      <c r="B563" s="13">
        <v>5.7249999999999996</v>
      </c>
      <c r="C563" s="13">
        <v>6.1400000000000006</v>
      </c>
      <c r="D563" s="15">
        <f t="shared" si="56"/>
        <v>1</v>
      </c>
      <c r="E563" s="15">
        <f t="shared" si="57"/>
        <v>0.2</v>
      </c>
      <c r="F563" s="15">
        <f t="shared" si="58"/>
        <v>1</v>
      </c>
      <c r="G563" s="15">
        <f t="shared" si="59"/>
        <v>1.145</v>
      </c>
      <c r="H563" s="15">
        <f t="shared" si="60"/>
        <v>0.2</v>
      </c>
      <c r="I563" s="15">
        <f t="shared" si="61"/>
        <v>0</v>
      </c>
      <c r="J563" s="15">
        <f t="shared" si="62"/>
        <v>0</v>
      </c>
      <c r="K563" s="15">
        <f>IF(CurrentMtgRatesDataTable8[[#This Row],[WA CC]]&lt;&gt;0,C562-CurrentMtgRatesDataTable8[[#This Row],[WA CC]],0)</f>
        <v>0</v>
      </c>
      <c r="L563" s="16">
        <f>IF(CurrentMtgRatesDataTable8[[#This Row],[Servicing Spread]]&lt;=0,L562,CurrentMtgRatesDataTable8[[#This Row],[Servicing Spread]])</f>
        <v>0.42550000000000043</v>
      </c>
      <c r="M563" s="16">
        <f>CurrentMtgRatesDataTable8[[#This Row],[Servicing Spread Non-Zero]]-L562</f>
        <v>0</v>
      </c>
      <c r="N563" s="16">
        <f>IF(J562&lt;&gt;0,CurrentMtgRatesDataTable8[[#This Row],[Rate]]-C562,N562)</f>
        <v>-1.9999999999999574E-2</v>
      </c>
    </row>
    <row r="564" spans="1:14">
      <c r="A564" s="12" t="s">
        <v>1916</v>
      </c>
      <c r="B564" s="13">
        <v>5.694</v>
      </c>
      <c r="C564" s="13">
        <v>6.1400000000000006</v>
      </c>
      <c r="D564" s="15">
        <f t="shared" si="56"/>
        <v>2</v>
      </c>
      <c r="E564" s="15">
        <f t="shared" si="57"/>
        <v>0.2</v>
      </c>
      <c r="F564" s="15">
        <f t="shared" si="58"/>
        <v>2</v>
      </c>
      <c r="G564" s="15">
        <f t="shared" si="59"/>
        <v>2.2838000000000003</v>
      </c>
      <c r="H564" s="15">
        <f t="shared" si="60"/>
        <v>0.4</v>
      </c>
      <c r="I564" s="15">
        <f t="shared" si="61"/>
        <v>0</v>
      </c>
      <c r="J564" s="15">
        <f t="shared" si="62"/>
        <v>0</v>
      </c>
      <c r="K564" s="15">
        <f>IF(CurrentMtgRatesDataTable8[[#This Row],[WA CC]]&lt;&gt;0,C563-CurrentMtgRatesDataTable8[[#This Row],[WA CC]],0)</f>
        <v>0</v>
      </c>
      <c r="L564" s="16">
        <f>IF(CurrentMtgRatesDataTable8[[#This Row],[Servicing Spread]]&lt;=0,L563,CurrentMtgRatesDataTable8[[#This Row],[Servicing Spread]])</f>
        <v>0.42550000000000043</v>
      </c>
      <c r="M564" s="16">
        <f>CurrentMtgRatesDataTable8[[#This Row],[Servicing Spread Non-Zero]]-L563</f>
        <v>0</v>
      </c>
      <c r="N564" s="16">
        <f>IF(J563&lt;&gt;0,CurrentMtgRatesDataTable8[[#This Row],[Rate]]-C563,N563)</f>
        <v>-1.9999999999999574E-2</v>
      </c>
    </row>
    <row r="565" spans="1:14">
      <c r="A565" s="12" t="s">
        <v>1917</v>
      </c>
      <c r="B565" s="13">
        <v>5.7030000000000003</v>
      </c>
      <c r="C565" s="13">
        <v>6.1400000000000006</v>
      </c>
      <c r="D565" s="15">
        <f t="shared" si="56"/>
        <v>5</v>
      </c>
      <c r="E565" s="15">
        <f t="shared" si="57"/>
        <v>0.2</v>
      </c>
      <c r="F565" s="15">
        <f t="shared" si="58"/>
        <v>3</v>
      </c>
      <c r="G565" s="15">
        <f t="shared" si="59"/>
        <v>3.4244000000000003</v>
      </c>
      <c r="H565" s="15">
        <f t="shared" si="60"/>
        <v>0.60000000000000009</v>
      </c>
      <c r="I565" s="15">
        <f t="shared" si="61"/>
        <v>0</v>
      </c>
      <c r="J565" s="15">
        <f t="shared" si="62"/>
        <v>0</v>
      </c>
      <c r="K565" s="15">
        <f>IF(CurrentMtgRatesDataTable8[[#This Row],[WA CC]]&lt;&gt;0,C564-CurrentMtgRatesDataTable8[[#This Row],[WA CC]],0)</f>
        <v>0</v>
      </c>
      <c r="L565" s="16">
        <f>IF(CurrentMtgRatesDataTable8[[#This Row],[Servicing Spread]]&lt;=0,L564,CurrentMtgRatesDataTable8[[#This Row],[Servicing Spread]])</f>
        <v>0.42550000000000043</v>
      </c>
      <c r="M565" s="16">
        <f>CurrentMtgRatesDataTable8[[#This Row],[Servicing Spread Non-Zero]]-L564</f>
        <v>0</v>
      </c>
      <c r="N565" s="16">
        <f>IF(J564&lt;&gt;0,CurrentMtgRatesDataTable8[[#This Row],[Rate]]-C564,N564)</f>
        <v>-1.9999999999999574E-2</v>
      </c>
    </row>
    <row r="566" spans="1:14">
      <c r="A566" s="12" t="s">
        <v>1918</v>
      </c>
      <c r="B566" s="13">
        <v>5.6639999999999997</v>
      </c>
      <c r="C566" s="13">
        <v>6.1400000000000006</v>
      </c>
      <c r="D566" s="15">
        <f t="shared" si="56"/>
        <v>6</v>
      </c>
      <c r="E566" s="15">
        <f t="shared" si="57"/>
        <v>0.2</v>
      </c>
      <c r="F566" s="15">
        <f t="shared" si="58"/>
        <v>4</v>
      </c>
      <c r="G566" s="15">
        <f t="shared" si="59"/>
        <v>4.5571999999999999</v>
      </c>
      <c r="H566" s="15">
        <f t="shared" si="60"/>
        <v>0.8</v>
      </c>
      <c r="I566" s="15">
        <f t="shared" si="61"/>
        <v>0</v>
      </c>
      <c r="J566" s="15">
        <f t="shared" si="62"/>
        <v>0</v>
      </c>
      <c r="K566" s="15">
        <f>IF(CurrentMtgRatesDataTable8[[#This Row],[WA CC]]&lt;&gt;0,C565-CurrentMtgRatesDataTable8[[#This Row],[WA CC]],0)</f>
        <v>0</v>
      </c>
      <c r="L566" s="16">
        <f>IF(CurrentMtgRatesDataTable8[[#This Row],[Servicing Spread]]&lt;=0,L565,CurrentMtgRatesDataTable8[[#This Row],[Servicing Spread]])</f>
        <v>0.42550000000000043</v>
      </c>
      <c r="M566" s="16">
        <f>CurrentMtgRatesDataTable8[[#This Row],[Servicing Spread Non-Zero]]-L565</f>
        <v>0</v>
      </c>
      <c r="N566" s="16">
        <f>IF(J565&lt;&gt;0,CurrentMtgRatesDataTable8[[#This Row],[Rate]]-C565,N565)</f>
        <v>-1.9999999999999574E-2</v>
      </c>
    </row>
    <row r="567" spans="1:14">
      <c r="A567" s="12" t="s">
        <v>1919</v>
      </c>
      <c r="B567" s="13">
        <v>5.8019999999999996</v>
      </c>
      <c r="C567" s="13">
        <v>6.1400000000000006</v>
      </c>
      <c r="D567" s="15">
        <f t="shared" si="56"/>
        <v>7</v>
      </c>
      <c r="E567" s="15">
        <f t="shared" si="57"/>
        <v>0.2</v>
      </c>
      <c r="F567" s="15">
        <f t="shared" si="58"/>
        <v>5</v>
      </c>
      <c r="G567" s="15">
        <f t="shared" si="59"/>
        <v>5.7176</v>
      </c>
      <c r="H567" s="15">
        <f t="shared" si="60"/>
        <v>1</v>
      </c>
      <c r="I567" s="15">
        <f t="shared" si="61"/>
        <v>1</v>
      </c>
      <c r="J567" s="15">
        <f t="shared" si="62"/>
        <v>5.7176</v>
      </c>
      <c r="K567" s="15">
        <f>IF(CurrentMtgRatesDataTable8[[#This Row],[WA CC]]&lt;&gt;0,C566-CurrentMtgRatesDataTable8[[#This Row],[WA CC]],0)</f>
        <v>0.42240000000000055</v>
      </c>
      <c r="L567" s="16">
        <f>IF(CurrentMtgRatesDataTable8[[#This Row],[Servicing Spread]]&lt;=0,L566,CurrentMtgRatesDataTable8[[#This Row],[Servicing Spread]])</f>
        <v>0.42240000000000055</v>
      </c>
      <c r="M567" s="16">
        <f>CurrentMtgRatesDataTable8[[#This Row],[Servicing Spread Non-Zero]]-L566</f>
        <v>-3.0999999999998806E-3</v>
      </c>
      <c r="N567" s="16">
        <f>IF(J566&lt;&gt;0,CurrentMtgRatesDataTable8[[#This Row],[Rate]]-C566,N566)</f>
        <v>-1.9999999999999574E-2</v>
      </c>
    </row>
    <row r="568" spans="1:14">
      <c r="A568" s="12" t="s">
        <v>1920</v>
      </c>
      <c r="B568" s="13">
        <v>5.8550000000000004</v>
      </c>
      <c r="C568" s="13">
        <v>6.2700000000000005</v>
      </c>
      <c r="D568" s="15">
        <f t="shared" si="56"/>
        <v>1</v>
      </c>
      <c r="E568" s="15">
        <f t="shared" si="57"/>
        <v>0.2</v>
      </c>
      <c r="F568" s="15">
        <f t="shared" si="58"/>
        <v>1</v>
      </c>
      <c r="G568" s="15">
        <f t="shared" si="59"/>
        <v>1.171</v>
      </c>
      <c r="H568" s="15">
        <f t="shared" si="60"/>
        <v>0.2</v>
      </c>
      <c r="I568" s="15">
        <f t="shared" si="61"/>
        <v>0</v>
      </c>
      <c r="J568" s="15">
        <f t="shared" si="62"/>
        <v>0</v>
      </c>
      <c r="K568" s="15">
        <f>IF(CurrentMtgRatesDataTable8[[#This Row],[WA CC]]&lt;&gt;0,C567-CurrentMtgRatesDataTable8[[#This Row],[WA CC]],0)</f>
        <v>0</v>
      </c>
      <c r="L568" s="16">
        <f>IF(CurrentMtgRatesDataTable8[[#This Row],[Servicing Spread]]&lt;=0,L567,CurrentMtgRatesDataTable8[[#This Row],[Servicing Spread]])</f>
        <v>0.42240000000000055</v>
      </c>
      <c r="M568" s="16">
        <f>CurrentMtgRatesDataTable8[[#This Row],[Servicing Spread Non-Zero]]-L567</f>
        <v>0</v>
      </c>
      <c r="N568" s="16">
        <f>IF(J567&lt;&gt;0,CurrentMtgRatesDataTable8[[#This Row],[Rate]]-C567,N567)</f>
        <v>0.12999999999999989</v>
      </c>
    </row>
    <row r="569" spans="1:14">
      <c r="A569" s="12" t="s">
        <v>1921</v>
      </c>
      <c r="B569" s="13">
        <v>5.8860000000000001</v>
      </c>
      <c r="C569" s="13">
        <v>6.2700000000000005</v>
      </c>
      <c r="D569" s="15">
        <f t="shared" si="56"/>
        <v>2</v>
      </c>
      <c r="E569" s="15">
        <f t="shared" si="57"/>
        <v>0.2</v>
      </c>
      <c r="F569" s="15">
        <f t="shared" si="58"/>
        <v>2</v>
      </c>
      <c r="G569" s="15">
        <f t="shared" si="59"/>
        <v>2.3482000000000003</v>
      </c>
      <c r="H569" s="15">
        <f t="shared" si="60"/>
        <v>0.4</v>
      </c>
      <c r="I569" s="15">
        <f t="shared" si="61"/>
        <v>0</v>
      </c>
      <c r="J569" s="15">
        <f t="shared" si="62"/>
        <v>0</v>
      </c>
      <c r="K569" s="15">
        <f>IF(CurrentMtgRatesDataTable8[[#This Row],[WA CC]]&lt;&gt;0,C568-CurrentMtgRatesDataTable8[[#This Row],[WA CC]],0)</f>
        <v>0</v>
      </c>
      <c r="L569" s="16">
        <f>IF(CurrentMtgRatesDataTable8[[#This Row],[Servicing Spread]]&lt;=0,L568,CurrentMtgRatesDataTable8[[#This Row],[Servicing Spread]])</f>
        <v>0.42240000000000055</v>
      </c>
      <c r="M569" s="16">
        <f>CurrentMtgRatesDataTable8[[#This Row],[Servicing Spread Non-Zero]]-L568</f>
        <v>0</v>
      </c>
      <c r="N569" s="16">
        <f>IF(J568&lt;&gt;0,CurrentMtgRatesDataTable8[[#This Row],[Rate]]-C568,N568)</f>
        <v>0.12999999999999989</v>
      </c>
    </row>
    <row r="570" spans="1:14">
      <c r="A570" s="12" t="s">
        <v>1922</v>
      </c>
      <c r="B570" s="13">
        <v>5.944</v>
      </c>
      <c r="C570" s="13">
        <v>6.2700000000000005</v>
      </c>
      <c r="D570" s="15">
        <f t="shared" si="56"/>
        <v>5</v>
      </c>
      <c r="E570" s="15">
        <f t="shared" si="57"/>
        <v>0.2</v>
      </c>
      <c r="F570" s="15">
        <f t="shared" si="58"/>
        <v>3</v>
      </c>
      <c r="G570" s="15">
        <f t="shared" si="59"/>
        <v>3.5370000000000004</v>
      </c>
      <c r="H570" s="15">
        <f t="shared" si="60"/>
        <v>0.60000000000000009</v>
      </c>
      <c r="I570" s="15">
        <f t="shared" si="61"/>
        <v>0</v>
      </c>
      <c r="J570" s="15">
        <f t="shared" si="62"/>
        <v>0</v>
      </c>
      <c r="K570" s="15">
        <f>IF(CurrentMtgRatesDataTable8[[#This Row],[WA CC]]&lt;&gt;0,C569-CurrentMtgRatesDataTable8[[#This Row],[WA CC]],0)</f>
        <v>0</v>
      </c>
      <c r="L570" s="16">
        <f>IF(CurrentMtgRatesDataTable8[[#This Row],[Servicing Spread]]&lt;=0,L569,CurrentMtgRatesDataTable8[[#This Row],[Servicing Spread]])</f>
        <v>0.42240000000000055</v>
      </c>
      <c r="M570" s="16">
        <f>CurrentMtgRatesDataTable8[[#This Row],[Servicing Spread Non-Zero]]-L569</f>
        <v>0</v>
      </c>
      <c r="N570" s="16">
        <f>IF(J569&lt;&gt;0,CurrentMtgRatesDataTable8[[#This Row],[Rate]]-C569,N569)</f>
        <v>0.12999999999999989</v>
      </c>
    </row>
    <row r="571" spans="1:14">
      <c r="A571" s="12" t="s">
        <v>1923</v>
      </c>
      <c r="B571" s="13">
        <v>5.952</v>
      </c>
      <c r="C571" s="13">
        <v>6.2700000000000005</v>
      </c>
      <c r="D571" s="15">
        <f t="shared" si="56"/>
        <v>6</v>
      </c>
      <c r="E571" s="15">
        <f t="shared" si="57"/>
        <v>0.2</v>
      </c>
      <c r="F571" s="15">
        <f t="shared" si="58"/>
        <v>4</v>
      </c>
      <c r="G571" s="15">
        <f t="shared" si="59"/>
        <v>4.7274000000000003</v>
      </c>
      <c r="H571" s="15">
        <f t="shared" si="60"/>
        <v>0.8</v>
      </c>
      <c r="I571" s="15">
        <f t="shared" si="61"/>
        <v>0</v>
      </c>
      <c r="J571" s="15">
        <f t="shared" si="62"/>
        <v>0</v>
      </c>
      <c r="K571" s="15">
        <f>IF(CurrentMtgRatesDataTable8[[#This Row],[WA CC]]&lt;&gt;0,C570-CurrentMtgRatesDataTable8[[#This Row],[WA CC]],0)</f>
        <v>0</v>
      </c>
      <c r="L571" s="16">
        <f>IF(CurrentMtgRatesDataTable8[[#This Row],[Servicing Spread]]&lt;=0,L570,CurrentMtgRatesDataTable8[[#This Row],[Servicing Spread]])</f>
        <v>0.42240000000000055</v>
      </c>
      <c r="M571" s="16">
        <f>CurrentMtgRatesDataTable8[[#This Row],[Servicing Spread Non-Zero]]-L570</f>
        <v>0</v>
      </c>
      <c r="N571" s="16">
        <f>IF(J570&lt;&gt;0,CurrentMtgRatesDataTable8[[#This Row],[Rate]]-C570,N570)</f>
        <v>0.12999999999999989</v>
      </c>
    </row>
    <row r="572" spans="1:14">
      <c r="A572" s="12" t="s">
        <v>1924</v>
      </c>
      <c r="B572" s="13">
        <v>5.9470000000000001</v>
      </c>
      <c r="C572" s="13">
        <v>6.2700000000000005</v>
      </c>
      <c r="D572" s="15">
        <f t="shared" si="56"/>
        <v>7</v>
      </c>
      <c r="E572" s="15">
        <f t="shared" si="57"/>
        <v>0.2</v>
      </c>
      <c r="F572" s="15">
        <f t="shared" si="58"/>
        <v>5</v>
      </c>
      <c r="G572" s="15">
        <f t="shared" si="59"/>
        <v>5.9168000000000003</v>
      </c>
      <c r="H572" s="15">
        <f t="shared" si="60"/>
        <v>1</v>
      </c>
      <c r="I572" s="15">
        <f t="shared" si="61"/>
        <v>1</v>
      </c>
      <c r="J572" s="15">
        <f t="shared" si="62"/>
        <v>5.9168000000000003</v>
      </c>
      <c r="K572" s="15">
        <f>IF(CurrentMtgRatesDataTable8[[#This Row],[WA CC]]&lt;&gt;0,C571-CurrentMtgRatesDataTable8[[#This Row],[WA CC]],0)</f>
        <v>0.35320000000000018</v>
      </c>
      <c r="L572" s="16">
        <f>IF(CurrentMtgRatesDataTable8[[#This Row],[Servicing Spread]]&lt;=0,L571,CurrentMtgRatesDataTable8[[#This Row],[Servicing Spread]])</f>
        <v>0.35320000000000018</v>
      </c>
      <c r="M572" s="16">
        <f>CurrentMtgRatesDataTable8[[#This Row],[Servicing Spread Non-Zero]]-L571</f>
        <v>-6.9200000000000372E-2</v>
      </c>
      <c r="N572" s="16">
        <f>IF(J571&lt;&gt;0,CurrentMtgRatesDataTable8[[#This Row],[Rate]]-C571,N571)</f>
        <v>0.12999999999999989</v>
      </c>
    </row>
    <row r="573" spans="1:14">
      <c r="A573" s="12" t="s">
        <v>1925</v>
      </c>
      <c r="B573" s="13">
        <v>5.9160000000000004</v>
      </c>
      <c r="C573" s="13">
        <v>6.2649999999999997</v>
      </c>
      <c r="D573" s="15">
        <f t="shared" si="56"/>
        <v>1</v>
      </c>
      <c r="E573" s="15">
        <f t="shared" si="57"/>
        <v>0.2</v>
      </c>
      <c r="F573" s="15">
        <f t="shared" si="58"/>
        <v>1</v>
      </c>
      <c r="G573" s="15">
        <f t="shared" si="59"/>
        <v>1.1832</v>
      </c>
      <c r="H573" s="15">
        <f t="shared" si="60"/>
        <v>0.2</v>
      </c>
      <c r="I573" s="15">
        <f t="shared" si="61"/>
        <v>0</v>
      </c>
      <c r="J573" s="15">
        <f t="shared" si="62"/>
        <v>0</v>
      </c>
      <c r="K573" s="15">
        <f>IF(CurrentMtgRatesDataTable8[[#This Row],[WA CC]]&lt;&gt;0,C572-CurrentMtgRatesDataTable8[[#This Row],[WA CC]],0)</f>
        <v>0</v>
      </c>
      <c r="L573" s="16">
        <f>IF(CurrentMtgRatesDataTable8[[#This Row],[Servicing Spread]]&lt;=0,L572,CurrentMtgRatesDataTable8[[#This Row],[Servicing Spread]])</f>
        <v>0.35320000000000018</v>
      </c>
      <c r="M573" s="16">
        <f>CurrentMtgRatesDataTable8[[#This Row],[Servicing Spread Non-Zero]]-L572</f>
        <v>0</v>
      </c>
      <c r="N573" s="16">
        <f>IF(J572&lt;&gt;0,CurrentMtgRatesDataTable8[[#This Row],[Rate]]-C572,N572)</f>
        <v>-5.0000000000007816E-3</v>
      </c>
    </row>
    <row r="574" spans="1:14">
      <c r="A574" s="12" t="s">
        <v>1926</v>
      </c>
      <c r="B574" s="13">
        <v>5.9420000000000002</v>
      </c>
      <c r="C574" s="13">
        <v>6.2649999999999997</v>
      </c>
      <c r="D574" s="15">
        <f t="shared" si="56"/>
        <v>2</v>
      </c>
      <c r="E574" s="15">
        <f t="shared" si="57"/>
        <v>0.2</v>
      </c>
      <c r="F574" s="15">
        <f t="shared" si="58"/>
        <v>2</v>
      </c>
      <c r="G574" s="15">
        <f t="shared" si="59"/>
        <v>2.3715999999999999</v>
      </c>
      <c r="H574" s="15">
        <f t="shared" si="60"/>
        <v>0.4</v>
      </c>
      <c r="I574" s="15">
        <f t="shared" si="61"/>
        <v>0</v>
      </c>
      <c r="J574" s="15">
        <f t="shared" si="62"/>
        <v>0</v>
      </c>
      <c r="K574" s="15">
        <f>IF(CurrentMtgRatesDataTable8[[#This Row],[WA CC]]&lt;&gt;0,C573-CurrentMtgRatesDataTable8[[#This Row],[WA CC]],0)</f>
        <v>0</v>
      </c>
      <c r="L574" s="16">
        <f>IF(CurrentMtgRatesDataTable8[[#This Row],[Servicing Spread]]&lt;=0,L573,CurrentMtgRatesDataTable8[[#This Row],[Servicing Spread]])</f>
        <v>0.35320000000000018</v>
      </c>
      <c r="M574" s="16">
        <f>CurrentMtgRatesDataTable8[[#This Row],[Servicing Spread Non-Zero]]-L573</f>
        <v>0</v>
      </c>
      <c r="N574" s="16">
        <f>IF(J573&lt;&gt;0,CurrentMtgRatesDataTable8[[#This Row],[Rate]]-C573,N573)</f>
        <v>-5.0000000000007816E-3</v>
      </c>
    </row>
    <row r="575" spans="1:14">
      <c r="A575" s="12" t="s">
        <v>1927</v>
      </c>
      <c r="B575" s="13">
        <v>5.9649999999999999</v>
      </c>
      <c r="C575" s="13">
        <v>6.2649999999999997</v>
      </c>
      <c r="D575" s="15">
        <f t="shared" si="56"/>
        <v>5</v>
      </c>
      <c r="E575" s="15">
        <f t="shared" si="57"/>
        <v>0.2</v>
      </c>
      <c r="F575" s="15">
        <f t="shared" si="58"/>
        <v>3</v>
      </c>
      <c r="G575" s="15">
        <f t="shared" si="59"/>
        <v>3.5646</v>
      </c>
      <c r="H575" s="15">
        <f t="shared" si="60"/>
        <v>0.60000000000000009</v>
      </c>
      <c r="I575" s="15">
        <f t="shared" si="61"/>
        <v>0</v>
      </c>
      <c r="J575" s="15">
        <f t="shared" si="62"/>
        <v>0</v>
      </c>
      <c r="K575" s="15">
        <f>IF(CurrentMtgRatesDataTable8[[#This Row],[WA CC]]&lt;&gt;0,C574-CurrentMtgRatesDataTable8[[#This Row],[WA CC]],0)</f>
        <v>0</v>
      </c>
      <c r="L575" s="16">
        <f>IF(CurrentMtgRatesDataTable8[[#This Row],[Servicing Spread]]&lt;=0,L574,CurrentMtgRatesDataTable8[[#This Row],[Servicing Spread]])</f>
        <v>0.35320000000000018</v>
      </c>
      <c r="M575" s="16">
        <f>CurrentMtgRatesDataTable8[[#This Row],[Servicing Spread Non-Zero]]-L574</f>
        <v>0</v>
      </c>
      <c r="N575" s="16">
        <f>IF(J574&lt;&gt;0,CurrentMtgRatesDataTable8[[#This Row],[Rate]]-C574,N574)</f>
        <v>-5.0000000000007816E-3</v>
      </c>
    </row>
    <row r="576" spans="1:14">
      <c r="A576" s="12" t="s">
        <v>1928</v>
      </c>
      <c r="B576" s="13">
        <v>5.8730000000000002</v>
      </c>
      <c r="C576" s="13">
        <v>6.2649999999999997</v>
      </c>
      <c r="D576" s="15">
        <f t="shared" si="56"/>
        <v>6</v>
      </c>
      <c r="E576" s="15">
        <f t="shared" si="57"/>
        <v>0.2</v>
      </c>
      <c r="F576" s="15">
        <f t="shared" si="58"/>
        <v>4</v>
      </c>
      <c r="G576" s="15">
        <f t="shared" si="59"/>
        <v>4.7392000000000003</v>
      </c>
      <c r="H576" s="15">
        <f t="shared" si="60"/>
        <v>0.8</v>
      </c>
      <c r="I576" s="15">
        <f t="shared" si="61"/>
        <v>0</v>
      </c>
      <c r="J576" s="15">
        <f t="shared" si="62"/>
        <v>0</v>
      </c>
      <c r="K576" s="15">
        <f>IF(CurrentMtgRatesDataTable8[[#This Row],[WA CC]]&lt;&gt;0,C575-CurrentMtgRatesDataTable8[[#This Row],[WA CC]],0)</f>
        <v>0</v>
      </c>
      <c r="L576" s="16">
        <f>IF(CurrentMtgRatesDataTable8[[#This Row],[Servicing Spread]]&lt;=0,L575,CurrentMtgRatesDataTable8[[#This Row],[Servicing Spread]])</f>
        <v>0.35320000000000018</v>
      </c>
      <c r="M576" s="16">
        <f>CurrentMtgRatesDataTable8[[#This Row],[Servicing Spread Non-Zero]]-L575</f>
        <v>0</v>
      </c>
      <c r="N576" s="16">
        <f>IF(J575&lt;&gt;0,CurrentMtgRatesDataTable8[[#This Row],[Rate]]-C575,N575)</f>
        <v>-5.0000000000007816E-3</v>
      </c>
    </row>
    <row r="577" spans="1:14">
      <c r="A577" s="12" t="s">
        <v>1929</v>
      </c>
      <c r="B577" s="13">
        <v>5.9080000000000004</v>
      </c>
      <c r="C577" s="13">
        <v>6.2649999999999997</v>
      </c>
      <c r="D577" s="15">
        <f t="shared" si="56"/>
        <v>7</v>
      </c>
      <c r="E577" s="15">
        <f t="shared" si="57"/>
        <v>0.2</v>
      </c>
      <c r="F577" s="15">
        <f t="shared" si="58"/>
        <v>5</v>
      </c>
      <c r="G577" s="15">
        <f t="shared" si="59"/>
        <v>5.9208000000000007</v>
      </c>
      <c r="H577" s="15">
        <f t="shared" si="60"/>
        <v>1</v>
      </c>
      <c r="I577" s="15">
        <f t="shared" si="61"/>
        <v>1</v>
      </c>
      <c r="J577" s="15">
        <f t="shared" si="62"/>
        <v>5.9208000000000007</v>
      </c>
      <c r="K577" s="15">
        <f>IF(CurrentMtgRatesDataTable8[[#This Row],[WA CC]]&lt;&gt;0,C576-CurrentMtgRatesDataTable8[[#This Row],[WA CC]],0)</f>
        <v>0.34419999999999895</v>
      </c>
      <c r="L577" s="16">
        <f>IF(CurrentMtgRatesDataTable8[[#This Row],[Servicing Spread]]&lt;=0,L576,CurrentMtgRatesDataTable8[[#This Row],[Servicing Spread]])</f>
        <v>0.34419999999999895</v>
      </c>
      <c r="M577" s="16">
        <f>CurrentMtgRatesDataTable8[[#This Row],[Servicing Spread Non-Zero]]-L576</f>
        <v>-9.0000000000012292E-3</v>
      </c>
      <c r="N577" s="16">
        <f>IF(J576&lt;&gt;0,CurrentMtgRatesDataTable8[[#This Row],[Rate]]-C576,N576)</f>
        <v>-5.0000000000007816E-3</v>
      </c>
    </row>
    <row r="578" spans="1:14">
      <c r="A578" s="12" t="s">
        <v>1930</v>
      </c>
      <c r="B578" s="13">
        <v>5.8289999999999997</v>
      </c>
      <c r="C578" s="13">
        <v>6.2200000000000006</v>
      </c>
      <c r="D578" s="15">
        <f t="shared" si="56"/>
        <v>1</v>
      </c>
      <c r="E578" s="15">
        <f t="shared" si="57"/>
        <v>0.2</v>
      </c>
      <c r="F578" s="15">
        <f t="shared" si="58"/>
        <v>1</v>
      </c>
      <c r="G578" s="15">
        <f t="shared" si="59"/>
        <v>1.1657999999999999</v>
      </c>
      <c r="H578" s="15">
        <f t="shared" si="60"/>
        <v>0.2</v>
      </c>
      <c r="I578" s="15">
        <f t="shared" si="61"/>
        <v>0</v>
      </c>
      <c r="J578" s="15">
        <f t="shared" si="62"/>
        <v>0</v>
      </c>
      <c r="K578" s="15">
        <f>IF(CurrentMtgRatesDataTable8[[#This Row],[WA CC]]&lt;&gt;0,C577-CurrentMtgRatesDataTable8[[#This Row],[WA CC]],0)</f>
        <v>0</v>
      </c>
      <c r="L578" s="16">
        <f>IF(CurrentMtgRatesDataTable8[[#This Row],[Servicing Spread]]&lt;=0,L577,CurrentMtgRatesDataTable8[[#This Row],[Servicing Spread]])</f>
        <v>0.34419999999999895</v>
      </c>
      <c r="M578" s="16">
        <f>CurrentMtgRatesDataTable8[[#This Row],[Servicing Spread Non-Zero]]-L577</f>
        <v>0</v>
      </c>
      <c r="N578" s="16">
        <f>IF(J577&lt;&gt;0,CurrentMtgRatesDataTable8[[#This Row],[Rate]]-C577,N577)</f>
        <v>-4.4999999999999041E-2</v>
      </c>
    </row>
    <row r="579" spans="1:14">
      <c r="A579" s="12" t="s">
        <v>1931</v>
      </c>
      <c r="B579" s="13">
        <v>5.8570000000000002</v>
      </c>
      <c r="C579" s="13">
        <v>6.2200000000000006</v>
      </c>
      <c r="D579" s="15">
        <f t="shared" si="56"/>
        <v>2</v>
      </c>
      <c r="E579" s="15">
        <f t="shared" si="57"/>
        <v>0.2</v>
      </c>
      <c r="F579" s="15">
        <f t="shared" si="58"/>
        <v>2</v>
      </c>
      <c r="G579" s="15">
        <f t="shared" si="59"/>
        <v>2.3372000000000002</v>
      </c>
      <c r="H579" s="15">
        <f t="shared" si="60"/>
        <v>0.4</v>
      </c>
      <c r="I579" s="15">
        <f t="shared" si="61"/>
        <v>0</v>
      </c>
      <c r="J579" s="15">
        <f t="shared" si="62"/>
        <v>0</v>
      </c>
      <c r="K579" s="15">
        <f>IF(CurrentMtgRatesDataTable8[[#This Row],[WA CC]]&lt;&gt;0,C578-CurrentMtgRatesDataTable8[[#This Row],[WA CC]],0)</f>
        <v>0</v>
      </c>
      <c r="L579" s="16">
        <f>IF(CurrentMtgRatesDataTable8[[#This Row],[Servicing Spread]]&lt;=0,L578,CurrentMtgRatesDataTable8[[#This Row],[Servicing Spread]])</f>
        <v>0.34419999999999895</v>
      </c>
      <c r="M579" s="16">
        <f>CurrentMtgRatesDataTable8[[#This Row],[Servicing Spread Non-Zero]]-L578</f>
        <v>0</v>
      </c>
      <c r="N579" s="16">
        <f>IF(J578&lt;&gt;0,CurrentMtgRatesDataTable8[[#This Row],[Rate]]-C578,N578)</f>
        <v>-4.4999999999999041E-2</v>
      </c>
    </row>
    <row r="580" spans="1:14">
      <c r="A580" s="12" t="s">
        <v>1932</v>
      </c>
      <c r="B580" s="13">
        <v>5.8460000000000001</v>
      </c>
      <c r="C580" s="13">
        <v>6.2200000000000006</v>
      </c>
      <c r="D580" s="15">
        <f t="shared" si="56"/>
        <v>5</v>
      </c>
      <c r="E580" s="15">
        <f t="shared" si="57"/>
        <v>0.2</v>
      </c>
      <c r="F580" s="15">
        <f t="shared" si="58"/>
        <v>3</v>
      </c>
      <c r="G580" s="15">
        <f t="shared" si="59"/>
        <v>3.5064000000000002</v>
      </c>
      <c r="H580" s="15">
        <f t="shared" si="60"/>
        <v>0.60000000000000009</v>
      </c>
      <c r="I580" s="15">
        <f t="shared" si="61"/>
        <v>0</v>
      </c>
      <c r="J580" s="15">
        <f t="shared" si="62"/>
        <v>0</v>
      </c>
      <c r="K580" s="15">
        <f>IF(CurrentMtgRatesDataTable8[[#This Row],[WA CC]]&lt;&gt;0,C579-CurrentMtgRatesDataTable8[[#This Row],[WA CC]],0)</f>
        <v>0</v>
      </c>
      <c r="L580" s="16">
        <f>IF(CurrentMtgRatesDataTable8[[#This Row],[Servicing Spread]]&lt;=0,L579,CurrentMtgRatesDataTable8[[#This Row],[Servicing Spread]])</f>
        <v>0.34419999999999895</v>
      </c>
      <c r="M580" s="16">
        <f>CurrentMtgRatesDataTable8[[#This Row],[Servicing Spread Non-Zero]]-L579</f>
        <v>0</v>
      </c>
      <c r="N580" s="16">
        <f>IF(J579&lt;&gt;0,CurrentMtgRatesDataTable8[[#This Row],[Rate]]-C579,N579)</f>
        <v>-4.4999999999999041E-2</v>
      </c>
    </row>
    <row r="581" spans="1:14">
      <c r="A581" s="12" t="s">
        <v>1933</v>
      </c>
      <c r="B581" s="13">
        <v>5.907</v>
      </c>
      <c r="C581" s="13">
        <v>6.2200000000000006</v>
      </c>
      <c r="D581" s="15">
        <f t="shared" ref="D581:D644" si="63">WEEKDAY(A581,14)</f>
        <v>6</v>
      </c>
      <c r="E581" s="15">
        <f t="shared" ref="E581:E644" si="64">VLOOKUP(D581,Q$5:R$11,2,FALSE)</f>
        <v>0.2</v>
      </c>
      <c r="F581" s="15">
        <f t="shared" ref="F581:F644" si="65">IF(AND(D581&gt;D580,F580&lt;6),F580+1,1)</f>
        <v>4</v>
      </c>
      <c r="G581" s="15">
        <f t="shared" ref="G581:G644" si="66">IF(F581&gt;F580,G580+B581*E581,B581*E581)</f>
        <v>4.6878000000000002</v>
      </c>
      <c r="H581" s="15">
        <f t="shared" ref="H581:H644" si="67">IF(AND(F581&lt;6,F581&gt;F580),E581+H580,E581)</f>
        <v>0.8</v>
      </c>
      <c r="I581" s="15">
        <f t="shared" ref="I581:I644" si="68">IF(F581&gt;F582,1,0)</f>
        <v>0</v>
      </c>
      <c r="J581" s="15">
        <f t="shared" ref="J581:J644" si="69">IF(F581&gt;F582,G581/H581,0)</f>
        <v>0</v>
      </c>
      <c r="K581" s="15">
        <f>IF(CurrentMtgRatesDataTable8[[#This Row],[WA CC]]&lt;&gt;0,C580-CurrentMtgRatesDataTable8[[#This Row],[WA CC]],0)</f>
        <v>0</v>
      </c>
      <c r="L581" s="16">
        <f>IF(CurrentMtgRatesDataTable8[[#This Row],[Servicing Spread]]&lt;=0,L580,CurrentMtgRatesDataTable8[[#This Row],[Servicing Spread]])</f>
        <v>0.34419999999999895</v>
      </c>
      <c r="M581" s="16">
        <f>CurrentMtgRatesDataTable8[[#This Row],[Servicing Spread Non-Zero]]-L580</f>
        <v>0</v>
      </c>
      <c r="N581" s="16">
        <f>IF(J580&lt;&gt;0,CurrentMtgRatesDataTable8[[#This Row],[Rate]]-C580,N580)</f>
        <v>-4.4999999999999041E-2</v>
      </c>
    </row>
    <row r="582" spans="1:14">
      <c r="A582" s="12" t="s">
        <v>1934</v>
      </c>
      <c r="B582" s="13">
        <v>5.899</v>
      </c>
      <c r="C582" s="13">
        <v>6.2200000000000006</v>
      </c>
      <c r="D582" s="15">
        <f t="shared" si="63"/>
        <v>7</v>
      </c>
      <c r="E582" s="15">
        <f t="shared" si="64"/>
        <v>0.2</v>
      </c>
      <c r="F582" s="15">
        <f t="shared" si="65"/>
        <v>5</v>
      </c>
      <c r="G582" s="15">
        <f t="shared" si="66"/>
        <v>5.8676000000000004</v>
      </c>
      <c r="H582" s="15">
        <f t="shared" si="67"/>
        <v>1</v>
      </c>
      <c r="I582" s="15">
        <f t="shared" si="68"/>
        <v>1</v>
      </c>
      <c r="J582" s="15">
        <f t="shared" si="69"/>
        <v>5.8676000000000004</v>
      </c>
      <c r="K582" s="15">
        <f>IF(CurrentMtgRatesDataTable8[[#This Row],[WA CC]]&lt;&gt;0,C581-CurrentMtgRatesDataTable8[[#This Row],[WA CC]],0)</f>
        <v>0.35240000000000027</v>
      </c>
      <c r="L582" s="16">
        <f>IF(CurrentMtgRatesDataTable8[[#This Row],[Servicing Spread]]&lt;=0,L581,CurrentMtgRatesDataTable8[[#This Row],[Servicing Spread]])</f>
        <v>0.35240000000000027</v>
      </c>
      <c r="M582" s="16">
        <f>CurrentMtgRatesDataTable8[[#This Row],[Servicing Spread Non-Zero]]-L581</f>
        <v>8.2000000000013173E-3</v>
      </c>
      <c r="N582" s="16">
        <f>IF(J581&lt;&gt;0,CurrentMtgRatesDataTable8[[#This Row],[Rate]]-C581,N581)</f>
        <v>-4.4999999999999041E-2</v>
      </c>
    </row>
    <row r="583" spans="1:14">
      <c r="A583" s="12" t="s">
        <v>1935</v>
      </c>
      <c r="B583" s="13">
        <v>5.9210000000000003</v>
      </c>
      <c r="C583" s="13">
        <v>6.2249999999999996</v>
      </c>
      <c r="D583" s="15">
        <f t="shared" si="63"/>
        <v>1</v>
      </c>
      <c r="E583" s="15">
        <f t="shared" si="64"/>
        <v>0.2</v>
      </c>
      <c r="F583" s="15">
        <f t="shared" si="65"/>
        <v>1</v>
      </c>
      <c r="G583" s="15">
        <f t="shared" si="66"/>
        <v>1.1842000000000001</v>
      </c>
      <c r="H583" s="15">
        <f t="shared" si="67"/>
        <v>0.2</v>
      </c>
      <c r="I583" s="15">
        <f t="shared" si="68"/>
        <v>0</v>
      </c>
      <c r="J583" s="15">
        <f t="shared" si="69"/>
        <v>0</v>
      </c>
      <c r="K583" s="15">
        <f>IF(CurrentMtgRatesDataTable8[[#This Row],[WA CC]]&lt;&gt;0,C582-CurrentMtgRatesDataTable8[[#This Row],[WA CC]],0)</f>
        <v>0</v>
      </c>
      <c r="L583" s="16">
        <f>IF(CurrentMtgRatesDataTable8[[#This Row],[Servicing Spread]]&lt;=0,L582,CurrentMtgRatesDataTable8[[#This Row],[Servicing Spread]])</f>
        <v>0.35240000000000027</v>
      </c>
      <c r="M583" s="16">
        <f>CurrentMtgRatesDataTable8[[#This Row],[Servicing Spread Non-Zero]]-L582</f>
        <v>0</v>
      </c>
      <c r="N583" s="16">
        <f>IF(J582&lt;&gt;0,CurrentMtgRatesDataTable8[[#This Row],[Rate]]-C582,N582)</f>
        <v>4.9999999999990052E-3</v>
      </c>
    </row>
    <row r="584" spans="1:14">
      <c r="A584" s="12" t="s">
        <v>1936</v>
      </c>
      <c r="B584" s="13">
        <v>5.8609999999999998</v>
      </c>
      <c r="C584" s="13">
        <v>6.2249999999999996</v>
      </c>
      <c r="D584" s="15">
        <f t="shared" si="63"/>
        <v>2</v>
      </c>
      <c r="E584" s="15">
        <f t="shared" si="64"/>
        <v>0.2</v>
      </c>
      <c r="F584" s="15">
        <f t="shared" si="65"/>
        <v>2</v>
      </c>
      <c r="G584" s="15">
        <f t="shared" si="66"/>
        <v>2.3563999999999998</v>
      </c>
      <c r="H584" s="15">
        <f t="shared" si="67"/>
        <v>0.4</v>
      </c>
      <c r="I584" s="15">
        <f t="shared" si="68"/>
        <v>0</v>
      </c>
      <c r="J584" s="15">
        <f t="shared" si="69"/>
        <v>0</v>
      </c>
      <c r="K584" s="15">
        <f>IF(CurrentMtgRatesDataTable8[[#This Row],[WA CC]]&lt;&gt;0,C583-CurrentMtgRatesDataTable8[[#This Row],[WA CC]],0)</f>
        <v>0</v>
      </c>
      <c r="L584" s="16">
        <f>IF(CurrentMtgRatesDataTable8[[#This Row],[Servicing Spread]]&lt;=0,L583,CurrentMtgRatesDataTable8[[#This Row],[Servicing Spread]])</f>
        <v>0.35240000000000027</v>
      </c>
      <c r="M584" s="16">
        <f>CurrentMtgRatesDataTable8[[#This Row],[Servicing Spread Non-Zero]]-L583</f>
        <v>0</v>
      </c>
      <c r="N584" s="16">
        <f>IF(J583&lt;&gt;0,CurrentMtgRatesDataTable8[[#This Row],[Rate]]-C583,N583)</f>
        <v>4.9999999999990052E-3</v>
      </c>
    </row>
    <row r="585" spans="1:14">
      <c r="A585" s="12" t="s">
        <v>1937</v>
      </c>
      <c r="B585" s="13">
        <v>5.8780000000000001</v>
      </c>
      <c r="C585" s="13">
        <v>6.2249999999999996</v>
      </c>
      <c r="D585" s="15">
        <f t="shared" si="63"/>
        <v>5</v>
      </c>
      <c r="E585" s="15">
        <f t="shared" si="64"/>
        <v>0.2</v>
      </c>
      <c r="F585" s="15">
        <f t="shared" si="65"/>
        <v>3</v>
      </c>
      <c r="G585" s="15">
        <f t="shared" si="66"/>
        <v>3.532</v>
      </c>
      <c r="H585" s="15">
        <f t="shared" si="67"/>
        <v>0.60000000000000009</v>
      </c>
      <c r="I585" s="15">
        <f t="shared" si="68"/>
        <v>0</v>
      </c>
      <c r="J585" s="15">
        <f t="shared" si="69"/>
        <v>0</v>
      </c>
      <c r="K585" s="15">
        <f>IF(CurrentMtgRatesDataTable8[[#This Row],[WA CC]]&lt;&gt;0,C584-CurrentMtgRatesDataTable8[[#This Row],[WA CC]],0)</f>
        <v>0</v>
      </c>
      <c r="L585" s="16">
        <f>IF(CurrentMtgRatesDataTable8[[#This Row],[Servicing Spread]]&lt;=0,L584,CurrentMtgRatesDataTable8[[#This Row],[Servicing Spread]])</f>
        <v>0.35240000000000027</v>
      </c>
      <c r="M585" s="16">
        <f>CurrentMtgRatesDataTable8[[#This Row],[Servicing Spread Non-Zero]]-L584</f>
        <v>0</v>
      </c>
      <c r="N585" s="16">
        <f>IF(J584&lt;&gt;0,CurrentMtgRatesDataTable8[[#This Row],[Rate]]-C584,N584)</f>
        <v>4.9999999999990052E-3</v>
      </c>
    </row>
    <row r="586" spans="1:14">
      <c r="A586" s="12" t="s">
        <v>1938</v>
      </c>
      <c r="B586" s="13">
        <v>5.944</v>
      </c>
      <c r="C586" s="13">
        <v>6.2249999999999996</v>
      </c>
      <c r="D586" s="15">
        <f t="shared" si="63"/>
        <v>6</v>
      </c>
      <c r="E586" s="15">
        <f t="shared" si="64"/>
        <v>0.2</v>
      </c>
      <c r="F586" s="15">
        <f t="shared" si="65"/>
        <v>4</v>
      </c>
      <c r="G586" s="15">
        <f t="shared" si="66"/>
        <v>4.7208000000000006</v>
      </c>
      <c r="H586" s="15">
        <f t="shared" si="67"/>
        <v>0.8</v>
      </c>
      <c r="I586" s="15">
        <f t="shared" si="68"/>
        <v>0</v>
      </c>
      <c r="J586" s="15">
        <f t="shared" si="69"/>
        <v>0</v>
      </c>
      <c r="K586" s="15">
        <f>IF(CurrentMtgRatesDataTable8[[#This Row],[WA CC]]&lt;&gt;0,C585-CurrentMtgRatesDataTable8[[#This Row],[WA CC]],0)</f>
        <v>0</v>
      </c>
      <c r="L586" s="16">
        <f>IF(CurrentMtgRatesDataTable8[[#This Row],[Servicing Spread]]&lt;=0,L585,CurrentMtgRatesDataTable8[[#This Row],[Servicing Spread]])</f>
        <v>0.35240000000000027</v>
      </c>
      <c r="M586" s="16">
        <f>CurrentMtgRatesDataTable8[[#This Row],[Servicing Spread Non-Zero]]-L585</f>
        <v>0</v>
      </c>
      <c r="N586" s="16">
        <f>IF(J585&lt;&gt;0,CurrentMtgRatesDataTable8[[#This Row],[Rate]]-C585,N585)</f>
        <v>4.9999999999990052E-3</v>
      </c>
    </row>
    <row r="587" spans="1:14">
      <c r="A587" s="12" t="s">
        <v>1939</v>
      </c>
      <c r="B587" s="13">
        <v>5.976</v>
      </c>
      <c r="C587" s="13">
        <v>6.2249999999999996</v>
      </c>
      <c r="D587" s="15">
        <f t="shared" si="63"/>
        <v>7</v>
      </c>
      <c r="E587" s="15">
        <f t="shared" si="64"/>
        <v>0.2</v>
      </c>
      <c r="F587" s="15">
        <f t="shared" si="65"/>
        <v>5</v>
      </c>
      <c r="G587" s="15">
        <f t="shared" si="66"/>
        <v>5.9160000000000004</v>
      </c>
      <c r="H587" s="15">
        <f t="shared" si="67"/>
        <v>1</v>
      </c>
      <c r="I587" s="15">
        <f t="shared" si="68"/>
        <v>1</v>
      </c>
      <c r="J587" s="15">
        <f t="shared" si="69"/>
        <v>5.9160000000000004</v>
      </c>
      <c r="K587" s="15">
        <f>IF(CurrentMtgRatesDataTable8[[#This Row],[WA CC]]&lt;&gt;0,C586-CurrentMtgRatesDataTable8[[#This Row],[WA CC]],0)</f>
        <v>0.30899999999999928</v>
      </c>
      <c r="L587" s="16">
        <f>IF(CurrentMtgRatesDataTable8[[#This Row],[Servicing Spread]]&lt;=0,L586,CurrentMtgRatesDataTable8[[#This Row],[Servicing Spread]])</f>
        <v>0.30899999999999928</v>
      </c>
      <c r="M587" s="16">
        <f>CurrentMtgRatesDataTable8[[#This Row],[Servicing Spread Non-Zero]]-L586</f>
        <v>-4.3400000000000993E-2</v>
      </c>
      <c r="N587" s="16">
        <f>IF(J586&lt;&gt;0,CurrentMtgRatesDataTable8[[#This Row],[Rate]]-C586,N586)</f>
        <v>4.9999999999990052E-3</v>
      </c>
    </row>
    <row r="588" spans="1:14">
      <c r="A588" s="12" t="s">
        <v>1940</v>
      </c>
      <c r="B588" s="13">
        <v>6.0179999999999998</v>
      </c>
      <c r="C588" s="13">
        <v>6.33</v>
      </c>
      <c r="D588" s="15">
        <f t="shared" si="63"/>
        <v>1</v>
      </c>
      <c r="E588" s="15">
        <f t="shared" si="64"/>
        <v>0.2</v>
      </c>
      <c r="F588" s="15">
        <f t="shared" si="65"/>
        <v>1</v>
      </c>
      <c r="G588" s="15">
        <f t="shared" si="66"/>
        <v>1.2036</v>
      </c>
      <c r="H588" s="15">
        <f t="shared" si="67"/>
        <v>0.2</v>
      </c>
      <c r="I588" s="15">
        <f t="shared" si="68"/>
        <v>0</v>
      </c>
      <c r="J588" s="15">
        <f t="shared" si="69"/>
        <v>0</v>
      </c>
      <c r="K588" s="15">
        <f>IF(CurrentMtgRatesDataTable8[[#This Row],[WA CC]]&lt;&gt;0,C587-CurrentMtgRatesDataTable8[[#This Row],[WA CC]],0)</f>
        <v>0</v>
      </c>
      <c r="L588" s="16">
        <f>IF(CurrentMtgRatesDataTable8[[#This Row],[Servicing Spread]]&lt;=0,L587,CurrentMtgRatesDataTable8[[#This Row],[Servicing Spread]])</f>
        <v>0.30899999999999928</v>
      </c>
      <c r="M588" s="16">
        <f>CurrentMtgRatesDataTable8[[#This Row],[Servicing Spread Non-Zero]]-L587</f>
        <v>0</v>
      </c>
      <c r="N588" s="16">
        <f>IF(J587&lt;&gt;0,CurrentMtgRatesDataTable8[[#This Row],[Rate]]-C587,N587)</f>
        <v>0.10500000000000043</v>
      </c>
    </row>
    <row r="589" spans="1:14">
      <c r="A589" s="12" t="s">
        <v>1941</v>
      </c>
      <c r="B589" s="13">
        <v>6.0140000000000002</v>
      </c>
      <c r="C589" s="13">
        <v>6.33</v>
      </c>
      <c r="D589" s="15">
        <f t="shared" si="63"/>
        <v>2</v>
      </c>
      <c r="E589" s="15">
        <f t="shared" si="64"/>
        <v>0.2</v>
      </c>
      <c r="F589" s="15">
        <f t="shared" si="65"/>
        <v>2</v>
      </c>
      <c r="G589" s="15">
        <f t="shared" si="66"/>
        <v>2.4064000000000001</v>
      </c>
      <c r="H589" s="15">
        <f t="shared" si="67"/>
        <v>0.4</v>
      </c>
      <c r="I589" s="15">
        <f t="shared" si="68"/>
        <v>0</v>
      </c>
      <c r="J589" s="15">
        <f t="shared" si="69"/>
        <v>0</v>
      </c>
      <c r="K589" s="15">
        <f>IF(CurrentMtgRatesDataTable8[[#This Row],[WA CC]]&lt;&gt;0,C588-CurrentMtgRatesDataTable8[[#This Row],[WA CC]],0)</f>
        <v>0</v>
      </c>
      <c r="L589" s="16">
        <f>IF(CurrentMtgRatesDataTable8[[#This Row],[Servicing Spread]]&lt;=0,L588,CurrentMtgRatesDataTable8[[#This Row],[Servicing Spread]])</f>
        <v>0.30899999999999928</v>
      </c>
      <c r="M589" s="16">
        <f>CurrentMtgRatesDataTable8[[#This Row],[Servicing Spread Non-Zero]]-L588</f>
        <v>0</v>
      </c>
      <c r="N589" s="16">
        <f>IF(J588&lt;&gt;0,CurrentMtgRatesDataTable8[[#This Row],[Rate]]-C588,N588)</f>
        <v>0.10500000000000043</v>
      </c>
    </row>
    <row r="590" spans="1:14">
      <c r="A590" s="12" t="s">
        <v>1942</v>
      </c>
      <c r="B590" s="13">
        <v>6.0359999999999996</v>
      </c>
      <c r="C590" s="13">
        <v>6.33</v>
      </c>
      <c r="D590" s="15">
        <f t="shared" si="63"/>
        <v>5</v>
      </c>
      <c r="E590" s="15">
        <f t="shared" si="64"/>
        <v>0.2</v>
      </c>
      <c r="F590" s="15">
        <f t="shared" si="65"/>
        <v>3</v>
      </c>
      <c r="G590" s="15">
        <f t="shared" si="66"/>
        <v>3.6135999999999999</v>
      </c>
      <c r="H590" s="15">
        <f t="shared" si="67"/>
        <v>0.60000000000000009</v>
      </c>
      <c r="I590" s="15">
        <f t="shared" si="68"/>
        <v>0</v>
      </c>
      <c r="J590" s="15">
        <f t="shared" si="69"/>
        <v>0</v>
      </c>
      <c r="K590" s="15">
        <f>IF(CurrentMtgRatesDataTable8[[#This Row],[WA CC]]&lt;&gt;0,C589-CurrentMtgRatesDataTable8[[#This Row],[WA CC]],0)</f>
        <v>0</v>
      </c>
      <c r="L590" s="16">
        <f>IF(CurrentMtgRatesDataTable8[[#This Row],[Servicing Spread]]&lt;=0,L589,CurrentMtgRatesDataTable8[[#This Row],[Servicing Spread]])</f>
        <v>0.30899999999999928</v>
      </c>
      <c r="M590" s="16">
        <f>CurrentMtgRatesDataTable8[[#This Row],[Servicing Spread Non-Zero]]-L589</f>
        <v>0</v>
      </c>
      <c r="N590" s="16">
        <f>IF(J589&lt;&gt;0,CurrentMtgRatesDataTable8[[#This Row],[Rate]]-C589,N589)</f>
        <v>0.10500000000000043</v>
      </c>
    </row>
    <row r="591" spans="1:14">
      <c r="A591" s="12" t="s">
        <v>1943</v>
      </c>
      <c r="B591" s="13">
        <v>6.0309999999999997</v>
      </c>
      <c r="C591" s="13">
        <v>6.33</v>
      </c>
      <c r="D591" s="15">
        <f t="shared" si="63"/>
        <v>6</v>
      </c>
      <c r="E591" s="15">
        <f t="shared" si="64"/>
        <v>0.2</v>
      </c>
      <c r="F591" s="15">
        <f t="shared" si="65"/>
        <v>4</v>
      </c>
      <c r="G591" s="15">
        <f t="shared" si="66"/>
        <v>4.8197999999999999</v>
      </c>
      <c r="H591" s="15">
        <f t="shared" si="67"/>
        <v>0.8</v>
      </c>
      <c r="I591" s="15">
        <f t="shared" si="68"/>
        <v>0</v>
      </c>
      <c r="J591" s="15">
        <f t="shared" si="69"/>
        <v>0</v>
      </c>
      <c r="K591" s="15">
        <f>IF(CurrentMtgRatesDataTable8[[#This Row],[WA CC]]&lt;&gt;0,C590-CurrentMtgRatesDataTable8[[#This Row],[WA CC]],0)</f>
        <v>0</v>
      </c>
      <c r="L591" s="16">
        <f>IF(CurrentMtgRatesDataTable8[[#This Row],[Servicing Spread]]&lt;=0,L590,CurrentMtgRatesDataTable8[[#This Row],[Servicing Spread]])</f>
        <v>0.30899999999999928</v>
      </c>
      <c r="M591" s="16">
        <f>CurrentMtgRatesDataTable8[[#This Row],[Servicing Spread Non-Zero]]-L590</f>
        <v>0</v>
      </c>
      <c r="N591" s="16">
        <f>IF(J590&lt;&gt;0,CurrentMtgRatesDataTable8[[#This Row],[Rate]]-C590,N590)</f>
        <v>0.10500000000000043</v>
      </c>
    </row>
    <row r="592" spans="1:14">
      <c r="A592" s="12" t="s">
        <v>1944</v>
      </c>
      <c r="B592" s="13">
        <v>5.9969999999999999</v>
      </c>
      <c r="C592" s="13">
        <v>6.33</v>
      </c>
      <c r="D592" s="15">
        <f t="shared" si="63"/>
        <v>7</v>
      </c>
      <c r="E592" s="15">
        <f t="shared" si="64"/>
        <v>0.2</v>
      </c>
      <c r="F592" s="15">
        <f t="shared" si="65"/>
        <v>5</v>
      </c>
      <c r="G592" s="15">
        <f t="shared" si="66"/>
        <v>6.0191999999999997</v>
      </c>
      <c r="H592" s="15">
        <f t="shared" si="67"/>
        <v>1</v>
      </c>
      <c r="I592" s="15">
        <f t="shared" si="68"/>
        <v>1</v>
      </c>
      <c r="J592" s="15">
        <f t="shared" si="69"/>
        <v>6.0191999999999997</v>
      </c>
      <c r="K592" s="15">
        <f>IF(CurrentMtgRatesDataTable8[[#This Row],[WA CC]]&lt;&gt;0,C591-CurrentMtgRatesDataTable8[[#This Row],[WA CC]],0)</f>
        <v>0.31080000000000041</v>
      </c>
      <c r="L592" s="16">
        <f>IF(CurrentMtgRatesDataTable8[[#This Row],[Servicing Spread]]&lt;=0,L591,CurrentMtgRatesDataTable8[[#This Row],[Servicing Spread]])</f>
        <v>0.31080000000000041</v>
      </c>
      <c r="M592" s="16">
        <f>CurrentMtgRatesDataTable8[[#This Row],[Servicing Spread Non-Zero]]-L591</f>
        <v>1.800000000001134E-3</v>
      </c>
      <c r="N592" s="16">
        <f>IF(J591&lt;&gt;0,CurrentMtgRatesDataTable8[[#This Row],[Rate]]-C591,N591)</f>
        <v>0.10500000000000043</v>
      </c>
    </row>
    <row r="593" spans="1:14">
      <c r="A593" s="12" t="s">
        <v>1945</v>
      </c>
      <c r="B593" s="13">
        <v>6.0250000000000004</v>
      </c>
      <c r="C593" s="13">
        <v>6.3900000000000006</v>
      </c>
      <c r="D593" s="15">
        <f t="shared" si="63"/>
        <v>1</v>
      </c>
      <c r="E593" s="15">
        <f t="shared" si="64"/>
        <v>0.2</v>
      </c>
      <c r="F593" s="15">
        <f t="shared" si="65"/>
        <v>1</v>
      </c>
      <c r="G593" s="15">
        <f t="shared" si="66"/>
        <v>1.2050000000000001</v>
      </c>
      <c r="H593" s="15">
        <f t="shared" si="67"/>
        <v>0.2</v>
      </c>
      <c r="I593" s="15">
        <f t="shared" si="68"/>
        <v>0</v>
      </c>
      <c r="J593" s="15">
        <f t="shared" si="69"/>
        <v>0</v>
      </c>
      <c r="K593" s="15">
        <f>IF(CurrentMtgRatesDataTable8[[#This Row],[WA CC]]&lt;&gt;0,C592-CurrentMtgRatesDataTable8[[#This Row],[WA CC]],0)</f>
        <v>0</v>
      </c>
      <c r="L593" s="16">
        <f>IF(CurrentMtgRatesDataTable8[[#This Row],[Servicing Spread]]&lt;=0,L592,CurrentMtgRatesDataTable8[[#This Row],[Servicing Spread]])</f>
        <v>0.31080000000000041</v>
      </c>
      <c r="M593" s="16">
        <f>CurrentMtgRatesDataTable8[[#This Row],[Servicing Spread Non-Zero]]-L592</f>
        <v>0</v>
      </c>
      <c r="N593" s="16">
        <f>IF(J592&lt;&gt;0,CurrentMtgRatesDataTable8[[#This Row],[Rate]]-C592,N592)</f>
        <v>6.0000000000000497E-2</v>
      </c>
    </row>
    <row r="594" spans="1:14">
      <c r="A594" s="12" t="s">
        <v>1946</v>
      </c>
      <c r="B594" s="13">
        <v>6.085</v>
      </c>
      <c r="C594" s="13">
        <v>6.3900000000000006</v>
      </c>
      <c r="D594" s="15">
        <f t="shared" si="63"/>
        <v>2</v>
      </c>
      <c r="E594" s="15">
        <f t="shared" si="64"/>
        <v>0.2</v>
      </c>
      <c r="F594" s="15">
        <f t="shared" si="65"/>
        <v>2</v>
      </c>
      <c r="G594" s="15">
        <f t="shared" si="66"/>
        <v>2.4220000000000002</v>
      </c>
      <c r="H594" s="15">
        <f t="shared" si="67"/>
        <v>0.4</v>
      </c>
      <c r="I594" s="15">
        <f t="shared" si="68"/>
        <v>0</v>
      </c>
      <c r="J594" s="15">
        <f t="shared" si="69"/>
        <v>0</v>
      </c>
      <c r="K594" s="15">
        <f>IF(CurrentMtgRatesDataTable8[[#This Row],[WA CC]]&lt;&gt;0,C593-CurrentMtgRatesDataTable8[[#This Row],[WA CC]],0)</f>
        <v>0</v>
      </c>
      <c r="L594" s="16">
        <f>IF(CurrentMtgRatesDataTable8[[#This Row],[Servicing Spread]]&lt;=0,L593,CurrentMtgRatesDataTable8[[#This Row],[Servicing Spread]])</f>
        <v>0.31080000000000041</v>
      </c>
      <c r="M594" s="16">
        <f>CurrentMtgRatesDataTable8[[#This Row],[Servicing Spread Non-Zero]]-L593</f>
        <v>0</v>
      </c>
      <c r="N594" s="16">
        <f>IF(J593&lt;&gt;0,CurrentMtgRatesDataTable8[[#This Row],[Rate]]-C593,N593)</f>
        <v>6.0000000000000497E-2</v>
      </c>
    </row>
    <row r="595" spans="1:14">
      <c r="A595" s="12" t="s">
        <v>1947</v>
      </c>
      <c r="B595" s="13">
        <v>6.0979999999999999</v>
      </c>
      <c r="C595" s="13">
        <v>6.3900000000000006</v>
      </c>
      <c r="D595" s="15">
        <f t="shared" si="63"/>
        <v>5</v>
      </c>
      <c r="E595" s="15">
        <f t="shared" si="64"/>
        <v>0.2</v>
      </c>
      <c r="F595" s="15">
        <f t="shared" si="65"/>
        <v>3</v>
      </c>
      <c r="G595" s="15">
        <f t="shared" si="66"/>
        <v>3.6416000000000004</v>
      </c>
      <c r="H595" s="15">
        <f t="shared" si="67"/>
        <v>0.60000000000000009</v>
      </c>
      <c r="I595" s="15">
        <f t="shared" si="68"/>
        <v>0</v>
      </c>
      <c r="J595" s="15">
        <f t="shared" si="69"/>
        <v>0</v>
      </c>
      <c r="K595" s="15">
        <f>IF(CurrentMtgRatesDataTable8[[#This Row],[WA CC]]&lt;&gt;0,C594-CurrentMtgRatesDataTable8[[#This Row],[WA CC]],0)</f>
        <v>0</v>
      </c>
      <c r="L595" s="16">
        <f>IF(CurrentMtgRatesDataTable8[[#This Row],[Servicing Spread]]&lt;=0,L594,CurrentMtgRatesDataTable8[[#This Row],[Servicing Spread]])</f>
        <v>0.31080000000000041</v>
      </c>
      <c r="M595" s="16">
        <f>CurrentMtgRatesDataTable8[[#This Row],[Servicing Spread Non-Zero]]-L594</f>
        <v>0</v>
      </c>
      <c r="N595" s="16">
        <f>IF(J594&lt;&gt;0,CurrentMtgRatesDataTable8[[#This Row],[Rate]]-C594,N594)</f>
        <v>6.0000000000000497E-2</v>
      </c>
    </row>
    <row r="596" spans="1:14">
      <c r="A596" s="12" t="s">
        <v>1948</v>
      </c>
      <c r="B596" s="13">
        <v>6.069</v>
      </c>
      <c r="C596" s="13">
        <v>6.3900000000000006</v>
      </c>
      <c r="D596" s="15">
        <f t="shared" si="63"/>
        <v>6</v>
      </c>
      <c r="E596" s="15">
        <f t="shared" si="64"/>
        <v>0.2</v>
      </c>
      <c r="F596" s="15">
        <f t="shared" si="65"/>
        <v>4</v>
      </c>
      <c r="G596" s="15">
        <f t="shared" si="66"/>
        <v>4.8554000000000004</v>
      </c>
      <c r="H596" s="15">
        <f t="shared" si="67"/>
        <v>0.8</v>
      </c>
      <c r="I596" s="15">
        <f t="shared" si="68"/>
        <v>0</v>
      </c>
      <c r="J596" s="15">
        <f t="shared" si="69"/>
        <v>0</v>
      </c>
      <c r="K596" s="15">
        <f>IF(CurrentMtgRatesDataTable8[[#This Row],[WA CC]]&lt;&gt;0,C595-CurrentMtgRatesDataTable8[[#This Row],[WA CC]],0)</f>
        <v>0</v>
      </c>
      <c r="L596" s="16">
        <f>IF(CurrentMtgRatesDataTable8[[#This Row],[Servicing Spread]]&lt;=0,L595,CurrentMtgRatesDataTable8[[#This Row],[Servicing Spread]])</f>
        <v>0.31080000000000041</v>
      </c>
      <c r="M596" s="16">
        <f>CurrentMtgRatesDataTable8[[#This Row],[Servicing Spread Non-Zero]]-L595</f>
        <v>0</v>
      </c>
      <c r="N596" s="16">
        <f>IF(J595&lt;&gt;0,CurrentMtgRatesDataTable8[[#This Row],[Rate]]-C595,N595)</f>
        <v>6.0000000000000497E-2</v>
      </c>
    </row>
    <row r="597" spans="1:14">
      <c r="A597" s="12" t="s">
        <v>1949</v>
      </c>
      <c r="B597" s="13">
        <v>6.101</v>
      </c>
      <c r="C597" s="13">
        <v>6.3900000000000006</v>
      </c>
      <c r="D597" s="15">
        <f t="shared" si="63"/>
        <v>7</v>
      </c>
      <c r="E597" s="15">
        <f t="shared" si="64"/>
        <v>0.2</v>
      </c>
      <c r="F597" s="15">
        <f t="shared" si="65"/>
        <v>5</v>
      </c>
      <c r="G597" s="15">
        <f t="shared" si="66"/>
        <v>6.0756000000000006</v>
      </c>
      <c r="H597" s="15">
        <f t="shared" si="67"/>
        <v>1</v>
      </c>
      <c r="I597" s="15">
        <f t="shared" si="68"/>
        <v>1</v>
      </c>
      <c r="J597" s="15">
        <f t="shared" si="69"/>
        <v>6.0756000000000006</v>
      </c>
      <c r="K597" s="15">
        <f>IF(CurrentMtgRatesDataTable8[[#This Row],[WA CC]]&lt;&gt;0,C596-CurrentMtgRatesDataTable8[[#This Row],[WA CC]],0)</f>
        <v>0.31440000000000001</v>
      </c>
      <c r="L597" s="16">
        <f>IF(CurrentMtgRatesDataTable8[[#This Row],[Servicing Spread]]&lt;=0,L596,CurrentMtgRatesDataTable8[[#This Row],[Servicing Spread]])</f>
        <v>0.31440000000000001</v>
      </c>
      <c r="M597" s="16">
        <f>CurrentMtgRatesDataTable8[[#This Row],[Servicing Spread Non-Zero]]-L596</f>
        <v>3.5999999999996035E-3</v>
      </c>
      <c r="N597" s="16">
        <f>IF(J596&lt;&gt;0,CurrentMtgRatesDataTable8[[#This Row],[Rate]]-C596,N596)</f>
        <v>6.0000000000000497E-2</v>
      </c>
    </row>
    <row r="598" spans="1:14">
      <c r="A598" s="12" t="s">
        <v>1950</v>
      </c>
      <c r="B598" s="13">
        <v>6.1420000000000003</v>
      </c>
      <c r="C598" s="13">
        <v>6.4300000000000006</v>
      </c>
      <c r="D598" s="15">
        <f t="shared" si="63"/>
        <v>1</v>
      </c>
      <c r="E598" s="15">
        <f t="shared" si="64"/>
        <v>0.2</v>
      </c>
      <c r="F598" s="15">
        <f t="shared" si="65"/>
        <v>1</v>
      </c>
      <c r="G598" s="15">
        <f t="shared" si="66"/>
        <v>1.2284000000000002</v>
      </c>
      <c r="H598" s="15">
        <f t="shared" si="67"/>
        <v>0.2</v>
      </c>
      <c r="I598" s="15">
        <f t="shared" si="68"/>
        <v>0</v>
      </c>
      <c r="J598" s="15">
        <f t="shared" si="69"/>
        <v>0</v>
      </c>
      <c r="K598" s="15">
        <f>IF(CurrentMtgRatesDataTable8[[#This Row],[WA CC]]&lt;&gt;0,C597-CurrentMtgRatesDataTable8[[#This Row],[WA CC]],0)</f>
        <v>0</v>
      </c>
      <c r="L598" s="16">
        <f>IF(CurrentMtgRatesDataTable8[[#This Row],[Servicing Spread]]&lt;=0,L597,CurrentMtgRatesDataTable8[[#This Row],[Servicing Spread]])</f>
        <v>0.31440000000000001</v>
      </c>
      <c r="M598" s="16">
        <f>CurrentMtgRatesDataTable8[[#This Row],[Servicing Spread Non-Zero]]-L597</f>
        <v>0</v>
      </c>
      <c r="N598" s="16">
        <f>IF(J597&lt;&gt;0,CurrentMtgRatesDataTable8[[#This Row],[Rate]]-C597,N597)</f>
        <v>4.0000000000000036E-2</v>
      </c>
    </row>
    <row r="599" spans="1:14">
      <c r="A599" s="12" t="s">
        <v>1951</v>
      </c>
      <c r="B599" s="13">
        <v>6.1150000000000002</v>
      </c>
      <c r="C599" s="13">
        <v>6.4300000000000006</v>
      </c>
      <c r="D599" s="15">
        <f t="shared" si="63"/>
        <v>5</v>
      </c>
      <c r="E599" s="15">
        <f t="shared" si="64"/>
        <v>0.2</v>
      </c>
      <c r="F599" s="15">
        <f t="shared" si="65"/>
        <v>2</v>
      </c>
      <c r="G599" s="15">
        <f t="shared" si="66"/>
        <v>2.4514000000000005</v>
      </c>
      <c r="H599" s="15">
        <f t="shared" si="67"/>
        <v>0.4</v>
      </c>
      <c r="I599" s="15">
        <f t="shared" si="68"/>
        <v>0</v>
      </c>
      <c r="J599" s="15">
        <f t="shared" si="69"/>
        <v>0</v>
      </c>
      <c r="K599" s="15">
        <f>IF(CurrentMtgRatesDataTable8[[#This Row],[WA CC]]&lt;&gt;0,C598-CurrentMtgRatesDataTable8[[#This Row],[WA CC]],0)</f>
        <v>0</v>
      </c>
      <c r="L599" s="16">
        <f>IF(CurrentMtgRatesDataTable8[[#This Row],[Servicing Spread]]&lt;=0,L598,CurrentMtgRatesDataTable8[[#This Row],[Servicing Spread]])</f>
        <v>0.31440000000000001</v>
      </c>
      <c r="M599" s="16">
        <f>CurrentMtgRatesDataTable8[[#This Row],[Servicing Spread Non-Zero]]-L598</f>
        <v>0</v>
      </c>
      <c r="N599" s="16">
        <f>IF(J598&lt;&gt;0,CurrentMtgRatesDataTable8[[#This Row],[Rate]]-C598,N598)</f>
        <v>4.0000000000000036E-2</v>
      </c>
    </row>
    <row r="600" spans="1:14">
      <c r="A600" s="12" t="s">
        <v>1952</v>
      </c>
      <c r="B600" s="13">
        <v>6.0640000000000001</v>
      </c>
      <c r="C600" s="13">
        <v>6.4300000000000006</v>
      </c>
      <c r="D600" s="15">
        <f t="shared" si="63"/>
        <v>6</v>
      </c>
      <c r="E600" s="15">
        <f t="shared" si="64"/>
        <v>0.2</v>
      </c>
      <c r="F600" s="15">
        <f t="shared" si="65"/>
        <v>3</v>
      </c>
      <c r="G600" s="15">
        <f t="shared" si="66"/>
        <v>3.6642000000000006</v>
      </c>
      <c r="H600" s="15">
        <f t="shared" si="67"/>
        <v>0.60000000000000009</v>
      </c>
      <c r="I600" s="15">
        <f t="shared" si="68"/>
        <v>0</v>
      </c>
      <c r="J600" s="15">
        <f t="shared" si="69"/>
        <v>0</v>
      </c>
      <c r="K600" s="15">
        <f>IF(CurrentMtgRatesDataTable8[[#This Row],[WA CC]]&lt;&gt;0,C599-CurrentMtgRatesDataTable8[[#This Row],[WA CC]],0)</f>
        <v>0</v>
      </c>
      <c r="L600" s="16">
        <f>IF(CurrentMtgRatesDataTable8[[#This Row],[Servicing Spread]]&lt;=0,L599,CurrentMtgRatesDataTable8[[#This Row],[Servicing Spread]])</f>
        <v>0.31440000000000001</v>
      </c>
      <c r="M600" s="16">
        <f>CurrentMtgRatesDataTable8[[#This Row],[Servicing Spread Non-Zero]]-L599</f>
        <v>0</v>
      </c>
      <c r="N600" s="16">
        <f>IF(J599&lt;&gt;0,CurrentMtgRatesDataTable8[[#This Row],[Rate]]-C599,N599)</f>
        <v>4.0000000000000036E-2</v>
      </c>
    </row>
    <row r="601" spans="1:14">
      <c r="A601" s="12" t="s">
        <v>1953</v>
      </c>
      <c r="B601" s="13">
        <v>6.0960000000000001</v>
      </c>
      <c r="C601" s="13">
        <v>6.4300000000000006</v>
      </c>
      <c r="D601" s="15">
        <f t="shared" si="63"/>
        <v>7</v>
      </c>
      <c r="E601" s="15">
        <f t="shared" si="64"/>
        <v>0.2</v>
      </c>
      <c r="F601" s="15">
        <f t="shared" si="65"/>
        <v>4</v>
      </c>
      <c r="G601" s="15">
        <f t="shared" si="66"/>
        <v>4.8834000000000009</v>
      </c>
      <c r="H601" s="15">
        <f t="shared" si="67"/>
        <v>0.8</v>
      </c>
      <c r="I601" s="15">
        <f t="shared" si="68"/>
        <v>1</v>
      </c>
      <c r="J601" s="15">
        <f t="shared" si="69"/>
        <v>6.1042500000000004</v>
      </c>
      <c r="K601" s="15">
        <f>IF(CurrentMtgRatesDataTable8[[#This Row],[WA CC]]&lt;&gt;0,C600-CurrentMtgRatesDataTable8[[#This Row],[WA CC]],0)</f>
        <v>0.32575000000000021</v>
      </c>
      <c r="L601" s="16">
        <f>IF(CurrentMtgRatesDataTable8[[#This Row],[Servicing Spread]]&lt;=0,L600,CurrentMtgRatesDataTable8[[#This Row],[Servicing Spread]])</f>
        <v>0.32575000000000021</v>
      </c>
      <c r="M601" s="16">
        <f>CurrentMtgRatesDataTable8[[#This Row],[Servicing Spread Non-Zero]]-L600</f>
        <v>1.1350000000000193E-2</v>
      </c>
      <c r="N601" s="16">
        <f>IF(J600&lt;&gt;0,CurrentMtgRatesDataTable8[[#This Row],[Rate]]-C600,N600)</f>
        <v>4.0000000000000036E-2</v>
      </c>
    </row>
    <row r="602" spans="1:14">
      <c r="A602" s="12" t="s">
        <v>1954</v>
      </c>
      <c r="B602" s="13">
        <v>6.1109999999999998</v>
      </c>
      <c r="C602" s="13">
        <v>6.4550000000000001</v>
      </c>
      <c r="D602" s="15">
        <f t="shared" si="63"/>
        <v>1</v>
      </c>
      <c r="E602" s="15">
        <f t="shared" si="64"/>
        <v>0.2</v>
      </c>
      <c r="F602" s="15">
        <f t="shared" si="65"/>
        <v>1</v>
      </c>
      <c r="G602" s="15">
        <f t="shared" si="66"/>
        <v>1.2222</v>
      </c>
      <c r="H602" s="15">
        <f t="shared" si="67"/>
        <v>0.2</v>
      </c>
      <c r="I602" s="15">
        <f t="shared" si="68"/>
        <v>0</v>
      </c>
      <c r="J602" s="15">
        <f t="shared" si="69"/>
        <v>0</v>
      </c>
      <c r="K602" s="15">
        <f>IF(CurrentMtgRatesDataTable8[[#This Row],[WA CC]]&lt;&gt;0,C601-CurrentMtgRatesDataTable8[[#This Row],[WA CC]],0)</f>
        <v>0</v>
      </c>
      <c r="L602" s="16">
        <f>IF(CurrentMtgRatesDataTable8[[#This Row],[Servicing Spread]]&lt;=0,L601,CurrentMtgRatesDataTable8[[#This Row],[Servicing Spread]])</f>
        <v>0.32575000000000021</v>
      </c>
      <c r="M602" s="16">
        <f>CurrentMtgRatesDataTable8[[#This Row],[Servicing Spread Non-Zero]]-L601</f>
        <v>0</v>
      </c>
      <c r="N602" s="16">
        <f>IF(J601&lt;&gt;0,CurrentMtgRatesDataTable8[[#This Row],[Rate]]-C601,N601)</f>
        <v>2.4999999999999467E-2</v>
      </c>
    </row>
    <row r="603" spans="1:14">
      <c r="A603" s="12" t="s">
        <v>1955</v>
      </c>
      <c r="B603" s="13">
        <v>6.0890000000000004</v>
      </c>
      <c r="C603" s="13">
        <v>6.4550000000000001</v>
      </c>
      <c r="D603" s="15">
        <f t="shared" si="63"/>
        <v>2</v>
      </c>
      <c r="E603" s="15">
        <f t="shared" si="64"/>
        <v>0.2</v>
      </c>
      <c r="F603" s="15">
        <f t="shared" si="65"/>
        <v>2</v>
      </c>
      <c r="G603" s="15">
        <f t="shared" si="66"/>
        <v>2.4400000000000004</v>
      </c>
      <c r="H603" s="15">
        <f t="shared" si="67"/>
        <v>0.4</v>
      </c>
      <c r="I603" s="15">
        <f t="shared" si="68"/>
        <v>0</v>
      </c>
      <c r="J603" s="15">
        <f t="shared" si="69"/>
        <v>0</v>
      </c>
      <c r="K603" s="15">
        <f>IF(CurrentMtgRatesDataTable8[[#This Row],[WA CC]]&lt;&gt;0,C602-CurrentMtgRatesDataTable8[[#This Row],[WA CC]],0)</f>
        <v>0</v>
      </c>
      <c r="L603" s="16">
        <f>IF(CurrentMtgRatesDataTable8[[#This Row],[Servicing Spread]]&lt;=0,L602,CurrentMtgRatesDataTable8[[#This Row],[Servicing Spread]])</f>
        <v>0.32575000000000021</v>
      </c>
      <c r="M603" s="16">
        <f>CurrentMtgRatesDataTable8[[#This Row],[Servicing Spread Non-Zero]]-L602</f>
        <v>0</v>
      </c>
      <c r="N603" s="16">
        <f>IF(J602&lt;&gt;0,CurrentMtgRatesDataTable8[[#This Row],[Rate]]-C602,N602)</f>
        <v>2.4999999999999467E-2</v>
      </c>
    </row>
    <row r="604" spans="1:14">
      <c r="A604" s="12" t="s">
        <v>1956</v>
      </c>
      <c r="B604" s="13">
        <v>6.07</v>
      </c>
      <c r="C604" s="13">
        <v>6.4550000000000001</v>
      </c>
      <c r="D604" s="15">
        <f t="shared" si="63"/>
        <v>5</v>
      </c>
      <c r="E604" s="15">
        <f t="shared" si="64"/>
        <v>0.2</v>
      </c>
      <c r="F604" s="15">
        <f t="shared" si="65"/>
        <v>3</v>
      </c>
      <c r="G604" s="15">
        <f t="shared" si="66"/>
        <v>3.6540000000000008</v>
      </c>
      <c r="H604" s="15">
        <f t="shared" si="67"/>
        <v>0.60000000000000009</v>
      </c>
      <c r="I604" s="15">
        <f t="shared" si="68"/>
        <v>0</v>
      </c>
      <c r="J604" s="15">
        <f t="shared" si="69"/>
        <v>0</v>
      </c>
      <c r="K604" s="15">
        <f>IF(CurrentMtgRatesDataTable8[[#This Row],[WA CC]]&lt;&gt;0,C603-CurrentMtgRatesDataTable8[[#This Row],[WA CC]],0)</f>
        <v>0</v>
      </c>
      <c r="L604" s="16">
        <f>IF(CurrentMtgRatesDataTable8[[#This Row],[Servicing Spread]]&lt;=0,L603,CurrentMtgRatesDataTable8[[#This Row],[Servicing Spread]])</f>
        <v>0.32575000000000021</v>
      </c>
      <c r="M604" s="16">
        <f>CurrentMtgRatesDataTable8[[#This Row],[Servicing Spread Non-Zero]]-L603</f>
        <v>0</v>
      </c>
      <c r="N604" s="16">
        <f>IF(J603&lt;&gt;0,CurrentMtgRatesDataTable8[[#This Row],[Rate]]-C603,N603)</f>
        <v>2.4999999999999467E-2</v>
      </c>
    </row>
    <row r="605" spans="1:14">
      <c r="A605" s="12" t="s">
        <v>1957</v>
      </c>
      <c r="B605" s="13">
        <v>6.141</v>
      </c>
      <c r="C605" s="13">
        <v>6.4550000000000001</v>
      </c>
      <c r="D605" s="15">
        <f t="shared" si="63"/>
        <v>6</v>
      </c>
      <c r="E605" s="15">
        <f t="shared" si="64"/>
        <v>0.2</v>
      </c>
      <c r="F605" s="15">
        <f t="shared" si="65"/>
        <v>4</v>
      </c>
      <c r="G605" s="15">
        <f t="shared" si="66"/>
        <v>4.882200000000001</v>
      </c>
      <c r="H605" s="15">
        <f t="shared" si="67"/>
        <v>0.8</v>
      </c>
      <c r="I605" s="15">
        <f t="shared" si="68"/>
        <v>0</v>
      </c>
      <c r="J605" s="15">
        <f t="shared" si="69"/>
        <v>0</v>
      </c>
      <c r="K605" s="15">
        <f>IF(CurrentMtgRatesDataTable8[[#This Row],[WA CC]]&lt;&gt;0,C604-CurrentMtgRatesDataTable8[[#This Row],[WA CC]],0)</f>
        <v>0</v>
      </c>
      <c r="L605" s="16">
        <f>IF(CurrentMtgRatesDataTable8[[#This Row],[Servicing Spread]]&lt;=0,L604,CurrentMtgRatesDataTable8[[#This Row],[Servicing Spread]])</f>
        <v>0.32575000000000021</v>
      </c>
      <c r="M605" s="16">
        <f>CurrentMtgRatesDataTable8[[#This Row],[Servicing Spread Non-Zero]]-L604</f>
        <v>0</v>
      </c>
      <c r="N605" s="16">
        <f>IF(J604&lt;&gt;0,CurrentMtgRatesDataTable8[[#This Row],[Rate]]-C604,N604)</f>
        <v>2.4999999999999467E-2</v>
      </c>
    </row>
    <row r="606" spans="1:14">
      <c r="A606" s="12" t="s">
        <v>1958</v>
      </c>
      <c r="B606" s="13">
        <v>6.1769999999999996</v>
      </c>
      <c r="C606" s="13">
        <v>6.4550000000000001</v>
      </c>
      <c r="D606" s="15">
        <f t="shared" si="63"/>
        <v>7</v>
      </c>
      <c r="E606" s="15">
        <f t="shared" si="64"/>
        <v>0.2</v>
      </c>
      <c r="F606" s="15">
        <f t="shared" si="65"/>
        <v>5</v>
      </c>
      <c r="G606" s="15">
        <f t="shared" si="66"/>
        <v>6.1176000000000013</v>
      </c>
      <c r="H606" s="15">
        <f t="shared" si="67"/>
        <v>1</v>
      </c>
      <c r="I606" s="15">
        <f t="shared" si="68"/>
        <v>1</v>
      </c>
      <c r="J606" s="15">
        <f t="shared" si="69"/>
        <v>6.1176000000000013</v>
      </c>
      <c r="K606" s="15">
        <f>IF(CurrentMtgRatesDataTable8[[#This Row],[WA CC]]&lt;&gt;0,C605-CurrentMtgRatesDataTable8[[#This Row],[WA CC]],0)</f>
        <v>0.33739999999999881</v>
      </c>
      <c r="L606" s="16">
        <f>IF(CurrentMtgRatesDataTable8[[#This Row],[Servicing Spread]]&lt;=0,L605,CurrentMtgRatesDataTable8[[#This Row],[Servicing Spread]])</f>
        <v>0.33739999999999881</v>
      </c>
      <c r="M606" s="16">
        <f>CurrentMtgRatesDataTable8[[#This Row],[Servicing Spread Non-Zero]]-L605</f>
        <v>1.1649999999998606E-2</v>
      </c>
      <c r="N606" s="16">
        <f>IF(J605&lt;&gt;0,CurrentMtgRatesDataTable8[[#This Row],[Rate]]-C605,N605)</f>
        <v>2.4999999999999467E-2</v>
      </c>
    </row>
    <row r="607" spans="1:14">
      <c r="A607" s="12" t="s">
        <v>1959</v>
      </c>
      <c r="B607" s="13">
        <v>6.1340000000000003</v>
      </c>
      <c r="C607" s="13">
        <v>6.49</v>
      </c>
      <c r="D607" s="15">
        <f t="shared" si="63"/>
        <v>1</v>
      </c>
      <c r="E607" s="15">
        <f t="shared" si="64"/>
        <v>0.2</v>
      </c>
      <c r="F607" s="15">
        <f t="shared" si="65"/>
        <v>1</v>
      </c>
      <c r="G607" s="15">
        <f t="shared" si="66"/>
        <v>1.2268000000000001</v>
      </c>
      <c r="H607" s="15">
        <f t="shared" si="67"/>
        <v>0.2</v>
      </c>
      <c r="I607" s="15">
        <f t="shared" si="68"/>
        <v>0</v>
      </c>
      <c r="J607" s="15">
        <f t="shared" si="69"/>
        <v>0</v>
      </c>
      <c r="K607" s="15">
        <f>IF(CurrentMtgRatesDataTable8[[#This Row],[WA CC]]&lt;&gt;0,C606-CurrentMtgRatesDataTable8[[#This Row],[WA CC]],0)</f>
        <v>0</v>
      </c>
      <c r="L607" s="16">
        <f>IF(CurrentMtgRatesDataTable8[[#This Row],[Servicing Spread]]&lt;=0,L606,CurrentMtgRatesDataTable8[[#This Row],[Servicing Spread]])</f>
        <v>0.33739999999999881</v>
      </c>
      <c r="M607" s="16">
        <f>CurrentMtgRatesDataTable8[[#This Row],[Servicing Spread Non-Zero]]-L606</f>
        <v>0</v>
      </c>
      <c r="N607" s="16">
        <f>IF(J606&lt;&gt;0,CurrentMtgRatesDataTable8[[#This Row],[Rate]]-C606,N606)</f>
        <v>3.5000000000000142E-2</v>
      </c>
    </row>
    <row r="608" spans="1:14">
      <c r="A608" s="12" t="s">
        <v>1960</v>
      </c>
      <c r="B608" s="13">
        <v>6.101</v>
      </c>
      <c r="C608" s="13">
        <v>6.49</v>
      </c>
      <c r="D608" s="15">
        <f t="shared" si="63"/>
        <v>2</v>
      </c>
      <c r="E608" s="15">
        <f t="shared" si="64"/>
        <v>0.2</v>
      </c>
      <c r="F608" s="15">
        <f t="shared" si="65"/>
        <v>2</v>
      </c>
      <c r="G608" s="15">
        <f t="shared" si="66"/>
        <v>2.4470000000000001</v>
      </c>
      <c r="H608" s="15">
        <f t="shared" si="67"/>
        <v>0.4</v>
      </c>
      <c r="I608" s="15">
        <f t="shared" si="68"/>
        <v>0</v>
      </c>
      <c r="J608" s="15">
        <f t="shared" si="69"/>
        <v>0</v>
      </c>
      <c r="K608" s="15">
        <f>IF(CurrentMtgRatesDataTable8[[#This Row],[WA CC]]&lt;&gt;0,C607-CurrentMtgRatesDataTable8[[#This Row],[WA CC]],0)</f>
        <v>0</v>
      </c>
      <c r="L608" s="16">
        <f>IF(CurrentMtgRatesDataTable8[[#This Row],[Servicing Spread]]&lt;=0,L607,CurrentMtgRatesDataTable8[[#This Row],[Servicing Spread]])</f>
        <v>0.33739999999999881</v>
      </c>
      <c r="M608" s="16">
        <f>CurrentMtgRatesDataTable8[[#This Row],[Servicing Spread Non-Zero]]-L607</f>
        <v>0</v>
      </c>
      <c r="N608" s="16">
        <f>IF(J607&lt;&gt;0,CurrentMtgRatesDataTable8[[#This Row],[Rate]]-C607,N607)</f>
        <v>3.5000000000000142E-2</v>
      </c>
    </row>
    <row r="609" spans="1:14">
      <c r="A609" s="12" t="s">
        <v>1961</v>
      </c>
      <c r="B609" s="13">
        <v>6.1669999999999998</v>
      </c>
      <c r="C609" s="13">
        <v>6.49</v>
      </c>
      <c r="D609" s="15">
        <f t="shared" si="63"/>
        <v>5</v>
      </c>
      <c r="E609" s="15">
        <f t="shared" si="64"/>
        <v>0.2</v>
      </c>
      <c r="F609" s="15">
        <f t="shared" si="65"/>
        <v>3</v>
      </c>
      <c r="G609" s="15">
        <f t="shared" si="66"/>
        <v>3.6804000000000001</v>
      </c>
      <c r="H609" s="15">
        <f t="shared" si="67"/>
        <v>0.60000000000000009</v>
      </c>
      <c r="I609" s="15">
        <f t="shared" si="68"/>
        <v>0</v>
      </c>
      <c r="J609" s="15">
        <f t="shared" si="69"/>
        <v>0</v>
      </c>
      <c r="K609" s="15">
        <f>IF(CurrentMtgRatesDataTable8[[#This Row],[WA CC]]&lt;&gt;0,C608-CurrentMtgRatesDataTable8[[#This Row],[WA CC]],0)</f>
        <v>0</v>
      </c>
      <c r="L609" s="16">
        <f>IF(CurrentMtgRatesDataTable8[[#This Row],[Servicing Spread]]&lt;=0,L608,CurrentMtgRatesDataTable8[[#This Row],[Servicing Spread]])</f>
        <v>0.33739999999999881</v>
      </c>
      <c r="M609" s="16">
        <f>CurrentMtgRatesDataTable8[[#This Row],[Servicing Spread Non-Zero]]-L608</f>
        <v>0</v>
      </c>
      <c r="N609" s="16">
        <f>IF(J608&lt;&gt;0,CurrentMtgRatesDataTable8[[#This Row],[Rate]]-C608,N608)</f>
        <v>3.5000000000000142E-2</v>
      </c>
    </row>
    <row r="610" spans="1:14">
      <c r="A610" s="12" t="s">
        <v>1962</v>
      </c>
      <c r="B610" s="13">
        <v>6.1710000000000003</v>
      </c>
      <c r="C610" s="13">
        <v>6.49</v>
      </c>
      <c r="D610" s="15">
        <f t="shared" si="63"/>
        <v>6</v>
      </c>
      <c r="E610" s="15">
        <f t="shared" si="64"/>
        <v>0.2</v>
      </c>
      <c r="F610" s="15">
        <f t="shared" si="65"/>
        <v>4</v>
      </c>
      <c r="G610" s="15">
        <f t="shared" si="66"/>
        <v>4.9146000000000001</v>
      </c>
      <c r="H610" s="15">
        <f t="shared" si="67"/>
        <v>0.8</v>
      </c>
      <c r="I610" s="15">
        <f t="shared" si="68"/>
        <v>0</v>
      </c>
      <c r="J610" s="15">
        <f t="shared" si="69"/>
        <v>0</v>
      </c>
      <c r="K610" s="15">
        <f>IF(CurrentMtgRatesDataTable8[[#This Row],[WA CC]]&lt;&gt;0,C609-CurrentMtgRatesDataTable8[[#This Row],[WA CC]],0)</f>
        <v>0</v>
      </c>
      <c r="L610" s="16">
        <f>IF(CurrentMtgRatesDataTable8[[#This Row],[Servicing Spread]]&lt;=0,L609,CurrentMtgRatesDataTable8[[#This Row],[Servicing Spread]])</f>
        <v>0.33739999999999881</v>
      </c>
      <c r="M610" s="16">
        <f>CurrentMtgRatesDataTable8[[#This Row],[Servicing Spread Non-Zero]]-L609</f>
        <v>0</v>
      </c>
      <c r="N610" s="16">
        <f>IF(J609&lt;&gt;0,CurrentMtgRatesDataTable8[[#This Row],[Rate]]-C609,N609)</f>
        <v>3.5000000000000142E-2</v>
      </c>
    </row>
    <row r="611" spans="1:14">
      <c r="A611" s="12" t="s">
        <v>1963</v>
      </c>
      <c r="B611" s="13">
        <v>6.2119999999999997</v>
      </c>
      <c r="C611" s="13">
        <v>6.49</v>
      </c>
      <c r="D611" s="15">
        <f t="shared" si="63"/>
        <v>7</v>
      </c>
      <c r="E611" s="15">
        <f t="shared" si="64"/>
        <v>0.2</v>
      </c>
      <c r="F611" s="15">
        <f t="shared" si="65"/>
        <v>5</v>
      </c>
      <c r="G611" s="15">
        <f t="shared" si="66"/>
        <v>6.157</v>
      </c>
      <c r="H611" s="15">
        <f t="shared" si="67"/>
        <v>1</v>
      </c>
      <c r="I611" s="15">
        <f t="shared" si="68"/>
        <v>1</v>
      </c>
      <c r="J611" s="15">
        <f t="shared" si="69"/>
        <v>6.157</v>
      </c>
      <c r="K611" s="15">
        <f>IF(CurrentMtgRatesDataTable8[[#This Row],[WA CC]]&lt;&gt;0,C610-CurrentMtgRatesDataTable8[[#This Row],[WA CC]],0)</f>
        <v>0.33300000000000018</v>
      </c>
      <c r="L611" s="16">
        <f>IF(CurrentMtgRatesDataTable8[[#This Row],[Servicing Spread]]&lt;=0,L610,CurrentMtgRatesDataTable8[[#This Row],[Servicing Spread]])</f>
        <v>0.33300000000000018</v>
      </c>
      <c r="M611" s="16">
        <f>CurrentMtgRatesDataTable8[[#This Row],[Servicing Spread Non-Zero]]-L610</f>
        <v>-4.3999999999986272E-3</v>
      </c>
      <c r="N611" s="16">
        <f>IF(J610&lt;&gt;0,CurrentMtgRatesDataTable8[[#This Row],[Rate]]-C610,N610)</f>
        <v>3.5000000000000142E-2</v>
      </c>
    </row>
    <row r="612" spans="1:14">
      <c r="A612" s="12" t="s">
        <v>1964</v>
      </c>
      <c r="B612" s="13">
        <v>6.2190000000000003</v>
      </c>
      <c r="C612" s="13">
        <v>6.4550000000000001</v>
      </c>
      <c r="D612" s="15">
        <f t="shared" si="63"/>
        <v>1</v>
      </c>
      <c r="E612" s="15">
        <f t="shared" si="64"/>
        <v>0.2</v>
      </c>
      <c r="F612" s="15">
        <f t="shared" si="65"/>
        <v>1</v>
      </c>
      <c r="G612" s="15">
        <f t="shared" si="66"/>
        <v>1.2438000000000002</v>
      </c>
      <c r="H612" s="15">
        <f t="shared" si="67"/>
        <v>0.2</v>
      </c>
      <c r="I612" s="15">
        <f t="shared" si="68"/>
        <v>0</v>
      </c>
      <c r="J612" s="15">
        <f t="shared" si="69"/>
        <v>0</v>
      </c>
      <c r="K612" s="15">
        <f>IF(CurrentMtgRatesDataTable8[[#This Row],[WA CC]]&lt;&gt;0,C611-CurrentMtgRatesDataTable8[[#This Row],[WA CC]],0)</f>
        <v>0</v>
      </c>
      <c r="L612" s="16">
        <f>IF(CurrentMtgRatesDataTable8[[#This Row],[Servicing Spread]]&lt;=0,L611,CurrentMtgRatesDataTable8[[#This Row],[Servicing Spread]])</f>
        <v>0.33300000000000018</v>
      </c>
      <c r="M612" s="16">
        <f>CurrentMtgRatesDataTable8[[#This Row],[Servicing Spread Non-Zero]]-L611</f>
        <v>0</v>
      </c>
      <c r="N612" s="16">
        <f>IF(J611&lt;&gt;0,CurrentMtgRatesDataTable8[[#This Row],[Rate]]-C611,N611)</f>
        <v>-3.5000000000000142E-2</v>
      </c>
    </row>
    <row r="613" spans="1:14">
      <c r="A613" s="12" t="s">
        <v>1965</v>
      </c>
      <c r="B613" s="13">
        <v>6.1710000000000003</v>
      </c>
      <c r="C613" s="13">
        <v>6.4550000000000001</v>
      </c>
      <c r="D613" s="15">
        <f t="shared" si="63"/>
        <v>2</v>
      </c>
      <c r="E613" s="15">
        <f t="shared" si="64"/>
        <v>0.2</v>
      </c>
      <c r="F613" s="15">
        <f t="shared" si="65"/>
        <v>2</v>
      </c>
      <c r="G613" s="15">
        <f t="shared" si="66"/>
        <v>2.4780000000000006</v>
      </c>
      <c r="H613" s="15">
        <f t="shared" si="67"/>
        <v>0.4</v>
      </c>
      <c r="I613" s="15">
        <f t="shared" si="68"/>
        <v>0</v>
      </c>
      <c r="J613" s="15">
        <f t="shared" si="69"/>
        <v>0</v>
      </c>
      <c r="K613" s="15">
        <f>IF(CurrentMtgRatesDataTable8[[#This Row],[WA CC]]&lt;&gt;0,C612-CurrentMtgRatesDataTable8[[#This Row],[WA CC]],0)</f>
        <v>0</v>
      </c>
      <c r="L613" s="16">
        <f>IF(CurrentMtgRatesDataTable8[[#This Row],[Servicing Spread]]&lt;=0,L612,CurrentMtgRatesDataTable8[[#This Row],[Servicing Spread]])</f>
        <v>0.33300000000000018</v>
      </c>
      <c r="M613" s="16">
        <f>CurrentMtgRatesDataTable8[[#This Row],[Servicing Spread Non-Zero]]-L612</f>
        <v>0</v>
      </c>
      <c r="N613" s="16">
        <f>IF(J612&lt;&gt;0,CurrentMtgRatesDataTable8[[#This Row],[Rate]]-C612,N612)</f>
        <v>-3.5000000000000142E-2</v>
      </c>
    </row>
    <row r="614" spans="1:14">
      <c r="A614" s="12" t="s">
        <v>1966</v>
      </c>
      <c r="B614" s="13">
        <v>6.1840000000000002</v>
      </c>
      <c r="C614" s="13">
        <v>6.4550000000000001</v>
      </c>
      <c r="D614" s="15">
        <f t="shared" si="63"/>
        <v>5</v>
      </c>
      <c r="E614" s="15">
        <f t="shared" si="64"/>
        <v>0.2</v>
      </c>
      <c r="F614" s="15">
        <f t="shared" si="65"/>
        <v>3</v>
      </c>
      <c r="G614" s="15">
        <f t="shared" si="66"/>
        <v>3.7148000000000008</v>
      </c>
      <c r="H614" s="15">
        <f t="shared" si="67"/>
        <v>0.60000000000000009</v>
      </c>
      <c r="I614" s="15">
        <f t="shared" si="68"/>
        <v>0</v>
      </c>
      <c r="J614" s="15">
        <f t="shared" si="69"/>
        <v>0</v>
      </c>
      <c r="K614" s="15">
        <f>IF(CurrentMtgRatesDataTable8[[#This Row],[WA CC]]&lt;&gt;0,C613-CurrentMtgRatesDataTable8[[#This Row],[WA CC]],0)</f>
        <v>0</v>
      </c>
      <c r="L614" s="16">
        <f>IF(CurrentMtgRatesDataTable8[[#This Row],[Servicing Spread]]&lt;=0,L613,CurrentMtgRatesDataTable8[[#This Row],[Servicing Spread]])</f>
        <v>0.33300000000000018</v>
      </c>
      <c r="M614" s="16">
        <f>CurrentMtgRatesDataTable8[[#This Row],[Servicing Spread Non-Zero]]-L613</f>
        <v>0</v>
      </c>
      <c r="N614" s="16">
        <f>IF(J613&lt;&gt;0,CurrentMtgRatesDataTable8[[#This Row],[Rate]]-C613,N613)</f>
        <v>-3.5000000000000142E-2</v>
      </c>
    </row>
    <row r="615" spans="1:14">
      <c r="A615" s="12" t="s">
        <v>1967</v>
      </c>
      <c r="B615" s="13">
        <v>6.1959999999999997</v>
      </c>
      <c r="C615" s="13">
        <v>6.4550000000000001</v>
      </c>
      <c r="D615" s="15">
        <f t="shared" si="63"/>
        <v>6</v>
      </c>
      <c r="E615" s="15">
        <f t="shared" si="64"/>
        <v>0.2</v>
      </c>
      <c r="F615" s="15">
        <f t="shared" si="65"/>
        <v>4</v>
      </c>
      <c r="G615" s="15">
        <f t="shared" si="66"/>
        <v>4.9540000000000006</v>
      </c>
      <c r="H615" s="15">
        <f t="shared" si="67"/>
        <v>0.8</v>
      </c>
      <c r="I615" s="15">
        <f t="shared" si="68"/>
        <v>0</v>
      </c>
      <c r="J615" s="15">
        <f t="shared" si="69"/>
        <v>0</v>
      </c>
      <c r="K615" s="15">
        <f>IF(CurrentMtgRatesDataTable8[[#This Row],[WA CC]]&lt;&gt;0,C614-CurrentMtgRatesDataTable8[[#This Row],[WA CC]],0)</f>
        <v>0</v>
      </c>
      <c r="L615" s="16">
        <f>IF(CurrentMtgRatesDataTable8[[#This Row],[Servicing Spread]]&lt;=0,L614,CurrentMtgRatesDataTable8[[#This Row],[Servicing Spread]])</f>
        <v>0.33300000000000018</v>
      </c>
      <c r="M615" s="16">
        <f>CurrentMtgRatesDataTable8[[#This Row],[Servicing Spread Non-Zero]]-L614</f>
        <v>0</v>
      </c>
      <c r="N615" s="16">
        <f>IF(J614&lt;&gt;0,CurrentMtgRatesDataTable8[[#This Row],[Rate]]-C614,N614)</f>
        <v>-3.5000000000000142E-2</v>
      </c>
    </row>
    <row r="616" spans="1:14">
      <c r="A616" s="12" t="s">
        <v>1968</v>
      </c>
      <c r="B616" s="13">
        <v>6.2060000000000004</v>
      </c>
      <c r="C616" s="13">
        <v>6.4550000000000001</v>
      </c>
      <c r="D616" s="15">
        <f t="shared" si="63"/>
        <v>7</v>
      </c>
      <c r="E616" s="15">
        <f t="shared" si="64"/>
        <v>0.2</v>
      </c>
      <c r="F616" s="15">
        <f t="shared" si="65"/>
        <v>5</v>
      </c>
      <c r="G616" s="15">
        <f t="shared" si="66"/>
        <v>6.1952000000000007</v>
      </c>
      <c r="H616" s="15">
        <f t="shared" si="67"/>
        <v>1</v>
      </c>
      <c r="I616" s="15">
        <f t="shared" si="68"/>
        <v>1</v>
      </c>
      <c r="J616" s="15">
        <f t="shared" si="69"/>
        <v>6.1952000000000007</v>
      </c>
      <c r="K616" s="15">
        <f>IF(CurrentMtgRatesDataTable8[[#This Row],[WA CC]]&lt;&gt;0,C615-CurrentMtgRatesDataTable8[[#This Row],[WA CC]],0)</f>
        <v>0.25979999999999936</v>
      </c>
      <c r="L616" s="16">
        <f>IF(CurrentMtgRatesDataTable8[[#This Row],[Servicing Spread]]&lt;=0,L615,CurrentMtgRatesDataTable8[[#This Row],[Servicing Spread]])</f>
        <v>0.25979999999999936</v>
      </c>
      <c r="M616" s="16">
        <f>CurrentMtgRatesDataTable8[[#This Row],[Servicing Spread Non-Zero]]-L615</f>
        <v>-7.320000000000082E-2</v>
      </c>
      <c r="N616" s="16">
        <f>IF(J615&lt;&gt;0,CurrentMtgRatesDataTable8[[#This Row],[Rate]]-C615,N615)</f>
        <v>-3.5000000000000142E-2</v>
      </c>
    </row>
    <row r="617" spans="1:14">
      <c r="A617" s="12" t="s">
        <v>1969</v>
      </c>
      <c r="B617" s="13">
        <v>6.23</v>
      </c>
      <c r="C617" s="13">
        <v>6.4749999999999996</v>
      </c>
      <c r="D617" s="15">
        <f t="shared" si="63"/>
        <v>1</v>
      </c>
      <c r="E617" s="15">
        <f t="shared" si="64"/>
        <v>0.2</v>
      </c>
      <c r="F617" s="15">
        <f t="shared" si="65"/>
        <v>1</v>
      </c>
      <c r="G617" s="15">
        <f t="shared" si="66"/>
        <v>1.2460000000000002</v>
      </c>
      <c r="H617" s="15">
        <f t="shared" si="67"/>
        <v>0.2</v>
      </c>
      <c r="I617" s="15">
        <f t="shared" si="68"/>
        <v>0</v>
      </c>
      <c r="J617" s="15">
        <f t="shared" si="69"/>
        <v>0</v>
      </c>
      <c r="K617" s="15">
        <f>IF(CurrentMtgRatesDataTable8[[#This Row],[WA CC]]&lt;&gt;0,C616-CurrentMtgRatesDataTable8[[#This Row],[WA CC]],0)</f>
        <v>0</v>
      </c>
      <c r="L617" s="16">
        <f>IF(CurrentMtgRatesDataTable8[[#This Row],[Servicing Spread]]&lt;=0,L616,CurrentMtgRatesDataTable8[[#This Row],[Servicing Spread]])</f>
        <v>0.25979999999999936</v>
      </c>
      <c r="M617" s="16">
        <f>CurrentMtgRatesDataTable8[[#This Row],[Servicing Spread Non-Zero]]-L616</f>
        <v>0</v>
      </c>
      <c r="N617" s="16">
        <f>IF(J616&lt;&gt;0,CurrentMtgRatesDataTable8[[#This Row],[Rate]]-C616,N616)</f>
        <v>1.9999999999999574E-2</v>
      </c>
    </row>
    <row r="618" spans="1:14">
      <c r="A618" s="12" t="s">
        <v>1970</v>
      </c>
      <c r="B618" s="13">
        <v>6.2629999999999999</v>
      </c>
      <c r="C618" s="13">
        <v>6.4749999999999996</v>
      </c>
      <c r="D618" s="15">
        <f t="shared" si="63"/>
        <v>2</v>
      </c>
      <c r="E618" s="15">
        <f t="shared" si="64"/>
        <v>0.2</v>
      </c>
      <c r="F618" s="15">
        <f t="shared" si="65"/>
        <v>2</v>
      </c>
      <c r="G618" s="15">
        <f t="shared" si="66"/>
        <v>2.4986000000000006</v>
      </c>
      <c r="H618" s="15">
        <f t="shared" si="67"/>
        <v>0.4</v>
      </c>
      <c r="I618" s="15">
        <f t="shared" si="68"/>
        <v>0</v>
      </c>
      <c r="J618" s="15">
        <f t="shared" si="69"/>
        <v>0</v>
      </c>
      <c r="K618" s="15">
        <f>IF(CurrentMtgRatesDataTable8[[#This Row],[WA CC]]&lt;&gt;0,C617-CurrentMtgRatesDataTable8[[#This Row],[WA CC]],0)</f>
        <v>0</v>
      </c>
      <c r="L618" s="16">
        <f>IF(CurrentMtgRatesDataTable8[[#This Row],[Servicing Spread]]&lt;=0,L617,CurrentMtgRatesDataTable8[[#This Row],[Servicing Spread]])</f>
        <v>0.25979999999999936</v>
      </c>
      <c r="M618" s="16">
        <f>CurrentMtgRatesDataTable8[[#This Row],[Servicing Spread Non-Zero]]-L617</f>
        <v>0</v>
      </c>
      <c r="N618" s="16">
        <f>IF(J617&lt;&gt;0,CurrentMtgRatesDataTable8[[#This Row],[Rate]]-C617,N617)</f>
        <v>1.9999999999999574E-2</v>
      </c>
    </row>
    <row r="619" spans="1:14">
      <c r="A619" s="12" t="s">
        <v>1971</v>
      </c>
      <c r="B619" s="13">
        <v>6.242</v>
      </c>
      <c r="C619" s="13">
        <v>6.4749999999999996</v>
      </c>
      <c r="D619" s="15">
        <f t="shared" si="63"/>
        <v>5</v>
      </c>
      <c r="E619" s="15">
        <f t="shared" si="64"/>
        <v>0.2</v>
      </c>
      <c r="F619" s="15">
        <f t="shared" si="65"/>
        <v>3</v>
      </c>
      <c r="G619" s="15">
        <f t="shared" si="66"/>
        <v>3.7470000000000008</v>
      </c>
      <c r="H619" s="15">
        <f t="shared" si="67"/>
        <v>0.60000000000000009</v>
      </c>
      <c r="I619" s="15">
        <f t="shared" si="68"/>
        <v>0</v>
      </c>
      <c r="J619" s="15">
        <f t="shared" si="69"/>
        <v>0</v>
      </c>
      <c r="K619" s="15">
        <f>IF(CurrentMtgRatesDataTable8[[#This Row],[WA CC]]&lt;&gt;0,C618-CurrentMtgRatesDataTable8[[#This Row],[WA CC]],0)</f>
        <v>0</v>
      </c>
      <c r="L619" s="16">
        <f>IF(CurrentMtgRatesDataTable8[[#This Row],[Servicing Spread]]&lt;=0,L618,CurrentMtgRatesDataTable8[[#This Row],[Servicing Spread]])</f>
        <v>0.25979999999999936</v>
      </c>
      <c r="M619" s="16">
        <f>CurrentMtgRatesDataTable8[[#This Row],[Servicing Spread Non-Zero]]-L618</f>
        <v>0</v>
      </c>
      <c r="N619" s="16">
        <f>IF(J618&lt;&gt;0,CurrentMtgRatesDataTable8[[#This Row],[Rate]]-C618,N618)</f>
        <v>1.9999999999999574E-2</v>
      </c>
    </row>
    <row r="620" spans="1:14">
      <c r="A620" s="12" t="s">
        <v>1972</v>
      </c>
      <c r="B620" s="13">
        <v>6.194</v>
      </c>
      <c r="C620" s="13">
        <v>6.4749999999999996</v>
      </c>
      <c r="D620" s="15">
        <f t="shared" si="63"/>
        <v>6</v>
      </c>
      <c r="E620" s="15">
        <f t="shared" si="64"/>
        <v>0.2</v>
      </c>
      <c r="F620" s="15">
        <f t="shared" si="65"/>
        <v>4</v>
      </c>
      <c r="G620" s="15">
        <f t="shared" si="66"/>
        <v>4.9858000000000011</v>
      </c>
      <c r="H620" s="15">
        <f t="shared" si="67"/>
        <v>0.8</v>
      </c>
      <c r="I620" s="15">
        <f t="shared" si="68"/>
        <v>0</v>
      </c>
      <c r="J620" s="15">
        <f t="shared" si="69"/>
        <v>0</v>
      </c>
      <c r="K620" s="15">
        <f>IF(CurrentMtgRatesDataTable8[[#This Row],[WA CC]]&lt;&gt;0,C619-CurrentMtgRatesDataTable8[[#This Row],[WA CC]],0)</f>
        <v>0</v>
      </c>
      <c r="L620" s="16">
        <f>IF(CurrentMtgRatesDataTable8[[#This Row],[Servicing Spread]]&lt;=0,L619,CurrentMtgRatesDataTable8[[#This Row],[Servicing Spread]])</f>
        <v>0.25979999999999936</v>
      </c>
      <c r="M620" s="16">
        <f>CurrentMtgRatesDataTable8[[#This Row],[Servicing Spread Non-Zero]]-L619</f>
        <v>0</v>
      </c>
      <c r="N620" s="16">
        <f>IF(J619&lt;&gt;0,CurrentMtgRatesDataTable8[[#This Row],[Rate]]-C619,N619)</f>
        <v>1.9999999999999574E-2</v>
      </c>
    </row>
    <row r="621" spans="1:14">
      <c r="A621" s="12" t="s">
        <v>1973</v>
      </c>
      <c r="B621" s="13">
        <v>6.2430000000000003</v>
      </c>
      <c r="C621" s="13">
        <v>6.4749999999999996</v>
      </c>
      <c r="D621" s="15">
        <f t="shared" si="63"/>
        <v>7</v>
      </c>
      <c r="E621" s="15">
        <f t="shared" si="64"/>
        <v>0.2</v>
      </c>
      <c r="F621" s="15">
        <f t="shared" si="65"/>
        <v>5</v>
      </c>
      <c r="G621" s="15">
        <f t="shared" si="66"/>
        <v>6.2344000000000008</v>
      </c>
      <c r="H621" s="15">
        <f t="shared" si="67"/>
        <v>1</v>
      </c>
      <c r="I621" s="15">
        <f t="shared" si="68"/>
        <v>1</v>
      </c>
      <c r="J621" s="15">
        <f t="shared" si="69"/>
        <v>6.2344000000000008</v>
      </c>
      <c r="K621" s="15">
        <f>IF(CurrentMtgRatesDataTable8[[#This Row],[WA CC]]&lt;&gt;0,C620-CurrentMtgRatesDataTable8[[#This Row],[WA CC]],0)</f>
        <v>0.24059999999999881</v>
      </c>
      <c r="L621" s="16">
        <f>IF(CurrentMtgRatesDataTable8[[#This Row],[Servicing Spread]]&lt;=0,L620,CurrentMtgRatesDataTable8[[#This Row],[Servicing Spread]])</f>
        <v>0.24059999999999881</v>
      </c>
      <c r="M621" s="16">
        <f>CurrentMtgRatesDataTable8[[#This Row],[Servicing Spread Non-Zero]]-L620</f>
        <v>-1.920000000000055E-2</v>
      </c>
      <c r="N621" s="16">
        <f>IF(J620&lt;&gt;0,CurrentMtgRatesDataTable8[[#This Row],[Rate]]-C620,N620)</f>
        <v>1.9999999999999574E-2</v>
      </c>
    </row>
    <row r="622" spans="1:14">
      <c r="A622" s="12" t="s">
        <v>1974</v>
      </c>
      <c r="B622" s="13">
        <v>6.1879999999999997</v>
      </c>
      <c r="C622" s="13">
        <v>6.47</v>
      </c>
      <c r="D622" s="15">
        <f t="shared" si="63"/>
        <v>1</v>
      </c>
      <c r="E622" s="15">
        <f t="shared" si="64"/>
        <v>0.2</v>
      </c>
      <c r="F622" s="15">
        <f t="shared" si="65"/>
        <v>1</v>
      </c>
      <c r="G622" s="15">
        <f t="shared" si="66"/>
        <v>1.2376</v>
      </c>
      <c r="H622" s="15">
        <f t="shared" si="67"/>
        <v>0.2</v>
      </c>
      <c r="I622" s="15">
        <f t="shared" si="68"/>
        <v>0</v>
      </c>
      <c r="J622" s="15">
        <f t="shared" si="69"/>
        <v>0</v>
      </c>
      <c r="K622" s="15">
        <f>IF(CurrentMtgRatesDataTable8[[#This Row],[WA CC]]&lt;&gt;0,C621-CurrentMtgRatesDataTable8[[#This Row],[WA CC]],0)</f>
        <v>0</v>
      </c>
      <c r="L622" s="16">
        <f>IF(CurrentMtgRatesDataTable8[[#This Row],[Servicing Spread]]&lt;=0,L621,CurrentMtgRatesDataTable8[[#This Row],[Servicing Spread]])</f>
        <v>0.24059999999999881</v>
      </c>
      <c r="M622" s="16">
        <f>CurrentMtgRatesDataTable8[[#This Row],[Servicing Spread Non-Zero]]-L621</f>
        <v>0</v>
      </c>
      <c r="N622" s="16">
        <f>IF(J621&lt;&gt;0,CurrentMtgRatesDataTable8[[#This Row],[Rate]]-C621,N621)</f>
        <v>-4.9999999999998934E-3</v>
      </c>
    </row>
    <row r="623" spans="1:14">
      <c r="A623" s="12" t="s">
        <v>1975</v>
      </c>
      <c r="B623" s="13">
        <v>6.1989999999999998</v>
      </c>
      <c r="C623" s="13">
        <v>6.47</v>
      </c>
      <c r="D623" s="15">
        <f t="shared" si="63"/>
        <v>2</v>
      </c>
      <c r="E623" s="15">
        <f t="shared" si="64"/>
        <v>0.2</v>
      </c>
      <c r="F623" s="15">
        <f t="shared" si="65"/>
        <v>2</v>
      </c>
      <c r="G623" s="15">
        <f t="shared" si="66"/>
        <v>2.4774000000000003</v>
      </c>
      <c r="H623" s="15">
        <f t="shared" si="67"/>
        <v>0.4</v>
      </c>
      <c r="I623" s="15">
        <f t="shared" si="68"/>
        <v>0</v>
      </c>
      <c r="J623" s="15">
        <f t="shared" si="69"/>
        <v>0</v>
      </c>
      <c r="K623" s="15">
        <f>IF(CurrentMtgRatesDataTable8[[#This Row],[WA CC]]&lt;&gt;0,C622-CurrentMtgRatesDataTable8[[#This Row],[WA CC]],0)</f>
        <v>0</v>
      </c>
      <c r="L623" s="16">
        <f>IF(CurrentMtgRatesDataTable8[[#This Row],[Servicing Spread]]&lt;=0,L622,CurrentMtgRatesDataTable8[[#This Row],[Servicing Spread]])</f>
        <v>0.24059999999999881</v>
      </c>
      <c r="M623" s="16">
        <f>CurrentMtgRatesDataTable8[[#This Row],[Servicing Spread Non-Zero]]-L622</f>
        <v>0</v>
      </c>
      <c r="N623" s="16">
        <f>IF(J622&lt;&gt;0,CurrentMtgRatesDataTable8[[#This Row],[Rate]]-C622,N622)</f>
        <v>-4.9999999999998934E-3</v>
      </c>
    </row>
    <row r="624" spans="1:14">
      <c r="A624" s="12" t="s">
        <v>1976</v>
      </c>
      <c r="B624" s="13">
        <v>6.2039999999999997</v>
      </c>
      <c r="C624" s="13">
        <v>6.47</v>
      </c>
      <c r="D624" s="15">
        <f t="shared" si="63"/>
        <v>5</v>
      </c>
      <c r="E624" s="15">
        <f t="shared" si="64"/>
        <v>0.2</v>
      </c>
      <c r="F624" s="15">
        <f t="shared" si="65"/>
        <v>3</v>
      </c>
      <c r="G624" s="15">
        <f t="shared" si="66"/>
        <v>3.7182000000000004</v>
      </c>
      <c r="H624" s="15">
        <f t="shared" si="67"/>
        <v>0.60000000000000009</v>
      </c>
      <c r="I624" s="15">
        <f t="shared" si="68"/>
        <v>0</v>
      </c>
      <c r="J624" s="15">
        <f t="shared" si="69"/>
        <v>0</v>
      </c>
      <c r="K624" s="15">
        <f>IF(CurrentMtgRatesDataTable8[[#This Row],[WA CC]]&lt;&gt;0,C623-CurrentMtgRatesDataTable8[[#This Row],[WA CC]],0)</f>
        <v>0</v>
      </c>
      <c r="L624" s="16">
        <f>IF(CurrentMtgRatesDataTable8[[#This Row],[Servicing Spread]]&lt;=0,L623,CurrentMtgRatesDataTable8[[#This Row],[Servicing Spread]])</f>
        <v>0.24059999999999881</v>
      </c>
      <c r="M624" s="16">
        <f>CurrentMtgRatesDataTable8[[#This Row],[Servicing Spread Non-Zero]]-L623</f>
        <v>0</v>
      </c>
      <c r="N624" s="16">
        <f>IF(J623&lt;&gt;0,CurrentMtgRatesDataTable8[[#This Row],[Rate]]-C623,N623)</f>
        <v>-4.9999999999998934E-3</v>
      </c>
    </row>
    <row r="625" spans="1:14">
      <c r="A625" s="12" t="s">
        <v>1977</v>
      </c>
      <c r="B625" s="13">
        <v>6.2229999999999999</v>
      </c>
      <c r="C625" s="13">
        <v>6.47</v>
      </c>
      <c r="D625" s="15">
        <f t="shared" si="63"/>
        <v>6</v>
      </c>
      <c r="E625" s="15">
        <f t="shared" si="64"/>
        <v>0.2</v>
      </c>
      <c r="F625" s="15">
        <f t="shared" si="65"/>
        <v>4</v>
      </c>
      <c r="G625" s="15">
        <f t="shared" si="66"/>
        <v>4.9628000000000005</v>
      </c>
      <c r="H625" s="15">
        <f t="shared" si="67"/>
        <v>0.8</v>
      </c>
      <c r="I625" s="15">
        <f t="shared" si="68"/>
        <v>0</v>
      </c>
      <c r="J625" s="15">
        <f t="shared" si="69"/>
        <v>0</v>
      </c>
      <c r="K625" s="15">
        <f>IF(CurrentMtgRatesDataTable8[[#This Row],[WA CC]]&lt;&gt;0,C624-CurrentMtgRatesDataTable8[[#This Row],[WA CC]],0)</f>
        <v>0</v>
      </c>
      <c r="L625" s="16">
        <f>IF(CurrentMtgRatesDataTable8[[#This Row],[Servicing Spread]]&lt;=0,L624,CurrentMtgRatesDataTable8[[#This Row],[Servicing Spread]])</f>
        <v>0.24059999999999881</v>
      </c>
      <c r="M625" s="16">
        <f>CurrentMtgRatesDataTable8[[#This Row],[Servicing Spread Non-Zero]]-L624</f>
        <v>0</v>
      </c>
      <c r="N625" s="16">
        <f>IF(J624&lt;&gt;0,CurrentMtgRatesDataTable8[[#This Row],[Rate]]-C624,N624)</f>
        <v>-4.9999999999998934E-3</v>
      </c>
    </row>
    <row r="626" spans="1:14">
      <c r="A626" s="12" t="s">
        <v>1978</v>
      </c>
      <c r="B626" s="13">
        <v>6.2130000000000001</v>
      </c>
      <c r="C626" s="13">
        <v>6.47</v>
      </c>
      <c r="D626" s="15">
        <f t="shared" si="63"/>
        <v>7</v>
      </c>
      <c r="E626" s="15">
        <f t="shared" si="64"/>
        <v>0.2</v>
      </c>
      <c r="F626" s="15">
        <f t="shared" si="65"/>
        <v>5</v>
      </c>
      <c r="G626" s="15">
        <f t="shared" si="66"/>
        <v>6.2054000000000009</v>
      </c>
      <c r="H626" s="15">
        <f t="shared" si="67"/>
        <v>1</v>
      </c>
      <c r="I626" s="15">
        <f t="shared" si="68"/>
        <v>1</v>
      </c>
      <c r="J626" s="15">
        <f t="shared" si="69"/>
        <v>6.2054000000000009</v>
      </c>
      <c r="K626" s="15">
        <f>IF(CurrentMtgRatesDataTable8[[#This Row],[WA CC]]&lt;&gt;0,C625-CurrentMtgRatesDataTable8[[#This Row],[WA CC]],0)</f>
        <v>0.26459999999999884</v>
      </c>
      <c r="L626" s="16">
        <f>IF(CurrentMtgRatesDataTable8[[#This Row],[Servicing Spread]]&lt;=0,L625,CurrentMtgRatesDataTable8[[#This Row],[Servicing Spread]])</f>
        <v>0.26459999999999884</v>
      </c>
      <c r="M626" s="16">
        <f>CurrentMtgRatesDataTable8[[#This Row],[Servicing Spread Non-Zero]]-L625</f>
        <v>2.4000000000000021E-2</v>
      </c>
      <c r="N626" s="16">
        <f>IF(J625&lt;&gt;0,CurrentMtgRatesDataTable8[[#This Row],[Rate]]-C625,N625)</f>
        <v>-4.9999999999998934E-3</v>
      </c>
    </row>
    <row r="627" spans="1:14">
      <c r="A627" s="12" t="s">
        <v>1979</v>
      </c>
      <c r="B627" s="13">
        <v>6.2329999999999997</v>
      </c>
      <c r="C627" s="13">
        <v>6.52</v>
      </c>
      <c r="D627" s="15">
        <f t="shared" si="63"/>
        <v>1</v>
      </c>
      <c r="E627" s="15">
        <f t="shared" si="64"/>
        <v>0.2</v>
      </c>
      <c r="F627" s="15">
        <f t="shared" si="65"/>
        <v>1</v>
      </c>
      <c r="G627" s="15">
        <f t="shared" si="66"/>
        <v>1.2465999999999999</v>
      </c>
      <c r="H627" s="15">
        <f t="shared" si="67"/>
        <v>0.2</v>
      </c>
      <c r="I627" s="15">
        <f t="shared" si="68"/>
        <v>0</v>
      </c>
      <c r="J627" s="15">
        <f t="shared" si="69"/>
        <v>0</v>
      </c>
      <c r="K627" s="15">
        <f>IF(CurrentMtgRatesDataTable8[[#This Row],[WA CC]]&lt;&gt;0,C626-CurrentMtgRatesDataTable8[[#This Row],[WA CC]],0)</f>
        <v>0</v>
      </c>
      <c r="L627" s="16">
        <f>IF(CurrentMtgRatesDataTable8[[#This Row],[Servicing Spread]]&lt;=0,L626,CurrentMtgRatesDataTable8[[#This Row],[Servicing Spread]])</f>
        <v>0.26459999999999884</v>
      </c>
      <c r="M627" s="16">
        <f>CurrentMtgRatesDataTable8[[#This Row],[Servicing Spread Non-Zero]]-L626</f>
        <v>0</v>
      </c>
      <c r="N627" s="16">
        <f>IF(J626&lt;&gt;0,CurrentMtgRatesDataTable8[[#This Row],[Rate]]-C626,N626)</f>
        <v>4.9999999999999822E-2</v>
      </c>
    </row>
    <row r="628" spans="1:14">
      <c r="A628" s="12" t="s">
        <v>1980</v>
      </c>
      <c r="B628" s="13">
        <v>6.2119999999999997</v>
      </c>
      <c r="C628" s="13">
        <v>6.52</v>
      </c>
      <c r="D628" s="15">
        <f t="shared" si="63"/>
        <v>2</v>
      </c>
      <c r="E628" s="15">
        <f t="shared" si="64"/>
        <v>0.2</v>
      </c>
      <c r="F628" s="15">
        <f t="shared" si="65"/>
        <v>2</v>
      </c>
      <c r="G628" s="15">
        <f t="shared" si="66"/>
        <v>2.4889999999999999</v>
      </c>
      <c r="H628" s="15">
        <f t="shared" si="67"/>
        <v>0.4</v>
      </c>
      <c r="I628" s="15">
        <f t="shared" si="68"/>
        <v>0</v>
      </c>
      <c r="J628" s="15">
        <f t="shared" si="69"/>
        <v>0</v>
      </c>
      <c r="K628" s="15">
        <f>IF(CurrentMtgRatesDataTable8[[#This Row],[WA CC]]&lt;&gt;0,C627-CurrentMtgRatesDataTable8[[#This Row],[WA CC]],0)</f>
        <v>0</v>
      </c>
      <c r="L628" s="16">
        <f>IF(CurrentMtgRatesDataTable8[[#This Row],[Servicing Spread]]&lt;=0,L627,CurrentMtgRatesDataTable8[[#This Row],[Servicing Spread]])</f>
        <v>0.26459999999999884</v>
      </c>
      <c r="M628" s="16">
        <f>CurrentMtgRatesDataTable8[[#This Row],[Servicing Spread Non-Zero]]-L627</f>
        <v>0</v>
      </c>
      <c r="N628" s="16">
        <f>IF(J627&lt;&gt;0,CurrentMtgRatesDataTable8[[#This Row],[Rate]]-C627,N627)</f>
        <v>4.9999999999999822E-2</v>
      </c>
    </row>
    <row r="629" spans="1:14">
      <c r="A629" s="12" t="s">
        <v>1981</v>
      </c>
      <c r="B629" s="13">
        <v>6.2510000000000003</v>
      </c>
      <c r="C629" s="13">
        <v>6.52</v>
      </c>
      <c r="D629" s="15">
        <f t="shared" si="63"/>
        <v>6</v>
      </c>
      <c r="E629" s="15">
        <f t="shared" si="64"/>
        <v>0.2</v>
      </c>
      <c r="F629" s="15">
        <f t="shared" si="65"/>
        <v>3</v>
      </c>
      <c r="G629" s="15">
        <f t="shared" si="66"/>
        <v>3.7392000000000003</v>
      </c>
      <c r="H629" s="15">
        <f t="shared" si="67"/>
        <v>0.60000000000000009</v>
      </c>
      <c r="I629" s="15">
        <f t="shared" si="68"/>
        <v>0</v>
      </c>
      <c r="J629" s="15">
        <f t="shared" si="69"/>
        <v>0</v>
      </c>
      <c r="K629" s="15">
        <f>IF(CurrentMtgRatesDataTable8[[#This Row],[WA CC]]&lt;&gt;0,C628-CurrentMtgRatesDataTable8[[#This Row],[WA CC]],0)</f>
        <v>0</v>
      </c>
      <c r="L629" s="16">
        <f>IF(CurrentMtgRatesDataTable8[[#This Row],[Servicing Spread]]&lt;=0,L628,CurrentMtgRatesDataTable8[[#This Row],[Servicing Spread]])</f>
        <v>0.26459999999999884</v>
      </c>
      <c r="M629" s="16">
        <f>CurrentMtgRatesDataTable8[[#This Row],[Servicing Spread Non-Zero]]-L628</f>
        <v>0</v>
      </c>
      <c r="N629" s="16">
        <f>IF(J628&lt;&gt;0,CurrentMtgRatesDataTable8[[#This Row],[Rate]]-C628,N628)</f>
        <v>4.9999999999999822E-2</v>
      </c>
    </row>
    <row r="630" spans="1:14">
      <c r="A630" s="12" t="s">
        <v>1982</v>
      </c>
      <c r="B630" s="13">
        <v>6.2869999999999999</v>
      </c>
      <c r="C630" s="13">
        <v>6.52</v>
      </c>
      <c r="D630" s="15">
        <f t="shared" si="63"/>
        <v>7</v>
      </c>
      <c r="E630" s="15">
        <f t="shared" si="64"/>
        <v>0.2</v>
      </c>
      <c r="F630" s="15">
        <f t="shared" si="65"/>
        <v>4</v>
      </c>
      <c r="G630" s="15">
        <f t="shared" si="66"/>
        <v>4.9966000000000008</v>
      </c>
      <c r="H630" s="15">
        <f t="shared" si="67"/>
        <v>0.8</v>
      </c>
      <c r="I630" s="15">
        <f t="shared" si="68"/>
        <v>1</v>
      </c>
      <c r="J630" s="15">
        <f t="shared" si="69"/>
        <v>6.245750000000001</v>
      </c>
      <c r="K630" s="15">
        <f>IF(CurrentMtgRatesDataTable8[[#This Row],[WA CC]]&lt;&gt;0,C629-CurrentMtgRatesDataTable8[[#This Row],[WA CC]],0)</f>
        <v>0.27424999999999855</v>
      </c>
      <c r="L630" s="16">
        <f>IF(CurrentMtgRatesDataTable8[[#This Row],[Servicing Spread]]&lt;=0,L629,CurrentMtgRatesDataTable8[[#This Row],[Servicing Spread]])</f>
        <v>0.27424999999999855</v>
      </c>
      <c r="M630" s="16">
        <f>CurrentMtgRatesDataTable8[[#This Row],[Servicing Spread Non-Zero]]-L629</f>
        <v>9.6499999999997144E-3</v>
      </c>
      <c r="N630" s="16">
        <f>IF(J629&lt;&gt;0,CurrentMtgRatesDataTable8[[#This Row],[Rate]]-C629,N629)</f>
        <v>4.9999999999999822E-2</v>
      </c>
    </row>
    <row r="631" spans="1:14">
      <c r="A631" s="12" t="s">
        <v>1983</v>
      </c>
      <c r="B631" s="13">
        <v>6.2830000000000004</v>
      </c>
      <c r="C631" s="13">
        <v>6.4950000000000001</v>
      </c>
      <c r="D631" s="15">
        <f t="shared" si="63"/>
        <v>1</v>
      </c>
      <c r="E631" s="15">
        <f t="shared" si="64"/>
        <v>0.2</v>
      </c>
      <c r="F631" s="15">
        <f t="shared" si="65"/>
        <v>1</v>
      </c>
      <c r="G631" s="15">
        <f t="shared" si="66"/>
        <v>1.2566000000000002</v>
      </c>
      <c r="H631" s="15">
        <f t="shared" si="67"/>
        <v>0.2</v>
      </c>
      <c r="I631" s="15">
        <f t="shared" si="68"/>
        <v>0</v>
      </c>
      <c r="J631" s="15">
        <f t="shared" si="69"/>
        <v>0</v>
      </c>
      <c r="K631" s="15">
        <f>IF(CurrentMtgRatesDataTable8[[#This Row],[WA CC]]&lt;&gt;0,C630-CurrentMtgRatesDataTable8[[#This Row],[WA CC]],0)</f>
        <v>0</v>
      </c>
      <c r="L631" s="16">
        <f>IF(CurrentMtgRatesDataTable8[[#This Row],[Servicing Spread]]&lt;=0,L630,CurrentMtgRatesDataTable8[[#This Row],[Servicing Spread]])</f>
        <v>0.27424999999999855</v>
      </c>
      <c r="M631" s="16">
        <f>CurrentMtgRatesDataTable8[[#This Row],[Servicing Spread Non-Zero]]-L630</f>
        <v>0</v>
      </c>
      <c r="N631" s="16">
        <f>IF(J630&lt;&gt;0,CurrentMtgRatesDataTable8[[#This Row],[Rate]]-C630,N630)</f>
        <v>-2.4999999999999467E-2</v>
      </c>
    </row>
    <row r="632" spans="1:14">
      <c r="A632" s="12" t="s">
        <v>1984</v>
      </c>
      <c r="B632" s="13">
        <v>6.1639999999999997</v>
      </c>
      <c r="C632" s="13">
        <v>6.4950000000000001</v>
      </c>
      <c r="D632" s="15">
        <f t="shared" si="63"/>
        <v>2</v>
      </c>
      <c r="E632" s="15">
        <f t="shared" si="64"/>
        <v>0.2</v>
      </c>
      <c r="F632" s="15">
        <f t="shared" si="65"/>
        <v>2</v>
      </c>
      <c r="G632" s="15">
        <f t="shared" si="66"/>
        <v>2.4894000000000003</v>
      </c>
      <c r="H632" s="15">
        <f t="shared" si="67"/>
        <v>0.4</v>
      </c>
      <c r="I632" s="15">
        <f t="shared" si="68"/>
        <v>0</v>
      </c>
      <c r="J632" s="15">
        <f t="shared" si="69"/>
        <v>0</v>
      </c>
      <c r="K632" s="15">
        <f>IF(CurrentMtgRatesDataTable8[[#This Row],[WA CC]]&lt;&gt;0,C631-CurrentMtgRatesDataTable8[[#This Row],[WA CC]],0)</f>
        <v>0</v>
      </c>
      <c r="L632" s="16">
        <f>IF(CurrentMtgRatesDataTable8[[#This Row],[Servicing Spread]]&lt;=0,L631,CurrentMtgRatesDataTable8[[#This Row],[Servicing Spread]])</f>
        <v>0.27424999999999855</v>
      </c>
      <c r="M632" s="16">
        <f>CurrentMtgRatesDataTable8[[#This Row],[Servicing Spread Non-Zero]]-L631</f>
        <v>0</v>
      </c>
      <c r="N632" s="16">
        <f>IF(J631&lt;&gt;0,CurrentMtgRatesDataTable8[[#This Row],[Rate]]-C631,N631)</f>
        <v>-2.4999999999999467E-2</v>
      </c>
    </row>
    <row r="633" spans="1:14">
      <c r="A633" s="12" t="s">
        <v>1985</v>
      </c>
      <c r="B633" s="13">
        <v>6.1950000000000003</v>
      </c>
      <c r="C633" s="13">
        <v>6.4950000000000001</v>
      </c>
      <c r="D633" s="15">
        <f t="shared" si="63"/>
        <v>5</v>
      </c>
      <c r="E633" s="15">
        <f t="shared" si="64"/>
        <v>0.2</v>
      </c>
      <c r="F633" s="15">
        <f t="shared" si="65"/>
        <v>3</v>
      </c>
      <c r="G633" s="15">
        <f t="shared" si="66"/>
        <v>3.7284000000000006</v>
      </c>
      <c r="H633" s="15">
        <f t="shared" si="67"/>
        <v>0.60000000000000009</v>
      </c>
      <c r="I633" s="15">
        <f t="shared" si="68"/>
        <v>0</v>
      </c>
      <c r="J633" s="15">
        <f t="shared" si="69"/>
        <v>0</v>
      </c>
      <c r="K633" s="15">
        <f>IF(CurrentMtgRatesDataTable8[[#This Row],[WA CC]]&lt;&gt;0,C632-CurrentMtgRatesDataTable8[[#This Row],[WA CC]],0)</f>
        <v>0</v>
      </c>
      <c r="L633" s="16">
        <f>IF(CurrentMtgRatesDataTable8[[#This Row],[Servicing Spread]]&lt;=0,L632,CurrentMtgRatesDataTable8[[#This Row],[Servicing Spread]])</f>
        <v>0.27424999999999855</v>
      </c>
      <c r="M633" s="16">
        <f>CurrentMtgRatesDataTable8[[#This Row],[Servicing Spread Non-Zero]]-L632</f>
        <v>0</v>
      </c>
      <c r="N633" s="16">
        <f>IF(J632&lt;&gt;0,CurrentMtgRatesDataTable8[[#This Row],[Rate]]-C632,N632)</f>
        <v>-2.4999999999999467E-2</v>
      </c>
    </row>
    <row r="634" spans="1:14">
      <c r="A634" s="12" t="s">
        <v>1986</v>
      </c>
      <c r="B634" s="13">
        <v>6.1859999999999999</v>
      </c>
      <c r="C634" s="13">
        <v>6.4950000000000001</v>
      </c>
      <c r="D634" s="15">
        <f t="shared" si="63"/>
        <v>6</v>
      </c>
      <c r="E634" s="15">
        <f t="shared" si="64"/>
        <v>0.2</v>
      </c>
      <c r="F634" s="15">
        <f t="shared" si="65"/>
        <v>4</v>
      </c>
      <c r="G634" s="15">
        <f t="shared" si="66"/>
        <v>4.9656000000000002</v>
      </c>
      <c r="H634" s="15">
        <f t="shared" si="67"/>
        <v>0.8</v>
      </c>
      <c r="I634" s="15">
        <f t="shared" si="68"/>
        <v>0</v>
      </c>
      <c r="J634" s="15">
        <f t="shared" si="69"/>
        <v>0</v>
      </c>
      <c r="K634" s="15">
        <f>IF(CurrentMtgRatesDataTable8[[#This Row],[WA CC]]&lt;&gt;0,C633-CurrentMtgRatesDataTable8[[#This Row],[WA CC]],0)</f>
        <v>0</v>
      </c>
      <c r="L634" s="16">
        <f>IF(CurrentMtgRatesDataTable8[[#This Row],[Servicing Spread]]&lt;=0,L633,CurrentMtgRatesDataTable8[[#This Row],[Servicing Spread]])</f>
        <v>0.27424999999999855</v>
      </c>
      <c r="M634" s="16">
        <f>CurrentMtgRatesDataTable8[[#This Row],[Servicing Spread Non-Zero]]-L633</f>
        <v>0</v>
      </c>
      <c r="N634" s="16">
        <f>IF(J633&lt;&gt;0,CurrentMtgRatesDataTable8[[#This Row],[Rate]]-C633,N633)</f>
        <v>-2.4999999999999467E-2</v>
      </c>
    </row>
    <row r="635" spans="1:14">
      <c r="A635" s="12" t="s">
        <v>1987</v>
      </c>
      <c r="B635" s="13">
        <v>6.2119999999999997</v>
      </c>
      <c r="C635" s="13">
        <v>6.4950000000000001</v>
      </c>
      <c r="D635" s="15">
        <f t="shared" si="63"/>
        <v>7</v>
      </c>
      <c r="E635" s="15">
        <f t="shared" si="64"/>
        <v>0.2</v>
      </c>
      <c r="F635" s="15">
        <f t="shared" si="65"/>
        <v>5</v>
      </c>
      <c r="G635" s="15">
        <f t="shared" si="66"/>
        <v>6.2080000000000002</v>
      </c>
      <c r="H635" s="15">
        <f t="shared" si="67"/>
        <v>1</v>
      </c>
      <c r="I635" s="15">
        <f t="shared" si="68"/>
        <v>1</v>
      </c>
      <c r="J635" s="15">
        <f t="shared" si="69"/>
        <v>6.2080000000000002</v>
      </c>
      <c r="K635" s="15">
        <f>IF(CurrentMtgRatesDataTable8[[#This Row],[WA CC]]&lt;&gt;0,C634-CurrentMtgRatesDataTable8[[#This Row],[WA CC]],0)</f>
        <v>0.28699999999999992</v>
      </c>
      <c r="L635" s="16">
        <f>IF(CurrentMtgRatesDataTable8[[#This Row],[Servicing Spread]]&lt;=0,L634,CurrentMtgRatesDataTable8[[#This Row],[Servicing Spread]])</f>
        <v>0.28699999999999992</v>
      </c>
      <c r="M635" s="16">
        <f>CurrentMtgRatesDataTable8[[#This Row],[Servicing Spread Non-Zero]]-L634</f>
        <v>1.2750000000001371E-2</v>
      </c>
      <c r="N635" s="16">
        <f>IF(J634&lt;&gt;0,CurrentMtgRatesDataTable8[[#This Row],[Rate]]-C634,N634)</f>
        <v>-2.4999999999999467E-2</v>
      </c>
    </row>
    <row r="636" spans="1:14">
      <c r="A636" s="12" t="s">
        <v>1988</v>
      </c>
      <c r="B636" s="13">
        <v>6.1879999999999997</v>
      </c>
      <c r="C636" s="13">
        <v>6.5049999999999999</v>
      </c>
      <c r="D636" s="15">
        <f t="shared" si="63"/>
        <v>1</v>
      </c>
      <c r="E636" s="15">
        <f t="shared" si="64"/>
        <v>0.2</v>
      </c>
      <c r="F636" s="15">
        <f t="shared" si="65"/>
        <v>1</v>
      </c>
      <c r="G636" s="15">
        <f t="shared" si="66"/>
        <v>1.2376</v>
      </c>
      <c r="H636" s="15">
        <f t="shared" si="67"/>
        <v>0.2</v>
      </c>
      <c r="I636" s="15">
        <f t="shared" si="68"/>
        <v>0</v>
      </c>
      <c r="J636" s="15">
        <f t="shared" si="69"/>
        <v>0</v>
      </c>
      <c r="K636" s="15">
        <f>IF(CurrentMtgRatesDataTable8[[#This Row],[WA CC]]&lt;&gt;0,C635-CurrentMtgRatesDataTable8[[#This Row],[WA CC]],0)</f>
        <v>0</v>
      </c>
      <c r="L636" s="16">
        <f>IF(CurrentMtgRatesDataTable8[[#This Row],[Servicing Spread]]&lt;=0,L635,CurrentMtgRatesDataTable8[[#This Row],[Servicing Spread]])</f>
        <v>0.28699999999999992</v>
      </c>
      <c r="M636" s="16">
        <f>CurrentMtgRatesDataTable8[[#This Row],[Servicing Spread Non-Zero]]-L635</f>
        <v>0</v>
      </c>
      <c r="N636" s="16">
        <f>IF(J635&lt;&gt;0,CurrentMtgRatesDataTable8[[#This Row],[Rate]]-C635,N635)</f>
        <v>9.9999999999997868E-3</v>
      </c>
    </row>
    <row r="637" spans="1:14">
      <c r="A637" s="12" t="s">
        <v>1989</v>
      </c>
      <c r="B637" s="13">
        <v>6.1820000000000004</v>
      </c>
      <c r="C637" s="13">
        <v>6.5049999999999999</v>
      </c>
      <c r="D637" s="15">
        <f t="shared" si="63"/>
        <v>2</v>
      </c>
      <c r="E637" s="15">
        <f t="shared" si="64"/>
        <v>0.2</v>
      </c>
      <c r="F637" s="15">
        <f t="shared" si="65"/>
        <v>2</v>
      </c>
      <c r="G637" s="15">
        <f t="shared" si="66"/>
        <v>2.4740000000000002</v>
      </c>
      <c r="H637" s="15">
        <f t="shared" si="67"/>
        <v>0.4</v>
      </c>
      <c r="I637" s="15">
        <f t="shared" si="68"/>
        <v>0</v>
      </c>
      <c r="J637" s="15">
        <f t="shared" si="69"/>
        <v>0</v>
      </c>
      <c r="K637" s="15">
        <f>IF(CurrentMtgRatesDataTable8[[#This Row],[WA CC]]&lt;&gt;0,C636-CurrentMtgRatesDataTable8[[#This Row],[WA CC]],0)</f>
        <v>0</v>
      </c>
      <c r="L637" s="16">
        <f>IF(CurrentMtgRatesDataTable8[[#This Row],[Servicing Spread]]&lt;=0,L636,CurrentMtgRatesDataTable8[[#This Row],[Servicing Spread]])</f>
        <v>0.28699999999999992</v>
      </c>
      <c r="M637" s="16">
        <f>CurrentMtgRatesDataTable8[[#This Row],[Servicing Spread Non-Zero]]-L636</f>
        <v>0</v>
      </c>
      <c r="N637" s="16">
        <f>IF(J636&lt;&gt;0,CurrentMtgRatesDataTable8[[#This Row],[Rate]]-C636,N636)</f>
        <v>9.9999999999997868E-3</v>
      </c>
    </row>
    <row r="638" spans="1:14">
      <c r="A638" s="12" t="s">
        <v>1990</v>
      </c>
      <c r="B638" s="13">
        <v>6.2050000000000001</v>
      </c>
      <c r="C638" s="13">
        <v>6.5049999999999999</v>
      </c>
      <c r="D638" s="15">
        <f t="shared" si="63"/>
        <v>5</v>
      </c>
      <c r="E638" s="15">
        <f t="shared" si="64"/>
        <v>0.2</v>
      </c>
      <c r="F638" s="15">
        <f t="shared" si="65"/>
        <v>3</v>
      </c>
      <c r="G638" s="15">
        <f t="shared" si="66"/>
        <v>3.7150000000000003</v>
      </c>
      <c r="H638" s="15">
        <f t="shared" si="67"/>
        <v>0.60000000000000009</v>
      </c>
      <c r="I638" s="15">
        <f t="shared" si="68"/>
        <v>0</v>
      </c>
      <c r="J638" s="15">
        <f t="shared" si="69"/>
        <v>0</v>
      </c>
      <c r="K638" s="15">
        <f>IF(CurrentMtgRatesDataTable8[[#This Row],[WA CC]]&lt;&gt;0,C637-CurrentMtgRatesDataTable8[[#This Row],[WA CC]],0)</f>
        <v>0</v>
      </c>
      <c r="L638" s="16">
        <f>IF(CurrentMtgRatesDataTable8[[#This Row],[Servicing Spread]]&lt;=0,L637,CurrentMtgRatesDataTable8[[#This Row],[Servicing Spread]])</f>
        <v>0.28699999999999992</v>
      </c>
      <c r="M638" s="16">
        <f>CurrentMtgRatesDataTable8[[#This Row],[Servicing Spread Non-Zero]]-L637</f>
        <v>0</v>
      </c>
      <c r="N638" s="16">
        <f>IF(J637&lt;&gt;0,CurrentMtgRatesDataTable8[[#This Row],[Rate]]-C637,N637)</f>
        <v>9.9999999999997868E-3</v>
      </c>
    </row>
    <row r="639" spans="1:14">
      <c r="A639" s="12" t="s">
        <v>1991</v>
      </c>
      <c r="B639" s="13">
        <v>6.1920000000000002</v>
      </c>
      <c r="C639" s="13">
        <v>6.5049999999999999</v>
      </c>
      <c r="D639" s="15">
        <f t="shared" si="63"/>
        <v>6</v>
      </c>
      <c r="E639" s="15">
        <f t="shared" si="64"/>
        <v>0.2</v>
      </c>
      <c r="F639" s="15">
        <f t="shared" si="65"/>
        <v>4</v>
      </c>
      <c r="G639" s="15">
        <f t="shared" si="66"/>
        <v>4.9534000000000002</v>
      </c>
      <c r="H639" s="15">
        <f t="shared" si="67"/>
        <v>0.8</v>
      </c>
      <c r="I639" s="15">
        <f t="shared" si="68"/>
        <v>0</v>
      </c>
      <c r="J639" s="15">
        <f t="shared" si="69"/>
        <v>0</v>
      </c>
      <c r="K639" s="15">
        <f>IF(CurrentMtgRatesDataTable8[[#This Row],[WA CC]]&lt;&gt;0,C638-CurrentMtgRatesDataTable8[[#This Row],[WA CC]],0)</f>
        <v>0</v>
      </c>
      <c r="L639" s="16">
        <f>IF(CurrentMtgRatesDataTable8[[#This Row],[Servicing Spread]]&lt;=0,L638,CurrentMtgRatesDataTable8[[#This Row],[Servicing Spread]])</f>
        <v>0.28699999999999992</v>
      </c>
      <c r="M639" s="16">
        <f>CurrentMtgRatesDataTable8[[#This Row],[Servicing Spread Non-Zero]]-L638</f>
        <v>0</v>
      </c>
      <c r="N639" s="16">
        <f>IF(J638&lt;&gt;0,CurrentMtgRatesDataTable8[[#This Row],[Rate]]-C638,N638)</f>
        <v>9.9999999999997868E-3</v>
      </c>
    </row>
    <row r="640" spans="1:14">
      <c r="A640" s="12" t="s">
        <v>1992</v>
      </c>
      <c r="B640" s="13">
        <v>6.2729999999999997</v>
      </c>
      <c r="C640" s="13">
        <v>6.5049999999999999</v>
      </c>
      <c r="D640" s="15">
        <f t="shared" si="63"/>
        <v>7</v>
      </c>
      <c r="E640" s="15">
        <f t="shared" si="64"/>
        <v>0.2</v>
      </c>
      <c r="F640" s="15">
        <f t="shared" si="65"/>
        <v>5</v>
      </c>
      <c r="G640" s="15">
        <f t="shared" si="66"/>
        <v>6.2080000000000002</v>
      </c>
      <c r="H640" s="15">
        <f t="shared" si="67"/>
        <v>1</v>
      </c>
      <c r="I640" s="15">
        <f t="shared" si="68"/>
        <v>1</v>
      </c>
      <c r="J640" s="15">
        <f t="shared" si="69"/>
        <v>6.2080000000000002</v>
      </c>
      <c r="K640" s="15">
        <f>IF(CurrentMtgRatesDataTable8[[#This Row],[WA CC]]&lt;&gt;0,C639-CurrentMtgRatesDataTable8[[#This Row],[WA CC]],0)</f>
        <v>0.29699999999999971</v>
      </c>
      <c r="L640" s="16">
        <f>IF(CurrentMtgRatesDataTable8[[#This Row],[Servicing Spread]]&lt;=0,L639,CurrentMtgRatesDataTable8[[#This Row],[Servicing Spread]])</f>
        <v>0.29699999999999971</v>
      </c>
      <c r="M640" s="16">
        <f>CurrentMtgRatesDataTable8[[#This Row],[Servicing Spread Non-Zero]]-L639</f>
        <v>9.9999999999997868E-3</v>
      </c>
      <c r="N640" s="16">
        <f>IF(J639&lt;&gt;0,CurrentMtgRatesDataTable8[[#This Row],[Rate]]-C639,N639)</f>
        <v>9.9999999999997868E-3</v>
      </c>
    </row>
    <row r="641" spans="1:14">
      <c r="A641" s="12" t="s">
        <v>1993</v>
      </c>
      <c r="B641" s="13">
        <v>6.3140000000000001</v>
      </c>
      <c r="C641" s="13">
        <v>6.585</v>
      </c>
      <c r="D641" s="15">
        <f t="shared" si="63"/>
        <v>1</v>
      </c>
      <c r="E641" s="15">
        <f t="shared" si="64"/>
        <v>0.2</v>
      </c>
      <c r="F641" s="15">
        <f t="shared" si="65"/>
        <v>1</v>
      </c>
      <c r="G641" s="15">
        <f t="shared" si="66"/>
        <v>1.2628000000000001</v>
      </c>
      <c r="H641" s="15">
        <f t="shared" si="67"/>
        <v>0.2</v>
      </c>
      <c r="I641" s="15">
        <f t="shared" si="68"/>
        <v>0</v>
      </c>
      <c r="J641" s="15">
        <f t="shared" si="69"/>
        <v>0</v>
      </c>
      <c r="K641" s="15">
        <f>IF(CurrentMtgRatesDataTable8[[#This Row],[WA CC]]&lt;&gt;0,C640-CurrentMtgRatesDataTable8[[#This Row],[WA CC]],0)</f>
        <v>0</v>
      </c>
      <c r="L641" s="16">
        <f>IF(CurrentMtgRatesDataTable8[[#This Row],[Servicing Spread]]&lt;=0,L640,CurrentMtgRatesDataTable8[[#This Row],[Servicing Spread]])</f>
        <v>0.29699999999999971</v>
      </c>
      <c r="M641" s="16">
        <f>CurrentMtgRatesDataTable8[[#This Row],[Servicing Spread Non-Zero]]-L640</f>
        <v>0</v>
      </c>
      <c r="N641" s="16">
        <f>IF(J640&lt;&gt;0,CurrentMtgRatesDataTable8[[#This Row],[Rate]]-C640,N640)</f>
        <v>8.0000000000000071E-2</v>
      </c>
    </row>
    <row r="642" spans="1:14">
      <c r="A642" s="12" t="s">
        <v>1994</v>
      </c>
      <c r="B642" s="13">
        <v>6.3339999999999996</v>
      </c>
      <c r="C642" s="13">
        <v>6.585</v>
      </c>
      <c r="D642" s="15">
        <f t="shared" si="63"/>
        <v>2</v>
      </c>
      <c r="E642" s="15">
        <f t="shared" si="64"/>
        <v>0.2</v>
      </c>
      <c r="F642" s="15">
        <f t="shared" si="65"/>
        <v>2</v>
      </c>
      <c r="G642" s="15">
        <f t="shared" si="66"/>
        <v>2.5296000000000003</v>
      </c>
      <c r="H642" s="15">
        <f t="shared" si="67"/>
        <v>0.4</v>
      </c>
      <c r="I642" s="15">
        <f t="shared" si="68"/>
        <v>0</v>
      </c>
      <c r="J642" s="15">
        <f t="shared" si="69"/>
        <v>0</v>
      </c>
      <c r="K642" s="15">
        <f>IF(CurrentMtgRatesDataTable8[[#This Row],[WA CC]]&lt;&gt;0,C641-CurrentMtgRatesDataTable8[[#This Row],[WA CC]],0)</f>
        <v>0</v>
      </c>
      <c r="L642" s="16">
        <f>IF(CurrentMtgRatesDataTable8[[#This Row],[Servicing Spread]]&lt;=0,L641,CurrentMtgRatesDataTable8[[#This Row],[Servicing Spread]])</f>
        <v>0.29699999999999971</v>
      </c>
      <c r="M642" s="16">
        <f>CurrentMtgRatesDataTable8[[#This Row],[Servicing Spread Non-Zero]]-L641</f>
        <v>0</v>
      </c>
      <c r="N642" s="16">
        <f>IF(J641&lt;&gt;0,CurrentMtgRatesDataTable8[[#This Row],[Rate]]-C641,N641)</f>
        <v>8.0000000000000071E-2</v>
      </c>
    </row>
    <row r="643" spans="1:14">
      <c r="A643" s="12" t="s">
        <v>1995</v>
      </c>
      <c r="B643" s="13">
        <v>6.3479999999999999</v>
      </c>
      <c r="C643" s="13">
        <v>6.585</v>
      </c>
      <c r="D643" s="15">
        <f t="shared" si="63"/>
        <v>5</v>
      </c>
      <c r="E643" s="15">
        <f t="shared" si="64"/>
        <v>0.2</v>
      </c>
      <c r="F643" s="15">
        <f t="shared" si="65"/>
        <v>3</v>
      </c>
      <c r="G643" s="15">
        <f t="shared" si="66"/>
        <v>3.7992000000000004</v>
      </c>
      <c r="H643" s="15">
        <f t="shared" si="67"/>
        <v>0.60000000000000009</v>
      </c>
      <c r="I643" s="15">
        <f t="shared" si="68"/>
        <v>0</v>
      </c>
      <c r="J643" s="15">
        <f t="shared" si="69"/>
        <v>0</v>
      </c>
      <c r="K643" s="15">
        <f>IF(CurrentMtgRatesDataTable8[[#This Row],[WA CC]]&lt;&gt;0,C642-CurrentMtgRatesDataTable8[[#This Row],[WA CC]],0)</f>
        <v>0</v>
      </c>
      <c r="L643" s="16">
        <f>IF(CurrentMtgRatesDataTable8[[#This Row],[Servicing Spread]]&lt;=0,L642,CurrentMtgRatesDataTable8[[#This Row],[Servicing Spread]])</f>
        <v>0.29699999999999971</v>
      </c>
      <c r="M643" s="16">
        <f>CurrentMtgRatesDataTable8[[#This Row],[Servicing Spread Non-Zero]]-L642</f>
        <v>0</v>
      </c>
      <c r="N643" s="16">
        <f>IF(J642&lt;&gt;0,CurrentMtgRatesDataTable8[[#This Row],[Rate]]-C642,N642)</f>
        <v>8.0000000000000071E-2</v>
      </c>
    </row>
    <row r="644" spans="1:14">
      <c r="A644" s="12" t="s">
        <v>1996</v>
      </c>
      <c r="B644" s="13">
        <v>6.3680000000000003</v>
      </c>
      <c r="C644" s="13">
        <v>6.585</v>
      </c>
      <c r="D644" s="15">
        <f t="shared" si="63"/>
        <v>6</v>
      </c>
      <c r="E644" s="15">
        <f t="shared" si="64"/>
        <v>0.2</v>
      </c>
      <c r="F644" s="15">
        <f t="shared" si="65"/>
        <v>4</v>
      </c>
      <c r="G644" s="15">
        <f t="shared" si="66"/>
        <v>5.0728000000000009</v>
      </c>
      <c r="H644" s="15">
        <f t="shared" si="67"/>
        <v>0.8</v>
      </c>
      <c r="I644" s="15">
        <f t="shared" si="68"/>
        <v>0</v>
      </c>
      <c r="J644" s="15">
        <f t="shared" si="69"/>
        <v>0</v>
      </c>
      <c r="K644" s="15">
        <f>IF(CurrentMtgRatesDataTable8[[#This Row],[WA CC]]&lt;&gt;0,C643-CurrentMtgRatesDataTable8[[#This Row],[WA CC]],0)</f>
        <v>0</v>
      </c>
      <c r="L644" s="16">
        <f>IF(CurrentMtgRatesDataTable8[[#This Row],[Servicing Spread]]&lt;=0,L643,CurrentMtgRatesDataTable8[[#This Row],[Servicing Spread]])</f>
        <v>0.29699999999999971</v>
      </c>
      <c r="M644" s="16">
        <f>CurrentMtgRatesDataTable8[[#This Row],[Servicing Spread Non-Zero]]-L643</f>
        <v>0</v>
      </c>
      <c r="N644" s="16">
        <f>IF(J643&lt;&gt;0,CurrentMtgRatesDataTable8[[#This Row],[Rate]]-C643,N643)</f>
        <v>8.0000000000000071E-2</v>
      </c>
    </row>
    <row r="645" spans="1:14">
      <c r="A645" s="12" t="s">
        <v>1997</v>
      </c>
      <c r="B645" s="13">
        <v>6.3760000000000003</v>
      </c>
      <c r="C645" s="13">
        <v>6.585</v>
      </c>
      <c r="D645" s="15">
        <f t="shared" ref="D645:D708" si="70">WEEKDAY(A645,14)</f>
        <v>7</v>
      </c>
      <c r="E645" s="15">
        <f t="shared" ref="E645:E708" si="71">VLOOKUP(D645,Q$5:R$11,2,FALSE)</f>
        <v>0.2</v>
      </c>
      <c r="F645" s="15">
        <f t="shared" ref="F645:F708" si="72">IF(AND(D645&gt;D644,F644&lt;6),F644+1,1)</f>
        <v>5</v>
      </c>
      <c r="G645" s="15">
        <f t="shared" ref="G645:G708" si="73">IF(F645&gt;F644,G644+B645*E645,B645*E645)</f>
        <v>6.3480000000000008</v>
      </c>
      <c r="H645" s="15">
        <f t="shared" ref="H645:H708" si="74">IF(AND(F645&lt;6,F645&gt;F644),E645+H644,E645)</f>
        <v>1</v>
      </c>
      <c r="I645" s="15">
        <f t="shared" ref="I645:I708" si="75">IF(F645&gt;F646,1,0)</f>
        <v>1</v>
      </c>
      <c r="J645" s="15">
        <f t="shared" ref="J645:J708" si="76">IF(F645&gt;F646,G645/H645,0)</f>
        <v>6.3480000000000008</v>
      </c>
      <c r="K645" s="15">
        <f>IF(CurrentMtgRatesDataTable8[[#This Row],[WA CC]]&lt;&gt;0,C644-CurrentMtgRatesDataTable8[[#This Row],[WA CC]],0)</f>
        <v>0.23699999999999921</v>
      </c>
      <c r="L645" s="16">
        <f>IF(CurrentMtgRatesDataTable8[[#This Row],[Servicing Spread]]&lt;=0,L644,CurrentMtgRatesDataTable8[[#This Row],[Servicing Spread]])</f>
        <v>0.23699999999999921</v>
      </c>
      <c r="M645" s="16">
        <f>CurrentMtgRatesDataTable8[[#This Row],[Servicing Spread Non-Zero]]-L644</f>
        <v>-6.0000000000000497E-2</v>
      </c>
      <c r="N645" s="16">
        <f>IF(J644&lt;&gt;0,CurrentMtgRatesDataTable8[[#This Row],[Rate]]-C644,N644)</f>
        <v>8.0000000000000071E-2</v>
      </c>
    </row>
    <row r="646" spans="1:14">
      <c r="A646" s="12" t="s">
        <v>1998</v>
      </c>
      <c r="B646" s="13">
        <v>6.42</v>
      </c>
      <c r="C646" s="13">
        <v>6.6550000000000002</v>
      </c>
      <c r="D646" s="15">
        <f t="shared" si="70"/>
        <v>1</v>
      </c>
      <c r="E646" s="15">
        <f t="shared" si="71"/>
        <v>0.2</v>
      </c>
      <c r="F646" s="15">
        <f t="shared" si="72"/>
        <v>1</v>
      </c>
      <c r="G646" s="15">
        <f t="shared" si="73"/>
        <v>1.284</v>
      </c>
      <c r="H646" s="15">
        <f t="shared" si="74"/>
        <v>0.2</v>
      </c>
      <c r="I646" s="15">
        <f t="shared" si="75"/>
        <v>0</v>
      </c>
      <c r="J646" s="15">
        <f t="shared" si="76"/>
        <v>0</v>
      </c>
      <c r="K646" s="15">
        <f>IF(CurrentMtgRatesDataTable8[[#This Row],[WA CC]]&lt;&gt;0,C645-CurrentMtgRatesDataTable8[[#This Row],[WA CC]],0)</f>
        <v>0</v>
      </c>
      <c r="L646" s="16">
        <f>IF(CurrentMtgRatesDataTable8[[#This Row],[Servicing Spread]]&lt;=0,L645,CurrentMtgRatesDataTable8[[#This Row],[Servicing Spread]])</f>
        <v>0.23699999999999921</v>
      </c>
      <c r="M646" s="16">
        <f>CurrentMtgRatesDataTable8[[#This Row],[Servicing Spread Non-Zero]]-L645</f>
        <v>0</v>
      </c>
      <c r="N646" s="16">
        <f>IF(J645&lt;&gt;0,CurrentMtgRatesDataTable8[[#This Row],[Rate]]-C645,N645)</f>
        <v>7.0000000000000284E-2</v>
      </c>
    </row>
    <row r="647" spans="1:14">
      <c r="A647" s="12" t="s">
        <v>1999</v>
      </c>
      <c r="B647" s="13">
        <v>6.4589999999999996</v>
      </c>
      <c r="C647" s="13">
        <v>6.6550000000000002</v>
      </c>
      <c r="D647" s="15">
        <f t="shared" si="70"/>
        <v>2</v>
      </c>
      <c r="E647" s="15">
        <f t="shared" si="71"/>
        <v>0.2</v>
      </c>
      <c r="F647" s="15">
        <f t="shared" si="72"/>
        <v>2</v>
      </c>
      <c r="G647" s="15">
        <f t="shared" si="73"/>
        <v>2.5758000000000001</v>
      </c>
      <c r="H647" s="15">
        <f t="shared" si="74"/>
        <v>0.4</v>
      </c>
      <c r="I647" s="15">
        <f t="shared" si="75"/>
        <v>0</v>
      </c>
      <c r="J647" s="15">
        <f t="shared" si="76"/>
        <v>0</v>
      </c>
      <c r="K647" s="15">
        <f>IF(CurrentMtgRatesDataTable8[[#This Row],[WA CC]]&lt;&gt;0,C646-CurrentMtgRatesDataTable8[[#This Row],[WA CC]],0)</f>
        <v>0</v>
      </c>
      <c r="L647" s="16">
        <f>IF(CurrentMtgRatesDataTable8[[#This Row],[Servicing Spread]]&lt;=0,L646,CurrentMtgRatesDataTable8[[#This Row],[Servicing Spread]])</f>
        <v>0.23699999999999921</v>
      </c>
      <c r="M647" s="16">
        <f>CurrentMtgRatesDataTable8[[#This Row],[Servicing Spread Non-Zero]]-L646</f>
        <v>0</v>
      </c>
      <c r="N647" s="16">
        <f>IF(J646&lt;&gt;0,CurrentMtgRatesDataTable8[[#This Row],[Rate]]-C646,N646)</f>
        <v>7.0000000000000284E-2</v>
      </c>
    </row>
    <row r="648" spans="1:14">
      <c r="A648" s="12" t="s">
        <v>2000</v>
      </c>
      <c r="B648" s="13">
        <v>6.4820000000000002</v>
      </c>
      <c r="C648" s="13">
        <v>6.6550000000000002</v>
      </c>
      <c r="D648" s="15">
        <f t="shared" si="70"/>
        <v>5</v>
      </c>
      <c r="E648" s="15">
        <f t="shared" si="71"/>
        <v>0.2</v>
      </c>
      <c r="F648" s="15">
        <f t="shared" si="72"/>
        <v>3</v>
      </c>
      <c r="G648" s="15">
        <f t="shared" si="73"/>
        <v>3.8722000000000003</v>
      </c>
      <c r="H648" s="15">
        <f t="shared" si="74"/>
        <v>0.60000000000000009</v>
      </c>
      <c r="I648" s="15">
        <f t="shared" si="75"/>
        <v>0</v>
      </c>
      <c r="J648" s="15">
        <f t="shared" si="76"/>
        <v>0</v>
      </c>
      <c r="K648" s="15">
        <f>IF(CurrentMtgRatesDataTable8[[#This Row],[WA CC]]&lt;&gt;0,C647-CurrentMtgRatesDataTable8[[#This Row],[WA CC]],0)</f>
        <v>0</v>
      </c>
      <c r="L648" s="16">
        <f>IF(CurrentMtgRatesDataTable8[[#This Row],[Servicing Spread]]&lt;=0,L647,CurrentMtgRatesDataTable8[[#This Row],[Servicing Spread]])</f>
        <v>0.23699999999999921</v>
      </c>
      <c r="M648" s="16">
        <f>CurrentMtgRatesDataTable8[[#This Row],[Servicing Spread Non-Zero]]-L647</f>
        <v>0</v>
      </c>
      <c r="N648" s="16">
        <f>IF(J647&lt;&gt;0,CurrentMtgRatesDataTable8[[#This Row],[Rate]]-C647,N647)</f>
        <v>7.0000000000000284E-2</v>
      </c>
    </row>
    <row r="649" spans="1:14">
      <c r="A649" s="12" t="s">
        <v>2001</v>
      </c>
      <c r="B649" s="13">
        <v>6.4489999999999998</v>
      </c>
      <c r="C649" s="13">
        <v>6.6550000000000002</v>
      </c>
      <c r="D649" s="15">
        <f t="shared" si="70"/>
        <v>6</v>
      </c>
      <c r="E649" s="15">
        <f t="shared" si="71"/>
        <v>0.2</v>
      </c>
      <c r="F649" s="15">
        <f t="shared" si="72"/>
        <v>4</v>
      </c>
      <c r="G649" s="15">
        <f t="shared" si="73"/>
        <v>5.1620000000000008</v>
      </c>
      <c r="H649" s="15">
        <f t="shared" si="74"/>
        <v>0.8</v>
      </c>
      <c r="I649" s="15">
        <f t="shared" si="75"/>
        <v>0</v>
      </c>
      <c r="J649" s="15">
        <f t="shared" si="76"/>
        <v>0</v>
      </c>
      <c r="K649" s="15">
        <f>IF(CurrentMtgRatesDataTable8[[#This Row],[WA CC]]&lt;&gt;0,C648-CurrentMtgRatesDataTable8[[#This Row],[WA CC]],0)</f>
        <v>0</v>
      </c>
      <c r="L649" s="16">
        <f>IF(CurrentMtgRatesDataTable8[[#This Row],[Servicing Spread]]&lt;=0,L648,CurrentMtgRatesDataTable8[[#This Row],[Servicing Spread]])</f>
        <v>0.23699999999999921</v>
      </c>
      <c r="M649" s="16">
        <f>CurrentMtgRatesDataTable8[[#This Row],[Servicing Spread Non-Zero]]-L648</f>
        <v>0</v>
      </c>
      <c r="N649" s="16">
        <f>IF(J648&lt;&gt;0,CurrentMtgRatesDataTable8[[#This Row],[Rate]]-C648,N648)</f>
        <v>7.0000000000000284E-2</v>
      </c>
    </row>
    <row r="650" spans="1:14">
      <c r="A650" s="12" t="s">
        <v>2002</v>
      </c>
      <c r="B650" s="13">
        <v>6.4649999999999999</v>
      </c>
      <c r="C650" s="13">
        <v>6.6550000000000002</v>
      </c>
      <c r="D650" s="15">
        <f t="shared" si="70"/>
        <v>7</v>
      </c>
      <c r="E650" s="15">
        <f t="shared" si="71"/>
        <v>0.2</v>
      </c>
      <c r="F650" s="15">
        <f t="shared" si="72"/>
        <v>5</v>
      </c>
      <c r="G650" s="15">
        <f t="shared" si="73"/>
        <v>6.455000000000001</v>
      </c>
      <c r="H650" s="15">
        <f t="shared" si="74"/>
        <v>1</v>
      </c>
      <c r="I650" s="15">
        <f t="shared" si="75"/>
        <v>1</v>
      </c>
      <c r="J650" s="15">
        <f t="shared" si="76"/>
        <v>6.455000000000001</v>
      </c>
      <c r="K650" s="15">
        <f>IF(CurrentMtgRatesDataTable8[[#This Row],[WA CC]]&lt;&gt;0,C649-CurrentMtgRatesDataTable8[[#This Row],[WA CC]],0)</f>
        <v>0.19999999999999929</v>
      </c>
      <c r="L650" s="16">
        <f>IF(CurrentMtgRatesDataTable8[[#This Row],[Servicing Spread]]&lt;=0,L649,CurrentMtgRatesDataTable8[[#This Row],[Servicing Spread]])</f>
        <v>0.19999999999999929</v>
      </c>
      <c r="M650" s="16">
        <f>CurrentMtgRatesDataTable8[[#This Row],[Servicing Spread Non-Zero]]-L649</f>
        <v>-3.6999999999999922E-2</v>
      </c>
      <c r="N650" s="16">
        <f>IF(J649&lt;&gt;0,CurrentMtgRatesDataTable8[[#This Row],[Rate]]-C649,N649)</f>
        <v>7.0000000000000284E-2</v>
      </c>
    </row>
    <row r="651" spans="1:14">
      <c r="A651" s="12" t="s">
        <v>2003</v>
      </c>
      <c r="B651" s="13">
        <v>6.4169999999999998</v>
      </c>
      <c r="C651" s="13">
        <v>6.665</v>
      </c>
      <c r="D651" s="15">
        <f t="shared" si="70"/>
        <v>1</v>
      </c>
      <c r="E651" s="15">
        <f t="shared" si="71"/>
        <v>0.2</v>
      </c>
      <c r="F651" s="15">
        <f t="shared" si="72"/>
        <v>1</v>
      </c>
      <c r="G651" s="15">
        <f t="shared" si="73"/>
        <v>1.2834000000000001</v>
      </c>
      <c r="H651" s="15">
        <f t="shared" si="74"/>
        <v>0.2</v>
      </c>
      <c r="I651" s="15">
        <f t="shared" si="75"/>
        <v>0</v>
      </c>
      <c r="J651" s="15">
        <f t="shared" si="76"/>
        <v>0</v>
      </c>
      <c r="K651" s="15">
        <f>IF(CurrentMtgRatesDataTable8[[#This Row],[WA CC]]&lt;&gt;0,C650-CurrentMtgRatesDataTable8[[#This Row],[WA CC]],0)</f>
        <v>0</v>
      </c>
      <c r="L651" s="16">
        <f>IF(CurrentMtgRatesDataTable8[[#This Row],[Servicing Spread]]&lt;=0,L650,CurrentMtgRatesDataTable8[[#This Row],[Servicing Spread]])</f>
        <v>0.19999999999999929</v>
      </c>
      <c r="M651" s="16">
        <f>CurrentMtgRatesDataTable8[[#This Row],[Servicing Spread Non-Zero]]-L650</f>
        <v>0</v>
      </c>
      <c r="N651" s="16">
        <f>IF(J650&lt;&gt;0,CurrentMtgRatesDataTable8[[#This Row],[Rate]]-C650,N650)</f>
        <v>9.9999999999997868E-3</v>
      </c>
    </row>
    <row r="652" spans="1:14">
      <c r="A652" s="12" t="s">
        <v>2004</v>
      </c>
      <c r="B652" s="13">
        <v>6.3710000000000004</v>
      </c>
      <c r="C652" s="13">
        <v>6.665</v>
      </c>
      <c r="D652" s="15">
        <f t="shared" si="70"/>
        <v>2</v>
      </c>
      <c r="E652" s="15">
        <f t="shared" si="71"/>
        <v>0.2</v>
      </c>
      <c r="F652" s="15">
        <f t="shared" si="72"/>
        <v>2</v>
      </c>
      <c r="G652" s="15">
        <f t="shared" si="73"/>
        <v>2.5576000000000003</v>
      </c>
      <c r="H652" s="15">
        <f t="shared" si="74"/>
        <v>0.4</v>
      </c>
      <c r="I652" s="15">
        <f t="shared" si="75"/>
        <v>0</v>
      </c>
      <c r="J652" s="15">
        <f t="shared" si="76"/>
        <v>0</v>
      </c>
      <c r="K652" s="15">
        <f>IF(CurrentMtgRatesDataTable8[[#This Row],[WA CC]]&lt;&gt;0,C651-CurrentMtgRatesDataTable8[[#This Row],[WA CC]],0)</f>
        <v>0</v>
      </c>
      <c r="L652" s="16">
        <f>IF(CurrentMtgRatesDataTable8[[#This Row],[Servicing Spread]]&lt;=0,L651,CurrentMtgRatesDataTable8[[#This Row],[Servicing Spread]])</f>
        <v>0.19999999999999929</v>
      </c>
      <c r="M652" s="16">
        <f>CurrentMtgRatesDataTable8[[#This Row],[Servicing Spread Non-Zero]]-L651</f>
        <v>0</v>
      </c>
      <c r="N652" s="16">
        <f>IF(J651&lt;&gt;0,CurrentMtgRatesDataTable8[[#This Row],[Rate]]-C651,N651)</f>
        <v>9.9999999999997868E-3</v>
      </c>
    </row>
    <row r="653" spans="1:14">
      <c r="A653" s="12" t="s">
        <v>2005</v>
      </c>
      <c r="B653" s="13">
        <v>6.3940000000000001</v>
      </c>
      <c r="C653" s="13">
        <v>6.665</v>
      </c>
      <c r="D653" s="15">
        <f t="shared" si="70"/>
        <v>5</v>
      </c>
      <c r="E653" s="15">
        <f t="shared" si="71"/>
        <v>0.2</v>
      </c>
      <c r="F653" s="15">
        <f t="shared" si="72"/>
        <v>3</v>
      </c>
      <c r="G653" s="15">
        <f t="shared" si="73"/>
        <v>3.8364000000000003</v>
      </c>
      <c r="H653" s="15">
        <f t="shared" si="74"/>
        <v>0.60000000000000009</v>
      </c>
      <c r="I653" s="15">
        <f t="shared" si="75"/>
        <v>0</v>
      </c>
      <c r="J653" s="15">
        <f t="shared" si="76"/>
        <v>0</v>
      </c>
      <c r="K653" s="15">
        <f>IF(CurrentMtgRatesDataTable8[[#This Row],[WA CC]]&lt;&gt;0,C652-CurrentMtgRatesDataTable8[[#This Row],[WA CC]],0)</f>
        <v>0</v>
      </c>
      <c r="L653" s="16">
        <f>IF(CurrentMtgRatesDataTable8[[#This Row],[Servicing Spread]]&lt;=0,L652,CurrentMtgRatesDataTable8[[#This Row],[Servicing Spread]])</f>
        <v>0.19999999999999929</v>
      </c>
      <c r="M653" s="16">
        <f>CurrentMtgRatesDataTable8[[#This Row],[Servicing Spread Non-Zero]]-L652</f>
        <v>0</v>
      </c>
      <c r="N653" s="16">
        <f>IF(J652&lt;&gt;0,CurrentMtgRatesDataTable8[[#This Row],[Rate]]-C652,N652)</f>
        <v>9.9999999999997868E-3</v>
      </c>
    </row>
    <row r="654" spans="1:14">
      <c r="A654" s="12" t="s">
        <v>2006</v>
      </c>
      <c r="B654" s="13">
        <v>6.4630000000000001</v>
      </c>
      <c r="C654" s="13">
        <v>6.665</v>
      </c>
      <c r="D654" s="15">
        <f t="shared" si="70"/>
        <v>7</v>
      </c>
      <c r="E654" s="15">
        <f t="shared" si="71"/>
        <v>0.2</v>
      </c>
      <c r="F654" s="15">
        <f t="shared" si="72"/>
        <v>4</v>
      </c>
      <c r="G654" s="15">
        <f t="shared" si="73"/>
        <v>5.1290000000000004</v>
      </c>
      <c r="H654" s="15">
        <f t="shared" si="74"/>
        <v>0.8</v>
      </c>
      <c r="I654" s="15">
        <f t="shared" si="75"/>
        <v>1</v>
      </c>
      <c r="J654" s="15">
        <f t="shared" si="76"/>
        <v>6.4112499999999999</v>
      </c>
      <c r="K654" s="15">
        <f>IF(CurrentMtgRatesDataTable8[[#This Row],[WA CC]]&lt;&gt;0,C653-CurrentMtgRatesDataTable8[[#This Row],[WA CC]],0)</f>
        <v>0.25375000000000014</v>
      </c>
      <c r="L654" s="16">
        <f>IF(CurrentMtgRatesDataTable8[[#This Row],[Servicing Spread]]&lt;=0,L653,CurrentMtgRatesDataTable8[[#This Row],[Servicing Spread]])</f>
        <v>0.25375000000000014</v>
      </c>
      <c r="M654" s="16">
        <f>CurrentMtgRatesDataTable8[[#This Row],[Servicing Spread Non-Zero]]-L653</f>
        <v>5.3750000000000853E-2</v>
      </c>
      <c r="N654" s="16">
        <f>IF(J653&lt;&gt;0,CurrentMtgRatesDataTable8[[#This Row],[Rate]]-C653,N653)</f>
        <v>9.9999999999997868E-3</v>
      </c>
    </row>
    <row r="655" spans="1:14">
      <c r="A655" s="12" t="s">
        <v>2007</v>
      </c>
      <c r="B655" s="13">
        <v>6.4290000000000003</v>
      </c>
      <c r="C655" s="13">
        <v>6.6400000000000006</v>
      </c>
      <c r="D655" s="15">
        <f t="shared" si="70"/>
        <v>1</v>
      </c>
      <c r="E655" s="15">
        <f t="shared" si="71"/>
        <v>0.2</v>
      </c>
      <c r="F655" s="15">
        <f t="shared" si="72"/>
        <v>1</v>
      </c>
      <c r="G655" s="15">
        <f t="shared" si="73"/>
        <v>1.2858000000000001</v>
      </c>
      <c r="H655" s="15">
        <f t="shared" si="74"/>
        <v>0.2</v>
      </c>
      <c r="I655" s="15">
        <f t="shared" si="75"/>
        <v>0</v>
      </c>
      <c r="J655" s="15">
        <f t="shared" si="76"/>
        <v>0</v>
      </c>
      <c r="K655" s="15">
        <f>IF(CurrentMtgRatesDataTable8[[#This Row],[WA CC]]&lt;&gt;0,C654-CurrentMtgRatesDataTable8[[#This Row],[WA CC]],0)</f>
        <v>0</v>
      </c>
      <c r="L655" s="16">
        <f>IF(CurrentMtgRatesDataTable8[[#This Row],[Servicing Spread]]&lt;=0,L654,CurrentMtgRatesDataTable8[[#This Row],[Servicing Spread]])</f>
        <v>0.25375000000000014</v>
      </c>
      <c r="M655" s="16">
        <f>CurrentMtgRatesDataTable8[[#This Row],[Servicing Spread Non-Zero]]-L654</f>
        <v>0</v>
      </c>
      <c r="N655" s="16">
        <f>IF(J654&lt;&gt;0,CurrentMtgRatesDataTable8[[#This Row],[Rate]]-C654,N654)</f>
        <v>-2.4999999999999467E-2</v>
      </c>
    </row>
    <row r="656" spans="1:14">
      <c r="A656" s="12" t="s">
        <v>2008</v>
      </c>
      <c r="B656" s="13">
        <v>6.3780000000000001</v>
      </c>
      <c r="C656" s="13">
        <v>6.6400000000000006</v>
      </c>
      <c r="D656" s="15">
        <f t="shared" si="70"/>
        <v>2</v>
      </c>
      <c r="E656" s="15">
        <f t="shared" si="71"/>
        <v>0.2</v>
      </c>
      <c r="F656" s="15">
        <f t="shared" si="72"/>
        <v>2</v>
      </c>
      <c r="G656" s="15">
        <f t="shared" si="73"/>
        <v>2.5613999999999999</v>
      </c>
      <c r="H656" s="15">
        <f t="shared" si="74"/>
        <v>0.4</v>
      </c>
      <c r="I656" s="15">
        <f t="shared" si="75"/>
        <v>0</v>
      </c>
      <c r="J656" s="15">
        <f t="shared" si="76"/>
        <v>0</v>
      </c>
      <c r="K656" s="15">
        <f>IF(CurrentMtgRatesDataTable8[[#This Row],[WA CC]]&lt;&gt;0,C655-CurrentMtgRatesDataTable8[[#This Row],[WA CC]],0)</f>
        <v>0</v>
      </c>
      <c r="L656" s="16">
        <f>IF(CurrentMtgRatesDataTable8[[#This Row],[Servicing Spread]]&lt;=0,L655,CurrentMtgRatesDataTable8[[#This Row],[Servicing Spread]])</f>
        <v>0.25375000000000014</v>
      </c>
      <c r="M656" s="16">
        <f>CurrentMtgRatesDataTable8[[#This Row],[Servicing Spread Non-Zero]]-L655</f>
        <v>0</v>
      </c>
      <c r="N656" s="16">
        <f>IF(J655&lt;&gt;0,CurrentMtgRatesDataTable8[[#This Row],[Rate]]-C655,N655)</f>
        <v>-2.4999999999999467E-2</v>
      </c>
    </row>
    <row r="657" spans="1:14">
      <c r="A657" s="12" t="s">
        <v>2009</v>
      </c>
      <c r="B657" s="13">
        <v>6.3769999999999998</v>
      </c>
      <c r="C657" s="13">
        <v>6.6400000000000006</v>
      </c>
      <c r="D657" s="15">
        <f t="shared" si="70"/>
        <v>5</v>
      </c>
      <c r="E657" s="15">
        <f t="shared" si="71"/>
        <v>0.2</v>
      </c>
      <c r="F657" s="15">
        <f t="shared" si="72"/>
        <v>3</v>
      </c>
      <c r="G657" s="15">
        <f t="shared" si="73"/>
        <v>3.8368000000000002</v>
      </c>
      <c r="H657" s="15">
        <f t="shared" si="74"/>
        <v>0.60000000000000009</v>
      </c>
      <c r="I657" s="15">
        <f t="shared" si="75"/>
        <v>0</v>
      </c>
      <c r="J657" s="15">
        <f t="shared" si="76"/>
        <v>0</v>
      </c>
      <c r="K657" s="15">
        <f>IF(CurrentMtgRatesDataTable8[[#This Row],[WA CC]]&lt;&gt;0,C656-CurrentMtgRatesDataTable8[[#This Row],[WA CC]],0)</f>
        <v>0</v>
      </c>
      <c r="L657" s="16">
        <f>IF(CurrentMtgRatesDataTable8[[#This Row],[Servicing Spread]]&lt;=0,L656,CurrentMtgRatesDataTable8[[#This Row],[Servicing Spread]])</f>
        <v>0.25375000000000014</v>
      </c>
      <c r="M657" s="16">
        <f>CurrentMtgRatesDataTable8[[#This Row],[Servicing Spread Non-Zero]]-L656</f>
        <v>0</v>
      </c>
      <c r="N657" s="16">
        <f>IF(J656&lt;&gt;0,CurrentMtgRatesDataTable8[[#This Row],[Rate]]-C656,N656)</f>
        <v>-2.4999999999999467E-2</v>
      </c>
    </row>
    <row r="658" spans="1:14">
      <c r="A658" s="12" t="s">
        <v>2010</v>
      </c>
      <c r="B658" s="13">
        <v>6.36</v>
      </c>
      <c r="C658" s="13">
        <v>6.6400000000000006</v>
      </c>
      <c r="D658" s="15">
        <f t="shared" si="70"/>
        <v>6</v>
      </c>
      <c r="E658" s="15">
        <f t="shared" si="71"/>
        <v>0.2</v>
      </c>
      <c r="F658" s="15">
        <f t="shared" si="72"/>
        <v>4</v>
      </c>
      <c r="G658" s="15">
        <f t="shared" si="73"/>
        <v>5.1088000000000005</v>
      </c>
      <c r="H658" s="15">
        <f t="shared" si="74"/>
        <v>0.8</v>
      </c>
      <c r="I658" s="15">
        <f t="shared" si="75"/>
        <v>0</v>
      </c>
      <c r="J658" s="15">
        <f t="shared" si="76"/>
        <v>0</v>
      </c>
      <c r="K658" s="15">
        <f>IF(CurrentMtgRatesDataTable8[[#This Row],[WA CC]]&lt;&gt;0,C657-CurrentMtgRatesDataTable8[[#This Row],[WA CC]],0)</f>
        <v>0</v>
      </c>
      <c r="L658" s="16">
        <f>IF(CurrentMtgRatesDataTable8[[#This Row],[Servicing Spread]]&lt;=0,L657,CurrentMtgRatesDataTable8[[#This Row],[Servicing Spread]])</f>
        <v>0.25375000000000014</v>
      </c>
      <c r="M658" s="16">
        <f>CurrentMtgRatesDataTable8[[#This Row],[Servicing Spread Non-Zero]]-L657</f>
        <v>0</v>
      </c>
      <c r="N658" s="16">
        <f>IF(J657&lt;&gt;0,CurrentMtgRatesDataTable8[[#This Row],[Rate]]-C657,N657)</f>
        <v>-2.4999999999999467E-2</v>
      </c>
    </row>
    <row r="659" spans="1:14">
      <c r="A659" s="12" t="s">
        <v>2011</v>
      </c>
      <c r="B659" s="13">
        <v>6.3579999999999997</v>
      </c>
      <c r="C659" s="13">
        <v>6.6400000000000006</v>
      </c>
      <c r="D659" s="15">
        <f t="shared" si="70"/>
        <v>7</v>
      </c>
      <c r="E659" s="15">
        <f t="shared" si="71"/>
        <v>0.2</v>
      </c>
      <c r="F659" s="15">
        <f t="shared" si="72"/>
        <v>5</v>
      </c>
      <c r="G659" s="15">
        <f t="shared" si="73"/>
        <v>6.3804000000000007</v>
      </c>
      <c r="H659" s="15">
        <f t="shared" si="74"/>
        <v>1</v>
      </c>
      <c r="I659" s="15">
        <f t="shared" si="75"/>
        <v>1</v>
      </c>
      <c r="J659" s="15">
        <f t="shared" si="76"/>
        <v>6.3804000000000007</v>
      </c>
      <c r="K659" s="15">
        <f>IF(CurrentMtgRatesDataTable8[[#This Row],[WA CC]]&lt;&gt;0,C658-CurrentMtgRatesDataTable8[[#This Row],[WA CC]],0)</f>
        <v>0.25959999999999983</v>
      </c>
      <c r="L659" s="16">
        <f>IF(CurrentMtgRatesDataTable8[[#This Row],[Servicing Spread]]&lt;=0,L658,CurrentMtgRatesDataTable8[[#This Row],[Servicing Spread]])</f>
        <v>0.25959999999999983</v>
      </c>
      <c r="M659" s="16">
        <f>CurrentMtgRatesDataTable8[[#This Row],[Servicing Spread Non-Zero]]-L658</f>
        <v>5.8499999999996888E-3</v>
      </c>
      <c r="N659" s="16">
        <f>IF(J658&lt;&gt;0,CurrentMtgRatesDataTable8[[#This Row],[Rate]]-C658,N658)</f>
        <v>-2.4999999999999467E-2</v>
      </c>
    </row>
    <row r="660" spans="1:14">
      <c r="A660" s="12" t="s">
        <v>2012</v>
      </c>
      <c r="B660" s="13">
        <v>6.3440000000000003</v>
      </c>
      <c r="C660" s="13">
        <v>6.6749999999999998</v>
      </c>
      <c r="D660" s="15">
        <f t="shared" si="70"/>
        <v>1</v>
      </c>
      <c r="E660" s="15">
        <f t="shared" si="71"/>
        <v>0.2</v>
      </c>
      <c r="F660" s="15">
        <f t="shared" si="72"/>
        <v>1</v>
      </c>
      <c r="G660" s="15">
        <f t="shared" si="73"/>
        <v>1.2688000000000001</v>
      </c>
      <c r="H660" s="15">
        <f t="shared" si="74"/>
        <v>0.2</v>
      </c>
      <c r="I660" s="15">
        <f t="shared" si="75"/>
        <v>0</v>
      </c>
      <c r="J660" s="15">
        <f t="shared" si="76"/>
        <v>0</v>
      </c>
      <c r="K660" s="15">
        <f>IF(CurrentMtgRatesDataTable8[[#This Row],[WA CC]]&lt;&gt;0,C659-CurrentMtgRatesDataTable8[[#This Row],[WA CC]],0)</f>
        <v>0</v>
      </c>
      <c r="L660" s="16">
        <f>IF(CurrentMtgRatesDataTable8[[#This Row],[Servicing Spread]]&lt;=0,L659,CurrentMtgRatesDataTable8[[#This Row],[Servicing Spread]])</f>
        <v>0.25959999999999983</v>
      </c>
      <c r="M660" s="16">
        <f>CurrentMtgRatesDataTable8[[#This Row],[Servicing Spread Non-Zero]]-L659</f>
        <v>0</v>
      </c>
      <c r="N660" s="16">
        <f>IF(J659&lt;&gt;0,CurrentMtgRatesDataTable8[[#This Row],[Rate]]-C659,N659)</f>
        <v>3.4999999999999254E-2</v>
      </c>
    </row>
    <row r="661" spans="1:14">
      <c r="A661" s="12" t="s">
        <v>2013</v>
      </c>
      <c r="B661" s="13">
        <v>6.3310000000000004</v>
      </c>
      <c r="C661" s="13">
        <v>6.6749999999999998</v>
      </c>
      <c r="D661" s="15">
        <f t="shared" si="70"/>
        <v>2</v>
      </c>
      <c r="E661" s="15">
        <f t="shared" si="71"/>
        <v>0.2</v>
      </c>
      <c r="F661" s="15">
        <f t="shared" si="72"/>
        <v>2</v>
      </c>
      <c r="G661" s="15">
        <f t="shared" si="73"/>
        <v>2.5350000000000001</v>
      </c>
      <c r="H661" s="15">
        <f t="shared" si="74"/>
        <v>0.4</v>
      </c>
      <c r="I661" s="15">
        <f t="shared" si="75"/>
        <v>0</v>
      </c>
      <c r="J661" s="15">
        <f t="shared" si="76"/>
        <v>0</v>
      </c>
      <c r="K661" s="15">
        <f>IF(CurrentMtgRatesDataTable8[[#This Row],[WA CC]]&lt;&gt;0,C660-CurrentMtgRatesDataTable8[[#This Row],[WA CC]],0)</f>
        <v>0</v>
      </c>
      <c r="L661" s="16">
        <f>IF(CurrentMtgRatesDataTable8[[#This Row],[Servicing Spread]]&lt;=0,L660,CurrentMtgRatesDataTable8[[#This Row],[Servicing Spread]])</f>
        <v>0.25959999999999983</v>
      </c>
      <c r="M661" s="16">
        <f>CurrentMtgRatesDataTable8[[#This Row],[Servicing Spread Non-Zero]]-L660</f>
        <v>0</v>
      </c>
      <c r="N661" s="16">
        <f>IF(J660&lt;&gt;0,CurrentMtgRatesDataTable8[[#This Row],[Rate]]-C660,N660)</f>
        <v>3.4999999999999254E-2</v>
      </c>
    </row>
    <row r="662" spans="1:14">
      <c r="A662" s="12" t="s">
        <v>2014</v>
      </c>
      <c r="B662" s="13">
        <v>6.3390000000000004</v>
      </c>
      <c r="C662" s="13">
        <v>6.6749999999999998</v>
      </c>
      <c r="D662" s="15">
        <f t="shared" si="70"/>
        <v>5</v>
      </c>
      <c r="E662" s="15">
        <f t="shared" si="71"/>
        <v>0.2</v>
      </c>
      <c r="F662" s="15">
        <f t="shared" si="72"/>
        <v>3</v>
      </c>
      <c r="G662" s="15">
        <f t="shared" si="73"/>
        <v>3.8028000000000004</v>
      </c>
      <c r="H662" s="15">
        <f t="shared" si="74"/>
        <v>0.60000000000000009</v>
      </c>
      <c r="I662" s="15">
        <f t="shared" si="75"/>
        <v>0</v>
      </c>
      <c r="J662" s="15">
        <f t="shared" si="76"/>
        <v>0</v>
      </c>
      <c r="K662" s="15">
        <f>IF(CurrentMtgRatesDataTable8[[#This Row],[WA CC]]&lt;&gt;0,C661-CurrentMtgRatesDataTable8[[#This Row],[WA CC]],0)</f>
        <v>0</v>
      </c>
      <c r="L662" s="16">
        <f>IF(CurrentMtgRatesDataTable8[[#This Row],[Servicing Spread]]&lt;=0,L661,CurrentMtgRatesDataTable8[[#This Row],[Servicing Spread]])</f>
        <v>0.25959999999999983</v>
      </c>
      <c r="M662" s="16">
        <f>CurrentMtgRatesDataTable8[[#This Row],[Servicing Spread Non-Zero]]-L661</f>
        <v>0</v>
      </c>
      <c r="N662" s="16">
        <f>IF(J661&lt;&gt;0,CurrentMtgRatesDataTable8[[#This Row],[Rate]]-C661,N661)</f>
        <v>3.4999999999999254E-2</v>
      </c>
    </row>
    <row r="663" spans="1:14">
      <c r="A663" s="12" t="s">
        <v>2015</v>
      </c>
      <c r="B663" s="13">
        <v>6.3860000000000001</v>
      </c>
      <c r="C663" s="13">
        <v>6.6749999999999998</v>
      </c>
      <c r="D663" s="15">
        <f t="shared" si="70"/>
        <v>6</v>
      </c>
      <c r="E663" s="15">
        <f t="shared" si="71"/>
        <v>0.2</v>
      </c>
      <c r="F663" s="15">
        <f t="shared" si="72"/>
        <v>4</v>
      </c>
      <c r="G663" s="15">
        <f t="shared" si="73"/>
        <v>5.08</v>
      </c>
      <c r="H663" s="15">
        <f t="shared" si="74"/>
        <v>0.8</v>
      </c>
      <c r="I663" s="15">
        <f t="shared" si="75"/>
        <v>0</v>
      </c>
      <c r="J663" s="15">
        <f t="shared" si="76"/>
        <v>0</v>
      </c>
      <c r="K663" s="15">
        <f>IF(CurrentMtgRatesDataTable8[[#This Row],[WA CC]]&lt;&gt;0,C662-CurrentMtgRatesDataTable8[[#This Row],[WA CC]],0)</f>
        <v>0</v>
      </c>
      <c r="L663" s="16">
        <f>IF(CurrentMtgRatesDataTable8[[#This Row],[Servicing Spread]]&lt;=0,L662,CurrentMtgRatesDataTable8[[#This Row],[Servicing Spread]])</f>
        <v>0.25959999999999983</v>
      </c>
      <c r="M663" s="16">
        <f>CurrentMtgRatesDataTable8[[#This Row],[Servicing Spread Non-Zero]]-L662</f>
        <v>0</v>
      </c>
      <c r="N663" s="16">
        <f>IF(J662&lt;&gt;0,CurrentMtgRatesDataTable8[[#This Row],[Rate]]-C662,N662)</f>
        <v>3.4999999999999254E-2</v>
      </c>
    </row>
    <row r="664" spans="1:14">
      <c r="A664" s="12" t="s">
        <v>2016</v>
      </c>
      <c r="B664" s="13">
        <v>6.31</v>
      </c>
      <c r="C664" s="13">
        <v>6.6749999999999998</v>
      </c>
      <c r="D664" s="15">
        <f t="shared" si="70"/>
        <v>7</v>
      </c>
      <c r="E664" s="15">
        <f t="shared" si="71"/>
        <v>0.2</v>
      </c>
      <c r="F664" s="15">
        <f t="shared" si="72"/>
        <v>5</v>
      </c>
      <c r="G664" s="15">
        <f t="shared" si="73"/>
        <v>6.3420000000000005</v>
      </c>
      <c r="H664" s="15">
        <f t="shared" si="74"/>
        <v>1</v>
      </c>
      <c r="I664" s="15">
        <f t="shared" si="75"/>
        <v>1</v>
      </c>
      <c r="J664" s="15">
        <f t="shared" si="76"/>
        <v>6.3420000000000005</v>
      </c>
      <c r="K664" s="15">
        <f>IF(CurrentMtgRatesDataTable8[[#This Row],[WA CC]]&lt;&gt;0,C663-CurrentMtgRatesDataTable8[[#This Row],[WA CC]],0)</f>
        <v>0.3329999999999993</v>
      </c>
      <c r="L664" s="16">
        <f>IF(CurrentMtgRatesDataTable8[[#This Row],[Servicing Spread]]&lt;=0,L663,CurrentMtgRatesDataTable8[[#This Row],[Servicing Spread]])</f>
        <v>0.3329999999999993</v>
      </c>
      <c r="M664" s="16">
        <f>CurrentMtgRatesDataTable8[[#This Row],[Servicing Spread Non-Zero]]-L663</f>
        <v>7.3399999999999466E-2</v>
      </c>
      <c r="N664" s="16">
        <f>IF(J663&lt;&gt;0,CurrentMtgRatesDataTable8[[#This Row],[Rate]]-C663,N663)</f>
        <v>3.4999999999999254E-2</v>
      </c>
    </row>
    <row r="665" spans="1:14">
      <c r="A665" s="12" t="s">
        <v>2017</v>
      </c>
      <c r="B665" s="13">
        <v>6.2629999999999999</v>
      </c>
      <c r="C665" s="13">
        <v>6.5449999999999999</v>
      </c>
      <c r="D665" s="15">
        <f t="shared" si="70"/>
        <v>1</v>
      </c>
      <c r="E665" s="15">
        <f t="shared" si="71"/>
        <v>0.2</v>
      </c>
      <c r="F665" s="15">
        <f t="shared" si="72"/>
        <v>1</v>
      </c>
      <c r="G665" s="15">
        <f t="shared" si="73"/>
        <v>1.2526000000000002</v>
      </c>
      <c r="H665" s="15">
        <f t="shared" si="74"/>
        <v>0.2</v>
      </c>
      <c r="I665" s="15">
        <f t="shared" si="75"/>
        <v>0</v>
      </c>
      <c r="J665" s="15">
        <f t="shared" si="76"/>
        <v>0</v>
      </c>
      <c r="K665" s="15">
        <f>IF(CurrentMtgRatesDataTable8[[#This Row],[WA CC]]&lt;&gt;0,C664-CurrentMtgRatesDataTable8[[#This Row],[WA CC]],0)</f>
        <v>0</v>
      </c>
      <c r="L665" s="16">
        <f>IF(CurrentMtgRatesDataTable8[[#This Row],[Servicing Spread]]&lt;=0,L664,CurrentMtgRatesDataTable8[[#This Row],[Servicing Spread]])</f>
        <v>0.3329999999999993</v>
      </c>
      <c r="M665" s="16">
        <f>CurrentMtgRatesDataTable8[[#This Row],[Servicing Spread Non-Zero]]-L664</f>
        <v>0</v>
      </c>
      <c r="N665" s="16">
        <f>IF(J664&lt;&gt;0,CurrentMtgRatesDataTable8[[#This Row],[Rate]]-C664,N664)</f>
        <v>-0.12999999999999989</v>
      </c>
    </row>
    <row r="666" spans="1:14">
      <c r="A666" s="12" t="s">
        <v>2018</v>
      </c>
      <c r="B666" s="13">
        <v>6.2690000000000001</v>
      </c>
      <c r="C666" s="13">
        <v>6.5449999999999999</v>
      </c>
      <c r="D666" s="15">
        <f t="shared" si="70"/>
        <v>2</v>
      </c>
      <c r="E666" s="15">
        <f t="shared" si="71"/>
        <v>0.2</v>
      </c>
      <c r="F666" s="15">
        <f t="shared" si="72"/>
        <v>2</v>
      </c>
      <c r="G666" s="15">
        <f t="shared" si="73"/>
        <v>2.5064000000000002</v>
      </c>
      <c r="H666" s="15">
        <f t="shared" si="74"/>
        <v>0.4</v>
      </c>
      <c r="I666" s="15">
        <f t="shared" si="75"/>
        <v>0</v>
      </c>
      <c r="J666" s="15">
        <f t="shared" si="76"/>
        <v>0</v>
      </c>
      <c r="K666" s="15">
        <f>IF(CurrentMtgRatesDataTable8[[#This Row],[WA CC]]&lt;&gt;0,C665-CurrentMtgRatesDataTable8[[#This Row],[WA CC]],0)</f>
        <v>0</v>
      </c>
      <c r="L666" s="16">
        <f>IF(CurrentMtgRatesDataTable8[[#This Row],[Servicing Spread]]&lt;=0,L665,CurrentMtgRatesDataTable8[[#This Row],[Servicing Spread]])</f>
        <v>0.3329999999999993</v>
      </c>
      <c r="M666" s="16">
        <f>CurrentMtgRatesDataTable8[[#This Row],[Servicing Spread Non-Zero]]-L665</f>
        <v>0</v>
      </c>
      <c r="N666" s="16">
        <f>IF(J665&lt;&gt;0,CurrentMtgRatesDataTable8[[#This Row],[Rate]]-C665,N665)</f>
        <v>-0.12999999999999989</v>
      </c>
    </row>
    <row r="667" spans="1:14">
      <c r="A667" s="12" t="s">
        <v>2019</v>
      </c>
      <c r="B667" s="13">
        <v>6.2690000000000001</v>
      </c>
      <c r="C667" s="13">
        <v>6.5449999999999999</v>
      </c>
      <c r="D667" s="15">
        <f t="shared" si="70"/>
        <v>5</v>
      </c>
      <c r="E667" s="15">
        <f t="shared" si="71"/>
        <v>0.2</v>
      </c>
      <c r="F667" s="15">
        <f t="shared" si="72"/>
        <v>3</v>
      </c>
      <c r="G667" s="15">
        <f t="shared" si="73"/>
        <v>3.7602000000000002</v>
      </c>
      <c r="H667" s="15">
        <f t="shared" si="74"/>
        <v>0.60000000000000009</v>
      </c>
      <c r="I667" s="15">
        <f t="shared" si="75"/>
        <v>0</v>
      </c>
      <c r="J667" s="15">
        <f t="shared" si="76"/>
        <v>0</v>
      </c>
      <c r="K667" s="15">
        <f>IF(CurrentMtgRatesDataTable8[[#This Row],[WA CC]]&lt;&gt;0,C666-CurrentMtgRatesDataTable8[[#This Row],[WA CC]],0)</f>
        <v>0</v>
      </c>
      <c r="L667" s="16">
        <f>IF(CurrentMtgRatesDataTable8[[#This Row],[Servicing Spread]]&lt;=0,L666,CurrentMtgRatesDataTable8[[#This Row],[Servicing Spread]])</f>
        <v>0.3329999999999993</v>
      </c>
      <c r="M667" s="16">
        <f>CurrentMtgRatesDataTable8[[#This Row],[Servicing Spread Non-Zero]]-L666</f>
        <v>0</v>
      </c>
      <c r="N667" s="16">
        <f>IF(J666&lt;&gt;0,CurrentMtgRatesDataTable8[[#This Row],[Rate]]-C666,N666)</f>
        <v>-0.12999999999999989</v>
      </c>
    </row>
    <row r="668" spans="1:14">
      <c r="A668" s="12" t="s">
        <v>2020</v>
      </c>
      <c r="B668" s="13">
        <v>6.2880000000000003</v>
      </c>
      <c r="C668" s="13">
        <v>6.5449999999999999</v>
      </c>
      <c r="D668" s="15">
        <f t="shared" si="70"/>
        <v>6</v>
      </c>
      <c r="E668" s="15">
        <f t="shared" si="71"/>
        <v>0.2</v>
      </c>
      <c r="F668" s="15">
        <f t="shared" si="72"/>
        <v>4</v>
      </c>
      <c r="G668" s="15">
        <f t="shared" si="73"/>
        <v>5.0178000000000003</v>
      </c>
      <c r="H668" s="15">
        <f t="shared" si="74"/>
        <v>0.8</v>
      </c>
      <c r="I668" s="15">
        <f t="shared" si="75"/>
        <v>0</v>
      </c>
      <c r="J668" s="15">
        <f t="shared" si="76"/>
        <v>0</v>
      </c>
      <c r="K668" s="15">
        <f>IF(CurrentMtgRatesDataTable8[[#This Row],[WA CC]]&lt;&gt;0,C667-CurrentMtgRatesDataTable8[[#This Row],[WA CC]],0)</f>
        <v>0</v>
      </c>
      <c r="L668" s="16">
        <f>IF(CurrentMtgRatesDataTable8[[#This Row],[Servicing Spread]]&lt;=0,L667,CurrentMtgRatesDataTable8[[#This Row],[Servicing Spread]])</f>
        <v>0.3329999999999993</v>
      </c>
      <c r="M668" s="16">
        <f>CurrentMtgRatesDataTable8[[#This Row],[Servicing Spread Non-Zero]]-L667</f>
        <v>0</v>
      </c>
      <c r="N668" s="16">
        <f>IF(J667&lt;&gt;0,CurrentMtgRatesDataTable8[[#This Row],[Rate]]-C667,N667)</f>
        <v>-0.12999999999999989</v>
      </c>
    </row>
    <row r="669" spans="1:14">
      <c r="A669" s="12" t="s">
        <v>2021</v>
      </c>
      <c r="B669" s="13">
        <v>6.2480000000000002</v>
      </c>
      <c r="C669" s="13">
        <v>6.5449999999999999</v>
      </c>
      <c r="D669" s="15">
        <f t="shared" si="70"/>
        <v>7</v>
      </c>
      <c r="E669" s="15">
        <f t="shared" si="71"/>
        <v>0.2</v>
      </c>
      <c r="F669" s="15">
        <f t="shared" si="72"/>
        <v>5</v>
      </c>
      <c r="G669" s="15">
        <f t="shared" si="73"/>
        <v>6.2674000000000003</v>
      </c>
      <c r="H669" s="15">
        <f t="shared" si="74"/>
        <v>1</v>
      </c>
      <c r="I669" s="15">
        <f t="shared" si="75"/>
        <v>1</v>
      </c>
      <c r="J669" s="15">
        <f t="shared" si="76"/>
        <v>6.2674000000000003</v>
      </c>
      <c r="K669" s="15">
        <f>IF(CurrentMtgRatesDataTable8[[#This Row],[WA CC]]&lt;&gt;0,C668-CurrentMtgRatesDataTable8[[#This Row],[WA CC]],0)</f>
        <v>0.27759999999999962</v>
      </c>
      <c r="L669" s="16">
        <f>IF(CurrentMtgRatesDataTable8[[#This Row],[Servicing Spread]]&lt;=0,L668,CurrentMtgRatesDataTable8[[#This Row],[Servicing Spread]])</f>
        <v>0.27759999999999962</v>
      </c>
      <c r="M669" s="16">
        <f>CurrentMtgRatesDataTable8[[#This Row],[Servicing Spread Non-Zero]]-L668</f>
        <v>-5.5399999999999672E-2</v>
      </c>
      <c r="N669" s="16">
        <f>IF(J668&lt;&gt;0,CurrentMtgRatesDataTable8[[#This Row],[Rate]]-C668,N668)</f>
        <v>-0.12999999999999989</v>
      </c>
    </row>
    <row r="670" spans="1:14">
      <c r="A670" s="12" t="s">
        <v>2022</v>
      </c>
      <c r="B670" s="13">
        <v>6.2380000000000004</v>
      </c>
      <c r="C670" s="13">
        <v>6.4550000000000001</v>
      </c>
      <c r="D670" s="15">
        <f t="shared" si="70"/>
        <v>1</v>
      </c>
      <c r="E670" s="15">
        <f t="shared" si="71"/>
        <v>0.2</v>
      </c>
      <c r="F670" s="15">
        <f t="shared" si="72"/>
        <v>1</v>
      </c>
      <c r="G670" s="15">
        <f t="shared" si="73"/>
        <v>1.2476000000000003</v>
      </c>
      <c r="H670" s="15">
        <f t="shared" si="74"/>
        <v>0.2</v>
      </c>
      <c r="I670" s="15">
        <f t="shared" si="75"/>
        <v>0</v>
      </c>
      <c r="J670" s="15">
        <f t="shared" si="76"/>
        <v>0</v>
      </c>
      <c r="K670" s="15">
        <f>IF(CurrentMtgRatesDataTable8[[#This Row],[WA CC]]&lt;&gt;0,C669-CurrentMtgRatesDataTable8[[#This Row],[WA CC]],0)</f>
        <v>0</v>
      </c>
      <c r="L670" s="16">
        <f>IF(CurrentMtgRatesDataTable8[[#This Row],[Servicing Spread]]&lt;=0,L669,CurrentMtgRatesDataTable8[[#This Row],[Servicing Spread]])</f>
        <v>0.27759999999999962</v>
      </c>
      <c r="M670" s="16">
        <f>CurrentMtgRatesDataTable8[[#This Row],[Servicing Spread Non-Zero]]-L669</f>
        <v>0</v>
      </c>
      <c r="N670" s="16">
        <f>IF(J669&lt;&gt;0,CurrentMtgRatesDataTable8[[#This Row],[Rate]]-C669,N669)</f>
        <v>-8.9999999999999858E-2</v>
      </c>
    </row>
    <row r="671" spans="1:14">
      <c r="A671" s="12" t="s">
        <v>2023</v>
      </c>
      <c r="B671" s="13">
        <v>6.1639999999999997</v>
      </c>
      <c r="C671" s="13">
        <v>6.4550000000000001</v>
      </c>
      <c r="D671" s="15">
        <f t="shared" si="70"/>
        <v>2</v>
      </c>
      <c r="E671" s="15">
        <f t="shared" si="71"/>
        <v>0.2</v>
      </c>
      <c r="F671" s="15">
        <f t="shared" si="72"/>
        <v>2</v>
      </c>
      <c r="G671" s="15">
        <f t="shared" si="73"/>
        <v>2.4804000000000004</v>
      </c>
      <c r="H671" s="15">
        <f t="shared" si="74"/>
        <v>0.4</v>
      </c>
      <c r="I671" s="15">
        <f t="shared" si="75"/>
        <v>0</v>
      </c>
      <c r="J671" s="15">
        <f t="shared" si="76"/>
        <v>0</v>
      </c>
      <c r="K671" s="15">
        <f>IF(CurrentMtgRatesDataTable8[[#This Row],[WA CC]]&lt;&gt;0,C670-CurrentMtgRatesDataTable8[[#This Row],[WA CC]],0)</f>
        <v>0</v>
      </c>
      <c r="L671" s="16">
        <f>IF(CurrentMtgRatesDataTable8[[#This Row],[Servicing Spread]]&lt;=0,L670,CurrentMtgRatesDataTable8[[#This Row],[Servicing Spread]])</f>
        <v>0.27759999999999962</v>
      </c>
      <c r="M671" s="16">
        <f>CurrentMtgRatesDataTable8[[#This Row],[Servicing Spread Non-Zero]]-L670</f>
        <v>0</v>
      </c>
      <c r="N671" s="16">
        <f>IF(J670&lt;&gt;0,CurrentMtgRatesDataTable8[[#This Row],[Rate]]-C670,N670)</f>
        <v>-8.9999999999999858E-2</v>
      </c>
    </row>
    <row r="672" spans="1:14">
      <c r="A672" s="12" t="s">
        <v>2024</v>
      </c>
      <c r="B672" s="13">
        <v>6.1580000000000004</v>
      </c>
      <c r="C672" s="13">
        <v>6.4550000000000001</v>
      </c>
      <c r="D672" s="15">
        <f t="shared" si="70"/>
        <v>5</v>
      </c>
      <c r="E672" s="15">
        <f t="shared" si="71"/>
        <v>0.2</v>
      </c>
      <c r="F672" s="15">
        <f t="shared" si="72"/>
        <v>3</v>
      </c>
      <c r="G672" s="15">
        <f t="shared" si="73"/>
        <v>3.7120000000000006</v>
      </c>
      <c r="H672" s="15">
        <f t="shared" si="74"/>
        <v>0.60000000000000009</v>
      </c>
      <c r="I672" s="15">
        <f t="shared" si="75"/>
        <v>0</v>
      </c>
      <c r="J672" s="15">
        <f t="shared" si="76"/>
        <v>0</v>
      </c>
      <c r="K672" s="15">
        <f>IF(CurrentMtgRatesDataTable8[[#This Row],[WA CC]]&lt;&gt;0,C671-CurrentMtgRatesDataTable8[[#This Row],[WA CC]],0)</f>
        <v>0</v>
      </c>
      <c r="L672" s="16">
        <f>IF(CurrentMtgRatesDataTable8[[#This Row],[Servicing Spread]]&lt;=0,L671,CurrentMtgRatesDataTable8[[#This Row],[Servicing Spread]])</f>
        <v>0.27759999999999962</v>
      </c>
      <c r="M672" s="16">
        <f>CurrentMtgRatesDataTable8[[#This Row],[Servicing Spread Non-Zero]]-L671</f>
        <v>0</v>
      </c>
      <c r="N672" s="16">
        <f>IF(J671&lt;&gt;0,CurrentMtgRatesDataTable8[[#This Row],[Rate]]-C671,N671)</f>
        <v>-8.9999999999999858E-2</v>
      </c>
    </row>
    <row r="673" spans="1:14">
      <c r="A673" s="12" t="s">
        <v>2025</v>
      </c>
      <c r="B673" s="13">
        <v>6.149</v>
      </c>
      <c r="C673" s="13">
        <v>6.4550000000000001</v>
      </c>
      <c r="D673" s="15">
        <f t="shared" si="70"/>
        <v>6</v>
      </c>
      <c r="E673" s="15">
        <f t="shared" si="71"/>
        <v>0.2</v>
      </c>
      <c r="F673" s="15">
        <f t="shared" si="72"/>
        <v>4</v>
      </c>
      <c r="G673" s="15">
        <f t="shared" si="73"/>
        <v>4.9418000000000006</v>
      </c>
      <c r="H673" s="15">
        <f t="shared" si="74"/>
        <v>0.8</v>
      </c>
      <c r="I673" s="15">
        <f t="shared" si="75"/>
        <v>0</v>
      </c>
      <c r="J673" s="15">
        <f t="shared" si="76"/>
        <v>0</v>
      </c>
      <c r="K673" s="15">
        <f>IF(CurrentMtgRatesDataTable8[[#This Row],[WA CC]]&lt;&gt;0,C672-CurrentMtgRatesDataTable8[[#This Row],[WA CC]],0)</f>
        <v>0</v>
      </c>
      <c r="L673" s="16">
        <f>IF(CurrentMtgRatesDataTable8[[#This Row],[Servicing Spread]]&lt;=0,L672,CurrentMtgRatesDataTable8[[#This Row],[Servicing Spread]])</f>
        <v>0.27759999999999962</v>
      </c>
      <c r="M673" s="16">
        <f>CurrentMtgRatesDataTable8[[#This Row],[Servicing Spread Non-Zero]]-L672</f>
        <v>0</v>
      </c>
      <c r="N673" s="16">
        <f>IF(J672&lt;&gt;0,CurrentMtgRatesDataTable8[[#This Row],[Rate]]-C672,N672)</f>
        <v>-8.9999999999999858E-2</v>
      </c>
    </row>
    <row r="674" spans="1:14">
      <c r="A674" s="12" t="s">
        <v>2026</v>
      </c>
      <c r="B674" s="13">
        <v>6.1269999999999998</v>
      </c>
      <c r="C674" s="13">
        <v>6.4550000000000001</v>
      </c>
      <c r="D674" s="15">
        <f t="shared" si="70"/>
        <v>7</v>
      </c>
      <c r="E674" s="15">
        <f t="shared" si="71"/>
        <v>0.2</v>
      </c>
      <c r="F674" s="15">
        <f t="shared" si="72"/>
        <v>5</v>
      </c>
      <c r="G674" s="15">
        <f t="shared" si="73"/>
        <v>6.1672000000000011</v>
      </c>
      <c r="H674" s="15">
        <f t="shared" si="74"/>
        <v>1</v>
      </c>
      <c r="I674" s="15">
        <f t="shared" si="75"/>
        <v>1</v>
      </c>
      <c r="J674" s="15">
        <f t="shared" si="76"/>
        <v>6.1672000000000011</v>
      </c>
      <c r="K674" s="15">
        <f>IF(CurrentMtgRatesDataTable8[[#This Row],[WA CC]]&lt;&gt;0,C673-CurrentMtgRatesDataTable8[[#This Row],[WA CC]],0)</f>
        <v>0.28779999999999895</v>
      </c>
      <c r="L674" s="16">
        <f>IF(CurrentMtgRatesDataTable8[[#This Row],[Servicing Spread]]&lt;=0,L673,CurrentMtgRatesDataTable8[[#This Row],[Servicing Spread]])</f>
        <v>0.28779999999999895</v>
      </c>
      <c r="M674" s="16">
        <f>CurrentMtgRatesDataTable8[[#This Row],[Servicing Spread Non-Zero]]-L673</f>
        <v>1.0199999999999321E-2</v>
      </c>
      <c r="N674" s="16">
        <f>IF(J673&lt;&gt;0,CurrentMtgRatesDataTable8[[#This Row],[Rate]]-C673,N673)</f>
        <v>-8.9999999999999858E-2</v>
      </c>
    </row>
    <row r="675" spans="1:14">
      <c r="A675" s="12" t="s">
        <v>2027</v>
      </c>
      <c r="B675" s="13">
        <v>6.1420000000000003</v>
      </c>
      <c r="C675" s="13">
        <v>6.3999999999999995</v>
      </c>
      <c r="D675" s="15">
        <f t="shared" si="70"/>
        <v>1</v>
      </c>
      <c r="E675" s="15">
        <f t="shared" si="71"/>
        <v>0.2</v>
      </c>
      <c r="F675" s="15">
        <f t="shared" si="72"/>
        <v>1</v>
      </c>
      <c r="G675" s="15">
        <f t="shared" si="73"/>
        <v>1.2284000000000002</v>
      </c>
      <c r="H675" s="15">
        <f t="shared" si="74"/>
        <v>0.2</v>
      </c>
      <c r="I675" s="15">
        <f t="shared" si="75"/>
        <v>0</v>
      </c>
      <c r="J675" s="15">
        <f t="shared" si="76"/>
        <v>0</v>
      </c>
      <c r="K675" s="15">
        <f>IF(CurrentMtgRatesDataTable8[[#This Row],[WA CC]]&lt;&gt;0,C674-CurrentMtgRatesDataTable8[[#This Row],[WA CC]],0)</f>
        <v>0</v>
      </c>
      <c r="L675" s="16">
        <f>IF(CurrentMtgRatesDataTable8[[#This Row],[Servicing Spread]]&lt;=0,L674,CurrentMtgRatesDataTable8[[#This Row],[Servicing Spread]])</f>
        <v>0.28779999999999895</v>
      </c>
      <c r="M675" s="16">
        <f>CurrentMtgRatesDataTable8[[#This Row],[Servicing Spread Non-Zero]]-L674</f>
        <v>0</v>
      </c>
      <c r="N675" s="16">
        <f>IF(J674&lt;&gt;0,CurrentMtgRatesDataTable8[[#This Row],[Rate]]-C674,N674)</f>
        <v>-5.5000000000000604E-2</v>
      </c>
    </row>
    <row r="676" spans="1:14">
      <c r="A676" s="12" t="s">
        <v>2028</v>
      </c>
      <c r="B676" s="13">
        <v>6.0579999999999998</v>
      </c>
      <c r="C676" s="13">
        <v>6.3999999999999995</v>
      </c>
      <c r="D676" s="15">
        <f t="shared" si="70"/>
        <v>2</v>
      </c>
      <c r="E676" s="15">
        <f t="shared" si="71"/>
        <v>0.2</v>
      </c>
      <c r="F676" s="15">
        <f t="shared" si="72"/>
        <v>2</v>
      </c>
      <c r="G676" s="15">
        <f t="shared" si="73"/>
        <v>2.4400000000000004</v>
      </c>
      <c r="H676" s="15">
        <f t="shared" si="74"/>
        <v>0.4</v>
      </c>
      <c r="I676" s="15">
        <f t="shared" si="75"/>
        <v>0</v>
      </c>
      <c r="J676" s="15">
        <f t="shared" si="76"/>
        <v>0</v>
      </c>
      <c r="K676" s="15">
        <f>IF(CurrentMtgRatesDataTable8[[#This Row],[WA CC]]&lt;&gt;0,C675-CurrentMtgRatesDataTable8[[#This Row],[WA CC]],0)</f>
        <v>0</v>
      </c>
      <c r="L676" s="16">
        <f>IF(CurrentMtgRatesDataTable8[[#This Row],[Servicing Spread]]&lt;=0,L675,CurrentMtgRatesDataTable8[[#This Row],[Servicing Spread]])</f>
        <v>0.28779999999999895</v>
      </c>
      <c r="M676" s="16">
        <f>CurrentMtgRatesDataTable8[[#This Row],[Servicing Spread Non-Zero]]-L675</f>
        <v>0</v>
      </c>
      <c r="N676" s="16">
        <f>IF(J675&lt;&gt;0,CurrentMtgRatesDataTable8[[#This Row],[Rate]]-C675,N675)</f>
        <v>-5.5000000000000604E-2</v>
      </c>
    </row>
    <row r="677" spans="1:14">
      <c r="A677" s="12" t="s">
        <v>2029</v>
      </c>
      <c r="B677" s="13">
        <v>6.09</v>
      </c>
      <c r="C677" s="13">
        <v>6.3999999999999995</v>
      </c>
      <c r="D677" s="15">
        <f t="shared" si="70"/>
        <v>5</v>
      </c>
      <c r="E677" s="15">
        <f t="shared" si="71"/>
        <v>0.2</v>
      </c>
      <c r="F677" s="15">
        <f t="shared" si="72"/>
        <v>3</v>
      </c>
      <c r="G677" s="15">
        <f t="shared" si="73"/>
        <v>3.6580000000000004</v>
      </c>
      <c r="H677" s="15">
        <f t="shared" si="74"/>
        <v>0.60000000000000009</v>
      </c>
      <c r="I677" s="15">
        <f t="shared" si="75"/>
        <v>0</v>
      </c>
      <c r="J677" s="15">
        <f t="shared" si="76"/>
        <v>0</v>
      </c>
      <c r="K677" s="15">
        <f>IF(CurrentMtgRatesDataTable8[[#This Row],[WA CC]]&lt;&gt;0,C676-CurrentMtgRatesDataTable8[[#This Row],[WA CC]],0)</f>
        <v>0</v>
      </c>
      <c r="L677" s="16">
        <f>IF(CurrentMtgRatesDataTable8[[#This Row],[Servicing Spread]]&lt;=0,L676,CurrentMtgRatesDataTable8[[#This Row],[Servicing Spread]])</f>
        <v>0.28779999999999895</v>
      </c>
      <c r="M677" s="16">
        <f>CurrentMtgRatesDataTable8[[#This Row],[Servicing Spread Non-Zero]]-L676</f>
        <v>0</v>
      </c>
      <c r="N677" s="16">
        <f>IF(J676&lt;&gt;0,CurrentMtgRatesDataTable8[[#This Row],[Rate]]-C676,N676)</f>
        <v>-5.5000000000000604E-2</v>
      </c>
    </row>
    <row r="678" spans="1:14">
      <c r="A678" s="12" t="s">
        <v>2030</v>
      </c>
      <c r="B678" s="13">
        <v>6.0670000000000002</v>
      </c>
      <c r="C678" s="13">
        <v>6.3999999999999995</v>
      </c>
      <c r="D678" s="15">
        <f t="shared" si="70"/>
        <v>6</v>
      </c>
      <c r="E678" s="15">
        <f t="shared" si="71"/>
        <v>0.2</v>
      </c>
      <c r="F678" s="15">
        <f t="shared" si="72"/>
        <v>4</v>
      </c>
      <c r="G678" s="15">
        <f t="shared" si="73"/>
        <v>4.8714000000000004</v>
      </c>
      <c r="H678" s="15">
        <f t="shared" si="74"/>
        <v>0.8</v>
      </c>
      <c r="I678" s="15">
        <f t="shared" si="75"/>
        <v>0</v>
      </c>
      <c r="J678" s="15">
        <f t="shared" si="76"/>
        <v>0</v>
      </c>
      <c r="K678" s="15">
        <f>IF(CurrentMtgRatesDataTable8[[#This Row],[WA CC]]&lt;&gt;0,C677-CurrentMtgRatesDataTable8[[#This Row],[WA CC]],0)</f>
        <v>0</v>
      </c>
      <c r="L678" s="16">
        <f>IF(CurrentMtgRatesDataTable8[[#This Row],[Servicing Spread]]&lt;=0,L677,CurrentMtgRatesDataTable8[[#This Row],[Servicing Spread]])</f>
        <v>0.28779999999999895</v>
      </c>
      <c r="M678" s="16">
        <f>CurrentMtgRatesDataTable8[[#This Row],[Servicing Spread Non-Zero]]-L677</f>
        <v>0</v>
      </c>
      <c r="N678" s="16">
        <f>IF(J677&lt;&gt;0,CurrentMtgRatesDataTable8[[#This Row],[Rate]]-C677,N677)</f>
        <v>-5.5000000000000604E-2</v>
      </c>
    </row>
    <row r="679" spans="1:14">
      <c r="A679" s="12" t="s">
        <v>2031</v>
      </c>
      <c r="B679" s="13">
        <v>6.0640000000000001</v>
      </c>
      <c r="C679" s="13">
        <v>6.3999999999999995</v>
      </c>
      <c r="D679" s="15">
        <f t="shared" si="70"/>
        <v>7</v>
      </c>
      <c r="E679" s="15">
        <f t="shared" si="71"/>
        <v>0.2</v>
      </c>
      <c r="F679" s="15">
        <f t="shared" si="72"/>
        <v>5</v>
      </c>
      <c r="G679" s="15">
        <f t="shared" si="73"/>
        <v>6.0842000000000009</v>
      </c>
      <c r="H679" s="15">
        <f t="shared" si="74"/>
        <v>1</v>
      </c>
      <c r="I679" s="15">
        <f t="shared" si="75"/>
        <v>1</v>
      </c>
      <c r="J679" s="15">
        <f t="shared" si="76"/>
        <v>6.0842000000000009</v>
      </c>
      <c r="K679" s="15">
        <f>IF(CurrentMtgRatesDataTable8[[#This Row],[WA CC]]&lt;&gt;0,C678-CurrentMtgRatesDataTable8[[#This Row],[WA CC]],0)</f>
        <v>0.31579999999999853</v>
      </c>
      <c r="L679" s="16">
        <f>IF(CurrentMtgRatesDataTable8[[#This Row],[Servicing Spread]]&lt;=0,L678,CurrentMtgRatesDataTable8[[#This Row],[Servicing Spread]])</f>
        <v>0.31579999999999853</v>
      </c>
      <c r="M679" s="16">
        <f>CurrentMtgRatesDataTable8[[#This Row],[Servicing Spread Non-Zero]]-L678</f>
        <v>2.7999999999999581E-2</v>
      </c>
      <c r="N679" s="16">
        <f>IF(J678&lt;&gt;0,CurrentMtgRatesDataTable8[[#This Row],[Rate]]-C678,N678)</f>
        <v>-5.5000000000000604E-2</v>
      </c>
    </row>
    <row r="680" spans="1:14">
      <c r="A680" s="12" t="s">
        <v>2032</v>
      </c>
      <c r="B680" s="13">
        <v>6.0730000000000004</v>
      </c>
      <c r="C680" s="13">
        <v>6.3449999999999998</v>
      </c>
      <c r="D680" s="15">
        <f t="shared" si="70"/>
        <v>1</v>
      </c>
      <c r="E680" s="15">
        <f t="shared" si="71"/>
        <v>0.2</v>
      </c>
      <c r="F680" s="15">
        <f t="shared" si="72"/>
        <v>1</v>
      </c>
      <c r="G680" s="15">
        <f t="shared" si="73"/>
        <v>1.2146000000000001</v>
      </c>
      <c r="H680" s="15">
        <f t="shared" si="74"/>
        <v>0.2</v>
      </c>
      <c r="I680" s="15">
        <f t="shared" si="75"/>
        <v>0</v>
      </c>
      <c r="J680" s="15">
        <f t="shared" si="76"/>
        <v>0</v>
      </c>
      <c r="K680" s="15">
        <f>IF(CurrentMtgRatesDataTable8[[#This Row],[WA CC]]&lt;&gt;0,C679-CurrentMtgRatesDataTable8[[#This Row],[WA CC]],0)</f>
        <v>0</v>
      </c>
      <c r="L680" s="16">
        <f>IF(CurrentMtgRatesDataTable8[[#This Row],[Servicing Spread]]&lt;=0,L679,CurrentMtgRatesDataTable8[[#This Row],[Servicing Spread]])</f>
        <v>0.31579999999999853</v>
      </c>
      <c r="M680" s="16">
        <f>CurrentMtgRatesDataTable8[[#This Row],[Servicing Spread Non-Zero]]-L679</f>
        <v>0</v>
      </c>
      <c r="N680" s="16">
        <f>IF(J679&lt;&gt;0,CurrentMtgRatesDataTable8[[#This Row],[Rate]]-C679,N679)</f>
        <v>-5.4999999999999716E-2</v>
      </c>
    </row>
    <row r="681" spans="1:14">
      <c r="A681" s="12" t="s">
        <v>2033</v>
      </c>
      <c r="B681" s="13">
        <v>6.1159999999999997</v>
      </c>
      <c r="C681" s="13">
        <v>6.3449999999999998</v>
      </c>
      <c r="D681" s="15">
        <f t="shared" si="70"/>
        <v>2</v>
      </c>
      <c r="E681" s="15">
        <f t="shared" si="71"/>
        <v>0.2</v>
      </c>
      <c r="F681" s="15">
        <f t="shared" si="72"/>
        <v>2</v>
      </c>
      <c r="G681" s="15">
        <f t="shared" si="73"/>
        <v>2.4378000000000002</v>
      </c>
      <c r="H681" s="15">
        <f t="shared" si="74"/>
        <v>0.4</v>
      </c>
      <c r="I681" s="15">
        <f t="shared" si="75"/>
        <v>0</v>
      </c>
      <c r="J681" s="15">
        <f t="shared" si="76"/>
        <v>0</v>
      </c>
      <c r="K681" s="15">
        <f>IF(CurrentMtgRatesDataTable8[[#This Row],[WA CC]]&lt;&gt;0,C680-CurrentMtgRatesDataTable8[[#This Row],[WA CC]],0)</f>
        <v>0</v>
      </c>
      <c r="L681" s="16">
        <f>IF(CurrentMtgRatesDataTable8[[#This Row],[Servicing Spread]]&lt;=0,L680,CurrentMtgRatesDataTable8[[#This Row],[Servicing Spread]])</f>
        <v>0.31579999999999853</v>
      </c>
      <c r="M681" s="16">
        <f>CurrentMtgRatesDataTable8[[#This Row],[Servicing Spread Non-Zero]]-L680</f>
        <v>0</v>
      </c>
      <c r="N681" s="16">
        <f>IF(J680&lt;&gt;0,CurrentMtgRatesDataTable8[[#This Row],[Rate]]-C680,N680)</f>
        <v>-5.4999999999999716E-2</v>
      </c>
    </row>
    <row r="682" spans="1:14">
      <c r="A682" s="12" t="s">
        <v>2034</v>
      </c>
      <c r="B682" s="13">
        <v>6.1639999999999997</v>
      </c>
      <c r="C682" s="13">
        <v>6.3449999999999998</v>
      </c>
      <c r="D682" s="15">
        <f t="shared" si="70"/>
        <v>5</v>
      </c>
      <c r="E682" s="15">
        <f t="shared" si="71"/>
        <v>0.2</v>
      </c>
      <c r="F682" s="15">
        <f t="shared" si="72"/>
        <v>3</v>
      </c>
      <c r="G682" s="15">
        <f t="shared" si="73"/>
        <v>3.6706000000000003</v>
      </c>
      <c r="H682" s="15">
        <f t="shared" si="74"/>
        <v>0.60000000000000009</v>
      </c>
      <c r="I682" s="15">
        <f t="shared" si="75"/>
        <v>0</v>
      </c>
      <c r="J682" s="15">
        <f t="shared" si="76"/>
        <v>0</v>
      </c>
      <c r="K682" s="15">
        <f>IF(CurrentMtgRatesDataTable8[[#This Row],[WA CC]]&lt;&gt;0,C681-CurrentMtgRatesDataTable8[[#This Row],[WA CC]],0)</f>
        <v>0</v>
      </c>
      <c r="L682" s="16">
        <f>IF(CurrentMtgRatesDataTable8[[#This Row],[Servicing Spread]]&lt;=0,L681,CurrentMtgRatesDataTable8[[#This Row],[Servicing Spread]])</f>
        <v>0.31579999999999853</v>
      </c>
      <c r="M682" s="16">
        <f>CurrentMtgRatesDataTable8[[#This Row],[Servicing Spread Non-Zero]]-L681</f>
        <v>0</v>
      </c>
      <c r="N682" s="16">
        <f>IF(J681&lt;&gt;0,CurrentMtgRatesDataTable8[[#This Row],[Rate]]-C681,N681)</f>
        <v>-5.4999999999999716E-2</v>
      </c>
    </row>
    <row r="683" spans="1:14">
      <c r="A683" s="12" t="s">
        <v>2035</v>
      </c>
      <c r="B683" s="13">
        <v>6.0609999999999999</v>
      </c>
      <c r="C683" s="13">
        <v>6.3449999999999998</v>
      </c>
      <c r="D683" s="15">
        <f t="shared" si="70"/>
        <v>6</v>
      </c>
      <c r="E683" s="15">
        <f t="shared" si="71"/>
        <v>0.2</v>
      </c>
      <c r="F683" s="15">
        <f t="shared" si="72"/>
        <v>4</v>
      </c>
      <c r="G683" s="15">
        <f t="shared" si="73"/>
        <v>4.8828000000000005</v>
      </c>
      <c r="H683" s="15">
        <f t="shared" si="74"/>
        <v>0.8</v>
      </c>
      <c r="I683" s="15">
        <f t="shared" si="75"/>
        <v>0</v>
      </c>
      <c r="J683" s="15">
        <f t="shared" si="76"/>
        <v>0</v>
      </c>
      <c r="K683" s="15">
        <f>IF(CurrentMtgRatesDataTable8[[#This Row],[WA CC]]&lt;&gt;0,C682-CurrentMtgRatesDataTable8[[#This Row],[WA CC]],0)</f>
        <v>0</v>
      </c>
      <c r="L683" s="16">
        <f>IF(CurrentMtgRatesDataTable8[[#This Row],[Servicing Spread]]&lt;=0,L682,CurrentMtgRatesDataTable8[[#This Row],[Servicing Spread]])</f>
        <v>0.31579999999999853</v>
      </c>
      <c r="M683" s="16">
        <f>CurrentMtgRatesDataTable8[[#This Row],[Servicing Spread Non-Zero]]-L682</f>
        <v>0</v>
      </c>
      <c r="N683" s="16">
        <f>IF(J682&lt;&gt;0,CurrentMtgRatesDataTable8[[#This Row],[Rate]]-C682,N682)</f>
        <v>-5.4999999999999716E-2</v>
      </c>
    </row>
    <row r="684" spans="1:14">
      <c r="A684" s="12" t="s">
        <v>2036</v>
      </c>
      <c r="B684" s="13">
        <v>5.9969999999999999</v>
      </c>
      <c r="C684" s="13">
        <v>6.3449999999999998</v>
      </c>
      <c r="D684" s="15">
        <f t="shared" si="70"/>
        <v>7</v>
      </c>
      <c r="E684" s="15">
        <f t="shared" si="71"/>
        <v>0.2</v>
      </c>
      <c r="F684" s="15">
        <f t="shared" si="72"/>
        <v>5</v>
      </c>
      <c r="G684" s="15">
        <f t="shared" si="73"/>
        <v>6.0822000000000003</v>
      </c>
      <c r="H684" s="15">
        <f t="shared" si="74"/>
        <v>1</v>
      </c>
      <c r="I684" s="15">
        <f t="shared" si="75"/>
        <v>1</v>
      </c>
      <c r="J684" s="15">
        <f t="shared" si="76"/>
        <v>6.0822000000000003</v>
      </c>
      <c r="K684" s="15">
        <f>IF(CurrentMtgRatesDataTable8[[#This Row],[WA CC]]&lt;&gt;0,C683-CurrentMtgRatesDataTable8[[#This Row],[WA CC]],0)</f>
        <v>0.26279999999999948</v>
      </c>
      <c r="L684" s="16">
        <f>IF(CurrentMtgRatesDataTable8[[#This Row],[Servicing Spread]]&lt;=0,L683,CurrentMtgRatesDataTable8[[#This Row],[Servicing Spread]])</f>
        <v>0.26279999999999948</v>
      </c>
      <c r="M684" s="16">
        <f>CurrentMtgRatesDataTable8[[#This Row],[Servicing Spread Non-Zero]]-L683</f>
        <v>-5.2999999999999048E-2</v>
      </c>
      <c r="N684" s="16">
        <f>IF(J683&lt;&gt;0,CurrentMtgRatesDataTable8[[#This Row],[Rate]]-C683,N683)</f>
        <v>-5.4999999999999716E-2</v>
      </c>
    </row>
    <row r="685" spans="1:14">
      <c r="A685" s="12" t="s">
        <v>2037</v>
      </c>
      <c r="B685" s="13">
        <v>6.01</v>
      </c>
      <c r="C685" s="13">
        <v>6.33</v>
      </c>
      <c r="D685" s="15">
        <f t="shared" si="70"/>
        <v>1</v>
      </c>
      <c r="E685" s="15">
        <f t="shared" si="71"/>
        <v>0.2</v>
      </c>
      <c r="F685" s="15">
        <f t="shared" si="72"/>
        <v>1</v>
      </c>
      <c r="G685" s="15">
        <f t="shared" si="73"/>
        <v>1.202</v>
      </c>
      <c r="H685" s="15">
        <f t="shared" si="74"/>
        <v>0.2</v>
      </c>
      <c r="I685" s="15">
        <f t="shared" si="75"/>
        <v>0</v>
      </c>
      <c r="J685" s="15">
        <f t="shared" si="76"/>
        <v>0</v>
      </c>
      <c r="K685" s="15">
        <f>IF(CurrentMtgRatesDataTable8[[#This Row],[WA CC]]&lt;&gt;0,C684-CurrentMtgRatesDataTable8[[#This Row],[WA CC]],0)</f>
        <v>0</v>
      </c>
      <c r="L685" s="16">
        <f>IF(CurrentMtgRatesDataTable8[[#This Row],[Servicing Spread]]&lt;=0,L684,CurrentMtgRatesDataTable8[[#This Row],[Servicing Spread]])</f>
        <v>0.26279999999999948</v>
      </c>
      <c r="M685" s="16">
        <f>CurrentMtgRatesDataTable8[[#This Row],[Servicing Spread Non-Zero]]-L684</f>
        <v>0</v>
      </c>
      <c r="N685" s="16">
        <f>IF(J684&lt;&gt;0,CurrentMtgRatesDataTable8[[#This Row],[Rate]]-C684,N684)</f>
        <v>-1.499999999999968E-2</v>
      </c>
    </row>
    <row r="686" spans="1:14">
      <c r="A686" s="12" t="s">
        <v>2038</v>
      </c>
      <c r="B686" s="13">
        <v>5.9870000000000001</v>
      </c>
      <c r="C686" s="13">
        <v>6.33</v>
      </c>
      <c r="D686" s="15">
        <f t="shared" si="70"/>
        <v>2</v>
      </c>
      <c r="E686" s="15">
        <f t="shared" si="71"/>
        <v>0.2</v>
      </c>
      <c r="F686" s="15">
        <f t="shared" si="72"/>
        <v>2</v>
      </c>
      <c r="G686" s="15">
        <f t="shared" si="73"/>
        <v>2.3994</v>
      </c>
      <c r="H686" s="15">
        <f t="shared" si="74"/>
        <v>0.4</v>
      </c>
      <c r="I686" s="15">
        <f t="shared" si="75"/>
        <v>0</v>
      </c>
      <c r="J686" s="15">
        <f t="shared" si="76"/>
        <v>0</v>
      </c>
      <c r="K686" s="15">
        <f>IF(CurrentMtgRatesDataTable8[[#This Row],[WA CC]]&lt;&gt;0,C685-CurrentMtgRatesDataTable8[[#This Row],[WA CC]],0)</f>
        <v>0</v>
      </c>
      <c r="L686" s="16">
        <f>IF(CurrentMtgRatesDataTable8[[#This Row],[Servicing Spread]]&lt;=0,L685,CurrentMtgRatesDataTable8[[#This Row],[Servicing Spread]])</f>
        <v>0.26279999999999948</v>
      </c>
      <c r="M686" s="16">
        <f>CurrentMtgRatesDataTable8[[#This Row],[Servicing Spread Non-Zero]]-L685</f>
        <v>0</v>
      </c>
      <c r="N686" s="16">
        <f>IF(J685&lt;&gt;0,CurrentMtgRatesDataTable8[[#This Row],[Rate]]-C685,N685)</f>
        <v>-1.499999999999968E-2</v>
      </c>
    </row>
    <row r="687" spans="1:14">
      <c r="A687" s="12" t="s">
        <v>2039</v>
      </c>
      <c r="B687" s="13">
        <v>5.9790000000000001</v>
      </c>
      <c r="C687" s="13">
        <v>6.33</v>
      </c>
      <c r="D687" s="15">
        <f t="shared" si="70"/>
        <v>5</v>
      </c>
      <c r="E687" s="15">
        <f t="shared" si="71"/>
        <v>0.2</v>
      </c>
      <c r="F687" s="15">
        <f t="shared" si="72"/>
        <v>3</v>
      </c>
      <c r="G687" s="15">
        <f t="shared" si="73"/>
        <v>3.5952000000000002</v>
      </c>
      <c r="H687" s="15">
        <f t="shared" si="74"/>
        <v>0.60000000000000009</v>
      </c>
      <c r="I687" s="15">
        <f t="shared" si="75"/>
        <v>0</v>
      </c>
      <c r="J687" s="15">
        <f t="shared" si="76"/>
        <v>0</v>
      </c>
      <c r="K687" s="15">
        <f>IF(CurrentMtgRatesDataTable8[[#This Row],[WA CC]]&lt;&gt;0,C686-CurrentMtgRatesDataTable8[[#This Row],[WA CC]],0)</f>
        <v>0</v>
      </c>
      <c r="L687" s="16">
        <f>IF(CurrentMtgRatesDataTable8[[#This Row],[Servicing Spread]]&lt;=0,L686,CurrentMtgRatesDataTable8[[#This Row],[Servicing Spread]])</f>
        <v>0.26279999999999948</v>
      </c>
      <c r="M687" s="16">
        <f>CurrentMtgRatesDataTable8[[#This Row],[Servicing Spread Non-Zero]]-L686</f>
        <v>0</v>
      </c>
      <c r="N687" s="16">
        <f>IF(J686&lt;&gt;0,CurrentMtgRatesDataTable8[[#This Row],[Rate]]-C686,N686)</f>
        <v>-1.499999999999968E-2</v>
      </c>
    </row>
    <row r="688" spans="1:14">
      <c r="A688" s="12" t="s">
        <v>2040</v>
      </c>
      <c r="B688" s="13">
        <v>5.9859999999999998</v>
      </c>
      <c r="C688" s="13">
        <v>6.33</v>
      </c>
      <c r="D688" s="15">
        <f t="shared" si="70"/>
        <v>6</v>
      </c>
      <c r="E688" s="15">
        <f t="shared" si="71"/>
        <v>0.2</v>
      </c>
      <c r="F688" s="15">
        <f t="shared" si="72"/>
        <v>4</v>
      </c>
      <c r="G688" s="15">
        <f t="shared" si="73"/>
        <v>4.7924000000000007</v>
      </c>
      <c r="H688" s="15">
        <f t="shared" si="74"/>
        <v>0.8</v>
      </c>
      <c r="I688" s="15">
        <f t="shared" si="75"/>
        <v>0</v>
      </c>
      <c r="J688" s="15">
        <f t="shared" si="76"/>
        <v>0</v>
      </c>
      <c r="K688" s="15">
        <f>IF(CurrentMtgRatesDataTable8[[#This Row],[WA CC]]&lt;&gt;0,C687-CurrentMtgRatesDataTable8[[#This Row],[WA CC]],0)</f>
        <v>0</v>
      </c>
      <c r="L688" s="16">
        <f>IF(CurrentMtgRatesDataTable8[[#This Row],[Servicing Spread]]&lt;=0,L687,CurrentMtgRatesDataTable8[[#This Row],[Servicing Spread]])</f>
        <v>0.26279999999999948</v>
      </c>
      <c r="M688" s="16">
        <f>CurrentMtgRatesDataTable8[[#This Row],[Servicing Spread Non-Zero]]-L687</f>
        <v>0</v>
      </c>
      <c r="N688" s="16">
        <f>IF(J687&lt;&gt;0,CurrentMtgRatesDataTable8[[#This Row],[Rate]]-C687,N687)</f>
        <v>-1.499999999999968E-2</v>
      </c>
    </row>
    <row r="689" spans="1:14">
      <c r="A689" s="12" t="s">
        <v>2041</v>
      </c>
      <c r="B689" s="13">
        <v>5.9939999999999998</v>
      </c>
      <c r="C689" s="13">
        <v>6.33</v>
      </c>
      <c r="D689" s="15">
        <f t="shared" si="70"/>
        <v>7</v>
      </c>
      <c r="E689" s="15">
        <f t="shared" si="71"/>
        <v>0.2</v>
      </c>
      <c r="F689" s="15">
        <f t="shared" si="72"/>
        <v>5</v>
      </c>
      <c r="G689" s="15">
        <f t="shared" si="73"/>
        <v>5.991200000000001</v>
      </c>
      <c r="H689" s="15">
        <f t="shared" si="74"/>
        <v>1</v>
      </c>
      <c r="I689" s="15">
        <f t="shared" si="75"/>
        <v>1</v>
      </c>
      <c r="J689" s="15">
        <f t="shared" si="76"/>
        <v>5.991200000000001</v>
      </c>
      <c r="K689" s="15">
        <f>IF(CurrentMtgRatesDataTable8[[#This Row],[WA CC]]&lt;&gt;0,C688-CurrentMtgRatesDataTable8[[#This Row],[WA CC]],0)</f>
        <v>0.3387999999999991</v>
      </c>
      <c r="L689" s="16">
        <f>IF(CurrentMtgRatesDataTable8[[#This Row],[Servicing Spread]]&lt;=0,L688,CurrentMtgRatesDataTable8[[#This Row],[Servicing Spread]])</f>
        <v>0.3387999999999991</v>
      </c>
      <c r="M689" s="16">
        <f>CurrentMtgRatesDataTable8[[#This Row],[Servicing Spread Non-Zero]]-L688</f>
        <v>7.5999999999999623E-2</v>
      </c>
      <c r="N689" s="16">
        <f>IF(J688&lt;&gt;0,CurrentMtgRatesDataTable8[[#This Row],[Rate]]-C688,N688)</f>
        <v>-1.499999999999968E-2</v>
      </c>
    </row>
    <row r="690" spans="1:14">
      <c r="A690" s="12" t="s">
        <v>2042</v>
      </c>
      <c r="B690" s="13">
        <v>5.99</v>
      </c>
      <c r="C690" s="13">
        <v>6.29</v>
      </c>
      <c r="D690" s="15">
        <f t="shared" si="70"/>
        <v>1</v>
      </c>
      <c r="E690" s="15">
        <f t="shared" si="71"/>
        <v>0.2</v>
      </c>
      <c r="F690" s="15">
        <f t="shared" si="72"/>
        <v>1</v>
      </c>
      <c r="G690" s="15">
        <f t="shared" si="73"/>
        <v>1.1980000000000002</v>
      </c>
      <c r="H690" s="15">
        <f t="shared" si="74"/>
        <v>0.2</v>
      </c>
      <c r="I690" s="15">
        <f t="shared" si="75"/>
        <v>0</v>
      </c>
      <c r="J690" s="15">
        <f t="shared" si="76"/>
        <v>0</v>
      </c>
      <c r="K690" s="15">
        <f>IF(CurrentMtgRatesDataTable8[[#This Row],[WA CC]]&lt;&gt;0,C689-CurrentMtgRatesDataTable8[[#This Row],[WA CC]],0)</f>
        <v>0</v>
      </c>
      <c r="L690" s="16">
        <f>IF(CurrentMtgRatesDataTable8[[#This Row],[Servicing Spread]]&lt;=0,L689,CurrentMtgRatesDataTable8[[#This Row],[Servicing Spread]])</f>
        <v>0.3387999999999991</v>
      </c>
      <c r="M690" s="16">
        <f>CurrentMtgRatesDataTable8[[#This Row],[Servicing Spread Non-Zero]]-L689</f>
        <v>0</v>
      </c>
      <c r="N690" s="16">
        <f>IF(J689&lt;&gt;0,CurrentMtgRatesDataTable8[[#This Row],[Rate]]-C689,N689)</f>
        <v>-4.0000000000000036E-2</v>
      </c>
    </row>
    <row r="691" spans="1:14">
      <c r="A691" s="12" t="s">
        <v>2043</v>
      </c>
      <c r="B691" s="13">
        <v>5.98</v>
      </c>
      <c r="C691" s="13">
        <v>6.29</v>
      </c>
      <c r="D691" s="15">
        <f t="shared" si="70"/>
        <v>2</v>
      </c>
      <c r="E691" s="15">
        <f t="shared" si="71"/>
        <v>0.2</v>
      </c>
      <c r="F691" s="15">
        <f t="shared" si="72"/>
        <v>2</v>
      </c>
      <c r="G691" s="15">
        <f t="shared" si="73"/>
        <v>2.3940000000000001</v>
      </c>
      <c r="H691" s="15">
        <f t="shared" si="74"/>
        <v>0.4</v>
      </c>
      <c r="I691" s="15">
        <f t="shared" si="75"/>
        <v>0</v>
      </c>
      <c r="J691" s="15">
        <f t="shared" si="76"/>
        <v>0</v>
      </c>
      <c r="K691" s="15">
        <f>IF(CurrentMtgRatesDataTable8[[#This Row],[WA CC]]&lt;&gt;0,C690-CurrentMtgRatesDataTable8[[#This Row],[WA CC]],0)</f>
        <v>0</v>
      </c>
      <c r="L691" s="16">
        <f>IF(CurrentMtgRatesDataTable8[[#This Row],[Servicing Spread]]&lt;=0,L690,CurrentMtgRatesDataTable8[[#This Row],[Servicing Spread]])</f>
        <v>0.3387999999999991</v>
      </c>
      <c r="M691" s="16">
        <f>CurrentMtgRatesDataTable8[[#This Row],[Servicing Spread Non-Zero]]-L690</f>
        <v>0</v>
      </c>
      <c r="N691" s="16">
        <f>IF(J690&lt;&gt;0,CurrentMtgRatesDataTable8[[#This Row],[Rate]]-C690,N690)</f>
        <v>-4.0000000000000036E-2</v>
      </c>
    </row>
    <row r="692" spans="1:14">
      <c r="A692" s="12" t="s">
        <v>2044</v>
      </c>
      <c r="B692" s="13">
        <v>5.992</v>
      </c>
      <c r="C692" s="13">
        <v>6.29</v>
      </c>
      <c r="D692" s="15">
        <f t="shared" si="70"/>
        <v>5</v>
      </c>
      <c r="E692" s="15">
        <f t="shared" si="71"/>
        <v>0.2</v>
      </c>
      <c r="F692" s="15">
        <f t="shared" si="72"/>
        <v>3</v>
      </c>
      <c r="G692" s="15">
        <f t="shared" si="73"/>
        <v>3.5924000000000005</v>
      </c>
      <c r="H692" s="15">
        <f t="shared" si="74"/>
        <v>0.60000000000000009</v>
      </c>
      <c r="I692" s="15">
        <f t="shared" si="75"/>
        <v>0</v>
      </c>
      <c r="J692" s="15">
        <f t="shared" si="76"/>
        <v>0</v>
      </c>
      <c r="K692" s="15">
        <f>IF(CurrentMtgRatesDataTable8[[#This Row],[WA CC]]&lt;&gt;0,C691-CurrentMtgRatesDataTable8[[#This Row],[WA CC]],0)</f>
        <v>0</v>
      </c>
      <c r="L692" s="16">
        <f>IF(CurrentMtgRatesDataTable8[[#This Row],[Servicing Spread]]&lt;=0,L691,CurrentMtgRatesDataTable8[[#This Row],[Servicing Spread]])</f>
        <v>0.3387999999999991</v>
      </c>
      <c r="M692" s="16">
        <f>CurrentMtgRatesDataTable8[[#This Row],[Servicing Spread Non-Zero]]-L691</f>
        <v>0</v>
      </c>
      <c r="N692" s="16">
        <f>IF(J691&lt;&gt;0,CurrentMtgRatesDataTable8[[#This Row],[Rate]]-C691,N691)</f>
        <v>-4.0000000000000036E-2</v>
      </c>
    </row>
    <row r="693" spans="1:14">
      <c r="A693" s="12" t="s">
        <v>2045</v>
      </c>
      <c r="B693" s="13">
        <v>5.9850000000000003</v>
      </c>
      <c r="C693" s="13">
        <v>6.29</v>
      </c>
      <c r="D693" s="15">
        <f t="shared" si="70"/>
        <v>6</v>
      </c>
      <c r="E693" s="15">
        <f t="shared" si="71"/>
        <v>0.2</v>
      </c>
      <c r="F693" s="15">
        <f t="shared" si="72"/>
        <v>4</v>
      </c>
      <c r="G693" s="15">
        <f t="shared" si="73"/>
        <v>4.7894000000000005</v>
      </c>
      <c r="H693" s="15">
        <f t="shared" si="74"/>
        <v>0.8</v>
      </c>
      <c r="I693" s="15">
        <f t="shared" si="75"/>
        <v>0</v>
      </c>
      <c r="J693" s="15">
        <f t="shared" si="76"/>
        <v>0</v>
      </c>
      <c r="K693" s="15">
        <f>IF(CurrentMtgRatesDataTable8[[#This Row],[WA CC]]&lt;&gt;0,C692-CurrentMtgRatesDataTable8[[#This Row],[WA CC]],0)</f>
        <v>0</v>
      </c>
      <c r="L693" s="16">
        <f>IF(CurrentMtgRatesDataTable8[[#This Row],[Servicing Spread]]&lt;=0,L692,CurrentMtgRatesDataTable8[[#This Row],[Servicing Spread]])</f>
        <v>0.3387999999999991</v>
      </c>
      <c r="M693" s="16">
        <f>CurrentMtgRatesDataTable8[[#This Row],[Servicing Spread Non-Zero]]-L692</f>
        <v>0</v>
      </c>
      <c r="N693" s="16">
        <f>IF(J692&lt;&gt;0,CurrentMtgRatesDataTable8[[#This Row],[Rate]]-C692,N692)</f>
        <v>-4.0000000000000036E-2</v>
      </c>
    </row>
    <row r="694" spans="1:14">
      <c r="A694" s="12" t="s">
        <v>2046</v>
      </c>
      <c r="B694" s="13">
        <v>5.97</v>
      </c>
      <c r="C694" s="13">
        <v>6.29</v>
      </c>
      <c r="D694" s="15">
        <f t="shared" si="70"/>
        <v>7</v>
      </c>
      <c r="E694" s="15">
        <f t="shared" si="71"/>
        <v>0.2</v>
      </c>
      <c r="F694" s="15">
        <f t="shared" si="72"/>
        <v>5</v>
      </c>
      <c r="G694" s="15">
        <f t="shared" si="73"/>
        <v>5.9834000000000005</v>
      </c>
      <c r="H694" s="15">
        <f t="shared" si="74"/>
        <v>1</v>
      </c>
      <c r="I694" s="15">
        <f t="shared" si="75"/>
        <v>1</v>
      </c>
      <c r="J694" s="15">
        <f t="shared" si="76"/>
        <v>5.9834000000000005</v>
      </c>
      <c r="K694" s="15">
        <f>IF(CurrentMtgRatesDataTable8[[#This Row],[WA CC]]&lt;&gt;0,C693-CurrentMtgRatesDataTable8[[#This Row],[WA CC]],0)</f>
        <v>0.30659999999999954</v>
      </c>
      <c r="L694" s="15">
        <f>IF(CurrentMtgRatesDataTable8[[#This Row],[Servicing Spread]]&lt;=0,L693,CurrentMtgRatesDataTable8[[#This Row],[Servicing Spread]])</f>
        <v>0.30659999999999954</v>
      </c>
      <c r="M694" s="16">
        <f>CurrentMtgRatesDataTable8[[#This Row],[Servicing Spread Non-Zero]]-L693</f>
        <v>-3.2199999999999562E-2</v>
      </c>
      <c r="N694" s="16">
        <f>IF(J693&lt;&gt;0,CurrentMtgRatesDataTable8[[#This Row],[Rate]]-C693,N693)</f>
        <v>-4.0000000000000036E-2</v>
      </c>
    </row>
    <row r="695" spans="1:14">
      <c r="A695" s="12" t="s">
        <v>2047</v>
      </c>
      <c r="B695" s="13">
        <v>5.9420000000000002</v>
      </c>
      <c r="C695" s="13">
        <v>6.3199999999999994</v>
      </c>
      <c r="D695" s="15">
        <f t="shared" si="70"/>
        <v>1</v>
      </c>
      <c r="E695" s="15">
        <f t="shared" si="71"/>
        <v>0.2</v>
      </c>
      <c r="F695" s="15">
        <f t="shared" si="72"/>
        <v>1</v>
      </c>
      <c r="G695" s="15">
        <f t="shared" si="73"/>
        <v>1.1884000000000001</v>
      </c>
      <c r="H695" s="15">
        <f t="shared" si="74"/>
        <v>0.2</v>
      </c>
      <c r="I695" s="15">
        <f t="shared" si="75"/>
        <v>0</v>
      </c>
      <c r="J695" s="15">
        <f t="shared" si="76"/>
        <v>0</v>
      </c>
      <c r="K695" s="15">
        <f>IF(CurrentMtgRatesDataTable8[[#This Row],[WA CC]]&lt;&gt;0,C694-CurrentMtgRatesDataTable8[[#This Row],[WA CC]],0)</f>
        <v>0</v>
      </c>
      <c r="L695" s="15">
        <f>IF(CurrentMtgRatesDataTable8[[#This Row],[Servicing Spread]]&lt;=0,L694,CurrentMtgRatesDataTable8[[#This Row],[Servicing Spread]])</f>
        <v>0.30659999999999954</v>
      </c>
      <c r="M695" s="16">
        <f>CurrentMtgRatesDataTable8[[#This Row],[Servicing Spread Non-Zero]]-L694</f>
        <v>0</v>
      </c>
      <c r="N695" s="16">
        <f>IF(J694&lt;&gt;0,CurrentMtgRatesDataTable8[[#This Row],[Rate]]-C694,N694)</f>
        <v>2.9999999999999361E-2</v>
      </c>
    </row>
    <row r="696" spans="1:14">
      <c r="A696" s="12" t="s">
        <v>2048</v>
      </c>
      <c r="B696" s="13">
        <v>5.9279999999999999</v>
      </c>
      <c r="C696" s="13">
        <v>6.3199999999999994</v>
      </c>
      <c r="D696" s="15">
        <f t="shared" si="70"/>
        <v>2</v>
      </c>
      <c r="E696" s="15">
        <f t="shared" si="71"/>
        <v>0.2</v>
      </c>
      <c r="F696" s="15">
        <f t="shared" si="72"/>
        <v>2</v>
      </c>
      <c r="G696" s="15">
        <f t="shared" si="73"/>
        <v>2.3740000000000001</v>
      </c>
      <c r="H696" s="15">
        <f t="shared" si="74"/>
        <v>0.4</v>
      </c>
      <c r="I696" s="15">
        <f t="shared" si="75"/>
        <v>0</v>
      </c>
      <c r="J696" s="15">
        <f t="shared" si="76"/>
        <v>0</v>
      </c>
      <c r="K696" s="15">
        <f>IF(CurrentMtgRatesDataTable8[[#This Row],[WA CC]]&lt;&gt;0,C695-CurrentMtgRatesDataTable8[[#This Row],[WA CC]],0)</f>
        <v>0</v>
      </c>
      <c r="L696" s="15">
        <f>IF(CurrentMtgRatesDataTable8[[#This Row],[Servicing Spread]]&lt;=0,L695,CurrentMtgRatesDataTable8[[#This Row],[Servicing Spread]])</f>
        <v>0.30659999999999954</v>
      </c>
      <c r="M696" s="16">
        <f>CurrentMtgRatesDataTable8[[#This Row],[Servicing Spread Non-Zero]]-L695</f>
        <v>0</v>
      </c>
      <c r="N696" s="16">
        <f>IF(J695&lt;&gt;0,CurrentMtgRatesDataTable8[[#This Row],[Rate]]-C695,N695)</f>
        <v>2.9999999999999361E-2</v>
      </c>
    </row>
    <row r="697" spans="1:14">
      <c r="A697" s="12" t="s">
        <v>2049</v>
      </c>
      <c r="B697" s="13">
        <v>5.9610000000000003</v>
      </c>
      <c r="C697" s="13">
        <v>6.3199999999999994</v>
      </c>
      <c r="D697" s="15">
        <f t="shared" si="70"/>
        <v>6</v>
      </c>
      <c r="E697" s="15">
        <f t="shared" si="71"/>
        <v>0.2</v>
      </c>
      <c r="F697" s="15">
        <f t="shared" si="72"/>
        <v>3</v>
      </c>
      <c r="G697" s="15">
        <f t="shared" si="73"/>
        <v>3.5662000000000003</v>
      </c>
      <c r="H697" s="15">
        <f t="shared" si="74"/>
        <v>0.60000000000000009</v>
      </c>
      <c r="I697" s="15">
        <f t="shared" si="75"/>
        <v>0</v>
      </c>
      <c r="J697" s="15">
        <f t="shared" si="76"/>
        <v>0</v>
      </c>
      <c r="K697" s="15">
        <f>IF(CurrentMtgRatesDataTable8[[#This Row],[WA CC]]&lt;&gt;0,C696-CurrentMtgRatesDataTable8[[#This Row],[WA CC]],0)</f>
        <v>0</v>
      </c>
      <c r="L697" s="15">
        <f>IF(CurrentMtgRatesDataTable8[[#This Row],[Servicing Spread]]&lt;=0,L696,CurrentMtgRatesDataTable8[[#This Row],[Servicing Spread]])</f>
        <v>0.30659999999999954</v>
      </c>
      <c r="M697" s="16">
        <f>CurrentMtgRatesDataTable8[[#This Row],[Servicing Spread Non-Zero]]-L696</f>
        <v>0</v>
      </c>
      <c r="N697" s="16">
        <f>IF(J696&lt;&gt;0,CurrentMtgRatesDataTable8[[#This Row],[Rate]]-C696,N696)</f>
        <v>2.9999999999999361E-2</v>
      </c>
    </row>
    <row r="698" spans="1:14">
      <c r="A698" s="12" t="s">
        <v>2050</v>
      </c>
      <c r="B698" s="13">
        <v>5.9690000000000003</v>
      </c>
      <c r="C698" s="13">
        <v>6.3199999999999994</v>
      </c>
      <c r="D698" s="15">
        <f t="shared" si="70"/>
        <v>7</v>
      </c>
      <c r="E698" s="15">
        <f t="shared" si="71"/>
        <v>0.2</v>
      </c>
      <c r="F698" s="15">
        <f t="shared" si="72"/>
        <v>4</v>
      </c>
      <c r="G698" s="15">
        <f t="shared" si="73"/>
        <v>4.7600000000000007</v>
      </c>
      <c r="H698" s="15">
        <f t="shared" si="74"/>
        <v>0.8</v>
      </c>
      <c r="I698" s="15">
        <f t="shared" si="75"/>
        <v>1</v>
      </c>
      <c r="J698" s="15">
        <f t="shared" si="76"/>
        <v>5.95</v>
      </c>
      <c r="K698" s="15">
        <f>IF(CurrentMtgRatesDataTable8[[#This Row],[WA CC]]&lt;&gt;0,C697-CurrentMtgRatesDataTable8[[#This Row],[WA CC]],0)</f>
        <v>0.36999999999999922</v>
      </c>
      <c r="L698" s="15">
        <f>IF(CurrentMtgRatesDataTable8[[#This Row],[Servicing Spread]]&lt;=0,L697,CurrentMtgRatesDataTable8[[#This Row],[Servicing Spread]])</f>
        <v>0.36999999999999922</v>
      </c>
      <c r="M698" s="16">
        <f>CurrentMtgRatesDataTable8[[#This Row],[Servicing Spread Non-Zero]]-L697</f>
        <v>6.3399999999999679E-2</v>
      </c>
      <c r="N698" s="16">
        <f>IF(J697&lt;&gt;0,CurrentMtgRatesDataTable8[[#This Row],[Rate]]-C697,N697)</f>
        <v>2.9999999999999361E-2</v>
      </c>
    </row>
    <row r="699" spans="1:14">
      <c r="A699" s="12" t="s">
        <v>2051</v>
      </c>
      <c r="B699" s="13">
        <v>5.9560000000000004</v>
      </c>
      <c r="C699" s="13">
        <v>6.3049999999999997</v>
      </c>
      <c r="D699" s="15">
        <f t="shared" si="70"/>
        <v>1</v>
      </c>
      <c r="E699" s="15">
        <f t="shared" si="71"/>
        <v>0.2</v>
      </c>
      <c r="F699" s="15">
        <f t="shared" si="72"/>
        <v>1</v>
      </c>
      <c r="G699" s="15">
        <f t="shared" si="73"/>
        <v>1.1912</v>
      </c>
      <c r="H699" s="15">
        <f t="shared" si="74"/>
        <v>0.2</v>
      </c>
      <c r="I699" s="15">
        <f t="shared" si="75"/>
        <v>0</v>
      </c>
      <c r="J699" s="15">
        <f t="shared" si="76"/>
        <v>0</v>
      </c>
      <c r="K699" s="15">
        <f>IF(CurrentMtgRatesDataTable8[[#This Row],[WA CC]]&lt;&gt;0,C698-CurrentMtgRatesDataTable8[[#This Row],[WA CC]],0)</f>
        <v>0</v>
      </c>
      <c r="L699" s="15">
        <f>IF(CurrentMtgRatesDataTable8[[#This Row],[Servicing Spread]]&lt;=0,L698,CurrentMtgRatesDataTable8[[#This Row],[Servicing Spread]])</f>
        <v>0.36999999999999922</v>
      </c>
      <c r="M699" s="16">
        <f>CurrentMtgRatesDataTable8[[#This Row],[Servicing Spread Non-Zero]]-L698</f>
        <v>0</v>
      </c>
      <c r="N699" s="16">
        <f>IF(J698&lt;&gt;0,CurrentMtgRatesDataTable8[[#This Row],[Rate]]-C698,N698)</f>
        <v>-1.499999999999968E-2</v>
      </c>
    </row>
    <row r="700" spans="1:14">
      <c r="A700" s="12" t="s">
        <v>2052</v>
      </c>
      <c r="B700" s="13">
        <v>5.9329999999999998</v>
      </c>
      <c r="C700" s="13">
        <v>6.3049999999999997</v>
      </c>
      <c r="D700" s="15">
        <f t="shared" si="70"/>
        <v>2</v>
      </c>
      <c r="E700" s="15">
        <f t="shared" si="71"/>
        <v>0.2</v>
      </c>
      <c r="F700" s="15">
        <f t="shared" si="72"/>
        <v>2</v>
      </c>
      <c r="G700" s="15">
        <f t="shared" si="73"/>
        <v>2.3778000000000001</v>
      </c>
      <c r="H700" s="15">
        <f t="shared" si="74"/>
        <v>0.4</v>
      </c>
      <c r="I700" s="15">
        <f t="shared" si="75"/>
        <v>0</v>
      </c>
      <c r="J700" s="15">
        <f t="shared" si="76"/>
        <v>0</v>
      </c>
      <c r="K700" s="15">
        <f>IF(CurrentMtgRatesDataTable8[[#This Row],[WA CC]]&lt;&gt;0,C699-CurrentMtgRatesDataTable8[[#This Row],[WA CC]],0)</f>
        <v>0</v>
      </c>
      <c r="L700" s="15">
        <f>IF(CurrentMtgRatesDataTable8[[#This Row],[Servicing Spread]]&lt;=0,L699,CurrentMtgRatesDataTable8[[#This Row],[Servicing Spread]])</f>
        <v>0.36999999999999922</v>
      </c>
      <c r="M700" s="16">
        <f>CurrentMtgRatesDataTable8[[#This Row],[Servicing Spread Non-Zero]]-L699</f>
        <v>0</v>
      </c>
      <c r="N700" s="16">
        <f>IF(J699&lt;&gt;0,CurrentMtgRatesDataTable8[[#This Row],[Rate]]-C699,N699)</f>
        <v>-1.499999999999968E-2</v>
      </c>
    </row>
    <row r="701" spans="1:14">
      <c r="A701" s="12" t="s">
        <v>2053</v>
      </c>
      <c r="B701" s="13">
        <v>5.96</v>
      </c>
      <c r="C701" s="13">
        <v>6.3049999999999997</v>
      </c>
      <c r="D701" s="15">
        <f t="shared" si="70"/>
        <v>5</v>
      </c>
      <c r="E701" s="15">
        <f t="shared" si="71"/>
        <v>0.2</v>
      </c>
      <c r="F701" s="15">
        <f t="shared" si="72"/>
        <v>3</v>
      </c>
      <c r="G701" s="15">
        <f t="shared" si="73"/>
        <v>3.5697999999999999</v>
      </c>
      <c r="H701" s="15">
        <f t="shared" si="74"/>
        <v>0.60000000000000009</v>
      </c>
      <c r="I701" s="15">
        <f t="shared" si="75"/>
        <v>0</v>
      </c>
      <c r="J701" s="15">
        <f t="shared" si="76"/>
        <v>0</v>
      </c>
      <c r="K701" s="15">
        <f>IF(CurrentMtgRatesDataTable8[[#This Row],[WA CC]]&lt;&gt;0,C700-CurrentMtgRatesDataTable8[[#This Row],[WA CC]],0)</f>
        <v>0</v>
      </c>
      <c r="L701" s="15">
        <f>IF(CurrentMtgRatesDataTable8[[#This Row],[Servicing Spread]]&lt;=0,L700,CurrentMtgRatesDataTable8[[#This Row],[Servicing Spread]])</f>
        <v>0.36999999999999922</v>
      </c>
      <c r="M701" s="16">
        <f>CurrentMtgRatesDataTable8[[#This Row],[Servicing Spread Non-Zero]]-L700</f>
        <v>0</v>
      </c>
      <c r="N701" s="16">
        <f>IF(J700&lt;&gt;0,CurrentMtgRatesDataTable8[[#This Row],[Rate]]-C700,N700)</f>
        <v>-1.499999999999968E-2</v>
      </c>
    </row>
    <row r="702" spans="1:14">
      <c r="A702" s="12" t="s">
        <v>2054</v>
      </c>
      <c r="B702" s="13">
        <v>5.9409999999999998</v>
      </c>
      <c r="C702" s="13">
        <v>6.3049999999999997</v>
      </c>
      <c r="D702" s="15">
        <f t="shared" si="70"/>
        <v>6</v>
      </c>
      <c r="E702" s="15">
        <f t="shared" si="71"/>
        <v>0.2</v>
      </c>
      <c r="F702" s="15">
        <f t="shared" si="72"/>
        <v>4</v>
      </c>
      <c r="G702" s="15">
        <f t="shared" si="73"/>
        <v>4.758</v>
      </c>
      <c r="H702" s="15">
        <f t="shared" si="74"/>
        <v>0.8</v>
      </c>
      <c r="I702" s="15">
        <f t="shared" si="75"/>
        <v>0</v>
      </c>
      <c r="J702" s="15">
        <f t="shared" si="76"/>
        <v>0</v>
      </c>
      <c r="K702" s="15">
        <f>IF(CurrentMtgRatesDataTable8[[#This Row],[WA CC]]&lt;&gt;0,C701-CurrentMtgRatesDataTable8[[#This Row],[WA CC]],0)</f>
        <v>0</v>
      </c>
      <c r="L702" s="15">
        <f>IF(CurrentMtgRatesDataTable8[[#This Row],[Servicing Spread]]&lt;=0,L701,CurrentMtgRatesDataTable8[[#This Row],[Servicing Spread]])</f>
        <v>0.36999999999999922</v>
      </c>
      <c r="M702" s="16">
        <f>CurrentMtgRatesDataTable8[[#This Row],[Servicing Spread Non-Zero]]-L701</f>
        <v>0</v>
      </c>
      <c r="N702" s="16">
        <f>IF(J701&lt;&gt;0,CurrentMtgRatesDataTable8[[#This Row],[Rate]]-C701,N701)</f>
        <v>-1.499999999999968E-2</v>
      </c>
    </row>
    <row r="703" spans="1:14">
      <c r="A703" s="12" t="s">
        <v>2055</v>
      </c>
      <c r="B703" s="13">
        <v>5.9409999999999998</v>
      </c>
      <c r="C703" s="13">
        <v>6.3049999999999997</v>
      </c>
      <c r="D703" s="15">
        <f t="shared" si="70"/>
        <v>7</v>
      </c>
      <c r="E703" s="15">
        <f t="shared" si="71"/>
        <v>0.2</v>
      </c>
      <c r="F703" s="15">
        <f t="shared" si="72"/>
        <v>5</v>
      </c>
      <c r="G703" s="15">
        <f t="shared" si="73"/>
        <v>5.9462000000000002</v>
      </c>
      <c r="H703" s="15">
        <f t="shared" si="74"/>
        <v>1</v>
      </c>
      <c r="I703" s="15">
        <f t="shared" si="75"/>
        <v>1</v>
      </c>
      <c r="J703" s="15">
        <f t="shared" si="76"/>
        <v>5.9462000000000002</v>
      </c>
      <c r="K703" s="15">
        <f>IF(CurrentMtgRatesDataTable8[[#This Row],[WA CC]]&lt;&gt;0,C702-CurrentMtgRatesDataTable8[[#This Row],[WA CC]],0)</f>
        <v>0.35879999999999956</v>
      </c>
      <c r="L703" s="15">
        <f>IF(CurrentMtgRatesDataTable8[[#This Row],[Servicing Spread]]&lt;=0,L702,CurrentMtgRatesDataTable8[[#This Row],[Servicing Spread]])</f>
        <v>0.35879999999999956</v>
      </c>
      <c r="M703" s="16">
        <f>CurrentMtgRatesDataTable8[[#This Row],[Servicing Spread Non-Zero]]-L702</f>
        <v>-1.1199999999999655E-2</v>
      </c>
      <c r="N703" s="16">
        <f>IF(J702&lt;&gt;0,CurrentMtgRatesDataTable8[[#This Row],[Rate]]-C702,N702)</f>
        <v>-1.499999999999968E-2</v>
      </c>
    </row>
    <row r="704" spans="1:14">
      <c r="A704" s="12" t="s">
        <v>2056</v>
      </c>
      <c r="B704" s="13">
        <v>5.9720000000000004</v>
      </c>
      <c r="C704" s="13">
        <v>6.2750000000000004</v>
      </c>
      <c r="D704" s="15">
        <f t="shared" si="70"/>
        <v>1</v>
      </c>
      <c r="E704" s="15">
        <f t="shared" si="71"/>
        <v>0.2</v>
      </c>
      <c r="F704" s="15">
        <f t="shared" si="72"/>
        <v>1</v>
      </c>
      <c r="G704" s="15">
        <f t="shared" si="73"/>
        <v>1.1944000000000001</v>
      </c>
      <c r="H704" s="15">
        <f t="shared" si="74"/>
        <v>0.2</v>
      </c>
      <c r="I704" s="15">
        <f t="shared" si="75"/>
        <v>0</v>
      </c>
      <c r="J704" s="15">
        <f t="shared" si="76"/>
        <v>0</v>
      </c>
      <c r="K704" s="15">
        <f>IF(CurrentMtgRatesDataTable8[[#This Row],[WA CC]]&lt;&gt;0,C703-CurrentMtgRatesDataTable8[[#This Row],[WA CC]],0)</f>
        <v>0</v>
      </c>
      <c r="L704" s="15">
        <f>IF(CurrentMtgRatesDataTable8[[#This Row],[Servicing Spread]]&lt;=0,L703,CurrentMtgRatesDataTable8[[#This Row],[Servicing Spread]])</f>
        <v>0.35879999999999956</v>
      </c>
      <c r="M704" s="16">
        <f>CurrentMtgRatesDataTable8[[#This Row],[Servicing Spread Non-Zero]]-L703</f>
        <v>0</v>
      </c>
      <c r="N704" s="16">
        <f>IF(J703&lt;&gt;0,CurrentMtgRatesDataTable8[[#This Row],[Rate]]-C703,N703)</f>
        <v>-2.9999999999999361E-2</v>
      </c>
    </row>
    <row r="705" spans="1:14">
      <c r="A705" s="12" t="s">
        <v>2057</v>
      </c>
      <c r="B705" s="13">
        <v>5.9880000000000004</v>
      </c>
      <c r="C705" s="13">
        <v>6.2750000000000004</v>
      </c>
      <c r="D705" s="15">
        <f t="shared" si="70"/>
        <v>2</v>
      </c>
      <c r="E705" s="15">
        <f t="shared" si="71"/>
        <v>0.2</v>
      </c>
      <c r="F705" s="15">
        <f t="shared" si="72"/>
        <v>2</v>
      </c>
      <c r="G705" s="15">
        <f t="shared" si="73"/>
        <v>2.3920000000000003</v>
      </c>
      <c r="H705" s="15">
        <f t="shared" si="74"/>
        <v>0.4</v>
      </c>
      <c r="I705" s="15">
        <f t="shared" si="75"/>
        <v>0</v>
      </c>
      <c r="J705" s="15">
        <f t="shared" si="76"/>
        <v>0</v>
      </c>
      <c r="K705" s="15">
        <f>IF(CurrentMtgRatesDataTable8[[#This Row],[WA CC]]&lt;&gt;0,C704-CurrentMtgRatesDataTable8[[#This Row],[WA CC]],0)</f>
        <v>0</v>
      </c>
      <c r="L705" s="15">
        <f>IF(CurrentMtgRatesDataTable8[[#This Row],[Servicing Spread]]&lt;=0,L704,CurrentMtgRatesDataTable8[[#This Row],[Servicing Spread]])</f>
        <v>0.35879999999999956</v>
      </c>
      <c r="M705" s="16">
        <f>CurrentMtgRatesDataTable8[[#This Row],[Servicing Spread Non-Zero]]-L704</f>
        <v>0</v>
      </c>
      <c r="N705" s="16">
        <f>IF(J704&lt;&gt;0,CurrentMtgRatesDataTable8[[#This Row],[Rate]]-C704,N704)</f>
        <v>-2.9999999999999361E-2</v>
      </c>
    </row>
    <row r="706" spans="1:14">
      <c r="A706" s="12" t="s">
        <v>2058</v>
      </c>
      <c r="B706" s="13">
        <v>6</v>
      </c>
      <c r="C706" s="13">
        <v>6.2750000000000004</v>
      </c>
      <c r="D706" s="15">
        <f t="shared" si="70"/>
        <v>5</v>
      </c>
      <c r="E706" s="15">
        <f t="shared" si="71"/>
        <v>0.2</v>
      </c>
      <c r="F706" s="15">
        <f t="shared" si="72"/>
        <v>3</v>
      </c>
      <c r="G706" s="15">
        <f t="shared" si="73"/>
        <v>3.5920000000000005</v>
      </c>
      <c r="H706" s="15">
        <f t="shared" si="74"/>
        <v>0.60000000000000009</v>
      </c>
      <c r="I706" s="15">
        <f t="shared" si="75"/>
        <v>0</v>
      </c>
      <c r="J706" s="15">
        <f t="shared" si="76"/>
        <v>0</v>
      </c>
      <c r="K706" s="15">
        <f>IF(CurrentMtgRatesDataTable8[[#This Row],[WA CC]]&lt;&gt;0,C705-CurrentMtgRatesDataTable8[[#This Row],[WA CC]],0)</f>
        <v>0</v>
      </c>
      <c r="L706" s="15">
        <f>IF(CurrentMtgRatesDataTable8[[#This Row],[Servicing Spread]]&lt;=0,L705,CurrentMtgRatesDataTable8[[#This Row],[Servicing Spread]])</f>
        <v>0.35879999999999956</v>
      </c>
      <c r="M706" s="16">
        <f>CurrentMtgRatesDataTable8[[#This Row],[Servicing Spread Non-Zero]]-L705</f>
        <v>0</v>
      </c>
      <c r="N706" s="16">
        <f>IF(J705&lt;&gt;0,CurrentMtgRatesDataTable8[[#This Row],[Rate]]-C705,N705)</f>
        <v>-2.9999999999999361E-2</v>
      </c>
    </row>
    <row r="707" spans="1:14">
      <c r="A707" s="12" t="s">
        <v>2059</v>
      </c>
      <c r="B707" s="13">
        <v>5.9390000000000001</v>
      </c>
      <c r="C707" s="13">
        <v>6.2750000000000004</v>
      </c>
      <c r="D707" s="15">
        <f t="shared" si="70"/>
        <v>6</v>
      </c>
      <c r="E707" s="15">
        <f t="shared" si="71"/>
        <v>0.2</v>
      </c>
      <c r="F707" s="15">
        <f t="shared" si="72"/>
        <v>4</v>
      </c>
      <c r="G707" s="15">
        <f t="shared" si="73"/>
        <v>4.7798000000000007</v>
      </c>
      <c r="H707" s="15">
        <f t="shared" si="74"/>
        <v>0.8</v>
      </c>
      <c r="I707" s="15">
        <f t="shared" si="75"/>
        <v>0</v>
      </c>
      <c r="J707" s="15">
        <f t="shared" si="76"/>
        <v>0</v>
      </c>
      <c r="K707" s="15">
        <f>IF(CurrentMtgRatesDataTable8[[#This Row],[WA CC]]&lt;&gt;0,C706-CurrentMtgRatesDataTable8[[#This Row],[WA CC]],0)</f>
        <v>0</v>
      </c>
      <c r="L707" s="15">
        <f>IF(CurrentMtgRatesDataTable8[[#This Row],[Servicing Spread]]&lt;=0,L706,CurrentMtgRatesDataTable8[[#This Row],[Servicing Spread]])</f>
        <v>0.35879999999999956</v>
      </c>
      <c r="M707" s="16">
        <f>CurrentMtgRatesDataTable8[[#This Row],[Servicing Spread Non-Zero]]-L706</f>
        <v>0</v>
      </c>
      <c r="N707" s="16">
        <f>IF(J706&lt;&gt;0,CurrentMtgRatesDataTable8[[#This Row],[Rate]]-C706,N706)</f>
        <v>-2.9999999999999361E-2</v>
      </c>
    </row>
    <row r="708" spans="1:14">
      <c r="A708" s="12" t="s">
        <v>2060</v>
      </c>
      <c r="B708" s="13">
        <v>5.931</v>
      </c>
      <c r="C708" s="13">
        <v>6.2750000000000004</v>
      </c>
      <c r="D708" s="15">
        <f t="shared" si="70"/>
        <v>7</v>
      </c>
      <c r="E708" s="15">
        <f t="shared" si="71"/>
        <v>0.2</v>
      </c>
      <c r="F708" s="15">
        <f t="shared" si="72"/>
        <v>5</v>
      </c>
      <c r="G708" s="15">
        <f t="shared" si="73"/>
        <v>5.9660000000000011</v>
      </c>
      <c r="H708" s="15">
        <f t="shared" si="74"/>
        <v>1</v>
      </c>
      <c r="I708" s="15">
        <f t="shared" si="75"/>
        <v>1</v>
      </c>
      <c r="J708" s="15">
        <f t="shared" si="76"/>
        <v>5.9660000000000011</v>
      </c>
      <c r="K708" s="15">
        <f>IF(CurrentMtgRatesDataTable8[[#This Row],[WA CC]]&lt;&gt;0,C707-CurrentMtgRatesDataTable8[[#This Row],[WA CC]],0)</f>
        <v>0.30899999999999928</v>
      </c>
      <c r="L708" s="15">
        <f>IF(CurrentMtgRatesDataTable8[[#This Row],[Servicing Spread]]&lt;=0,L707,CurrentMtgRatesDataTable8[[#This Row],[Servicing Spread]])</f>
        <v>0.30899999999999928</v>
      </c>
      <c r="M708" s="16">
        <f>CurrentMtgRatesDataTable8[[#This Row],[Servicing Spread Non-Zero]]-L707</f>
        <v>-4.9800000000000288E-2</v>
      </c>
      <c r="N708" s="16">
        <f>IF(J707&lt;&gt;0,CurrentMtgRatesDataTable8[[#This Row],[Rate]]-C707,N707)</f>
        <v>-2.9999999999999361E-2</v>
      </c>
    </row>
    <row r="709" spans="1:14">
      <c r="A709" s="12" t="s">
        <v>2061</v>
      </c>
      <c r="B709" s="13">
        <v>5.8559999999999999</v>
      </c>
      <c r="C709" s="13">
        <v>6.1599999999999993</v>
      </c>
      <c r="D709" s="15">
        <f t="shared" ref="D709:D772" si="77">WEEKDAY(A709,14)</f>
        <v>1</v>
      </c>
      <c r="E709" s="15">
        <f t="shared" ref="E709:E772" si="78">VLOOKUP(D709,Q$5:R$11,2,FALSE)</f>
        <v>0.2</v>
      </c>
      <c r="F709" s="15">
        <f t="shared" ref="F709:F772" si="79">IF(AND(D709&gt;D708,F708&lt;6),F708+1,1)</f>
        <v>1</v>
      </c>
      <c r="G709" s="15">
        <f t="shared" ref="G709:G772" si="80">IF(F709&gt;F708,G708+B709*E709,B709*E709)</f>
        <v>1.1712</v>
      </c>
      <c r="H709" s="15">
        <f t="shared" ref="H709:H772" si="81">IF(AND(F709&lt;6,F709&gt;F708),E709+H708,E709)</f>
        <v>0.2</v>
      </c>
      <c r="I709" s="15">
        <f t="shared" ref="I709:I772" si="82">IF(F709&gt;F710,1,0)</f>
        <v>0</v>
      </c>
      <c r="J709" s="15">
        <f t="shared" ref="J709:J772" si="83">IF(F709&gt;F710,G709/H709,0)</f>
        <v>0</v>
      </c>
      <c r="K709" s="15">
        <f>IF(CurrentMtgRatesDataTable8[[#This Row],[WA CC]]&lt;&gt;0,C708-CurrentMtgRatesDataTable8[[#This Row],[WA CC]],0)</f>
        <v>0</v>
      </c>
      <c r="L709" s="15">
        <f>IF(CurrentMtgRatesDataTable8[[#This Row],[Servicing Spread]]&lt;=0,L708,CurrentMtgRatesDataTable8[[#This Row],[Servicing Spread]])</f>
        <v>0.30899999999999928</v>
      </c>
      <c r="M709" s="16">
        <f>CurrentMtgRatesDataTable8[[#This Row],[Servicing Spread Non-Zero]]-L708</f>
        <v>0</v>
      </c>
      <c r="N709" s="16">
        <f>IF(J708&lt;&gt;0,CurrentMtgRatesDataTable8[[#This Row],[Rate]]-C708,N708)</f>
        <v>-0.1150000000000011</v>
      </c>
    </row>
    <row r="710" spans="1:14">
      <c r="A710" s="12" t="s">
        <v>2062</v>
      </c>
      <c r="B710" s="13">
        <v>5.82</v>
      </c>
      <c r="C710" s="13">
        <v>6.1599999999999993</v>
      </c>
      <c r="D710" s="15">
        <f t="shared" si="77"/>
        <v>2</v>
      </c>
      <c r="E710" s="15">
        <f t="shared" si="78"/>
        <v>0.2</v>
      </c>
      <c r="F710" s="15">
        <f t="shared" si="79"/>
        <v>2</v>
      </c>
      <c r="G710" s="15">
        <f t="shared" si="80"/>
        <v>2.3352000000000004</v>
      </c>
      <c r="H710" s="15">
        <f t="shared" si="81"/>
        <v>0.4</v>
      </c>
      <c r="I710" s="15">
        <f t="shared" si="82"/>
        <v>0</v>
      </c>
      <c r="J710" s="15">
        <f t="shared" si="83"/>
        <v>0</v>
      </c>
      <c r="K710" s="15">
        <f>IF(CurrentMtgRatesDataTable8[[#This Row],[WA CC]]&lt;&gt;0,C709-CurrentMtgRatesDataTable8[[#This Row],[WA CC]],0)</f>
        <v>0</v>
      </c>
      <c r="L710" s="15">
        <f>IF(CurrentMtgRatesDataTable8[[#This Row],[Servicing Spread]]&lt;=0,L709,CurrentMtgRatesDataTable8[[#This Row],[Servicing Spread]])</f>
        <v>0.30899999999999928</v>
      </c>
      <c r="M710" s="16">
        <f>CurrentMtgRatesDataTable8[[#This Row],[Servicing Spread Non-Zero]]-L709</f>
        <v>0</v>
      </c>
      <c r="N710" s="16">
        <f>IF(J709&lt;&gt;0,CurrentMtgRatesDataTable8[[#This Row],[Rate]]-C709,N709)</f>
        <v>-0.1150000000000011</v>
      </c>
    </row>
    <row r="711" spans="1:14">
      <c r="A711" s="12" t="s">
        <v>2063</v>
      </c>
      <c r="B711" s="13">
        <v>5.7850000000000001</v>
      </c>
      <c r="C711" s="13">
        <v>6.1599999999999993</v>
      </c>
      <c r="D711" s="15">
        <f t="shared" si="77"/>
        <v>5</v>
      </c>
      <c r="E711" s="15">
        <f t="shared" si="78"/>
        <v>0.2</v>
      </c>
      <c r="F711" s="15">
        <f t="shared" si="79"/>
        <v>3</v>
      </c>
      <c r="G711" s="15">
        <f t="shared" si="80"/>
        <v>3.4922000000000004</v>
      </c>
      <c r="H711" s="15">
        <f t="shared" si="81"/>
        <v>0.60000000000000009</v>
      </c>
      <c r="I711" s="15">
        <f t="shared" si="82"/>
        <v>0</v>
      </c>
      <c r="J711" s="15">
        <f t="shared" si="83"/>
        <v>0</v>
      </c>
      <c r="K711" s="15">
        <f>IF(CurrentMtgRatesDataTable8[[#This Row],[WA CC]]&lt;&gt;0,C710-CurrentMtgRatesDataTable8[[#This Row],[WA CC]],0)</f>
        <v>0</v>
      </c>
      <c r="L711" s="15">
        <f>IF(CurrentMtgRatesDataTable8[[#This Row],[Servicing Spread]]&lt;=0,L710,CurrentMtgRatesDataTable8[[#This Row],[Servicing Spread]])</f>
        <v>0.30899999999999928</v>
      </c>
      <c r="M711" s="16">
        <f>CurrentMtgRatesDataTable8[[#This Row],[Servicing Spread Non-Zero]]-L710</f>
        <v>0</v>
      </c>
      <c r="N711" s="16">
        <f>IF(J710&lt;&gt;0,CurrentMtgRatesDataTable8[[#This Row],[Rate]]-C710,N710)</f>
        <v>-0.1150000000000011</v>
      </c>
    </row>
    <row r="712" spans="1:14">
      <c r="A712" s="12" t="s">
        <v>2064</v>
      </c>
      <c r="B712" s="13">
        <v>5.8150000000000004</v>
      </c>
      <c r="C712" s="13">
        <v>6.1599999999999993</v>
      </c>
      <c r="D712" s="15">
        <f t="shared" si="77"/>
        <v>6</v>
      </c>
      <c r="E712" s="15">
        <f t="shared" si="78"/>
        <v>0.2</v>
      </c>
      <c r="F712" s="15">
        <f t="shared" si="79"/>
        <v>4</v>
      </c>
      <c r="G712" s="15">
        <f t="shared" si="80"/>
        <v>4.6552000000000007</v>
      </c>
      <c r="H712" s="15">
        <f t="shared" si="81"/>
        <v>0.8</v>
      </c>
      <c r="I712" s="15">
        <f t="shared" si="82"/>
        <v>0</v>
      </c>
      <c r="J712" s="15">
        <f t="shared" si="83"/>
        <v>0</v>
      </c>
      <c r="K712" s="15">
        <f>IF(CurrentMtgRatesDataTable8[[#This Row],[WA CC]]&lt;&gt;0,C711-CurrentMtgRatesDataTable8[[#This Row],[WA CC]],0)</f>
        <v>0</v>
      </c>
      <c r="L712" s="15">
        <f>IF(CurrentMtgRatesDataTable8[[#This Row],[Servicing Spread]]&lt;=0,L711,CurrentMtgRatesDataTable8[[#This Row],[Servicing Spread]])</f>
        <v>0.30899999999999928</v>
      </c>
      <c r="M712" s="16">
        <f>CurrentMtgRatesDataTable8[[#This Row],[Servicing Spread Non-Zero]]-L711</f>
        <v>0</v>
      </c>
      <c r="N712" s="16">
        <f>IF(J711&lt;&gt;0,CurrentMtgRatesDataTable8[[#This Row],[Rate]]-C711,N711)</f>
        <v>-0.1150000000000011</v>
      </c>
    </row>
    <row r="713" spans="1:14">
      <c r="A713" s="12" t="s">
        <v>2065</v>
      </c>
      <c r="B713" s="13">
        <v>5.8239999999999998</v>
      </c>
      <c r="C713" s="13">
        <v>6.1599999999999993</v>
      </c>
      <c r="D713" s="15">
        <f t="shared" si="77"/>
        <v>7</v>
      </c>
      <c r="E713" s="15">
        <f t="shared" si="78"/>
        <v>0.2</v>
      </c>
      <c r="F713" s="15">
        <f t="shared" si="79"/>
        <v>5</v>
      </c>
      <c r="G713" s="15">
        <f t="shared" si="80"/>
        <v>5.82</v>
      </c>
      <c r="H713" s="15">
        <f t="shared" si="81"/>
        <v>1</v>
      </c>
      <c r="I713" s="15">
        <f t="shared" si="82"/>
        <v>1</v>
      </c>
      <c r="J713" s="15">
        <f t="shared" si="83"/>
        <v>5.82</v>
      </c>
      <c r="K713" s="15">
        <f>IF(CurrentMtgRatesDataTable8[[#This Row],[WA CC]]&lt;&gt;0,C712-CurrentMtgRatesDataTable8[[#This Row],[WA CC]],0)</f>
        <v>0.33999999999999897</v>
      </c>
      <c r="L713" s="15">
        <f>IF(CurrentMtgRatesDataTable8[[#This Row],[Servicing Spread]]&lt;=0,L712,CurrentMtgRatesDataTable8[[#This Row],[Servicing Spread]])</f>
        <v>0.33999999999999897</v>
      </c>
      <c r="M713" s="16">
        <f>CurrentMtgRatesDataTable8[[#This Row],[Servicing Spread Non-Zero]]-L712</f>
        <v>3.0999999999999694E-2</v>
      </c>
      <c r="N713" s="16">
        <f>IF(J712&lt;&gt;0,CurrentMtgRatesDataTable8[[#This Row],[Rate]]-C712,N712)</f>
        <v>-0.1150000000000011</v>
      </c>
    </row>
    <row r="714" spans="1:14">
      <c r="A714" s="12" t="s">
        <v>2066</v>
      </c>
      <c r="B714" s="13">
        <v>5.8449999999999998</v>
      </c>
      <c r="C714" s="13">
        <v>6.125</v>
      </c>
      <c r="D714" s="15">
        <f t="shared" si="77"/>
        <v>1</v>
      </c>
      <c r="E714" s="15">
        <f t="shared" si="78"/>
        <v>0.2</v>
      </c>
      <c r="F714" s="15">
        <f t="shared" si="79"/>
        <v>1</v>
      </c>
      <c r="G714" s="15">
        <f t="shared" si="80"/>
        <v>1.169</v>
      </c>
      <c r="H714" s="15">
        <f t="shared" si="81"/>
        <v>0.2</v>
      </c>
      <c r="I714" s="15">
        <f t="shared" si="82"/>
        <v>0</v>
      </c>
      <c r="J714" s="15">
        <f t="shared" si="83"/>
        <v>0</v>
      </c>
      <c r="K714" s="15">
        <f>IF(CurrentMtgRatesDataTable8[[#This Row],[WA CC]]&lt;&gt;0,C713-CurrentMtgRatesDataTable8[[#This Row],[WA CC]],0)</f>
        <v>0</v>
      </c>
      <c r="L714" s="15">
        <f>IF(CurrentMtgRatesDataTable8[[#This Row],[Servicing Spread]]&lt;=0,L713,CurrentMtgRatesDataTable8[[#This Row],[Servicing Spread]])</f>
        <v>0.33999999999999897</v>
      </c>
      <c r="M714" s="16">
        <f>CurrentMtgRatesDataTable8[[#This Row],[Servicing Spread Non-Zero]]-L713</f>
        <v>0</v>
      </c>
      <c r="N714" s="16">
        <f>IF(J713&lt;&gt;0,CurrentMtgRatesDataTable8[[#This Row],[Rate]]-C713,N713)</f>
        <v>-3.4999999999999254E-2</v>
      </c>
    </row>
    <row r="715" spans="1:14">
      <c r="A715" s="12" t="s">
        <v>2067</v>
      </c>
      <c r="B715" s="13">
        <v>5.8639999999999999</v>
      </c>
      <c r="C715" s="13">
        <v>6.125</v>
      </c>
      <c r="D715" s="15">
        <f t="shared" si="77"/>
        <v>2</v>
      </c>
      <c r="E715" s="15">
        <f t="shared" si="78"/>
        <v>0.2</v>
      </c>
      <c r="F715" s="15">
        <f t="shared" si="79"/>
        <v>2</v>
      </c>
      <c r="G715" s="15">
        <f t="shared" si="80"/>
        <v>2.3418000000000001</v>
      </c>
      <c r="H715" s="15">
        <f t="shared" si="81"/>
        <v>0.4</v>
      </c>
      <c r="I715" s="15">
        <f t="shared" si="82"/>
        <v>0</v>
      </c>
      <c r="J715" s="15">
        <f t="shared" si="83"/>
        <v>0</v>
      </c>
      <c r="K715" s="15">
        <f>IF(CurrentMtgRatesDataTable8[[#This Row],[WA CC]]&lt;&gt;0,C714-CurrentMtgRatesDataTable8[[#This Row],[WA CC]],0)</f>
        <v>0</v>
      </c>
      <c r="L715" s="15">
        <f>IF(CurrentMtgRatesDataTable8[[#This Row],[Servicing Spread]]&lt;=0,L714,CurrentMtgRatesDataTable8[[#This Row],[Servicing Spread]])</f>
        <v>0.33999999999999897</v>
      </c>
      <c r="M715" s="16">
        <f>CurrentMtgRatesDataTable8[[#This Row],[Servicing Spread Non-Zero]]-L714</f>
        <v>0</v>
      </c>
      <c r="N715" s="16">
        <f>IF(J714&lt;&gt;0,CurrentMtgRatesDataTable8[[#This Row],[Rate]]-C714,N714)</f>
        <v>-3.4999999999999254E-2</v>
      </c>
    </row>
    <row r="716" spans="1:14">
      <c r="A716" s="8" t="s">
        <v>2068</v>
      </c>
      <c r="B716" s="11">
        <v>5.85</v>
      </c>
      <c r="C716" s="11">
        <v>6.125</v>
      </c>
      <c r="D716" s="16">
        <f t="shared" si="77"/>
        <v>5</v>
      </c>
      <c r="E716" s="16">
        <f t="shared" si="78"/>
        <v>0.2</v>
      </c>
      <c r="F716" s="16">
        <f t="shared" si="79"/>
        <v>3</v>
      </c>
      <c r="G716" s="16">
        <f t="shared" si="80"/>
        <v>3.5118</v>
      </c>
      <c r="H716" s="16">
        <f t="shared" si="81"/>
        <v>0.60000000000000009</v>
      </c>
      <c r="I716" s="16">
        <f t="shared" si="82"/>
        <v>0</v>
      </c>
      <c r="J716" s="16">
        <f t="shared" si="83"/>
        <v>0</v>
      </c>
      <c r="K716" s="16">
        <f>IF(CurrentMtgRatesDataTable8[[#This Row],[WA CC]]&lt;&gt;0,C715-CurrentMtgRatesDataTable8[[#This Row],[WA CC]],0)</f>
        <v>0</v>
      </c>
      <c r="L716" s="16">
        <f>IF(CurrentMtgRatesDataTable8[[#This Row],[Servicing Spread]]&lt;=0,L715,CurrentMtgRatesDataTable8[[#This Row],[Servicing Spread]])</f>
        <v>0.33999999999999897</v>
      </c>
      <c r="M716" s="16">
        <f>CurrentMtgRatesDataTable8[[#This Row],[Servicing Spread Non-Zero]]-L715</f>
        <v>0</v>
      </c>
      <c r="N716" s="16">
        <f>IF(J715&lt;&gt;0,CurrentMtgRatesDataTable8[[#This Row],[Rate]]-C715,N715)</f>
        <v>-3.4999999999999254E-2</v>
      </c>
    </row>
    <row r="717" spans="1:14">
      <c r="A717" s="8" t="s">
        <v>2069</v>
      </c>
      <c r="B717" s="11">
        <v>5.8390000000000004</v>
      </c>
      <c r="C717" s="11">
        <v>6.125</v>
      </c>
      <c r="D717" s="16">
        <f t="shared" si="77"/>
        <v>6</v>
      </c>
      <c r="E717" s="16">
        <f t="shared" si="78"/>
        <v>0.2</v>
      </c>
      <c r="F717" s="16">
        <f t="shared" si="79"/>
        <v>4</v>
      </c>
      <c r="G717" s="16">
        <f t="shared" si="80"/>
        <v>4.6796000000000006</v>
      </c>
      <c r="H717" s="16">
        <f t="shared" si="81"/>
        <v>0.8</v>
      </c>
      <c r="I717" s="16">
        <f t="shared" si="82"/>
        <v>0</v>
      </c>
      <c r="J717" s="16">
        <f t="shared" si="83"/>
        <v>0</v>
      </c>
      <c r="K717" s="16">
        <f>IF(CurrentMtgRatesDataTable8[[#This Row],[WA CC]]&lt;&gt;0,C716-CurrentMtgRatesDataTable8[[#This Row],[WA CC]],0)</f>
        <v>0</v>
      </c>
      <c r="L717" s="16">
        <f>IF(CurrentMtgRatesDataTable8[[#This Row],[Servicing Spread]]&lt;=0,L716,CurrentMtgRatesDataTable8[[#This Row],[Servicing Spread]])</f>
        <v>0.33999999999999897</v>
      </c>
      <c r="M717" s="16">
        <f>CurrentMtgRatesDataTable8[[#This Row],[Servicing Spread Non-Zero]]-L716</f>
        <v>0</v>
      </c>
      <c r="N717" s="16">
        <f>IF(J716&lt;&gt;0,CurrentMtgRatesDataTable8[[#This Row],[Rate]]-C716,N716)</f>
        <v>-3.4999999999999254E-2</v>
      </c>
    </row>
    <row r="718" spans="1:14">
      <c r="A718" s="8" t="s">
        <v>2070</v>
      </c>
      <c r="B718" s="11">
        <v>5.7789999999999999</v>
      </c>
      <c r="C718" s="11">
        <v>6.125</v>
      </c>
      <c r="D718" s="16">
        <f t="shared" si="77"/>
        <v>7</v>
      </c>
      <c r="E718" s="16">
        <f t="shared" si="78"/>
        <v>0.2</v>
      </c>
      <c r="F718" s="16">
        <f t="shared" si="79"/>
        <v>5</v>
      </c>
      <c r="G718" s="16">
        <f t="shared" si="80"/>
        <v>5.8354000000000008</v>
      </c>
      <c r="H718" s="16">
        <f t="shared" si="81"/>
        <v>1</v>
      </c>
      <c r="I718" s="16">
        <f t="shared" si="82"/>
        <v>1</v>
      </c>
      <c r="J718" s="16">
        <f t="shared" si="83"/>
        <v>5.8354000000000008</v>
      </c>
      <c r="K718" s="16">
        <f>IF(CurrentMtgRatesDataTable8[[#This Row],[WA CC]]&lt;&gt;0,C717-CurrentMtgRatesDataTable8[[#This Row],[WA CC]],0)</f>
        <v>0.28959999999999919</v>
      </c>
      <c r="L718" s="16">
        <f>IF(CurrentMtgRatesDataTable8[[#This Row],[Servicing Spread]]&lt;=0,L717,CurrentMtgRatesDataTable8[[#This Row],[Servicing Spread]])</f>
        <v>0.28959999999999919</v>
      </c>
      <c r="M718" s="16">
        <f>CurrentMtgRatesDataTable8[[#This Row],[Servicing Spread Non-Zero]]-L717</f>
        <v>-5.0399999999999778E-2</v>
      </c>
      <c r="N718" s="16">
        <f>IF(J717&lt;&gt;0,CurrentMtgRatesDataTable8[[#This Row],[Rate]]-C717,N717)</f>
        <v>-3.4999999999999254E-2</v>
      </c>
    </row>
    <row r="719" spans="1:14">
      <c r="A719" s="8" t="s">
        <v>2071</v>
      </c>
      <c r="B719" s="11">
        <v>5.8179999999999996</v>
      </c>
      <c r="C719" s="11">
        <v>6.2450000000000001</v>
      </c>
      <c r="D719" s="16">
        <f t="shared" si="77"/>
        <v>1</v>
      </c>
      <c r="E719" s="16">
        <f t="shared" si="78"/>
        <v>0.2</v>
      </c>
      <c r="F719" s="16">
        <f t="shared" si="79"/>
        <v>1</v>
      </c>
      <c r="G719" s="16">
        <f t="shared" si="80"/>
        <v>1.1636</v>
      </c>
      <c r="H719" s="16">
        <f t="shared" si="81"/>
        <v>0.2</v>
      </c>
      <c r="I719" s="16">
        <f t="shared" si="82"/>
        <v>0</v>
      </c>
      <c r="J719" s="16">
        <f t="shared" si="83"/>
        <v>0</v>
      </c>
      <c r="K719" s="16">
        <f>IF(CurrentMtgRatesDataTable8[[#This Row],[WA CC]]&lt;&gt;0,C718-CurrentMtgRatesDataTable8[[#This Row],[WA CC]],0)</f>
        <v>0</v>
      </c>
      <c r="L719" s="16">
        <f>IF(CurrentMtgRatesDataTable8[[#This Row],[Servicing Spread]]&lt;=0,L718,CurrentMtgRatesDataTable8[[#This Row],[Servicing Spread]])</f>
        <v>0.28959999999999919</v>
      </c>
      <c r="M719" s="16">
        <f>CurrentMtgRatesDataTable8[[#This Row],[Servicing Spread Non-Zero]]-L718</f>
        <v>0</v>
      </c>
      <c r="N719" s="16">
        <f>IF(J718&lt;&gt;0,CurrentMtgRatesDataTable8[[#This Row],[Rate]]-C718,N718)</f>
        <v>0.12000000000000011</v>
      </c>
    </row>
    <row r="720" spans="1:14">
      <c r="A720" s="8" t="s">
        <v>2072</v>
      </c>
      <c r="B720" s="11">
        <v>5.9029999999999996</v>
      </c>
      <c r="C720" s="11">
        <v>6.2450000000000001</v>
      </c>
      <c r="D720" s="16">
        <f t="shared" si="77"/>
        <v>2</v>
      </c>
      <c r="E720" s="16">
        <f t="shared" si="78"/>
        <v>0.2</v>
      </c>
      <c r="F720" s="16">
        <f t="shared" si="79"/>
        <v>2</v>
      </c>
      <c r="G720" s="16">
        <f t="shared" si="80"/>
        <v>2.3441999999999998</v>
      </c>
      <c r="H720" s="16">
        <f t="shared" si="81"/>
        <v>0.4</v>
      </c>
      <c r="I720" s="16">
        <f t="shared" si="82"/>
        <v>0</v>
      </c>
      <c r="J720" s="16">
        <f t="shared" si="83"/>
        <v>0</v>
      </c>
      <c r="K720" s="16">
        <f>IF(CurrentMtgRatesDataTable8[[#This Row],[WA CC]]&lt;&gt;0,C719-CurrentMtgRatesDataTable8[[#This Row],[WA CC]],0)</f>
        <v>0</v>
      </c>
      <c r="L720" s="16">
        <f>IF(CurrentMtgRatesDataTable8[[#This Row],[Servicing Spread]]&lt;=0,L719,CurrentMtgRatesDataTable8[[#This Row],[Servicing Spread]])</f>
        <v>0.28959999999999919</v>
      </c>
      <c r="M720" s="16">
        <f>CurrentMtgRatesDataTable8[[#This Row],[Servicing Spread Non-Zero]]-L719</f>
        <v>0</v>
      </c>
      <c r="N720" s="16">
        <f>IF(J719&lt;&gt;0,CurrentMtgRatesDataTable8[[#This Row],[Rate]]-C719,N719)</f>
        <v>0.12000000000000011</v>
      </c>
    </row>
    <row r="721" spans="1:14">
      <c r="A721" s="8" t="s">
        <v>2073</v>
      </c>
      <c r="B721" s="11">
        <v>5.9610000000000003</v>
      </c>
      <c r="C721" s="11">
        <v>6.2450000000000001</v>
      </c>
      <c r="D721" s="16">
        <f t="shared" si="77"/>
        <v>6</v>
      </c>
      <c r="E721" s="16">
        <f t="shared" si="78"/>
        <v>0.2</v>
      </c>
      <c r="F721" s="16">
        <f t="shared" si="79"/>
        <v>3</v>
      </c>
      <c r="G721" s="16">
        <f t="shared" si="80"/>
        <v>3.5364</v>
      </c>
      <c r="H721" s="16">
        <f t="shared" si="81"/>
        <v>0.60000000000000009</v>
      </c>
      <c r="I721" s="16">
        <f t="shared" si="82"/>
        <v>0</v>
      </c>
      <c r="J721" s="16">
        <f t="shared" si="83"/>
        <v>0</v>
      </c>
      <c r="K721" s="16">
        <f>IF(CurrentMtgRatesDataTable8[[#This Row],[WA CC]]&lt;&gt;0,C720-CurrentMtgRatesDataTable8[[#This Row],[WA CC]],0)</f>
        <v>0</v>
      </c>
      <c r="L721" s="16">
        <f>IF(CurrentMtgRatesDataTable8[[#This Row],[Servicing Spread]]&lt;=0,L720,CurrentMtgRatesDataTable8[[#This Row],[Servicing Spread]])</f>
        <v>0.28959999999999919</v>
      </c>
      <c r="M721" s="16">
        <f>CurrentMtgRatesDataTable8[[#This Row],[Servicing Spread Non-Zero]]-L720</f>
        <v>0</v>
      </c>
      <c r="N721" s="16">
        <f>IF(J720&lt;&gt;0,CurrentMtgRatesDataTable8[[#This Row],[Rate]]-C720,N720)</f>
        <v>0.12000000000000011</v>
      </c>
    </row>
    <row r="722" spans="1:14">
      <c r="A722" s="8" t="s">
        <v>2074</v>
      </c>
      <c r="B722" s="11">
        <v>5.9960000000000004</v>
      </c>
      <c r="C722" s="11">
        <v>6.2450000000000001</v>
      </c>
      <c r="D722" s="16">
        <f t="shared" si="77"/>
        <v>7</v>
      </c>
      <c r="E722" s="16">
        <f t="shared" si="78"/>
        <v>0.2</v>
      </c>
      <c r="F722" s="16">
        <f t="shared" si="79"/>
        <v>4</v>
      </c>
      <c r="G722" s="16">
        <f t="shared" si="80"/>
        <v>4.7355999999999998</v>
      </c>
      <c r="H722" s="16">
        <f t="shared" si="81"/>
        <v>0.8</v>
      </c>
      <c r="I722" s="16">
        <f t="shared" si="82"/>
        <v>1</v>
      </c>
      <c r="J722" s="16">
        <f t="shared" si="83"/>
        <v>5.9194999999999993</v>
      </c>
      <c r="K722" s="16">
        <f>IF(CurrentMtgRatesDataTable8[[#This Row],[WA CC]]&lt;&gt;0,C721-CurrentMtgRatesDataTable8[[#This Row],[WA CC]],0)</f>
        <v>0.32550000000000079</v>
      </c>
      <c r="L722" s="16">
        <f>IF(CurrentMtgRatesDataTable8[[#This Row],[Servicing Spread]]&lt;=0,L721,CurrentMtgRatesDataTable8[[#This Row],[Servicing Spread]])</f>
        <v>0.32550000000000079</v>
      </c>
      <c r="M722" s="16">
        <f>CurrentMtgRatesDataTable8[[#This Row],[Servicing Spread Non-Zero]]-L721</f>
        <v>3.5900000000001597E-2</v>
      </c>
      <c r="N722" s="16">
        <f>IF(J721&lt;&gt;0,CurrentMtgRatesDataTable8[[#This Row],[Rate]]-C721,N721)</f>
        <v>0.12000000000000011</v>
      </c>
    </row>
    <row r="723" spans="1:14">
      <c r="A723" s="39" t="s">
        <v>2075</v>
      </c>
      <c r="B723" s="40">
        <v>5.9809999999999999</v>
      </c>
      <c r="C723" s="11">
        <v>6.2350000000000003</v>
      </c>
      <c r="D723" s="16">
        <f t="shared" si="77"/>
        <v>1</v>
      </c>
      <c r="E723" s="16">
        <f t="shared" si="78"/>
        <v>0.2</v>
      </c>
      <c r="F723" s="16">
        <f t="shared" si="79"/>
        <v>1</v>
      </c>
      <c r="G723" s="16">
        <f t="shared" si="80"/>
        <v>1.1961999999999999</v>
      </c>
      <c r="H723" s="16">
        <f t="shared" si="81"/>
        <v>0.2</v>
      </c>
      <c r="I723" s="16">
        <f t="shared" si="82"/>
        <v>0</v>
      </c>
      <c r="J723" s="16">
        <f t="shared" si="83"/>
        <v>0</v>
      </c>
      <c r="K723" s="16">
        <f>IF(CurrentMtgRatesDataTable8[[#This Row],[WA CC]]&lt;&gt;0,C722-CurrentMtgRatesDataTable8[[#This Row],[WA CC]],0)</f>
        <v>0</v>
      </c>
      <c r="L723" s="16">
        <f>IF(CurrentMtgRatesDataTable8[[#This Row],[Servicing Spread]]&lt;=0,L722,CurrentMtgRatesDataTable8[[#This Row],[Servicing Spread]])</f>
        <v>0.32550000000000079</v>
      </c>
      <c r="M723" s="16">
        <f>CurrentMtgRatesDataTable8[[#This Row],[Servicing Spread Non-Zero]]-L722</f>
        <v>0</v>
      </c>
      <c r="N723" s="16">
        <f>IF(J722&lt;&gt;0,CurrentMtgRatesDataTable8[[#This Row],[Rate]]-C722,N722)</f>
        <v>-9.9999999999997868E-3</v>
      </c>
    </row>
    <row r="724" spans="1:14">
      <c r="A724" s="39" t="s">
        <v>2076</v>
      </c>
      <c r="B724" s="40">
        <v>5.9870000000000001</v>
      </c>
      <c r="C724" s="11">
        <v>6.2350000000000003</v>
      </c>
      <c r="D724" s="16">
        <f t="shared" si="77"/>
        <v>2</v>
      </c>
      <c r="E724" s="16">
        <f t="shared" si="78"/>
        <v>0.2</v>
      </c>
      <c r="F724" s="16">
        <f t="shared" si="79"/>
        <v>2</v>
      </c>
      <c r="G724" s="16">
        <f t="shared" si="80"/>
        <v>2.3936000000000002</v>
      </c>
      <c r="H724" s="16">
        <f t="shared" si="81"/>
        <v>0.4</v>
      </c>
      <c r="I724" s="16">
        <f t="shared" si="82"/>
        <v>0</v>
      </c>
      <c r="J724" s="16">
        <f t="shared" si="83"/>
        <v>0</v>
      </c>
      <c r="K724" s="16">
        <f>IF(CurrentMtgRatesDataTable8[[#This Row],[WA CC]]&lt;&gt;0,C723-CurrentMtgRatesDataTable8[[#This Row],[WA CC]],0)</f>
        <v>0</v>
      </c>
      <c r="L724" s="16">
        <f>IF(CurrentMtgRatesDataTable8[[#This Row],[Servicing Spread]]&lt;=0,L723,CurrentMtgRatesDataTable8[[#This Row],[Servicing Spread]])</f>
        <v>0.32550000000000079</v>
      </c>
      <c r="M724" s="16">
        <f>CurrentMtgRatesDataTable8[[#This Row],[Servicing Spread Non-Zero]]-L723</f>
        <v>0</v>
      </c>
      <c r="N724" s="16">
        <f>IF(J723&lt;&gt;0,CurrentMtgRatesDataTable8[[#This Row],[Rate]]-C723,N723)</f>
        <v>-9.9999999999997868E-3</v>
      </c>
    </row>
    <row r="725" spans="1:14">
      <c r="A725" s="39" t="s">
        <v>2077</v>
      </c>
      <c r="B725" s="40">
        <v>5.96</v>
      </c>
      <c r="C725" s="11">
        <v>6.2350000000000003</v>
      </c>
      <c r="D725" s="16">
        <f t="shared" si="77"/>
        <v>5</v>
      </c>
      <c r="E725" s="16">
        <f t="shared" si="78"/>
        <v>0.2</v>
      </c>
      <c r="F725" s="16">
        <f t="shared" si="79"/>
        <v>3</v>
      </c>
      <c r="G725" s="16">
        <f t="shared" si="80"/>
        <v>3.5856000000000003</v>
      </c>
      <c r="H725" s="16">
        <f t="shared" si="81"/>
        <v>0.60000000000000009</v>
      </c>
      <c r="I725" s="16">
        <f t="shared" si="82"/>
        <v>0</v>
      </c>
      <c r="J725" s="16">
        <f t="shared" si="83"/>
        <v>0</v>
      </c>
      <c r="K725" s="16">
        <f>IF(CurrentMtgRatesDataTable8[[#This Row],[WA CC]]&lt;&gt;0,C724-CurrentMtgRatesDataTable8[[#This Row],[WA CC]],0)</f>
        <v>0</v>
      </c>
      <c r="L725" s="16">
        <f>IF(CurrentMtgRatesDataTable8[[#This Row],[Servicing Spread]]&lt;=0,L724,CurrentMtgRatesDataTable8[[#This Row],[Servicing Spread]])</f>
        <v>0.32550000000000079</v>
      </c>
      <c r="M725" s="16">
        <f>CurrentMtgRatesDataTable8[[#This Row],[Servicing Spread Non-Zero]]-L724</f>
        <v>0</v>
      </c>
      <c r="N725" s="16">
        <f>IF(J724&lt;&gt;0,CurrentMtgRatesDataTable8[[#This Row],[Rate]]-C724,N724)</f>
        <v>-9.9999999999997868E-3</v>
      </c>
    </row>
    <row r="726" spans="1:14">
      <c r="A726" s="39" t="s">
        <v>2078</v>
      </c>
      <c r="B726" s="41">
        <v>5.9450000000000003</v>
      </c>
      <c r="C726" s="11">
        <v>6.2350000000000003</v>
      </c>
      <c r="D726" s="16">
        <f t="shared" si="77"/>
        <v>6</v>
      </c>
      <c r="E726" s="16">
        <f t="shared" si="78"/>
        <v>0.2</v>
      </c>
      <c r="F726" s="16">
        <f t="shared" si="79"/>
        <v>4</v>
      </c>
      <c r="G726" s="16">
        <f t="shared" si="80"/>
        <v>4.7746000000000004</v>
      </c>
      <c r="H726" s="16">
        <f t="shared" si="81"/>
        <v>0.8</v>
      </c>
      <c r="I726" s="16">
        <f t="shared" si="82"/>
        <v>0</v>
      </c>
      <c r="J726" s="16">
        <f t="shared" si="83"/>
        <v>0</v>
      </c>
      <c r="K726" s="16">
        <f>IF(CurrentMtgRatesDataTable8[[#This Row],[WA CC]]&lt;&gt;0,C725-CurrentMtgRatesDataTable8[[#This Row],[WA CC]],0)</f>
        <v>0</v>
      </c>
      <c r="L726" s="16">
        <f>IF(CurrentMtgRatesDataTable8[[#This Row],[Servicing Spread]]&lt;=0,L725,CurrentMtgRatesDataTable8[[#This Row],[Servicing Spread]])</f>
        <v>0.32550000000000079</v>
      </c>
      <c r="M726" s="16">
        <f>CurrentMtgRatesDataTable8[[#This Row],[Servicing Spread Non-Zero]]-L725</f>
        <v>0</v>
      </c>
      <c r="N726" s="16">
        <f>IF(J725&lt;&gt;0,CurrentMtgRatesDataTable8[[#This Row],[Rate]]-C725,N725)</f>
        <v>-9.9999999999997868E-3</v>
      </c>
    </row>
    <row r="727" spans="1:14">
      <c r="A727" s="39" t="s">
        <v>2079</v>
      </c>
      <c r="B727" s="40">
        <v>5.9340000000000002</v>
      </c>
      <c r="C727" s="11">
        <v>6.2350000000000003</v>
      </c>
      <c r="D727" s="16">
        <f t="shared" si="77"/>
        <v>7</v>
      </c>
      <c r="E727" s="16">
        <f t="shared" si="78"/>
        <v>0.2</v>
      </c>
      <c r="F727" s="16">
        <f t="shared" si="79"/>
        <v>5</v>
      </c>
      <c r="G727" s="16">
        <f t="shared" si="80"/>
        <v>5.9614000000000003</v>
      </c>
      <c r="H727" s="16">
        <f t="shared" si="81"/>
        <v>1</v>
      </c>
      <c r="I727" s="16">
        <f t="shared" si="82"/>
        <v>1</v>
      </c>
      <c r="J727" s="16">
        <f t="shared" si="83"/>
        <v>5.9614000000000003</v>
      </c>
      <c r="K727" s="16">
        <f>IF(CurrentMtgRatesDataTable8[[#This Row],[WA CC]]&lt;&gt;0,C726-CurrentMtgRatesDataTable8[[#This Row],[WA CC]],0)</f>
        <v>0.27360000000000007</v>
      </c>
      <c r="L727" s="16">
        <f>IF(CurrentMtgRatesDataTable8[[#This Row],[Servicing Spread]]&lt;=0,L726,CurrentMtgRatesDataTable8[[#This Row],[Servicing Spread]])</f>
        <v>0.27360000000000007</v>
      </c>
      <c r="M727" s="16">
        <f>CurrentMtgRatesDataTable8[[#This Row],[Servicing Spread Non-Zero]]-L726</f>
        <v>-5.1900000000000723E-2</v>
      </c>
      <c r="N727" s="16">
        <f>IF(J726&lt;&gt;0,CurrentMtgRatesDataTable8[[#This Row],[Rate]]-C726,N726)</f>
        <v>-9.9999999999997868E-3</v>
      </c>
    </row>
    <row r="728" spans="1:14">
      <c r="A728" s="39" t="s">
        <v>2080</v>
      </c>
      <c r="B728" s="40">
        <v>5.9630000000000001</v>
      </c>
      <c r="C728" s="11">
        <v>6.25</v>
      </c>
      <c r="D728" s="16">
        <f t="shared" si="77"/>
        <v>1</v>
      </c>
      <c r="E728" s="16">
        <f t="shared" si="78"/>
        <v>0.2</v>
      </c>
      <c r="F728" s="16">
        <f t="shared" si="79"/>
        <v>1</v>
      </c>
      <c r="G728" s="16">
        <f t="shared" si="80"/>
        <v>1.1926000000000001</v>
      </c>
      <c r="H728" s="16">
        <f t="shared" si="81"/>
        <v>0.2</v>
      </c>
      <c r="I728" s="16">
        <f t="shared" si="82"/>
        <v>0</v>
      </c>
      <c r="J728" s="16">
        <f t="shared" si="83"/>
        <v>0</v>
      </c>
      <c r="K728" s="16">
        <f>IF(CurrentMtgRatesDataTable8[[#This Row],[WA CC]]&lt;&gt;0,C727-CurrentMtgRatesDataTable8[[#This Row],[WA CC]],0)</f>
        <v>0</v>
      </c>
      <c r="L728" s="16">
        <f>IF(CurrentMtgRatesDataTable8[[#This Row],[Servicing Spread]]&lt;=0,L727,CurrentMtgRatesDataTable8[[#This Row],[Servicing Spread]])</f>
        <v>0.27360000000000007</v>
      </c>
      <c r="M728" s="16">
        <f>CurrentMtgRatesDataTable8[[#This Row],[Servicing Spread Non-Zero]]-L727</f>
        <v>0</v>
      </c>
      <c r="N728" s="16">
        <f>IF(J727&lt;&gt;0,CurrentMtgRatesDataTable8[[#This Row],[Rate]]-C727,N727)</f>
        <v>1.499999999999968E-2</v>
      </c>
    </row>
    <row r="729" spans="1:14">
      <c r="A729" s="39" t="s">
        <v>2081</v>
      </c>
      <c r="B729" s="40">
        <v>5.9569999999999999</v>
      </c>
      <c r="C729" s="11">
        <v>6.25</v>
      </c>
      <c r="D729" s="16">
        <f t="shared" si="77"/>
        <v>2</v>
      </c>
      <c r="E729" s="16">
        <f t="shared" si="78"/>
        <v>0.2</v>
      </c>
      <c r="F729" s="16">
        <f t="shared" si="79"/>
        <v>2</v>
      </c>
      <c r="G729" s="16">
        <f t="shared" si="80"/>
        <v>2.3840000000000003</v>
      </c>
      <c r="H729" s="16">
        <f t="shared" si="81"/>
        <v>0.4</v>
      </c>
      <c r="I729" s="16">
        <f t="shared" si="82"/>
        <v>0</v>
      </c>
      <c r="J729" s="16">
        <f t="shared" si="83"/>
        <v>0</v>
      </c>
      <c r="K729" s="16">
        <f>IF(CurrentMtgRatesDataTable8[[#This Row],[WA CC]]&lt;&gt;0,C728-CurrentMtgRatesDataTable8[[#This Row],[WA CC]],0)</f>
        <v>0</v>
      </c>
      <c r="L729" s="16">
        <f>IF(CurrentMtgRatesDataTable8[[#This Row],[Servicing Spread]]&lt;=0,L728,CurrentMtgRatesDataTable8[[#This Row],[Servicing Spread]])</f>
        <v>0.27360000000000007</v>
      </c>
      <c r="M729" s="16">
        <f>CurrentMtgRatesDataTable8[[#This Row],[Servicing Spread Non-Zero]]-L728</f>
        <v>0</v>
      </c>
      <c r="N729" s="16">
        <f>IF(J728&lt;&gt;0,CurrentMtgRatesDataTable8[[#This Row],[Rate]]-C728,N728)</f>
        <v>1.499999999999968E-2</v>
      </c>
    </row>
    <row r="730" spans="1:14">
      <c r="A730" s="39" t="s">
        <v>2082</v>
      </c>
      <c r="B730" s="40">
        <v>5.9909999999999997</v>
      </c>
      <c r="C730" s="11">
        <v>6.25</v>
      </c>
      <c r="D730" s="16">
        <f t="shared" si="77"/>
        <v>5</v>
      </c>
      <c r="E730" s="16">
        <f t="shared" si="78"/>
        <v>0.2</v>
      </c>
      <c r="F730" s="16">
        <f t="shared" si="79"/>
        <v>3</v>
      </c>
      <c r="G730" s="16">
        <f t="shared" si="80"/>
        <v>3.5822000000000003</v>
      </c>
      <c r="H730" s="16">
        <f t="shared" si="81"/>
        <v>0.60000000000000009</v>
      </c>
      <c r="I730" s="16">
        <f t="shared" si="82"/>
        <v>0</v>
      </c>
      <c r="J730" s="16">
        <f t="shared" si="83"/>
        <v>0</v>
      </c>
      <c r="K730" s="16">
        <f>IF(CurrentMtgRatesDataTable8[[#This Row],[WA CC]]&lt;&gt;0,C729-CurrentMtgRatesDataTable8[[#This Row],[WA CC]],0)</f>
        <v>0</v>
      </c>
      <c r="L730" s="16">
        <f>IF(CurrentMtgRatesDataTable8[[#This Row],[Servicing Spread]]&lt;=0,L729,CurrentMtgRatesDataTable8[[#This Row],[Servicing Spread]])</f>
        <v>0.27360000000000007</v>
      </c>
      <c r="M730" s="16">
        <f>CurrentMtgRatesDataTable8[[#This Row],[Servicing Spread Non-Zero]]-L729</f>
        <v>0</v>
      </c>
      <c r="N730" s="16">
        <f>IF(J729&lt;&gt;0,CurrentMtgRatesDataTable8[[#This Row],[Rate]]-C729,N729)</f>
        <v>1.499999999999968E-2</v>
      </c>
    </row>
    <row r="731" spans="1:14">
      <c r="A731" s="39" t="s">
        <v>2083</v>
      </c>
      <c r="B731" s="41">
        <v>5.9930000000000003</v>
      </c>
      <c r="C731" s="11">
        <v>6.25</v>
      </c>
      <c r="D731" s="16">
        <f t="shared" si="77"/>
        <v>6</v>
      </c>
      <c r="E731" s="16">
        <f t="shared" si="78"/>
        <v>0.2</v>
      </c>
      <c r="F731" s="16">
        <f t="shared" si="79"/>
        <v>4</v>
      </c>
      <c r="G731" s="16">
        <f t="shared" si="80"/>
        <v>4.7808000000000002</v>
      </c>
      <c r="H731" s="16">
        <f t="shared" si="81"/>
        <v>0.8</v>
      </c>
      <c r="I731" s="16">
        <f t="shared" si="82"/>
        <v>0</v>
      </c>
      <c r="J731" s="16">
        <f t="shared" si="83"/>
        <v>0</v>
      </c>
      <c r="K731" s="16">
        <f>IF(CurrentMtgRatesDataTable8[[#This Row],[WA CC]]&lt;&gt;0,C730-CurrentMtgRatesDataTable8[[#This Row],[WA CC]],0)</f>
        <v>0</v>
      </c>
      <c r="L731" s="16">
        <f>IF(CurrentMtgRatesDataTable8[[#This Row],[Servicing Spread]]&lt;=0,L730,CurrentMtgRatesDataTable8[[#This Row],[Servicing Spread]])</f>
        <v>0.27360000000000007</v>
      </c>
      <c r="M731" s="16">
        <f>CurrentMtgRatesDataTable8[[#This Row],[Servicing Spread Non-Zero]]-L730</f>
        <v>0</v>
      </c>
      <c r="N731" s="16">
        <f>IF(J730&lt;&gt;0,CurrentMtgRatesDataTable8[[#This Row],[Rate]]-C730,N730)</f>
        <v>1.499999999999968E-2</v>
      </c>
    </row>
    <row r="732" spans="1:14">
      <c r="A732" s="39" t="s">
        <v>2084</v>
      </c>
      <c r="B732" s="40">
        <v>5.9509999999999996</v>
      </c>
      <c r="C732" s="11">
        <v>6.25</v>
      </c>
      <c r="D732" s="16">
        <f t="shared" si="77"/>
        <v>7</v>
      </c>
      <c r="E732" s="16">
        <f t="shared" si="78"/>
        <v>0.2</v>
      </c>
      <c r="F732" s="16">
        <f t="shared" si="79"/>
        <v>5</v>
      </c>
      <c r="G732" s="16">
        <f t="shared" si="80"/>
        <v>5.9710000000000001</v>
      </c>
      <c r="H732" s="16">
        <f t="shared" si="81"/>
        <v>1</v>
      </c>
      <c r="I732" s="16">
        <f t="shared" si="82"/>
        <v>1</v>
      </c>
      <c r="J732" s="16">
        <f t="shared" si="83"/>
        <v>5.9710000000000001</v>
      </c>
      <c r="K732" s="16">
        <f>IF(CurrentMtgRatesDataTable8[[#This Row],[WA CC]]&lt;&gt;0,C731-CurrentMtgRatesDataTable8[[#This Row],[WA CC]],0)</f>
        <v>0.27899999999999991</v>
      </c>
      <c r="L732" s="16">
        <f>IF(CurrentMtgRatesDataTable8[[#This Row],[Servicing Spread]]&lt;=0,L731,CurrentMtgRatesDataTable8[[#This Row],[Servicing Spread]])</f>
        <v>0.27899999999999991</v>
      </c>
      <c r="M732" s="16">
        <f>CurrentMtgRatesDataTable8[[#This Row],[Servicing Spread Non-Zero]]-L731</f>
        <v>5.3999999999998494E-3</v>
      </c>
      <c r="N732" s="16">
        <f>IF(J731&lt;&gt;0,CurrentMtgRatesDataTable8[[#This Row],[Rate]]-C731,N731)</f>
        <v>1.499999999999968E-2</v>
      </c>
    </row>
    <row r="733" spans="1:14">
      <c r="A733" s="39" t="s">
        <v>2085</v>
      </c>
      <c r="B733" s="40">
        <v>5.9</v>
      </c>
      <c r="C733" s="11">
        <v>6.1599999999999993</v>
      </c>
      <c r="D733" s="16">
        <f t="shared" si="77"/>
        <v>1</v>
      </c>
      <c r="E733" s="16">
        <f t="shared" si="78"/>
        <v>0.2</v>
      </c>
      <c r="F733" s="16">
        <f t="shared" si="79"/>
        <v>1</v>
      </c>
      <c r="G733" s="16">
        <f t="shared" si="80"/>
        <v>1.1800000000000002</v>
      </c>
      <c r="H733" s="16">
        <f t="shared" si="81"/>
        <v>0.2</v>
      </c>
      <c r="I733" s="16">
        <f t="shared" si="82"/>
        <v>0</v>
      </c>
      <c r="J733" s="16">
        <f t="shared" si="83"/>
        <v>0</v>
      </c>
      <c r="K733" s="16">
        <f>IF(CurrentMtgRatesDataTable8[[#This Row],[WA CC]]&lt;&gt;0,C732-CurrentMtgRatesDataTable8[[#This Row],[WA CC]],0)</f>
        <v>0</v>
      </c>
      <c r="L733" s="16">
        <f>IF(CurrentMtgRatesDataTable8[[#This Row],[Servicing Spread]]&lt;=0,L732,CurrentMtgRatesDataTable8[[#This Row],[Servicing Spread]])</f>
        <v>0.27899999999999991</v>
      </c>
      <c r="M733" s="16">
        <f>CurrentMtgRatesDataTable8[[#This Row],[Servicing Spread Non-Zero]]-L732</f>
        <v>0</v>
      </c>
      <c r="N733" s="16">
        <f>IF(J732&lt;&gt;0,CurrentMtgRatesDataTable8[[#This Row],[Rate]]-C732,N732)</f>
        <v>-9.0000000000000746E-2</v>
      </c>
    </row>
    <row r="734" spans="1:14">
      <c r="A734" s="39" t="s">
        <v>2086</v>
      </c>
      <c r="B734" s="40">
        <v>5.8650000000000002</v>
      </c>
      <c r="C734" s="11">
        <v>6.1599999999999993</v>
      </c>
      <c r="D734" s="16">
        <f t="shared" si="77"/>
        <v>2</v>
      </c>
      <c r="E734" s="16">
        <f t="shared" si="78"/>
        <v>0.2</v>
      </c>
      <c r="F734" s="16">
        <f t="shared" si="79"/>
        <v>2</v>
      </c>
      <c r="G734" s="16">
        <f t="shared" si="80"/>
        <v>2.3530000000000002</v>
      </c>
      <c r="H734" s="16">
        <f t="shared" si="81"/>
        <v>0.4</v>
      </c>
      <c r="I734" s="16">
        <f t="shared" si="82"/>
        <v>0</v>
      </c>
      <c r="J734" s="16">
        <f t="shared" si="83"/>
        <v>0</v>
      </c>
      <c r="K734" s="16">
        <f>IF(CurrentMtgRatesDataTable8[[#This Row],[WA CC]]&lt;&gt;0,C733-CurrentMtgRatesDataTable8[[#This Row],[WA CC]],0)</f>
        <v>0</v>
      </c>
      <c r="L734" s="16">
        <f>IF(CurrentMtgRatesDataTable8[[#This Row],[Servicing Spread]]&lt;=0,L733,CurrentMtgRatesDataTable8[[#This Row],[Servicing Spread]])</f>
        <v>0.27899999999999991</v>
      </c>
      <c r="M734" s="16">
        <f>CurrentMtgRatesDataTable8[[#This Row],[Servicing Spread Non-Zero]]-L733</f>
        <v>0</v>
      </c>
      <c r="N734" s="16">
        <f>IF(J733&lt;&gt;0,CurrentMtgRatesDataTable8[[#This Row],[Rate]]-C733,N733)</f>
        <v>-9.0000000000000746E-2</v>
      </c>
    </row>
    <row r="735" spans="1:14">
      <c r="A735" s="39" t="s">
        <v>2087</v>
      </c>
      <c r="B735" s="40">
        <v>5.867</v>
      </c>
      <c r="C735" s="11">
        <v>6.1599999999999993</v>
      </c>
      <c r="D735" s="16">
        <f t="shared" si="77"/>
        <v>5</v>
      </c>
      <c r="E735" s="16">
        <f t="shared" si="78"/>
        <v>0.2</v>
      </c>
      <c r="F735" s="16">
        <f t="shared" si="79"/>
        <v>3</v>
      </c>
      <c r="G735" s="16">
        <f t="shared" si="80"/>
        <v>3.5264000000000002</v>
      </c>
      <c r="H735" s="16">
        <f t="shared" si="81"/>
        <v>0.60000000000000009</v>
      </c>
      <c r="I735" s="16">
        <f t="shared" si="82"/>
        <v>0</v>
      </c>
      <c r="J735" s="16">
        <f t="shared" si="83"/>
        <v>0</v>
      </c>
      <c r="K735" s="16">
        <f>IF(CurrentMtgRatesDataTable8[[#This Row],[WA CC]]&lt;&gt;0,C734-CurrentMtgRatesDataTable8[[#This Row],[WA CC]],0)</f>
        <v>0</v>
      </c>
      <c r="L735" s="16">
        <f>IF(CurrentMtgRatesDataTable8[[#This Row],[Servicing Spread]]&lt;=0,L734,CurrentMtgRatesDataTable8[[#This Row],[Servicing Spread]])</f>
        <v>0.27899999999999991</v>
      </c>
      <c r="M735" s="16">
        <f>CurrentMtgRatesDataTable8[[#This Row],[Servicing Spread Non-Zero]]-L734</f>
        <v>0</v>
      </c>
      <c r="N735" s="16">
        <f>IF(J734&lt;&gt;0,CurrentMtgRatesDataTable8[[#This Row],[Rate]]-C734,N734)</f>
        <v>-9.0000000000000746E-2</v>
      </c>
    </row>
    <row r="736" spans="1:14">
      <c r="A736" s="39" t="s">
        <v>2088</v>
      </c>
      <c r="B736" s="40">
        <v>5.8019999999999996</v>
      </c>
      <c r="C736" s="11">
        <v>6.1599999999999993</v>
      </c>
      <c r="D736" s="16">
        <f t="shared" si="77"/>
        <v>6</v>
      </c>
      <c r="E736" s="16">
        <f t="shared" si="78"/>
        <v>0.2</v>
      </c>
      <c r="F736" s="16">
        <f t="shared" si="79"/>
        <v>4</v>
      </c>
      <c r="G736" s="16">
        <f t="shared" si="80"/>
        <v>4.6867999999999999</v>
      </c>
      <c r="H736" s="16">
        <f t="shared" si="81"/>
        <v>0.8</v>
      </c>
      <c r="I736" s="16">
        <f t="shared" si="82"/>
        <v>0</v>
      </c>
      <c r="J736" s="16">
        <f t="shared" si="83"/>
        <v>0</v>
      </c>
      <c r="K736" s="16">
        <f>IF(CurrentMtgRatesDataTable8[[#This Row],[WA CC]]&lt;&gt;0,C735-CurrentMtgRatesDataTable8[[#This Row],[WA CC]],0)</f>
        <v>0</v>
      </c>
      <c r="L736" s="16">
        <f>IF(CurrentMtgRatesDataTable8[[#This Row],[Servicing Spread]]&lt;=0,L735,CurrentMtgRatesDataTable8[[#This Row],[Servicing Spread]])</f>
        <v>0.27899999999999991</v>
      </c>
      <c r="M736" s="16">
        <f>CurrentMtgRatesDataTable8[[#This Row],[Servicing Spread Non-Zero]]-L735</f>
        <v>0</v>
      </c>
      <c r="N736" s="16">
        <f>IF(J735&lt;&gt;0,CurrentMtgRatesDataTable8[[#This Row],[Rate]]-C735,N735)</f>
        <v>-9.0000000000000746E-2</v>
      </c>
    </row>
    <row r="737" spans="1:14">
      <c r="A737" s="39" t="s">
        <v>2089</v>
      </c>
      <c r="B737" s="40">
        <v>5.76</v>
      </c>
      <c r="C737" s="11">
        <v>6.1599999999999993</v>
      </c>
      <c r="D737" s="16">
        <f t="shared" si="77"/>
        <v>7</v>
      </c>
      <c r="E737" s="16">
        <f t="shared" si="78"/>
        <v>0.2</v>
      </c>
      <c r="F737" s="16">
        <f t="shared" si="79"/>
        <v>5</v>
      </c>
      <c r="G737" s="16">
        <f t="shared" si="80"/>
        <v>5.8388</v>
      </c>
      <c r="H737" s="16">
        <f t="shared" si="81"/>
        <v>1</v>
      </c>
      <c r="I737" s="16">
        <f t="shared" si="82"/>
        <v>1</v>
      </c>
      <c r="J737" s="16">
        <f t="shared" si="83"/>
        <v>5.8388</v>
      </c>
      <c r="K737" s="16">
        <f>IF(CurrentMtgRatesDataTable8[[#This Row],[WA CC]]&lt;&gt;0,C736-CurrentMtgRatesDataTable8[[#This Row],[WA CC]],0)</f>
        <v>0.32119999999999926</v>
      </c>
      <c r="L737" s="16">
        <f>IF(CurrentMtgRatesDataTable8[[#This Row],[Servicing Spread]]&lt;=0,L736,CurrentMtgRatesDataTable8[[#This Row],[Servicing Spread]])</f>
        <v>0.32119999999999926</v>
      </c>
      <c r="M737" s="16">
        <f>CurrentMtgRatesDataTable8[[#This Row],[Servicing Spread Non-Zero]]-L736</f>
        <v>4.2199999999999349E-2</v>
      </c>
      <c r="N737" s="16">
        <f>IF(J736&lt;&gt;0,CurrentMtgRatesDataTable8[[#This Row],[Rate]]-C736,N736)</f>
        <v>-9.0000000000000746E-2</v>
      </c>
    </row>
    <row r="738" spans="1:14">
      <c r="A738" s="39" t="s">
        <v>2090</v>
      </c>
      <c r="B738" s="40">
        <v>5.7839999999999998</v>
      </c>
      <c r="C738" s="11">
        <v>6.23</v>
      </c>
      <c r="D738" s="16">
        <f t="shared" si="77"/>
        <v>1</v>
      </c>
      <c r="E738" s="16">
        <f t="shared" si="78"/>
        <v>0.2</v>
      </c>
      <c r="F738" s="16">
        <f t="shared" si="79"/>
        <v>1</v>
      </c>
      <c r="G738" s="16">
        <f t="shared" si="80"/>
        <v>1.1568000000000001</v>
      </c>
      <c r="H738" s="16">
        <f t="shared" si="81"/>
        <v>0.2</v>
      </c>
      <c r="I738" s="16">
        <f t="shared" si="82"/>
        <v>0</v>
      </c>
      <c r="J738" s="16">
        <f t="shared" si="83"/>
        <v>0</v>
      </c>
      <c r="K738" s="16">
        <f>IF(CurrentMtgRatesDataTable8[[#This Row],[WA CC]]&lt;&gt;0,C737-CurrentMtgRatesDataTable8[[#This Row],[WA CC]],0)</f>
        <v>0</v>
      </c>
      <c r="L738" s="16">
        <f>IF(CurrentMtgRatesDataTable8[[#This Row],[Servicing Spread]]&lt;=0,L737,CurrentMtgRatesDataTable8[[#This Row],[Servicing Spread]])</f>
        <v>0.32119999999999926</v>
      </c>
      <c r="M738" s="16">
        <f>CurrentMtgRatesDataTable8[[#This Row],[Servicing Spread Non-Zero]]-L737</f>
        <v>0</v>
      </c>
      <c r="N738" s="16">
        <f>IF(J737&lt;&gt;0,CurrentMtgRatesDataTable8[[#This Row],[Rate]]-C737,N737)</f>
        <v>7.0000000000001172E-2</v>
      </c>
    </row>
    <row r="739" spans="1:14">
      <c r="A739" s="39" t="s">
        <v>2091</v>
      </c>
      <c r="B739" s="40">
        <v>5.883</v>
      </c>
      <c r="C739" s="11">
        <v>6.23</v>
      </c>
      <c r="D739" s="16">
        <f t="shared" si="77"/>
        <v>2</v>
      </c>
      <c r="E739" s="16">
        <f t="shared" si="78"/>
        <v>0.2</v>
      </c>
      <c r="F739" s="16">
        <f t="shared" si="79"/>
        <v>2</v>
      </c>
      <c r="G739" s="16">
        <f t="shared" si="80"/>
        <v>2.3334000000000001</v>
      </c>
      <c r="H739" s="16">
        <f t="shared" si="81"/>
        <v>0.4</v>
      </c>
      <c r="I739" s="16">
        <f t="shared" si="82"/>
        <v>0</v>
      </c>
      <c r="J739" s="16">
        <f t="shared" si="83"/>
        <v>0</v>
      </c>
      <c r="K739" s="16">
        <f>IF(CurrentMtgRatesDataTable8[[#This Row],[WA CC]]&lt;&gt;0,C738-CurrentMtgRatesDataTable8[[#This Row],[WA CC]],0)</f>
        <v>0</v>
      </c>
      <c r="L739" s="16">
        <f>IF(CurrentMtgRatesDataTable8[[#This Row],[Servicing Spread]]&lt;=0,L738,CurrentMtgRatesDataTable8[[#This Row],[Servicing Spread]])</f>
        <v>0.32119999999999926</v>
      </c>
      <c r="M739" s="16">
        <f>CurrentMtgRatesDataTable8[[#This Row],[Servicing Spread Non-Zero]]-L738</f>
        <v>0</v>
      </c>
      <c r="N739" s="16">
        <f>IF(J738&lt;&gt;0,CurrentMtgRatesDataTable8[[#This Row],[Rate]]-C738,N738)</f>
        <v>7.0000000000001172E-2</v>
      </c>
    </row>
    <row r="740" spans="1:14">
      <c r="A740" s="39" t="s">
        <v>2092</v>
      </c>
      <c r="B740" s="40">
        <v>5.87</v>
      </c>
      <c r="C740" s="11">
        <v>6.23</v>
      </c>
      <c r="D740" s="16">
        <f t="shared" si="77"/>
        <v>5</v>
      </c>
      <c r="E740" s="16">
        <f t="shared" si="78"/>
        <v>0.2</v>
      </c>
      <c r="F740" s="16">
        <f t="shared" si="79"/>
        <v>3</v>
      </c>
      <c r="G740" s="16">
        <f t="shared" si="80"/>
        <v>3.5074000000000005</v>
      </c>
      <c r="H740" s="16">
        <f t="shared" si="81"/>
        <v>0.60000000000000009</v>
      </c>
      <c r="I740" s="16">
        <f t="shared" si="82"/>
        <v>0</v>
      </c>
      <c r="J740" s="16">
        <f t="shared" si="83"/>
        <v>0</v>
      </c>
      <c r="K740" s="16">
        <f>IF(CurrentMtgRatesDataTable8[[#This Row],[WA CC]]&lt;&gt;0,C739-CurrentMtgRatesDataTable8[[#This Row],[WA CC]],0)</f>
        <v>0</v>
      </c>
      <c r="L740" s="16">
        <f>IF(CurrentMtgRatesDataTable8[[#This Row],[Servicing Spread]]&lt;=0,L739,CurrentMtgRatesDataTable8[[#This Row],[Servicing Spread]])</f>
        <v>0.32119999999999926</v>
      </c>
      <c r="M740" s="16">
        <f>CurrentMtgRatesDataTable8[[#This Row],[Servicing Spread Non-Zero]]-L739</f>
        <v>0</v>
      </c>
      <c r="N740" s="16">
        <f>IF(J739&lt;&gt;0,CurrentMtgRatesDataTable8[[#This Row],[Rate]]-C739,N739)</f>
        <v>7.0000000000001172E-2</v>
      </c>
    </row>
    <row r="741" spans="1:14">
      <c r="A741" s="39" t="s">
        <v>2093</v>
      </c>
      <c r="B741" s="40">
        <v>5.8220000000000001</v>
      </c>
      <c r="C741" s="11">
        <v>6.23</v>
      </c>
      <c r="D741" s="16">
        <f t="shared" si="77"/>
        <v>6</v>
      </c>
      <c r="E741" s="16">
        <f t="shared" si="78"/>
        <v>0.2</v>
      </c>
      <c r="F741" s="16">
        <f t="shared" si="79"/>
        <v>4</v>
      </c>
      <c r="G741" s="16">
        <f t="shared" si="80"/>
        <v>4.6718000000000011</v>
      </c>
      <c r="H741" s="16">
        <f t="shared" si="81"/>
        <v>0.8</v>
      </c>
      <c r="I741" s="16">
        <f t="shared" si="82"/>
        <v>0</v>
      </c>
      <c r="J741" s="16">
        <f t="shared" si="83"/>
        <v>0</v>
      </c>
      <c r="K741" s="16">
        <f>IF(CurrentMtgRatesDataTable8[[#This Row],[WA CC]]&lt;&gt;0,C740-CurrentMtgRatesDataTable8[[#This Row],[WA CC]],0)</f>
        <v>0</v>
      </c>
      <c r="L741" s="16">
        <f>IF(CurrentMtgRatesDataTable8[[#This Row],[Servicing Spread]]&lt;=0,L740,CurrentMtgRatesDataTable8[[#This Row],[Servicing Spread]])</f>
        <v>0.32119999999999926</v>
      </c>
      <c r="M741" s="16">
        <f>CurrentMtgRatesDataTable8[[#This Row],[Servicing Spread Non-Zero]]-L740</f>
        <v>0</v>
      </c>
      <c r="N741" s="16">
        <f>IF(J740&lt;&gt;0,CurrentMtgRatesDataTable8[[#This Row],[Rate]]-C740,N740)</f>
        <v>7.0000000000001172E-2</v>
      </c>
    </row>
    <row r="742" spans="1:14">
      <c r="A742" s="39" t="s">
        <v>2094</v>
      </c>
      <c r="B742" s="40">
        <v>5.7939999999999996</v>
      </c>
      <c r="C742" s="11">
        <v>6.23</v>
      </c>
      <c r="D742" s="16">
        <f t="shared" si="77"/>
        <v>7</v>
      </c>
      <c r="E742" s="16">
        <f t="shared" si="78"/>
        <v>0.2</v>
      </c>
      <c r="F742" s="16">
        <f t="shared" si="79"/>
        <v>5</v>
      </c>
      <c r="G742" s="16">
        <f t="shared" si="80"/>
        <v>5.8306000000000013</v>
      </c>
      <c r="H742" s="16">
        <f t="shared" si="81"/>
        <v>1</v>
      </c>
      <c r="I742" s="16">
        <f t="shared" si="82"/>
        <v>1</v>
      </c>
      <c r="J742" s="16">
        <f t="shared" si="83"/>
        <v>5.8306000000000013</v>
      </c>
      <c r="K742" s="16">
        <f>IF(CurrentMtgRatesDataTable8[[#This Row],[WA CC]]&lt;&gt;0,C741-CurrentMtgRatesDataTable8[[#This Row],[WA CC]],0)</f>
        <v>0.39939999999999909</v>
      </c>
      <c r="L742" s="16">
        <f>IF(CurrentMtgRatesDataTable8[[#This Row],[Servicing Spread]]&lt;=0,L741,CurrentMtgRatesDataTable8[[#This Row],[Servicing Spread]])</f>
        <v>0.39939999999999909</v>
      </c>
      <c r="M742" s="16">
        <f>CurrentMtgRatesDataTable8[[#This Row],[Servicing Spread Non-Zero]]-L741</f>
        <v>7.8199999999999825E-2</v>
      </c>
      <c r="N742" s="16">
        <f>IF(J741&lt;&gt;0,CurrentMtgRatesDataTable8[[#This Row],[Rate]]-C741,N741)</f>
        <v>7.0000000000001172E-2</v>
      </c>
    </row>
    <row r="743" spans="1:14">
      <c r="A743" s="39" t="s">
        <v>2095</v>
      </c>
      <c r="B743" s="40">
        <v>5.7809999999999997</v>
      </c>
      <c r="C743" s="11">
        <v>6.1150000000000002</v>
      </c>
      <c r="D743" s="16">
        <f t="shared" si="77"/>
        <v>1</v>
      </c>
      <c r="E743" s="16">
        <f t="shared" si="78"/>
        <v>0.2</v>
      </c>
      <c r="F743" s="16">
        <f t="shared" si="79"/>
        <v>1</v>
      </c>
      <c r="G743" s="16">
        <f t="shared" si="80"/>
        <v>1.1561999999999999</v>
      </c>
      <c r="H743" s="16">
        <f t="shared" si="81"/>
        <v>0.2</v>
      </c>
      <c r="I743" s="16">
        <f t="shared" si="82"/>
        <v>0</v>
      </c>
      <c r="J743" s="16">
        <f t="shared" si="83"/>
        <v>0</v>
      </c>
      <c r="K743" s="16">
        <f>IF(CurrentMtgRatesDataTable8[[#This Row],[WA CC]]&lt;&gt;0,C742-CurrentMtgRatesDataTable8[[#This Row],[WA CC]],0)</f>
        <v>0</v>
      </c>
      <c r="L743" s="16">
        <f>IF(CurrentMtgRatesDataTable8[[#This Row],[Servicing Spread]]&lt;=0,L742,CurrentMtgRatesDataTable8[[#This Row],[Servicing Spread]])</f>
        <v>0.39939999999999909</v>
      </c>
      <c r="M743" s="16">
        <f>CurrentMtgRatesDataTable8[[#This Row],[Servicing Spread Non-Zero]]-L742</f>
        <v>0</v>
      </c>
      <c r="N743" s="16">
        <f>IF(J742&lt;&gt;0,CurrentMtgRatesDataTable8[[#This Row],[Rate]]-C742,N742)</f>
        <v>-0.11500000000000021</v>
      </c>
    </row>
    <row r="744" spans="1:14">
      <c r="A744" s="39" t="s">
        <v>2096</v>
      </c>
      <c r="B744" s="40">
        <v>5.7460000000000004</v>
      </c>
      <c r="C744" s="11">
        <v>6.1150000000000002</v>
      </c>
      <c r="D744" s="16">
        <f t="shared" si="77"/>
        <v>2</v>
      </c>
      <c r="E744" s="16">
        <f t="shared" si="78"/>
        <v>0.2</v>
      </c>
      <c r="F744" s="16">
        <f t="shared" si="79"/>
        <v>2</v>
      </c>
      <c r="G744" s="16">
        <f t="shared" si="80"/>
        <v>2.3054000000000001</v>
      </c>
      <c r="H744" s="16">
        <f t="shared" si="81"/>
        <v>0.4</v>
      </c>
      <c r="I744" s="16">
        <f t="shared" si="82"/>
        <v>0</v>
      </c>
      <c r="J744" s="16">
        <f t="shared" si="83"/>
        <v>0</v>
      </c>
      <c r="K744" s="16">
        <f>IF(CurrentMtgRatesDataTable8[[#This Row],[WA CC]]&lt;&gt;0,C743-CurrentMtgRatesDataTable8[[#This Row],[WA CC]],0)</f>
        <v>0</v>
      </c>
      <c r="L744" s="16">
        <f>IF(CurrentMtgRatesDataTable8[[#This Row],[Servicing Spread]]&lt;=0,L743,CurrentMtgRatesDataTable8[[#This Row],[Servicing Spread]])</f>
        <v>0.39939999999999909</v>
      </c>
      <c r="M744" s="16">
        <f>CurrentMtgRatesDataTable8[[#This Row],[Servicing Spread Non-Zero]]-L743</f>
        <v>0</v>
      </c>
      <c r="N744" s="16">
        <f>IF(J743&lt;&gt;0,CurrentMtgRatesDataTable8[[#This Row],[Rate]]-C743,N743)</f>
        <v>-0.11500000000000021</v>
      </c>
    </row>
    <row r="745" spans="1:14">
      <c r="A745" s="39" t="s">
        <v>2097</v>
      </c>
      <c r="B745" s="40">
        <v>5.774</v>
      </c>
      <c r="C745" s="11">
        <v>6.1150000000000002</v>
      </c>
      <c r="D745" s="16">
        <f t="shared" si="77"/>
        <v>5</v>
      </c>
      <c r="E745" s="16">
        <f t="shared" si="78"/>
        <v>0.2</v>
      </c>
      <c r="F745" s="16">
        <f t="shared" si="79"/>
        <v>3</v>
      </c>
      <c r="G745" s="16">
        <f t="shared" si="80"/>
        <v>3.4602000000000004</v>
      </c>
      <c r="H745" s="16">
        <f t="shared" si="81"/>
        <v>0.60000000000000009</v>
      </c>
      <c r="I745" s="16">
        <f t="shared" si="82"/>
        <v>0</v>
      </c>
      <c r="J745" s="16">
        <f t="shared" si="83"/>
        <v>0</v>
      </c>
      <c r="K745" s="16">
        <f>IF(CurrentMtgRatesDataTable8[[#This Row],[WA CC]]&lt;&gt;0,C744-CurrentMtgRatesDataTable8[[#This Row],[WA CC]],0)</f>
        <v>0</v>
      </c>
      <c r="L745" s="16">
        <f>IF(CurrentMtgRatesDataTable8[[#This Row],[Servicing Spread]]&lt;=0,L744,CurrentMtgRatesDataTable8[[#This Row],[Servicing Spread]])</f>
        <v>0.39939999999999909</v>
      </c>
      <c r="M745" s="16">
        <f>CurrentMtgRatesDataTable8[[#This Row],[Servicing Spread Non-Zero]]-L744</f>
        <v>0</v>
      </c>
      <c r="N745" s="16">
        <f>IF(J744&lt;&gt;0,CurrentMtgRatesDataTable8[[#This Row],[Rate]]-C744,N744)</f>
        <v>-0.11500000000000021</v>
      </c>
    </row>
    <row r="746" spans="1:14">
      <c r="A746" s="39" t="s">
        <v>2098</v>
      </c>
      <c r="B746" s="40">
        <v>5.742</v>
      </c>
      <c r="C746" s="11">
        <v>6.1150000000000002</v>
      </c>
      <c r="D746" s="16">
        <f t="shared" si="77"/>
        <v>6</v>
      </c>
      <c r="E746" s="16">
        <f t="shared" si="78"/>
        <v>0.2</v>
      </c>
      <c r="F746" s="16">
        <f t="shared" si="79"/>
        <v>4</v>
      </c>
      <c r="G746" s="16">
        <f t="shared" si="80"/>
        <v>4.6086000000000009</v>
      </c>
      <c r="H746" s="16">
        <f t="shared" si="81"/>
        <v>0.8</v>
      </c>
      <c r="I746" s="16">
        <f t="shared" si="82"/>
        <v>0</v>
      </c>
      <c r="J746" s="16">
        <f t="shared" si="83"/>
        <v>0</v>
      </c>
      <c r="K746" s="16">
        <f>IF(CurrentMtgRatesDataTable8[[#This Row],[WA CC]]&lt;&gt;0,C745-CurrentMtgRatesDataTable8[[#This Row],[WA CC]],0)</f>
        <v>0</v>
      </c>
      <c r="L746" s="16">
        <f>IF(CurrentMtgRatesDataTable8[[#This Row],[Servicing Spread]]&lt;=0,L745,CurrentMtgRatesDataTable8[[#This Row],[Servicing Spread]])</f>
        <v>0.39939999999999909</v>
      </c>
      <c r="M746" s="16">
        <f>CurrentMtgRatesDataTable8[[#This Row],[Servicing Spread Non-Zero]]-L745</f>
        <v>0</v>
      </c>
      <c r="N746" s="16">
        <f>IF(J745&lt;&gt;0,CurrentMtgRatesDataTable8[[#This Row],[Rate]]-C745,N745)</f>
        <v>-0.11500000000000021</v>
      </c>
    </row>
    <row r="747" spans="1:14">
      <c r="A747" s="39" t="s">
        <v>2099</v>
      </c>
      <c r="B747" s="40">
        <v>5.7759999999999998</v>
      </c>
      <c r="C747" s="11">
        <v>6.1150000000000002</v>
      </c>
      <c r="D747" s="16">
        <f t="shared" si="77"/>
        <v>7</v>
      </c>
      <c r="E747" s="16">
        <f t="shared" si="78"/>
        <v>0.2</v>
      </c>
      <c r="F747" s="16">
        <f t="shared" si="79"/>
        <v>5</v>
      </c>
      <c r="G747" s="16">
        <f t="shared" si="80"/>
        <v>5.7638000000000007</v>
      </c>
      <c r="H747" s="16">
        <f t="shared" si="81"/>
        <v>1</v>
      </c>
      <c r="I747" s="16">
        <f t="shared" si="82"/>
        <v>1</v>
      </c>
      <c r="J747" s="16">
        <f t="shared" si="83"/>
        <v>5.7638000000000007</v>
      </c>
      <c r="K747" s="16">
        <f>IF(CurrentMtgRatesDataTable8[[#This Row],[WA CC]]&lt;&gt;0,C746-CurrentMtgRatesDataTable8[[#This Row],[WA CC]],0)</f>
        <v>0.35119999999999951</v>
      </c>
      <c r="L747" s="16">
        <f>IF(CurrentMtgRatesDataTable8[[#This Row],[Servicing Spread]]&lt;=0,L746,CurrentMtgRatesDataTable8[[#This Row],[Servicing Spread]])</f>
        <v>0.35119999999999951</v>
      </c>
      <c r="M747" s="16">
        <f>CurrentMtgRatesDataTable8[[#This Row],[Servicing Spread Non-Zero]]-L746</f>
        <v>-4.8199999999999577E-2</v>
      </c>
      <c r="N747" s="16">
        <f>IF(J746&lt;&gt;0,CurrentMtgRatesDataTable8[[#This Row],[Rate]]-C746,N746)</f>
        <v>-0.11500000000000021</v>
      </c>
    </row>
    <row r="748" spans="1:14">
      <c r="A748" s="39" t="s">
        <v>2100</v>
      </c>
      <c r="B748" s="40">
        <v>5.7969999999999997</v>
      </c>
      <c r="C748" s="11">
        <v>6.0549999999999997</v>
      </c>
      <c r="D748" s="16">
        <f t="shared" si="77"/>
        <v>1</v>
      </c>
      <c r="E748" s="16">
        <f t="shared" si="78"/>
        <v>0.2</v>
      </c>
      <c r="F748" s="16">
        <f t="shared" si="79"/>
        <v>1</v>
      </c>
      <c r="G748" s="16">
        <f t="shared" si="80"/>
        <v>1.1594</v>
      </c>
      <c r="H748" s="16">
        <f t="shared" si="81"/>
        <v>0.2</v>
      </c>
      <c r="I748" s="16">
        <f t="shared" si="82"/>
        <v>0</v>
      </c>
      <c r="J748" s="16">
        <f t="shared" si="83"/>
        <v>0</v>
      </c>
      <c r="K748" s="16">
        <f>IF(CurrentMtgRatesDataTable8[[#This Row],[WA CC]]&lt;&gt;0,C747-CurrentMtgRatesDataTable8[[#This Row],[WA CC]],0)</f>
        <v>0</v>
      </c>
      <c r="L748" s="16">
        <f>IF(CurrentMtgRatesDataTable8[[#This Row],[Servicing Spread]]&lt;=0,L747,CurrentMtgRatesDataTable8[[#This Row],[Servicing Spread]])</f>
        <v>0.35119999999999951</v>
      </c>
      <c r="M748" s="16">
        <f>CurrentMtgRatesDataTable8[[#This Row],[Servicing Spread Non-Zero]]-L747</f>
        <v>0</v>
      </c>
      <c r="N748" s="16">
        <f>IF(J747&lt;&gt;0,CurrentMtgRatesDataTable8[[#This Row],[Rate]]-C747,N747)</f>
        <v>-6.0000000000000497E-2</v>
      </c>
    </row>
    <row r="749" spans="1:14">
      <c r="A749" s="39" t="s">
        <v>2101</v>
      </c>
      <c r="B749" s="40">
        <v>5.7249999999999996</v>
      </c>
      <c r="C749" s="11">
        <v>6.0549999999999997</v>
      </c>
      <c r="D749" s="16">
        <f t="shared" si="77"/>
        <v>2</v>
      </c>
      <c r="E749" s="16">
        <f t="shared" si="78"/>
        <v>0.2</v>
      </c>
      <c r="F749" s="16">
        <f t="shared" si="79"/>
        <v>2</v>
      </c>
      <c r="G749" s="16">
        <f t="shared" si="80"/>
        <v>2.3044000000000002</v>
      </c>
      <c r="H749" s="16">
        <f t="shared" si="81"/>
        <v>0.4</v>
      </c>
      <c r="I749" s="16">
        <f t="shared" si="82"/>
        <v>0</v>
      </c>
      <c r="J749" s="16">
        <f t="shared" si="83"/>
        <v>0</v>
      </c>
      <c r="K749" s="16">
        <f>IF(CurrentMtgRatesDataTable8[[#This Row],[WA CC]]&lt;&gt;0,C748-CurrentMtgRatesDataTable8[[#This Row],[WA CC]],0)</f>
        <v>0</v>
      </c>
      <c r="L749" s="16">
        <f>IF(CurrentMtgRatesDataTable8[[#This Row],[Servicing Spread]]&lt;=0,L748,CurrentMtgRatesDataTable8[[#This Row],[Servicing Spread]])</f>
        <v>0.35119999999999951</v>
      </c>
      <c r="M749" s="16">
        <f>CurrentMtgRatesDataTable8[[#This Row],[Servicing Spread Non-Zero]]-L748</f>
        <v>0</v>
      </c>
      <c r="N749" s="16">
        <f>IF(J748&lt;&gt;0,CurrentMtgRatesDataTable8[[#This Row],[Rate]]-C748,N748)</f>
        <v>-6.0000000000000497E-2</v>
      </c>
    </row>
    <row r="750" spans="1:14">
      <c r="A750" s="39" t="s">
        <v>2102</v>
      </c>
      <c r="B750" s="40">
        <v>5.7110000000000003</v>
      </c>
      <c r="C750" s="11">
        <v>6.0549999999999997</v>
      </c>
      <c r="D750" s="16">
        <f t="shared" si="77"/>
        <v>5</v>
      </c>
      <c r="E750" s="16">
        <f t="shared" si="78"/>
        <v>0.2</v>
      </c>
      <c r="F750" s="16">
        <f t="shared" si="79"/>
        <v>3</v>
      </c>
      <c r="G750" s="16">
        <f t="shared" si="80"/>
        <v>3.4466000000000001</v>
      </c>
      <c r="H750" s="16">
        <f t="shared" si="81"/>
        <v>0.60000000000000009</v>
      </c>
      <c r="I750" s="16">
        <f t="shared" si="82"/>
        <v>0</v>
      </c>
      <c r="J750" s="16">
        <f t="shared" si="83"/>
        <v>0</v>
      </c>
      <c r="K750" s="16">
        <f>IF(CurrentMtgRatesDataTable8[[#This Row],[WA CC]]&lt;&gt;0,C749-CurrentMtgRatesDataTable8[[#This Row],[WA CC]],0)</f>
        <v>0</v>
      </c>
      <c r="L750" s="16">
        <f>IF(CurrentMtgRatesDataTable8[[#This Row],[Servicing Spread]]&lt;=0,L749,CurrentMtgRatesDataTable8[[#This Row],[Servicing Spread]])</f>
        <v>0.35119999999999951</v>
      </c>
      <c r="M750" s="16">
        <f>CurrentMtgRatesDataTable8[[#This Row],[Servicing Spread Non-Zero]]-L749</f>
        <v>0</v>
      </c>
      <c r="N750" s="16">
        <f>IF(J749&lt;&gt;0,CurrentMtgRatesDataTable8[[#This Row],[Rate]]-C749,N749)</f>
        <v>-6.0000000000000497E-2</v>
      </c>
    </row>
    <row r="751" spans="1:14">
      <c r="A751" s="39" t="s">
        <v>2103</v>
      </c>
      <c r="B751" s="40">
        <v>5.7110000000000003</v>
      </c>
      <c r="C751" s="11">
        <v>6.0549999999999997</v>
      </c>
      <c r="D751" s="16">
        <f t="shared" si="77"/>
        <v>6</v>
      </c>
      <c r="E751" s="16">
        <f t="shared" si="78"/>
        <v>0.2</v>
      </c>
      <c r="F751" s="16">
        <f t="shared" si="79"/>
        <v>4</v>
      </c>
      <c r="G751" s="16">
        <f t="shared" si="80"/>
        <v>4.5888</v>
      </c>
      <c r="H751" s="16">
        <f t="shared" si="81"/>
        <v>0.8</v>
      </c>
      <c r="I751" s="16">
        <f t="shared" si="82"/>
        <v>0</v>
      </c>
      <c r="J751" s="16">
        <f t="shared" si="83"/>
        <v>0</v>
      </c>
      <c r="K751" s="16">
        <f>IF(CurrentMtgRatesDataTable8[[#This Row],[WA CC]]&lt;&gt;0,C750-CurrentMtgRatesDataTable8[[#This Row],[WA CC]],0)</f>
        <v>0</v>
      </c>
      <c r="L751" s="16">
        <f>IF(CurrentMtgRatesDataTable8[[#This Row],[Servicing Spread]]&lt;=0,L750,CurrentMtgRatesDataTable8[[#This Row],[Servicing Spread]])</f>
        <v>0.35119999999999951</v>
      </c>
      <c r="M751" s="16">
        <f>CurrentMtgRatesDataTable8[[#This Row],[Servicing Spread Non-Zero]]-L750</f>
        <v>0</v>
      </c>
      <c r="N751" s="16">
        <f>IF(J750&lt;&gt;0,CurrentMtgRatesDataTable8[[#This Row],[Rate]]-C750,N750)</f>
        <v>-6.0000000000000497E-2</v>
      </c>
    </row>
    <row r="752" spans="1:14">
      <c r="A752" s="39" t="s">
        <v>2104</v>
      </c>
      <c r="B752" s="40">
        <v>5.7089999999999996</v>
      </c>
      <c r="C752" s="11">
        <v>6.0549999999999997</v>
      </c>
      <c r="D752" s="16">
        <f t="shared" si="77"/>
        <v>7</v>
      </c>
      <c r="E752" s="16">
        <f t="shared" si="78"/>
        <v>0.2</v>
      </c>
      <c r="F752" s="16">
        <f t="shared" si="79"/>
        <v>5</v>
      </c>
      <c r="G752" s="16">
        <f t="shared" si="80"/>
        <v>5.7305999999999999</v>
      </c>
      <c r="H752" s="16">
        <f t="shared" si="81"/>
        <v>1</v>
      </c>
      <c r="I752" s="16">
        <f t="shared" si="82"/>
        <v>1</v>
      </c>
      <c r="J752" s="16">
        <f t="shared" si="83"/>
        <v>5.7305999999999999</v>
      </c>
      <c r="K752" s="16">
        <f>IF(CurrentMtgRatesDataTable8[[#This Row],[WA CC]]&lt;&gt;0,C751-CurrentMtgRatesDataTable8[[#This Row],[WA CC]],0)</f>
        <v>0.3243999999999998</v>
      </c>
      <c r="L752" s="16">
        <f>IF(CurrentMtgRatesDataTable8[[#This Row],[Servicing Spread]]&lt;=0,L751,CurrentMtgRatesDataTable8[[#This Row],[Servicing Spread]])</f>
        <v>0.3243999999999998</v>
      </c>
      <c r="M752" s="16">
        <f>CurrentMtgRatesDataTable8[[#This Row],[Servicing Spread Non-Zero]]-L751</f>
        <v>-2.6799999999999713E-2</v>
      </c>
      <c r="N752" s="16">
        <f>IF(J751&lt;&gt;0,CurrentMtgRatesDataTable8[[#This Row],[Rate]]-C751,N751)</f>
        <v>-6.0000000000000497E-2</v>
      </c>
    </row>
    <row r="753" spans="1:14">
      <c r="A753" s="39" t="s">
        <v>2105</v>
      </c>
      <c r="B753" s="40">
        <v>5.7</v>
      </c>
      <c r="C753" s="11">
        <v>5.9899999999999993</v>
      </c>
      <c r="D753" s="16">
        <f t="shared" si="77"/>
        <v>2</v>
      </c>
      <c r="E753" s="16">
        <f t="shared" si="78"/>
        <v>0.2</v>
      </c>
      <c r="F753" s="16">
        <f t="shared" si="79"/>
        <v>1</v>
      </c>
      <c r="G753" s="16">
        <f t="shared" si="80"/>
        <v>1.1400000000000001</v>
      </c>
      <c r="H753" s="16">
        <f t="shared" si="81"/>
        <v>0.2</v>
      </c>
      <c r="I753" s="16">
        <f t="shared" si="82"/>
        <v>0</v>
      </c>
      <c r="J753" s="16">
        <f t="shared" si="83"/>
        <v>0</v>
      </c>
      <c r="K753" s="16">
        <f>IF(CurrentMtgRatesDataTable8[[#This Row],[WA CC]]&lt;&gt;0,C752-CurrentMtgRatesDataTable8[[#This Row],[WA CC]],0)</f>
        <v>0</v>
      </c>
      <c r="L753" s="16">
        <f>IF(CurrentMtgRatesDataTable8[[#This Row],[Servicing Spread]]&lt;=0,L752,CurrentMtgRatesDataTable8[[#This Row],[Servicing Spread]])</f>
        <v>0.3243999999999998</v>
      </c>
      <c r="M753" s="16">
        <f>CurrentMtgRatesDataTable8[[#This Row],[Servicing Spread Non-Zero]]-L752</f>
        <v>0</v>
      </c>
      <c r="N753" s="16">
        <f>IF(J752&lt;&gt;0,CurrentMtgRatesDataTable8[[#This Row],[Rate]]-C752,N752)</f>
        <v>-6.5000000000000391E-2</v>
      </c>
    </row>
    <row r="754" spans="1:14">
      <c r="A754" s="39" t="s">
        <v>2106</v>
      </c>
      <c r="B754" s="40">
        <v>5.6879999999999997</v>
      </c>
      <c r="C754" s="11">
        <v>5.9899999999999993</v>
      </c>
      <c r="D754" s="16">
        <f t="shared" si="77"/>
        <v>5</v>
      </c>
      <c r="E754" s="16">
        <f t="shared" si="78"/>
        <v>0.2</v>
      </c>
      <c r="F754" s="16">
        <f t="shared" si="79"/>
        <v>2</v>
      </c>
      <c r="G754" s="16">
        <f t="shared" si="80"/>
        <v>2.2776000000000001</v>
      </c>
      <c r="H754" s="16">
        <f t="shared" si="81"/>
        <v>0.4</v>
      </c>
      <c r="I754" s="16">
        <f t="shared" si="82"/>
        <v>0</v>
      </c>
      <c r="J754" s="16">
        <f t="shared" si="83"/>
        <v>0</v>
      </c>
      <c r="K754" s="16">
        <f>IF(CurrentMtgRatesDataTable8[[#This Row],[WA CC]]&lt;&gt;0,C753-CurrentMtgRatesDataTable8[[#This Row],[WA CC]],0)</f>
        <v>0</v>
      </c>
      <c r="L754" s="16">
        <f>IF(CurrentMtgRatesDataTable8[[#This Row],[Servicing Spread]]&lt;=0,L753,CurrentMtgRatesDataTable8[[#This Row],[Servicing Spread]])</f>
        <v>0.3243999999999998</v>
      </c>
      <c r="M754" s="16">
        <f>CurrentMtgRatesDataTable8[[#This Row],[Servicing Spread Non-Zero]]-L753</f>
        <v>0</v>
      </c>
      <c r="N754" s="16">
        <f>IF(J753&lt;&gt;0,CurrentMtgRatesDataTable8[[#This Row],[Rate]]-C753,N753)</f>
        <v>-6.5000000000000391E-2</v>
      </c>
    </row>
    <row r="755" spans="1:14">
      <c r="A755" s="39" t="s">
        <v>2107</v>
      </c>
      <c r="B755" s="40">
        <v>5.6559999999999997</v>
      </c>
      <c r="C755" s="11">
        <v>5.9899999999999993</v>
      </c>
      <c r="D755" s="16">
        <f t="shared" si="77"/>
        <v>6</v>
      </c>
      <c r="E755" s="16">
        <f t="shared" si="78"/>
        <v>0.2</v>
      </c>
      <c r="F755" s="16">
        <f t="shared" si="79"/>
        <v>3</v>
      </c>
      <c r="G755" s="16">
        <f t="shared" si="80"/>
        <v>3.4088000000000003</v>
      </c>
      <c r="H755" s="16">
        <f t="shared" si="81"/>
        <v>0.60000000000000009</v>
      </c>
      <c r="I755" s="16">
        <f t="shared" si="82"/>
        <v>0</v>
      </c>
      <c r="J755" s="16">
        <f t="shared" si="83"/>
        <v>0</v>
      </c>
      <c r="K755" s="16">
        <f>IF(CurrentMtgRatesDataTable8[[#This Row],[WA CC]]&lt;&gt;0,C754-CurrentMtgRatesDataTable8[[#This Row],[WA CC]],0)</f>
        <v>0</v>
      </c>
      <c r="L755" s="16">
        <f>IF(CurrentMtgRatesDataTable8[[#This Row],[Servicing Spread]]&lt;=0,L754,CurrentMtgRatesDataTable8[[#This Row],[Servicing Spread]])</f>
        <v>0.3243999999999998</v>
      </c>
      <c r="M755" s="16">
        <f>CurrentMtgRatesDataTable8[[#This Row],[Servicing Spread Non-Zero]]-L754</f>
        <v>0</v>
      </c>
      <c r="N755" s="16">
        <f>IF(J754&lt;&gt;0,CurrentMtgRatesDataTable8[[#This Row],[Rate]]-C754,N754)</f>
        <v>-6.5000000000000391E-2</v>
      </c>
    </row>
    <row r="756" spans="1:14">
      <c r="A756" s="39" t="s">
        <v>2108</v>
      </c>
      <c r="B756" s="40">
        <v>5.6559999999999997</v>
      </c>
      <c r="C756" s="11">
        <v>5.9899999999999993</v>
      </c>
      <c r="D756" s="16">
        <f t="shared" si="77"/>
        <v>7</v>
      </c>
      <c r="E756" s="16">
        <f t="shared" si="78"/>
        <v>0.2</v>
      </c>
      <c r="F756" s="16">
        <f t="shared" si="79"/>
        <v>4</v>
      </c>
      <c r="G756" s="16">
        <f t="shared" si="80"/>
        <v>4.54</v>
      </c>
      <c r="H756" s="16">
        <f t="shared" si="81"/>
        <v>0.8</v>
      </c>
      <c r="I756" s="16">
        <f t="shared" si="82"/>
        <v>1</v>
      </c>
      <c r="J756" s="16">
        <f t="shared" si="83"/>
        <v>5.6749999999999998</v>
      </c>
      <c r="K756" s="16">
        <f>IF(CurrentMtgRatesDataTable8[[#This Row],[WA CC]]&lt;&gt;0,C755-CurrentMtgRatesDataTable8[[#This Row],[WA CC]],0)</f>
        <v>0.3149999999999995</v>
      </c>
      <c r="L756" s="16">
        <f>IF(CurrentMtgRatesDataTable8[[#This Row],[Servicing Spread]]&lt;=0,L755,CurrentMtgRatesDataTable8[[#This Row],[Servicing Spread]])</f>
        <v>0.3149999999999995</v>
      </c>
      <c r="M756" s="16">
        <f>CurrentMtgRatesDataTable8[[#This Row],[Servicing Spread Non-Zero]]-L755</f>
        <v>-9.400000000000297E-3</v>
      </c>
      <c r="N756" s="16">
        <f>IF(J755&lt;&gt;0,CurrentMtgRatesDataTable8[[#This Row],[Rate]]-C755,N755)</f>
        <v>-6.5000000000000391E-2</v>
      </c>
    </row>
    <row r="757" spans="1:14">
      <c r="A757" s="39" t="s">
        <v>2109</v>
      </c>
      <c r="B757" s="40">
        <v>5.5720000000000001</v>
      </c>
      <c r="C757" s="11">
        <v>5.9850000000000003</v>
      </c>
      <c r="D757" s="16">
        <f t="shared" si="77"/>
        <v>1</v>
      </c>
      <c r="E757" s="16">
        <f t="shared" si="78"/>
        <v>0.2</v>
      </c>
      <c r="F757" s="16">
        <f t="shared" si="79"/>
        <v>1</v>
      </c>
      <c r="G757" s="16">
        <f t="shared" si="80"/>
        <v>1.1144000000000001</v>
      </c>
      <c r="H757" s="16">
        <f t="shared" si="81"/>
        <v>0.2</v>
      </c>
      <c r="I757" s="16">
        <f t="shared" si="82"/>
        <v>0</v>
      </c>
      <c r="J757" s="16">
        <f t="shared" si="83"/>
        <v>0</v>
      </c>
      <c r="K757" s="16">
        <f>IF(CurrentMtgRatesDataTable8[[#This Row],[WA CC]]&lt;&gt;0,C756-CurrentMtgRatesDataTable8[[#This Row],[WA CC]],0)</f>
        <v>0</v>
      </c>
      <c r="L757" s="16">
        <f>IF(CurrentMtgRatesDataTable8[[#This Row],[Servicing Spread]]&lt;=0,L756,CurrentMtgRatesDataTable8[[#This Row],[Servicing Spread]])</f>
        <v>0.3149999999999995</v>
      </c>
      <c r="M757" s="16">
        <f>CurrentMtgRatesDataTable8[[#This Row],[Servicing Spread Non-Zero]]-L756</f>
        <v>0</v>
      </c>
      <c r="N757" s="16">
        <f>IF(J756&lt;&gt;0,CurrentMtgRatesDataTable8[[#This Row],[Rate]]-C756,N756)</f>
        <v>-4.9999999999990052E-3</v>
      </c>
    </row>
    <row r="758" spans="1:14">
      <c r="A758" s="39" t="s">
        <v>2110</v>
      </c>
      <c r="B758" s="40">
        <v>5.5250000000000004</v>
      </c>
      <c r="C758" s="11">
        <v>5.9850000000000003</v>
      </c>
      <c r="D758" s="16">
        <f t="shared" si="77"/>
        <v>2</v>
      </c>
      <c r="E758" s="16">
        <f t="shared" si="78"/>
        <v>0.2</v>
      </c>
      <c r="F758" s="16">
        <f t="shared" si="79"/>
        <v>2</v>
      </c>
      <c r="G758" s="16">
        <f t="shared" si="80"/>
        <v>2.2194000000000003</v>
      </c>
      <c r="H758" s="16">
        <f t="shared" si="81"/>
        <v>0.4</v>
      </c>
      <c r="I758" s="16">
        <f t="shared" si="82"/>
        <v>0</v>
      </c>
      <c r="J758" s="16">
        <f t="shared" si="83"/>
        <v>0</v>
      </c>
      <c r="K758" s="16">
        <f>IF(CurrentMtgRatesDataTable8[[#This Row],[WA CC]]&lt;&gt;0,C757-CurrentMtgRatesDataTable8[[#This Row],[WA CC]],0)</f>
        <v>0</v>
      </c>
      <c r="L758" s="16">
        <f>IF(CurrentMtgRatesDataTable8[[#This Row],[Servicing Spread]]&lt;=0,L757,CurrentMtgRatesDataTable8[[#This Row],[Servicing Spread]])</f>
        <v>0.3149999999999995</v>
      </c>
      <c r="M758" s="16">
        <f>CurrentMtgRatesDataTable8[[#This Row],[Servicing Spread Non-Zero]]-L757</f>
        <v>0</v>
      </c>
      <c r="N758" s="16">
        <f>IF(J757&lt;&gt;0,CurrentMtgRatesDataTable8[[#This Row],[Rate]]-C757,N757)</f>
        <v>-4.9999999999990052E-3</v>
      </c>
    </row>
    <row r="759" spans="1:14">
      <c r="A759" s="39" t="s">
        <v>2111</v>
      </c>
      <c r="B759" s="40">
        <v>5.5190000000000001</v>
      </c>
      <c r="C759" s="11">
        <v>5.9850000000000003</v>
      </c>
      <c r="D759" s="16">
        <f t="shared" si="77"/>
        <v>5</v>
      </c>
      <c r="E759" s="16">
        <f t="shared" si="78"/>
        <v>0.2</v>
      </c>
      <c r="F759" s="16">
        <f t="shared" si="79"/>
        <v>3</v>
      </c>
      <c r="G759" s="16">
        <f t="shared" si="80"/>
        <v>3.3232000000000004</v>
      </c>
      <c r="H759" s="16">
        <f t="shared" si="81"/>
        <v>0.60000000000000009</v>
      </c>
      <c r="I759" s="16">
        <f t="shared" si="82"/>
        <v>0</v>
      </c>
      <c r="J759" s="16">
        <f t="shared" si="83"/>
        <v>0</v>
      </c>
      <c r="K759" s="16">
        <f>IF(CurrentMtgRatesDataTable8[[#This Row],[WA CC]]&lt;&gt;0,C758-CurrentMtgRatesDataTable8[[#This Row],[WA CC]],0)</f>
        <v>0</v>
      </c>
      <c r="L759" s="16">
        <f>IF(CurrentMtgRatesDataTable8[[#This Row],[Servicing Spread]]&lt;=0,L758,CurrentMtgRatesDataTable8[[#This Row],[Servicing Spread]])</f>
        <v>0.3149999999999995</v>
      </c>
      <c r="M759" s="16">
        <f>CurrentMtgRatesDataTable8[[#This Row],[Servicing Spread Non-Zero]]-L758</f>
        <v>0</v>
      </c>
      <c r="N759" s="16">
        <f>IF(J758&lt;&gt;0,CurrentMtgRatesDataTable8[[#This Row],[Rate]]-C758,N758)</f>
        <v>-4.9999999999990052E-3</v>
      </c>
    </row>
    <row r="760" spans="1:14">
      <c r="A760" s="39" t="s">
        <v>2112</v>
      </c>
      <c r="B760" s="40">
        <v>5.5220000000000002</v>
      </c>
      <c r="C760" s="11">
        <v>5.9850000000000003</v>
      </c>
      <c r="D760" s="16">
        <f t="shared" si="77"/>
        <v>6</v>
      </c>
      <c r="E760" s="16">
        <f t="shared" si="78"/>
        <v>0.2</v>
      </c>
      <c r="F760" s="16">
        <f t="shared" si="79"/>
        <v>4</v>
      </c>
      <c r="G760" s="16">
        <f t="shared" si="80"/>
        <v>4.4276</v>
      </c>
      <c r="H760" s="16">
        <f t="shared" si="81"/>
        <v>0.8</v>
      </c>
      <c r="I760" s="16">
        <f t="shared" si="82"/>
        <v>0</v>
      </c>
      <c r="J760" s="16">
        <f t="shared" si="83"/>
        <v>0</v>
      </c>
      <c r="K760" s="16">
        <f>IF(CurrentMtgRatesDataTable8[[#This Row],[WA CC]]&lt;&gt;0,C759-CurrentMtgRatesDataTable8[[#This Row],[WA CC]],0)</f>
        <v>0</v>
      </c>
      <c r="L760" s="16">
        <f>IF(CurrentMtgRatesDataTable8[[#This Row],[Servicing Spread]]&lt;=0,L759,CurrentMtgRatesDataTable8[[#This Row],[Servicing Spread]])</f>
        <v>0.3149999999999995</v>
      </c>
      <c r="M760" s="16">
        <f>CurrentMtgRatesDataTable8[[#This Row],[Servicing Spread Non-Zero]]-L759</f>
        <v>0</v>
      </c>
      <c r="N760" s="16">
        <f>IF(J759&lt;&gt;0,CurrentMtgRatesDataTable8[[#This Row],[Rate]]-C759,N759)</f>
        <v>-4.9999999999990052E-3</v>
      </c>
    </row>
    <row r="761" spans="1:14">
      <c r="A761" s="39" t="s">
        <v>2113</v>
      </c>
      <c r="B761" s="40">
        <v>5.5670000000000002</v>
      </c>
      <c r="C761" s="11">
        <v>5.9850000000000003</v>
      </c>
      <c r="D761" s="16">
        <f t="shared" si="77"/>
        <v>7</v>
      </c>
      <c r="E761" s="16">
        <f t="shared" si="78"/>
        <v>0.2</v>
      </c>
      <c r="F761" s="16">
        <f t="shared" si="79"/>
        <v>5</v>
      </c>
      <c r="G761" s="16">
        <f t="shared" si="80"/>
        <v>5.5410000000000004</v>
      </c>
      <c r="H761" s="16">
        <f t="shared" si="81"/>
        <v>1</v>
      </c>
      <c r="I761" s="16">
        <f t="shared" si="82"/>
        <v>1</v>
      </c>
      <c r="J761" s="16">
        <f t="shared" si="83"/>
        <v>5.5410000000000004</v>
      </c>
      <c r="K761" s="16">
        <f>IF(CurrentMtgRatesDataTable8[[#This Row],[WA CC]]&lt;&gt;0,C760-CurrentMtgRatesDataTable8[[#This Row],[WA CC]],0)</f>
        <v>0.44399999999999995</v>
      </c>
      <c r="L761" s="16">
        <f>IF(CurrentMtgRatesDataTable8[[#This Row],[Servicing Spread]]&lt;=0,L760,CurrentMtgRatesDataTable8[[#This Row],[Servicing Spread]])</f>
        <v>0.44399999999999995</v>
      </c>
      <c r="M761" s="16">
        <f>CurrentMtgRatesDataTable8[[#This Row],[Servicing Spread Non-Zero]]-L760</f>
        <v>0.12900000000000045</v>
      </c>
      <c r="N761" s="16">
        <f>IF(J760&lt;&gt;0,CurrentMtgRatesDataTable8[[#This Row],[Rate]]-C760,N760)</f>
        <v>-4.9999999999990052E-3</v>
      </c>
    </row>
    <row r="762" spans="1:14">
      <c r="A762" s="39" t="s">
        <v>2114</v>
      </c>
      <c r="B762" s="40">
        <v>5.5940000000000003</v>
      </c>
      <c r="C762" s="11">
        <v>5.97</v>
      </c>
      <c r="D762" s="16">
        <f t="shared" si="77"/>
        <v>1</v>
      </c>
      <c r="E762" s="16">
        <f t="shared" si="78"/>
        <v>0.2</v>
      </c>
      <c r="F762" s="16">
        <f t="shared" si="79"/>
        <v>1</v>
      </c>
      <c r="G762" s="16">
        <f t="shared" si="80"/>
        <v>1.1188</v>
      </c>
      <c r="H762" s="16">
        <f t="shared" si="81"/>
        <v>0.2</v>
      </c>
      <c r="I762" s="16">
        <f t="shared" si="82"/>
        <v>0</v>
      </c>
      <c r="J762" s="16">
        <f t="shared" si="83"/>
        <v>0</v>
      </c>
      <c r="K762" s="16">
        <f>IF(CurrentMtgRatesDataTable8[[#This Row],[WA CC]]&lt;&gt;0,C761-CurrentMtgRatesDataTable8[[#This Row],[WA CC]],0)</f>
        <v>0</v>
      </c>
      <c r="L762" s="16">
        <f>IF(CurrentMtgRatesDataTable8[[#This Row],[Servicing Spread]]&lt;=0,L761,CurrentMtgRatesDataTable8[[#This Row],[Servicing Spread]])</f>
        <v>0.44399999999999995</v>
      </c>
      <c r="M762" s="16">
        <f>CurrentMtgRatesDataTable8[[#This Row],[Servicing Spread Non-Zero]]-L761</f>
        <v>0</v>
      </c>
      <c r="N762" s="16">
        <f>IF(J761&lt;&gt;0,CurrentMtgRatesDataTable8[[#This Row],[Rate]]-C761,N761)</f>
        <v>-1.5000000000000568E-2</v>
      </c>
    </row>
    <row r="763" spans="1:14">
      <c r="A763" s="39" t="s">
        <v>2115</v>
      </c>
      <c r="B763" s="40">
        <v>5.6660000000000004</v>
      </c>
      <c r="C763" s="11">
        <v>5.97</v>
      </c>
      <c r="D763" s="16">
        <f t="shared" si="77"/>
        <v>2</v>
      </c>
      <c r="E763" s="16">
        <f t="shared" si="78"/>
        <v>0.2</v>
      </c>
      <c r="F763" s="16">
        <f t="shared" si="79"/>
        <v>2</v>
      </c>
      <c r="G763" s="16">
        <f t="shared" si="80"/>
        <v>2.2520000000000002</v>
      </c>
      <c r="H763" s="16">
        <f t="shared" si="81"/>
        <v>0.4</v>
      </c>
      <c r="I763" s="16">
        <f t="shared" si="82"/>
        <v>0</v>
      </c>
      <c r="J763" s="16">
        <f t="shared" si="83"/>
        <v>0</v>
      </c>
      <c r="K763" s="16">
        <f>IF(CurrentMtgRatesDataTable8[[#This Row],[WA CC]]&lt;&gt;0,C762-CurrentMtgRatesDataTable8[[#This Row],[WA CC]],0)</f>
        <v>0</v>
      </c>
      <c r="L763" s="16">
        <f>IF(CurrentMtgRatesDataTable8[[#This Row],[Servicing Spread]]&lt;=0,L762,CurrentMtgRatesDataTable8[[#This Row],[Servicing Spread]])</f>
        <v>0.44399999999999995</v>
      </c>
      <c r="M763" s="16">
        <f>CurrentMtgRatesDataTable8[[#This Row],[Servicing Spread Non-Zero]]-L762</f>
        <v>0</v>
      </c>
      <c r="N763" s="16">
        <f>IF(J762&lt;&gt;0,CurrentMtgRatesDataTable8[[#This Row],[Rate]]-C762,N762)</f>
        <v>-1.5000000000000568E-2</v>
      </c>
    </row>
    <row r="764" spans="1:14">
      <c r="A764" s="39" t="s">
        <v>2116</v>
      </c>
      <c r="B764" s="40">
        <v>5.6369999999999996</v>
      </c>
      <c r="C764" s="11">
        <v>5.97</v>
      </c>
      <c r="D764" s="16">
        <f t="shared" si="77"/>
        <v>5</v>
      </c>
      <c r="E764" s="16">
        <f t="shared" si="78"/>
        <v>0.2</v>
      </c>
      <c r="F764" s="16">
        <f t="shared" si="79"/>
        <v>3</v>
      </c>
      <c r="G764" s="16">
        <f t="shared" si="80"/>
        <v>3.3794000000000004</v>
      </c>
      <c r="H764" s="16">
        <f t="shared" si="81"/>
        <v>0.60000000000000009</v>
      </c>
      <c r="I764" s="16">
        <f t="shared" si="82"/>
        <v>0</v>
      </c>
      <c r="J764" s="16">
        <f t="shared" si="83"/>
        <v>0</v>
      </c>
      <c r="K764" s="16">
        <f>IF(CurrentMtgRatesDataTable8[[#This Row],[WA CC]]&lt;&gt;0,C763-CurrentMtgRatesDataTable8[[#This Row],[WA CC]],0)</f>
        <v>0</v>
      </c>
      <c r="L764" s="16">
        <f>IF(CurrentMtgRatesDataTable8[[#This Row],[Servicing Spread]]&lt;=0,L763,CurrentMtgRatesDataTable8[[#This Row],[Servicing Spread]])</f>
        <v>0.44399999999999995</v>
      </c>
      <c r="M764" s="16">
        <f>CurrentMtgRatesDataTable8[[#This Row],[Servicing Spread Non-Zero]]-L763</f>
        <v>0</v>
      </c>
      <c r="N764" s="16">
        <f>IF(J763&lt;&gt;0,CurrentMtgRatesDataTable8[[#This Row],[Rate]]-C763,N763)</f>
        <v>-1.5000000000000568E-2</v>
      </c>
    </row>
    <row r="765" spans="1:14">
      <c r="A765" s="39" t="s">
        <v>2117</v>
      </c>
      <c r="B765" s="40">
        <v>5.5750000000000002</v>
      </c>
      <c r="C765" s="11">
        <v>5.97</v>
      </c>
      <c r="D765" s="16">
        <f t="shared" si="77"/>
        <v>6</v>
      </c>
      <c r="E765" s="16">
        <f t="shared" si="78"/>
        <v>0.2</v>
      </c>
      <c r="F765" s="16">
        <f t="shared" si="79"/>
        <v>4</v>
      </c>
      <c r="G765" s="16">
        <f t="shared" si="80"/>
        <v>4.4944000000000006</v>
      </c>
      <c r="H765" s="16">
        <f t="shared" si="81"/>
        <v>0.8</v>
      </c>
      <c r="I765" s="16">
        <f t="shared" si="82"/>
        <v>0</v>
      </c>
      <c r="J765" s="16">
        <f t="shared" si="83"/>
        <v>0</v>
      </c>
      <c r="K765" s="16">
        <f>IF(CurrentMtgRatesDataTable8[[#This Row],[WA CC]]&lt;&gt;0,C764-CurrentMtgRatesDataTable8[[#This Row],[WA CC]],0)</f>
        <v>0</v>
      </c>
      <c r="L765" s="16">
        <f>IF(CurrentMtgRatesDataTable8[[#This Row],[Servicing Spread]]&lt;=0,L764,CurrentMtgRatesDataTable8[[#This Row],[Servicing Spread]])</f>
        <v>0.44399999999999995</v>
      </c>
      <c r="M765" s="16">
        <f>CurrentMtgRatesDataTable8[[#This Row],[Servicing Spread Non-Zero]]-L764</f>
        <v>0</v>
      </c>
      <c r="N765" s="16">
        <f>IF(J764&lt;&gt;0,CurrentMtgRatesDataTable8[[#This Row],[Rate]]-C764,N764)</f>
        <v>-1.5000000000000568E-2</v>
      </c>
    </row>
    <row r="766" spans="1:14">
      <c r="A766" s="39" t="s">
        <v>2118</v>
      </c>
      <c r="B766" s="40">
        <v>5.66</v>
      </c>
      <c r="C766" s="11">
        <v>5.97</v>
      </c>
      <c r="D766" s="16">
        <f t="shared" si="77"/>
        <v>7</v>
      </c>
      <c r="E766" s="16">
        <f t="shared" si="78"/>
        <v>0.2</v>
      </c>
      <c r="F766" s="16">
        <f t="shared" si="79"/>
        <v>5</v>
      </c>
      <c r="G766" s="16">
        <f t="shared" si="80"/>
        <v>5.6264000000000003</v>
      </c>
      <c r="H766" s="16">
        <f t="shared" si="81"/>
        <v>1</v>
      </c>
      <c r="I766" s="16">
        <f t="shared" si="82"/>
        <v>1</v>
      </c>
      <c r="J766" s="16">
        <f t="shared" si="83"/>
        <v>5.6264000000000003</v>
      </c>
      <c r="K766" s="16">
        <f>IF(CurrentMtgRatesDataTable8[[#This Row],[WA CC]]&lt;&gt;0,C765-CurrentMtgRatesDataTable8[[#This Row],[WA CC]],0)</f>
        <v>0.34359999999999946</v>
      </c>
      <c r="L766" s="16">
        <f>IF(CurrentMtgRatesDataTable8[[#This Row],[Servicing Spread]]&lt;=0,L765,CurrentMtgRatesDataTable8[[#This Row],[Servicing Spread]])</f>
        <v>0.34359999999999946</v>
      </c>
      <c r="M766" s="16">
        <f>CurrentMtgRatesDataTable8[[#This Row],[Servicing Spread Non-Zero]]-L765</f>
        <v>-0.10040000000000049</v>
      </c>
      <c r="N766" s="16">
        <f>IF(J765&lt;&gt;0,CurrentMtgRatesDataTable8[[#This Row],[Rate]]-C765,N765)</f>
        <v>-1.5000000000000568E-2</v>
      </c>
    </row>
    <row r="767" spans="1:14">
      <c r="A767" s="39" t="s">
        <v>2119</v>
      </c>
      <c r="B767" s="40">
        <v>5.681</v>
      </c>
      <c r="C767" s="11">
        <v>5.9799999999999995</v>
      </c>
      <c r="D767" s="16">
        <f t="shared" si="77"/>
        <v>1</v>
      </c>
      <c r="E767" s="16">
        <f t="shared" si="78"/>
        <v>0.2</v>
      </c>
      <c r="F767" s="16">
        <f t="shared" si="79"/>
        <v>1</v>
      </c>
      <c r="G767" s="16">
        <f t="shared" si="80"/>
        <v>1.1362000000000001</v>
      </c>
      <c r="H767" s="16">
        <f t="shared" si="81"/>
        <v>0.2</v>
      </c>
      <c r="I767" s="16">
        <f t="shared" si="82"/>
        <v>0</v>
      </c>
      <c r="J767" s="16">
        <f t="shared" si="83"/>
        <v>0</v>
      </c>
      <c r="K767" s="16">
        <f>IF(CurrentMtgRatesDataTable8[[#This Row],[WA CC]]&lt;&gt;0,C766-CurrentMtgRatesDataTable8[[#This Row],[WA CC]],0)</f>
        <v>0</v>
      </c>
      <c r="L767" s="16">
        <f>IF(CurrentMtgRatesDataTable8[[#This Row],[Servicing Spread]]&lt;=0,L766,CurrentMtgRatesDataTable8[[#This Row],[Servicing Spread]])</f>
        <v>0.34359999999999946</v>
      </c>
      <c r="M767" s="16">
        <f>CurrentMtgRatesDataTable8[[#This Row],[Servicing Spread Non-Zero]]-L766</f>
        <v>0</v>
      </c>
      <c r="N767" s="16">
        <f>IF(J766&lt;&gt;0,CurrentMtgRatesDataTable8[[#This Row],[Rate]]-C766,N766)</f>
        <v>9.9999999999997868E-3</v>
      </c>
    </row>
    <row r="768" spans="1:14">
      <c r="A768" s="39" t="s">
        <v>2120</v>
      </c>
      <c r="B768" s="40">
        <v>5.6870000000000003</v>
      </c>
      <c r="C768" s="11">
        <v>5.9799999999999995</v>
      </c>
      <c r="D768" s="16">
        <f t="shared" si="77"/>
        <v>2</v>
      </c>
      <c r="E768" s="16">
        <f t="shared" si="78"/>
        <v>0.2</v>
      </c>
      <c r="F768" s="16">
        <f t="shared" si="79"/>
        <v>2</v>
      </c>
      <c r="G768" s="16">
        <f t="shared" si="80"/>
        <v>2.2736000000000001</v>
      </c>
      <c r="H768" s="16">
        <f t="shared" si="81"/>
        <v>0.4</v>
      </c>
      <c r="I768" s="16">
        <f t="shared" si="82"/>
        <v>0</v>
      </c>
      <c r="J768" s="16">
        <f t="shared" si="83"/>
        <v>0</v>
      </c>
      <c r="K768" s="16">
        <f>IF(CurrentMtgRatesDataTable8[[#This Row],[WA CC]]&lt;&gt;0,C767-CurrentMtgRatesDataTable8[[#This Row],[WA CC]],0)</f>
        <v>0</v>
      </c>
      <c r="L768" s="16">
        <f>IF(CurrentMtgRatesDataTable8[[#This Row],[Servicing Spread]]&lt;=0,L767,CurrentMtgRatesDataTable8[[#This Row],[Servicing Spread]])</f>
        <v>0.34359999999999946</v>
      </c>
      <c r="M768" s="16">
        <f>CurrentMtgRatesDataTable8[[#This Row],[Servicing Spread Non-Zero]]-L767</f>
        <v>0</v>
      </c>
      <c r="N768" s="16">
        <f>IF(J767&lt;&gt;0,CurrentMtgRatesDataTable8[[#This Row],[Rate]]-C767,N767)</f>
        <v>9.9999999999997868E-3</v>
      </c>
    </row>
    <row r="769" spans="1:14">
      <c r="A769" s="39" t="s">
        <v>2121</v>
      </c>
      <c r="B769" s="40">
        <v>5.694</v>
      </c>
      <c r="C769" s="11">
        <v>5.9799999999999995</v>
      </c>
      <c r="D769" s="16">
        <f t="shared" si="77"/>
        <v>5</v>
      </c>
      <c r="E769" s="16">
        <f t="shared" si="78"/>
        <v>0.2</v>
      </c>
      <c r="F769" s="16">
        <f t="shared" si="79"/>
        <v>3</v>
      </c>
      <c r="G769" s="16">
        <f t="shared" si="80"/>
        <v>3.4123999999999999</v>
      </c>
      <c r="H769" s="16">
        <f t="shared" si="81"/>
        <v>0.60000000000000009</v>
      </c>
      <c r="I769" s="16">
        <f t="shared" si="82"/>
        <v>0</v>
      </c>
      <c r="J769" s="16">
        <f t="shared" si="83"/>
        <v>0</v>
      </c>
      <c r="K769" s="16">
        <f>IF(CurrentMtgRatesDataTable8[[#This Row],[WA CC]]&lt;&gt;0,C768-CurrentMtgRatesDataTable8[[#This Row],[WA CC]],0)</f>
        <v>0</v>
      </c>
      <c r="L769" s="16">
        <f>IF(CurrentMtgRatesDataTable8[[#This Row],[Servicing Spread]]&lt;=0,L768,CurrentMtgRatesDataTable8[[#This Row],[Servicing Spread]])</f>
        <v>0.34359999999999946</v>
      </c>
      <c r="M769" s="16">
        <f>CurrentMtgRatesDataTable8[[#This Row],[Servicing Spread Non-Zero]]-L768</f>
        <v>0</v>
      </c>
      <c r="N769" s="16">
        <f>IF(J768&lt;&gt;0,CurrentMtgRatesDataTable8[[#This Row],[Rate]]-C768,N768)</f>
        <v>9.9999999999997868E-3</v>
      </c>
    </row>
    <row r="770" spans="1:14">
      <c r="A770" s="39" t="s">
        <v>2122</v>
      </c>
      <c r="B770" s="40">
        <v>5.7</v>
      </c>
      <c r="C770" s="11">
        <v>5.9799999999999995</v>
      </c>
      <c r="D770" s="16">
        <f t="shared" si="77"/>
        <v>6</v>
      </c>
      <c r="E770" s="16">
        <f t="shared" si="78"/>
        <v>0.2</v>
      </c>
      <c r="F770" s="16">
        <f t="shared" si="79"/>
        <v>4</v>
      </c>
      <c r="G770" s="16">
        <f t="shared" si="80"/>
        <v>4.5524000000000004</v>
      </c>
      <c r="H770" s="16">
        <f t="shared" si="81"/>
        <v>0.8</v>
      </c>
      <c r="I770" s="16">
        <f t="shared" si="82"/>
        <v>0</v>
      </c>
      <c r="J770" s="16">
        <f t="shared" si="83"/>
        <v>0</v>
      </c>
      <c r="K770" s="16">
        <f>IF(CurrentMtgRatesDataTable8[[#This Row],[WA CC]]&lt;&gt;0,C769-CurrentMtgRatesDataTable8[[#This Row],[WA CC]],0)</f>
        <v>0</v>
      </c>
      <c r="L770" s="16">
        <f>IF(CurrentMtgRatesDataTable8[[#This Row],[Servicing Spread]]&lt;=0,L769,CurrentMtgRatesDataTable8[[#This Row],[Servicing Spread]])</f>
        <v>0.34359999999999946</v>
      </c>
      <c r="M770" s="16">
        <f>CurrentMtgRatesDataTable8[[#This Row],[Servicing Spread Non-Zero]]-L769</f>
        <v>0</v>
      </c>
      <c r="N770" s="16">
        <f>IF(J769&lt;&gt;0,CurrentMtgRatesDataTable8[[#This Row],[Rate]]-C769,N769)</f>
        <v>9.9999999999997868E-3</v>
      </c>
    </row>
    <row r="771" spans="1:14">
      <c r="A771" s="39" t="s">
        <v>2123</v>
      </c>
      <c r="B771" s="40">
        <v>5.6929999999999996</v>
      </c>
      <c r="C771" s="11">
        <v>5.9799999999999995</v>
      </c>
      <c r="D771" s="16">
        <f t="shared" si="77"/>
        <v>7</v>
      </c>
      <c r="E771" s="16">
        <f t="shared" si="78"/>
        <v>0.2</v>
      </c>
      <c r="F771" s="16">
        <f t="shared" si="79"/>
        <v>5</v>
      </c>
      <c r="G771" s="16">
        <f t="shared" si="80"/>
        <v>5.6910000000000007</v>
      </c>
      <c r="H771" s="16">
        <f t="shared" si="81"/>
        <v>1</v>
      </c>
      <c r="I771" s="16">
        <f t="shared" si="82"/>
        <v>1</v>
      </c>
      <c r="J771" s="16">
        <f t="shared" si="83"/>
        <v>5.6910000000000007</v>
      </c>
      <c r="K771" s="16">
        <f>IF(CurrentMtgRatesDataTable8[[#This Row],[WA CC]]&lt;&gt;0,C770-CurrentMtgRatesDataTable8[[#This Row],[WA CC]],0)</f>
        <v>0.28899999999999881</v>
      </c>
      <c r="L771" s="16">
        <f>IF(CurrentMtgRatesDataTable8[[#This Row],[Servicing Spread]]&lt;=0,L770,CurrentMtgRatesDataTable8[[#This Row],[Servicing Spread]])</f>
        <v>0.28899999999999881</v>
      </c>
      <c r="M771" s="16">
        <f>CurrentMtgRatesDataTable8[[#This Row],[Servicing Spread Non-Zero]]-L770</f>
        <v>-5.4600000000000648E-2</v>
      </c>
      <c r="N771" s="16">
        <f>IF(J770&lt;&gt;0,CurrentMtgRatesDataTable8[[#This Row],[Rate]]-C770,N770)</f>
        <v>9.9999999999997868E-3</v>
      </c>
    </row>
    <row r="772" spans="1:14">
      <c r="A772" s="39" t="s">
        <v>2124</v>
      </c>
      <c r="B772" s="40">
        <v>5.633</v>
      </c>
      <c r="C772" s="11">
        <v>6.0299999999999994</v>
      </c>
      <c r="D772" s="16">
        <f t="shared" si="77"/>
        <v>1</v>
      </c>
      <c r="E772" s="16">
        <f t="shared" si="78"/>
        <v>0.2</v>
      </c>
      <c r="F772" s="16">
        <f t="shared" si="79"/>
        <v>1</v>
      </c>
      <c r="G772" s="16">
        <f t="shared" si="80"/>
        <v>1.1266</v>
      </c>
      <c r="H772" s="16">
        <f t="shared" si="81"/>
        <v>0.2</v>
      </c>
      <c r="I772" s="16">
        <f t="shared" si="82"/>
        <v>0</v>
      </c>
      <c r="J772" s="16">
        <f t="shared" si="83"/>
        <v>0</v>
      </c>
      <c r="K772" s="16">
        <f>IF(CurrentMtgRatesDataTable8[[#This Row],[WA CC]]&lt;&gt;0,C771-CurrentMtgRatesDataTable8[[#This Row],[WA CC]],0)</f>
        <v>0</v>
      </c>
      <c r="L772" s="16">
        <f>IF(CurrentMtgRatesDataTable8[[#This Row],[Servicing Spread]]&lt;=0,L771,CurrentMtgRatesDataTable8[[#This Row],[Servicing Spread]])</f>
        <v>0.28899999999999881</v>
      </c>
      <c r="M772" s="16">
        <f>CurrentMtgRatesDataTable8[[#This Row],[Servicing Spread Non-Zero]]-L771</f>
        <v>0</v>
      </c>
      <c r="N772" s="16">
        <f>IF(J771&lt;&gt;0,CurrentMtgRatesDataTable8[[#This Row],[Rate]]-C771,N771)</f>
        <v>4.9999999999999822E-2</v>
      </c>
    </row>
    <row r="773" spans="1:14">
      <c r="A773" s="43" t="s">
        <v>2125</v>
      </c>
      <c r="B773" s="44">
        <v>5.7069999999999999</v>
      </c>
      <c r="C773" s="45">
        <v>6.0299999999999994</v>
      </c>
      <c r="D773" s="46">
        <f t="shared" ref="D773:D836" si="84">WEEKDAY(A773,14)</f>
        <v>2</v>
      </c>
      <c r="E773" s="46">
        <f t="shared" ref="E773:E836" si="85">VLOOKUP(D773,Q$5:R$11,2,FALSE)</f>
        <v>0.2</v>
      </c>
      <c r="F773" s="46">
        <f t="shared" ref="F773:F836" si="86">IF(AND(D773&gt;D772,F772&lt;6),F772+1,1)</f>
        <v>2</v>
      </c>
      <c r="G773" s="46">
        <f t="shared" ref="G773:G836" si="87">IF(F773&gt;F772,G772+B773*E773,B773*E773)</f>
        <v>2.2679999999999998</v>
      </c>
      <c r="H773" s="46">
        <f t="shared" ref="H773:H836" si="88">IF(AND(F773&lt;6,F773&gt;F772),E773+H772,E773)</f>
        <v>0.4</v>
      </c>
      <c r="I773" s="46">
        <f t="shared" ref="I773:I836" si="89">IF(F773&gt;F774,1,0)</f>
        <v>0</v>
      </c>
      <c r="J773" s="46">
        <f t="shared" ref="J773:J836" si="90">IF(F773&gt;F774,G773/H773,0)</f>
        <v>0</v>
      </c>
      <c r="K773" s="46">
        <f>IF(CurrentMtgRatesDataTable8[[#This Row],[WA CC]]&lt;&gt;0,C772-CurrentMtgRatesDataTable8[[#This Row],[WA CC]],0)</f>
        <v>0</v>
      </c>
      <c r="L773" s="46">
        <f>IF(CurrentMtgRatesDataTable8[[#This Row],[Servicing Spread]]&lt;=0,L772,CurrentMtgRatesDataTable8[[#This Row],[Servicing Spread]])</f>
        <v>0.28899999999999881</v>
      </c>
      <c r="M773" s="46">
        <f>CurrentMtgRatesDataTable8[[#This Row],[Servicing Spread Non-Zero]]-L772</f>
        <v>0</v>
      </c>
      <c r="N773" s="46">
        <f>IF(J772&lt;&gt;0,CurrentMtgRatesDataTable8[[#This Row],[Rate]]-C772,N772)</f>
        <v>4.9999999999999822E-2</v>
      </c>
    </row>
    <row r="774" spans="1:14">
      <c r="A774" s="43" t="s">
        <v>2126</v>
      </c>
      <c r="B774" s="44">
        <v>5.6950000000000003</v>
      </c>
      <c r="C774" s="45">
        <v>6.0299999999999994</v>
      </c>
      <c r="D774" s="46">
        <f t="shared" si="84"/>
        <v>6</v>
      </c>
      <c r="E774" s="46">
        <f t="shared" si="85"/>
        <v>0.2</v>
      </c>
      <c r="F774" s="46">
        <f t="shared" si="86"/>
        <v>3</v>
      </c>
      <c r="G774" s="46">
        <f t="shared" si="87"/>
        <v>3.407</v>
      </c>
      <c r="H774" s="46">
        <f t="shared" si="88"/>
        <v>0.60000000000000009</v>
      </c>
      <c r="I774" s="46">
        <f t="shared" si="89"/>
        <v>0</v>
      </c>
      <c r="J774" s="46">
        <f t="shared" si="90"/>
        <v>0</v>
      </c>
      <c r="K774" s="46">
        <f>IF(CurrentMtgRatesDataTable8[[#This Row],[WA CC]]&lt;&gt;0,C773-CurrentMtgRatesDataTable8[[#This Row],[WA CC]],0)</f>
        <v>0</v>
      </c>
      <c r="L774" s="46">
        <f>IF(CurrentMtgRatesDataTable8[[#This Row],[Servicing Spread]]&lt;=0,L773,CurrentMtgRatesDataTable8[[#This Row],[Servicing Spread]])</f>
        <v>0.28899999999999881</v>
      </c>
      <c r="M774" s="46">
        <f>CurrentMtgRatesDataTable8[[#This Row],[Servicing Spread Non-Zero]]-L773</f>
        <v>0</v>
      </c>
      <c r="N774" s="46">
        <f>IF(J773&lt;&gt;0,CurrentMtgRatesDataTable8[[#This Row],[Rate]]-C773,N773)</f>
        <v>4.9999999999999822E-2</v>
      </c>
    </row>
    <row r="775" spans="1:14">
      <c r="A775" s="43" t="s">
        <v>2127</v>
      </c>
      <c r="B775" s="44">
        <v>5.7430000000000003</v>
      </c>
      <c r="C775" s="45">
        <v>6.0299999999999994</v>
      </c>
      <c r="D775" s="46">
        <f t="shared" si="84"/>
        <v>7</v>
      </c>
      <c r="E775" s="46">
        <f t="shared" si="85"/>
        <v>0.2</v>
      </c>
      <c r="F775" s="46">
        <f t="shared" si="86"/>
        <v>4</v>
      </c>
      <c r="G775" s="46">
        <f t="shared" si="87"/>
        <v>4.5556000000000001</v>
      </c>
      <c r="H775" s="46">
        <f t="shared" si="88"/>
        <v>0.8</v>
      </c>
      <c r="I775" s="46">
        <f t="shared" si="89"/>
        <v>1</v>
      </c>
      <c r="J775" s="46">
        <f t="shared" si="90"/>
        <v>5.6944999999999997</v>
      </c>
      <c r="K775" s="46">
        <f>IF(CurrentMtgRatesDataTable8[[#This Row],[WA CC]]&lt;&gt;0,C774-CurrentMtgRatesDataTable8[[#This Row],[WA CC]],0)</f>
        <v>0.33549999999999969</v>
      </c>
      <c r="L775" s="46">
        <f>IF(CurrentMtgRatesDataTable8[[#This Row],[Servicing Spread]]&lt;=0,L774,CurrentMtgRatesDataTable8[[#This Row],[Servicing Spread]])</f>
        <v>0.33549999999999969</v>
      </c>
      <c r="M775" s="46">
        <f>CurrentMtgRatesDataTable8[[#This Row],[Servicing Spread Non-Zero]]-L774</f>
        <v>4.6500000000000874E-2</v>
      </c>
      <c r="N775" s="46">
        <f>IF(J774&lt;&gt;0,CurrentMtgRatesDataTable8[[#This Row],[Rate]]-C774,N774)</f>
        <v>4.9999999999999822E-2</v>
      </c>
    </row>
    <row r="776" spans="1:14">
      <c r="A776" s="43" t="s">
        <v>2128</v>
      </c>
      <c r="B776" s="44">
        <v>5.7779999999999996</v>
      </c>
      <c r="C776" s="45">
        <v>6.0299999999999994</v>
      </c>
      <c r="D776" s="46">
        <f t="shared" si="84"/>
        <v>1</v>
      </c>
      <c r="E776" s="46">
        <f t="shared" si="85"/>
        <v>0.2</v>
      </c>
      <c r="F776" s="46">
        <f t="shared" si="86"/>
        <v>1</v>
      </c>
      <c r="G776" s="46">
        <f t="shared" si="87"/>
        <v>1.1556</v>
      </c>
      <c r="H776" s="46">
        <f t="shared" si="88"/>
        <v>0.2</v>
      </c>
      <c r="I776" s="46">
        <f t="shared" si="89"/>
        <v>0</v>
      </c>
      <c r="J776" s="46">
        <f t="shared" si="90"/>
        <v>0</v>
      </c>
      <c r="K776" s="46">
        <f>IF(CurrentMtgRatesDataTable8[[#This Row],[WA CC]]&lt;&gt;0,C775-CurrentMtgRatesDataTable8[[#This Row],[WA CC]],0)</f>
        <v>0</v>
      </c>
      <c r="L776" s="46">
        <f>IF(CurrentMtgRatesDataTable8[[#This Row],[Servicing Spread]]&lt;=0,L775,CurrentMtgRatesDataTable8[[#This Row],[Servicing Spread]])</f>
        <v>0.33549999999999969</v>
      </c>
      <c r="M776" s="46">
        <f>CurrentMtgRatesDataTable8[[#This Row],[Servicing Spread Non-Zero]]-L775</f>
        <v>0</v>
      </c>
      <c r="N776" s="46">
        <f>IF(J775&lt;&gt;0,CurrentMtgRatesDataTable8[[#This Row],[Rate]]-C775,N775)</f>
        <v>0</v>
      </c>
    </row>
    <row r="777" spans="1:14">
      <c r="A777" s="43" t="s">
        <v>2129</v>
      </c>
      <c r="B777" s="44">
        <v>5.7839999999999998</v>
      </c>
      <c r="C777" s="45">
        <v>6.0299999999999994</v>
      </c>
      <c r="D777" s="46">
        <f t="shared" si="84"/>
        <v>2</v>
      </c>
      <c r="E777" s="46">
        <f t="shared" si="85"/>
        <v>0.2</v>
      </c>
      <c r="F777" s="46">
        <f t="shared" si="86"/>
        <v>2</v>
      </c>
      <c r="G777" s="46">
        <f t="shared" si="87"/>
        <v>2.3124000000000002</v>
      </c>
      <c r="H777" s="46">
        <f t="shared" si="88"/>
        <v>0.4</v>
      </c>
      <c r="I777" s="46">
        <f t="shared" si="89"/>
        <v>0</v>
      </c>
      <c r="J777" s="46">
        <f t="shared" si="90"/>
        <v>0</v>
      </c>
      <c r="K777" s="46">
        <f>IF(CurrentMtgRatesDataTable8[[#This Row],[WA CC]]&lt;&gt;0,C776-CurrentMtgRatesDataTable8[[#This Row],[WA CC]],0)</f>
        <v>0</v>
      </c>
      <c r="L777" s="46">
        <f>IF(CurrentMtgRatesDataTable8[[#This Row],[Servicing Spread]]&lt;=0,L776,CurrentMtgRatesDataTable8[[#This Row],[Servicing Spread]])</f>
        <v>0.33549999999999969</v>
      </c>
      <c r="M777" s="46">
        <f>CurrentMtgRatesDataTable8[[#This Row],[Servicing Spread Non-Zero]]-L776</f>
        <v>0</v>
      </c>
      <c r="N777" s="46">
        <f>IF(J776&lt;&gt;0,CurrentMtgRatesDataTable8[[#This Row],[Rate]]-C776,N776)</f>
        <v>0</v>
      </c>
    </row>
    <row r="778" spans="1:14">
      <c r="A778" s="43" t="s">
        <v>2130</v>
      </c>
      <c r="B778" s="44">
        <v>5.7510000000000003</v>
      </c>
      <c r="C778" s="45">
        <v>6.0299999999999994</v>
      </c>
      <c r="D778" s="46">
        <f t="shared" si="84"/>
        <v>6</v>
      </c>
      <c r="E778" s="46">
        <f t="shared" si="85"/>
        <v>0.2</v>
      </c>
      <c r="F778" s="46">
        <f t="shared" si="86"/>
        <v>3</v>
      </c>
      <c r="G778" s="46">
        <f t="shared" si="87"/>
        <v>3.4626000000000001</v>
      </c>
      <c r="H778" s="46">
        <f t="shared" si="88"/>
        <v>0.60000000000000009</v>
      </c>
      <c r="I778" s="46">
        <f t="shared" si="89"/>
        <v>0</v>
      </c>
      <c r="J778" s="46">
        <f t="shared" si="90"/>
        <v>0</v>
      </c>
      <c r="K778" s="46">
        <f>IF(CurrentMtgRatesDataTable8[[#This Row],[WA CC]]&lt;&gt;0,C777-CurrentMtgRatesDataTable8[[#This Row],[WA CC]],0)</f>
        <v>0</v>
      </c>
      <c r="L778" s="46">
        <f>IF(CurrentMtgRatesDataTable8[[#This Row],[Servicing Spread]]&lt;=0,L777,CurrentMtgRatesDataTable8[[#This Row],[Servicing Spread]])</f>
        <v>0.33549999999999969</v>
      </c>
      <c r="M778" s="46">
        <f>CurrentMtgRatesDataTable8[[#This Row],[Servicing Spread Non-Zero]]-L777</f>
        <v>0</v>
      </c>
      <c r="N778" s="46">
        <f>IF(J777&lt;&gt;0,CurrentMtgRatesDataTable8[[#This Row],[Rate]]-C777,N777)</f>
        <v>0</v>
      </c>
    </row>
    <row r="779" spans="1:14">
      <c r="A779" s="43" t="s">
        <v>2131</v>
      </c>
      <c r="B779" s="44">
        <v>5.7060000000000004</v>
      </c>
      <c r="C779" s="45">
        <v>6.0299999999999994</v>
      </c>
      <c r="D779" s="46">
        <f t="shared" si="84"/>
        <v>7</v>
      </c>
      <c r="E779" s="46">
        <f t="shared" si="85"/>
        <v>0.2</v>
      </c>
      <c r="F779" s="46">
        <f t="shared" si="86"/>
        <v>4</v>
      </c>
      <c r="G779" s="46">
        <f t="shared" si="87"/>
        <v>4.6038000000000006</v>
      </c>
      <c r="H779" s="46">
        <f t="shared" si="88"/>
        <v>0.8</v>
      </c>
      <c r="I779" s="46">
        <f t="shared" si="89"/>
        <v>1</v>
      </c>
      <c r="J779" s="46">
        <f t="shared" si="90"/>
        <v>5.7547500000000005</v>
      </c>
      <c r="K779" s="46">
        <f>IF(CurrentMtgRatesDataTable8[[#This Row],[WA CC]]&lt;&gt;0,C778-CurrentMtgRatesDataTable8[[#This Row],[WA CC]],0)</f>
        <v>0.27524999999999888</v>
      </c>
      <c r="L779" s="46">
        <f>IF(CurrentMtgRatesDataTable8[[#This Row],[Servicing Spread]]&lt;=0,L778,CurrentMtgRatesDataTable8[[#This Row],[Servicing Spread]])</f>
        <v>0.27524999999999888</v>
      </c>
      <c r="M779" s="46">
        <f>CurrentMtgRatesDataTable8[[#This Row],[Servicing Spread Non-Zero]]-L778</f>
        <v>-6.0250000000000803E-2</v>
      </c>
      <c r="N779" s="46">
        <f>IF(J778&lt;&gt;0,CurrentMtgRatesDataTable8[[#This Row],[Rate]]-C778,N778)</f>
        <v>0</v>
      </c>
    </row>
    <row r="780" spans="1:14">
      <c r="A780" s="43" t="s">
        <v>2132</v>
      </c>
      <c r="B780" s="44">
        <v>5.6440000000000001</v>
      </c>
      <c r="C780" s="45">
        <v>6.06</v>
      </c>
      <c r="D780" s="46">
        <f t="shared" si="84"/>
        <v>1</v>
      </c>
      <c r="E780" s="46">
        <f t="shared" si="85"/>
        <v>0.2</v>
      </c>
      <c r="F780" s="46">
        <f t="shared" si="86"/>
        <v>1</v>
      </c>
      <c r="G780" s="46">
        <f t="shared" si="87"/>
        <v>1.1288</v>
      </c>
      <c r="H780" s="46">
        <f t="shared" si="88"/>
        <v>0.2</v>
      </c>
      <c r="I780" s="46">
        <f t="shared" si="89"/>
        <v>0</v>
      </c>
      <c r="J780" s="46">
        <f t="shared" si="90"/>
        <v>0</v>
      </c>
      <c r="K780" s="46">
        <f>IF(CurrentMtgRatesDataTable8[[#This Row],[WA CC]]&lt;&gt;0,C779-CurrentMtgRatesDataTable8[[#This Row],[WA CC]],0)</f>
        <v>0</v>
      </c>
      <c r="L780" s="46">
        <f>IF(CurrentMtgRatesDataTable8[[#This Row],[Servicing Spread]]&lt;=0,L779,CurrentMtgRatesDataTable8[[#This Row],[Servicing Spread]])</f>
        <v>0.27524999999999888</v>
      </c>
      <c r="M780" s="46">
        <f>CurrentMtgRatesDataTable8[[#This Row],[Servicing Spread Non-Zero]]-L779</f>
        <v>0</v>
      </c>
      <c r="N780" s="46">
        <f>IF(J779&lt;&gt;0,CurrentMtgRatesDataTable8[[#This Row],[Rate]]-C779,N779)</f>
        <v>3.0000000000000249E-2</v>
      </c>
    </row>
    <row r="781" spans="1:14">
      <c r="A781" s="43" t="s">
        <v>2133</v>
      </c>
      <c r="B781" s="44">
        <v>5.6639999999999997</v>
      </c>
      <c r="C781" s="45">
        <v>6.06</v>
      </c>
      <c r="D781" s="46">
        <f t="shared" si="84"/>
        <v>2</v>
      </c>
      <c r="E781" s="46">
        <f t="shared" si="85"/>
        <v>0.2</v>
      </c>
      <c r="F781" s="46">
        <f t="shared" si="86"/>
        <v>2</v>
      </c>
      <c r="G781" s="46">
        <f t="shared" si="87"/>
        <v>2.2616000000000001</v>
      </c>
      <c r="H781" s="46">
        <f t="shared" si="88"/>
        <v>0.4</v>
      </c>
      <c r="I781" s="46">
        <f t="shared" si="89"/>
        <v>0</v>
      </c>
      <c r="J781" s="46">
        <f t="shared" si="90"/>
        <v>0</v>
      </c>
      <c r="K781" s="46">
        <f>IF(CurrentMtgRatesDataTable8[[#This Row],[WA CC]]&lt;&gt;0,C780-CurrentMtgRatesDataTable8[[#This Row],[WA CC]],0)</f>
        <v>0</v>
      </c>
      <c r="L781" s="46">
        <f>IF(CurrentMtgRatesDataTable8[[#This Row],[Servicing Spread]]&lt;=0,L780,CurrentMtgRatesDataTable8[[#This Row],[Servicing Spread]])</f>
        <v>0.27524999999999888</v>
      </c>
      <c r="M781" s="46">
        <f>CurrentMtgRatesDataTable8[[#This Row],[Servicing Spread Non-Zero]]-L780</f>
        <v>0</v>
      </c>
      <c r="N781" s="46">
        <f>IF(J780&lt;&gt;0,CurrentMtgRatesDataTable8[[#This Row],[Rate]]-C780,N780)</f>
        <v>3.0000000000000249E-2</v>
      </c>
    </row>
    <row r="782" spans="1:14">
      <c r="A782" s="43" t="s">
        <v>2134</v>
      </c>
      <c r="B782" s="44">
        <v>5.6890000000000001</v>
      </c>
      <c r="C782" s="45">
        <v>6.06</v>
      </c>
      <c r="D782" s="46">
        <f t="shared" si="84"/>
        <v>5</v>
      </c>
      <c r="E782" s="46">
        <f t="shared" si="85"/>
        <v>0.2</v>
      </c>
      <c r="F782" s="46">
        <f t="shared" si="86"/>
        <v>3</v>
      </c>
      <c r="G782" s="46">
        <f t="shared" si="87"/>
        <v>3.3994</v>
      </c>
      <c r="H782" s="46">
        <f t="shared" si="88"/>
        <v>0.60000000000000009</v>
      </c>
      <c r="I782" s="46">
        <f t="shared" si="89"/>
        <v>0</v>
      </c>
      <c r="J782" s="46">
        <f t="shared" si="90"/>
        <v>0</v>
      </c>
      <c r="K782" s="46">
        <f>IF(CurrentMtgRatesDataTable8[[#This Row],[WA CC]]&lt;&gt;0,C781-CurrentMtgRatesDataTable8[[#This Row],[WA CC]],0)</f>
        <v>0</v>
      </c>
      <c r="L782" s="46">
        <f>IF(CurrentMtgRatesDataTable8[[#This Row],[Servicing Spread]]&lt;=0,L781,CurrentMtgRatesDataTable8[[#This Row],[Servicing Spread]])</f>
        <v>0.27524999999999888</v>
      </c>
      <c r="M782" s="46">
        <f>CurrentMtgRatesDataTable8[[#This Row],[Servicing Spread Non-Zero]]-L781</f>
        <v>0</v>
      </c>
      <c r="N782" s="46">
        <f>IF(J781&lt;&gt;0,CurrentMtgRatesDataTable8[[#This Row],[Rate]]-C781,N781)</f>
        <v>3.0000000000000249E-2</v>
      </c>
    </row>
    <row r="783" spans="1:14">
      <c r="A783" s="43" t="s">
        <v>2135</v>
      </c>
      <c r="B783" s="44">
        <v>5.7039999999999997</v>
      </c>
      <c r="C783" s="45">
        <v>6.06</v>
      </c>
      <c r="D783" s="46">
        <f t="shared" si="84"/>
        <v>6</v>
      </c>
      <c r="E783" s="46">
        <f t="shared" si="85"/>
        <v>0.2</v>
      </c>
      <c r="F783" s="46">
        <f t="shared" si="86"/>
        <v>4</v>
      </c>
      <c r="G783" s="46">
        <f t="shared" si="87"/>
        <v>4.5402000000000005</v>
      </c>
      <c r="H783" s="46">
        <f t="shared" si="88"/>
        <v>0.8</v>
      </c>
      <c r="I783" s="46">
        <f t="shared" si="89"/>
        <v>0</v>
      </c>
      <c r="J783" s="46">
        <f t="shared" si="90"/>
        <v>0</v>
      </c>
      <c r="K783" s="46">
        <f>IF(CurrentMtgRatesDataTable8[[#This Row],[WA CC]]&lt;&gt;0,C782-CurrentMtgRatesDataTable8[[#This Row],[WA CC]],0)</f>
        <v>0</v>
      </c>
      <c r="L783" s="46">
        <f>IF(CurrentMtgRatesDataTable8[[#This Row],[Servicing Spread]]&lt;=0,L782,CurrentMtgRatesDataTable8[[#This Row],[Servicing Spread]])</f>
        <v>0.27524999999999888</v>
      </c>
      <c r="M783" s="46">
        <f>CurrentMtgRatesDataTable8[[#This Row],[Servicing Spread Non-Zero]]-L782</f>
        <v>0</v>
      </c>
      <c r="N783" s="46">
        <f>IF(J782&lt;&gt;0,CurrentMtgRatesDataTable8[[#This Row],[Rate]]-C782,N782)</f>
        <v>3.0000000000000249E-2</v>
      </c>
    </row>
    <row r="784" spans="1:14">
      <c r="A784" s="43" t="s">
        <v>2136</v>
      </c>
      <c r="B784" s="44">
        <v>5.7430000000000003</v>
      </c>
      <c r="C784" s="45">
        <v>6.06</v>
      </c>
      <c r="D784" s="46">
        <f t="shared" si="84"/>
        <v>7</v>
      </c>
      <c r="E784" s="46">
        <f t="shared" si="85"/>
        <v>0.2</v>
      </c>
      <c r="F784" s="46">
        <f t="shared" si="86"/>
        <v>5</v>
      </c>
      <c r="G784" s="46">
        <f t="shared" si="87"/>
        <v>5.6888000000000005</v>
      </c>
      <c r="H784" s="46">
        <f t="shared" si="88"/>
        <v>1</v>
      </c>
      <c r="I784" s="46">
        <f t="shared" si="89"/>
        <v>1</v>
      </c>
      <c r="J784" s="46">
        <f t="shared" si="90"/>
        <v>5.6888000000000005</v>
      </c>
      <c r="K784" s="46">
        <f>IF(CurrentMtgRatesDataTable8[[#This Row],[WA CC]]&lt;&gt;0,C783-CurrentMtgRatesDataTable8[[#This Row],[WA CC]],0)</f>
        <v>0.37119999999999909</v>
      </c>
      <c r="L784" s="46">
        <f>IF(CurrentMtgRatesDataTable8[[#This Row],[Servicing Spread]]&lt;=0,L783,CurrentMtgRatesDataTable8[[#This Row],[Servicing Spread]])</f>
        <v>0.37119999999999909</v>
      </c>
      <c r="M784" s="46">
        <f>CurrentMtgRatesDataTable8[[#This Row],[Servicing Spread Non-Zero]]-L783</f>
        <v>9.5950000000000202E-2</v>
      </c>
      <c r="N784" s="46">
        <f>IF(J783&lt;&gt;0,CurrentMtgRatesDataTable8[[#This Row],[Rate]]-C783,N783)</f>
        <v>3.0000000000000249E-2</v>
      </c>
    </row>
    <row r="785" spans="1:14">
      <c r="A785" s="43" t="s">
        <v>2137</v>
      </c>
      <c r="B785" s="44">
        <v>5.7949999999999999</v>
      </c>
      <c r="C785" s="45">
        <v>6.08</v>
      </c>
      <c r="D785" s="46">
        <f t="shared" si="84"/>
        <v>1</v>
      </c>
      <c r="E785" s="46">
        <f t="shared" si="85"/>
        <v>0.2</v>
      </c>
      <c r="F785" s="46">
        <f t="shared" si="86"/>
        <v>1</v>
      </c>
      <c r="G785" s="46">
        <f t="shared" si="87"/>
        <v>1.159</v>
      </c>
      <c r="H785" s="46">
        <f t="shared" si="88"/>
        <v>0.2</v>
      </c>
      <c r="I785" s="46">
        <f t="shared" si="89"/>
        <v>0</v>
      </c>
      <c r="J785" s="46">
        <f t="shared" si="90"/>
        <v>0</v>
      </c>
      <c r="K785" s="46">
        <f>IF(CurrentMtgRatesDataTable8[[#This Row],[WA CC]]&lt;&gt;0,C784-CurrentMtgRatesDataTable8[[#This Row],[WA CC]],0)</f>
        <v>0</v>
      </c>
      <c r="L785" s="46">
        <f>IF(CurrentMtgRatesDataTable8[[#This Row],[Servicing Spread]]&lt;=0,L784,CurrentMtgRatesDataTable8[[#This Row],[Servicing Spread]])</f>
        <v>0.37119999999999909</v>
      </c>
      <c r="M785" s="46">
        <f>CurrentMtgRatesDataTable8[[#This Row],[Servicing Spread Non-Zero]]-L784</f>
        <v>0</v>
      </c>
      <c r="N785" s="46">
        <f>IF(J784&lt;&gt;0,CurrentMtgRatesDataTable8[[#This Row],[Rate]]-C784,N784)</f>
        <v>2.0000000000000462E-2</v>
      </c>
    </row>
    <row r="786" spans="1:14">
      <c r="A786" s="43" t="s">
        <v>2138</v>
      </c>
      <c r="B786" s="44">
        <v>5.8</v>
      </c>
      <c r="C786" s="45">
        <v>6.08</v>
      </c>
      <c r="D786" s="46">
        <f t="shared" si="84"/>
        <v>2</v>
      </c>
      <c r="E786" s="46">
        <f t="shared" si="85"/>
        <v>0.2</v>
      </c>
      <c r="F786" s="46">
        <f t="shared" si="86"/>
        <v>2</v>
      </c>
      <c r="G786" s="46">
        <f t="shared" si="87"/>
        <v>2.319</v>
      </c>
      <c r="H786" s="46">
        <f t="shared" si="88"/>
        <v>0.4</v>
      </c>
      <c r="I786" s="46">
        <f t="shared" si="89"/>
        <v>0</v>
      </c>
      <c r="J786" s="46">
        <f t="shared" si="90"/>
        <v>0</v>
      </c>
      <c r="K786" s="46">
        <f>IF(CurrentMtgRatesDataTable8[[#This Row],[WA CC]]&lt;&gt;0,C785-CurrentMtgRatesDataTable8[[#This Row],[WA CC]],0)</f>
        <v>0</v>
      </c>
      <c r="L786" s="46">
        <f>IF(CurrentMtgRatesDataTable8[[#This Row],[Servicing Spread]]&lt;=0,L785,CurrentMtgRatesDataTable8[[#This Row],[Servicing Spread]])</f>
        <v>0.37119999999999909</v>
      </c>
      <c r="M786" s="46">
        <f>CurrentMtgRatesDataTable8[[#This Row],[Servicing Spread Non-Zero]]-L785</f>
        <v>0</v>
      </c>
      <c r="N786" s="46">
        <f>IF(J785&lt;&gt;0,CurrentMtgRatesDataTable8[[#This Row],[Rate]]-C785,N785)</f>
        <v>2.0000000000000462E-2</v>
      </c>
    </row>
    <row r="787" spans="1:14">
      <c r="A787" s="43" t="s">
        <v>2139</v>
      </c>
      <c r="B787" s="44">
        <v>5.7939999999999996</v>
      </c>
      <c r="C787" s="45">
        <v>6.08</v>
      </c>
      <c r="D787" s="46">
        <f t="shared" si="84"/>
        <v>6</v>
      </c>
      <c r="E787" s="46">
        <f t="shared" si="85"/>
        <v>0.2</v>
      </c>
      <c r="F787" s="46">
        <f t="shared" si="86"/>
        <v>3</v>
      </c>
      <c r="G787" s="46">
        <f t="shared" si="87"/>
        <v>3.4778000000000002</v>
      </c>
      <c r="H787" s="46">
        <f t="shared" si="88"/>
        <v>0.60000000000000009</v>
      </c>
      <c r="I787" s="46">
        <f t="shared" si="89"/>
        <v>0</v>
      </c>
      <c r="J787" s="46">
        <f t="shared" si="90"/>
        <v>0</v>
      </c>
      <c r="K787" s="46">
        <f>IF(CurrentMtgRatesDataTable8[[#This Row],[WA CC]]&lt;&gt;0,C786-CurrentMtgRatesDataTable8[[#This Row],[WA CC]],0)</f>
        <v>0</v>
      </c>
      <c r="L787" s="46">
        <f>IF(CurrentMtgRatesDataTable8[[#This Row],[Servicing Spread]]&lt;=0,L786,CurrentMtgRatesDataTable8[[#This Row],[Servicing Spread]])</f>
        <v>0.37119999999999909</v>
      </c>
      <c r="M787" s="46">
        <f>CurrentMtgRatesDataTable8[[#This Row],[Servicing Spread Non-Zero]]-L786</f>
        <v>0</v>
      </c>
      <c r="N787" s="46">
        <f>IF(J786&lt;&gt;0,CurrentMtgRatesDataTable8[[#This Row],[Rate]]-C786,N786)</f>
        <v>2.0000000000000462E-2</v>
      </c>
    </row>
    <row r="788" spans="1:14">
      <c r="A788" s="43" t="s">
        <v>2140</v>
      </c>
      <c r="B788" s="44">
        <v>5.83</v>
      </c>
      <c r="C788" s="45">
        <v>6.08</v>
      </c>
      <c r="D788" s="46">
        <f t="shared" si="84"/>
        <v>7</v>
      </c>
      <c r="E788" s="46">
        <f t="shared" si="85"/>
        <v>0.2</v>
      </c>
      <c r="F788" s="46">
        <f t="shared" si="86"/>
        <v>4</v>
      </c>
      <c r="G788" s="46">
        <f t="shared" si="87"/>
        <v>4.6438000000000006</v>
      </c>
      <c r="H788" s="46">
        <f t="shared" si="88"/>
        <v>0.8</v>
      </c>
      <c r="I788" s="46">
        <f t="shared" si="89"/>
        <v>1</v>
      </c>
      <c r="J788" s="46">
        <f t="shared" si="90"/>
        <v>5.8047500000000003</v>
      </c>
      <c r="K788" s="46">
        <f>IF(CurrentMtgRatesDataTable8[[#This Row],[WA CC]]&lt;&gt;0,C787-CurrentMtgRatesDataTable8[[#This Row],[WA CC]],0)</f>
        <v>0.27524999999999977</v>
      </c>
      <c r="L788" s="46">
        <f>IF(CurrentMtgRatesDataTable8[[#This Row],[Servicing Spread]]&lt;=0,L787,CurrentMtgRatesDataTable8[[#This Row],[Servicing Spread]])</f>
        <v>0.27524999999999977</v>
      </c>
      <c r="M788" s="46">
        <f>CurrentMtgRatesDataTable8[[#This Row],[Servicing Spread Non-Zero]]-L787</f>
        <v>-9.5949999999999314E-2</v>
      </c>
      <c r="N788" s="46">
        <f>IF(J787&lt;&gt;0,CurrentMtgRatesDataTable8[[#This Row],[Rate]]-C787,N787)</f>
        <v>2.0000000000000462E-2</v>
      </c>
    </row>
    <row r="789" spans="1:14">
      <c r="A789" s="43" t="s">
        <v>2141</v>
      </c>
      <c r="B789" s="44">
        <v>5.8019999999999996</v>
      </c>
      <c r="C789" s="45">
        <v>6.1</v>
      </c>
      <c r="D789" s="46">
        <f t="shared" si="84"/>
        <v>1</v>
      </c>
      <c r="E789" s="46">
        <f t="shared" si="85"/>
        <v>0.2</v>
      </c>
      <c r="F789" s="46">
        <f t="shared" si="86"/>
        <v>1</v>
      </c>
      <c r="G789" s="46">
        <f t="shared" si="87"/>
        <v>1.1603999999999999</v>
      </c>
      <c r="H789" s="46">
        <f t="shared" si="88"/>
        <v>0.2</v>
      </c>
      <c r="I789" s="46">
        <f t="shared" si="89"/>
        <v>0</v>
      </c>
      <c r="J789" s="46">
        <f t="shared" si="90"/>
        <v>0</v>
      </c>
      <c r="K789" s="46">
        <f>IF(CurrentMtgRatesDataTable8[[#This Row],[WA CC]]&lt;&gt;0,C788-CurrentMtgRatesDataTable8[[#This Row],[WA CC]],0)</f>
        <v>0</v>
      </c>
      <c r="L789" s="46">
        <f>IF(CurrentMtgRatesDataTable8[[#This Row],[Servicing Spread]]&lt;=0,L788,CurrentMtgRatesDataTable8[[#This Row],[Servicing Spread]])</f>
        <v>0.27524999999999977</v>
      </c>
      <c r="M789" s="46">
        <f>CurrentMtgRatesDataTable8[[#This Row],[Servicing Spread Non-Zero]]-L788</f>
        <v>0</v>
      </c>
      <c r="N789" s="46">
        <f>IF(J788&lt;&gt;0,CurrentMtgRatesDataTable8[[#This Row],[Rate]]-C788,N788)</f>
        <v>1.9999999999999574E-2</v>
      </c>
    </row>
    <row r="790" spans="1:14">
      <c r="A790" s="43" t="s">
        <v>2142</v>
      </c>
      <c r="B790" s="44">
        <v>5.8239999999999998</v>
      </c>
      <c r="C790" s="45">
        <v>6.1</v>
      </c>
      <c r="D790" s="46">
        <f t="shared" si="84"/>
        <v>2</v>
      </c>
      <c r="E790" s="46">
        <f t="shared" si="85"/>
        <v>0.2</v>
      </c>
      <c r="F790" s="46">
        <f t="shared" si="86"/>
        <v>2</v>
      </c>
      <c r="G790" s="46">
        <f t="shared" si="87"/>
        <v>2.3251999999999997</v>
      </c>
      <c r="H790" s="46">
        <f t="shared" si="88"/>
        <v>0.4</v>
      </c>
      <c r="I790" s="46">
        <f t="shared" si="89"/>
        <v>0</v>
      </c>
      <c r="J790" s="46">
        <f t="shared" si="90"/>
        <v>0</v>
      </c>
      <c r="K790" s="46">
        <f>IF(CurrentMtgRatesDataTable8[[#This Row],[WA CC]]&lt;&gt;0,C789-CurrentMtgRatesDataTable8[[#This Row],[WA CC]],0)</f>
        <v>0</v>
      </c>
      <c r="L790" s="46">
        <f>IF(CurrentMtgRatesDataTable8[[#This Row],[Servicing Spread]]&lt;=0,L789,CurrentMtgRatesDataTable8[[#This Row],[Servicing Spread]])</f>
        <v>0.27524999999999977</v>
      </c>
      <c r="M790" s="46">
        <f>CurrentMtgRatesDataTable8[[#This Row],[Servicing Spread Non-Zero]]-L789</f>
        <v>0</v>
      </c>
      <c r="N790" s="46">
        <f>IF(J789&lt;&gt;0,CurrentMtgRatesDataTable8[[#This Row],[Rate]]-C789,N789)</f>
        <v>1.9999999999999574E-2</v>
      </c>
    </row>
    <row r="791" spans="1:14">
      <c r="A791" s="43" t="s">
        <v>2143</v>
      </c>
      <c r="B791" s="44">
        <v>5.8120000000000003</v>
      </c>
      <c r="C791" s="45">
        <v>6.1</v>
      </c>
      <c r="D791" s="46">
        <f t="shared" si="84"/>
        <v>5</v>
      </c>
      <c r="E791" s="46">
        <f t="shared" si="85"/>
        <v>0.2</v>
      </c>
      <c r="F791" s="46">
        <f t="shared" si="86"/>
        <v>3</v>
      </c>
      <c r="G791" s="46">
        <f t="shared" si="87"/>
        <v>3.4875999999999996</v>
      </c>
      <c r="H791" s="46">
        <f t="shared" si="88"/>
        <v>0.60000000000000009</v>
      </c>
      <c r="I791" s="46">
        <f t="shared" si="89"/>
        <v>0</v>
      </c>
      <c r="J791" s="46">
        <f t="shared" si="90"/>
        <v>0</v>
      </c>
      <c r="K791" s="46">
        <f>IF(CurrentMtgRatesDataTable8[[#This Row],[WA CC]]&lt;&gt;0,C790-CurrentMtgRatesDataTable8[[#This Row],[WA CC]],0)</f>
        <v>0</v>
      </c>
      <c r="L791" s="46">
        <f>IF(CurrentMtgRatesDataTable8[[#This Row],[Servicing Spread]]&lt;=0,L790,CurrentMtgRatesDataTable8[[#This Row],[Servicing Spread]])</f>
        <v>0.27524999999999977</v>
      </c>
      <c r="M791" s="46">
        <f>CurrentMtgRatesDataTable8[[#This Row],[Servicing Spread Non-Zero]]-L790</f>
        <v>0</v>
      </c>
      <c r="N791" s="46">
        <f>IF(J790&lt;&gt;0,CurrentMtgRatesDataTable8[[#This Row],[Rate]]-C790,N790)</f>
        <v>1.9999999999999574E-2</v>
      </c>
    </row>
    <row r="792" spans="1:14">
      <c r="A792" s="39" t="s">
        <v>2144</v>
      </c>
      <c r="B792" s="40">
        <v>5.8570000000000002</v>
      </c>
      <c r="C792" s="11">
        <v>6.1</v>
      </c>
      <c r="D792" s="16">
        <f t="shared" si="84"/>
        <v>6</v>
      </c>
      <c r="E792" s="16">
        <f t="shared" si="85"/>
        <v>0.2</v>
      </c>
      <c r="F792" s="16">
        <f t="shared" si="86"/>
        <v>4</v>
      </c>
      <c r="G792" s="16">
        <f t="shared" si="87"/>
        <v>4.6589999999999998</v>
      </c>
      <c r="H792" s="16">
        <f t="shared" si="88"/>
        <v>0.8</v>
      </c>
      <c r="I792" s="16">
        <f t="shared" si="89"/>
        <v>0</v>
      </c>
      <c r="J792" s="16">
        <f t="shared" si="90"/>
        <v>0</v>
      </c>
      <c r="K792" s="16">
        <f>IF(CurrentMtgRatesDataTable8[[#This Row],[WA CC]]&lt;&gt;0,C791-CurrentMtgRatesDataTable8[[#This Row],[WA CC]],0)</f>
        <v>0</v>
      </c>
      <c r="L792" s="16">
        <f>IF(CurrentMtgRatesDataTable8[[#This Row],[Servicing Spread]]&lt;=0,L791,CurrentMtgRatesDataTable8[[#This Row],[Servicing Spread]])</f>
        <v>0.27524999999999977</v>
      </c>
      <c r="M792" s="16">
        <f>CurrentMtgRatesDataTable8[[#This Row],[Servicing Spread Non-Zero]]-L791</f>
        <v>0</v>
      </c>
      <c r="N792" s="16">
        <f>IF(J791&lt;&gt;0,CurrentMtgRatesDataTable8[[#This Row],[Rate]]-C791,N791)</f>
        <v>1.9999999999999574E-2</v>
      </c>
    </row>
    <row r="793" spans="1:14">
      <c r="A793" s="39" t="s">
        <v>2145</v>
      </c>
      <c r="B793" s="40">
        <v>5.8689999999999998</v>
      </c>
      <c r="C793" s="11">
        <v>6.1</v>
      </c>
      <c r="D793" s="16">
        <f t="shared" si="84"/>
        <v>7</v>
      </c>
      <c r="E793" s="16">
        <f t="shared" si="85"/>
        <v>0.2</v>
      </c>
      <c r="F793" s="16">
        <f t="shared" si="86"/>
        <v>5</v>
      </c>
      <c r="G793" s="16">
        <f t="shared" si="87"/>
        <v>5.8327999999999998</v>
      </c>
      <c r="H793" s="16">
        <f t="shared" si="88"/>
        <v>1</v>
      </c>
      <c r="I793" s="16">
        <f t="shared" si="89"/>
        <v>1</v>
      </c>
      <c r="J793" s="16">
        <f t="shared" si="90"/>
        <v>5.8327999999999998</v>
      </c>
      <c r="K793" s="16">
        <f>IF(CurrentMtgRatesDataTable8[[#This Row],[WA CC]]&lt;&gt;0,C792-CurrentMtgRatesDataTable8[[#This Row],[WA CC]],0)</f>
        <v>0.26719999999999988</v>
      </c>
      <c r="L793" s="16">
        <f>IF(CurrentMtgRatesDataTable8[[#This Row],[Servicing Spread]]&lt;=0,L792,CurrentMtgRatesDataTable8[[#This Row],[Servicing Spread]])</f>
        <v>0.26719999999999988</v>
      </c>
      <c r="M793" s="16">
        <f>CurrentMtgRatesDataTable8[[#This Row],[Servicing Spread Non-Zero]]-L792</f>
        <v>-8.0499999999998906E-3</v>
      </c>
      <c r="N793" s="16">
        <f>IF(J792&lt;&gt;0,CurrentMtgRatesDataTable8[[#This Row],[Rate]]-C792,N792)</f>
        <v>1.9999999999999574E-2</v>
      </c>
    </row>
    <row r="794" spans="1:14">
      <c r="A794" s="39" t="s">
        <v>2146</v>
      </c>
      <c r="B794" s="40">
        <v>5.9340000000000002</v>
      </c>
      <c r="C794" s="11">
        <v>6.1899999999999995</v>
      </c>
      <c r="D794" s="16">
        <f t="shared" si="84"/>
        <v>1</v>
      </c>
      <c r="E794" s="16">
        <f t="shared" si="85"/>
        <v>0.2</v>
      </c>
      <c r="F794" s="16">
        <f t="shared" si="86"/>
        <v>1</v>
      </c>
      <c r="G794" s="16">
        <f t="shared" si="87"/>
        <v>1.1868000000000001</v>
      </c>
      <c r="H794" s="16">
        <f t="shared" si="88"/>
        <v>0.2</v>
      </c>
      <c r="I794" s="16">
        <f t="shared" si="89"/>
        <v>0</v>
      </c>
      <c r="J794" s="16">
        <f t="shared" si="90"/>
        <v>0</v>
      </c>
      <c r="K794" s="16">
        <f>IF(CurrentMtgRatesDataTable8[[#This Row],[WA CC]]&lt;&gt;0,C793-CurrentMtgRatesDataTable8[[#This Row],[WA CC]],0)</f>
        <v>0</v>
      </c>
      <c r="L794" s="16">
        <f>IF(CurrentMtgRatesDataTable8[[#This Row],[Servicing Spread]]&lt;=0,L793,CurrentMtgRatesDataTable8[[#This Row],[Servicing Spread]])</f>
        <v>0.26719999999999988</v>
      </c>
      <c r="M794" s="16">
        <f>CurrentMtgRatesDataTable8[[#This Row],[Servicing Spread Non-Zero]]-L793</f>
        <v>0</v>
      </c>
      <c r="N794" s="16">
        <f>IF(J793&lt;&gt;0,CurrentMtgRatesDataTable8[[#This Row],[Rate]]-C793,N793)</f>
        <v>8.9999999999999858E-2</v>
      </c>
    </row>
    <row r="795" spans="1:14">
      <c r="A795" s="39" t="s">
        <v>2147</v>
      </c>
      <c r="B795" s="40">
        <v>5.9429999999999996</v>
      </c>
      <c r="C795" s="11">
        <v>6.1899999999999995</v>
      </c>
      <c r="D795" s="16">
        <f t="shared" si="84"/>
        <v>2</v>
      </c>
      <c r="E795" s="16">
        <f t="shared" si="85"/>
        <v>0.2</v>
      </c>
      <c r="F795" s="16">
        <f t="shared" si="86"/>
        <v>2</v>
      </c>
      <c r="G795" s="16">
        <f t="shared" si="87"/>
        <v>2.3754</v>
      </c>
      <c r="H795" s="16">
        <f t="shared" si="88"/>
        <v>0.4</v>
      </c>
      <c r="I795" s="16">
        <f t="shared" si="89"/>
        <v>0</v>
      </c>
      <c r="J795" s="16">
        <f t="shared" si="90"/>
        <v>0</v>
      </c>
      <c r="K795" s="16">
        <f>IF(CurrentMtgRatesDataTable8[[#This Row],[WA CC]]&lt;&gt;0,C794-CurrentMtgRatesDataTable8[[#This Row],[WA CC]],0)</f>
        <v>0</v>
      </c>
      <c r="L795" s="16">
        <f>IF(CurrentMtgRatesDataTable8[[#This Row],[Servicing Spread]]&lt;=0,L794,CurrentMtgRatesDataTable8[[#This Row],[Servicing Spread]])</f>
        <v>0.26719999999999988</v>
      </c>
      <c r="M795" s="16">
        <f>CurrentMtgRatesDataTable8[[#This Row],[Servicing Spread Non-Zero]]-L794</f>
        <v>0</v>
      </c>
      <c r="N795" s="16">
        <f>IF(J794&lt;&gt;0,CurrentMtgRatesDataTable8[[#This Row],[Rate]]-C794,N794)</f>
        <v>8.9999999999999858E-2</v>
      </c>
    </row>
    <row r="796" spans="1:14">
      <c r="A796" s="39" t="s">
        <v>2148</v>
      </c>
      <c r="B796" s="40">
        <v>5.9640000000000004</v>
      </c>
      <c r="C796" s="11">
        <v>6.1899999999999995</v>
      </c>
      <c r="D796" s="16">
        <f t="shared" si="84"/>
        <v>5</v>
      </c>
      <c r="E796" s="16">
        <f t="shared" si="85"/>
        <v>0.2</v>
      </c>
      <c r="F796" s="16">
        <f t="shared" si="86"/>
        <v>3</v>
      </c>
      <c r="G796" s="16">
        <f t="shared" si="87"/>
        <v>3.5682</v>
      </c>
      <c r="H796" s="16">
        <f t="shared" si="88"/>
        <v>0.60000000000000009</v>
      </c>
      <c r="I796" s="16">
        <f t="shared" si="89"/>
        <v>0</v>
      </c>
      <c r="J796" s="16">
        <f t="shared" si="90"/>
        <v>0</v>
      </c>
      <c r="K796" s="16">
        <f>IF(CurrentMtgRatesDataTable8[[#This Row],[WA CC]]&lt;&gt;0,C795-CurrentMtgRatesDataTable8[[#This Row],[WA CC]],0)</f>
        <v>0</v>
      </c>
      <c r="L796" s="16">
        <f>IF(CurrentMtgRatesDataTable8[[#This Row],[Servicing Spread]]&lt;=0,L795,CurrentMtgRatesDataTable8[[#This Row],[Servicing Spread]])</f>
        <v>0.26719999999999988</v>
      </c>
      <c r="M796" s="16">
        <f>CurrentMtgRatesDataTable8[[#This Row],[Servicing Spread Non-Zero]]-L795</f>
        <v>0</v>
      </c>
      <c r="N796" s="16">
        <f>IF(J795&lt;&gt;0,CurrentMtgRatesDataTable8[[#This Row],[Rate]]-C795,N795)</f>
        <v>8.9999999999999858E-2</v>
      </c>
    </row>
    <row r="797" spans="1:14">
      <c r="A797" s="39" t="s">
        <v>2149</v>
      </c>
      <c r="B797" s="40">
        <v>5.9530000000000003</v>
      </c>
      <c r="C797" s="11">
        <v>6.1899999999999995</v>
      </c>
      <c r="D797" s="16">
        <f t="shared" si="84"/>
        <v>6</v>
      </c>
      <c r="E797" s="16">
        <f t="shared" si="85"/>
        <v>0.2</v>
      </c>
      <c r="F797" s="16">
        <f t="shared" si="86"/>
        <v>4</v>
      </c>
      <c r="G797" s="16">
        <f t="shared" si="87"/>
        <v>4.7587999999999999</v>
      </c>
      <c r="H797" s="16">
        <f t="shared" si="88"/>
        <v>0.8</v>
      </c>
      <c r="I797" s="16">
        <f t="shared" si="89"/>
        <v>0</v>
      </c>
      <c r="J797" s="16">
        <f t="shared" si="90"/>
        <v>0</v>
      </c>
      <c r="K797" s="16">
        <f>IF(CurrentMtgRatesDataTable8[[#This Row],[WA CC]]&lt;&gt;0,C796-CurrentMtgRatesDataTable8[[#This Row],[WA CC]],0)</f>
        <v>0</v>
      </c>
      <c r="L797" s="16">
        <f>IF(CurrentMtgRatesDataTable8[[#This Row],[Servicing Spread]]&lt;=0,L796,CurrentMtgRatesDataTable8[[#This Row],[Servicing Spread]])</f>
        <v>0.26719999999999988</v>
      </c>
      <c r="M797" s="16">
        <f>CurrentMtgRatesDataTable8[[#This Row],[Servicing Spread Non-Zero]]-L796</f>
        <v>0</v>
      </c>
      <c r="N797" s="16">
        <f>IF(J796&lt;&gt;0,CurrentMtgRatesDataTable8[[#This Row],[Rate]]-C796,N796)</f>
        <v>8.9999999999999858E-2</v>
      </c>
    </row>
    <row r="798" spans="1:14">
      <c r="A798" s="39" t="s">
        <v>2150</v>
      </c>
      <c r="B798" s="40">
        <v>5.8979999999999997</v>
      </c>
      <c r="C798" s="11">
        <v>6.1899999999999995</v>
      </c>
      <c r="D798" s="16">
        <f t="shared" si="84"/>
        <v>7</v>
      </c>
      <c r="E798" s="16">
        <f t="shared" si="85"/>
        <v>0.2</v>
      </c>
      <c r="F798" s="16">
        <f t="shared" si="86"/>
        <v>5</v>
      </c>
      <c r="G798" s="16">
        <f t="shared" si="87"/>
        <v>5.9383999999999997</v>
      </c>
      <c r="H798" s="16">
        <f t="shared" si="88"/>
        <v>1</v>
      </c>
      <c r="I798" s="16">
        <f t="shared" si="89"/>
        <v>1</v>
      </c>
      <c r="J798" s="16">
        <f t="shared" si="90"/>
        <v>5.9383999999999997</v>
      </c>
      <c r="K798" s="16">
        <f>IF(CurrentMtgRatesDataTable8[[#This Row],[WA CC]]&lt;&gt;0,C797-CurrentMtgRatesDataTable8[[#This Row],[WA CC]],0)</f>
        <v>0.25159999999999982</v>
      </c>
      <c r="L798" s="16">
        <f>IF(CurrentMtgRatesDataTable8[[#This Row],[Servicing Spread]]&lt;=0,L797,CurrentMtgRatesDataTable8[[#This Row],[Servicing Spread]])</f>
        <v>0.25159999999999982</v>
      </c>
      <c r="M798" s="16">
        <f>CurrentMtgRatesDataTable8[[#This Row],[Servicing Spread Non-Zero]]-L797</f>
        <v>-1.5600000000000058E-2</v>
      </c>
      <c r="N798" s="16">
        <f>IF(J797&lt;&gt;0,CurrentMtgRatesDataTable8[[#This Row],[Rate]]-C797,N797)</f>
        <v>8.9999999999999858E-2</v>
      </c>
    </row>
    <row r="799" spans="1:14">
      <c r="A799" s="39" t="s">
        <v>2151</v>
      </c>
      <c r="B799" s="40">
        <v>5.8979999999999997</v>
      </c>
      <c r="C799" s="11">
        <v>6.1050000000000004</v>
      </c>
      <c r="D799" s="16">
        <f t="shared" si="84"/>
        <v>1</v>
      </c>
      <c r="E799" s="16">
        <f t="shared" si="85"/>
        <v>0.2</v>
      </c>
      <c r="F799" s="16">
        <f t="shared" si="86"/>
        <v>1</v>
      </c>
      <c r="G799" s="16">
        <f t="shared" si="87"/>
        <v>1.1796</v>
      </c>
      <c r="H799" s="16">
        <f t="shared" si="88"/>
        <v>0.2</v>
      </c>
      <c r="I799" s="16">
        <f t="shared" si="89"/>
        <v>0</v>
      </c>
      <c r="J799" s="16">
        <f t="shared" si="90"/>
        <v>0</v>
      </c>
      <c r="K799" s="16">
        <f>IF(CurrentMtgRatesDataTable8[[#This Row],[WA CC]]&lt;&gt;0,C798-CurrentMtgRatesDataTable8[[#This Row],[WA CC]],0)</f>
        <v>0</v>
      </c>
      <c r="L799" s="16">
        <f>IF(CurrentMtgRatesDataTable8[[#This Row],[Servicing Spread]]&lt;=0,L798,CurrentMtgRatesDataTable8[[#This Row],[Servicing Spread]])</f>
        <v>0.25159999999999982</v>
      </c>
      <c r="M799" s="16">
        <f>CurrentMtgRatesDataTable8[[#This Row],[Servicing Spread Non-Zero]]-L798</f>
        <v>0</v>
      </c>
      <c r="N799" s="16">
        <f>IF(J798&lt;&gt;0,CurrentMtgRatesDataTable8[[#This Row],[Rate]]-C798,N798)</f>
        <v>-8.4999999999999076E-2</v>
      </c>
    </row>
    <row r="800" spans="1:14">
      <c r="A800" s="39" t="s">
        <v>2152</v>
      </c>
      <c r="B800" s="40">
        <v>5.8639999999999999</v>
      </c>
      <c r="C800" s="11">
        <v>6.1050000000000004</v>
      </c>
      <c r="D800" s="16">
        <f t="shared" si="84"/>
        <v>2</v>
      </c>
      <c r="E800" s="16">
        <f t="shared" si="85"/>
        <v>0.2</v>
      </c>
      <c r="F800" s="16">
        <f t="shared" si="86"/>
        <v>2</v>
      </c>
      <c r="G800" s="16">
        <f t="shared" si="87"/>
        <v>2.3524000000000003</v>
      </c>
      <c r="H800" s="16">
        <f t="shared" si="88"/>
        <v>0.4</v>
      </c>
      <c r="I800" s="16">
        <f t="shared" si="89"/>
        <v>0</v>
      </c>
      <c r="J800" s="16">
        <f t="shared" si="90"/>
        <v>0</v>
      </c>
      <c r="K800" s="16">
        <f>IF(CurrentMtgRatesDataTable8[[#This Row],[WA CC]]&lt;&gt;0,C799-CurrentMtgRatesDataTable8[[#This Row],[WA CC]],0)</f>
        <v>0</v>
      </c>
      <c r="L800" s="16">
        <f>IF(CurrentMtgRatesDataTable8[[#This Row],[Servicing Spread]]&lt;=0,L799,CurrentMtgRatesDataTable8[[#This Row],[Servicing Spread]])</f>
        <v>0.25159999999999982</v>
      </c>
      <c r="M800" s="16">
        <f>CurrentMtgRatesDataTable8[[#This Row],[Servicing Spread Non-Zero]]-L799</f>
        <v>0</v>
      </c>
      <c r="N800" s="16">
        <f>IF(J799&lt;&gt;0,CurrentMtgRatesDataTable8[[#This Row],[Rate]]-C799,N799)</f>
        <v>-8.4999999999999076E-2</v>
      </c>
    </row>
    <row r="801" spans="1:14">
      <c r="A801" s="39" t="s">
        <v>2153</v>
      </c>
      <c r="B801" s="40">
        <v>5.8259999999999996</v>
      </c>
      <c r="C801" s="11">
        <v>6.1050000000000004</v>
      </c>
      <c r="D801" s="16">
        <f t="shared" si="84"/>
        <v>5</v>
      </c>
      <c r="E801" s="16">
        <f t="shared" si="85"/>
        <v>0.2</v>
      </c>
      <c r="F801" s="16">
        <f t="shared" si="86"/>
        <v>3</v>
      </c>
      <c r="G801" s="16">
        <f t="shared" si="87"/>
        <v>3.5176000000000003</v>
      </c>
      <c r="H801" s="16">
        <f t="shared" si="88"/>
        <v>0.60000000000000009</v>
      </c>
      <c r="I801" s="16">
        <f t="shared" si="89"/>
        <v>0</v>
      </c>
      <c r="J801" s="16">
        <f t="shared" si="90"/>
        <v>0</v>
      </c>
      <c r="K801" s="16">
        <f>IF(CurrentMtgRatesDataTable8[[#This Row],[WA CC]]&lt;&gt;0,C800-CurrentMtgRatesDataTable8[[#This Row],[WA CC]],0)</f>
        <v>0</v>
      </c>
      <c r="L801" s="16">
        <f>IF(CurrentMtgRatesDataTable8[[#This Row],[Servicing Spread]]&lt;=0,L800,CurrentMtgRatesDataTable8[[#This Row],[Servicing Spread]])</f>
        <v>0.25159999999999982</v>
      </c>
      <c r="M801" s="16">
        <f>CurrentMtgRatesDataTable8[[#This Row],[Servicing Spread Non-Zero]]-L800</f>
        <v>0</v>
      </c>
      <c r="N801" s="16">
        <f>IF(J800&lt;&gt;0,CurrentMtgRatesDataTable8[[#This Row],[Rate]]-C800,N800)</f>
        <v>-8.4999999999999076E-2</v>
      </c>
    </row>
    <row r="802" spans="1:14">
      <c r="A802" s="39" t="s">
        <v>2154</v>
      </c>
      <c r="B802" s="40">
        <v>5.7889999999999997</v>
      </c>
      <c r="C802" s="11">
        <v>6.1050000000000004</v>
      </c>
      <c r="D802" s="16">
        <f t="shared" si="84"/>
        <v>6</v>
      </c>
      <c r="E802" s="16">
        <f t="shared" si="85"/>
        <v>0.2</v>
      </c>
      <c r="F802" s="16">
        <f t="shared" si="86"/>
        <v>4</v>
      </c>
      <c r="G802" s="16">
        <f t="shared" si="87"/>
        <v>4.6753999999999998</v>
      </c>
      <c r="H802" s="16">
        <f t="shared" si="88"/>
        <v>0.8</v>
      </c>
      <c r="I802" s="16">
        <f t="shared" si="89"/>
        <v>0</v>
      </c>
      <c r="J802" s="16">
        <f t="shared" si="90"/>
        <v>0</v>
      </c>
      <c r="K802" s="16">
        <f>IF(CurrentMtgRatesDataTable8[[#This Row],[WA CC]]&lt;&gt;0,C801-CurrentMtgRatesDataTable8[[#This Row],[WA CC]],0)</f>
        <v>0</v>
      </c>
      <c r="L802" s="16">
        <f>IF(CurrentMtgRatesDataTable8[[#This Row],[Servicing Spread]]&lt;=0,L801,CurrentMtgRatesDataTable8[[#This Row],[Servicing Spread]])</f>
        <v>0.25159999999999982</v>
      </c>
      <c r="M802" s="16">
        <f>CurrentMtgRatesDataTable8[[#This Row],[Servicing Spread Non-Zero]]-L801</f>
        <v>0</v>
      </c>
      <c r="N802" s="16">
        <f>IF(J801&lt;&gt;0,CurrentMtgRatesDataTable8[[#This Row],[Rate]]-C801,N801)</f>
        <v>-8.4999999999999076E-2</v>
      </c>
    </row>
    <row r="803" spans="1:14">
      <c r="A803" s="39" t="s">
        <v>2155</v>
      </c>
      <c r="B803" s="40">
        <v>5.7770000000000001</v>
      </c>
      <c r="C803" s="11">
        <v>6.1050000000000004</v>
      </c>
      <c r="D803" s="16">
        <f t="shared" si="84"/>
        <v>7</v>
      </c>
      <c r="E803" s="16">
        <f t="shared" si="85"/>
        <v>0.2</v>
      </c>
      <c r="F803" s="16">
        <f t="shared" si="86"/>
        <v>5</v>
      </c>
      <c r="G803" s="16">
        <f t="shared" si="87"/>
        <v>5.8308</v>
      </c>
      <c r="H803" s="16">
        <f t="shared" si="88"/>
        <v>1</v>
      </c>
      <c r="I803" s="16">
        <f t="shared" si="89"/>
        <v>1</v>
      </c>
      <c r="J803" s="16">
        <f t="shared" si="90"/>
        <v>5.8308</v>
      </c>
      <c r="K803" s="16">
        <f>IF(CurrentMtgRatesDataTable8[[#This Row],[WA CC]]&lt;&gt;0,C802-CurrentMtgRatesDataTable8[[#This Row],[WA CC]],0)</f>
        <v>0.27420000000000044</v>
      </c>
      <c r="L803" s="16">
        <f>IF(CurrentMtgRatesDataTable8[[#This Row],[Servicing Spread]]&lt;=0,L802,CurrentMtgRatesDataTable8[[#This Row],[Servicing Spread]])</f>
        <v>0.27420000000000044</v>
      </c>
      <c r="M803" s="16">
        <f>CurrentMtgRatesDataTable8[[#This Row],[Servicing Spread Non-Zero]]-L802</f>
        <v>2.260000000000062E-2</v>
      </c>
      <c r="N803" s="16">
        <f>IF(J802&lt;&gt;0,CurrentMtgRatesDataTable8[[#This Row],[Rate]]-C802,N802)</f>
        <v>-8.4999999999999076E-2</v>
      </c>
    </row>
    <row r="804" spans="1:14">
      <c r="A804" s="39" t="s">
        <v>2156</v>
      </c>
      <c r="B804" s="40">
        <v>5.7670000000000003</v>
      </c>
      <c r="C804" s="11">
        <v>6.1499999999999995</v>
      </c>
      <c r="D804" s="16">
        <f t="shared" si="84"/>
        <v>1</v>
      </c>
      <c r="E804" s="16">
        <f t="shared" si="85"/>
        <v>0.2</v>
      </c>
      <c r="F804" s="16">
        <f t="shared" si="86"/>
        <v>1</v>
      </c>
      <c r="G804" s="16">
        <f t="shared" si="87"/>
        <v>1.1534000000000002</v>
      </c>
      <c r="H804" s="16">
        <f t="shared" si="88"/>
        <v>0.2</v>
      </c>
      <c r="I804" s="16">
        <f t="shared" si="89"/>
        <v>0</v>
      </c>
      <c r="J804" s="16">
        <f t="shared" si="90"/>
        <v>0</v>
      </c>
      <c r="K804" s="16">
        <f>IF(CurrentMtgRatesDataTable8[[#This Row],[WA CC]]&lt;&gt;0,C803-CurrentMtgRatesDataTable8[[#This Row],[WA CC]],0)</f>
        <v>0</v>
      </c>
      <c r="L804" s="16">
        <f>IF(CurrentMtgRatesDataTable8[[#This Row],[Servicing Spread]]&lt;=0,L803,CurrentMtgRatesDataTable8[[#This Row],[Servicing Spread]])</f>
        <v>0.27420000000000044</v>
      </c>
      <c r="M804" s="16">
        <f>CurrentMtgRatesDataTable8[[#This Row],[Servicing Spread Non-Zero]]-L803</f>
        <v>0</v>
      </c>
      <c r="N804" s="16">
        <f>IF(J803&lt;&gt;0,CurrentMtgRatesDataTable8[[#This Row],[Rate]]-C803,N803)</f>
        <v>4.4999999999999041E-2</v>
      </c>
    </row>
    <row r="805" spans="1:14">
      <c r="A805" s="39" t="s">
        <v>2157</v>
      </c>
      <c r="B805" s="40">
        <v>5.8230000000000004</v>
      </c>
      <c r="C805" s="11">
        <v>6.1499999999999995</v>
      </c>
      <c r="D805" s="16">
        <f t="shared" si="84"/>
        <v>2</v>
      </c>
      <c r="E805" s="16">
        <f t="shared" si="85"/>
        <v>0.2</v>
      </c>
      <c r="F805" s="16">
        <f t="shared" si="86"/>
        <v>2</v>
      </c>
      <c r="G805" s="16">
        <f t="shared" si="87"/>
        <v>2.3180000000000005</v>
      </c>
      <c r="H805" s="16">
        <f t="shared" si="88"/>
        <v>0.4</v>
      </c>
      <c r="I805" s="16">
        <f t="shared" si="89"/>
        <v>0</v>
      </c>
      <c r="J805" s="16">
        <f t="shared" si="90"/>
        <v>0</v>
      </c>
      <c r="K805" s="16">
        <f>IF(CurrentMtgRatesDataTable8[[#This Row],[WA CC]]&lt;&gt;0,C804-CurrentMtgRatesDataTable8[[#This Row],[WA CC]],0)</f>
        <v>0</v>
      </c>
      <c r="L805" s="16">
        <f>IF(CurrentMtgRatesDataTable8[[#This Row],[Servicing Spread]]&lt;=0,L804,CurrentMtgRatesDataTable8[[#This Row],[Servicing Spread]])</f>
        <v>0.27420000000000044</v>
      </c>
      <c r="M805" s="16">
        <f>CurrentMtgRatesDataTable8[[#This Row],[Servicing Spread Non-Zero]]-L804</f>
        <v>0</v>
      </c>
      <c r="N805" s="16">
        <f>IF(J804&lt;&gt;0,CurrentMtgRatesDataTable8[[#This Row],[Rate]]-C804,N804)</f>
        <v>4.4999999999999041E-2</v>
      </c>
    </row>
    <row r="806" spans="1:14">
      <c r="A806" s="39" t="s">
        <v>2158</v>
      </c>
      <c r="B806" s="40">
        <v>5.8559999999999999</v>
      </c>
      <c r="C806" s="11">
        <v>6.1499999999999995</v>
      </c>
      <c r="D806" s="16">
        <f t="shared" si="84"/>
        <v>5</v>
      </c>
      <c r="E806" s="16">
        <f t="shared" si="85"/>
        <v>0.2</v>
      </c>
      <c r="F806" s="16">
        <f t="shared" si="86"/>
        <v>3</v>
      </c>
      <c r="G806" s="16">
        <f t="shared" si="87"/>
        <v>3.4892000000000003</v>
      </c>
      <c r="H806" s="16">
        <f t="shared" si="88"/>
        <v>0.60000000000000009</v>
      </c>
      <c r="I806" s="16">
        <f t="shared" si="89"/>
        <v>0</v>
      </c>
      <c r="J806" s="16">
        <f t="shared" si="90"/>
        <v>0</v>
      </c>
      <c r="K806" s="16">
        <f>IF(CurrentMtgRatesDataTable8[[#This Row],[WA CC]]&lt;&gt;0,C805-CurrentMtgRatesDataTable8[[#This Row],[WA CC]],0)</f>
        <v>0</v>
      </c>
      <c r="L806" s="16">
        <f>IF(CurrentMtgRatesDataTable8[[#This Row],[Servicing Spread]]&lt;=0,L805,CurrentMtgRatesDataTable8[[#This Row],[Servicing Spread]])</f>
        <v>0.27420000000000044</v>
      </c>
      <c r="M806" s="16">
        <f>CurrentMtgRatesDataTable8[[#This Row],[Servicing Spread Non-Zero]]-L805</f>
        <v>0</v>
      </c>
      <c r="N806" s="16">
        <f>IF(J805&lt;&gt;0,CurrentMtgRatesDataTable8[[#This Row],[Rate]]-C805,N805)</f>
        <v>4.4999999999999041E-2</v>
      </c>
    </row>
    <row r="807" spans="1:14">
      <c r="A807" s="39" t="s">
        <v>2159</v>
      </c>
      <c r="B807" s="40">
        <v>5.8739999999999997</v>
      </c>
      <c r="C807" s="11">
        <v>6.1499999999999995</v>
      </c>
      <c r="D807" s="16">
        <f t="shared" si="84"/>
        <v>6</v>
      </c>
      <c r="E807" s="16">
        <f t="shared" si="85"/>
        <v>0.2</v>
      </c>
      <c r="F807" s="16">
        <f t="shared" si="86"/>
        <v>4</v>
      </c>
      <c r="G807" s="16">
        <f t="shared" si="87"/>
        <v>4.6640000000000006</v>
      </c>
      <c r="H807" s="16">
        <f t="shared" si="88"/>
        <v>0.8</v>
      </c>
      <c r="I807" s="16">
        <f t="shared" si="89"/>
        <v>0</v>
      </c>
      <c r="J807" s="16">
        <f t="shared" si="90"/>
        <v>0</v>
      </c>
      <c r="K807" s="16">
        <f>IF(CurrentMtgRatesDataTable8[[#This Row],[WA CC]]&lt;&gt;0,C806-CurrentMtgRatesDataTable8[[#This Row],[WA CC]],0)</f>
        <v>0</v>
      </c>
      <c r="L807" s="16">
        <f>IF(CurrentMtgRatesDataTable8[[#This Row],[Servicing Spread]]&lt;=0,L806,CurrentMtgRatesDataTable8[[#This Row],[Servicing Spread]])</f>
        <v>0.27420000000000044</v>
      </c>
      <c r="M807" s="16">
        <f>CurrentMtgRatesDataTable8[[#This Row],[Servicing Spread Non-Zero]]-L806</f>
        <v>0</v>
      </c>
      <c r="N807" s="16">
        <f>IF(J806&lt;&gt;0,CurrentMtgRatesDataTable8[[#This Row],[Rate]]-C806,N806)</f>
        <v>4.4999999999999041E-2</v>
      </c>
    </row>
    <row r="808" spans="1:14">
      <c r="A808" s="39" t="s">
        <v>2160</v>
      </c>
      <c r="B808" s="40">
        <v>5.782</v>
      </c>
      <c r="C808" s="11">
        <v>6.1499999999999995</v>
      </c>
      <c r="D808" s="16">
        <f t="shared" si="84"/>
        <v>7</v>
      </c>
      <c r="E808" s="16">
        <f t="shared" si="85"/>
        <v>0.2</v>
      </c>
      <c r="F808" s="16">
        <f t="shared" si="86"/>
        <v>5</v>
      </c>
      <c r="G808" s="16">
        <f t="shared" si="87"/>
        <v>5.8204000000000011</v>
      </c>
      <c r="H808" s="16">
        <f t="shared" si="88"/>
        <v>1</v>
      </c>
      <c r="I808" s="16">
        <f t="shared" si="89"/>
        <v>1</v>
      </c>
      <c r="J808" s="16">
        <f t="shared" si="90"/>
        <v>5.8204000000000011</v>
      </c>
      <c r="K808" s="16">
        <f>IF(CurrentMtgRatesDataTable8[[#This Row],[WA CC]]&lt;&gt;0,C807-CurrentMtgRatesDataTable8[[#This Row],[WA CC]],0)</f>
        <v>0.32959999999999834</v>
      </c>
      <c r="L808" s="16">
        <f>IF(CurrentMtgRatesDataTable8[[#This Row],[Servicing Spread]]&lt;=0,L807,CurrentMtgRatesDataTable8[[#This Row],[Servicing Spread]])</f>
        <v>0.32959999999999834</v>
      </c>
      <c r="M808" s="16">
        <f>CurrentMtgRatesDataTable8[[#This Row],[Servicing Spread Non-Zero]]-L807</f>
        <v>5.5399999999997895E-2</v>
      </c>
      <c r="N808" s="16">
        <f>IF(J807&lt;&gt;0,CurrentMtgRatesDataTable8[[#This Row],[Rate]]-C807,N807)</f>
        <v>4.4999999999999041E-2</v>
      </c>
    </row>
    <row r="809" spans="1:14">
      <c r="A809" s="39" t="s">
        <v>2161</v>
      </c>
      <c r="B809" s="40">
        <v>5.766</v>
      </c>
      <c r="C809" s="11">
        <v>6.0949999999999998</v>
      </c>
      <c r="D809" s="16">
        <f t="shared" si="84"/>
        <v>1</v>
      </c>
      <c r="E809" s="16">
        <f t="shared" si="85"/>
        <v>0.2</v>
      </c>
      <c r="F809" s="16">
        <f t="shared" si="86"/>
        <v>1</v>
      </c>
      <c r="G809" s="16">
        <f t="shared" si="87"/>
        <v>1.1532</v>
      </c>
      <c r="H809" s="16">
        <f t="shared" si="88"/>
        <v>0.2</v>
      </c>
      <c r="I809" s="16">
        <f t="shared" si="89"/>
        <v>0</v>
      </c>
      <c r="J809" s="16">
        <f t="shared" si="90"/>
        <v>0</v>
      </c>
      <c r="K809" s="16">
        <f>IF(CurrentMtgRatesDataTable8[[#This Row],[WA CC]]&lt;&gt;0,C808-CurrentMtgRatesDataTable8[[#This Row],[WA CC]],0)</f>
        <v>0</v>
      </c>
      <c r="L809" s="16">
        <f>IF(CurrentMtgRatesDataTable8[[#This Row],[Servicing Spread]]&lt;=0,L808,CurrentMtgRatesDataTable8[[#This Row],[Servicing Spread]])</f>
        <v>0.32959999999999834</v>
      </c>
      <c r="M809" s="16">
        <f>CurrentMtgRatesDataTable8[[#This Row],[Servicing Spread Non-Zero]]-L808</f>
        <v>0</v>
      </c>
      <c r="N809" s="16">
        <f>IF(J808&lt;&gt;0,CurrentMtgRatesDataTable8[[#This Row],[Rate]]-C808,N808)</f>
        <v>-5.4999999999999716E-2</v>
      </c>
    </row>
    <row r="810" spans="1:14">
      <c r="A810" s="39" t="s">
        <v>2162</v>
      </c>
      <c r="B810" s="40">
        <v>5.7670000000000003</v>
      </c>
      <c r="C810" s="11">
        <v>6.0949999999999998</v>
      </c>
      <c r="D810" s="16">
        <f t="shared" si="84"/>
        <v>2</v>
      </c>
      <c r="E810" s="16">
        <f t="shared" si="85"/>
        <v>0.2</v>
      </c>
      <c r="F810" s="16">
        <f t="shared" si="86"/>
        <v>2</v>
      </c>
      <c r="G810" s="16">
        <f t="shared" si="87"/>
        <v>2.3066000000000004</v>
      </c>
      <c r="H810" s="16">
        <f t="shared" si="88"/>
        <v>0.4</v>
      </c>
      <c r="I810" s="16">
        <f t="shared" si="89"/>
        <v>0</v>
      </c>
      <c r="J810" s="16">
        <f t="shared" si="90"/>
        <v>0</v>
      </c>
      <c r="K810" s="16">
        <f>IF(CurrentMtgRatesDataTable8[[#This Row],[WA CC]]&lt;&gt;0,C809-CurrentMtgRatesDataTable8[[#This Row],[WA CC]],0)</f>
        <v>0</v>
      </c>
      <c r="L810" s="16">
        <f>IF(CurrentMtgRatesDataTable8[[#This Row],[Servicing Spread]]&lt;=0,L809,CurrentMtgRatesDataTable8[[#This Row],[Servicing Spread]])</f>
        <v>0.32959999999999834</v>
      </c>
      <c r="M810" s="16">
        <f>CurrentMtgRatesDataTable8[[#This Row],[Servicing Spread Non-Zero]]-L809</f>
        <v>0</v>
      </c>
      <c r="N810" s="16">
        <f>IF(J809&lt;&gt;0,CurrentMtgRatesDataTable8[[#This Row],[Rate]]-C809,N809)</f>
        <v>-5.4999999999999716E-2</v>
      </c>
    </row>
    <row r="811" spans="1:14">
      <c r="A811" s="39" t="s">
        <v>2163</v>
      </c>
      <c r="B811" s="40">
        <v>5.76</v>
      </c>
      <c r="C811" s="11">
        <v>6.0949999999999998</v>
      </c>
      <c r="D811" s="16">
        <f t="shared" si="84"/>
        <v>6</v>
      </c>
      <c r="E811" s="16">
        <f t="shared" si="85"/>
        <v>0.2</v>
      </c>
      <c r="F811" s="16">
        <f t="shared" si="86"/>
        <v>3</v>
      </c>
      <c r="G811" s="16">
        <f t="shared" si="87"/>
        <v>3.4586000000000006</v>
      </c>
      <c r="H811" s="16">
        <f t="shared" si="88"/>
        <v>0.60000000000000009</v>
      </c>
      <c r="I811" s="16">
        <f t="shared" si="89"/>
        <v>0</v>
      </c>
      <c r="J811" s="16">
        <f t="shared" si="90"/>
        <v>0</v>
      </c>
      <c r="K811" s="16">
        <f>IF(CurrentMtgRatesDataTable8[[#This Row],[WA CC]]&lt;&gt;0,C810-CurrentMtgRatesDataTable8[[#This Row],[WA CC]],0)</f>
        <v>0</v>
      </c>
      <c r="L811" s="16">
        <f>IF(CurrentMtgRatesDataTable8[[#This Row],[Servicing Spread]]&lt;=0,L810,CurrentMtgRatesDataTable8[[#This Row],[Servicing Spread]])</f>
        <v>0.32959999999999834</v>
      </c>
      <c r="M811" s="16">
        <f>CurrentMtgRatesDataTable8[[#This Row],[Servicing Spread Non-Zero]]-L810</f>
        <v>0</v>
      </c>
      <c r="N811" s="16">
        <f>IF(J810&lt;&gt;0,CurrentMtgRatesDataTable8[[#This Row],[Rate]]-C810,N810)</f>
        <v>-5.4999999999999716E-2</v>
      </c>
    </row>
    <row r="812" spans="1:14">
      <c r="A812" s="39" t="s">
        <v>2164</v>
      </c>
      <c r="B812" s="40">
        <v>5.7670000000000003</v>
      </c>
      <c r="C812" s="11">
        <v>6.0949999999999998</v>
      </c>
      <c r="D812" s="16">
        <f t="shared" si="84"/>
        <v>7</v>
      </c>
      <c r="E812" s="16">
        <f t="shared" si="85"/>
        <v>0.2</v>
      </c>
      <c r="F812" s="16">
        <f t="shared" si="86"/>
        <v>4</v>
      </c>
      <c r="G812" s="16">
        <f t="shared" si="87"/>
        <v>4.612000000000001</v>
      </c>
      <c r="H812" s="16">
        <f t="shared" si="88"/>
        <v>0.8</v>
      </c>
      <c r="I812" s="16">
        <f t="shared" si="89"/>
        <v>1</v>
      </c>
      <c r="J812" s="16">
        <f t="shared" si="90"/>
        <v>5.7650000000000006</v>
      </c>
      <c r="K812" s="16">
        <f>IF(CurrentMtgRatesDataTable8[[#This Row],[WA CC]]&lt;&gt;0,C811-CurrentMtgRatesDataTable8[[#This Row],[WA CC]],0)</f>
        <v>0.32999999999999918</v>
      </c>
      <c r="L812" s="16">
        <f>IF(CurrentMtgRatesDataTable8[[#This Row],[Servicing Spread]]&lt;=0,L811,CurrentMtgRatesDataTable8[[#This Row],[Servicing Spread]])</f>
        <v>0.32999999999999918</v>
      </c>
      <c r="M812" s="16">
        <f>CurrentMtgRatesDataTable8[[#This Row],[Servicing Spread Non-Zero]]-L811</f>
        <v>4.0000000000084412E-4</v>
      </c>
      <c r="N812" s="16">
        <f>IF(J811&lt;&gt;0,CurrentMtgRatesDataTable8[[#This Row],[Rate]]-C811,N811)</f>
        <v>-5.4999999999999716E-2</v>
      </c>
    </row>
    <row r="813" spans="1:14">
      <c r="A813" s="39" t="s">
        <v>2165</v>
      </c>
      <c r="B813" s="40">
        <v>5.798</v>
      </c>
      <c r="C813" s="11">
        <v>6.0299999999999994</v>
      </c>
      <c r="D813" s="16">
        <f t="shared" si="84"/>
        <v>1</v>
      </c>
      <c r="E813" s="16">
        <f t="shared" si="85"/>
        <v>0.2</v>
      </c>
      <c r="F813" s="16">
        <f t="shared" si="86"/>
        <v>1</v>
      </c>
      <c r="G813" s="16">
        <f t="shared" si="87"/>
        <v>1.1596</v>
      </c>
      <c r="H813" s="16">
        <f t="shared" si="88"/>
        <v>0.2</v>
      </c>
      <c r="I813" s="16">
        <f t="shared" si="89"/>
        <v>0</v>
      </c>
      <c r="J813" s="16">
        <f t="shared" si="90"/>
        <v>0</v>
      </c>
      <c r="K813" s="16">
        <f>IF(CurrentMtgRatesDataTable8[[#This Row],[WA CC]]&lt;&gt;0,C812-CurrentMtgRatesDataTable8[[#This Row],[WA CC]],0)</f>
        <v>0</v>
      </c>
      <c r="L813" s="16">
        <f>IF(CurrentMtgRatesDataTable8[[#This Row],[Servicing Spread]]&lt;=0,L812,CurrentMtgRatesDataTable8[[#This Row],[Servicing Spread]])</f>
        <v>0.32999999999999918</v>
      </c>
      <c r="M813" s="16">
        <f>CurrentMtgRatesDataTable8[[#This Row],[Servicing Spread Non-Zero]]-L812</f>
        <v>0</v>
      </c>
      <c r="N813" s="16">
        <f>IF(J812&lt;&gt;0,CurrentMtgRatesDataTable8[[#This Row],[Rate]]-C812,N812)</f>
        <v>-6.5000000000000391E-2</v>
      </c>
    </row>
    <row r="814" spans="1:14">
      <c r="A814" s="39" t="s">
        <v>2166</v>
      </c>
      <c r="B814" s="40">
        <v>5.7679999999999998</v>
      </c>
      <c r="C814" s="11">
        <v>6.0299999999999994</v>
      </c>
      <c r="D814" s="16">
        <f t="shared" si="84"/>
        <v>2</v>
      </c>
      <c r="E814" s="16">
        <f t="shared" si="85"/>
        <v>0.2</v>
      </c>
      <c r="F814" s="16">
        <f t="shared" si="86"/>
        <v>2</v>
      </c>
      <c r="G814" s="16">
        <f t="shared" si="87"/>
        <v>2.3132000000000001</v>
      </c>
      <c r="H814" s="16">
        <f t="shared" si="88"/>
        <v>0.4</v>
      </c>
      <c r="I814" s="16">
        <f t="shared" si="89"/>
        <v>0</v>
      </c>
      <c r="J814" s="16">
        <f t="shared" si="90"/>
        <v>0</v>
      </c>
      <c r="K814" s="16">
        <f>IF(CurrentMtgRatesDataTable8[[#This Row],[WA CC]]&lt;&gt;0,C813-CurrentMtgRatesDataTable8[[#This Row],[WA CC]],0)</f>
        <v>0</v>
      </c>
      <c r="L814" s="16">
        <f>IF(CurrentMtgRatesDataTable8[[#This Row],[Servicing Spread]]&lt;=0,L813,CurrentMtgRatesDataTable8[[#This Row],[Servicing Spread]])</f>
        <v>0.32999999999999918</v>
      </c>
      <c r="M814" s="16">
        <f>CurrentMtgRatesDataTable8[[#This Row],[Servicing Spread Non-Zero]]-L813</f>
        <v>0</v>
      </c>
      <c r="N814" s="16">
        <f>IF(J813&lt;&gt;0,CurrentMtgRatesDataTable8[[#This Row],[Rate]]-C813,N813)</f>
        <v>-6.5000000000000391E-2</v>
      </c>
    </row>
    <row r="815" spans="1:14">
      <c r="A815" s="39" t="s">
        <v>2167</v>
      </c>
      <c r="B815" s="40">
        <v>5.7389999999999999</v>
      </c>
      <c r="C815" s="11">
        <v>6.0299999999999994</v>
      </c>
      <c r="D815" s="16">
        <f t="shared" si="84"/>
        <v>5</v>
      </c>
      <c r="E815" s="16">
        <f t="shared" si="85"/>
        <v>0.2</v>
      </c>
      <c r="F815" s="16">
        <f t="shared" si="86"/>
        <v>3</v>
      </c>
      <c r="G815" s="16">
        <f t="shared" si="87"/>
        <v>3.4610000000000003</v>
      </c>
      <c r="H815" s="16">
        <f t="shared" si="88"/>
        <v>0.60000000000000009</v>
      </c>
      <c r="I815" s="16">
        <f t="shared" si="89"/>
        <v>0</v>
      </c>
      <c r="J815" s="16">
        <f t="shared" si="90"/>
        <v>0</v>
      </c>
      <c r="K815" s="16">
        <f>IF(CurrentMtgRatesDataTable8[[#This Row],[WA CC]]&lt;&gt;0,C814-CurrentMtgRatesDataTable8[[#This Row],[WA CC]],0)</f>
        <v>0</v>
      </c>
      <c r="L815" s="16">
        <f>IF(CurrentMtgRatesDataTable8[[#This Row],[Servicing Spread]]&lt;=0,L814,CurrentMtgRatesDataTable8[[#This Row],[Servicing Spread]])</f>
        <v>0.32999999999999918</v>
      </c>
      <c r="M815" s="16">
        <f>CurrentMtgRatesDataTable8[[#This Row],[Servicing Spread Non-Zero]]-L814</f>
        <v>0</v>
      </c>
      <c r="N815" s="16">
        <f>IF(J814&lt;&gt;0,CurrentMtgRatesDataTable8[[#This Row],[Rate]]-C814,N814)</f>
        <v>-6.5000000000000391E-2</v>
      </c>
    </row>
    <row r="816" spans="1:14">
      <c r="A816" s="39" t="s">
        <v>2168</v>
      </c>
      <c r="B816" s="40">
        <v>5.6660000000000004</v>
      </c>
      <c r="C816" s="11">
        <v>6.0299999999999994</v>
      </c>
      <c r="D816" s="16">
        <f t="shared" si="84"/>
        <v>6</v>
      </c>
      <c r="E816" s="16">
        <f t="shared" si="85"/>
        <v>0.2</v>
      </c>
      <c r="F816" s="16">
        <f t="shared" si="86"/>
        <v>4</v>
      </c>
      <c r="G816" s="16">
        <f t="shared" si="87"/>
        <v>4.5942000000000007</v>
      </c>
      <c r="H816" s="16">
        <f t="shared" si="88"/>
        <v>0.8</v>
      </c>
      <c r="I816" s="16">
        <f t="shared" si="89"/>
        <v>0</v>
      </c>
      <c r="J816" s="16">
        <f t="shared" si="90"/>
        <v>0</v>
      </c>
      <c r="K816" s="16">
        <f>IF(CurrentMtgRatesDataTable8[[#This Row],[WA CC]]&lt;&gt;0,C815-CurrentMtgRatesDataTable8[[#This Row],[WA CC]],0)</f>
        <v>0</v>
      </c>
      <c r="L816" s="16">
        <f>IF(CurrentMtgRatesDataTable8[[#This Row],[Servicing Spread]]&lt;=0,L815,CurrentMtgRatesDataTable8[[#This Row],[Servicing Spread]])</f>
        <v>0.32999999999999918</v>
      </c>
      <c r="M816" s="16">
        <f>CurrentMtgRatesDataTable8[[#This Row],[Servicing Spread Non-Zero]]-L815</f>
        <v>0</v>
      </c>
      <c r="N816" s="16">
        <f>IF(J815&lt;&gt;0,CurrentMtgRatesDataTable8[[#This Row],[Rate]]-C815,N815)</f>
        <v>-6.5000000000000391E-2</v>
      </c>
    </row>
    <row r="817" spans="1:14">
      <c r="A817" s="39" t="s">
        <v>2169</v>
      </c>
      <c r="B817" s="40">
        <v>5.6980000000000004</v>
      </c>
      <c r="C817" s="11">
        <v>6.0299999999999994</v>
      </c>
      <c r="D817" s="16">
        <f t="shared" si="84"/>
        <v>7</v>
      </c>
      <c r="E817" s="16">
        <f t="shared" si="85"/>
        <v>0.2</v>
      </c>
      <c r="F817" s="16">
        <f t="shared" si="86"/>
        <v>5</v>
      </c>
      <c r="G817" s="16">
        <f t="shared" si="87"/>
        <v>5.7338000000000005</v>
      </c>
      <c r="H817" s="16">
        <f t="shared" si="88"/>
        <v>1</v>
      </c>
      <c r="I817" s="16">
        <f t="shared" si="89"/>
        <v>1</v>
      </c>
      <c r="J817" s="16">
        <f t="shared" si="90"/>
        <v>5.7338000000000005</v>
      </c>
      <c r="K817" s="16">
        <f>IF(CurrentMtgRatesDataTable8[[#This Row],[WA CC]]&lt;&gt;0,C816-CurrentMtgRatesDataTable8[[#This Row],[WA CC]],0)</f>
        <v>0.29619999999999891</v>
      </c>
      <c r="L817" s="16">
        <f>IF(CurrentMtgRatesDataTable8[[#This Row],[Servicing Spread]]&lt;=0,L816,CurrentMtgRatesDataTable8[[#This Row],[Servicing Spread]])</f>
        <v>0.29619999999999891</v>
      </c>
      <c r="M817" s="16">
        <f>CurrentMtgRatesDataTable8[[#This Row],[Servicing Spread Non-Zero]]-L816</f>
        <v>-3.3800000000000274E-2</v>
      </c>
      <c r="N817" s="16">
        <f>IF(J816&lt;&gt;0,CurrentMtgRatesDataTable8[[#This Row],[Rate]]-C816,N816)</f>
        <v>-6.5000000000000391E-2</v>
      </c>
    </row>
    <row r="818" spans="1:14">
      <c r="A818" s="39" t="s">
        <v>2170</v>
      </c>
      <c r="B818" s="40">
        <v>5.7009999999999996</v>
      </c>
      <c r="C818" s="11">
        <v>6.0149999999999997</v>
      </c>
      <c r="D818" s="16">
        <f t="shared" si="84"/>
        <v>1</v>
      </c>
      <c r="E818" s="16">
        <f t="shared" si="85"/>
        <v>0.2</v>
      </c>
      <c r="F818" s="16">
        <f t="shared" si="86"/>
        <v>1</v>
      </c>
      <c r="G818" s="16">
        <f t="shared" si="87"/>
        <v>1.1401999999999999</v>
      </c>
      <c r="H818" s="16">
        <f t="shared" si="88"/>
        <v>0.2</v>
      </c>
      <c r="I818" s="16">
        <f t="shared" si="89"/>
        <v>0</v>
      </c>
      <c r="J818" s="16">
        <f t="shared" si="90"/>
        <v>0</v>
      </c>
      <c r="K818" s="16">
        <f>IF(CurrentMtgRatesDataTable8[[#This Row],[WA CC]]&lt;&gt;0,C817-CurrentMtgRatesDataTable8[[#This Row],[WA CC]],0)</f>
        <v>0</v>
      </c>
      <c r="L818" s="16">
        <f>IF(CurrentMtgRatesDataTable8[[#This Row],[Servicing Spread]]&lt;=0,L817,CurrentMtgRatesDataTable8[[#This Row],[Servicing Spread]])</f>
        <v>0.29619999999999891</v>
      </c>
      <c r="M818" s="16">
        <f>CurrentMtgRatesDataTable8[[#This Row],[Servicing Spread Non-Zero]]-L817</f>
        <v>0</v>
      </c>
      <c r="N818" s="16">
        <f>IF(J817&lt;&gt;0,CurrentMtgRatesDataTable8[[#This Row],[Rate]]-C817,N817)</f>
        <v>-1.499999999999968E-2</v>
      </c>
    </row>
    <row r="819" spans="1:14">
      <c r="A819" s="39" t="s">
        <v>2171</v>
      </c>
      <c r="B819" s="40">
        <v>5.6859999999999999</v>
      </c>
      <c r="C819" s="11">
        <v>6.0149999999999997</v>
      </c>
      <c r="D819" s="16">
        <f t="shared" si="84"/>
        <v>2</v>
      </c>
      <c r="E819" s="16">
        <f t="shared" si="85"/>
        <v>0.2</v>
      </c>
      <c r="F819" s="16">
        <f t="shared" si="86"/>
        <v>2</v>
      </c>
      <c r="G819" s="16">
        <f t="shared" si="87"/>
        <v>2.2774000000000001</v>
      </c>
      <c r="H819" s="16">
        <f t="shared" si="88"/>
        <v>0.4</v>
      </c>
      <c r="I819" s="16">
        <f t="shared" si="89"/>
        <v>0</v>
      </c>
      <c r="J819" s="16">
        <f t="shared" si="90"/>
        <v>0</v>
      </c>
      <c r="K819" s="16">
        <f>IF(CurrentMtgRatesDataTable8[[#This Row],[WA CC]]&lt;&gt;0,C818-CurrentMtgRatesDataTable8[[#This Row],[WA CC]],0)</f>
        <v>0</v>
      </c>
      <c r="L819" s="16">
        <f>IF(CurrentMtgRatesDataTable8[[#This Row],[Servicing Spread]]&lt;=0,L818,CurrentMtgRatesDataTable8[[#This Row],[Servicing Spread]])</f>
        <v>0.29619999999999891</v>
      </c>
      <c r="M819" s="16">
        <f>CurrentMtgRatesDataTable8[[#This Row],[Servicing Spread Non-Zero]]-L818</f>
        <v>0</v>
      </c>
      <c r="N819" s="16">
        <f>IF(J818&lt;&gt;0,CurrentMtgRatesDataTable8[[#This Row],[Rate]]-C818,N818)</f>
        <v>-1.499999999999968E-2</v>
      </c>
    </row>
    <row r="820" spans="1:14">
      <c r="A820" s="39" t="s">
        <v>2172</v>
      </c>
      <c r="B820" s="40">
        <v>5.6959999999999997</v>
      </c>
      <c r="C820" s="11">
        <v>6.0149999999999997</v>
      </c>
      <c r="D820" s="16">
        <f t="shared" si="84"/>
        <v>5</v>
      </c>
      <c r="E820" s="16">
        <f t="shared" si="85"/>
        <v>0.2</v>
      </c>
      <c r="F820" s="16">
        <f t="shared" si="86"/>
        <v>3</v>
      </c>
      <c r="G820" s="16">
        <f t="shared" si="87"/>
        <v>3.4165999999999999</v>
      </c>
      <c r="H820" s="16">
        <f t="shared" si="88"/>
        <v>0.60000000000000009</v>
      </c>
      <c r="I820" s="16">
        <f t="shared" si="89"/>
        <v>0</v>
      </c>
      <c r="J820" s="16">
        <f t="shared" si="90"/>
        <v>0</v>
      </c>
      <c r="K820" s="16">
        <f>IF(CurrentMtgRatesDataTable8[[#This Row],[WA CC]]&lt;&gt;0,C819-CurrentMtgRatesDataTable8[[#This Row],[WA CC]],0)</f>
        <v>0</v>
      </c>
      <c r="L820" s="16">
        <f>IF(CurrentMtgRatesDataTable8[[#This Row],[Servicing Spread]]&lt;=0,L819,CurrentMtgRatesDataTable8[[#This Row],[Servicing Spread]])</f>
        <v>0.29619999999999891</v>
      </c>
      <c r="M820" s="16">
        <f>CurrentMtgRatesDataTable8[[#This Row],[Servicing Spread Non-Zero]]-L819</f>
        <v>0</v>
      </c>
      <c r="N820" s="16">
        <f>IF(J819&lt;&gt;0,CurrentMtgRatesDataTable8[[#This Row],[Rate]]-C819,N819)</f>
        <v>-1.499999999999968E-2</v>
      </c>
    </row>
    <row r="821" spans="1:14">
      <c r="A821" s="39" t="s">
        <v>2173</v>
      </c>
      <c r="B821" s="40">
        <v>5.68</v>
      </c>
      <c r="C821" s="11">
        <v>6.0149999999999997</v>
      </c>
      <c r="D821" s="16">
        <f t="shared" si="84"/>
        <v>6</v>
      </c>
      <c r="E821" s="16">
        <f t="shared" si="85"/>
        <v>0.2</v>
      </c>
      <c r="F821" s="16">
        <f t="shared" si="86"/>
        <v>4</v>
      </c>
      <c r="G821" s="16">
        <f t="shared" si="87"/>
        <v>4.5526</v>
      </c>
      <c r="H821" s="16">
        <f t="shared" si="88"/>
        <v>0.8</v>
      </c>
      <c r="I821" s="16">
        <f t="shared" si="89"/>
        <v>0</v>
      </c>
      <c r="J821" s="16">
        <f t="shared" si="90"/>
        <v>0</v>
      </c>
      <c r="K821" s="16">
        <f>IF(CurrentMtgRatesDataTable8[[#This Row],[WA CC]]&lt;&gt;0,C820-CurrentMtgRatesDataTable8[[#This Row],[WA CC]],0)</f>
        <v>0</v>
      </c>
      <c r="L821" s="16">
        <f>IF(CurrentMtgRatesDataTable8[[#This Row],[Servicing Spread]]&lt;=0,L820,CurrentMtgRatesDataTable8[[#This Row],[Servicing Spread]])</f>
        <v>0.29619999999999891</v>
      </c>
      <c r="M821" s="16">
        <f>CurrentMtgRatesDataTable8[[#This Row],[Servicing Spread Non-Zero]]-L820</f>
        <v>0</v>
      </c>
      <c r="N821" s="16">
        <f>IF(J820&lt;&gt;0,CurrentMtgRatesDataTable8[[#This Row],[Rate]]-C820,N820)</f>
        <v>-1.499999999999968E-2</v>
      </c>
    </row>
    <row r="822" spans="1:14">
      <c r="A822" s="39" t="s">
        <v>2174</v>
      </c>
      <c r="B822" s="40">
        <v>5.641</v>
      </c>
      <c r="C822" s="11">
        <v>6.0149999999999997</v>
      </c>
      <c r="D822" s="16">
        <f t="shared" si="84"/>
        <v>7</v>
      </c>
      <c r="E822" s="16">
        <f t="shared" si="85"/>
        <v>0.2</v>
      </c>
      <c r="F822" s="16">
        <f t="shared" si="86"/>
        <v>5</v>
      </c>
      <c r="G822" s="16">
        <f t="shared" si="87"/>
        <v>5.6807999999999996</v>
      </c>
      <c r="H822" s="16">
        <f t="shared" si="88"/>
        <v>1</v>
      </c>
      <c r="I822" s="16">
        <f t="shared" si="89"/>
        <v>1</v>
      </c>
      <c r="J822" s="16">
        <f t="shared" si="90"/>
        <v>5.6807999999999996</v>
      </c>
      <c r="K822" s="16">
        <f>IF(CurrentMtgRatesDataTable8[[#This Row],[WA CC]]&lt;&gt;0,C821-CurrentMtgRatesDataTable8[[#This Row],[WA CC]],0)</f>
        <v>0.33420000000000005</v>
      </c>
      <c r="L822" s="16">
        <f>IF(CurrentMtgRatesDataTable8[[#This Row],[Servicing Spread]]&lt;=0,L821,CurrentMtgRatesDataTable8[[#This Row],[Servicing Spread]])</f>
        <v>0.33420000000000005</v>
      </c>
      <c r="M822" s="16">
        <f>CurrentMtgRatesDataTable8[[#This Row],[Servicing Spread Non-Zero]]-L821</f>
        <v>3.8000000000001144E-2</v>
      </c>
      <c r="N822" s="16">
        <f>IF(J821&lt;&gt;0,CurrentMtgRatesDataTable8[[#This Row],[Rate]]-C821,N821)</f>
        <v>-1.499999999999968E-2</v>
      </c>
    </row>
    <row r="823" spans="1:14">
      <c r="A823" s="39" t="s">
        <v>2175</v>
      </c>
      <c r="B823" s="40">
        <v>5.6360000000000001</v>
      </c>
      <c r="C823" s="11">
        <v>5.9899999999999993</v>
      </c>
      <c r="D823" s="16">
        <f t="shared" si="84"/>
        <v>1</v>
      </c>
      <c r="E823" s="16">
        <f t="shared" si="85"/>
        <v>0.2</v>
      </c>
      <c r="F823" s="16">
        <f t="shared" si="86"/>
        <v>1</v>
      </c>
      <c r="G823" s="16">
        <f t="shared" si="87"/>
        <v>1.1272</v>
      </c>
      <c r="H823" s="16">
        <f t="shared" si="88"/>
        <v>0.2</v>
      </c>
      <c r="I823" s="16">
        <f t="shared" si="89"/>
        <v>0</v>
      </c>
      <c r="J823" s="16">
        <f t="shared" si="90"/>
        <v>0</v>
      </c>
      <c r="K823" s="16">
        <f>IF(CurrentMtgRatesDataTable8[[#This Row],[WA CC]]&lt;&gt;0,C822-CurrentMtgRatesDataTable8[[#This Row],[WA CC]],0)</f>
        <v>0</v>
      </c>
      <c r="L823" s="16">
        <f>IF(CurrentMtgRatesDataTable8[[#This Row],[Servicing Spread]]&lt;=0,L822,CurrentMtgRatesDataTable8[[#This Row],[Servicing Spread]])</f>
        <v>0.33420000000000005</v>
      </c>
      <c r="M823" s="16">
        <f>CurrentMtgRatesDataTable8[[#This Row],[Servicing Spread Non-Zero]]-L822</f>
        <v>0</v>
      </c>
      <c r="N823" s="16">
        <f>IF(J822&lt;&gt;0,CurrentMtgRatesDataTable8[[#This Row],[Rate]]-C822,N822)</f>
        <v>-2.5000000000000355E-2</v>
      </c>
    </row>
    <row r="824" spans="1:14">
      <c r="A824" s="39" t="s">
        <v>2176</v>
      </c>
      <c r="B824" s="40">
        <v>5.7130000000000001</v>
      </c>
      <c r="C824" s="11">
        <v>5.9899999999999993</v>
      </c>
      <c r="D824" s="16">
        <f t="shared" si="84"/>
        <v>2</v>
      </c>
      <c r="E824" s="16">
        <f t="shared" si="85"/>
        <v>0.2</v>
      </c>
      <c r="F824" s="16">
        <f t="shared" si="86"/>
        <v>2</v>
      </c>
      <c r="G824" s="16">
        <f t="shared" si="87"/>
        <v>2.2698</v>
      </c>
      <c r="H824" s="16">
        <f t="shared" si="88"/>
        <v>0.4</v>
      </c>
      <c r="I824" s="16">
        <f t="shared" si="89"/>
        <v>0</v>
      </c>
      <c r="J824" s="16">
        <f t="shared" si="90"/>
        <v>0</v>
      </c>
      <c r="K824" s="16">
        <f>IF(CurrentMtgRatesDataTable8[[#This Row],[WA CC]]&lt;&gt;0,C823-CurrentMtgRatesDataTable8[[#This Row],[WA CC]],0)</f>
        <v>0</v>
      </c>
      <c r="L824" s="16">
        <f>IF(CurrentMtgRatesDataTable8[[#This Row],[Servicing Spread]]&lt;=0,L823,CurrentMtgRatesDataTable8[[#This Row],[Servicing Spread]])</f>
        <v>0.33420000000000005</v>
      </c>
      <c r="M824" s="16">
        <f>CurrentMtgRatesDataTable8[[#This Row],[Servicing Spread Non-Zero]]-L823</f>
        <v>0</v>
      </c>
      <c r="N824" s="16">
        <f>IF(J823&lt;&gt;0,CurrentMtgRatesDataTable8[[#This Row],[Rate]]-C823,N823)</f>
        <v>-2.5000000000000355E-2</v>
      </c>
    </row>
    <row r="825" spans="1:14">
      <c r="A825" s="39" t="s">
        <v>2177</v>
      </c>
      <c r="B825" s="40">
        <v>5.6879999999999997</v>
      </c>
      <c r="C825" s="11">
        <v>5.9899999999999993</v>
      </c>
      <c r="D825" s="16">
        <f t="shared" si="84"/>
        <v>5</v>
      </c>
      <c r="E825" s="16">
        <f t="shared" si="85"/>
        <v>0.2</v>
      </c>
      <c r="F825" s="16">
        <f t="shared" si="86"/>
        <v>3</v>
      </c>
      <c r="G825" s="16">
        <f t="shared" si="87"/>
        <v>3.4074</v>
      </c>
      <c r="H825" s="16">
        <f t="shared" si="88"/>
        <v>0.60000000000000009</v>
      </c>
      <c r="I825" s="16">
        <f t="shared" si="89"/>
        <v>0</v>
      </c>
      <c r="J825" s="16">
        <f t="shared" si="90"/>
        <v>0</v>
      </c>
      <c r="K825" s="16">
        <f>IF(CurrentMtgRatesDataTable8[[#This Row],[WA CC]]&lt;&gt;0,C824-CurrentMtgRatesDataTable8[[#This Row],[WA CC]],0)</f>
        <v>0</v>
      </c>
      <c r="L825" s="16">
        <f>IF(CurrentMtgRatesDataTable8[[#This Row],[Servicing Spread]]&lt;=0,L824,CurrentMtgRatesDataTable8[[#This Row],[Servicing Spread]])</f>
        <v>0.33420000000000005</v>
      </c>
      <c r="M825" s="16">
        <f>CurrentMtgRatesDataTable8[[#This Row],[Servicing Spread Non-Zero]]-L824</f>
        <v>0</v>
      </c>
      <c r="N825" s="16">
        <f>IF(J824&lt;&gt;0,CurrentMtgRatesDataTable8[[#This Row],[Rate]]-C824,N824)</f>
        <v>-2.5000000000000355E-2</v>
      </c>
    </row>
    <row r="826" spans="1:14">
      <c r="A826" s="39" t="s">
        <v>2178</v>
      </c>
      <c r="B826" s="40">
        <v>5.633</v>
      </c>
      <c r="C826" s="11">
        <v>5.9899999999999993</v>
      </c>
      <c r="D826" s="16">
        <f t="shared" si="84"/>
        <v>6</v>
      </c>
      <c r="E826" s="16">
        <f t="shared" si="85"/>
        <v>0.2</v>
      </c>
      <c r="F826" s="16">
        <f t="shared" si="86"/>
        <v>4</v>
      </c>
      <c r="G826" s="16">
        <f t="shared" si="87"/>
        <v>4.5339999999999998</v>
      </c>
      <c r="H826" s="16">
        <f t="shared" si="88"/>
        <v>0.8</v>
      </c>
      <c r="I826" s="16">
        <f t="shared" si="89"/>
        <v>0</v>
      </c>
      <c r="J826" s="16">
        <f t="shared" si="90"/>
        <v>0</v>
      </c>
      <c r="K826" s="16">
        <f>IF(CurrentMtgRatesDataTable8[[#This Row],[WA CC]]&lt;&gt;0,C825-CurrentMtgRatesDataTable8[[#This Row],[WA CC]],0)</f>
        <v>0</v>
      </c>
      <c r="L826" s="16">
        <f>IF(CurrentMtgRatesDataTable8[[#This Row],[Servicing Spread]]&lt;=0,L825,CurrentMtgRatesDataTable8[[#This Row],[Servicing Spread]])</f>
        <v>0.33420000000000005</v>
      </c>
      <c r="M826" s="16">
        <f>CurrentMtgRatesDataTable8[[#This Row],[Servicing Spread Non-Zero]]-L825</f>
        <v>0</v>
      </c>
      <c r="N826" s="16">
        <f>IF(J825&lt;&gt;0,CurrentMtgRatesDataTable8[[#This Row],[Rate]]-C825,N825)</f>
        <v>-2.5000000000000355E-2</v>
      </c>
    </row>
    <row r="827" spans="1:14">
      <c r="A827" s="39" t="s">
        <v>2179</v>
      </c>
      <c r="B827" s="40">
        <v>5.65</v>
      </c>
      <c r="C827" s="11">
        <v>5.9899999999999993</v>
      </c>
      <c r="D827" s="16">
        <f t="shared" si="84"/>
        <v>7</v>
      </c>
      <c r="E827" s="16">
        <f t="shared" si="85"/>
        <v>0.2</v>
      </c>
      <c r="F827" s="16">
        <f t="shared" si="86"/>
        <v>5</v>
      </c>
      <c r="G827" s="16">
        <f t="shared" si="87"/>
        <v>5.6639999999999997</v>
      </c>
      <c r="H827" s="16">
        <f t="shared" si="88"/>
        <v>1</v>
      </c>
      <c r="I827" s="16">
        <f t="shared" si="89"/>
        <v>1</v>
      </c>
      <c r="J827" s="16">
        <f t="shared" si="90"/>
        <v>5.6639999999999997</v>
      </c>
      <c r="K827" s="16">
        <f>IF(CurrentMtgRatesDataTable8[[#This Row],[WA CC]]&lt;&gt;0,C826-CurrentMtgRatesDataTable8[[#This Row],[WA CC]],0)</f>
        <v>0.32599999999999962</v>
      </c>
      <c r="L827" s="16">
        <f>IF(CurrentMtgRatesDataTable8[[#This Row],[Servicing Spread]]&lt;=0,L826,CurrentMtgRatesDataTable8[[#This Row],[Servicing Spread]])</f>
        <v>0.32599999999999962</v>
      </c>
      <c r="M827" s="16">
        <f>CurrentMtgRatesDataTable8[[#This Row],[Servicing Spread Non-Zero]]-L826</f>
        <v>-8.2000000000004292E-3</v>
      </c>
      <c r="N827" s="16">
        <f>IF(J826&lt;&gt;0,CurrentMtgRatesDataTable8[[#This Row],[Rate]]-C826,N826)</f>
        <v>-2.5000000000000355E-2</v>
      </c>
    </row>
    <row r="828" spans="1:14">
      <c r="A828" s="39" t="s">
        <v>2180</v>
      </c>
      <c r="B828" s="40">
        <v>5.6609999999999996</v>
      </c>
      <c r="C828" s="11">
        <v>6.01</v>
      </c>
      <c r="D828" s="16">
        <f t="shared" si="84"/>
        <v>1</v>
      </c>
      <c r="E828" s="16">
        <f t="shared" si="85"/>
        <v>0.2</v>
      </c>
      <c r="F828" s="16">
        <f t="shared" si="86"/>
        <v>1</v>
      </c>
      <c r="G828" s="16">
        <f t="shared" si="87"/>
        <v>1.1321999999999999</v>
      </c>
      <c r="H828" s="16">
        <f t="shared" si="88"/>
        <v>0.2</v>
      </c>
      <c r="I828" s="16">
        <f t="shared" si="89"/>
        <v>0</v>
      </c>
      <c r="J828" s="16">
        <f t="shared" si="90"/>
        <v>0</v>
      </c>
      <c r="K828" s="16">
        <f>IF(CurrentMtgRatesDataTable8[[#This Row],[WA CC]]&lt;&gt;0,C827-CurrentMtgRatesDataTable8[[#This Row],[WA CC]],0)</f>
        <v>0</v>
      </c>
      <c r="L828" s="16">
        <f>IF(CurrentMtgRatesDataTable8[[#This Row],[Servicing Spread]]&lt;=0,L827,CurrentMtgRatesDataTable8[[#This Row],[Servicing Spread]])</f>
        <v>0.32599999999999962</v>
      </c>
      <c r="M828" s="16">
        <f>CurrentMtgRatesDataTable8[[#This Row],[Servicing Spread Non-Zero]]-L827</f>
        <v>0</v>
      </c>
      <c r="N828" s="16">
        <f>IF(J827&lt;&gt;0,CurrentMtgRatesDataTable8[[#This Row],[Rate]]-C827,N827)</f>
        <v>2.0000000000000462E-2</v>
      </c>
    </row>
    <row r="829" spans="1:14">
      <c r="A829" s="39" t="s">
        <v>2181</v>
      </c>
      <c r="B829" s="40">
        <v>5.6710000000000003</v>
      </c>
      <c r="C829" s="11">
        <v>6.01</v>
      </c>
      <c r="D829" s="16">
        <f t="shared" si="84"/>
        <v>2</v>
      </c>
      <c r="E829" s="16">
        <f t="shared" si="85"/>
        <v>0.2</v>
      </c>
      <c r="F829" s="16">
        <f t="shared" si="86"/>
        <v>2</v>
      </c>
      <c r="G829" s="16">
        <f t="shared" si="87"/>
        <v>2.2664</v>
      </c>
      <c r="H829" s="16">
        <f t="shared" si="88"/>
        <v>0.4</v>
      </c>
      <c r="I829" s="16">
        <f t="shared" si="89"/>
        <v>0</v>
      </c>
      <c r="J829" s="16">
        <f t="shared" si="90"/>
        <v>0</v>
      </c>
      <c r="K829" s="16">
        <f>IF(CurrentMtgRatesDataTable8[[#This Row],[WA CC]]&lt;&gt;0,C828-CurrentMtgRatesDataTable8[[#This Row],[WA CC]],0)</f>
        <v>0</v>
      </c>
      <c r="L829" s="16">
        <f>IF(CurrentMtgRatesDataTable8[[#This Row],[Servicing Spread]]&lt;=0,L828,CurrentMtgRatesDataTable8[[#This Row],[Servicing Spread]])</f>
        <v>0.32599999999999962</v>
      </c>
      <c r="M829" s="16">
        <f>CurrentMtgRatesDataTable8[[#This Row],[Servicing Spread Non-Zero]]-L828</f>
        <v>0</v>
      </c>
      <c r="N829" s="16">
        <f>IF(J828&lt;&gt;0,CurrentMtgRatesDataTable8[[#This Row],[Rate]]-C828,N828)</f>
        <v>2.0000000000000462E-2</v>
      </c>
    </row>
    <row r="830" spans="1:14">
      <c r="A830" s="39" t="s">
        <v>2182</v>
      </c>
      <c r="B830" s="40">
        <v>5.6849999999999996</v>
      </c>
      <c r="C830" s="11">
        <v>6.01</v>
      </c>
      <c r="D830" s="16">
        <f t="shared" si="84"/>
        <v>5</v>
      </c>
      <c r="E830" s="16">
        <f t="shared" si="85"/>
        <v>0.2</v>
      </c>
      <c r="F830" s="16">
        <f t="shared" si="86"/>
        <v>3</v>
      </c>
      <c r="G830" s="16">
        <f t="shared" si="87"/>
        <v>3.4034</v>
      </c>
      <c r="H830" s="16">
        <f t="shared" si="88"/>
        <v>0.60000000000000009</v>
      </c>
      <c r="I830" s="16">
        <f t="shared" si="89"/>
        <v>0</v>
      </c>
      <c r="J830" s="16">
        <f t="shared" si="90"/>
        <v>0</v>
      </c>
      <c r="K830" s="16">
        <f>IF(CurrentMtgRatesDataTable8[[#This Row],[WA CC]]&lt;&gt;0,C829-CurrentMtgRatesDataTable8[[#This Row],[WA CC]],0)</f>
        <v>0</v>
      </c>
      <c r="L830" s="16">
        <f>IF(CurrentMtgRatesDataTable8[[#This Row],[Servicing Spread]]&lt;=0,L829,CurrentMtgRatesDataTable8[[#This Row],[Servicing Spread]])</f>
        <v>0.32599999999999962</v>
      </c>
      <c r="M830" s="16">
        <f>CurrentMtgRatesDataTable8[[#This Row],[Servicing Spread Non-Zero]]-L829</f>
        <v>0</v>
      </c>
      <c r="N830" s="16">
        <f>IF(J829&lt;&gt;0,CurrentMtgRatesDataTable8[[#This Row],[Rate]]-C829,N829)</f>
        <v>2.0000000000000462E-2</v>
      </c>
    </row>
    <row r="831" spans="1:14">
      <c r="A831" s="39" t="s">
        <v>2183</v>
      </c>
      <c r="B831" s="40">
        <v>5.6580000000000004</v>
      </c>
      <c r="C831" s="11">
        <v>6.01</v>
      </c>
      <c r="D831" s="16">
        <f t="shared" si="84"/>
        <v>6</v>
      </c>
      <c r="E831" s="16">
        <f t="shared" si="85"/>
        <v>0.2</v>
      </c>
      <c r="F831" s="16">
        <f t="shared" si="86"/>
        <v>4</v>
      </c>
      <c r="G831" s="16">
        <f t="shared" si="87"/>
        <v>4.5350000000000001</v>
      </c>
      <c r="H831" s="16">
        <f t="shared" si="88"/>
        <v>0.8</v>
      </c>
      <c r="I831" s="16">
        <f t="shared" si="89"/>
        <v>0</v>
      </c>
      <c r="J831" s="16">
        <f t="shared" si="90"/>
        <v>0</v>
      </c>
      <c r="K831" s="16">
        <f>IF(CurrentMtgRatesDataTable8[[#This Row],[WA CC]]&lt;&gt;0,C830-CurrentMtgRatesDataTable8[[#This Row],[WA CC]],0)</f>
        <v>0</v>
      </c>
      <c r="L831" s="16">
        <f>IF(CurrentMtgRatesDataTable8[[#This Row],[Servicing Spread]]&lt;=0,L830,CurrentMtgRatesDataTable8[[#This Row],[Servicing Spread]])</f>
        <v>0.32599999999999962</v>
      </c>
      <c r="M831" s="16">
        <f>CurrentMtgRatesDataTable8[[#This Row],[Servicing Spread Non-Zero]]-L830</f>
        <v>0</v>
      </c>
      <c r="N831" s="16">
        <f>IF(J830&lt;&gt;0,CurrentMtgRatesDataTable8[[#This Row],[Rate]]-C830,N830)</f>
        <v>2.0000000000000462E-2</v>
      </c>
    </row>
    <row r="832" spans="1:14">
      <c r="A832" s="39" t="s">
        <v>2184</v>
      </c>
      <c r="B832" s="40">
        <v>5.6109999999999998</v>
      </c>
      <c r="C832" s="11">
        <v>6.01</v>
      </c>
      <c r="D832" s="16">
        <f t="shared" si="84"/>
        <v>7</v>
      </c>
      <c r="E832" s="16">
        <f t="shared" si="85"/>
        <v>0.2</v>
      </c>
      <c r="F832" s="16">
        <f t="shared" si="86"/>
        <v>5</v>
      </c>
      <c r="G832" s="16">
        <f t="shared" si="87"/>
        <v>5.6572000000000005</v>
      </c>
      <c r="H832" s="16">
        <f t="shared" si="88"/>
        <v>1</v>
      </c>
      <c r="I832" s="16">
        <f t="shared" si="89"/>
        <v>1</v>
      </c>
      <c r="J832" s="16">
        <f t="shared" si="90"/>
        <v>5.6572000000000005</v>
      </c>
      <c r="K832" s="16">
        <f>IF(CurrentMtgRatesDataTable8[[#This Row],[WA CC]]&lt;&gt;0,C831-CurrentMtgRatesDataTable8[[#This Row],[WA CC]],0)</f>
        <v>0.35279999999999934</v>
      </c>
      <c r="L832" s="16">
        <f>IF(CurrentMtgRatesDataTable8[[#This Row],[Servicing Spread]]&lt;=0,L831,CurrentMtgRatesDataTable8[[#This Row],[Servicing Spread]])</f>
        <v>0.35279999999999934</v>
      </c>
      <c r="M832" s="16">
        <f>CurrentMtgRatesDataTable8[[#This Row],[Servicing Spread Non-Zero]]-L831</f>
        <v>2.6799999999999713E-2</v>
      </c>
      <c r="N832" s="16">
        <f>IF(J831&lt;&gt;0,CurrentMtgRatesDataTable8[[#This Row],[Rate]]-C831,N831)</f>
        <v>2.0000000000000462E-2</v>
      </c>
    </row>
    <row r="833" spans="1:14">
      <c r="A833" s="39" t="s">
        <v>2185</v>
      </c>
      <c r="B833" s="40">
        <v>5.6719999999999997</v>
      </c>
      <c r="C833" s="11">
        <v>6.01</v>
      </c>
      <c r="D833" s="16">
        <f t="shared" si="84"/>
        <v>1</v>
      </c>
      <c r="E833" s="16">
        <f t="shared" si="85"/>
        <v>0.2</v>
      </c>
      <c r="F833" s="16">
        <f t="shared" si="86"/>
        <v>1</v>
      </c>
      <c r="G833" s="16">
        <f t="shared" si="87"/>
        <v>1.1344000000000001</v>
      </c>
      <c r="H833" s="16">
        <f t="shared" si="88"/>
        <v>0.2</v>
      </c>
      <c r="I833" s="16">
        <f t="shared" si="89"/>
        <v>0</v>
      </c>
      <c r="J833" s="16">
        <f t="shared" si="90"/>
        <v>0</v>
      </c>
      <c r="K833" s="16">
        <f>IF(CurrentMtgRatesDataTable8[[#This Row],[WA CC]]&lt;&gt;0,C832-CurrentMtgRatesDataTable8[[#This Row],[WA CC]],0)</f>
        <v>0</v>
      </c>
      <c r="L833" s="16">
        <f>IF(CurrentMtgRatesDataTable8[[#This Row],[Servicing Spread]]&lt;=0,L832,CurrentMtgRatesDataTable8[[#This Row],[Servicing Spread]])</f>
        <v>0.35279999999999934</v>
      </c>
      <c r="M833" s="16">
        <f>CurrentMtgRatesDataTable8[[#This Row],[Servicing Spread Non-Zero]]-L832</f>
        <v>0</v>
      </c>
      <c r="N833" s="16">
        <f>IF(J832&lt;&gt;0,CurrentMtgRatesDataTable8[[#This Row],[Rate]]-C832,N832)</f>
        <v>0</v>
      </c>
    </row>
    <row r="834" spans="1:14">
      <c r="A834" s="39" t="s">
        <v>2186</v>
      </c>
      <c r="B834" s="40">
        <v>5.7080000000000002</v>
      </c>
      <c r="C834" s="11">
        <v>6.01</v>
      </c>
      <c r="D834" s="16">
        <f t="shared" si="84"/>
        <v>2</v>
      </c>
      <c r="E834" s="16">
        <f t="shared" si="85"/>
        <v>0.2</v>
      </c>
      <c r="F834" s="16">
        <f t="shared" si="86"/>
        <v>2</v>
      </c>
      <c r="G834" s="16">
        <f t="shared" si="87"/>
        <v>2.2760000000000002</v>
      </c>
      <c r="H834" s="16">
        <f t="shared" si="88"/>
        <v>0.4</v>
      </c>
      <c r="I834" s="16">
        <f t="shared" si="89"/>
        <v>0</v>
      </c>
      <c r="J834" s="16">
        <f t="shared" si="90"/>
        <v>0</v>
      </c>
      <c r="K834" s="16">
        <f>IF(CurrentMtgRatesDataTable8[[#This Row],[WA CC]]&lt;&gt;0,C833-CurrentMtgRatesDataTable8[[#This Row],[WA CC]],0)</f>
        <v>0</v>
      </c>
      <c r="L834" s="16">
        <f>IF(CurrentMtgRatesDataTable8[[#This Row],[Servicing Spread]]&lt;=0,L833,CurrentMtgRatesDataTable8[[#This Row],[Servicing Spread]])</f>
        <v>0.35279999999999934</v>
      </c>
      <c r="M834" s="16">
        <f>CurrentMtgRatesDataTable8[[#This Row],[Servicing Spread Non-Zero]]-L833</f>
        <v>0</v>
      </c>
      <c r="N834" s="16">
        <f>IF(J833&lt;&gt;0,CurrentMtgRatesDataTable8[[#This Row],[Rate]]-C833,N833)</f>
        <v>0</v>
      </c>
    </row>
    <row r="835" spans="1:14">
      <c r="A835" s="39" t="s">
        <v>2187</v>
      </c>
      <c r="B835" s="40">
        <v>5.6929999999999996</v>
      </c>
      <c r="C835" s="11">
        <v>6.01</v>
      </c>
      <c r="D835" s="16">
        <f t="shared" si="84"/>
        <v>5</v>
      </c>
      <c r="E835" s="16">
        <f t="shared" si="85"/>
        <v>0.2</v>
      </c>
      <c r="F835" s="16">
        <f t="shared" si="86"/>
        <v>3</v>
      </c>
      <c r="G835" s="16">
        <f t="shared" si="87"/>
        <v>3.4146000000000001</v>
      </c>
      <c r="H835" s="16">
        <f t="shared" si="88"/>
        <v>0.60000000000000009</v>
      </c>
      <c r="I835" s="16">
        <f t="shared" si="89"/>
        <v>0</v>
      </c>
      <c r="J835" s="16">
        <f t="shared" si="90"/>
        <v>0</v>
      </c>
      <c r="K835" s="16">
        <f>IF(CurrentMtgRatesDataTable8[[#This Row],[WA CC]]&lt;&gt;0,C834-CurrentMtgRatesDataTable8[[#This Row],[WA CC]],0)</f>
        <v>0</v>
      </c>
      <c r="L835" s="16">
        <f>IF(CurrentMtgRatesDataTable8[[#This Row],[Servicing Spread]]&lt;=0,L834,CurrentMtgRatesDataTable8[[#This Row],[Servicing Spread]])</f>
        <v>0.35279999999999934</v>
      </c>
      <c r="M835" s="16">
        <f>CurrentMtgRatesDataTable8[[#This Row],[Servicing Spread Non-Zero]]-L834</f>
        <v>0</v>
      </c>
      <c r="N835" s="16">
        <f>IF(J834&lt;&gt;0,CurrentMtgRatesDataTable8[[#This Row],[Rate]]-C834,N834)</f>
        <v>0</v>
      </c>
    </row>
    <row r="836" spans="1:14">
      <c r="A836" s="39" t="s">
        <v>2188</v>
      </c>
      <c r="B836" s="40">
        <v>5.72</v>
      </c>
      <c r="C836" s="11">
        <v>6.01</v>
      </c>
      <c r="D836" s="16">
        <f t="shared" si="84"/>
        <v>6</v>
      </c>
      <c r="E836" s="16">
        <f t="shared" si="85"/>
        <v>0.2</v>
      </c>
      <c r="F836" s="16">
        <f t="shared" si="86"/>
        <v>4</v>
      </c>
      <c r="G836" s="16">
        <f t="shared" si="87"/>
        <v>4.5586000000000002</v>
      </c>
      <c r="H836" s="16">
        <f t="shared" si="88"/>
        <v>0.8</v>
      </c>
      <c r="I836" s="16">
        <f t="shared" si="89"/>
        <v>0</v>
      </c>
      <c r="J836" s="16">
        <f t="shared" si="90"/>
        <v>0</v>
      </c>
      <c r="K836" s="16">
        <f>IF(CurrentMtgRatesDataTable8[[#This Row],[WA CC]]&lt;&gt;0,C835-CurrentMtgRatesDataTable8[[#This Row],[WA CC]],0)</f>
        <v>0</v>
      </c>
      <c r="L836" s="16">
        <f>IF(CurrentMtgRatesDataTable8[[#This Row],[Servicing Spread]]&lt;=0,L835,CurrentMtgRatesDataTable8[[#This Row],[Servicing Spread]])</f>
        <v>0.35279999999999934</v>
      </c>
      <c r="M836" s="16">
        <f>CurrentMtgRatesDataTable8[[#This Row],[Servicing Spread Non-Zero]]-L835</f>
        <v>0</v>
      </c>
      <c r="N836" s="16">
        <f>IF(J835&lt;&gt;0,CurrentMtgRatesDataTable8[[#This Row],[Rate]]-C835,N835)</f>
        <v>0</v>
      </c>
    </row>
    <row r="837" spans="1:14">
      <c r="A837" s="39" t="s">
        <v>2189</v>
      </c>
      <c r="B837" s="40">
        <v>5.7350000000000003</v>
      </c>
      <c r="C837" s="11">
        <v>6.01</v>
      </c>
      <c r="D837" s="16">
        <f t="shared" ref="D837:D900" si="91">WEEKDAY(A837,14)</f>
        <v>7</v>
      </c>
      <c r="E837" s="16">
        <f t="shared" ref="E837:E900" si="92">VLOOKUP(D837,Q$5:R$11,2,FALSE)</f>
        <v>0.2</v>
      </c>
      <c r="F837" s="16">
        <f t="shared" ref="F837:F900" si="93">IF(AND(D837&gt;D836,F836&lt;6),F836+1,1)</f>
        <v>5</v>
      </c>
      <c r="G837" s="16">
        <f t="shared" ref="G837:G900" si="94">IF(F837&gt;F836,G836+B837*E837,B837*E837)</f>
        <v>5.7056000000000004</v>
      </c>
      <c r="H837" s="16">
        <f t="shared" ref="H837:H900" si="95">IF(AND(F837&lt;6,F837&gt;F836),E837+H836,E837)</f>
        <v>1</v>
      </c>
      <c r="I837" s="16">
        <f t="shared" ref="I837:I900" si="96">IF(F837&gt;F838,1,0)</f>
        <v>1</v>
      </c>
      <c r="J837" s="16">
        <f t="shared" ref="J837:J900" si="97">IF(F837&gt;F838,G837/H837,0)</f>
        <v>5.7056000000000004</v>
      </c>
      <c r="K837" s="16">
        <f>IF(CurrentMtgRatesDataTable8[[#This Row],[WA CC]]&lt;&gt;0,C836-CurrentMtgRatesDataTable8[[#This Row],[WA CC]],0)</f>
        <v>0.30439999999999934</v>
      </c>
      <c r="L837" s="16">
        <f>IF(CurrentMtgRatesDataTable8[[#This Row],[Servicing Spread]]&lt;=0,L836,CurrentMtgRatesDataTable8[[#This Row],[Servicing Spread]])</f>
        <v>0.30439999999999934</v>
      </c>
      <c r="M837" s="16">
        <f>CurrentMtgRatesDataTable8[[#This Row],[Servicing Spread Non-Zero]]-L836</f>
        <v>-4.8399999999999999E-2</v>
      </c>
      <c r="N837" s="16">
        <f>IF(J836&lt;&gt;0,CurrentMtgRatesDataTable8[[#This Row],[Rate]]-C836,N836)</f>
        <v>0</v>
      </c>
    </row>
    <row r="838" spans="1:14">
      <c r="A838" s="39" t="s">
        <v>2190</v>
      </c>
      <c r="B838" s="40">
        <v>5.7460000000000004</v>
      </c>
      <c r="C838" s="11">
        <v>6.02</v>
      </c>
      <c r="D838" s="16">
        <f t="shared" si="91"/>
        <v>1</v>
      </c>
      <c r="E838" s="16">
        <f t="shared" si="92"/>
        <v>0.2</v>
      </c>
      <c r="F838" s="16">
        <f t="shared" si="93"/>
        <v>1</v>
      </c>
      <c r="G838" s="16">
        <f t="shared" si="94"/>
        <v>1.1492000000000002</v>
      </c>
      <c r="H838" s="16">
        <f t="shared" si="95"/>
        <v>0.2</v>
      </c>
      <c r="I838" s="16">
        <f t="shared" si="96"/>
        <v>0</v>
      </c>
      <c r="J838" s="16">
        <f t="shared" si="97"/>
        <v>0</v>
      </c>
      <c r="K838" s="16">
        <f>IF(CurrentMtgRatesDataTable8[[#This Row],[WA CC]]&lt;&gt;0,C837-CurrentMtgRatesDataTable8[[#This Row],[WA CC]],0)</f>
        <v>0</v>
      </c>
      <c r="L838" s="16">
        <f>IF(CurrentMtgRatesDataTable8[[#This Row],[Servicing Spread]]&lt;=0,L837,CurrentMtgRatesDataTable8[[#This Row],[Servicing Spread]])</f>
        <v>0.30439999999999934</v>
      </c>
      <c r="M838" s="16">
        <f>CurrentMtgRatesDataTable8[[#This Row],[Servicing Spread Non-Zero]]-L837</f>
        <v>0</v>
      </c>
      <c r="N838" s="16">
        <f>IF(J837&lt;&gt;0,CurrentMtgRatesDataTable8[[#This Row],[Rate]]-C837,N837)</f>
        <v>9.9999999999997868E-3</v>
      </c>
    </row>
    <row r="839" spans="1:14">
      <c r="A839" s="39" t="s">
        <v>2191</v>
      </c>
      <c r="B839" s="40">
        <v>5.7610000000000001</v>
      </c>
      <c r="C839" s="11">
        <v>6.02</v>
      </c>
      <c r="D839" s="16">
        <f t="shared" si="91"/>
        <v>2</v>
      </c>
      <c r="E839" s="16">
        <f t="shared" si="92"/>
        <v>0.2</v>
      </c>
      <c r="F839" s="16">
        <f t="shared" si="93"/>
        <v>2</v>
      </c>
      <c r="G839" s="16">
        <f t="shared" si="94"/>
        <v>2.3014000000000001</v>
      </c>
      <c r="H839" s="16">
        <f t="shared" si="95"/>
        <v>0.4</v>
      </c>
      <c r="I839" s="16">
        <f t="shared" si="96"/>
        <v>0</v>
      </c>
      <c r="J839" s="16">
        <f t="shared" si="97"/>
        <v>0</v>
      </c>
      <c r="K839" s="16">
        <f>IF(CurrentMtgRatesDataTable8[[#This Row],[WA CC]]&lt;&gt;0,C838-CurrentMtgRatesDataTable8[[#This Row],[WA CC]],0)</f>
        <v>0</v>
      </c>
      <c r="L839" s="16">
        <f>IF(CurrentMtgRatesDataTable8[[#This Row],[Servicing Spread]]&lt;=0,L838,CurrentMtgRatesDataTable8[[#This Row],[Servicing Spread]])</f>
        <v>0.30439999999999934</v>
      </c>
      <c r="M839" s="16">
        <f>CurrentMtgRatesDataTable8[[#This Row],[Servicing Spread Non-Zero]]-L838</f>
        <v>0</v>
      </c>
      <c r="N839" s="16">
        <f>IF(J838&lt;&gt;0,CurrentMtgRatesDataTable8[[#This Row],[Rate]]-C838,N838)</f>
        <v>9.9999999999997868E-3</v>
      </c>
    </row>
    <row r="840" spans="1:14">
      <c r="A840" s="39" t="s">
        <v>2192</v>
      </c>
      <c r="B840" s="40">
        <v>5.7549999999999999</v>
      </c>
      <c r="C840" s="11">
        <v>6.02</v>
      </c>
      <c r="D840" s="16">
        <f t="shared" si="91"/>
        <v>5</v>
      </c>
      <c r="E840" s="16">
        <f t="shared" si="92"/>
        <v>0.2</v>
      </c>
      <c r="F840" s="16">
        <f t="shared" si="93"/>
        <v>3</v>
      </c>
      <c r="G840" s="16">
        <f t="shared" si="94"/>
        <v>3.4523999999999999</v>
      </c>
      <c r="H840" s="16">
        <f t="shared" si="95"/>
        <v>0.60000000000000009</v>
      </c>
      <c r="I840" s="16">
        <f t="shared" si="96"/>
        <v>0</v>
      </c>
      <c r="J840" s="16">
        <f t="shared" si="97"/>
        <v>0</v>
      </c>
      <c r="K840" s="16">
        <f>IF(CurrentMtgRatesDataTable8[[#This Row],[WA CC]]&lt;&gt;0,C839-CurrentMtgRatesDataTable8[[#This Row],[WA CC]],0)</f>
        <v>0</v>
      </c>
      <c r="L840" s="16">
        <f>IF(CurrentMtgRatesDataTable8[[#This Row],[Servicing Spread]]&lt;=0,L839,CurrentMtgRatesDataTable8[[#This Row],[Servicing Spread]])</f>
        <v>0.30439999999999934</v>
      </c>
      <c r="M840" s="16">
        <f>CurrentMtgRatesDataTable8[[#This Row],[Servicing Spread Non-Zero]]-L839</f>
        <v>0</v>
      </c>
      <c r="N840" s="16">
        <f>IF(J839&lt;&gt;0,CurrentMtgRatesDataTable8[[#This Row],[Rate]]-C839,N839)</f>
        <v>9.9999999999997868E-3</v>
      </c>
    </row>
    <row r="841" spans="1:14">
      <c r="A841" s="39" t="s">
        <v>2193</v>
      </c>
      <c r="B841" s="40">
        <v>5.76</v>
      </c>
      <c r="C841" s="11">
        <v>6.02</v>
      </c>
      <c r="D841" s="16">
        <f t="shared" si="91"/>
        <v>6</v>
      </c>
      <c r="E841" s="16">
        <f t="shared" si="92"/>
        <v>0.2</v>
      </c>
      <c r="F841" s="16">
        <f t="shared" si="93"/>
        <v>4</v>
      </c>
      <c r="G841" s="16">
        <f t="shared" si="94"/>
        <v>4.6044</v>
      </c>
      <c r="H841" s="16">
        <f t="shared" si="95"/>
        <v>0.8</v>
      </c>
      <c r="I841" s="16">
        <f t="shared" si="96"/>
        <v>0</v>
      </c>
      <c r="J841" s="16">
        <f t="shared" si="97"/>
        <v>0</v>
      </c>
      <c r="K841" s="16">
        <f>IF(CurrentMtgRatesDataTable8[[#This Row],[WA CC]]&lt;&gt;0,C840-CurrentMtgRatesDataTable8[[#This Row],[WA CC]],0)</f>
        <v>0</v>
      </c>
      <c r="L841" s="16">
        <f>IF(CurrentMtgRatesDataTable8[[#This Row],[Servicing Spread]]&lt;=0,L840,CurrentMtgRatesDataTable8[[#This Row],[Servicing Spread]])</f>
        <v>0.30439999999999934</v>
      </c>
      <c r="M841" s="16">
        <f>CurrentMtgRatesDataTable8[[#This Row],[Servicing Spread Non-Zero]]-L840</f>
        <v>0</v>
      </c>
      <c r="N841" s="16">
        <f>IF(J840&lt;&gt;0,CurrentMtgRatesDataTable8[[#This Row],[Rate]]-C840,N840)</f>
        <v>9.9999999999997868E-3</v>
      </c>
    </row>
    <row r="842" spans="1:14">
      <c r="A842" s="39" t="s">
        <v>2194</v>
      </c>
      <c r="B842" s="40">
        <v>5.7560000000000002</v>
      </c>
      <c r="C842" s="11">
        <v>6.02</v>
      </c>
      <c r="D842" s="16">
        <f t="shared" si="91"/>
        <v>7</v>
      </c>
      <c r="E842" s="16">
        <f t="shared" si="92"/>
        <v>0.2</v>
      </c>
      <c r="F842" s="16">
        <f t="shared" si="93"/>
        <v>5</v>
      </c>
      <c r="G842" s="16">
        <f t="shared" si="94"/>
        <v>5.7556000000000003</v>
      </c>
      <c r="H842" s="16">
        <f t="shared" si="95"/>
        <v>1</v>
      </c>
      <c r="I842" s="16">
        <f t="shared" si="96"/>
        <v>1</v>
      </c>
      <c r="J842" s="16">
        <f t="shared" si="97"/>
        <v>5.7556000000000003</v>
      </c>
      <c r="K842" s="16">
        <f>IF(CurrentMtgRatesDataTable8[[#This Row],[WA CC]]&lt;&gt;0,C841-CurrentMtgRatesDataTable8[[#This Row],[WA CC]],0)</f>
        <v>0.2643999999999993</v>
      </c>
      <c r="L842" s="16">
        <f>IF(CurrentMtgRatesDataTable8[[#This Row],[Servicing Spread]]&lt;=0,L841,CurrentMtgRatesDataTable8[[#This Row],[Servicing Spread]])</f>
        <v>0.2643999999999993</v>
      </c>
      <c r="M842" s="16">
        <f>CurrentMtgRatesDataTable8[[#This Row],[Servicing Spread Non-Zero]]-L841</f>
        <v>-4.0000000000000036E-2</v>
      </c>
      <c r="N842" s="16">
        <f>IF(J841&lt;&gt;0,CurrentMtgRatesDataTable8[[#This Row],[Rate]]-C841,N841)</f>
        <v>9.9999999999997868E-3</v>
      </c>
    </row>
    <row r="843" spans="1:14">
      <c r="A843" s="39" t="s">
        <v>2195</v>
      </c>
      <c r="B843" s="40">
        <v>5.77</v>
      </c>
      <c r="C843" s="11">
        <v>6.0699999999999994</v>
      </c>
      <c r="D843" s="16">
        <f t="shared" si="91"/>
        <v>1</v>
      </c>
      <c r="E843" s="16">
        <f t="shared" si="92"/>
        <v>0.2</v>
      </c>
      <c r="F843" s="16">
        <f t="shared" si="93"/>
        <v>1</v>
      </c>
      <c r="G843" s="16">
        <f t="shared" si="94"/>
        <v>1.1539999999999999</v>
      </c>
      <c r="H843" s="16">
        <f t="shared" si="95"/>
        <v>0.2</v>
      </c>
      <c r="I843" s="16">
        <f t="shared" si="96"/>
        <v>0</v>
      </c>
      <c r="J843" s="16">
        <f t="shared" si="97"/>
        <v>0</v>
      </c>
      <c r="K843" s="16">
        <f>IF(CurrentMtgRatesDataTable8[[#This Row],[WA CC]]&lt;&gt;0,C842-CurrentMtgRatesDataTable8[[#This Row],[WA CC]],0)</f>
        <v>0</v>
      </c>
      <c r="L843" s="16">
        <f>IF(CurrentMtgRatesDataTable8[[#This Row],[Servicing Spread]]&lt;=0,L842,CurrentMtgRatesDataTable8[[#This Row],[Servicing Spread]])</f>
        <v>0.2643999999999993</v>
      </c>
      <c r="M843" s="16">
        <f>CurrentMtgRatesDataTable8[[#This Row],[Servicing Spread Non-Zero]]-L842</f>
        <v>0</v>
      </c>
      <c r="N843" s="16">
        <f>IF(J842&lt;&gt;0,CurrentMtgRatesDataTable8[[#This Row],[Rate]]-C842,N842)</f>
        <v>4.9999999999999822E-2</v>
      </c>
    </row>
    <row r="844" spans="1:14">
      <c r="A844" s="39" t="s">
        <v>2196</v>
      </c>
      <c r="B844" s="40">
        <v>5.8339999999999996</v>
      </c>
      <c r="C844" s="11">
        <v>6.0699999999999994</v>
      </c>
      <c r="D844" s="16">
        <f t="shared" si="91"/>
        <v>5</v>
      </c>
      <c r="E844" s="16">
        <f t="shared" si="92"/>
        <v>0.2</v>
      </c>
      <c r="F844" s="16">
        <f t="shared" si="93"/>
        <v>2</v>
      </c>
      <c r="G844" s="16">
        <f t="shared" si="94"/>
        <v>2.3208000000000002</v>
      </c>
      <c r="H844" s="16">
        <f t="shared" si="95"/>
        <v>0.4</v>
      </c>
      <c r="I844" s="16">
        <f t="shared" si="96"/>
        <v>0</v>
      </c>
      <c r="J844" s="16">
        <f t="shared" si="97"/>
        <v>0</v>
      </c>
      <c r="K844" s="16">
        <f>IF(CurrentMtgRatesDataTable8[[#This Row],[WA CC]]&lt;&gt;0,C843-CurrentMtgRatesDataTable8[[#This Row],[WA CC]],0)</f>
        <v>0</v>
      </c>
      <c r="L844" s="16">
        <f>IF(CurrentMtgRatesDataTable8[[#This Row],[Servicing Spread]]&lt;=0,L843,CurrentMtgRatesDataTable8[[#This Row],[Servicing Spread]])</f>
        <v>0.2643999999999993</v>
      </c>
      <c r="M844" s="16">
        <f>CurrentMtgRatesDataTable8[[#This Row],[Servicing Spread Non-Zero]]-L843</f>
        <v>0</v>
      </c>
      <c r="N844" s="16">
        <f>IF(J843&lt;&gt;0,CurrentMtgRatesDataTable8[[#This Row],[Rate]]-C843,N843)</f>
        <v>4.9999999999999822E-2</v>
      </c>
    </row>
    <row r="845" spans="1:14">
      <c r="A845" s="39" t="s">
        <v>2197</v>
      </c>
      <c r="B845" s="40">
        <v>5.8140000000000001</v>
      </c>
      <c r="C845" s="11">
        <v>6.0699999999999994</v>
      </c>
      <c r="D845" s="16">
        <f t="shared" si="91"/>
        <v>6</v>
      </c>
      <c r="E845" s="16">
        <f t="shared" si="92"/>
        <v>0.2</v>
      </c>
      <c r="F845" s="16">
        <f t="shared" si="93"/>
        <v>3</v>
      </c>
      <c r="G845" s="16">
        <f t="shared" si="94"/>
        <v>3.4836</v>
      </c>
      <c r="H845" s="16">
        <f t="shared" si="95"/>
        <v>0.60000000000000009</v>
      </c>
      <c r="I845" s="16">
        <f t="shared" si="96"/>
        <v>0</v>
      </c>
      <c r="J845" s="16">
        <f t="shared" si="97"/>
        <v>0</v>
      </c>
      <c r="K845" s="16">
        <f>IF(CurrentMtgRatesDataTable8[[#This Row],[WA CC]]&lt;&gt;0,C844-CurrentMtgRatesDataTable8[[#This Row],[WA CC]],0)</f>
        <v>0</v>
      </c>
      <c r="L845" s="16">
        <f>IF(CurrentMtgRatesDataTable8[[#This Row],[Servicing Spread]]&lt;=0,L844,CurrentMtgRatesDataTable8[[#This Row],[Servicing Spread]])</f>
        <v>0.2643999999999993</v>
      </c>
      <c r="M845" s="16">
        <f>CurrentMtgRatesDataTable8[[#This Row],[Servicing Spread Non-Zero]]-L844</f>
        <v>0</v>
      </c>
      <c r="N845" s="16">
        <f>IF(J844&lt;&gt;0,CurrentMtgRatesDataTable8[[#This Row],[Rate]]-C844,N844)</f>
        <v>4.9999999999999822E-2</v>
      </c>
    </row>
    <row r="846" spans="1:14">
      <c r="A846" s="39" t="s">
        <v>2198</v>
      </c>
      <c r="B846" s="40">
        <v>5.827</v>
      </c>
      <c r="C846" s="11">
        <v>6.0699999999999994</v>
      </c>
      <c r="D846" s="16">
        <f t="shared" si="91"/>
        <v>7</v>
      </c>
      <c r="E846" s="16">
        <f t="shared" si="92"/>
        <v>0.2</v>
      </c>
      <c r="F846" s="16">
        <f t="shared" si="93"/>
        <v>4</v>
      </c>
      <c r="G846" s="16">
        <f t="shared" si="94"/>
        <v>4.649</v>
      </c>
      <c r="H846" s="16">
        <f t="shared" si="95"/>
        <v>0.8</v>
      </c>
      <c r="I846" s="16">
        <f t="shared" si="96"/>
        <v>1</v>
      </c>
      <c r="J846" s="16">
        <f t="shared" si="97"/>
        <v>5.8112499999999994</v>
      </c>
      <c r="K846" s="16">
        <f>IF(CurrentMtgRatesDataTable8[[#This Row],[WA CC]]&lt;&gt;0,C845-CurrentMtgRatesDataTable8[[#This Row],[WA CC]],0)</f>
        <v>0.25875000000000004</v>
      </c>
      <c r="L846" s="16">
        <f>IF(CurrentMtgRatesDataTable8[[#This Row],[Servicing Spread]]&lt;=0,L845,CurrentMtgRatesDataTable8[[#This Row],[Servicing Spread]])</f>
        <v>0.25875000000000004</v>
      </c>
      <c r="M846" s="16">
        <f>CurrentMtgRatesDataTable8[[#This Row],[Servicing Spread Non-Zero]]-L845</f>
        <v>-5.6499999999992667E-3</v>
      </c>
      <c r="N846" s="16">
        <f>IF(J845&lt;&gt;0,CurrentMtgRatesDataTable8[[#This Row],[Rate]]-C845,N845)</f>
        <v>4.9999999999999822E-2</v>
      </c>
    </row>
    <row r="847" spans="1:14">
      <c r="A847" s="39" t="s">
        <v>2199</v>
      </c>
      <c r="B847" s="40">
        <v>5.8330000000000002</v>
      </c>
      <c r="C847" s="11">
        <v>6.0449999999999999</v>
      </c>
      <c r="D847" s="16">
        <f t="shared" si="91"/>
        <v>1</v>
      </c>
      <c r="E847" s="16">
        <f t="shared" si="92"/>
        <v>0.2</v>
      </c>
      <c r="F847" s="16">
        <f t="shared" si="93"/>
        <v>1</v>
      </c>
      <c r="G847" s="16">
        <f t="shared" si="94"/>
        <v>1.1666000000000001</v>
      </c>
      <c r="H847" s="16">
        <f t="shared" si="95"/>
        <v>0.2</v>
      </c>
      <c r="I847" s="16">
        <f t="shared" si="96"/>
        <v>0</v>
      </c>
      <c r="J847" s="16">
        <f t="shared" si="97"/>
        <v>0</v>
      </c>
      <c r="K847" s="16">
        <f>IF(CurrentMtgRatesDataTable8[[#This Row],[WA CC]]&lt;&gt;0,C846-CurrentMtgRatesDataTable8[[#This Row],[WA CC]],0)</f>
        <v>0</v>
      </c>
      <c r="L847" s="16">
        <f>IF(CurrentMtgRatesDataTable8[[#This Row],[Servicing Spread]]&lt;=0,L846,CurrentMtgRatesDataTable8[[#This Row],[Servicing Spread]])</f>
        <v>0.25875000000000004</v>
      </c>
      <c r="M847" s="16">
        <f>CurrentMtgRatesDataTable8[[#This Row],[Servicing Spread Non-Zero]]-L846</f>
        <v>0</v>
      </c>
      <c r="N847" s="16">
        <f>IF(J846&lt;&gt;0,CurrentMtgRatesDataTable8[[#This Row],[Rate]]-C846,N846)</f>
        <v>-2.4999999999999467E-2</v>
      </c>
    </row>
    <row r="848" spans="1:14">
      <c r="A848" s="39" t="s">
        <v>2200</v>
      </c>
      <c r="B848" s="40">
        <v>5.8550000000000004</v>
      </c>
      <c r="C848" s="11">
        <v>6.0449999999999999</v>
      </c>
      <c r="D848" s="16">
        <f t="shared" si="91"/>
        <v>2</v>
      </c>
      <c r="E848" s="16">
        <f t="shared" si="92"/>
        <v>0.2</v>
      </c>
      <c r="F848" s="16">
        <f t="shared" si="93"/>
        <v>2</v>
      </c>
      <c r="G848" s="16">
        <f t="shared" si="94"/>
        <v>2.3376000000000001</v>
      </c>
      <c r="H848" s="16">
        <f t="shared" si="95"/>
        <v>0.4</v>
      </c>
      <c r="I848" s="16">
        <f t="shared" si="96"/>
        <v>0</v>
      </c>
      <c r="J848" s="16">
        <f t="shared" si="97"/>
        <v>0</v>
      </c>
      <c r="K848" s="16">
        <f>IF(CurrentMtgRatesDataTable8[[#This Row],[WA CC]]&lt;&gt;0,C847-CurrentMtgRatesDataTable8[[#This Row],[WA CC]],0)</f>
        <v>0</v>
      </c>
      <c r="L848" s="16">
        <f>IF(CurrentMtgRatesDataTable8[[#This Row],[Servicing Spread]]&lt;=0,L847,CurrentMtgRatesDataTable8[[#This Row],[Servicing Spread]])</f>
        <v>0.25875000000000004</v>
      </c>
      <c r="M848" s="16">
        <f>CurrentMtgRatesDataTable8[[#This Row],[Servicing Spread Non-Zero]]-L847</f>
        <v>0</v>
      </c>
      <c r="N848" s="16">
        <f>IF(J847&lt;&gt;0,CurrentMtgRatesDataTable8[[#This Row],[Rate]]-C847,N847)</f>
        <v>-2.4999999999999467E-2</v>
      </c>
    </row>
    <row r="849" spans="1:14">
      <c r="A849" s="39" t="s">
        <v>2201</v>
      </c>
      <c r="B849" s="40">
        <v>5.8369999999999997</v>
      </c>
      <c r="C849" s="11">
        <v>6.0449999999999999</v>
      </c>
      <c r="D849" s="16">
        <f t="shared" si="91"/>
        <v>5</v>
      </c>
      <c r="E849" s="16">
        <f t="shared" si="92"/>
        <v>0.2</v>
      </c>
      <c r="F849" s="16">
        <f t="shared" si="93"/>
        <v>3</v>
      </c>
      <c r="G849" s="16">
        <f t="shared" si="94"/>
        <v>3.5049999999999999</v>
      </c>
      <c r="H849" s="16">
        <f t="shared" si="95"/>
        <v>0.60000000000000009</v>
      </c>
      <c r="I849" s="16">
        <f t="shared" si="96"/>
        <v>0</v>
      </c>
      <c r="J849" s="16">
        <f t="shared" si="97"/>
        <v>0</v>
      </c>
      <c r="K849" s="16">
        <f>IF(CurrentMtgRatesDataTable8[[#This Row],[WA CC]]&lt;&gt;0,C848-CurrentMtgRatesDataTable8[[#This Row],[WA CC]],0)</f>
        <v>0</v>
      </c>
      <c r="L849" s="16">
        <f>IF(CurrentMtgRatesDataTable8[[#This Row],[Servicing Spread]]&lt;=0,L848,CurrentMtgRatesDataTable8[[#This Row],[Servicing Spread]])</f>
        <v>0.25875000000000004</v>
      </c>
      <c r="M849" s="16">
        <f>CurrentMtgRatesDataTable8[[#This Row],[Servicing Spread Non-Zero]]-L848</f>
        <v>0</v>
      </c>
      <c r="N849" s="16">
        <f>IF(J848&lt;&gt;0,CurrentMtgRatesDataTable8[[#This Row],[Rate]]-C848,N848)</f>
        <v>-2.4999999999999467E-2</v>
      </c>
    </row>
    <row r="850" spans="1:14">
      <c r="A850" s="39" t="s">
        <v>2202</v>
      </c>
      <c r="B850" s="40">
        <v>5.7930000000000001</v>
      </c>
      <c r="C850" s="11">
        <v>6.0449999999999999</v>
      </c>
      <c r="D850" s="16">
        <f t="shared" si="91"/>
        <v>6</v>
      </c>
      <c r="E850" s="16">
        <f t="shared" si="92"/>
        <v>0.2</v>
      </c>
      <c r="F850" s="16">
        <f t="shared" si="93"/>
        <v>4</v>
      </c>
      <c r="G850" s="16">
        <f t="shared" si="94"/>
        <v>4.6635999999999997</v>
      </c>
      <c r="H850" s="16">
        <f t="shared" si="95"/>
        <v>0.8</v>
      </c>
      <c r="I850" s="16">
        <f t="shared" si="96"/>
        <v>0</v>
      </c>
      <c r="J850" s="16">
        <f t="shared" si="97"/>
        <v>0</v>
      </c>
      <c r="K850" s="16">
        <f>IF(CurrentMtgRatesDataTable8[[#This Row],[WA CC]]&lt;&gt;0,C849-CurrentMtgRatesDataTable8[[#This Row],[WA CC]],0)</f>
        <v>0</v>
      </c>
      <c r="L850" s="16">
        <f>IF(CurrentMtgRatesDataTable8[[#This Row],[Servicing Spread]]&lt;=0,L849,CurrentMtgRatesDataTable8[[#This Row],[Servicing Spread]])</f>
        <v>0.25875000000000004</v>
      </c>
      <c r="M850" s="16">
        <f>CurrentMtgRatesDataTable8[[#This Row],[Servicing Spread Non-Zero]]-L849</f>
        <v>0</v>
      </c>
      <c r="N850" s="16">
        <f>IF(J849&lt;&gt;0,CurrentMtgRatesDataTable8[[#This Row],[Rate]]-C849,N849)</f>
        <v>-2.4999999999999467E-2</v>
      </c>
    </row>
    <row r="851" spans="1:14">
      <c r="A851" s="39" t="s">
        <v>2203</v>
      </c>
      <c r="B851" s="40">
        <v>5.7619999999999996</v>
      </c>
      <c r="C851" s="11">
        <v>6.0449999999999999</v>
      </c>
      <c r="D851" s="16">
        <f t="shared" si="91"/>
        <v>7</v>
      </c>
      <c r="E851" s="16">
        <f t="shared" si="92"/>
        <v>0.2</v>
      </c>
      <c r="F851" s="16">
        <f t="shared" si="93"/>
        <v>5</v>
      </c>
      <c r="G851" s="16">
        <f t="shared" si="94"/>
        <v>5.8159999999999998</v>
      </c>
      <c r="H851" s="16">
        <f t="shared" si="95"/>
        <v>1</v>
      </c>
      <c r="I851" s="16">
        <f t="shared" si="96"/>
        <v>1</v>
      </c>
      <c r="J851" s="16">
        <f t="shared" si="97"/>
        <v>5.8159999999999998</v>
      </c>
      <c r="K851" s="16">
        <f>IF(CurrentMtgRatesDataTable8[[#This Row],[WA CC]]&lt;&gt;0,C850-CurrentMtgRatesDataTable8[[#This Row],[WA CC]],0)</f>
        <v>0.22900000000000009</v>
      </c>
      <c r="L851" s="16">
        <f>IF(CurrentMtgRatesDataTable8[[#This Row],[Servicing Spread]]&lt;=0,L850,CurrentMtgRatesDataTable8[[#This Row],[Servicing Spread]])</f>
        <v>0.22900000000000009</v>
      </c>
      <c r="M851" s="16">
        <f>CurrentMtgRatesDataTable8[[#This Row],[Servicing Spread Non-Zero]]-L850</f>
        <v>-2.9749999999999943E-2</v>
      </c>
      <c r="N851" s="16">
        <f>IF(J850&lt;&gt;0,CurrentMtgRatesDataTable8[[#This Row],[Rate]]-C850,N850)</f>
        <v>-2.4999999999999467E-2</v>
      </c>
    </row>
    <row r="852" spans="1:14">
      <c r="A852" s="39" t="s">
        <v>2204</v>
      </c>
      <c r="B852" s="40">
        <v>5.7670000000000003</v>
      </c>
      <c r="C852" s="11">
        <v>6.0350000000000001</v>
      </c>
      <c r="D852" s="16">
        <f t="shared" si="91"/>
        <v>1</v>
      </c>
      <c r="E852" s="16">
        <f t="shared" si="92"/>
        <v>0.2</v>
      </c>
      <c r="F852" s="16">
        <f t="shared" si="93"/>
        <v>1</v>
      </c>
      <c r="G852" s="16">
        <f t="shared" si="94"/>
        <v>1.1534000000000002</v>
      </c>
      <c r="H852" s="16">
        <f t="shared" si="95"/>
        <v>0.2</v>
      </c>
      <c r="I852" s="16">
        <f t="shared" si="96"/>
        <v>0</v>
      </c>
      <c r="J852" s="16">
        <f t="shared" si="97"/>
        <v>0</v>
      </c>
      <c r="K852" s="16">
        <f>IF(CurrentMtgRatesDataTable8[[#This Row],[WA CC]]&lt;&gt;0,C851-CurrentMtgRatesDataTable8[[#This Row],[WA CC]],0)</f>
        <v>0</v>
      </c>
      <c r="L852" s="16">
        <f>IF(CurrentMtgRatesDataTable8[[#This Row],[Servicing Spread]]&lt;=0,L851,CurrentMtgRatesDataTable8[[#This Row],[Servicing Spread]])</f>
        <v>0.22900000000000009</v>
      </c>
      <c r="M852" s="16">
        <f>CurrentMtgRatesDataTable8[[#This Row],[Servicing Spread Non-Zero]]-L851</f>
        <v>0</v>
      </c>
      <c r="N852" s="16">
        <f>IF(J851&lt;&gt;0,CurrentMtgRatesDataTable8[[#This Row],[Rate]]-C851,N851)</f>
        <v>-9.9999999999997868E-3</v>
      </c>
    </row>
    <row r="853" spans="1:14">
      <c r="A853" s="39" t="s">
        <v>2205</v>
      </c>
      <c r="B853" s="40">
        <v>5.7789999999999999</v>
      </c>
      <c r="C853" s="11">
        <v>6.0350000000000001</v>
      </c>
      <c r="D853" s="16">
        <f t="shared" si="91"/>
        <v>2</v>
      </c>
      <c r="E853" s="16">
        <f t="shared" si="92"/>
        <v>0.2</v>
      </c>
      <c r="F853" s="16">
        <f t="shared" si="93"/>
        <v>2</v>
      </c>
      <c r="G853" s="16">
        <f t="shared" si="94"/>
        <v>2.3092000000000001</v>
      </c>
      <c r="H853" s="16">
        <f t="shared" si="95"/>
        <v>0.4</v>
      </c>
      <c r="I853" s="16">
        <f t="shared" si="96"/>
        <v>0</v>
      </c>
      <c r="J853" s="16">
        <f t="shared" si="97"/>
        <v>0</v>
      </c>
      <c r="K853" s="16">
        <f>IF(CurrentMtgRatesDataTable8[[#This Row],[WA CC]]&lt;&gt;0,C852-CurrentMtgRatesDataTable8[[#This Row],[WA CC]],0)</f>
        <v>0</v>
      </c>
      <c r="L853" s="16">
        <f>IF(CurrentMtgRatesDataTable8[[#This Row],[Servicing Spread]]&lt;=0,L852,CurrentMtgRatesDataTable8[[#This Row],[Servicing Spread]])</f>
        <v>0.22900000000000009</v>
      </c>
      <c r="M853" s="16">
        <f>CurrentMtgRatesDataTable8[[#This Row],[Servicing Spread Non-Zero]]-L852</f>
        <v>0</v>
      </c>
      <c r="N853" s="16">
        <f>IF(J852&lt;&gt;0,CurrentMtgRatesDataTable8[[#This Row],[Rate]]-C852,N852)</f>
        <v>-9.9999999999997868E-3</v>
      </c>
    </row>
    <row r="854" spans="1:14">
      <c r="A854" s="39" t="s">
        <v>2206</v>
      </c>
      <c r="B854" s="40">
        <v>5.7640000000000002</v>
      </c>
      <c r="C854" s="11">
        <v>6.0350000000000001</v>
      </c>
      <c r="D854" s="16">
        <f t="shared" si="91"/>
        <v>5</v>
      </c>
      <c r="E854" s="16">
        <f t="shared" si="92"/>
        <v>0.2</v>
      </c>
      <c r="F854" s="16">
        <f t="shared" si="93"/>
        <v>3</v>
      </c>
      <c r="G854" s="16">
        <f t="shared" si="94"/>
        <v>3.4620000000000002</v>
      </c>
      <c r="H854" s="16">
        <f t="shared" si="95"/>
        <v>0.60000000000000009</v>
      </c>
      <c r="I854" s="16">
        <f t="shared" si="96"/>
        <v>0</v>
      </c>
      <c r="J854" s="16">
        <f t="shared" si="97"/>
        <v>0</v>
      </c>
      <c r="K854" s="16">
        <f>IF(CurrentMtgRatesDataTable8[[#This Row],[WA CC]]&lt;&gt;0,C853-CurrentMtgRatesDataTable8[[#This Row],[WA CC]],0)</f>
        <v>0</v>
      </c>
      <c r="L854" s="16">
        <f>IF(CurrentMtgRatesDataTable8[[#This Row],[Servicing Spread]]&lt;=0,L853,CurrentMtgRatesDataTable8[[#This Row],[Servicing Spread]])</f>
        <v>0.22900000000000009</v>
      </c>
      <c r="M854" s="16">
        <f>CurrentMtgRatesDataTable8[[#This Row],[Servicing Spread Non-Zero]]-L853</f>
        <v>0</v>
      </c>
      <c r="N854" s="16">
        <f>IF(J853&lt;&gt;0,CurrentMtgRatesDataTable8[[#This Row],[Rate]]-C853,N853)</f>
        <v>-9.9999999999997868E-3</v>
      </c>
    </row>
    <row r="855" spans="1:14">
      <c r="A855" s="39" t="s">
        <v>2207</v>
      </c>
      <c r="B855" s="40">
        <v>5.7370000000000001</v>
      </c>
      <c r="C855" s="11">
        <v>6.0350000000000001</v>
      </c>
      <c r="D855" s="16">
        <f t="shared" si="91"/>
        <v>6</v>
      </c>
      <c r="E855" s="16">
        <f t="shared" si="92"/>
        <v>0.2</v>
      </c>
      <c r="F855" s="16">
        <f t="shared" si="93"/>
        <v>4</v>
      </c>
      <c r="G855" s="16">
        <f t="shared" si="94"/>
        <v>4.6093999999999999</v>
      </c>
      <c r="H855" s="16">
        <f t="shared" si="95"/>
        <v>0.8</v>
      </c>
      <c r="I855" s="16">
        <f t="shared" si="96"/>
        <v>0</v>
      </c>
      <c r="J855" s="16">
        <f t="shared" si="97"/>
        <v>0</v>
      </c>
      <c r="K855" s="16">
        <f>IF(CurrentMtgRatesDataTable8[[#This Row],[WA CC]]&lt;&gt;0,C854-CurrentMtgRatesDataTable8[[#This Row],[WA CC]],0)</f>
        <v>0</v>
      </c>
      <c r="L855" s="16">
        <f>IF(CurrentMtgRatesDataTable8[[#This Row],[Servicing Spread]]&lt;=0,L854,CurrentMtgRatesDataTable8[[#This Row],[Servicing Spread]])</f>
        <v>0.22900000000000009</v>
      </c>
      <c r="M855" s="16">
        <f>CurrentMtgRatesDataTable8[[#This Row],[Servicing Spread Non-Zero]]-L854</f>
        <v>0</v>
      </c>
      <c r="N855" s="16">
        <f>IF(J854&lt;&gt;0,CurrentMtgRatesDataTable8[[#This Row],[Rate]]-C854,N854)</f>
        <v>-9.9999999999997868E-3</v>
      </c>
    </row>
    <row r="856" spans="1:14">
      <c r="A856" s="39" t="s">
        <v>2208</v>
      </c>
      <c r="B856" s="40">
        <v>5.7629999999999999</v>
      </c>
      <c r="C856" s="11">
        <v>6.0350000000000001</v>
      </c>
      <c r="D856" s="16">
        <f t="shared" si="91"/>
        <v>7</v>
      </c>
      <c r="E856" s="16">
        <f t="shared" si="92"/>
        <v>0.2</v>
      </c>
      <c r="F856" s="16">
        <f t="shared" si="93"/>
        <v>5</v>
      </c>
      <c r="G856" s="16">
        <f t="shared" si="94"/>
        <v>5.7620000000000005</v>
      </c>
      <c r="H856" s="16">
        <f t="shared" si="95"/>
        <v>1</v>
      </c>
      <c r="I856" s="16">
        <f t="shared" si="96"/>
        <v>1</v>
      </c>
      <c r="J856" s="16">
        <f t="shared" si="97"/>
        <v>5.7620000000000005</v>
      </c>
      <c r="K856" s="16">
        <f>IF(CurrentMtgRatesDataTable8[[#This Row],[WA CC]]&lt;&gt;0,C855-CurrentMtgRatesDataTable8[[#This Row],[WA CC]],0)</f>
        <v>0.27299999999999969</v>
      </c>
      <c r="L856" s="16">
        <f>IF(CurrentMtgRatesDataTable8[[#This Row],[Servicing Spread]]&lt;=0,L855,CurrentMtgRatesDataTable8[[#This Row],[Servicing Spread]])</f>
        <v>0.27299999999999969</v>
      </c>
      <c r="M856" s="16">
        <f>CurrentMtgRatesDataTable8[[#This Row],[Servicing Spread Non-Zero]]-L855</f>
        <v>4.3999999999999595E-2</v>
      </c>
      <c r="N856" s="16">
        <f>IF(J855&lt;&gt;0,CurrentMtgRatesDataTable8[[#This Row],[Rate]]-C855,N855)</f>
        <v>-9.9999999999997868E-3</v>
      </c>
    </row>
    <row r="857" spans="1:14">
      <c r="A857" s="39" t="s">
        <v>2209</v>
      </c>
      <c r="B857" s="40">
        <v>5.8040000000000003</v>
      </c>
      <c r="C857" s="11">
        <v>6.0350000000000001</v>
      </c>
      <c r="D857" s="16">
        <f t="shared" si="91"/>
        <v>1</v>
      </c>
      <c r="E857" s="16">
        <f t="shared" si="92"/>
        <v>0.2</v>
      </c>
      <c r="F857" s="16">
        <f t="shared" si="93"/>
        <v>1</v>
      </c>
      <c r="G857" s="16">
        <f t="shared" si="94"/>
        <v>1.1608000000000001</v>
      </c>
      <c r="H857" s="16">
        <f t="shared" si="95"/>
        <v>0.2</v>
      </c>
      <c r="I857" s="16">
        <f t="shared" si="96"/>
        <v>0</v>
      </c>
      <c r="J857" s="16">
        <f t="shared" si="97"/>
        <v>0</v>
      </c>
      <c r="K857" s="16">
        <f>IF(CurrentMtgRatesDataTable8[[#This Row],[WA CC]]&lt;&gt;0,C856-CurrentMtgRatesDataTable8[[#This Row],[WA CC]],0)</f>
        <v>0</v>
      </c>
      <c r="L857" s="16">
        <f>IF(CurrentMtgRatesDataTable8[[#This Row],[Servicing Spread]]&lt;=0,L856,CurrentMtgRatesDataTable8[[#This Row],[Servicing Spread]])</f>
        <v>0.27299999999999969</v>
      </c>
      <c r="M857" s="16">
        <f>CurrentMtgRatesDataTable8[[#This Row],[Servicing Spread Non-Zero]]-L856</f>
        <v>0</v>
      </c>
      <c r="N857" s="16">
        <f>IF(J856&lt;&gt;0,CurrentMtgRatesDataTable8[[#This Row],[Rate]]-C856,N856)</f>
        <v>0</v>
      </c>
    </row>
    <row r="858" spans="1:14">
      <c r="A858" s="39" t="s">
        <v>2210</v>
      </c>
      <c r="B858" s="40">
        <v>5.82</v>
      </c>
      <c r="C858" s="11">
        <v>6.0350000000000001</v>
      </c>
      <c r="D858" s="16">
        <f t="shared" si="91"/>
        <v>2</v>
      </c>
      <c r="E858" s="16">
        <f t="shared" si="92"/>
        <v>0.2</v>
      </c>
      <c r="F858" s="16">
        <f t="shared" si="93"/>
        <v>2</v>
      </c>
      <c r="G858" s="16">
        <f t="shared" si="94"/>
        <v>2.3248000000000002</v>
      </c>
      <c r="H858" s="16">
        <f t="shared" si="95"/>
        <v>0.4</v>
      </c>
      <c r="I858" s="16">
        <f t="shared" si="96"/>
        <v>0</v>
      </c>
      <c r="J858" s="16">
        <f t="shared" si="97"/>
        <v>0</v>
      </c>
      <c r="K858" s="16">
        <f>IF(CurrentMtgRatesDataTable8[[#This Row],[WA CC]]&lt;&gt;0,C857-CurrentMtgRatesDataTable8[[#This Row],[WA CC]],0)</f>
        <v>0</v>
      </c>
      <c r="L858" s="16">
        <f>IF(CurrentMtgRatesDataTable8[[#This Row],[Servicing Spread]]&lt;=0,L857,CurrentMtgRatesDataTable8[[#This Row],[Servicing Spread]])</f>
        <v>0.27299999999999969</v>
      </c>
      <c r="M858" s="16">
        <f>CurrentMtgRatesDataTable8[[#This Row],[Servicing Spread Non-Zero]]-L857</f>
        <v>0</v>
      </c>
      <c r="N858" s="16">
        <f>IF(J857&lt;&gt;0,CurrentMtgRatesDataTable8[[#This Row],[Rate]]-C857,N857)</f>
        <v>0</v>
      </c>
    </row>
    <row r="859" spans="1:14">
      <c r="A859" s="39" t="s">
        <v>2211</v>
      </c>
      <c r="B859" s="40">
        <v>5.7690000000000001</v>
      </c>
      <c r="C859" s="11">
        <v>6.0350000000000001</v>
      </c>
      <c r="D859" s="16">
        <f t="shared" si="91"/>
        <v>5</v>
      </c>
      <c r="E859" s="16">
        <f t="shared" si="92"/>
        <v>0.2</v>
      </c>
      <c r="F859" s="16">
        <f t="shared" si="93"/>
        <v>3</v>
      </c>
      <c r="G859" s="16">
        <f t="shared" si="94"/>
        <v>3.4786000000000001</v>
      </c>
      <c r="H859" s="16">
        <f t="shared" si="95"/>
        <v>0.60000000000000009</v>
      </c>
      <c r="I859" s="16">
        <f t="shared" si="96"/>
        <v>0</v>
      </c>
      <c r="J859" s="16">
        <f t="shared" si="97"/>
        <v>0</v>
      </c>
      <c r="K859" s="16">
        <f>IF(CurrentMtgRatesDataTable8[[#This Row],[WA CC]]&lt;&gt;0,C858-CurrentMtgRatesDataTable8[[#This Row],[WA CC]],0)</f>
        <v>0</v>
      </c>
      <c r="L859" s="16">
        <f>IF(CurrentMtgRatesDataTable8[[#This Row],[Servicing Spread]]&lt;=0,L858,CurrentMtgRatesDataTable8[[#This Row],[Servicing Spread]])</f>
        <v>0.27299999999999969</v>
      </c>
      <c r="M859" s="16">
        <f>CurrentMtgRatesDataTable8[[#This Row],[Servicing Spread Non-Zero]]-L858</f>
        <v>0</v>
      </c>
      <c r="N859" s="16">
        <f>IF(J858&lt;&gt;0,CurrentMtgRatesDataTable8[[#This Row],[Rate]]-C858,N858)</f>
        <v>0</v>
      </c>
    </row>
    <row r="860" spans="1:14">
      <c r="A860" s="39" t="s">
        <v>2212</v>
      </c>
      <c r="B860" s="40">
        <v>5.78</v>
      </c>
      <c r="C860" s="11">
        <v>6.0350000000000001</v>
      </c>
      <c r="D860" s="16">
        <f t="shared" si="91"/>
        <v>6</v>
      </c>
      <c r="E860" s="16">
        <f t="shared" si="92"/>
        <v>0.2</v>
      </c>
      <c r="F860" s="16">
        <f t="shared" si="93"/>
        <v>4</v>
      </c>
      <c r="G860" s="16">
        <f t="shared" si="94"/>
        <v>4.6346000000000007</v>
      </c>
      <c r="H860" s="16">
        <f t="shared" si="95"/>
        <v>0.8</v>
      </c>
      <c r="I860" s="16">
        <f t="shared" si="96"/>
        <v>0</v>
      </c>
      <c r="J860" s="16">
        <f t="shared" si="97"/>
        <v>0</v>
      </c>
      <c r="K860" s="16">
        <f>IF(CurrentMtgRatesDataTable8[[#This Row],[WA CC]]&lt;&gt;0,C859-CurrentMtgRatesDataTable8[[#This Row],[WA CC]],0)</f>
        <v>0</v>
      </c>
      <c r="L860" s="16">
        <f>IF(CurrentMtgRatesDataTable8[[#This Row],[Servicing Spread]]&lt;=0,L859,CurrentMtgRatesDataTable8[[#This Row],[Servicing Spread]])</f>
        <v>0.27299999999999969</v>
      </c>
      <c r="M860" s="16">
        <f>CurrentMtgRatesDataTable8[[#This Row],[Servicing Spread Non-Zero]]-L859</f>
        <v>0</v>
      </c>
      <c r="N860" s="16">
        <f>IF(J859&lt;&gt;0,CurrentMtgRatesDataTable8[[#This Row],[Rate]]-C859,N859)</f>
        <v>0</v>
      </c>
    </row>
    <row r="861" spans="1:14">
      <c r="A861" s="39" t="s">
        <v>2213</v>
      </c>
      <c r="B861" s="40">
        <v>5.7779999999999996</v>
      </c>
      <c r="C861" s="11">
        <v>6.0350000000000001</v>
      </c>
      <c r="D861" s="16">
        <f t="shared" si="91"/>
        <v>7</v>
      </c>
      <c r="E861" s="16">
        <f t="shared" si="92"/>
        <v>0.2</v>
      </c>
      <c r="F861" s="16">
        <f t="shared" si="93"/>
        <v>5</v>
      </c>
      <c r="G861" s="16">
        <f t="shared" si="94"/>
        <v>5.7902000000000005</v>
      </c>
      <c r="H861" s="16">
        <f t="shared" si="95"/>
        <v>1</v>
      </c>
      <c r="I861" s="16">
        <f t="shared" si="96"/>
        <v>1</v>
      </c>
      <c r="J861" s="16">
        <f t="shared" si="97"/>
        <v>5.7902000000000005</v>
      </c>
      <c r="K861" s="16">
        <f>IF(CurrentMtgRatesDataTable8[[#This Row],[WA CC]]&lt;&gt;0,C860-CurrentMtgRatesDataTable8[[#This Row],[WA CC]],0)</f>
        <v>0.24479999999999968</v>
      </c>
      <c r="L861" s="16">
        <f>IF(CurrentMtgRatesDataTable8[[#This Row],[Servicing Spread]]&lt;=0,L860,CurrentMtgRatesDataTable8[[#This Row],[Servicing Spread]])</f>
        <v>0.24479999999999968</v>
      </c>
      <c r="M861" s="16">
        <f>CurrentMtgRatesDataTable8[[#This Row],[Servicing Spread Non-Zero]]-L860</f>
        <v>-2.8200000000000003E-2</v>
      </c>
      <c r="N861" s="16">
        <f>IF(J860&lt;&gt;0,CurrentMtgRatesDataTable8[[#This Row],[Rate]]-C860,N860)</f>
        <v>0</v>
      </c>
    </row>
    <row r="862" spans="1:14">
      <c r="A862" s="39" t="s">
        <v>2214</v>
      </c>
      <c r="B862" s="40">
        <v>5.8079999999999998</v>
      </c>
      <c r="C862" s="11">
        <v>6.0250000000000004</v>
      </c>
      <c r="D862" s="16">
        <f t="shared" si="91"/>
        <v>1</v>
      </c>
      <c r="E862" s="16">
        <f t="shared" si="92"/>
        <v>0.2</v>
      </c>
      <c r="F862" s="16">
        <f t="shared" si="93"/>
        <v>1</v>
      </c>
      <c r="G862" s="16">
        <f t="shared" si="94"/>
        <v>1.1616</v>
      </c>
      <c r="H862" s="16">
        <f t="shared" si="95"/>
        <v>0.2</v>
      </c>
      <c r="I862" s="16">
        <f t="shared" si="96"/>
        <v>0</v>
      </c>
      <c r="J862" s="16">
        <f t="shared" si="97"/>
        <v>0</v>
      </c>
      <c r="K862" s="16">
        <f>IF(CurrentMtgRatesDataTable8[[#This Row],[WA CC]]&lt;&gt;0,C861-CurrentMtgRatesDataTable8[[#This Row],[WA CC]],0)</f>
        <v>0</v>
      </c>
      <c r="L862" s="16">
        <f>IF(CurrentMtgRatesDataTable8[[#This Row],[Servicing Spread]]&lt;=0,L861,CurrentMtgRatesDataTable8[[#This Row],[Servicing Spread]])</f>
        <v>0.24479999999999968</v>
      </c>
      <c r="M862" s="16">
        <f>CurrentMtgRatesDataTable8[[#This Row],[Servicing Spread Non-Zero]]-L861</f>
        <v>0</v>
      </c>
      <c r="N862" s="16">
        <f>IF(J861&lt;&gt;0,CurrentMtgRatesDataTable8[[#This Row],[Rate]]-C861,N861)</f>
        <v>-9.9999999999997868E-3</v>
      </c>
    </row>
    <row r="863" spans="1:14">
      <c r="A863" s="39" t="s">
        <v>2215</v>
      </c>
      <c r="B863" s="40">
        <v>5.77</v>
      </c>
      <c r="C863" s="11">
        <v>6.0250000000000004</v>
      </c>
      <c r="D863" s="16">
        <f t="shared" si="91"/>
        <v>2</v>
      </c>
      <c r="E863" s="16">
        <f t="shared" si="92"/>
        <v>0.2</v>
      </c>
      <c r="F863" s="16">
        <f t="shared" si="93"/>
        <v>2</v>
      </c>
      <c r="G863" s="16">
        <f t="shared" si="94"/>
        <v>2.3155999999999999</v>
      </c>
      <c r="H863" s="16">
        <f t="shared" si="95"/>
        <v>0.4</v>
      </c>
      <c r="I863" s="16">
        <f t="shared" si="96"/>
        <v>0</v>
      </c>
      <c r="J863" s="16">
        <f t="shared" si="97"/>
        <v>0</v>
      </c>
      <c r="K863" s="16">
        <f>IF(CurrentMtgRatesDataTable8[[#This Row],[WA CC]]&lt;&gt;0,C862-CurrentMtgRatesDataTable8[[#This Row],[WA CC]],0)</f>
        <v>0</v>
      </c>
      <c r="L863" s="16">
        <f>IF(CurrentMtgRatesDataTable8[[#This Row],[Servicing Spread]]&lt;=0,L862,CurrentMtgRatesDataTable8[[#This Row],[Servicing Spread]])</f>
        <v>0.24479999999999968</v>
      </c>
      <c r="M863" s="16">
        <f>CurrentMtgRatesDataTable8[[#This Row],[Servicing Spread Non-Zero]]-L862</f>
        <v>0</v>
      </c>
      <c r="N863" s="16">
        <f>IF(J862&lt;&gt;0,CurrentMtgRatesDataTable8[[#This Row],[Rate]]-C862,N862)</f>
        <v>-9.9999999999997868E-3</v>
      </c>
    </row>
    <row r="864" spans="1:14">
      <c r="A864" s="39" t="s">
        <v>2216</v>
      </c>
      <c r="B864" s="40">
        <v>5.7629999999999999</v>
      </c>
      <c r="C864" s="11">
        <v>6.0250000000000004</v>
      </c>
      <c r="D864" s="16">
        <f t="shared" si="91"/>
        <v>5</v>
      </c>
      <c r="E864" s="16">
        <f t="shared" si="92"/>
        <v>0.2</v>
      </c>
      <c r="F864" s="16">
        <f t="shared" si="93"/>
        <v>3</v>
      </c>
      <c r="G864" s="16">
        <f t="shared" si="94"/>
        <v>3.4681999999999999</v>
      </c>
      <c r="H864" s="16">
        <f t="shared" si="95"/>
        <v>0.60000000000000009</v>
      </c>
      <c r="I864" s="16">
        <f t="shared" si="96"/>
        <v>0</v>
      </c>
      <c r="J864" s="16">
        <f t="shared" si="97"/>
        <v>0</v>
      </c>
      <c r="K864" s="16">
        <f>IF(CurrentMtgRatesDataTable8[[#This Row],[WA CC]]&lt;&gt;0,C863-CurrentMtgRatesDataTable8[[#This Row],[WA CC]],0)</f>
        <v>0</v>
      </c>
      <c r="L864" s="16">
        <f>IF(CurrentMtgRatesDataTable8[[#This Row],[Servicing Spread]]&lt;=0,L863,CurrentMtgRatesDataTable8[[#This Row],[Servicing Spread]])</f>
        <v>0.24479999999999968</v>
      </c>
      <c r="M864" s="16">
        <f>CurrentMtgRatesDataTable8[[#This Row],[Servicing Spread Non-Zero]]-L863</f>
        <v>0</v>
      </c>
      <c r="N864" s="16">
        <f>IF(J863&lt;&gt;0,CurrentMtgRatesDataTable8[[#This Row],[Rate]]-C863,N863)</f>
        <v>-9.9999999999997868E-3</v>
      </c>
    </row>
    <row r="865" spans="1:14">
      <c r="A865" s="39" t="s">
        <v>2217</v>
      </c>
      <c r="B865" s="40">
        <v>5.7649999999999997</v>
      </c>
      <c r="C865" s="11">
        <v>6.0250000000000004</v>
      </c>
      <c r="D865" s="16">
        <f t="shared" si="91"/>
        <v>6</v>
      </c>
      <c r="E865" s="16">
        <f t="shared" si="92"/>
        <v>0.2</v>
      </c>
      <c r="F865" s="16">
        <f t="shared" si="93"/>
        <v>4</v>
      </c>
      <c r="G865" s="16">
        <f t="shared" si="94"/>
        <v>4.6212</v>
      </c>
      <c r="H865" s="16">
        <f t="shared" si="95"/>
        <v>0.8</v>
      </c>
      <c r="I865" s="16">
        <f t="shared" si="96"/>
        <v>0</v>
      </c>
      <c r="J865" s="16">
        <f t="shared" si="97"/>
        <v>0</v>
      </c>
      <c r="K865" s="16">
        <f>IF(CurrentMtgRatesDataTable8[[#This Row],[WA CC]]&lt;&gt;0,C864-CurrentMtgRatesDataTable8[[#This Row],[WA CC]],0)</f>
        <v>0</v>
      </c>
      <c r="L865" s="16">
        <f>IF(CurrentMtgRatesDataTable8[[#This Row],[Servicing Spread]]&lt;=0,L864,CurrentMtgRatesDataTable8[[#This Row],[Servicing Spread]])</f>
        <v>0.24479999999999968</v>
      </c>
      <c r="M865" s="16">
        <f>CurrentMtgRatesDataTable8[[#This Row],[Servicing Spread Non-Zero]]-L864</f>
        <v>0</v>
      </c>
      <c r="N865" s="16">
        <f>IF(J864&lt;&gt;0,CurrentMtgRatesDataTable8[[#This Row],[Rate]]-C864,N864)</f>
        <v>-9.9999999999997868E-3</v>
      </c>
    </row>
    <row r="866" spans="1:14">
      <c r="A866" s="39" t="s">
        <v>2218</v>
      </c>
      <c r="B866" s="40">
        <v>5.798</v>
      </c>
      <c r="C866" s="11">
        <v>6.0250000000000004</v>
      </c>
      <c r="D866" s="16">
        <f t="shared" si="91"/>
        <v>7</v>
      </c>
      <c r="E866" s="16">
        <f t="shared" si="92"/>
        <v>0.2</v>
      </c>
      <c r="F866" s="16">
        <f t="shared" si="93"/>
        <v>5</v>
      </c>
      <c r="G866" s="16">
        <f t="shared" si="94"/>
        <v>5.7808000000000002</v>
      </c>
      <c r="H866" s="16">
        <f t="shared" si="95"/>
        <v>1</v>
      </c>
      <c r="I866" s="16">
        <f t="shared" si="96"/>
        <v>1</v>
      </c>
      <c r="J866" s="16">
        <f t="shared" si="97"/>
        <v>5.7808000000000002</v>
      </c>
      <c r="K866" s="16">
        <f>IF(CurrentMtgRatesDataTable8[[#This Row],[WA CC]]&lt;&gt;0,C865-CurrentMtgRatesDataTable8[[#This Row],[WA CC]],0)</f>
        <v>0.24420000000000019</v>
      </c>
      <c r="L866" s="16">
        <f>IF(CurrentMtgRatesDataTable8[[#This Row],[Servicing Spread]]&lt;=0,L865,CurrentMtgRatesDataTable8[[#This Row],[Servicing Spread]])</f>
        <v>0.24420000000000019</v>
      </c>
      <c r="M866" s="16">
        <f>CurrentMtgRatesDataTable8[[#This Row],[Servicing Spread Non-Zero]]-L865</f>
        <v>-5.9999999999948983E-4</v>
      </c>
      <c r="N866" s="16">
        <f>IF(J865&lt;&gt;0,CurrentMtgRatesDataTable8[[#This Row],[Rate]]-C865,N865)</f>
        <v>-9.9999999999997868E-3</v>
      </c>
    </row>
    <row r="867" spans="1:14">
      <c r="A867" s="39" t="s">
        <v>2219</v>
      </c>
      <c r="B867" s="40">
        <v>5.7919999999999998</v>
      </c>
      <c r="C867" s="11">
        <v>6.06</v>
      </c>
      <c r="D867" s="16">
        <f t="shared" si="91"/>
        <v>1</v>
      </c>
      <c r="E867" s="16">
        <f t="shared" si="92"/>
        <v>0.2</v>
      </c>
      <c r="F867" s="16">
        <f t="shared" si="93"/>
        <v>1</v>
      </c>
      <c r="G867" s="16">
        <f t="shared" si="94"/>
        <v>1.1584000000000001</v>
      </c>
      <c r="H867" s="16">
        <f t="shared" si="95"/>
        <v>0.2</v>
      </c>
      <c r="I867" s="16">
        <f t="shared" si="96"/>
        <v>0</v>
      </c>
      <c r="J867" s="16">
        <f t="shared" si="97"/>
        <v>0</v>
      </c>
      <c r="K867" s="16">
        <f>IF(CurrentMtgRatesDataTable8[[#This Row],[WA CC]]&lt;&gt;0,C866-CurrentMtgRatesDataTable8[[#This Row],[WA CC]],0)</f>
        <v>0</v>
      </c>
      <c r="L867" s="16">
        <f>IF(CurrentMtgRatesDataTable8[[#This Row],[Servicing Spread]]&lt;=0,L866,CurrentMtgRatesDataTable8[[#This Row],[Servicing Spread]])</f>
        <v>0.24420000000000019</v>
      </c>
      <c r="M867" s="16">
        <f>CurrentMtgRatesDataTable8[[#This Row],[Servicing Spread Non-Zero]]-L866</f>
        <v>0</v>
      </c>
      <c r="N867" s="16">
        <f>IF(J866&lt;&gt;0,CurrentMtgRatesDataTable8[[#This Row],[Rate]]-C866,N866)</f>
        <v>3.4999999999999254E-2</v>
      </c>
    </row>
    <row r="868" spans="1:14">
      <c r="A868" s="39" t="s">
        <v>2220</v>
      </c>
      <c r="B868" s="40">
        <v>5.8129999999999997</v>
      </c>
      <c r="C868" s="11">
        <v>6.06</v>
      </c>
      <c r="D868" s="16">
        <f t="shared" si="91"/>
        <v>2</v>
      </c>
      <c r="E868" s="16">
        <f t="shared" si="92"/>
        <v>0.2</v>
      </c>
      <c r="F868" s="16">
        <f t="shared" si="93"/>
        <v>2</v>
      </c>
      <c r="G868" s="16">
        <f t="shared" si="94"/>
        <v>2.3210000000000002</v>
      </c>
      <c r="H868" s="16">
        <f t="shared" si="95"/>
        <v>0.4</v>
      </c>
      <c r="I868" s="16">
        <f t="shared" si="96"/>
        <v>0</v>
      </c>
      <c r="J868" s="16">
        <f t="shared" si="97"/>
        <v>0</v>
      </c>
      <c r="K868" s="16">
        <f>IF(CurrentMtgRatesDataTable8[[#This Row],[WA CC]]&lt;&gt;0,C867-CurrentMtgRatesDataTable8[[#This Row],[WA CC]],0)</f>
        <v>0</v>
      </c>
      <c r="L868" s="16">
        <f>IF(CurrentMtgRatesDataTable8[[#This Row],[Servicing Spread]]&lt;=0,L867,CurrentMtgRatesDataTable8[[#This Row],[Servicing Spread]])</f>
        <v>0.24420000000000019</v>
      </c>
      <c r="M868" s="16">
        <f>CurrentMtgRatesDataTable8[[#This Row],[Servicing Spread Non-Zero]]-L867</f>
        <v>0</v>
      </c>
      <c r="N868" s="16">
        <f>IF(J867&lt;&gt;0,CurrentMtgRatesDataTable8[[#This Row],[Rate]]-C867,N867)</f>
        <v>3.4999999999999254E-2</v>
      </c>
    </row>
    <row r="869" spans="1:14">
      <c r="A869" s="39" t="s">
        <v>2221</v>
      </c>
      <c r="B869" s="40">
        <v>5.8369999999999997</v>
      </c>
      <c r="C869" s="11">
        <v>6.06</v>
      </c>
      <c r="D869" s="16">
        <f t="shared" si="91"/>
        <v>5</v>
      </c>
      <c r="E869" s="16">
        <f t="shared" si="92"/>
        <v>0.2</v>
      </c>
      <c r="F869" s="16">
        <f t="shared" si="93"/>
        <v>3</v>
      </c>
      <c r="G869" s="16">
        <f t="shared" si="94"/>
        <v>3.4884000000000004</v>
      </c>
      <c r="H869" s="16">
        <f t="shared" si="95"/>
        <v>0.60000000000000009</v>
      </c>
      <c r="I869" s="16">
        <f t="shared" si="96"/>
        <v>0</v>
      </c>
      <c r="J869" s="16">
        <f t="shared" si="97"/>
        <v>0</v>
      </c>
      <c r="K869" s="16">
        <f>IF(CurrentMtgRatesDataTable8[[#This Row],[WA CC]]&lt;&gt;0,C868-CurrentMtgRatesDataTable8[[#This Row],[WA CC]],0)</f>
        <v>0</v>
      </c>
      <c r="L869" s="16">
        <f>IF(CurrentMtgRatesDataTable8[[#This Row],[Servicing Spread]]&lt;=0,L868,CurrentMtgRatesDataTable8[[#This Row],[Servicing Spread]])</f>
        <v>0.24420000000000019</v>
      </c>
      <c r="M869" s="16">
        <f>CurrentMtgRatesDataTable8[[#This Row],[Servicing Spread Non-Zero]]-L868</f>
        <v>0</v>
      </c>
      <c r="N869" s="16">
        <f>IF(J868&lt;&gt;0,CurrentMtgRatesDataTable8[[#This Row],[Rate]]-C868,N868)</f>
        <v>3.4999999999999254E-2</v>
      </c>
    </row>
    <row r="870" spans="1:14">
      <c r="A870" s="39" t="s">
        <v>2222</v>
      </c>
      <c r="B870" s="40">
        <v>5.8479999999999999</v>
      </c>
      <c r="C870" s="11">
        <v>6.06</v>
      </c>
      <c r="D870" s="16">
        <f t="shared" si="91"/>
        <v>6</v>
      </c>
      <c r="E870" s="16">
        <f t="shared" si="92"/>
        <v>0.2</v>
      </c>
      <c r="F870" s="16">
        <f t="shared" si="93"/>
        <v>4</v>
      </c>
      <c r="G870" s="16">
        <f t="shared" si="94"/>
        <v>4.6580000000000004</v>
      </c>
      <c r="H870" s="16">
        <f t="shared" si="95"/>
        <v>0.8</v>
      </c>
      <c r="I870" s="16">
        <f t="shared" si="96"/>
        <v>0</v>
      </c>
      <c r="J870" s="16">
        <f t="shared" si="97"/>
        <v>0</v>
      </c>
      <c r="K870" s="16">
        <f>IF(CurrentMtgRatesDataTable8[[#This Row],[WA CC]]&lt;&gt;0,C869-CurrentMtgRatesDataTable8[[#This Row],[WA CC]],0)</f>
        <v>0</v>
      </c>
      <c r="L870" s="16">
        <f>IF(CurrentMtgRatesDataTable8[[#This Row],[Servicing Spread]]&lt;=0,L869,CurrentMtgRatesDataTable8[[#This Row],[Servicing Spread]])</f>
        <v>0.24420000000000019</v>
      </c>
      <c r="M870" s="16">
        <f>CurrentMtgRatesDataTable8[[#This Row],[Servicing Spread Non-Zero]]-L869</f>
        <v>0</v>
      </c>
      <c r="N870" s="16">
        <f>IF(J869&lt;&gt;0,CurrentMtgRatesDataTable8[[#This Row],[Rate]]-C869,N869)</f>
        <v>3.4999999999999254E-2</v>
      </c>
    </row>
    <row r="871" spans="1:14">
      <c r="A871" s="39" t="s">
        <v>2223</v>
      </c>
      <c r="B871" s="40">
        <v>5.8440000000000003</v>
      </c>
      <c r="C871" s="11">
        <v>6.06</v>
      </c>
      <c r="D871" s="16">
        <f t="shared" si="91"/>
        <v>7</v>
      </c>
      <c r="E871" s="16">
        <f t="shared" si="92"/>
        <v>0.2</v>
      </c>
      <c r="F871" s="16">
        <f t="shared" si="93"/>
        <v>5</v>
      </c>
      <c r="G871" s="16">
        <f t="shared" si="94"/>
        <v>5.8268000000000004</v>
      </c>
      <c r="H871" s="16">
        <f t="shared" si="95"/>
        <v>1</v>
      </c>
      <c r="I871" s="16">
        <f t="shared" si="96"/>
        <v>1</v>
      </c>
      <c r="J871" s="16">
        <f t="shared" si="97"/>
        <v>5.8268000000000004</v>
      </c>
      <c r="K871" s="16">
        <f>IF(CurrentMtgRatesDataTable8[[#This Row],[WA CC]]&lt;&gt;0,C870-CurrentMtgRatesDataTable8[[#This Row],[WA CC]],0)</f>
        <v>0.23319999999999919</v>
      </c>
      <c r="L871" s="16">
        <f>IF(CurrentMtgRatesDataTable8[[#This Row],[Servicing Spread]]&lt;=0,L870,CurrentMtgRatesDataTable8[[#This Row],[Servicing Spread]])</f>
        <v>0.23319999999999919</v>
      </c>
      <c r="M871" s="16">
        <f>CurrentMtgRatesDataTable8[[#This Row],[Servicing Spread Non-Zero]]-L870</f>
        <v>-1.1000000000001009E-2</v>
      </c>
      <c r="N871" s="16">
        <f>IF(J870&lt;&gt;0,CurrentMtgRatesDataTable8[[#This Row],[Rate]]-C870,N870)</f>
        <v>3.4999999999999254E-2</v>
      </c>
    </row>
    <row r="872" spans="1:14">
      <c r="A872" s="39" t="s">
        <v>2224</v>
      </c>
      <c r="B872" s="40">
        <v>5.8860000000000001</v>
      </c>
      <c r="C872" s="11">
        <v>6.22</v>
      </c>
      <c r="D872" s="16">
        <f t="shared" si="91"/>
        <v>1</v>
      </c>
      <c r="E872" s="16">
        <f t="shared" si="92"/>
        <v>0.2</v>
      </c>
      <c r="F872" s="16">
        <f t="shared" si="93"/>
        <v>1</v>
      </c>
      <c r="G872" s="16">
        <f t="shared" si="94"/>
        <v>1.1772</v>
      </c>
      <c r="H872" s="16">
        <f t="shared" si="95"/>
        <v>0.2</v>
      </c>
      <c r="I872" s="16">
        <f t="shared" si="96"/>
        <v>0</v>
      </c>
      <c r="J872" s="16">
        <f t="shared" si="97"/>
        <v>0</v>
      </c>
      <c r="K872" s="16">
        <f>IF(CurrentMtgRatesDataTable8[[#This Row],[WA CC]]&lt;&gt;0,C871-CurrentMtgRatesDataTable8[[#This Row],[WA CC]],0)</f>
        <v>0</v>
      </c>
      <c r="L872" s="16">
        <f>IF(CurrentMtgRatesDataTable8[[#This Row],[Servicing Spread]]&lt;=0,L871,CurrentMtgRatesDataTable8[[#This Row],[Servicing Spread]])</f>
        <v>0.23319999999999919</v>
      </c>
      <c r="M872" s="16">
        <f>CurrentMtgRatesDataTable8[[#This Row],[Servicing Spread Non-Zero]]-L871</f>
        <v>0</v>
      </c>
      <c r="N872" s="16">
        <f>IF(J871&lt;&gt;0,CurrentMtgRatesDataTable8[[#This Row],[Rate]]-C871,N871)</f>
        <v>0.16000000000000014</v>
      </c>
    </row>
    <row r="873" spans="1:14">
      <c r="A873" s="39" t="s">
        <v>2225</v>
      </c>
      <c r="B873" s="40">
        <v>5.9249999999999998</v>
      </c>
      <c r="C873" s="11">
        <v>6.22</v>
      </c>
      <c r="D873" s="16">
        <f t="shared" si="91"/>
        <v>2</v>
      </c>
      <c r="E873" s="16">
        <f t="shared" si="92"/>
        <v>0.2</v>
      </c>
      <c r="F873" s="16">
        <f t="shared" si="93"/>
        <v>2</v>
      </c>
      <c r="G873" s="16">
        <f t="shared" si="94"/>
        <v>2.3622000000000001</v>
      </c>
      <c r="H873" s="16">
        <f t="shared" si="95"/>
        <v>0.4</v>
      </c>
      <c r="I873" s="16">
        <f t="shared" si="96"/>
        <v>0</v>
      </c>
      <c r="J873" s="16">
        <f t="shared" si="97"/>
        <v>0</v>
      </c>
      <c r="K873" s="16">
        <f>IF(CurrentMtgRatesDataTable8[[#This Row],[WA CC]]&lt;&gt;0,C872-CurrentMtgRatesDataTable8[[#This Row],[WA CC]],0)</f>
        <v>0</v>
      </c>
      <c r="L873" s="16">
        <f>IF(CurrentMtgRatesDataTable8[[#This Row],[Servicing Spread]]&lt;=0,L872,CurrentMtgRatesDataTable8[[#This Row],[Servicing Spread]])</f>
        <v>0.23319999999999919</v>
      </c>
      <c r="M873" s="16">
        <f>CurrentMtgRatesDataTable8[[#This Row],[Servicing Spread Non-Zero]]-L872</f>
        <v>0</v>
      </c>
      <c r="N873" s="16">
        <f>IF(J872&lt;&gt;0,CurrentMtgRatesDataTable8[[#This Row],[Rate]]-C872,N872)</f>
        <v>0.16000000000000014</v>
      </c>
    </row>
    <row r="874" spans="1:14">
      <c r="A874" s="39" t="s">
        <v>2226</v>
      </c>
      <c r="B874" s="40">
        <v>5.915</v>
      </c>
      <c r="C874" s="11">
        <v>6.22</v>
      </c>
      <c r="D874" s="16">
        <f t="shared" si="91"/>
        <v>5</v>
      </c>
      <c r="E874" s="16">
        <f t="shared" si="92"/>
        <v>0.2</v>
      </c>
      <c r="F874" s="16">
        <f t="shared" si="93"/>
        <v>3</v>
      </c>
      <c r="G874" s="16">
        <f t="shared" si="94"/>
        <v>3.5452000000000004</v>
      </c>
      <c r="H874" s="16">
        <f t="shared" si="95"/>
        <v>0.60000000000000009</v>
      </c>
      <c r="I874" s="16">
        <f t="shared" si="96"/>
        <v>0</v>
      </c>
      <c r="J874" s="16">
        <f t="shared" si="97"/>
        <v>0</v>
      </c>
      <c r="K874" s="16">
        <f>IF(CurrentMtgRatesDataTable8[[#This Row],[WA CC]]&lt;&gt;0,C873-CurrentMtgRatesDataTable8[[#This Row],[WA CC]],0)</f>
        <v>0</v>
      </c>
      <c r="L874" s="16">
        <f>IF(CurrentMtgRatesDataTable8[[#This Row],[Servicing Spread]]&lt;=0,L873,CurrentMtgRatesDataTable8[[#This Row],[Servicing Spread]])</f>
        <v>0.23319999999999919</v>
      </c>
      <c r="M874" s="16">
        <f>CurrentMtgRatesDataTable8[[#This Row],[Servicing Spread Non-Zero]]-L873</f>
        <v>0</v>
      </c>
      <c r="N874" s="16">
        <f>IF(J873&lt;&gt;0,CurrentMtgRatesDataTable8[[#This Row],[Rate]]-C873,N873)</f>
        <v>0.16000000000000014</v>
      </c>
    </row>
    <row r="875" spans="1:14">
      <c r="A875" s="39" t="s">
        <v>2227</v>
      </c>
      <c r="B875" s="40">
        <v>5.9489999999999998</v>
      </c>
      <c r="C875" s="11">
        <v>6.22</v>
      </c>
      <c r="D875" s="16">
        <f t="shared" si="91"/>
        <v>6</v>
      </c>
      <c r="E875" s="16">
        <f t="shared" si="92"/>
        <v>0.2</v>
      </c>
      <c r="F875" s="16">
        <f t="shared" si="93"/>
        <v>4</v>
      </c>
      <c r="G875" s="16">
        <f t="shared" si="94"/>
        <v>4.7350000000000003</v>
      </c>
      <c r="H875" s="16">
        <f t="shared" si="95"/>
        <v>0.8</v>
      </c>
      <c r="I875" s="16">
        <f t="shared" si="96"/>
        <v>0</v>
      </c>
      <c r="J875" s="16">
        <f t="shared" si="97"/>
        <v>0</v>
      </c>
      <c r="K875" s="16">
        <f>IF(CurrentMtgRatesDataTable8[[#This Row],[WA CC]]&lt;&gt;0,C874-CurrentMtgRatesDataTable8[[#This Row],[WA CC]],0)</f>
        <v>0</v>
      </c>
      <c r="L875" s="16">
        <f>IF(CurrentMtgRatesDataTable8[[#This Row],[Servicing Spread]]&lt;=0,L874,CurrentMtgRatesDataTable8[[#This Row],[Servicing Spread]])</f>
        <v>0.23319999999999919</v>
      </c>
      <c r="M875" s="16">
        <f>CurrentMtgRatesDataTable8[[#This Row],[Servicing Spread Non-Zero]]-L874</f>
        <v>0</v>
      </c>
      <c r="N875" s="16">
        <f>IF(J874&lt;&gt;0,CurrentMtgRatesDataTable8[[#This Row],[Rate]]-C874,N874)</f>
        <v>0.16000000000000014</v>
      </c>
    </row>
    <row r="876" spans="1:14">
      <c r="A876" s="39" t="s">
        <v>2228</v>
      </c>
      <c r="B876" s="40">
        <v>5.9749999999999996</v>
      </c>
      <c r="C876" s="11">
        <v>6.22</v>
      </c>
      <c r="D876" s="16">
        <f t="shared" si="91"/>
        <v>7</v>
      </c>
      <c r="E876" s="16">
        <f t="shared" si="92"/>
        <v>0.2</v>
      </c>
      <c r="F876" s="16">
        <f t="shared" si="93"/>
        <v>5</v>
      </c>
      <c r="G876" s="16">
        <f t="shared" si="94"/>
        <v>5.9300000000000006</v>
      </c>
      <c r="H876" s="16">
        <f t="shared" si="95"/>
        <v>1</v>
      </c>
      <c r="I876" s="16">
        <f t="shared" si="96"/>
        <v>1</v>
      </c>
      <c r="J876" s="16">
        <f t="shared" si="97"/>
        <v>5.9300000000000006</v>
      </c>
      <c r="K876" s="16">
        <f>IF(CurrentMtgRatesDataTable8[[#This Row],[WA CC]]&lt;&gt;0,C875-CurrentMtgRatesDataTable8[[#This Row],[WA CC]],0)</f>
        <v>0.28999999999999915</v>
      </c>
      <c r="L876" s="16">
        <f>IF(CurrentMtgRatesDataTable8[[#This Row],[Servicing Spread]]&lt;=0,L875,CurrentMtgRatesDataTable8[[#This Row],[Servicing Spread]])</f>
        <v>0.28999999999999915</v>
      </c>
      <c r="M876" s="16">
        <f>CurrentMtgRatesDataTable8[[#This Row],[Servicing Spread Non-Zero]]-L875</f>
        <v>5.6799999999999962E-2</v>
      </c>
      <c r="N876" s="16">
        <f>IF(J875&lt;&gt;0,CurrentMtgRatesDataTable8[[#This Row],[Rate]]-C875,N875)</f>
        <v>0.16000000000000014</v>
      </c>
    </row>
    <row r="877" spans="1:14">
      <c r="A877" s="39" t="s">
        <v>2229</v>
      </c>
      <c r="B877" s="40">
        <v>5.9820000000000002</v>
      </c>
      <c r="C877" s="11">
        <v>6.27</v>
      </c>
      <c r="D877" s="16">
        <f t="shared" si="91"/>
        <v>1</v>
      </c>
      <c r="E877" s="16">
        <f t="shared" si="92"/>
        <v>0.2</v>
      </c>
      <c r="F877" s="16">
        <f t="shared" si="93"/>
        <v>1</v>
      </c>
      <c r="G877" s="16">
        <f t="shared" si="94"/>
        <v>1.1964000000000001</v>
      </c>
      <c r="H877" s="16">
        <f t="shared" si="95"/>
        <v>0.2</v>
      </c>
      <c r="I877" s="16">
        <f t="shared" si="96"/>
        <v>0</v>
      </c>
      <c r="J877" s="16">
        <f t="shared" si="97"/>
        <v>0</v>
      </c>
      <c r="K877" s="16">
        <f>IF(CurrentMtgRatesDataTable8[[#This Row],[WA CC]]&lt;&gt;0,C876-CurrentMtgRatesDataTable8[[#This Row],[WA CC]],0)</f>
        <v>0</v>
      </c>
      <c r="L877" s="16">
        <f>IF(CurrentMtgRatesDataTable8[[#This Row],[Servicing Spread]]&lt;=0,L876,CurrentMtgRatesDataTable8[[#This Row],[Servicing Spread]])</f>
        <v>0.28999999999999915</v>
      </c>
      <c r="M877" s="16">
        <f>CurrentMtgRatesDataTable8[[#This Row],[Servicing Spread Non-Zero]]-L876</f>
        <v>0</v>
      </c>
      <c r="N877" s="16">
        <f>IF(J876&lt;&gt;0,CurrentMtgRatesDataTable8[[#This Row],[Rate]]-C876,N876)</f>
        <v>4.9999999999999822E-2</v>
      </c>
    </row>
    <row r="878" spans="1:14">
      <c r="A878" s="39" t="s">
        <v>2230</v>
      </c>
      <c r="B878" s="40">
        <v>5.9909999999999997</v>
      </c>
      <c r="C878" s="11">
        <v>6.27</v>
      </c>
      <c r="D878" s="16">
        <f t="shared" si="91"/>
        <v>2</v>
      </c>
      <c r="E878" s="16">
        <f t="shared" si="92"/>
        <v>0.2</v>
      </c>
      <c r="F878" s="16">
        <f t="shared" si="93"/>
        <v>2</v>
      </c>
      <c r="G878" s="16">
        <f t="shared" si="94"/>
        <v>2.3946000000000001</v>
      </c>
      <c r="H878" s="16">
        <f t="shared" si="95"/>
        <v>0.4</v>
      </c>
      <c r="I878" s="16">
        <f t="shared" si="96"/>
        <v>0</v>
      </c>
      <c r="J878" s="16">
        <f t="shared" si="97"/>
        <v>0</v>
      </c>
      <c r="K878" s="16">
        <f>IF(CurrentMtgRatesDataTable8[[#This Row],[WA CC]]&lt;&gt;0,C877-CurrentMtgRatesDataTable8[[#This Row],[WA CC]],0)</f>
        <v>0</v>
      </c>
      <c r="L878" s="16">
        <f>IF(CurrentMtgRatesDataTable8[[#This Row],[Servicing Spread]]&lt;=0,L877,CurrentMtgRatesDataTable8[[#This Row],[Servicing Spread]])</f>
        <v>0.28999999999999915</v>
      </c>
      <c r="M878" s="16">
        <f>CurrentMtgRatesDataTable8[[#This Row],[Servicing Spread Non-Zero]]-L877</f>
        <v>0</v>
      </c>
      <c r="N878" s="16">
        <f>IF(J877&lt;&gt;0,CurrentMtgRatesDataTable8[[#This Row],[Rate]]-C877,N877)</f>
        <v>4.9999999999999822E-2</v>
      </c>
    </row>
    <row r="879" spans="1:14">
      <c r="A879" s="39" t="s">
        <v>2231</v>
      </c>
      <c r="B879" s="40">
        <v>6.0119999999999996</v>
      </c>
      <c r="C879" s="11">
        <v>6.27</v>
      </c>
      <c r="D879" s="16">
        <f t="shared" si="91"/>
        <v>6</v>
      </c>
      <c r="E879" s="16">
        <f t="shared" si="92"/>
        <v>0.2</v>
      </c>
      <c r="F879" s="16">
        <f t="shared" si="93"/>
        <v>3</v>
      </c>
      <c r="G879" s="16">
        <f t="shared" si="94"/>
        <v>3.597</v>
      </c>
      <c r="H879" s="16">
        <f t="shared" si="95"/>
        <v>0.60000000000000009</v>
      </c>
      <c r="I879" s="16">
        <f t="shared" si="96"/>
        <v>0</v>
      </c>
      <c r="J879" s="16">
        <f t="shared" si="97"/>
        <v>0</v>
      </c>
      <c r="K879" s="16">
        <f>IF(CurrentMtgRatesDataTable8[[#This Row],[WA CC]]&lt;&gt;0,C878-CurrentMtgRatesDataTable8[[#This Row],[WA CC]],0)</f>
        <v>0</v>
      </c>
      <c r="L879" s="16">
        <f>IF(CurrentMtgRatesDataTable8[[#This Row],[Servicing Spread]]&lt;=0,L878,CurrentMtgRatesDataTable8[[#This Row],[Servicing Spread]])</f>
        <v>0.28999999999999915</v>
      </c>
      <c r="M879" s="16">
        <f>CurrentMtgRatesDataTable8[[#This Row],[Servicing Spread Non-Zero]]-L878</f>
        <v>0</v>
      </c>
      <c r="N879" s="16">
        <f>IF(J878&lt;&gt;0,CurrentMtgRatesDataTable8[[#This Row],[Rate]]-C878,N878)</f>
        <v>4.9999999999999822E-2</v>
      </c>
    </row>
    <row r="880" spans="1:14">
      <c r="A880" s="39" t="s">
        <v>2232</v>
      </c>
      <c r="B880" s="40">
        <v>6.0119999999999996</v>
      </c>
      <c r="C880" s="11">
        <v>6.27</v>
      </c>
      <c r="D880" s="16">
        <f t="shared" si="91"/>
        <v>7</v>
      </c>
      <c r="E880" s="16">
        <f t="shared" si="92"/>
        <v>0.2</v>
      </c>
      <c r="F880" s="16">
        <f t="shared" si="93"/>
        <v>4</v>
      </c>
      <c r="G880" s="16">
        <f t="shared" si="94"/>
        <v>4.7994000000000003</v>
      </c>
      <c r="H880" s="16">
        <f t="shared" si="95"/>
        <v>0.8</v>
      </c>
      <c r="I880" s="16">
        <f t="shared" si="96"/>
        <v>1</v>
      </c>
      <c r="J880" s="16">
        <f t="shared" si="97"/>
        <v>5.99925</v>
      </c>
      <c r="K880" s="16">
        <f>IF(CurrentMtgRatesDataTable8[[#This Row],[WA CC]]&lt;&gt;0,C879-CurrentMtgRatesDataTable8[[#This Row],[WA CC]],0)</f>
        <v>0.2707499999999996</v>
      </c>
      <c r="L880" s="16">
        <f>IF(CurrentMtgRatesDataTable8[[#This Row],[Servicing Spread]]&lt;=0,L879,CurrentMtgRatesDataTable8[[#This Row],[Servicing Spread]])</f>
        <v>0.2707499999999996</v>
      </c>
      <c r="M880" s="16">
        <f>CurrentMtgRatesDataTable8[[#This Row],[Servicing Spread Non-Zero]]-L879</f>
        <v>-1.9249999999999545E-2</v>
      </c>
      <c r="N880" s="16">
        <f>IF(J879&lt;&gt;0,CurrentMtgRatesDataTable8[[#This Row],[Rate]]-C879,N879)</f>
        <v>4.9999999999999822E-2</v>
      </c>
    </row>
    <row r="881" spans="1:14">
      <c r="A881" s="39" t="s">
        <v>2233</v>
      </c>
      <c r="B881" s="40">
        <v>6.024</v>
      </c>
      <c r="C881" s="11">
        <v>6.38</v>
      </c>
      <c r="D881" s="16">
        <f t="shared" si="91"/>
        <v>1</v>
      </c>
      <c r="E881" s="16">
        <f t="shared" si="92"/>
        <v>0.2</v>
      </c>
      <c r="F881" s="16">
        <f t="shared" si="93"/>
        <v>1</v>
      </c>
      <c r="G881" s="16">
        <f t="shared" si="94"/>
        <v>1.2048000000000001</v>
      </c>
      <c r="H881" s="16">
        <f t="shared" si="95"/>
        <v>0.2</v>
      </c>
      <c r="I881" s="16">
        <f t="shared" si="96"/>
        <v>0</v>
      </c>
      <c r="J881" s="16">
        <f t="shared" si="97"/>
        <v>0</v>
      </c>
      <c r="K881" s="16">
        <f>IF(CurrentMtgRatesDataTable8[[#This Row],[WA CC]]&lt;&gt;0,C880-CurrentMtgRatesDataTable8[[#This Row],[WA CC]],0)</f>
        <v>0</v>
      </c>
      <c r="L881" s="16">
        <f>IF(CurrentMtgRatesDataTable8[[#This Row],[Servicing Spread]]&lt;=0,L880,CurrentMtgRatesDataTable8[[#This Row],[Servicing Spread]])</f>
        <v>0.2707499999999996</v>
      </c>
      <c r="M881" s="16">
        <f>CurrentMtgRatesDataTable8[[#This Row],[Servicing Spread Non-Zero]]-L880</f>
        <v>0</v>
      </c>
      <c r="N881" s="16">
        <f>IF(J880&lt;&gt;0,CurrentMtgRatesDataTable8[[#This Row],[Rate]]-C880,N880)</f>
        <v>0.11000000000000032</v>
      </c>
    </row>
    <row r="882" spans="1:14">
      <c r="A882" s="39" t="s">
        <v>2234</v>
      </c>
      <c r="B882" s="40">
        <v>6.0739999999999998</v>
      </c>
      <c r="C882" s="11">
        <v>6.38</v>
      </c>
      <c r="D882" s="16">
        <f t="shared" si="91"/>
        <v>2</v>
      </c>
      <c r="E882" s="16">
        <f t="shared" si="92"/>
        <v>0.2</v>
      </c>
      <c r="F882" s="16">
        <f t="shared" si="93"/>
        <v>2</v>
      </c>
      <c r="G882" s="16">
        <f t="shared" si="94"/>
        <v>2.4196</v>
      </c>
      <c r="H882" s="16">
        <f t="shared" si="95"/>
        <v>0.4</v>
      </c>
      <c r="I882" s="16">
        <f t="shared" si="96"/>
        <v>0</v>
      </c>
      <c r="J882" s="16">
        <f t="shared" si="97"/>
        <v>0</v>
      </c>
      <c r="K882" s="16">
        <f>IF(CurrentMtgRatesDataTable8[[#This Row],[WA CC]]&lt;&gt;0,C881-CurrentMtgRatesDataTable8[[#This Row],[WA CC]],0)</f>
        <v>0</v>
      </c>
      <c r="L882" s="16">
        <f>IF(CurrentMtgRatesDataTable8[[#This Row],[Servicing Spread]]&lt;=0,L881,CurrentMtgRatesDataTable8[[#This Row],[Servicing Spread]])</f>
        <v>0.2707499999999996</v>
      </c>
      <c r="M882" s="16">
        <f>CurrentMtgRatesDataTable8[[#This Row],[Servicing Spread Non-Zero]]-L881</f>
        <v>0</v>
      </c>
      <c r="N882" s="16">
        <f>IF(J881&lt;&gt;0,CurrentMtgRatesDataTable8[[#This Row],[Rate]]-C881,N881)</f>
        <v>0.11000000000000032</v>
      </c>
    </row>
    <row r="883" spans="1:14">
      <c r="A883" s="39" t="s">
        <v>2235</v>
      </c>
      <c r="B883" s="40">
        <v>6.0640000000000001</v>
      </c>
      <c r="C883" s="11">
        <v>6.38</v>
      </c>
      <c r="D883" s="16">
        <f t="shared" si="91"/>
        <v>5</v>
      </c>
      <c r="E883" s="16">
        <f t="shared" si="92"/>
        <v>0.2</v>
      </c>
      <c r="F883" s="16">
        <f t="shared" si="93"/>
        <v>3</v>
      </c>
      <c r="G883" s="16">
        <f t="shared" si="94"/>
        <v>3.6324000000000001</v>
      </c>
      <c r="H883" s="16">
        <f t="shared" si="95"/>
        <v>0.60000000000000009</v>
      </c>
      <c r="I883" s="16">
        <f t="shared" si="96"/>
        <v>0</v>
      </c>
      <c r="J883" s="16">
        <f t="shared" si="97"/>
        <v>0</v>
      </c>
      <c r="K883" s="16">
        <f>IF(CurrentMtgRatesDataTable8[[#This Row],[WA CC]]&lt;&gt;0,C882-CurrentMtgRatesDataTable8[[#This Row],[WA CC]],0)</f>
        <v>0</v>
      </c>
      <c r="L883" s="16">
        <f>IF(CurrentMtgRatesDataTable8[[#This Row],[Servicing Spread]]&lt;=0,L882,CurrentMtgRatesDataTable8[[#This Row],[Servicing Spread]])</f>
        <v>0.2707499999999996</v>
      </c>
      <c r="M883" s="16">
        <f>CurrentMtgRatesDataTable8[[#This Row],[Servicing Spread Non-Zero]]-L882</f>
        <v>0</v>
      </c>
      <c r="N883" s="16">
        <f>IF(J882&lt;&gt;0,CurrentMtgRatesDataTable8[[#This Row],[Rate]]-C882,N882)</f>
        <v>0.11000000000000032</v>
      </c>
    </row>
    <row r="884" spans="1:14">
      <c r="A884" s="39" t="s">
        <v>2236</v>
      </c>
      <c r="B884" s="40">
        <v>6.1189999999999998</v>
      </c>
      <c r="C884" s="11">
        <v>6.38</v>
      </c>
      <c r="D884" s="16">
        <f t="shared" si="91"/>
        <v>6</v>
      </c>
      <c r="E884" s="16">
        <f t="shared" si="92"/>
        <v>0.2</v>
      </c>
      <c r="F884" s="16">
        <f t="shared" si="93"/>
        <v>4</v>
      </c>
      <c r="G884" s="16">
        <f t="shared" si="94"/>
        <v>4.8562000000000003</v>
      </c>
      <c r="H884" s="16">
        <f t="shared" si="95"/>
        <v>0.8</v>
      </c>
      <c r="I884" s="16">
        <f t="shared" si="96"/>
        <v>0</v>
      </c>
      <c r="J884" s="16">
        <f t="shared" si="97"/>
        <v>0</v>
      </c>
      <c r="K884" s="16">
        <f>IF(CurrentMtgRatesDataTable8[[#This Row],[WA CC]]&lt;&gt;0,C883-CurrentMtgRatesDataTable8[[#This Row],[WA CC]],0)</f>
        <v>0</v>
      </c>
      <c r="L884" s="16">
        <f>IF(CurrentMtgRatesDataTable8[[#This Row],[Servicing Spread]]&lt;=0,L883,CurrentMtgRatesDataTable8[[#This Row],[Servicing Spread]])</f>
        <v>0.2707499999999996</v>
      </c>
      <c r="M884" s="16">
        <f>CurrentMtgRatesDataTable8[[#This Row],[Servicing Spread Non-Zero]]-L883</f>
        <v>0</v>
      </c>
      <c r="N884" s="16">
        <f>IF(J883&lt;&gt;0,CurrentMtgRatesDataTable8[[#This Row],[Rate]]-C883,N883)</f>
        <v>0.11000000000000032</v>
      </c>
    </row>
    <row r="885" spans="1:14">
      <c r="A885" s="39" t="s">
        <v>2237</v>
      </c>
      <c r="B885" s="40">
        <v>6.1239999999999997</v>
      </c>
      <c r="C885" s="11">
        <v>6.38</v>
      </c>
      <c r="D885" s="16">
        <f t="shared" si="91"/>
        <v>7</v>
      </c>
      <c r="E885" s="16">
        <f t="shared" si="92"/>
        <v>0.2</v>
      </c>
      <c r="F885" s="16">
        <f t="shared" si="93"/>
        <v>5</v>
      </c>
      <c r="G885" s="16">
        <f t="shared" si="94"/>
        <v>6.0810000000000004</v>
      </c>
      <c r="H885" s="16">
        <f t="shared" si="95"/>
        <v>1</v>
      </c>
      <c r="I885" s="16">
        <f t="shared" si="96"/>
        <v>1</v>
      </c>
      <c r="J885" s="16">
        <f t="shared" si="97"/>
        <v>6.0810000000000004</v>
      </c>
      <c r="K885" s="16">
        <f>IF(CurrentMtgRatesDataTable8[[#This Row],[WA CC]]&lt;&gt;0,C884-CurrentMtgRatesDataTable8[[#This Row],[WA CC]],0)</f>
        <v>0.29899999999999949</v>
      </c>
      <c r="L885" s="16">
        <f>IF(CurrentMtgRatesDataTable8[[#This Row],[Servicing Spread]]&lt;=0,L884,CurrentMtgRatesDataTable8[[#This Row],[Servicing Spread]])</f>
        <v>0.29899999999999949</v>
      </c>
      <c r="M885" s="16">
        <f>CurrentMtgRatesDataTable8[[#This Row],[Servicing Spread Non-Zero]]-L884</f>
        <v>2.8249999999999886E-2</v>
      </c>
      <c r="N885" s="16">
        <f>IF(J884&lt;&gt;0,CurrentMtgRatesDataTable8[[#This Row],[Rate]]-C884,N884)</f>
        <v>0.11000000000000032</v>
      </c>
    </row>
    <row r="886" spans="1:14">
      <c r="A886" s="39" t="s">
        <v>2238</v>
      </c>
      <c r="B886" s="40">
        <v>6.2649999999999997</v>
      </c>
      <c r="C886" s="11">
        <v>6.59</v>
      </c>
      <c r="D886" s="16">
        <f t="shared" si="91"/>
        <v>1</v>
      </c>
      <c r="E886" s="16">
        <f t="shared" si="92"/>
        <v>0.2</v>
      </c>
      <c r="F886" s="16">
        <f t="shared" si="93"/>
        <v>1</v>
      </c>
      <c r="G886" s="16">
        <f t="shared" si="94"/>
        <v>1.2530000000000001</v>
      </c>
      <c r="H886" s="16">
        <f t="shared" si="95"/>
        <v>0.2</v>
      </c>
      <c r="I886" s="16">
        <f t="shared" si="96"/>
        <v>0</v>
      </c>
      <c r="J886" s="16">
        <f t="shared" si="97"/>
        <v>0</v>
      </c>
      <c r="K886" s="16">
        <f>IF(CurrentMtgRatesDataTable8[[#This Row],[WA CC]]&lt;&gt;0,C885-CurrentMtgRatesDataTable8[[#This Row],[WA CC]],0)</f>
        <v>0</v>
      </c>
      <c r="L886" s="16">
        <f>IF(CurrentMtgRatesDataTable8[[#This Row],[Servicing Spread]]&lt;=0,L885,CurrentMtgRatesDataTable8[[#This Row],[Servicing Spread]])</f>
        <v>0.29899999999999949</v>
      </c>
      <c r="M886" s="16">
        <f>CurrentMtgRatesDataTable8[[#This Row],[Servicing Spread Non-Zero]]-L885</f>
        <v>0</v>
      </c>
      <c r="N886" s="16">
        <f>IF(J885&lt;&gt;0,CurrentMtgRatesDataTable8[[#This Row],[Rate]]-C885,N885)</f>
        <v>0.20999999999999996</v>
      </c>
    </row>
    <row r="887" spans="1:14">
      <c r="A887" s="39" t="s">
        <v>2239</v>
      </c>
      <c r="B887" s="40">
        <v>6.2809999999999997</v>
      </c>
      <c r="C887" s="11">
        <v>6.59</v>
      </c>
      <c r="D887" s="16">
        <f t="shared" si="91"/>
        <v>2</v>
      </c>
      <c r="E887" s="16">
        <f t="shared" si="92"/>
        <v>0.2</v>
      </c>
      <c r="F887" s="16">
        <f t="shared" si="93"/>
        <v>2</v>
      </c>
      <c r="G887" s="16">
        <f t="shared" si="94"/>
        <v>2.5091999999999999</v>
      </c>
      <c r="H887" s="16">
        <f t="shared" si="95"/>
        <v>0.4</v>
      </c>
      <c r="I887" s="16">
        <f t="shared" si="96"/>
        <v>0</v>
      </c>
      <c r="J887" s="16">
        <f t="shared" si="97"/>
        <v>0</v>
      </c>
      <c r="K887" s="16">
        <f>IF(CurrentMtgRatesDataTable8[[#This Row],[WA CC]]&lt;&gt;0,C886-CurrentMtgRatesDataTable8[[#This Row],[WA CC]],0)</f>
        <v>0</v>
      </c>
      <c r="L887" s="16">
        <f>IF(CurrentMtgRatesDataTable8[[#This Row],[Servicing Spread]]&lt;=0,L886,CurrentMtgRatesDataTable8[[#This Row],[Servicing Spread]])</f>
        <v>0.29899999999999949</v>
      </c>
      <c r="M887" s="16">
        <f>CurrentMtgRatesDataTable8[[#This Row],[Servicing Spread Non-Zero]]-L886</f>
        <v>0</v>
      </c>
      <c r="N887" s="16">
        <f>IF(J886&lt;&gt;0,CurrentMtgRatesDataTable8[[#This Row],[Rate]]-C886,N886)</f>
        <v>0.20999999999999996</v>
      </c>
    </row>
    <row r="888" spans="1:14">
      <c r="A888" s="39" t="s">
        <v>2240</v>
      </c>
      <c r="B888" s="40">
        <v>6.2889999999999997</v>
      </c>
      <c r="C888" s="11">
        <v>6.59</v>
      </c>
      <c r="D888" s="16">
        <f t="shared" si="91"/>
        <v>5</v>
      </c>
      <c r="E888" s="16">
        <f t="shared" si="92"/>
        <v>0.2</v>
      </c>
      <c r="F888" s="16">
        <f t="shared" si="93"/>
        <v>3</v>
      </c>
      <c r="G888" s="16">
        <f t="shared" si="94"/>
        <v>3.7669999999999999</v>
      </c>
      <c r="H888" s="16">
        <f t="shared" si="95"/>
        <v>0.60000000000000009</v>
      </c>
      <c r="I888" s="16">
        <f t="shared" si="96"/>
        <v>0</v>
      </c>
      <c r="J888" s="16">
        <f t="shared" si="97"/>
        <v>0</v>
      </c>
      <c r="K888" s="16">
        <f>IF(CurrentMtgRatesDataTable8[[#This Row],[WA CC]]&lt;&gt;0,C887-CurrentMtgRatesDataTable8[[#This Row],[WA CC]],0)</f>
        <v>0</v>
      </c>
      <c r="L888" s="16">
        <f>IF(CurrentMtgRatesDataTable8[[#This Row],[Servicing Spread]]&lt;=0,L887,CurrentMtgRatesDataTable8[[#This Row],[Servicing Spread]])</f>
        <v>0.29899999999999949</v>
      </c>
      <c r="M888" s="16">
        <f>CurrentMtgRatesDataTable8[[#This Row],[Servicing Spread Non-Zero]]-L887</f>
        <v>0</v>
      </c>
      <c r="N888" s="16">
        <f>IF(J887&lt;&gt;0,CurrentMtgRatesDataTable8[[#This Row],[Rate]]-C887,N887)</f>
        <v>0.20999999999999996</v>
      </c>
    </row>
    <row r="889" spans="1:14">
      <c r="A889" s="47" t="s">
        <v>2241</v>
      </c>
      <c r="B889" s="48">
        <v>6.399</v>
      </c>
      <c r="C889" s="49">
        <v>6.59</v>
      </c>
      <c r="D889" s="50">
        <f t="shared" si="91"/>
        <v>6</v>
      </c>
      <c r="E889" s="50">
        <f t="shared" si="92"/>
        <v>0.2</v>
      </c>
      <c r="F889" s="50">
        <f t="shared" si="93"/>
        <v>4</v>
      </c>
      <c r="G889" s="50">
        <f t="shared" si="94"/>
        <v>5.0468000000000002</v>
      </c>
      <c r="H889" s="50">
        <f t="shared" si="95"/>
        <v>0.8</v>
      </c>
      <c r="I889" s="50">
        <f t="shared" si="96"/>
        <v>0</v>
      </c>
      <c r="J889" s="50">
        <f t="shared" si="97"/>
        <v>0</v>
      </c>
      <c r="K889" s="50">
        <f>IF(CurrentMtgRatesDataTable8[[#This Row],[WA CC]]&lt;&gt;0,C888-CurrentMtgRatesDataTable8[[#This Row],[WA CC]],0)</f>
        <v>0</v>
      </c>
      <c r="L889" s="50">
        <f>IF(CurrentMtgRatesDataTable8[[#This Row],[Servicing Spread]]&lt;=0,L888,CurrentMtgRatesDataTable8[[#This Row],[Servicing Spread]])</f>
        <v>0.29899999999999949</v>
      </c>
      <c r="M889" s="50">
        <f>CurrentMtgRatesDataTable8[[#This Row],[Servicing Spread Non-Zero]]-L888</f>
        <v>0</v>
      </c>
      <c r="N889" s="50">
        <f>IF(J888&lt;&gt;0,CurrentMtgRatesDataTable8[[#This Row],[Rate]]-C888,N888)</f>
        <v>0.20999999999999996</v>
      </c>
    </row>
    <row r="890" spans="1:14">
      <c r="A890" s="47" t="s">
        <v>2242</v>
      </c>
      <c r="B890" s="48">
        <v>6.3630000000000004</v>
      </c>
      <c r="C890" s="49">
        <v>6.59</v>
      </c>
      <c r="D890" s="50">
        <f t="shared" si="91"/>
        <v>7</v>
      </c>
      <c r="E890" s="50">
        <f t="shared" si="92"/>
        <v>0.2</v>
      </c>
      <c r="F890" s="50">
        <f t="shared" si="93"/>
        <v>5</v>
      </c>
      <c r="G890" s="50">
        <f t="shared" si="94"/>
        <v>6.3193999999999999</v>
      </c>
      <c r="H890" s="50">
        <f t="shared" si="95"/>
        <v>1</v>
      </c>
      <c r="I890" s="50">
        <f t="shared" si="96"/>
        <v>1</v>
      </c>
      <c r="J890" s="50">
        <f t="shared" si="97"/>
        <v>6.3193999999999999</v>
      </c>
      <c r="K890" s="50">
        <f>IF(CurrentMtgRatesDataTable8[[#This Row],[WA CC]]&lt;&gt;0,C889-CurrentMtgRatesDataTable8[[#This Row],[WA CC]],0)</f>
        <v>0.27059999999999995</v>
      </c>
      <c r="L890" s="50">
        <f>IF(CurrentMtgRatesDataTable8[[#This Row],[Servicing Spread]]&lt;=0,L889,CurrentMtgRatesDataTable8[[#This Row],[Servicing Spread]])</f>
        <v>0.27059999999999995</v>
      </c>
      <c r="M890" s="50">
        <f>CurrentMtgRatesDataTable8[[#This Row],[Servicing Spread Non-Zero]]-L889</f>
        <v>-2.8399999999999537E-2</v>
      </c>
      <c r="N890" s="50">
        <f>IF(J889&lt;&gt;0,CurrentMtgRatesDataTable8[[#This Row],[Rate]]-C889,N889)</f>
        <v>0.20999999999999996</v>
      </c>
    </row>
    <row r="891" spans="1:14">
      <c r="A891" s="47" t="s">
        <v>2243</v>
      </c>
      <c r="B891" s="48">
        <v>6.3550000000000004</v>
      </c>
      <c r="C891" s="49">
        <v>6.5650000000000004</v>
      </c>
      <c r="D891" s="50">
        <f t="shared" si="91"/>
        <v>1</v>
      </c>
      <c r="E891" s="50">
        <f t="shared" si="92"/>
        <v>0.2</v>
      </c>
      <c r="F891" s="50">
        <f t="shared" si="93"/>
        <v>1</v>
      </c>
      <c r="G891" s="50">
        <f t="shared" si="94"/>
        <v>1.2710000000000001</v>
      </c>
      <c r="H891" s="50">
        <f t="shared" si="95"/>
        <v>0.2</v>
      </c>
      <c r="I891" s="50">
        <f t="shared" si="96"/>
        <v>0</v>
      </c>
      <c r="J891" s="50">
        <f t="shared" si="97"/>
        <v>0</v>
      </c>
      <c r="K891" s="50">
        <f>IF(CurrentMtgRatesDataTable8[[#This Row],[WA CC]]&lt;&gt;0,C890-CurrentMtgRatesDataTable8[[#This Row],[WA CC]],0)</f>
        <v>0</v>
      </c>
      <c r="L891" s="50">
        <f>IF(CurrentMtgRatesDataTable8[[#This Row],[Servicing Spread]]&lt;=0,L890,CurrentMtgRatesDataTable8[[#This Row],[Servicing Spread]])</f>
        <v>0.27059999999999995</v>
      </c>
      <c r="M891" s="50">
        <f>CurrentMtgRatesDataTable8[[#This Row],[Servicing Spread Non-Zero]]-L890</f>
        <v>0</v>
      </c>
      <c r="N891" s="50">
        <f>IF(J890&lt;&gt;0,CurrentMtgRatesDataTable8[[#This Row],[Rate]]-C890,N890)</f>
        <v>-2.4999999999999467E-2</v>
      </c>
    </row>
    <row r="892" spans="1:14">
      <c r="A892" s="47" t="s">
        <v>2244</v>
      </c>
      <c r="B892" s="48">
        <v>6.2960000000000003</v>
      </c>
      <c r="C892" s="49">
        <v>6.5650000000000004</v>
      </c>
      <c r="D892" s="50">
        <f t="shared" si="91"/>
        <v>2</v>
      </c>
      <c r="E892" s="50">
        <f t="shared" si="92"/>
        <v>0.2</v>
      </c>
      <c r="F892" s="50">
        <f t="shared" si="93"/>
        <v>2</v>
      </c>
      <c r="G892" s="50">
        <f t="shared" si="94"/>
        <v>2.5302000000000002</v>
      </c>
      <c r="H892" s="50">
        <f t="shared" si="95"/>
        <v>0.4</v>
      </c>
      <c r="I892" s="50">
        <f t="shared" si="96"/>
        <v>0</v>
      </c>
      <c r="J892" s="50">
        <f t="shared" si="97"/>
        <v>0</v>
      </c>
      <c r="K892" s="50">
        <f>IF(CurrentMtgRatesDataTable8[[#This Row],[WA CC]]&lt;&gt;0,C891-CurrentMtgRatesDataTable8[[#This Row],[WA CC]],0)</f>
        <v>0</v>
      </c>
      <c r="L892" s="50">
        <f>IF(CurrentMtgRatesDataTable8[[#This Row],[Servicing Spread]]&lt;=0,L891,CurrentMtgRatesDataTable8[[#This Row],[Servicing Spread]])</f>
        <v>0.27059999999999995</v>
      </c>
      <c r="M892" s="50">
        <f>CurrentMtgRatesDataTable8[[#This Row],[Servicing Spread Non-Zero]]-L891</f>
        <v>0</v>
      </c>
      <c r="N892" s="50">
        <f>IF(J891&lt;&gt;0,CurrentMtgRatesDataTable8[[#This Row],[Rate]]-C891,N891)</f>
        <v>-2.4999999999999467E-2</v>
      </c>
    </row>
    <row r="893" spans="1:14">
      <c r="A893" s="47" t="s">
        <v>2245</v>
      </c>
      <c r="B893" s="48">
        <v>6.2770000000000001</v>
      </c>
      <c r="C893" s="49">
        <v>6.5650000000000004</v>
      </c>
      <c r="D893" s="50">
        <f t="shared" si="91"/>
        <v>5</v>
      </c>
      <c r="E893" s="50">
        <f t="shared" si="92"/>
        <v>0.2</v>
      </c>
      <c r="F893" s="50">
        <f t="shared" si="93"/>
        <v>3</v>
      </c>
      <c r="G893" s="50">
        <f t="shared" si="94"/>
        <v>3.7856000000000005</v>
      </c>
      <c r="H893" s="50">
        <f t="shared" si="95"/>
        <v>0.60000000000000009</v>
      </c>
      <c r="I893" s="50">
        <f t="shared" si="96"/>
        <v>0</v>
      </c>
      <c r="J893" s="50">
        <f t="shared" si="97"/>
        <v>0</v>
      </c>
      <c r="K893" s="50">
        <f>IF(CurrentMtgRatesDataTable8[[#This Row],[WA CC]]&lt;&gt;0,C892-CurrentMtgRatesDataTable8[[#This Row],[WA CC]],0)</f>
        <v>0</v>
      </c>
      <c r="L893" s="50">
        <f>IF(CurrentMtgRatesDataTable8[[#This Row],[Servicing Spread]]&lt;=0,L892,CurrentMtgRatesDataTable8[[#This Row],[Servicing Spread]])</f>
        <v>0.27059999999999995</v>
      </c>
      <c r="M893" s="50">
        <f>CurrentMtgRatesDataTable8[[#This Row],[Servicing Spread Non-Zero]]-L892</f>
        <v>0</v>
      </c>
      <c r="N893" s="50">
        <f>IF(J892&lt;&gt;0,CurrentMtgRatesDataTable8[[#This Row],[Rate]]-C892,N892)</f>
        <v>-2.4999999999999467E-2</v>
      </c>
    </row>
    <row r="894" spans="1:14">
      <c r="A894" s="47" t="s">
        <v>2246</v>
      </c>
      <c r="B894" s="48">
        <v>6.226</v>
      </c>
      <c r="C894" s="49">
        <v>6.5650000000000004</v>
      </c>
      <c r="D894" s="50">
        <f t="shared" si="91"/>
        <v>6</v>
      </c>
      <c r="E894" s="50">
        <f t="shared" si="92"/>
        <v>0.2</v>
      </c>
      <c r="F894" s="50">
        <f t="shared" si="93"/>
        <v>4</v>
      </c>
      <c r="G894" s="50">
        <f t="shared" si="94"/>
        <v>5.030800000000001</v>
      </c>
      <c r="H894" s="50">
        <f t="shared" si="95"/>
        <v>0.8</v>
      </c>
      <c r="I894" s="50">
        <f t="shared" si="96"/>
        <v>0</v>
      </c>
      <c r="J894" s="50">
        <f t="shared" si="97"/>
        <v>0</v>
      </c>
      <c r="K894" s="50">
        <f>IF(CurrentMtgRatesDataTable8[[#This Row],[WA CC]]&lt;&gt;0,C893-CurrentMtgRatesDataTable8[[#This Row],[WA CC]],0)</f>
        <v>0</v>
      </c>
      <c r="L894" s="50">
        <f>IF(CurrentMtgRatesDataTable8[[#This Row],[Servicing Spread]]&lt;=0,L893,CurrentMtgRatesDataTable8[[#This Row],[Servicing Spread]])</f>
        <v>0.27059999999999995</v>
      </c>
      <c r="M894" s="50">
        <f>CurrentMtgRatesDataTable8[[#This Row],[Servicing Spread Non-Zero]]-L893</f>
        <v>0</v>
      </c>
      <c r="N894" s="50">
        <f>IF(J893&lt;&gt;0,CurrentMtgRatesDataTable8[[#This Row],[Rate]]-C893,N893)</f>
        <v>-2.4999999999999467E-2</v>
      </c>
    </row>
    <row r="895" spans="1:14">
      <c r="A895" s="47" t="s">
        <v>2247</v>
      </c>
      <c r="B895" s="48">
        <v>6.2889999999999997</v>
      </c>
      <c r="C895" s="49">
        <v>6.5650000000000004</v>
      </c>
      <c r="D895" s="50">
        <f t="shared" si="91"/>
        <v>7</v>
      </c>
      <c r="E895" s="50">
        <f t="shared" si="92"/>
        <v>0.2</v>
      </c>
      <c r="F895" s="50">
        <f t="shared" si="93"/>
        <v>5</v>
      </c>
      <c r="G895" s="50">
        <f t="shared" si="94"/>
        <v>6.2886000000000006</v>
      </c>
      <c r="H895" s="50">
        <f t="shared" si="95"/>
        <v>1</v>
      </c>
      <c r="I895" s="50">
        <f t="shared" si="96"/>
        <v>1</v>
      </c>
      <c r="J895" s="50">
        <f t="shared" si="97"/>
        <v>6.2886000000000006</v>
      </c>
      <c r="K895" s="50">
        <f>IF(CurrentMtgRatesDataTable8[[#This Row],[WA CC]]&lt;&gt;0,C894-CurrentMtgRatesDataTable8[[#This Row],[WA CC]],0)</f>
        <v>0.27639999999999976</v>
      </c>
      <c r="L895" s="50">
        <f>IF(CurrentMtgRatesDataTable8[[#This Row],[Servicing Spread]]&lt;=0,L894,CurrentMtgRatesDataTable8[[#This Row],[Servicing Spread]])</f>
        <v>0.27639999999999976</v>
      </c>
      <c r="M895" s="50">
        <f>CurrentMtgRatesDataTable8[[#This Row],[Servicing Spread Non-Zero]]-L894</f>
        <v>5.7999999999998053E-3</v>
      </c>
      <c r="N895" s="50">
        <f>IF(J894&lt;&gt;0,CurrentMtgRatesDataTable8[[#This Row],[Rate]]-C894,N894)</f>
        <v>-2.4999999999999467E-2</v>
      </c>
    </row>
    <row r="896" spans="1:14">
      <c r="A896" s="47" t="s">
        <v>2248</v>
      </c>
      <c r="B896" s="48">
        <v>6.3250000000000002</v>
      </c>
      <c r="C896" s="49">
        <v>6.52</v>
      </c>
      <c r="D896" s="50">
        <f t="shared" si="91"/>
        <v>1</v>
      </c>
      <c r="E896" s="50">
        <f t="shared" si="92"/>
        <v>0.2</v>
      </c>
      <c r="F896" s="50">
        <f t="shared" si="93"/>
        <v>1</v>
      </c>
      <c r="G896" s="50">
        <f t="shared" si="94"/>
        <v>1.2650000000000001</v>
      </c>
      <c r="H896" s="50">
        <f t="shared" si="95"/>
        <v>0.2</v>
      </c>
      <c r="I896" s="50">
        <f t="shared" si="96"/>
        <v>0</v>
      </c>
      <c r="J896" s="50">
        <f t="shared" si="97"/>
        <v>0</v>
      </c>
      <c r="K896" s="50">
        <f>IF(CurrentMtgRatesDataTable8[[#This Row],[WA CC]]&lt;&gt;0,C895-CurrentMtgRatesDataTable8[[#This Row],[WA CC]],0)</f>
        <v>0</v>
      </c>
      <c r="L896" s="50">
        <f>IF(CurrentMtgRatesDataTable8[[#This Row],[Servicing Spread]]&lt;=0,L895,CurrentMtgRatesDataTable8[[#This Row],[Servicing Spread]])</f>
        <v>0.27639999999999976</v>
      </c>
      <c r="M896" s="50">
        <f>CurrentMtgRatesDataTable8[[#This Row],[Servicing Spread Non-Zero]]-L895</f>
        <v>0</v>
      </c>
      <c r="N896" s="50">
        <f>IF(J895&lt;&gt;0,CurrentMtgRatesDataTable8[[#This Row],[Rate]]-C895,N895)</f>
        <v>-4.5000000000000817E-2</v>
      </c>
    </row>
    <row r="897" spans="1:14">
      <c r="A897" s="47" t="s">
        <v>2249</v>
      </c>
      <c r="B897" s="48">
        <v>6.3029999999999999</v>
      </c>
      <c r="C897" s="49">
        <v>6.52</v>
      </c>
      <c r="D897" s="50">
        <f t="shared" si="91"/>
        <v>2</v>
      </c>
      <c r="E897" s="50">
        <f t="shared" si="92"/>
        <v>0.2</v>
      </c>
      <c r="F897" s="50">
        <f t="shared" si="93"/>
        <v>2</v>
      </c>
      <c r="G897" s="50">
        <f t="shared" si="94"/>
        <v>2.5256000000000003</v>
      </c>
      <c r="H897" s="50">
        <f t="shared" si="95"/>
        <v>0.4</v>
      </c>
      <c r="I897" s="50">
        <f t="shared" si="96"/>
        <v>0</v>
      </c>
      <c r="J897" s="50">
        <f t="shared" si="97"/>
        <v>0</v>
      </c>
      <c r="K897" s="50">
        <f>IF(CurrentMtgRatesDataTable8[[#This Row],[WA CC]]&lt;&gt;0,C896-CurrentMtgRatesDataTable8[[#This Row],[WA CC]],0)</f>
        <v>0</v>
      </c>
      <c r="L897" s="50">
        <f>IF(CurrentMtgRatesDataTable8[[#This Row],[Servicing Spread]]&lt;=0,L896,CurrentMtgRatesDataTable8[[#This Row],[Servicing Spread]])</f>
        <v>0.27639999999999976</v>
      </c>
      <c r="M897" s="50">
        <f>CurrentMtgRatesDataTable8[[#This Row],[Servicing Spread Non-Zero]]-L896</f>
        <v>0</v>
      </c>
      <c r="N897" s="50">
        <f>IF(J896&lt;&gt;0,CurrentMtgRatesDataTable8[[#This Row],[Rate]]-C896,N896)</f>
        <v>-4.5000000000000817E-2</v>
      </c>
    </row>
    <row r="898" spans="1:14">
      <c r="A898" s="47" t="s">
        <v>2250</v>
      </c>
      <c r="B898" s="48">
        <v>6.2649999999999997</v>
      </c>
      <c r="C898" s="49">
        <v>6.52</v>
      </c>
      <c r="D898" s="50">
        <f t="shared" si="91"/>
        <v>5</v>
      </c>
      <c r="E898" s="50">
        <f t="shared" si="92"/>
        <v>0.2</v>
      </c>
      <c r="F898" s="50">
        <f t="shared" si="93"/>
        <v>3</v>
      </c>
      <c r="G898" s="50">
        <f t="shared" si="94"/>
        <v>3.7786000000000004</v>
      </c>
      <c r="H898" s="50">
        <f t="shared" si="95"/>
        <v>0.60000000000000009</v>
      </c>
      <c r="I898" s="50">
        <f t="shared" si="96"/>
        <v>0</v>
      </c>
      <c r="J898" s="50">
        <f t="shared" si="97"/>
        <v>0</v>
      </c>
      <c r="K898" s="50">
        <f>IF(CurrentMtgRatesDataTable8[[#This Row],[WA CC]]&lt;&gt;0,C897-CurrentMtgRatesDataTable8[[#This Row],[WA CC]],0)</f>
        <v>0</v>
      </c>
      <c r="L898" s="50">
        <f>IF(CurrentMtgRatesDataTable8[[#This Row],[Servicing Spread]]&lt;=0,L897,CurrentMtgRatesDataTable8[[#This Row],[Servicing Spread]])</f>
        <v>0.27639999999999976</v>
      </c>
      <c r="M898" s="50">
        <f>CurrentMtgRatesDataTable8[[#This Row],[Servicing Spread Non-Zero]]-L897</f>
        <v>0</v>
      </c>
      <c r="N898" s="50">
        <f>IF(J897&lt;&gt;0,CurrentMtgRatesDataTable8[[#This Row],[Rate]]-C897,N897)</f>
        <v>-4.5000000000000817E-2</v>
      </c>
    </row>
    <row r="899" spans="1:14">
      <c r="A899" s="47" t="s">
        <v>2251</v>
      </c>
      <c r="B899" s="48">
        <v>6.2830000000000004</v>
      </c>
      <c r="C899" s="49">
        <v>6.52</v>
      </c>
      <c r="D899" s="50">
        <f t="shared" si="91"/>
        <v>6</v>
      </c>
      <c r="E899" s="50">
        <f t="shared" si="92"/>
        <v>0.2</v>
      </c>
      <c r="F899" s="50">
        <f t="shared" si="93"/>
        <v>4</v>
      </c>
      <c r="G899" s="50">
        <f t="shared" si="94"/>
        <v>5.0352000000000006</v>
      </c>
      <c r="H899" s="50">
        <f t="shared" si="95"/>
        <v>0.8</v>
      </c>
      <c r="I899" s="50">
        <f t="shared" si="96"/>
        <v>0</v>
      </c>
      <c r="J899" s="50">
        <f t="shared" si="97"/>
        <v>0</v>
      </c>
      <c r="K899" s="50">
        <f>IF(CurrentMtgRatesDataTable8[[#This Row],[WA CC]]&lt;&gt;0,C898-CurrentMtgRatesDataTable8[[#This Row],[WA CC]],0)</f>
        <v>0</v>
      </c>
      <c r="L899" s="50">
        <f>IF(CurrentMtgRatesDataTable8[[#This Row],[Servicing Spread]]&lt;=0,L898,CurrentMtgRatesDataTable8[[#This Row],[Servicing Spread]])</f>
        <v>0.27639999999999976</v>
      </c>
      <c r="M899" s="50">
        <f>CurrentMtgRatesDataTable8[[#This Row],[Servicing Spread Non-Zero]]-L898</f>
        <v>0</v>
      </c>
      <c r="N899" s="50">
        <f>IF(J898&lt;&gt;0,CurrentMtgRatesDataTable8[[#This Row],[Rate]]-C898,N898)</f>
        <v>-4.5000000000000817E-2</v>
      </c>
    </row>
    <row r="900" spans="1:14">
      <c r="A900" s="47" t="s">
        <v>2252</v>
      </c>
      <c r="B900" s="48">
        <v>6.2670000000000003</v>
      </c>
      <c r="C900" s="49">
        <v>6.52</v>
      </c>
      <c r="D900" s="50">
        <f t="shared" si="91"/>
        <v>7</v>
      </c>
      <c r="E900" s="50">
        <f t="shared" si="92"/>
        <v>0.2</v>
      </c>
      <c r="F900" s="50">
        <f t="shared" si="93"/>
        <v>5</v>
      </c>
      <c r="G900" s="50">
        <f t="shared" si="94"/>
        <v>6.2886000000000006</v>
      </c>
      <c r="H900" s="50">
        <f t="shared" si="95"/>
        <v>1</v>
      </c>
      <c r="I900" s="50">
        <f t="shared" si="96"/>
        <v>1</v>
      </c>
      <c r="J900" s="50">
        <f t="shared" si="97"/>
        <v>6.2886000000000006</v>
      </c>
      <c r="K900" s="50">
        <f>IF(CurrentMtgRatesDataTable8[[#This Row],[WA CC]]&lt;&gt;0,C899-CurrentMtgRatesDataTable8[[#This Row],[WA CC]],0)</f>
        <v>0.23139999999999894</v>
      </c>
      <c r="L900" s="50">
        <f>IF(CurrentMtgRatesDataTable8[[#This Row],[Servicing Spread]]&lt;=0,L899,CurrentMtgRatesDataTable8[[#This Row],[Servicing Spread]])</f>
        <v>0.23139999999999894</v>
      </c>
      <c r="M900" s="50">
        <f>CurrentMtgRatesDataTable8[[#This Row],[Servicing Spread Non-Zero]]-L899</f>
        <v>-4.5000000000000817E-2</v>
      </c>
      <c r="N900" s="50">
        <f>IF(J899&lt;&gt;0,CurrentMtgRatesDataTable8[[#This Row],[Rate]]-C899,N899)</f>
        <v>-4.5000000000000817E-2</v>
      </c>
    </row>
    <row r="901" spans="1:14">
      <c r="A901" s="47" t="s">
        <v>2253</v>
      </c>
      <c r="B901" s="48">
        <v>6.2990000000000004</v>
      </c>
      <c r="C901" s="49">
        <v>6.4799999999999995</v>
      </c>
      <c r="D901" s="50">
        <f t="shared" ref="D901:D964" si="98">WEEKDAY(A901,14)</f>
        <v>1</v>
      </c>
      <c r="E901" s="50">
        <f t="shared" ref="E901:E964" si="99">VLOOKUP(D901,Q$5:R$11,2,FALSE)</f>
        <v>0.2</v>
      </c>
      <c r="F901" s="50">
        <f t="shared" ref="F901:F964" si="100">IF(AND(D901&gt;D900,F900&lt;6),F900+1,1)</f>
        <v>1</v>
      </c>
      <c r="G901" s="50">
        <f t="shared" ref="G901:G964" si="101">IF(F901&gt;F900,G900+B901*E901,B901*E901)</f>
        <v>1.2598000000000003</v>
      </c>
      <c r="H901" s="50">
        <f t="shared" ref="H901:H964" si="102">IF(AND(F901&lt;6,F901&gt;F900),E901+H900,E901)</f>
        <v>0.2</v>
      </c>
      <c r="I901" s="50">
        <f t="shared" ref="I901:I964" si="103">IF(F901&gt;F902,1,0)</f>
        <v>0</v>
      </c>
      <c r="J901" s="50">
        <f t="shared" ref="J901:J964" si="104">IF(F901&gt;F902,G901/H901,0)</f>
        <v>0</v>
      </c>
      <c r="K901" s="50">
        <f>IF(CurrentMtgRatesDataTable8[[#This Row],[WA CC]]&lt;&gt;0,C900-CurrentMtgRatesDataTable8[[#This Row],[WA CC]],0)</f>
        <v>0</v>
      </c>
      <c r="L901" s="50">
        <f>IF(CurrentMtgRatesDataTable8[[#This Row],[Servicing Spread]]&lt;=0,L900,CurrentMtgRatesDataTable8[[#This Row],[Servicing Spread]])</f>
        <v>0.23139999999999894</v>
      </c>
      <c r="M901" s="50">
        <f>CurrentMtgRatesDataTable8[[#This Row],[Servicing Spread Non-Zero]]-L900</f>
        <v>0</v>
      </c>
      <c r="N901" s="50">
        <f>IF(J900&lt;&gt;0,CurrentMtgRatesDataTable8[[#This Row],[Rate]]-C900,N900)</f>
        <v>-4.0000000000000036E-2</v>
      </c>
    </row>
    <row r="902" spans="1:14">
      <c r="A902" s="47" t="s">
        <v>2254</v>
      </c>
      <c r="B902" s="48">
        <v>6.2539999999999996</v>
      </c>
      <c r="C902" s="49">
        <v>6.4799999999999995</v>
      </c>
      <c r="D902" s="50">
        <f t="shared" si="98"/>
        <v>2</v>
      </c>
      <c r="E902" s="50">
        <f t="shared" si="99"/>
        <v>0.2</v>
      </c>
      <c r="F902" s="50">
        <f t="shared" si="100"/>
        <v>2</v>
      </c>
      <c r="G902" s="50">
        <f t="shared" si="101"/>
        <v>2.5106000000000002</v>
      </c>
      <c r="H902" s="50">
        <f t="shared" si="102"/>
        <v>0.4</v>
      </c>
      <c r="I902" s="50">
        <f t="shared" si="103"/>
        <v>0</v>
      </c>
      <c r="J902" s="50">
        <f t="shared" si="104"/>
        <v>0</v>
      </c>
      <c r="K902" s="50">
        <f>IF(CurrentMtgRatesDataTable8[[#This Row],[WA CC]]&lt;&gt;0,C901-CurrentMtgRatesDataTable8[[#This Row],[WA CC]],0)</f>
        <v>0</v>
      </c>
      <c r="L902" s="50">
        <f>IF(CurrentMtgRatesDataTable8[[#This Row],[Servicing Spread]]&lt;=0,L901,CurrentMtgRatesDataTable8[[#This Row],[Servicing Spread]])</f>
        <v>0.23139999999999894</v>
      </c>
      <c r="M902" s="50">
        <f>CurrentMtgRatesDataTable8[[#This Row],[Servicing Spread Non-Zero]]-L901</f>
        <v>0</v>
      </c>
      <c r="N902" s="50">
        <f>IF(J901&lt;&gt;0,CurrentMtgRatesDataTable8[[#This Row],[Rate]]-C901,N901)</f>
        <v>-4.0000000000000036E-2</v>
      </c>
    </row>
    <row r="903" spans="1:14">
      <c r="A903" s="47" t="s">
        <v>2255</v>
      </c>
      <c r="B903" s="48">
        <v>6.2270000000000003</v>
      </c>
      <c r="C903" s="49">
        <v>6.4799999999999995</v>
      </c>
      <c r="D903" s="50">
        <f t="shared" si="98"/>
        <v>5</v>
      </c>
      <c r="E903" s="50">
        <f t="shared" si="99"/>
        <v>0.2</v>
      </c>
      <c r="F903" s="50">
        <f t="shared" si="100"/>
        <v>3</v>
      </c>
      <c r="G903" s="50">
        <f t="shared" si="101"/>
        <v>3.7560000000000002</v>
      </c>
      <c r="H903" s="50">
        <f t="shared" si="102"/>
        <v>0.60000000000000009</v>
      </c>
      <c r="I903" s="50">
        <f t="shared" si="103"/>
        <v>0</v>
      </c>
      <c r="J903" s="50">
        <f t="shared" si="104"/>
        <v>0</v>
      </c>
      <c r="K903" s="50">
        <f>IF(CurrentMtgRatesDataTable8[[#This Row],[WA CC]]&lt;&gt;0,C902-CurrentMtgRatesDataTable8[[#This Row],[WA CC]],0)</f>
        <v>0</v>
      </c>
      <c r="L903" s="50">
        <f>IF(CurrentMtgRatesDataTable8[[#This Row],[Servicing Spread]]&lt;=0,L902,CurrentMtgRatesDataTable8[[#This Row],[Servicing Spread]])</f>
        <v>0.23139999999999894</v>
      </c>
      <c r="M903" s="50">
        <f>CurrentMtgRatesDataTable8[[#This Row],[Servicing Spread Non-Zero]]-L902</f>
        <v>0</v>
      </c>
      <c r="N903" s="50">
        <f>IF(J902&lt;&gt;0,CurrentMtgRatesDataTable8[[#This Row],[Rate]]-C902,N902)</f>
        <v>-4.0000000000000036E-2</v>
      </c>
    </row>
    <row r="904" spans="1:14">
      <c r="A904" s="47" t="s">
        <v>2256</v>
      </c>
      <c r="B904" s="48">
        <v>6.26</v>
      </c>
      <c r="C904" s="49">
        <v>6.4799999999999995</v>
      </c>
      <c r="D904" s="50">
        <f t="shared" si="98"/>
        <v>6</v>
      </c>
      <c r="E904" s="50">
        <f t="shared" si="99"/>
        <v>0.2</v>
      </c>
      <c r="F904" s="50">
        <f t="shared" si="100"/>
        <v>4</v>
      </c>
      <c r="G904" s="50">
        <f t="shared" si="101"/>
        <v>5.008</v>
      </c>
      <c r="H904" s="50">
        <f t="shared" si="102"/>
        <v>0.8</v>
      </c>
      <c r="I904" s="50">
        <f t="shared" si="103"/>
        <v>1</v>
      </c>
      <c r="J904" s="50">
        <f t="shared" si="104"/>
        <v>6.26</v>
      </c>
      <c r="K904" s="50">
        <f>IF(CurrentMtgRatesDataTable8[[#This Row],[WA CC]]&lt;&gt;0,C903-CurrentMtgRatesDataTable8[[#This Row],[WA CC]],0)</f>
        <v>0.21999999999999975</v>
      </c>
      <c r="L904" s="50">
        <f>IF(CurrentMtgRatesDataTable8[[#This Row],[Servicing Spread]]&lt;=0,L903,CurrentMtgRatesDataTable8[[#This Row],[Servicing Spread]])</f>
        <v>0.21999999999999975</v>
      </c>
      <c r="M904" s="50">
        <f>CurrentMtgRatesDataTable8[[#This Row],[Servicing Spread Non-Zero]]-L903</f>
        <v>-1.1399999999999189E-2</v>
      </c>
      <c r="N904" s="50">
        <f>IF(J903&lt;&gt;0,CurrentMtgRatesDataTable8[[#This Row],[Rate]]-C903,N903)</f>
        <v>-4.0000000000000036E-2</v>
      </c>
    </row>
    <row r="905" spans="1:14">
      <c r="A905" s="47" t="s">
        <v>2257</v>
      </c>
      <c r="B905" s="48">
        <v>6.34</v>
      </c>
      <c r="C905" s="49">
        <v>6.58</v>
      </c>
      <c r="D905" s="50">
        <f t="shared" si="98"/>
        <v>1</v>
      </c>
      <c r="E905" s="50">
        <f t="shared" si="99"/>
        <v>0.2</v>
      </c>
      <c r="F905" s="50">
        <f t="shared" si="100"/>
        <v>1</v>
      </c>
      <c r="G905" s="50">
        <f t="shared" si="101"/>
        <v>1.268</v>
      </c>
      <c r="H905" s="50">
        <f t="shared" si="102"/>
        <v>0.2</v>
      </c>
      <c r="I905" s="50">
        <f t="shared" si="103"/>
        <v>0</v>
      </c>
      <c r="J905" s="50">
        <f t="shared" si="104"/>
        <v>0</v>
      </c>
      <c r="K905" s="50">
        <f>IF(CurrentMtgRatesDataTable8[[#This Row],[WA CC]]&lt;&gt;0,C904-CurrentMtgRatesDataTable8[[#This Row],[WA CC]],0)</f>
        <v>0</v>
      </c>
      <c r="L905" s="50">
        <f>IF(CurrentMtgRatesDataTable8[[#This Row],[Servicing Spread]]&lt;=0,L904,CurrentMtgRatesDataTable8[[#This Row],[Servicing Spread]])</f>
        <v>0.21999999999999975</v>
      </c>
      <c r="M905" s="50">
        <f>CurrentMtgRatesDataTable8[[#This Row],[Servicing Spread Non-Zero]]-L904</f>
        <v>0</v>
      </c>
      <c r="N905" s="50">
        <f>IF(J904&lt;&gt;0,CurrentMtgRatesDataTable8[[#This Row],[Rate]]-C904,N904)</f>
        <v>0.10000000000000053</v>
      </c>
    </row>
    <row r="906" spans="1:14">
      <c r="A906" s="47" t="s">
        <v>2258</v>
      </c>
      <c r="B906" s="48">
        <v>6.3730000000000002</v>
      </c>
      <c r="C906" s="49">
        <v>6.58</v>
      </c>
      <c r="D906" s="50">
        <f t="shared" si="98"/>
        <v>2</v>
      </c>
      <c r="E906" s="50">
        <f t="shared" si="99"/>
        <v>0.2</v>
      </c>
      <c r="F906" s="50">
        <f t="shared" si="100"/>
        <v>2</v>
      </c>
      <c r="G906" s="50">
        <f t="shared" si="101"/>
        <v>2.5426000000000002</v>
      </c>
      <c r="H906" s="50">
        <f t="shared" si="102"/>
        <v>0.4</v>
      </c>
      <c r="I906" s="50">
        <f t="shared" si="103"/>
        <v>0</v>
      </c>
      <c r="J906" s="50">
        <f t="shared" si="104"/>
        <v>0</v>
      </c>
      <c r="K906" s="50">
        <f>IF(CurrentMtgRatesDataTable8[[#This Row],[WA CC]]&lt;&gt;0,C905-CurrentMtgRatesDataTable8[[#This Row],[WA CC]],0)</f>
        <v>0</v>
      </c>
      <c r="L906" s="50">
        <f>IF(CurrentMtgRatesDataTable8[[#This Row],[Servicing Spread]]&lt;=0,L905,CurrentMtgRatesDataTable8[[#This Row],[Servicing Spread]])</f>
        <v>0.21999999999999975</v>
      </c>
      <c r="M906" s="50">
        <f>CurrentMtgRatesDataTable8[[#This Row],[Servicing Spread Non-Zero]]-L905</f>
        <v>0</v>
      </c>
      <c r="N906" s="50">
        <f>IF(J905&lt;&gt;0,CurrentMtgRatesDataTable8[[#This Row],[Rate]]-C905,N905)</f>
        <v>0.10000000000000053</v>
      </c>
    </row>
    <row r="907" spans="1:14">
      <c r="A907" s="47" t="s">
        <v>2259</v>
      </c>
      <c r="B907" s="48">
        <v>6.351</v>
      </c>
      <c r="C907" s="49">
        <v>6.58</v>
      </c>
      <c r="D907" s="50">
        <f t="shared" si="98"/>
        <v>5</v>
      </c>
      <c r="E907" s="50">
        <f t="shared" si="99"/>
        <v>0.2</v>
      </c>
      <c r="F907" s="50">
        <f t="shared" si="100"/>
        <v>3</v>
      </c>
      <c r="G907" s="50">
        <f t="shared" si="101"/>
        <v>3.8128000000000002</v>
      </c>
      <c r="H907" s="50">
        <f t="shared" si="102"/>
        <v>0.60000000000000009</v>
      </c>
      <c r="I907" s="50">
        <f t="shared" si="103"/>
        <v>0</v>
      </c>
      <c r="J907" s="50">
        <f t="shared" si="104"/>
        <v>0</v>
      </c>
      <c r="K907" s="50">
        <f>IF(CurrentMtgRatesDataTable8[[#This Row],[WA CC]]&lt;&gt;0,C906-CurrentMtgRatesDataTable8[[#This Row],[WA CC]],0)</f>
        <v>0</v>
      </c>
      <c r="L907" s="50">
        <f>IF(CurrentMtgRatesDataTable8[[#This Row],[Servicing Spread]]&lt;=0,L906,CurrentMtgRatesDataTable8[[#This Row],[Servicing Spread]])</f>
        <v>0.21999999999999975</v>
      </c>
      <c r="M907" s="50">
        <f>CurrentMtgRatesDataTable8[[#This Row],[Servicing Spread Non-Zero]]-L906</f>
        <v>0</v>
      </c>
      <c r="N907" s="50">
        <f>IF(J906&lt;&gt;0,CurrentMtgRatesDataTable8[[#This Row],[Rate]]-C906,N906)</f>
        <v>0.10000000000000053</v>
      </c>
    </row>
    <row r="908" spans="1:14">
      <c r="A908" s="39" t="s">
        <v>2260</v>
      </c>
      <c r="B908" s="40">
        <v>6.2859999999999996</v>
      </c>
      <c r="C908" s="11">
        <v>6.58</v>
      </c>
      <c r="D908" s="16">
        <f t="shared" si="98"/>
        <v>6</v>
      </c>
      <c r="E908" s="16">
        <f t="shared" si="99"/>
        <v>0.2</v>
      </c>
      <c r="F908" s="16">
        <f t="shared" si="100"/>
        <v>4</v>
      </c>
      <c r="G908" s="16">
        <f t="shared" si="101"/>
        <v>5.07</v>
      </c>
      <c r="H908" s="16">
        <f t="shared" si="102"/>
        <v>0.8</v>
      </c>
      <c r="I908" s="16">
        <f t="shared" si="103"/>
        <v>0</v>
      </c>
      <c r="J908" s="16">
        <f t="shared" si="104"/>
        <v>0</v>
      </c>
      <c r="K908" s="16">
        <f>IF(CurrentMtgRatesDataTable8[[#This Row],[WA CC]]&lt;&gt;0,C907-CurrentMtgRatesDataTable8[[#This Row],[WA CC]],0)</f>
        <v>0</v>
      </c>
      <c r="L908" s="16">
        <f>IF(CurrentMtgRatesDataTable8[[#This Row],[Servicing Spread]]&lt;=0,L907,CurrentMtgRatesDataTable8[[#This Row],[Servicing Spread]])</f>
        <v>0.21999999999999975</v>
      </c>
      <c r="M908" s="16">
        <f>CurrentMtgRatesDataTable8[[#This Row],[Servicing Spread Non-Zero]]-L907</f>
        <v>0</v>
      </c>
      <c r="N908" s="16">
        <f>IF(J907&lt;&gt;0,CurrentMtgRatesDataTable8[[#This Row],[Rate]]-C907,N907)</f>
        <v>0.10000000000000053</v>
      </c>
    </row>
    <row r="909" spans="1:14">
      <c r="A909" s="39" t="s">
        <v>2261</v>
      </c>
      <c r="B909" s="40">
        <v>6.3140000000000001</v>
      </c>
      <c r="C909" s="11">
        <v>6.58</v>
      </c>
      <c r="D909" s="16">
        <f t="shared" si="98"/>
        <v>7</v>
      </c>
      <c r="E909" s="16">
        <f t="shared" si="99"/>
        <v>0.2</v>
      </c>
      <c r="F909" s="16">
        <f t="shared" si="100"/>
        <v>5</v>
      </c>
      <c r="G909" s="16">
        <f t="shared" si="101"/>
        <v>6.3328000000000007</v>
      </c>
      <c r="H909" s="16">
        <f t="shared" si="102"/>
        <v>1</v>
      </c>
      <c r="I909" s="16">
        <f t="shared" si="103"/>
        <v>1</v>
      </c>
      <c r="J909" s="16">
        <f t="shared" si="104"/>
        <v>6.3328000000000007</v>
      </c>
      <c r="K909" s="16">
        <f>IF(CurrentMtgRatesDataTable8[[#This Row],[WA CC]]&lt;&gt;0,C908-CurrentMtgRatesDataTable8[[#This Row],[WA CC]],0)</f>
        <v>0.24719999999999942</v>
      </c>
      <c r="L909" s="16">
        <f>IF(CurrentMtgRatesDataTable8[[#This Row],[Servicing Spread]]&lt;=0,L908,CurrentMtgRatesDataTable8[[#This Row],[Servicing Spread]])</f>
        <v>0.24719999999999942</v>
      </c>
      <c r="M909" s="16">
        <f>CurrentMtgRatesDataTable8[[#This Row],[Servicing Spread Non-Zero]]-L908</f>
        <v>2.7199999999999669E-2</v>
      </c>
      <c r="N909" s="16">
        <f>IF(J908&lt;&gt;0,CurrentMtgRatesDataTable8[[#This Row],[Rate]]-C908,N908)</f>
        <v>0.10000000000000053</v>
      </c>
    </row>
    <row r="910" spans="1:14">
      <c r="A910" s="39" t="s">
        <v>2262</v>
      </c>
      <c r="B910" s="40">
        <v>6.3390000000000004</v>
      </c>
      <c r="C910" s="11">
        <v>6.58</v>
      </c>
      <c r="D910" s="16">
        <f t="shared" si="98"/>
        <v>1</v>
      </c>
      <c r="E910" s="16">
        <f t="shared" si="99"/>
        <v>0.2</v>
      </c>
      <c r="F910" s="16">
        <f t="shared" si="100"/>
        <v>1</v>
      </c>
      <c r="G910" s="16">
        <f t="shared" si="101"/>
        <v>1.2678000000000003</v>
      </c>
      <c r="H910" s="16">
        <f t="shared" si="102"/>
        <v>0.2</v>
      </c>
      <c r="I910" s="16">
        <f t="shared" si="103"/>
        <v>0</v>
      </c>
      <c r="J910" s="16">
        <f t="shared" si="104"/>
        <v>0</v>
      </c>
      <c r="K910" s="16">
        <f>IF(CurrentMtgRatesDataTable8[[#This Row],[WA CC]]&lt;&gt;0,C909-CurrentMtgRatesDataTable8[[#This Row],[WA CC]],0)</f>
        <v>0</v>
      </c>
      <c r="L910" s="16">
        <f>IF(CurrentMtgRatesDataTable8[[#This Row],[Servicing Spread]]&lt;=0,L909,CurrentMtgRatesDataTable8[[#This Row],[Servicing Spread]])</f>
        <v>0.24719999999999942</v>
      </c>
      <c r="M910" s="16">
        <f>CurrentMtgRatesDataTable8[[#This Row],[Servicing Spread Non-Zero]]-L909</f>
        <v>0</v>
      </c>
      <c r="N910" s="16">
        <f>IF(J909&lt;&gt;0,CurrentMtgRatesDataTable8[[#This Row],[Rate]]-C909,N909)</f>
        <v>0</v>
      </c>
    </row>
    <row r="911" spans="1:14">
      <c r="A911" s="39" t="s">
        <v>2263</v>
      </c>
      <c r="B911" s="40">
        <v>6.3310000000000004</v>
      </c>
      <c r="C911" s="11">
        <v>6.58</v>
      </c>
      <c r="D911" s="16">
        <f t="shared" si="98"/>
        <v>2</v>
      </c>
      <c r="E911" s="16">
        <f t="shared" si="99"/>
        <v>0.2</v>
      </c>
      <c r="F911" s="16">
        <f t="shared" si="100"/>
        <v>2</v>
      </c>
      <c r="G911" s="16">
        <f t="shared" si="101"/>
        <v>2.5340000000000007</v>
      </c>
      <c r="H911" s="16">
        <f t="shared" si="102"/>
        <v>0.4</v>
      </c>
      <c r="I911" s="16">
        <f t="shared" si="103"/>
        <v>0</v>
      </c>
      <c r="J911" s="16">
        <f t="shared" si="104"/>
        <v>0</v>
      </c>
      <c r="K911" s="16">
        <f>IF(CurrentMtgRatesDataTable8[[#This Row],[WA CC]]&lt;&gt;0,C910-CurrentMtgRatesDataTable8[[#This Row],[WA CC]],0)</f>
        <v>0</v>
      </c>
      <c r="L911" s="16">
        <f>IF(CurrentMtgRatesDataTable8[[#This Row],[Servicing Spread]]&lt;=0,L910,CurrentMtgRatesDataTable8[[#This Row],[Servicing Spread]])</f>
        <v>0.24719999999999942</v>
      </c>
      <c r="M911" s="16">
        <f>CurrentMtgRatesDataTable8[[#This Row],[Servicing Spread Non-Zero]]-L910</f>
        <v>0</v>
      </c>
      <c r="N911" s="16">
        <f>IF(J910&lt;&gt;0,CurrentMtgRatesDataTable8[[#This Row],[Rate]]-C910,N910)</f>
        <v>0</v>
      </c>
    </row>
    <row r="912" spans="1:14">
      <c r="A912" s="39" t="s">
        <v>2264</v>
      </c>
      <c r="B912" s="40">
        <v>6.3010000000000002</v>
      </c>
      <c r="C912" s="11">
        <v>6.58</v>
      </c>
      <c r="D912" s="16">
        <f t="shared" si="98"/>
        <v>5</v>
      </c>
      <c r="E912" s="16">
        <f t="shared" si="99"/>
        <v>0.2</v>
      </c>
      <c r="F912" s="16">
        <f t="shared" si="100"/>
        <v>3</v>
      </c>
      <c r="G912" s="16">
        <f t="shared" si="101"/>
        <v>3.7942000000000009</v>
      </c>
      <c r="H912" s="16">
        <f t="shared" si="102"/>
        <v>0.60000000000000009</v>
      </c>
      <c r="I912" s="16">
        <f t="shared" si="103"/>
        <v>0</v>
      </c>
      <c r="J912" s="16">
        <f t="shared" si="104"/>
        <v>0</v>
      </c>
      <c r="K912" s="16">
        <f>IF(CurrentMtgRatesDataTable8[[#This Row],[WA CC]]&lt;&gt;0,C911-CurrentMtgRatesDataTable8[[#This Row],[WA CC]],0)</f>
        <v>0</v>
      </c>
      <c r="L912" s="16">
        <f>IF(CurrentMtgRatesDataTable8[[#This Row],[Servicing Spread]]&lt;=0,L911,CurrentMtgRatesDataTable8[[#This Row],[Servicing Spread]])</f>
        <v>0.24719999999999942</v>
      </c>
      <c r="M912" s="16">
        <f>CurrentMtgRatesDataTable8[[#This Row],[Servicing Spread Non-Zero]]-L911</f>
        <v>0</v>
      </c>
      <c r="N912" s="16">
        <f>IF(J911&lt;&gt;0,CurrentMtgRatesDataTable8[[#This Row],[Rate]]-C911,N911)</f>
        <v>0</v>
      </c>
    </row>
    <row r="913" spans="1:14">
      <c r="A913" s="39" t="s">
        <v>2265</v>
      </c>
      <c r="B913" s="40">
        <v>6.3360000000000003</v>
      </c>
      <c r="C913" s="11">
        <v>6.58</v>
      </c>
      <c r="D913" s="16">
        <f t="shared" si="98"/>
        <v>6</v>
      </c>
      <c r="E913" s="16">
        <f t="shared" si="99"/>
        <v>0.2</v>
      </c>
      <c r="F913" s="16">
        <f t="shared" si="100"/>
        <v>4</v>
      </c>
      <c r="G913" s="16">
        <f t="shared" si="101"/>
        <v>5.0614000000000008</v>
      </c>
      <c r="H913" s="16">
        <f t="shared" si="102"/>
        <v>0.8</v>
      </c>
      <c r="I913" s="16">
        <f t="shared" si="103"/>
        <v>0</v>
      </c>
      <c r="J913" s="16">
        <f t="shared" si="104"/>
        <v>0</v>
      </c>
      <c r="K913" s="16">
        <f>IF(CurrentMtgRatesDataTable8[[#This Row],[WA CC]]&lt;&gt;0,C912-CurrentMtgRatesDataTable8[[#This Row],[WA CC]],0)</f>
        <v>0</v>
      </c>
      <c r="L913" s="16">
        <f>IF(CurrentMtgRatesDataTable8[[#This Row],[Servicing Spread]]&lt;=0,L912,CurrentMtgRatesDataTable8[[#This Row],[Servicing Spread]])</f>
        <v>0.24719999999999942</v>
      </c>
      <c r="M913" s="16">
        <f>CurrentMtgRatesDataTable8[[#This Row],[Servicing Spread Non-Zero]]-L912</f>
        <v>0</v>
      </c>
      <c r="N913" s="16">
        <f>IF(J912&lt;&gt;0,CurrentMtgRatesDataTable8[[#This Row],[Rate]]-C912,N912)</f>
        <v>0</v>
      </c>
    </row>
    <row r="914" spans="1:14">
      <c r="A914" s="39" t="s">
        <v>2266</v>
      </c>
      <c r="B914" s="40">
        <v>6.2869999999999999</v>
      </c>
      <c r="C914" s="11">
        <v>6.58</v>
      </c>
      <c r="D914" s="16">
        <f t="shared" si="98"/>
        <v>7</v>
      </c>
      <c r="E914" s="16">
        <f t="shared" si="99"/>
        <v>0.2</v>
      </c>
      <c r="F914" s="16">
        <f t="shared" si="100"/>
        <v>5</v>
      </c>
      <c r="G914" s="16">
        <f t="shared" si="101"/>
        <v>6.3188000000000013</v>
      </c>
      <c r="H914" s="16">
        <f t="shared" si="102"/>
        <v>1</v>
      </c>
      <c r="I914" s="16">
        <f t="shared" si="103"/>
        <v>1</v>
      </c>
      <c r="J914" s="16">
        <f t="shared" si="104"/>
        <v>6.3188000000000013</v>
      </c>
      <c r="K914" s="16">
        <f>IF(CurrentMtgRatesDataTable8[[#This Row],[WA CC]]&lt;&gt;0,C913-CurrentMtgRatesDataTable8[[#This Row],[WA CC]],0)</f>
        <v>0.26119999999999877</v>
      </c>
      <c r="L914" s="16">
        <f>IF(CurrentMtgRatesDataTable8[[#This Row],[Servicing Spread]]&lt;=0,L913,CurrentMtgRatesDataTable8[[#This Row],[Servicing Spread]])</f>
        <v>0.26119999999999877</v>
      </c>
      <c r="M914" s="16">
        <f>CurrentMtgRatesDataTable8[[#This Row],[Servicing Spread Non-Zero]]-L913</f>
        <v>1.3999999999999346E-2</v>
      </c>
      <c r="N914" s="16">
        <f>IF(J913&lt;&gt;0,CurrentMtgRatesDataTable8[[#This Row],[Rate]]-C913,N913)</f>
        <v>0</v>
      </c>
    </row>
    <row r="915" spans="1:14">
      <c r="A915" s="39" t="s">
        <v>2267</v>
      </c>
      <c r="B915" s="40">
        <v>6.3040000000000003</v>
      </c>
      <c r="C915" s="11">
        <v>6.54</v>
      </c>
      <c r="D915" s="16">
        <f t="shared" si="98"/>
        <v>1</v>
      </c>
      <c r="E915" s="16">
        <f t="shared" si="99"/>
        <v>0.2</v>
      </c>
      <c r="F915" s="16">
        <f t="shared" si="100"/>
        <v>1</v>
      </c>
      <c r="G915" s="16">
        <f t="shared" si="101"/>
        <v>1.2608000000000001</v>
      </c>
      <c r="H915" s="16">
        <f t="shared" si="102"/>
        <v>0.2</v>
      </c>
      <c r="I915" s="16">
        <f t="shared" si="103"/>
        <v>0</v>
      </c>
      <c r="J915" s="16">
        <f t="shared" si="104"/>
        <v>0</v>
      </c>
      <c r="K915" s="16">
        <f>IF(CurrentMtgRatesDataTable8[[#This Row],[WA CC]]&lt;&gt;0,C914-CurrentMtgRatesDataTable8[[#This Row],[WA CC]],0)</f>
        <v>0</v>
      </c>
      <c r="L915" s="16">
        <f>IF(CurrentMtgRatesDataTable8[[#This Row],[Servicing Spread]]&lt;=0,L914,CurrentMtgRatesDataTable8[[#This Row],[Servicing Spread]])</f>
        <v>0.26119999999999877</v>
      </c>
      <c r="M915" s="16">
        <f>CurrentMtgRatesDataTable8[[#This Row],[Servicing Spread Non-Zero]]-L914</f>
        <v>0</v>
      </c>
      <c r="N915" s="16">
        <f>IF(J914&lt;&gt;0,CurrentMtgRatesDataTable8[[#This Row],[Rate]]-C914,N914)</f>
        <v>-4.0000000000000036E-2</v>
      </c>
    </row>
    <row r="916" spans="1:14">
      <c r="A916" s="39" t="s">
        <v>2268</v>
      </c>
      <c r="B916" s="40">
        <v>6.2649999999999997</v>
      </c>
      <c r="C916" s="11">
        <v>6.54</v>
      </c>
      <c r="D916" s="16">
        <f t="shared" si="98"/>
        <v>2</v>
      </c>
      <c r="E916" s="16">
        <f t="shared" si="99"/>
        <v>0.2</v>
      </c>
      <c r="F916" s="16">
        <f t="shared" si="100"/>
        <v>2</v>
      </c>
      <c r="G916" s="16">
        <f t="shared" si="101"/>
        <v>2.5138000000000003</v>
      </c>
      <c r="H916" s="16">
        <f t="shared" si="102"/>
        <v>0.4</v>
      </c>
      <c r="I916" s="16">
        <f t="shared" si="103"/>
        <v>0</v>
      </c>
      <c r="J916" s="16">
        <f t="shared" si="104"/>
        <v>0</v>
      </c>
      <c r="K916" s="16">
        <f>IF(CurrentMtgRatesDataTable8[[#This Row],[WA CC]]&lt;&gt;0,C915-CurrentMtgRatesDataTable8[[#This Row],[WA CC]],0)</f>
        <v>0</v>
      </c>
      <c r="L916" s="16">
        <f>IF(CurrentMtgRatesDataTable8[[#This Row],[Servicing Spread]]&lt;=0,L915,CurrentMtgRatesDataTable8[[#This Row],[Servicing Spread]])</f>
        <v>0.26119999999999877</v>
      </c>
      <c r="M916" s="16">
        <f>CurrentMtgRatesDataTable8[[#This Row],[Servicing Spread Non-Zero]]-L915</f>
        <v>0</v>
      </c>
      <c r="N916" s="16">
        <f>IF(J915&lt;&gt;0,CurrentMtgRatesDataTable8[[#This Row],[Rate]]-C915,N915)</f>
        <v>-4.0000000000000036E-2</v>
      </c>
    </row>
    <row r="917" spans="1:14">
      <c r="A917" s="39" t="s">
        <v>2269</v>
      </c>
      <c r="B917" s="40">
        <v>6.2809999999999997</v>
      </c>
      <c r="C917" s="11">
        <v>6.54</v>
      </c>
      <c r="D917" s="16">
        <f t="shared" si="98"/>
        <v>5</v>
      </c>
      <c r="E917" s="16">
        <f t="shared" si="99"/>
        <v>0.2</v>
      </c>
      <c r="F917" s="16">
        <f t="shared" si="100"/>
        <v>3</v>
      </c>
      <c r="G917" s="16">
        <f t="shared" si="101"/>
        <v>3.7700000000000005</v>
      </c>
      <c r="H917" s="16">
        <f t="shared" si="102"/>
        <v>0.60000000000000009</v>
      </c>
      <c r="I917" s="16">
        <f t="shared" si="103"/>
        <v>0</v>
      </c>
      <c r="J917" s="16">
        <f t="shared" si="104"/>
        <v>0</v>
      </c>
      <c r="K917" s="16">
        <f>IF(CurrentMtgRatesDataTable8[[#This Row],[WA CC]]&lt;&gt;0,C916-CurrentMtgRatesDataTable8[[#This Row],[WA CC]],0)</f>
        <v>0</v>
      </c>
      <c r="L917" s="16">
        <f>IF(CurrentMtgRatesDataTable8[[#This Row],[Servicing Spread]]&lt;=0,L916,CurrentMtgRatesDataTable8[[#This Row],[Servicing Spread]])</f>
        <v>0.26119999999999877</v>
      </c>
      <c r="M917" s="16">
        <f>CurrentMtgRatesDataTable8[[#This Row],[Servicing Spread Non-Zero]]-L916</f>
        <v>0</v>
      </c>
      <c r="N917" s="16">
        <f>IF(J916&lt;&gt;0,CurrentMtgRatesDataTable8[[#This Row],[Rate]]-C916,N916)</f>
        <v>-4.0000000000000036E-2</v>
      </c>
    </row>
    <row r="918" spans="1:14">
      <c r="A918" s="39" t="s">
        <v>2270</v>
      </c>
      <c r="B918" s="40">
        <v>6.2830000000000004</v>
      </c>
      <c r="C918" s="11">
        <v>6.54</v>
      </c>
      <c r="D918" s="16">
        <f t="shared" si="98"/>
        <v>6</v>
      </c>
      <c r="E918" s="16">
        <f t="shared" si="99"/>
        <v>0.2</v>
      </c>
      <c r="F918" s="16">
        <f t="shared" si="100"/>
        <v>4</v>
      </c>
      <c r="G918" s="16">
        <f t="shared" si="101"/>
        <v>5.0266000000000002</v>
      </c>
      <c r="H918" s="16">
        <f t="shared" si="102"/>
        <v>0.8</v>
      </c>
      <c r="I918" s="16">
        <f t="shared" si="103"/>
        <v>0</v>
      </c>
      <c r="J918" s="16">
        <f t="shared" si="104"/>
        <v>0</v>
      </c>
      <c r="K918" s="16">
        <f>IF(CurrentMtgRatesDataTable8[[#This Row],[WA CC]]&lt;&gt;0,C917-CurrentMtgRatesDataTable8[[#This Row],[WA CC]],0)</f>
        <v>0</v>
      </c>
      <c r="L918" s="16">
        <f>IF(CurrentMtgRatesDataTable8[[#This Row],[Servicing Spread]]&lt;=0,L917,CurrentMtgRatesDataTable8[[#This Row],[Servicing Spread]])</f>
        <v>0.26119999999999877</v>
      </c>
      <c r="M918" s="16">
        <f>CurrentMtgRatesDataTable8[[#This Row],[Servicing Spread Non-Zero]]-L917</f>
        <v>0</v>
      </c>
      <c r="N918" s="16">
        <f>IF(J917&lt;&gt;0,CurrentMtgRatesDataTable8[[#This Row],[Rate]]-C917,N917)</f>
        <v>-4.0000000000000036E-2</v>
      </c>
    </row>
    <row r="919" spans="1:14">
      <c r="A919" s="39" t="s">
        <v>2271</v>
      </c>
      <c r="B919" s="40">
        <v>6.2750000000000004</v>
      </c>
      <c r="C919" s="11">
        <v>6.54</v>
      </c>
      <c r="D919" s="16">
        <f t="shared" si="98"/>
        <v>7</v>
      </c>
      <c r="E919" s="16">
        <f t="shared" si="99"/>
        <v>0.2</v>
      </c>
      <c r="F919" s="16">
        <f t="shared" si="100"/>
        <v>5</v>
      </c>
      <c r="G919" s="16">
        <f t="shared" si="101"/>
        <v>6.2816000000000001</v>
      </c>
      <c r="H919" s="16">
        <f t="shared" si="102"/>
        <v>1</v>
      </c>
      <c r="I919" s="16">
        <f t="shared" si="103"/>
        <v>1</v>
      </c>
      <c r="J919" s="16">
        <f t="shared" si="104"/>
        <v>6.2816000000000001</v>
      </c>
      <c r="K919" s="16">
        <f>IF(CurrentMtgRatesDataTable8[[#This Row],[WA CC]]&lt;&gt;0,C918-CurrentMtgRatesDataTable8[[#This Row],[WA CC]],0)</f>
        <v>0.25839999999999996</v>
      </c>
      <c r="L919" s="16">
        <f>IF(CurrentMtgRatesDataTable8[[#This Row],[Servicing Spread]]&lt;=0,L918,CurrentMtgRatesDataTable8[[#This Row],[Servicing Spread]])</f>
        <v>0.25839999999999996</v>
      </c>
      <c r="M919" s="16">
        <f>CurrentMtgRatesDataTable8[[#This Row],[Servicing Spread Non-Zero]]-L918</f>
        <v>-2.7999999999988034E-3</v>
      </c>
      <c r="N919" s="16">
        <f>IF(J918&lt;&gt;0,CurrentMtgRatesDataTable8[[#This Row],[Rate]]-C918,N918)</f>
        <v>-4.0000000000000036E-2</v>
      </c>
    </row>
    <row r="920" spans="1:14">
      <c r="A920" s="39" t="s">
        <v>2272</v>
      </c>
      <c r="B920" s="40">
        <v>6.2140000000000004</v>
      </c>
      <c r="C920" s="11">
        <v>6.5049999999999999</v>
      </c>
      <c r="D920" s="16">
        <f t="shared" si="98"/>
        <v>1</v>
      </c>
      <c r="E920" s="16">
        <f t="shared" si="99"/>
        <v>0.2</v>
      </c>
      <c r="F920" s="16">
        <f t="shared" si="100"/>
        <v>1</v>
      </c>
      <c r="G920" s="16">
        <f t="shared" si="101"/>
        <v>1.2428000000000001</v>
      </c>
      <c r="H920" s="16">
        <f t="shared" si="102"/>
        <v>0.2</v>
      </c>
      <c r="I920" s="16">
        <f t="shared" si="103"/>
        <v>0</v>
      </c>
      <c r="J920" s="16">
        <f t="shared" si="104"/>
        <v>0</v>
      </c>
      <c r="K920" s="16">
        <f>IF(CurrentMtgRatesDataTable8[[#This Row],[WA CC]]&lt;&gt;0,C919-CurrentMtgRatesDataTable8[[#This Row],[WA CC]],0)</f>
        <v>0</v>
      </c>
      <c r="L920" s="16">
        <f>IF(CurrentMtgRatesDataTable8[[#This Row],[Servicing Spread]]&lt;=0,L919,CurrentMtgRatesDataTable8[[#This Row],[Servicing Spread]])</f>
        <v>0.25839999999999996</v>
      </c>
      <c r="M920" s="16">
        <f>CurrentMtgRatesDataTable8[[#This Row],[Servicing Spread Non-Zero]]-L919</f>
        <v>0</v>
      </c>
      <c r="N920" s="16">
        <f>IF(J919&lt;&gt;0,CurrentMtgRatesDataTable8[[#This Row],[Rate]]-C919,N919)</f>
        <v>-3.5000000000000142E-2</v>
      </c>
    </row>
    <row r="921" spans="1:14">
      <c r="A921" s="39" t="s">
        <v>2273</v>
      </c>
      <c r="B921" s="40">
        <v>6.2190000000000003</v>
      </c>
      <c r="C921" s="11">
        <v>6.5049999999999999</v>
      </c>
      <c r="D921" s="16">
        <f t="shared" si="98"/>
        <v>2</v>
      </c>
      <c r="E921" s="16">
        <f t="shared" si="99"/>
        <v>0.2</v>
      </c>
      <c r="F921" s="16">
        <f t="shared" si="100"/>
        <v>2</v>
      </c>
      <c r="G921" s="16">
        <f t="shared" si="101"/>
        <v>2.4866000000000001</v>
      </c>
      <c r="H921" s="16">
        <f t="shared" si="102"/>
        <v>0.4</v>
      </c>
      <c r="I921" s="16">
        <f t="shared" si="103"/>
        <v>0</v>
      </c>
      <c r="J921" s="16">
        <f t="shared" si="104"/>
        <v>0</v>
      </c>
      <c r="K921" s="16">
        <f>IF(CurrentMtgRatesDataTable8[[#This Row],[WA CC]]&lt;&gt;0,C920-CurrentMtgRatesDataTable8[[#This Row],[WA CC]],0)</f>
        <v>0</v>
      </c>
      <c r="L921" s="16">
        <f>IF(CurrentMtgRatesDataTable8[[#This Row],[Servicing Spread]]&lt;=0,L920,CurrentMtgRatesDataTable8[[#This Row],[Servicing Spread]])</f>
        <v>0.25839999999999996</v>
      </c>
      <c r="M921" s="16">
        <f>CurrentMtgRatesDataTable8[[#This Row],[Servicing Spread Non-Zero]]-L920</f>
        <v>0</v>
      </c>
      <c r="N921" s="16">
        <f>IF(J920&lt;&gt;0,CurrentMtgRatesDataTable8[[#This Row],[Rate]]-C920,N920)</f>
        <v>-3.5000000000000142E-2</v>
      </c>
    </row>
    <row r="922" spans="1:14">
      <c r="A922" s="39" t="s">
        <v>2274</v>
      </c>
      <c r="B922" s="40">
        <v>6.2480000000000002</v>
      </c>
      <c r="C922" s="11">
        <v>6.5049999999999999</v>
      </c>
      <c r="D922" s="16">
        <f t="shared" si="98"/>
        <v>5</v>
      </c>
      <c r="E922" s="16">
        <f t="shared" si="99"/>
        <v>0.2</v>
      </c>
      <c r="F922" s="16">
        <f t="shared" si="100"/>
        <v>3</v>
      </c>
      <c r="G922" s="16">
        <f t="shared" si="101"/>
        <v>3.7362000000000002</v>
      </c>
      <c r="H922" s="16">
        <f t="shared" si="102"/>
        <v>0.60000000000000009</v>
      </c>
      <c r="I922" s="16">
        <f t="shared" si="103"/>
        <v>0</v>
      </c>
      <c r="J922" s="16">
        <f t="shared" si="104"/>
        <v>0</v>
      </c>
      <c r="K922" s="16">
        <f>IF(CurrentMtgRatesDataTable8[[#This Row],[WA CC]]&lt;&gt;0,C921-CurrentMtgRatesDataTable8[[#This Row],[WA CC]],0)</f>
        <v>0</v>
      </c>
      <c r="L922" s="16">
        <f>IF(CurrentMtgRatesDataTable8[[#This Row],[Servicing Spread]]&lt;=0,L921,CurrentMtgRatesDataTable8[[#This Row],[Servicing Spread]])</f>
        <v>0.25839999999999996</v>
      </c>
      <c r="M922" s="16">
        <f>CurrentMtgRatesDataTable8[[#This Row],[Servicing Spread Non-Zero]]-L921</f>
        <v>0</v>
      </c>
      <c r="N922" s="16">
        <f>IF(J921&lt;&gt;0,CurrentMtgRatesDataTable8[[#This Row],[Rate]]-C921,N921)</f>
        <v>-3.5000000000000142E-2</v>
      </c>
    </row>
    <row r="923" spans="1:14">
      <c r="A923" s="39" t="s">
        <v>2275</v>
      </c>
      <c r="B923" s="40">
        <v>6.2240000000000002</v>
      </c>
      <c r="C923" s="11">
        <v>6.5049999999999999</v>
      </c>
      <c r="D923" s="16">
        <f t="shared" si="98"/>
        <v>6</v>
      </c>
      <c r="E923" s="16">
        <f t="shared" si="99"/>
        <v>0.2</v>
      </c>
      <c r="F923" s="16">
        <f t="shared" si="100"/>
        <v>4</v>
      </c>
      <c r="G923" s="16">
        <f t="shared" si="101"/>
        <v>4.9809999999999999</v>
      </c>
      <c r="H923" s="16">
        <f t="shared" si="102"/>
        <v>0.8</v>
      </c>
      <c r="I923" s="16">
        <f t="shared" si="103"/>
        <v>0</v>
      </c>
      <c r="J923" s="16">
        <f t="shared" si="104"/>
        <v>0</v>
      </c>
      <c r="K923" s="16">
        <f>IF(CurrentMtgRatesDataTable8[[#This Row],[WA CC]]&lt;&gt;0,C922-CurrentMtgRatesDataTable8[[#This Row],[WA CC]],0)</f>
        <v>0</v>
      </c>
      <c r="L923" s="16">
        <f>IF(CurrentMtgRatesDataTable8[[#This Row],[Servicing Spread]]&lt;=0,L922,CurrentMtgRatesDataTable8[[#This Row],[Servicing Spread]])</f>
        <v>0.25839999999999996</v>
      </c>
      <c r="M923" s="16">
        <f>CurrentMtgRatesDataTable8[[#This Row],[Servicing Spread Non-Zero]]-L922</f>
        <v>0</v>
      </c>
      <c r="N923" s="16">
        <f>IF(J922&lt;&gt;0,CurrentMtgRatesDataTable8[[#This Row],[Rate]]-C922,N922)</f>
        <v>-3.5000000000000142E-2</v>
      </c>
    </row>
    <row r="924" spans="1:14">
      <c r="A924" s="39" t="s">
        <v>2276</v>
      </c>
      <c r="B924" s="40">
        <v>6.2030000000000003</v>
      </c>
      <c r="C924" s="11">
        <v>6.5049999999999999</v>
      </c>
      <c r="D924" s="16">
        <f t="shared" si="98"/>
        <v>7</v>
      </c>
      <c r="E924" s="16">
        <f t="shared" si="99"/>
        <v>0.2</v>
      </c>
      <c r="F924" s="16">
        <f t="shared" si="100"/>
        <v>5</v>
      </c>
      <c r="G924" s="16">
        <f t="shared" si="101"/>
        <v>6.2216000000000005</v>
      </c>
      <c r="H924" s="16">
        <f t="shared" si="102"/>
        <v>1</v>
      </c>
      <c r="I924" s="16">
        <f t="shared" si="103"/>
        <v>1</v>
      </c>
      <c r="J924" s="16">
        <f t="shared" si="104"/>
        <v>6.2216000000000005</v>
      </c>
      <c r="K924" s="16">
        <f>IF(CurrentMtgRatesDataTable8[[#This Row],[WA CC]]&lt;&gt;0,C923-CurrentMtgRatesDataTable8[[#This Row],[WA CC]],0)</f>
        <v>0.28339999999999943</v>
      </c>
      <c r="L924" s="16">
        <f>IF(CurrentMtgRatesDataTable8[[#This Row],[Servicing Spread]]&lt;=0,L923,CurrentMtgRatesDataTable8[[#This Row],[Servicing Spread]])</f>
        <v>0.28339999999999943</v>
      </c>
      <c r="M924" s="16">
        <f>CurrentMtgRatesDataTable8[[#This Row],[Servicing Spread Non-Zero]]-L923</f>
        <v>2.4999999999999467E-2</v>
      </c>
      <c r="N924" s="16">
        <f>IF(J923&lt;&gt;0,CurrentMtgRatesDataTable8[[#This Row],[Rate]]-C923,N923)</f>
        <v>-3.5000000000000142E-2</v>
      </c>
    </row>
    <row r="925" spans="1:14">
      <c r="A925" s="39" t="s">
        <v>2277</v>
      </c>
      <c r="B925" s="40">
        <v>6.1710000000000003</v>
      </c>
      <c r="C925" s="11">
        <v>6.4399999999999995</v>
      </c>
      <c r="D925" s="16">
        <f t="shared" si="98"/>
        <v>1</v>
      </c>
      <c r="E925" s="16">
        <f t="shared" si="99"/>
        <v>0.2</v>
      </c>
      <c r="F925" s="16">
        <f t="shared" si="100"/>
        <v>1</v>
      </c>
      <c r="G925" s="16">
        <f t="shared" si="101"/>
        <v>1.2342000000000002</v>
      </c>
      <c r="H925" s="16">
        <f t="shared" si="102"/>
        <v>0.2</v>
      </c>
      <c r="I925" s="16">
        <f t="shared" si="103"/>
        <v>0</v>
      </c>
      <c r="J925" s="16">
        <f t="shared" si="104"/>
        <v>0</v>
      </c>
      <c r="K925" s="16">
        <f>IF(CurrentMtgRatesDataTable8[[#This Row],[WA CC]]&lt;&gt;0,C924-CurrentMtgRatesDataTable8[[#This Row],[WA CC]],0)</f>
        <v>0</v>
      </c>
      <c r="L925" s="16">
        <f>IF(CurrentMtgRatesDataTable8[[#This Row],[Servicing Spread]]&lt;=0,L924,CurrentMtgRatesDataTable8[[#This Row],[Servicing Spread]])</f>
        <v>0.28339999999999943</v>
      </c>
      <c r="M925" s="16">
        <f>CurrentMtgRatesDataTable8[[#This Row],[Servicing Spread Non-Zero]]-L924</f>
        <v>0</v>
      </c>
      <c r="N925" s="16">
        <f>IF(J924&lt;&gt;0,CurrentMtgRatesDataTable8[[#This Row],[Rate]]-C924,N924)</f>
        <v>-6.5000000000000391E-2</v>
      </c>
    </row>
    <row r="926" spans="1:14">
      <c r="A926" s="39" t="s">
        <v>2278</v>
      </c>
      <c r="B926" s="40">
        <v>6.1040000000000001</v>
      </c>
      <c r="C926" s="11">
        <v>6.4399999999999995</v>
      </c>
      <c r="D926" s="16">
        <f t="shared" si="98"/>
        <v>2</v>
      </c>
      <c r="E926" s="16">
        <f t="shared" si="99"/>
        <v>0.2</v>
      </c>
      <c r="F926" s="16">
        <f t="shared" si="100"/>
        <v>2</v>
      </c>
      <c r="G926" s="16">
        <f t="shared" si="101"/>
        <v>2.4550000000000001</v>
      </c>
      <c r="H926" s="16">
        <f t="shared" si="102"/>
        <v>0.4</v>
      </c>
      <c r="I926" s="16">
        <f t="shared" si="103"/>
        <v>0</v>
      </c>
      <c r="J926" s="16">
        <f t="shared" si="104"/>
        <v>0</v>
      </c>
      <c r="K926" s="16">
        <f>IF(CurrentMtgRatesDataTable8[[#This Row],[WA CC]]&lt;&gt;0,C925-CurrentMtgRatesDataTable8[[#This Row],[WA CC]],0)</f>
        <v>0</v>
      </c>
      <c r="L926" s="16">
        <f>IF(CurrentMtgRatesDataTable8[[#This Row],[Servicing Spread]]&lt;=0,L925,CurrentMtgRatesDataTable8[[#This Row],[Servicing Spread]])</f>
        <v>0.28339999999999943</v>
      </c>
      <c r="M926" s="16">
        <f>CurrentMtgRatesDataTable8[[#This Row],[Servicing Spread Non-Zero]]-L925</f>
        <v>0</v>
      </c>
      <c r="N926" s="16">
        <f>IF(J925&lt;&gt;0,CurrentMtgRatesDataTable8[[#This Row],[Rate]]-C925,N925)</f>
        <v>-6.5000000000000391E-2</v>
      </c>
    </row>
    <row r="927" spans="1:14">
      <c r="A927" s="39" t="s">
        <v>2279</v>
      </c>
      <c r="B927" s="40">
        <v>6.1210000000000004</v>
      </c>
      <c r="C927" s="11">
        <v>6.4399999999999995</v>
      </c>
      <c r="D927" s="16">
        <f t="shared" si="98"/>
        <v>5</v>
      </c>
      <c r="E927" s="16">
        <f t="shared" si="99"/>
        <v>0.2</v>
      </c>
      <c r="F927" s="16">
        <f t="shared" si="100"/>
        <v>3</v>
      </c>
      <c r="G927" s="16">
        <f t="shared" si="101"/>
        <v>3.6792000000000002</v>
      </c>
      <c r="H927" s="16">
        <f t="shared" si="102"/>
        <v>0.60000000000000009</v>
      </c>
      <c r="I927" s="16">
        <f t="shared" si="103"/>
        <v>0</v>
      </c>
      <c r="J927" s="16">
        <f t="shared" si="104"/>
        <v>0</v>
      </c>
      <c r="K927" s="16">
        <f>IF(CurrentMtgRatesDataTable8[[#This Row],[WA CC]]&lt;&gt;0,C926-CurrentMtgRatesDataTable8[[#This Row],[WA CC]],0)</f>
        <v>0</v>
      </c>
      <c r="L927" s="16">
        <f>IF(CurrentMtgRatesDataTable8[[#This Row],[Servicing Spread]]&lt;=0,L926,CurrentMtgRatesDataTable8[[#This Row],[Servicing Spread]])</f>
        <v>0.28339999999999943</v>
      </c>
      <c r="M927" s="16">
        <f>CurrentMtgRatesDataTable8[[#This Row],[Servicing Spread Non-Zero]]-L926</f>
        <v>0</v>
      </c>
      <c r="N927" s="16">
        <f>IF(J926&lt;&gt;0,CurrentMtgRatesDataTable8[[#This Row],[Rate]]-C926,N926)</f>
        <v>-6.5000000000000391E-2</v>
      </c>
    </row>
    <row r="928" spans="1:14">
      <c r="A928" s="39" t="s">
        <v>2280</v>
      </c>
      <c r="B928" s="40">
        <v>6.1070000000000002</v>
      </c>
      <c r="C928" s="11">
        <v>6.4399999999999995</v>
      </c>
      <c r="D928" s="16">
        <f t="shared" si="98"/>
        <v>6</v>
      </c>
      <c r="E928" s="16">
        <f t="shared" si="99"/>
        <v>0.2</v>
      </c>
      <c r="F928" s="16">
        <f t="shared" si="100"/>
        <v>4</v>
      </c>
      <c r="G928" s="16">
        <f t="shared" si="101"/>
        <v>4.9006000000000007</v>
      </c>
      <c r="H928" s="16">
        <f t="shared" si="102"/>
        <v>0.8</v>
      </c>
      <c r="I928" s="16">
        <f t="shared" si="103"/>
        <v>0</v>
      </c>
      <c r="J928" s="16">
        <f t="shared" si="104"/>
        <v>0</v>
      </c>
      <c r="K928" s="16">
        <f>IF(CurrentMtgRatesDataTable8[[#This Row],[WA CC]]&lt;&gt;0,C927-CurrentMtgRatesDataTable8[[#This Row],[WA CC]],0)</f>
        <v>0</v>
      </c>
      <c r="L928" s="16">
        <f>IF(CurrentMtgRatesDataTable8[[#This Row],[Servicing Spread]]&lt;=0,L927,CurrentMtgRatesDataTable8[[#This Row],[Servicing Spread]])</f>
        <v>0.28339999999999943</v>
      </c>
      <c r="M928" s="16">
        <f>CurrentMtgRatesDataTable8[[#This Row],[Servicing Spread Non-Zero]]-L927</f>
        <v>0</v>
      </c>
      <c r="N928" s="16">
        <f>IF(J927&lt;&gt;0,CurrentMtgRatesDataTable8[[#This Row],[Rate]]-C927,N927)</f>
        <v>-6.5000000000000391E-2</v>
      </c>
    </row>
    <row r="929" spans="1:14">
      <c r="A929" s="39" t="s">
        <v>2281</v>
      </c>
      <c r="B929" s="40">
        <v>6.1660000000000004</v>
      </c>
      <c r="C929" s="11">
        <v>6.4399999999999995</v>
      </c>
      <c r="D929" s="16">
        <f t="shared" si="98"/>
        <v>7</v>
      </c>
      <c r="E929" s="16">
        <f t="shared" si="99"/>
        <v>0.2</v>
      </c>
      <c r="F929" s="16">
        <f t="shared" si="100"/>
        <v>5</v>
      </c>
      <c r="G929" s="16">
        <f t="shared" si="101"/>
        <v>6.1338000000000008</v>
      </c>
      <c r="H929" s="16">
        <f t="shared" si="102"/>
        <v>1</v>
      </c>
      <c r="I929" s="16">
        <f t="shared" si="103"/>
        <v>1</v>
      </c>
      <c r="J929" s="16">
        <f t="shared" si="104"/>
        <v>6.1338000000000008</v>
      </c>
      <c r="K929" s="16">
        <f>IF(CurrentMtgRatesDataTable8[[#This Row],[WA CC]]&lt;&gt;0,C928-CurrentMtgRatesDataTable8[[#This Row],[WA CC]],0)</f>
        <v>0.3061999999999987</v>
      </c>
      <c r="L929" s="16">
        <f>IF(CurrentMtgRatesDataTable8[[#This Row],[Servicing Spread]]&lt;=0,L928,CurrentMtgRatesDataTable8[[#This Row],[Servicing Spread]])</f>
        <v>0.3061999999999987</v>
      </c>
      <c r="M929" s="16">
        <f>CurrentMtgRatesDataTable8[[#This Row],[Servicing Spread Non-Zero]]-L928</f>
        <v>2.2799999999999265E-2</v>
      </c>
      <c r="N929" s="16">
        <f>IF(J928&lt;&gt;0,CurrentMtgRatesDataTable8[[#This Row],[Rate]]-C928,N928)</f>
        <v>-6.5000000000000391E-2</v>
      </c>
    </row>
    <row r="930" spans="1:14">
      <c r="A930" s="39" t="s">
        <v>2282</v>
      </c>
      <c r="B930" s="40">
        <v>6.1260000000000003</v>
      </c>
      <c r="C930" s="11">
        <v>6.47</v>
      </c>
      <c r="D930" s="16">
        <f t="shared" si="98"/>
        <v>1</v>
      </c>
      <c r="E930" s="16">
        <f t="shared" si="99"/>
        <v>0.2</v>
      </c>
      <c r="F930" s="16">
        <f t="shared" si="100"/>
        <v>1</v>
      </c>
      <c r="G930" s="16">
        <f t="shared" si="101"/>
        <v>1.2252000000000001</v>
      </c>
      <c r="H930" s="16">
        <f t="shared" si="102"/>
        <v>0.2</v>
      </c>
      <c r="I930" s="16">
        <f t="shared" si="103"/>
        <v>0</v>
      </c>
      <c r="J930" s="16">
        <f t="shared" si="104"/>
        <v>0</v>
      </c>
      <c r="K930" s="16">
        <f>IF(CurrentMtgRatesDataTable8[[#This Row],[WA CC]]&lt;&gt;0,C929-CurrentMtgRatesDataTable8[[#This Row],[WA CC]],0)</f>
        <v>0</v>
      </c>
      <c r="L930" s="16">
        <f>IF(CurrentMtgRatesDataTable8[[#This Row],[Servicing Spread]]&lt;=0,L929,CurrentMtgRatesDataTable8[[#This Row],[Servicing Spread]])</f>
        <v>0.3061999999999987</v>
      </c>
      <c r="M930" s="16">
        <f>CurrentMtgRatesDataTable8[[#This Row],[Servicing Spread Non-Zero]]-L929</f>
        <v>0</v>
      </c>
      <c r="N930" s="16">
        <f>IF(J929&lt;&gt;0,CurrentMtgRatesDataTable8[[#This Row],[Rate]]-C929,N929)</f>
        <v>3.0000000000000249E-2</v>
      </c>
    </row>
    <row r="931" spans="1:14">
      <c r="A931" s="39" t="s">
        <v>2283</v>
      </c>
      <c r="B931" s="40">
        <v>6.1550000000000002</v>
      </c>
      <c r="C931" s="11">
        <v>6.47</v>
      </c>
      <c r="D931" s="16">
        <f t="shared" si="98"/>
        <v>2</v>
      </c>
      <c r="E931" s="16">
        <f t="shared" si="99"/>
        <v>0.2</v>
      </c>
      <c r="F931" s="16">
        <f t="shared" si="100"/>
        <v>2</v>
      </c>
      <c r="G931" s="16">
        <f t="shared" si="101"/>
        <v>2.4561999999999999</v>
      </c>
      <c r="H931" s="16">
        <f t="shared" si="102"/>
        <v>0.4</v>
      </c>
      <c r="I931" s="16">
        <f t="shared" si="103"/>
        <v>0</v>
      </c>
      <c r="J931" s="16">
        <f t="shared" si="104"/>
        <v>0</v>
      </c>
      <c r="K931" s="16">
        <f>IF(CurrentMtgRatesDataTable8[[#This Row],[WA CC]]&lt;&gt;0,C930-CurrentMtgRatesDataTable8[[#This Row],[WA CC]],0)</f>
        <v>0</v>
      </c>
      <c r="L931" s="16">
        <f>IF(CurrentMtgRatesDataTable8[[#This Row],[Servicing Spread]]&lt;=0,L930,CurrentMtgRatesDataTable8[[#This Row],[Servicing Spread]])</f>
        <v>0.3061999999999987</v>
      </c>
      <c r="M931" s="16">
        <f>CurrentMtgRatesDataTable8[[#This Row],[Servicing Spread Non-Zero]]-L930</f>
        <v>0</v>
      </c>
      <c r="N931" s="16">
        <f>IF(J930&lt;&gt;0,CurrentMtgRatesDataTable8[[#This Row],[Rate]]-C930,N930)</f>
        <v>3.0000000000000249E-2</v>
      </c>
    </row>
    <row r="932" spans="1:14">
      <c r="A932" s="39" t="s">
        <v>2284</v>
      </c>
      <c r="B932" s="40">
        <v>6.1749999999999998</v>
      </c>
      <c r="C932" s="11">
        <v>6.47</v>
      </c>
      <c r="D932" s="16">
        <f t="shared" si="98"/>
        <v>5</v>
      </c>
      <c r="E932" s="16">
        <f t="shared" si="99"/>
        <v>0.2</v>
      </c>
      <c r="F932" s="16">
        <f t="shared" si="100"/>
        <v>3</v>
      </c>
      <c r="G932" s="16">
        <f t="shared" si="101"/>
        <v>3.6912000000000003</v>
      </c>
      <c r="H932" s="16">
        <f t="shared" si="102"/>
        <v>0.60000000000000009</v>
      </c>
      <c r="I932" s="16">
        <f t="shared" si="103"/>
        <v>0</v>
      </c>
      <c r="J932" s="16">
        <f t="shared" si="104"/>
        <v>0</v>
      </c>
      <c r="K932" s="16">
        <f>IF(CurrentMtgRatesDataTable8[[#This Row],[WA CC]]&lt;&gt;0,C931-CurrentMtgRatesDataTable8[[#This Row],[WA CC]],0)</f>
        <v>0</v>
      </c>
      <c r="L932" s="16">
        <f>IF(CurrentMtgRatesDataTable8[[#This Row],[Servicing Spread]]&lt;=0,L931,CurrentMtgRatesDataTable8[[#This Row],[Servicing Spread]])</f>
        <v>0.3061999999999987</v>
      </c>
      <c r="M932" s="16">
        <f>CurrentMtgRatesDataTable8[[#This Row],[Servicing Spread Non-Zero]]-L931</f>
        <v>0</v>
      </c>
      <c r="N932" s="16">
        <f>IF(J931&lt;&gt;0,CurrentMtgRatesDataTable8[[#This Row],[Rate]]-C931,N931)</f>
        <v>3.0000000000000249E-2</v>
      </c>
    </row>
    <row r="933" spans="1:14">
      <c r="A933" s="39" t="s">
        <v>2285</v>
      </c>
      <c r="B933" s="40">
        <v>6.1719999999999997</v>
      </c>
      <c r="C933" s="11">
        <v>6.47</v>
      </c>
      <c r="D933" s="16">
        <f t="shared" si="98"/>
        <v>6</v>
      </c>
      <c r="E933" s="16">
        <f t="shared" si="99"/>
        <v>0.2</v>
      </c>
      <c r="F933" s="16">
        <f t="shared" si="100"/>
        <v>4</v>
      </c>
      <c r="G933" s="16">
        <f t="shared" si="101"/>
        <v>4.9256000000000002</v>
      </c>
      <c r="H933" s="16">
        <f t="shared" si="102"/>
        <v>0.8</v>
      </c>
      <c r="I933" s="16">
        <f t="shared" si="103"/>
        <v>0</v>
      </c>
      <c r="J933" s="16">
        <f t="shared" si="104"/>
        <v>0</v>
      </c>
      <c r="K933" s="16">
        <f>IF(CurrentMtgRatesDataTable8[[#This Row],[WA CC]]&lt;&gt;0,C932-CurrentMtgRatesDataTable8[[#This Row],[WA CC]],0)</f>
        <v>0</v>
      </c>
      <c r="L933" s="16">
        <f>IF(CurrentMtgRatesDataTable8[[#This Row],[Servicing Spread]]&lt;=0,L932,CurrentMtgRatesDataTable8[[#This Row],[Servicing Spread]])</f>
        <v>0.3061999999999987</v>
      </c>
      <c r="M933" s="16">
        <f>CurrentMtgRatesDataTable8[[#This Row],[Servicing Spread Non-Zero]]-L932</f>
        <v>0</v>
      </c>
      <c r="N933" s="16">
        <f>IF(J932&lt;&gt;0,CurrentMtgRatesDataTable8[[#This Row],[Rate]]-C932,N932)</f>
        <v>3.0000000000000249E-2</v>
      </c>
    </row>
    <row r="934" spans="1:14">
      <c r="A934" s="39" t="s">
        <v>2286</v>
      </c>
      <c r="B934" s="40">
        <v>6.2069999999999999</v>
      </c>
      <c r="C934" s="11">
        <v>6.47</v>
      </c>
      <c r="D934" s="16">
        <f t="shared" si="98"/>
        <v>7</v>
      </c>
      <c r="E934" s="16">
        <f t="shared" si="99"/>
        <v>0.2</v>
      </c>
      <c r="F934" s="16">
        <f t="shared" si="100"/>
        <v>5</v>
      </c>
      <c r="G934" s="16">
        <f t="shared" si="101"/>
        <v>6.1669999999999998</v>
      </c>
      <c r="H934" s="16">
        <f t="shared" si="102"/>
        <v>1</v>
      </c>
      <c r="I934" s="16">
        <f t="shared" si="103"/>
        <v>1</v>
      </c>
      <c r="J934" s="16">
        <f t="shared" si="104"/>
        <v>6.1669999999999998</v>
      </c>
      <c r="K934" s="16">
        <f>IF(CurrentMtgRatesDataTable8[[#This Row],[WA CC]]&lt;&gt;0,C933-CurrentMtgRatesDataTable8[[#This Row],[WA CC]],0)</f>
        <v>0.30299999999999994</v>
      </c>
      <c r="L934" s="16">
        <f>IF(CurrentMtgRatesDataTable8[[#This Row],[Servicing Spread]]&lt;=0,L933,CurrentMtgRatesDataTable8[[#This Row],[Servicing Spread]])</f>
        <v>0.30299999999999994</v>
      </c>
      <c r="M934" s="16">
        <f>CurrentMtgRatesDataTable8[[#This Row],[Servicing Spread Non-Zero]]-L933</f>
        <v>-3.1999999999987594E-3</v>
      </c>
      <c r="N934" s="16">
        <f>IF(J933&lt;&gt;0,CurrentMtgRatesDataTable8[[#This Row],[Rate]]-C933,N933)</f>
        <v>3.0000000000000249E-2</v>
      </c>
    </row>
    <row r="935" spans="1:14">
      <c r="A935" s="39" t="s">
        <v>2287</v>
      </c>
      <c r="B935" s="40">
        <v>6.141</v>
      </c>
      <c r="C935" s="11">
        <v>6.3699999999999992</v>
      </c>
      <c r="D935" s="16">
        <f t="shared" si="98"/>
        <v>1</v>
      </c>
      <c r="E935" s="16">
        <f t="shared" si="99"/>
        <v>0.2</v>
      </c>
      <c r="F935" s="16">
        <f t="shared" si="100"/>
        <v>1</v>
      </c>
      <c r="G935" s="16">
        <f t="shared" si="101"/>
        <v>1.2282000000000002</v>
      </c>
      <c r="H935" s="16">
        <f t="shared" si="102"/>
        <v>0.2</v>
      </c>
      <c r="I935" s="16">
        <f t="shared" si="103"/>
        <v>0</v>
      </c>
      <c r="J935" s="16">
        <f t="shared" si="104"/>
        <v>0</v>
      </c>
      <c r="K935" s="16">
        <f>IF(CurrentMtgRatesDataTable8[[#This Row],[WA CC]]&lt;&gt;0,C934-CurrentMtgRatesDataTable8[[#This Row],[WA CC]],0)</f>
        <v>0</v>
      </c>
      <c r="L935" s="16">
        <f>IF(CurrentMtgRatesDataTable8[[#This Row],[Servicing Spread]]&lt;=0,L934,CurrentMtgRatesDataTable8[[#This Row],[Servicing Spread]])</f>
        <v>0.30299999999999994</v>
      </c>
      <c r="M935" s="16">
        <f>CurrentMtgRatesDataTable8[[#This Row],[Servicing Spread Non-Zero]]-L934</f>
        <v>0</v>
      </c>
      <c r="N935" s="16">
        <f>IF(J934&lt;&gt;0,CurrentMtgRatesDataTable8[[#This Row],[Rate]]-C934,N934)</f>
        <v>-0.10000000000000053</v>
      </c>
    </row>
    <row r="936" spans="1:14">
      <c r="A936" s="39" t="s">
        <v>2288</v>
      </c>
      <c r="B936" s="40">
        <v>6.11</v>
      </c>
      <c r="C936" s="11">
        <v>6.3699999999999992</v>
      </c>
      <c r="D936" s="16">
        <f t="shared" si="98"/>
        <v>2</v>
      </c>
      <c r="E936" s="16">
        <f t="shared" si="99"/>
        <v>0.2</v>
      </c>
      <c r="F936" s="16">
        <f t="shared" si="100"/>
        <v>2</v>
      </c>
      <c r="G936" s="16">
        <f t="shared" si="101"/>
        <v>2.4502000000000006</v>
      </c>
      <c r="H936" s="16">
        <f t="shared" si="102"/>
        <v>0.4</v>
      </c>
      <c r="I936" s="16">
        <f t="shared" si="103"/>
        <v>0</v>
      </c>
      <c r="J936" s="16">
        <f t="shared" si="104"/>
        <v>0</v>
      </c>
      <c r="K936" s="16">
        <f>IF(CurrentMtgRatesDataTable8[[#This Row],[WA CC]]&lt;&gt;0,C935-CurrentMtgRatesDataTable8[[#This Row],[WA CC]],0)</f>
        <v>0</v>
      </c>
      <c r="L936" s="16">
        <f>IF(CurrentMtgRatesDataTable8[[#This Row],[Servicing Spread]]&lt;=0,L935,CurrentMtgRatesDataTable8[[#This Row],[Servicing Spread]])</f>
        <v>0.30299999999999994</v>
      </c>
      <c r="M936" s="16">
        <f>CurrentMtgRatesDataTable8[[#This Row],[Servicing Spread Non-Zero]]-L935</f>
        <v>0</v>
      </c>
      <c r="N936" s="16">
        <f>IF(J935&lt;&gt;0,CurrentMtgRatesDataTable8[[#This Row],[Rate]]-C935,N935)</f>
        <v>-0.10000000000000053</v>
      </c>
    </row>
    <row r="937" spans="1:14">
      <c r="A937" s="39" t="s">
        <v>2289</v>
      </c>
      <c r="B937" s="40">
        <v>6.0759999999999996</v>
      </c>
      <c r="C937" s="11">
        <v>6.3699999999999992</v>
      </c>
      <c r="D937" s="16">
        <f t="shared" si="98"/>
        <v>5</v>
      </c>
      <c r="E937" s="16">
        <f t="shared" si="99"/>
        <v>0.2</v>
      </c>
      <c r="F937" s="16">
        <f t="shared" si="100"/>
        <v>3</v>
      </c>
      <c r="G937" s="16">
        <f t="shared" si="101"/>
        <v>3.6654000000000009</v>
      </c>
      <c r="H937" s="16">
        <f t="shared" si="102"/>
        <v>0.60000000000000009</v>
      </c>
      <c r="I937" s="16">
        <f t="shared" si="103"/>
        <v>0</v>
      </c>
      <c r="J937" s="16">
        <f t="shared" si="104"/>
        <v>0</v>
      </c>
      <c r="K937" s="16">
        <f>IF(CurrentMtgRatesDataTable8[[#This Row],[WA CC]]&lt;&gt;0,C936-CurrentMtgRatesDataTable8[[#This Row],[WA CC]],0)</f>
        <v>0</v>
      </c>
      <c r="L937" s="16">
        <f>IF(CurrentMtgRatesDataTable8[[#This Row],[Servicing Spread]]&lt;=0,L936,CurrentMtgRatesDataTable8[[#This Row],[Servicing Spread]])</f>
        <v>0.30299999999999994</v>
      </c>
      <c r="M937" s="16">
        <f>CurrentMtgRatesDataTable8[[#This Row],[Servicing Spread Non-Zero]]-L936</f>
        <v>0</v>
      </c>
      <c r="N937" s="16">
        <f>IF(J936&lt;&gt;0,CurrentMtgRatesDataTable8[[#This Row],[Rate]]-C936,N936)</f>
        <v>-0.10000000000000053</v>
      </c>
    </row>
    <row r="938" spans="1:14">
      <c r="A938" s="39" t="s">
        <v>2290</v>
      </c>
      <c r="B938" s="40">
        <v>6.0279999999999996</v>
      </c>
      <c r="C938" s="11">
        <v>6.3699999999999992</v>
      </c>
      <c r="D938" s="16">
        <f t="shared" si="98"/>
        <v>6</v>
      </c>
      <c r="E938" s="16">
        <f t="shared" si="99"/>
        <v>0.2</v>
      </c>
      <c r="F938" s="16">
        <f t="shared" si="100"/>
        <v>4</v>
      </c>
      <c r="G938" s="16">
        <f t="shared" si="101"/>
        <v>4.8710000000000004</v>
      </c>
      <c r="H938" s="16">
        <f t="shared" si="102"/>
        <v>0.8</v>
      </c>
      <c r="I938" s="16">
        <f t="shared" si="103"/>
        <v>0</v>
      </c>
      <c r="J938" s="16">
        <f t="shared" si="104"/>
        <v>0</v>
      </c>
      <c r="K938" s="16">
        <f>IF(CurrentMtgRatesDataTable8[[#This Row],[WA CC]]&lt;&gt;0,C937-CurrentMtgRatesDataTable8[[#This Row],[WA CC]],0)</f>
        <v>0</v>
      </c>
      <c r="L938" s="16">
        <f>IF(CurrentMtgRatesDataTable8[[#This Row],[Servicing Spread]]&lt;=0,L937,CurrentMtgRatesDataTable8[[#This Row],[Servicing Spread]])</f>
        <v>0.30299999999999994</v>
      </c>
      <c r="M938" s="16">
        <f>CurrentMtgRatesDataTable8[[#This Row],[Servicing Spread Non-Zero]]-L937</f>
        <v>0</v>
      </c>
      <c r="N938" s="16">
        <f>IF(J937&lt;&gt;0,CurrentMtgRatesDataTable8[[#This Row],[Rate]]-C937,N937)</f>
        <v>-0.10000000000000053</v>
      </c>
    </row>
    <row r="939" spans="1:14">
      <c r="A939" s="39" t="s">
        <v>2291</v>
      </c>
      <c r="B939" s="40">
        <v>6.0410000000000004</v>
      </c>
      <c r="C939" s="11">
        <v>6.3699999999999992</v>
      </c>
      <c r="D939" s="16">
        <f t="shared" si="98"/>
        <v>7</v>
      </c>
      <c r="E939" s="16">
        <f t="shared" si="99"/>
        <v>0.2</v>
      </c>
      <c r="F939" s="16">
        <f t="shared" si="100"/>
        <v>5</v>
      </c>
      <c r="G939" s="16">
        <f t="shared" si="101"/>
        <v>6.0792000000000002</v>
      </c>
      <c r="H939" s="16">
        <f t="shared" si="102"/>
        <v>1</v>
      </c>
      <c r="I939" s="16">
        <f t="shared" si="103"/>
        <v>1</v>
      </c>
      <c r="J939" s="16">
        <f t="shared" si="104"/>
        <v>6.0792000000000002</v>
      </c>
      <c r="K939" s="16">
        <f>IF(CurrentMtgRatesDataTable8[[#This Row],[WA CC]]&lt;&gt;0,C938-CurrentMtgRatesDataTable8[[#This Row],[WA CC]],0)</f>
        <v>0.29079999999999906</v>
      </c>
      <c r="L939" s="16">
        <f>IF(CurrentMtgRatesDataTable8[[#This Row],[Servicing Spread]]&lt;=0,L938,CurrentMtgRatesDataTable8[[#This Row],[Servicing Spread]])</f>
        <v>0.29079999999999906</v>
      </c>
      <c r="M939" s="16">
        <f>CurrentMtgRatesDataTable8[[#This Row],[Servicing Spread Non-Zero]]-L938</f>
        <v>-1.2200000000000877E-2</v>
      </c>
      <c r="N939" s="16">
        <f>IF(J938&lt;&gt;0,CurrentMtgRatesDataTable8[[#This Row],[Rate]]-C938,N938)</f>
        <v>-0.10000000000000053</v>
      </c>
    </row>
    <row r="940" spans="1:14">
      <c r="A940" s="39" t="s">
        <v>2292</v>
      </c>
      <c r="B940" s="40">
        <v>6.0339999999999998</v>
      </c>
      <c r="C940" s="11">
        <v>6.3250000000000002</v>
      </c>
      <c r="D940" s="16">
        <f t="shared" si="98"/>
        <v>1</v>
      </c>
      <c r="E940" s="16">
        <f t="shared" si="99"/>
        <v>0.2</v>
      </c>
      <c r="F940" s="16">
        <f t="shared" si="100"/>
        <v>1</v>
      </c>
      <c r="G940" s="16">
        <f t="shared" si="101"/>
        <v>1.2068000000000001</v>
      </c>
      <c r="H940" s="16">
        <f t="shared" si="102"/>
        <v>0.2</v>
      </c>
      <c r="I940" s="16">
        <f t="shared" si="103"/>
        <v>0</v>
      </c>
      <c r="J940" s="16">
        <f t="shared" si="104"/>
        <v>0</v>
      </c>
      <c r="K940" s="16">
        <f>IF(CurrentMtgRatesDataTable8[[#This Row],[WA CC]]&lt;&gt;0,C939-CurrentMtgRatesDataTable8[[#This Row],[WA CC]],0)</f>
        <v>0</v>
      </c>
      <c r="L940" s="16">
        <f>IF(CurrentMtgRatesDataTable8[[#This Row],[Servicing Spread]]&lt;=0,L939,CurrentMtgRatesDataTable8[[#This Row],[Servicing Spread]])</f>
        <v>0.29079999999999906</v>
      </c>
      <c r="M940" s="16">
        <f>CurrentMtgRatesDataTable8[[#This Row],[Servicing Spread Non-Zero]]-L939</f>
        <v>0</v>
      </c>
      <c r="N940" s="16">
        <f>IF(J939&lt;&gt;0,CurrentMtgRatesDataTable8[[#This Row],[Rate]]-C939,N939)</f>
        <v>-4.4999999999999041E-2</v>
      </c>
    </row>
    <row r="941" spans="1:14">
      <c r="A941" s="39" t="s">
        <v>2293</v>
      </c>
      <c r="B941" s="40">
        <v>6.008</v>
      </c>
      <c r="C941" s="11">
        <v>6.3250000000000002</v>
      </c>
      <c r="D941" s="16">
        <f t="shared" si="98"/>
        <v>2</v>
      </c>
      <c r="E941" s="16">
        <f t="shared" si="99"/>
        <v>0.2</v>
      </c>
      <c r="F941" s="16">
        <f t="shared" si="100"/>
        <v>2</v>
      </c>
      <c r="G941" s="16">
        <f t="shared" si="101"/>
        <v>2.4084000000000003</v>
      </c>
      <c r="H941" s="16">
        <f t="shared" si="102"/>
        <v>0.4</v>
      </c>
      <c r="I941" s="16">
        <f t="shared" si="103"/>
        <v>0</v>
      </c>
      <c r="J941" s="16">
        <f t="shared" si="104"/>
        <v>0</v>
      </c>
      <c r="K941" s="16">
        <f>IF(CurrentMtgRatesDataTable8[[#This Row],[WA CC]]&lt;&gt;0,C940-CurrentMtgRatesDataTable8[[#This Row],[WA CC]],0)</f>
        <v>0</v>
      </c>
      <c r="L941" s="16">
        <f>IF(CurrentMtgRatesDataTable8[[#This Row],[Servicing Spread]]&lt;=0,L940,CurrentMtgRatesDataTable8[[#This Row],[Servicing Spread]])</f>
        <v>0.29079999999999906</v>
      </c>
      <c r="M941" s="16">
        <f>CurrentMtgRatesDataTable8[[#This Row],[Servicing Spread Non-Zero]]-L940</f>
        <v>0</v>
      </c>
      <c r="N941" s="16">
        <f>IF(J940&lt;&gt;0,CurrentMtgRatesDataTable8[[#This Row],[Rate]]-C940,N940)</f>
        <v>-4.4999999999999041E-2</v>
      </c>
    </row>
    <row r="942" spans="1:14">
      <c r="A942" s="39" t="s">
        <v>2294</v>
      </c>
      <c r="B942" s="40">
        <v>5.97</v>
      </c>
      <c r="C942" s="11">
        <v>6.3250000000000002</v>
      </c>
      <c r="D942" s="16">
        <f t="shared" si="98"/>
        <v>5</v>
      </c>
      <c r="E942" s="16">
        <f t="shared" si="99"/>
        <v>0.2</v>
      </c>
      <c r="F942" s="16">
        <f t="shared" si="100"/>
        <v>3</v>
      </c>
      <c r="G942" s="16">
        <f t="shared" si="101"/>
        <v>3.6024000000000003</v>
      </c>
      <c r="H942" s="16">
        <f t="shared" si="102"/>
        <v>0.60000000000000009</v>
      </c>
      <c r="I942" s="16">
        <f t="shared" si="103"/>
        <v>0</v>
      </c>
      <c r="J942" s="16">
        <f t="shared" si="104"/>
        <v>0</v>
      </c>
      <c r="K942" s="16">
        <f>IF(CurrentMtgRatesDataTable8[[#This Row],[WA CC]]&lt;&gt;0,C941-CurrentMtgRatesDataTable8[[#This Row],[WA CC]],0)</f>
        <v>0</v>
      </c>
      <c r="L942" s="16">
        <f>IF(CurrentMtgRatesDataTable8[[#This Row],[Servicing Spread]]&lt;=0,L941,CurrentMtgRatesDataTable8[[#This Row],[Servicing Spread]])</f>
        <v>0.29079999999999906</v>
      </c>
      <c r="M942" s="16">
        <f>CurrentMtgRatesDataTable8[[#This Row],[Servicing Spread Non-Zero]]-L941</f>
        <v>0</v>
      </c>
      <c r="N942" s="16">
        <f>IF(J941&lt;&gt;0,CurrentMtgRatesDataTable8[[#This Row],[Rate]]-C941,N941)</f>
        <v>-4.4999999999999041E-2</v>
      </c>
    </row>
    <row r="943" spans="1:14">
      <c r="A943" s="39" t="s">
        <v>2295</v>
      </c>
      <c r="B943" s="40">
        <v>5.944</v>
      </c>
      <c r="C943" s="11">
        <v>6.3250000000000002</v>
      </c>
      <c r="D943" s="16">
        <f t="shared" si="98"/>
        <v>6</v>
      </c>
      <c r="E943" s="16">
        <f t="shared" si="99"/>
        <v>0.2</v>
      </c>
      <c r="F943" s="16">
        <f t="shared" si="100"/>
        <v>4</v>
      </c>
      <c r="G943" s="16">
        <f t="shared" si="101"/>
        <v>4.7911999999999999</v>
      </c>
      <c r="H943" s="16">
        <f t="shared" si="102"/>
        <v>0.8</v>
      </c>
      <c r="I943" s="16">
        <f t="shared" si="103"/>
        <v>0</v>
      </c>
      <c r="J943" s="16">
        <f t="shared" si="104"/>
        <v>0</v>
      </c>
      <c r="K943" s="16">
        <f>IF(CurrentMtgRatesDataTable8[[#This Row],[WA CC]]&lt;&gt;0,C942-CurrentMtgRatesDataTable8[[#This Row],[WA CC]],0)</f>
        <v>0</v>
      </c>
      <c r="L943" s="16">
        <f>IF(CurrentMtgRatesDataTable8[[#This Row],[Servicing Spread]]&lt;=0,L942,CurrentMtgRatesDataTable8[[#This Row],[Servicing Spread]])</f>
        <v>0.29079999999999906</v>
      </c>
      <c r="M943" s="16">
        <f>CurrentMtgRatesDataTable8[[#This Row],[Servicing Spread Non-Zero]]-L942</f>
        <v>0</v>
      </c>
      <c r="N943" s="16">
        <f>IF(J942&lt;&gt;0,CurrentMtgRatesDataTable8[[#This Row],[Rate]]-C942,N942)</f>
        <v>-4.4999999999999041E-2</v>
      </c>
    </row>
    <row r="944" spans="1:14">
      <c r="A944" s="39" t="s">
        <v>2296</v>
      </c>
      <c r="B944" s="40">
        <v>5.9790000000000001</v>
      </c>
      <c r="C944" s="11">
        <v>6.3250000000000002</v>
      </c>
      <c r="D944" s="16">
        <f t="shared" si="98"/>
        <v>7</v>
      </c>
      <c r="E944" s="16">
        <f t="shared" si="99"/>
        <v>0.2</v>
      </c>
      <c r="F944" s="16">
        <f t="shared" si="100"/>
        <v>5</v>
      </c>
      <c r="G944" s="16">
        <f t="shared" si="101"/>
        <v>5.9870000000000001</v>
      </c>
      <c r="H944" s="16">
        <f t="shared" si="102"/>
        <v>1</v>
      </c>
      <c r="I944" s="16">
        <f t="shared" si="103"/>
        <v>1</v>
      </c>
      <c r="J944" s="16">
        <f t="shared" si="104"/>
        <v>5.9870000000000001</v>
      </c>
      <c r="K944" s="16">
        <f>IF(CurrentMtgRatesDataTable8[[#This Row],[WA CC]]&lt;&gt;0,C943-CurrentMtgRatesDataTable8[[#This Row],[WA CC]],0)</f>
        <v>0.33800000000000008</v>
      </c>
      <c r="L944" s="16">
        <f>IF(CurrentMtgRatesDataTable8[[#This Row],[Servicing Spread]]&lt;=0,L943,CurrentMtgRatesDataTable8[[#This Row],[Servicing Spread]])</f>
        <v>0.33800000000000008</v>
      </c>
      <c r="M944" s="16">
        <f>CurrentMtgRatesDataTable8[[#This Row],[Servicing Spread Non-Zero]]-L943</f>
        <v>4.7200000000001019E-2</v>
      </c>
      <c r="N944" s="16">
        <f>IF(J943&lt;&gt;0,CurrentMtgRatesDataTable8[[#This Row],[Rate]]-C943,N943)</f>
        <v>-4.4999999999999041E-2</v>
      </c>
    </row>
    <row r="945" spans="1:14">
      <c r="A945" s="39" t="s">
        <v>2297</v>
      </c>
      <c r="B945" s="40">
        <v>5.9710000000000001</v>
      </c>
      <c r="C945" s="11">
        <v>6.335</v>
      </c>
      <c r="D945" s="16">
        <f t="shared" si="98"/>
        <v>1</v>
      </c>
      <c r="E945" s="16">
        <f t="shared" si="99"/>
        <v>0.2</v>
      </c>
      <c r="F945" s="16">
        <f t="shared" si="100"/>
        <v>1</v>
      </c>
      <c r="G945" s="16">
        <f t="shared" si="101"/>
        <v>1.1942000000000002</v>
      </c>
      <c r="H945" s="16">
        <f t="shared" si="102"/>
        <v>0.2</v>
      </c>
      <c r="I945" s="16">
        <f t="shared" si="103"/>
        <v>0</v>
      </c>
      <c r="J945" s="16">
        <f t="shared" si="104"/>
        <v>0</v>
      </c>
      <c r="K945" s="16">
        <f>IF(CurrentMtgRatesDataTable8[[#This Row],[WA CC]]&lt;&gt;0,C944-CurrentMtgRatesDataTable8[[#This Row],[WA CC]],0)</f>
        <v>0</v>
      </c>
      <c r="L945" s="16">
        <f>IF(CurrentMtgRatesDataTable8[[#This Row],[Servicing Spread]]&lt;=0,L944,CurrentMtgRatesDataTable8[[#This Row],[Servicing Spread]])</f>
        <v>0.33800000000000008</v>
      </c>
      <c r="M945" s="16">
        <f>CurrentMtgRatesDataTable8[[#This Row],[Servicing Spread Non-Zero]]-L944</f>
        <v>0</v>
      </c>
      <c r="N945" s="16">
        <f>IF(J944&lt;&gt;0,CurrentMtgRatesDataTable8[[#This Row],[Rate]]-C944,N944)</f>
        <v>9.9999999999997868E-3</v>
      </c>
    </row>
    <row r="946" spans="1:14">
      <c r="A946" s="39" t="s">
        <v>2298</v>
      </c>
      <c r="B946" s="40">
        <v>6.016</v>
      </c>
      <c r="C946" s="11">
        <v>6.335</v>
      </c>
      <c r="D946" s="16">
        <f t="shared" si="98"/>
        <v>2</v>
      </c>
      <c r="E946" s="16">
        <f t="shared" si="99"/>
        <v>0.2</v>
      </c>
      <c r="F946" s="16">
        <f t="shared" si="100"/>
        <v>2</v>
      </c>
      <c r="G946" s="16">
        <f t="shared" si="101"/>
        <v>2.3974000000000002</v>
      </c>
      <c r="H946" s="16">
        <f t="shared" si="102"/>
        <v>0.4</v>
      </c>
      <c r="I946" s="16">
        <f t="shared" si="103"/>
        <v>0</v>
      </c>
      <c r="J946" s="16">
        <f t="shared" si="104"/>
        <v>0</v>
      </c>
      <c r="K946" s="16">
        <f>IF(CurrentMtgRatesDataTable8[[#This Row],[WA CC]]&lt;&gt;0,C945-CurrentMtgRatesDataTable8[[#This Row],[WA CC]],0)</f>
        <v>0</v>
      </c>
      <c r="L946" s="16">
        <f>IF(CurrentMtgRatesDataTable8[[#This Row],[Servicing Spread]]&lt;=0,L945,CurrentMtgRatesDataTable8[[#This Row],[Servicing Spread]])</f>
        <v>0.33800000000000008</v>
      </c>
      <c r="M946" s="16">
        <f>CurrentMtgRatesDataTable8[[#This Row],[Servicing Spread Non-Zero]]-L945</f>
        <v>0</v>
      </c>
      <c r="N946" s="16">
        <f>IF(J945&lt;&gt;0,CurrentMtgRatesDataTable8[[#This Row],[Rate]]-C945,N945)</f>
        <v>9.9999999999997868E-3</v>
      </c>
    </row>
    <row r="947" spans="1:14">
      <c r="A947" s="39" t="s">
        <v>2299</v>
      </c>
      <c r="B947" s="40">
        <v>6.0309999999999997</v>
      </c>
      <c r="C947" s="11">
        <v>6.335</v>
      </c>
      <c r="D947" s="16">
        <f t="shared" si="98"/>
        <v>6</v>
      </c>
      <c r="E947" s="16">
        <f t="shared" si="99"/>
        <v>0.2</v>
      </c>
      <c r="F947" s="16">
        <f t="shared" si="100"/>
        <v>3</v>
      </c>
      <c r="G947" s="16">
        <f t="shared" si="101"/>
        <v>3.6036000000000001</v>
      </c>
      <c r="H947" s="16">
        <f t="shared" si="102"/>
        <v>0.60000000000000009</v>
      </c>
      <c r="I947" s="16">
        <f t="shared" si="103"/>
        <v>0</v>
      </c>
      <c r="J947" s="16">
        <f t="shared" si="104"/>
        <v>0</v>
      </c>
      <c r="K947" s="16">
        <f>IF(CurrentMtgRatesDataTable8[[#This Row],[WA CC]]&lt;&gt;0,C946-CurrentMtgRatesDataTable8[[#This Row],[WA CC]],0)</f>
        <v>0</v>
      </c>
      <c r="L947" s="16">
        <f>IF(CurrentMtgRatesDataTable8[[#This Row],[Servicing Spread]]&lt;=0,L946,CurrentMtgRatesDataTable8[[#This Row],[Servicing Spread]])</f>
        <v>0.33800000000000008</v>
      </c>
      <c r="M947" s="16">
        <f>CurrentMtgRatesDataTable8[[#This Row],[Servicing Spread Non-Zero]]-L946</f>
        <v>0</v>
      </c>
      <c r="N947" s="16">
        <f>IF(J946&lt;&gt;0,CurrentMtgRatesDataTable8[[#This Row],[Rate]]-C946,N946)</f>
        <v>9.9999999999997868E-3</v>
      </c>
    </row>
    <row r="948" spans="1:14">
      <c r="A948" s="39" t="s">
        <v>2300</v>
      </c>
      <c r="B948" s="40">
        <v>5.9269999999999996</v>
      </c>
      <c r="C948" s="11">
        <v>6.335</v>
      </c>
      <c r="D948" s="16">
        <f t="shared" si="98"/>
        <v>7</v>
      </c>
      <c r="E948" s="16">
        <f t="shared" si="99"/>
        <v>0.2</v>
      </c>
      <c r="F948" s="16">
        <f t="shared" si="100"/>
        <v>4</v>
      </c>
      <c r="G948" s="16">
        <f t="shared" si="101"/>
        <v>4.7889999999999997</v>
      </c>
      <c r="H948" s="16">
        <f t="shared" si="102"/>
        <v>0.8</v>
      </c>
      <c r="I948" s="16">
        <f t="shared" si="103"/>
        <v>1</v>
      </c>
      <c r="J948" s="16">
        <f t="shared" si="104"/>
        <v>5.9862499999999992</v>
      </c>
      <c r="K948" s="16">
        <f>IF(CurrentMtgRatesDataTable8[[#This Row],[WA CC]]&lt;&gt;0,C947-CurrentMtgRatesDataTable8[[#This Row],[WA CC]],0)</f>
        <v>0.34875000000000078</v>
      </c>
      <c r="L948" s="16">
        <f>IF(CurrentMtgRatesDataTable8[[#This Row],[Servicing Spread]]&lt;=0,L947,CurrentMtgRatesDataTable8[[#This Row],[Servicing Spread]])</f>
        <v>0.34875000000000078</v>
      </c>
      <c r="M948" s="16">
        <f>CurrentMtgRatesDataTable8[[#This Row],[Servicing Spread Non-Zero]]-L947</f>
        <v>1.0750000000000703E-2</v>
      </c>
      <c r="N948" s="16">
        <f>IF(J947&lt;&gt;0,CurrentMtgRatesDataTable8[[#This Row],[Rate]]-C947,N947)</f>
        <v>9.9999999999997868E-3</v>
      </c>
    </row>
    <row r="949" spans="1:14">
      <c r="A949" s="39" t="s">
        <v>2301</v>
      </c>
      <c r="B949" s="40">
        <v>5.9340000000000002</v>
      </c>
      <c r="C949" s="11">
        <v>6.1849999999999996</v>
      </c>
      <c r="D949" s="16">
        <f t="shared" si="98"/>
        <v>1</v>
      </c>
      <c r="E949" s="16">
        <f t="shared" si="99"/>
        <v>0.2</v>
      </c>
      <c r="F949" s="16">
        <f t="shared" si="100"/>
        <v>1</v>
      </c>
      <c r="G949" s="16">
        <f t="shared" si="101"/>
        <v>1.1868000000000001</v>
      </c>
      <c r="H949" s="16">
        <f t="shared" si="102"/>
        <v>0.2</v>
      </c>
      <c r="I949" s="16">
        <f t="shared" si="103"/>
        <v>0</v>
      </c>
      <c r="J949" s="16">
        <f t="shared" si="104"/>
        <v>0</v>
      </c>
      <c r="K949" s="16">
        <f>IF(CurrentMtgRatesDataTable8[[#This Row],[WA CC]]&lt;&gt;0,C948-CurrentMtgRatesDataTable8[[#This Row],[WA CC]],0)</f>
        <v>0</v>
      </c>
      <c r="L949" s="16">
        <f>IF(CurrentMtgRatesDataTable8[[#This Row],[Servicing Spread]]&lt;=0,L948,CurrentMtgRatesDataTable8[[#This Row],[Servicing Spread]])</f>
        <v>0.34875000000000078</v>
      </c>
      <c r="M949" s="16">
        <f>CurrentMtgRatesDataTable8[[#This Row],[Servicing Spread Non-Zero]]-L948</f>
        <v>0</v>
      </c>
      <c r="N949" s="16">
        <f>IF(J948&lt;&gt;0,CurrentMtgRatesDataTable8[[#This Row],[Rate]]-C948,N948)</f>
        <v>-0.15000000000000036</v>
      </c>
    </row>
    <row r="950" spans="1:14">
      <c r="A950" s="51" t="s">
        <v>2302</v>
      </c>
      <c r="B950" s="52">
        <v>5.7610000000000001</v>
      </c>
      <c r="C950" s="53">
        <v>6.1849999999999996</v>
      </c>
      <c r="D950" s="54">
        <f t="shared" si="98"/>
        <v>2</v>
      </c>
      <c r="E950" s="54">
        <f t="shared" si="99"/>
        <v>0.2</v>
      </c>
      <c r="F950" s="54">
        <f t="shared" si="100"/>
        <v>2</v>
      </c>
      <c r="G950" s="54">
        <f t="shared" si="101"/>
        <v>2.3390000000000004</v>
      </c>
      <c r="H950" s="54">
        <f t="shared" si="102"/>
        <v>0.4</v>
      </c>
      <c r="I950" s="54">
        <f t="shared" si="103"/>
        <v>0</v>
      </c>
      <c r="J950" s="54">
        <f t="shared" si="104"/>
        <v>0</v>
      </c>
      <c r="K950" s="54">
        <f>IF(CurrentMtgRatesDataTable8[[#This Row],[WA CC]]&lt;&gt;0,C949-CurrentMtgRatesDataTable8[[#This Row],[WA CC]],0)</f>
        <v>0</v>
      </c>
      <c r="L950" s="54">
        <f>IF(CurrentMtgRatesDataTable8[[#This Row],[Servicing Spread]]&lt;=0,L949,CurrentMtgRatesDataTable8[[#This Row],[Servicing Spread]])</f>
        <v>0.34875000000000078</v>
      </c>
      <c r="M950" s="54">
        <f>CurrentMtgRatesDataTable8[[#This Row],[Servicing Spread Non-Zero]]-L949</f>
        <v>0</v>
      </c>
      <c r="N950" s="54">
        <f>IF(J949&lt;&gt;0,CurrentMtgRatesDataTable8[[#This Row],[Rate]]-C949,N949)</f>
        <v>-0.15000000000000036</v>
      </c>
    </row>
    <row r="951" spans="1:14">
      <c r="A951" s="51" t="s">
        <v>2303</v>
      </c>
      <c r="B951" s="52">
        <v>5.7309999999999999</v>
      </c>
      <c r="C951" s="53">
        <v>6.1849999999999996</v>
      </c>
      <c r="D951" s="54">
        <f t="shared" si="98"/>
        <v>5</v>
      </c>
      <c r="E951" s="54">
        <f t="shared" si="99"/>
        <v>0.2</v>
      </c>
      <c r="F951" s="54">
        <f t="shared" si="100"/>
        <v>3</v>
      </c>
      <c r="G951" s="54">
        <f t="shared" si="101"/>
        <v>3.4852000000000007</v>
      </c>
      <c r="H951" s="54">
        <f t="shared" si="102"/>
        <v>0.60000000000000009</v>
      </c>
      <c r="I951" s="54">
        <f t="shared" si="103"/>
        <v>0</v>
      </c>
      <c r="J951" s="54">
        <f t="shared" si="104"/>
        <v>0</v>
      </c>
      <c r="K951" s="54">
        <f>IF(CurrentMtgRatesDataTable8[[#This Row],[WA CC]]&lt;&gt;0,C950-CurrentMtgRatesDataTable8[[#This Row],[WA CC]],0)</f>
        <v>0</v>
      </c>
      <c r="L951" s="54">
        <f>IF(CurrentMtgRatesDataTable8[[#This Row],[Servicing Spread]]&lt;=0,L950,CurrentMtgRatesDataTable8[[#This Row],[Servicing Spread]])</f>
        <v>0.34875000000000078</v>
      </c>
      <c r="M951" s="54">
        <f>CurrentMtgRatesDataTable8[[#This Row],[Servicing Spread Non-Zero]]-L950</f>
        <v>0</v>
      </c>
      <c r="N951" s="54">
        <f>IF(J950&lt;&gt;0,CurrentMtgRatesDataTable8[[#This Row],[Rate]]-C950,N950)</f>
        <v>-0.15000000000000036</v>
      </c>
    </row>
    <row r="952" spans="1:14">
      <c r="A952" s="51" t="s">
        <v>2304</v>
      </c>
      <c r="B952" s="52">
        <v>5.8019999999999996</v>
      </c>
      <c r="C952" s="53">
        <v>6.1849999999999996</v>
      </c>
      <c r="D952" s="54">
        <f t="shared" si="98"/>
        <v>6</v>
      </c>
      <c r="E952" s="54">
        <f t="shared" si="99"/>
        <v>0.2</v>
      </c>
      <c r="F952" s="54">
        <f t="shared" si="100"/>
        <v>4</v>
      </c>
      <c r="G952" s="54">
        <f t="shared" si="101"/>
        <v>4.6456000000000008</v>
      </c>
      <c r="H952" s="54">
        <f t="shared" si="102"/>
        <v>0.8</v>
      </c>
      <c r="I952" s="54">
        <f t="shared" si="103"/>
        <v>0</v>
      </c>
      <c r="J952" s="54">
        <f t="shared" si="104"/>
        <v>0</v>
      </c>
      <c r="K952" s="54">
        <f>IF(CurrentMtgRatesDataTable8[[#This Row],[WA CC]]&lt;&gt;0,C951-CurrentMtgRatesDataTable8[[#This Row],[WA CC]],0)</f>
        <v>0</v>
      </c>
      <c r="L952" s="54">
        <f>IF(CurrentMtgRatesDataTable8[[#This Row],[Servicing Spread]]&lt;=0,L951,CurrentMtgRatesDataTable8[[#This Row],[Servicing Spread]])</f>
        <v>0.34875000000000078</v>
      </c>
      <c r="M952" s="54">
        <f>CurrentMtgRatesDataTable8[[#This Row],[Servicing Spread Non-Zero]]-L951</f>
        <v>0</v>
      </c>
      <c r="N952" s="54">
        <f>IF(J951&lt;&gt;0,CurrentMtgRatesDataTable8[[#This Row],[Rate]]-C951,N951)</f>
        <v>-0.15000000000000036</v>
      </c>
    </row>
    <row r="953" spans="1:14">
      <c r="A953" s="51" t="s">
        <v>2305</v>
      </c>
      <c r="B953" s="52">
        <v>5.8689999999999998</v>
      </c>
      <c r="C953" s="53">
        <v>6.1849999999999996</v>
      </c>
      <c r="D953" s="54">
        <f t="shared" si="98"/>
        <v>7</v>
      </c>
      <c r="E953" s="54">
        <f t="shared" si="99"/>
        <v>0.2</v>
      </c>
      <c r="F953" s="54">
        <f t="shared" si="100"/>
        <v>5</v>
      </c>
      <c r="G953" s="54">
        <f t="shared" si="101"/>
        <v>5.8194000000000008</v>
      </c>
      <c r="H953" s="54">
        <f t="shared" si="102"/>
        <v>1</v>
      </c>
      <c r="I953" s="54">
        <f t="shared" si="103"/>
        <v>1</v>
      </c>
      <c r="J953" s="54">
        <f t="shared" si="104"/>
        <v>5.8194000000000008</v>
      </c>
      <c r="K953" s="54">
        <f>IF(CurrentMtgRatesDataTable8[[#This Row],[WA CC]]&lt;&gt;0,C952-CurrentMtgRatesDataTable8[[#This Row],[WA CC]],0)</f>
        <v>0.36559999999999881</v>
      </c>
      <c r="L953" s="54">
        <f>IF(CurrentMtgRatesDataTable8[[#This Row],[Servicing Spread]]&lt;=0,L952,CurrentMtgRatesDataTable8[[#This Row],[Servicing Spread]])</f>
        <v>0.36559999999999881</v>
      </c>
      <c r="M953" s="54">
        <f>CurrentMtgRatesDataTable8[[#This Row],[Servicing Spread Non-Zero]]-L952</f>
        <v>1.6849999999998033E-2</v>
      </c>
      <c r="N953" s="54">
        <f>IF(J952&lt;&gt;0,CurrentMtgRatesDataTable8[[#This Row],[Rate]]-C952,N952)</f>
        <v>-0.15000000000000036</v>
      </c>
    </row>
    <row r="954" spans="1:14">
      <c r="A954" s="39" t="s">
        <v>2306</v>
      </c>
      <c r="B954" s="40">
        <v>5.9119999999999999</v>
      </c>
      <c r="C954" s="11">
        <v>6.2149999999999999</v>
      </c>
      <c r="D954" s="16">
        <f t="shared" si="98"/>
        <v>1</v>
      </c>
      <c r="E954" s="16">
        <f t="shared" si="99"/>
        <v>0.2</v>
      </c>
      <c r="F954" s="16">
        <f t="shared" si="100"/>
        <v>1</v>
      </c>
      <c r="G954" s="16">
        <f t="shared" si="101"/>
        <v>1.1824000000000001</v>
      </c>
      <c r="H954" s="16">
        <f t="shared" si="102"/>
        <v>0.2</v>
      </c>
      <c r="I954" s="16">
        <f t="shared" si="103"/>
        <v>0</v>
      </c>
      <c r="J954" s="16">
        <f t="shared" si="104"/>
        <v>0</v>
      </c>
      <c r="K954" s="16">
        <f>IF(CurrentMtgRatesDataTable8[[#This Row],[WA CC]]&lt;&gt;0,C953-CurrentMtgRatesDataTable8[[#This Row],[WA CC]],0)</f>
        <v>0</v>
      </c>
      <c r="L954" s="16">
        <f>IF(CurrentMtgRatesDataTable8[[#This Row],[Servicing Spread]]&lt;=0,L953,CurrentMtgRatesDataTable8[[#This Row],[Servicing Spread]])</f>
        <v>0.36559999999999881</v>
      </c>
      <c r="M954" s="16">
        <f>CurrentMtgRatesDataTable8[[#This Row],[Servicing Spread Non-Zero]]-L953</f>
        <v>0</v>
      </c>
      <c r="N954" s="16">
        <f>IF(J953&lt;&gt;0,CurrentMtgRatesDataTable8[[#This Row],[Rate]]-C953,N953)</f>
        <v>3.0000000000000249E-2</v>
      </c>
    </row>
    <row r="955" spans="1:14">
      <c r="A955" s="39" t="s">
        <v>2307</v>
      </c>
      <c r="B955" s="40">
        <v>5.891</v>
      </c>
      <c r="C955" s="11">
        <v>6.2149999999999999</v>
      </c>
      <c r="D955" s="16">
        <f t="shared" si="98"/>
        <v>2</v>
      </c>
      <c r="E955" s="16">
        <f t="shared" si="99"/>
        <v>0.2</v>
      </c>
      <c r="F955" s="16">
        <f t="shared" si="100"/>
        <v>2</v>
      </c>
      <c r="G955" s="16">
        <f t="shared" si="101"/>
        <v>2.3606000000000003</v>
      </c>
      <c r="H955" s="16">
        <f t="shared" si="102"/>
        <v>0.4</v>
      </c>
      <c r="I955" s="16">
        <f t="shared" si="103"/>
        <v>0</v>
      </c>
      <c r="J955" s="16">
        <f t="shared" si="104"/>
        <v>0</v>
      </c>
      <c r="K955" s="16">
        <f>IF(CurrentMtgRatesDataTable8[[#This Row],[WA CC]]&lt;&gt;0,C954-CurrentMtgRatesDataTable8[[#This Row],[WA CC]],0)</f>
        <v>0</v>
      </c>
      <c r="L955" s="16">
        <f>IF(CurrentMtgRatesDataTable8[[#This Row],[Servicing Spread]]&lt;=0,L954,CurrentMtgRatesDataTable8[[#This Row],[Servicing Spread]])</f>
        <v>0.36559999999999881</v>
      </c>
      <c r="M955" s="16">
        <f>CurrentMtgRatesDataTable8[[#This Row],[Servicing Spread Non-Zero]]-L954</f>
        <v>0</v>
      </c>
      <c r="N955" s="16">
        <f>IF(J954&lt;&gt;0,CurrentMtgRatesDataTable8[[#This Row],[Rate]]-C954,N954)</f>
        <v>3.0000000000000249E-2</v>
      </c>
    </row>
    <row r="956" spans="1:14">
      <c r="A956" s="39" t="s">
        <v>2308</v>
      </c>
      <c r="B956" s="40">
        <v>5.8940000000000001</v>
      </c>
      <c r="C956" s="11">
        <v>6.2149999999999999</v>
      </c>
      <c r="D956" s="16">
        <f t="shared" si="98"/>
        <v>5</v>
      </c>
      <c r="E956" s="16">
        <f t="shared" si="99"/>
        <v>0.2</v>
      </c>
      <c r="F956" s="16">
        <f t="shared" si="100"/>
        <v>3</v>
      </c>
      <c r="G956" s="16">
        <f t="shared" si="101"/>
        <v>3.5394000000000005</v>
      </c>
      <c r="H956" s="16">
        <f t="shared" si="102"/>
        <v>0.60000000000000009</v>
      </c>
      <c r="I956" s="16">
        <f t="shared" si="103"/>
        <v>0</v>
      </c>
      <c r="J956" s="16">
        <f t="shared" si="104"/>
        <v>0</v>
      </c>
      <c r="K956" s="16">
        <f>IF(CurrentMtgRatesDataTable8[[#This Row],[WA CC]]&lt;&gt;0,C955-CurrentMtgRatesDataTable8[[#This Row],[WA CC]],0)</f>
        <v>0</v>
      </c>
      <c r="L956" s="16">
        <f>IF(CurrentMtgRatesDataTable8[[#This Row],[Servicing Spread]]&lt;=0,L955,CurrentMtgRatesDataTable8[[#This Row],[Servicing Spread]])</f>
        <v>0.36559999999999881</v>
      </c>
      <c r="M956" s="16">
        <f>CurrentMtgRatesDataTable8[[#This Row],[Servicing Spread Non-Zero]]-L955</f>
        <v>0</v>
      </c>
      <c r="N956" s="16">
        <f>IF(J955&lt;&gt;0,CurrentMtgRatesDataTable8[[#This Row],[Rate]]-C955,N955)</f>
        <v>3.0000000000000249E-2</v>
      </c>
    </row>
    <row r="957" spans="1:14">
      <c r="A957" s="39" t="s">
        <v>2309</v>
      </c>
      <c r="B957" s="40">
        <v>5.798</v>
      </c>
      <c r="C957" s="11">
        <v>6.2149999999999999</v>
      </c>
      <c r="D957" s="16">
        <f t="shared" si="98"/>
        <v>6</v>
      </c>
      <c r="E957" s="16">
        <f t="shared" si="99"/>
        <v>0.2</v>
      </c>
      <c r="F957" s="16">
        <f t="shared" si="100"/>
        <v>4</v>
      </c>
      <c r="G957" s="16">
        <f t="shared" si="101"/>
        <v>4.6990000000000007</v>
      </c>
      <c r="H957" s="16">
        <f t="shared" si="102"/>
        <v>0.8</v>
      </c>
      <c r="I957" s="16">
        <f t="shared" si="103"/>
        <v>0</v>
      </c>
      <c r="J957" s="16">
        <f t="shared" si="104"/>
        <v>0</v>
      </c>
      <c r="K957" s="16">
        <f>IF(CurrentMtgRatesDataTable8[[#This Row],[WA CC]]&lt;&gt;0,C956-CurrentMtgRatesDataTable8[[#This Row],[WA CC]],0)</f>
        <v>0</v>
      </c>
      <c r="L957" s="16">
        <f>IF(CurrentMtgRatesDataTable8[[#This Row],[Servicing Spread]]&lt;=0,L956,CurrentMtgRatesDataTable8[[#This Row],[Servicing Spread]])</f>
        <v>0.36559999999999881</v>
      </c>
      <c r="M957" s="16">
        <f>CurrentMtgRatesDataTable8[[#This Row],[Servicing Spread Non-Zero]]-L956</f>
        <v>0</v>
      </c>
      <c r="N957" s="16">
        <f>IF(J956&lt;&gt;0,CurrentMtgRatesDataTable8[[#This Row],[Rate]]-C956,N956)</f>
        <v>3.0000000000000249E-2</v>
      </c>
    </row>
    <row r="958" spans="1:14">
      <c r="A958" s="39" t="s">
        <v>2310</v>
      </c>
      <c r="B958" s="40">
        <v>5.7949999999999999</v>
      </c>
      <c r="C958" s="11">
        <v>6.2149999999999999</v>
      </c>
      <c r="D958" s="16">
        <f t="shared" si="98"/>
        <v>7</v>
      </c>
      <c r="E958" s="16">
        <f t="shared" si="99"/>
        <v>0.2</v>
      </c>
      <c r="F958" s="16">
        <f t="shared" si="100"/>
        <v>5</v>
      </c>
      <c r="G958" s="16">
        <f t="shared" si="101"/>
        <v>5.8580000000000005</v>
      </c>
      <c r="H958" s="16">
        <f t="shared" si="102"/>
        <v>1</v>
      </c>
      <c r="I958" s="16">
        <f t="shared" si="103"/>
        <v>1</v>
      </c>
      <c r="J958" s="16">
        <f t="shared" si="104"/>
        <v>5.8580000000000005</v>
      </c>
      <c r="K958" s="16">
        <f>IF(CurrentMtgRatesDataTable8[[#This Row],[WA CC]]&lt;&gt;0,C957-CurrentMtgRatesDataTable8[[#This Row],[WA CC]],0)</f>
        <v>0.35699999999999932</v>
      </c>
      <c r="L958" s="16">
        <f>IF(CurrentMtgRatesDataTable8[[#This Row],[Servicing Spread]]&lt;=0,L957,CurrentMtgRatesDataTable8[[#This Row],[Servicing Spread]])</f>
        <v>0.35699999999999932</v>
      </c>
      <c r="M958" s="16">
        <f>CurrentMtgRatesDataTable8[[#This Row],[Servicing Spread Non-Zero]]-L957</f>
        <v>-8.5999999999994969E-3</v>
      </c>
      <c r="N958" s="16">
        <f>IF(J957&lt;&gt;0,CurrentMtgRatesDataTable8[[#This Row],[Rate]]-C957,N957)</f>
        <v>3.0000000000000249E-2</v>
      </c>
    </row>
    <row r="959" spans="1:14">
      <c r="A959" s="55" t="s">
        <v>2311</v>
      </c>
      <c r="B959" s="56">
        <v>5.9660000000000002</v>
      </c>
      <c r="C959" s="57">
        <v>6.2949999999999999</v>
      </c>
      <c r="D959" s="58">
        <f t="shared" si="98"/>
        <v>1</v>
      </c>
      <c r="E959" s="58">
        <f t="shared" si="99"/>
        <v>0.2</v>
      </c>
      <c r="F959" s="58">
        <f t="shared" si="100"/>
        <v>1</v>
      </c>
      <c r="G959" s="58">
        <f t="shared" si="101"/>
        <v>1.1932</v>
      </c>
      <c r="H959" s="58">
        <f t="shared" si="102"/>
        <v>0.2</v>
      </c>
      <c r="I959" s="58">
        <f t="shared" si="103"/>
        <v>0</v>
      </c>
      <c r="J959" s="58">
        <f t="shared" si="104"/>
        <v>0</v>
      </c>
      <c r="K959" s="58">
        <f>IF(CurrentMtgRatesDataTable8[[#This Row],[WA CC]]&lt;&gt;0,C958-CurrentMtgRatesDataTable8[[#This Row],[WA CC]],0)</f>
        <v>0</v>
      </c>
      <c r="L959" s="58">
        <f>IF(CurrentMtgRatesDataTable8[[#This Row],[Servicing Spread]]&lt;=0,L958,CurrentMtgRatesDataTable8[[#This Row],[Servicing Spread]])</f>
        <v>0.35699999999999932</v>
      </c>
      <c r="M959" s="58">
        <f>CurrentMtgRatesDataTable8[[#This Row],[Servicing Spread Non-Zero]]-L958</f>
        <v>0</v>
      </c>
      <c r="N959" s="58">
        <f>IF(J958&lt;&gt;0,CurrentMtgRatesDataTable8[[#This Row],[Rate]]-C958,N958)</f>
        <v>8.0000000000000071E-2</v>
      </c>
    </row>
    <row r="960" spans="1:14">
      <c r="A960" s="55" t="s">
        <v>2312</v>
      </c>
      <c r="B960" s="56">
        <v>5.9509999999999996</v>
      </c>
      <c r="C960" s="57">
        <v>6.2949999999999999</v>
      </c>
      <c r="D960" s="58">
        <f t="shared" si="98"/>
        <v>2</v>
      </c>
      <c r="E960" s="58">
        <f t="shared" si="99"/>
        <v>0.2</v>
      </c>
      <c r="F960" s="58">
        <f t="shared" si="100"/>
        <v>2</v>
      </c>
      <c r="G960" s="58">
        <f t="shared" si="101"/>
        <v>2.3834</v>
      </c>
      <c r="H960" s="58">
        <f t="shared" si="102"/>
        <v>0.4</v>
      </c>
      <c r="I960" s="58">
        <f t="shared" si="103"/>
        <v>0</v>
      </c>
      <c r="J960" s="58">
        <f t="shared" si="104"/>
        <v>0</v>
      </c>
      <c r="K960" s="58">
        <f>IF(CurrentMtgRatesDataTable8[[#This Row],[WA CC]]&lt;&gt;0,C959-CurrentMtgRatesDataTable8[[#This Row],[WA CC]],0)</f>
        <v>0</v>
      </c>
      <c r="L960" s="58">
        <f>IF(CurrentMtgRatesDataTable8[[#This Row],[Servicing Spread]]&lt;=0,L959,CurrentMtgRatesDataTable8[[#This Row],[Servicing Spread]])</f>
        <v>0.35699999999999932</v>
      </c>
      <c r="M960" s="58">
        <f>CurrentMtgRatesDataTable8[[#This Row],[Servicing Spread Non-Zero]]-L959</f>
        <v>0</v>
      </c>
      <c r="N960" s="58">
        <f>IF(J959&lt;&gt;0,CurrentMtgRatesDataTable8[[#This Row],[Rate]]-C959,N959)</f>
        <v>8.0000000000000071E-2</v>
      </c>
    </row>
    <row r="961" spans="1:14">
      <c r="A961" s="55" t="s">
        <v>2313</v>
      </c>
      <c r="B961" s="56">
        <v>5.9749999999999996</v>
      </c>
      <c r="C961" s="57">
        <v>6.2949999999999999</v>
      </c>
      <c r="D961" s="58">
        <f t="shared" si="98"/>
        <v>5</v>
      </c>
      <c r="E961" s="58">
        <f t="shared" si="99"/>
        <v>0.2</v>
      </c>
      <c r="F961" s="58">
        <f t="shared" si="100"/>
        <v>3</v>
      </c>
      <c r="G961" s="58">
        <f t="shared" si="101"/>
        <v>3.5784000000000002</v>
      </c>
      <c r="H961" s="58">
        <f t="shared" si="102"/>
        <v>0.60000000000000009</v>
      </c>
      <c r="I961" s="58">
        <f t="shared" si="103"/>
        <v>0</v>
      </c>
      <c r="J961" s="58">
        <f t="shared" si="104"/>
        <v>0</v>
      </c>
      <c r="K961" s="58">
        <f>IF(CurrentMtgRatesDataTable8[[#This Row],[WA CC]]&lt;&gt;0,C960-CurrentMtgRatesDataTable8[[#This Row],[WA CC]],0)</f>
        <v>0</v>
      </c>
      <c r="L961" s="58">
        <f>IF(CurrentMtgRatesDataTable8[[#This Row],[Servicing Spread]]&lt;=0,L960,CurrentMtgRatesDataTable8[[#This Row],[Servicing Spread]])</f>
        <v>0.35699999999999932</v>
      </c>
      <c r="M961" s="58">
        <f>CurrentMtgRatesDataTable8[[#This Row],[Servicing Spread Non-Zero]]-L960</f>
        <v>0</v>
      </c>
      <c r="N961" s="58">
        <f>IF(J960&lt;&gt;0,CurrentMtgRatesDataTable8[[#This Row],[Rate]]-C960,N960)</f>
        <v>8.0000000000000071E-2</v>
      </c>
    </row>
    <row r="962" spans="1:14">
      <c r="A962" s="55" t="s">
        <v>2314</v>
      </c>
      <c r="B962" s="56">
        <v>5.9710000000000001</v>
      </c>
      <c r="C962" s="57">
        <v>6.2949999999999999</v>
      </c>
      <c r="D962" s="58">
        <f t="shared" si="98"/>
        <v>6</v>
      </c>
      <c r="E962" s="58">
        <f t="shared" si="99"/>
        <v>0.2</v>
      </c>
      <c r="F962" s="58">
        <f t="shared" si="100"/>
        <v>4</v>
      </c>
      <c r="G962" s="58">
        <f t="shared" si="101"/>
        <v>4.7726000000000006</v>
      </c>
      <c r="H962" s="58">
        <f t="shared" si="102"/>
        <v>0.8</v>
      </c>
      <c r="I962" s="58">
        <f t="shared" si="103"/>
        <v>0</v>
      </c>
      <c r="J962" s="58">
        <f t="shared" si="104"/>
        <v>0</v>
      </c>
      <c r="K962" s="58">
        <f>IF(CurrentMtgRatesDataTable8[[#This Row],[WA CC]]&lt;&gt;0,C961-CurrentMtgRatesDataTable8[[#This Row],[WA CC]],0)</f>
        <v>0</v>
      </c>
      <c r="L962" s="58">
        <f>IF(CurrentMtgRatesDataTable8[[#This Row],[Servicing Spread]]&lt;=0,L961,CurrentMtgRatesDataTable8[[#This Row],[Servicing Spread]])</f>
        <v>0.35699999999999932</v>
      </c>
      <c r="M962" s="58">
        <f>CurrentMtgRatesDataTable8[[#This Row],[Servicing Spread Non-Zero]]-L961</f>
        <v>0</v>
      </c>
      <c r="N962" s="58">
        <f>IF(J961&lt;&gt;0,CurrentMtgRatesDataTable8[[#This Row],[Rate]]-C961,N961)</f>
        <v>8.0000000000000071E-2</v>
      </c>
    </row>
    <row r="963" spans="1:14">
      <c r="A963" s="55" t="s">
        <v>2315</v>
      </c>
      <c r="B963" s="56">
        <v>5.9809999999999999</v>
      </c>
      <c r="C963" s="57">
        <v>6.2949999999999999</v>
      </c>
      <c r="D963" s="58">
        <f t="shared" si="98"/>
        <v>7</v>
      </c>
      <c r="E963" s="58">
        <f t="shared" si="99"/>
        <v>0.2</v>
      </c>
      <c r="F963" s="58">
        <f t="shared" si="100"/>
        <v>5</v>
      </c>
      <c r="G963" s="58">
        <f t="shared" si="101"/>
        <v>5.9688000000000008</v>
      </c>
      <c r="H963" s="58">
        <f t="shared" si="102"/>
        <v>1</v>
      </c>
      <c r="I963" s="58">
        <f t="shared" si="103"/>
        <v>1</v>
      </c>
      <c r="J963" s="58">
        <f t="shared" si="104"/>
        <v>5.9688000000000008</v>
      </c>
      <c r="K963" s="58">
        <f>IF(CurrentMtgRatesDataTable8[[#This Row],[WA CC]]&lt;&gt;0,C962-CurrentMtgRatesDataTable8[[#This Row],[WA CC]],0)</f>
        <v>0.32619999999999916</v>
      </c>
      <c r="L963" s="58">
        <f>IF(CurrentMtgRatesDataTable8[[#This Row],[Servicing Spread]]&lt;=0,L962,CurrentMtgRatesDataTable8[[#This Row],[Servicing Spread]])</f>
        <v>0.32619999999999916</v>
      </c>
      <c r="M963" s="58">
        <f>CurrentMtgRatesDataTable8[[#This Row],[Servicing Spread Non-Zero]]-L962</f>
        <v>-3.0800000000000161E-2</v>
      </c>
      <c r="N963" s="58">
        <f>IF(J962&lt;&gt;0,CurrentMtgRatesDataTable8[[#This Row],[Rate]]-C962,N962)</f>
        <v>8.0000000000000071E-2</v>
      </c>
    </row>
    <row r="964" spans="1:14">
      <c r="A964" s="55" t="s">
        <v>2316</v>
      </c>
      <c r="B964" s="56">
        <v>5.9240000000000004</v>
      </c>
      <c r="C964" s="57">
        <v>6.2450000000000001</v>
      </c>
      <c r="D964" s="58">
        <f t="shared" si="98"/>
        <v>1</v>
      </c>
      <c r="E964" s="58">
        <f t="shared" si="99"/>
        <v>0.2</v>
      </c>
      <c r="F964" s="58">
        <f t="shared" si="100"/>
        <v>1</v>
      </c>
      <c r="G964" s="58">
        <f t="shared" si="101"/>
        <v>1.1848000000000001</v>
      </c>
      <c r="H964" s="58">
        <f t="shared" si="102"/>
        <v>0.2</v>
      </c>
      <c r="I964" s="58">
        <f t="shared" si="103"/>
        <v>0</v>
      </c>
      <c r="J964" s="58">
        <f t="shared" si="104"/>
        <v>0</v>
      </c>
      <c r="K964" s="58">
        <f>IF(CurrentMtgRatesDataTable8[[#This Row],[WA CC]]&lt;&gt;0,C963-CurrentMtgRatesDataTable8[[#This Row],[WA CC]],0)</f>
        <v>0</v>
      </c>
      <c r="L964" s="58">
        <f>IF(CurrentMtgRatesDataTable8[[#This Row],[Servicing Spread]]&lt;=0,L963,CurrentMtgRatesDataTable8[[#This Row],[Servicing Spread]])</f>
        <v>0.32619999999999916</v>
      </c>
      <c r="M964" s="58">
        <f>CurrentMtgRatesDataTable8[[#This Row],[Servicing Spread Non-Zero]]-L963</f>
        <v>0</v>
      </c>
      <c r="N964" s="58">
        <f>IF(J963&lt;&gt;0,CurrentMtgRatesDataTable8[[#This Row],[Rate]]-C963,N963)</f>
        <v>-4.9999999999999822E-2</v>
      </c>
    </row>
    <row r="965" spans="1:14">
      <c r="A965" s="55" t="s">
        <v>2317</v>
      </c>
      <c r="B965" s="56">
        <v>5.95</v>
      </c>
      <c r="C965" s="57">
        <v>6.2450000000000001</v>
      </c>
      <c r="D965" s="58">
        <f t="shared" ref="D965:D1028" si="105">WEEKDAY(A965,14)</f>
        <v>2</v>
      </c>
      <c r="E965" s="58">
        <f t="shared" ref="E965:E1028" si="106">VLOOKUP(D965,Q$5:R$11,2,FALSE)</f>
        <v>0.2</v>
      </c>
      <c r="F965" s="58">
        <f t="shared" ref="F965:F1028" si="107">IF(AND(D965&gt;D964,F964&lt;6),F964+1,1)</f>
        <v>2</v>
      </c>
      <c r="G965" s="58">
        <f t="shared" ref="G965:G1028" si="108">IF(F965&gt;F964,G964+B965*E965,B965*E965)</f>
        <v>2.3748000000000005</v>
      </c>
      <c r="H965" s="58">
        <f t="shared" ref="H965:H1028" si="109">IF(AND(F965&lt;6,F965&gt;F964),E965+H964,E965)</f>
        <v>0.4</v>
      </c>
      <c r="I965" s="58">
        <f t="shared" ref="I965:I1028" si="110">IF(F965&gt;F966,1,0)</f>
        <v>0</v>
      </c>
      <c r="J965" s="58">
        <f t="shared" ref="J965:J1028" si="111">IF(F965&gt;F966,G965/H965,0)</f>
        <v>0</v>
      </c>
      <c r="K965" s="58">
        <f>IF(CurrentMtgRatesDataTable8[[#This Row],[WA CC]]&lt;&gt;0,C964-CurrentMtgRatesDataTable8[[#This Row],[WA CC]],0)</f>
        <v>0</v>
      </c>
      <c r="L965" s="58">
        <f>IF(CurrentMtgRatesDataTable8[[#This Row],[Servicing Spread]]&lt;=0,L964,CurrentMtgRatesDataTable8[[#This Row],[Servicing Spread]])</f>
        <v>0.32619999999999916</v>
      </c>
      <c r="M965" s="58">
        <f>CurrentMtgRatesDataTable8[[#This Row],[Servicing Spread Non-Zero]]-L964</f>
        <v>0</v>
      </c>
      <c r="N965" s="58">
        <f>IF(J964&lt;&gt;0,CurrentMtgRatesDataTable8[[#This Row],[Rate]]-C964,N964)</f>
        <v>-4.9999999999999822E-2</v>
      </c>
    </row>
    <row r="966" spans="1:14">
      <c r="A966" s="55" t="s">
        <v>2318</v>
      </c>
      <c r="B966" s="56">
        <v>5.9370000000000003</v>
      </c>
      <c r="C966" s="57">
        <v>6.2450000000000001</v>
      </c>
      <c r="D966" s="58">
        <f t="shared" si="105"/>
        <v>5</v>
      </c>
      <c r="E966" s="58">
        <f t="shared" si="106"/>
        <v>0.2</v>
      </c>
      <c r="F966" s="58">
        <f t="shared" si="107"/>
        <v>3</v>
      </c>
      <c r="G966" s="58">
        <f t="shared" si="108"/>
        <v>3.5622000000000007</v>
      </c>
      <c r="H966" s="58">
        <f t="shared" si="109"/>
        <v>0.60000000000000009</v>
      </c>
      <c r="I966" s="58">
        <f t="shared" si="110"/>
        <v>0</v>
      </c>
      <c r="J966" s="58">
        <f t="shared" si="111"/>
        <v>0</v>
      </c>
      <c r="K966" s="58">
        <f>IF(CurrentMtgRatesDataTable8[[#This Row],[WA CC]]&lt;&gt;0,C965-CurrentMtgRatesDataTable8[[#This Row],[WA CC]],0)</f>
        <v>0</v>
      </c>
      <c r="L966" s="58">
        <f>IF(CurrentMtgRatesDataTable8[[#This Row],[Servicing Spread]]&lt;=0,L965,CurrentMtgRatesDataTable8[[#This Row],[Servicing Spread]])</f>
        <v>0.32619999999999916</v>
      </c>
      <c r="M966" s="58">
        <f>CurrentMtgRatesDataTable8[[#This Row],[Servicing Spread Non-Zero]]-L965</f>
        <v>0</v>
      </c>
      <c r="N966" s="58">
        <f>IF(J965&lt;&gt;0,CurrentMtgRatesDataTable8[[#This Row],[Rate]]-C965,N965)</f>
        <v>-4.9999999999999822E-2</v>
      </c>
    </row>
    <row r="967" spans="1:14">
      <c r="A967" s="55" t="s">
        <v>2319</v>
      </c>
      <c r="B967" s="56">
        <v>5.9180000000000001</v>
      </c>
      <c r="C967" s="57">
        <v>6.2450000000000001</v>
      </c>
      <c r="D967" s="58">
        <f t="shared" si="105"/>
        <v>6</v>
      </c>
      <c r="E967" s="58">
        <f t="shared" si="106"/>
        <v>0.2</v>
      </c>
      <c r="F967" s="58">
        <f t="shared" si="107"/>
        <v>4</v>
      </c>
      <c r="G967" s="58">
        <f t="shared" si="108"/>
        <v>4.7458000000000009</v>
      </c>
      <c r="H967" s="58">
        <f t="shared" si="109"/>
        <v>0.8</v>
      </c>
      <c r="I967" s="58">
        <f t="shared" si="110"/>
        <v>0</v>
      </c>
      <c r="J967" s="58">
        <f t="shared" si="111"/>
        <v>0</v>
      </c>
      <c r="K967" s="58">
        <f>IF(CurrentMtgRatesDataTable8[[#This Row],[WA CC]]&lt;&gt;0,C966-CurrentMtgRatesDataTable8[[#This Row],[WA CC]],0)</f>
        <v>0</v>
      </c>
      <c r="L967" s="58">
        <f>IF(CurrentMtgRatesDataTable8[[#This Row],[Servicing Spread]]&lt;=0,L966,CurrentMtgRatesDataTable8[[#This Row],[Servicing Spread]])</f>
        <v>0.32619999999999916</v>
      </c>
      <c r="M967" s="58">
        <f>CurrentMtgRatesDataTable8[[#This Row],[Servicing Spread Non-Zero]]-L966</f>
        <v>0</v>
      </c>
      <c r="N967" s="58">
        <f>IF(J966&lt;&gt;0,CurrentMtgRatesDataTable8[[#This Row],[Rate]]-C966,N966)</f>
        <v>-4.9999999999999822E-2</v>
      </c>
    </row>
    <row r="968" spans="1:14">
      <c r="A968" s="55" t="s">
        <v>2320</v>
      </c>
      <c r="B968" s="56">
        <v>5.9059999999999997</v>
      </c>
      <c r="C968" s="57">
        <v>6.2450000000000001</v>
      </c>
      <c r="D968" s="58">
        <f t="shared" si="105"/>
        <v>7</v>
      </c>
      <c r="E968" s="58">
        <f t="shared" si="106"/>
        <v>0.2</v>
      </c>
      <c r="F968" s="58">
        <f t="shared" si="107"/>
        <v>5</v>
      </c>
      <c r="G968" s="58">
        <f t="shared" si="108"/>
        <v>5.9270000000000014</v>
      </c>
      <c r="H968" s="58">
        <f t="shared" si="109"/>
        <v>1</v>
      </c>
      <c r="I968" s="58">
        <f t="shared" si="110"/>
        <v>1</v>
      </c>
      <c r="J968" s="58">
        <f t="shared" si="111"/>
        <v>5.9270000000000014</v>
      </c>
      <c r="K968" s="58">
        <f>IF(CurrentMtgRatesDataTable8[[#This Row],[WA CC]]&lt;&gt;0,C967-CurrentMtgRatesDataTable8[[#This Row],[WA CC]],0)</f>
        <v>0.31799999999999873</v>
      </c>
      <c r="L968" s="58">
        <f>IF(CurrentMtgRatesDataTable8[[#This Row],[Servicing Spread]]&lt;=0,L967,CurrentMtgRatesDataTable8[[#This Row],[Servicing Spread]])</f>
        <v>0.31799999999999873</v>
      </c>
      <c r="M968" s="58">
        <f>CurrentMtgRatesDataTable8[[#This Row],[Servicing Spread Non-Zero]]-L967</f>
        <v>-8.2000000000004292E-3</v>
      </c>
      <c r="N968" s="58">
        <f>IF(J967&lt;&gt;0,CurrentMtgRatesDataTable8[[#This Row],[Rate]]-C967,N967)</f>
        <v>-4.9999999999999822E-2</v>
      </c>
    </row>
    <row r="969" spans="1:14">
      <c r="A969" s="55" t="s">
        <v>2321</v>
      </c>
      <c r="B969" s="56">
        <v>5.89</v>
      </c>
      <c r="C969" s="57">
        <v>6.25</v>
      </c>
      <c r="D969" s="58">
        <f t="shared" si="105"/>
        <v>1</v>
      </c>
      <c r="E969" s="58">
        <f t="shared" si="106"/>
        <v>0.2</v>
      </c>
      <c r="F969" s="58">
        <f t="shared" si="107"/>
        <v>1</v>
      </c>
      <c r="G969" s="58">
        <f t="shared" si="108"/>
        <v>1.1779999999999999</v>
      </c>
      <c r="H969" s="58">
        <f t="shared" si="109"/>
        <v>0.2</v>
      </c>
      <c r="I969" s="58">
        <f t="shared" si="110"/>
        <v>0</v>
      </c>
      <c r="J969" s="58">
        <f t="shared" si="111"/>
        <v>0</v>
      </c>
      <c r="K969" s="58">
        <f>IF(CurrentMtgRatesDataTable8[[#This Row],[WA CC]]&lt;&gt;0,C968-CurrentMtgRatesDataTable8[[#This Row],[WA CC]],0)</f>
        <v>0</v>
      </c>
      <c r="L969" s="58">
        <f>IF(CurrentMtgRatesDataTable8[[#This Row],[Servicing Spread]]&lt;=0,L968,CurrentMtgRatesDataTable8[[#This Row],[Servicing Spread]])</f>
        <v>0.31799999999999873</v>
      </c>
      <c r="M969" s="58">
        <f>CurrentMtgRatesDataTable8[[#This Row],[Servicing Spread Non-Zero]]-L968</f>
        <v>0</v>
      </c>
      <c r="N969" s="58">
        <f>IF(J968&lt;&gt;0,CurrentMtgRatesDataTable8[[#This Row],[Rate]]-C968,N968)</f>
        <v>4.9999999999998934E-3</v>
      </c>
    </row>
    <row r="970" spans="1:14">
      <c r="A970" s="55" t="s">
        <v>2322</v>
      </c>
      <c r="B970" s="56">
        <v>5.9850000000000003</v>
      </c>
      <c r="C970" s="57">
        <v>6.25</v>
      </c>
      <c r="D970" s="58">
        <f t="shared" si="105"/>
        <v>2</v>
      </c>
      <c r="E970" s="58">
        <f t="shared" si="106"/>
        <v>0.2</v>
      </c>
      <c r="F970" s="58">
        <f t="shared" si="107"/>
        <v>2</v>
      </c>
      <c r="G970" s="58">
        <f t="shared" si="108"/>
        <v>2.375</v>
      </c>
      <c r="H970" s="58">
        <f t="shared" si="109"/>
        <v>0.4</v>
      </c>
      <c r="I970" s="58">
        <f t="shared" si="110"/>
        <v>0</v>
      </c>
      <c r="J970" s="58">
        <f t="shared" si="111"/>
        <v>0</v>
      </c>
      <c r="K970" s="58">
        <f>IF(CurrentMtgRatesDataTable8[[#This Row],[WA CC]]&lt;&gt;0,C969-CurrentMtgRatesDataTable8[[#This Row],[WA CC]],0)</f>
        <v>0</v>
      </c>
      <c r="L970" s="58">
        <f>IF(CurrentMtgRatesDataTable8[[#This Row],[Servicing Spread]]&lt;=0,L969,CurrentMtgRatesDataTable8[[#This Row],[Servicing Spread]])</f>
        <v>0.31799999999999873</v>
      </c>
      <c r="M970" s="58">
        <f>CurrentMtgRatesDataTable8[[#This Row],[Servicing Spread Non-Zero]]-L969</f>
        <v>0</v>
      </c>
      <c r="N970" s="58">
        <f>IF(J969&lt;&gt;0,CurrentMtgRatesDataTable8[[#This Row],[Rate]]-C969,N969)</f>
        <v>4.9999999999998934E-3</v>
      </c>
    </row>
    <row r="971" spans="1:14">
      <c r="A971" s="55" t="s">
        <v>2323</v>
      </c>
      <c r="B971" s="56">
        <v>5.9859999999999998</v>
      </c>
      <c r="C971" s="57">
        <v>6.25</v>
      </c>
      <c r="D971" s="58">
        <f t="shared" si="105"/>
        <v>6</v>
      </c>
      <c r="E971" s="58">
        <f t="shared" si="106"/>
        <v>0.2</v>
      </c>
      <c r="F971" s="58">
        <f t="shared" si="107"/>
        <v>3</v>
      </c>
      <c r="G971" s="58">
        <f t="shared" si="108"/>
        <v>3.5722</v>
      </c>
      <c r="H971" s="58">
        <f t="shared" si="109"/>
        <v>0.60000000000000009</v>
      </c>
      <c r="I971" s="58">
        <f t="shared" si="110"/>
        <v>0</v>
      </c>
      <c r="J971" s="58">
        <f t="shared" si="111"/>
        <v>0</v>
      </c>
      <c r="K971" s="58">
        <f>IF(CurrentMtgRatesDataTable8[[#This Row],[WA CC]]&lt;&gt;0,C970-CurrentMtgRatesDataTable8[[#This Row],[WA CC]],0)</f>
        <v>0</v>
      </c>
      <c r="L971" s="58">
        <f>IF(CurrentMtgRatesDataTable8[[#This Row],[Servicing Spread]]&lt;=0,L970,CurrentMtgRatesDataTable8[[#This Row],[Servicing Spread]])</f>
        <v>0.31799999999999873</v>
      </c>
      <c r="M971" s="58">
        <f>CurrentMtgRatesDataTable8[[#This Row],[Servicing Spread Non-Zero]]-L970</f>
        <v>0</v>
      </c>
      <c r="N971" s="58">
        <f>IF(J970&lt;&gt;0,CurrentMtgRatesDataTable8[[#This Row],[Rate]]-C970,N970)</f>
        <v>4.9999999999998934E-3</v>
      </c>
    </row>
    <row r="972" spans="1:14">
      <c r="A972" s="55" t="s">
        <v>2324</v>
      </c>
      <c r="B972" s="56">
        <v>5.9870000000000001</v>
      </c>
      <c r="C972" s="57">
        <v>6.25</v>
      </c>
      <c r="D972" s="58">
        <f t="shared" si="105"/>
        <v>7</v>
      </c>
      <c r="E972" s="58">
        <f t="shared" si="106"/>
        <v>0.2</v>
      </c>
      <c r="F972" s="58">
        <f t="shared" si="107"/>
        <v>4</v>
      </c>
      <c r="G972" s="58">
        <f t="shared" si="108"/>
        <v>4.7696000000000005</v>
      </c>
      <c r="H972" s="58">
        <f t="shared" si="109"/>
        <v>0.8</v>
      </c>
      <c r="I972" s="58">
        <f t="shared" si="110"/>
        <v>1</v>
      </c>
      <c r="J972" s="58">
        <f t="shared" si="111"/>
        <v>5.9620000000000006</v>
      </c>
      <c r="K972" s="58">
        <f>IF(CurrentMtgRatesDataTable8[[#This Row],[WA CC]]&lt;&gt;0,C971-CurrentMtgRatesDataTable8[[#This Row],[WA CC]],0)</f>
        <v>0.28799999999999937</v>
      </c>
      <c r="L972" s="58">
        <f>IF(CurrentMtgRatesDataTable8[[#This Row],[Servicing Spread]]&lt;=0,L971,CurrentMtgRatesDataTable8[[#This Row],[Servicing Spread]])</f>
        <v>0.28799999999999937</v>
      </c>
      <c r="M972" s="58">
        <f>CurrentMtgRatesDataTable8[[#This Row],[Servicing Spread Non-Zero]]-L971</f>
        <v>-2.9999999999999361E-2</v>
      </c>
      <c r="N972" s="58">
        <f>IF(J971&lt;&gt;0,CurrentMtgRatesDataTable8[[#This Row],[Rate]]-C971,N971)</f>
        <v>4.9999999999998934E-3</v>
      </c>
    </row>
    <row r="973" spans="1:14">
      <c r="A973" s="39" t="s">
        <v>2325</v>
      </c>
      <c r="B973" s="40">
        <v>5.9720000000000004</v>
      </c>
      <c r="C973" s="11">
        <v>6.2750000000000004</v>
      </c>
      <c r="D973" s="16">
        <f t="shared" si="105"/>
        <v>1</v>
      </c>
      <c r="E973" s="16">
        <f t="shared" si="106"/>
        <v>0.2</v>
      </c>
      <c r="F973" s="16">
        <f t="shared" si="107"/>
        <v>1</v>
      </c>
      <c r="G973" s="16">
        <f t="shared" si="108"/>
        <v>1.1944000000000001</v>
      </c>
      <c r="H973" s="16">
        <f t="shared" si="109"/>
        <v>0.2</v>
      </c>
      <c r="I973" s="16">
        <f t="shared" si="110"/>
        <v>0</v>
      </c>
      <c r="J973" s="16">
        <f t="shared" si="111"/>
        <v>0</v>
      </c>
      <c r="K973" s="16">
        <f>IF(CurrentMtgRatesDataTable8[[#This Row],[WA CC]]&lt;&gt;0,C972-CurrentMtgRatesDataTable8[[#This Row],[WA CC]],0)</f>
        <v>0</v>
      </c>
      <c r="L973" s="16">
        <f>IF(CurrentMtgRatesDataTable8[[#This Row],[Servicing Spread]]&lt;=0,L972,CurrentMtgRatesDataTable8[[#This Row],[Servicing Spread]])</f>
        <v>0.28799999999999937</v>
      </c>
      <c r="M973" s="16">
        <f>CurrentMtgRatesDataTable8[[#This Row],[Servicing Spread Non-Zero]]-L972</f>
        <v>0</v>
      </c>
      <c r="N973" s="16">
        <f>IF(J972&lt;&gt;0,CurrentMtgRatesDataTable8[[#This Row],[Rate]]-C972,N972)</f>
        <v>2.5000000000000355E-2</v>
      </c>
    </row>
    <row r="974" spans="1:14">
      <c r="A974" s="39" t="s">
        <v>2326</v>
      </c>
      <c r="B974" s="40">
        <v>5.9820000000000002</v>
      </c>
      <c r="C974" s="11">
        <v>6.2750000000000004</v>
      </c>
      <c r="D974" s="16">
        <f t="shared" si="105"/>
        <v>2</v>
      </c>
      <c r="E974" s="16">
        <f t="shared" si="106"/>
        <v>0.2</v>
      </c>
      <c r="F974" s="16">
        <f t="shared" si="107"/>
        <v>2</v>
      </c>
      <c r="G974" s="16">
        <f t="shared" si="108"/>
        <v>2.3908000000000005</v>
      </c>
      <c r="H974" s="16">
        <f t="shared" si="109"/>
        <v>0.4</v>
      </c>
      <c r="I974" s="16">
        <f t="shared" si="110"/>
        <v>0</v>
      </c>
      <c r="J974" s="16">
        <f t="shared" si="111"/>
        <v>0</v>
      </c>
      <c r="K974" s="16">
        <f>IF(CurrentMtgRatesDataTable8[[#This Row],[WA CC]]&lt;&gt;0,C973-CurrentMtgRatesDataTable8[[#This Row],[WA CC]],0)</f>
        <v>0</v>
      </c>
      <c r="L974" s="16">
        <f>IF(CurrentMtgRatesDataTable8[[#This Row],[Servicing Spread]]&lt;=0,L973,CurrentMtgRatesDataTable8[[#This Row],[Servicing Spread]])</f>
        <v>0.28799999999999937</v>
      </c>
      <c r="M974" s="16">
        <f>CurrentMtgRatesDataTable8[[#This Row],[Servicing Spread Non-Zero]]-L973</f>
        <v>0</v>
      </c>
      <c r="N974" s="16">
        <f>IF(J973&lt;&gt;0,CurrentMtgRatesDataTable8[[#This Row],[Rate]]-C973,N973)</f>
        <v>2.5000000000000355E-2</v>
      </c>
    </row>
    <row r="975" spans="1:14">
      <c r="A975" s="39" t="s">
        <v>2327</v>
      </c>
      <c r="B975" s="40">
        <v>5.9820000000000002</v>
      </c>
      <c r="C975" s="11">
        <v>6.2750000000000004</v>
      </c>
      <c r="D975" s="16">
        <f t="shared" si="105"/>
        <v>5</v>
      </c>
      <c r="E975" s="16">
        <f t="shared" si="106"/>
        <v>0.2</v>
      </c>
      <c r="F975" s="16">
        <f t="shared" si="107"/>
        <v>3</v>
      </c>
      <c r="G975" s="16">
        <f t="shared" si="108"/>
        <v>3.5872000000000006</v>
      </c>
      <c r="H975" s="16">
        <f t="shared" si="109"/>
        <v>0.60000000000000009</v>
      </c>
      <c r="I975" s="16">
        <f t="shared" si="110"/>
        <v>0</v>
      </c>
      <c r="J975" s="16">
        <f t="shared" si="111"/>
        <v>0</v>
      </c>
      <c r="K975" s="16">
        <f>IF(CurrentMtgRatesDataTable8[[#This Row],[WA CC]]&lt;&gt;0,C974-CurrentMtgRatesDataTable8[[#This Row],[WA CC]],0)</f>
        <v>0</v>
      </c>
      <c r="L975" s="16">
        <f>IF(CurrentMtgRatesDataTable8[[#This Row],[Servicing Spread]]&lt;=0,L974,CurrentMtgRatesDataTable8[[#This Row],[Servicing Spread]])</f>
        <v>0.28799999999999937</v>
      </c>
      <c r="M975" s="16">
        <f>CurrentMtgRatesDataTable8[[#This Row],[Servicing Spread Non-Zero]]-L974</f>
        <v>0</v>
      </c>
      <c r="N975" s="16">
        <f>IF(J974&lt;&gt;0,CurrentMtgRatesDataTable8[[#This Row],[Rate]]-C974,N974)</f>
        <v>2.5000000000000355E-2</v>
      </c>
    </row>
    <row r="976" spans="1:14">
      <c r="A976" s="39" t="s">
        <v>2328</v>
      </c>
      <c r="B976" s="40">
        <v>5.9749999999999996</v>
      </c>
      <c r="C976" s="11">
        <v>6.2750000000000004</v>
      </c>
      <c r="D976" s="16">
        <f t="shared" si="105"/>
        <v>6</v>
      </c>
      <c r="E976" s="16">
        <f t="shared" si="106"/>
        <v>0.2</v>
      </c>
      <c r="F976" s="16">
        <f t="shared" si="107"/>
        <v>4</v>
      </c>
      <c r="G976" s="16">
        <f t="shared" si="108"/>
        <v>4.7822000000000005</v>
      </c>
      <c r="H976" s="16">
        <f t="shared" si="109"/>
        <v>0.8</v>
      </c>
      <c r="I976" s="16">
        <f t="shared" si="110"/>
        <v>0</v>
      </c>
      <c r="J976" s="16">
        <f t="shared" si="111"/>
        <v>0</v>
      </c>
      <c r="K976" s="16">
        <f>IF(CurrentMtgRatesDataTable8[[#This Row],[WA CC]]&lt;&gt;0,C975-CurrentMtgRatesDataTable8[[#This Row],[WA CC]],0)</f>
        <v>0</v>
      </c>
      <c r="L976" s="16">
        <f>IF(CurrentMtgRatesDataTable8[[#This Row],[Servicing Spread]]&lt;=0,L975,CurrentMtgRatesDataTable8[[#This Row],[Servicing Spread]])</f>
        <v>0.28799999999999937</v>
      </c>
      <c r="M976" s="16">
        <f>CurrentMtgRatesDataTable8[[#This Row],[Servicing Spread Non-Zero]]-L975</f>
        <v>0</v>
      </c>
      <c r="N976" s="16">
        <f>IF(J975&lt;&gt;0,CurrentMtgRatesDataTable8[[#This Row],[Rate]]-C975,N975)</f>
        <v>2.5000000000000355E-2</v>
      </c>
    </row>
    <row r="977" spans="1:14">
      <c r="A977" s="39" t="s">
        <v>2329</v>
      </c>
      <c r="B977" s="40">
        <v>5.9050000000000002</v>
      </c>
      <c r="C977" s="11">
        <v>6.2750000000000004</v>
      </c>
      <c r="D977" s="16">
        <f t="shared" si="105"/>
        <v>7</v>
      </c>
      <c r="E977" s="16">
        <f t="shared" si="106"/>
        <v>0.2</v>
      </c>
      <c r="F977" s="16">
        <f t="shared" si="107"/>
        <v>5</v>
      </c>
      <c r="G977" s="16">
        <f t="shared" si="108"/>
        <v>5.9632000000000005</v>
      </c>
      <c r="H977" s="16">
        <f t="shared" si="109"/>
        <v>1</v>
      </c>
      <c r="I977" s="16">
        <f t="shared" si="110"/>
        <v>1</v>
      </c>
      <c r="J977" s="16">
        <f t="shared" si="111"/>
        <v>5.9632000000000005</v>
      </c>
      <c r="K977" s="16">
        <f>IF(CurrentMtgRatesDataTable8[[#This Row],[WA CC]]&lt;&gt;0,C976-CurrentMtgRatesDataTable8[[#This Row],[WA CC]],0)</f>
        <v>0.31179999999999986</v>
      </c>
      <c r="L977" s="16">
        <f>IF(CurrentMtgRatesDataTable8[[#This Row],[Servicing Spread]]&lt;=0,L976,CurrentMtgRatesDataTable8[[#This Row],[Servicing Spread]])</f>
        <v>0.31179999999999986</v>
      </c>
      <c r="M977" s="16">
        <f>CurrentMtgRatesDataTable8[[#This Row],[Servicing Spread Non-Zero]]-L976</f>
        <v>2.3800000000000487E-2</v>
      </c>
      <c r="N977" s="16">
        <f>IF(J976&lt;&gt;0,CurrentMtgRatesDataTable8[[#This Row],[Rate]]-C976,N976)</f>
        <v>2.5000000000000355E-2</v>
      </c>
    </row>
    <row r="978" spans="1:14">
      <c r="A978" s="39" t="s">
        <v>2330</v>
      </c>
      <c r="B978" s="40">
        <v>5.8550000000000004</v>
      </c>
      <c r="C978" s="11">
        <v>6.2050000000000001</v>
      </c>
      <c r="D978" s="16">
        <f t="shared" si="105"/>
        <v>1</v>
      </c>
      <c r="E978" s="16">
        <f t="shared" si="106"/>
        <v>0.2</v>
      </c>
      <c r="F978" s="16">
        <f t="shared" si="107"/>
        <v>1</v>
      </c>
      <c r="G978" s="16">
        <f t="shared" si="108"/>
        <v>1.171</v>
      </c>
      <c r="H978" s="16">
        <f t="shared" si="109"/>
        <v>0.2</v>
      </c>
      <c r="I978" s="16">
        <f t="shared" si="110"/>
        <v>0</v>
      </c>
      <c r="J978" s="16">
        <f t="shared" si="111"/>
        <v>0</v>
      </c>
      <c r="K978" s="16">
        <f>IF(CurrentMtgRatesDataTable8[[#This Row],[WA CC]]&lt;&gt;0,C977-CurrentMtgRatesDataTable8[[#This Row],[WA CC]],0)</f>
        <v>0</v>
      </c>
      <c r="L978" s="16">
        <f>IF(CurrentMtgRatesDataTable8[[#This Row],[Servicing Spread]]&lt;=0,L977,CurrentMtgRatesDataTable8[[#This Row],[Servicing Spread]])</f>
        <v>0.31179999999999986</v>
      </c>
      <c r="M978" s="16">
        <f>CurrentMtgRatesDataTable8[[#This Row],[Servicing Spread Non-Zero]]-L977</f>
        <v>0</v>
      </c>
      <c r="N978" s="16">
        <f>IF(J977&lt;&gt;0,CurrentMtgRatesDataTable8[[#This Row],[Rate]]-C977,N977)</f>
        <v>-7.0000000000000284E-2</v>
      </c>
    </row>
    <row r="979" spans="1:14">
      <c r="A979" s="39" t="s">
        <v>2331</v>
      </c>
      <c r="B979" s="40">
        <v>5.7880000000000003</v>
      </c>
      <c r="C979" s="11">
        <v>6.2050000000000001</v>
      </c>
      <c r="D979" s="16">
        <f t="shared" si="105"/>
        <v>2</v>
      </c>
      <c r="E979" s="16">
        <f t="shared" si="106"/>
        <v>0.2</v>
      </c>
      <c r="F979" s="16">
        <f t="shared" si="107"/>
        <v>2</v>
      </c>
      <c r="G979" s="16">
        <f t="shared" si="108"/>
        <v>2.3286000000000002</v>
      </c>
      <c r="H979" s="16">
        <f t="shared" si="109"/>
        <v>0.4</v>
      </c>
      <c r="I979" s="16">
        <f t="shared" si="110"/>
        <v>0</v>
      </c>
      <c r="J979" s="16">
        <f t="shared" si="111"/>
        <v>0</v>
      </c>
      <c r="K979" s="16">
        <f>IF(CurrentMtgRatesDataTable8[[#This Row],[WA CC]]&lt;&gt;0,C978-CurrentMtgRatesDataTable8[[#This Row],[WA CC]],0)</f>
        <v>0</v>
      </c>
      <c r="L979" s="16">
        <f>IF(CurrentMtgRatesDataTable8[[#This Row],[Servicing Spread]]&lt;=0,L978,CurrentMtgRatesDataTable8[[#This Row],[Servicing Spread]])</f>
        <v>0.31179999999999986</v>
      </c>
      <c r="M979" s="16">
        <f>CurrentMtgRatesDataTable8[[#This Row],[Servicing Spread Non-Zero]]-L978</f>
        <v>0</v>
      </c>
      <c r="N979" s="16">
        <f>IF(J978&lt;&gt;0,CurrentMtgRatesDataTable8[[#This Row],[Rate]]-C978,N978)</f>
        <v>-7.0000000000000284E-2</v>
      </c>
    </row>
    <row r="980" spans="1:14">
      <c r="A980" s="39" t="s">
        <v>2332</v>
      </c>
      <c r="B980" s="40">
        <v>5.7910000000000004</v>
      </c>
      <c r="C980" s="11">
        <v>6.2050000000000001</v>
      </c>
      <c r="D980" s="16">
        <f t="shared" si="105"/>
        <v>5</v>
      </c>
      <c r="E980" s="16">
        <f t="shared" si="106"/>
        <v>0.2</v>
      </c>
      <c r="F980" s="16">
        <f t="shared" si="107"/>
        <v>3</v>
      </c>
      <c r="G980" s="16">
        <f t="shared" si="108"/>
        <v>3.4868000000000006</v>
      </c>
      <c r="H980" s="16">
        <f t="shared" si="109"/>
        <v>0.60000000000000009</v>
      </c>
      <c r="I980" s="16">
        <f t="shared" si="110"/>
        <v>0</v>
      </c>
      <c r="J980" s="16">
        <f t="shared" si="111"/>
        <v>0</v>
      </c>
      <c r="K980" s="16">
        <f>IF(CurrentMtgRatesDataTable8[[#This Row],[WA CC]]&lt;&gt;0,C979-CurrentMtgRatesDataTable8[[#This Row],[WA CC]],0)</f>
        <v>0</v>
      </c>
      <c r="L980" s="16">
        <f>IF(CurrentMtgRatesDataTable8[[#This Row],[Servicing Spread]]&lt;=0,L979,CurrentMtgRatesDataTable8[[#This Row],[Servicing Spread]])</f>
        <v>0.31179999999999986</v>
      </c>
      <c r="M980" s="16">
        <f>CurrentMtgRatesDataTable8[[#This Row],[Servicing Spread Non-Zero]]-L979</f>
        <v>0</v>
      </c>
      <c r="N980" s="16">
        <f>IF(J979&lt;&gt;0,CurrentMtgRatesDataTable8[[#This Row],[Rate]]-C979,N979)</f>
        <v>-7.0000000000000284E-2</v>
      </c>
    </row>
    <row r="981" spans="1:14">
      <c r="A981" s="39" t="s">
        <v>2333</v>
      </c>
      <c r="B981" s="40">
        <v>5.774</v>
      </c>
      <c r="C981" s="11">
        <v>6.2050000000000001</v>
      </c>
      <c r="D981" s="16">
        <f t="shared" si="105"/>
        <v>6</v>
      </c>
      <c r="E981" s="16">
        <f t="shared" si="106"/>
        <v>0.2</v>
      </c>
      <c r="F981" s="16">
        <f t="shared" si="107"/>
        <v>4</v>
      </c>
      <c r="G981" s="16">
        <f t="shared" si="108"/>
        <v>4.6416000000000004</v>
      </c>
      <c r="H981" s="16">
        <f t="shared" si="109"/>
        <v>0.8</v>
      </c>
      <c r="I981" s="16">
        <f t="shared" si="110"/>
        <v>0</v>
      </c>
      <c r="J981" s="16">
        <f t="shared" si="111"/>
        <v>0</v>
      </c>
      <c r="K981" s="16">
        <f>IF(CurrentMtgRatesDataTable8[[#This Row],[WA CC]]&lt;&gt;0,C980-CurrentMtgRatesDataTable8[[#This Row],[WA CC]],0)</f>
        <v>0</v>
      </c>
      <c r="L981" s="16">
        <f>IF(CurrentMtgRatesDataTable8[[#This Row],[Servicing Spread]]&lt;=0,L980,CurrentMtgRatesDataTable8[[#This Row],[Servicing Spread]])</f>
        <v>0.31179999999999986</v>
      </c>
      <c r="M981" s="16">
        <f>CurrentMtgRatesDataTable8[[#This Row],[Servicing Spread Non-Zero]]-L980</f>
        <v>0</v>
      </c>
      <c r="N981" s="16">
        <f>IF(J980&lt;&gt;0,CurrentMtgRatesDataTable8[[#This Row],[Rate]]-C980,N980)</f>
        <v>-7.0000000000000284E-2</v>
      </c>
    </row>
    <row r="982" spans="1:14">
      <c r="A982" s="39" t="s">
        <v>2334</v>
      </c>
      <c r="B982" s="40">
        <v>5.6890000000000001</v>
      </c>
      <c r="C982" s="11">
        <v>6.2050000000000001</v>
      </c>
      <c r="D982" s="16">
        <f t="shared" si="105"/>
        <v>7</v>
      </c>
      <c r="E982" s="16">
        <f t="shared" si="106"/>
        <v>0.2</v>
      </c>
      <c r="F982" s="16">
        <f t="shared" si="107"/>
        <v>5</v>
      </c>
      <c r="G982" s="16">
        <f t="shared" si="108"/>
        <v>5.7794000000000008</v>
      </c>
      <c r="H982" s="16">
        <f t="shared" si="109"/>
        <v>1</v>
      </c>
      <c r="I982" s="16">
        <f t="shared" si="110"/>
        <v>1</v>
      </c>
      <c r="J982" s="16">
        <f t="shared" si="111"/>
        <v>5.7794000000000008</v>
      </c>
      <c r="K982" s="16">
        <f>IF(CurrentMtgRatesDataTable8[[#This Row],[WA CC]]&lt;&gt;0,C981-CurrentMtgRatesDataTable8[[#This Row],[WA CC]],0)</f>
        <v>0.42559999999999931</v>
      </c>
      <c r="L982" s="16">
        <f>IF(CurrentMtgRatesDataTable8[[#This Row],[Servicing Spread]]&lt;=0,L981,CurrentMtgRatesDataTable8[[#This Row],[Servicing Spread]])</f>
        <v>0.42559999999999931</v>
      </c>
      <c r="M982" s="16">
        <f>CurrentMtgRatesDataTable8[[#This Row],[Servicing Spread Non-Zero]]-L981</f>
        <v>0.11379999999999946</v>
      </c>
      <c r="N982" s="16">
        <f>IF(J981&lt;&gt;0,CurrentMtgRatesDataTable8[[#This Row],[Rate]]-C981,N981)</f>
        <v>-7.0000000000000284E-2</v>
      </c>
    </row>
    <row r="983" spans="1:14">
      <c r="A983" s="39" t="s">
        <v>2335</v>
      </c>
      <c r="B983" s="40">
        <v>5.6980000000000004</v>
      </c>
      <c r="C983" s="11">
        <v>6.1099999999999994</v>
      </c>
      <c r="D983" s="16">
        <f t="shared" si="105"/>
        <v>1</v>
      </c>
      <c r="E983" s="16">
        <f t="shared" si="106"/>
        <v>0.2</v>
      </c>
      <c r="F983" s="16">
        <f t="shared" si="107"/>
        <v>1</v>
      </c>
      <c r="G983" s="16">
        <f t="shared" si="108"/>
        <v>1.1396000000000002</v>
      </c>
      <c r="H983" s="16">
        <f t="shared" si="109"/>
        <v>0.2</v>
      </c>
      <c r="I983" s="16">
        <f t="shared" si="110"/>
        <v>0</v>
      </c>
      <c r="J983" s="16">
        <f t="shared" si="111"/>
        <v>0</v>
      </c>
      <c r="K983" s="16">
        <f>IF(CurrentMtgRatesDataTable8[[#This Row],[WA CC]]&lt;&gt;0,C982-CurrentMtgRatesDataTable8[[#This Row],[WA CC]],0)</f>
        <v>0</v>
      </c>
      <c r="L983" s="16">
        <f>IF(CurrentMtgRatesDataTable8[[#This Row],[Servicing Spread]]&lt;=0,L982,CurrentMtgRatesDataTable8[[#This Row],[Servicing Spread]])</f>
        <v>0.42559999999999931</v>
      </c>
      <c r="M983" s="16">
        <f>CurrentMtgRatesDataTable8[[#This Row],[Servicing Spread Non-Zero]]-L982</f>
        <v>0</v>
      </c>
      <c r="N983" s="16">
        <f>IF(J982&lt;&gt;0,CurrentMtgRatesDataTable8[[#This Row],[Rate]]-C982,N982)</f>
        <v>-9.5000000000000639E-2</v>
      </c>
    </row>
    <row r="984" spans="1:14">
      <c r="A984" s="39" t="s">
        <v>2336</v>
      </c>
      <c r="B984" s="40">
        <v>5.75</v>
      </c>
      <c r="C984" s="11">
        <v>6.1099999999999994</v>
      </c>
      <c r="D984" s="16">
        <f t="shared" si="105"/>
        <v>2</v>
      </c>
      <c r="E984" s="16">
        <f t="shared" si="106"/>
        <v>0.2</v>
      </c>
      <c r="F984" s="16">
        <f t="shared" si="107"/>
        <v>2</v>
      </c>
      <c r="G984" s="16">
        <f t="shared" si="108"/>
        <v>2.2896000000000001</v>
      </c>
      <c r="H984" s="16">
        <f t="shared" si="109"/>
        <v>0.4</v>
      </c>
      <c r="I984" s="16">
        <f t="shared" si="110"/>
        <v>0</v>
      </c>
      <c r="J984" s="16">
        <f t="shared" si="111"/>
        <v>0</v>
      </c>
      <c r="K984" s="16">
        <f>IF(CurrentMtgRatesDataTable8[[#This Row],[WA CC]]&lt;&gt;0,C983-CurrentMtgRatesDataTable8[[#This Row],[WA CC]],0)</f>
        <v>0</v>
      </c>
      <c r="L984" s="16">
        <f>IF(CurrentMtgRatesDataTable8[[#This Row],[Servicing Spread]]&lt;=0,L983,CurrentMtgRatesDataTable8[[#This Row],[Servicing Spread]])</f>
        <v>0.42559999999999931</v>
      </c>
      <c r="M984" s="16">
        <f>CurrentMtgRatesDataTable8[[#This Row],[Servicing Spread Non-Zero]]-L983</f>
        <v>0</v>
      </c>
      <c r="N984" s="16">
        <f>IF(J983&lt;&gt;0,CurrentMtgRatesDataTable8[[#This Row],[Rate]]-C983,N983)</f>
        <v>-9.5000000000000639E-2</v>
      </c>
    </row>
    <row r="985" spans="1:14">
      <c r="A985" s="39" t="s">
        <v>2337</v>
      </c>
      <c r="B985" s="40">
        <v>5.74</v>
      </c>
      <c r="C985" s="11">
        <v>6.1099999999999994</v>
      </c>
      <c r="D985" s="16">
        <f t="shared" si="105"/>
        <v>5</v>
      </c>
      <c r="E985" s="16">
        <f t="shared" si="106"/>
        <v>0.2</v>
      </c>
      <c r="F985" s="16">
        <f t="shared" si="107"/>
        <v>3</v>
      </c>
      <c r="G985" s="16">
        <f t="shared" si="108"/>
        <v>3.4376000000000002</v>
      </c>
      <c r="H985" s="16">
        <f t="shared" si="109"/>
        <v>0.60000000000000009</v>
      </c>
      <c r="I985" s="16">
        <f t="shared" si="110"/>
        <v>0</v>
      </c>
      <c r="J985" s="16">
        <f t="shared" si="111"/>
        <v>0</v>
      </c>
      <c r="K985" s="16">
        <f>IF(CurrentMtgRatesDataTable8[[#This Row],[WA CC]]&lt;&gt;0,C984-CurrentMtgRatesDataTable8[[#This Row],[WA CC]],0)</f>
        <v>0</v>
      </c>
      <c r="L985" s="16">
        <f>IF(CurrentMtgRatesDataTable8[[#This Row],[Servicing Spread]]&lt;=0,L984,CurrentMtgRatesDataTable8[[#This Row],[Servicing Spread]])</f>
        <v>0.42559999999999931</v>
      </c>
      <c r="M985" s="16">
        <f>CurrentMtgRatesDataTable8[[#This Row],[Servicing Spread Non-Zero]]-L984</f>
        <v>0</v>
      </c>
      <c r="N985" s="16">
        <f>IF(J984&lt;&gt;0,CurrentMtgRatesDataTable8[[#This Row],[Rate]]-C984,N984)</f>
        <v>-9.5000000000000639E-2</v>
      </c>
    </row>
    <row r="986" spans="1:14">
      <c r="A986" s="39" t="s">
        <v>2338</v>
      </c>
      <c r="B986" s="40">
        <v>5.7439999999999998</v>
      </c>
      <c r="C986" s="11">
        <v>6.1099999999999994</v>
      </c>
      <c r="D986" s="16">
        <f t="shared" si="105"/>
        <v>6</v>
      </c>
      <c r="E986" s="16">
        <f t="shared" si="106"/>
        <v>0.2</v>
      </c>
      <c r="F986" s="16">
        <f t="shared" si="107"/>
        <v>4</v>
      </c>
      <c r="G986" s="16">
        <f t="shared" si="108"/>
        <v>4.5864000000000003</v>
      </c>
      <c r="H986" s="16">
        <f t="shared" si="109"/>
        <v>0.8</v>
      </c>
      <c r="I986" s="16">
        <f t="shared" si="110"/>
        <v>0</v>
      </c>
      <c r="J986" s="16">
        <f t="shared" si="111"/>
        <v>0</v>
      </c>
      <c r="K986" s="16">
        <f>IF(CurrentMtgRatesDataTable8[[#This Row],[WA CC]]&lt;&gt;0,C985-CurrentMtgRatesDataTable8[[#This Row],[WA CC]],0)</f>
        <v>0</v>
      </c>
      <c r="L986" s="16">
        <f>IF(CurrentMtgRatesDataTable8[[#This Row],[Servicing Spread]]&lt;=0,L985,CurrentMtgRatesDataTable8[[#This Row],[Servicing Spread]])</f>
        <v>0.42559999999999931</v>
      </c>
      <c r="M986" s="16">
        <f>CurrentMtgRatesDataTable8[[#This Row],[Servicing Spread Non-Zero]]-L985</f>
        <v>0</v>
      </c>
      <c r="N986" s="16">
        <f>IF(J985&lt;&gt;0,CurrentMtgRatesDataTable8[[#This Row],[Rate]]-C985,N985)</f>
        <v>-9.5000000000000639E-2</v>
      </c>
    </row>
    <row r="987" spans="1:14">
      <c r="A987" s="39" t="s">
        <v>2339</v>
      </c>
      <c r="B987" s="40">
        <v>5.827</v>
      </c>
      <c r="C987" s="11">
        <v>6.1099999999999994</v>
      </c>
      <c r="D987" s="16">
        <f t="shared" si="105"/>
        <v>7</v>
      </c>
      <c r="E987" s="16">
        <f t="shared" si="106"/>
        <v>0.2</v>
      </c>
      <c r="F987" s="16">
        <f t="shared" si="107"/>
        <v>5</v>
      </c>
      <c r="G987" s="16">
        <f t="shared" si="108"/>
        <v>5.7518000000000002</v>
      </c>
      <c r="H987" s="16">
        <f t="shared" si="109"/>
        <v>1</v>
      </c>
      <c r="I987" s="16">
        <f t="shared" si="110"/>
        <v>1</v>
      </c>
      <c r="J987" s="16">
        <f t="shared" si="111"/>
        <v>5.7518000000000002</v>
      </c>
      <c r="K987" s="16">
        <f>IF(CurrentMtgRatesDataTable8[[#This Row],[WA CC]]&lt;&gt;0,C986-CurrentMtgRatesDataTable8[[#This Row],[WA CC]],0)</f>
        <v>0.35819999999999919</v>
      </c>
      <c r="L987" s="16">
        <f>IF(CurrentMtgRatesDataTable8[[#This Row],[Servicing Spread]]&lt;=0,L986,CurrentMtgRatesDataTable8[[#This Row],[Servicing Spread]])</f>
        <v>0.35819999999999919</v>
      </c>
      <c r="M987" s="16">
        <f>CurrentMtgRatesDataTable8[[#This Row],[Servicing Spread Non-Zero]]-L986</f>
        <v>-6.7400000000000126E-2</v>
      </c>
      <c r="N987" s="16">
        <f>IF(J986&lt;&gt;0,CurrentMtgRatesDataTable8[[#This Row],[Rate]]-C986,N986)</f>
        <v>-9.5000000000000639E-2</v>
      </c>
    </row>
    <row r="988" spans="1:14">
      <c r="A988" s="39" t="s">
        <v>2340</v>
      </c>
      <c r="B988" s="40">
        <v>5.7619999999999996</v>
      </c>
      <c r="C988" s="11">
        <v>6.09</v>
      </c>
      <c r="D988" s="16">
        <f t="shared" si="105"/>
        <v>1</v>
      </c>
      <c r="E988" s="16">
        <f t="shared" si="106"/>
        <v>0.2</v>
      </c>
      <c r="F988" s="16">
        <f t="shared" si="107"/>
        <v>1</v>
      </c>
      <c r="G988" s="16">
        <f t="shared" si="108"/>
        <v>1.1523999999999999</v>
      </c>
      <c r="H988" s="16">
        <f t="shared" si="109"/>
        <v>0.2</v>
      </c>
      <c r="I988" s="16">
        <f t="shared" si="110"/>
        <v>0</v>
      </c>
      <c r="J988" s="16">
        <f t="shared" si="111"/>
        <v>0</v>
      </c>
      <c r="K988" s="16">
        <f>IF(CurrentMtgRatesDataTable8[[#This Row],[WA CC]]&lt;&gt;0,C987-CurrentMtgRatesDataTable8[[#This Row],[WA CC]],0)</f>
        <v>0</v>
      </c>
      <c r="L988" s="16">
        <f>IF(CurrentMtgRatesDataTable8[[#This Row],[Servicing Spread]]&lt;=0,L987,CurrentMtgRatesDataTable8[[#This Row],[Servicing Spread]])</f>
        <v>0.35819999999999919</v>
      </c>
      <c r="M988" s="16">
        <f>CurrentMtgRatesDataTable8[[#This Row],[Servicing Spread Non-Zero]]-L987</f>
        <v>0</v>
      </c>
      <c r="N988" s="16">
        <f>IF(J987&lt;&gt;0,CurrentMtgRatesDataTable8[[#This Row],[Rate]]-C987,N987)</f>
        <v>-1.9999999999999574E-2</v>
      </c>
    </row>
    <row r="989" spans="1:14">
      <c r="A989" s="39" t="s">
        <v>2341</v>
      </c>
      <c r="B989" s="40">
        <v>5.7240000000000002</v>
      </c>
      <c r="C989" s="11">
        <v>6.09</v>
      </c>
      <c r="D989" s="16">
        <f t="shared" si="105"/>
        <v>2</v>
      </c>
      <c r="E989" s="16">
        <f t="shared" si="106"/>
        <v>0.2</v>
      </c>
      <c r="F989" s="16">
        <f t="shared" si="107"/>
        <v>2</v>
      </c>
      <c r="G989" s="16">
        <f t="shared" si="108"/>
        <v>2.2972000000000001</v>
      </c>
      <c r="H989" s="16">
        <f t="shared" si="109"/>
        <v>0.4</v>
      </c>
      <c r="I989" s="16">
        <f t="shared" si="110"/>
        <v>0</v>
      </c>
      <c r="J989" s="16">
        <f t="shared" si="111"/>
        <v>0</v>
      </c>
      <c r="K989" s="16">
        <f>IF(CurrentMtgRatesDataTable8[[#This Row],[WA CC]]&lt;&gt;0,C988-CurrentMtgRatesDataTable8[[#This Row],[WA CC]],0)</f>
        <v>0</v>
      </c>
      <c r="L989" s="16">
        <f>IF(CurrentMtgRatesDataTable8[[#This Row],[Servicing Spread]]&lt;=0,L988,CurrentMtgRatesDataTable8[[#This Row],[Servicing Spread]])</f>
        <v>0.35819999999999919</v>
      </c>
      <c r="M989" s="16">
        <f>CurrentMtgRatesDataTable8[[#This Row],[Servicing Spread Non-Zero]]-L988</f>
        <v>0</v>
      </c>
      <c r="N989" s="16">
        <f>IF(J988&lt;&gt;0,CurrentMtgRatesDataTable8[[#This Row],[Rate]]-C988,N988)</f>
        <v>-1.9999999999999574E-2</v>
      </c>
    </row>
    <row r="990" spans="1:14">
      <c r="A990" s="39" t="s">
        <v>2342</v>
      </c>
      <c r="B990" s="40">
        <v>5.8140000000000001</v>
      </c>
      <c r="C990" s="11">
        <v>6.09</v>
      </c>
      <c r="D990" s="16">
        <f t="shared" si="105"/>
        <v>5</v>
      </c>
      <c r="E990" s="16">
        <f t="shared" si="106"/>
        <v>0.2</v>
      </c>
      <c r="F990" s="16">
        <f t="shared" si="107"/>
        <v>3</v>
      </c>
      <c r="G990" s="16">
        <f t="shared" si="108"/>
        <v>3.46</v>
      </c>
      <c r="H990" s="16">
        <f t="shared" si="109"/>
        <v>0.60000000000000009</v>
      </c>
      <c r="I990" s="16">
        <f t="shared" si="110"/>
        <v>0</v>
      </c>
      <c r="J990" s="16">
        <f t="shared" si="111"/>
        <v>0</v>
      </c>
      <c r="K990" s="16">
        <f>IF(CurrentMtgRatesDataTable8[[#This Row],[WA CC]]&lt;&gt;0,C989-CurrentMtgRatesDataTable8[[#This Row],[WA CC]],0)</f>
        <v>0</v>
      </c>
      <c r="L990" s="16">
        <f>IF(CurrentMtgRatesDataTable8[[#This Row],[Servicing Spread]]&lt;=0,L989,CurrentMtgRatesDataTable8[[#This Row],[Servicing Spread]])</f>
        <v>0.35819999999999919</v>
      </c>
      <c r="M990" s="16">
        <f>CurrentMtgRatesDataTable8[[#This Row],[Servicing Spread Non-Zero]]-L989</f>
        <v>0</v>
      </c>
      <c r="N990" s="16">
        <f>IF(J989&lt;&gt;0,CurrentMtgRatesDataTable8[[#This Row],[Rate]]-C989,N989)</f>
        <v>-1.9999999999999574E-2</v>
      </c>
    </row>
    <row r="991" spans="1:14">
      <c r="A991" s="39" t="s">
        <v>2343</v>
      </c>
      <c r="B991" s="40">
        <v>5.8659999999999997</v>
      </c>
      <c r="C991" s="11">
        <v>6.09</v>
      </c>
      <c r="D991" s="16">
        <f t="shared" si="105"/>
        <v>6</v>
      </c>
      <c r="E991" s="16">
        <f t="shared" si="106"/>
        <v>0.2</v>
      </c>
      <c r="F991" s="16">
        <f t="shared" si="107"/>
        <v>4</v>
      </c>
      <c r="G991" s="16">
        <f t="shared" si="108"/>
        <v>4.6332000000000004</v>
      </c>
      <c r="H991" s="16">
        <f t="shared" si="109"/>
        <v>0.8</v>
      </c>
      <c r="I991" s="16">
        <f t="shared" si="110"/>
        <v>0</v>
      </c>
      <c r="J991" s="16">
        <f t="shared" si="111"/>
        <v>0</v>
      </c>
      <c r="K991" s="16">
        <f>IF(CurrentMtgRatesDataTable8[[#This Row],[WA CC]]&lt;&gt;0,C990-CurrentMtgRatesDataTable8[[#This Row],[WA CC]],0)</f>
        <v>0</v>
      </c>
      <c r="L991" s="16">
        <f>IF(CurrentMtgRatesDataTable8[[#This Row],[Servicing Spread]]&lt;=0,L990,CurrentMtgRatesDataTable8[[#This Row],[Servicing Spread]])</f>
        <v>0.35819999999999919</v>
      </c>
      <c r="M991" s="16">
        <f>CurrentMtgRatesDataTable8[[#This Row],[Servicing Spread Non-Zero]]-L990</f>
        <v>0</v>
      </c>
      <c r="N991" s="16">
        <f>IF(J990&lt;&gt;0,CurrentMtgRatesDataTable8[[#This Row],[Rate]]-C990,N990)</f>
        <v>-1.9999999999999574E-2</v>
      </c>
    </row>
    <row r="992" spans="1:14">
      <c r="A992" s="39" t="s">
        <v>2344</v>
      </c>
      <c r="B992" s="40">
        <v>5.8719999999999999</v>
      </c>
      <c r="C992" s="11">
        <v>6.09</v>
      </c>
      <c r="D992" s="16">
        <f t="shared" si="105"/>
        <v>7</v>
      </c>
      <c r="E992" s="16">
        <f t="shared" si="106"/>
        <v>0.2</v>
      </c>
      <c r="F992" s="16">
        <f t="shared" si="107"/>
        <v>5</v>
      </c>
      <c r="G992" s="16">
        <f t="shared" si="108"/>
        <v>5.8076000000000008</v>
      </c>
      <c r="H992" s="16">
        <f t="shared" si="109"/>
        <v>1</v>
      </c>
      <c r="I992" s="16">
        <f t="shared" si="110"/>
        <v>1</v>
      </c>
      <c r="J992" s="16">
        <f t="shared" si="111"/>
        <v>5.8076000000000008</v>
      </c>
      <c r="K992" s="16">
        <f>IF(CurrentMtgRatesDataTable8[[#This Row],[WA CC]]&lt;&gt;0,C991-CurrentMtgRatesDataTable8[[#This Row],[WA CC]],0)</f>
        <v>0.2823999999999991</v>
      </c>
      <c r="L992" s="16">
        <f>IF(CurrentMtgRatesDataTable8[[#This Row],[Servicing Spread]]&lt;=0,L991,CurrentMtgRatesDataTable8[[#This Row],[Servicing Spread]])</f>
        <v>0.2823999999999991</v>
      </c>
      <c r="M992" s="16">
        <f>CurrentMtgRatesDataTable8[[#This Row],[Servicing Spread Non-Zero]]-L991</f>
        <v>-7.580000000000009E-2</v>
      </c>
      <c r="N992" s="16">
        <f>IF(J991&lt;&gt;0,CurrentMtgRatesDataTable8[[#This Row],[Rate]]-C991,N991)</f>
        <v>-1.9999999999999574E-2</v>
      </c>
    </row>
    <row r="993" spans="1:14">
      <c r="A993" s="39" t="s">
        <v>2345</v>
      </c>
      <c r="B993" s="40">
        <v>5.8410000000000002</v>
      </c>
      <c r="C993" s="11">
        <v>6.09</v>
      </c>
      <c r="D993" s="16">
        <f t="shared" si="105"/>
        <v>1</v>
      </c>
      <c r="E993" s="16">
        <f t="shared" si="106"/>
        <v>0.2</v>
      </c>
      <c r="F993" s="16">
        <f t="shared" si="107"/>
        <v>1</v>
      </c>
      <c r="G993" s="16">
        <f t="shared" si="108"/>
        <v>1.1682000000000001</v>
      </c>
      <c r="H993" s="16">
        <f t="shared" si="109"/>
        <v>0.2</v>
      </c>
      <c r="I993" s="16">
        <f t="shared" si="110"/>
        <v>0</v>
      </c>
      <c r="J993" s="16">
        <f t="shared" si="111"/>
        <v>0</v>
      </c>
      <c r="K993" s="16">
        <f>IF(CurrentMtgRatesDataTable8[[#This Row],[WA CC]]&lt;&gt;0,C992-CurrentMtgRatesDataTable8[[#This Row],[WA CC]],0)</f>
        <v>0</v>
      </c>
      <c r="L993" s="16">
        <f>IF(CurrentMtgRatesDataTable8[[#This Row],[Servicing Spread]]&lt;=0,L992,CurrentMtgRatesDataTable8[[#This Row],[Servicing Spread]])</f>
        <v>0.2823999999999991</v>
      </c>
      <c r="M993" s="16">
        <f>CurrentMtgRatesDataTable8[[#This Row],[Servicing Spread Non-Zero]]-L992</f>
        <v>0</v>
      </c>
      <c r="N993" s="16">
        <f>IF(J992&lt;&gt;0,CurrentMtgRatesDataTable8[[#This Row],[Rate]]-C992,N992)</f>
        <v>0</v>
      </c>
    </row>
    <row r="994" spans="1:14">
      <c r="A994" s="39" t="s">
        <v>2346</v>
      </c>
      <c r="B994" s="40">
        <v>5.806</v>
      </c>
      <c r="C994" s="11">
        <v>6.09</v>
      </c>
      <c r="D994" s="16">
        <f t="shared" si="105"/>
        <v>2</v>
      </c>
      <c r="E994" s="16">
        <f t="shared" si="106"/>
        <v>0.2</v>
      </c>
      <c r="F994" s="16">
        <f t="shared" si="107"/>
        <v>2</v>
      </c>
      <c r="G994" s="16">
        <f t="shared" si="108"/>
        <v>2.3294000000000001</v>
      </c>
      <c r="H994" s="16">
        <f t="shared" si="109"/>
        <v>0.4</v>
      </c>
      <c r="I994" s="16">
        <f t="shared" si="110"/>
        <v>0</v>
      </c>
      <c r="J994" s="16">
        <f t="shared" si="111"/>
        <v>0</v>
      </c>
      <c r="K994" s="16">
        <f>IF(CurrentMtgRatesDataTable8[[#This Row],[WA CC]]&lt;&gt;0,C993-CurrentMtgRatesDataTable8[[#This Row],[WA CC]],0)</f>
        <v>0</v>
      </c>
      <c r="L994" s="16">
        <f>IF(CurrentMtgRatesDataTable8[[#This Row],[Servicing Spread]]&lt;=0,L993,CurrentMtgRatesDataTable8[[#This Row],[Servicing Spread]])</f>
        <v>0.2823999999999991</v>
      </c>
      <c r="M994" s="16">
        <f>CurrentMtgRatesDataTable8[[#This Row],[Servicing Spread Non-Zero]]-L993</f>
        <v>0</v>
      </c>
      <c r="N994" s="16">
        <f>IF(J993&lt;&gt;0,CurrentMtgRatesDataTable8[[#This Row],[Rate]]-C993,N993)</f>
        <v>0</v>
      </c>
    </row>
    <row r="995" spans="1:14">
      <c r="A995" s="39" t="s">
        <v>2347</v>
      </c>
      <c r="B995" s="40">
        <v>5.8220000000000001</v>
      </c>
      <c r="C995" s="11">
        <v>6.09</v>
      </c>
      <c r="D995" s="16">
        <f t="shared" si="105"/>
        <v>6</v>
      </c>
      <c r="E995" s="16">
        <f t="shared" si="106"/>
        <v>0.2</v>
      </c>
      <c r="F995" s="16">
        <f t="shared" si="107"/>
        <v>3</v>
      </c>
      <c r="G995" s="16">
        <f t="shared" si="108"/>
        <v>3.4938000000000002</v>
      </c>
      <c r="H995" s="16">
        <f t="shared" si="109"/>
        <v>0.60000000000000009</v>
      </c>
      <c r="I995" s="16">
        <f t="shared" si="110"/>
        <v>0</v>
      </c>
      <c r="J995" s="16">
        <f t="shared" si="111"/>
        <v>0</v>
      </c>
      <c r="K995" s="16">
        <f>IF(CurrentMtgRatesDataTable8[[#This Row],[WA CC]]&lt;&gt;0,C994-CurrentMtgRatesDataTable8[[#This Row],[WA CC]],0)</f>
        <v>0</v>
      </c>
      <c r="L995" s="16">
        <f>IF(CurrentMtgRatesDataTable8[[#This Row],[Servicing Spread]]&lt;=0,L994,CurrentMtgRatesDataTable8[[#This Row],[Servicing Spread]])</f>
        <v>0.2823999999999991</v>
      </c>
      <c r="M995" s="16">
        <f>CurrentMtgRatesDataTable8[[#This Row],[Servicing Spread Non-Zero]]-L994</f>
        <v>0</v>
      </c>
      <c r="N995" s="16">
        <f>IF(J994&lt;&gt;0,CurrentMtgRatesDataTable8[[#This Row],[Rate]]-C994,N994)</f>
        <v>0</v>
      </c>
    </row>
    <row r="996" spans="1:14">
      <c r="A996" s="39" t="s">
        <v>2348</v>
      </c>
      <c r="B996" s="40">
        <v>5.8129999999999997</v>
      </c>
      <c r="C996" s="11">
        <v>6.09</v>
      </c>
      <c r="D996" s="16">
        <f t="shared" si="105"/>
        <v>7</v>
      </c>
      <c r="E996" s="16">
        <f t="shared" si="106"/>
        <v>0.2</v>
      </c>
      <c r="F996" s="16">
        <f t="shared" si="107"/>
        <v>4</v>
      </c>
      <c r="G996" s="16">
        <f t="shared" si="108"/>
        <v>4.6564000000000005</v>
      </c>
      <c r="H996" s="16">
        <f t="shared" si="109"/>
        <v>0.8</v>
      </c>
      <c r="I996" s="16">
        <f t="shared" si="110"/>
        <v>1</v>
      </c>
      <c r="J996" s="16">
        <f t="shared" si="111"/>
        <v>5.8205</v>
      </c>
      <c r="K996" s="16">
        <f>IF(CurrentMtgRatesDataTable8[[#This Row],[WA CC]]&lt;&gt;0,C995-CurrentMtgRatesDataTable8[[#This Row],[WA CC]],0)</f>
        <v>0.26949999999999985</v>
      </c>
      <c r="L996" s="16">
        <f>IF(CurrentMtgRatesDataTable8[[#This Row],[Servicing Spread]]&lt;=0,L995,CurrentMtgRatesDataTable8[[#This Row],[Servicing Spread]])</f>
        <v>0.26949999999999985</v>
      </c>
      <c r="M996" s="16">
        <f>CurrentMtgRatesDataTable8[[#This Row],[Servicing Spread Non-Zero]]-L995</f>
        <v>-1.2899999999999245E-2</v>
      </c>
      <c r="N996" s="16">
        <f>IF(J995&lt;&gt;0,CurrentMtgRatesDataTable8[[#This Row],[Rate]]-C995,N995)</f>
        <v>0</v>
      </c>
    </row>
    <row r="997" spans="1:14">
      <c r="A997" s="39" t="s">
        <v>2349</v>
      </c>
      <c r="B997" s="40">
        <v>5.7430000000000003</v>
      </c>
      <c r="C997" s="11">
        <v>6.0750000000000002</v>
      </c>
      <c r="D997" s="16">
        <f t="shared" si="105"/>
        <v>1</v>
      </c>
      <c r="E997" s="16">
        <f t="shared" si="106"/>
        <v>0.2</v>
      </c>
      <c r="F997" s="16">
        <f t="shared" si="107"/>
        <v>1</v>
      </c>
      <c r="G997" s="16">
        <f t="shared" si="108"/>
        <v>1.1486000000000001</v>
      </c>
      <c r="H997" s="16">
        <f t="shared" si="109"/>
        <v>0.2</v>
      </c>
      <c r="I997" s="16">
        <f t="shared" si="110"/>
        <v>0</v>
      </c>
      <c r="J997" s="16">
        <f t="shared" si="111"/>
        <v>0</v>
      </c>
      <c r="K997" s="16">
        <f>IF(CurrentMtgRatesDataTable8[[#This Row],[WA CC]]&lt;&gt;0,C996-CurrentMtgRatesDataTable8[[#This Row],[WA CC]],0)</f>
        <v>0</v>
      </c>
      <c r="L997" s="16">
        <f>IF(CurrentMtgRatesDataTable8[[#This Row],[Servicing Spread]]&lt;=0,L996,CurrentMtgRatesDataTable8[[#This Row],[Servicing Spread]])</f>
        <v>0.26949999999999985</v>
      </c>
      <c r="M997" s="16">
        <f>CurrentMtgRatesDataTable8[[#This Row],[Servicing Spread Non-Zero]]-L996</f>
        <v>0</v>
      </c>
      <c r="N997" s="16">
        <f>IF(J996&lt;&gt;0,CurrentMtgRatesDataTable8[[#This Row],[Rate]]-C996,N996)</f>
        <v>-1.499999999999968E-2</v>
      </c>
    </row>
    <row r="998" spans="1:14">
      <c r="A998" s="39" t="s">
        <v>2350</v>
      </c>
      <c r="B998" s="40">
        <v>5.774</v>
      </c>
      <c r="C998" s="11">
        <v>6.0750000000000002</v>
      </c>
      <c r="D998" s="16">
        <f t="shared" si="105"/>
        <v>2</v>
      </c>
      <c r="E998" s="16">
        <f t="shared" si="106"/>
        <v>0.2</v>
      </c>
      <c r="F998" s="16">
        <f t="shared" si="107"/>
        <v>2</v>
      </c>
      <c r="G998" s="16">
        <f t="shared" si="108"/>
        <v>2.3033999999999999</v>
      </c>
      <c r="H998" s="16">
        <f t="shared" si="109"/>
        <v>0.4</v>
      </c>
      <c r="I998" s="16">
        <f t="shared" si="110"/>
        <v>0</v>
      </c>
      <c r="J998" s="16">
        <f t="shared" si="111"/>
        <v>0</v>
      </c>
      <c r="K998" s="16">
        <f>IF(CurrentMtgRatesDataTable8[[#This Row],[WA CC]]&lt;&gt;0,C997-CurrentMtgRatesDataTable8[[#This Row],[WA CC]],0)</f>
        <v>0</v>
      </c>
      <c r="L998" s="16">
        <f>IF(CurrentMtgRatesDataTable8[[#This Row],[Servicing Spread]]&lt;=0,L997,CurrentMtgRatesDataTable8[[#This Row],[Servicing Spread]])</f>
        <v>0.26949999999999985</v>
      </c>
      <c r="M998" s="16">
        <f>CurrentMtgRatesDataTable8[[#This Row],[Servicing Spread Non-Zero]]-L997</f>
        <v>0</v>
      </c>
      <c r="N998" s="16">
        <f>IF(J997&lt;&gt;0,CurrentMtgRatesDataTable8[[#This Row],[Rate]]-C997,N997)</f>
        <v>-1.499999999999968E-2</v>
      </c>
    </row>
    <row r="999" spans="1:14">
      <c r="A999" s="39" t="s">
        <v>2351</v>
      </c>
      <c r="B999" s="40">
        <v>5.742</v>
      </c>
      <c r="C999" s="11">
        <v>6.0750000000000002</v>
      </c>
      <c r="D999" s="16">
        <f t="shared" si="105"/>
        <v>5</v>
      </c>
      <c r="E999" s="16">
        <f t="shared" si="106"/>
        <v>0.2</v>
      </c>
      <c r="F999" s="16">
        <f t="shared" si="107"/>
        <v>3</v>
      </c>
      <c r="G999" s="16">
        <f t="shared" si="108"/>
        <v>3.4518</v>
      </c>
      <c r="H999" s="16">
        <f t="shared" si="109"/>
        <v>0.60000000000000009</v>
      </c>
      <c r="I999" s="16">
        <f t="shared" si="110"/>
        <v>0</v>
      </c>
      <c r="J999" s="16">
        <f t="shared" si="111"/>
        <v>0</v>
      </c>
      <c r="K999" s="16">
        <f>IF(CurrentMtgRatesDataTable8[[#This Row],[WA CC]]&lt;&gt;0,C998-CurrentMtgRatesDataTable8[[#This Row],[WA CC]],0)</f>
        <v>0</v>
      </c>
      <c r="L999" s="16">
        <f>IF(CurrentMtgRatesDataTable8[[#This Row],[Servicing Spread]]&lt;=0,L998,CurrentMtgRatesDataTable8[[#This Row],[Servicing Spread]])</f>
        <v>0.26949999999999985</v>
      </c>
      <c r="M999" s="16">
        <f>CurrentMtgRatesDataTable8[[#This Row],[Servicing Spread Non-Zero]]-L998</f>
        <v>0</v>
      </c>
      <c r="N999" s="16">
        <f>IF(J998&lt;&gt;0,CurrentMtgRatesDataTable8[[#This Row],[Rate]]-C998,N998)</f>
        <v>-1.499999999999968E-2</v>
      </c>
    </row>
    <row r="1000" spans="1:14">
      <c r="A1000" s="39" t="s">
        <v>2352</v>
      </c>
      <c r="B1000" s="40">
        <v>5.806</v>
      </c>
      <c r="C1000" s="11">
        <v>6.0750000000000002</v>
      </c>
      <c r="D1000" s="16">
        <f t="shared" si="105"/>
        <v>6</v>
      </c>
      <c r="E1000" s="16">
        <f t="shared" si="106"/>
        <v>0.2</v>
      </c>
      <c r="F1000" s="16">
        <f t="shared" si="107"/>
        <v>4</v>
      </c>
      <c r="G1000" s="16">
        <f t="shared" si="108"/>
        <v>4.6129999999999995</v>
      </c>
      <c r="H1000" s="16">
        <f t="shared" si="109"/>
        <v>0.8</v>
      </c>
      <c r="I1000" s="16">
        <f t="shared" si="110"/>
        <v>0</v>
      </c>
      <c r="J1000" s="16">
        <f t="shared" si="111"/>
        <v>0</v>
      </c>
      <c r="K1000" s="16">
        <f>IF(CurrentMtgRatesDataTable8[[#This Row],[WA CC]]&lt;&gt;0,C999-CurrentMtgRatesDataTable8[[#This Row],[WA CC]],0)</f>
        <v>0</v>
      </c>
      <c r="L1000" s="16">
        <f>IF(CurrentMtgRatesDataTable8[[#This Row],[Servicing Spread]]&lt;=0,L999,CurrentMtgRatesDataTable8[[#This Row],[Servicing Spread]])</f>
        <v>0.26949999999999985</v>
      </c>
      <c r="M1000" s="16">
        <f>CurrentMtgRatesDataTable8[[#This Row],[Servicing Spread Non-Zero]]-L999</f>
        <v>0</v>
      </c>
      <c r="N1000" s="16">
        <f>IF(J999&lt;&gt;0,CurrentMtgRatesDataTable8[[#This Row],[Rate]]-C999,N999)</f>
        <v>-1.499999999999968E-2</v>
      </c>
    </row>
    <row r="1001" spans="1:14">
      <c r="A1001" s="39" t="s">
        <v>2353</v>
      </c>
      <c r="B1001" s="40">
        <v>5.73</v>
      </c>
      <c r="C1001" s="11">
        <v>6.0750000000000002</v>
      </c>
      <c r="D1001" s="16">
        <f t="shared" si="105"/>
        <v>7</v>
      </c>
      <c r="E1001" s="16">
        <f t="shared" si="106"/>
        <v>0.2</v>
      </c>
      <c r="F1001" s="16">
        <f t="shared" si="107"/>
        <v>5</v>
      </c>
      <c r="G1001" s="16">
        <f t="shared" si="108"/>
        <v>5.7589999999999995</v>
      </c>
      <c r="H1001" s="16">
        <f t="shared" si="109"/>
        <v>1</v>
      </c>
      <c r="I1001" s="16">
        <f t="shared" si="110"/>
        <v>1</v>
      </c>
      <c r="J1001" s="16">
        <f t="shared" si="111"/>
        <v>5.7589999999999995</v>
      </c>
      <c r="K1001" s="16">
        <f>IF(CurrentMtgRatesDataTable8[[#This Row],[WA CC]]&lt;&gt;0,C1000-CurrentMtgRatesDataTable8[[#This Row],[WA CC]],0)</f>
        <v>0.31600000000000072</v>
      </c>
      <c r="L1001" s="16">
        <f>IF(CurrentMtgRatesDataTable8[[#This Row],[Servicing Spread]]&lt;=0,L1000,CurrentMtgRatesDataTable8[[#This Row],[Servicing Spread]])</f>
        <v>0.31600000000000072</v>
      </c>
      <c r="M1001" s="16">
        <f>CurrentMtgRatesDataTable8[[#This Row],[Servicing Spread Non-Zero]]-L1000</f>
        <v>4.6500000000000874E-2</v>
      </c>
      <c r="N1001" s="16">
        <f>IF(J1000&lt;&gt;0,CurrentMtgRatesDataTable8[[#This Row],[Rate]]-C1000,N1000)</f>
        <v>-1.499999999999968E-2</v>
      </c>
    </row>
    <row r="1002" spans="1:14">
      <c r="A1002" s="39" t="s">
        <v>2354</v>
      </c>
      <c r="B1002" s="40">
        <v>5.67</v>
      </c>
      <c r="C1002" s="11">
        <v>5.9749999999999996</v>
      </c>
      <c r="D1002" s="16">
        <f t="shared" si="105"/>
        <v>2</v>
      </c>
      <c r="E1002" s="16">
        <f t="shared" si="106"/>
        <v>0.2</v>
      </c>
      <c r="F1002" s="16">
        <f t="shared" si="107"/>
        <v>1</v>
      </c>
      <c r="G1002" s="16">
        <f t="shared" si="108"/>
        <v>1.1340000000000001</v>
      </c>
      <c r="H1002" s="16">
        <f t="shared" si="109"/>
        <v>0.2</v>
      </c>
      <c r="I1002" s="16">
        <f t="shared" si="110"/>
        <v>0</v>
      </c>
      <c r="J1002" s="16">
        <f t="shared" si="111"/>
        <v>0</v>
      </c>
      <c r="K1002" s="16">
        <f>IF(CurrentMtgRatesDataTable8[[#This Row],[WA CC]]&lt;&gt;0,C1001-CurrentMtgRatesDataTable8[[#This Row],[WA CC]],0)</f>
        <v>0</v>
      </c>
      <c r="L1002" s="16">
        <f>IF(CurrentMtgRatesDataTable8[[#This Row],[Servicing Spread]]&lt;=0,L1001,CurrentMtgRatesDataTable8[[#This Row],[Servicing Spread]])</f>
        <v>0.31600000000000072</v>
      </c>
      <c r="M1002" s="16">
        <f>CurrentMtgRatesDataTable8[[#This Row],[Servicing Spread Non-Zero]]-L1001</f>
        <v>0</v>
      </c>
      <c r="N1002" s="16">
        <f>IF(J1001&lt;&gt;0,CurrentMtgRatesDataTable8[[#This Row],[Rate]]-C1001,N1001)</f>
        <v>-0.10000000000000053</v>
      </c>
    </row>
    <row r="1003" spans="1:14">
      <c r="A1003" s="39" t="s">
        <v>2355</v>
      </c>
      <c r="B1003" s="40">
        <v>5.5010000000000003</v>
      </c>
      <c r="C1003" s="11">
        <v>5.9749999999999996</v>
      </c>
      <c r="D1003" s="16">
        <f t="shared" si="105"/>
        <v>5</v>
      </c>
      <c r="E1003" s="16">
        <f t="shared" si="106"/>
        <v>0.2</v>
      </c>
      <c r="F1003" s="16">
        <f t="shared" si="107"/>
        <v>2</v>
      </c>
      <c r="G1003" s="16">
        <f t="shared" si="108"/>
        <v>2.2342000000000004</v>
      </c>
      <c r="H1003" s="16">
        <f t="shared" si="109"/>
        <v>0.4</v>
      </c>
      <c r="I1003" s="16">
        <f t="shared" si="110"/>
        <v>0</v>
      </c>
      <c r="J1003" s="16">
        <f t="shared" si="111"/>
        <v>0</v>
      </c>
      <c r="K1003" s="16">
        <f>IF(CurrentMtgRatesDataTable8[[#This Row],[WA CC]]&lt;&gt;0,C1002-CurrentMtgRatesDataTable8[[#This Row],[WA CC]],0)</f>
        <v>0</v>
      </c>
      <c r="L1003" s="16">
        <f>IF(CurrentMtgRatesDataTable8[[#This Row],[Servicing Spread]]&lt;=0,L1002,CurrentMtgRatesDataTable8[[#This Row],[Servicing Spread]])</f>
        <v>0.31600000000000072</v>
      </c>
      <c r="M1003" s="16">
        <f>CurrentMtgRatesDataTable8[[#This Row],[Servicing Spread Non-Zero]]-L1002</f>
        <v>0</v>
      </c>
      <c r="N1003" s="16">
        <f>IF(J1002&lt;&gt;0,CurrentMtgRatesDataTable8[[#This Row],[Rate]]-C1002,N1002)</f>
        <v>-0.10000000000000053</v>
      </c>
    </row>
    <row r="1004" spans="1:14">
      <c r="A1004" s="39" t="s">
        <v>2356</v>
      </c>
      <c r="B1004" s="40">
        <v>5.62</v>
      </c>
      <c r="C1004" s="11">
        <v>5.9749999999999996</v>
      </c>
      <c r="D1004" s="16">
        <f t="shared" si="105"/>
        <v>6</v>
      </c>
      <c r="E1004" s="16">
        <f t="shared" si="106"/>
        <v>0.2</v>
      </c>
      <c r="F1004" s="16">
        <f t="shared" si="107"/>
        <v>3</v>
      </c>
      <c r="G1004" s="16">
        <f t="shared" si="108"/>
        <v>3.3582000000000005</v>
      </c>
      <c r="H1004" s="16">
        <f t="shared" si="109"/>
        <v>0.60000000000000009</v>
      </c>
      <c r="I1004" s="16">
        <f t="shared" si="110"/>
        <v>0</v>
      </c>
      <c r="J1004" s="16">
        <f t="shared" si="111"/>
        <v>0</v>
      </c>
      <c r="K1004" s="16">
        <f>IF(CurrentMtgRatesDataTable8[[#This Row],[WA CC]]&lt;&gt;0,C1003-CurrentMtgRatesDataTable8[[#This Row],[WA CC]],0)</f>
        <v>0</v>
      </c>
      <c r="L1004" s="16">
        <f>IF(CurrentMtgRatesDataTable8[[#This Row],[Servicing Spread]]&lt;=0,L1003,CurrentMtgRatesDataTable8[[#This Row],[Servicing Spread]])</f>
        <v>0.31600000000000072</v>
      </c>
      <c r="M1004" s="16">
        <f>CurrentMtgRatesDataTable8[[#This Row],[Servicing Spread Non-Zero]]-L1003</f>
        <v>0</v>
      </c>
      <c r="N1004" s="16">
        <f>IF(J1003&lt;&gt;0,CurrentMtgRatesDataTable8[[#This Row],[Rate]]-C1003,N1003)</f>
        <v>-0.10000000000000053</v>
      </c>
    </row>
    <row r="1005" spans="1:14">
      <c r="A1005" s="39" t="s">
        <v>2357</v>
      </c>
      <c r="B1005" s="40">
        <v>5.5819999999999999</v>
      </c>
      <c r="C1005" s="11">
        <v>5.9749999999999996</v>
      </c>
      <c r="D1005" s="16">
        <f t="shared" si="105"/>
        <v>7</v>
      </c>
      <c r="E1005" s="16">
        <f t="shared" si="106"/>
        <v>0.2</v>
      </c>
      <c r="F1005" s="16">
        <f t="shared" si="107"/>
        <v>4</v>
      </c>
      <c r="G1005" s="16">
        <f t="shared" si="108"/>
        <v>4.4746000000000006</v>
      </c>
      <c r="H1005" s="16">
        <f t="shared" si="109"/>
        <v>0.8</v>
      </c>
      <c r="I1005" s="16">
        <f t="shared" si="110"/>
        <v>1</v>
      </c>
      <c r="J1005" s="16">
        <f t="shared" si="111"/>
        <v>5.5932500000000003</v>
      </c>
      <c r="K1005" s="16">
        <f>IF(CurrentMtgRatesDataTable8[[#This Row],[WA CC]]&lt;&gt;0,C1004-CurrentMtgRatesDataTable8[[#This Row],[WA CC]],0)</f>
        <v>0.38174999999999937</v>
      </c>
      <c r="L1005" s="16">
        <f>IF(CurrentMtgRatesDataTable8[[#This Row],[Servicing Spread]]&lt;=0,L1004,CurrentMtgRatesDataTable8[[#This Row],[Servicing Spread]])</f>
        <v>0.38174999999999937</v>
      </c>
      <c r="M1005" s="16">
        <f>CurrentMtgRatesDataTable8[[#This Row],[Servicing Spread Non-Zero]]-L1004</f>
        <v>6.5749999999998643E-2</v>
      </c>
      <c r="N1005" s="16">
        <f>IF(J1004&lt;&gt;0,CurrentMtgRatesDataTable8[[#This Row],[Rate]]-C1004,N1004)</f>
        <v>-0.10000000000000053</v>
      </c>
    </row>
    <row r="1006" spans="1:14">
      <c r="A1006" s="39" t="s">
        <v>2358</v>
      </c>
      <c r="B1006" s="40">
        <v>5.5060000000000002</v>
      </c>
      <c r="C1006" s="11">
        <v>5.81</v>
      </c>
      <c r="D1006" s="16">
        <f t="shared" si="105"/>
        <v>1</v>
      </c>
      <c r="E1006" s="16">
        <f t="shared" si="106"/>
        <v>0.2</v>
      </c>
      <c r="F1006" s="16">
        <f t="shared" si="107"/>
        <v>1</v>
      </c>
      <c r="G1006" s="16">
        <f t="shared" si="108"/>
        <v>1.1012000000000002</v>
      </c>
      <c r="H1006" s="16">
        <f t="shared" si="109"/>
        <v>0.2</v>
      </c>
      <c r="I1006" s="16">
        <f t="shared" si="110"/>
        <v>0</v>
      </c>
      <c r="J1006" s="16">
        <f t="shared" si="111"/>
        <v>0</v>
      </c>
      <c r="K1006" s="16">
        <f>IF(CurrentMtgRatesDataTable8[[#This Row],[WA CC]]&lt;&gt;0,C1005-CurrentMtgRatesDataTable8[[#This Row],[WA CC]],0)</f>
        <v>0</v>
      </c>
      <c r="L1006" s="16">
        <f>IF(CurrentMtgRatesDataTable8[[#This Row],[Servicing Spread]]&lt;=0,L1005,CurrentMtgRatesDataTable8[[#This Row],[Servicing Spread]])</f>
        <v>0.38174999999999937</v>
      </c>
      <c r="M1006" s="16">
        <f>CurrentMtgRatesDataTable8[[#This Row],[Servicing Spread Non-Zero]]-L1005</f>
        <v>0</v>
      </c>
      <c r="N1006" s="16">
        <f>IF(J1005&lt;&gt;0,CurrentMtgRatesDataTable8[[#This Row],[Rate]]-C1005,N1005)</f>
        <v>-0.16500000000000004</v>
      </c>
    </row>
    <row r="1007" spans="1:14">
      <c r="A1007" s="39" t="s">
        <v>2359</v>
      </c>
      <c r="B1007" s="40">
        <v>5.4390000000000001</v>
      </c>
      <c r="C1007" s="11">
        <v>5.81</v>
      </c>
      <c r="D1007" s="16">
        <f t="shared" si="105"/>
        <v>2</v>
      </c>
      <c r="E1007" s="16">
        <f t="shared" si="106"/>
        <v>0.2</v>
      </c>
      <c r="F1007" s="16">
        <f t="shared" si="107"/>
        <v>2</v>
      </c>
      <c r="G1007" s="16">
        <f t="shared" si="108"/>
        <v>2.1890000000000001</v>
      </c>
      <c r="H1007" s="16">
        <f t="shared" si="109"/>
        <v>0.4</v>
      </c>
      <c r="I1007" s="16">
        <f t="shared" si="110"/>
        <v>0</v>
      </c>
      <c r="J1007" s="16">
        <f t="shared" si="111"/>
        <v>0</v>
      </c>
      <c r="K1007" s="16">
        <f>IF(CurrentMtgRatesDataTable8[[#This Row],[WA CC]]&lt;&gt;0,C1006-CurrentMtgRatesDataTable8[[#This Row],[WA CC]],0)</f>
        <v>0</v>
      </c>
      <c r="L1007" s="16">
        <f>IF(CurrentMtgRatesDataTable8[[#This Row],[Servicing Spread]]&lt;=0,L1006,CurrentMtgRatesDataTable8[[#This Row],[Servicing Spread]])</f>
        <v>0.38174999999999937</v>
      </c>
      <c r="M1007" s="16">
        <f>CurrentMtgRatesDataTable8[[#This Row],[Servicing Spread Non-Zero]]-L1006</f>
        <v>0</v>
      </c>
      <c r="N1007" s="16">
        <f>IF(J1006&lt;&gt;0,CurrentMtgRatesDataTable8[[#This Row],[Rate]]-C1006,N1006)</f>
        <v>-0.16500000000000004</v>
      </c>
    </row>
    <row r="1008" spans="1:14">
      <c r="A1008" s="39" t="s">
        <v>2360</v>
      </c>
      <c r="B1008" s="40">
        <v>5.3940000000000001</v>
      </c>
      <c r="C1008" s="11">
        <v>5.81</v>
      </c>
      <c r="D1008" s="16">
        <f t="shared" si="105"/>
        <v>5</v>
      </c>
      <c r="E1008" s="16">
        <f t="shared" si="106"/>
        <v>0.2</v>
      </c>
      <c r="F1008" s="16">
        <f t="shared" si="107"/>
        <v>3</v>
      </c>
      <c r="G1008" s="16">
        <f t="shared" si="108"/>
        <v>3.2678000000000003</v>
      </c>
      <c r="H1008" s="16">
        <f t="shared" si="109"/>
        <v>0.60000000000000009</v>
      </c>
      <c r="I1008" s="16">
        <f t="shared" si="110"/>
        <v>0</v>
      </c>
      <c r="J1008" s="16">
        <f t="shared" si="111"/>
        <v>0</v>
      </c>
      <c r="K1008" s="16">
        <f>IF(CurrentMtgRatesDataTable8[[#This Row],[WA CC]]&lt;&gt;0,C1007-CurrentMtgRatesDataTable8[[#This Row],[WA CC]],0)</f>
        <v>0</v>
      </c>
      <c r="L1008" s="16">
        <f>IF(CurrentMtgRatesDataTable8[[#This Row],[Servicing Spread]]&lt;=0,L1007,CurrentMtgRatesDataTable8[[#This Row],[Servicing Spread]])</f>
        <v>0.38174999999999937</v>
      </c>
      <c r="M1008" s="16">
        <f>CurrentMtgRatesDataTable8[[#This Row],[Servicing Spread Non-Zero]]-L1007</f>
        <v>0</v>
      </c>
      <c r="N1008" s="16">
        <f>IF(J1007&lt;&gt;0,CurrentMtgRatesDataTable8[[#This Row],[Rate]]-C1007,N1007)</f>
        <v>-0.16500000000000004</v>
      </c>
    </row>
    <row r="1009" spans="1:14">
      <c r="A1009" s="39" t="s">
        <v>2361</v>
      </c>
      <c r="B1009" s="40">
        <v>5.3929999999999998</v>
      </c>
      <c r="C1009" s="11">
        <v>5.81</v>
      </c>
      <c r="D1009" s="16">
        <f t="shared" si="105"/>
        <v>6</v>
      </c>
      <c r="E1009" s="16">
        <f t="shared" si="106"/>
        <v>0.2</v>
      </c>
      <c r="F1009" s="16">
        <f t="shared" si="107"/>
        <v>4</v>
      </c>
      <c r="G1009" s="16">
        <f t="shared" si="108"/>
        <v>4.3464</v>
      </c>
      <c r="H1009" s="16">
        <f t="shared" si="109"/>
        <v>0.8</v>
      </c>
      <c r="I1009" s="16">
        <f t="shared" si="110"/>
        <v>0</v>
      </c>
      <c r="J1009" s="16">
        <f t="shared" si="111"/>
        <v>0</v>
      </c>
      <c r="K1009" s="16">
        <f>IF(CurrentMtgRatesDataTable8[[#This Row],[WA CC]]&lt;&gt;0,C1008-CurrentMtgRatesDataTable8[[#This Row],[WA CC]],0)</f>
        <v>0</v>
      </c>
      <c r="L1009" s="16">
        <f>IF(CurrentMtgRatesDataTable8[[#This Row],[Servicing Spread]]&lt;=0,L1008,CurrentMtgRatesDataTable8[[#This Row],[Servicing Spread]])</f>
        <v>0.38174999999999937</v>
      </c>
      <c r="M1009" s="16">
        <f>CurrentMtgRatesDataTable8[[#This Row],[Servicing Spread Non-Zero]]-L1008</f>
        <v>0</v>
      </c>
      <c r="N1009" s="16">
        <f>IF(J1008&lt;&gt;0,CurrentMtgRatesDataTable8[[#This Row],[Rate]]-C1008,N1008)</f>
        <v>-0.16500000000000004</v>
      </c>
    </row>
    <row r="1010" spans="1:14">
      <c r="A1010" s="39" t="s">
        <v>2362</v>
      </c>
      <c r="B1010" s="40">
        <v>5.4009999999999998</v>
      </c>
      <c r="C1010" s="11">
        <v>5.81</v>
      </c>
      <c r="D1010" s="16">
        <f t="shared" si="105"/>
        <v>7</v>
      </c>
      <c r="E1010" s="16">
        <f t="shared" si="106"/>
        <v>0.2</v>
      </c>
      <c r="F1010" s="16">
        <f t="shared" si="107"/>
        <v>5</v>
      </c>
      <c r="G1010" s="16">
        <f t="shared" si="108"/>
        <v>5.4266000000000005</v>
      </c>
      <c r="H1010" s="16">
        <f t="shared" si="109"/>
        <v>1</v>
      </c>
      <c r="I1010" s="16">
        <f t="shared" si="110"/>
        <v>1</v>
      </c>
      <c r="J1010" s="16">
        <f t="shared" si="111"/>
        <v>5.4266000000000005</v>
      </c>
      <c r="K1010" s="16">
        <f>IF(CurrentMtgRatesDataTable8[[#This Row],[WA CC]]&lt;&gt;0,C1009-CurrentMtgRatesDataTable8[[#This Row],[WA CC]],0)</f>
        <v>0.38339999999999907</v>
      </c>
      <c r="L1010" s="16">
        <f>IF(CurrentMtgRatesDataTable8[[#This Row],[Servicing Spread]]&lt;=0,L1009,CurrentMtgRatesDataTable8[[#This Row],[Servicing Spread]])</f>
        <v>0.38339999999999907</v>
      </c>
      <c r="M1010" s="16">
        <f>CurrentMtgRatesDataTable8[[#This Row],[Servicing Spread Non-Zero]]-L1009</f>
        <v>1.6499999999997073E-3</v>
      </c>
      <c r="N1010" s="16">
        <f>IF(J1009&lt;&gt;0,CurrentMtgRatesDataTable8[[#This Row],[Rate]]-C1009,N1009)</f>
        <v>-0.16500000000000004</v>
      </c>
    </row>
    <row r="1011" spans="1:14">
      <c r="A1011" s="39" t="s">
        <v>2363</v>
      </c>
      <c r="B1011" s="40">
        <v>5.5090000000000003</v>
      </c>
      <c r="C1011" s="11">
        <v>5.9850000000000003</v>
      </c>
      <c r="D1011" s="16">
        <f t="shared" si="105"/>
        <v>1</v>
      </c>
      <c r="E1011" s="16">
        <f t="shared" si="106"/>
        <v>0.2</v>
      </c>
      <c r="F1011" s="16">
        <f t="shared" si="107"/>
        <v>1</v>
      </c>
      <c r="G1011" s="16">
        <f t="shared" si="108"/>
        <v>1.1018000000000001</v>
      </c>
      <c r="H1011" s="16">
        <f t="shared" si="109"/>
        <v>0.2</v>
      </c>
      <c r="I1011" s="16">
        <f t="shared" si="110"/>
        <v>0</v>
      </c>
      <c r="J1011" s="16">
        <f t="shared" si="111"/>
        <v>0</v>
      </c>
      <c r="K1011" s="16">
        <f>IF(CurrentMtgRatesDataTable8[[#This Row],[WA CC]]&lt;&gt;0,C1010-CurrentMtgRatesDataTable8[[#This Row],[WA CC]],0)</f>
        <v>0</v>
      </c>
      <c r="L1011" s="16">
        <f>IF(CurrentMtgRatesDataTable8[[#This Row],[Servicing Spread]]&lt;=0,L1010,CurrentMtgRatesDataTable8[[#This Row],[Servicing Spread]])</f>
        <v>0.38339999999999907</v>
      </c>
      <c r="M1011" s="16">
        <f>CurrentMtgRatesDataTable8[[#This Row],[Servicing Spread Non-Zero]]-L1010</f>
        <v>0</v>
      </c>
      <c r="N1011" s="16">
        <f>IF(J1010&lt;&gt;0,CurrentMtgRatesDataTable8[[#This Row],[Rate]]-C1010,N1010)</f>
        <v>0.17500000000000071</v>
      </c>
    </row>
    <row r="1012" spans="1:14">
      <c r="A1012" s="39" t="s">
        <v>2364</v>
      </c>
      <c r="B1012" s="40">
        <v>5.68</v>
      </c>
      <c r="C1012" s="11">
        <v>5.9850000000000003</v>
      </c>
      <c r="D1012" s="16">
        <f t="shared" si="105"/>
        <v>2</v>
      </c>
      <c r="E1012" s="16">
        <f t="shared" si="106"/>
        <v>0.2</v>
      </c>
      <c r="F1012" s="16">
        <f t="shared" si="107"/>
        <v>2</v>
      </c>
      <c r="G1012" s="16">
        <f t="shared" si="108"/>
        <v>2.2378</v>
      </c>
      <c r="H1012" s="16">
        <f t="shared" si="109"/>
        <v>0.4</v>
      </c>
      <c r="I1012" s="16">
        <f t="shared" si="110"/>
        <v>0</v>
      </c>
      <c r="J1012" s="16">
        <f t="shared" si="111"/>
        <v>0</v>
      </c>
      <c r="K1012" s="16">
        <f>IF(CurrentMtgRatesDataTable8[[#This Row],[WA CC]]&lt;&gt;0,C1011-CurrentMtgRatesDataTable8[[#This Row],[WA CC]],0)</f>
        <v>0</v>
      </c>
      <c r="L1012" s="16">
        <f>IF(CurrentMtgRatesDataTable8[[#This Row],[Servicing Spread]]&lt;=0,L1011,CurrentMtgRatesDataTable8[[#This Row],[Servicing Spread]])</f>
        <v>0.38339999999999907</v>
      </c>
      <c r="M1012" s="16">
        <f>CurrentMtgRatesDataTable8[[#This Row],[Servicing Spread Non-Zero]]-L1011</f>
        <v>0</v>
      </c>
      <c r="N1012" s="16">
        <f>IF(J1011&lt;&gt;0,CurrentMtgRatesDataTable8[[#This Row],[Rate]]-C1011,N1011)</f>
        <v>0.17500000000000071</v>
      </c>
    </row>
    <row r="1013" spans="1:14">
      <c r="A1013" s="39" t="s">
        <v>2365</v>
      </c>
      <c r="B1013" s="40">
        <v>5.7160000000000002</v>
      </c>
      <c r="C1013" s="11">
        <v>5.9850000000000003</v>
      </c>
      <c r="D1013" s="16">
        <f t="shared" si="105"/>
        <v>5</v>
      </c>
      <c r="E1013" s="16">
        <f t="shared" si="106"/>
        <v>0.2</v>
      </c>
      <c r="F1013" s="16">
        <f t="shared" si="107"/>
        <v>3</v>
      </c>
      <c r="G1013" s="16">
        <f t="shared" si="108"/>
        <v>3.3810000000000002</v>
      </c>
      <c r="H1013" s="16">
        <f t="shared" si="109"/>
        <v>0.60000000000000009</v>
      </c>
      <c r="I1013" s="16">
        <f t="shared" si="110"/>
        <v>0</v>
      </c>
      <c r="J1013" s="16">
        <f t="shared" si="111"/>
        <v>0</v>
      </c>
      <c r="K1013" s="16">
        <f>IF(CurrentMtgRatesDataTable8[[#This Row],[WA CC]]&lt;&gt;0,C1012-CurrentMtgRatesDataTable8[[#This Row],[WA CC]],0)</f>
        <v>0</v>
      </c>
      <c r="L1013" s="16">
        <f>IF(CurrentMtgRatesDataTable8[[#This Row],[Servicing Spread]]&lt;=0,L1012,CurrentMtgRatesDataTable8[[#This Row],[Servicing Spread]])</f>
        <v>0.38339999999999907</v>
      </c>
      <c r="M1013" s="16">
        <f>CurrentMtgRatesDataTable8[[#This Row],[Servicing Spread Non-Zero]]-L1012</f>
        <v>0</v>
      </c>
      <c r="N1013" s="16">
        <f>IF(J1012&lt;&gt;0,CurrentMtgRatesDataTable8[[#This Row],[Rate]]-C1012,N1012)</f>
        <v>0.17500000000000071</v>
      </c>
    </row>
    <row r="1014" spans="1:14">
      <c r="A1014" s="39" t="s">
        <v>2366</v>
      </c>
      <c r="B1014" s="40">
        <v>5.5469999999999997</v>
      </c>
      <c r="C1014" s="11">
        <v>5.9850000000000003</v>
      </c>
      <c r="D1014" s="16">
        <f t="shared" si="105"/>
        <v>6</v>
      </c>
      <c r="E1014" s="16">
        <f t="shared" si="106"/>
        <v>0.2</v>
      </c>
      <c r="F1014" s="16">
        <f t="shared" si="107"/>
        <v>4</v>
      </c>
      <c r="G1014" s="16">
        <f t="shared" si="108"/>
        <v>4.4904000000000002</v>
      </c>
      <c r="H1014" s="16">
        <f t="shared" si="109"/>
        <v>0.8</v>
      </c>
      <c r="I1014" s="16">
        <f t="shared" si="110"/>
        <v>0</v>
      </c>
      <c r="J1014" s="16">
        <f t="shared" si="111"/>
        <v>0</v>
      </c>
      <c r="K1014" s="16">
        <f>IF(CurrentMtgRatesDataTable8[[#This Row],[WA CC]]&lt;&gt;0,C1013-CurrentMtgRatesDataTable8[[#This Row],[WA CC]],0)</f>
        <v>0</v>
      </c>
      <c r="L1014" s="16">
        <f>IF(CurrentMtgRatesDataTable8[[#This Row],[Servicing Spread]]&lt;=0,L1013,CurrentMtgRatesDataTable8[[#This Row],[Servicing Spread]])</f>
        <v>0.38339999999999907</v>
      </c>
      <c r="M1014" s="16">
        <f>CurrentMtgRatesDataTable8[[#This Row],[Servicing Spread Non-Zero]]-L1013</f>
        <v>0</v>
      </c>
      <c r="N1014" s="16">
        <f>IF(J1013&lt;&gt;0,CurrentMtgRatesDataTable8[[#This Row],[Rate]]-C1013,N1013)</f>
        <v>0.17500000000000071</v>
      </c>
    </row>
    <row r="1015" spans="1:14">
      <c r="A1015" s="39" t="s">
        <v>2367</v>
      </c>
      <c r="B1015" s="40">
        <v>5.5880000000000001</v>
      </c>
      <c r="C1015" s="11">
        <v>5.9850000000000003</v>
      </c>
      <c r="D1015" s="16">
        <f t="shared" si="105"/>
        <v>7</v>
      </c>
      <c r="E1015" s="16">
        <f t="shared" si="106"/>
        <v>0.2</v>
      </c>
      <c r="F1015" s="16">
        <f t="shared" si="107"/>
        <v>5</v>
      </c>
      <c r="G1015" s="16">
        <f t="shared" si="108"/>
        <v>5.6080000000000005</v>
      </c>
      <c r="H1015" s="16">
        <f t="shared" si="109"/>
        <v>1</v>
      </c>
      <c r="I1015" s="16">
        <f t="shared" si="110"/>
        <v>1</v>
      </c>
      <c r="J1015" s="16">
        <f t="shared" si="111"/>
        <v>5.6080000000000005</v>
      </c>
      <c r="K1015" s="16">
        <f>IF(CurrentMtgRatesDataTable8[[#This Row],[WA CC]]&lt;&gt;0,C1014-CurrentMtgRatesDataTable8[[#This Row],[WA CC]],0)</f>
        <v>0.37699999999999978</v>
      </c>
      <c r="L1015" s="16">
        <f>IF(CurrentMtgRatesDataTable8[[#This Row],[Servicing Spread]]&lt;=0,L1014,CurrentMtgRatesDataTable8[[#This Row],[Servicing Spread]])</f>
        <v>0.37699999999999978</v>
      </c>
      <c r="M1015" s="16">
        <f>CurrentMtgRatesDataTable8[[#This Row],[Servicing Spread Non-Zero]]-L1014</f>
        <v>-6.3999999999992951E-3</v>
      </c>
      <c r="N1015" s="16">
        <f>IF(J1014&lt;&gt;0,CurrentMtgRatesDataTable8[[#This Row],[Rate]]-C1014,N1014)</f>
        <v>0.17500000000000071</v>
      </c>
    </row>
    <row r="1016" spans="1:14">
      <c r="A1016" s="39" t="s">
        <v>2368</v>
      </c>
      <c r="B1016" s="40">
        <v>5.67</v>
      </c>
      <c r="C1016" s="11">
        <v>5.9899999999999993</v>
      </c>
      <c r="D1016" s="16">
        <f t="shared" si="105"/>
        <v>1</v>
      </c>
      <c r="E1016" s="16">
        <f t="shared" si="106"/>
        <v>0.2</v>
      </c>
      <c r="F1016" s="16">
        <f t="shared" si="107"/>
        <v>1</v>
      </c>
      <c r="G1016" s="16">
        <f t="shared" si="108"/>
        <v>1.1340000000000001</v>
      </c>
      <c r="H1016" s="16">
        <f t="shared" si="109"/>
        <v>0.2</v>
      </c>
      <c r="I1016" s="16">
        <f t="shared" si="110"/>
        <v>0</v>
      </c>
      <c r="J1016" s="16">
        <f t="shared" si="111"/>
        <v>0</v>
      </c>
      <c r="K1016" s="16">
        <f>IF(CurrentMtgRatesDataTable8[[#This Row],[WA CC]]&lt;&gt;0,C1015-CurrentMtgRatesDataTable8[[#This Row],[WA CC]],0)</f>
        <v>0</v>
      </c>
      <c r="L1016" s="16">
        <f>IF(CurrentMtgRatesDataTable8[[#This Row],[Servicing Spread]]&lt;=0,L1015,CurrentMtgRatesDataTable8[[#This Row],[Servicing Spread]])</f>
        <v>0.37699999999999978</v>
      </c>
      <c r="M1016" s="16">
        <f>CurrentMtgRatesDataTable8[[#This Row],[Servicing Spread Non-Zero]]-L1015</f>
        <v>0</v>
      </c>
      <c r="N1016" s="16">
        <f>IF(J1015&lt;&gt;0,CurrentMtgRatesDataTable8[[#This Row],[Rate]]-C1015,N1015)</f>
        <v>4.9999999999990052E-3</v>
      </c>
    </row>
    <row r="1017" spans="1:14">
      <c r="A1017" s="39" t="s">
        <v>2369</v>
      </c>
      <c r="B1017" s="40">
        <v>5.7539999999999996</v>
      </c>
      <c r="C1017" s="11">
        <v>5.9899999999999993</v>
      </c>
      <c r="D1017" s="16">
        <f t="shared" si="105"/>
        <v>2</v>
      </c>
      <c r="E1017" s="16">
        <f t="shared" si="106"/>
        <v>0.2</v>
      </c>
      <c r="F1017" s="16">
        <f t="shared" si="107"/>
        <v>2</v>
      </c>
      <c r="G1017" s="16">
        <f t="shared" si="108"/>
        <v>2.2848000000000002</v>
      </c>
      <c r="H1017" s="16">
        <f t="shared" si="109"/>
        <v>0.4</v>
      </c>
      <c r="I1017" s="16">
        <f t="shared" si="110"/>
        <v>0</v>
      </c>
      <c r="J1017" s="16">
        <f t="shared" si="111"/>
        <v>0</v>
      </c>
      <c r="K1017" s="16">
        <f>IF(CurrentMtgRatesDataTable8[[#This Row],[WA CC]]&lt;&gt;0,C1016-CurrentMtgRatesDataTable8[[#This Row],[WA CC]],0)</f>
        <v>0</v>
      </c>
      <c r="L1017" s="16">
        <f>IF(CurrentMtgRatesDataTable8[[#This Row],[Servicing Spread]]&lt;=0,L1016,CurrentMtgRatesDataTable8[[#This Row],[Servicing Spread]])</f>
        <v>0.37699999999999978</v>
      </c>
      <c r="M1017" s="16">
        <f>CurrentMtgRatesDataTable8[[#This Row],[Servicing Spread Non-Zero]]-L1016</f>
        <v>0</v>
      </c>
      <c r="N1017" s="16">
        <f>IF(J1016&lt;&gt;0,CurrentMtgRatesDataTable8[[#This Row],[Rate]]-C1016,N1016)</f>
        <v>4.9999999999990052E-3</v>
      </c>
    </row>
    <row r="1018" spans="1:14">
      <c r="A1018" s="39" t="s">
        <v>2370</v>
      </c>
      <c r="B1018" s="40">
        <v>5.74</v>
      </c>
      <c r="C1018" s="11">
        <v>5.9899999999999993</v>
      </c>
      <c r="D1018" s="16">
        <f t="shared" si="105"/>
        <v>5</v>
      </c>
      <c r="E1018" s="16">
        <f t="shared" si="106"/>
        <v>0.2</v>
      </c>
      <c r="F1018" s="16">
        <f t="shared" si="107"/>
        <v>3</v>
      </c>
      <c r="G1018" s="16">
        <f t="shared" si="108"/>
        <v>3.4328000000000003</v>
      </c>
      <c r="H1018" s="16">
        <f t="shared" si="109"/>
        <v>0.60000000000000009</v>
      </c>
      <c r="I1018" s="16">
        <f t="shared" si="110"/>
        <v>0</v>
      </c>
      <c r="J1018" s="16">
        <f t="shared" si="111"/>
        <v>0</v>
      </c>
      <c r="K1018" s="16">
        <f>IF(CurrentMtgRatesDataTable8[[#This Row],[WA CC]]&lt;&gt;0,C1017-CurrentMtgRatesDataTable8[[#This Row],[WA CC]],0)</f>
        <v>0</v>
      </c>
      <c r="L1018" s="16">
        <f>IF(CurrentMtgRatesDataTable8[[#This Row],[Servicing Spread]]&lt;=0,L1017,CurrentMtgRatesDataTable8[[#This Row],[Servicing Spread]])</f>
        <v>0.37699999999999978</v>
      </c>
      <c r="M1018" s="16">
        <f>CurrentMtgRatesDataTable8[[#This Row],[Servicing Spread Non-Zero]]-L1017</f>
        <v>0</v>
      </c>
      <c r="N1018" s="16">
        <f>IF(J1017&lt;&gt;0,CurrentMtgRatesDataTable8[[#This Row],[Rate]]-C1017,N1017)</f>
        <v>4.9999999999990052E-3</v>
      </c>
    </row>
    <row r="1019" spans="1:14">
      <c r="A1019" s="39" t="s">
        <v>2371</v>
      </c>
      <c r="B1019" s="40">
        <v>5.6180000000000003</v>
      </c>
      <c r="C1019" s="11">
        <v>5.9899999999999993</v>
      </c>
      <c r="D1019" s="16">
        <f t="shared" si="105"/>
        <v>6</v>
      </c>
      <c r="E1019" s="16">
        <f t="shared" si="106"/>
        <v>0.2</v>
      </c>
      <c r="F1019" s="16">
        <f t="shared" si="107"/>
        <v>4</v>
      </c>
      <c r="G1019" s="16">
        <f t="shared" si="108"/>
        <v>4.5564</v>
      </c>
      <c r="H1019" s="16">
        <f t="shared" si="109"/>
        <v>0.8</v>
      </c>
      <c r="I1019" s="16">
        <f t="shared" si="110"/>
        <v>0</v>
      </c>
      <c r="J1019" s="16">
        <f t="shared" si="111"/>
        <v>0</v>
      </c>
      <c r="K1019" s="16">
        <f>IF(CurrentMtgRatesDataTable8[[#This Row],[WA CC]]&lt;&gt;0,C1018-CurrentMtgRatesDataTable8[[#This Row],[WA CC]],0)</f>
        <v>0</v>
      </c>
      <c r="L1019" s="16">
        <f>IF(CurrentMtgRatesDataTable8[[#This Row],[Servicing Spread]]&lt;=0,L1018,CurrentMtgRatesDataTable8[[#This Row],[Servicing Spread]])</f>
        <v>0.37699999999999978</v>
      </c>
      <c r="M1019" s="16">
        <f>CurrentMtgRatesDataTable8[[#This Row],[Servicing Spread Non-Zero]]-L1018</f>
        <v>0</v>
      </c>
      <c r="N1019" s="16">
        <f>IF(J1018&lt;&gt;0,CurrentMtgRatesDataTable8[[#This Row],[Rate]]-C1018,N1018)</f>
        <v>4.9999999999990052E-3</v>
      </c>
    </row>
    <row r="1020" spans="1:14">
      <c r="A1020" s="39" t="s">
        <v>2372</v>
      </c>
      <c r="B1020" s="40">
        <v>5.5410000000000004</v>
      </c>
      <c r="C1020" s="11">
        <v>5.9899999999999993</v>
      </c>
      <c r="D1020" s="16">
        <f t="shared" si="105"/>
        <v>7</v>
      </c>
      <c r="E1020" s="16">
        <f t="shared" si="106"/>
        <v>0.2</v>
      </c>
      <c r="F1020" s="16">
        <f t="shared" si="107"/>
        <v>5</v>
      </c>
      <c r="G1020" s="16">
        <f t="shared" si="108"/>
        <v>5.6646000000000001</v>
      </c>
      <c r="H1020" s="16">
        <f t="shared" si="109"/>
        <v>1</v>
      </c>
      <c r="I1020" s="16">
        <f t="shared" si="110"/>
        <v>1</v>
      </c>
      <c r="J1020" s="16">
        <f t="shared" si="111"/>
        <v>5.6646000000000001</v>
      </c>
      <c r="K1020" s="16">
        <f>IF(CurrentMtgRatesDataTable8[[#This Row],[WA CC]]&lt;&gt;0,C1019-CurrentMtgRatesDataTable8[[#This Row],[WA CC]],0)</f>
        <v>0.32539999999999925</v>
      </c>
      <c r="L1020" s="16">
        <f>IF(CurrentMtgRatesDataTable8[[#This Row],[Servicing Spread]]&lt;=0,L1019,CurrentMtgRatesDataTable8[[#This Row],[Servicing Spread]])</f>
        <v>0.32539999999999925</v>
      </c>
      <c r="M1020" s="16">
        <f>CurrentMtgRatesDataTable8[[#This Row],[Servicing Spread Non-Zero]]-L1019</f>
        <v>-5.1600000000000534E-2</v>
      </c>
      <c r="N1020" s="16">
        <f>IF(J1019&lt;&gt;0,CurrentMtgRatesDataTable8[[#This Row],[Rate]]-C1019,N1019)</f>
        <v>4.9999999999990052E-3</v>
      </c>
    </row>
    <row r="1021" spans="1:14">
      <c r="A1021" s="39" t="s">
        <v>2373</v>
      </c>
      <c r="B1021" s="40">
        <v>5.5359999999999996</v>
      </c>
      <c r="C1021" s="11">
        <v>6.0449999999999999</v>
      </c>
      <c r="D1021" s="16">
        <f t="shared" si="105"/>
        <v>1</v>
      </c>
      <c r="E1021" s="16">
        <f t="shared" si="106"/>
        <v>0.2</v>
      </c>
      <c r="F1021" s="16">
        <f t="shared" si="107"/>
        <v>1</v>
      </c>
      <c r="G1021" s="16">
        <f t="shared" si="108"/>
        <v>1.1072</v>
      </c>
      <c r="H1021" s="16">
        <f t="shared" si="109"/>
        <v>0.2</v>
      </c>
      <c r="I1021" s="16">
        <f t="shared" si="110"/>
        <v>0</v>
      </c>
      <c r="J1021" s="16">
        <f t="shared" si="111"/>
        <v>0</v>
      </c>
      <c r="K1021" s="16">
        <f>IF(CurrentMtgRatesDataTable8[[#This Row],[WA CC]]&lt;&gt;0,C1020-CurrentMtgRatesDataTable8[[#This Row],[WA CC]],0)</f>
        <v>0</v>
      </c>
      <c r="L1021" s="16">
        <f>IF(CurrentMtgRatesDataTable8[[#This Row],[Servicing Spread]]&lt;=0,L1020,CurrentMtgRatesDataTable8[[#This Row],[Servicing Spread]])</f>
        <v>0.32539999999999925</v>
      </c>
      <c r="M1021" s="16">
        <f>CurrentMtgRatesDataTable8[[#This Row],[Servicing Spread Non-Zero]]-L1020</f>
        <v>0</v>
      </c>
      <c r="N1021" s="16">
        <f>IF(J1020&lt;&gt;0,CurrentMtgRatesDataTable8[[#This Row],[Rate]]-C1020,N1020)</f>
        <v>5.5000000000000604E-2</v>
      </c>
    </row>
    <row r="1022" spans="1:14">
      <c r="A1022" s="39" t="s">
        <v>2374</v>
      </c>
      <c r="B1022" s="40">
        <v>5.6849999999999996</v>
      </c>
      <c r="C1022" s="11">
        <v>6.0449999999999999</v>
      </c>
      <c r="D1022" s="16">
        <f t="shared" si="105"/>
        <v>2</v>
      </c>
      <c r="E1022" s="16">
        <f t="shared" si="106"/>
        <v>0.2</v>
      </c>
      <c r="F1022" s="16">
        <f t="shared" si="107"/>
        <v>2</v>
      </c>
      <c r="G1022" s="16">
        <f t="shared" si="108"/>
        <v>2.2442000000000002</v>
      </c>
      <c r="H1022" s="16">
        <f t="shared" si="109"/>
        <v>0.4</v>
      </c>
      <c r="I1022" s="16">
        <f t="shared" si="110"/>
        <v>0</v>
      </c>
      <c r="J1022" s="16">
        <f t="shared" si="111"/>
        <v>0</v>
      </c>
      <c r="K1022" s="16">
        <f>IF(CurrentMtgRatesDataTable8[[#This Row],[WA CC]]&lt;&gt;0,C1021-CurrentMtgRatesDataTable8[[#This Row],[WA CC]],0)</f>
        <v>0</v>
      </c>
      <c r="L1022" s="16">
        <f>IF(CurrentMtgRatesDataTable8[[#This Row],[Servicing Spread]]&lt;=0,L1021,CurrentMtgRatesDataTable8[[#This Row],[Servicing Spread]])</f>
        <v>0.32539999999999925</v>
      </c>
      <c r="M1022" s="16">
        <f>CurrentMtgRatesDataTable8[[#This Row],[Servicing Spread Non-Zero]]-L1021</f>
        <v>0</v>
      </c>
      <c r="N1022" s="16">
        <f>IF(J1021&lt;&gt;0,CurrentMtgRatesDataTable8[[#This Row],[Rate]]-C1021,N1021)</f>
        <v>5.5000000000000604E-2</v>
      </c>
    </row>
    <row r="1023" spans="1:14">
      <c r="A1023" s="39" t="s">
        <v>2375</v>
      </c>
      <c r="B1023" s="40">
        <v>5.742</v>
      </c>
      <c r="C1023" s="11">
        <v>6.0449999999999999</v>
      </c>
      <c r="D1023" s="16">
        <f t="shared" si="105"/>
        <v>5</v>
      </c>
      <c r="E1023" s="16">
        <f t="shared" si="106"/>
        <v>0.2</v>
      </c>
      <c r="F1023" s="16">
        <f t="shared" si="107"/>
        <v>3</v>
      </c>
      <c r="G1023" s="16">
        <f t="shared" si="108"/>
        <v>3.3926000000000003</v>
      </c>
      <c r="H1023" s="16">
        <f t="shared" si="109"/>
        <v>0.60000000000000009</v>
      </c>
      <c r="I1023" s="16">
        <f t="shared" si="110"/>
        <v>0</v>
      </c>
      <c r="J1023" s="16">
        <f t="shared" si="111"/>
        <v>0</v>
      </c>
      <c r="K1023" s="16">
        <f>IF(CurrentMtgRatesDataTable8[[#This Row],[WA CC]]&lt;&gt;0,C1022-CurrentMtgRatesDataTable8[[#This Row],[WA CC]],0)</f>
        <v>0</v>
      </c>
      <c r="L1023" s="16">
        <f>IF(CurrentMtgRatesDataTable8[[#This Row],[Servicing Spread]]&lt;=0,L1022,CurrentMtgRatesDataTable8[[#This Row],[Servicing Spread]])</f>
        <v>0.32539999999999925</v>
      </c>
      <c r="M1023" s="16">
        <f>CurrentMtgRatesDataTable8[[#This Row],[Servicing Spread Non-Zero]]-L1022</f>
        <v>0</v>
      </c>
      <c r="N1023" s="16">
        <f>IF(J1022&lt;&gt;0,CurrentMtgRatesDataTable8[[#This Row],[Rate]]-C1022,N1022)</f>
        <v>5.5000000000000604E-2</v>
      </c>
    </row>
    <row r="1024" spans="1:14">
      <c r="A1024" s="39" t="s">
        <v>2376</v>
      </c>
      <c r="B1024" s="40">
        <v>5.7990000000000004</v>
      </c>
      <c r="C1024" s="11">
        <v>6.0449999999999999</v>
      </c>
      <c r="D1024" s="16">
        <f t="shared" si="105"/>
        <v>7</v>
      </c>
      <c r="E1024" s="16">
        <f t="shared" si="106"/>
        <v>0.2</v>
      </c>
      <c r="F1024" s="16">
        <f t="shared" si="107"/>
        <v>4</v>
      </c>
      <c r="G1024" s="16">
        <f t="shared" si="108"/>
        <v>4.5524000000000004</v>
      </c>
      <c r="H1024" s="16">
        <f t="shared" si="109"/>
        <v>0.8</v>
      </c>
      <c r="I1024" s="16">
        <f t="shared" si="110"/>
        <v>1</v>
      </c>
      <c r="J1024" s="16">
        <f t="shared" si="111"/>
        <v>5.6905000000000001</v>
      </c>
      <c r="K1024" s="16">
        <f>IF(CurrentMtgRatesDataTable8[[#This Row],[WA CC]]&lt;&gt;0,C1023-CurrentMtgRatesDataTable8[[#This Row],[WA CC]],0)</f>
        <v>0.35449999999999982</v>
      </c>
      <c r="L1024" s="16">
        <f>IF(CurrentMtgRatesDataTable8[[#This Row],[Servicing Spread]]&lt;=0,L1023,CurrentMtgRatesDataTable8[[#This Row],[Servicing Spread]])</f>
        <v>0.35449999999999982</v>
      </c>
      <c r="M1024" s="16">
        <f>CurrentMtgRatesDataTable8[[#This Row],[Servicing Spread Non-Zero]]-L1023</f>
        <v>2.910000000000057E-2</v>
      </c>
      <c r="N1024" s="16">
        <f>IF(J1023&lt;&gt;0,CurrentMtgRatesDataTable8[[#This Row],[Rate]]-C1023,N1023)</f>
        <v>5.5000000000000604E-2</v>
      </c>
    </row>
    <row r="1025" spans="1:14">
      <c r="A1025" s="39" t="s">
        <v>2377</v>
      </c>
      <c r="B1025" s="40">
        <v>5.7350000000000003</v>
      </c>
      <c r="C1025" s="11">
        <v>5.9450000000000003</v>
      </c>
      <c r="D1025" s="16">
        <f t="shared" si="105"/>
        <v>1</v>
      </c>
      <c r="E1025" s="16">
        <f t="shared" si="106"/>
        <v>0.2</v>
      </c>
      <c r="F1025" s="16">
        <f t="shared" si="107"/>
        <v>1</v>
      </c>
      <c r="G1025" s="16">
        <f t="shared" si="108"/>
        <v>1.147</v>
      </c>
      <c r="H1025" s="16">
        <f t="shared" si="109"/>
        <v>0.2</v>
      </c>
      <c r="I1025" s="16">
        <f t="shared" si="110"/>
        <v>0</v>
      </c>
      <c r="J1025" s="16">
        <f t="shared" si="111"/>
        <v>0</v>
      </c>
      <c r="K1025" s="16">
        <f>IF(CurrentMtgRatesDataTable8[[#This Row],[WA CC]]&lt;&gt;0,C1024-CurrentMtgRatesDataTable8[[#This Row],[WA CC]],0)</f>
        <v>0</v>
      </c>
      <c r="L1025" s="16">
        <f>IF(CurrentMtgRatesDataTable8[[#This Row],[Servicing Spread]]&lt;=0,L1024,CurrentMtgRatesDataTable8[[#This Row],[Servicing Spread]])</f>
        <v>0.35449999999999982</v>
      </c>
      <c r="M1025" s="16">
        <f>CurrentMtgRatesDataTable8[[#This Row],[Servicing Spread Non-Zero]]-L1024</f>
        <v>0</v>
      </c>
      <c r="N1025" s="16">
        <f>IF(J1024&lt;&gt;0,CurrentMtgRatesDataTable8[[#This Row],[Rate]]-C1024,N1024)</f>
        <v>-9.9999999999999645E-2</v>
      </c>
    </row>
    <row r="1026" spans="1:14">
      <c r="A1026" s="39" t="s">
        <v>2378</v>
      </c>
      <c r="B1026" s="40">
        <v>5.5949999999999998</v>
      </c>
      <c r="C1026" s="11">
        <v>5.9450000000000003</v>
      </c>
      <c r="D1026" s="16">
        <f t="shared" si="105"/>
        <v>2</v>
      </c>
      <c r="E1026" s="16">
        <f t="shared" si="106"/>
        <v>0.2</v>
      </c>
      <c r="F1026" s="16">
        <f t="shared" si="107"/>
        <v>2</v>
      </c>
      <c r="G1026" s="16">
        <f t="shared" si="108"/>
        <v>2.266</v>
      </c>
      <c r="H1026" s="16">
        <f t="shared" si="109"/>
        <v>0.4</v>
      </c>
      <c r="I1026" s="16">
        <f t="shared" si="110"/>
        <v>0</v>
      </c>
      <c r="J1026" s="16">
        <f t="shared" si="111"/>
        <v>0</v>
      </c>
      <c r="K1026" s="16">
        <f>IF(CurrentMtgRatesDataTable8[[#This Row],[WA CC]]&lt;&gt;0,C1025-CurrentMtgRatesDataTable8[[#This Row],[WA CC]],0)</f>
        <v>0</v>
      </c>
      <c r="L1026" s="16">
        <f>IF(CurrentMtgRatesDataTable8[[#This Row],[Servicing Spread]]&lt;=0,L1025,CurrentMtgRatesDataTable8[[#This Row],[Servicing Spread]])</f>
        <v>0.35449999999999982</v>
      </c>
      <c r="M1026" s="16">
        <f>CurrentMtgRatesDataTable8[[#This Row],[Servicing Spread Non-Zero]]-L1025</f>
        <v>0</v>
      </c>
      <c r="N1026" s="16">
        <f>IF(J1025&lt;&gt;0,CurrentMtgRatesDataTable8[[#This Row],[Rate]]-C1025,N1025)</f>
        <v>-9.9999999999999645E-2</v>
      </c>
    </row>
    <row r="1027" spans="1:14">
      <c r="A1027" s="39" t="s">
        <v>2379</v>
      </c>
      <c r="B1027" s="40">
        <v>5.5209999999999999</v>
      </c>
      <c r="C1027" s="11">
        <v>5.9450000000000003</v>
      </c>
      <c r="D1027" s="16">
        <f t="shared" si="105"/>
        <v>5</v>
      </c>
      <c r="E1027" s="16">
        <f t="shared" si="106"/>
        <v>0.2</v>
      </c>
      <c r="F1027" s="16">
        <f t="shared" si="107"/>
        <v>3</v>
      </c>
      <c r="G1027" s="16">
        <f t="shared" si="108"/>
        <v>3.3702000000000001</v>
      </c>
      <c r="H1027" s="16">
        <f t="shared" si="109"/>
        <v>0.60000000000000009</v>
      </c>
      <c r="I1027" s="16">
        <f t="shared" si="110"/>
        <v>0</v>
      </c>
      <c r="J1027" s="16">
        <f t="shared" si="111"/>
        <v>0</v>
      </c>
      <c r="K1027" s="16">
        <f>IF(CurrentMtgRatesDataTable8[[#This Row],[WA CC]]&lt;&gt;0,C1026-CurrentMtgRatesDataTable8[[#This Row],[WA CC]],0)</f>
        <v>0</v>
      </c>
      <c r="L1027" s="16">
        <f>IF(CurrentMtgRatesDataTable8[[#This Row],[Servicing Spread]]&lt;=0,L1026,CurrentMtgRatesDataTable8[[#This Row],[Servicing Spread]])</f>
        <v>0.35449999999999982</v>
      </c>
      <c r="M1027" s="16">
        <f>CurrentMtgRatesDataTable8[[#This Row],[Servicing Spread Non-Zero]]-L1026</f>
        <v>0</v>
      </c>
      <c r="N1027" s="16">
        <f>IF(J1026&lt;&gt;0,CurrentMtgRatesDataTable8[[#This Row],[Rate]]-C1026,N1026)</f>
        <v>-9.9999999999999645E-2</v>
      </c>
    </row>
    <row r="1028" spans="1:14">
      <c r="A1028" s="39" t="s">
        <v>2380</v>
      </c>
      <c r="B1028" s="40">
        <v>5.3949999999999996</v>
      </c>
      <c r="C1028" s="11">
        <v>5.9450000000000003</v>
      </c>
      <c r="D1028" s="16">
        <f t="shared" si="105"/>
        <v>7</v>
      </c>
      <c r="E1028" s="16">
        <f t="shared" si="106"/>
        <v>0.2</v>
      </c>
      <c r="F1028" s="16">
        <f t="shared" si="107"/>
        <v>4</v>
      </c>
      <c r="G1028" s="16">
        <f t="shared" si="108"/>
        <v>4.4492000000000003</v>
      </c>
      <c r="H1028" s="16">
        <f t="shared" si="109"/>
        <v>0.8</v>
      </c>
      <c r="I1028" s="16">
        <f t="shared" si="110"/>
        <v>1</v>
      </c>
      <c r="J1028" s="16">
        <f t="shared" si="111"/>
        <v>5.5614999999999997</v>
      </c>
      <c r="K1028" s="16">
        <f>IF(CurrentMtgRatesDataTable8[[#This Row],[WA CC]]&lt;&gt;0,C1027-CurrentMtgRatesDataTable8[[#This Row],[WA CC]],0)</f>
        <v>0.38350000000000062</v>
      </c>
      <c r="L1028" s="16">
        <f>IF(CurrentMtgRatesDataTable8[[#This Row],[Servicing Spread]]&lt;=0,L1027,CurrentMtgRatesDataTable8[[#This Row],[Servicing Spread]])</f>
        <v>0.38350000000000062</v>
      </c>
      <c r="M1028" s="16">
        <f>CurrentMtgRatesDataTable8[[#This Row],[Servicing Spread Non-Zero]]-L1027</f>
        <v>2.9000000000000803E-2</v>
      </c>
      <c r="N1028" s="16">
        <f>IF(J1027&lt;&gt;0,CurrentMtgRatesDataTable8[[#This Row],[Rate]]-C1027,N1027)</f>
        <v>-9.9999999999999645E-2</v>
      </c>
    </row>
    <row r="1029" spans="1:14">
      <c r="A1029" s="39" t="s">
        <v>2381</v>
      </c>
      <c r="B1029" s="40">
        <v>5.3789999999999996</v>
      </c>
      <c r="C1029" s="11">
        <v>5.72</v>
      </c>
      <c r="D1029" s="16">
        <f t="shared" ref="D1029:D1092" si="112">WEEKDAY(A1029,14)</f>
        <v>1</v>
      </c>
      <c r="E1029" s="16">
        <f t="shared" ref="E1029:E1092" si="113">VLOOKUP(D1029,Q$5:R$11,2,FALSE)</f>
        <v>0.2</v>
      </c>
      <c r="F1029" s="16">
        <f t="shared" ref="F1029:F1092" si="114">IF(AND(D1029&gt;D1028,F1028&lt;6),F1028+1,1)</f>
        <v>1</v>
      </c>
      <c r="G1029" s="16">
        <f t="shared" ref="G1029:G1092" si="115">IF(F1029&gt;F1028,G1028+B1029*E1029,B1029*E1029)</f>
        <v>1.0757999999999999</v>
      </c>
      <c r="H1029" s="16">
        <f t="shared" ref="H1029:H1092" si="116">IF(AND(F1029&lt;6,F1029&gt;F1028),E1029+H1028,E1029)</f>
        <v>0.2</v>
      </c>
      <c r="I1029" s="16">
        <f t="shared" ref="I1029:I1092" si="117">IF(F1029&gt;F1030,1,0)</f>
        <v>0</v>
      </c>
      <c r="J1029" s="16">
        <f t="shared" ref="J1029:J1092" si="118">IF(F1029&gt;F1030,G1029/H1029,0)</f>
        <v>0</v>
      </c>
      <c r="K1029" s="16">
        <f>IF(CurrentMtgRatesDataTable8[[#This Row],[WA CC]]&lt;&gt;0,C1028-CurrentMtgRatesDataTable8[[#This Row],[WA CC]],0)</f>
        <v>0</v>
      </c>
      <c r="L1029" s="16">
        <f>IF(CurrentMtgRatesDataTable8[[#This Row],[Servicing Spread]]&lt;=0,L1028,CurrentMtgRatesDataTable8[[#This Row],[Servicing Spread]])</f>
        <v>0.38350000000000062</v>
      </c>
      <c r="M1029" s="16">
        <f>CurrentMtgRatesDataTable8[[#This Row],[Servicing Spread Non-Zero]]-L1028</f>
        <v>0</v>
      </c>
      <c r="N1029" s="16">
        <f>IF(J1028&lt;&gt;0,CurrentMtgRatesDataTable8[[#This Row],[Rate]]-C1028,N1028)</f>
        <v>-0.22500000000000053</v>
      </c>
    </row>
    <row r="1030" spans="1:14">
      <c r="A1030" s="39" t="s">
        <v>2382</v>
      </c>
      <c r="B1030" s="40">
        <v>5.2859999999999996</v>
      </c>
      <c r="C1030" s="11">
        <v>5.72</v>
      </c>
      <c r="D1030" s="16">
        <f t="shared" si="112"/>
        <v>2</v>
      </c>
      <c r="E1030" s="16">
        <f t="shared" si="113"/>
        <v>0.2</v>
      </c>
      <c r="F1030" s="16">
        <f t="shared" si="114"/>
        <v>2</v>
      </c>
      <c r="G1030" s="16">
        <f t="shared" si="115"/>
        <v>2.133</v>
      </c>
      <c r="H1030" s="16">
        <f t="shared" si="116"/>
        <v>0.4</v>
      </c>
      <c r="I1030" s="16">
        <f t="shared" si="117"/>
        <v>0</v>
      </c>
      <c r="J1030" s="16">
        <f t="shared" si="118"/>
        <v>0</v>
      </c>
      <c r="K1030" s="16">
        <f>IF(CurrentMtgRatesDataTable8[[#This Row],[WA CC]]&lt;&gt;0,C1029-CurrentMtgRatesDataTable8[[#This Row],[WA CC]],0)</f>
        <v>0</v>
      </c>
      <c r="L1030" s="16">
        <f>IF(CurrentMtgRatesDataTable8[[#This Row],[Servicing Spread]]&lt;=0,L1029,CurrentMtgRatesDataTable8[[#This Row],[Servicing Spread]])</f>
        <v>0.38350000000000062</v>
      </c>
      <c r="M1030" s="16">
        <f>CurrentMtgRatesDataTable8[[#This Row],[Servicing Spread Non-Zero]]-L1029</f>
        <v>0</v>
      </c>
      <c r="N1030" s="16">
        <f>IF(J1029&lt;&gt;0,CurrentMtgRatesDataTable8[[#This Row],[Rate]]-C1029,N1029)</f>
        <v>-0.22500000000000053</v>
      </c>
    </row>
    <row r="1031" spans="1:14">
      <c r="A1031" s="39" t="s">
        <v>2383</v>
      </c>
      <c r="B1031" s="40">
        <v>5.2389999999999999</v>
      </c>
      <c r="C1031" s="11">
        <v>5.72</v>
      </c>
      <c r="D1031" s="16">
        <f t="shared" si="112"/>
        <v>5</v>
      </c>
      <c r="E1031" s="16">
        <f t="shared" si="113"/>
        <v>0.2</v>
      </c>
      <c r="F1031" s="16">
        <f t="shared" si="114"/>
        <v>3</v>
      </c>
      <c r="G1031" s="16">
        <f t="shared" si="115"/>
        <v>3.1808000000000001</v>
      </c>
      <c r="H1031" s="16">
        <f t="shared" si="116"/>
        <v>0.60000000000000009</v>
      </c>
      <c r="I1031" s="16">
        <f t="shared" si="117"/>
        <v>0</v>
      </c>
      <c r="J1031" s="16">
        <f t="shared" si="118"/>
        <v>0</v>
      </c>
      <c r="K1031" s="16">
        <f>IF(CurrentMtgRatesDataTable8[[#This Row],[WA CC]]&lt;&gt;0,C1030-CurrentMtgRatesDataTable8[[#This Row],[WA CC]],0)</f>
        <v>0</v>
      </c>
      <c r="L1031" s="16">
        <f>IF(CurrentMtgRatesDataTable8[[#This Row],[Servicing Spread]]&lt;=0,L1030,CurrentMtgRatesDataTable8[[#This Row],[Servicing Spread]])</f>
        <v>0.38350000000000062</v>
      </c>
      <c r="M1031" s="16">
        <f>CurrentMtgRatesDataTable8[[#This Row],[Servicing Spread Non-Zero]]-L1030</f>
        <v>0</v>
      </c>
      <c r="N1031" s="16">
        <f>IF(J1030&lt;&gt;0,CurrentMtgRatesDataTable8[[#This Row],[Rate]]-C1030,N1030)</f>
        <v>-0.22500000000000053</v>
      </c>
    </row>
    <row r="1032" spans="1:14">
      <c r="A1032" s="39" t="s">
        <v>2384</v>
      </c>
      <c r="B1032" s="40">
        <v>5.2549999999999999</v>
      </c>
      <c r="C1032" s="11">
        <v>5.72</v>
      </c>
      <c r="D1032" s="16">
        <f t="shared" si="112"/>
        <v>6</v>
      </c>
      <c r="E1032" s="16">
        <f t="shared" si="113"/>
        <v>0.2</v>
      </c>
      <c r="F1032" s="16">
        <f t="shared" si="114"/>
        <v>4</v>
      </c>
      <c r="G1032" s="16">
        <f t="shared" si="115"/>
        <v>4.2317999999999998</v>
      </c>
      <c r="H1032" s="16">
        <f t="shared" si="116"/>
        <v>0.8</v>
      </c>
      <c r="I1032" s="16">
        <f t="shared" si="117"/>
        <v>0</v>
      </c>
      <c r="J1032" s="16">
        <f t="shared" si="118"/>
        <v>0</v>
      </c>
      <c r="K1032" s="16">
        <f>IF(CurrentMtgRatesDataTable8[[#This Row],[WA CC]]&lt;&gt;0,C1031-CurrentMtgRatesDataTable8[[#This Row],[WA CC]],0)</f>
        <v>0</v>
      </c>
      <c r="L1032" s="16">
        <f>IF(CurrentMtgRatesDataTable8[[#This Row],[Servicing Spread]]&lt;=0,L1031,CurrentMtgRatesDataTable8[[#This Row],[Servicing Spread]])</f>
        <v>0.38350000000000062</v>
      </c>
      <c r="M1032" s="16">
        <f>CurrentMtgRatesDataTable8[[#This Row],[Servicing Spread Non-Zero]]-L1031</f>
        <v>0</v>
      </c>
      <c r="N1032" s="16">
        <f>IF(J1031&lt;&gt;0,CurrentMtgRatesDataTable8[[#This Row],[Rate]]-C1031,N1031)</f>
        <v>-0.22500000000000053</v>
      </c>
    </row>
    <row r="1033" spans="1:14">
      <c r="A1033" s="39" t="s">
        <v>2385</v>
      </c>
      <c r="B1033" s="40">
        <v>5.2110000000000003</v>
      </c>
      <c r="C1033" s="11">
        <v>5.72</v>
      </c>
      <c r="D1033" s="16">
        <f t="shared" si="112"/>
        <v>7</v>
      </c>
      <c r="E1033" s="16">
        <f t="shared" si="113"/>
        <v>0.2</v>
      </c>
      <c r="F1033" s="16">
        <f t="shared" si="114"/>
        <v>5</v>
      </c>
      <c r="G1033" s="16">
        <f t="shared" si="115"/>
        <v>5.274</v>
      </c>
      <c r="H1033" s="16">
        <f t="shared" si="116"/>
        <v>1</v>
      </c>
      <c r="I1033" s="16">
        <f t="shared" si="117"/>
        <v>1</v>
      </c>
      <c r="J1033" s="16">
        <f t="shared" si="118"/>
        <v>5.274</v>
      </c>
      <c r="K1033" s="16">
        <f>IF(CurrentMtgRatesDataTable8[[#This Row],[WA CC]]&lt;&gt;0,C1032-CurrentMtgRatesDataTable8[[#This Row],[WA CC]],0)</f>
        <v>0.44599999999999973</v>
      </c>
      <c r="L1033" s="16">
        <f>IF(CurrentMtgRatesDataTable8[[#This Row],[Servicing Spread]]&lt;=0,L1032,CurrentMtgRatesDataTable8[[#This Row],[Servicing Spread]])</f>
        <v>0.44599999999999973</v>
      </c>
      <c r="M1033" s="16">
        <f>CurrentMtgRatesDataTable8[[#This Row],[Servicing Spread Non-Zero]]-L1032</f>
        <v>6.2499999999999112E-2</v>
      </c>
      <c r="N1033" s="16">
        <f>IF(J1032&lt;&gt;0,CurrentMtgRatesDataTable8[[#This Row],[Rate]]-C1032,N1032)</f>
        <v>-0.22500000000000053</v>
      </c>
    </row>
    <row r="1034" spans="1:14">
      <c r="A1034" s="39" t="s">
        <v>2386</v>
      </c>
      <c r="B1034" s="40">
        <v>5.2969999999999997</v>
      </c>
      <c r="C1034" s="11">
        <v>5.5650000000000004</v>
      </c>
      <c r="D1034" s="16">
        <f t="shared" si="112"/>
        <v>1</v>
      </c>
      <c r="E1034" s="16">
        <f t="shared" si="113"/>
        <v>0.2</v>
      </c>
      <c r="F1034" s="16">
        <f t="shared" si="114"/>
        <v>1</v>
      </c>
      <c r="G1034" s="16">
        <f t="shared" si="115"/>
        <v>1.0593999999999999</v>
      </c>
      <c r="H1034" s="16">
        <f t="shared" si="116"/>
        <v>0.2</v>
      </c>
      <c r="I1034" s="16">
        <f t="shared" si="117"/>
        <v>0</v>
      </c>
      <c r="J1034" s="16">
        <f t="shared" si="118"/>
        <v>0</v>
      </c>
      <c r="K1034" s="16">
        <f>IF(CurrentMtgRatesDataTable8[[#This Row],[WA CC]]&lt;&gt;0,C1033-CurrentMtgRatesDataTable8[[#This Row],[WA CC]],0)</f>
        <v>0</v>
      </c>
      <c r="L1034" s="16">
        <f>IF(CurrentMtgRatesDataTable8[[#This Row],[Servicing Spread]]&lt;=0,L1033,CurrentMtgRatesDataTable8[[#This Row],[Servicing Spread]])</f>
        <v>0.44599999999999973</v>
      </c>
      <c r="M1034" s="16">
        <f>CurrentMtgRatesDataTable8[[#This Row],[Servicing Spread Non-Zero]]-L1033</f>
        <v>0</v>
      </c>
      <c r="N1034" s="16">
        <f>IF(J1033&lt;&gt;0,CurrentMtgRatesDataTable8[[#This Row],[Rate]]-C1033,N1033)</f>
        <v>-0.15499999999999936</v>
      </c>
    </row>
    <row r="1035" spans="1:14">
      <c r="A1035" s="39" t="s">
        <v>2387</v>
      </c>
      <c r="B1035" s="40">
        <v>5.1909999999999998</v>
      </c>
      <c r="C1035" s="11">
        <v>5.5650000000000004</v>
      </c>
      <c r="D1035" s="16">
        <f t="shared" si="112"/>
        <v>2</v>
      </c>
      <c r="E1035" s="16">
        <f t="shared" si="113"/>
        <v>0.2</v>
      </c>
      <c r="F1035" s="16">
        <f t="shared" si="114"/>
        <v>2</v>
      </c>
      <c r="G1035" s="16">
        <f t="shared" si="115"/>
        <v>2.0975999999999999</v>
      </c>
      <c r="H1035" s="16">
        <f t="shared" si="116"/>
        <v>0.4</v>
      </c>
      <c r="I1035" s="16">
        <f t="shared" si="117"/>
        <v>0</v>
      </c>
      <c r="J1035" s="16">
        <f t="shared" si="118"/>
        <v>0</v>
      </c>
      <c r="K1035" s="16">
        <f>IF(CurrentMtgRatesDataTable8[[#This Row],[WA CC]]&lt;&gt;0,C1034-CurrentMtgRatesDataTable8[[#This Row],[WA CC]],0)</f>
        <v>0</v>
      </c>
      <c r="L1035" s="16">
        <f>IF(CurrentMtgRatesDataTable8[[#This Row],[Servicing Spread]]&lt;=0,L1034,CurrentMtgRatesDataTable8[[#This Row],[Servicing Spread]])</f>
        <v>0.44599999999999973</v>
      </c>
      <c r="M1035" s="16">
        <f>CurrentMtgRatesDataTable8[[#This Row],[Servicing Spread Non-Zero]]-L1034</f>
        <v>0</v>
      </c>
      <c r="N1035" s="16">
        <f>IF(J1034&lt;&gt;0,CurrentMtgRatesDataTable8[[#This Row],[Rate]]-C1034,N1034)</f>
        <v>-0.15499999999999936</v>
      </c>
    </row>
    <row r="1036" spans="1:14">
      <c r="A1036" s="39" t="s">
        <v>2388</v>
      </c>
      <c r="B1036" s="40">
        <v>5.1559999999999997</v>
      </c>
      <c r="C1036" s="11">
        <v>5.5650000000000004</v>
      </c>
      <c r="D1036" s="16">
        <f t="shared" si="112"/>
        <v>5</v>
      </c>
      <c r="E1036" s="16">
        <f t="shared" si="113"/>
        <v>0.2</v>
      </c>
      <c r="F1036" s="16">
        <f t="shared" si="114"/>
        <v>3</v>
      </c>
      <c r="G1036" s="16">
        <f t="shared" si="115"/>
        <v>3.1288</v>
      </c>
      <c r="H1036" s="16">
        <f t="shared" si="116"/>
        <v>0.60000000000000009</v>
      </c>
      <c r="I1036" s="16">
        <f t="shared" si="117"/>
        <v>0</v>
      </c>
      <c r="J1036" s="16">
        <f t="shared" si="118"/>
        <v>0</v>
      </c>
      <c r="K1036" s="16">
        <f>IF(CurrentMtgRatesDataTable8[[#This Row],[WA CC]]&lt;&gt;0,C1035-CurrentMtgRatesDataTable8[[#This Row],[WA CC]],0)</f>
        <v>0</v>
      </c>
      <c r="L1036" s="16">
        <f>IF(CurrentMtgRatesDataTable8[[#This Row],[Servicing Spread]]&lt;=0,L1035,CurrentMtgRatesDataTable8[[#This Row],[Servicing Spread]])</f>
        <v>0.44599999999999973</v>
      </c>
      <c r="M1036" s="16">
        <f>CurrentMtgRatesDataTable8[[#This Row],[Servicing Spread Non-Zero]]-L1035</f>
        <v>0</v>
      </c>
      <c r="N1036" s="16">
        <f>IF(J1035&lt;&gt;0,CurrentMtgRatesDataTable8[[#This Row],[Rate]]-C1035,N1035)</f>
        <v>-0.15499999999999936</v>
      </c>
    </row>
    <row r="1037" spans="1:14">
      <c r="A1037" s="39" t="s">
        <v>2389</v>
      </c>
      <c r="B1037" s="40">
        <v>5.0460000000000003</v>
      </c>
      <c r="C1037" s="11">
        <v>5.5650000000000004</v>
      </c>
      <c r="D1037" s="16">
        <f t="shared" si="112"/>
        <v>6</v>
      </c>
      <c r="E1037" s="16">
        <f t="shared" si="113"/>
        <v>0.2</v>
      </c>
      <c r="F1037" s="16">
        <f t="shared" si="114"/>
        <v>4</v>
      </c>
      <c r="G1037" s="16">
        <f t="shared" si="115"/>
        <v>4.1379999999999999</v>
      </c>
      <c r="H1037" s="16">
        <f t="shared" si="116"/>
        <v>0.8</v>
      </c>
      <c r="I1037" s="16">
        <f t="shared" si="117"/>
        <v>0</v>
      </c>
      <c r="J1037" s="16">
        <f t="shared" si="118"/>
        <v>0</v>
      </c>
      <c r="K1037" s="16">
        <f>IF(CurrentMtgRatesDataTable8[[#This Row],[WA CC]]&lt;&gt;0,C1036-CurrentMtgRatesDataTable8[[#This Row],[WA CC]],0)</f>
        <v>0</v>
      </c>
      <c r="L1037" s="16">
        <f>IF(CurrentMtgRatesDataTable8[[#This Row],[Servicing Spread]]&lt;=0,L1036,CurrentMtgRatesDataTable8[[#This Row],[Servicing Spread]])</f>
        <v>0.44599999999999973</v>
      </c>
      <c r="M1037" s="16">
        <f>CurrentMtgRatesDataTable8[[#This Row],[Servicing Spread Non-Zero]]-L1036</f>
        <v>0</v>
      </c>
      <c r="N1037" s="16">
        <f>IF(J1036&lt;&gt;0,CurrentMtgRatesDataTable8[[#This Row],[Rate]]-C1036,N1036)</f>
        <v>-0.15499999999999936</v>
      </c>
    </row>
    <row r="1038" spans="1:14">
      <c r="A1038" s="39" t="s">
        <v>2390</v>
      </c>
      <c r="B1038" s="40">
        <v>5.1289999999999996</v>
      </c>
      <c r="C1038" s="11">
        <v>5.5650000000000004</v>
      </c>
      <c r="D1038" s="16">
        <f t="shared" si="112"/>
        <v>7</v>
      </c>
      <c r="E1038" s="16">
        <f t="shared" si="113"/>
        <v>0.2</v>
      </c>
      <c r="F1038" s="16">
        <f t="shared" si="114"/>
        <v>5</v>
      </c>
      <c r="G1038" s="16">
        <f t="shared" si="115"/>
        <v>5.1638000000000002</v>
      </c>
      <c r="H1038" s="16">
        <f t="shared" si="116"/>
        <v>1</v>
      </c>
      <c r="I1038" s="16">
        <f t="shared" si="117"/>
        <v>1</v>
      </c>
      <c r="J1038" s="16">
        <f t="shared" si="118"/>
        <v>5.1638000000000002</v>
      </c>
      <c r="K1038" s="16">
        <f>IF(CurrentMtgRatesDataTable8[[#This Row],[WA CC]]&lt;&gt;0,C1037-CurrentMtgRatesDataTable8[[#This Row],[WA CC]],0)</f>
        <v>0.40120000000000022</v>
      </c>
      <c r="L1038" s="16">
        <f>IF(CurrentMtgRatesDataTable8[[#This Row],[Servicing Spread]]&lt;=0,L1037,CurrentMtgRatesDataTable8[[#This Row],[Servicing Spread]])</f>
        <v>0.40120000000000022</v>
      </c>
      <c r="M1038" s="16">
        <f>CurrentMtgRatesDataTable8[[#This Row],[Servicing Spread Non-Zero]]-L1037</f>
        <v>-4.4799999999999507E-2</v>
      </c>
      <c r="N1038" s="16">
        <f>IF(J1037&lt;&gt;0,CurrentMtgRatesDataTable8[[#This Row],[Rate]]-C1037,N1037)</f>
        <v>-0.15499999999999936</v>
      </c>
    </row>
    <row r="1039" spans="1:14">
      <c r="A1039" s="39" t="s">
        <v>2391</v>
      </c>
      <c r="B1039" s="40">
        <v>5.048</v>
      </c>
      <c r="C1039" s="11">
        <v>5.33</v>
      </c>
      <c r="D1039" s="16">
        <f t="shared" si="112"/>
        <v>1</v>
      </c>
      <c r="E1039" s="16">
        <f t="shared" si="113"/>
        <v>0.2</v>
      </c>
      <c r="F1039" s="16">
        <f t="shared" si="114"/>
        <v>1</v>
      </c>
      <c r="G1039" s="16">
        <f t="shared" si="115"/>
        <v>1.0096000000000001</v>
      </c>
      <c r="H1039" s="16">
        <f t="shared" si="116"/>
        <v>0.2</v>
      </c>
      <c r="I1039" s="16">
        <f t="shared" si="117"/>
        <v>0</v>
      </c>
      <c r="J1039" s="16">
        <f t="shared" si="118"/>
        <v>0</v>
      </c>
      <c r="K1039" s="16">
        <f>IF(CurrentMtgRatesDataTable8[[#This Row],[WA CC]]&lt;&gt;0,C1038-CurrentMtgRatesDataTable8[[#This Row],[WA CC]],0)</f>
        <v>0</v>
      </c>
      <c r="L1039" s="16">
        <f>IF(CurrentMtgRatesDataTable8[[#This Row],[Servicing Spread]]&lt;=0,L1038,CurrentMtgRatesDataTable8[[#This Row],[Servicing Spread]])</f>
        <v>0.40120000000000022</v>
      </c>
      <c r="M1039" s="16">
        <f>CurrentMtgRatesDataTable8[[#This Row],[Servicing Spread Non-Zero]]-L1038</f>
        <v>0</v>
      </c>
      <c r="N1039" s="16">
        <f>IF(J1038&lt;&gt;0,CurrentMtgRatesDataTable8[[#This Row],[Rate]]-C1038,N1038)</f>
        <v>-0.23500000000000032</v>
      </c>
    </row>
    <row r="1040" spans="1:14">
      <c r="A1040" s="39" t="s">
        <v>2392</v>
      </c>
      <c r="B1040" s="40">
        <v>5.0750000000000002</v>
      </c>
      <c r="C1040" s="11">
        <v>5.33</v>
      </c>
      <c r="D1040" s="16">
        <f t="shared" si="112"/>
        <v>2</v>
      </c>
      <c r="E1040" s="16">
        <f t="shared" si="113"/>
        <v>0.2</v>
      </c>
      <c r="F1040" s="16">
        <f t="shared" si="114"/>
        <v>2</v>
      </c>
      <c r="G1040" s="16">
        <f t="shared" si="115"/>
        <v>2.0246000000000004</v>
      </c>
      <c r="H1040" s="16">
        <f t="shared" si="116"/>
        <v>0.4</v>
      </c>
      <c r="I1040" s="16">
        <f t="shared" si="117"/>
        <v>0</v>
      </c>
      <c r="J1040" s="16">
        <f t="shared" si="118"/>
        <v>0</v>
      </c>
      <c r="K1040" s="16">
        <f>IF(CurrentMtgRatesDataTable8[[#This Row],[WA CC]]&lt;&gt;0,C1039-CurrentMtgRatesDataTable8[[#This Row],[WA CC]],0)</f>
        <v>0</v>
      </c>
      <c r="L1040" s="16">
        <f>IF(CurrentMtgRatesDataTable8[[#This Row],[Servicing Spread]]&lt;=0,L1039,CurrentMtgRatesDataTable8[[#This Row],[Servicing Spread]])</f>
        <v>0.40120000000000022</v>
      </c>
      <c r="M1040" s="16">
        <f>CurrentMtgRatesDataTable8[[#This Row],[Servicing Spread Non-Zero]]-L1039</f>
        <v>0</v>
      </c>
      <c r="N1040" s="16">
        <f>IF(J1039&lt;&gt;0,CurrentMtgRatesDataTable8[[#This Row],[Rate]]-C1039,N1039)</f>
        <v>-0.23500000000000032</v>
      </c>
    </row>
    <row r="1041" spans="1:14">
      <c r="A1041" s="39" t="s">
        <v>2393</v>
      </c>
      <c r="B1041" s="40">
        <v>4.8239999999999998</v>
      </c>
      <c r="C1041" s="11">
        <v>5.33</v>
      </c>
      <c r="D1041" s="16">
        <f t="shared" si="112"/>
        <v>6</v>
      </c>
      <c r="E1041" s="16">
        <f t="shared" si="113"/>
        <v>0.2</v>
      </c>
      <c r="F1041" s="16">
        <f t="shared" si="114"/>
        <v>3</v>
      </c>
      <c r="G1041" s="16">
        <f t="shared" si="115"/>
        <v>2.9894000000000003</v>
      </c>
      <c r="H1041" s="16">
        <f t="shared" si="116"/>
        <v>0.60000000000000009</v>
      </c>
      <c r="I1041" s="16">
        <f t="shared" si="117"/>
        <v>0</v>
      </c>
      <c r="J1041" s="16">
        <f t="shared" si="118"/>
        <v>0</v>
      </c>
      <c r="K1041" s="16">
        <f>IF(CurrentMtgRatesDataTable8[[#This Row],[WA CC]]&lt;&gt;0,C1040-CurrentMtgRatesDataTable8[[#This Row],[WA CC]],0)</f>
        <v>0</v>
      </c>
      <c r="L1041" s="16">
        <f>IF(CurrentMtgRatesDataTable8[[#This Row],[Servicing Spread]]&lt;=0,L1040,CurrentMtgRatesDataTable8[[#This Row],[Servicing Spread]])</f>
        <v>0.40120000000000022</v>
      </c>
      <c r="M1041" s="16">
        <f>CurrentMtgRatesDataTable8[[#This Row],[Servicing Spread Non-Zero]]-L1040</f>
        <v>0</v>
      </c>
      <c r="N1041" s="16">
        <f>IF(J1040&lt;&gt;0,CurrentMtgRatesDataTable8[[#This Row],[Rate]]-C1040,N1040)</f>
        <v>-0.23500000000000032</v>
      </c>
    </row>
    <row r="1042" spans="1:14">
      <c r="A1042" s="39" t="s">
        <v>2394</v>
      </c>
      <c r="B1042" s="40">
        <v>4.8659999999999997</v>
      </c>
      <c r="C1042" s="11">
        <v>5.33</v>
      </c>
      <c r="D1042" s="16">
        <f t="shared" si="112"/>
        <v>7</v>
      </c>
      <c r="E1042" s="16">
        <f t="shared" si="113"/>
        <v>0.2</v>
      </c>
      <c r="F1042" s="16">
        <f t="shared" si="114"/>
        <v>4</v>
      </c>
      <c r="G1042" s="16">
        <f t="shared" si="115"/>
        <v>3.9626000000000001</v>
      </c>
      <c r="H1042" s="16">
        <f t="shared" si="116"/>
        <v>0.8</v>
      </c>
      <c r="I1042" s="16">
        <f t="shared" si="117"/>
        <v>1</v>
      </c>
      <c r="J1042" s="16">
        <f t="shared" si="118"/>
        <v>4.9532499999999997</v>
      </c>
      <c r="K1042" s="16">
        <f>IF(CurrentMtgRatesDataTable8[[#This Row],[WA CC]]&lt;&gt;0,C1041-CurrentMtgRatesDataTable8[[#This Row],[WA CC]],0)</f>
        <v>0.37675000000000036</v>
      </c>
      <c r="L1042" s="16">
        <f>IF(CurrentMtgRatesDataTable8[[#This Row],[Servicing Spread]]&lt;=0,L1041,CurrentMtgRatesDataTable8[[#This Row],[Servicing Spread]])</f>
        <v>0.37675000000000036</v>
      </c>
      <c r="M1042" s="16">
        <f>CurrentMtgRatesDataTable8[[#This Row],[Servicing Spread Non-Zero]]-L1041</f>
        <v>-2.4449999999999861E-2</v>
      </c>
      <c r="N1042" s="16">
        <f>IF(J1041&lt;&gt;0,CurrentMtgRatesDataTable8[[#This Row],[Rate]]-C1041,N1041)</f>
        <v>-0.23500000000000032</v>
      </c>
    </row>
    <row r="1043" spans="1:14">
      <c r="A1043" s="39" t="s">
        <v>2395</v>
      </c>
      <c r="B1043" s="40">
        <v>5.2050000000000001</v>
      </c>
      <c r="C1043" s="11">
        <v>5.5299999999999994</v>
      </c>
      <c r="D1043" s="16">
        <f t="shared" si="112"/>
        <v>1</v>
      </c>
      <c r="E1043" s="16">
        <f t="shared" si="113"/>
        <v>0.2</v>
      </c>
      <c r="F1043" s="16">
        <f t="shared" si="114"/>
        <v>1</v>
      </c>
      <c r="G1043" s="16">
        <f t="shared" si="115"/>
        <v>1.0410000000000001</v>
      </c>
      <c r="H1043" s="16">
        <f t="shared" si="116"/>
        <v>0.2</v>
      </c>
      <c r="I1043" s="16">
        <f t="shared" si="117"/>
        <v>0</v>
      </c>
      <c r="J1043" s="16">
        <f t="shared" si="118"/>
        <v>0</v>
      </c>
      <c r="K1043" s="16">
        <f>IF(CurrentMtgRatesDataTable8[[#This Row],[WA CC]]&lt;&gt;0,C1042-CurrentMtgRatesDataTable8[[#This Row],[WA CC]],0)</f>
        <v>0</v>
      </c>
      <c r="L1043" s="16">
        <f>IF(CurrentMtgRatesDataTable8[[#This Row],[Servicing Spread]]&lt;=0,L1042,CurrentMtgRatesDataTable8[[#This Row],[Servicing Spread]])</f>
        <v>0.37675000000000036</v>
      </c>
      <c r="M1043" s="16">
        <f>CurrentMtgRatesDataTable8[[#This Row],[Servicing Spread Non-Zero]]-L1042</f>
        <v>0</v>
      </c>
      <c r="N1043" s="16">
        <f>IF(J1042&lt;&gt;0,CurrentMtgRatesDataTable8[[#This Row],[Rate]]-C1042,N1042)</f>
        <v>0.19999999999999929</v>
      </c>
    </row>
    <row r="1044" spans="1:14">
      <c r="A1044" s="39" t="s">
        <v>2396</v>
      </c>
      <c r="B1044" s="40">
        <v>5.0819999999999999</v>
      </c>
      <c r="C1044" s="11">
        <v>5.5299999999999994</v>
      </c>
      <c r="D1044" s="16">
        <f t="shared" si="112"/>
        <v>2</v>
      </c>
      <c r="E1044" s="16">
        <f t="shared" si="113"/>
        <v>0.2</v>
      </c>
      <c r="F1044" s="16">
        <f t="shared" si="114"/>
        <v>2</v>
      </c>
      <c r="G1044" s="16">
        <f t="shared" si="115"/>
        <v>2.0574000000000003</v>
      </c>
      <c r="H1044" s="16">
        <f t="shared" si="116"/>
        <v>0.4</v>
      </c>
      <c r="I1044" s="16">
        <f t="shared" si="117"/>
        <v>0</v>
      </c>
      <c r="J1044" s="16">
        <f t="shared" si="118"/>
        <v>0</v>
      </c>
      <c r="K1044" s="16">
        <f>IF(CurrentMtgRatesDataTable8[[#This Row],[WA CC]]&lt;&gt;0,C1043-CurrentMtgRatesDataTable8[[#This Row],[WA CC]],0)</f>
        <v>0</v>
      </c>
      <c r="L1044" s="16">
        <f>IF(CurrentMtgRatesDataTable8[[#This Row],[Servicing Spread]]&lt;=0,L1043,CurrentMtgRatesDataTable8[[#This Row],[Servicing Spread]])</f>
        <v>0.37675000000000036</v>
      </c>
      <c r="M1044" s="16">
        <f>CurrentMtgRatesDataTable8[[#This Row],[Servicing Spread Non-Zero]]-L1043</f>
        <v>0</v>
      </c>
      <c r="N1044" s="16">
        <f>IF(J1043&lt;&gt;0,CurrentMtgRatesDataTable8[[#This Row],[Rate]]-C1043,N1043)</f>
        <v>0.19999999999999929</v>
      </c>
    </row>
    <row r="1045" spans="1:14">
      <c r="A1045" s="39" t="s">
        <v>2397</v>
      </c>
      <c r="B1045" s="40">
        <v>5.0350000000000001</v>
      </c>
      <c r="C1045" s="11">
        <v>5.5299999999999994</v>
      </c>
      <c r="D1045" s="16">
        <f t="shared" si="112"/>
        <v>5</v>
      </c>
      <c r="E1045" s="16">
        <f t="shared" si="113"/>
        <v>0.2</v>
      </c>
      <c r="F1045" s="16">
        <f t="shared" si="114"/>
        <v>3</v>
      </c>
      <c r="G1045" s="16">
        <f t="shared" si="115"/>
        <v>3.0644000000000005</v>
      </c>
      <c r="H1045" s="16">
        <f t="shared" si="116"/>
        <v>0.60000000000000009</v>
      </c>
      <c r="I1045" s="16">
        <f t="shared" si="117"/>
        <v>0</v>
      </c>
      <c r="J1045" s="16">
        <f t="shared" si="118"/>
        <v>0</v>
      </c>
      <c r="K1045" s="16">
        <f>IF(CurrentMtgRatesDataTable8[[#This Row],[WA CC]]&lt;&gt;0,C1044-CurrentMtgRatesDataTable8[[#This Row],[WA CC]],0)</f>
        <v>0</v>
      </c>
      <c r="L1045" s="16">
        <f>IF(CurrentMtgRatesDataTable8[[#This Row],[Servicing Spread]]&lt;=0,L1044,CurrentMtgRatesDataTable8[[#This Row],[Servicing Spread]])</f>
        <v>0.37675000000000036</v>
      </c>
      <c r="M1045" s="16">
        <f>CurrentMtgRatesDataTable8[[#This Row],[Servicing Spread Non-Zero]]-L1044</f>
        <v>0</v>
      </c>
      <c r="N1045" s="16">
        <f>IF(J1044&lt;&gt;0,CurrentMtgRatesDataTable8[[#This Row],[Rate]]-C1044,N1044)</f>
        <v>0.19999999999999929</v>
      </c>
    </row>
    <row r="1046" spans="1:14">
      <c r="A1046" s="39" t="s">
        <v>2398</v>
      </c>
      <c r="B1046" s="40">
        <v>5.1130000000000004</v>
      </c>
      <c r="C1046" s="11">
        <v>5.5299999999999994</v>
      </c>
      <c r="D1046" s="16">
        <f t="shared" si="112"/>
        <v>6</v>
      </c>
      <c r="E1046" s="16">
        <f t="shared" si="113"/>
        <v>0.2</v>
      </c>
      <c r="F1046" s="16">
        <f t="shared" si="114"/>
        <v>4</v>
      </c>
      <c r="G1046" s="16">
        <f t="shared" si="115"/>
        <v>4.0870000000000006</v>
      </c>
      <c r="H1046" s="16">
        <f t="shared" si="116"/>
        <v>0.8</v>
      </c>
      <c r="I1046" s="16">
        <f t="shared" si="117"/>
        <v>0</v>
      </c>
      <c r="J1046" s="16">
        <f t="shared" si="118"/>
        <v>0</v>
      </c>
      <c r="K1046" s="16">
        <f>IF(CurrentMtgRatesDataTable8[[#This Row],[WA CC]]&lt;&gt;0,C1045-CurrentMtgRatesDataTable8[[#This Row],[WA CC]],0)</f>
        <v>0</v>
      </c>
      <c r="L1046" s="16">
        <f>IF(CurrentMtgRatesDataTable8[[#This Row],[Servicing Spread]]&lt;=0,L1045,CurrentMtgRatesDataTable8[[#This Row],[Servicing Spread]])</f>
        <v>0.37675000000000036</v>
      </c>
      <c r="M1046" s="16">
        <f>CurrentMtgRatesDataTable8[[#This Row],[Servicing Spread Non-Zero]]-L1045</f>
        <v>0</v>
      </c>
      <c r="N1046" s="16">
        <f>IF(J1045&lt;&gt;0,CurrentMtgRatesDataTable8[[#This Row],[Rate]]-C1045,N1045)</f>
        <v>0.19999999999999929</v>
      </c>
    </row>
    <row r="1047" spans="1:14">
      <c r="A1047" s="39" t="s">
        <v>2399</v>
      </c>
      <c r="B1047" s="40">
        <v>5.1879999999999997</v>
      </c>
      <c r="C1047" s="11">
        <v>5.5299999999999994</v>
      </c>
      <c r="D1047" s="16">
        <f t="shared" si="112"/>
        <v>7</v>
      </c>
      <c r="E1047" s="16">
        <f t="shared" si="113"/>
        <v>0.2</v>
      </c>
      <c r="F1047" s="16">
        <f t="shared" si="114"/>
        <v>5</v>
      </c>
      <c r="G1047" s="16">
        <f t="shared" si="115"/>
        <v>5.1246000000000009</v>
      </c>
      <c r="H1047" s="16">
        <f t="shared" si="116"/>
        <v>1</v>
      </c>
      <c r="I1047" s="16">
        <f t="shared" si="117"/>
        <v>1</v>
      </c>
      <c r="J1047" s="16">
        <f t="shared" si="118"/>
        <v>5.1246000000000009</v>
      </c>
      <c r="K1047" s="16">
        <f>IF(CurrentMtgRatesDataTable8[[#This Row],[WA CC]]&lt;&gt;0,C1046-CurrentMtgRatesDataTable8[[#This Row],[WA CC]],0)</f>
        <v>0.40539999999999843</v>
      </c>
      <c r="L1047" s="16">
        <f>IF(CurrentMtgRatesDataTable8[[#This Row],[Servicing Spread]]&lt;=0,L1046,CurrentMtgRatesDataTable8[[#This Row],[Servicing Spread]])</f>
        <v>0.40539999999999843</v>
      </c>
      <c r="M1047" s="16">
        <f>CurrentMtgRatesDataTable8[[#This Row],[Servicing Spread Non-Zero]]-L1046</f>
        <v>2.8649999999998066E-2</v>
      </c>
      <c r="N1047" s="16">
        <f>IF(J1046&lt;&gt;0,CurrentMtgRatesDataTable8[[#This Row],[Rate]]-C1046,N1046)</f>
        <v>0.19999999999999929</v>
      </c>
    </row>
    <row r="1048" spans="1:14">
      <c r="A1048" s="39" t="s">
        <v>2400</v>
      </c>
      <c r="B1048" s="40">
        <v>5.1219999999999999</v>
      </c>
      <c r="C1048" s="11">
        <v>5.52</v>
      </c>
      <c r="D1048" s="16">
        <f t="shared" si="112"/>
        <v>1</v>
      </c>
      <c r="E1048" s="16">
        <f t="shared" si="113"/>
        <v>0.2</v>
      </c>
      <c r="F1048" s="16">
        <f t="shared" si="114"/>
        <v>1</v>
      </c>
      <c r="G1048" s="16">
        <f t="shared" si="115"/>
        <v>1.0244</v>
      </c>
      <c r="H1048" s="16">
        <f t="shared" si="116"/>
        <v>0.2</v>
      </c>
      <c r="I1048" s="16">
        <f t="shared" si="117"/>
        <v>0</v>
      </c>
      <c r="J1048" s="16">
        <f t="shared" si="118"/>
        <v>0</v>
      </c>
      <c r="K1048" s="16">
        <f>IF(CurrentMtgRatesDataTable8[[#This Row],[WA CC]]&lt;&gt;0,C1047-CurrentMtgRatesDataTable8[[#This Row],[WA CC]],0)</f>
        <v>0</v>
      </c>
      <c r="L1048" s="16">
        <f>IF(CurrentMtgRatesDataTable8[[#This Row],[Servicing Spread]]&lt;=0,L1047,CurrentMtgRatesDataTable8[[#This Row],[Servicing Spread]])</f>
        <v>0.40539999999999843</v>
      </c>
      <c r="M1048" s="16">
        <f>CurrentMtgRatesDataTable8[[#This Row],[Servicing Spread Non-Zero]]-L1047</f>
        <v>0</v>
      </c>
      <c r="N1048" s="16">
        <f>IF(J1047&lt;&gt;0,CurrentMtgRatesDataTable8[[#This Row],[Rate]]-C1047,N1047)</f>
        <v>-9.9999999999997868E-3</v>
      </c>
    </row>
    <row r="1049" spans="1:14">
      <c r="A1049" s="39" t="s">
        <v>2401</v>
      </c>
      <c r="B1049" s="40">
        <v>5.07</v>
      </c>
      <c r="C1049" s="11">
        <v>5.52</v>
      </c>
      <c r="D1049" s="16">
        <f t="shared" si="112"/>
        <v>2</v>
      </c>
      <c r="E1049" s="16">
        <f t="shared" si="113"/>
        <v>0.2</v>
      </c>
      <c r="F1049" s="16">
        <f t="shared" si="114"/>
        <v>2</v>
      </c>
      <c r="G1049" s="16">
        <f t="shared" si="115"/>
        <v>2.0384000000000002</v>
      </c>
      <c r="H1049" s="16">
        <f t="shared" si="116"/>
        <v>0.4</v>
      </c>
      <c r="I1049" s="16">
        <f t="shared" si="117"/>
        <v>0</v>
      </c>
      <c r="J1049" s="16">
        <f t="shared" si="118"/>
        <v>0</v>
      </c>
      <c r="K1049" s="16">
        <f>IF(CurrentMtgRatesDataTable8[[#This Row],[WA CC]]&lt;&gt;0,C1048-CurrentMtgRatesDataTable8[[#This Row],[WA CC]],0)</f>
        <v>0</v>
      </c>
      <c r="L1049" s="16">
        <f>IF(CurrentMtgRatesDataTable8[[#This Row],[Servicing Spread]]&lt;=0,L1048,CurrentMtgRatesDataTable8[[#This Row],[Servicing Spread]])</f>
        <v>0.40539999999999843</v>
      </c>
      <c r="M1049" s="16">
        <f>CurrentMtgRatesDataTable8[[#This Row],[Servicing Spread Non-Zero]]-L1048</f>
        <v>0</v>
      </c>
      <c r="N1049" s="16">
        <f>IF(J1048&lt;&gt;0,CurrentMtgRatesDataTable8[[#This Row],[Rate]]-C1048,N1048)</f>
        <v>-9.9999999999997868E-3</v>
      </c>
    </row>
    <row r="1050" spans="1:14">
      <c r="A1050" s="39" t="s">
        <v>2402</v>
      </c>
      <c r="B1050" s="40">
        <v>5.1479999999999997</v>
      </c>
      <c r="C1050" s="11">
        <v>5.52</v>
      </c>
      <c r="D1050" s="16">
        <f t="shared" si="112"/>
        <v>5</v>
      </c>
      <c r="E1050" s="16">
        <f t="shared" si="113"/>
        <v>0.2</v>
      </c>
      <c r="F1050" s="16">
        <f t="shared" si="114"/>
        <v>3</v>
      </c>
      <c r="G1050" s="16">
        <f t="shared" si="115"/>
        <v>3.0680000000000005</v>
      </c>
      <c r="H1050" s="16">
        <f t="shared" si="116"/>
        <v>0.60000000000000009</v>
      </c>
      <c r="I1050" s="16">
        <f t="shared" si="117"/>
        <v>0</v>
      </c>
      <c r="J1050" s="16">
        <f t="shared" si="118"/>
        <v>0</v>
      </c>
      <c r="K1050" s="16">
        <f>IF(CurrentMtgRatesDataTable8[[#This Row],[WA CC]]&lt;&gt;0,C1049-CurrentMtgRatesDataTable8[[#This Row],[WA CC]],0)</f>
        <v>0</v>
      </c>
      <c r="L1050" s="16">
        <f>IF(CurrentMtgRatesDataTable8[[#This Row],[Servicing Spread]]&lt;=0,L1049,CurrentMtgRatesDataTable8[[#This Row],[Servicing Spread]])</f>
        <v>0.40539999999999843</v>
      </c>
      <c r="M1050" s="16">
        <f>CurrentMtgRatesDataTable8[[#This Row],[Servicing Spread Non-Zero]]-L1049</f>
        <v>0</v>
      </c>
      <c r="N1050" s="16">
        <f>IF(J1049&lt;&gt;0,CurrentMtgRatesDataTable8[[#This Row],[Rate]]-C1049,N1049)</f>
        <v>-9.9999999999997868E-3</v>
      </c>
    </row>
    <row r="1051" spans="1:14">
      <c r="A1051" s="39" t="s">
        <v>2403</v>
      </c>
      <c r="B1051" s="40">
        <v>5.0439999999999996</v>
      </c>
      <c r="C1051" s="11">
        <v>5.52</v>
      </c>
      <c r="D1051" s="16">
        <f t="shared" si="112"/>
        <v>6</v>
      </c>
      <c r="E1051" s="16">
        <f t="shared" si="113"/>
        <v>0.2</v>
      </c>
      <c r="F1051" s="16">
        <f t="shared" si="114"/>
        <v>4</v>
      </c>
      <c r="G1051" s="16">
        <f t="shared" si="115"/>
        <v>4.0768000000000004</v>
      </c>
      <c r="H1051" s="16">
        <f t="shared" si="116"/>
        <v>0.8</v>
      </c>
      <c r="I1051" s="16">
        <f t="shared" si="117"/>
        <v>0</v>
      </c>
      <c r="J1051" s="16">
        <f t="shared" si="118"/>
        <v>0</v>
      </c>
      <c r="K1051" s="16">
        <f>IF(CurrentMtgRatesDataTable8[[#This Row],[WA CC]]&lt;&gt;0,C1050-CurrentMtgRatesDataTable8[[#This Row],[WA CC]],0)</f>
        <v>0</v>
      </c>
      <c r="L1051" s="16">
        <f>IF(CurrentMtgRatesDataTable8[[#This Row],[Servicing Spread]]&lt;=0,L1050,CurrentMtgRatesDataTable8[[#This Row],[Servicing Spread]])</f>
        <v>0.40539999999999843</v>
      </c>
      <c r="M1051" s="16">
        <f>CurrentMtgRatesDataTable8[[#This Row],[Servicing Spread Non-Zero]]-L1050</f>
        <v>0</v>
      </c>
      <c r="N1051" s="16">
        <f>IF(J1050&lt;&gt;0,CurrentMtgRatesDataTable8[[#This Row],[Rate]]-C1050,N1050)</f>
        <v>-9.9999999999997868E-3</v>
      </c>
    </row>
    <row r="1052" spans="1:14">
      <c r="A1052" s="39" t="s">
        <v>2404</v>
      </c>
      <c r="B1052" s="40">
        <v>5.1210000000000004</v>
      </c>
      <c r="C1052" s="11">
        <v>5.52</v>
      </c>
      <c r="D1052" s="16">
        <f t="shared" si="112"/>
        <v>7</v>
      </c>
      <c r="E1052" s="16">
        <f t="shared" si="113"/>
        <v>0.2</v>
      </c>
      <c r="F1052" s="16">
        <f t="shared" si="114"/>
        <v>5</v>
      </c>
      <c r="G1052" s="16">
        <f t="shared" si="115"/>
        <v>5.1010000000000009</v>
      </c>
      <c r="H1052" s="16">
        <f t="shared" si="116"/>
        <v>1</v>
      </c>
      <c r="I1052" s="16">
        <f t="shared" si="117"/>
        <v>1</v>
      </c>
      <c r="J1052" s="16">
        <f t="shared" si="118"/>
        <v>5.1010000000000009</v>
      </c>
      <c r="K1052" s="16">
        <f>IF(CurrentMtgRatesDataTable8[[#This Row],[WA CC]]&lt;&gt;0,C1051-CurrentMtgRatesDataTable8[[#This Row],[WA CC]],0)</f>
        <v>0.41899999999999871</v>
      </c>
      <c r="L1052" s="16">
        <f>IF(CurrentMtgRatesDataTable8[[#This Row],[Servicing Spread]]&lt;=0,L1051,CurrentMtgRatesDataTable8[[#This Row],[Servicing Spread]])</f>
        <v>0.41899999999999871</v>
      </c>
      <c r="M1052" s="16">
        <f>CurrentMtgRatesDataTable8[[#This Row],[Servicing Spread Non-Zero]]-L1051</f>
        <v>1.3600000000000279E-2</v>
      </c>
      <c r="N1052" s="16">
        <f>IF(J1051&lt;&gt;0,CurrentMtgRatesDataTable8[[#This Row],[Rate]]-C1051,N1051)</f>
        <v>-9.9999999999997868E-3</v>
      </c>
    </row>
    <row r="1053" spans="1:14">
      <c r="A1053" s="39" t="s">
        <v>2405</v>
      </c>
      <c r="B1053" s="40">
        <v>5.2640000000000002</v>
      </c>
      <c r="C1053" s="11">
        <v>5.5699999999999994</v>
      </c>
      <c r="D1053" s="16">
        <f t="shared" si="112"/>
        <v>1</v>
      </c>
      <c r="E1053" s="16">
        <f t="shared" si="113"/>
        <v>0.2</v>
      </c>
      <c r="F1053" s="16">
        <f t="shared" si="114"/>
        <v>1</v>
      </c>
      <c r="G1053" s="16">
        <f t="shared" si="115"/>
        <v>1.0528000000000002</v>
      </c>
      <c r="H1053" s="16">
        <f t="shared" si="116"/>
        <v>0.2</v>
      </c>
      <c r="I1053" s="16">
        <f t="shared" si="117"/>
        <v>0</v>
      </c>
      <c r="J1053" s="16">
        <f t="shared" si="118"/>
        <v>0</v>
      </c>
      <c r="K1053" s="16">
        <f>IF(CurrentMtgRatesDataTable8[[#This Row],[WA CC]]&lt;&gt;0,C1052-CurrentMtgRatesDataTable8[[#This Row],[WA CC]],0)</f>
        <v>0</v>
      </c>
      <c r="L1053" s="16">
        <f>IF(CurrentMtgRatesDataTable8[[#This Row],[Servicing Spread]]&lt;=0,L1052,CurrentMtgRatesDataTable8[[#This Row],[Servicing Spread]])</f>
        <v>0.41899999999999871</v>
      </c>
      <c r="M1053" s="16">
        <f>CurrentMtgRatesDataTable8[[#This Row],[Servicing Spread Non-Zero]]-L1052</f>
        <v>0</v>
      </c>
      <c r="N1053" s="16">
        <f>IF(J1052&lt;&gt;0,CurrentMtgRatesDataTable8[[#This Row],[Rate]]-C1052,N1052)</f>
        <v>4.9999999999999822E-2</v>
      </c>
    </row>
    <row r="1054" spans="1:14">
      <c r="A1054" s="39" t="s">
        <v>2406</v>
      </c>
      <c r="B1054" s="40">
        <v>5.2030000000000003</v>
      </c>
      <c r="C1054" s="11">
        <v>5.5699999999999994</v>
      </c>
      <c r="D1054" s="16">
        <f t="shared" si="112"/>
        <v>2</v>
      </c>
      <c r="E1054" s="16">
        <f t="shared" si="113"/>
        <v>0.2</v>
      </c>
      <c r="F1054" s="16">
        <f t="shared" si="114"/>
        <v>2</v>
      </c>
      <c r="G1054" s="16">
        <f t="shared" si="115"/>
        <v>2.0934000000000004</v>
      </c>
      <c r="H1054" s="16">
        <f t="shared" si="116"/>
        <v>0.4</v>
      </c>
      <c r="I1054" s="16">
        <f t="shared" si="117"/>
        <v>0</v>
      </c>
      <c r="J1054" s="16">
        <f t="shared" si="118"/>
        <v>0</v>
      </c>
      <c r="K1054" s="16">
        <f>IF(CurrentMtgRatesDataTable8[[#This Row],[WA CC]]&lt;&gt;0,C1053-CurrentMtgRatesDataTable8[[#This Row],[WA CC]],0)</f>
        <v>0</v>
      </c>
      <c r="L1054" s="16">
        <f>IF(CurrentMtgRatesDataTable8[[#This Row],[Servicing Spread]]&lt;=0,L1053,CurrentMtgRatesDataTable8[[#This Row],[Servicing Spread]])</f>
        <v>0.41899999999999871</v>
      </c>
      <c r="M1054" s="16">
        <f>CurrentMtgRatesDataTable8[[#This Row],[Servicing Spread Non-Zero]]-L1053</f>
        <v>0</v>
      </c>
      <c r="N1054" s="16">
        <f>IF(J1053&lt;&gt;0,CurrentMtgRatesDataTable8[[#This Row],[Rate]]-C1053,N1053)</f>
        <v>4.9999999999999822E-2</v>
      </c>
    </row>
    <row r="1055" spans="1:14">
      <c r="A1055" s="39" t="s">
        <v>2407</v>
      </c>
      <c r="B1055" s="40">
        <v>5.1970000000000001</v>
      </c>
      <c r="C1055" s="11">
        <v>5.5699999999999994</v>
      </c>
      <c r="D1055" s="16">
        <f t="shared" si="112"/>
        <v>5</v>
      </c>
      <c r="E1055" s="16">
        <f t="shared" si="113"/>
        <v>0.2</v>
      </c>
      <c r="F1055" s="16">
        <f t="shared" si="114"/>
        <v>3</v>
      </c>
      <c r="G1055" s="16">
        <f t="shared" si="115"/>
        <v>3.1328000000000005</v>
      </c>
      <c r="H1055" s="16">
        <f t="shared" si="116"/>
        <v>0.60000000000000009</v>
      </c>
      <c r="I1055" s="16">
        <f t="shared" si="117"/>
        <v>0</v>
      </c>
      <c r="J1055" s="16">
        <f t="shared" si="118"/>
        <v>0</v>
      </c>
      <c r="K1055" s="16">
        <f>IF(CurrentMtgRatesDataTable8[[#This Row],[WA CC]]&lt;&gt;0,C1054-CurrentMtgRatesDataTable8[[#This Row],[WA CC]],0)</f>
        <v>0</v>
      </c>
      <c r="L1055" s="16">
        <f>IF(CurrentMtgRatesDataTable8[[#This Row],[Servicing Spread]]&lt;=0,L1054,CurrentMtgRatesDataTable8[[#This Row],[Servicing Spread]])</f>
        <v>0.41899999999999871</v>
      </c>
      <c r="M1055" s="16">
        <f>CurrentMtgRatesDataTable8[[#This Row],[Servicing Spread Non-Zero]]-L1054</f>
        <v>0</v>
      </c>
      <c r="N1055" s="16">
        <f>IF(J1054&lt;&gt;0,CurrentMtgRatesDataTable8[[#This Row],[Rate]]-C1054,N1054)</f>
        <v>4.9999999999999822E-2</v>
      </c>
    </row>
    <row r="1056" spans="1:14">
      <c r="A1056" s="39" t="s">
        <v>2408</v>
      </c>
      <c r="B1056" s="40">
        <v>5.2610000000000001</v>
      </c>
      <c r="C1056" s="11">
        <v>5.5699999999999994</v>
      </c>
      <c r="D1056" s="16">
        <f t="shared" si="112"/>
        <v>6</v>
      </c>
      <c r="E1056" s="16">
        <f t="shared" si="113"/>
        <v>0.2</v>
      </c>
      <c r="F1056" s="16">
        <f t="shared" si="114"/>
        <v>4</v>
      </c>
      <c r="G1056" s="16">
        <f t="shared" si="115"/>
        <v>4.1850000000000005</v>
      </c>
      <c r="H1056" s="16">
        <f t="shared" si="116"/>
        <v>0.8</v>
      </c>
      <c r="I1056" s="16">
        <f t="shared" si="117"/>
        <v>0</v>
      </c>
      <c r="J1056" s="16">
        <f t="shared" si="118"/>
        <v>0</v>
      </c>
      <c r="K1056" s="16">
        <f>IF(CurrentMtgRatesDataTable8[[#This Row],[WA CC]]&lt;&gt;0,C1055-CurrentMtgRatesDataTable8[[#This Row],[WA CC]],0)</f>
        <v>0</v>
      </c>
      <c r="L1056" s="16">
        <f>IF(CurrentMtgRatesDataTable8[[#This Row],[Servicing Spread]]&lt;=0,L1055,CurrentMtgRatesDataTable8[[#This Row],[Servicing Spread]])</f>
        <v>0.41899999999999871</v>
      </c>
      <c r="M1056" s="16">
        <f>CurrentMtgRatesDataTable8[[#This Row],[Servicing Spread Non-Zero]]-L1055</f>
        <v>0</v>
      </c>
      <c r="N1056" s="16">
        <f>IF(J1055&lt;&gt;0,CurrentMtgRatesDataTable8[[#This Row],[Rate]]-C1055,N1055)</f>
        <v>4.9999999999999822E-2</v>
      </c>
    </row>
    <row r="1057" spans="1:14">
      <c r="A1057" s="39" t="s">
        <v>2409</v>
      </c>
      <c r="B1057" s="40">
        <v>5.3310000000000004</v>
      </c>
      <c r="C1057" s="11">
        <v>5.5699999999999994</v>
      </c>
      <c r="D1057" s="16">
        <f t="shared" si="112"/>
        <v>7</v>
      </c>
      <c r="E1057" s="16">
        <f t="shared" si="113"/>
        <v>0.2</v>
      </c>
      <c r="F1057" s="16">
        <f t="shared" si="114"/>
        <v>5</v>
      </c>
      <c r="G1057" s="16">
        <f t="shared" si="115"/>
        <v>5.2512000000000008</v>
      </c>
      <c r="H1057" s="16">
        <f t="shared" si="116"/>
        <v>1</v>
      </c>
      <c r="I1057" s="16">
        <f t="shared" si="117"/>
        <v>1</v>
      </c>
      <c r="J1057" s="16">
        <f t="shared" si="118"/>
        <v>5.2512000000000008</v>
      </c>
      <c r="K1057" s="16">
        <f>IF(CurrentMtgRatesDataTable8[[#This Row],[WA CC]]&lt;&gt;0,C1056-CurrentMtgRatesDataTable8[[#This Row],[WA CC]],0)</f>
        <v>0.31879999999999864</v>
      </c>
      <c r="L1057" s="16">
        <f>IF(CurrentMtgRatesDataTable8[[#This Row],[Servicing Spread]]&lt;=0,L1056,CurrentMtgRatesDataTable8[[#This Row],[Servicing Spread]])</f>
        <v>0.31879999999999864</v>
      </c>
      <c r="M1057" s="16">
        <f>CurrentMtgRatesDataTable8[[#This Row],[Servicing Spread Non-Zero]]-L1056</f>
        <v>-0.10020000000000007</v>
      </c>
      <c r="N1057" s="16">
        <f>IF(J1056&lt;&gt;0,CurrentMtgRatesDataTable8[[#This Row],[Rate]]-C1056,N1056)</f>
        <v>4.9999999999999822E-2</v>
      </c>
    </row>
    <row r="1058" spans="1:14">
      <c r="A1058" s="39" t="s">
        <v>2410</v>
      </c>
      <c r="B1058" s="40">
        <v>5.53</v>
      </c>
      <c r="C1058" s="11">
        <v>5.94</v>
      </c>
      <c r="D1058" s="16">
        <f t="shared" si="112"/>
        <v>1</v>
      </c>
      <c r="E1058" s="16">
        <f t="shared" si="113"/>
        <v>0.2</v>
      </c>
      <c r="F1058" s="16">
        <f t="shared" si="114"/>
        <v>1</v>
      </c>
      <c r="G1058" s="16">
        <f t="shared" si="115"/>
        <v>1.1060000000000001</v>
      </c>
      <c r="H1058" s="16">
        <f t="shared" si="116"/>
        <v>0.2</v>
      </c>
      <c r="I1058" s="16">
        <f t="shared" si="117"/>
        <v>0</v>
      </c>
      <c r="J1058" s="16">
        <f t="shared" si="118"/>
        <v>0</v>
      </c>
      <c r="K1058" s="16">
        <f>IF(CurrentMtgRatesDataTable8[[#This Row],[WA CC]]&lt;&gt;0,C1057-CurrentMtgRatesDataTable8[[#This Row],[WA CC]],0)</f>
        <v>0</v>
      </c>
      <c r="L1058" s="16">
        <f>IF(CurrentMtgRatesDataTable8[[#This Row],[Servicing Spread]]&lt;=0,L1057,CurrentMtgRatesDataTable8[[#This Row],[Servicing Spread]])</f>
        <v>0.31879999999999864</v>
      </c>
      <c r="M1058" s="16">
        <f>CurrentMtgRatesDataTable8[[#This Row],[Servicing Spread Non-Zero]]-L1057</f>
        <v>0</v>
      </c>
      <c r="N1058" s="16">
        <f>IF(J1057&lt;&gt;0,CurrentMtgRatesDataTable8[[#This Row],[Rate]]-C1057,N1057)</f>
        <v>0.37000000000000099</v>
      </c>
    </row>
    <row r="1059" spans="1:14">
      <c r="A1059" s="39" t="s">
        <v>2411</v>
      </c>
      <c r="B1059" s="40">
        <v>5.516</v>
      </c>
      <c r="C1059" s="11">
        <v>5.94</v>
      </c>
      <c r="D1059" s="16">
        <f t="shared" si="112"/>
        <v>2</v>
      </c>
      <c r="E1059" s="16">
        <f t="shared" si="113"/>
        <v>0.2</v>
      </c>
      <c r="F1059" s="16">
        <f t="shared" si="114"/>
        <v>2</v>
      </c>
      <c r="G1059" s="16">
        <f t="shared" si="115"/>
        <v>2.2092000000000001</v>
      </c>
      <c r="H1059" s="16">
        <f t="shared" si="116"/>
        <v>0.4</v>
      </c>
      <c r="I1059" s="16">
        <f t="shared" si="117"/>
        <v>0</v>
      </c>
      <c r="J1059" s="16">
        <f t="shared" si="118"/>
        <v>0</v>
      </c>
      <c r="K1059" s="16">
        <f>IF(CurrentMtgRatesDataTable8[[#This Row],[WA CC]]&lt;&gt;0,C1058-CurrentMtgRatesDataTable8[[#This Row],[WA CC]],0)</f>
        <v>0</v>
      </c>
      <c r="L1059" s="16">
        <f>IF(CurrentMtgRatesDataTable8[[#This Row],[Servicing Spread]]&lt;=0,L1058,CurrentMtgRatesDataTable8[[#This Row],[Servicing Spread]])</f>
        <v>0.31879999999999864</v>
      </c>
      <c r="M1059" s="16">
        <f>CurrentMtgRatesDataTable8[[#This Row],[Servicing Spread Non-Zero]]-L1058</f>
        <v>0</v>
      </c>
      <c r="N1059" s="16">
        <f>IF(J1058&lt;&gt;0,CurrentMtgRatesDataTable8[[#This Row],[Rate]]-C1058,N1058)</f>
        <v>0.37000000000000099</v>
      </c>
    </row>
    <row r="1060" spans="1:14">
      <c r="A1060" s="39" t="s">
        <v>2412</v>
      </c>
      <c r="B1060" s="40">
        <v>5.7359999999999998</v>
      </c>
      <c r="C1060" s="11">
        <v>5.94</v>
      </c>
      <c r="D1060" s="16">
        <f t="shared" si="112"/>
        <v>6</v>
      </c>
      <c r="E1060" s="16">
        <f t="shared" si="113"/>
        <v>0.2</v>
      </c>
      <c r="F1060" s="16">
        <f t="shared" si="114"/>
        <v>3</v>
      </c>
      <c r="G1060" s="16">
        <f t="shared" si="115"/>
        <v>3.3563999999999998</v>
      </c>
      <c r="H1060" s="16">
        <f t="shared" si="116"/>
        <v>0.60000000000000009</v>
      </c>
      <c r="I1060" s="16">
        <f t="shared" si="117"/>
        <v>0</v>
      </c>
      <c r="J1060" s="16">
        <f t="shared" si="118"/>
        <v>0</v>
      </c>
      <c r="K1060" s="16">
        <f>IF(CurrentMtgRatesDataTable8[[#This Row],[WA CC]]&lt;&gt;0,C1059-CurrentMtgRatesDataTable8[[#This Row],[WA CC]],0)</f>
        <v>0</v>
      </c>
      <c r="L1060" s="16">
        <f>IF(CurrentMtgRatesDataTable8[[#This Row],[Servicing Spread]]&lt;=0,L1059,CurrentMtgRatesDataTable8[[#This Row],[Servicing Spread]])</f>
        <v>0.31879999999999864</v>
      </c>
      <c r="M1060" s="16">
        <f>CurrentMtgRatesDataTable8[[#This Row],[Servicing Spread Non-Zero]]-L1059</f>
        <v>0</v>
      </c>
      <c r="N1060" s="16">
        <f>IF(J1059&lt;&gt;0,CurrentMtgRatesDataTable8[[#This Row],[Rate]]-C1059,N1059)</f>
        <v>0.37000000000000099</v>
      </c>
    </row>
    <row r="1061" spans="1:14">
      <c r="A1061" s="39" t="s">
        <v>2413</v>
      </c>
      <c r="B1061" s="40">
        <v>5.7679999999999998</v>
      </c>
      <c r="C1061" s="11">
        <v>5.94</v>
      </c>
      <c r="D1061" s="16">
        <f t="shared" si="112"/>
        <v>7</v>
      </c>
      <c r="E1061" s="16">
        <f t="shared" si="113"/>
        <v>0.2</v>
      </c>
      <c r="F1061" s="16">
        <f t="shared" si="114"/>
        <v>4</v>
      </c>
      <c r="G1061" s="16">
        <f t="shared" si="115"/>
        <v>4.51</v>
      </c>
      <c r="H1061" s="16">
        <f t="shared" si="116"/>
        <v>0.8</v>
      </c>
      <c r="I1061" s="16">
        <f t="shared" si="117"/>
        <v>1</v>
      </c>
      <c r="J1061" s="16">
        <f t="shared" si="118"/>
        <v>5.6374999999999993</v>
      </c>
      <c r="K1061" s="16">
        <f>IF(CurrentMtgRatesDataTable8[[#This Row],[WA CC]]&lt;&gt;0,C1060-CurrentMtgRatesDataTable8[[#This Row],[WA CC]],0)</f>
        <v>0.3025000000000011</v>
      </c>
      <c r="L1061" s="16">
        <f>IF(CurrentMtgRatesDataTable8[[#This Row],[Servicing Spread]]&lt;=0,L1060,CurrentMtgRatesDataTable8[[#This Row],[Servicing Spread]])</f>
        <v>0.3025000000000011</v>
      </c>
      <c r="M1061" s="16">
        <f>CurrentMtgRatesDataTable8[[#This Row],[Servicing Spread Non-Zero]]-L1060</f>
        <v>-1.6299999999997539E-2</v>
      </c>
      <c r="N1061" s="16">
        <f>IF(J1060&lt;&gt;0,CurrentMtgRatesDataTable8[[#This Row],[Rate]]-C1060,N1060)</f>
        <v>0.37000000000000099</v>
      </c>
    </row>
    <row r="1062" spans="1:14">
      <c r="A1062" s="39" t="s">
        <v>2414</v>
      </c>
      <c r="B1062" s="40">
        <v>5.5919999999999996</v>
      </c>
      <c r="C1062" s="11">
        <v>6.1150000000000002</v>
      </c>
      <c r="D1062" s="16">
        <f t="shared" si="112"/>
        <v>1</v>
      </c>
      <c r="E1062" s="16">
        <f t="shared" si="113"/>
        <v>0.2</v>
      </c>
      <c r="F1062" s="16">
        <f t="shared" si="114"/>
        <v>1</v>
      </c>
      <c r="G1062" s="16">
        <f t="shared" si="115"/>
        <v>1.1184000000000001</v>
      </c>
      <c r="H1062" s="16">
        <f t="shared" si="116"/>
        <v>0.2</v>
      </c>
      <c r="I1062" s="16">
        <f t="shared" si="117"/>
        <v>0</v>
      </c>
      <c r="J1062" s="16">
        <f t="shared" si="118"/>
        <v>0</v>
      </c>
      <c r="K1062" s="16">
        <f>IF(CurrentMtgRatesDataTable8[[#This Row],[WA CC]]&lt;&gt;0,C1061-CurrentMtgRatesDataTable8[[#This Row],[WA CC]],0)</f>
        <v>0</v>
      </c>
      <c r="L1062" s="16">
        <f>IF(CurrentMtgRatesDataTable8[[#This Row],[Servicing Spread]]&lt;=0,L1061,CurrentMtgRatesDataTable8[[#This Row],[Servicing Spread]])</f>
        <v>0.3025000000000011</v>
      </c>
      <c r="M1062" s="16">
        <f>CurrentMtgRatesDataTable8[[#This Row],[Servicing Spread Non-Zero]]-L1061</f>
        <v>0</v>
      </c>
      <c r="N1062" s="16">
        <f>IF(J1061&lt;&gt;0,CurrentMtgRatesDataTable8[[#This Row],[Rate]]-C1061,N1061)</f>
        <v>0.17499999999999982</v>
      </c>
    </row>
    <row r="1063" spans="1:14">
      <c r="A1063" s="39" t="s">
        <v>2415</v>
      </c>
      <c r="B1063" s="40">
        <v>5.7169999999999996</v>
      </c>
      <c r="C1063" s="11">
        <v>6.1150000000000002</v>
      </c>
      <c r="D1063" s="16">
        <f t="shared" si="112"/>
        <v>2</v>
      </c>
      <c r="E1063" s="16">
        <f t="shared" si="113"/>
        <v>0.2</v>
      </c>
      <c r="F1063" s="16">
        <f t="shared" si="114"/>
        <v>2</v>
      </c>
      <c r="G1063" s="16">
        <f t="shared" si="115"/>
        <v>2.2618</v>
      </c>
      <c r="H1063" s="16">
        <f t="shared" si="116"/>
        <v>0.4</v>
      </c>
      <c r="I1063" s="16">
        <f t="shared" si="117"/>
        <v>0</v>
      </c>
      <c r="J1063" s="16">
        <f t="shared" si="118"/>
        <v>0</v>
      </c>
      <c r="K1063" s="16">
        <f>IF(CurrentMtgRatesDataTable8[[#This Row],[WA CC]]&lt;&gt;0,C1062-CurrentMtgRatesDataTable8[[#This Row],[WA CC]],0)</f>
        <v>0</v>
      </c>
      <c r="L1063" s="16">
        <f>IF(CurrentMtgRatesDataTable8[[#This Row],[Servicing Spread]]&lt;=0,L1062,CurrentMtgRatesDataTable8[[#This Row],[Servicing Spread]])</f>
        <v>0.3025000000000011</v>
      </c>
      <c r="M1063" s="16">
        <f>CurrentMtgRatesDataTable8[[#This Row],[Servicing Spread Non-Zero]]-L1062</f>
        <v>0</v>
      </c>
      <c r="N1063" s="16">
        <f>IF(J1062&lt;&gt;0,CurrentMtgRatesDataTable8[[#This Row],[Rate]]-C1062,N1062)</f>
        <v>0.17499999999999982</v>
      </c>
    </row>
    <row r="1064" spans="1:14">
      <c r="A1064" s="39" t="s">
        <v>2416</v>
      </c>
      <c r="B1064" s="40">
        <v>5.8609999999999998</v>
      </c>
      <c r="C1064" s="11">
        <v>6.1150000000000002</v>
      </c>
      <c r="D1064" s="16">
        <f t="shared" si="112"/>
        <v>5</v>
      </c>
      <c r="E1064" s="16">
        <f t="shared" si="113"/>
        <v>0.2</v>
      </c>
      <c r="F1064" s="16">
        <f t="shared" si="114"/>
        <v>3</v>
      </c>
      <c r="G1064" s="16">
        <f t="shared" si="115"/>
        <v>3.4340000000000002</v>
      </c>
      <c r="H1064" s="16">
        <f t="shared" si="116"/>
        <v>0.60000000000000009</v>
      </c>
      <c r="I1064" s="16">
        <f t="shared" si="117"/>
        <v>0</v>
      </c>
      <c r="J1064" s="16">
        <f t="shared" si="118"/>
        <v>0</v>
      </c>
      <c r="K1064" s="16">
        <f>IF(CurrentMtgRatesDataTable8[[#This Row],[WA CC]]&lt;&gt;0,C1063-CurrentMtgRatesDataTable8[[#This Row],[WA CC]],0)</f>
        <v>0</v>
      </c>
      <c r="L1064" s="16">
        <f>IF(CurrentMtgRatesDataTable8[[#This Row],[Servicing Spread]]&lt;=0,L1063,CurrentMtgRatesDataTable8[[#This Row],[Servicing Spread]])</f>
        <v>0.3025000000000011</v>
      </c>
      <c r="M1064" s="16">
        <f>CurrentMtgRatesDataTable8[[#This Row],[Servicing Spread Non-Zero]]-L1063</f>
        <v>0</v>
      </c>
      <c r="N1064" s="16">
        <f>IF(J1063&lt;&gt;0,CurrentMtgRatesDataTable8[[#This Row],[Rate]]-C1063,N1063)</f>
        <v>0.17499999999999982</v>
      </c>
    </row>
    <row r="1065" spans="1:14">
      <c r="A1065" s="39" t="s">
        <v>2417</v>
      </c>
      <c r="B1065" s="40">
        <v>5.7850000000000001</v>
      </c>
      <c r="C1065" s="11">
        <v>6.1150000000000002</v>
      </c>
      <c r="D1065" s="16">
        <f t="shared" si="112"/>
        <v>6</v>
      </c>
      <c r="E1065" s="16">
        <f t="shared" si="113"/>
        <v>0.2</v>
      </c>
      <c r="F1065" s="16">
        <f t="shared" si="114"/>
        <v>4</v>
      </c>
      <c r="G1065" s="16">
        <f t="shared" si="115"/>
        <v>4.5910000000000002</v>
      </c>
      <c r="H1065" s="16">
        <f t="shared" si="116"/>
        <v>0.8</v>
      </c>
      <c r="I1065" s="16">
        <f t="shared" si="117"/>
        <v>0</v>
      </c>
      <c r="J1065" s="16">
        <f t="shared" si="118"/>
        <v>0</v>
      </c>
      <c r="K1065" s="16">
        <f>IF(CurrentMtgRatesDataTable8[[#This Row],[WA CC]]&lt;&gt;0,C1064-CurrentMtgRatesDataTable8[[#This Row],[WA CC]],0)</f>
        <v>0</v>
      </c>
      <c r="L1065" s="16">
        <f>IF(CurrentMtgRatesDataTable8[[#This Row],[Servicing Spread]]&lt;=0,L1064,CurrentMtgRatesDataTable8[[#This Row],[Servicing Spread]])</f>
        <v>0.3025000000000011</v>
      </c>
      <c r="M1065" s="16">
        <f>CurrentMtgRatesDataTable8[[#This Row],[Servicing Spread Non-Zero]]-L1064</f>
        <v>0</v>
      </c>
      <c r="N1065" s="16">
        <f>IF(J1064&lt;&gt;0,CurrentMtgRatesDataTable8[[#This Row],[Rate]]-C1064,N1064)</f>
        <v>0.17499999999999982</v>
      </c>
    </row>
    <row r="1066" spans="1:14">
      <c r="A1066" s="59" t="s">
        <v>2418</v>
      </c>
      <c r="B1066" s="60">
        <v>5.6909999999999998</v>
      </c>
      <c r="C1066" s="61">
        <v>6.1150000000000002</v>
      </c>
      <c r="D1066" s="62">
        <f t="shared" si="112"/>
        <v>7</v>
      </c>
      <c r="E1066" s="62">
        <f t="shared" si="113"/>
        <v>0.2</v>
      </c>
      <c r="F1066" s="62">
        <f t="shared" si="114"/>
        <v>5</v>
      </c>
      <c r="G1066" s="62">
        <f t="shared" si="115"/>
        <v>5.7292000000000005</v>
      </c>
      <c r="H1066" s="62">
        <f t="shared" si="116"/>
        <v>1</v>
      </c>
      <c r="I1066" s="62">
        <f t="shared" si="117"/>
        <v>1</v>
      </c>
      <c r="J1066" s="62">
        <f t="shared" si="118"/>
        <v>5.7292000000000005</v>
      </c>
      <c r="K1066" s="62">
        <f>IF(CurrentMtgRatesDataTable8[[#This Row],[WA CC]]&lt;&gt;0,C1065-CurrentMtgRatesDataTable8[[#This Row],[WA CC]],0)</f>
        <v>0.3857999999999997</v>
      </c>
      <c r="L1066" s="62">
        <f>IF(CurrentMtgRatesDataTable8[[#This Row],[Servicing Spread]]&lt;=0,L1065,CurrentMtgRatesDataTable8[[#This Row],[Servicing Spread]])</f>
        <v>0.3857999999999997</v>
      </c>
      <c r="M1066" s="62">
        <f>CurrentMtgRatesDataTable8[[#This Row],[Servicing Spread Non-Zero]]-L1065</f>
        <v>8.3299999999998597E-2</v>
      </c>
      <c r="N1066" s="62">
        <f>IF(J1065&lt;&gt;0,CurrentMtgRatesDataTable8[[#This Row],[Rate]]-C1065,N1065)</f>
        <v>0.17499999999999982</v>
      </c>
    </row>
    <row r="1067" spans="1:14">
      <c r="A1067" s="59" t="s">
        <v>2419</v>
      </c>
      <c r="B1067" s="60">
        <v>5.4989999999999997</v>
      </c>
      <c r="C1067" s="61">
        <v>5.9050000000000002</v>
      </c>
      <c r="D1067" s="62">
        <f t="shared" si="112"/>
        <v>1</v>
      </c>
      <c r="E1067" s="62">
        <f t="shared" si="113"/>
        <v>0.2</v>
      </c>
      <c r="F1067" s="62">
        <f t="shared" si="114"/>
        <v>1</v>
      </c>
      <c r="G1067" s="62">
        <f t="shared" si="115"/>
        <v>1.0997999999999999</v>
      </c>
      <c r="H1067" s="62">
        <f t="shared" si="116"/>
        <v>0.2</v>
      </c>
      <c r="I1067" s="62">
        <f t="shared" si="117"/>
        <v>0</v>
      </c>
      <c r="J1067" s="62">
        <f t="shared" si="118"/>
        <v>0</v>
      </c>
      <c r="K1067" s="62">
        <f>IF(CurrentMtgRatesDataTable8[[#This Row],[WA CC]]&lt;&gt;0,C1066-CurrentMtgRatesDataTable8[[#This Row],[WA CC]],0)</f>
        <v>0</v>
      </c>
      <c r="L1067" s="62">
        <f>IF(CurrentMtgRatesDataTable8[[#This Row],[Servicing Spread]]&lt;=0,L1066,CurrentMtgRatesDataTable8[[#This Row],[Servicing Spread]])</f>
        <v>0.3857999999999997</v>
      </c>
      <c r="M1067" s="62">
        <f>CurrentMtgRatesDataTable8[[#This Row],[Servicing Spread Non-Zero]]-L1066</f>
        <v>0</v>
      </c>
      <c r="N1067" s="62">
        <f>IF(J1066&lt;&gt;0,CurrentMtgRatesDataTable8[[#This Row],[Rate]]-C1066,N1066)</f>
        <v>-0.20999999999999996</v>
      </c>
    </row>
    <row r="1068" spans="1:14">
      <c r="A1068" s="59" t="s">
        <v>2420</v>
      </c>
      <c r="B1068" s="60">
        <v>5.359</v>
      </c>
      <c r="C1068" s="61">
        <v>5.9050000000000002</v>
      </c>
      <c r="D1068" s="62">
        <f t="shared" si="112"/>
        <v>2</v>
      </c>
      <c r="E1068" s="62">
        <f t="shared" si="113"/>
        <v>0.2</v>
      </c>
      <c r="F1068" s="62">
        <f t="shared" si="114"/>
        <v>2</v>
      </c>
      <c r="G1068" s="62">
        <f t="shared" si="115"/>
        <v>2.1715999999999998</v>
      </c>
      <c r="H1068" s="62">
        <f t="shared" si="116"/>
        <v>0.4</v>
      </c>
      <c r="I1068" s="62">
        <f t="shared" si="117"/>
        <v>0</v>
      </c>
      <c r="J1068" s="62">
        <f t="shared" si="118"/>
        <v>0</v>
      </c>
      <c r="K1068" s="62">
        <f>IF(CurrentMtgRatesDataTable8[[#This Row],[WA CC]]&lt;&gt;0,C1067-CurrentMtgRatesDataTable8[[#This Row],[WA CC]],0)</f>
        <v>0</v>
      </c>
      <c r="L1068" s="62">
        <f>IF(CurrentMtgRatesDataTable8[[#This Row],[Servicing Spread]]&lt;=0,L1067,CurrentMtgRatesDataTable8[[#This Row],[Servicing Spread]])</f>
        <v>0.3857999999999997</v>
      </c>
      <c r="M1068" s="62">
        <f>CurrentMtgRatesDataTable8[[#This Row],[Servicing Spread Non-Zero]]-L1067</f>
        <v>0</v>
      </c>
      <c r="N1068" s="62">
        <f>IF(J1067&lt;&gt;0,CurrentMtgRatesDataTable8[[#This Row],[Rate]]-C1067,N1067)</f>
        <v>-0.20999999999999996</v>
      </c>
    </row>
    <row r="1069" spans="1:14">
      <c r="A1069" s="59" t="s">
        <v>2421</v>
      </c>
      <c r="B1069" s="60">
        <v>5.4379999999999997</v>
      </c>
      <c r="C1069" s="61">
        <v>5.9050000000000002</v>
      </c>
      <c r="D1069" s="62">
        <f t="shared" si="112"/>
        <v>5</v>
      </c>
      <c r="E1069" s="62">
        <f t="shared" si="113"/>
        <v>0.2</v>
      </c>
      <c r="F1069" s="62">
        <f t="shared" si="114"/>
        <v>3</v>
      </c>
      <c r="G1069" s="62">
        <f t="shared" si="115"/>
        <v>3.2591999999999999</v>
      </c>
      <c r="H1069" s="62">
        <f t="shared" si="116"/>
        <v>0.60000000000000009</v>
      </c>
      <c r="I1069" s="62">
        <f t="shared" si="117"/>
        <v>0</v>
      </c>
      <c r="J1069" s="62">
        <f t="shared" si="118"/>
        <v>0</v>
      </c>
      <c r="K1069" s="62">
        <f>IF(CurrentMtgRatesDataTable8[[#This Row],[WA CC]]&lt;&gt;0,C1068-CurrentMtgRatesDataTable8[[#This Row],[WA CC]],0)</f>
        <v>0</v>
      </c>
      <c r="L1069" s="62">
        <f>IF(CurrentMtgRatesDataTable8[[#This Row],[Servicing Spread]]&lt;=0,L1068,CurrentMtgRatesDataTable8[[#This Row],[Servicing Spread]])</f>
        <v>0.3857999999999997</v>
      </c>
      <c r="M1069" s="62">
        <f>CurrentMtgRatesDataTable8[[#This Row],[Servicing Spread Non-Zero]]-L1068</f>
        <v>0</v>
      </c>
      <c r="N1069" s="62">
        <f>IF(J1068&lt;&gt;0,CurrentMtgRatesDataTable8[[#This Row],[Rate]]-C1068,N1068)</f>
        <v>-0.20999999999999996</v>
      </c>
    </row>
    <row r="1070" spans="1:14">
      <c r="A1070" s="59" t="s">
        <v>2422</v>
      </c>
      <c r="B1070" s="60">
        <v>5.633</v>
      </c>
      <c r="C1070" s="61">
        <v>5.9050000000000002</v>
      </c>
      <c r="D1070" s="62">
        <f t="shared" si="112"/>
        <v>6</v>
      </c>
      <c r="E1070" s="62">
        <f t="shared" si="113"/>
        <v>0.2</v>
      </c>
      <c r="F1070" s="62">
        <f t="shared" si="114"/>
        <v>4</v>
      </c>
      <c r="G1070" s="62">
        <f t="shared" si="115"/>
        <v>4.3857999999999997</v>
      </c>
      <c r="H1070" s="62">
        <f t="shared" si="116"/>
        <v>0.8</v>
      </c>
      <c r="I1070" s="62">
        <f t="shared" si="117"/>
        <v>0</v>
      </c>
      <c r="J1070" s="62">
        <f t="shared" si="118"/>
        <v>0</v>
      </c>
      <c r="K1070" s="62">
        <f>IF(CurrentMtgRatesDataTable8[[#This Row],[WA CC]]&lt;&gt;0,C1069-CurrentMtgRatesDataTable8[[#This Row],[WA CC]],0)</f>
        <v>0</v>
      </c>
      <c r="L1070" s="62">
        <f>IF(CurrentMtgRatesDataTable8[[#This Row],[Servicing Spread]]&lt;=0,L1069,CurrentMtgRatesDataTable8[[#This Row],[Servicing Spread]])</f>
        <v>0.3857999999999997</v>
      </c>
      <c r="M1070" s="62">
        <f>CurrentMtgRatesDataTable8[[#This Row],[Servicing Spread Non-Zero]]-L1069</f>
        <v>0</v>
      </c>
      <c r="N1070" s="62">
        <f>IF(J1069&lt;&gt;0,CurrentMtgRatesDataTable8[[#This Row],[Rate]]-C1069,N1069)</f>
        <v>-0.20999999999999996</v>
      </c>
    </row>
    <row r="1071" spans="1:14">
      <c r="A1071" s="59" t="s">
        <v>2423</v>
      </c>
      <c r="B1071" s="60">
        <v>5.8129999999999997</v>
      </c>
      <c r="C1071" s="61">
        <v>5.9050000000000002</v>
      </c>
      <c r="D1071" s="62">
        <f t="shared" si="112"/>
        <v>7</v>
      </c>
      <c r="E1071" s="62">
        <f t="shared" si="113"/>
        <v>0.2</v>
      </c>
      <c r="F1071" s="62">
        <f t="shared" si="114"/>
        <v>5</v>
      </c>
      <c r="G1071" s="62">
        <f t="shared" si="115"/>
        <v>5.5484</v>
      </c>
      <c r="H1071" s="62">
        <f t="shared" si="116"/>
        <v>1</v>
      </c>
      <c r="I1071" s="62">
        <f t="shared" si="117"/>
        <v>1</v>
      </c>
      <c r="J1071" s="62">
        <f t="shared" si="118"/>
        <v>5.5484</v>
      </c>
      <c r="K1071" s="62">
        <f>IF(CurrentMtgRatesDataTable8[[#This Row],[WA CC]]&lt;&gt;0,C1070-CurrentMtgRatesDataTable8[[#This Row],[WA CC]],0)</f>
        <v>0.35660000000000025</v>
      </c>
      <c r="L1071" s="62">
        <f>IF(CurrentMtgRatesDataTable8[[#This Row],[Servicing Spread]]&lt;=0,L1070,CurrentMtgRatesDataTable8[[#This Row],[Servicing Spread]])</f>
        <v>0.35660000000000025</v>
      </c>
      <c r="M1071" s="62">
        <f>CurrentMtgRatesDataTable8[[#This Row],[Servicing Spread Non-Zero]]-L1070</f>
        <v>-2.9199999999999449E-2</v>
      </c>
      <c r="N1071" s="62">
        <f>IF(J1070&lt;&gt;0,CurrentMtgRatesDataTable8[[#This Row],[Rate]]-C1070,N1070)</f>
        <v>-0.20999999999999996</v>
      </c>
    </row>
    <row r="1072" spans="1:14">
      <c r="A1072" s="59" t="s">
        <v>2424</v>
      </c>
      <c r="B1072" s="60">
        <v>5.944</v>
      </c>
      <c r="C1072" s="61">
        <v>6.0049999999999999</v>
      </c>
      <c r="D1072" s="62">
        <f t="shared" si="112"/>
        <v>1</v>
      </c>
      <c r="E1072" s="62">
        <f t="shared" si="113"/>
        <v>0.2</v>
      </c>
      <c r="F1072" s="62">
        <f t="shared" si="114"/>
        <v>1</v>
      </c>
      <c r="G1072" s="62">
        <f t="shared" si="115"/>
        <v>1.1888000000000001</v>
      </c>
      <c r="H1072" s="62">
        <f t="shared" si="116"/>
        <v>0.2</v>
      </c>
      <c r="I1072" s="62">
        <f t="shared" si="117"/>
        <v>0</v>
      </c>
      <c r="J1072" s="62">
        <f t="shared" si="118"/>
        <v>0</v>
      </c>
      <c r="K1072" s="62">
        <f>IF(CurrentMtgRatesDataTable8[[#This Row],[WA CC]]&lt;&gt;0,C1071-CurrentMtgRatesDataTable8[[#This Row],[WA CC]],0)</f>
        <v>0</v>
      </c>
      <c r="L1072" s="62">
        <f>IF(CurrentMtgRatesDataTable8[[#This Row],[Servicing Spread]]&lt;=0,L1071,CurrentMtgRatesDataTable8[[#This Row],[Servicing Spread]])</f>
        <v>0.35660000000000025</v>
      </c>
      <c r="M1072" s="62">
        <f>CurrentMtgRatesDataTable8[[#This Row],[Servicing Spread Non-Zero]]-L1071</f>
        <v>0</v>
      </c>
      <c r="N1072" s="62">
        <f>IF(J1071&lt;&gt;0,CurrentMtgRatesDataTable8[[#This Row],[Rate]]-C1071,N1071)</f>
        <v>9.9999999999999645E-2</v>
      </c>
    </row>
    <row r="1073" spans="1:14">
      <c r="A1073" s="59" t="s">
        <v>2425</v>
      </c>
      <c r="B1073" s="60">
        <v>5.7939999999999996</v>
      </c>
      <c r="C1073" s="61">
        <v>6.0049999999999999</v>
      </c>
      <c r="D1073" s="62">
        <f t="shared" si="112"/>
        <v>2</v>
      </c>
      <c r="E1073" s="62">
        <f t="shared" si="113"/>
        <v>0.2</v>
      </c>
      <c r="F1073" s="62">
        <f t="shared" si="114"/>
        <v>2</v>
      </c>
      <c r="G1073" s="62">
        <f t="shared" si="115"/>
        <v>2.3475999999999999</v>
      </c>
      <c r="H1073" s="62">
        <f t="shared" si="116"/>
        <v>0.4</v>
      </c>
      <c r="I1073" s="62">
        <f t="shared" si="117"/>
        <v>0</v>
      </c>
      <c r="J1073" s="62">
        <f t="shared" si="118"/>
        <v>0</v>
      </c>
      <c r="K1073" s="62">
        <f>IF(CurrentMtgRatesDataTable8[[#This Row],[WA CC]]&lt;&gt;0,C1072-CurrentMtgRatesDataTable8[[#This Row],[WA CC]],0)</f>
        <v>0</v>
      </c>
      <c r="L1073" s="62">
        <f>IF(CurrentMtgRatesDataTable8[[#This Row],[Servicing Spread]]&lt;=0,L1072,CurrentMtgRatesDataTable8[[#This Row],[Servicing Spread]])</f>
        <v>0.35660000000000025</v>
      </c>
      <c r="M1073" s="62">
        <f>CurrentMtgRatesDataTable8[[#This Row],[Servicing Spread Non-Zero]]-L1072</f>
        <v>0</v>
      </c>
      <c r="N1073" s="62">
        <f>IF(J1072&lt;&gt;0,CurrentMtgRatesDataTable8[[#This Row],[Rate]]-C1072,N1072)</f>
        <v>9.9999999999999645E-2</v>
      </c>
    </row>
    <row r="1074" spans="1:14">
      <c r="A1074" s="59" t="s">
        <v>2426</v>
      </c>
      <c r="B1074" s="60">
        <v>5.7640000000000002</v>
      </c>
      <c r="C1074" s="61">
        <v>6.0049999999999999</v>
      </c>
      <c r="D1074" s="62">
        <f t="shared" si="112"/>
        <v>5</v>
      </c>
      <c r="E1074" s="62">
        <f t="shared" si="113"/>
        <v>0.2</v>
      </c>
      <c r="F1074" s="62">
        <f t="shared" si="114"/>
        <v>3</v>
      </c>
      <c r="G1074" s="62">
        <f t="shared" si="115"/>
        <v>3.5004</v>
      </c>
      <c r="H1074" s="62">
        <f t="shared" si="116"/>
        <v>0.60000000000000009</v>
      </c>
      <c r="I1074" s="62">
        <f t="shared" si="117"/>
        <v>0</v>
      </c>
      <c r="J1074" s="62">
        <f t="shared" si="118"/>
        <v>0</v>
      </c>
      <c r="K1074" s="62">
        <f>IF(CurrentMtgRatesDataTable8[[#This Row],[WA CC]]&lt;&gt;0,C1073-CurrentMtgRatesDataTable8[[#This Row],[WA CC]],0)</f>
        <v>0</v>
      </c>
      <c r="L1074" s="62">
        <f>IF(CurrentMtgRatesDataTable8[[#This Row],[Servicing Spread]]&lt;=0,L1073,CurrentMtgRatesDataTable8[[#This Row],[Servicing Spread]])</f>
        <v>0.35660000000000025</v>
      </c>
      <c r="M1074" s="62">
        <f>CurrentMtgRatesDataTable8[[#This Row],[Servicing Spread Non-Zero]]-L1073</f>
        <v>0</v>
      </c>
      <c r="N1074" s="62">
        <f>IF(J1073&lt;&gt;0,CurrentMtgRatesDataTable8[[#This Row],[Rate]]-C1073,N1073)</f>
        <v>9.9999999999999645E-2</v>
      </c>
    </row>
    <row r="1075" spans="1:14">
      <c r="A1075" s="59" t="s">
        <v>2427</v>
      </c>
      <c r="B1075" s="60">
        <v>5.7830000000000004</v>
      </c>
      <c r="C1075" s="61">
        <v>6.0049999999999999</v>
      </c>
      <c r="D1075" s="62">
        <f t="shared" si="112"/>
        <v>6</v>
      </c>
      <c r="E1075" s="62">
        <f t="shared" si="113"/>
        <v>0.2</v>
      </c>
      <c r="F1075" s="62">
        <f t="shared" si="114"/>
        <v>4</v>
      </c>
      <c r="G1075" s="62">
        <f t="shared" si="115"/>
        <v>4.657</v>
      </c>
      <c r="H1075" s="62">
        <f t="shared" si="116"/>
        <v>0.8</v>
      </c>
      <c r="I1075" s="62">
        <f t="shared" si="117"/>
        <v>0</v>
      </c>
      <c r="J1075" s="62">
        <f t="shared" si="118"/>
        <v>0</v>
      </c>
      <c r="K1075" s="62">
        <f>IF(CurrentMtgRatesDataTable8[[#This Row],[WA CC]]&lt;&gt;0,C1074-CurrentMtgRatesDataTable8[[#This Row],[WA CC]],0)</f>
        <v>0</v>
      </c>
      <c r="L1075" s="62">
        <f>IF(CurrentMtgRatesDataTable8[[#This Row],[Servicing Spread]]&lt;=0,L1074,CurrentMtgRatesDataTable8[[#This Row],[Servicing Spread]])</f>
        <v>0.35660000000000025</v>
      </c>
      <c r="M1075" s="62">
        <f>CurrentMtgRatesDataTable8[[#This Row],[Servicing Spread Non-Zero]]-L1074</f>
        <v>0</v>
      </c>
      <c r="N1075" s="62">
        <f>IF(J1074&lt;&gt;0,CurrentMtgRatesDataTable8[[#This Row],[Rate]]-C1074,N1074)</f>
        <v>9.9999999999999645E-2</v>
      </c>
    </row>
    <row r="1076" spans="1:14">
      <c r="A1076" s="59" t="s">
        <v>2428</v>
      </c>
      <c r="B1076" s="60">
        <v>5.5110000000000001</v>
      </c>
      <c r="C1076" s="61">
        <v>6.0049999999999999</v>
      </c>
      <c r="D1076" s="62">
        <f t="shared" si="112"/>
        <v>7</v>
      </c>
      <c r="E1076" s="62">
        <f t="shared" si="113"/>
        <v>0.2</v>
      </c>
      <c r="F1076" s="62">
        <f t="shared" si="114"/>
        <v>5</v>
      </c>
      <c r="G1076" s="62">
        <f t="shared" si="115"/>
        <v>5.7591999999999999</v>
      </c>
      <c r="H1076" s="62">
        <f t="shared" si="116"/>
        <v>1</v>
      </c>
      <c r="I1076" s="62">
        <f t="shared" si="117"/>
        <v>1</v>
      </c>
      <c r="J1076" s="62">
        <f t="shared" si="118"/>
        <v>5.7591999999999999</v>
      </c>
      <c r="K1076" s="62">
        <f>IF(CurrentMtgRatesDataTable8[[#This Row],[WA CC]]&lt;&gt;0,C1075-CurrentMtgRatesDataTable8[[#This Row],[WA CC]],0)</f>
        <v>0.24580000000000002</v>
      </c>
      <c r="L1076" s="62">
        <f>IF(CurrentMtgRatesDataTable8[[#This Row],[Servicing Spread]]&lt;=0,L1075,CurrentMtgRatesDataTable8[[#This Row],[Servicing Spread]])</f>
        <v>0.24580000000000002</v>
      </c>
      <c r="M1076" s="62">
        <f>CurrentMtgRatesDataTable8[[#This Row],[Servicing Spread Non-Zero]]-L1075</f>
        <v>-0.11080000000000023</v>
      </c>
      <c r="N1076" s="62">
        <f>IF(J1075&lt;&gt;0,CurrentMtgRatesDataTable8[[#This Row],[Rate]]-C1075,N1075)</f>
        <v>9.9999999999999645E-2</v>
      </c>
    </row>
    <row r="1077" spans="1:14">
      <c r="A1077" s="59" t="s">
        <v>2429</v>
      </c>
      <c r="B1077" s="60">
        <v>5.5519999999999996</v>
      </c>
      <c r="C1077" s="61">
        <v>5.7450000000000001</v>
      </c>
      <c r="D1077" s="62">
        <f t="shared" si="112"/>
        <v>1</v>
      </c>
      <c r="E1077" s="62">
        <f t="shared" si="113"/>
        <v>0.2</v>
      </c>
      <c r="F1077" s="62">
        <f t="shared" si="114"/>
        <v>1</v>
      </c>
      <c r="G1077" s="62">
        <f t="shared" si="115"/>
        <v>1.1104000000000001</v>
      </c>
      <c r="H1077" s="62">
        <f t="shared" si="116"/>
        <v>0.2</v>
      </c>
      <c r="I1077" s="62">
        <f t="shared" si="117"/>
        <v>0</v>
      </c>
      <c r="J1077" s="62">
        <f t="shared" si="118"/>
        <v>0</v>
      </c>
      <c r="K1077" s="62">
        <f>IF(CurrentMtgRatesDataTable8[[#This Row],[WA CC]]&lt;&gt;0,C1076-CurrentMtgRatesDataTable8[[#This Row],[WA CC]],0)</f>
        <v>0</v>
      </c>
      <c r="L1077" s="62">
        <f>IF(CurrentMtgRatesDataTable8[[#This Row],[Servicing Spread]]&lt;=0,L1076,CurrentMtgRatesDataTable8[[#This Row],[Servicing Spread]])</f>
        <v>0.24580000000000002</v>
      </c>
      <c r="M1077" s="62">
        <f>CurrentMtgRatesDataTable8[[#This Row],[Servicing Spread Non-Zero]]-L1076</f>
        <v>0</v>
      </c>
      <c r="N1077" s="62">
        <f>IF(J1076&lt;&gt;0,CurrentMtgRatesDataTable8[[#This Row],[Rate]]-C1076,N1076)</f>
        <v>-0.25999999999999979</v>
      </c>
    </row>
    <row r="1078" spans="1:14">
      <c r="A1078" s="59" t="s">
        <v>2430</v>
      </c>
      <c r="B1078" s="60">
        <v>5.4779999999999998</v>
      </c>
      <c r="C1078" s="61">
        <v>5.7450000000000001</v>
      </c>
      <c r="D1078" s="62">
        <f t="shared" si="112"/>
        <v>2</v>
      </c>
      <c r="E1078" s="62">
        <f t="shared" si="113"/>
        <v>0.2</v>
      </c>
      <c r="F1078" s="62">
        <f t="shared" si="114"/>
        <v>2</v>
      </c>
      <c r="G1078" s="62">
        <f t="shared" si="115"/>
        <v>2.206</v>
      </c>
      <c r="H1078" s="62">
        <f t="shared" si="116"/>
        <v>0.4</v>
      </c>
      <c r="I1078" s="62">
        <f t="shared" si="117"/>
        <v>0</v>
      </c>
      <c r="J1078" s="62">
        <f t="shared" si="118"/>
        <v>0</v>
      </c>
      <c r="K1078" s="62">
        <f>IF(CurrentMtgRatesDataTable8[[#This Row],[WA CC]]&lt;&gt;0,C1077-CurrentMtgRatesDataTable8[[#This Row],[WA CC]],0)</f>
        <v>0</v>
      </c>
      <c r="L1078" s="62">
        <f>IF(CurrentMtgRatesDataTable8[[#This Row],[Servicing Spread]]&lt;=0,L1077,CurrentMtgRatesDataTable8[[#This Row],[Servicing Spread]])</f>
        <v>0.24580000000000002</v>
      </c>
      <c r="M1078" s="62">
        <f>CurrentMtgRatesDataTable8[[#This Row],[Servicing Spread Non-Zero]]-L1077</f>
        <v>0</v>
      </c>
      <c r="N1078" s="62">
        <f>IF(J1077&lt;&gt;0,CurrentMtgRatesDataTable8[[#This Row],[Rate]]-C1077,N1077)</f>
        <v>-0.25999999999999979</v>
      </c>
    </row>
    <row r="1079" spans="1:14">
      <c r="A1079" s="59" t="s">
        <v>2431</v>
      </c>
      <c r="B1079" s="60">
        <v>5.0839999999999996</v>
      </c>
      <c r="C1079" s="61">
        <v>5.7450000000000001</v>
      </c>
      <c r="D1079" s="62">
        <f t="shared" si="112"/>
        <v>5</v>
      </c>
      <c r="E1079" s="62">
        <f t="shared" si="113"/>
        <v>0.2</v>
      </c>
      <c r="F1079" s="62">
        <f t="shared" si="114"/>
        <v>3</v>
      </c>
      <c r="G1079" s="62">
        <f t="shared" si="115"/>
        <v>3.2227999999999999</v>
      </c>
      <c r="H1079" s="62">
        <f t="shared" si="116"/>
        <v>0.60000000000000009</v>
      </c>
      <c r="I1079" s="62">
        <f t="shared" si="117"/>
        <v>0</v>
      </c>
      <c r="J1079" s="62">
        <f t="shared" si="118"/>
        <v>0</v>
      </c>
      <c r="K1079" s="62">
        <f>IF(CurrentMtgRatesDataTable8[[#This Row],[WA CC]]&lt;&gt;0,C1078-CurrentMtgRatesDataTable8[[#This Row],[WA CC]],0)</f>
        <v>0</v>
      </c>
      <c r="L1079" s="62">
        <f>IF(CurrentMtgRatesDataTable8[[#This Row],[Servicing Spread]]&lt;=0,L1078,CurrentMtgRatesDataTable8[[#This Row],[Servicing Spread]])</f>
        <v>0.24580000000000002</v>
      </c>
      <c r="M1079" s="62">
        <f>CurrentMtgRatesDataTable8[[#This Row],[Servicing Spread Non-Zero]]-L1078</f>
        <v>0</v>
      </c>
      <c r="N1079" s="62">
        <f>IF(J1078&lt;&gt;0,CurrentMtgRatesDataTable8[[#This Row],[Rate]]-C1078,N1078)</f>
        <v>-0.25999999999999979</v>
      </c>
    </row>
    <row r="1080" spans="1:14">
      <c r="A1080" s="59" t="s">
        <v>2432</v>
      </c>
      <c r="B1080" s="60">
        <v>5.266</v>
      </c>
      <c r="C1080" s="61">
        <v>5.7450000000000001</v>
      </c>
      <c r="D1080" s="62">
        <f t="shared" si="112"/>
        <v>6</v>
      </c>
      <c r="E1080" s="62">
        <f t="shared" si="113"/>
        <v>0.2</v>
      </c>
      <c r="F1080" s="62">
        <f t="shared" si="114"/>
        <v>4</v>
      </c>
      <c r="G1080" s="62">
        <f t="shared" si="115"/>
        <v>4.2759999999999998</v>
      </c>
      <c r="H1080" s="62">
        <f t="shared" si="116"/>
        <v>0.8</v>
      </c>
      <c r="I1080" s="62">
        <f t="shared" si="117"/>
        <v>0</v>
      </c>
      <c r="J1080" s="62">
        <f t="shared" si="118"/>
        <v>0</v>
      </c>
      <c r="K1080" s="62">
        <f>IF(CurrentMtgRatesDataTable8[[#This Row],[WA CC]]&lt;&gt;0,C1079-CurrentMtgRatesDataTable8[[#This Row],[WA CC]],0)</f>
        <v>0</v>
      </c>
      <c r="L1080" s="62">
        <f>IF(CurrentMtgRatesDataTable8[[#This Row],[Servicing Spread]]&lt;=0,L1079,CurrentMtgRatesDataTable8[[#This Row],[Servicing Spread]])</f>
        <v>0.24580000000000002</v>
      </c>
      <c r="M1080" s="62">
        <f>CurrentMtgRatesDataTable8[[#This Row],[Servicing Spread Non-Zero]]-L1079</f>
        <v>0</v>
      </c>
      <c r="N1080" s="62">
        <f>IF(J1079&lt;&gt;0,CurrentMtgRatesDataTable8[[#This Row],[Rate]]-C1079,N1079)</f>
        <v>-0.25999999999999979</v>
      </c>
    </row>
    <row r="1081" spans="1:14">
      <c r="A1081" s="59" t="s">
        <v>2433</v>
      </c>
      <c r="B1081" s="60">
        <v>5.125</v>
      </c>
      <c r="C1081" s="61">
        <v>5.7450000000000001</v>
      </c>
      <c r="D1081" s="62">
        <f t="shared" si="112"/>
        <v>7</v>
      </c>
      <c r="E1081" s="62">
        <f t="shared" si="113"/>
        <v>0.2</v>
      </c>
      <c r="F1081" s="62">
        <f t="shared" si="114"/>
        <v>5</v>
      </c>
      <c r="G1081" s="62">
        <f t="shared" si="115"/>
        <v>5.3010000000000002</v>
      </c>
      <c r="H1081" s="62">
        <f t="shared" si="116"/>
        <v>1</v>
      </c>
      <c r="I1081" s="62">
        <f t="shared" si="117"/>
        <v>1</v>
      </c>
      <c r="J1081" s="62">
        <f t="shared" si="118"/>
        <v>5.3010000000000002</v>
      </c>
      <c r="K1081" s="62">
        <f>IF(CurrentMtgRatesDataTable8[[#This Row],[WA CC]]&lt;&gt;0,C1080-CurrentMtgRatesDataTable8[[#This Row],[WA CC]],0)</f>
        <v>0.44399999999999995</v>
      </c>
      <c r="L1081" s="62">
        <f>IF(CurrentMtgRatesDataTable8[[#This Row],[Servicing Spread]]&lt;=0,L1080,CurrentMtgRatesDataTable8[[#This Row],[Servicing Spread]])</f>
        <v>0.44399999999999995</v>
      </c>
      <c r="M1081" s="62">
        <f>CurrentMtgRatesDataTable8[[#This Row],[Servicing Spread Non-Zero]]-L1080</f>
        <v>0.19819999999999993</v>
      </c>
      <c r="N1081" s="62">
        <f>IF(J1080&lt;&gt;0,CurrentMtgRatesDataTable8[[#This Row],[Rate]]-C1080,N1080)</f>
        <v>-0.25999999999999979</v>
      </c>
    </row>
    <row r="1082" spans="1:14">
      <c r="A1082" s="59" t="s">
        <v>2434</v>
      </c>
      <c r="B1082" s="60">
        <v>5.0670000000000002</v>
      </c>
      <c r="C1082" s="61">
        <v>5.6999999999999993</v>
      </c>
      <c r="D1082" s="62">
        <f t="shared" si="112"/>
        <v>1</v>
      </c>
      <c r="E1082" s="62">
        <f t="shared" si="113"/>
        <v>0.2</v>
      </c>
      <c r="F1082" s="62">
        <f t="shared" si="114"/>
        <v>1</v>
      </c>
      <c r="G1082" s="62">
        <f t="shared" si="115"/>
        <v>1.0134000000000001</v>
      </c>
      <c r="H1082" s="62">
        <f t="shared" si="116"/>
        <v>0.2</v>
      </c>
      <c r="I1082" s="62">
        <f t="shared" si="117"/>
        <v>0</v>
      </c>
      <c r="J1082" s="62">
        <f t="shared" si="118"/>
        <v>0</v>
      </c>
      <c r="K1082" s="62">
        <f>IF(CurrentMtgRatesDataTable8[[#This Row],[WA CC]]&lt;&gt;0,C1081-CurrentMtgRatesDataTable8[[#This Row],[WA CC]],0)</f>
        <v>0</v>
      </c>
      <c r="L1082" s="62">
        <f>IF(CurrentMtgRatesDataTable8[[#This Row],[Servicing Spread]]&lt;=0,L1081,CurrentMtgRatesDataTable8[[#This Row],[Servicing Spread]])</f>
        <v>0.44399999999999995</v>
      </c>
      <c r="M1082" s="62">
        <f>CurrentMtgRatesDataTable8[[#This Row],[Servicing Spread Non-Zero]]-L1081</f>
        <v>0</v>
      </c>
      <c r="N1082" s="62">
        <f>IF(J1081&lt;&gt;0,CurrentMtgRatesDataTable8[[#This Row],[Rate]]-C1081,N1081)</f>
        <v>-4.5000000000000817E-2</v>
      </c>
    </row>
    <row r="1083" spans="1:14">
      <c r="A1083" s="59" t="s">
        <v>2435</v>
      </c>
      <c r="B1083" s="60">
        <v>5.3479999999999999</v>
      </c>
      <c r="C1083" s="61">
        <v>5.6999999999999993</v>
      </c>
      <c r="D1083" s="62">
        <f t="shared" si="112"/>
        <v>5</v>
      </c>
      <c r="E1083" s="62">
        <f t="shared" si="113"/>
        <v>0.2</v>
      </c>
      <c r="F1083" s="62">
        <f t="shared" si="114"/>
        <v>2</v>
      </c>
      <c r="G1083" s="62">
        <f t="shared" si="115"/>
        <v>2.0830000000000002</v>
      </c>
      <c r="H1083" s="62">
        <f t="shared" si="116"/>
        <v>0.4</v>
      </c>
      <c r="I1083" s="62">
        <f t="shared" si="117"/>
        <v>0</v>
      </c>
      <c r="J1083" s="62">
        <f t="shared" si="118"/>
        <v>0</v>
      </c>
      <c r="K1083" s="62">
        <f>IF(CurrentMtgRatesDataTable8[[#This Row],[WA CC]]&lt;&gt;0,C1082-CurrentMtgRatesDataTable8[[#This Row],[WA CC]],0)</f>
        <v>0</v>
      </c>
      <c r="L1083" s="62">
        <f>IF(CurrentMtgRatesDataTable8[[#This Row],[Servicing Spread]]&lt;=0,L1082,CurrentMtgRatesDataTable8[[#This Row],[Servicing Spread]])</f>
        <v>0.44399999999999995</v>
      </c>
      <c r="M1083" s="62">
        <f>CurrentMtgRatesDataTable8[[#This Row],[Servicing Spread Non-Zero]]-L1082</f>
        <v>0</v>
      </c>
      <c r="N1083" s="62">
        <f>IF(J1082&lt;&gt;0,CurrentMtgRatesDataTable8[[#This Row],[Rate]]-C1082,N1082)</f>
        <v>-4.5000000000000817E-2</v>
      </c>
    </row>
    <row r="1084" spans="1:14">
      <c r="A1084" s="59" t="s">
        <v>2436</v>
      </c>
      <c r="B1084" s="60">
        <v>5.306</v>
      </c>
      <c r="C1084" s="61">
        <v>5.6999999999999993</v>
      </c>
      <c r="D1084" s="62">
        <f t="shared" si="112"/>
        <v>6</v>
      </c>
      <c r="E1084" s="62">
        <f t="shared" si="113"/>
        <v>0.2</v>
      </c>
      <c r="F1084" s="62">
        <f t="shared" si="114"/>
        <v>3</v>
      </c>
      <c r="G1084" s="62">
        <f t="shared" si="115"/>
        <v>3.1442000000000005</v>
      </c>
      <c r="H1084" s="62">
        <f t="shared" si="116"/>
        <v>0.60000000000000009</v>
      </c>
      <c r="I1084" s="62">
        <f t="shared" si="117"/>
        <v>0</v>
      </c>
      <c r="J1084" s="62">
        <f t="shared" si="118"/>
        <v>0</v>
      </c>
      <c r="K1084" s="62">
        <f>IF(CurrentMtgRatesDataTable8[[#This Row],[WA CC]]&lt;&gt;0,C1083-CurrentMtgRatesDataTable8[[#This Row],[WA CC]],0)</f>
        <v>0</v>
      </c>
      <c r="L1084" s="62">
        <f>IF(CurrentMtgRatesDataTable8[[#This Row],[Servicing Spread]]&lt;=0,L1083,CurrentMtgRatesDataTable8[[#This Row],[Servicing Spread]])</f>
        <v>0.44399999999999995</v>
      </c>
      <c r="M1084" s="62">
        <f>CurrentMtgRatesDataTable8[[#This Row],[Servicing Spread Non-Zero]]-L1083</f>
        <v>0</v>
      </c>
      <c r="N1084" s="62">
        <f>IF(J1083&lt;&gt;0,CurrentMtgRatesDataTable8[[#This Row],[Rate]]-C1083,N1083)</f>
        <v>-4.5000000000000817E-2</v>
      </c>
    </row>
    <row r="1085" spans="1:14">
      <c r="A1085" s="59" t="s">
        <v>2437</v>
      </c>
      <c r="B1085" s="60">
        <v>5.2990000000000004</v>
      </c>
      <c r="C1085" s="61">
        <v>5.6999999999999993</v>
      </c>
      <c r="D1085" s="62">
        <f t="shared" si="112"/>
        <v>7</v>
      </c>
      <c r="E1085" s="62">
        <f t="shared" si="113"/>
        <v>0.2</v>
      </c>
      <c r="F1085" s="62">
        <f t="shared" si="114"/>
        <v>4</v>
      </c>
      <c r="G1085" s="62">
        <f t="shared" si="115"/>
        <v>4.2040000000000006</v>
      </c>
      <c r="H1085" s="62">
        <f t="shared" si="116"/>
        <v>0.8</v>
      </c>
      <c r="I1085" s="62">
        <f t="shared" si="117"/>
        <v>1</v>
      </c>
      <c r="J1085" s="62">
        <f t="shared" si="118"/>
        <v>5.2550000000000008</v>
      </c>
      <c r="K1085" s="62">
        <f>IF(CurrentMtgRatesDataTable8[[#This Row],[WA CC]]&lt;&gt;0,C1084-CurrentMtgRatesDataTable8[[#This Row],[WA CC]],0)</f>
        <v>0.44499999999999851</v>
      </c>
      <c r="L1085" s="62">
        <f>IF(CurrentMtgRatesDataTable8[[#This Row],[Servicing Spread]]&lt;=0,L1084,CurrentMtgRatesDataTable8[[#This Row],[Servicing Spread]])</f>
        <v>0.44499999999999851</v>
      </c>
      <c r="M1085" s="62">
        <f>CurrentMtgRatesDataTable8[[#This Row],[Servicing Spread Non-Zero]]-L1084</f>
        <v>9.999999999985576E-4</v>
      </c>
      <c r="N1085" s="62">
        <f>IF(J1084&lt;&gt;0,CurrentMtgRatesDataTable8[[#This Row],[Rate]]-C1084,N1084)</f>
        <v>-4.5000000000000817E-2</v>
      </c>
    </row>
    <row r="1086" spans="1:14">
      <c r="A1086" s="59" t="s">
        <v>2438</v>
      </c>
      <c r="B1086" s="60">
        <v>5.3929999999999998</v>
      </c>
      <c r="C1086" s="61">
        <v>5.7549999999999999</v>
      </c>
      <c r="D1086" s="62">
        <f t="shared" si="112"/>
        <v>1</v>
      </c>
      <c r="E1086" s="62">
        <f t="shared" si="113"/>
        <v>0.2</v>
      </c>
      <c r="F1086" s="62">
        <f t="shared" si="114"/>
        <v>1</v>
      </c>
      <c r="G1086" s="62">
        <f t="shared" si="115"/>
        <v>1.0786</v>
      </c>
      <c r="H1086" s="62">
        <f t="shared" si="116"/>
        <v>0.2</v>
      </c>
      <c r="I1086" s="62">
        <f t="shared" si="117"/>
        <v>0</v>
      </c>
      <c r="J1086" s="62">
        <f t="shared" si="118"/>
        <v>0</v>
      </c>
      <c r="K1086" s="62">
        <f>IF(CurrentMtgRatesDataTable8[[#This Row],[WA CC]]&lt;&gt;0,C1085-CurrentMtgRatesDataTable8[[#This Row],[WA CC]],0)</f>
        <v>0</v>
      </c>
      <c r="L1086" s="62">
        <f>IF(CurrentMtgRatesDataTable8[[#This Row],[Servicing Spread]]&lt;=0,L1085,CurrentMtgRatesDataTable8[[#This Row],[Servicing Spread]])</f>
        <v>0.44499999999999851</v>
      </c>
      <c r="M1086" s="62">
        <f>CurrentMtgRatesDataTable8[[#This Row],[Servicing Spread Non-Zero]]-L1085</f>
        <v>0</v>
      </c>
      <c r="N1086" s="62">
        <f>IF(J1085&lt;&gt;0,CurrentMtgRatesDataTable8[[#This Row],[Rate]]-C1085,N1085)</f>
        <v>5.5000000000000604E-2</v>
      </c>
    </row>
    <row r="1087" spans="1:14">
      <c r="A1087" s="59" t="s">
        <v>2439</v>
      </c>
      <c r="B1087" s="60">
        <v>5.282</v>
      </c>
      <c r="C1087" s="61">
        <v>5.7549999999999999</v>
      </c>
      <c r="D1087" s="62">
        <f t="shared" si="112"/>
        <v>2</v>
      </c>
      <c r="E1087" s="62">
        <f t="shared" si="113"/>
        <v>0.2</v>
      </c>
      <c r="F1087" s="62">
        <f t="shared" si="114"/>
        <v>2</v>
      </c>
      <c r="G1087" s="62">
        <f t="shared" si="115"/>
        <v>2.1349999999999998</v>
      </c>
      <c r="H1087" s="62">
        <f t="shared" si="116"/>
        <v>0.4</v>
      </c>
      <c r="I1087" s="62">
        <f t="shared" si="117"/>
        <v>0</v>
      </c>
      <c r="J1087" s="62">
        <f t="shared" si="118"/>
        <v>0</v>
      </c>
      <c r="K1087" s="62">
        <f>IF(CurrentMtgRatesDataTable8[[#This Row],[WA CC]]&lt;&gt;0,C1086-CurrentMtgRatesDataTable8[[#This Row],[WA CC]],0)</f>
        <v>0</v>
      </c>
      <c r="L1087" s="62">
        <f>IF(CurrentMtgRatesDataTable8[[#This Row],[Servicing Spread]]&lt;=0,L1086,CurrentMtgRatesDataTable8[[#This Row],[Servicing Spread]])</f>
        <v>0.44499999999999851</v>
      </c>
      <c r="M1087" s="62">
        <f>CurrentMtgRatesDataTable8[[#This Row],[Servicing Spread Non-Zero]]-L1086</f>
        <v>0</v>
      </c>
      <c r="N1087" s="62">
        <f>IF(J1086&lt;&gt;0,CurrentMtgRatesDataTable8[[#This Row],[Rate]]-C1086,N1086)</f>
        <v>5.5000000000000604E-2</v>
      </c>
    </row>
    <row r="1088" spans="1:14">
      <c r="A1088" s="59" t="s">
        <v>2440</v>
      </c>
      <c r="B1088" s="60">
        <v>5.2629999999999999</v>
      </c>
      <c r="C1088" s="61">
        <v>5.7549999999999999</v>
      </c>
      <c r="D1088" s="62">
        <f t="shared" si="112"/>
        <v>5</v>
      </c>
      <c r="E1088" s="62">
        <f t="shared" si="113"/>
        <v>0.2</v>
      </c>
      <c r="F1088" s="62">
        <f t="shared" si="114"/>
        <v>3</v>
      </c>
      <c r="G1088" s="62">
        <f t="shared" si="115"/>
        <v>3.1875999999999998</v>
      </c>
      <c r="H1088" s="62">
        <f t="shared" si="116"/>
        <v>0.60000000000000009</v>
      </c>
      <c r="I1088" s="62">
        <f t="shared" si="117"/>
        <v>0</v>
      </c>
      <c r="J1088" s="62">
        <f t="shared" si="118"/>
        <v>0</v>
      </c>
      <c r="K1088" s="62">
        <f>IF(CurrentMtgRatesDataTable8[[#This Row],[WA CC]]&lt;&gt;0,C1087-CurrentMtgRatesDataTable8[[#This Row],[WA CC]],0)</f>
        <v>0</v>
      </c>
      <c r="L1088" s="62">
        <f>IF(CurrentMtgRatesDataTable8[[#This Row],[Servicing Spread]]&lt;=0,L1087,CurrentMtgRatesDataTable8[[#This Row],[Servicing Spread]])</f>
        <v>0.44499999999999851</v>
      </c>
      <c r="M1088" s="62">
        <f>CurrentMtgRatesDataTable8[[#This Row],[Servicing Spread Non-Zero]]-L1087</f>
        <v>0</v>
      </c>
      <c r="N1088" s="62">
        <f>IF(J1087&lt;&gt;0,CurrentMtgRatesDataTable8[[#This Row],[Rate]]-C1087,N1087)</f>
        <v>5.5000000000000604E-2</v>
      </c>
    </row>
    <row r="1089" spans="1:14">
      <c r="A1089" s="59" t="s">
        <v>2441</v>
      </c>
      <c r="B1089" s="60">
        <v>5.37</v>
      </c>
      <c r="C1089" s="61">
        <v>5.7549999999999999</v>
      </c>
      <c r="D1089" s="62">
        <f t="shared" si="112"/>
        <v>6</v>
      </c>
      <c r="E1089" s="62">
        <f t="shared" si="113"/>
        <v>0.2</v>
      </c>
      <c r="F1089" s="62">
        <f t="shared" si="114"/>
        <v>4</v>
      </c>
      <c r="G1089" s="62">
        <f t="shared" si="115"/>
        <v>4.2615999999999996</v>
      </c>
      <c r="H1089" s="62">
        <f t="shared" si="116"/>
        <v>0.8</v>
      </c>
      <c r="I1089" s="62">
        <f t="shared" si="117"/>
        <v>0</v>
      </c>
      <c r="J1089" s="62">
        <f t="shared" si="118"/>
        <v>0</v>
      </c>
      <c r="K1089" s="62">
        <f>IF(CurrentMtgRatesDataTable8[[#This Row],[WA CC]]&lt;&gt;0,C1088-CurrentMtgRatesDataTable8[[#This Row],[WA CC]],0)</f>
        <v>0</v>
      </c>
      <c r="L1089" s="62">
        <f>IF(CurrentMtgRatesDataTable8[[#This Row],[Servicing Spread]]&lt;=0,L1088,CurrentMtgRatesDataTable8[[#This Row],[Servicing Spread]])</f>
        <v>0.44499999999999851</v>
      </c>
      <c r="M1089" s="62">
        <f>CurrentMtgRatesDataTable8[[#This Row],[Servicing Spread Non-Zero]]-L1088</f>
        <v>0</v>
      </c>
      <c r="N1089" s="62">
        <f>IF(J1088&lt;&gt;0,CurrentMtgRatesDataTable8[[#This Row],[Rate]]-C1088,N1088)</f>
        <v>5.5000000000000604E-2</v>
      </c>
    </row>
    <row r="1090" spans="1:14">
      <c r="A1090" s="39" t="s">
        <v>2442</v>
      </c>
      <c r="B1090" s="40">
        <v>5.4340000000000002</v>
      </c>
      <c r="C1090" s="11">
        <v>5.7549999999999999</v>
      </c>
      <c r="D1090" s="16">
        <f t="shared" si="112"/>
        <v>7</v>
      </c>
      <c r="E1090" s="16">
        <f t="shared" si="113"/>
        <v>0.2</v>
      </c>
      <c r="F1090" s="16">
        <f t="shared" si="114"/>
        <v>5</v>
      </c>
      <c r="G1090" s="16">
        <f t="shared" si="115"/>
        <v>5.3483999999999998</v>
      </c>
      <c r="H1090" s="16">
        <f t="shared" si="116"/>
        <v>1</v>
      </c>
      <c r="I1090" s="16">
        <f t="shared" si="117"/>
        <v>1</v>
      </c>
      <c r="J1090" s="16">
        <f t="shared" si="118"/>
        <v>5.3483999999999998</v>
      </c>
      <c r="K1090" s="16">
        <f>IF(CurrentMtgRatesDataTable8[[#This Row],[WA CC]]&lt;&gt;0,C1089-CurrentMtgRatesDataTable8[[#This Row],[WA CC]],0)</f>
        <v>0.40660000000000007</v>
      </c>
      <c r="L1090" s="16">
        <f>IF(CurrentMtgRatesDataTable8[[#This Row],[Servicing Spread]]&lt;=0,L1089,CurrentMtgRatesDataTable8[[#This Row],[Servicing Spread]])</f>
        <v>0.40660000000000007</v>
      </c>
      <c r="M1090" s="16">
        <f>CurrentMtgRatesDataTable8[[#This Row],[Servicing Spread Non-Zero]]-L1089</f>
        <v>-3.8399999999998435E-2</v>
      </c>
      <c r="N1090" s="16">
        <f>IF(J1089&lt;&gt;0,CurrentMtgRatesDataTable8[[#This Row],[Rate]]-C1089,N1089)</f>
        <v>5.5000000000000604E-2</v>
      </c>
    </row>
    <row r="1091" spans="1:14">
      <c r="A1091" s="39" t="s">
        <v>2443</v>
      </c>
      <c r="B1091" s="40">
        <v>5.3780000000000001</v>
      </c>
      <c r="C1091" s="11">
        <v>5.7299999999999995</v>
      </c>
      <c r="D1091" s="16">
        <f t="shared" si="112"/>
        <v>1</v>
      </c>
      <c r="E1091" s="16">
        <f t="shared" si="113"/>
        <v>0.2</v>
      </c>
      <c r="F1091" s="16">
        <f t="shared" si="114"/>
        <v>1</v>
      </c>
      <c r="G1091" s="16">
        <f t="shared" si="115"/>
        <v>1.0756000000000001</v>
      </c>
      <c r="H1091" s="16">
        <f t="shared" si="116"/>
        <v>0.2</v>
      </c>
      <c r="I1091" s="16">
        <f t="shared" si="117"/>
        <v>0</v>
      </c>
      <c r="J1091" s="16">
        <f t="shared" si="118"/>
        <v>0</v>
      </c>
      <c r="K1091" s="16">
        <f>IF(CurrentMtgRatesDataTable8[[#This Row],[WA CC]]&lt;&gt;0,C1090-CurrentMtgRatesDataTable8[[#This Row],[WA CC]],0)</f>
        <v>0</v>
      </c>
      <c r="L1091" s="16">
        <f>IF(CurrentMtgRatesDataTable8[[#This Row],[Servicing Spread]]&lt;=0,L1090,CurrentMtgRatesDataTable8[[#This Row],[Servicing Spread]])</f>
        <v>0.40660000000000007</v>
      </c>
      <c r="M1091" s="16">
        <f>CurrentMtgRatesDataTable8[[#This Row],[Servicing Spread Non-Zero]]-L1090</f>
        <v>0</v>
      </c>
      <c r="N1091" s="16">
        <f>IF(J1090&lt;&gt;0,CurrentMtgRatesDataTable8[[#This Row],[Rate]]-C1090,N1090)</f>
        <v>-2.5000000000000355E-2</v>
      </c>
    </row>
    <row r="1092" spans="1:14">
      <c r="A1092" s="39" t="s">
        <v>2444</v>
      </c>
      <c r="B1092" s="40">
        <v>5.1680000000000001</v>
      </c>
      <c r="C1092" s="11">
        <v>5.7299999999999995</v>
      </c>
      <c r="D1092" s="16">
        <f t="shared" si="112"/>
        <v>2</v>
      </c>
      <c r="E1092" s="16">
        <f t="shared" si="113"/>
        <v>0.2</v>
      </c>
      <c r="F1092" s="16">
        <f t="shared" si="114"/>
        <v>2</v>
      </c>
      <c r="G1092" s="16">
        <f t="shared" si="115"/>
        <v>2.1092000000000004</v>
      </c>
      <c r="H1092" s="16">
        <f t="shared" si="116"/>
        <v>0.4</v>
      </c>
      <c r="I1092" s="16">
        <f t="shared" si="117"/>
        <v>0</v>
      </c>
      <c r="J1092" s="16">
        <f t="shared" si="118"/>
        <v>0</v>
      </c>
      <c r="K1092" s="16">
        <f>IF(CurrentMtgRatesDataTable8[[#This Row],[WA CC]]&lt;&gt;0,C1091-CurrentMtgRatesDataTable8[[#This Row],[WA CC]],0)</f>
        <v>0</v>
      </c>
      <c r="L1092" s="16">
        <f>IF(CurrentMtgRatesDataTable8[[#This Row],[Servicing Spread]]&lt;=0,L1091,CurrentMtgRatesDataTable8[[#This Row],[Servicing Spread]])</f>
        <v>0.40660000000000007</v>
      </c>
      <c r="M1092" s="16">
        <f>CurrentMtgRatesDataTable8[[#This Row],[Servicing Spread Non-Zero]]-L1091</f>
        <v>0</v>
      </c>
      <c r="N1092" s="16">
        <f>IF(J1091&lt;&gt;0,CurrentMtgRatesDataTable8[[#This Row],[Rate]]-C1091,N1091)</f>
        <v>-2.5000000000000355E-2</v>
      </c>
    </row>
    <row r="1093" spans="1:14">
      <c r="A1093" s="39" t="s">
        <v>2445</v>
      </c>
      <c r="B1093" s="40">
        <v>5.234</v>
      </c>
      <c r="C1093" s="11">
        <v>5.7299999999999995</v>
      </c>
      <c r="D1093" s="16">
        <f t="shared" ref="D1093:D1156" si="119">WEEKDAY(A1093,14)</f>
        <v>5</v>
      </c>
      <c r="E1093" s="16">
        <f t="shared" ref="E1093:E1156" si="120">VLOOKUP(D1093,Q$5:R$11,2,FALSE)</f>
        <v>0.2</v>
      </c>
      <c r="F1093" s="16">
        <f t="shared" ref="F1093:F1156" si="121">IF(AND(D1093&gt;D1092,F1092&lt;6),F1092+1,1)</f>
        <v>3</v>
      </c>
      <c r="G1093" s="16">
        <f t="shared" ref="G1093:G1156" si="122">IF(F1093&gt;F1092,G1092+B1093*E1093,B1093*E1093)</f>
        <v>3.1560000000000006</v>
      </c>
      <c r="H1093" s="16">
        <f t="shared" ref="H1093:H1156" si="123">IF(AND(F1093&lt;6,F1093&gt;F1092),E1093+H1092,E1093)</f>
        <v>0.60000000000000009</v>
      </c>
      <c r="I1093" s="16">
        <f t="shared" ref="I1093:I1156" si="124">IF(F1093&gt;F1094,1,0)</f>
        <v>0</v>
      </c>
      <c r="J1093" s="16">
        <f t="shared" ref="J1093:J1156" si="125">IF(F1093&gt;F1094,G1093/H1093,0)</f>
        <v>0</v>
      </c>
      <c r="K1093" s="16">
        <f>IF(CurrentMtgRatesDataTable8[[#This Row],[WA CC]]&lt;&gt;0,C1092-CurrentMtgRatesDataTable8[[#This Row],[WA CC]],0)</f>
        <v>0</v>
      </c>
      <c r="L1093" s="16">
        <f>IF(CurrentMtgRatesDataTable8[[#This Row],[Servicing Spread]]&lt;=0,L1092,CurrentMtgRatesDataTable8[[#This Row],[Servicing Spread]])</f>
        <v>0.40660000000000007</v>
      </c>
      <c r="M1093" s="16">
        <f>CurrentMtgRatesDataTable8[[#This Row],[Servicing Spread Non-Zero]]-L1092</f>
        <v>0</v>
      </c>
      <c r="N1093" s="16">
        <f>IF(J1092&lt;&gt;0,CurrentMtgRatesDataTable8[[#This Row],[Rate]]-C1092,N1092)</f>
        <v>-2.5000000000000355E-2</v>
      </c>
    </row>
    <row r="1094" spans="1:14">
      <c r="A1094" s="39" t="s">
        <v>2446</v>
      </c>
      <c r="B1094" s="40">
        <v>5.2839999999999998</v>
      </c>
      <c r="C1094" s="11">
        <v>5.7299999999999995</v>
      </c>
      <c r="D1094" s="16">
        <f t="shared" si="119"/>
        <v>6</v>
      </c>
      <c r="E1094" s="16">
        <f t="shared" si="120"/>
        <v>0.2</v>
      </c>
      <c r="F1094" s="16">
        <f t="shared" si="121"/>
        <v>4</v>
      </c>
      <c r="G1094" s="16">
        <f t="shared" si="122"/>
        <v>4.2128000000000005</v>
      </c>
      <c r="H1094" s="16">
        <f t="shared" si="123"/>
        <v>0.8</v>
      </c>
      <c r="I1094" s="16">
        <f t="shared" si="124"/>
        <v>0</v>
      </c>
      <c r="J1094" s="16">
        <f t="shared" si="125"/>
        <v>0</v>
      </c>
      <c r="K1094" s="16">
        <f>IF(CurrentMtgRatesDataTable8[[#This Row],[WA CC]]&lt;&gt;0,C1093-CurrentMtgRatesDataTable8[[#This Row],[WA CC]],0)</f>
        <v>0</v>
      </c>
      <c r="L1094" s="16">
        <f>IF(CurrentMtgRatesDataTable8[[#This Row],[Servicing Spread]]&lt;=0,L1093,CurrentMtgRatesDataTable8[[#This Row],[Servicing Spread]])</f>
        <v>0.40660000000000007</v>
      </c>
      <c r="M1094" s="16">
        <f>CurrentMtgRatesDataTable8[[#This Row],[Servicing Spread Non-Zero]]-L1093</f>
        <v>0</v>
      </c>
      <c r="N1094" s="16">
        <f>IF(J1093&lt;&gt;0,CurrentMtgRatesDataTable8[[#This Row],[Rate]]-C1093,N1093)</f>
        <v>-2.5000000000000355E-2</v>
      </c>
    </row>
    <row r="1095" spans="1:14">
      <c r="A1095" s="39" t="s">
        <v>2447</v>
      </c>
      <c r="B1095" s="40">
        <v>5.1959999999999997</v>
      </c>
      <c r="C1095" s="11">
        <v>5.7299999999999995</v>
      </c>
      <c r="D1095" s="16">
        <f t="shared" si="119"/>
        <v>7</v>
      </c>
      <c r="E1095" s="16">
        <f t="shared" si="120"/>
        <v>0.2</v>
      </c>
      <c r="F1095" s="16">
        <f t="shared" si="121"/>
        <v>5</v>
      </c>
      <c r="G1095" s="16">
        <f t="shared" si="122"/>
        <v>5.2520000000000007</v>
      </c>
      <c r="H1095" s="16">
        <f t="shared" si="123"/>
        <v>1</v>
      </c>
      <c r="I1095" s="16">
        <f t="shared" si="124"/>
        <v>1</v>
      </c>
      <c r="J1095" s="16">
        <f t="shared" si="125"/>
        <v>5.2520000000000007</v>
      </c>
      <c r="K1095" s="16">
        <f>IF(CurrentMtgRatesDataTable8[[#This Row],[WA CC]]&lt;&gt;0,C1094-CurrentMtgRatesDataTable8[[#This Row],[WA CC]],0)</f>
        <v>0.47799999999999887</v>
      </c>
      <c r="L1095" s="16">
        <f>IF(CurrentMtgRatesDataTable8[[#This Row],[Servicing Spread]]&lt;=0,L1094,CurrentMtgRatesDataTable8[[#This Row],[Servicing Spread]])</f>
        <v>0.47799999999999887</v>
      </c>
      <c r="M1095" s="16">
        <f>CurrentMtgRatesDataTable8[[#This Row],[Servicing Spread Non-Zero]]-L1094</f>
        <v>7.1399999999998798E-2</v>
      </c>
      <c r="N1095" s="16">
        <f>IF(J1094&lt;&gt;0,CurrentMtgRatesDataTable8[[#This Row],[Rate]]-C1094,N1094)</f>
        <v>-2.5000000000000355E-2</v>
      </c>
    </row>
    <row r="1096" spans="1:14">
      <c r="A1096" s="39" t="s">
        <v>2448</v>
      </c>
      <c r="B1096" s="40">
        <v>5.2679999999999998</v>
      </c>
      <c r="C1096" s="11">
        <v>5.7299999999999995</v>
      </c>
      <c r="D1096" s="16">
        <f t="shared" si="119"/>
        <v>1</v>
      </c>
      <c r="E1096" s="16">
        <f t="shared" si="120"/>
        <v>0.2</v>
      </c>
      <c r="F1096" s="16">
        <f t="shared" si="121"/>
        <v>1</v>
      </c>
      <c r="G1096" s="16">
        <f t="shared" si="122"/>
        <v>1.0536000000000001</v>
      </c>
      <c r="H1096" s="16">
        <f t="shared" si="123"/>
        <v>0.2</v>
      </c>
      <c r="I1096" s="16">
        <f t="shared" si="124"/>
        <v>0</v>
      </c>
      <c r="J1096" s="16">
        <f t="shared" si="125"/>
        <v>0</v>
      </c>
      <c r="K1096" s="16">
        <f>IF(CurrentMtgRatesDataTable8[[#This Row],[WA CC]]&lt;&gt;0,C1095-CurrentMtgRatesDataTable8[[#This Row],[WA CC]],0)</f>
        <v>0</v>
      </c>
      <c r="L1096" s="16">
        <f>IF(CurrentMtgRatesDataTable8[[#This Row],[Servicing Spread]]&lt;=0,L1095,CurrentMtgRatesDataTable8[[#This Row],[Servicing Spread]])</f>
        <v>0.47799999999999887</v>
      </c>
      <c r="M1096" s="16">
        <f>CurrentMtgRatesDataTable8[[#This Row],[Servicing Spread Non-Zero]]-L1095</f>
        <v>0</v>
      </c>
      <c r="N1096" s="16">
        <f>IF(J1095&lt;&gt;0,CurrentMtgRatesDataTable8[[#This Row],[Rate]]-C1095,N1095)</f>
        <v>0</v>
      </c>
    </row>
    <row r="1097" spans="1:14">
      <c r="A1097" s="39" t="s">
        <v>2449</v>
      </c>
      <c r="B1097" s="40">
        <v>5.2089999999999996</v>
      </c>
      <c r="C1097" s="11">
        <v>5.7299999999999995</v>
      </c>
      <c r="D1097" s="16">
        <f t="shared" si="119"/>
        <v>2</v>
      </c>
      <c r="E1097" s="16">
        <f t="shared" si="120"/>
        <v>0.2</v>
      </c>
      <c r="F1097" s="16">
        <f t="shared" si="121"/>
        <v>2</v>
      </c>
      <c r="G1097" s="16">
        <f t="shared" si="122"/>
        <v>2.0954000000000002</v>
      </c>
      <c r="H1097" s="16">
        <f t="shared" si="123"/>
        <v>0.4</v>
      </c>
      <c r="I1097" s="16">
        <f t="shared" si="124"/>
        <v>0</v>
      </c>
      <c r="J1097" s="16">
        <f t="shared" si="125"/>
        <v>0</v>
      </c>
      <c r="K1097" s="16">
        <f>IF(CurrentMtgRatesDataTable8[[#This Row],[WA CC]]&lt;&gt;0,C1096-CurrentMtgRatesDataTable8[[#This Row],[WA CC]],0)</f>
        <v>0</v>
      </c>
      <c r="L1097" s="16">
        <f>IF(CurrentMtgRatesDataTable8[[#This Row],[Servicing Spread]]&lt;=0,L1096,CurrentMtgRatesDataTable8[[#This Row],[Servicing Spread]])</f>
        <v>0.47799999999999887</v>
      </c>
      <c r="M1097" s="16">
        <f>CurrentMtgRatesDataTable8[[#This Row],[Servicing Spread Non-Zero]]-L1096</f>
        <v>0</v>
      </c>
      <c r="N1097" s="16">
        <f>IF(J1096&lt;&gt;0,CurrentMtgRatesDataTable8[[#This Row],[Rate]]-C1096,N1096)</f>
        <v>0</v>
      </c>
    </row>
    <row r="1098" spans="1:14">
      <c r="A1098" s="39" t="s">
        <v>2450</v>
      </c>
      <c r="B1098" s="40">
        <v>5.2839999999999998</v>
      </c>
      <c r="C1098" s="11">
        <v>5.7299999999999995</v>
      </c>
      <c r="D1098" s="16">
        <f t="shared" si="119"/>
        <v>5</v>
      </c>
      <c r="E1098" s="16">
        <f t="shared" si="120"/>
        <v>0.2</v>
      </c>
      <c r="F1098" s="16">
        <f t="shared" si="121"/>
        <v>3</v>
      </c>
      <c r="G1098" s="16">
        <f t="shared" si="122"/>
        <v>3.1522000000000001</v>
      </c>
      <c r="H1098" s="16">
        <f t="shared" si="123"/>
        <v>0.60000000000000009</v>
      </c>
      <c r="I1098" s="16">
        <f t="shared" si="124"/>
        <v>0</v>
      </c>
      <c r="J1098" s="16">
        <f t="shared" si="125"/>
        <v>0</v>
      </c>
      <c r="K1098" s="16">
        <f>IF(CurrentMtgRatesDataTable8[[#This Row],[WA CC]]&lt;&gt;0,C1097-CurrentMtgRatesDataTable8[[#This Row],[WA CC]],0)</f>
        <v>0</v>
      </c>
      <c r="L1098" s="16">
        <f>IF(CurrentMtgRatesDataTable8[[#This Row],[Servicing Spread]]&lt;=0,L1097,CurrentMtgRatesDataTable8[[#This Row],[Servicing Spread]])</f>
        <v>0.47799999999999887</v>
      </c>
      <c r="M1098" s="16">
        <f>CurrentMtgRatesDataTable8[[#This Row],[Servicing Spread Non-Zero]]-L1097</f>
        <v>0</v>
      </c>
      <c r="N1098" s="16">
        <f>IF(J1097&lt;&gt;0,CurrentMtgRatesDataTable8[[#This Row],[Rate]]-C1097,N1097)</f>
        <v>0</v>
      </c>
    </row>
    <row r="1099" spans="1:14">
      <c r="A1099" s="39" t="s">
        <v>2451</v>
      </c>
      <c r="B1099" s="40">
        <v>5.3840000000000003</v>
      </c>
      <c r="C1099" s="11">
        <v>5.7299999999999995</v>
      </c>
      <c r="D1099" s="16">
        <f t="shared" si="119"/>
        <v>6</v>
      </c>
      <c r="E1099" s="16">
        <f t="shared" si="120"/>
        <v>0.2</v>
      </c>
      <c r="F1099" s="16">
        <f t="shared" si="121"/>
        <v>4</v>
      </c>
      <c r="G1099" s="16">
        <f t="shared" si="122"/>
        <v>4.2290000000000001</v>
      </c>
      <c r="H1099" s="16">
        <f t="shared" si="123"/>
        <v>0.8</v>
      </c>
      <c r="I1099" s="16">
        <f t="shared" si="124"/>
        <v>0</v>
      </c>
      <c r="J1099" s="16">
        <f t="shared" si="125"/>
        <v>0</v>
      </c>
      <c r="K1099" s="16">
        <f>IF(CurrentMtgRatesDataTable8[[#This Row],[WA CC]]&lt;&gt;0,C1098-CurrentMtgRatesDataTable8[[#This Row],[WA CC]],0)</f>
        <v>0</v>
      </c>
      <c r="L1099" s="16">
        <f>IF(CurrentMtgRatesDataTable8[[#This Row],[Servicing Spread]]&lt;=0,L1098,CurrentMtgRatesDataTable8[[#This Row],[Servicing Spread]])</f>
        <v>0.47799999999999887</v>
      </c>
      <c r="M1099" s="16">
        <f>CurrentMtgRatesDataTable8[[#This Row],[Servicing Spread Non-Zero]]-L1098</f>
        <v>0</v>
      </c>
      <c r="N1099" s="16">
        <f>IF(J1098&lt;&gt;0,CurrentMtgRatesDataTable8[[#This Row],[Rate]]-C1098,N1098)</f>
        <v>0</v>
      </c>
    </row>
    <row r="1100" spans="1:14">
      <c r="A1100" s="39" t="s">
        <v>2452</v>
      </c>
      <c r="B1100" s="40">
        <v>5.55</v>
      </c>
      <c r="C1100" s="11">
        <v>5.7299999999999995</v>
      </c>
      <c r="D1100" s="16">
        <f t="shared" si="119"/>
        <v>7</v>
      </c>
      <c r="E1100" s="16">
        <f t="shared" si="120"/>
        <v>0.2</v>
      </c>
      <c r="F1100" s="16">
        <f t="shared" si="121"/>
        <v>5</v>
      </c>
      <c r="G1100" s="16">
        <f t="shared" si="122"/>
        <v>5.3390000000000004</v>
      </c>
      <c r="H1100" s="16">
        <f t="shared" si="123"/>
        <v>1</v>
      </c>
      <c r="I1100" s="16">
        <f t="shared" si="124"/>
        <v>1</v>
      </c>
      <c r="J1100" s="16">
        <f t="shared" si="125"/>
        <v>5.3390000000000004</v>
      </c>
      <c r="K1100" s="16">
        <f>IF(CurrentMtgRatesDataTable8[[#This Row],[WA CC]]&lt;&gt;0,C1099-CurrentMtgRatesDataTable8[[#This Row],[WA CC]],0)</f>
        <v>0.39099999999999913</v>
      </c>
      <c r="L1100" s="16">
        <f>IF(CurrentMtgRatesDataTable8[[#This Row],[Servicing Spread]]&lt;=0,L1099,CurrentMtgRatesDataTable8[[#This Row],[Servicing Spread]])</f>
        <v>0.39099999999999913</v>
      </c>
      <c r="M1100" s="16">
        <f>CurrentMtgRatesDataTable8[[#This Row],[Servicing Spread Non-Zero]]-L1099</f>
        <v>-8.6999999999999744E-2</v>
      </c>
      <c r="N1100" s="16">
        <f>IF(J1099&lt;&gt;0,CurrentMtgRatesDataTable8[[#This Row],[Rate]]-C1099,N1099)</f>
        <v>0</v>
      </c>
    </row>
    <row r="1101" spans="1:14">
      <c r="A1101" s="39" t="s">
        <v>2453</v>
      </c>
      <c r="B1101" s="40">
        <v>5.5789999999999997</v>
      </c>
      <c r="C1101" s="11">
        <v>5.8550000000000004</v>
      </c>
      <c r="D1101" s="16">
        <f t="shared" si="119"/>
        <v>1</v>
      </c>
      <c r="E1101" s="16">
        <f t="shared" si="120"/>
        <v>0.2</v>
      </c>
      <c r="F1101" s="16">
        <f t="shared" si="121"/>
        <v>1</v>
      </c>
      <c r="G1101" s="16">
        <f t="shared" si="122"/>
        <v>1.1157999999999999</v>
      </c>
      <c r="H1101" s="16">
        <f t="shared" si="123"/>
        <v>0.2</v>
      </c>
      <c r="I1101" s="16">
        <f t="shared" si="124"/>
        <v>0</v>
      </c>
      <c r="J1101" s="16">
        <f t="shared" si="125"/>
        <v>0</v>
      </c>
      <c r="K1101" s="16">
        <f>IF(CurrentMtgRatesDataTable8[[#This Row],[WA CC]]&lt;&gt;0,C1100-CurrentMtgRatesDataTable8[[#This Row],[WA CC]],0)</f>
        <v>0</v>
      </c>
      <c r="L1101" s="16">
        <f>IF(CurrentMtgRatesDataTable8[[#This Row],[Servicing Spread]]&lt;=0,L1100,CurrentMtgRatesDataTable8[[#This Row],[Servicing Spread]])</f>
        <v>0.39099999999999913</v>
      </c>
      <c r="M1101" s="16">
        <f>CurrentMtgRatesDataTable8[[#This Row],[Servicing Spread Non-Zero]]-L1100</f>
        <v>0</v>
      </c>
      <c r="N1101" s="16">
        <f>IF(J1100&lt;&gt;0,CurrentMtgRatesDataTable8[[#This Row],[Rate]]-C1100,N1100)</f>
        <v>0.12500000000000089</v>
      </c>
    </row>
    <row r="1102" spans="1:14">
      <c r="A1102" s="39" t="s">
        <v>2454</v>
      </c>
      <c r="B1102" s="40">
        <v>5.5</v>
      </c>
      <c r="C1102" s="11">
        <v>5.8550000000000004</v>
      </c>
      <c r="D1102" s="16">
        <f t="shared" si="119"/>
        <v>2</v>
      </c>
      <c r="E1102" s="16">
        <f t="shared" si="120"/>
        <v>0.2</v>
      </c>
      <c r="F1102" s="16">
        <f t="shared" si="121"/>
        <v>2</v>
      </c>
      <c r="G1102" s="16">
        <f t="shared" si="122"/>
        <v>2.2157999999999998</v>
      </c>
      <c r="H1102" s="16">
        <f t="shared" si="123"/>
        <v>0.4</v>
      </c>
      <c r="I1102" s="16">
        <f t="shared" si="124"/>
        <v>0</v>
      </c>
      <c r="J1102" s="16">
        <f t="shared" si="125"/>
        <v>0</v>
      </c>
      <c r="K1102" s="16">
        <f>IF(CurrentMtgRatesDataTable8[[#This Row],[WA CC]]&lt;&gt;0,C1101-CurrentMtgRatesDataTable8[[#This Row],[WA CC]],0)</f>
        <v>0</v>
      </c>
      <c r="L1102" s="16">
        <f>IF(CurrentMtgRatesDataTable8[[#This Row],[Servicing Spread]]&lt;=0,L1101,CurrentMtgRatesDataTable8[[#This Row],[Servicing Spread]])</f>
        <v>0.39099999999999913</v>
      </c>
      <c r="M1102" s="16">
        <f>CurrentMtgRatesDataTable8[[#This Row],[Servicing Spread Non-Zero]]-L1101</f>
        <v>0</v>
      </c>
      <c r="N1102" s="16">
        <f>IF(J1101&lt;&gt;0,CurrentMtgRatesDataTable8[[#This Row],[Rate]]-C1101,N1101)</f>
        <v>0.12500000000000089</v>
      </c>
    </row>
    <row r="1103" spans="1:14">
      <c r="A1103" s="39" t="s">
        <v>2455</v>
      </c>
      <c r="B1103" s="40">
        <v>5.4260000000000002</v>
      </c>
      <c r="C1103" s="11">
        <v>5.8550000000000004</v>
      </c>
      <c r="D1103" s="16">
        <f t="shared" si="119"/>
        <v>5</v>
      </c>
      <c r="E1103" s="16">
        <f t="shared" si="120"/>
        <v>0.2</v>
      </c>
      <c r="F1103" s="16">
        <f t="shared" si="121"/>
        <v>3</v>
      </c>
      <c r="G1103" s="16">
        <f t="shared" si="122"/>
        <v>3.3010000000000002</v>
      </c>
      <c r="H1103" s="16">
        <f t="shared" si="123"/>
        <v>0.60000000000000009</v>
      </c>
      <c r="I1103" s="16">
        <f t="shared" si="124"/>
        <v>0</v>
      </c>
      <c r="J1103" s="16">
        <f t="shared" si="125"/>
        <v>0</v>
      </c>
      <c r="K1103" s="16">
        <f>IF(CurrentMtgRatesDataTable8[[#This Row],[WA CC]]&lt;&gt;0,C1102-CurrentMtgRatesDataTable8[[#This Row],[WA CC]],0)</f>
        <v>0</v>
      </c>
      <c r="L1103" s="16">
        <f>IF(CurrentMtgRatesDataTable8[[#This Row],[Servicing Spread]]&lt;=0,L1102,CurrentMtgRatesDataTable8[[#This Row],[Servicing Spread]])</f>
        <v>0.39099999999999913</v>
      </c>
      <c r="M1103" s="16">
        <f>CurrentMtgRatesDataTable8[[#This Row],[Servicing Spread Non-Zero]]-L1102</f>
        <v>0</v>
      </c>
      <c r="N1103" s="16">
        <f>IF(J1102&lt;&gt;0,CurrentMtgRatesDataTable8[[#This Row],[Rate]]-C1102,N1102)</f>
        <v>0.12500000000000089</v>
      </c>
    </row>
    <row r="1104" spans="1:14">
      <c r="A1104" s="39" t="s">
        <v>2456</v>
      </c>
      <c r="B1104" s="40">
        <v>5.3869999999999996</v>
      </c>
      <c r="C1104" s="11">
        <v>5.8550000000000004</v>
      </c>
      <c r="D1104" s="16">
        <f t="shared" si="119"/>
        <v>6</v>
      </c>
      <c r="E1104" s="16">
        <f t="shared" si="120"/>
        <v>0.2</v>
      </c>
      <c r="F1104" s="16">
        <f t="shared" si="121"/>
        <v>4</v>
      </c>
      <c r="G1104" s="16">
        <f t="shared" si="122"/>
        <v>4.3784000000000001</v>
      </c>
      <c r="H1104" s="16">
        <f t="shared" si="123"/>
        <v>0.8</v>
      </c>
      <c r="I1104" s="16">
        <f t="shared" si="124"/>
        <v>0</v>
      </c>
      <c r="J1104" s="16">
        <f t="shared" si="125"/>
        <v>0</v>
      </c>
      <c r="K1104" s="16">
        <f>IF(CurrentMtgRatesDataTable8[[#This Row],[WA CC]]&lt;&gt;0,C1103-CurrentMtgRatesDataTable8[[#This Row],[WA CC]],0)</f>
        <v>0</v>
      </c>
      <c r="L1104" s="16">
        <f>IF(CurrentMtgRatesDataTable8[[#This Row],[Servicing Spread]]&lt;=0,L1103,CurrentMtgRatesDataTable8[[#This Row],[Servicing Spread]])</f>
        <v>0.39099999999999913</v>
      </c>
      <c r="M1104" s="16">
        <f>CurrentMtgRatesDataTable8[[#This Row],[Servicing Spread Non-Zero]]-L1103</f>
        <v>0</v>
      </c>
      <c r="N1104" s="16">
        <f>IF(J1103&lt;&gt;0,CurrentMtgRatesDataTable8[[#This Row],[Rate]]-C1103,N1103)</f>
        <v>0.12500000000000089</v>
      </c>
    </row>
    <row r="1105" spans="1:14">
      <c r="A1105" s="39" t="s">
        <v>2457</v>
      </c>
      <c r="B1105" s="40">
        <v>5.4349999999999996</v>
      </c>
      <c r="C1105" s="11">
        <v>5.8550000000000004</v>
      </c>
      <c r="D1105" s="16">
        <f t="shared" si="119"/>
        <v>7</v>
      </c>
      <c r="E1105" s="16">
        <f t="shared" si="120"/>
        <v>0.2</v>
      </c>
      <c r="F1105" s="16">
        <f t="shared" si="121"/>
        <v>5</v>
      </c>
      <c r="G1105" s="16">
        <f t="shared" si="122"/>
        <v>5.4653999999999998</v>
      </c>
      <c r="H1105" s="16">
        <f t="shared" si="123"/>
        <v>1</v>
      </c>
      <c r="I1105" s="16">
        <f t="shared" si="124"/>
        <v>1</v>
      </c>
      <c r="J1105" s="16">
        <f t="shared" si="125"/>
        <v>5.4653999999999998</v>
      </c>
      <c r="K1105" s="16">
        <f>IF(CurrentMtgRatesDataTable8[[#This Row],[WA CC]]&lt;&gt;0,C1104-CurrentMtgRatesDataTable8[[#This Row],[WA CC]],0)</f>
        <v>0.38960000000000061</v>
      </c>
      <c r="L1105" s="16">
        <f>IF(CurrentMtgRatesDataTable8[[#This Row],[Servicing Spread]]&lt;=0,L1104,CurrentMtgRatesDataTable8[[#This Row],[Servicing Spread]])</f>
        <v>0.38960000000000061</v>
      </c>
      <c r="M1105" s="16">
        <f>CurrentMtgRatesDataTable8[[#This Row],[Servicing Spread Non-Zero]]-L1104</f>
        <v>-1.3999999999985135E-3</v>
      </c>
      <c r="N1105" s="16">
        <f>IF(J1104&lt;&gt;0,CurrentMtgRatesDataTable8[[#This Row],[Rate]]-C1104,N1104)</f>
        <v>0.12500000000000089</v>
      </c>
    </row>
    <row r="1106" spans="1:14">
      <c r="A1106" s="39" t="s">
        <v>2458</v>
      </c>
      <c r="B1106" s="40">
        <v>5.5309999999999997</v>
      </c>
      <c r="C1106" s="11">
        <v>5.9349999999999996</v>
      </c>
      <c r="D1106" s="16">
        <f t="shared" si="119"/>
        <v>1</v>
      </c>
      <c r="E1106" s="16">
        <f t="shared" si="120"/>
        <v>0.2</v>
      </c>
      <c r="F1106" s="16">
        <f t="shared" si="121"/>
        <v>1</v>
      </c>
      <c r="G1106" s="16">
        <f t="shared" si="122"/>
        <v>1.1062000000000001</v>
      </c>
      <c r="H1106" s="16">
        <f t="shared" si="123"/>
        <v>0.2</v>
      </c>
      <c r="I1106" s="16">
        <f t="shared" si="124"/>
        <v>0</v>
      </c>
      <c r="J1106" s="16">
        <f t="shared" si="125"/>
        <v>0</v>
      </c>
      <c r="K1106" s="16">
        <f>IF(CurrentMtgRatesDataTable8[[#This Row],[WA CC]]&lt;&gt;0,C1105-CurrentMtgRatesDataTable8[[#This Row],[WA CC]],0)</f>
        <v>0</v>
      </c>
      <c r="L1106" s="16">
        <f>IF(CurrentMtgRatesDataTable8[[#This Row],[Servicing Spread]]&lt;=0,L1105,CurrentMtgRatesDataTable8[[#This Row],[Servicing Spread]])</f>
        <v>0.38960000000000061</v>
      </c>
      <c r="M1106" s="16">
        <f>CurrentMtgRatesDataTable8[[#This Row],[Servicing Spread Non-Zero]]-L1105</f>
        <v>0</v>
      </c>
      <c r="N1106" s="16">
        <f>IF(J1105&lt;&gt;0,CurrentMtgRatesDataTable8[[#This Row],[Rate]]-C1105,N1105)</f>
        <v>7.9999999999999183E-2</v>
      </c>
    </row>
    <row r="1107" spans="1:14">
      <c r="A1107" s="39" t="s">
        <v>2459</v>
      </c>
      <c r="B1107" s="40">
        <v>5.5380000000000003</v>
      </c>
      <c r="C1107" s="11">
        <v>5.9349999999999996</v>
      </c>
      <c r="D1107" s="16">
        <f t="shared" si="119"/>
        <v>2</v>
      </c>
      <c r="E1107" s="16">
        <f t="shared" si="120"/>
        <v>0.2</v>
      </c>
      <c r="F1107" s="16">
        <f t="shared" si="121"/>
        <v>2</v>
      </c>
      <c r="G1107" s="16">
        <f t="shared" si="122"/>
        <v>2.2138</v>
      </c>
      <c r="H1107" s="16">
        <f t="shared" si="123"/>
        <v>0.4</v>
      </c>
      <c r="I1107" s="16">
        <f t="shared" si="124"/>
        <v>0</v>
      </c>
      <c r="J1107" s="16">
        <f t="shared" si="125"/>
        <v>0</v>
      </c>
      <c r="K1107" s="16">
        <f>IF(CurrentMtgRatesDataTable8[[#This Row],[WA CC]]&lt;&gt;0,C1106-CurrentMtgRatesDataTable8[[#This Row],[WA CC]],0)</f>
        <v>0</v>
      </c>
      <c r="L1107" s="16">
        <f>IF(CurrentMtgRatesDataTable8[[#This Row],[Servicing Spread]]&lt;=0,L1106,CurrentMtgRatesDataTable8[[#This Row],[Servicing Spread]])</f>
        <v>0.38960000000000061</v>
      </c>
      <c r="M1107" s="16">
        <f>CurrentMtgRatesDataTable8[[#This Row],[Servicing Spread Non-Zero]]-L1106</f>
        <v>0</v>
      </c>
      <c r="N1107" s="16">
        <f>IF(J1106&lt;&gt;0,CurrentMtgRatesDataTable8[[#This Row],[Rate]]-C1106,N1106)</f>
        <v>7.9999999999999183E-2</v>
      </c>
    </row>
    <row r="1108" spans="1:14">
      <c r="A1108" s="39" t="s">
        <v>2460</v>
      </c>
      <c r="B1108" s="40">
        <v>5.49</v>
      </c>
      <c r="C1108" s="11">
        <v>5.9349999999999996</v>
      </c>
      <c r="D1108" s="16">
        <f t="shared" si="119"/>
        <v>5</v>
      </c>
      <c r="E1108" s="16">
        <f t="shared" si="120"/>
        <v>0.2</v>
      </c>
      <c r="F1108" s="16">
        <f t="shared" si="121"/>
        <v>3</v>
      </c>
      <c r="G1108" s="16">
        <f t="shared" si="122"/>
        <v>3.3117999999999999</v>
      </c>
      <c r="H1108" s="16">
        <f t="shared" si="123"/>
        <v>0.60000000000000009</v>
      </c>
      <c r="I1108" s="16">
        <f t="shared" si="124"/>
        <v>0</v>
      </c>
      <c r="J1108" s="16">
        <f t="shared" si="125"/>
        <v>0</v>
      </c>
      <c r="K1108" s="16">
        <f>IF(CurrentMtgRatesDataTable8[[#This Row],[WA CC]]&lt;&gt;0,C1107-CurrentMtgRatesDataTable8[[#This Row],[WA CC]],0)</f>
        <v>0</v>
      </c>
      <c r="L1108" s="16">
        <f>IF(CurrentMtgRatesDataTable8[[#This Row],[Servicing Spread]]&lt;=0,L1107,CurrentMtgRatesDataTable8[[#This Row],[Servicing Spread]])</f>
        <v>0.38960000000000061</v>
      </c>
      <c r="M1108" s="16">
        <f>CurrentMtgRatesDataTable8[[#This Row],[Servicing Spread Non-Zero]]-L1107</f>
        <v>0</v>
      </c>
      <c r="N1108" s="16">
        <f>IF(J1107&lt;&gt;0,CurrentMtgRatesDataTable8[[#This Row],[Rate]]-C1107,N1107)</f>
        <v>7.9999999999999183E-2</v>
      </c>
    </row>
    <row r="1109" spans="1:14">
      <c r="A1109" s="39" t="s">
        <v>2461</v>
      </c>
      <c r="B1109" s="40">
        <v>5.4710000000000001</v>
      </c>
      <c r="C1109" s="11">
        <v>5.9349999999999996</v>
      </c>
      <c r="D1109" s="16">
        <f t="shared" si="119"/>
        <v>6</v>
      </c>
      <c r="E1109" s="16">
        <f t="shared" si="120"/>
        <v>0.2</v>
      </c>
      <c r="F1109" s="16">
        <f t="shared" si="121"/>
        <v>4</v>
      </c>
      <c r="G1109" s="16">
        <f t="shared" si="122"/>
        <v>4.4059999999999997</v>
      </c>
      <c r="H1109" s="16">
        <f t="shared" si="123"/>
        <v>0.8</v>
      </c>
      <c r="I1109" s="16">
        <f t="shared" si="124"/>
        <v>0</v>
      </c>
      <c r="J1109" s="16">
        <f t="shared" si="125"/>
        <v>0</v>
      </c>
      <c r="K1109" s="16">
        <f>IF(CurrentMtgRatesDataTable8[[#This Row],[WA CC]]&lt;&gt;0,C1108-CurrentMtgRatesDataTable8[[#This Row],[WA CC]],0)</f>
        <v>0</v>
      </c>
      <c r="L1109" s="16">
        <f>IF(CurrentMtgRatesDataTable8[[#This Row],[Servicing Spread]]&lt;=0,L1108,CurrentMtgRatesDataTable8[[#This Row],[Servicing Spread]])</f>
        <v>0.38960000000000061</v>
      </c>
      <c r="M1109" s="16">
        <f>CurrentMtgRatesDataTable8[[#This Row],[Servicing Spread Non-Zero]]-L1108</f>
        <v>0</v>
      </c>
      <c r="N1109" s="16">
        <f>IF(J1108&lt;&gt;0,CurrentMtgRatesDataTable8[[#This Row],[Rate]]-C1108,N1108)</f>
        <v>7.9999999999999183E-2</v>
      </c>
    </row>
    <row r="1110" spans="1:14">
      <c r="A1110" s="39" t="s">
        <v>2462</v>
      </c>
      <c r="B1110" s="40">
        <v>5.4020000000000001</v>
      </c>
      <c r="C1110" s="11">
        <v>5.9349999999999996</v>
      </c>
      <c r="D1110" s="16">
        <f t="shared" si="119"/>
        <v>7</v>
      </c>
      <c r="E1110" s="16">
        <f t="shared" si="120"/>
        <v>0.2</v>
      </c>
      <c r="F1110" s="16">
        <f t="shared" si="121"/>
        <v>5</v>
      </c>
      <c r="G1110" s="16">
        <f t="shared" si="122"/>
        <v>5.4863999999999997</v>
      </c>
      <c r="H1110" s="16">
        <f t="shared" si="123"/>
        <v>1</v>
      </c>
      <c r="I1110" s="16">
        <f t="shared" si="124"/>
        <v>1</v>
      </c>
      <c r="J1110" s="16">
        <f t="shared" si="125"/>
        <v>5.4863999999999997</v>
      </c>
      <c r="K1110" s="16">
        <f>IF(CurrentMtgRatesDataTable8[[#This Row],[WA CC]]&lt;&gt;0,C1109-CurrentMtgRatesDataTable8[[#This Row],[WA CC]],0)</f>
        <v>0.44859999999999989</v>
      </c>
      <c r="L1110" s="16">
        <f>IF(CurrentMtgRatesDataTable8[[#This Row],[Servicing Spread]]&lt;=0,L1109,CurrentMtgRatesDataTable8[[#This Row],[Servicing Spread]])</f>
        <v>0.44859999999999989</v>
      </c>
      <c r="M1110" s="16">
        <f>CurrentMtgRatesDataTable8[[#This Row],[Servicing Spread Non-Zero]]-L1109</f>
        <v>5.8999999999999275E-2</v>
      </c>
      <c r="N1110" s="16">
        <f>IF(J1109&lt;&gt;0,CurrentMtgRatesDataTable8[[#This Row],[Rate]]-C1109,N1109)</f>
        <v>7.9999999999999183E-2</v>
      </c>
    </row>
    <row r="1111" spans="1:14">
      <c r="A1111" s="39" t="s">
        <v>2463</v>
      </c>
      <c r="B1111" s="40">
        <v>5.3440000000000003</v>
      </c>
      <c r="C1111" s="11">
        <v>5.875</v>
      </c>
      <c r="D1111" s="16">
        <f t="shared" si="119"/>
        <v>1</v>
      </c>
      <c r="E1111" s="16">
        <f t="shared" si="120"/>
        <v>0.2</v>
      </c>
      <c r="F1111" s="16">
        <f t="shared" si="121"/>
        <v>1</v>
      </c>
      <c r="G1111" s="16">
        <f t="shared" si="122"/>
        <v>1.0688000000000002</v>
      </c>
      <c r="H1111" s="16">
        <f t="shared" si="123"/>
        <v>0.2</v>
      </c>
      <c r="I1111" s="16">
        <f t="shared" si="124"/>
        <v>0</v>
      </c>
      <c r="J1111" s="16">
        <f t="shared" si="125"/>
        <v>0</v>
      </c>
      <c r="K1111" s="16">
        <f>IF(CurrentMtgRatesDataTable8[[#This Row],[WA CC]]&lt;&gt;0,C1110-CurrentMtgRatesDataTable8[[#This Row],[WA CC]],0)</f>
        <v>0</v>
      </c>
      <c r="L1111" s="16">
        <f>IF(CurrentMtgRatesDataTable8[[#This Row],[Servicing Spread]]&lt;=0,L1110,CurrentMtgRatesDataTable8[[#This Row],[Servicing Spread]])</f>
        <v>0.44859999999999989</v>
      </c>
      <c r="M1111" s="16">
        <f>CurrentMtgRatesDataTable8[[#This Row],[Servicing Spread Non-Zero]]-L1110</f>
        <v>0</v>
      </c>
      <c r="N1111" s="16">
        <f>IF(J1110&lt;&gt;0,CurrentMtgRatesDataTable8[[#This Row],[Rate]]-C1110,N1110)</f>
        <v>-5.9999999999999609E-2</v>
      </c>
    </row>
    <row r="1112" spans="1:14">
      <c r="A1112" s="39" t="s">
        <v>2464</v>
      </c>
      <c r="B1112" s="40">
        <v>5.3869999999999996</v>
      </c>
      <c r="C1112" s="11">
        <v>5.875</v>
      </c>
      <c r="D1112" s="16">
        <f t="shared" si="119"/>
        <v>2</v>
      </c>
      <c r="E1112" s="16">
        <f t="shared" si="120"/>
        <v>0.2</v>
      </c>
      <c r="F1112" s="16">
        <f t="shared" si="121"/>
        <v>2</v>
      </c>
      <c r="G1112" s="16">
        <f t="shared" si="122"/>
        <v>2.1462000000000003</v>
      </c>
      <c r="H1112" s="16">
        <f t="shared" si="123"/>
        <v>0.4</v>
      </c>
      <c r="I1112" s="16">
        <f t="shared" si="124"/>
        <v>0</v>
      </c>
      <c r="J1112" s="16">
        <f t="shared" si="125"/>
        <v>0</v>
      </c>
      <c r="K1112" s="16">
        <f>IF(CurrentMtgRatesDataTable8[[#This Row],[WA CC]]&lt;&gt;0,C1111-CurrentMtgRatesDataTable8[[#This Row],[WA CC]],0)</f>
        <v>0</v>
      </c>
      <c r="L1112" s="16">
        <f>IF(CurrentMtgRatesDataTable8[[#This Row],[Servicing Spread]]&lt;=0,L1111,CurrentMtgRatesDataTable8[[#This Row],[Servicing Spread]])</f>
        <v>0.44859999999999989</v>
      </c>
      <c r="M1112" s="16">
        <f>CurrentMtgRatesDataTable8[[#This Row],[Servicing Spread Non-Zero]]-L1111</f>
        <v>0</v>
      </c>
      <c r="N1112" s="16">
        <f>IF(J1111&lt;&gt;0,CurrentMtgRatesDataTable8[[#This Row],[Rate]]-C1111,N1111)</f>
        <v>-5.9999999999999609E-2</v>
      </c>
    </row>
    <row r="1113" spans="1:14">
      <c r="A1113" s="39" t="s">
        <v>2465</v>
      </c>
      <c r="B1113" s="40">
        <v>5.4139999999999997</v>
      </c>
      <c r="C1113" s="11">
        <v>5.875</v>
      </c>
      <c r="D1113" s="16">
        <f t="shared" si="119"/>
        <v>5</v>
      </c>
      <c r="E1113" s="16">
        <f t="shared" si="120"/>
        <v>0.2</v>
      </c>
      <c r="F1113" s="16">
        <f t="shared" si="121"/>
        <v>3</v>
      </c>
      <c r="G1113" s="16">
        <f t="shared" si="122"/>
        <v>3.2290000000000001</v>
      </c>
      <c r="H1113" s="16">
        <f t="shared" si="123"/>
        <v>0.60000000000000009</v>
      </c>
      <c r="I1113" s="16">
        <f t="shared" si="124"/>
        <v>0</v>
      </c>
      <c r="J1113" s="16">
        <f t="shared" si="125"/>
        <v>0</v>
      </c>
      <c r="K1113" s="16">
        <f>IF(CurrentMtgRatesDataTable8[[#This Row],[WA CC]]&lt;&gt;0,C1112-CurrentMtgRatesDataTable8[[#This Row],[WA CC]],0)</f>
        <v>0</v>
      </c>
      <c r="L1113" s="16">
        <f>IF(CurrentMtgRatesDataTable8[[#This Row],[Servicing Spread]]&lt;=0,L1112,CurrentMtgRatesDataTable8[[#This Row],[Servicing Spread]])</f>
        <v>0.44859999999999989</v>
      </c>
      <c r="M1113" s="16">
        <f>CurrentMtgRatesDataTable8[[#This Row],[Servicing Spread Non-Zero]]-L1112</f>
        <v>0</v>
      </c>
      <c r="N1113" s="16">
        <f>IF(J1112&lt;&gt;0,CurrentMtgRatesDataTable8[[#This Row],[Rate]]-C1112,N1112)</f>
        <v>-5.9999999999999609E-2</v>
      </c>
    </row>
    <row r="1114" spans="1:14">
      <c r="A1114" s="39" t="s">
        <v>2466</v>
      </c>
      <c r="B1114" s="40">
        <v>5.4359999999999999</v>
      </c>
      <c r="C1114" s="11">
        <v>5.875</v>
      </c>
      <c r="D1114" s="16">
        <f t="shared" si="119"/>
        <v>6</v>
      </c>
      <c r="E1114" s="16">
        <f t="shared" si="120"/>
        <v>0.2</v>
      </c>
      <c r="F1114" s="16">
        <f t="shared" si="121"/>
        <v>4</v>
      </c>
      <c r="G1114" s="16">
        <f t="shared" si="122"/>
        <v>4.3162000000000003</v>
      </c>
      <c r="H1114" s="16">
        <f t="shared" si="123"/>
        <v>0.8</v>
      </c>
      <c r="I1114" s="16">
        <f t="shared" si="124"/>
        <v>0</v>
      </c>
      <c r="J1114" s="16">
        <f t="shared" si="125"/>
        <v>0</v>
      </c>
      <c r="K1114" s="16">
        <f>IF(CurrentMtgRatesDataTable8[[#This Row],[WA CC]]&lt;&gt;0,C1113-CurrentMtgRatesDataTable8[[#This Row],[WA CC]],0)</f>
        <v>0</v>
      </c>
      <c r="L1114" s="16">
        <f>IF(CurrentMtgRatesDataTable8[[#This Row],[Servicing Spread]]&lt;=0,L1113,CurrentMtgRatesDataTable8[[#This Row],[Servicing Spread]])</f>
        <v>0.44859999999999989</v>
      </c>
      <c r="M1114" s="16">
        <f>CurrentMtgRatesDataTable8[[#This Row],[Servicing Spread Non-Zero]]-L1113</f>
        <v>0</v>
      </c>
      <c r="N1114" s="16">
        <f>IF(J1113&lt;&gt;0,CurrentMtgRatesDataTable8[[#This Row],[Rate]]-C1113,N1113)</f>
        <v>-5.9999999999999609E-2</v>
      </c>
    </row>
    <row r="1115" spans="1:14">
      <c r="A1115" s="39" t="s">
        <v>2467</v>
      </c>
      <c r="B1115" s="40">
        <v>5.3940000000000001</v>
      </c>
      <c r="C1115" s="11">
        <v>5.875</v>
      </c>
      <c r="D1115" s="16">
        <f t="shared" si="119"/>
        <v>7</v>
      </c>
      <c r="E1115" s="16">
        <f t="shared" si="120"/>
        <v>0.2</v>
      </c>
      <c r="F1115" s="16">
        <f t="shared" si="121"/>
        <v>5</v>
      </c>
      <c r="G1115" s="16">
        <f t="shared" si="122"/>
        <v>5.3950000000000005</v>
      </c>
      <c r="H1115" s="16">
        <f t="shared" si="123"/>
        <v>1</v>
      </c>
      <c r="I1115" s="16">
        <f t="shared" si="124"/>
        <v>1</v>
      </c>
      <c r="J1115" s="16">
        <f t="shared" si="125"/>
        <v>5.3950000000000005</v>
      </c>
      <c r="K1115" s="16">
        <f>IF(CurrentMtgRatesDataTable8[[#This Row],[WA CC]]&lt;&gt;0,C1114-CurrentMtgRatesDataTable8[[#This Row],[WA CC]],0)</f>
        <v>0.47999999999999954</v>
      </c>
      <c r="L1115" s="16">
        <f>IF(CurrentMtgRatesDataTable8[[#This Row],[Servicing Spread]]&lt;=0,L1114,CurrentMtgRatesDataTable8[[#This Row],[Servicing Spread]])</f>
        <v>0.47999999999999954</v>
      </c>
      <c r="M1115" s="16">
        <f>CurrentMtgRatesDataTable8[[#This Row],[Servicing Spread Non-Zero]]-L1114</f>
        <v>3.139999999999965E-2</v>
      </c>
      <c r="N1115" s="16">
        <f>IF(J1114&lt;&gt;0,CurrentMtgRatesDataTable8[[#This Row],[Rate]]-C1114,N1114)</f>
        <v>-5.9999999999999609E-2</v>
      </c>
    </row>
    <row r="1116" spans="1:14">
      <c r="A1116" s="39" t="s">
        <v>2468</v>
      </c>
      <c r="B1116" s="40">
        <v>5.3230000000000004</v>
      </c>
      <c r="C1116" s="11">
        <v>5.91</v>
      </c>
      <c r="D1116" s="16">
        <f t="shared" si="119"/>
        <v>1</v>
      </c>
      <c r="E1116" s="16">
        <f t="shared" si="120"/>
        <v>0.2</v>
      </c>
      <c r="F1116" s="16">
        <f t="shared" si="121"/>
        <v>1</v>
      </c>
      <c r="G1116" s="16">
        <f t="shared" si="122"/>
        <v>1.0646000000000002</v>
      </c>
      <c r="H1116" s="16">
        <f t="shared" si="123"/>
        <v>0.2</v>
      </c>
      <c r="I1116" s="16">
        <f t="shared" si="124"/>
        <v>0</v>
      </c>
      <c r="J1116" s="16">
        <f t="shared" si="125"/>
        <v>0</v>
      </c>
      <c r="K1116" s="16">
        <f>IF(CurrentMtgRatesDataTable8[[#This Row],[WA CC]]&lt;&gt;0,C1115-CurrentMtgRatesDataTable8[[#This Row],[WA CC]],0)</f>
        <v>0</v>
      </c>
      <c r="L1116" s="16">
        <f>IF(CurrentMtgRatesDataTable8[[#This Row],[Servicing Spread]]&lt;=0,L1115,CurrentMtgRatesDataTable8[[#This Row],[Servicing Spread]])</f>
        <v>0.47999999999999954</v>
      </c>
      <c r="M1116" s="16">
        <f>CurrentMtgRatesDataTable8[[#This Row],[Servicing Spread Non-Zero]]-L1115</f>
        <v>0</v>
      </c>
      <c r="N1116" s="16">
        <f>IF(J1115&lt;&gt;0,CurrentMtgRatesDataTable8[[#This Row],[Rate]]-C1115,N1115)</f>
        <v>3.5000000000000142E-2</v>
      </c>
    </row>
    <row r="1117" spans="1:14">
      <c r="A1117" s="39" t="s">
        <v>2469</v>
      </c>
      <c r="B1117" s="40">
        <v>5.3550000000000004</v>
      </c>
      <c r="C1117" s="11">
        <v>5.91</v>
      </c>
      <c r="D1117" s="16">
        <f t="shared" si="119"/>
        <v>2</v>
      </c>
      <c r="E1117" s="16">
        <f t="shared" si="120"/>
        <v>0.2</v>
      </c>
      <c r="F1117" s="16">
        <f t="shared" si="121"/>
        <v>2</v>
      </c>
      <c r="G1117" s="16">
        <f t="shared" si="122"/>
        <v>2.1356000000000002</v>
      </c>
      <c r="H1117" s="16">
        <f t="shared" si="123"/>
        <v>0.4</v>
      </c>
      <c r="I1117" s="16">
        <f t="shared" si="124"/>
        <v>0</v>
      </c>
      <c r="J1117" s="16">
        <f t="shared" si="125"/>
        <v>0</v>
      </c>
      <c r="K1117" s="16">
        <f>IF(CurrentMtgRatesDataTable8[[#This Row],[WA CC]]&lt;&gt;0,C1116-CurrentMtgRatesDataTable8[[#This Row],[WA CC]],0)</f>
        <v>0</v>
      </c>
      <c r="L1117" s="16">
        <f>IF(CurrentMtgRatesDataTable8[[#This Row],[Servicing Spread]]&lt;=0,L1116,CurrentMtgRatesDataTable8[[#This Row],[Servicing Spread]])</f>
        <v>0.47999999999999954</v>
      </c>
      <c r="M1117" s="16">
        <f>CurrentMtgRatesDataTable8[[#This Row],[Servicing Spread Non-Zero]]-L1116</f>
        <v>0</v>
      </c>
      <c r="N1117" s="16">
        <f>IF(J1116&lt;&gt;0,CurrentMtgRatesDataTable8[[#This Row],[Rate]]-C1116,N1116)</f>
        <v>3.5000000000000142E-2</v>
      </c>
    </row>
    <row r="1118" spans="1:14">
      <c r="A1118" s="39" t="s">
        <v>2470</v>
      </c>
      <c r="B1118" s="40">
        <v>5.41</v>
      </c>
      <c r="C1118" s="11">
        <v>5.91</v>
      </c>
      <c r="D1118" s="16">
        <f t="shared" si="119"/>
        <v>5</v>
      </c>
      <c r="E1118" s="16">
        <f t="shared" si="120"/>
        <v>0.2</v>
      </c>
      <c r="F1118" s="16">
        <f t="shared" si="121"/>
        <v>3</v>
      </c>
      <c r="G1118" s="16">
        <f t="shared" si="122"/>
        <v>3.2176</v>
      </c>
      <c r="H1118" s="16">
        <f t="shared" si="123"/>
        <v>0.60000000000000009</v>
      </c>
      <c r="I1118" s="16">
        <f t="shared" si="124"/>
        <v>0</v>
      </c>
      <c r="J1118" s="16">
        <f t="shared" si="125"/>
        <v>0</v>
      </c>
      <c r="K1118" s="16">
        <f>IF(CurrentMtgRatesDataTable8[[#This Row],[WA CC]]&lt;&gt;0,C1117-CurrentMtgRatesDataTable8[[#This Row],[WA CC]],0)</f>
        <v>0</v>
      </c>
      <c r="L1118" s="16">
        <f>IF(CurrentMtgRatesDataTable8[[#This Row],[Servicing Spread]]&lt;=0,L1117,CurrentMtgRatesDataTable8[[#This Row],[Servicing Spread]])</f>
        <v>0.47999999999999954</v>
      </c>
      <c r="M1118" s="16">
        <f>CurrentMtgRatesDataTable8[[#This Row],[Servicing Spread Non-Zero]]-L1117</f>
        <v>0</v>
      </c>
      <c r="N1118" s="16">
        <f>IF(J1117&lt;&gt;0,CurrentMtgRatesDataTable8[[#This Row],[Rate]]-C1117,N1117)</f>
        <v>3.5000000000000142E-2</v>
      </c>
    </row>
    <row r="1119" spans="1:14">
      <c r="A1119" s="39" t="s">
        <v>2471</v>
      </c>
      <c r="B1119" s="40">
        <v>5.5519999999999996</v>
      </c>
      <c r="C1119" s="11">
        <v>5.91</v>
      </c>
      <c r="D1119" s="16">
        <f t="shared" si="119"/>
        <v>6</v>
      </c>
      <c r="E1119" s="16">
        <f t="shared" si="120"/>
        <v>0.2</v>
      </c>
      <c r="F1119" s="16">
        <f t="shared" si="121"/>
        <v>4</v>
      </c>
      <c r="G1119" s="16">
        <f t="shared" si="122"/>
        <v>4.3280000000000003</v>
      </c>
      <c r="H1119" s="16">
        <f t="shared" si="123"/>
        <v>0.8</v>
      </c>
      <c r="I1119" s="16">
        <f t="shared" si="124"/>
        <v>0</v>
      </c>
      <c r="J1119" s="16">
        <f t="shared" si="125"/>
        <v>0</v>
      </c>
      <c r="K1119" s="16">
        <f>IF(CurrentMtgRatesDataTable8[[#This Row],[WA CC]]&lt;&gt;0,C1118-CurrentMtgRatesDataTable8[[#This Row],[WA CC]],0)</f>
        <v>0</v>
      </c>
      <c r="L1119" s="16">
        <f>IF(CurrentMtgRatesDataTable8[[#This Row],[Servicing Spread]]&lt;=0,L1118,CurrentMtgRatesDataTable8[[#This Row],[Servicing Spread]])</f>
        <v>0.47999999999999954</v>
      </c>
      <c r="M1119" s="16">
        <f>CurrentMtgRatesDataTable8[[#This Row],[Servicing Spread Non-Zero]]-L1118</f>
        <v>0</v>
      </c>
      <c r="N1119" s="16">
        <f>IF(J1118&lt;&gt;0,CurrentMtgRatesDataTable8[[#This Row],[Rate]]-C1118,N1118)</f>
        <v>3.5000000000000142E-2</v>
      </c>
    </row>
    <row r="1120" spans="1:14">
      <c r="A1120" s="39" t="s">
        <v>2472</v>
      </c>
      <c r="B1120" s="40">
        <v>5.5549999999999997</v>
      </c>
      <c r="C1120" s="11">
        <v>5.91</v>
      </c>
      <c r="D1120" s="16">
        <f t="shared" si="119"/>
        <v>7</v>
      </c>
      <c r="E1120" s="16">
        <f t="shared" si="120"/>
        <v>0.2</v>
      </c>
      <c r="F1120" s="16">
        <f t="shared" si="121"/>
        <v>5</v>
      </c>
      <c r="G1120" s="16">
        <f t="shared" si="122"/>
        <v>5.4390000000000001</v>
      </c>
      <c r="H1120" s="16">
        <f t="shared" si="123"/>
        <v>1</v>
      </c>
      <c r="I1120" s="16">
        <f t="shared" si="124"/>
        <v>1</v>
      </c>
      <c r="J1120" s="16">
        <f t="shared" si="125"/>
        <v>5.4390000000000001</v>
      </c>
      <c r="K1120" s="16">
        <f>IF(CurrentMtgRatesDataTable8[[#This Row],[WA CC]]&lt;&gt;0,C1119-CurrentMtgRatesDataTable8[[#This Row],[WA CC]],0)</f>
        <v>0.47100000000000009</v>
      </c>
      <c r="L1120" s="16">
        <f>IF(CurrentMtgRatesDataTable8[[#This Row],[Servicing Spread]]&lt;=0,L1119,CurrentMtgRatesDataTable8[[#This Row],[Servicing Spread]])</f>
        <v>0.47100000000000009</v>
      </c>
      <c r="M1120" s="16">
        <f>CurrentMtgRatesDataTable8[[#This Row],[Servicing Spread Non-Zero]]-L1119</f>
        <v>-8.9999999999994529E-3</v>
      </c>
      <c r="N1120" s="16">
        <f>IF(J1119&lt;&gt;0,CurrentMtgRatesDataTable8[[#This Row],[Rate]]-C1119,N1119)</f>
        <v>3.5000000000000142E-2</v>
      </c>
    </row>
    <row r="1121" spans="1:14">
      <c r="A1121" s="39" t="s">
        <v>2473</v>
      </c>
      <c r="B1121" s="40">
        <v>5.4009999999999998</v>
      </c>
      <c r="C1121" s="11">
        <v>5.8550000000000004</v>
      </c>
      <c r="D1121" s="16">
        <f t="shared" si="119"/>
        <v>1</v>
      </c>
      <c r="E1121" s="16">
        <f t="shared" si="120"/>
        <v>0.2</v>
      </c>
      <c r="F1121" s="16">
        <f t="shared" si="121"/>
        <v>1</v>
      </c>
      <c r="G1121" s="16">
        <f t="shared" si="122"/>
        <v>1.0802</v>
      </c>
      <c r="H1121" s="16">
        <f t="shared" si="123"/>
        <v>0.2</v>
      </c>
      <c r="I1121" s="16">
        <f t="shared" si="124"/>
        <v>0</v>
      </c>
      <c r="J1121" s="16">
        <f t="shared" si="125"/>
        <v>0</v>
      </c>
      <c r="K1121" s="16">
        <f>IF(CurrentMtgRatesDataTable8[[#This Row],[WA CC]]&lt;&gt;0,C1120-CurrentMtgRatesDataTable8[[#This Row],[WA CC]],0)</f>
        <v>0</v>
      </c>
      <c r="L1121" s="16">
        <f>IF(CurrentMtgRatesDataTable8[[#This Row],[Servicing Spread]]&lt;=0,L1120,CurrentMtgRatesDataTable8[[#This Row],[Servicing Spread]])</f>
        <v>0.47100000000000009</v>
      </c>
      <c r="M1121" s="16">
        <f>CurrentMtgRatesDataTable8[[#This Row],[Servicing Spread Non-Zero]]-L1120</f>
        <v>0</v>
      </c>
      <c r="N1121" s="16">
        <f>IF(J1120&lt;&gt;0,CurrentMtgRatesDataTable8[[#This Row],[Rate]]-C1120,N1120)</f>
        <v>-5.4999999999999716E-2</v>
      </c>
    </row>
    <row r="1122" spans="1:14">
      <c r="A1122" s="39" t="s">
        <v>2474</v>
      </c>
      <c r="B1122" s="40">
        <v>5.3929999999999998</v>
      </c>
      <c r="C1122" s="11">
        <v>5.8550000000000004</v>
      </c>
      <c r="D1122" s="16">
        <f t="shared" si="119"/>
        <v>2</v>
      </c>
      <c r="E1122" s="16">
        <f t="shared" si="120"/>
        <v>0.2</v>
      </c>
      <c r="F1122" s="16">
        <f t="shared" si="121"/>
        <v>2</v>
      </c>
      <c r="G1122" s="16">
        <f t="shared" si="122"/>
        <v>2.1588000000000003</v>
      </c>
      <c r="H1122" s="16">
        <f t="shared" si="123"/>
        <v>0.4</v>
      </c>
      <c r="I1122" s="16">
        <f t="shared" si="124"/>
        <v>0</v>
      </c>
      <c r="J1122" s="16">
        <f t="shared" si="125"/>
        <v>0</v>
      </c>
      <c r="K1122" s="16">
        <f>IF(CurrentMtgRatesDataTable8[[#This Row],[WA CC]]&lt;&gt;0,C1121-CurrentMtgRatesDataTable8[[#This Row],[WA CC]],0)</f>
        <v>0</v>
      </c>
      <c r="L1122" s="16">
        <f>IF(CurrentMtgRatesDataTable8[[#This Row],[Servicing Spread]]&lt;=0,L1121,CurrentMtgRatesDataTable8[[#This Row],[Servicing Spread]])</f>
        <v>0.47100000000000009</v>
      </c>
      <c r="M1122" s="16">
        <f>CurrentMtgRatesDataTable8[[#This Row],[Servicing Spread Non-Zero]]-L1121</f>
        <v>0</v>
      </c>
      <c r="N1122" s="16">
        <f>IF(J1121&lt;&gt;0,CurrentMtgRatesDataTable8[[#This Row],[Rate]]-C1121,N1121)</f>
        <v>-5.4999999999999716E-2</v>
      </c>
    </row>
    <row r="1123" spans="1:14">
      <c r="A1123" s="39" t="s">
        <v>2475</v>
      </c>
      <c r="B1123" s="40">
        <v>5.3579999999999997</v>
      </c>
      <c r="C1123" s="11">
        <v>5.8550000000000004</v>
      </c>
      <c r="D1123" s="16">
        <f t="shared" si="119"/>
        <v>5</v>
      </c>
      <c r="E1123" s="16">
        <f t="shared" si="120"/>
        <v>0.2</v>
      </c>
      <c r="F1123" s="16">
        <f t="shared" si="121"/>
        <v>3</v>
      </c>
      <c r="G1123" s="16">
        <f t="shared" si="122"/>
        <v>3.2304000000000004</v>
      </c>
      <c r="H1123" s="16">
        <f t="shared" si="123"/>
        <v>0.60000000000000009</v>
      </c>
      <c r="I1123" s="16">
        <f t="shared" si="124"/>
        <v>0</v>
      </c>
      <c r="J1123" s="16">
        <f t="shared" si="125"/>
        <v>0</v>
      </c>
      <c r="K1123" s="16">
        <f>IF(CurrentMtgRatesDataTable8[[#This Row],[WA CC]]&lt;&gt;0,C1122-CurrentMtgRatesDataTable8[[#This Row],[WA CC]],0)</f>
        <v>0</v>
      </c>
      <c r="L1123" s="16">
        <f>IF(CurrentMtgRatesDataTable8[[#This Row],[Servicing Spread]]&lt;=0,L1122,CurrentMtgRatesDataTable8[[#This Row],[Servicing Spread]])</f>
        <v>0.47100000000000009</v>
      </c>
      <c r="M1123" s="16">
        <f>CurrentMtgRatesDataTable8[[#This Row],[Servicing Spread Non-Zero]]-L1122</f>
        <v>0</v>
      </c>
      <c r="N1123" s="16">
        <f>IF(J1122&lt;&gt;0,CurrentMtgRatesDataTable8[[#This Row],[Rate]]-C1122,N1122)</f>
        <v>-5.4999999999999716E-2</v>
      </c>
    </row>
    <row r="1124" spans="1:14">
      <c r="A1124" s="39" t="s">
        <v>2476</v>
      </c>
      <c r="B1124" s="40">
        <v>5.3049999999999997</v>
      </c>
      <c r="C1124" s="11">
        <v>5.8550000000000004</v>
      </c>
      <c r="D1124" s="16">
        <f t="shared" si="119"/>
        <v>6</v>
      </c>
      <c r="E1124" s="16">
        <f t="shared" si="120"/>
        <v>0.2</v>
      </c>
      <c r="F1124" s="16">
        <f t="shared" si="121"/>
        <v>4</v>
      </c>
      <c r="G1124" s="16">
        <f t="shared" si="122"/>
        <v>4.2914000000000003</v>
      </c>
      <c r="H1124" s="16">
        <f t="shared" si="123"/>
        <v>0.8</v>
      </c>
      <c r="I1124" s="16">
        <f t="shared" si="124"/>
        <v>0</v>
      </c>
      <c r="J1124" s="16">
        <f t="shared" si="125"/>
        <v>0</v>
      </c>
      <c r="K1124" s="16">
        <f>IF(CurrentMtgRatesDataTable8[[#This Row],[WA CC]]&lt;&gt;0,C1123-CurrentMtgRatesDataTable8[[#This Row],[WA CC]],0)</f>
        <v>0</v>
      </c>
      <c r="L1124" s="16">
        <f>IF(CurrentMtgRatesDataTable8[[#This Row],[Servicing Spread]]&lt;=0,L1123,CurrentMtgRatesDataTable8[[#This Row],[Servicing Spread]])</f>
        <v>0.47100000000000009</v>
      </c>
      <c r="M1124" s="16">
        <f>CurrentMtgRatesDataTable8[[#This Row],[Servicing Spread Non-Zero]]-L1123</f>
        <v>0</v>
      </c>
      <c r="N1124" s="16">
        <f>IF(J1123&lt;&gt;0,CurrentMtgRatesDataTable8[[#This Row],[Rate]]-C1123,N1123)</f>
        <v>-5.4999999999999716E-2</v>
      </c>
    </row>
    <row r="1125" spans="1:14">
      <c r="A1125" s="39" t="s">
        <v>2477</v>
      </c>
      <c r="B1125" s="40">
        <v>5.3609999999999998</v>
      </c>
      <c r="C1125" s="11">
        <v>5.8550000000000004</v>
      </c>
      <c r="D1125" s="16">
        <f t="shared" si="119"/>
        <v>7</v>
      </c>
      <c r="E1125" s="16">
        <f t="shared" si="120"/>
        <v>0.2</v>
      </c>
      <c r="F1125" s="16">
        <f t="shared" si="121"/>
        <v>5</v>
      </c>
      <c r="G1125" s="16">
        <f t="shared" si="122"/>
        <v>5.3635999999999999</v>
      </c>
      <c r="H1125" s="16">
        <f t="shared" si="123"/>
        <v>1</v>
      </c>
      <c r="I1125" s="16">
        <f t="shared" si="124"/>
        <v>1</v>
      </c>
      <c r="J1125" s="16">
        <f t="shared" si="125"/>
        <v>5.3635999999999999</v>
      </c>
      <c r="K1125" s="16">
        <f>IF(CurrentMtgRatesDataTable8[[#This Row],[WA CC]]&lt;&gt;0,C1124-CurrentMtgRatesDataTable8[[#This Row],[WA CC]],0)</f>
        <v>0.4914000000000005</v>
      </c>
      <c r="L1125" s="16">
        <f>IF(CurrentMtgRatesDataTable8[[#This Row],[Servicing Spread]]&lt;=0,L1124,CurrentMtgRatesDataTable8[[#This Row],[Servicing Spread]])</f>
        <v>0.4914000000000005</v>
      </c>
      <c r="M1125" s="16">
        <f>CurrentMtgRatesDataTable8[[#This Row],[Servicing Spread Non-Zero]]-L1124</f>
        <v>2.0400000000000418E-2</v>
      </c>
      <c r="N1125" s="16">
        <f>IF(J1124&lt;&gt;0,CurrentMtgRatesDataTable8[[#This Row],[Rate]]-C1124,N1124)</f>
        <v>-5.4999999999999716E-2</v>
      </c>
    </row>
    <row r="1126" spans="1:14">
      <c r="A1126" s="39" t="s">
        <v>2478</v>
      </c>
      <c r="B1126" s="40">
        <v>5.476</v>
      </c>
      <c r="C1126" s="11">
        <v>5.98</v>
      </c>
      <c r="D1126" s="16">
        <f t="shared" si="119"/>
        <v>1</v>
      </c>
      <c r="E1126" s="16">
        <f t="shared" si="120"/>
        <v>0.2</v>
      </c>
      <c r="F1126" s="16">
        <f t="shared" si="121"/>
        <v>1</v>
      </c>
      <c r="G1126" s="16">
        <f t="shared" si="122"/>
        <v>1.0952</v>
      </c>
      <c r="H1126" s="16">
        <f t="shared" si="123"/>
        <v>0.2</v>
      </c>
      <c r="I1126" s="16">
        <f t="shared" si="124"/>
        <v>0</v>
      </c>
      <c r="J1126" s="16">
        <f t="shared" si="125"/>
        <v>0</v>
      </c>
      <c r="K1126" s="16">
        <f>IF(CurrentMtgRatesDataTable8[[#This Row],[WA CC]]&lt;&gt;0,C1125-CurrentMtgRatesDataTable8[[#This Row],[WA CC]],0)</f>
        <v>0</v>
      </c>
      <c r="L1126" s="16">
        <f>IF(CurrentMtgRatesDataTable8[[#This Row],[Servicing Spread]]&lt;=0,L1125,CurrentMtgRatesDataTable8[[#This Row],[Servicing Spread]])</f>
        <v>0.4914000000000005</v>
      </c>
      <c r="M1126" s="16">
        <f>CurrentMtgRatesDataTable8[[#This Row],[Servicing Spread Non-Zero]]-L1125</f>
        <v>0</v>
      </c>
      <c r="N1126" s="16">
        <f>IF(J1125&lt;&gt;0,CurrentMtgRatesDataTable8[[#This Row],[Rate]]-C1125,N1125)</f>
        <v>0.125</v>
      </c>
    </row>
    <row r="1127" spans="1:14">
      <c r="A1127" s="39" t="s">
        <v>2479</v>
      </c>
      <c r="B1127" s="40">
        <v>5.4050000000000002</v>
      </c>
      <c r="C1127" s="11">
        <v>5.98</v>
      </c>
      <c r="D1127" s="16">
        <f t="shared" si="119"/>
        <v>2</v>
      </c>
      <c r="E1127" s="16">
        <f t="shared" si="120"/>
        <v>0.2</v>
      </c>
      <c r="F1127" s="16">
        <f t="shared" si="121"/>
        <v>2</v>
      </c>
      <c r="G1127" s="16">
        <f t="shared" si="122"/>
        <v>2.1762000000000001</v>
      </c>
      <c r="H1127" s="16">
        <f t="shared" si="123"/>
        <v>0.4</v>
      </c>
      <c r="I1127" s="16">
        <f t="shared" si="124"/>
        <v>0</v>
      </c>
      <c r="J1127" s="16">
        <f t="shared" si="125"/>
        <v>0</v>
      </c>
      <c r="K1127" s="16">
        <f>IF(CurrentMtgRatesDataTable8[[#This Row],[WA CC]]&lt;&gt;0,C1126-CurrentMtgRatesDataTable8[[#This Row],[WA CC]],0)</f>
        <v>0</v>
      </c>
      <c r="L1127" s="16">
        <f>IF(CurrentMtgRatesDataTable8[[#This Row],[Servicing Spread]]&lt;=0,L1126,CurrentMtgRatesDataTable8[[#This Row],[Servicing Spread]])</f>
        <v>0.4914000000000005</v>
      </c>
      <c r="M1127" s="16">
        <f>CurrentMtgRatesDataTable8[[#This Row],[Servicing Spread Non-Zero]]-L1126</f>
        <v>0</v>
      </c>
      <c r="N1127" s="16">
        <f>IF(J1126&lt;&gt;0,CurrentMtgRatesDataTable8[[#This Row],[Rate]]-C1126,N1126)</f>
        <v>0.125</v>
      </c>
    </row>
    <row r="1128" spans="1:14">
      <c r="A1128" s="39" t="s">
        <v>2480</v>
      </c>
      <c r="B1128" s="40">
        <v>5.5129999999999999</v>
      </c>
      <c r="C1128" s="11">
        <v>5.98</v>
      </c>
      <c r="D1128" s="16">
        <f t="shared" si="119"/>
        <v>6</v>
      </c>
      <c r="E1128" s="16">
        <f t="shared" si="120"/>
        <v>0.2</v>
      </c>
      <c r="F1128" s="16">
        <f t="shared" si="121"/>
        <v>3</v>
      </c>
      <c r="G1128" s="16">
        <f t="shared" si="122"/>
        <v>3.2788000000000004</v>
      </c>
      <c r="H1128" s="16">
        <f t="shared" si="123"/>
        <v>0.60000000000000009</v>
      </c>
      <c r="I1128" s="16">
        <f t="shared" si="124"/>
        <v>0</v>
      </c>
      <c r="J1128" s="16">
        <f t="shared" si="125"/>
        <v>0</v>
      </c>
      <c r="K1128" s="16">
        <f>IF(CurrentMtgRatesDataTable8[[#This Row],[WA CC]]&lt;&gt;0,C1127-CurrentMtgRatesDataTable8[[#This Row],[WA CC]],0)</f>
        <v>0</v>
      </c>
      <c r="L1128" s="16">
        <f>IF(CurrentMtgRatesDataTable8[[#This Row],[Servicing Spread]]&lt;=0,L1127,CurrentMtgRatesDataTable8[[#This Row],[Servicing Spread]])</f>
        <v>0.4914000000000005</v>
      </c>
      <c r="M1128" s="16">
        <f>CurrentMtgRatesDataTable8[[#This Row],[Servicing Spread Non-Zero]]-L1127</f>
        <v>0</v>
      </c>
      <c r="N1128" s="16">
        <f>IF(J1127&lt;&gt;0,CurrentMtgRatesDataTable8[[#This Row],[Rate]]-C1127,N1127)</f>
        <v>0.125</v>
      </c>
    </row>
    <row r="1129" spans="1:14">
      <c r="A1129" s="39" t="s">
        <v>2481</v>
      </c>
      <c r="B1129" s="40">
        <v>5.6390000000000002</v>
      </c>
      <c r="C1129" s="11">
        <v>5.98</v>
      </c>
      <c r="D1129" s="16">
        <f t="shared" si="119"/>
        <v>7</v>
      </c>
      <c r="E1129" s="16">
        <f t="shared" si="120"/>
        <v>0.2</v>
      </c>
      <c r="F1129" s="16">
        <f t="shared" si="121"/>
        <v>4</v>
      </c>
      <c r="G1129" s="16">
        <f t="shared" si="122"/>
        <v>4.406600000000001</v>
      </c>
      <c r="H1129" s="16">
        <f t="shared" si="123"/>
        <v>0.8</v>
      </c>
      <c r="I1129" s="16">
        <f t="shared" si="124"/>
        <v>1</v>
      </c>
      <c r="J1129" s="16">
        <f t="shared" si="125"/>
        <v>5.5082500000000012</v>
      </c>
      <c r="K1129" s="16">
        <f>IF(CurrentMtgRatesDataTable8[[#This Row],[WA CC]]&lt;&gt;0,C1128-CurrentMtgRatesDataTable8[[#This Row],[WA CC]],0)</f>
        <v>0.47174999999999923</v>
      </c>
      <c r="L1129" s="16">
        <f>IF(CurrentMtgRatesDataTable8[[#This Row],[Servicing Spread]]&lt;=0,L1128,CurrentMtgRatesDataTable8[[#This Row],[Servicing Spread]])</f>
        <v>0.47174999999999923</v>
      </c>
      <c r="M1129" s="16">
        <f>CurrentMtgRatesDataTable8[[#This Row],[Servicing Spread Non-Zero]]-L1128</f>
        <v>-1.9650000000001278E-2</v>
      </c>
      <c r="N1129" s="16">
        <f>IF(J1128&lt;&gt;0,CurrentMtgRatesDataTable8[[#This Row],[Rate]]-C1128,N1128)</f>
        <v>0.125</v>
      </c>
    </row>
    <row r="1130" spans="1:14">
      <c r="A1130" s="39" t="s">
        <v>2482</v>
      </c>
      <c r="B1130" s="40">
        <v>5.718</v>
      </c>
      <c r="C1130" s="11">
        <v>5.99</v>
      </c>
      <c r="D1130" s="16">
        <f t="shared" si="119"/>
        <v>1</v>
      </c>
      <c r="E1130" s="16">
        <f t="shared" si="120"/>
        <v>0.2</v>
      </c>
      <c r="F1130" s="16">
        <f t="shared" si="121"/>
        <v>1</v>
      </c>
      <c r="G1130" s="16">
        <f t="shared" si="122"/>
        <v>1.1435999999999999</v>
      </c>
      <c r="H1130" s="16">
        <f t="shared" si="123"/>
        <v>0.2</v>
      </c>
      <c r="I1130" s="16">
        <f t="shared" si="124"/>
        <v>0</v>
      </c>
      <c r="J1130" s="16">
        <f t="shared" si="125"/>
        <v>0</v>
      </c>
      <c r="K1130" s="16">
        <f>IF(CurrentMtgRatesDataTable8[[#This Row],[WA CC]]&lt;&gt;0,C1129-CurrentMtgRatesDataTable8[[#This Row],[WA CC]],0)</f>
        <v>0</v>
      </c>
      <c r="L1130" s="16">
        <f>IF(CurrentMtgRatesDataTable8[[#This Row],[Servicing Spread]]&lt;=0,L1129,CurrentMtgRatesDataTable8[[#This Row],[Servicing Spread]])</f>
        <v>0.47174999999999923</v>
      </c>
      <c r="M1130" s="16">
        <f>CurrentMtgRatesDataTable8[[#This Row],[Servicing Spread Non-Zero]]-L1129</f>
        <v>0</v>
      </c>
      <c r="N1130" s="16">
        <f>IF(J1129&lt;&gt;0,CurrentMtgRatesDataTable8[[#This Row],[Rate]]-C1129,N1129)</f>
        <v>9.9999999999997868E-3</v>
      </c>
    </row>
    <row r="1131" spans="1:14">
      <c r="A1131" s="39" t="s">
        <v>2483</v>
      </c>
      <c r="B1131" s="40">
        <v>5.6719999999999997</v>
      </c>
      <c r="C1131" s="11">
        <v>5.99</v>
      </c>
      <c r="D1131" s="16">
        <f t="shared" si="119"/>
        <v>2</v>
      </c>
      <c r="E1131" s="16">
        <f t="shared" si="120"/>
        <v>0.2</v>
      </c>
      <c r="F1131" s="16">
        <f t="shared" si="121"/>
        <v>2</v>
      </c>
      <c r="G1131" s="16">
        <f t="shared" si="122"/>
        <v>2.278</v>
      </c>
      <c r="H1131" s="16">
        <f t="shared" si="123"/>
        <v>0.4</v>
      </c>
      <c r="I1131" s="16">
        <f t="shared" si="124"/>
        <v>0</v>
      </c>
      <c r="J1131" s="16">
        <f t="shared" si="125"/>
        <v>0</v>
      </c>
      <c r="K1131" s="16">
        <f>IF(CurrentMtgRatesDataTable8[[#This Row],[WA CC]]&lt;&gt;0,C1130-CurrentMtgRatesDataTable8[[#This Row],[WA CC]],0)</f>
        <v>0</v>
      </c>
      <c r="L1131" s="16">
        <f>IF(CurrentMtgRatesDataTable8[[#This Row],[Servicing Spread]]&lt;=0,L1130,CurrentMtgRatesDataTable8[[#This Row],[Servicing Spread]])</f>
        <v>0.47174999999999923</v>
      </c>
      <c r="M1131" s="16">
        <f>CurrentMtgRatesDataTable8[[#This Row],[Servicing Spread Non-Zero]]-L1130</f>
        <v>0</v>
      </c>
      <c r="N1131" s="16">
        <f>IF(J1130&lt;&gt;0,CurrentMtgRatesDataTable8[[#This Row],[Rate]]-C1130,N1130)</f>
        <v>9.9999999999997868E-3</v>
      </c>
    </row>
    <row r="1132" spans="1:14">
      <c r="A1132" s="39" t="s">
        <v>2484</v>
      </c>
      <c r="B1132" s="40">
        <v>5.6120000000000001</v>
      </c>
      <c r="C1132" s="11">
        <v>5.99</v>
      </c>
      <c r="D1132" s="16">
        <f t="shared" si="119"/>
        <v>5</v>
      </c>
      <c r="E1132" s="16">
        <f t="shared" si="120"/>
        <v>0.2</v>
      </c>
      <c r="F1132" s="16">
        <f t="shared" si="121"/>
        <v>3</v>
      </c>
      <c r="G1132" s="16">
        <f t="shared" si="122"/>
        <v>3.4004000000000003</v>
      </c>
      <c r="H1132" s="16">
        <f t="shared" si="123"/>
        <v>0.60000000000000009</v>
      </c>
      <c r="I1132" s="16">
        <f t="shared" si="124"/>
        <v>0</v>
      </c>
      <c r="J1132" s="16">
        <f t="shared" si="125"/>
        <v>0</v>
      </c>
      <c r="K1132" s="16">
        <f>IF(CurrentMtgRatesDataTable8[[#This Row],[WA CC]]&lt;&gt;0,C1131-CurrentMtgRatesDataTable8[[#This Row],[WA CC]],0)</f>
        <v>0</v>
      </c>
      <c r="L1132" s="16">
        <f>IF(CurrentMtgRatesDataTable8[[#This Row],[Servicing Spread]]&lt;=0,L1131,CurrentMtgRatesDataTable8[[#This Row],[Servicing Spread]])</f>
        <v>0.47174999999999923</v>
      </c>
      <c r="M1132" s="16">
        <f>CurrentMtgRatesDataTable8[[#This Row],[Servicing Spread Non-Zero]]-L1131</f>
        <v>0</v>
      </c>
      <c r="N1132" s="16">
        <f>IF(J1131&lt;&gt;0,CurrentMtgRatesDataTable8[[#This Row],[Rate]]-C1131,N1131)</f>
        <v>9.9999999999997868E-3</v>
      </c>
    </row>
    <row r="1133" spans="1:14">
      <c r="A1133" s="39" t="s">
        <v>2485</v>
      </c>
      <c r="B1133" s="40">
        <v>5.5640000000000001</v>
      </c>
      <c r="C1133" s="11">
        <v>5.99</v>
      </c>
      <c r="D1133" s="16">
        <f t="shared" si="119"/>
        <v>6</v>
      </c>
      <c r="E1133" s="16">
        <f t="shared" si="120"/>
        <v>0.2</v>
      </c>
      <c r="F1133" s="16">
        <f t="shared" si="121"/>
        <v>4</v>
      </c>
      <c r="G1133" s="16">
        <f t="shared" si="122"/>
        <v>4.5132000000000003</v>
      </c>
      <c r="H1133" s="16">
        <f t="shared" si="123"/>
        <v>0.8</v>
      </c>
      <c r="I1133" s="16">
        <f t="shared" si="124"/>
        <v>0</v>
      </c>
      <c r="J1133" s="16">
        <f t="shared" si="125"/>
        <v>0</v>
      </c>
      <c r="K1133" s="16">
        <f>IF(CurrentMtgRatesDataTable8[[#This Row],[WA CC]]&lt;&gt;0,C1132-CurrentMtgRatesDataTable8[[#This Row],[WA CC]],0)</f>
        <v>0</v>
      </c>
      <c r="L1133" s="16">
        <f>IF(CurrentMtgRatesDataTable8[[#This Row],[Servicing Spread]]&lt;=0,L1132,CurrentMtgRatesDataTable8[[#This Row],[Servicing Spread]])</f>
        <v>0.47174999999999923</v>
      </c>
      <c r="M1133" s="16">
        <f>CurrentMtgRatesDataTable8[[#This Row],[Servicing Spread Non-Zero]]-L1132</f>
        <v>0</v>
      </c>
      <c r="N1133" s="16">
        <f>IF(J1132&lt;&gt;0,CurrentMtgRatesDataTable8[[#This Row],[Rate]]-C1132,N1132)</f>
        <v>9.9999999999997868E-3</v>
      </c>
    </row>
    <row r="1134" spans="1:14">
      <c r="A1134" s="39" t="s">
        <v>2486</v>
      </c>
      <c r="B1134" s="40">
        <v>5.6660000000000004</v>
      </c>
      <c r="C1134" s="11">
        <v>5.99</v>
      </c>
      <c r="D1134" s="16">
        <f t="shared" si="119"/>
        <v>7</v>
      </c>
      <c r="E1134" s="16">
        <f t="shared" si="120"/>
        <v>0.2</v>
      </c>
      <c r="F1134" s="16">
        <f t="shared" si="121"/>
        <v>5</v>
      </c>
      <c r="G1134" s="16">
        <f t="shared" si="122"/>
        <v>5.6464000000000008</v>
      </c>
      <c r="H1134" s="16">
        <f t="shared" si="123"/>
        <v>1</v>
      </c>
      <c r="I1134" s="16">
        <f t="shared" si="124"/>
        <v>1</v>
      </c>
      <c r="J1134" s="16">
        <f t="shared" si="125"/>
        <v>5.6464000000000008</v>
      </c>
      <c r="K1134" s="16">
        <f>IF(CurrentMtgRatesDataTable8[[#This Row],[WA CC]]&lt;&gt;0,C1133-CurrentMtgRatesDataTable8[[#This Row],[WA CC]],0)</f>
        <v>0.34359999999999946</v>
      </c>
      <c r="L1134" s="16">
        <f>IF(CurrentMtgRatesDataTable8[[#This Row],[Servicing Spread]]&lt;=0,L1133,CurrentMtgRatesDataTable8[[#This Row],[Servicing Spread]])</f>
        <v>0.34359999999999946</v>
      </c>
      <c r="M1134" s="16">
        <f>CurrentMtgRatesDataTable8[[#This Row],[Servicing Spread Non-Zero]]-L1133</f>
        <v>-0.12814999999999976</v>
      </c>
      <c r="N1134" s="16">
        <f>IF(J1133&lt;&gt;0,CurrentMtgRatesDataTable8[[#This Row],[Rate]]-C1133,N1133)</f>
        <v>9.9999999999997868E-3</v>
      </c>
    </row>
    <row r="1135" spans="1:14">
      <c r="A1135" s="39" t="s">
        <v>2487</v>
      </c>
      <c r="B1135" s="40">
        <v>5.7690000000000001</v>
      </c>
      <c r="C1135" s="11">
        <v>6.2450000000000001</v>
      </c>
      <c r="D1135" s="16">
        <f t="shared" si="119"/>
        <v>1</v>
      </c>
      <c r="E1135" s="16">
        <f t="shared" si="120"/>
        <v>0.2</v>
      </c>
      <c r="F1135" s="16">
        <f t="shared" si="121"/>
        <v>1</v>
      </c>
      <c r="G1135" s="16">
        <f t="shared" si="122"/>
        <v>1.1538000000000002</v>
      </c>
      <c r="H1135" s="16">
        <f t="shared" si="123"/>
        <v>0.2</v>
      </c>
      <c r="I1135" s="16">
        <f t="shared" si="124"/>
        <v>0</v>
      </c>
      <c r="J1135" s="16">
        <f t="shared" si="125"/>
        <v>0</v>
      </c>
      <c r="K1135" s="16">
        <f>IF(CurrentMtgRatesDataTable8[[#This Row],[WA CC]]&lt;&gt;0,C1134-CurrentMtgRatesDataTable8[[#This Row],[WA CC]],0)</f>
        <v>0</v>
      </c>
      <c r="L1135" s="16">
        <f>IF(CurrentMtgRatesDataTable8[[#This Row],[Servicing Spread]]&lt;=0,L1134,CurrentMtgRatesDataTable8[[#This Row],[Servicing Spread]])</f>
        <v>0.34359999999999946</v>
      </c>
      <c r="M1135" s="16">
        <f>CurrentMtgRatesDataTable8[[#This Row],[Servicing Spread Non-Zero]]-L1134</f>
        <v>0</v>
      </c>
      <c r="N1135" s="16">
        <f>IF(J1134&lt;&gt;0,CurrentMtgRatesDataTable8[[#This Row],[Rate]]-C1134,N1134)</f>
        <v>0.25499999999999989</v>
      </c>
    </row>
    <row r="1136" spans="1:14">
      <c r="A1136" s="39" t="s">
        <v>2488</v>
      </c>
      <c r="B1136" s="40">
        <v>5.726</v>
      </c>
      <c r="C1136" s="11">
        <v>6.2450000000000001</v>
      </c>
      <c r="D1136" s="16">
        <f t="shared" si="119"/>
        <v>2</v>
      </c>
      <c r="E1136" s="16">
        <f t="shared" si="120"/>
        <v>0.2</v>
      </c>
      <c r="F1136" s="16">
        <f t="shared" si="121"/>
        <v>2</v>
      </c>
      <c r="G1136" s="16">
        <f t="shared" si="122"/>
        <v>2.2990000000000004</v>
      </c>
      <c r="H1136" s="16">
        <f t="shared" si="123"/>
        <v>0.4</v>
      </c>
      <c r="I1136" s="16">
        <f t="shared" si="124"/>
        <v>0</v>
      </c>
      <c r="J1136" s="16">
        <f t="shared" si="125"/>
        <v>0</v>
      </c>
      <c r="K1136" s="16">
        <f>IF(CurrentMtgRatesDataTable8[[#This Row],[WA CC]]&lt;&gt;0,C1135-CurrentMtgRatesDataTable8[[#This Row],[WA CC]],0)</f>
        <v>0</v>
      </c>
      <c r="L1136" s="16">
        <f>IF(CurrentMtgRatesDataTable8[[#This Row],[Servicing Spread]]&lt;=0,L1135,CurrentMtgRatesDataTable8[[#This Row],[Servicing Spread]])</f>
        <v>0.34359999999999946</v>
      </c>
      <c r="M1136" s="16">
        <f>CurrentMtgRatesDataTable8[[#This Row],[Servicing Spread Non-Zero]]-L1135</f>
        <v>0</v>
      </c>
      <c r="N1136" s="16">
        <f>IF(J1135&lt;&gt;0,CurrentMtgRatesDataTable8[[#This Row],[Rate]]-C1135,N1135)</f>
        <v>0.25499999999999989</v>
      </c>
    </row>
    <row r="1137" spans="1:14">
      <c r="A1137" s="39" t="s">
        <v>2489</v>
      </c>
      <c r="B1137" s="40">
        <v>5.819</v>
      </c>
      <c r="C1137" s="11">
        <v>6.2450000000000001</v>
      </c>
      <c r="D1137" s="16">
        <f t="shared" si="119"/>
        <v>5</v>
      </c>
      <c r="E1137" s="16">
        <f t="shared" si="120"/>
        <v>0.2</v>
      </c>
      <c r="F1137" s="16">
        <f t="shared" si="121"/>
        <v>3</v>
      </c>
      <c r="G1137" s="16">
        <f t="shared" si="122"/>
        <v>3.4628000000000005</v>
      </c>
      <c r="H1137" s="16">
        <f t="shared" si="123"/>
        <v>0.60000000000000009</v>
      </c>
      <c r="I1137" s="16">
        <f t="shared" si="124"/>
        <v>0</v>
      </c>
      <c r="J1137" s="16">
        <f t="shared" si="125"/>
        <v>0</v>
      </c>
      <c r="K1137" s="16">
        <f>IF(CurrentMtgRatesDataTable8[[#This Row],[WA CC]]&lt;&gt;0,C1136-CurrentMtgRatesDataTable8[[#This Row],[WA CC]],0)</f>
        <v>0</v>
      </c>
      <c r="L1137" s="16">
        <f>IF(CurrentMtgRatesDataTable8[[#This Row],[Servicing Spread]]&lt;=0,L1136,CurrentMtgRatesDataTable8[[#This Row],[Servicing Spread]])</f>
        <v>0.34359999999999946</v>
      </c>
      <c r="M1137" s="16">
        <f>CurrentMtgRatesDataTable8[[#This Row],[Servicing Spread Non-Zero]]-L1136</f>
        <v>0</v>
      </c>
      <c r="N1137" s="16">
        <f>IF(J1136&lt;&gt;0,CurrentMtgRatesDataTable8[[#This Row],[Rate]]-C1136,N1136)</f>
        <v>0.25499999999999989</v>
      </c>
    </row>
    <row r="1138" spans="1:14">
      <c r="A1138" s="39" t="s">
        <v>2490</v>
      </c>
      <c r="B1138" s="40">
        <v>5.9489999999999998</v>
      </c>
      <c r="C1138" s="11">
        <v>6.2450000000000001</v>
      </c>
      <c r="D1138" s="16">
        <f t="shared" si="119"/>
        <v>6</v>
      </c>
      <c r="E1138" s="16">
        <f t="shared" si="120"/>
        <v>0.2</v>
      </c>
      <c r="F1138" s="16">
        <f t="shared" si="121"/>
        <v>4</v>
      </c>
      <c r="G1138" s="16">
        <f t="shared" si="122"/>
        <v>4.6526000000000005</v>
      </c>
      <c r="H1138" s="16">
        <f t="shared" si="123"/>
        <v>0.8</v>
      </c>
      <c r="I1138" s="16">
        <f t="shared" si="124"/>
        <v>0</v>
      </c>
      <c r="J1138" s="16">
        <f t="shared" si="125"/>
        <v>0</v>
      </c>
      <c r="K1138" s="16">
        <f>IF(CurrentMtgRatesDataTable8[[#This Row],[WA CC]]&lt;&gt;0,C1137-CurrentMtgRatesDataTable8[[#This Row],[WA CC]],0)</f>
        <v>0</v>
      </c>
      <c r="L1138" s="16">
        <f>IF(CurrentMtgRatesDataTable8[[#This Row],[Servicing Spread]]&lt;=0,L1137,CurrentMtgRatesDataTable8[[#This Row],[Servicing Spread]])</f>
        <v>0.34359999999999946</v>
      </c>
      <c r="M1138" s="16">
        <f>CurrentMtgRatesDataTable8[[#This Row],[Servicing Spread Non-Zero]]-L1137</f>
        <v>0</v>
      </c>
      <c r="N1138" s="16">
        <f>IF(J1137&lt;&gt;0,CurrentMtgRatesDataTable8[[#This Row],[Rate]]-C1137,N1137)</f>
        <v>0.25499999999999989</v>
      </c>
    </row>
    <row r="1139" spans="1:14">
      <c r="A1139" s="39" t="s">
        <v>2491</v>
      </c>
      <c r="B1139" s="40">
        <v>5.88</v>
      </c>
      <c r="C1139" s="11">
        <v>6.2450000000000001</v>
      </c>
      <c r="D1139" s="16">
        <f t="shared" si="119"/>
        <v>7</v>
      </c>
      <c r="E1139" s="16">
        <f t="shared" si="120"/>
        <v>0.2</v>
      </c>
      <c r="F1139" s="16">
        <f t="shared" si="121"/>
        <v>5</v>
      </c>
      <c r="G1139" s="16">
        <f t="shared" si="122"/>
        <v>5.8286000000000007</v>
      </c>
      <c r="H1139" s="16">
        <f t="shared" si="123"/>
        <v>1</v>
      </c>
      <c r="I1139" s="16">
        <f t="shared" si="124"/>
        <v>1</v>
      </c>
      <c r="J1139" s="16">
        <f t="shared" si="125"/>
        <v>5.8286000000000007</v>
      </c>
      <c r="K1139" s="16">
        <f>IF(CurrentMtgRatesDataTable8[[#This Row],[WA CC]]&lt;&gt;0,C1138-CurrentMtgRatesDataTable8[[#This Row],[WA CC]],0)</f>
        <v>0.41639999999999944</v>
      </c>
      <c r="L1139" s="16">
        <f>IF(CurrentMtgRatesDataTable8[[#This Row],[Servicing Spread]]&lt;=0,L1138,CurrentMtgRatesDataTable8[[#This Row],[Servicing Spread]])</f>
        <v>0.41639999999999944</v>
      </c>
      <c r="M1139" s="16">
        <f>CurrentMtgRatesDataTable8[[#This Row],[Servicing Spread Non-Zero]]-L1138</f>
        <v>7.2799999999999976E-2</v>
      </c>
      <c r="N1139" s="16">
        <f>IF(J1138&lt;&gt;0,CurrentMtgRatesDataTable8[[#This Row],[Rate]]-C1138,N1138)</f>
        <v>0.25499999999999989</v>
      </c>
    </row>
    <row r="1140" spans="1:14">
      <c r="A1140" s="39" t="s">
        <v>2492</v>
      </c>
      <c r="B1140" s="40">
        <v>6.0119999999999996</v>
      </c>
      <c r="C1140" s="11">
        <v>6.3449999999999998</v>
      </c>
      <c r="D1140" s="16">
        <f t="shared" si="119"/>
        <v>1</v>
      </c>
      <c r="E1140" s="16">
        <f t="shared" si="120"/>
        <v>0.2</v>
      </c>
      <c r="F1140" s="16">
        <f t="shared" si="121"/>
        <v>1</v>
      </c>
      <c r="G1140" s="16">
        <f t="shared" si="122"/>
        <v>1.2023999999999999</v>
      </c>
      <c r="H1140" s="16">
        <f t="shared" si="123"/>
        <v>0.2</v>
      </c>
      <c r="I1140" s="16">
        <f t="shared" si="124"/>
        <v>0</v>
      </c>
      <c r="J1140" s="16">
        <f t="shared" si="125"/>
        <v>0</v>
      </c>
      <c r="K1140" s="16">
        <f>IF(CurrentMtgRatesDataTable8[[#This Row],[WA CC]]&lt;&gt;0,C1139-CurrentMtgRatesDataTable8[[#This Row],[WA CC]],0)</f>
        <v>0</v>
      </c>
      <c r="L1140" s="16">
        <f>IF(CurrentMtgRatesDataTable8[[#This Row],[Servicing Spread]]&lt;=0,L1139,CurrentMtgRatesDataTable8[[#This Row],[Servicing Spread]])</f>
        <v>0.41639999999999944</v>
      </c>
      <c r="M1140" s="16">
        <f>CurrentMtgRatesDataTable8[[#This Row],[Servicing Spread Non-Zero]]-L1139</f>
        <v>0</v>
      </c>
      <c r="N1140" s="16">
        <f>IF(J1139&lt;&gt;0,CurrentMtgRatesDataTable8[[#This Row],[Rate]]-C1139,N1139)</f>
        <v>9.9999999999999645E-2</v>
      </c>
    </row>
    <row r="1141" spans="1:14">
      <c r="A1141" s="39" t="s">
        <v>2493</v>
      </c>
      <c r="B1141" s="40">
        <v>6.0629999999999997</v>
      </c>
      <c r="C1141" s="11">
        <v>6.3449999999999998</v>
      </c>
      <c r="D1141" s="16">
        <f t="shared" si="119"/>
        <v>2</v>
      </c>
      <c r="E1141" s="16">
        <f t="shared" si="120"/>
        <v>0.2</v>
      </c>
      <c r="F1141" s="16">
        <f t="shared" si="121"/>
        <v>2</v>
      </c>
      <c r="G1141" s="16">
        <f t="shared" si="122"/>
        <v>2.415</v>
      </c>
      <c r="H1141" s="16">
        <f t="shared" si="123"/>
        <v>0.4</v>
      </c>
      <c r="I1141" s="16">
        <f t="shared" si="124"/>
        <v>0</v>
      </c>
      <c r="J1141" s="16">
        <f t="shared" si="125"/>
        <v>0</v>
      </c>
      <c r="K1141" s="16">
        <f>IF(CurrentMtgRatesDataTable8[[#This Row],[WA CC]]&lt;&gt;0,C1140-CurrentMtgRatesDataTable8[[#This Row],[WA CC]],0)</f>
        <v>0</v>
      </c>
      <c r="L1141" s="16">
        <f>IF(CurrentMtgRatesDataTable8[[#This Row],[Servicing Spread]]&lt;=0,L1140,CurrentMtgRatesDataTable8[[#This Row],[Servicing Spread]])</f>
        <v>0.41639999999999944</v>
      </c>
      <c r="M1141" s="16">
        <f>CurrentMtgRatesDataTable8[[#This Row],[Servicing Spread Non-Zero]]-L1140</f>
        <v>0</v>
      </c>
      <c r="N1141" s="16">
        <f>IF(J1140&lt;&gt;0,CurrentMtgRatesDataTable8[[#This Row],[Rate]]-C1140,N1140)</f>
        <v>9.9999999999999645E-2</v>
      </c>
    </row>
    <row r="1142" spans="1:14">
      <c r="A1142" s="39" t="s">
        <v>2494</v>
      </c>
      <c r="B1142" s="40">
        <v>6.0830000000000002</v>
      </c>
      <c r="C1142" s="11">
        <v>6.3449999999999998</v>
      </c>
      <c r="D1142" s="16">
        <f t="shared" si="119"/>
        <v>5</v>
      </c>
      <c r="E1142" s="16">
        <f t="shared" si="120"/>
        <v>0.2</v>
      </c>
      <c r="F1142" s="16">
        <f t="shared" si="121"/>
        <v>3</v>
      </c>
      <c r="G1142" s="16">
        <f t="shared" si="122"/>
        <v>3.6316000000000002</v>
      </c>
      <c r="H1142" s="16">
        <f t="shared" si="123"/>
        <v>0.60000000000000009</v>
      </c>
      <c r="I1142" s="16">
        <f t="shared" si="124"/>
        <v>0</v>
      </c>
      <c r="J1142" s="16">
        <f t="shared" si="125"/>
        <v>0</v>
      </c>
      <c r="K1142" s="16">
        <f>IF(CurrentMtgRatesDataTable8[[#This Row],[WA CC]]&lt;&gt;0,C1141-CurrentMtgRatesDataTable8[[#This Row],[WA CC]],0)</f>
        <v>0</v>
      </c>
      <c r="L1142" s="16">
        <f>IF(CurrentMtgRatesDataTable8[[#This Row],[Servicing Spread]]&lt;=0,L1141,CurrentMtgRatesDataTable8[[#This Row],[Servicing Spread]])</f>
        <v>0.41639999999999944</v>
      </c>
      <c r="M1142" s="16">
        <f>CurrentMtgRatesDataTable8[[#This Row],[Servicing Spread Non-Zero]]-L1141</f>
        <v>0</v>
      </c>
      <c r="N1142" s="16">
        <f>IF(J1141&lt;&gt;0,CurrentMtgRatesDataTable8[[#This Row],[Rate]]-C1141,N1141)</f>
        <v>9.9999999999999645E-2</v>
      </c>
    </row>
    <row r="1143" spans="1:14">
      <c r="A1143" s="39" t="s">
        <v>2495</v>
      </c>
      <c r="B1143" s="40">
        <v>6.024</v>
      </c>
      <c r="C1143" s="11">
        <v>6.3449999999999998</v>
      </c>
      <c r="D1143" s="16">
        <f t="shared" si="119"/>
        <v>6</v>
      </c>
      <c r="E1143" s="16">
        <f t="shared" si="120"/>
        <v>0.2</v>
      </c>
      <c r="F1143" s="16">
        <f t="shared" si="121"/>
        <v>4</v>
      </c>
      <c r="G1143" s="16">
        <f t="shared" si="122"/>
        <v>4.8364000000000003</v>
      </c>
      <c r="H1143" s="16">
        <f t="shared" si="123"/>
        <v>0.8</v>
      </c>
      <c r="I1143" s="16">
        <f t="shared" si="124"/>
        <v>0</v>
      </c>
      <c r="J1143" s="16">
        <f t="shared" si="125"/>
        <v>0</v>
      </c>
      <c r="K1143" s="16">
        <f>IF(CurrentMtgRatesDataTable8[[#This Row],[WA CC]]&lt;&gt;0,C1142-CurrentMtgRatesDataTable8[[#This Row],[WA CC]],0)</f>
        <v>0</v>
      </c>
      <c r="L1143" s="16">
        <f>IF(CurrentMtgRatesDataTable8[[#This Row],[Servicing Spread]]&lt;=0,L1142,CurrentMtgRatesDataTable8[[#This Row],[Servicing Spread]])</f>
        <v>0.41639999999999944</v>
      </c>
      <c r="M1143" s="16">
        <f>CurrentMtgRatesDataTable8[[#This Row],[Servicing Spread Non-Zero]]-L1142</f>
        <v>0</v>
      </c>
      <c r="N1143" s="16">
        <f>IF(J1142&lt;&gt;0,CurrentMtgRatesDataTable8[[#This Row],[Rate]]-C1142,N1142)</f>
        <v>9.9999999999999645E-2</v>
      </c>
    </row>
    <row r="1144" spans="1:14">
      <c r="A1144" s="39" t="s">
        <v>2496</v>
      </c>
      <c r="B1144" s="40">
        <v>5.9089999999999998</v>
      </c>
      <c r="C1144" s="11">
        <v>6.3449999999999998</v>
      </c>
      <c r="D1144" s="16">
        <f t="shared" si="119"/>
        <v>7</v>
      </c>
      <c r="E1144" s="16">
        <f t="shared" si="120"/>
        <v>0.2</v>
      </c>
      <c r="F1144" s="16">
        <f t="shared" si="121"/>
        <v>5</v>
      </c>
      <c r="G1144" s="16">
        <f t="shared" si="122"/>
        <v>6.0182000000000002</v>
      </c>
      <c r="H1144" s="16">
        <f t="shared" si="123"/>
        <v>1</v>
      </c>
      <c r="I1144" s="16">
        <f t="shared" si="124"/>
        <v>1</v>
      </c>
      <c r="J1144" s="16">
        <f t="shared" si="125"/>
        <v>6.0182000000000002</v>
      </c>
      <c r="K1144" s="16">
        <f>IF(CurrentMtgRatesDataTable8[[#This Row],[WA CC]]&lt;&gt;0,C1143-CurrentMtgRatesDataTable8[[#This Row],[WA CC]],0)</f>
        <v>0.32679999999999954</v>
      </c>
      <c r="L1144" s="16">
        <f>IF(CurrentMtgRatesDataTable8[[#This Row],[Servicing Spread]]&lt;=0,L1143,CurrentMtgRatesDataTable8[[#This Row],[Servicing Spread]])</f>
        <v>0.32679999999999954</v>
      </c>
      <c r="M1144" s="16">
        <f>CurrentMtgRatesDataTable8[[#This Row],[Servicing Spread Non-Zero]]-L1143</f>
        <v>-8.9599999999999902E-2</v>
      </c>
      <c r="N1144" s="16">
        <f>IF(J1143&lt;&gt;0,CurrentMtgRatesDataTable8[[#This Row],[Rate]]-C1143,N1143)</f>
        <v>9.9999999999999645E-2</v>
      </c>
    </row>
    <row r="1145" spans="1:14">
      <c r="A1145" s="39" t="s">
        <v>2497</v>
      </c>
      <c r="B1145" s="40">
        <v>5.9450000000000003</v>
      </c>
      <c r="C1145" s="11">
        <v>6.3500000000000005</v>
      </c>
      <c r="D1145" s="16">
        <f t="shared" si="119"/>
        <v>1</v>
      </c>
      <c r="E1145" s="16">
        <f t="shared" si="120"/>
        <v>0.2</v>
      </c>
      <c r="F1145" s="16">
        <f t="shared" si="121"/>
        <v>1</v>
      </c>
      <c r="G1145" s="16">
        <f t="shared" si="122"/>
        <v>1.1890000000000001</v>
      </c>
      <c r="H1145" s="16">
        <f t="shared" si="123"/>
        <v>0.2</v>
      </c>
      <c r="I1145" s="16">
        <f t="shared" si="124"/>
        <v>0</v>
      </c>
      <c r="J1145" s="16">
        <f t="shared" si="125"/>
        <v>0</v>
      </c>
      <c r="K1145" s="16">
        <f>IF(CurrentMtgRatesDataTable8[[#This Row],[WA CC]]&lt;&gt;0,C1144-CurrentMtgRatesDataTable8[[#This Row],[WA CC]],0)</f>
        <v>0</v>
      </c>
      <c r="L1145" s="16">
        <f>IF(CurrentMtgRatesDataTable8[[#This Row],[Servicing Spread]]&lt;=0,L1144,CurrentMtgRatesDataTable8[[#This Row],[Servicing Spread]])</f>
        <v>0.32679999999999954</v>
      </c>
      <c r="M1145" s="16">
        <f>CurrentMtgRatesDataTable8[[#This Row],[Servicing Spread Non-Zero]]-L1144</f>
        <v>0</v>
      </c>
      <c r="N1145" s="16">
        <f>IF(J1144&lt;&gt;0,CurrentMtgRatesDataTable8[[#This Row],[Rate]]-C1144,N1144)</f>
        <v>5.0000000000007816E-3</v>
      </c>
    </row>
    <row r="1146" spans="1:14">
      <c r="A1146" s="39" t="s">
        <v>2498</v>
      </c>
      <c r="B1146" s="40">
        <v>5.9210000000000003</v>
      </c>
      <c r="C1146" s="11">
        <v>6.3500000000000005</v>
      </c>
      <c r="D1146" s="16">
        <f t="shared" si="119"/>
        <v>2</v>
      </c>
      <c r="E1146" s="16">
        <f t="shared" si="120"/>
        <v>0.2</v>
      </c>
      <c r="F1146" s="16">
        <f t="shared" si="121"/>
        <v>2</v>
      </c>
      <c r="G1146" s="16">
        <f t="shared" si="122"/>
        <v>2.3732000000000002</v>
      </c>
      <c r="H1146" s="16">
        <f t="shared" si="123"/>
        <v>0.4</v>
      </c>
      <c r="I1146" s="16">
        <f t="shared" si="124"/>
        <v>0</v>
      </c>
      <c r="J1146" s="16">
        <f t="shared" si="125"/>
        <v>0</v>
      </c>
      <c r="K1146" s="16">
        <f>IF(CurrentMtgRatesDataTable8[[#This Row],[WA CC]]&lt;&gt;0,C1145-CurrentMtgRatesDataTable8[[#This Row],[WA CC]],0)</f>
        <v>0</v>
      </c>
      <c r="L1146" s="16">
        <f>IF(CurrentMtgRatesDataTable8[[#This Row],[Servicing Spread]]&lt;=0,L1145,CurrentMtgRatesDataTable8[[#This Row],[Servicing Spread]])</f>
        <v>0.32679999999999954</v>
      </c>
      <c r="M1146" s="16">
        <f>CurrentMtgRatesDataTable8[[#This Row],[Servicing Spread Non-Zero]]-L1145</f>
        <v>0</v>
      </c>
      <c r="N1146" s="16">
        <f>IF(J1145&lt;&gt;0,CurrentMtgRatesDataTable8[[#This Row],[Rate]]-C1145,N1145)</f>
        <v>5.0000000000007816E-3</v>
      </c>
    </row>
    <row r="1147" spans="1:14">
      <c r="A1147" s="39" t="s">
        <v>2499</v>
      </c>
      <c r="B1147" s="40">
        <v>5.9889999999999999</v>
      </c>
      <c r="C1147" s="11">
        <v>6.3500000000000005</v>
      </c>
      <c r="D1147" s="16">
        <f t="shared" si="119"/>
        <v>5</v>
      </c>
      <c r="E1147" s="16">
        <f t="shared" si="120"/>
        <v>0.2</v>
      </c>
      <c r="F1147" s="16">
        <f t="shared" si="121"/>
        <v>3</v>
      </c>
      <c r="G1147" s="16">
        <f t="shared" si="122"/>
        <v>3.5710000000000002</v>
      </c>
      <c r="H1147" s="16">
        <f t="shared" si="123"/>
        <v>0.60000000000000009</v>
      </c>
      <c r="I1147" s="16">
        <f t="shared" si="124"/>
        <v>0</v>
      </c>
      <c r="J1147" s="16">
        <f t="shared" si="125"/>
        <v>0</v>
      </c>
      <c r="K1147" s="16">
        <f>IF(CurrentMtgRatesDataTable8[[#This Row],[WA CC]]&lt;&gt;0,C1146-CurrentMtgRatesDataTable8[[#This Row],[WA CC]],0)</f>
        <v>0</v>
      </c>
      <c r="L1147" s="16">
        <f>IF(CurrentMtgRatesDataTable8[[#This Row],[Servicing Spread]]&lt;=0,L1146,CurrentMtgRatesDataTable8[[#This Row],[Servicing Spread]])</f>
        <v>0.32679999999999954</v>
      </c>
      <c r="M1147" s="16">
        <f>CurrentMtgRatesDataTable8[[#This Row],[Servicing Spread Non-Zero]]-L1146</f>
        <v>0</v>
      </c>
      <c r="N1147" s="16">
        <f>IF(J1146&lt;&gt;0,CurrentMtgRatesDataTable8[[#This Row],[Rate]]-C1146,N1146)</f>
        <v>5.0000000000007816E-3</v>
      </c>
    </row>
    <row r="1148" spans="1:14">
      <c r="A1148" s="39" t="s">
        <v>2500</v>
      </c>
      <c r="B1148" s="40">
        <v>5.9589999999999996</v>
      </c>
      <c r="C1148" s="11">
        <v>6.3500000000000005</v>
      </c>
      <c r="D1148" s="16">
        <f t="shared" si="119"/>
        <v>6</v>
      </c>
      <c r="E1148" s="16">
        <f t="shared" si="120"/>
        <v>0.2</v>
      </c>
      <c r="F1148" s="16">
        <f t="shared" si="121"/>
        <v>4</v>
      </c>
      <c r="G1148" s="16">
        <f t="shared" si="122"/>
        <v>4.7628000000000004</v>
      </c>
      <c r="H1148" s="16">
        <f t="shared" si="123"/>
        <v>0.8</v>
      </c>
      <c r="I1148" s="16">
        <f t="shared" si="124"/>
        <v>0</v>
      </c>
      <c r="J1148" s="16">
        <f t="shared" si="125"/>
        <v>0</v>
      </c>
      <c r="K1148" s="16">
        <f>IF(CurrentMtgRatesDataTable8[[#This Row],[WA CC]]&lt;&gt;0,C1147-CurrentMtgRatesDataTable8[[#This Row],[WA CC]],0)</f>
        <v>0</v>
      </c>
      <c r="L1148" s="16">
        <f>IF(CurrentMtgRatesDataTable8[[#This Row],[Servicing Spread]]&lt;=0,L1147,CurrentMtgRatesDataTable8[[#This Row],[Servicing Spread]])</f>
        <v>0.32679999999999954</v>
      </c>
      <c r="M1148" s="16">
        <f>CurrentMtgRatesDataTable8[[#This Row],[Servicing Spread Non-Zero]]-L1147</f>
        <v>0</v>
      </c>
      <c r="N1148" s="16">
        <f>IF(J1147&lt;&gt;0,CurrentMtgRatesDataTable8[[#This Row],[Rate]]-C1147,N1147)</f>
        <v>5.0000000000007816E-3</v>
      </c>
    </row>
    <row r="1149" spans="1:14">
      <c r="A1149" s="39" t="s">
        <v>2501</v>
      </c>
      <c r="B1149" s="40">
        <v>5.96</v>
      </c>
      <c r="C1149" s="11">
        <v>6.3500000000000005</v>
      </c>
      <c r="D1149" s="16">
        <f t="shared" si="119"/>
        <v>7</v>
      </c>
      <c r="E1149" s="16">
        <f t="shared" si="120"/>
        <v>0.2</v>
      </c>
      <c r="F1149" s="16">
        <f t="shared" si="121"/>
        <v>5</v>
      </c>
      <c r="G1149" s="16">
        <f t="shared" si="122"/>
        <v>5.9548000000000005</v>
      </c>
      <c r="H1149" s="16">
        <f t="shared" si="123"/>
        <v>1</v>
      </c>
      <c r="I1149" s="16">
        <f t="shared" si="124"/>
        <v>1</v>
      </c>
      <c r="J1149" s="16">
        <f t="shared" si="125"/>
        <v>5.9548000000000005</v>
      </c>
      <c r="K1149" s="16">
        <f>IF(CurrentMtgRatesDataTable8[[#This Row],[WA CC]]&lt;&gt;0,C1148-CurrentMtgRatesDataTable8[[#This Row],[WA CC]],0)</f>
        <v>0.3952</v>
      </c>
      <c r="L1149" s="16">
        <f>IF(CurrentMtgRatesDataTable8[[#This Row],[Servicing Spread]]&lt;=0,L1148,CurrentMtgRatesDataTable8[[#This Row],[Servicing Spread]])</f>
        <v>0.3952</v>
      </c>
      <c r="M1149" s="16">
        <f>CurrentMtgRatesDataTable8[[#This Row],[Servicing Spread Non-Zero]]-L1148</f>
        <v>6.840000000000046E-2</v>
      </c>
      <c r="N1149" s="16">
        <f>IF(J1148&lt;&gt;0,CurrentMtgRatesDataTable8[[#This Row],[Rate]]-C1148,N1148)</f>
        <v>5.0000000000007816E-3</v>
      </c>
    </row>
    <row r="1150" spans="1:14">
      <c r="A1150" s="39" t="s">
        <v>2502</v>
      </c>
      <c r="B1150" s="40">
        <v>5.9050000000000002</v>
      </c>
      <c r="C1150" s="11">
        <v>6.25</v>
      </c>
      <c r="D1150" s="16">
        <f t="shared" si="119"/>
        <v>1</v>
      </c>
      <c r="E1150" s="16">
        <f t="shared" si="120"/>
        <v>0.2</v>
      </c>
      <c r="F1150" s="16">
        <f t="shared" si="121"/>
        <v>1</v>
      </c>
      <c r="G1150" s="16">
        <f t="shared" si="122"/>
        <v>1.181</v>
      </c>
      <c r="H1150" s="16">
        <f t="shared" si="123"/>
        <v>0.2</v>
      </c>
      <c r="I1150" s="16">
        <f t="shared" si="124"/>
        <v>0</v>
      </c>
      <c r="J1150" s="16">
        <f t="shared" si="125"/>
        <v>0</v>
      </c>
      <c r="K1150" s="16">
        <f>IF(CurrentMtgRatesDataTable8[[#This Row],[WA CC]]&lt;&gt;0,C1149-CurrentMtgRatesDataTable8[[#This Row],[WA CC]],0)</f>
        <v>0</v>
      </c>
      <c r="L1150" s="16">
        <f>IF(CurrentMtgRatesDataTable8[[#This Row],[Servicing Spread]]&lt;=0,L1149,CurrentMtgRatesDataTable8[[#This Row],[Servicing Spread]])</f>
        <v>0.3952</v>
      </c>
      <c r="M1150" s="16">
        <f>CurrentMtgRatesDataTable8[[#This Row],[Servicing Spread Non-Zero]]-L1149</f>
        <v>0</v>
      </c>
      <c r="N1150" s="16">
        <f>IF(J1149&lt;&gt;0,CurrentMtgRatesDataTable8[[#This Row],[Rate]]-C1149,N1149)</f>
        <v>-0.10000000000000053</v>
      </c>
    </row>
    <row r="1151" spans="1:14">
      <c r="A1151" s="39" t="s">
        <v>2503</v>
      </c>
      <c r="B1151" s="40">
        <v>5.843</v>
      </c>
      <c r="C1151" s="11">
        <v>6.25</v>
      </c>
      <c r="D1151" s="16">
        <f t="shared" si="119"/>
        <v>2</v>
      </c>
      <c r="E1151" s="16">
        <f t="shared" si="120"/>
        <v>0.2</v>
      </c>
      <c r="F1151" s="16">
        <f t="shared" si="121"/>
        <v>2</v>
      </c>
      <c r="G1151" s="16">
        <f t="shared" si="122"/>
        <v>2.3496000000000001</v>
      </c>
      <c r="H1151" s="16">
        <f t="shared" si="123"/>
        <v>0.4</v>
      </c>
      <c r="I1151" s="16">
        <f t="shared" si="124"/>
        <v>0</v>
      </c>
      <c r="J1151" s="16">
        <f t="shared" si="125"/>
        <v>0</v>
      </c>
      <c r="K1151" s="16">
        <f>IF(CurrentMtgRatesDataTable8[[#This Row],[WA CC]]&lt;&gt;0,C1150-CurrentMtgRatesDataTable8[[#This Row],[WA CC]],0)</f>
        <v>0</v>
      </c>
      <c r="L1151" s="16">
        <f>IF(CurrentMtgRatesDataTable8[[#This Row],[Servicing Spread]]&lt;=0,L1150,CurrentMtgRatesDataTable8[[#This Row],[Servicing Spread]])</f>
        <v>0.3952</v>
      </c>
      <c r="M1151" s="16">
        <f>CurrentMtgRatesDataTable8[[#This Row],[Servicing Spread Non-Zero]]-L1150</f>
        <v>0</v>
      </c>
      <c r="N1151" s="16">
        <f>IF(J1150&lt;&gt;0,CurrentMtgRatesDataTable8[[#This Row],[Rate]]-C1150,N1150)</f>
        <v>-0.10000000000000053</v>
      </c>
    </row>
    <row r="1152" spans="1:14">
      <c r="A1152" s="39" t="s">
        <v>2504</v>
      </c>
      <c r="B1152" s="40">
        <v>5.8209999999999997</v>
      </c>
      <c r="C1152" s="11">
        <v>6.25</v>
      </c>
      <c r="D1152" s="16">
        <f t="shared" si="119"/>
        <v>5</v>
      </c>
      <c r="E1152" s="16">
        <f t="shared" si="120"/>
        <v>0.2</v>
      </c>
      <c r="F1152" s="16">
        <f t="shared" si="121"/>
        <v>3</v>
      </c>
      <c r="G1152" s="16">
        <f t="shared" si="122"/>
        <v>3.5137999999999998</v>
      </c>
      <c r="H1152" s="16">
        <f t="shared" si="123"/>
        <v>0.60000000000000009</v>
      </c>
      <c r="I1152" s="16">
        <f t="shared" si="124"/>
        <v>0</v>
      </c>
      <c r="J1152" s="16">
        <f t="shared" si="125"/>
        <v>0</v>
      </c>
      <c r="K1152" s="16">
        <f>IF(CurrentMtgRatesDataTable8[[#This Row],[WA CC]]&lt;&gt;0,C1151-CurrentMtgRatesDataTable8[[#This Row],[WA CC]],0)</f>
        <v>0</v>
      </c>
      <c r="L1152" s="16">
        <f>IF(CurrentMtgRatesDataTable8[[#This Row],[Servicing Spread]]&lt;=0,L1151,CurrentMtgRatesDataTable8[[#This Row],[Servicing Spread]])</f>
        <v>0.3952</v>
      </c>
      <c r="M1152" s="16">
        <f>CurrentMtgRatesDataTable8[[#This Row],[Servicing Spread Non-Zero]]-L1151</f>
        <v>0</v>
      </c>
      <c r="N1152" s="16">
        <f>IF(J1151&lt;&gt;0,CurrentMtgRatesDataTable8[[#This Row],[Rate]]-C1151,N1151)</f>
        <v>-0.10000000000000053</v>
      </c>
    </row>
    <row r="1153" spans="1:14">
      <c r="A1153" s="39" t="s">
        <v>2505</v>
      </c>
      <c r="B1153" s="40">
        <v>5.8810000000000002</v>
      </c>
      <c r="C1153" s="11">
        <v>6.25</v>
      </c>
      <c r="D1153" s="16">
        <f t="shared" si="119"/>
        <v>6</v>
      </c>
      <c r="E1153" s="16">
        <f t="shared" si="120"/>
        <v>0.2</v>
      </c>
      <c r="F1153" s="16">
        <f t="shared" si="121"/>
        <v>4</v>
      </c>
      <c r="G1153" s="16">
        <f t="shared" si="122"/>
        <v>4.6899999999999995</v>
      </c>
      <c r="H1153" s="16">
        <f t="shared" si="123"/>
        <v>0.8</v>
      </c>
      <c r="I1153" s="16">
        <f t="shared" si="124"/>
        <v>0</v>
      </c>
      <c r="J1153" s="16">
        <f t="shared" si="125"/>
        <v>0</v>
      </c>
      <c r="K1153" s="16">
        <f>IF(CurrentMtgRatesDataTable8[[#This Row],[WA CC]]&lt;&gt;0,C1152-CurrentMtgRatesDataTable8[[#This Row],[WA CC]],0)</f>
        <v>0</v>
      </c>
      <c r="L1153" s="16">
        <f>IF(CurrentMtgRatesDataTable8[[#This Row],[Servicing Spread]]&lt;=0,L1152,CurrentMtgRatesDataTable8[[#This Row],[Servicing Spread]])</f>
        <v>0.3952</v>
      </c>
      <c r="M1153" s="16">
        <f>CurrentMtgRatesDataTable8[[#This Row],[Servicing Spread Non-Zero]]-L1152</f>
        <v>0</v>
      </c>
      <c r="N1153" s="16">
        <f>IF(J1152&lt;&gt;0,CurrentMtgRatesDataTable8[[#This Row],[Rate]]-C1152,N1152)</f>
        <v>-0.10000000000000053</v>
      </c>
    </row>
    <row r="1154" spans="1:14">
      <c r="A1154" s="39" t="s">
        <v>2506</v>
      </c>
      <c r="B1154" s="40">
        <v>5.9050000000000002</v>
      </c>
      <c r="C1154" s="11">
        <v>6.25</v>
      </c>
      <c r="D1154" s="16">
        <f t="shared" si="119"/>
        <v>7</v>
      </c>
      <c r="E1154" s="16">
        <f t="shared" si="120"/>
        <v>0.2</v>
      </c>
      <c r="F1154" s="16">
        <f t="shared" si="121"/>
        <v>5</v>
      </c>
      <c r="G1154" s="16">
        <f t="shared" si="122"/>
        <v>5.8709999999999996</v>
      </c>
      <c r="H1154" s="16">
        <f t="shared" si="123"/>
        <v>1</v>
      </c>
      <c r="I1154" s="16">
        <f t="shared" si="124"/>
        <v>1</v>
      </c>
      <c r="J1154" s="16">
        <f t="shared" si="125"/>
        <v>5.8709999999999996</v>
      </c>
      <c r="K1154" s="16">
        <f>IF(CurrentMtgRatesDataTable8[[#This Row],[WA CC]]&lt;&gt;0,C1153-CurrentMtgRatesDataTable8[[#This Row],[WA CC]],0)</f>
        <v>0.37900000000000045</v>
      </c>
      <c r="L1154" s="16">
        <f>IF(CurrentMtgRatesDataTable8[[#This Row],[Servicing Spread]]&lt;=0,L1153,CurrentMtgRatesDataTable8[[#This Row],[Servicing Spread]])</f>
        <v>0.37900000000000045</v>
      </c>
      <c r="M1154" s="16">
        <f>CurrentMtgRatesDataTable8[[#This Row],[Servicing Spread Non-Zero]]-L1153</f>
        <v>-1.6199999999999548E-2</v>
      </c>
      <c r="N1154" s="16">
        <f>IF(J1153&lt;&gt;0,CurrentMtgRatesDataTable8[[#This Row],[Rate]]-C1153,N1153)</f>
        <v>-0.10000000000000053</v>
      </c>
    </row>
    <row r="1155" spans="1:14">
      <c r="A1155" s="39" t="s">
        <v>2507</v>
      </c>
      <c r="B1155" s="40">
        <v>5.9480000000000004</v>
      </c>
      <c r="C1155" s="11">
        <v>6.2700000000000005</v>
      </c>
      <c r="D1155" s="16">
        <f t="shared" si="119"/>
        <v>1</v>
      </c>
      <c r="E1155" s="16">
        <f t="shared" si="120"/>
        <v>0.2</v>
      </c>
      <c r="F1155" s="16">
        <f t="shared" si="121"/>
        <v>1</v>
      </c>
      <c r="G1155" s="16">
        <f t="shared" si="122"/>
        <v>1.1896000000000002</v>
      </c>
      <c r="H1155" s="16">
        <f t="shared" si="123"/>
        <v>0.2</v>
      </c>
      <c r="I1155" s="16">
        <f t="shared" si="124"/>
        <v>0</v>
      </c>
      <c r="J1155" s="16">
        <f t="shared" si="125"/>
        <v>0</v>
      </c>
      <c r="K1155" s="16">
        <f>IF(CurrentMtgRatesDataTable8[[#This Row],[WA CC]]&lt;&gt;0,C1154-CurrentMtgRatesDataTable8[[#This Row],[WA CC]],0)</f>
        <v>0</v>
      </c>
      <c r="L1155" s="16">
        <f>IF(CurrentMtgRatesDataTable8[[#This Row],[Servicing Spread]]&lt;=0,L1154,CurrentMtgRatesDataTable8[[#This Row],[Servicing Spread]])</f>
        <v>0.37900000000000045</v>
      </c>
      <c r="M1155" s="16">
        <f>CurrentMtgRatesDataTable8[[#This Row],[Servicing Spread Non-Zero]]-L1154</f>
        <v>0</v>
      </c>
      <c r="N1155" s="16">
        <f>IF(J1154&lt;&gt;0,CurrentMtgRatesDataTable8[[#This Row],[Rate]]-C1154,N1154)</f>
        <v>2.0000000000000462E-2</v>
      </c>
    </row>
    <row r="1156" spans="1:14">
      <c r="A1156" s="39" t="s">
        <v>2508</v>
      </c>
      <c r="B1156" s="40">
        <v>5.9509999999999996</v>
      </c>
      <c r="C1156" s="11">
        <v>6.2700000000000005</v>
      </c>
      <c r="D1156" s="16">
        <f t="shared" si="119"/>
        <v>5</v>
      </c>
      <c r="E1156" s="16">
        <f t="shared" si="120"/>
        <v>0.2</v>
      </c>
      <c r="F1156" s="16">
        <f t="shared" si="121"/>
        <v>2</v>
      </c>
      <c r="G1156" s="16">
        <f t="shared" si="122"/>
        <v>2.3798000000000004</v>
      </c>
      <c r="H1156" s="16">
        <f t="shared" si="123"/>
        <v>0.4</v>
      </c>
      <c r="I1156" s="16">
        <f t="shared" si="124"/>
        <v>0</v>
      </c>
      <c r="J1156" s="16">
        <f t="shared" si="125"/>
        <v>0</v>
      </c>
      <c r="K1156" s="16">
        <f>IF(CurrentMtgRatesDataTable8[[#This Row],[WA CC]]&lt;&gt;0,C1155-CurrentMtgRatesDataTable8[[#This Row],[WA CC]],0)</f>
        <v>0</v>
      </c>
      <c r="L1156" s="16">
        <f>IF(CurrentMtgRatesDataTable8[[#This Row],[Servicing Spread]]&lt;=0,L1155,CurrentMtgRatesDataTable8[[#This Row],[Servicing Spread]])</f>
        <v>0.37900000000000045</v>
      </c>
      <c r="M1156" s="16">
        <f>CurrentMtgRatesDataTable8[[#This Row],[Servicing Spread Non-Zero]]-L1155</f>
        <v>0</v>
      </c>
      <c r="N1156" s="16">
        <f>IF(J1155&lt;&gt;0,CurrentMtgRatesDataTable8[[#This Row],[Rate]]-C1155,N1155)</f>
        <v>2.0000000000000462E-2</v>
      </c>
    </row>
    <row r="1157" spans="1:14">
      <c r="A1157" s="39" t="s">
        <v>2509</v>
      </c>
      <c r="B1157" s="40">
        <v>5.82</v>
      </c>
      <c r="C1157" s="11">
        <v>6.2700000000000005</v>
      </c>
      <c r="D1157" s="16">
        <f t="shared" ref="D1157:D1220" si="126">WEEKDAY(A1157,14)</f>
        <v>6</v>
      </c>
      <c r="E1157" s="16">
        <f t="shared" ref="E1157:E1220" si="127">VLOOKUP(D1157,Q$5:R$11,2,FALSE)</f>
        <v>0.2</v>
      </c>
      <c r="F1157" s="16">
        <f t="shared" ref="F1157:F1220" si="128">IF(AND(D1157&gt;D1156,F1156&lt;6),F1156+1,1)</f>
        <v>3</v>
      </c>
      <c r="G1157" s="16">
        <f t="shared" ref="G1157:G1220" si="129">IF(F1157&gt;F1156,G1156+B1157*E1157,B1157*E1157)</f>
        <v>3.5438000000000005</v>
      </c>
      <c r="H1157" s="16">
        <f t="shared" ref="H1157:H1220" si="130">IF(AND(F1157&lt;6,F1157&gt;F1156),E1157+H1156,E1157)</f>
        <v>0.60000000000000009</v>
      </c>
      <c r="I1157" s="16">
        <f t="shared" ref="I1157:I1220" si="131">IF(F1157&gt;F1158,1,0)</f>
        <v>0</v>
      </c>
      <c r="J1157" s="16">
        <f t="shared" ref="J1157:J1220" si="132">IF(F1157&gt;F1158,G1157/H1157,0)</f>
        <v>0</v>
      </c>
      <c r="K1157" s="16">
        <f>IF(CurrentMtgRatesDataTable8[[#This Row],[WA CC]]&lt;&gt;0,C1156-CurrentMtgRatesDataTable8[[#This Row],[WA CC]],0)</f>
        <v>0</v>
      </c>
      <c r="L1157" s="16">
        <f>IF(CurrentMtgRatesDataTable8[[#This Row],[Servicing Spread]]&lt;=0,L1156,CurrentMtgRatesDataTable8[[#This Row],[Servicing Spread]])</f>
        <v>0.37900000000000045</v>
      </c>
      <c r="M1157" s="16">
        <f>CurrentMtgRatesDataTable8[[#This Row],[Servicing Spread Non-Zero]]-L1156</f>
        <v>0</v>
      </c>
      <c r="N1157" s="16">
        <f>IF(J1156&lt;&gt;0,CurrentMtgRatesDataTable8[[#This Row],[Rate]]-C1156,N1156)</f>
        <v>2.0000000000000462E-2</v>
      </c>
    </row>
    <row r="1158" spans="1:14">
      <c r="A1158" s="39" t="s">
        <v>2510</v>
      </c>
      <c r="B1158" s="40">
        <v>5.718</v>
      </c>
      <c r="C1158" s="11">
        <v>6.2700000000000005</v>
      </c>
      <c r="D1158" s="16">
        <f t="shared" si="126"/>
        <v>7</v>
      </c>
      <c r="E1158" s="16">
        <f t="shared" si="127"/>
        <v>0.2</v>
      </c>
      <c r="F1158" s="16">
        <f t="shared" si="128"/>
        <v>4</v>
      </c>
      <c r="G1158" s="16">
        <f t="shared" si="129"/>
        <v>4.6874000000000002</v>
      </c>
      <c r="H1158" s="16">
        <f t="shared" si="130"/>
        <v>0.8</v>
      </c>
      <c r="I1158" s="16">
        <f t="shared" si="131"/>
        <v>1</v>
      </c>
      <c r="J1158" s="16">
        <f t="shared" si="132"/>
        <v>5.8592500000000003</v>
      </c>
      <c r="K1158" s="16">
        <f>IF(CurrentMtgRatesDataTable8[[#This Row],[WA CC]]&lt;&gt;0,C1157-CurrentMtgRatesDataTable8[[#This Row],[WA CC]],0)</f>
        <v>0.41075000000000017</v>
      </c>
      <c r="L1158" s="16">
        <f>IF(CurrentMtgRatesDataTable8[[#This Row],[Servicing Spread]]&lt;=0,L1157,CurrentMtgRatesDataTable8[[#This Row],[Servicing Spread]])</f>
        <v>0.41075000000000017</v>
      </c>
      <c r="M1158" s="16">
        <f>CurrentMtgRatesDataTable8[[#This Row],[Servicing Spread Non-Zero]]-L1157</f>
        <v>3.1749999999999723E-2</v>
      </c>
      <c r="N1158" s="16">
        <f>IF(J1157&lt;&gt;0,CurrentMtgRatesDataTable8[[#This Row],[Rate]]-C1157,N1157)</f>
        <v>2.0000000000000462E-2</v>
      </c>
    </row>
    <row r="1159" spans="1:14">
      <c r="A1159" s="39" t="s">
        <v>2511</v>
      </c>
      <c r="B1159" s="40">
        <v>5.6929999999999996</v>
      </c>
      <c r="C1159" s="11">
        <v>6.16</v>
      </c>
      <c r="D1159" s="16">
        <f t="shared" si="126"/>
        <v>1</v>
      </c>
      <c r="E1159" s="16">
        <f t="shared" si="127"/>
        <v>0.2</v>
      </c>
      <c r="F1159" s="16">
        <f t="shared" si="128"/>
        <v>1</v>
      </c>
      <c r="G1159" s="16">
        <f t="shared" si="129"/>
        <v>1.1386000000000001</v>
      </c>
      <c r="H1159" s="16">
        <f t="shared" si="130"/>
        <v>0.2</v>
      </c>
      <c r="I1159" s="16">
        <f t="shared" si="131"/>
        <v>0</v>
      </c>
      <c r="J1159" s="16">
        <f t="shared" si="132"/>
        <v>0</v>
      </c>
      <c r="K1159" s="16">
        <f>IF(CurrentMtgRatesDataTable8[[#This Row],[WA CC]]&lt;&gt;0,C1158-CurrentMtgRatesDataTable8[[#This Row],[WA CC]],0)</f>
        <v>0</v>
      </c>
      <c r="L1159" s="16">
        <f>IF(CurrentMtgRatesDataTable8[[#This Row],[Servicing Spread]]&lt;=0,L1158,CurrentMtgRatesDataTable8[[#This Row],[Servicing Spread]])</f>
        <v>0.41075000000000017</v>
      </c>
      <c r="M1159" s="16">
        <f>CurrentMtgRatesDataTable8[[#This Row],[Servicing Spread Non-Zero]]-L1158</f>
        <v>0</v>
      </c>
      <c r="N1159" s="16">
        <f>IF(J1158&lt;&gt;0,CurrentMtgRatesDataTable8[[#This Row],[Rate]]-C1158,N1158)</f>
        <v>-0.11000000000000032</v>
      </c>
    </row>
    <row r="1160" spans="1:14">
      <c r="A1160" s="39" t="s">
        <v>2512</v>
      </c>
      <c r="B1160" s="40">
        <v>5.7779999999999996</v>
      </c>
      <c r="C1160" s="11">
        <v>6.16</v>
      </c>
      <c r="D1160" s="16">
        <f t="shared" si="126"/>
        <v>2</v>
      </c>
      <c r="E1160" s="16">
        <f t="shared" si="127"/>
        <v>0.2</v>
      </c>
      <c r="F1160" s="16">
        <f t="shared" si="128"/>
        <v>2</v>
      </c>
      <c r="G1160" s="16">
        <f t="shared" si="129"/>
        <v>2.2942</v>
      </c>
      <c r="H1160" s="16">
        <f t="shared" si="130"/>
        <v>0.4</v>
      </c>
      <c r="I1160" s="16">
        <f t="shared" si="131"/>
        <v>0</v>
      </c>
      <c r="J1160" s="16">
        <f t="shared" si="132"/>
        <v>0</v>
      </c>
      <c r="K1160" s="16">
        <f>IF(CurrentMtgRatesDataTable8[[#This Row],[WA CC]]&lt;&gt;0,C1159-CurrentMtgRatesDataTable8[[#This Row],[WA CC]],0)</f>
        <v>0</v>
      </c>
      <c r="L1160" s="16">
        <f>IF(CurrentMtgRatesDataTable8[[#This Row],[Servicing Spread]]&lt;=0,L1159,CurrentMtgRatesDataTable8[[#This Row],[Servicing Spread]])</f>
        <v>0.41075000000000017</v>
      </c>
      <c r="M1160" s="16">
        <f>CurrentMtgRatesDataTable8[[#This Row],[Servicing Spread Non-Zero]]-L1159</f>
        <v>0</v>
      </c>
      <c r="N1160" s="16">
        <f>IF(J1159&lt;&gt;0,CurrentMtgRatesDataTable8[[#This Row],[Rate]]-C1159,N1159)</f>
        <v>-0.11000000000000032</v>
      </c>
    </row>
    <row r="1161" spans="1:14">
      <c r="A1161" s="39" t="s">
        <v>2513</v>
      </c>
      <c r="B1161" s="40">
        <v>5.72</v>
      </c>
      <c r="C1161" s="11">
        <v>6.16</v>
      </c>
      <c r="D1161" s="16">
        <f t="shared" si="126"/>
        <v>5</v>
      </c>
      <c r="E1161" s="16">
        <f t="shared" si="127"/>
        <v>0.2</v>
      </c>
      <c r="F1161" s="16">
        <f t="shared" si="128"/>
        <v>3</v>
      </c>
      <c r="G1161" s="16">
        <f t="shared" si="129"/>
        <v>3.4382000000000001</v>
      </c>
      <c r="H1161" s="16">
        <f t="shared" si="130"/>
        <v>0.60000000000000009</v>
      </c>
      <c r="I1161" s="16">
        <f t="shared" si="131"/>
        <v>0</v>
      </c>
      <c r="J1161" s="16">
        <f t="shared" si="132"/>
        <v>0</v>
      </c>
      <c r="K1161" s="16">
        <f>IF(CurrentMtgRatesDataTable8[[#This Row],[WA CC]]&lt;&gt;0,C1160-CurrentMtgRatesDataTable8[[#This Row],[WA CC]],0)</f>
        <v>0</v>
      </c>
      <c r="L1161" s="16">
        <f>IF(CurrentMtgRatesDataTable8[[#This Row],[Servicing Spread]]&lt;=0,L1160,CurrentMtgRatesDataTable8[[#This Row],[Servicing Spread]])</f>
        <v>0.41075000000000017</v>
      </c>
      <c r="M1161" s="16">
        <f>CurrentMtgRatesDataTable8[[#This Row],[Servicing Spread Non-Zero]]-L1160</f>
        <v>0</v>
      </c>
      <c r="N1161" s="16">
        <f>IF(J1160&lt;&gt;0,CurrentMtgRatesDataTable8[[#This Row],[Rate]]-C1160,N1160)</f>
        <v>-0.11000000000000032</v>
      </c>
    </row>
    <row r="1162" spans="1:14">
      <c r="A1162" s="39" t="s">
        <v>2514</v>
      </c>
      <c r="B1162" s="40">
        <v>5.7</v>
      </c>
      <c r="C1162" s="11">
        <v>6.16</v>
      </c>
      <c r="D1162" s="16">
        <f t="shared" si="126"/>
        <v>6</v>
      </c>
      <c r="E1162" s="16">
        <f t="shared" si="127"/>
        <v>0.2</v>
      </c>
      <c r="F1162" s="16">
        <f t="shared" si="128"/>
        <v>4</v>
      </c>
      <c r="G1162" s="16">
        <f t="shared" si="129"/>
        <v>4.5782000000000007</v>
      </c>
      <c r="H1162" s="16">
        <f t="shared" si="130"/>
        <v>0.8</v>
      </c>
      <c r="I1162" s="16">
        <f t="shared" si="131"/>
        <v>0</v>
      </c>
      <c r="J1162" s="16">
        <f t="shared" si="132"/>
        <v>0</v>
      </c>
      <c r="K1162" s="16">
        <f>IF(CurrentMtgRatesDataTable8[[#This Row],[WA CC]]&lt;&gt;0,C1161-CurrentMtgRatesDataTable8[[#This Row],[WA CC]],0)</f>
        <v>0</v>
      </c>
      <c r="L1162" s="16">
        <f>IF(CurrentMtgRatesDataTable8[[#This Row],[Servicing Spread]]&lt;=0,L1161,CurrentMtgRatesDataTable8[[#This Row],[Servicing Spread]])</f>
        <v>0.41075000000000017</v>
      </c>
      <c r="M1162" s="16">
        <f>CurrentMtgRatesDataTable8[[#This Row],[Servicing Spread Non-Zero]]-L1161</f>
        <v>0</v>
      </c>
      <c r="N1162" s="16">
        <f>IF(J1161&lt;&gt;0,CurrentMtgRatesDataTable8[[#This Row],[Rate]]-C1161,N1161)</f>
        <v>-0.11000000000000032</v>
      </c>
    </row>
    <row r="1163" spans="1:14">
      <c r="A1163" s="39" t="s">
        <v>2515</v>
      </c>
      <c r="B1163" s="40">
        <v>5.8470000000000004</v>
      </c>
      <c r="C1163" s="11">
        <v>6.16</v>
      </c>
      <c r="D1163" s="16">
        <f t="shared" si="126"/>
        <v>7</v>
      </c>
      <c r="E1163" s="16">
        <f t="shared" si="127"/>
        <v>0.2</v>
      </c>
      <c r="F1163" s="16">
        <f t="shared" si="128"/>
        <v>5</v>
      </c>
      <c r="G1163" s="16">
        <f t="shared" si="129"/>
        <v>5.7476000000000012</v>
      </c>
      <c r="H1163" s="16">
        <f t="shared" si="130"/>
        <v>1</v>
      </c>
      <c r="I1163" s="16">
        <f t="shared" si="131"/>
        <v>1</v>
      </c>
      <c r="J1163" s="16">
        <f t="shared" si="132"/>
        <v>5.7476000000000012</v>
      </c>
      <c r="K1163" s="16">
        <f>IF(CurrentMtgRatesDataTable8[[#This Row],[WA CC]]&lt;&gt;0,C1162-CurrentMtgRatesDataTable8[[#This Row],[WA CC]],0)</f>
        <v>0.41239999999999899</v>
      </c>
      <c r="L1163" s="16">
        <f>IF(CurrentMtgRatesDataTable8[[#This Row],[Servicing Spread]]&lt;=0,L1162,CurrentMtgRatesDataTable8[[#This Row],[Servicing Spread]])</f>
        <v>0.41239999999999899</v>
      </c>
      <c r="M1163" s="16">
        <f>CurrentMtgRatesDataTable8[[#This Row],[Servicing Spread Non-Zero]]-L1162</f>
        <v>1.6499999999988191E-3</v>
      </c>
      <c r="N1163" s="16">
        <f>IF(J1162&lt;&gt;0,CurrentMtgRatesDataTable8[[#This Row],[Rate]]-C1162,N1162)</f>
        <v>-0.11000000000000032</v>
      </c>
    </row>
    <row r="1164" spans="1:14">
      <c r="A1164" s="39" t="s">
        <v>2516</v>
      </c>
      <c r="B1164" s="40">
        <v>6.0410000000000004</v>
      </c>
      <c r="C1164" s="11">
        <v>6.53</v>
      </c>
      <c r="D1164" s="16">
        <f t="shared" si="126"/>
        <v>1</v>
      </c>
      <c r="E1164" s="16">
        <f t="shared" si="127"/>
        <v>0.2</v>
      </c>
      <c r="F1164" s="16">
        <f t="shared" si="128"/>
        <v>1</v>
      </c>
      <c r="G1164" s="16">
        <f t="shared" si="129"/>
        <v>1.2082000000000002</v>
      </c>
      <c r="H1164" s="16">
        <f t="shared" si="130"/>
        <v>0.2</v>
      </c>
      <c r="I1164" s="16">
        <f t="shared" si="131"/>
        <v>0</v>
      </c>
      <c r="J1164" s="16">
        <f t="shared" si="132"/>
        <v>0</v>
      </c>
      <c r="K1164" s="16">
        <f>IF(CurrentMtgRatesDataTable8[[#This Row],[WA CC]]&lt;&gt;0,C1163-CurrentMtgRatesDataTable8[[#This Row],[WA CC]],0)</f>
        <v>0</v>
      </c>
      <c r="L1164" s="16">
        <f>IF(CurrentMtgRatesDataTable8[[#This Row],[Servicing Spread]]&lt;=0,L1163,CurrentMtgRatesDataTable8[[#This Row],[Servicing Spread]])</f>
        <v>0.41239999999999899</v>
      </c>
      <c r="M1164" s="16">
        <f>CurrentMtgRatesDataTable8[[#This Row],[Servicing Spread Non-Zero]]-L1163</f>
        <v>0</v>
      </c>
      <c r="N1164" s="16">
        <f>IF(J1163&lt;&gt;0,CurrentMtgRatesDataTable8[[#This Row],[Rate]]-C1163,N1163)</f>
        <v>0.37000000000000011</v>
      </c>
    </row>
    <row r="1165" spans="1:14">
      <c r="A1165" s="39" t="s">
        <v>2517</v>
      </c>
      <c r="B1165" s="40">
        <v>6.1349999999999998</v>
      </c>
      <c r="C1165" s="11">
        <v>6.53</v>
      </c>
      <c r="D1165" s="16">
        <f t="shared" si="126"/>
        <v>2</v>
      </c>
      <c r="E1165" s="16">
        <f t="shared" si="127"/>
        <v>0.2</v>
      </c>
      <c r="F1165" s="16">
        <f t="shared" si="128"/>
        <v>2</v>
      </c>
      <c r="G1165" s="16">
        <f t="shared" si="129"/>
        <v>2.4352</v>
      </c>
      <c r="H1165" s="16">
        <f t="shared" si="130"/>
        <v>0.4</v>
      </c>
      <c r="I1165" s="16">
        <f t="shared" si="131"/>
        <v>0</v>
      </c>
      <c r="J1165" s="16">
        <f t="shared" si="132"/>
        <v>0</v>
      </c>
      <c r="K1165" s="16">
        <f>IF(CurrentMtgRatesDataTable8[[#This Row],[WA CC]]&lt;&gt;0,C1164-CurrentMtgRatesDataTable8[[#This Row],[WA CC]],0)</f>
        <v>0</v>
      </c>
      <c r="L1165" s="16">
        <f>IF(CurrentMtgRatesDataTable8[[#This Row],[Servicing Spread]]&lt;=0,L1164,CurrentMtgRatesDataTable8[[#This Row],[Servicing Spread]])</f>
        <v>0.41239999999999899</v>
      </c>
      <c r="M1165" s="16">
        <f>CurrentMtgRatesDataTable8[[#This Row],[Servicing Spread Non-Zero]]-L1164</f>
        <v>0</v>
      </c>
      <c r="N1165" s="16">
        <f>IF(J1164&lt;&gt;0,CurrentMtgRatesDataTable8[[#This Row],[Rate]]-C1164,N1164)</f>
        <v>0.37000000000000011</v>
      </c>
    </row>
    <row r="1166" spans="1:14">
      <c r="A1166" s="63" t="s">
        <v>2518</v>
      </c>
      <c r="B1166" s="64">
        <v>6.1189999999999998</v>
      </c>
      <c r="C1166" s="65">
        <v>6.53</v>
      </c>
      <c r="D1166" s="66">
        <f t="shared" si="126"/>
        <v>5</v>
      </c>
      <c r="E1166" s="66">
        <f t="shared" si="127"/>
        <v>0.2</v>
      </c>
      <c r="F1166" s="66">
        <f t="shared" si="128"/>
        <v>3</v>
      </c>
      <c r="G1166" s="66">
        <f t="shared" si="129"/>
        <v>3.6589999999999998</v>
      </c>
      <c r="H1166" s="66">
        <f t="shared" si="130"/>
        <v>0.60000000000000009</v>
      </c>
      <c r="I1166" s="66">
        <f t="shared" si="131"/>
        <v>0</v>
      </c>
      <c r="J1166" s="66">
        <f t="shared" si="132"/>
        <v>0</v>
      </c>
      <c r="K1166" s="66">
        <f>IF(CurrentMtgRatesDataTable8[[#This Row],[WA CC]]&lt;&gt;0,C1165-CurrentMtgRatesDataTable8[[#This Row],[WA CC]],0)</f>
        <v>0</v>
      </c>
      <c r="L1166" s="66">
        <f>IF(CurrentMtgRatesDataTable8[[#This Row],[Servicing Spread]]&lt;=0,L1165,CurrentMtgRatesDataTable8[[#This Row],[Servicing Spread]])</f>
        <v>0.41239999999999899</v>
      </c>
      <c r="M1166" s="66">
        <f>CurrentMtgRatesDataTable8[[#This Row],[Servicing Spread Non-Zero]]-L1165</f>
        <v>0</v>
      </c>
      <c r="N1166" s="66">
        <f>IF(J1165&lt;&gt;0,CurrentMtgRatesDataTable8[[#This Row],[Rate]]-C1165,N1165)</f>
        <v>0.37000000000000011</v>
      </c>
    </row>
    <row r="1167" spans="1:14">
      <c r="A1167" s="63" t="s">
        <v>2519</v>
      </c>
      <c r="B1167" s="64">
        <v>6.1550000000000002</v>
      </c>
      <c r="C1167" s="65">
        <v>6.53</v>
      </c>
      <c r="D1167" s="66">
        <f t="shared" si="126"/>
        <v>6</v>
      </c>
      <c r="E1167" s="66">
        <f t="shared" si="127"/>
        <v>0.2</v>
      </c>
      <c r="F1167" s="66">
        <f t="shared" si="128"/>
        <v>4</v>
      </c>
      <c r="G1167" s="66">
        <f t="shared" si="129"/>
        <v>4.8899999999999997</v>
      </c>
      <c r="H1167" s="66">
        <f t="shared" si="130"/>
        <v>0.8</v>
      </c>
      <c r="I1167" s="66">
        <f t="shared" si="131"/>
        <v>0</v>
      </c>
      <c r="J1167" s="66">
        <f t="shared" si="132"/>
        <v>0</v>
      </c>
      <c r="K1167" s="66">
        <f>IF(CurrentMtgRatesDataTable8[[#This Row],[WA CC]]&lt;&gt;0,C1166-CurrentMtgRatesDataTable8[[#This Row],[WA CC]],0)</f>
        <v>0</v>
      </c>
      <c r="L1167" s="66">
        <f>IF(CurrentMtgRatesDataTable8[[#This Row],[Servicing Spread]]&lt;=0,L1166,CurrentMtgRatesDataTable8[[#This Row],[Servicing Spread]])</f>
        <v>0.41239999999999899</v>
      </c>
      <c r="M1167" s="66">
        <f>CurrentMtgRatesDataTable8[[#This Row],[Servicing Spread Non-Zero]]-L1166</f>
        <v>0</v>
      </c>
      <c r="N1167" s="66">
        <f>IF(J1166&lt;&gt;0,CurrentMtgRatesDataTable8[[#This Row],[Rate]]-C1166,N1166)</f>
        <v>0.37000000000000011</v>
      </c>
    </row>
    <row r="1168" spans="1:14">
      <c r="A1168" s="63" t="s">
        <v>2520</v>
      </c>
      <c r="B1168" s="64">
        <v>6.1280000000000001</v>
      </c>
      <c r="C1168" s="65">
        <v>6.53</v>
      </c>
      <c r="D1168" s="66">
        <f t="shared" si="126"/>
        <v>7</v>
      </c>
      <c r="E1168" s="66">
        <f t="shared" si="127"/>
        <v>0.2</v>
      </c>
      <c r="F1168" s="66">
        <f t="shared" si="128"/>
        <v>5</v>
      </c>
      <c r="G1168" s="66">
        <f t="shared" si="129"/>
        <v>6.1155999999999997</v>
      </c>
      <c r="H1168" s="66">
        <f t="shared" si="130"/>
        <v>1</v>
      </c>
      <c r="I1168" s="66">
        <f t="shared" si="131"/>
        <v>1</v>
      </c>
      <c r="J1168" s="66">
        <f t="shared" si="132"/>
        <v>6.1155999999999997</v>
      </c>
      <c r="K1168" s="66">
        <f>IF(CurrentMtgRatesDataTable8[[#This Row],[WA CC]]&lt;&gt;0,C1167-CurrentMtgRatesDataTable8[[#This Row],[WA CC]],0)</f>
        <v>0.41440000000000055</v>
      </c>
      <c r="L1168" s="66">
        <f>IF(CurrentMtgRatesDataTable8[[#This Row],[Servicing Spread]]&lt;=0,L1167,CurrentMtgRatesDataTable8[[#This Row],[Servicing Spread]])</f>
        <v>0.41440000000000055</v>
      </c>
      <c r="M1168" s="66">
        <f>CurrentMtgRatesDataTable8[[#This Row],[Servicing Spread Non-Zero]]-L1167</f>
        <v>2.0000000000015561E-3</v>
      </c>
      <c r="N1168" s="66">
        <f>IF(J1167&lt;&gt;0,CurrentMtgRatesDataTable8[[#This Row],[Rate]]-C1167,N1167)</f>
        <v>0.37000000000000011</v>
      </c>
    </row>
    <row r="1169" spans="1:14">
      <c r="A1169" s="63" t="s">
        <v>2521</v>
      </c>
      <c r="B1169" s="64">
        <v>5.968</v>
      </c>
      <c r="C1169" s="65">
        <v>6.4449999999999994</v>
      </c>
      <c r="D1169" s="66">
        <f t="shared" si="126"/>
        <v>1</v>
      </c>
      <c r="E1169" s="66">
        <f t="shared" si="127"/>
        <v>0.2</v>
      </c>
      <c r="F1169" s="66">
        <f t="shared" si="128"/>
        <v>1</v>
      </c>
      <c r="G1169" s="66">
        <f t="shared" si="129"/>
        <v>1.1936</v>
      </c>
      <c r="H1169" s="66">
        <f t="shared" si="130"/>
        <v>0.2</v>
      </c>
      <c r="I1169" s="66">
        <f t="shared" si="131"/>
        <v>0</v>
      </c>
      <c r="J1169" s="66">
        <f t="shared" si="132"/>
        <v>0</v>
      </c>
      <c r="K1169" s="66">
        <f>IF(CurrentMtgRatesDataTable8[[#This Row],[WA CC]]&lt;&gt;0,C1168-CurrentMtgRatesDataTable8[[#This Row],[WA CC]],0)</f>
        <v>0</v>
      </c>
      <c r="L1169" s="66">
        <f>IF(CurrentMtgRatesDataTable8[[#This Row],[Servicing Spread]]&lt;=0,L1168,CurrentMtgRatesDataTable8[[#This Row],[Servicing Spread]])</f>
        <v>0.41440000000000055</v>
      </c>
      <c r="M1169" s="66">
        <f>CurrentMtgRatesDataTable8[[#This Row],[Servicing Spread Non-Zero]]-L1168</f>
        <v>0</v>
      </c>
      <c r="N1169" s="66">
        <f>IF(J1168&lt;&gt;0,CurrentMtgRatesDataTable8[[#This Row],[Rate]]-C1168,N1168)</f>
        <v>-8.5000000000000853E-2</v>
      </c>
    </row>
    <row r="1170" spans="1:14">
      <c r="A1170" s="63" t="s">
        <v>2522</v>
      </c>
      <c r="B1170" s="64">
        <v>6.093</v>
      </c>
      <c r="C1170" s="65">
        <v>6.4449999999999994</v>
      </c>
      <c r="D1170" s="66">
        <f t="shared" si="126"/>
        <v>2</v>
      </c>
      <c r="E1170" s="66">
        <f t="shared" si="127"/>
        <v>0.2</v>
      </c>
      <c r="F1170" s="66">
        <f t="shared" si="128"/>
        <v>2</v>
      </c>
      <c r="G1170" s="66">
        <f t="shared" si="129"/>
        <v>2.4122000000000003</v>
      </c>
      <c r="H1170" s="66">
        <f t="shared" si="130"/>
        <v>0.4</v>
      </c>
      <c r="I1170" s="66">
        <f t="shared" si="131"/>
        <v>0</v>
      </c>
      <c r="J1170" s="66">
        <f t="shared" si="132"/>
        <v>0</v>
      </c>
      <c r="K1170" s="66">
        <f>IF(CurrentMtgRatesDataTable8[[#This Row],[WA CC]]&lt;&gt;0,C1169-CurrentMtgRatesDataTable8[[#This Row],[WA CC]],0)</f>
        <v>0</v>
      </c>
      <c r="L1170" s="66">
        <f>IF(CurrentMtgRatesDataTable8[[#This Row],[Servicing Spread]]&lt;=0,L1169,CurrentMtgRatesDataTable8[[#This Row],[Servicing Spread]])</f>
        <v>0.41440000000000055</v>
      </c>
      <c r="M1170" s="66">
        <f>CurrentMtgRatesDataTable8[[#This Row],[Servicing Spread Non-Zero]]-L1169</f>
        <v>0</v>
      </c>
      <c r="N1170" s="66">
        <f>IF(J1169&lt;&gt;0,CurrentMtgRatesDataTable8[[#This Row],[Rate]]-C1169,N1169)</f>
        <v>-8.5000000000000853E-2</v>
      </c>
    </row>
    <row r="1171" spans="1:14">
      <c r="A1171" s="63" t="s">
        <v>2523</v>
      </c>
      <c r="B1171" s="64">
        <v>5.9729999999999999</v>
      </c>
      <c r="C1171" s="65">
        <v>6.4449999999999994</v>
      </c>
      <c r="D1171" s="66">
        <f t="shared" si="126"/>
        <v>5</v>
      </c>
      <c r="E1171" s="66">
        <f t="shared" si="127"/>
        <v>0.2</v>
      </c>
      <c r="F1171" s="66">
        <f t="shared" si="128"/>
        <v>3</v>
      </c>
      <c r="G1171" s="66">
        <f t="shared" si="129"/>
        <v>3.6068000000000007</v>
      </c>
      <c r="H1171" s="66">
        <f t="shared" si="130"/>
        <v>0.60000000000000009</v>
      </c>
      <c r="I1171" s="66">
        <f t="shared" si="131"/>
        <v>0</v>
      </c>
      <c r="J1171" s="66">
        <f t="shared" si="132"/>
        <v>0</v>
      </c>
      <c r="K1171" s="66">
        <f>IF(CurrentMtgRatesDataTable8[[#This Row],[WA CC]]&lt;&gt;0,C1170-CurrentMtgRatesDataTable8[[#This Row],[WA CC]],0)</f>
        <v>0</v>
      </c>
      <c r="L1171" s="66">
        <f>IF(CurrentMtgRatesDataTable8[[#This Row],[Servicing Spread]]&lt;=0,L1170,CurrentMtgRatesDataTable8[[#This Row],[Servicing Spread]])</f>
        <v>0.41440000000000055</v>
      </c>
      <c r="M1171" s="66">
        <f>CurrentMtgRatesDataTable8[[#This Row],[Servicing Spread Non-Zero]]-L1170</f>
        <v>0</v>
      </c>
      <c r="N1171" s="66">
        <f>IF(J1170&lt;&gt;0,CurrentMtgRatesDataTable8[[#This Row],[Rate]]-C1170,N1170)</f>
        <v>-8.5000000000000853E-2</v>
      </c>
    </row>
    <row r="1172" spans="1:14">
      <c r="A1172" s="63" t="s">
        <v>2524</v>
      </c>
      <c r="B1172" s="64">
        <v>6.0270000000000001</v>
      </c>
      <c r="C1172" s="65">
        <v>6.4449999999999994</v>
      </c>
      <c r="D1172" s="66">
        <f t="shared" si="126"/>
        <v>6</v>
      </c>
      <c r="E1172" s="66">
        <f t="shared" si="127"/>
        <v>0.2</v>
      </c>
      <c r="F1172" s="66">
        <f t="shared" si="128"/>
        <v>4</v>
      </c>
      <c r="G1172" s="66">
        <f t="shared" si="129"/>
        <v>4.8122000000000007</v>
      </c>
      <c r="H1172" s="66">
        <f t="shared" si="130"/>
        <v>0.8</v>
      </c>
      <c r="I1172" s="66">
        <f t="shared" si="131"/>
        <v>0</v>
      </c>
      <c r="J1172" s="66">
        <f t="shared" si="132"/>
        <v>0</v>
      </c>
      <c r="K1172" s="66">
        <f>IF(CurrentMtgRatesDataTable8[[#This Row],[WA CC]]&lt;&gt;0,C1171-CurrentMtgRatesDataTable8[[#This Row],[WA CC]],0)</f>
        <v>0</v>
      </c>
      <c r="L1172" s="66">
        <f>IF(CurrentMtgRatesDataTable8[[#This Row],[Servicing Spread]]&lt;=0,L1171,CurrentMtgRatesDataTable8[[#This Row],[Servicing Spread]])</f>
        <v>0.41440000000000055</v>
      </c>
      <c r="M1172" s="66">
        <f>CurrentMtgRatesDataTable8[[#This Row],[Servicing Spread Non-Zero]]-L1171</f>
        <v>0</v>
      </c>
      <c r="N1172" s="66">
        <f>IF(J1171&lt;&gt;0,CurrentMtgRatesDataTable8[[#This Row],[Rate]]-C1171,N1171)</f>
        <v>-8.5000000000000853E-2</v>
      </c>
    </row>
    <row r="1173" spans="1:14">
      <c r="A1173" s="63" t="s">
        <v>2525</v>
      </c>
      <c r="B1173" s="64">
        <v>5.9850000000000003</v>
      </c>
      <c r="C1173" s="65">
        <v>6.4449999999999994</v>
      </c>
      <c r="D1173" s="66">
        <f t="shared" si="126"/>
        <v>7</v>
      </c>
      <c r="E1173" s="66">
        <f t="shared" si="127"/>
        <v>0.2</v>
      </c>
      <c r="F1173" s="66">
        <f t="shared" si="128"/>
        <v>5</v>
      </c>
      <c r="G1173" s="66">
        <f t="shared" si="129"/>
        <v>6.0092000000000008</v>
      </c>
      <c r="H1173" s="66">
        <f t="shared" si="130"/>
        <v>1</v>
      </c>
      <c r="I1173" s="66">
        <f t="shared" si="131"/>
        <v>1</v>
      </c>
      <c r="J1173" s="66">
        <f t="shared" si="132"/>
        <v>6.0092000000000008</v>
      </c>
      <c r="K1173" s="66">
        <f>IF(CurrentMtgRatesDataTable8[[#This Row],[WA CC]]&lt;&gt;0,C1172-CurrentMtgRatesDataTable8[[#This Row],[WA CC]],0)</f>
        <v>0.43579999999999863</v>
      </c>
      <c r="L1173" s="66">
        <f>IF(CurrentMtgRatesDataTable8[[#This Row],[Servicing Spread]]&lt;=0,L1172,CurrentMtgRatesDataTable8[[#This Row],[Servicing Spread]])</f>
        <v>0.43579999999999863</v>
      </c>
      <c r="M1173" s="66">
        <f>CurrentMtgRatesDataTable8[[#This Row],[Servicing Spread Non-Zero]]-L1172</f>
        <v>2.1399999999998087E-2</v>
      </c>
      <c r="N1173" s="66">
        <f>IF(J1172&lt;&gt;0,CurrentMtgRatesDataTable8[[#This Row],[Rate]]-C1172,N1172)</f>
        <v>-8.5000000000000853E-2</v>
      </c>
    </row>
    <row r="1174" spans="1:14">
      <c r="A1174" s="63" t="s">
        <v>2526</v>
      </c>
      <c r="B1174" s="64">
        <v>5.9390000000000001</v>
      </c>
      <c r="C1174" s="65">
        <v>6.4449999999999994</v>
      </c>
      <c r="D1174" s="66">
        <f t="shared" si="126"/>
        <v>1</v>
      </c>
      <c r="E1174" s="66">
        <f t="shared" si="127"/>
        <v>0.2</v>
      </c>
      <c r="F1174" s="66">
        <f t="shared" si="128"/>
        <v>1</v>
      </c>
      <c r="G1174" s="66">
        <f t="shared" si="129"/>
        <v>1.1878</v>
      </c>
      <c r="H1174" s="66">
        <f t="shared" si="130"/>
        <v>0.2</v>
      </c>
      <c r="I1174" s="66">
        <f t="shared" si="131"/>
        <v>0</v>
      </c>
      <c r="J1174" s="66">
        <f t="shared" si="132"/>
        <v>0</v>
      </c>
      <c r="K1174" s="66">
        <f>IF(CurrentMtgRatesDataTable8[[#This Row],[WA CC]]&lt;&gt;0,C1173-CurrentMtgRatesDataTable8[[#This Row],[WA CC]],0)</f>
        <v>0</v>
      </c>
      <c r="L1174" s="66">
        <f>IF(CurrentMtgRatesDataTable8[[#This Row],[Servicing Spread]]&lt;=0,L1173,CurrentMtgRatesDataTable8[[#This Row],[Servicing Spread]])</f>
        <v>0.43579999999999863</v>
      </c>
      <c r="M1174" s="66">
        <f>CurrentMtgRatesDataTable8[[#This Row],[Servicing Spread Non-Zero]]-L1173</f>
        <v>0</v>
      </c>
      <c r="N1174" s="66">
        <f>IF(J1173&lt;&gt;0,CurrentMtgRatesDataTable8[[#This Row],[Rate]]-C1173,N1173)</f>
        <v>0</v>
      </c>
    </row>
    <row r="1175" spans="1:14">
      <c r="A1175" s="63" t="s">
        <v>2527</v>
      </c>
      <c r="B1175" s="64">
        <v>5.944</v>
      </c>
      <c r="C1175" s="65">
        <v>6.4449999999999994</v>
      </c>
      <c r="D1175" s="66">
        <f t="shared" si="126"/>
        <v>2</v>
      </c>
      <c r="E1175" s="66">
        <f t="shared" si="127"/>
        <v>0.2</v>
      </c>
      <c r="F1175" s="66">
        <f t="shared" si="128"/>
        <v>2</v>
      </c>
      <c r="G1175" s="66">
        <f t="shared" si="129"/>
        <v>2.3765999999999998</v>
      </c>
      <c r="H1175" s="66">
        <f t="shared" si="130"/>
        <v>0.4</v>
      </c>
      <c r="I1175" s="66">
        <f t="shared" si="131"/>
        <v>0</v>
      </c>
      <c r="J1175" s="66">
        <f t="shared" si="132"/>
        <v>0</v>
      </c>
      <c r="K1175" s="66">
        <f>IF(CurrentMtgRatesDataTable8[[#This Row],[WA CC]]&lt;&gt;0,C1174-CurrentMtgRatesDataTable8[[#This Row],[WA CC]],0)</f>
        <v>0</v>
      </c>
      <c r="L1175" s="66">
        <f>IF(CurrentMtgRatesDataTable8[[#This Row],[Servicing Spread]]&lt;=0,L1174,CurrentMtgRatesDataTable8[[#This Row],[Servicing Spread]])</f>
        <v>0.43579999999999863</v>
      </c>
      <c r="M1175" s="66">
        <f>CurrentMtgRatesDataTable8[[#This Row],[Servicing Spread Non-Zero]]-L1174</f>
        <v>0</v>
      </c>
      <c r="N1175" s="66">
        <f>IF(J1174&lt;&gt;0,CurrentMtgRatesDataTable8[[#This Row],[Rate]]-C1174,N1174)</f>
        <v>0</v>
      </c>
    </row>
    <row r="1176" spans="1:14">
      <c r="A1176" s="63" t="s">
        <v>2528</v>
      </c>
      <c r="B1176" s="64">
        <v>6.0090000000000003</v>
      </c>
      <c r="C1176" s="65">
        <v>6.4449999999999994</v>
      </c>
      <c r="D1176" s="66">
        <f t="shared" si="126"/>
        <v>5</v>
      </c>
      <c r="E1176" s="66">
        <f t="shared" si="127"/>
        <v>0.2</v>
      </c>
      <c r="F1176" s="66">
        <f t="shared" si="128"/>
        <v>3</v>
      </c>
      <c r="G1176" s="66">
        <f t="shared" si="129"/>
        <v>3.5784000000000002</v>
      </c>
      <c r="H1176" s="66">
        <f t="shared" si="130"/>
        <v>0.60000000000000009</v>
      </c>
      <c r="I1176" s="66">
        <f t="shared" si="131"/>
        <v>0</v>
      </c>
      <c r="J1176" s="66">
        <f t="shared" si="132"/>
        <v>0</v>
      </c>
      <c r="K1176" s="66">
        <f>IF(CurrentMtgRatesDataTable8[[#This Row],[WA CC]]&lt;&gt;0,C1175-CurrentMtgRatesDataTable8[[#This Row],[WA CC]],0)</f>
        <v>0</v>
      </c>
      <c r="L1176" s="66">
        <f>IF(CurrentMtgRatesDataTable8[[#This Row],[Servicing Spread]]&lt;=0,L1175,CurrentMtgRatesDataTable8[[#This Row],[Servicing Spread]])</f>
        <v>0.43579999999999863</v>
      </c>
      <c r="M1176" s="66">
        <f>CurrentMtgRatesDataTable8[[#This Row],[Servicing Spread Non-Zero]]-L1175</f>
        <v>0</v>
      </c>
      <c r="N1176" s="66">
        <f>IF(J1175&lt;&gt;0,CurrentMtgRatesDataTable8[[#This Row],[Rate]]-C1175,N1175)</f>
        <v>0</v>
      </c>
    </row>
    <row r="1177" spans="1:14">
      <c r="A1177" s="63" t="s">
        <v>2529</v>
      </c>
      <c r="B1177" s="64">
        <v>6.0519999999999996</v>
      </c>
      <c r="C1177" s="65">
        <v>6.4449999999999994</v>
      </c>
      <c r="D1177" s="66">
        <f t="shared" si="126"/>
        <v>6</v>
      </c>
      <c r="E1177" s="66">
        <f t="shared" si="127"/>
        <v>0.2</v>
      </c>
      <c r="F1177" s="66">
        <f t="shared" si="128"/>
        <v>4</v>
      </c>
      <c r="G1177" s="66">
        <f t="shared" si="129"/>
        <v>4.7888000000000002</v>
      </c>
      <c r="H1177" s="66">
        <f t="shared" si="130"/>
        <v>0.8</v>
      </c>
      <c r="I1177" s="66">
        <f t="shared" si="131"/>
        <v>0</v>
      </c>
      <c r="J1177" s="66">
        <f t="shared" si="132"/>
        <v>0</v>
      </c>
      <c r="K1177" s="66">
        <f>IF(CurrentMtgRatesDataTable8[[#This Row],[WA CC]]&lt;&gt;0,C1176-CurrentMtgRatesDataTable8[[#This Row],[WA CC]],0)</f>
        <v>0</v>
      </c>
      <c r="L1177" s="66">
        <f>IF(CurrentMtgRatesDataTable8[[#This Row],[Servicing Spread]]&lt;=0,L1176,CurrentMtgRatesDataTable8[[#This Row],[Servicing Spread]])</f>
        <v>0.43579999999999863</v>
      </c>
      <c r="M1177" s="66">
        <f>CurrentMtgRatesDataTable8[[#This Row],[Servicing Spread Non-Zero]]-L1176</f>
        <v>0</v>
      </c>
      <c r="N1177" s="66">
        <f>IF(J1176&lt;&gt;0,CurrentMtgRatesDataTable8[[#This Row],[Rate]]-C1176,N1176)</f>
        <v>0</v>
      </c>
    </row>
    <row r="1178" spans="1:14">
      <c r="A1178" s="63" t="s">
        <v>2530</v>
      </c>
      <c r="B1178" s="64">
        <v>6.1289999999999996</v>
      </c>
      <c r="C1178" s="65">
        <v>6.4449999999999994</v>
      </c>
      <c r="D1178" s="66">
        <f t="shared" si="126"/>
        <v>7</v>
      </c>
      <c r="E1178" s="66">
        <f t="shared" si="127"/>
        <v>0.2</v>
      </c>
      <c r="F1178" s="66">
        <f t="shared" si="128"/>
        <v>5</v>
      </c>
      <c r="G1178" s="66">
        <f t="shared" si="129"/>
        <v>6.0145999999999997</v>
      </c>
      <c r="H1178" s="66">
        <f t="shared" si="130"/>
        <v>1</v>
      </c>
      <c r="I1178" s="66">
        <f t="shared" si="131"/>
        <v>1</v>
      </c>
      <c r="J1178" s="66">
        <f t="shared" si="132"/>
        <v>6.0145999999999997</v>
      </c>
      <c r="K1178" s="66">
        <f>IF(CurrentMtgRatesDataTable8[[#This Row],[WA CC]]&lt;&gt;0,C1177-CurrentMtgRatesDataTable8[[#This Row],[WA CC]],0)</f>
        <v>0.43039999999999967</v>
      </c>
      <c r="L1178" s="66">
        <f>IF(CurrentMtgRatesDataTable8[[#This Row],[Servicing Spread]]&lt;=0,L1177,CurrentMtgRatesDataTable8[[#This Row],[Servicing Spread]])</f>
        <v>0.43039999999999967</v>
      </c>
      <c r="M1178" s="66">
        <f>CurrentMtgRatesDataTable8[[#This Row],[Servicing Spread Non-Zero]]-L1177</f>
        <v>-5.3999999999989612E-3</v>
      </c>
      <c r="N1178" s="66">
        <f>IF(J1177&lt;&gt;0,CurrentMtgRatesDataTable8[[#This Row],[Rate]]-C1177,N1177)</f>
        <v>0</v>
      </c>
    </row>
    <row r="1179" spans="1:14">
      <c r="A1179" s="63" t="s">
        <v>2531</v>
      </c>
      <c r="B1179" s="64">
        <v>6.056</v>
      </c>
      <c r="C1179" s="65">
        <v>6.4449999999999994</v>
      </c>
      <c r="D1179" s="66">
        <f t="shared" si="126"/>
        <v>1</v>
      </c>
      <c r="E1179" s="66">
        <f t="shared" si="127"/>
        <v>0.2</v>
      </c>
      <c r="F1179" s="66">
        <f t="shared" si="128"/>
        <v>1</v>
      </c>
      <c r="G1179" s="66">
        <f t="shared" si="129"/>
        <v>1.2112000000000001</v>
      </c>
      <c r="H1179" s="66">
        <f t="shared" si="130"/>
        <v>0.2</v>
      </c>
      <c r="I1179" s="66">
        <f t="shared" si="131"/>
        <v>0</v>
      </c>
      <c r="J1179" s="66">
        <f t="shared" si="132"/>
        <v>0</v>
      </c>
      <c r="K1179" s="66">
        <f>IF(CurrentMtgRatesDataTable8[[#This Row],[WA CC]]&lt;&gt;0,C1178-CurrentMtgRatesDataTable8[[#This Row],[WA CC]],0)</f>
        <v>0</v>
      </c>
      <c r="L1179" s="66">
        <f>IF(CurrentMtgRatesDataTable8[[#This Row],[Servicing Spread]]&lt;=0,L1178,CurrentMtgRatesDataTable8[[#This Row],[Servicing Spread]])</f>
        <v>0.43039999999999967</v>
      </c>
      <c r="M1179" s="66">
        <f>CurrentMtgRatesDataTable8[[#This Row],[Servicing Spread Non-Zero]]-L1178</f>
        <v>0</v>
      </c>
      <c r="N1179" s="66">
        <f>IF(J1178&lt;&gt;0,CurrentMtgRatesDataTable8[[#This Row],[Rate]]-C1178,N1178)</f>
        <v>0</v>
      </c>
    </row>
    <row r="1180" spans="1:14">
      <c r="A1180" s="63" t="s">
        <v>2532</v>
      </c>
      <c r="B1180" s="64">
        <v>6.0049999999999999</v>
      </c>
      <c r="C1180" s="65">
        <v>6.4449999999999994</v>
      </c>
      <c r="D1180" s="66">
        <f t="shared" si="126"/>
        <v>2</v>
      </c>
      <c r="E1180" s="66">
        <f t="shared" si="127"/>
        <v>0.2</v>
      </c>
      <c r="F1180" s="66">
        <f t="shared" si="128"/>
        <v>2</v>
      </c>
      <c r="G1180" s="66">
        <f t="shared" si="129"/>
        <v>2.4122000000000003</v>
      </c>
      <c r="H1180" s="66">
        <f t="shared" si="130"/>
        <v>0.4</v>
      </c>
      <c r="I1180" s="66">
        <f t="shared" si="131"/>
        <v>0</v>
      </c>
      <c r="J1180" s="66">
        <f t="shared" si="132"/>
        <v>0</v>
      </c>
      <c r="K1180" s="66">
        <f>IF(CurrentMtgRatesDataTable8[[#This Row],[WA CC]]&lt;&gt;0,C1179-CurrentMtgRatesDataTable8[[#This Row],[WA CC]],0)</f>
        <v>0</v>
      </c>
      <c r="L1180" s="66">
        <f>IF(CurrentMtgRatesDataTable8[[#This Row],[Servicing Spread]]&lt;=0,L1179,CurrentMtgRatesDataTable8[[#This Row],[Servicing Spread]])</f>
        <v>0.43039999999999967</v>
      </c>
      <c r="M1180" s="66">
        <f>CurrentMtgRatesDataTable8[[#This Row],[Servicing Spread Non-Zero]]-L1179</f>
        <v>0</v>
      </c>
      <c r="N1180" s="66">
        <f>IF(J1179&lt;&gt;0,CurrentMtgRatesDataTable8[[#This Row],[Rate]]-C1179,N1179)</f>
        <v>0</v>
      </c>
    </row>
    <row r="1181" spans="1:14">
      <c r="A1181" s="63" t="s">
        <v>2533</v>
      </c>
      <c r="B1181" s="64">
        <v>6.0860000000000003</v>
      </c>
      <c r="C1181" s="65">
        <v>6.4449999999999994</v>
      </c>
      <c r="D1181" s="66">
        <f t="shared" si="126"/>
        <v>5</v>
      </c>
      <c r="E1181" s="66">
        <f t="shared" si="127"/>
        <v>0.2</v>
      </c>
      <c r="F1181" s="66">
        <f t="shared" si="128"/>
        <v>3</v>
      </c>
      <c r="G1181" s="66">
        <f t="shared" si="129"/>
        <v>3.6294000000000004</v>
      </c>
      <c r="H1181" s="66">
        <f t="shared" si="130"/>
        <v>0.60000000000000009</v>
      </c>
      <c r="I1181" s="66">
        <f t="shared" si="131"/>
        <v>0</v>
      </c>
      <c r="J1181" s="66">
        <f t="shared" si="132"/>
        <v>0</v>
      </c>
      <c r="K1181" s="66">
        <f>IF(CurrentMtgRatesDataTable8[[#This Row],[WA CC]]&lt;&gt;0,C1180-CurrentMtgRatesDataTable8[[#This Row],[WA CC]],0)</f>
        <v>0</v>
      </c>
      <c r="L1181" s="66">
        <f>IF(CurrentMtgRatesDataTable8[[#This Row],[Servicing Spread]]&lt;=0,L1180,CurrentMtgRatesDataTable8[[#This Row],[Servicing Spread]])</f>
        <v>0.43039999999999967</v>
      </c>
      <c r="M1181" s="66">
        <f>CurrentMtgRatesDataTable8[[#This Row],[Servicing Spread Non-Zero]]-L1180</f>
        <v>0</v>
      </c>
      <c r="N1181" s="66">
        <f>IF(J1180&lt;&gt;0,CurrentMtgRatesDataTable8[[#This Row],[Rate]]-C1180,N1180)</f>
        <v>0</v>
      </c>
    </row>
    <row r="1182" spans="1:14">
      <c r="A1182" s="63" t="s">
        <v>2534</v>
      </c>
      <c r="B1182" s="64">
        <v>6.0369999999999999</v>
      </c>
      <c r="C1182" s="65">
        <v>6.4449999999999994</v>
      </c>
      <c r="D1182" s="66">
        <f t="shared" si="126"/>
        <v>6</v>
      </c>
      <c r="E1182" s="66">
        <f t="shared" si="127"/>
        <v>0.2</v>
      </c>
      <c r="F1182" s="66">
        <f t="shared" si="128"/>
        <v>4</v>
      </c>
      <c r="G1182" s="66">
        <f t="shared" si="129"/>
        <v>4.8368000000000002</v>
      </c>
      <c r="H1182" s="66">
        <f t="shared" si="130"/>
        <v>0.8</v>
      </c>
      <c r="I1182" s="66">
        <f t="shared" si="131"/>
        <v>0</v>
      </c>
      <c r="J1182" s="66">
        <f t="shared" si="132"/>
        <v>0</v>
      </c>
      <c r="K1182" s="66">
        <f>IF(CurrentMtgRatesDataTable8[[#This Row],[WA CC]]&lt;&gt;0,C1181-CurrentMtgRatesDataTable8[[#This Row],[WA CC]],0)</f>
        <v>0</v>
      </c>
      <c r="L1182" s="66">
        <f>IF(CurrentMtgRatesDataTable8[[#This Row],[Servicing Spread]]&lt;=0,L1181,CurrentMtgRatesDataTable8[[#This Row],[Servicing Spread]])</f>
        <v>0.43039999999999967</v>
      </c>
      <c r="M1182" s="66">
        <f>CurrentMtgRatesDataTable8[[#This Row],[Servicing Spread Non-Zero]]-L1181</f>
        <v>0</v>
      </c>
      <c r="N1182" s="66">
        <f>IF(J1181&lt;&gt;0,CurrentMtgRatesDataTable8[[#This Row],[Rate]]-C1181,N1181)</f>
        <v>0</v>
      </c>
    </row>
    <row r="1183" spans="1:14">
      <c r="A1183" s="63" t="s">
        <v>2535</v>
      </c>
      <c r="B1183" s="64">
        <v>6.0629999999999997</v>
      </c>
      <c r="C1183" s="65">
        <v>6.4449999999999994</v>
      </c>
      <c r="D1183" s="66">
        <f t="shared" si="126"/>
        <v>7</v>
      </c>
      <c r="E1183" s="66">
        <f t="shared" si="127"/>
        <v>0.2</v>
      </c>
      <c r="F1183" s="66">
        <f t="shared" si="128"/>
        <v>5</v>
      </c>
      <c r="G1183" s="66">
        <f t="shared" si="129"/>
        <v>6.0494000000000003</v>
      </c>
      <c r="H1183" s="66">
        <f t="shared" si="130"/>
        <v>1</v>
      </c>
      <c r="I1183" s="66">
        <f t="shared" si="131"/>
        <v>1</v>
      </c>
      <c r="J1183" s="66">
        <f t="shared" si="132"/>
        <v>6.0494000000000003</v>
      </c>
      <c r="K1183" s="66">
        <f>IF(CurrentMtgRatesDataTable8[[#This Row],[WA CC]]&lt;&gt;0,C1182-CurrentMtgRatesDataTable8[[#This Row],[WA CC]],0)</f>
        <v>0.39559999999999906</v>
      </c>
      <c r="L1183" s="66">
        <f>IF(CurrentMtgRatesDataTable8[[#This Row],[Servicing Spread]]&lt;=0,L1182,CurrentMtgRatesDataTable8[[#This Row],[Servicing Spread]])</f>
        <v>0.39559999999999906</v>
      </c>
      <c r="M1183" s="66">
        <f>CurrentMtgRatesDataTable8[[#This Row],[Servicing Spread Non-Zero]]-L1182</f>
        <v>-3.4800000000000608E-2</v>
      </c>
      <c r="N1183" s="66">
        <f>IF(J1182&lt;&gt;0,CurrentMtgRatesDataTable8[[#This Row],[Rate]]-C1182,N1182)</f>
        <v>0</v>
      </c>
    </row>
    <row r="1184" spans="1:14">
      <c r="A1184" s="63" t="s">
        <v>2536</v>
      </c>
      <c r="B1184" s="64">
        <v>6.0389999999999997</v>
      </c>
      <c r="C1184" s="65">
        <v>6.3949999999999996</v>
      </c>
      <c r="D1184" s="66">
        <f t="shared" si="126"/>
        <v>1</v>
      </c>
      <c r="E1184" s="66">
        <f t="shared" si="127"/>
        <v>0.2</v>
      </c>
      <c r="F1184" s="66">
        <f t="shared" si="128"/>
        <v>1</v>
      </c>
      <c r="G1184" s="66">
        <f t="shared" si="129"/>
        <v>1.2078</v>
      </c>
      <c r="H1184" s="66">
        <f t="shared" si="130"/>
        <v>0.2</v>
      </c>
      <c r="I1184" s="66">
        <f t="shared" si="131"/>
        <v>0</v>
      </c>
      <c r="J1184" s="66">
        <f t="shared" si="132"/>
        <v>0</v>
      </c>
      <c r="K1184" s="66">
        <f>IF(CurrentMtgRatesDataTable8[[#This Row],[WA CC]]&lt;&gt;0,C1183-CurrentMtgRatesDataTable8[[#This Row],[WA CC]],0)</f>
        <v>0</v>
      </c>
      <c r="L1184" s="66">
        <f>IF(CurrentMtgRatesDataTable8[[#This Row],[Servicing Spread]]&lt;=0,L1183,CurrentMtgRatesDataTable8[[#This Row],[Servicing Spread]])</f>
        <v>0.39559999999999906</v>
      </c>
      <c r="M1184" s="66">
        <f>CurrentMtgRatesDataTable8[[#This Row],[Servicing Spread Non-Zero]]-L1183</f>
        <v>0</v>
      </c>
      <c r="N1184" s="66">
        <f>IF(J1183&lt;&gt;0,CurrentMtgRatesDataTable8[[#This Row],[Rate]]-C1183,N1183)</f>
        <v>-4.9999999999999822E-2</v>
      </c>
    </row>
    <row r="1185" spans="1:14">
      <c r="A1185" s="63" t="s">
        <v>2537</v>
      </c>
      <c r="B1185" s="64">
        <v>5.9619999999999997</v>
      </c>
      <c r="C1185" s="65">
        <v>6.3949999999999996</v>
      </c>
      <c r="D1185" s="66">
        <f t="shared" si="126"/>
        <v>2</v>
      </c>
      <c r="E1185" s="66">
        <f t="shared" si="127"/>
        <v>0.2</v>
      </c>
      <c r="F1185" s="66">
        <f t="shared" si="128"/>
        <v>2</v>
      </c>
      <c r="G1185" s="66">
        <f t="shared" si="129"/>
        <v>2.4001999999999999</v>
      </c>
      <c r="H1185" s="66">
        <f t="shared" si="130"/>
        <v>0.4</v>
      </c>
      <c r="I1185" s="66">
        <f t="shared" si="131"/>
        <v>0</v>
      </c>
      <c r="J1185" s="66">
        <f t="shared" si="132"/>
        <v>0</v>
      </c>
      <c r="K1185" s="66">
        <f>IF(CurrentMtgRatesDataTable8[[#This Row],[WA CC]]&lt;&gt;0,C1184-CurrentMtgRatesDataTable8[[#This Row],[WA CC]],0)</f>
        <v>0</v>
      </c>
      <c r="L1185" s="66">
        <f>IF(CurrentMtgRatesDataTable8[[#This Row],[Servicing Spread]]&lt;=0,L1184,CurrentMtgRatesDataTable8[[#This Row],[Servicing Spread]])</f>
        <v>0.39559999999999906</v>
      </c>
      <c r="M1185" s="66">
        <f>CurrentMtgRatesDataTable8[[#This Row],[Servicing Spread Non-Zero]]-L1184</f>
        <v>0</v>
      </c>
      <c r="N1185" s="66">
        <f>IF(J1184&lt;&gt;0,CurrentMtgRatesDataTable8[[#This Row],[Rate]]-C1184,N1184)</f>
        <v>-4.9999999999999822E-2</v>
      </c>
    </row>
    <row r="1186" spans="1:14">
      <c r="A1186" s="63" t="s">
        <v>2538</v>
      </c>
      <c r="B1186" s="64">
        <v>5.9560000000000004</v>
      </c>
      <c r="C1186" s="65">
        <v>6.3949999999999996</v>
      </c>
      <c r="D1186" s="66">
        <f t="shared" si="126"/>
        <v>5</v>
      </c>
      <c r="E1186" s="66">
        <f t="shared" si="127"/>
        <v>0.2</v>
      </c>
      <c r="F1186" s="66">
        <f t="shared" si="128"/>
        <v>3</v>
      </c>
      <c r="G1186" s="66">
        <f t="shared" si="129"/>
        <v>3.5914000000000001</v>
      </c>
      <c r="H1186" s="66">
        <f t="shared" si="130"/>
        <v>0.60000000000000009</v>
      </c>
      <c r="I1186" s="66">
        <f t="shared" si="131"/>
        <v>0</v>
      </c>
      <c r="J1186" s="66">
        <f t="shared" si="132"/>
        <v>0</v>
      </c>
      <c r="K1186" s="66">
        <f>IF(CurrentMtgRatesDataTable8[[#This Row],[WA CC]]&lt;&gt;0,C1185-CurrentMtgRatesDataTable8[[#This Row],[WA CC]],0)</f>
        <v>0</v>
      </c>
      <c r="L1186" s="66">
        <f>IF(CurrentMtgRatesDataTable8[[#This Row],[Servicing Spread]]&lt;=0,L1185,CurrentMtgRatesDataTable8[[#This Row],[Servicing Spread]])</f>
        <v>0.39559999999999906</v>
      </c>
      <c r="M1186" s="66">
        <f>CurrentMtgRatesDataTable8[[#This Row],[Servicing Spread Non-Zero]]-L1185</f>
        <v>0</v>
      </c>
      <c r="N1186" s="66">
        <f>IF(J1185&lt;&gt;0,CurrentMtgRatesDataTable8[[#This Row],[Rate]]-C1185,N1185)</f>
        <v>-4.9999999999999822E-2</v>
      </c>
    </row>
    <row r="1187" spans="1:14">
      <c r="A1187" s="63" t="s">
        <v>2539</v>
      </c>
      <c r="B1187" s="64">
        <v>5.9539999999999997</v>
      </c>
      <c r="C1187" s="65">
        <v>6.3949999999999996</v>
      </c>
      <c r="D1187" s="66">
        <f t="shared" si="126"/>
        <v>6</v>
      </c>
      <c r="E1187" s="66">
        <f t="shared" si="127"/>
        <v>0.2</v>
      </c>
      <c r="F1187" s="66">
        <f t="shared" si="128"/>
        <v>4</v>
      </c>
      <c r="G1187" s="66">
        <f t="shared" si="129"/>
        <v>4.7822000000000005</v>
      </c>
      <c r="H1187" s="66">
        <f t="shared" si="130"/>
        <v>0.8</v>
      </c>
      <c r="I1187" s="66">
        <f t="shared" si="131"/>
        <v>0</v>
      </c>
      <c r="J1187" s="66">
        <f t="shared" si="132"/>
        <v>0</v>
      </c>
      <c r="K1187" s="66">
        <f>IF(CurrentMtgRatesDataTable8[[#This Row],[WA CC]]&lt;&gt;0,C1186-CurrentMtgRatesDataTable8[[#This Row],[WA CC]],0)</f>
        <v>0</v>
      </c>
      <c r="L1187" s="66">
        <f>IF(CurrentMtgRatesDataTable8[[#This Row],[Servicing Spread]]&lt;=0,L1186,CurrentMtgRatesDataTable8[[#This Row],[Servicing Spread]])</f>
        <v>0.39559999999999906</v>
      </c>
      <c r="M1187" s="66">
        <f>CurrentMtgRatesDataTable8[[#This Row],[Servicing Spread Non-Zero]]-L1186</f>
        <v>0</v>
      </c>
      <c r="N1187" s="66">
        <f>IF(J1186&lt;&gt;0,CurrentMtgRatesDataTable8[[#This Row],[Rate]]-C1186,N1186)</f>
        <v>-4.9999999999999822E-2</v>
      </c>
    </row>
    <row r="1188" spans="1:14">
      <c r="A1188" s="63" t="s">
        <v>2540</v>
      </c>
      <c r="B1188" s="64">
        <v>5.8070000000000004</v>
      </c>
      <c r="C1188" s="65">
        <v>6.3949999999999996</v>
      </c>
      <c r="D1188" s="66">
        <f t="shared" si="126"/>
        <v>7</v>
      </c>
      <c r="E1188" s="66">
        <f t="shared" si="127"/>
        <v>0.2</v>
      </c>
      <c r="F1188" s="66">
        <f t="shared" si="128"/>
        <v>5</v>
      </c>
      <c r="G1188" s="66">
        <f t="shared" si="129"/>
        <v>5.9436000000000009</v>
      </c>
      <c r="H1188" s="66">
        <f t="shared" si="130"/>
        <v>1</v>
      </c>
      <c r="I1188" s="66">
        <f t="shared" si="131"/>
        <v>1</v>
      </c>
      <c r="J1188" s="66">
        <f t="shared" si="132"/>
        <v>5.9436000000000009</v>
      </c>
      <c r="K1188" s="66">
        <f>IF(CurrentMtgRatesDataTable8[[#This Row],[WA CC]]&lt;&gt;0,C1187-CurrentMtgRatesDataTable8[[#This Row],[WA CC]],0)</f>
        <v>0.45139999999999869</v>
      </c>
      <c r="L1188" s="66">
        <f>IF(CurrentMtgRatesDataTable8[[#This Row],[Servicing Spread]]&lt;=0,L1187,CurrentMtgRatesDataTable8[[#This Row],[Servicing Spread]])</f>
        <v>0.45139999999999869</v>
      </c>
      <c r="M1188" s="66">
        <f>CurrentMtgRatesDataTable8[[#This Row],[Servicing Spread Non-Zero]]-L1187</f>
        <v>5.5799999999999628E-2</v>
      </c>
      <c r="N1188" s="66">
        <f>IF(J1187&lt;&gt;0,CurrentMtgRatesDataTable8[[#This Row],[Rate]]-C1187,N1187)</f>
        <v>-4.9999999999999822E-2</v>
      </c>
    </row>
    <row r="1189" spans="1:14">
      <c r="A1189" s="63" t="s">
        <v>2541</v>
      </c>
      <c r="B1189" s="64">
        <v>5.9</v>
      </c>
      <c r="C1189" s="65">
        <v>6.3000000000000007</v>
      </c>
      <c r="D1189" s="66">
        <f t="shared" si="126"/>
        <v>1</v>
      </c>
      <c r="E1189" s="66">
        <f t="shared" si="127"/>
        <v>0.2</v>
      </c>
      <c r="F1189" s="66">
        <f t="shared" si="128"/>
        <v>1</v>
      </c>
      <c r="G1189" s="66">
        <f t="shared" si="129"/>
        <v>1.1800000000000002</v>
      </c>
      <c r="H1189" s="66">
        <f t="shared" si="130"/>
        <v>0.2</v>
      </c>
      <c r="I1189" s="66">
        <f t="shared" si="131"/>
        <v>0</v>
      </c>
      <c r="J1189" s="66">
        <f t="shared" si="132"/>
        <v>0</v>
      </c>
      <c r="K1189" s="66">
        <f>IF(CurrentMtgRatesDataTable8[[#This Row],[WA CC]]&lt;&gt;0,C1188-CurrentMtgRatesDataTable8[[#This Row],[WA CC]],0)</f>
        <v>0</v>
      </c>
      <c r="L1189" s="66">
        <f>IF(CurrentMtgRatesDataTable8[[#This Row],[Servicing Spread]]&lt;=0,L1188,CurrentMtgRatesDataTable8[[#This Row],[Servicing Spread]])</f>
        <v>0.45139999999999869</v>
      </c>
      <c r="M1189" s="66">
        <f>CurrentMtgRatesDataTable8[[#This Row],[Servicing Spread Non-Zero]]-L1188</f>
        <v>0</v>
      </c>
      <c r="N1189" s="66">
        <f>IF(J1188&lt;&gt;0,CurrentMtgRatesDataTable8[[#This Row],[Rate]]-C1188,N1188)</f>
        <v>-9.4999999999998863E-2</v>
      </c>
    </row>
    <row r="1190" spans="1:14">
      <c r="A1190" s="63" t="s">
        <v>2542</v>
      </c>
      <c r="B1190" s="64">
        <v>5.9359999999999999</v>
      </c>
      <c r="C1190" s="65">
        <v>6.3000000000000007</v>
      </c>
      <c r="D1190" s="66">
        <f t="shared" si="126"/>
        <v>2</v>
      </c>
      <c r="E1190" s="66">
        <f t="shared" si="127"/>
        <v>0.2</v>
      </c>
      <c r="F1190" s="66">
        <f t="shared" si="128"/>
        <v>2</v>
      </c>
      <c r="G1190" s="66">
        <f t="shared" si="129"/>
        <v>2.3672000000000004</v>
      </c>
      <c r="H1190" s="66">
        <f t="shared" si="130"/>
        <v>0.4</v>
      </c>
      <c r="I1190" s="66">
        <f t="shared" si="131"/>
        <v>0</v>
      </c>
      <c r="J1190" s="66">
        <f t="shared" si="132"/>
        <v>0</v>
      </c>
      <c r="K1190" s="66">
        <f>IF(CurrentMtgRatesDataTable8[[#This Row],[WA CC]]&lt;&gt;0,C1189-CurrentMtgRatesDataTable8[[#This Row],[WA CC]],0)</f>
        <v>0</v>
      </c>
      <c r="L1190" s="66">
        <f>IF(CurrentMtgRatesDataTable8[[#This Row],[Servicing Spread]]&lt;=0,L1189,CurrentMtgRatesDataTable8[[#This Row],[Servicing Spread]])</f>
        <v>0.45139999999999869</v>
      </c>
      <c r="M1190" s="66">
        <f>CurrentMtgRatesDataTable8[[#This Row],[Servicing Spread Non-Zero]]-L1189</f>
        <v>0</v>
      </c>
      <c r="N1190" s="66">
        <f>IF(J1189&lt;&gt;0,CurrentMtgRatesDataTable8[[#This Row],[Rate]]-C1189,N1189)</f>
        <v>-9.4999999999998863E-2</v>
      </c>
    </row>
    <row r="1191" spans="1:14">
      <c r="A1191" s="63" t="s">
        <v>2543</v>
      </c>
      <c r="B1191" s="64">
        <v>5.8719999999999999</v>
      </c>
      <c r="C1191" s="65">
        <v>6.3000000000000007</v>
      </c>
      <c r="D1191" s="66">
        <f t="shared" si="126"/>
        <v>5</v>
      </c>
      <c r="E1191" s="66">
        <f t="shared" si="127"/>
        <v>0.2</v>
      </c>
      <c r="F1191" s="66">
        <f t="shared" si="128"/>
        <v>3</v>
      </c>
      <c r="G1191" s="66">
        <f t="shared" si="129"/>
        <v>3.5416000000000007</v>
      </c>
      <c r="H1191" s="66">
        <f t="shared" si="130"/>
        <v>0.60000000000000009</v>
      </c>
      <c r="I1191" s="66">
        <f t="shared" si="131"/>
        <v>0</v>
      </c>
      <c r="J1191" s="66">
        <f t="shared" si="132"/>
        <v>0</v>
      </c>
      <c r="K1191" s="66">
        <f>IF(CurrentMtgRatesDataTable8[[#This Row],[WA CC]]&lt;&gt;0,C1190-CurrentMtgRatesDataTable8[[#This Row],[WA CC]],0)</f>
        <v>0</v>
      </c>
      <c r="L1191" s="66">
        <f>IF(CurrentMtgRatesDataTable8[[#This Row],[Servicing Spread]]&lt;=0,L1190,CurrentMtgRatesDataTable8[[#This Row],[Servicing Spread]])</f>
        <v>0.45139999999999869</v>
      </c>
      <c r="M1191" s="66">
        <f>CurrentMtgRatesDataTable8[[#This Row],[Servicing Spread Non-Zero]]-L1190</f>
        <v>0</v>
      </c>
      <c r="N1191" s="66">
        <f>IF(J1190&lt;&gt;0,CurrentMtgRatesDataTable8[[#This Row],[Rate]]-C1190,N1190)</f>
        <v>-9.4999999999998863E-2</v>
      </c>
    </row>
    <row r="1192" spans="1:14">
      <c r="A1192" s="63" t="s">
        <v>2544</v>
      </c>
      <c r="B1192" s="64">
        <v>5.8330000000000002</v>
      </c>
      <c r="C1192" s="65">
        <v>6.3000000000000007</v>
      </c>
      <c r="D1192" s="66">
        <f t="shared" si="126"/>
        <v>6</v>
      </c>
      <c r="E1192" s="66">
        <f t="shared" si="127"/>
        <v>0.2</v>
      </c>
      <c r="F1192" s="66">
        <f t="shared" si="128"/>
        <v>4</v>
      </c>
      <c r="G1192" s="66">
        <f t="shared" si="129"/>
        <v>4.7082000000000006</v>
      </c>
      <c r="H1192" s="66">
        <f t="shared" si="130"/>
        <v>0.8</v>
      </c>
      <c r="I1192" s="66">
        <f t="shared" si="131"/>
        <v>0</v>
      </c>
      <c r="J1192" s="66">
        <f t="shared" si="132"/>
        <v>0</v>
      </c>
      <c r="K1192" s="66">
        <f>IF(CurrentMtgRatesDataTable8[[#This Row],[WA CC]]&lt;&gt;0,C1191-CurrentMtgRatesDataTable8[[#This Row],[WA CC]],0)</f>
        <v>0</v>
      </c>
      <c r="L1192" s="66">
        <f>IF(CurrentMtgRatesDataTable8[[#This Row],[Servicing Spread]]&lt;=0,L1191,CurrentMtgRatesDataTable8[[#This Row],[Servicing Spread]])</f>
        <v>0.45139999999999869</v>
      </c>
      <c r="M1192" s="66">
        <f>CurrentMtgRatesDataTable8[[#This Row],[Servicing Spread Non-Zero]]-L1191</f>
        <v>0</v>
      </c>
      <c r="N1192" s="66">
        <f>IF(J1191&lt;&gt;0,CurrentMtgRatesDataTable8[[#This Row],[Rate]]-C1191,N1191)</f>
        <v>-9.4999999999998863E-2</v>
      </c>
    </row>
    <row r="1193" spans="1:14">
      <c r="A1193" s="63" t="s">
        <v>2545</v>
      </c>
      <c r="B1193" s="64">
        <v>5.8029999999999999</v>
      </c>
      <c r="C1193" s="65">
        <v>6.3000000000000007</v>
      </c>
      <c r="D1193" s="66">
        <f t="shared" si="126"/>
        <v>7</v>
      </c>
      <c r="E1193" s="66">
        <f t="shared" si="127"/>
        <v>0.2</v>
      </c>
      <c r="F1193" s="66">
        <f t="shared" si="128"/>
        <v>5</v>
      </c>
      <c r="G1193" s="66">
        <f t="shared" si="129"/>
        <v>5.8688000000000002</v>
      </c>
      <c r="H1193" s="66">
        <f t="shared" si="130"/>
        <v>1</v>
      </c>
      <c r="I1193" s="66">
        <f t="shared" si="131"/>
        <v>1</v>
      </c>
      <c r="J1193" s="66">
        <f t="shared" si="132"/>
        <v>5.8688000000000002</v>
      </c>
      <c r="K1193" s="66">
        <f>IF(CurrentMtgRatesDataTable8[[#This Row],[WA CC]]&lt;&gt;0,C1192-CurrentMtgRatesDataTable8[[#This Row],[WA CC]],0)</f>
        <v>0.43120000000000047</v>
      </c>
      <c r="L1193" s="66">
        <f>IF(CurrentMtgRatesDataTable8[[#This Row],[Servicing Spread]]&lt;=0,L1192,CurrentMtgRatesDataTable8[[#This Row],[Servicing Spread]])</f>
        <v>0.43120000000000047</v>
      </c>
      <c r="M1193" s="66">
        <f>CurrentMtgRatesDataTable8[[#This Row],[Servicing Spread Non-Zero]]-L1192</f>
        <v>-2.0199999999998219E-2</v>
      </c>
      <c r="N1193" s="66">
        <f>IF(J1192&lt;&gt;0,CurrentMtgRatesDataTable8[[#This Row],[Rate]]-C1192,N1192)</f>
        <v>-9.4999999999998863E-2</v>
      </c>
    </row>
    <row r="1194" spans="1:14">
      <c r="A1194" s="63" t="s">
        <v>2546</v>
      </c>
      <c r="B1194" s="64">
        <v>5.7679999999999998</v>
      </c>
      <c r="C1194" s="65">
        <v>6.2749999999999995</v>
      </c>
      <c r="D1194" s="66">
        <f t="shared" si="126"/>
        <v>1</v>
      </c>
      <c r="E1194" s="66">
        <f t="shared" si="127"/>
        <v>0.2</v>
      </c>
      <c r="F1194" s="66">
        <f t="shared" si="128"/>
        <v>1</v>
      </c>
      <c r="G1194" s="66">
        <f t="shared" si="129"/>
        <v>1.1536</v>
      </c>
      <c r="H1194" s="66">
        <f t="shared" si="130"/>
        <v>0.2</v>
      </c>
      <c r="I1194" s="66">
        <f t="shared" si="131"/>
        <v>0</v>
      </c>
      <c r="J1194" s="66">
        <f t="shared" si="132"/>
        <v>0</v>
      </c>
      <c r="K1194" s="66">
        <f>IF(CurrentMtgRatesDataTable8[[#This Row],[WA CC]]&lt;&gt;0,C1193-CurrentMtgRatesDataTable8[[#This Row],[WA CC]],0)</f>
        <v>0</v>
      </c>
      <c r="L1194" s="66">
        <f>IF(CurrentMtgRatesDataTable8[[#This Row],[Servicing Spread]]&lt;=0,L1193,CurrentMtgRatesDataTable8[[#This Row],[Servicing Spread]])</f>
        <v>0.43120000000000047</v>
      </c>
      <c r="M1194" s="66">
        <f>CurrentMtgRatesDataTable8[[#This Row],[Servicing Spread Non-Zero]]-L1193</f>
        <v>0</v>
      </c>
      <c r="N1194" s="66">
        <f>IF(J1193&lt;&gt;0,CurrentMtgRatesDataTable8[[#This Row],[Rate]]-C1193,N1193)</f>
        <v>-2.5000000000001243E-2</v>
      </c>
    </row>
    <row r="1195" spans="1:14">
      <c r="A1195" s="63" t="s">
        <v>2547</v>
      </c>
      <c r="B1195" s="64">
        <v>5.798</v>
      </c>
      <c r="C1195" s="65">
        <v>6.2749999999999995</v>
      </c>
      <c r="D1195" s="66">
        <f t="shared" si="126"/>
        <v>2</v>
      </c>
      <c r="E1195" s="66">
        <f t="shared" si="127"/>
        <v>0.2</v>
      </c>
      <c r="F1195" s="66">
        <f t="shared" si="128"/>
        <v>2</v>
      </c>
      <c r="G1195" s="66">
        <f t="shared" si="129"/>
        <v>2.3132000000000001</v>
      </c>
      <c r="H1195" s="66">
        <f t="shared" si="130"/>
        <v>0.4</v>
      </c>
      <c r="I1195" s="66">
        <f t="shared" si="131"/>
        <v>0</v>
      </c>
      <c r="J1195" s="66">
        <f t="shared" si="132"/>
        <v>0</v>
      </c>
      <c r="K1195" s="66">
        <f>IF(CurrentMtgRatesDataTable8[[#This Row],[WA CC]]&lt;&gt;0,C1194-CurrentMtgRatesDataTable8[[#This Row],[WA CC]],0)</f>
        <v>0</v>
      </c>
      <c r="L1195" s="66">
        <f>IF(CurrentMtgRatesDataTable8[[#This Row],[Servicing Spread]]&lt;=0,L1194,CurrentMtgRatesDataTable8[[#This Row],[Servicing Spread]])</f>
        <v>0.43120000000000047</v>
      </c>
      <c r="M1195" s="66">
        <f>CurrentMtgRatesDataTable8[[#This Row],[Servicing Spread Non-Zero]]-L1194</f>
        <v>0</v>
      </c>
      <c r="N1195" s="66">
        <f>IF(J1194&lt;&gt;0,CurrentMtgRatesDataTable8[[#This Row],[Rate]]-C1194,N1194)</f>
        <v>-2.5000000000001243E-2</v>
      </c>
    </row>
    <row r="1196" spans="1:14">
      <c r="A1196" s="63" t="s">
        <v>2548</v>
      </c>
      <c r="B1196" s="64">
        <v>5.7629999999999999</v>
      </c>
      <c r="C1196" s="65">
        <v>6.2749999999999995</v>
      </c>
      <c r="D1196" s="66">
        <f t="shared" si="126"/>
        <v>6</v>
      </c>
      <c r="E1196" s="66">
        <f t="shared" si="127"/>
        <v>0.2</v>
      </c>
      <c r="F1196" s="66">
        <f t="shared" si="128"/>
        <v>3</v>
      </c>
      <c r="G1196" s="66">
        <f t="shared" si="129"/>
        <v>3.4658000000000002</v>
      </c>
      <c r="H1196" s="66">
        <f t="shared" si="130"/>
        <v>0.60000000000000009</v>
      </c>
      <c r="I1196" s="66">
        <f t="shared" si="131"/>
        <v>0</v>
      </c>
      <c r="J1196" s="66">
        <f t="shared" si="132"/>
        <v>0</v>
      </c>
      <c r="K1196" s="66">
        <f>IF(CurrentMtgRatesDataTable8[[#This Row],[WA CC]]&lt;&gt;0,C1195-CurrentMtgRatesDataTable8[[#This Row],[WA CC]],0)</f>
        <v>0</v>
      </c>
      <c r="L1196" s="66">
        <f>IF(CurrentMtgRatesDataTable8[[#This Row],[Servicing Spread]]&lt;=0,L1195,CurrentMtgRatesDataTable8[[#This Row],[Servicing Spread]])</f>
        <v>0.43120000000000047</v>
      </c>
      <c r="M1196" s="66">
        <f>CurrentMtgRatesDataTable8[[#This Row],[Servicing Spread Non-Zero]]-L1195</f>
        <v>0</v>
      </c>
      <c r="N1196" s="66">
        <f>IF(J1195&lt;&gt;0,CurrentMtgRatesDataTable8[[#This Row],[Rate]]-C1195,N1195)</f>
        <v>-2.5000000000001243E-2</v>
      </c>
    </row>
    <row r="1197" spans="1:14">
      <c r="A1197" s="63" t="s">
        <v>2549</v>
      </c>
      <c r="B1197" s="64">
        <v>5.7050000000000001</v>
      </c>
      <c r="C1197" s="65">
        <v>6.2749999999999995</v>
      </c>
      <c r="D1197" s="66">
        <f t="shared" si="126"/>
        <v>7</v>
      </c>
      <c r="E1197" s="66">
        <f t="shared" si="127"/>
        <v>0.2</v>
      </c>
      <c r="F1197" s="66">
        <f t="shared" si="128"/>
        <v>4</v>
      </c>
      <c r="G1197" s="66">
        <f t="shared" si="129"/>
        <v>4.6067999999999998</v>
      </c>
      <c r="H1197" s="66">
        <f t="shared" si="130"/>
        <v>0.8</v>
      </c>
      <c r="I1197" s="66">
        <f t="shared" si="131"/>
        <v>1</v>
      </c>
      <c r="J1197" s="66">
        <f t="shared" si="132"/>
        <v>5.7584999999999997</v>
      </c>
      <c r="K1197" s="66">
        <f>IF(CurrentMtgRatesDataTable8[[#This Row],[WA CC]]&lt;&gt;0,C1196-CurrentMtgRatesDataTable8[[#This Row],[WA CC]],0)</f>
        <v>0.51649999999999974</v>
      </c>
      <c r="L1197" s="66">
        <f>IF(CurrentMtgRatesDataTable8[[#This Row],[Servicing Spread]]&lt;=0,L1196,CurrentMtgRatesDataTable8[[#This Row],[Servicing Spread]])</f>
        <v>0.51649999999999974</v>
      </c>
      <c r="M1197" s="66">
        <f>CurrentMtgRatesDataTable8[[#This Row],[Servicing Spread Non-Zero]]-L1196</f>
        <v>8.5299999999999265E-2</v>
      </c>
      <c r="N1197" s="66">
        <f>IF(J1196&lt;&gt;0,CurrentMtgRatesDataTable8[[#This Row],[Rate]]-C1196,N1196)</f>
        <v>-2.5000000000001243E-2</v>
      </c>
    </row>
    <row r="1198" spans="1:14">
      <c r="A1198" s="63" t="s">
        <v>2550</v>
      </c>
      <c r="B1198" s="64">
        <v>5.6079999999999997</v>
      </c>
      <c r="C1198" s="65">
        <v>5.8549999999999995</v>
      </c>
      <c r="D1198" s="66">
        <f t="shared" si="126"/>
        <v>1</v>
      </c>
      <c r="E1198" s="66">
        <f t="shared" si="127"/>
        <v>0.2</v>
      </c>
      <c r="F1198" s="66">
        <f t="shared" si="128"/>
        <v>1</v>
      </c>
      <c r="G1198" s="66">
        <f t="shared" si="129"/>
        <v>1.1215999999999999</v>
      </c>
      <c r="H1198" s="66">
        <f t="shared" si="130"/>
        <v>0.2</v>
      </c>
      <c r="I1198" s="66">
        <f t="shared" si="131"/>
        <v>0</v>
      </c>
      <c r="J1198" s="66">
        <f t="shared" si="132"/>
        <v>0</v>
      </c>
      <c r="K1198" s="66">
        <f>IF(CurrentMtgRatesDataTable8[[#This Row],[WA CC]]&lt;&gt;0,C1197-CurrentMtgRatesDataTable8[[#This Row],[WA CC]],0)</f>
        <v>0</v>
      </c>
      <c r="L1198" s="66">
        <f>IF(CurrentMtgRatesDataTable8[[#This Row],[Servicing Spread]]&lt;=0,L1197,CurrentMtgRatesDataTable8[[#This Row],[Servicing Spread]])</f>
        <v>0.51649999999999974</v>
      </c>
      <c r="M1198" s="66">
        <f>CurrentMtgRatesDataTable8[[#This Row],[Servicing Spread Non-Zero]]-L1197</f>
        <v>0</v>
      </c>
      <c r="N1198" s="66">
        <f>IF(J1197&lt;&gt;0,CurrentMtgRatesDataTable8[[#This Row],[Rate]]-C1197,N1197)</f>
        <v>-0.41999999999999993</v>
      </c>
    </row>
    <row r="1199" spans="1:14">
      <c r="A1199" s="63" t="s">
        <v>2551</v>
      </c>
      <c r="B1199" s="64">
        <v>5.6440000000000001</v>
      </c>
      <c r="C1199" s="65">
        <v>5.8549999999999995</v>
      </c>
      <c r="D1199" s="66">
        <f t="shared" si="126"/>
        <v>2</v>
      </c>
      <c r="E1199" s="66">
        <f t="shared" si="127"/>
        <v>0.2</v>
      </c>
      <c r="F1199" s="66">
        <f t="shared" si="128"/>
        <v>2</v>
      </c>
      <c r="G1199" s="66">
        <f t="shared" si="129"/>
        <v>2.2504</v>
      </c>
      <c r="H1199" s="66">
        <f t="shared" si="130"/>
        <v>0.4</v>
      </c>
      <c r="I1199" s="66">
        <f t="shared" si="131"/>
        <v>0</v>
      </c>
      <c r="J1199" s="66">
        <f t="shared" si="132"/>
        <v>0</v>
      </c>
      <c r="K1199" s="66">
        <f>IF(CurrentMtgRatesDataTable8[[#This Row],[WA CC]]&lt;&gt;0,C1198-CurrentMtgRatesDataTable8[[#This Row],[WA CC]],0)</f>
        <v>0</v>
      </c>
      <c r="L1199" s="66">
        <f>IF(CurrentMtgRatesDataTable8[[#This Row],[Servicing Spread]]&lt;=0,L1198,CurrentMtgRatesDataTable8[[#This Row],[Servicing Spread]])</f>
        <v>0.51649999999999974</v>
      </c>
      <c r="M1199" s="66">
        <f>CurrentMtgRatesDataTable8[[#This Row],[Servicing Spread Non-Zero]]-L1198</f>
        <v>0</v>
      </c>
      <c r="N1199" s="66">
        <f>IF(J1198&lt;&gt;0,CurrentMtgRatesDataTable8[[#This Row],[Rate]]-C1198,N1198)</f>
        <v>-0.41999999999999993</v>
      </c>
    </row>
    <row r="1200" spans="1:14">
      <c r="A1200" s="63" t="s">
        <v>2552</v>
      </c>
      <c r="B1200" s="64">
        <v>5.1139999999999999</v>
      </c>
      <c r="C1200" s="65">
        <v>5.8549999999999995</v>
      </c>
      <c r="D1200" s="66">
        <f t="shared" si="126"/>
        <v>5</v>
      </c>
      <c r="E1200" s="66">
        <f t="shared" si="127"/>
        <v>0.2</v>
      </c>
      <c r="F1200" s="66">
        <f t="shared" si="128"/>
        <v>3</v>
      </c>
      <c r="G1200" s="66">
        <f t="shared" si="129"/>
        <v>3.2732000000000001</v>
      </c>
      <c r="H1200" s="66">
        <f t="shared" si="130"/>
        <v>0.60000000000000009</v>
      </c>
      <c r="I1200" s="66">
        <f t="shared" si="131"/>
        <v>0</v>
      </c>
      <c r="J1200" s="66">
        <f t="shared" si="132"/>
        <v>0</v>
      </c>
      <c r="K1200" s="66">
        <f>IF(CurrentMtgRatesDataTable8[[#This Row],[WA CC]]&lt;&gt;0,C1199-CurrentMtgRatesDataTable8[[#This Row],[WA CC]],0)</f>
        <v>0</v>
      </c>
      <c r="L1200" s="66">
        <f>IF(CurrentMtgRatesDataTable8[[#This Row],[Servicing Spread]]&lt;=0,L1199,CurrentMtgRatesDataTable8[[#This Row],[Servicing Spread]])</f>
        <v>0.51649999999999974</v>
      </c>
      <c r="M1200" s="66">
        <f>CurrentMtgRatesDataTable8[[#This Row],[Servicing Spread Non-Zero]]-L1199</f>
        <v>0</v>
      </c>
      <c r="N1200" s="66">
        <f>IF(J1199&lt;&gt;0,CurrentMtgRatesDataTable8[[#This Row],[Rate]]-C1199,N1199)</f>
        <v>-0.41999999999999993</v>
      </c>
    </row>
    <row r="1201" spans="1:14">
      <c r="A1201" s="63" t="s">
        <v>2553</v>
      </c>
      <c r="B1201" s="64">
        <v>5.1260000000000003</v>
      </c>
      <c r="C1201" s="65">
        <v>5.8549999999999995</v>
      </c>
      <c r="D1201" s="66">
        <f t="shared" si="126"/>
        <v>6</v>
      </c>
      <c r="E1201" s="66">
        <f t="shared" si="127"/>
        <v>0.2</v>
      </c>
      <c r="F1201" s="66">
        <f t="shared" si="128"/>
        <v>4</v>
      </c>
      <c r="G1201" s="66">
        <f t="shared" si="129"/>
        <v>4.2984</v>
      </c>
      <c r="H1201" s="66">
        <f t="shared" si="130"/>
        <v>0.8</v>
      </c>
      <c r="I1201" s="66">
        <f t="shared" si="131"/>
        <v>0</v>
      </c>
      <c r="J1201" s="66">
        <f t="shared" si="132"/>
        <v>0</v>
      </c>
      <c r="K1201" s="66">
        <f>IF(CurrentMtgRatesDataTable8[[#This Row],[WA CC]]&lt;&gt;0,C1200-CurrentMtgRatesDataTable8[[#This Row],[WA CC]],0)</f>
        <v>0</v>
      </c>
      <c r="L1201" s="66">
        <f>IF(CurrentMtgRatesDataTable8[[#This Row],[Servicing Spread]]&lt;=0,L1200,CurrentMtgRatesDataTable8[[#This Row],[Servicing Spread]])</f>
        <v>0.51649999999999974</v>
      </c>
      <c r="M1201" s="66">
        <f>CurrentMtgRatesDataTable8[[#This Row],[Servicing Spread Non-Zero]]-L1200</f>
        <v>0</v>
      </c>
      <c r="N1201" s="66">
        <f>IF(J1200&lt;&gt;0,CurrentMtgRatesDataTable8[[#This Row],[Rate]]-C1200,N1200)</f>
        <v>-0.41999999999999993</v>
      </c>
    </row>
    <row r="1202" spans="1:14">
      <c r="A1202" s="63" t="s">
        <v>2554</v>
      </c>
      <c r="B1202" s="64">
        <v>5.1890000000000001</v>
      </c>
      <c r="C1202" s="65">
        <v>5.8549999999999995</v>
      </c>
      <c r="D1202" s="66">
        <f t="shared" si="126"/>
        <v>7</v>
      </c>
      <c r="E1202" s="66">
        <f t="shared" si="127"/>
        <v>0.2</v>
      </c>
      <c r="F1202" s="66">
        <f t="shared" si="128"/>
        <v>5</v>
      </c>
      <c r="G1202" s="66">
        <f t="shared" si="129"/>
        <v>5.3361999999999998</v>
      </c>
      <c r="H1202" s="66">
        <f t="shared" si="130"/>
        <v>1</v>
      </c>
      <c r="I1202" s="66">
        <f t="shared" si="131"/>
        <v>1</v>
      </c>
      <c r="J1202" s="66">
        <f t="shared" si="132"/>
        <v>5.3361999999999998</v>
      </c>
      <c r="K1202" s="66">
        <f>IF(CurrentMtgRatesDataTable8[[#This Row],[WA CC]]&lt;&gt;0,C1201-CurrentMtgRatesDataTable8[[#This Row],[WA CC]],0)</f>
        <v>0.51879999999999971</v>
      </c>
      <c r="L1202" s="66">
        <f>IF(CurrentMtgRatesDataTable8[[#This Row],[Servicing Spread]]&lt;=0,L1201,CurrentMtgRatesDataTable8[[#This Row],[Servicing Spread]])</f>
        <v>0.51879999999999971</v>
      </c>
      <c r="M1202" s="66">
        <f>CurrentMtgRatesDataTable8[[#This Row],[Servicing Spread Non-Zero]]-L1201</f>
        <v>2.2999999999999687E-3</v>
      </c>
      <c r="N1202" s="66">
        <f>IF(J1201&lt;&gt;0,CurrentMtgRatesDataTable8[[#This Row],[Rate]]-C1201,N1201)</f>
        <v>-0.41999999999999993</v>
      </c>
    </row>
    <row r="1203" spans="1:14">
      <c r="A1203" s="63" t="s">
        <v>2555</v>
      </c>
      <c r="B1203" s="64">
        <v>5.1829999999999998</v>
      </c>
      <c r="C1203" s="65">
        <v>5.6800000000000006</v>
      </c>
      <c r="D1203" s="66">
        <f t="shared" si="126"/>
        <v>1</v>
      </c>
      <c r="E1203" s="66">
        <f t="shared" si="127"/>
        <v>0.2</v>
      </c>
      <c r="F1203" s="66">
        <f t="shared" si="128"/>
        <v>1</v>
      </c>
      <c r="G1203" s="66">
        <f t="shared" si="129"/>
        <v>1.0366</v>
      </c>
      <c r="H1203" s="66">
        <f t="shared" si="130"/>
        <v>0.2</v>
      </c>
      <c r="I1203" s="66">
        <f t="shared" si="131"/>
        <v>0</v>
      </c>
      <c r="J1203" s="66">
        <f t="shared" si="132"/>
        <v>0</v>
      </c>
      <c r="K1203" s="66">
        <f>IF(CurrentMtgRatesDataTable8[[#This Row],[WA CC]]&lt;&gt;0,C1202-CurrentMtgRatesDataTable8[[#This Row],[WA CC]],0)</f>
        <v>0</v>
      </c>
      <c r="L1203" s="66">
        <f>IF(CurrentMtgRatesDataTable8[[#This Row],[Servicing Spread]]&lt;=0,L1202,CurrentMtgRatesDataTable8[[#This Row],[Servicing Spread]])</f>
        <v>0.51879999999999971</v>
      </c>
      <c r="M1203" s="66">
        <f>CurrentMtgRatesDataTable8[[#This Row],[Servicing Spread Non-Zero]]-L1202</f>
        <v>0</v>
      </c>
      <c r="N1203" s="66">
        <f>IF(J1202&lt;&gt;0,CurrentMtgRatesDataTable8[[#This Row],[Rate]]-C1202,N1202)</f>
        <v>-0.17499999999999893</v>
      </c>
    </row>
    <row r="1204" spans="1:14">
      <c r="A1204" s="63" t="s">
        <v>2556</v>
      </c>
      <c r="B1204" s="64">
        <v>5.306</v>
      </c>
      <c r="C1204" s="65">
        <v>5.6800000000000006</v>
      </c>
      <c r="D1204" s="66">
        <f t="shared" si="126"/>
        <v>2</v>
      </c>
      <c r="E1204" s="66">
        <f t="shared" si="127"/>
        <v>0.2</v>
      </c>
      <c r="F1204" s="66">
        <f t="shared" si="128"/>
        <v>2</v>
      </c>
      <c r="G1204" s="66">
        <f t="shared" si="129"/>
        <v>2.0978000000000003</v>
      </c>
      <c r="H1204" s="66">
        <f t="shared" si="130"/>
        <v>0.4</v>
      </c>
      <c r="I1204" s="66">
        <f t="shared" si="131"/>
        <v>0</v>
      </c>
      <c r="J1204" s="66">
        <f t="shared" si="132"/>
        <v>0</v>
      </c>
      <c r="K1204" s="66">
        <f>IF(CurrentMtgRatesDataTable8[[#This Row],[WA CC]]&lt;&gt;0,C1203-CurrentMtgRatesDataTable8[[#This Row],[WA CC]],0)</f>
        <v>0</v>
      </c>
      <c r="L1204" s="66">
        <f>IF(CurrentMtgRatesDataTable8[[#This Row],[Servicing Spread]]&lt;=0,L1203,CurrentMtgRatesDataTable8[[#This Row],[Servicing Spread]])</f>
        <v>0.51879999999999971</v>
      </c>
      <c r="M1204" s="66">
        <f>CurrentMtgRatesDataTable8[[#This Row],[Servicing Spread Non-Zero]]-L1203</f>
        <v>0</v>
      </c>
      <c r="N1204" s="66">
        <f>IF(J1203&lt;&gt;0,CurrentMtgRatesDataTable8[[#This Row],[Rate]]-C1203,N1203)</f>
        <v>-0.17499999999999893</v>
      </c>
    </row>
    <row r="1205" spans="1:14">
      <c r="A1205" s="63" t="s">
        <v>2557</v>
      </c>
      <c r="B1205" s="64">
        <v>5.03</v>
      </c>
      <c r="C1205" s="65">
        <v>5.6800000000000006</v>
      </c>
      <c r="D1205" s="66">
        <f t="shared" si="126"/>
        <v>5</v>
      </c>
      <c r="E1205" s="66">
        <f t="shared" si="127"/>
        <v>0.2</v>
      </c>
      <c r="F1205" s="66">
        <f t="shared" si="128"/>
        <v>3</v>
      </c>
      <c r="G1205" s="66">
        <f t="shared" si="129"/>
        <v>3.1038000000000006</v>
      </c>
      <c r="H1205" s="66">
        <f t="shared" si="130"/>
        <v>0.60000000000000009</v>
      </c>
      <c r="I1205" s="66">
        <f t="shared" si="131"/>
        <v>0</v>
      </c>
      <c r="J1205" s="66">
        <f t="shared" si="132"/>
        <v>0</v>
      </c>
      <c r="K1205" s="66">
        <f>IF(CurrentMtgRatesDataTable8[[#This Row],[WA CC]]&lt;&gt;0,C1204-CurrentMtgRatesDataTable8[[#This Row],[WA CC]],0)</f>
        <v>0</v>
      </c>
      <c r="L1205" s="66">
        <f>IF(CurrentMtgRatesDataTable8[[#This Row],[Servicing Spread]]&lt;=0,L1204,CurrentMtgRatesDataTable8[[#This Row],[Servicing Spread]])</f>
        <v>0.51879999999999971</v>
      </c>
      <c r="M1205" s="66">
        <f>CurrentMtgRatesDataTable8[[#This Row],[Servicing Spread Non-Zero]]-L1204</f>
        <v>0</v>
      </c>
      <c r="N1205" s="66">
        <f>IF(J1204&lt;&gt;0,CurrentMtgRatesDataTable8[[#This Row],[Rate]]-C1204,N1204)</f>
        <v>-0.17499999999999893</v>
      </c>
    </row>
    <row r="1206" spans="1:14">
      <c r="A1206" s="63" t="s">
        <v>2558</v>
      </c>
      <c r="B1206" s="64">
        <v>5.2009999999999996</v>
      </c>
      <c r="C1206" s="65">
        <v>5.6800000000000006</v>
      </c>
      <c r="D1206" s="66">
        <f t="shared" si="126"/>
        <v>6</v>
      </c>
      <c r="E1206" s="66">
        <f t="shared" si="127"/>
        <v>0.2</v>
      </c>
      <c r="F1206" s="66">
        <f t="shared" si="128"/>
        <v>4</v>
      </c>
      <c r="G1206" s="66">
        <f t="shared" si="129"/>
        <v>4.1440000000000001</v>
      </c>
      <c r="H1206" s="66">
        <f t="shared" si="130"/>
        <v>0.8</v>
      </c>
      <c r="I1206" s="66">
        <f t="shared" si="131"/>
        <v>0</v>
      </c>
      <c r="J1206" s="66">
        <f t="shared" si="132"/>
        <v>0</v>
      </c>
      <c r="K1206" s="66">
        <f>IF(CurrentMtgRatesDataTable8[[#This Row],[WA CC]]&lt;&gt;0,C1205-CurrentMtgRatesDataTable8[[#This Row],[WA CC]],0)</f>
        <v>0</v>
      </c>
      <c r="L1206" s="66">
        <f>IF(CurrentMtgRatesDataTable8[[#This Row],[Servicing Spread]]&lt;=0,L1205,CurrentMtgRatesDataTable8[[#This Row],[Servicing Spread]])</f>
        <v>0.51879999999999971</v>
      </c>
      <c r="M1206" s="66">
        <f>CurrentMtgRatesDataTable8[[#This Row],[Servicing Spread Non-Zero]]-L1205</f>
        <v>0</v>
      </c>
      <c r="N1206" s="66">
        <f>IF(J1205&lt;&gt;0,CurrentMtgRatesDataTable8[[#This Row],[Rate]]-C1205,N1205)</f>
        <v>-0.17499999999999893</v>
      </c>
    </row>
    <row r="1207" spans="1:14">
      <c r="A1207" s="63" t="s">
        <v>2559</v>
      </c>
      <c r="B1207" s="64">
        <v>5.2210000000000001</v>
      </c>
      <c r="C1207" s="65">
        <v>5.6800000000000006</v>
      </c>
      <c r="D1207" s="66">
        <f t="shared" si="126"/>
        <v>7</v>
      </c>
      <c r="E1207" s="66">
        <f t="shared" si="127"/>
        <v>0.2</v>
      </c>
      <c r="F1207" s="66">
        <f t="shared" si="128"/>
        <v>5</v>
      </c>
      <c r="G1207" s="66">
        <f t="shared" si="129"/>
        <v>5.1882000000000001</v>
      </c>
      <c r="H1207" s="66">
        <f t="shared" si="130"/>
        <v>1</v>
      </c>
      <c r="I1207" s="66">
        <f t="shared" si="131"/>
        <v>1</v>
      </c>
      <c r="J1207" s="66">
        <f t="shared" si="132"/>
        <v>5.1882000000000001</v>
      </c>
      <c r="K1207" s="66">
        <f>IF(CurrentMtgRatesDataTable8[[#This Row],[WA CC]]&lt;&gt;0,C1206-CurrentMtgRatesDataTable8[[#This Row],[WA CC]],0)</f>
        <v>0.49180000000000046</v>
      </c>
      <c r="L1207" s="66">
        <f>IF(CurrentMtgRatesDataTable8[[#This Row],[Servicing Spread]]&lt;=0,L1206,CurrentMtgRatesDataTable8[[#This Row],[Servicing Spread]])</f>
        <v>0.49180000000000046</v>
      </c>
      <c r="M1207" s="66">
        <f>CurrentMtgRatesDataTable8[[#This Row],[Servicing Spread Non-Zero]]-L1206</f>
        <v>-2.6999999999999247E-2</v>
      </c>
      <c r="N1207" s="66">
        <f>IF(J1206&lt;&gt;0,CurrentMtgRatesDataTable8[[#This Row],[Rate]]-C1206,N1206)</f>
        <v>-0.17499999999999893</v>
      </c>
    </row>
    <row r="1208" spans="1:14">
      <c r="A1208" s="63" t="s">
        <v>2560</v>
      </c>
      <c r="B1208" s="64">
        <v>5.2409999999999997</v>
      </c>
      <c r="C1208" s="65">
        <v>6.0149999999999997</v>
      </c>
      <c r="D1208" s="66">
        <f t="shared" si="126"/>
        <v>1</v>
      </c>
      <c r="E1208" s="66">
        <f t="shared" si="127"/>
        <v>0.2</v>
      </c>
      <c r="F1208" s="66">
        <f t="shared" si="128"/>
        <v>1</v>
      </c>
      <c r="G1208" s="66">
        <f t="shared" si="129"/>
        <v>1.0482</v>
      </c>
      <c r="H1208" s="66">
        <f t="shared" si="130"/>
        <v>0.2</v>
      </c>
      <c r="I1208" s="66">
        <f t="shared" si="131"/>
        <v>0</v>
      </c>
      <c r="J1208" s="66">
        <f t="shared" si="132"/>
        <v>0</v>
      </c>
      <c r="K1208" s="66">
        <f>IF(CurrentMtgRatesDataTable8[[#This Row],[WA CC]]&lt;&gt;0,C1207-CurrentMtgRatesDataTable8[[#This Row],[WA CC]],0)</f>
        <v>0</v>
      </c>
      <c r="L1208" s="66">
        <f>IF(CurrentMtgRatesDataTable8[[#This Row],[Servicing Spread]]&lt;=0,L1207,CurrentMtgRatesDataTable8[[#This Row],[Servicing Spread]])</f>
        <v>0.49180000000000046</v>
      </c>
      <c r="M1208" s="66">
        <f>CurrentMtgRatesDataTable8[[#This Row],[Servicing Spread Non-Zero]]-L1207</f>
        <v>0</v>
      </c>
      <c r="N1208" s="66">
        <f>IF(J1207&lt;&gt;0,CurrentMtgRatesDataTable8[[#This Row],[Rate]]-C1207,N1207)</f>
        <v>0.33499999999999908</v>
      </c>
    </row>
    <row r="1209" spans="1:14">
      <c r="A1209" s="63" t="s">
        <v>2561</v>
      </c>
      <c r="B1209" s="64">
        <v>5.2930000000000001</v>
      </c>
      <c r="C1209" s="65">
        <v>6.0149999999999997</v>
      </c>
      <c r="D1209" s="66">
        <f t="shared" si="126"/>
        <v>2</v>
      </c>
      <c r="E1209" s="66">
        <f t="shared" si="127"/>
        <v>0.2</v>
      </c>
      <c r="F1209" s="66">
        <f t="shared" si="128"/>
        <v>2</v>
      </c>
      <c r="G1209" s="66">
        <f t="shared" si="129"/>
        <v>2.1067999999999998</v>
      </c>
      <c r="H1209" s="66">
        <f t="shared" si="130"/>
        <v>0.4</v>
      </c>
      <c r="I1209" s="66">
        <f t="shared" si="131"/>
        <v>0</v>
      </c>
      <c r="J1209" s="66">
        <f t="shared" si="132"/>
        <v>0</v>
      </c>
      <c r="K1209" s="66">
        <f>IF(CurrentMtgRatesDataTable8[[#This Row],[WA CC]]&lt;&gt;0,C1208-CurrentMtgRatesDataTable8[[#This Row],[WA CC]],0)</f>
        <v>0</v>
      </c>
      <c r="L1209" s="66">
        <f>IF(CurrentMtgRatesDataTable8[[#This Row],[Servicing Spread]]&lt;=0,L1208,CurrentMtgRatesDataTable8[[#This Row],[Servicing Spread]])</f>
        <v>0.49180000000000046</v>
      </c>
      <c r="M1209" s="66">
        <f>CurrentMtgRatesDataTable8[[#This Row],[Servicing Spread Non-Zero]]-L1208</f>
        <v>0</v>
      </c>
      <c r="N1209" s="66">
        <f>IF(J1208&lt;&gt;0,CurrentMtgRatesDataTable8[[#This Row],[Rate]]-C1208,N1208)</f>
        <v>0.33499999999999908</v>
      </c>
    </row>
    <row r="1210" spans="1:14">
      <c r="A1210" s="63" t="s">
        <v>2562</v>
      </c>
      <c r="B1210" s="64">
        <v>5.4340000000000002</v>
      </c>
      <c r="C1210" s="65">
        <v>6.0149999999999997</v>
      </c>
      <c r="D1210" s="66">
        <f t="shared" si="126"/>
        <v>5</v>
      </c>
      <c r="E1210" s="66">
        <f t="shared" si="127"/>
        <v>0.2</v>
      </c>
      <c r="F1210" s="66">
        <f t="shared" si="128"/>
        <v>3</v>
      </c>
      <c r="G1210" s="66">
        <f t="shared" si="129"/>
        <v>3.1936</v>
      </c>
      <c r="H1210" s="66">
        <f t="shared" si="130"/>
        <v>0.60000000000000009</v>
      </c>
      <c r="I1210" s="66">
        <f t="shared" si="131"/>
        <v>0</v>
      </c>
      <c r="J1210" s="66">
        <f t="shared" si="132"/>
        <v>0</v>
      </c>
      <c r="K1210" s="66">
        <f>IF(CurrentMtgRatesDataTable8[[#This Row],[WA CC]]&lt;&gt;0,C1209-CurrentMtgRatesDataTable8[[#This Row],[WA CC]],0)</f>
        <v>0</v>
      </c>
      <c r="L1210" s="66">
        <f>IF(CurrentMtgRatesDataTable8[[#This Row],[Servicing Spread]]&lt;=0,L1209,CurrentMtgRatesDataTable8[[#This Row],[Servicing Spread]])</f>
        <v>0.49180000000000046</v>
      </c>
      <c r="M1210" s="66">
        <f>CurrentMtgRatesDataTable8[[#This Row],[Servicing Spread Non-Zero]]-L1209</f>
        <v>0</v>
      </c>
      <c r="N1210" s="66">
        <f>IF(J1209&lt;&gt;0,CurrentMtgRatesDataTable8[[#This Row],[Rate]]-C1209,N1209)</f>
        <v>0.33499999999999908</v>
      </c>
    </row>
    <row r="1211" spans="1:14">
      <c r="A1211" s="63" t="s">
        <v>2563</v>
      </c>
      <c r="B1211" s="64">
        <v>5.4660000000000002</v>
      </c>
      <c r="C1211" s="65">
        <v>6.0149999999999997</v>
      </c>
      <c r="D1211" s="66">
        <f t="shared" si="126"/>
        <v>6</v>
      </c>
      <c r="E1211" s="66">
        <f t="shared" si="127"/>
        <v>0.2</v>
      </c>
      <c r="F1211" s="66">
        <f t="shared" si="128"/>
        <v>4</v>
      </c>
      <c r="G1211" s="66">
        <f t="shared" si="129"/>
        <v>4.2868000000000004</v>
      </c>
      <c r="H1211" s="66">
        <f t="shared" si="130"/>
        <v>0.8</v>
      </c>
      <c r="I1211" s="66">
        <f t="shared" si="131"/>
        <v>0</v>
      </c>
      <c r="J1211" s="66">
        <f t="shared" si="132"/>
        <v>0</v>
      </c>
      <c r="K1211" s="66">
        <f>IF(CurrentMtgRatesDataTable8[[#This Row],[WA CC]]&lt;&gt;0,C1210-CurrentMtgRatesDataTable8[[#This Row],[WA CC]],0)</f>
        <v>0</v>
      </c>
      <c r="L1211" s="66">
        <f>IF(CurrentMtgRatesDataTable8[[#This Row],[Servicing Spread]]&lt;=0,L1210,CurrentMtgRatesDataTable8[[#This Row],[Servicing Spread]])</f>
        <v>0.49180000000000046</v>
      </c>
      <c r="M1211" s="66">
        <f>CurrentMtgRatesDataTable8[[#This Row],[Servicing Spread Non-Zero]]-L1210</f>
        <v>0</v>
      </c>
      <c r="N1211" s="66">
        <f>IF(J1210&lt;&gt;0,CurrentMtgRatesDataTable8[[#This Row],[Rate]]-C1210,N1210)</f>
        <v>0.33499999999999908</v>
      </c>
    </row>
    <row r="1212" spans="1:14">
      <c r="A1212" s="63" t="s">
        <v>2564</v>
      </c>
      <c r="B1212" s="64">
        <v>5.4660000000000002</v>
      </c>
      <c r="C1212" s="65">
        <v>6.0149999999999997</v>
      </c>
      <c r="D1212" s="66">
        <f t="shared" si="126"/>
        <v>7</v>
      </c>
      <c r="E1212" s="66">
        <f t="shared" si="127"/>
        <v>0.2</v>
      </c>
      <c r="F1212" s="66">
        <f t="shared" si="128"/>
        <v>5</v>
      </c>
      <c r="G1212" s="66">
        <f t="shared" si="129"/>
        <v>5.3800000000000008</v>
      </c>
      <c r="H1212" s="66">
        <f t="shared" si="130"/>
        <v>1</v>
      </c>
      <c r="I1212" s="66">
        <f t="shared" si="131"/>
        <v>1</v>
      </c>
      <c r="J1212" s="66">
        <f t="shared" si="132"/>
        <v>5.3800000000000008</v>
      </c>
      <c r="K1212" s="66">
        <f>IF(CurrentMtgRatesDataTable8[[#This Row],[WA CC]]&lt;&gt;0,C1211-CurrentMtgRatesDataTable8[[#This Row],[WA CC]],0)</f>
        <v>0.6349999999999989</v>
      </c>
      <c r="L1212" s="66">
        <f>IF(CurrentMtgRatesDataTable8[[#This Row],[Servicing Spread]]&lt;=0,L1211,CurrentMtgRatesDataTable8[[#This Row],[Servicing Spread]])</f>
        <v>0.6349999999999989</v>
      </c>
      <c r="M1212" s="66">
        <f>CurrentMtgRatesDataTable8[[#This Row],[Servicing Spread Non-Zero]]-L1211</f>
        <v>0.14319999999999844</v>
      </c>
      <c r="N1212" s="66">
        <f>IF(J1211&lt;&gt;0,CurrentMtgRatesDataTable8[[#This Row],[Rate]]-C1211,N1211)</f>
        <v>0.33499999999999908</v>
      </c>
    </row>
    <row r="1213" spans="1:14">
      <c r="A1213" s="63" t="s">
        <v>2565</v>
      </c>
      <c r="B1213" s="64">
        <v>5.476</v>
      </c>
      <c r="C1213" s="65">
        <v>6</v>
      </c>
      <c r="D1213" s="66">
        <f t="shared" si="126"/>
        <v>1</v>
      </c>
      <c r="E1213" s="66">
        <f t="shared" si="127"/>
        <v>0.2</v>
      </c>
      <c r="F1213" s="66">
        <f t="shared" si="128"/>
        <v>1</v>
      </c>
      <c r="G1213" s="66">
        <f t="shared" si="129"/>
        <v>1.0952</v>
      </c>
      <c r="H1213" s="66">
        <f t="shared" si="130"/>
        <v>0.2</v>
      </c>
      <c r="I1213" s="66">
        <f t="shared" si="131"/>
        <v>0</v>
      </c>
      <c r="J1213" s="66">
        <f t="shared" si="132"/>
        <v>0</v>
      </c>
      <c r="K1213" s="66">
        <f>IF(CurrentMtgRatesDataTable8[[#This Row],[WA CC]]&lt;&gt;0,C1212-CurrentMtgRatesDataTable8[[#This Row],[WA CC]],0)</f>
        <v>0</v>
      </c>
      <c r="L1213" s="66">
        <f>IF(CurrentMtgRatesDataTable8[[#This Row],[Servicing Spread]]&lt;=0,L1212,CurrentMtgRatesDataTable8[[#This Row],[Servicing Spread]])</f>
        <v>0.6349999999999989</v>
      </c>
      <c r="M1213" s="66">
        <f>CurrentMtgRatesDataTable8[[#This Row],[Servicing Spread Non-Zero]]-L1212</f>
        <v>0</v>
      </c>
      <c r="N1213" s="66">
        <f>IF(J1212&lt;&gt;0,CurrentMtgRatesDataTable8[[#This Row],[Rate]]-C1212,N1212)</f>
        <v>-1.499999999999968E-2</v>
      </c>
    </row>
    <row r="1214" spans="1:14">
      <c r="A1214" s="63" t="s">
        <v>2566</v>
      </c>
      <c r="B1214" s="64">
        <v>5.45</v>
      </c>
      <c r="C1214" s="65">
        <v>6</v>
      </c>
      <c r="D1214" s="66">
        <f t="shared" si="126"/>
        <v>2</v>
      </c>
      <c r="E1214" s="66">
        <f t="shared" si="127"/>
        <v>0.2</v>
      </c>
      <c r="F1214" s="66">
        <f t="shared" si="128"/>
        <v>2</v>
      </c>
      <c r="G1214" s="66">
        <f t="shared" si="129"/>
        <v>2.1852</v>
      </c>
      <c r="H1214" s="66">
        <f t="shared" si="130"/>
        <v>0.4</v>
      </c>
      <c r="I1214" s="66">
        <f t="shared" si="131"/>
        <v>0</v>
      </c>
      <c r="J1214" s="66">
        <f t="shared" si="132"/>
        <v>0</v>
      </c>
      <c r="K1214" s="66">
        <f>IF(CurrentMtgRatesDataTable8[[#This Row],[WA CC]]&lt;&gt;0,C1213-CurrentMtgRatesDataTable8[[#This Row],[WA CC]],0)</f>
        <v>0</v>
      </c>
      <c r="L1214" s="66">
        <f>IF(CurrentMtgRatesDataTable8[[#This Row],[Servicing Spread]]&lt;=0,L1213,CurrentMtgRatesDataTable8[[#This Row],[Servicing Spread]])</f>
        <v>0.6349999999999989</v>
      </c>
      <c r="M1214" s="66">
        <f>CurrentMtgRatesDataTable8[[#This Row],[Servicing Spread Non-Zero]]-L1213</f>
        <v>0</v>
      </c>
      <c r="N1214" s="66">
        <f>IF(J1213&lt;&gt;0,CurrentMtgRatesDataTable8[[#This Row],[Rate]]-C1213,N1213)</f>
        <v>-1.499999999999968E-2</v>
      </c>
    </row>
    <row r="1215" spans="1:14">
      <c r="A1215" s="63" t="s">
        <v>2567</v>
      </c>
      <c r="B1215" s="64">
        <v>5.3650000000000002</v>
      </c>
      <c r="C1215" s="65">
        <v>6</v>
      </c>
      <c r="D1215" s="66">
        <f t="shared" si="126"/>
        <v>5</v>
      </c>
      <c r="E1215" s="66">
        <f t="shared" si="127"/>
        <v>0.2</v>
      </c>
      <c r="F1215" s="66">
        <f t="shared" si="128"/>
        <v>3</v>
      </c>
      <c r="G1215" s="66">
        <f t="shared" si="129"/>
        <v>3.2582000000000004</v>
      </c>
      <c r="H1215" s="66">
        <f t="shared" si="130"/>
        <v>0.60000000000000009</v>
      </c>
      <c r="I1215" s="66">
        <f t="shared" si="131"/>
        <v>0</v>
      </c>
      <c r="J1215" s="66">
        <f t="shared" si="132"/>
        <v>0</v>
      </c>
      <c r="K1215" s="66">
        <f>IF(CurrentMtgRatesDataTable8[[#This Row],[WA CC]]&lt;&gt;0,C1214-CurrentMtgRatesDataTable8[[#This Row],[WA CC]],0)</f>
        <v>0</v>
      </c>
      <c r="L1215" s="66">
        <f>IF(CurrentMtgRatesDataTable8[[#This Row],[Servicing Spread]]&lt;=0,L1214,CurrentMtgRatesDataTable8[[#This Row],[Servicing Spread]])</f>
        <v>0.6349999999999989</v>
      </c>
      <c r="M1215" s="66">
        <f>CurrentMtgRatesDataTable8[[#This Row],[Servicing Spread Non-Zero]]-L1214</f>
        <v>0</v>
      </c>
      <c r="N1215" s="66">
        <f>IF(J1214&lt;&gt;0,CurrentMtgRatesDataTable8[[#This Row],[Rate]]-C1214,N1214)</f>
        <v>-1.499999999999968E-2</v>
      </c>
    </row>
    <row r="1216" spans="1:14">
      <c r="A1216" s="63" t="s">
        <v>2568</v>
      </c>
      <c r="B1216" s="64">
        <v>5.53</v>
      </c>
      <c r="C1216" s="65">
        <v>6</v>
      </c>
      <c r="D1216" s="66">
        <f t="shared" si="126"/>
        <v>6</v>
      </c>
      <c r="E1216" s="66">
        <f t="shared" si="127"/>
        <v>0.2</v>
      </c>
      <c r="F1216" s="66">
        <f t="shared" si="128"/>
        <v>4</v>
      </c>
      <c r="G1216" s="66">
        <f t="shared" si="129"/>
        <v>4.3642000000000003</v>
      </c>
      <c r="H1216" s="66">
        <f t="shared" si="130"/>
        <v>0.8</v>
      </c>
      <c r="I1216" s="66">
        <f t="shared" si="131"/>
        <v>0</v>
      </c>
      <c r="J1216" s="66">
        <f t="shared" si="132"/>
        <v>0</v>
      </c>
      <c r="K1216" s="66">
        <f>IF(CurrentMtgRatesDataTable8[[#This Row],[WA CC]]&lt;&gt;0,C1215-CurrentMtgRatesDataTable8[[#This Row],[WA CC]],0)</f>
        <v>0</v>
      </c>
      <c r="L1216" s="66">
        <f>IF(CurrentMtgRatesDataTable8[[#This Row],[Servicing Spread]]&lt;=0,L1215,CurrentMtgRatesDataTable8[[#This Row],[Servicing Spread]])</f>
        <v>0.6349999999999989</v>
      </c>
      <c r="M1216" s="66">
        <f>CurrentMtgRatesDataTable8[[#This Row],[Servicing Spread Non-Zero]]-L1215</f>
        <v>0</v>
      </c>
      <c r="N1216" s="66">
        <f>IF(J1215&lt;&gt;0,CurrentMtgRatesDataTable8[[#This Row],[Rate]]-C1215,N1215)</f>
        <v>-1.499999999999968E-2</v>
      </c>
    </row>
    <row r="1217" spans="1:14">
      <c r="A1217" s="63" t="s">
        <v>2569</v>
      </c>
      <c r="B1217" s="64">
        <v>5.5179999999999998</v>
      </c>
      <c r="C1217" s="65">
        <v>6</v>
      </c>
      <c r="D1217" s="66">
        <f t="shared" si="126"/>
        <v>7</v>
      </c>
      <c r="E1217" s="66">
        <f t="shared" si="127"/>
        <v>0.2</v>
      </c>
      <c r="F1217" s="66">
        <f t="shared" si="128"/>
        <v>5</v>
      </c>
      <c r="G1217" s="66">
        <f t="shared" si="129"/>
        <v>5.4678000000000004</v>
      </c>
      <c r="H1217" s="66">
        <f t="shared" si="130"/>
        <v>1</v>
      </c>
      <c r="I1217" s="66">
        <f t="shared" si="131"/>
        <v>1</v>
      </c>
      <c r="J1217" s="66">
        <f t="shared" si="132"/>
        <v>5.4678000000000004</v>
      </c>
      <c r="K1217" s="66">
        <f>IF(CurrentMtgRatesDataTable8[[#This Row],[WA CC]]&lt;&gt;0,C1216-CurrentMtgRatesDataTable8[[#This Row],[WA CC]],0)</f>
        <v>0.53219999999999956</v>
      </c>
      <c r="L1217" s="66">
        <f>IF(CurrentMtgRatesDataTable8[[#This Row],[Servicing Spread]]&lt;=0,L1216,CurrentMtgRatesDataTable8[[#This Row],[Servicing Spread]])</f>
        <v>0.53219999999999956</v>
      </c>
      <c r="M1217" s="66">
        <f>CurrentMtgRatesDataTable8[[#This Row],[Servicing Spread Non-Zero]]-L1216</f>
        <v>-0.10279999999999934</v>
      </c>
      <c r="N1217" s="66">
        <f>IF(J1216&lt;&gt;0,CurrentMtgRatesDataTable8[[#This Row],[Rate]]-C1216,N1216)</f>
        <v>-1.499999999999968E-2</v>
      </c>
    </row>
    <row r="1218" spans="1:14">
      <c r="A1218" s="63" t="s">
        <v>2570</v>
      </c>
      <c r="B1218" s="64">
        <v>5.4580000000000002</v>
      </c>
      <c r="C1218" s="65">
        <v>5.8400000000000007</v>
      </c>
      <c r="D1218" s="66">
        <f t="shared" si="126"/>
        <v>1</v>
      </c>
      <c r="E1218" s="66">
        <f t="shared" si="127"/>
        <v>0.2</v>
      </c>
      <c r="F1218" s="66">
        <f t="shared" si="128"/>
        <v>1</v>
      </c>
      <c r="G1218" s="66">
        <f t="shared" si="129"/>
        <v>1.0916000000000001</v>
      </c>
      <c r="H1218" s="66">
        <f t="shared" si="130"/>
        <v>0.2</v>
      </c>
      <c r="I1218" s="66">
        <f t="shared" si="131"/>
        <v>0</v>
      </c>
      <c r="J1218" s="66">
        <f t="shared" si="132"/>
        <v>0</v>
      </c>
      <c r="K1218" s="66">
        <f>IF(CurrentMtgRatesDataTable8[[#This Row],[WA CC]]&lt;&gt;0,C1217-CurrentMtgRatesDataTable8[[#This Row],[WA CC]],0)</f>
        <v>0</v>
      </c>
      <c r="L1218" s="66">
        <f>IF(CurrentMtgRatesDataTable8[[#This Row],[Servicing Spread]]&lt;=0,L1217,CurrentMtgRatesDataTable8[[#This Row],[Servicing Spread]])</f>
        <v>0.53219999999999956</v>
      </c>
      <c r="M1218" s="66">
        <f>CurrentMtgRatesDataTable8[[#This Row],[Servicing Spread Non-Zero]]-L1217</f>
        <v>0</v>
      </c>
      <c r="N1218" s="66">
        <f>IF(J1217&lt;&gt;0,CurrentMtgRatesDataTable8[[#This Row],[Rate]]-C1217,N1217)</f>
        <v>-0.15999999999999925</v>
      </c>
    </row>
    <row r="1219" spans="1:14">
      <c r="A1219" s="63" t="s">
        <v>2571</v>
      </c>
      <c r="B1219" s="64">
        <v>5.4470000000000001</v>
      </c>
      <c r="C1219" s="65">
        <v>5.8400000000000007</v>
      </c>
      <c r="D1219" s="66">
        <f t="shared" si="126"/>
        <v>2</v>
      </c>
      <c r="E1219" s="66">
        <f t="shared" si="127"/>
        <v>0.2</v>
      </c>
      <c r="F1219" s="66">
        <f t="shared" si="128"/>
        <v>2</v>
      </c>
      <c r="G1219" s="66">
        <f t="shared" si="129"/>
        <v>2.181</v>
      </c>
      <c r="H1219" s="66">
        <f t="shared" si="130"/>
        <v>0.4</v>
      </c>
      <c r="I1219" s="66">
        <f t="shared" si="131"/>
        <v>0</v>
      </c>
      <c r="J1219" s="66">
        <f t="shared" si="132"/>
        <v>0</v>
      </c>
      <c r="K1219" s="66">
        <f>IF(CurrentMtgRatesDataTable8[[#This Row],[WA CC]]&lt;&gt;0,C1218-CurrentMtgRatesDataTable8[[#This Row],[WA CC]],0)</f>
        <v>0</v>
      </c>
      <c r="L1219" s="66">
        <f>IF(CurrentMtgRatesDataTable8[[#This Row],[Servicing Spread]]&lt;=0,L1218,CurrentMtgRatesDataTable8[[#This Row],[Servicing Spread]])</f>
        <v>0.53219999999999956</v>
      </c>
      <c r="M1219" s="66">
        <f>CurrentMtgRatesDataTable8[[#This Row],[Servicing Spread Non-Zero]]-L1218</f>
        <v>0</v>
      </c>
      <c r="N1219" s="66">
        <f>IF(J1218&lt;&gt;0,CurrentMtgRatesDataTable8[[#This Row],[Rate]]-C1218,N1218)</f>
        <v>-0.15999999999999925</v>
      </c>
    </row>
    <row r="1220" spans="1:14">
      <c r="A1220" s="63" t="s">
        <v>2572</v>
      </c>
      <c r="B1220" s="64">
        <v>5.2110000000000003</v>
      </c>
      <c r="C1220" s="65">
        <v>5.8400000000000007</v>
      </c>
      <c r="D1220" s="66">
        <f t="shared" si="126"/>
        <v>5</v>
      </c>
      <c r="E1220" s="66">
        <f t="shared" si="127"/>
        <v>0.2</v>
      </c>
      <c r="F1220" s="66">
        <f t="shared" si="128"/>
        <v>3</v>
      </c>
      <c r="G1220" s="66">
        <f t="shared" si="129"/>
        <v>3.2232000000000003</v>
      </c>
      <c r="H1220" s="66">
        <f t="shared" si="130"/>
        <v>0.60000000000000009</v>
      </c>
      <c r="I1220" s="66">
        <f t="shared" si="131"/>
        <v>0</v>
      </c>
      <c r="J1220" s="66">
        <f t="shared" si="132"/>
        <v>0</v>
      </c>
      <c r="K1220" s="66">
        <f>IF(CurrentMtgRatesDataTable8[[#This Row],[WA CC]]&lt;&gt;0,C1219-CurrentMtgRatesDataTable8[[#This Row],[WA CC]],0)</f>
        <v>0</v>
      </c>
      <c r="L1220" s="66">
        <f>IF(CurrentMtgRatesDataTable8[[#This Row],[Servicing Spread]]&lt;=0,L1219,CurrentMtgRatesDataTable8[[#This Row],[Servicing Spread]])</f>
        <v>0.53219999999999956</v>
      </c>
      <c r="M1220" s="66">
        <f>CurrentMtgRatesDataTable8[[#This Row],[Servicing Spread Non-Zero]]-L1219</f>
        <v>0</v>
      </c>
      <c r="N1220" s="66">
        <f>IF(J1219&lt;&gt;0,CurrentMtgRatesDataTable8[[#This Row],[Rate]]-C1219,N1219)</f>
        <v>-0.15999999999999925</v>
      </c>
    </row>
    <row r="1221" spans="1:14">
      <c r="A1221" s="63" t="s">
        <v>2573</v>
      </c>
      <c r="B1221" s="64">
        <v>5.2629999999999999</v>
      </c>
      <c r="C1221" s="65">
        <v>5.8400000000000007</v>
      </c>
      <c r="D1221" s="66">
        <f t="shared" ref="D1221:D1284" si="133">WEEKDAY(A1221,14)</f>
        <v>6</v>
      </c>
      <c r="E1221" s="66">
        <f t="shared" ref="E1221:E1284" si="134">VLOOKUP(D1221,Q$5:R$11,2,FALSE)</f>
        <v>0.2</v>
      </c>
      <c r="F1221" s="66">
        <f t="shared" ref="F1221:F1284" si="135">IF(AND(D1221&gt;D1220,F1220&lt;6),F1220+1,1)</f>
        <v>4</v>
      </c>
      <c r="G1221" s="66">
        <f t="shared" ref="G1221:G1284" si="136">IF(F1221&gt;F1220,G1220+B1221*E1221,B1221*E1221)</f>
        <v>4.2758000000000003</v>
      </c>
      <c r="H1221" s="66">
        <f t="shared" ref="H1221:H1284" si="137">IF(AND(F1221&lt;6,F1221&gt;F1220),E1221+H1220,E1221)</f>
        <v>0.8</v>
      </c>
      <c r="I1221" s="66">
        <f t="shared" ref="I1221:I1284" si="138">IF(F1221&gt;F1222,1,0)</f>
        <v>0</v>
      </c>
      <c r="J1221" s="66">
        <f t="shared" ref="J1221:J1284" si="139">IF(F1221&gt;F1222,G1221/H1221,0)</f>
        <v>0</v>
      </c>
      <c r="K1221" s="66">
        <f>IF(CurrentMtgRatesDataTable8[[#This Row],[WA CC]]&lt;&gt;0,C1220-CurrentMtgRatesDataTable8[[#This Row],[WA CC]],0)</f>
        <v>0</v>
      </c>
      <c r="L1221" s="66">
        <f>IF(CurrentMtgRatesDataTable8[[#This Row],[Servicing Spread]]&lt;=0,L1220,CurrentMtgRatesDataTable8[[#This Row],[Servicing Spread]])</f>
        <v>0.53219999999999956</v>
      </c>
      <c r="M1221" s="66">
        <f>CurrentMtgRatesDataTable8[[#This Row],[Servicing Spread Non-Zero]]-L1220</f>
        <v>0</v>
      </c>
      <c r="N1221" s="66">
        <f>IF(J1220&lt;&gt;0,CurrentMtgRatesDataTable8[[#This Row],[Rate]]-C1220,N1220)</f>
        <v>-0.15999999999999925</v>
      </c>
    </row>
    <row r="1222" spans="1:14">
      <c r="A1222" s="63" t="s">
        <v>2574</v>
      </c>
      <c r="B1222" s="64">
        <v>5.4530000000000003</v>
      </c>
      <c r="C1222" s="65">
        <v>5.8400000000000007</v>
      </c>
      <c r="D1222" s="66">
        <f t="shared" si="133"/>
        <v>7</v>
      </c>
      <c r="E1222" s="66">
        <f t="shared" si="134"/>
        <v>0.2</v>
      </c>
      <c r="F1222" s="66">
        <f t="shared" si="135"/>
        <v>5</v>
      </c>
      <c r="G1222" s="66">
        <f t="shared" si="136"/>
        <v>5.3664000000000005</v>
      </c>
      <c r="H1222" s="66">
        <f t="shared" si="137"/>
        <v>1</v>
      </c>
      <c r="I1222" s="66">
        <f t="shared" si="138"/>
        <v>1</v>
      </c>
      <c r="J1222" s="66">
        <f t="shared" si="139"/>
        <v>5.3664000000000005</v>
      </c>
      <c r="K1222" s="66">
        <f>IF(CurrentMtgRatesDataTable8[[#This Row],[WA CC]]&lt;&gt;0,C1221-CurrentMtgRatesDataTable8[[#This Row],[WA CC]],0)</f>
        <v>0.47360000000000024</v>
      </c>
      <c r="L1222" s="66">
        <f>IF(CurrentMtgRatesDataTable8[[#This Row],[Servicing Spread]]&lt;=0,L1221,CurrentMtgRatesDataTable8[[#This Row],[Servicing Spread]])</f>
        <v>0.47360000000000024</v>
      </c>
      <c r="M1222" s="66">
        <f>CurrentMtgRatesDataTable8[[#This Row],[Servicing Spread Non-Zero]]-L1221</f>
        <v>-5.8599999999999319E-2</v>
      </c>
      <c r="N1222" s="66">
        <f>IF(J1221&lt;&gt;0,CurrentMtgRatesDataTable8[[#This Row],[Rate]]-C1221,N1221)</f>
        <v>-0.15999999999999925</v>
      </c>
    </row>
    <row r="1223" spans="1:14">
      <c r="A1223" s="63" t="s">
        <v>2575</v>
      </c>
      <c r="B1223" s="64">
        <v>5.6020000000000003</v>
      </c>
      <c r="C1223" s="65">
        <v>6.36</v>
      </c>
      <c r="D1223" s="66">
        <f t="shared" si="133"/>
        <v>1</v>
      </c>
      <c r="E1223" s="66">
        <f t="shared" si="134"/>
        <v>0.2</v>
      </c>
      <c r="F1223" s="66">
        <f t="shared" si="135"/>
        <v>1</v>
      </c>
      <c r="G1223" s="66">
        <f t="shared" si="136"/>
        <v>1.1204000000000001</v>
      </c>
      <c r="H1223" s="66">
        <f t="shared" si="137"/>
        <v>0.2</v>
      </c>
      <c r="I1223" s="66">
        <f t="shared" si="138"/>
        <v>0</v>
      </c>
      <c r="J1223" s="66">
        <f t="shared" si="139"/>
        <v>0</v>
      </c>
      <c r="K1223" s="66">
        <f>IF(CurrentMtgRatesDataTable8[[#This Row],[WA CC]]&lt;&gt;0,C1222-CurrentMtgRatesDataTable8[[#This Row],[WA CC]],0)</f>
        <v>0</v>
      </c>
      <c r="L1223" s="66">
        <f>IF(CurrentMtgRatesDataTable8[[#This Row],[Servicing Spread]]&lt;=0,L1222,CurrentMtgRatesDataTable8[[#This Row],[Servicing Spread]])</f>
        <v>0.47360000000000024</v>
      </c>
      <c r="M1223" s="66">
        <f>CurrentMtgRatesDataTable8[[#This Row],[Servicing Spread Non-Zero]]-L1222</f>
        <v>0</v>
      </c>
      <c r="N1223" s="66">
        <f>IF(J1222&lt;&gt;0,CurrentMtgRatesDataTable8[[#This Row],[Rate]]-C1222,N1222)</f>
        <v>0.51999999999999957</v>
      </c>
    </row>
    <row r="1224" spans="1:14">
      <c r="A1224" s="63" t="s">
        <v>2576</v>
      </c>
      <c r="B1224" s="64">
        <v>5.798</v>
      </c>
      <c r="C1224" s="65">
        <v>6.36</v>
      </c>
      <c r="D1224" s="66">
        <f t="shared" si="133"/>
        <v>2</v>
      </c>
      <c r="E1224" s="66">
        <f t="shared" si="134"/>
        <v>0.2</v>
      </c>
      <c r="F1224" s="66">
        <f t="shared" si="135"/>
        <v>2</v>
      </c>
      <c r="G1224" s="66">
        <f t="shared" si="136"/>
        <v>2.2800000000000002</v>
      </c>
      <c r="H1224" s="66">
        <f t="shared" si="137"/>
        <v>0.4</v>
      </c>
      <c r="I1224" s="66">
        <f t="shared" si="138"/>
        <v>0</v>
      </c>
      <c r="J1224" s="66">
        <f t="shared" si="139"/>
        <v>0</v>
      </c>
      <c r="K1224" s="66">
        <f>IF(CurrentMtgRatesDataTable8[[#This Row],[WA CC]]&lt;&gt;0,C1223-CurrentMtgRatesDataTable8[[#This Row],[WA CC]],0)</f>
        <v>0</v>
      </c>
      <c r="L1224" s="66">
        <f>IF(CurrentMtgRatesDataTable8[[#This Row],[Servicing Spread]]&lt;=0,L1223,CurrentMtgRatesDataTable8[[#This Row],[Servicing Spread]])</f>
        <v>0.47360000000000024</v>
      </c>
      <c r="M1224" s="66">
        <f>CurrentMtgRatesDataTable8[[#This Row],[Servicing Spread Non-Zero]]-L1223</f>
        <v>0</v>
      </c>
      <c r="N1224" s="66">
        <f>IF(J1223&lt;&gt;0,CurrentMtgRatesDataTable8[[#This Row],[Rate]]-C1223,N1223)</f>
        <v>0.51999999999999957</v>
      </c>
    </row>
    <row r="1225" spans="1:14">
      <c r="A1225" s="63" t="s">
        <v>2577</v>
      </c>
      <c r="B1225" s="64">
        <v>5.9850000000000003</v>
      </c>
      <c r="C1225" s="65">
        <v>6.36</v>
      </c>
      <c r="D1225" s="66">
        <f t="shared" si="133"/>
        <v>6</v>
      </c>
      <c r="E1225" s="66">
        <f t="shared" si="134"/>
        <v>0.2</v>
      </c>
      <c r="F1225" s="66">
        <f t="shared" si="135"/>
        <v>3</v>
      </c>
      <c r="G1225" s="66">
        <f t="shared" si="136"/>
        <v>3.4770000000000003</v>
      </c>
      <c r="H1225" s="66">
        <f t="shared" si="137"/>
        <v>0.60000000000000009</v>
      </c>
      <c r="I1225" s="66">
        <f t="shared" si="138"/>
        <v>0</v>
      </c>
      <c r="J1225" s="66">
        <f t="shared" si="139"/>
        <v>0</v>
      </c>
      <c r="K1225" s="66">
        <f>IF(CurrentMtgRatesDataTable8[[#This Row],[WA CC]]&lt;&gt;0,C1224-CurrentMtgRatesDataTable8[[#This Row],[WA CC]],0)</f>
        <v>0</v>
      </c>
      <c r="L1225" s="66">
        <f>IF(CurrentMtgRatesDataTable8[[#This Row],[Servicing Spread]]&lt;=0,L1224,CurrentMtgRatesDataTable8[[#This Row],[Servicing Spread]])</f>
        <v>0.47360000000000024</v>
      </c>
      <c r="M1225" s="66">
        <f>CurrentMtgRatesDataTable8[[#This Row],[Servicing Spread Non-Zero]]-L1224</f>
        <v>0</v>
      </c>
      <c r="N1225" s="66">
        <f>IF(J1224&lt;&gt;0,CurrentMtgRatesDataTable8[[#This Row],[Rate]]-C1224,N1224)</f>
        <v>0.51999999999999957</v>
      </c>
    </row>
    <row r="1226" spans="1:14">
      <c r="A1226" s="63" t="s">
        <v>2578</v>
      </c>
      <c r="B1226" s="64">
        <v>5.9059999999999997</v>
      </c>
      <c r="C1226" s="65">
        <v>6.36</v>
      </c>
      <c r="D1226" s="66">
        <f t="shared" si="133"/>
        <v>7</v>
      </c>
      <c r="E1226" s="66">
        <f t="shared" si="134"/>
        <v>0.2</v>
      </c>
      <c r="F1226" s="66">
        <f t="shared" si="135"/>
        <v>4</v>
      </c>
      <c r="G1226" s="66">
        <f t="shared" si="136"/>
        <v>4.6582000000000008</v>
      </c>
      <c r="H1226" s="66">
        <f t="shared" si="137"/>
        <v>0.8</v>
      </c>
      <c r="I1226" s="66">
        <f t="shared" si="138"/>
        <v>1</v>
      </c>
      <c r="J1226" s="66">
        <f t="shared" si="139"/>
        <v>5.822750000000001</v>
      </c>
      <c r="K1226" s="66">
        <f>IF(CurrentMtgRatesDataTable8[[#This Row],[WA CC]]&lt;&gt;0,C1225-CurrentMtgRatesDataTable8[[#This Row],[WA CC]],0)</f>
        <v>0.53724999999999934</v>
      </c>
      <c r="L1226" s="66">
        <f>IF(CurrentMtgRatesDataTable8[[#This Row],[Servicing Spread]]&lt;=0,L1225,CurrentMtgRatesDataTable8[[#This Row],[Servicing Spread]])</f>
        <v>0.53724999999999934</v>
      </c>
      <c r="M1226" s="66">
        <f>CurrentMtgRatesDataTable8[[#This Row],[Servicing Spread Non-Zero]]-L1225</f>
        <v>6.3649999999999096E-2</v>
      </c>
      <c r="N1226" s="66">
        <f>IF(J1225&lt;&gt;0,CurrentMtgRatesDataTable8[[#This Row],[Rate]]-C1225,N1225)</f>
        <v>0.51999999999999957</v>
      </c>
    </row>
    <row r="1227" spans="1:14">
      <c r="A1227" s="63" t="s">
        <v>2579</v>
      </c>
      <c r="B1227" s="64">
        <v>5.843</v>
      </c>
      <c r="C1227" s="65">
        <v>5.94</v>
      </c>
      <c r="D1227" s="66">
        <f t="shared" si="133"/>
        <v>1</v>
      </c>
      <c r="E1227" s="66">
        <f t="shared" si="134"/>
        <v>0.2</v>
      </c>
      <c r="F1227" s="66">
        <f t="shared" si="135"/>
        <v>1</v>
      </c>
      <c r="G1227" s="66">
        <f t="shared" si="136"/>
        <v>1.1686000000000001</v>
      </c>
      <c r="H1227" s="66">
        <f t="shared" si="137"/>
        <v>0.2</v>
      </c>
      <c r="I1227" s="66">
        <f t="shared" si="138"/>
        <v>0</v>
      </c>
      <c r="J1227" s="66">
        <f t="shared" si="139"/>
        <v>0</v>
      </c>
      <c r="K1227" s="66">
        <f>IF(CurrentMtgRatesDataTable8[[#This Row],[WA CC]]&lt;&gt;0,C1226-CurrentMtgRatesDataTable8[[#This Row],[WA CC]],0)</f>
        <v>0</v>
      </c>
      <c r="L1227" s="66">
        <f>IF(CurrentMtgRatesDataTable8[[#This Row],[Servicing Spread]]&lt;=0,L1226,CurrentMtgRatesDataTable8[[#This Row],[Servicing Spread]])</f>
        <v>0.53724999999999934</v>
      </c>
      <c r="M1227" s="66">
        <f>CurrentMtgRatesDataTable8[[#This Row],[Servicing Spread Non-Zero]]-L1226</f>
        <v>0</v>
      </c>
      <c r="N1227" s="66">
        <f>IF(J1226&lt;&gt;0,CurrentMtgRatesDataTable8[[#This Row],[Rate]]-C1226,N1226)</f>
        <v>-0.41999999999999993</v>
      </c>
    </row>
    <row r="1228" spans="1:14">
      <c r="A1228" s="63" t="s">
        <v>2580</v>
      </c>
      <c r="B1228" s="64">
        <v>5.8259999999999996</v>
      </c>
      <c r="C1228" s="65">
        <v>5.94</v>
      </c>
      <c r="D1228" s="66">
        <f t="shared" si="133"/>
        <v>2</v>
      </c>
      <c r="E1228" s="66">
        <f t="shared" si="134"/>
        <v>0.2</v>
      </c>
      <c r="F1228" s="66">
        <f t="shared" si="135"/>
        <v>2</v>
      </c>
      <c r="G1228" s="66">
        <f t="shared" si="136"/>
        <v>2.3338000000000001</v>
      </c>
      <c r="H1228" s="66">
        <f t="shared" si="137"/>
        <v>0.4</v>
      </c>
      <c r="I1228" s="66">
        <f t="shared" si="138"/>
        <v>0</v>
      </c>
      <c r="J1228" s="66">
        <f t="shared" si="139"/>
        <v>0</v>
      </c>
      <c r="K1228" s="66">
        <f>IF(CurrentMtgRatesDataTable8[[#This Row],[WA CC]]&lt;&gt;0,C1227-CurrentMtgRatesDataTable8[[#This Row],[WA CC]],0)</f>
        <v>0</v>
      </c>
      <c r="L1228" s="66">
        <f>IF(CurrentMtgRatesDataTable8[[#This Row],[Servicing Spread]]&lt;=0,L1227,CurrentMtgRatesDataTable8[[#This Row],[Servicing Spread]])</f>
        <v>0.53724999999999934</v>
      </c>
      <c r="M1228" s="66">
        <f>CurrentMtgRatesDataTable8[[#This Row],[Servicing Spread Non-Zero]]-L1227</f>
        <v>0</v>
      </c>
      <c r="N1228" s="66">
        <f>IF(J1227&lt;&gt;0,CurrentMtgRatesDataTable8[[#This Row],[Rate]]-C1227,N1227)</f>
        <v>-0.41999999999999993</v>
      </c>
    </row>
    <row r="1229" spans="1:14">
      <c r="A1229" s="63" t="s">
        <v>2581</v>
      </c>
      <c r="B1229" s="64">
        <v>5.5279999999999996</v>
      </c>
      <c r="C1229" s="65">
        <v>5.94</v>
      </c>
      <c r="D1229" s="66">
        <f t="shared" si="133"/>
        <v>5</v>
      </c>
      <c r="E1229" s="66">
        <f t="shared" si="134"/>
        <v>0.2</v>
      </c>
      <c r="F1229" s="66">
        <f t="shared" si="135"/>
        <v>3</v>
      </c>
      <c r="G1229" s="66">
        <f t="shared" si="136"/>
        <v>3.4394</v>
      </c>
      <c r="H1229" s="66">
        <f t="shared" si="137"/>
        <v>0.60000000000000009</v>
      </c>
      <c r="I1229" s="66">
        <f t="shared" si="138"/>
        <v>0</v>
      </c>
      <c r="J1229" s="66">
        <f t="shared" si="139"/>
        <v>0</v>
      </c>
      <c r="K1229" s="66">
        <f>IF(CurrentMtgRatesDataTable8[[#This Row],[WA CC]]&lt;&gt;0,C1228-CurrentMtgRatesDataTable8[[#This Row],[WA CC]],0)</f>
        <v>0</v>
      </c>
      <c r="L1229" s="66">
        <f>IF(CurrentMtgRatesDataTable8[[#This Row],[Servicing Spread]]&lt;=0,L1228,CurrentMtgRatesDataTable8[[#This Row],[Servicing Spread]])</f>
        <v>0.53724999999999934</v>
      </c>
      <c r="M1229" s="66">
        <f>CurrentMtgRatesDataTable8[[#This Row],[Servicing Spread Non-Zero]]-L1228</f>
        <v>0</v>
      </c>
      <c r="N1229" s="66">
        <f>IF(J1228&lt;&gt;0,CurrentMtgRatesDataTable8[[#This Row],[Rate]]-C1228,N1228)</f>
        <v>-0.41999999999999993</v>
      </c>
    </row>
    <row r="1230" spans="1:14">
      <c r="A1230" s="63" t="s">
        <v>2582</v>
      </c>
      <c r="B1230" s="64">
        <v>5.3559999999999999</v>
      </c>
      <c r="C1230" s="65">
        <v>5.94</v>
      </c>
      <c r="D1230" s="66">
        <f t="shared" si="133"/>
        <v>6</v>
      </c>
      <c r="E1230" s="66">
        <f t="shared" si="134"/>
        <v>0.2</v>
      </c>
      <c r="F1230" s="66">
        <f t="shared" si="135"/>
        <v>4</v>
      </c>
      <c r="G1230" s="66">
        <f t="shared" si="136"/>
        <v>4.5106000000000002</v>
      </c>
      <c r="H1230" s="66">
        <f t="shared" si="137"/>
        <v>0.8</v>
      </c>
      <c r="I1230" s="66">
        <f t="shared" si="138"/>
        <v>0</v>
      </c>
      <c r="J1230" s="66">
        <f t="shared" si="139"/>
        <v>0</v>
      </c>
      <c r="K1230" s="66">
        <f>IF(CurrentMtgRatesDataTable8[[#This Row],[WA CC]]&lt;&gt;0,C1229-CurrentMtgRatesDataTable8[[#This Row],[WA CC]],0)</f>
        <v>0</v>
      </c>
      <c r="L1230" s="66">
        <f>IF(CurrentMtgRatesDataTable8[[#This Row],[Servicing Spread]]&lt;=0,L1229,CurrentMtgRatesDataTable8[[#This Row],[Servicing Spread]])</f>
        <v>0.53724999999999934</v>
      </c>
      <c r="M1230" s="66">
        <f>CurrentMtgRatesDataTable8[[#This Row],[Servicing Spread Non-Zero]]-L1229</f>
        <v>0</v>
      </c>
      <c r="N1230" s="66">
        <f>IF(J1229&lt;&gt;0,CurrentMtgRatesDataTable8[[#This Row],[Rate]]-C1229,N1229)</f>
        <v>-0.41999999999999993</v>
      </c>
    </row>
    <row r="1231" spans="1:14">
      <c r="A1231" s="63" t="s">
        <v>2583</v>
      </c>
      <c r="B1231" s="64">
        <v>5.3780000000000001</v>
      </c>
      <c r="C1231" s="65">
        <v>5.94</v>
      </c>
      <c r="D1231" s="66">
        <f t="shared" si="133"/>
        <v>7</v>
      </c>
      <c r="E1231" s="66">
        <f t="shared" si="134"/>
        <v>0.2</v>
      </c>
      <c r="F1231" s="66">
        <f t="shared" si="135"/>
        <v>5</v>
      </c>
      <c r="G1231" s="66">
        <f t="shared" si="136"/>
        <v>5.5861999999999998</v>
      </c>
      <c r="H1231" s="66">
        <f t="shared" si="137"/>
        <v>1</v>
      </c>
      <c r="I1231" s="66">
        <f t="shared" si="138"/>
        <v>1</v>
      </c>
      <c r="J1231" s="66">
        <f t="shared" si="139"/>
        <v>5.5861999999999998</v>
      </c>
      <c r="K1231" s="66">
        <f>IF(CurrentMtgRatesDataTable8[[#This Row],[WA CC]]&lt;&gt;0,C1230-CurrentMtgRatesDataTable8[[#This Row],[WA CC]],0)</f>
        <v>0.35380000000000056</v>
      </c>
      <c r="L1231" s="66">
        <f>IF(CurrentMtgRatesDataTable8[[#This Row],[Servicing Spread]]&lt;=0,L1230,CurrentMtgRatesDataTable8[[#This Row],[Servicing Spread]])</f>
        <v>0.35380000000000056</v>
      </c>
      <c r="M1231" s="66">
        <f>CurrentMtgRatesDataTable8[[#This Row],[Servicing Spread Non-Zero]]-L1230</f>
        <v>-0.18344999999999878</v>
      </c>
      <c r="N1231" s="66">
        <f>IF(J1230&lt;&gt;0,CurrentMtgRatesDataTable8[[#This Row],[Rate]]-C1230,N1230)</f>
        <v>-0.41999999999999993</v>
      </c>
    </row>
    <row r="1232" spans="1:14">
      <c r="A1232" s="63" t="s">
        <v>2584</v>
      </c>
      <c r="B1232" s="64">
        <v>5.4109999999999996</v>
      </c>
      <c r="C1232" s="65">
        <v>6.3849999999999998</v>
      </c>
      <c r="D1232" s="66">
        <f t="shared" si="133"/>
        <v>1</v>
      </c>
      <c r="E1232" s="66">
        <f t="shared" si="134"/>
        <v>0.2</v>
      </c>
      <c r="F1232" s="66">
        <f t="shared" si="135"/>
        <v>1</v>
      </c>
      <c r="G1232" s="66">
        <f t="shared" si="136"/>
        <v>1.0822000000000001</v>
      </c>
      <c r="H1232" s="66">
        <f t="shared" si="137"/>
        <v>0.2</v>
      </c>
      <c r="I1232" s="66">
        <f t="shared" si="138"/>
        <v>0</v>
      </c>
      <c r="J1232" s="66">
        <f t="shared" si="139"/>
        <v>0</v>
      </c>
      <c r="K1232" s="66">
        <f>IF(CurrentMtgRatesDataTable8[[#This Row],[WA CC]]&lt;&gt;0,C1231-CurrentMtgRatesDataTable8[[#This Row],[WA CC]],0)</f>
        <v>0</v>
      </c>
      <c r="L1232" s="66">
        <f>IF(CurrentMtgRatesDataTable8[[#This Row],[Servicing Spread]]&lt;=0,L1231,CurrentMtgRatesDataTable8[[#This Row],[Servicing Spread]])</f>
        <v>0.35380000000000056</v>
      </c>
      <c r="M1232" s="66">
        <f>CurrentMtgRatesDataTable8[[#This Row],[Servicing Spread Non-Zero]]-L1231</f>
        <v>0</v>
      </c>
      <c r="N1232" s="66">
        <f>IF(J1231&lt;&gt;0,CurrentMtgRatesDataTable8[[#This Row],[Rate]]-C1231,N1231)</f>
        <v>0.4449999999999994</v>
      </c>
    </row>
    <row r="1233" spans="1:14">
      <c r="A1233" s="63" t="s">
        <v>2585</v>
      </c>
      <c r="B1233" s="64">
        <v>5.6740000000000004</v>
      </c>
      <c r="C1233" s="65">
        <v>6.3849999999999998</v>
      </c>
      <c r="D1233" s="66">
        <f t="shared" si="133"/>
        <v>2</v>
      </c>
      <c r="E1233" s="66">
        <f t="shared" si="134"/>
        <v>0.2</v>
      </c>
      <c r="F1233" s="66">
        <f t="shared" si="135"/>
        <v>2</v>
      </c>
      <c r="G1233" s="66">
        <f t="shared" si="136"/>
        <v>2.2170000000000001</v>
      </c>
      <c r="H1233" s="66">
        <f t="shared" si="137"/>
        <v>0.4</v>
      </c>
      <c r="I1233" s="66">
        <f t="shared" si="138"/>
        <v>0</v>
      </c>
      <c r="J1233" s="66">
        <f t="shared" si="139"/>
        <v>0</v>
      </c>
      <c r="K1233" s="66">
        <f>IF(CurrentMtgRatesDataTable8[[#This Row],[WA CC]]&lt;&gt;0,C1232-CurrentMtgRatesDataTable8[[#This Row],[WA CC]],0)</f>
        <v>0</v>
      </c>
      <c r="L1233" s="66">
        <f>IF(CurrentMtgRatesDataTable8[[#This Row],[Servicing Spread]]&lt;=0,L1232,CurrentMtgRatesDataTable8[[#This Row],[Servicing Spread]])</f>
        <v>0.35380000000000056</v>
      </c>
      <c r="M1233" s="66">
        <f>CurrentMtgRatesDataTable8[[#This Row],[Servicing Spread Non-Zero]]-L1232</f>
        <v>0</v>
      </c>
      <c r="N1233" s="66">
        <f>IF(J1232&lt;&gt;0,CurrentMtgRatesDataTable8[[#This Row],[Rate]]-C1232,N1232)</f>
        <v>0.4449999999999994</v>
      </c>
    </row>
    <row r="1234" spans="1:14">
      <c r="A1234" s="63" t="s">
        <v>2586</v>
      </c>
      <c r="B1234" s="64">
        <v>5.92</v>
      </c>
      <c r="C1234" s="65">
        <v>6.3849999999999998</v>
      </c>
      <c r="D1234" s="66">
        <f t="shared" si="133"/>
        <v>5</v>
      </c>
      <c r="E1234" s="66">
        <f t="shared" si="134"/>
        <v>0.2</v>
      </c>
      <c r="F1234" s="66">
        <f t="shared" si="135"/>
        <v>3</v>
      </c>
      <c r="G1234" s="66">
        <f t="shared" si="136"/>
        <v>3.4009999999999998</v>
      </c>
      <c r="H1234" s="66">
        <f t="shared" si="137"/>
        <v>0.60000000000000009</v>
      </c>
      <c r="I1234" s="66">
        <f t="shared" si="138"/>
        <v>0</v>
      </c>
      <c r="J1234" s="66">
        <f t="shared" si="139"/>
        <v>0</v>
      </c>
      <c r="K1234" s="66">
        <f>IF(CurrentMtgRatesDataTable8[[#This Row],[WA CC]]&lt;&gt;0,C1233-CurrentMtgRatesDataTable8[[#This Row],[WA CC]],0)</f>
        <v>0</v>
      </c>
      <c r="L1234" s="66">
        <f>IF(CurrentMtgRatesDataTable8[[#This Row],[Servicing Spread]]&lt;=0,L1233,CurrentMtgRatesDataTable8[[#This Row],[Servicing Spread]])</f>
        <v>0.35380000000000056</v>
      </c>
      <c r="M1234" s="66">
        <f>CurrentMtgRatesDataTable8[[#This Row],[Servicing Spread Non-Zero]]-L1233</f>
        <v>0</v>
      </c>
      <c r="N1234" s="66">
        <f>IF(J1233&lt;&gt;0,CurrentMtgRatesDataTable8[[#This Row],[Rate]]-C1233,N1233)</f>
        <v>0.4449999999999994</v>
      </c>
    </row>
    <row r="1235" spans="1:14">
      <c r="A1235" s="63" t="s">
        <v>2587</v>
      </c>
      <c r="B1235" s="64">
        <v>6.0579999999999998</v>
      </c>
      <c r="C1235" s="65">
        <v>6.3849999999999998</v>
      </c>
      <c r="D1235" s="66">
        <f t="shared" si="133"/>
        <v>6</v>
      </c>
      <c r="E1235" s="66">
        <f t="shared" si="134"/>
        <v>0.2</v>
      </c>
      <c r="F1235" s="66">
        <f t="shared" si="135"/>
        <v>4</v>
      </c>
      <c r="G1235" s="66">
        <f t="shared" si="136"/>
        <v>4.6125999999999996</v>
      </c>
      <c r="H1235" s="66">
        <f t="shared" si="137"/>
        <v>0.8</v>
      </c>
      <c r="I1235" s="66">
        <f t="shared" si="138"/>
        <v>0</v>
      </c>
      <c r="J1235" s="66">
        <f t="shared" si="139"/>
        <v>0</v>
      </c>
      <c r="K1235" s="66">
        <f>IF(CurrentMtgRatesDataTable8[[#This Row],[WA CC]]&lt;&gt;0,C1234-CurrentMtgRatesDataTable8[[#This Row],[WA CC]],0)</f>
        <v>0</v>
      </c>
      <c r="L1235" s="66">
        <f>IF(CurrentMtgRatesDataTable8[[#This Row],[Servicing Spread]]&lt;=0,L1234,CurrentMtgRatesDataTable8[[#This Row],[Servicing Spread]])</f>
        <v>0.35380000000000056</v>
      </c>
      <c r="M1235" s="66">
        <f>CurrentMtgRatesDataTable8[[#This Row],[Servicing Spread Non-Zero]]-L1234</f>
        <v>0</v>
      </c>
      <c r="N1235" s="66">
        <f>IF(J1234&lt;&gt;0,CurrentMtgRatesDataTable8[[#This Row],[Rate]]-C1234,N1234)</f>
        <v>0.4449999999999994</v>
      </c>
    </row>
    <row r="1236" spans="1:14">
      <c r="A1236" s="63" t="s">
        <v>2588</v>
      </c>
      <c r="B1236" s="64">
        <v>6.0350000000000001</v>
      </c>
      <c r="C1236" s="65">
        <v>6.3849999999999998</v>
      </c>
      <c r="D1236" s="66">
        <f t="shared" si="133"/>
        <v>7</v>
      </c>
      <c r="E1236" s="66">
        <f t="shared" si="134"/>
        <v>0.2</v>
      </c>
      <c r="F1236" s="66">
        <f t="shared" si="135"/>
        <v>5</v>
      </c>
      <c r="G1236" s="66">
        <f t="shared" si="136"/>
        <v>5.8195999999999994</v>
      </c>
      <c r="H1236" s="66">
        <f t="shared" si="137"/>
        <v>1</v>
      </c>
      <c r="I1236" s="66">
        <f t="shared" si="138"/>
        <v>1</v>
      </c>
      <c r="J1236" s="66">
        <f t="shared" si="139"/>
        <v>5.8195999999999994</v>
      </c>
      <c r="K1236" s="66">
        <f>IF(CurrentMtgRatesDataTable8[[#This Row],[WA CC]]&lt;&gt;0,C1235-CurrentMtgRatesDataTable8[[#This Row],[WA CC]],0)</f>
        <v>0.56540000000000035</v>
      </c>
      <c r="L1236" s="66">
        <f>IF(CurrentMtgRatesDataTable8[[#This Row],[Servicing Spread]]&lt;=0,L1235,CurrentMtgRatesDataTable8[[#This Row],[Servicing Spread]])</f>
        <v>0.56540000000000035</v>
      </c>
      <c r="M1236" s="66">
        <f>CurrentMtgRatesDataTable8[[#This Row],[Servicing Spread Non-Zero]]-L1235</f>
        <v>0.21159999999999979</v>
      </c>
      <c r="N1236" s="66">
        <f>IF(J1235&lt;&gt;0,CurrentMtgRatesDataTable8[[#This Row],[Rate]]-C1235,N1235)</f>
        <v>0.4449999999999994</v>
      </c>
    </row>
    <row r="1237" spans="1:14">
      <c r="A1237" s="63" t="s">
        <v>2589</v>
      </c>
      <c r="B1237" s="64">
        <v>6.0419999999999998</v>
      </c>
      <c r="C1237" s="65">
        <v>6.125</v>
      </c>
      <c r="D1237" s="66">
        <f t="shared" si="133"/>
        <v>1</v>
      </c>
      <c r="E1237" s="66">
        <f t="shared" si="134"/>
        <v>0.2</v>
      </c>
      <c r="F1237" s="66">
        <f t="shared" si="135"/>
        <v>1</v>
      </c>
      <c r="G1237" s="66">
        <f t="shared" si="136"/>
        <v>1.2084000000000001</v>
      </c>
      <c r="H1237" s="66">
        <f t="shared" si="137"/>
        <v>0.2</v>
      </c>
      <c r="I1237" s="66">
        <f t="shared" si="138"/>
        <v>0</v>
      </c>
      <c r="J1237" s="66">
        <f t="shared" si="139"/>
        <v>0</v>
      </c>
      <c r="K1237" s="66">
        <f>IF(CurrentMtgRatesDataTable8[[#This Row],[WA CC]]&lt;&gt;0,C1236-CurrentMtgRatesDataTable8[[#This Row],[WA CC]],0)</f>
        <v>0</v>
      </c>
      <c r="L1237" s="66">
        <f>IF(CurrentMtgRatesDataTable8[[#This Row],[Servicing Spread]]&lt;=0,L1236,CurrentMtgRatesDataTable8[[#This Row],[Servicing Spread]])</f>
        <v>0.56540000000000035</v>
      </c>
      <c r="M1237" s="66">
        <f>CurrentMtgRatesDataTable8[[#This Row],[Servicing Spread Non-Zero]]-L1236</f>
        <v>0</v>
      </c>
      <c r="N1237" s="66">
        <f>IF(J1236&lt;&gt;0,CurrentMtgRatesDataTable8[[#This Row],[Rate]]-C1236,N1236)</f>
        <v>-0.25999999999999979</v>
      </c>
    </row>
    <row r="1238" spans="1:14">
      <c r="A1238" s="63" t="s">
        <v>2590</v>
      </c>
      <c r="B1238" s="64">
        <v>6.0190000000000001</v>
      </c>
      <c r="C1238" s="65">
        <v>6.125</v>
      </c>
      <c r="D1238" s="66">
        <f t="shared" si="133"/>
        <v>2</v>
      </c>
      <c r="E1238" s="66">
        <f t="shared" si="134"/>
        <v>0.2</v>
      </c>
      <c r="F1238" s="66">
        <f t="shared" si="135"/>
        <v>2</v>
      </c>
      <c r="G1238" s="66">
        <f t="shared" si="136"/>
        <v>2.4122000000000003</v>
      </c>
      <c r="H1238" s="66">
        <f t="shared" si="137"/>
        <v>0.4</v>
      </c>
      <c r="I1238" s="66">
        <f t="shared" si="138"/>
        <v>0</v>
      </c>
      <c r="J1238" s="66">
        <f t="shared" si="139"/>
        <v>0</v>
      </c>
      <c r="K1238" s="66">
        <f>IF(CurrentMtgRatesDataTable8[[#This Row],[WA CC]]&lt;&gt;0,C1237-CurrentMtgRatesDataTable8[[#This Row],[WA CC]],0)</f>
        <v>0</v>
      </c>
      <c r="L1238" s="66">
        <f>IF(CurrentMtgRatesDataTable8[[#This Row],[Servicing Spread]]&lt;=0,L1237,CurrentMtgRatesDataTable8[[#This Row],[Servicing Spread]])</f>
        <v>0.56540000000000035</v>
      </c>
      <c r="M1238" s="66">
        <f>CurrentMtgRatesDataTable8[[#This Row],[Servicing Spread Non-Zero]]-L1237</f>
        <v>0</v>
      </c>
      <c r="N1238" s="66">
        <f>IF(J1237&lt;&gt;0,CurrentMtgRatesDataTable8[[#This Row],[Rate]]-C1237,N1237)</f>
        <v>-0.25999999999999979</v>
      </c>
    </row>
    <row r="1239" spans="1:14">
      <c r="A1239" s="63" t="s">
        <v>2591</v>
      </c>
      <c r="B1239" s="64">
        <v>5.9480000000000004</v>
      </c>
      <c r="C1239" s="65">
        <v>6.125</v>
      </c>
      <c r="D1239" s="66">
        <f t="shared" si="133"/>
        <v>5</v>
      </c>
      <c r="E1239" s="66">
        <f t="shared" si="134"/>
        <v>0.2</v>
      </c>
      <c r="F1239" s="66">
        <f t="shared" si="135"/>
        <v>3</v>
      </c>
      <c r="G1239" s="66">
        <f t="shared" si="136"/>
        <v>3.6018000000000008</v>
      </c>
      <c r="H1239" s="66">
        <f t="shared" si="137"/>
        <v>0.60000000000000009</v>
      </c>
      <c r="I1239" s="66">
        <f t="shared" si="138"/>
        <v>0</v>
      </c>
      <c r="J1239" s="66">
        <f t="shared" si="139"/>
        <v>0</v>
      </c>
      <c r="K1239" s="66">
        <f>IF(CurrentMtgRatesDataTable8[[#This Row],[WA CC]]&lt;&gt;0,C1238-CurrentMtgRatesDataTable8[[#This Row],[WA CC]],0)</f>
        <v>0</v>
      </c>
      <c r="L1239" s="66">
        <f>IF(CurrentMtgRatesDataTable8[[#This Row],[Servicing Spread]]&lt;=0,L1238,CurrentMtgRatesDataTable8[[#This Row],[Servicing Spread]])</f>
        <v>0.56540000000000035</v>
      </c>
      <c r="M1239" s="66">
        <f>CurrentMtgRatesDataTable8[[#This Row],[Servicing Spread Non-Zero]]-L1238</f>
        <v>0</v>
      </c>
      <c r="N1239" s="66">
        <f>IF(J1238&lt;&gt;0,CurrentMtgRatesDataTable8[[#This Row],[Rate]]-C1238,N1238)</f>
        <v>-0.25999999999999979</v>
      </c>
    </row>
    <row r="1240" spans="1:14">
      <c r="A1240" s="63" t="s">
        <v>2592</v>
      </c>
      <c r="B1240" s="64">
        <v>5.5960000000000001</v>
      </c>
      <c r="C1240" s="65">
        <v>6.125</v>
      </c>
      <c r="D1240" s="66">
        <f t="shared" si="133"/>
        <v>6</v>
      </c>
      <c r="E1240" s="66">
        <f t="shared" si="134"/>
        <v>0.2</v>
      </c>
      <c r="F1240" s="66">
        <f t="shared" si="135"/>
        <v>4</v>
      </c>
      <c r="G1240" s="66">
        <f t="shared" si="136"/>
        <v>4.721000000000001</v>
      </c>
      <c r="H1240" s="66">
        <f t="shared" si="137"/>
        <v>0.8</v>
      </c>
      <c r="I1240" s="66">
        <f t="shared" si="138"/>
        <v>0</v>
      </c>
      <c r="J1240" s="66">
        <f t="shared" si="139"/>
        <v>0</v>
      </c>
      <c r="K1240" s="66">
        <f>IF(CurrentMtgRatesDataTable8[[#This Row],[WA CC]]&lt;&gt;0,C1239-CurrentMtgRatesDataTable8[[#This Row],[WA CC]],0)</f>
        <v>0</v>
      </c>
      <c r="L1240" s="66">
        <f>IF(CurrentMtgRatesDataTable8[[#This Row],[Servicing Spread]]&lt;=0,L1239,CurrentMtgRatesDataTable8[[#This Row],[Servicing Spread]])</f>
        <v>0.56540000000000035</v>
      </c>
      <c r="M1240" s="66">
        <f>CurrentMtgRatesDataTable8[[#This Row],[Servicing Spread Non-Zero]]-L1239</f>
        <v>0</v>
      </c>
      <c r="N1240" s="66">
        <f>IF(J1239&lt;&gt;0,CurrentMtgRatesDataTable8[[#This Row],[Rate]]-C1239,N1239)</f>
        <v>-0.25999999999999979</v>
      </c>
    </row>
    <row r="1241" spans="1:14">
      <c r="A1241" s="63" t="s">
        <v>2593</v>
      </c>
      <c r="B1241" s="64">
        <v>5.4489999999999998</v>
      </c>
      <c r="C1241" s="65">
        <v>6.125</v>
      </c>
      <c r="D1241" s="66">
        <f t="shared" si="133"/>
        <v>7</v>
      </c>
      <c r="E1241" s="66">
        <f t="shared" si="134"/>
        <v>0.2</v>
      </c>
      <c r="F1241" s="66">
        <f t="shared" si="135"/>
        <v>5</v>
      </c>
      <c r="G1241" s="66">
        <f t="shared" si="136"/>
        <v>5.8108000000000013</v>
      </c>
      <c r="H1241" s="66">
        <f t="shared" si="137"/>
        <v>1</v>
      </c>
      <c r="I1241" s="66">
        <f t="shared" si="138"/>
        <v>1</v>
      </c>
      <c r="J1241" s="66">
        <f t="shared" si="139"/>
        <v>5.8108000000000013</v>
      </c>
      <c r="K1241" s="66">
        <f>IF(CurrentMtgRatesDataTable8[[#This Row],[WA CC]]&lt;&gt;0,C1240-CurrentMtgRatesDataTable8[[#This Row],[WA CC]],0)</f>
        <v>0.3141999999999987</v>
      </c>
      <c r="L1241" s="66">
        <f>IF(CurrentMtgRatesDataTable8[[#This Row],[Servicing Spread]]&lt;=0,L1240,CurrentMtgRatesDataTable8[[#This Row],[Servicing Spread]])</f>
        <v>0.3141999999999987</v>
      </c>
      <c r="M1241" s="66">
        <f>CurrentMtgRatesDataTable8[[#This Row],[Servicing Spread Non-Zero]]-L1240</f>
        <v>-0.25120000000000164</v>
      </c>
      <c r="N1241" s="66">
        <f>IF(J1240&lt;&gt;0,CurrentMtgRatesDataTable8[[#This Row],[Rate]]-C1240,N1240)</f>
        <v>-0.25999999999999979</v>
      </c>
    </row>
    <row r="1242" spans="1:14">
      <c r="A1242" s="63" t="s">
        <v>2594</v>
      </c>
      <c r="B1242" s="64">
        <v>5.484</v>
      </c>
      <c r="C1242" s="65">
        <v>6.0649999999999995</v>
      </c>
      <c r="D1242" s="66">
        <f t="shared" si="133"/>
        <v>1</v>
      </c>
      <c r="E1242" s="66">
        <f t="shared" si="134"/>
        <v>0.2</v>
      </c>
      <c r="F1242" s="66">
        <f t="shared" si="135"/>
        <v>1</v>
      </c>
      <c r="G1242" s="66">
        <f t="shared" si="136"/>
        <v>1.0968</v>
      </c>
      <c r="H1242" s="66">
        <f t="shared" si="137"/>
        <v>0.2</v>
      </c>
      <c r="I1242" s="66">
        <f t="shared" si="138"/>
        <v>0</v>
      </c>
      <c r="J1242" s="66">
        <f t="shared" si="139"/>
        <v>0</v>
      </c>
      <c r="K1242" s="66">
        <f>IF(CurrentMtgRatesDataTable8[[#This Row],[WA CC]]&lt;&gt;0,C1241-CurrentMtgRatesDataTable8[[#This Row],[WA CC]],0)</f>
        <v>0</v>
      </c>
      <c r="L1242" s="66">
        <f>IF(CurrentMtgRatesDataTable8[[#This Row],[Servicing Spread]]&lt;=0,L1241,CurrentMtgRatesDataTable8[[#This Row],[Servicing Spread]])</f>
        <v>0.3141999999999987</v>
      </c>
      <c r="M1242" s="66">
        <f>CurrentMtgRatesDataTable8[[#This Row],[Servicing Spread Non-Zero]]-L1241</f>
        <v>0</v>
      </c>
      <c r="N1242" s="66">
        <f>IF(J1241&lt;&gt;0,CurrentMtgRatesDataTable8[[#This Row],[Rate]]-C1241,N1241)</f>
        <v>-6.0000000000000497E-2</v>
      </c>
    </row>
    <row r="1243" spans="1:14">
      <c r="A1243" s="63" t="s">
        <v>2595</v>
      </c>
      <c r="B1243" s="64">
        <v>5.5359999999999996</v>
      </c>
      <c r="C1243" s="65">
        <v>6.0649999999999995</v>
      </c>
      <c r="D1243" s="66">
        <f t="shared" si="133"/>
        <v>2</v>
      </c>
      <c r="E1243" s="66">
        <f t="shared" si="134"/>
        <v>0.2</v>
      </c>
      <c r="F1243" s="66">
        <f t="shared" si="135"/>
        <v>2</v>
      </c>
      <c r="G1243" s="66">
        <f t="shared" si="136"/>
        <v>2.2039999999999997</v>
      </c>
      <c r="H1243" s="66">
        <f t="shared" si="137"/>
        <v>0.4</v>
      </c>
      <c r="I1243" s="66">
        <f t="shared" si="138"/>
        <v>0</v>
      </c>
      <c r="J1243" s="66">
        <f t="shared" si="139"/>
        <v>0</v>
      </c>
      <c r="K1243" s="66">
        <f>IF(CurrentMtgRatesDataTable8[[#This Row],[WA CC]]&lt;&gt;0,C1242-CurrentMtgRatesDataTable8[[#This Row],[WA CC]],0)</f>
        <v>0</v>
      </c>
      <c r="L1243" s="66">
        <f>IF(CurrentMtgRatesDataTable8[[#This Row],[Servicing Spread]]&lt;=0,L1242,CurrentMtgRatesDataTable8[[#This Row],[Servicing Spread]])</f>
        <v>0.3141999999999987</v>
      </c>
      <c r="M1243" s="66">
        <f>CurrentMtgRatesDataTable8[[#This Row],[Servicing Spread Non-Zero]]-L1242</f>
        <v>0</v>
      </c>
      <c r="N1243" s="66">
        <f>IF(J1242&lt;&gt;0,CurrentMtgRatesDataTable8[[#This Row],[Rate]]-C1242,N1242)</f>
        <v>-6.0000000000000497E-2</v>
      </c>
    </row>
    <row r="1244" spans="1:14">
      <c r="A1244" s="63" t="s">
        <v>2596</v>
      </c>
      <c r="B1244" s="64">
        <v>5.5330000000000004</v>
      </c>
      <c r="C1244" s="65">
        <v>6.0649999999999995</v>
      </c>
      <c r="D1244" s="66">
        <f t="shared" si="133"/>
        <v>5</v>
      </c>
      <c r="E1244" s="66">
        <f t="shared" si="134"/>
        <v>0.2</v>
      </c>
      <c r="F1244" s="66">
        <f t="shared" si="135"/>
        <v>3</v>
      </c>
      <c r="G1244" s="66">
        <f t="shared" si="136"/>
        <v>3.3106</v>
      </c>
      <c r="H1244" s="66">
        <f t="shared" si="137"/>
        <v>0.60000000000000009</v>
      </c>
      <c r="I1244" s="66">
        <f t="shared" si="138"/>
        <v>0</v>
      </c>
      <c r="J1244" s="66">
        <f t="shared" si="139"/>
        <v>0</v>
      </c>
      <c r="K1244" s="66">
        <f>IF(CurrentMtgRatesDataTable8[[#This Row],[WA CC]]&lt;&gt;0,C1243-CurrentMtgRatesDataTable8[[#This Row],[WA CC]],0)</f>
        <v>0</v>
      </c>
      <c r="L1244" s="66">
        <f>IF(CurrentMtgRatesDataTable8[[#This Row],[Servicing Spread]]&lt;=0,L1243,CurrentMtgRatesDataTable8[[#This Row],[Servicing Spread]])</f>
        <v>0.3141999999999987</v>
      </c>
      <c r="M1244" s="66">
        <f>CurrentMtgRatesDataTable8[[#This Row],[Servicing Spread Non-Zero]]-L1243</f>
        <v>0</v>
      </c>
      <c r="N1244" s="66">
        <f>IF(J1243&lt;&gt;0,CurrentMtgRatesDataTable8[[#This Row],[Rate]]-C1243,N1243)</f>
        <v>-6.0000000000000497E-2</v>
      </c>
    </row>
    <row r="1245" spans="1:14">
      <c r="A1245" s="63" t="s">
        <v>2597</v>
      </c>
      <c r="B1245" s="64">
        <v>5.3920000000000003</v>
      </c>
      <c r="C1245" s="65">
        <v>6.0649999999999995</v>
      </c>
      <c r="D1245" s="66">
        <f t="shared" si="133"/>
        <v>7</v>
      </c>
      <c r="E1245" s="66">
        <f t="shared" si="134"/>
        <v>0.2</v>
      </c>
      <c r="F1245" s="66">
        <f t="shared" si="135"/>
        <v>4</v>
      </c>
      <c r="G1245" s="66">
        <f t="shared" si="136"/>
        <v>4.3890000000000002</v>
      </c>
      <c r="H1245" s="66">
        <f t="shared" si="137"/>
        <v>0.8</v>
      </c>
      <c r="I1245" s="66">
        <f t="shared" si="138"/>
        <v>1</v>
      </c>
      <c r="J1245" s="66">
        <f t="shared" si="139"/>
        <v>5.4862500000000001</v>
      </c>
      <c r="K1245" s="66">
        <f>IF(CurrentMtgRatesDataTable8[[#This Row],[WA CC]]&lt;&gt;0,C1244-CurrentMtgRatesDataTable8[[#This Row],[WA CC]],0)</f>
        <v>0.57874999999999943</v>
      </c>
      <c r="L1245" s="66">
        <f>IF(CurrentMtgRatesDataTable8[[#This Row],[Servicing Spread]]&lt;=0,L1244,CurrentMtgRatesDataTable8[[#This Row],[Servicing Spread]])</f>
        <v>0.57874999999999943</v>
      </c>
      <c r="M1245" s="66">
        <f>CurrentMtgRatesDataTable8[[#This Row],[Servicing Spread Non-Zero]]-L1244</f>
        <v>0.26455000000000073</v>
      </c>
      <c r="N1245" s="66">
        <f>IF(J1244&lt;&gt;0,CurrentMtgRatesDataTable8[[#This Row],[Rate]]-C1244,N1244)</f>
        <v>-6.0000000000000497E-2</v>
      </c>
    </row>
    <row r="1246" spans="1:14">
      <c r="A1246" s="63" t="s">
        <v>2598</v>
      </c>
      <c r="B1246" s="64">
        <v>5.5209999999999999</v>
      </c>
      <c r="C1246" s="65">
        <v>5.9649999999999999</v>
      </c>
      <c r="D1246" s="66">
        <f t="shared" si="133"/>
        <v>1</v>
      </c>
      <c r="E1246" s="66">
        <f t="shared" si="134"/>
        <v>0.2</v>
      </c>
      <c r="F1246" s="66">
        <f t="shared" si="135"/>
        <v>1</v>
      </c>
      <c r="G1246" s="66">
        <f t="shared" si="136"/>
        <v>1.1042000000000001</v>
      </c>
      <c r="H1246" s="66">
        <f t="shared" si="137"/>
        <v>0.2</v>
      </c>
      <c r="I1246" s="66">
        <f t="shared" si="138"/>
        <v>0</v>
      </c>
      <c r="J1246" s="66">
        <f t="shared" si="139"/>
        <v>0</v>
      </c>
      <c r="K1246" s="66">
        <f>IF(CurrentMtgRatesDataTable8[[#This Row],[WA CC]]&lt;&gt;0,C1245-CurrentMtgRatesDataTable8[[#This Row],[WA CC]],0)</f>
        <v>0</v>
      </c>
      <c r="L1246" s="66">
        <f>IF(CurrentMtgRatesDataTable8[[#This Row],[Servicing Spread]]&lt;=0,L1245,CurrentMtgRatesDataTable8[[#This Row],[Servicing Spread]])</f>
        <v>0.57874999999999943</v>
      </c>
      <c r="M1246" s="66">
        <f>CurrentMtgRatesDataTable8[[#This Row],[Servicing Spread Non-Zero]]-L1245</f>
        <v>0</v>
      </c>
      <c r="N1246" s="66">
        <f>IF(J1245&lt;&gt;0,CurrentMtgRatesDataTable8[[#This Row],[Rate]]-C1245,N1245)</f>
        <v>-9.9999999999999645E-2</v>
      </c>
    </row>
    <row r="1247" spans="1:14">
      <c r="A1247" s="63" t="s">
        <v>2599</v>
      </c>
      <c r="B1247" s="64">
        <v>5.5179999999999998</v>
      </c>
      <c r="C1247" s="65">
        <v>5.9649999999999999</v>
      </c>
      <c r="D1247" s="66">
        <f t="shared" si="133"/>
        <v>2</v>
      </c>
      <c r="E1247" s="66">
        <f t="shared" si="134"/>
        <v>0.2</v>
      </c>
      <c r="F1247" s="66">
        <f t="shared" si="135"/>
        <v>2</v>
      </c>
      <c r="G1247" s="66">
        <f t="shared" si="136"/>
        <v>2.2077999999999998</v>
      </c>
      <c r="H1247" s="66">
        <f t="shared" si="137"/>
        <v>0.4</v>
      </c>
      <c r="I1247" s="66">
        <f t="shared" si="138"/>
        <v>0</v>
      </c>
      <c r="J1247" s="66">
        <f t="shared" si="139"/>
        <v>0</v>
      </c>
      <c r="K1247" s="66">
        <f>IF(CurrentMtgRatesDataTable8[[#This Row],[WA CC]]&lt;&gt;0,C1246-CurrentMtgRatesDataTable8[[#This Row],[WA CC]],0)</f>
        <v>0</v>
      </c>
      <c r="L1247" s="66">
        <f>IF(CurrentMtgRatesDataTable8[[#This Row],[Servicing Spread]]&lt;=0,L1246,CurrentMtgRatesDataTable8[[#This Row],[Servicing Spread]])</f>
        <v>0.57874999999999943</v>
      </c>
      <c r="M1247" s="66">
        <f>CurrentMtgRatesDataTable8[[#This Row],[Servicing Spread Non-Zero]]-L1246</f>
        <v>0</v>
      </c>
      <c r="N1247" s="66">
        <f>IF(J1246&lt;&gt;0,CurrentMtgRatesDataTable8[[#This Row],[Rate]]-C1246,N1246)</f>
        <v>-9.9999999999999645E-2</v>
      </c>
    </row>
    <row r="1248" spans="1:14">
      <c r="A1248" s="63" t="s">
        <v>2600</v>
      </c>
      <c r="B1248" s="64">
        <v>5.5519999999999996</v>
      </c>
      <c r="C1248" s="65">
        <v>5.9649999999999999</v>
      </c>
      <c r="D1248" s="66">
        <f t="shared" si="133"/>
        <v>5</v>
      </c>
      <c r="E1248" s="66">
        <f t="shared" si="134"/>
        <v>0.2</v>
      </c>
      <c r="F1248" s="66">
        <f t="shared" si="135"/>
        <v>3</v>
      </c>
      <c r="G1248" s="66">
        <f t="shared" si="136"/>
        <v>3.3182</v>
      </c>
      <c r="H1248" s="66">
        <f t="shared" si="137"/>
        <v>0.60000000000000009</v>
      </c>
      <c r="I1248" s="66">
        <f t="shared" si="138"/>
        <v>0</v>
      </c>
      <c r="J1248" s="66">
        <f t="shared" si="139"/>
        <v>0</v>
      </c>
      <c r="K1248" s="66">
        <f>IF(CurrentMtgRatesDataTable8[[#This Row],[WA CC]]&lt;&gt;0,C1247-CurrentMtgRatesDataTable8[[#This Row],[WA CC]],0)</f>
        <v>0</v>
      </c>
      <c r="L1248" s="66">
        <f>IF(CurrentMtgRatesDataTable8[[#This Row],[Servicing Spread]]&lt;=0,L1247,CurrentMtgRatesDataTable8[[#This Row],[Servicing Spread]])</f>
        <v>0.57874999999999943</v>
      </c>
      <c r="M1248" s="66">
        <f>CurrentMtgRatesDataTable8[[#This Row],[Servicing Spread Non-Zero]]-L1247</f>
        <v>0</v>
      </c>
      <c r="N1248" s="66">
        <f>IF(J1247&lt;&gt;0,CurrentMtgRatesDataTable8[[#This Row],[Rate]]-C1247,N1247)</f>
        <v>-9.9999999999999645E-2</v>
      </c>
    </row>
    <row r="1249" spans="1:14">
      <c r="A1249" s="63" t="s">
        <v>2601</v>
      </c>
      <c r="B1249" s="64">
        <v>5.4710000000000001</v>
      </c>
      <c r="C1249" s="65">
        <v>5.9649999999999999</v>
      </c>
      <c r="D1249" s="66">
        <f t="shared" si="133"/>
        <v>6</v>
      </c>
      <c r="E1249" s="66">
        <f t="shared" si="134"/>
        <v>0.2</v>
      </c>
      <c r="F1249" s="66">
        <f t="shared" si="135"/>
        <v>4</v>
      </c>
      <c r="G1249" s="66">
        <f t="shared" si="136"/>
        <v>4.4123999999999999</v>
      </c>
      <c r="H1249" s="66">
        <f t="shared" si="137"/>
        <v>0.8</v>
      </c>
      <c r="I1249" s="66">
        <f t="shared" si="138"/>
        <v>0</v>
      </c>
      <c r="J1249" s="66">
        <f t="shared" si="139"/>
        <v>0</v>
      </c>
      <c r="K1249" s="66">
        <f>IF(CurrentMtgRatesDataTable8[[#This Row],[WA CC]]&lt;&gt;0,C1248-CurrentMtgRatesDataTable8[[#This Row],[WA CC]],0)</f>
        <v>0</v>
      </c>
      <c r="L1249" s="66">
        <f>IF(CurrentMtgRatesDataTable8[[#This Row],[Servicing Spread]]&lt;=0,L1248,CurrentMtgRatesDataTable8[[#This Row],[Servicing Spread]])</f>
        <v>0.57874999999999943</v>
      </c>
      <c r="M1249" s="66">
        <f>CurrentMtgRatesDataTable8[[#This Row],[Servicing Spread Non-Zero]]-L1248</f>
        <v>0</v>
      </c>
      <c r="N1249" s="66">
        <f>IF(J1248&lt;&gt;0,CurrentMtgRatesDataTable8[[#This Row],[Rate]]-C1248,N1248)</f>
        <v>-9.9999999999999645E-2</v>
      </c>
    </row>
    <row r="1250" spans="1:14">
      <c r="A1250" s="63" t="s">
        <v>2602</v>
      </c>
      <c r="B1250" s="64">
        <v>5.4610000000000003</v>
      </c>
      <c r="C1250" s="65">
        <v>5.9649999999999999</v>
      </c>
      <c r="D1250" s="66">
        <f t="shared" si="133"/>
        <v>7</v>
      </c>
      <c r="E1250" s="66">
        <f t="shared" si="134"/>
        <v>0.2</v>
      </c>
      <c r="F1250" s="66">
        <f t="shared" si="135"/>
        <v>5</v>
      </c>
      <c r="G1250" s="66">
        <f t="shared" si="136"/>
        <v>5.5045999999999999</v>
      </c>
      <c r="H1250" s="66">
        <f t="shared" si="137"/>
        <v>1</v>
      </c>
      <c r="I1250" s="66">
        <f t="shared" si="138"/>
        <v>1</v>
      </c>
      <c r="J1250" s="66">
        <f t="shared" si="139"/>
        <v>5.5045999999999999</v>
      </c>
      <c r="K1250" s="66">
        <f>IF(CurrentMtgRatesDataTable8[[#This Row],[WA CC]]&lt;&gt;0,C1249-CurrentMtgRatesDataTable8[[#This Row],[WA CC]],0)</f>
        <v>0.46039999999999992</v>
      </c>
      <c r="L1250" s="66">
        <f>IF(CurrentMtgRatesDataTable8[[#This Row],[Servicing Spread]]&lt;=0,L1249,CurrentMtgRatesDataTable8[[#This Row],[Servicing Spread]])</f>
        <v>0.46039999999999992</v>
      </c>
      <c r="M1250" s="66">
        <f>CurrentMtgRatesDataTable8[[#This Row],[Servicing Spread Non-Zero]]-L1249</f>
        <v>-0.11834999999999951</v>
      </c>
      <c r="N1250" s="66">
        <f>IF(J1249&lt;&gt;0,CurrentMtgRatesDataTable8[[#This Row],[Rate]]-C1249,N1249)</f>
        <v>-9.9999999999999645E-2</v>
      </c>
    </row>
    <row r="1251" spans="1:14">
      <c r="A1251" s="63" t="s">
        <v>2603</v>
      </c>
      <c r="B1251" s="64">
        <v>5.4089999999999998</v>
      </c>
      <c r="C1251" s="65">
        <v>5.8949999999999996</v>
      </c>
      <c r="D1251" s="66">
        <f t="shared" si="133"/>
        <v>1</v>
      </c>
      <c r="E1251" s="66">
        <f t="shared" si="134"/>
        <v>0.2</v>
      </c>
      <c r="F1251" s="66">
        <f t="shared" si="135"/>
        <v>1</v>
      </c>
      <c r="G1251" s="66">
        <f t="shared" si="136"/>
        <v>1.0818000000000001</v>
      </c>
      <c r="H1251" s="66">
        <f t="shared" si="137"/>
        <v>0.2</v>
      </c>
      <c r="I1251" s="66">
        <f t="shared" si="138"/>
        <v>0</v>
      </c>
      <c r="J1251" s="66">
        <f t="shared" si="139"/>
        <v>0</v>
      </c>
      <c r="K1251" s="66">
        <f>IF(CurrentMtgRatesDataTable8[[#This Row],[WA CC]]&lt;&gt;0,C1250-CurrentMtgRatesDataTable8[[#This Row],[WA CC]],0)</f>
        <v>0</v>
      </c>
      <c r="L1251" s="66">
        <f>IF(CurrentMtgRatesDataTable8[[#This Row],[Servicing Spread]]&lt;=0,L1250,CurrentMtgRatesDataTable8[[#This Row],[Servicing Spread]])</f>
        <v>0.46039999999999992</v>
      </c>
      <c r="M1251" s="66">
        <f>CurrentMtgRatesDataTable8[[#This Row],[Servicing Spread Non-Zero]]-L1250</f>
        <v>0</v>
      </c>
      <c r="N1251" s="66">
        <f>IF(J1250&lt;&gt;0,CurrentMtgRatesDataTable8[[#This Row],[Rate]]-C1250,N1250)</f>
        <v>-7.0000000000000284E-2</v>
      </c>
    </row>
    <row r="1252" spans="1:14">
      <c r="A1252" s="63" t="s">
        <v>2604</v>
      </c>
      <c r="B1252" s="64">
        <v>5.3520000000000003</v>
      </c>
      <c r="C1252" s="65">
        <v>5.8949999999999996</v>
      </c>
      <c r="D1252" s="66">
        <f t="shared" si="133"/>
        <v>2</v>
      </c>
      <c r="E1252" s="66">
        <f t="shared" si="134"/>
        <v>0.2</v>
      </c>
      <c r="F1252" s="66">
        <f t="shared" si="135"/>
        <v>2</v>
      </c>
      <c r="G1252" s="66">
        <f t="shared" si="136"/>
        <v>2.1522000000000001</v>
      </c>
      <c r="H1252" s="66">
        <f t="shared" si="137"/>
        <v>0.4</v>
      </c>
      <c r="I1252" s="66">
        <f t="shared" si="138"/>
        <v>0</v>
      </c>
      <c r="J1252" s="66">
        <f t="shared" si="139"/>
        <v>0</v>
      </c>
      <c r="K1252" s="66">
        <f>IF(CurrentMtgRatesDataTable8[[#This Row],[WA CC]]&lt;&gt;0,C1251-CurrentMtgRatesDataTable8[[#This Row],[WA CC]],0)</f>
        <v>0</v>
      </c>
      <c r="L1252" s="66">
        <f>IF(CurrentMtgRatesDataTable8[[#This Row],[Servicing Spread]]&lt;=0,L1251,CurrentMtgRatesDataTable8[[#This Row],[Servicing Spread]])</f>
        <v>0.46039999999999992</v>
      </c>
      <c r="M1252" s="66">
        <f>CurrentMtgRatesDataTable8[[#This Row],[Servicing Spread Non-Zero]]-L1251</f>
        <v>0</v>
      </c>
      <c r="N1252" s="66">
        <f>IF(J1251&lt;&gt;0,CurrentMtgRatesDataTable8[[#This Row],[Rate]]-C1251,N1251)</f>
        <v>-7.0000000000000284E-2</v>
      </c>
    </row>
    <row r="1253" spans="1:14">
      <c r="A1253" s="63" t="s">
        <v>2605</v>
      </c>
      <c r="B1253" s="64">
        <v>5.3419999999999996</v>
      </c>
      <c r="C1253" s="65">
        <v>5.8949999999999996</v>
      </c>
      <c r="D1253" s="66">
        <f t="shared" si="133"/>
        <v>5</v>
      </c>
      <c r="E1253" s="66">
        <f t="shared" si="134"/>
        <v>0.2</v>
      </c>
      <c r="F1253" s="66">
        <f t="shared" si="135"/>
        <v>3</v>
      </c>
      <c r="G1253" s="66">
        <f t="shared" si="136"/>
        <v>3.2206000000000001</v>
      </c>
      <c r="H1253" s="66">
        <f t="shared" si="137"/>
        <v>0.60000000000000009</v>
      </c>
      <c r="I1253" s="66">
        <f t="shared" si="138"/>
        <v>0</v>
      </c>
      <c r="J1253" s="66">
        <f t="shared" si="139"/>
        <v>0</v>
      </c>
      <c r="K1253" s="66">
        <f>IF(CurrentMtgRatesDataTable8[[#This Row],[WA CC]]&lt;&gt;0,C1252-CurrentMtgRatesDataTable8[[#This Row],[WA CC]],0)</f>
        <v>0</v>
      </c>
      <c r="L1253" s="66">
        <f>IF(CurrentMtgRatesDataTable8[[#This Row],[Servicing Spread]]&lt;=0,L1252,CurrentMtgRatesDataTable8[[#This Row],[Servicing Spread]])</f>
        <v>0.46039999999999992</v>
      </c>
      <c r="M1253" s="66">
        <f>CurrentMtgRatesDataTable8[[#This Row],[Servicing Spread Non-Zero]]-L1252</f>
        <v>0</v>
      </c>
      <c r="N1253" s="66">
        <f>IF(J1252&lt;&gt;0,CurrentMtgRatesDataTable8[[#This Row],[Rate]]-C1252,N1252)</f>
        <v>-7.0000000000000284E-2</v>
      </c>
    </row>
    <row r="1254" spans="1:14">
      <c r="A1254" s="63" t="s">
        <v>2606</v>
      </c>
      <c r="B1254" s="64">
        <v>4.7510000000000003</v>
      </c>
      <c r="C1254" s="65">
        <v>5.8949999999999996</v>
      </c>
      <c r="D1254" s="66">
        <f t="shared" si="133"/>
        <v>6</v>
      </c>
      <c r="E1254" s="66">
        <f t="shared" si="134"/>
        <v>0.2</v>
      </c>
      <c r="F1254" s="66">
        <f t="shared" si="135"/>
        <v>4</v>
      </c>
      <c r="G1254" s="66">
        <f t="shared" si="136"/>
        <v>4.1707999999999998</v>
      </c>
      <c r="H1254" s="66">
        <f t="shared" si="137"/>
        <v>0.8</v>
      </c>
      <c r="I1254" s="66">
        <f t="shared" si="138"/>
        <v>0</v>
      </c>
      <c r="J1254" s="66">
        <f t="shared" si="139"/>
        <v>0</v>
      </c>
      <c r="K1254" s="66">
        <f>IF(CurrentMtgRatesDataTable8[[#This Row],[WA CC]]&lt;&gt;0,C1253-CurrentMtgRatesDataTable8[[#This Row],[WA CC]],0)</f>
        <v>0</v>
      </c>
      <c r="L1254" s="66">
        <f>IF(CurrentMtgRatesDataTable8[[#This Row],[Servicing Spread]]&lt;=0,L1253,CurrentMtgRatesDataTable8[[#This Row],[Servicing Spread]])</f>
        <v>0.46039999999999992</v>
      </c>
      <c r="M1254" s="66">
        <f>CurrentMtgRatesDataTable8[[#This Row],[Servicing Spread Non-Zero]]-L1253</f>
        <v>0</v>
      </c>
      <c r="N1254" s="66">
        <f>IF(J1253&lt;&gt;0,CurrentMtgRatesDataTable8[[#This Row],[Rate]]-C1253,N1253)</f>
        <v>-7.0000000000000284E-2</v>
      </c>
    </row>
    <row r="1255" spans="1:14">
      <c r="A1255" s="63" t="s">
        <v>2607</v>
      </c>
      <c r="B1255" s="64">
        <v>4.7670000000000003</v>
      </c>
      <c r="C1255" s="65">
        <v>5.8949999999999996</v>
      </c>
      <c r="D1255" s="66">
        <f t="shared" si="133"/>
        <v>7</v>
      </c>
      <c r="E1255" s="66">
        <f t="shared" si="134"/>
        <v>0.2</v>
      </c>
      <c r="F1255" s="66">
        <f t="shared" si="135"/>
        <v>5</v>
      </c>
      <c r="G1255" s="66">
        <f t="shared" si="136"/>
        <v>5.1242000000000001</v>
      </c>
      <c r="H1255" s="66">
        <f t="shared" si="137"/>
        <v>1</v>
      </c>
      <c r="I1255" s="66">
        <f t="shared" si="138"/>
        <v>1</v>
      </c>
      <c r="J1255" s="66">
        <f t="shared" si="139"/>
        <v>5.1242000000000001</v>
      </c>
      <c r="K1255" s="66">
        <f>IF(CurrentMtgRatesDataTable8[[#This Row],[WA CC]]&lt;&gt;0,C1254-CurrentMtgRatesDataTable8[[#This Row],[WA CC]],0)</f>
        <v>0.77079999999999949</v>
      </c>
      <c r="L1255" s="66">
        <f>IF(CurrentMtgRatesDataTable8[[#This Row],[Servicing Spread]]&lt;=0,L1254,CurrentMtgRatesDataTable8[[#This Row],[Servicing Spread]])</f>
        <v>0.77079999999999949</v>
      </c>
      <c r="M1255" s="66">
        <f>CurrentMtgRatesDataTable8[[#This Row],[Servicing Spread Non-Zero]]-L1254</f>
        <v>0.31039999999999957</v>
      </c>
      <c r="N1255" s="66">
        <f>IF(J1254&lt;&gt;0,CurrentMtgRatesDataTable8[[#This Row],[Rate]]-C1254,N1254)</f>
        <v>-7.0000000000000284E-2</v>
      </c>
    </row>
    <row r="1256" spans="1:14">
      <c r="A1256" s="63" t="s">
        <v>2608</v>
      </c>
      <c r="B1256" s="64">
        <v>4.8289999999999997</v>
      </c>
      <c r="C1256" s="65">
        <v>5.4550000000000001</v>
      </c>
      <c r="D1256" s="66">
        <f t="shared" si="133"/>
        <v>2</v>
      </c>
      <c r="E1256" s="66">
        <f t="shared" si="134"/>
        <v>0.2</v>
      </c>
      <c r="F1256" s="66">
        <f t="shared" si="135"/>
        <v>1</v>
      </c>
      <c r="G1256" s="66">
        <f t="shared" si="136"/>
        <v>0.96579999999999999</v>
      </c>
      <c r="H1256" s="66">
        <f t="shared" si="137"/>
        <v>0.2</v>
      </c>
      <c r="I1256" s="66">
        <f t="shared" si="138"/>
        <v>0</v>
      </c>
      <c r="J1256" s="66">
        <f t="shared" si="139"/>
        <v>0</v>
      </c>
      <c r="K1256" s="66">
        <f>IF(CurrentMtgRatesDataTable8[[#This Row],[WA CC]]&lt;&gt;0,C1255-CurrentMtgRatesDataTable8[[#This Row],[WA CC]],0)</f>
        <v>0</v>
      </c>
      <c r="L1256" s="66">
        <f>IF(CurrentMtgRatesDataTable8[[#This Row],[Servicing Spread]]&lt;=0,L1255,CurrentMtgRatesDataTable8[[#This Row],[Servicing Spread]])</f>
        <v>0.77079999999999949</v>
      </c>
      <c r="M1256" s="66">
        <f>CurrentMtgRatesDataTable8[[#This Row],[Servicing Spread Non-Zero]]-L1255</f>
        <v>0</v>
      </c>
      <c r="N1256" s="66">
        <f>IF(J1255&lt;&gt;0,CurrentMtgRatesDataTable8[[#This Row],[Rate]]-C1255,N1255)</f>
        <v>-0.4399999999999995</v>
      </c>
    </row>
    <row r="1257" spans="1:14">
      <c r="A1257" s="63" t="s">
        <v>2609</v>
      </c>
      <c r="B1257" s="64">
        <v>4.6020000000000003</v>
      </c>
      <c r="C1257" s="65">
        <v>5.4550000000000001</v>
      </c>
      <c r="D1257" s="66">
        <f t="shared" si="133"/>
        <v>5</v>
      </c>
      <c r="E1257" s="66">
        <f t="shared" si="134"/>
        <v>0.2</v>
      </c>
      <c r="F1257" s="66">
        <f t="shared" si="135"/>
        <v>2</v>
      </c>
      <c r="G1257" s="66">
        <f t="shared" si="136"/>
        <v>1.8862000000000001</v>
      </c>
      <c r="H1257" s="66">
        <f t="shared" si="137"/>
        <v>0.4</v>
      </c>
      <c r="I1257" s="66">
        <f t="shared" si="138"/>
        <v>0</v>
      </c>
      <c r="J1257" s="66">
        <f t="shared" si="139"/>
        <v>0</v>
      </c>
      <c r="K1257" s="66">
        <f>IF(CurrentMtgRatesDataTable8[[#This Row],[WA CC]]&lt;&gt;0,C1256-CurrentMtgRatesDataTable8[[#This Row],[WA CC]],0)</f>
        <v>0</v>
      </c>
      <c r="L1257" s="66">
        <f>IF(CurrentMtgRatesDataTable8[[#This Row],[Servicing Spread]]&lt;=0,L1256,CurrentMtgRatesDataTable8[[#This Row],[Servicing Spread]])</f>
        <v>0.77079999999999949</v>
      </c>
      <c r="M1257" s="66">
        <f>CurrentMtgRatesDataTable8[[#This Row],[Servicing Spread Non-Zero]]-L1256</f>
        <v>0</v>
      </c>
      <c r="N1257" s="66">
        <f>IF(J1256&lt;&gt;0,CurrentMtgRatesDataTable8[[#This Row],[Rate]]-C1256,N1256)</f>
        <v>-0.4399999999999995</v>
      </c>
    </row>
    <row r="1258" spans="1:14">
      <c r="A1258" s="63" t="s">
        <v>2610</v>
      </c>
      <c r="B1258" s="64">
        <v>4.6509999999999998</v>
      </c>
      <c r="C1258" s="65">
        <v>5.4550000000000001</v>
      </c>
      <c r="D1258" s="66">
        <f t="shared" si="133"/>
        <v>6</v>
      </c>
      <c r="E1258" s="66">
        <f t="shared" si="134"/>
        <v>0.2</v>
      </c>
      <c r="F1258" s="66">
        <f t="shared" si="135"/>
        <v>3</v>
      </c>
      <c r="G1258" s="66">
        <f t="shared" si="136"/>
        <v>2.8164000000000002</v>
      </c>
      <c r="H1258" s="66">
        <f t="shared" si="137"/>
        <v>0.60000000000000009</v>
      </c>
      <c r="I1258" s="66">
        <f t="shared" si="138"/>
        <v>0</v>
      </c>
      <c r="J1258" s="66">
        <f t="shared" si="139"/>
        <v>0</v>
      </c>
      <c r="K1258" s="66">
        <f>IF(CurrentMtgRatesDataTable8[[#This Row],[WA CC]]&lt;&gt;0,C1257-CurrentMtgRatesDataTable8[[#This Row],[WA CC]],0)</f>
        <v>0</v>
      </c>
      <c r="L1258" s="66">
        <f>IF(CurrentMtgRatesDataTable8[[#This Row],[Servicing Spread]]&lt;=0,L1257,CurrentMtgRatesDataTable8[[#This Row],[Servicing Spread]])</f>
        <v>0.77079999999999949</v>
      </c>
      <c r="M1258" s="66">
        <f>CurrentMtgRatesDataTable8[[#This Row],[Servicing Spread Non-Zero]]-L1257</f>
        <v>0</v>
      </c>
      <c r="N1258" s="66">
        <f>IF(J1257&lt;&gt;0,CurrentMtgRatesDataTable8[[#This Row],[Rate]]-C1257,N1257)</f>
        <v>-0.4399999999999995</v>
      </c>
    </row>
    <row r="1259" spans="1:14">
      <c r="A1259" s="63" t="s">
        <v>2611</v>
      </c>
      <c r="B1259" s="64">
        <v>4.5629999999999997</v>
      </c>
      <c r="C1259" s="65">
        <v>5.4550000000000001</v>
      </c>
      <c r="D1259" s="66">
        <f t="shared" si="133"/>
        <v>7</v>
      </c>
      <c r="E1259" s="66">
        <f t="shared" si="134"/>
        <v>0.2</v>
      </c>
      <c r="F1259" s="66">
        <f t="shared" si="135"/>
        <v>4</v>
      </c>
      <c r="G1259" s="66">
        <f t="shared" si="136"/>
        <v>3.7290000000000001</v>
      </c>
      <c r="H1259" s="66">
        <f t="shared" si="137"/>
        <v>0.8</v>
      </c>
      <c r="I1259" s="66">
        <f t="shared" si="138"/>
        <v>1</v>
      </c>
      <c r="J1259" s="66">
        <f t="shared" si="139"/>
        <v>4.6612499999999999</v>
      </c>
      <c r="K1259" s="66">
        <f>IF(CurrentMtgRatesDataTable8[[#This Row],[WA CC]]&lt;&gt;0,C1258-CurrentMtgRatesDataTable8[[#This Row],[WA CC]],0)</f>
        <v>0.79375000000000018</v>
      </c>
      <c r="L1259" s="66">
        <f>IF(CurrentMtgRatesDataTable8[[#This Row],[Servicing Spread]]&lt;=0,L1258,CurrentMtgRatesDataTable8[[#This Row],[Servicing Spread]])</f>
        <v>0.79375000000000018</v>
      </c>
      <c r="M1259" s="66">
        <f>CurrentMtgRatesDataTable8[[#This Row],[Servicing Spread Non-Zero]]-L1258</f>
        <v>2.2950000000000692E-2</v>
      </c>
      <c r="N1259" s="66">
        <f>IF(J1258&lt;&gt;0,CurrentMtgRatesDataTable8[[#This Row],[Rate]]-C1258,N1258)</f>
        <v>-0.4399999999999995</v>
      </c>
    </row>
    <row r="1260" spans="1:14">
      <c r="A1260" s="63" t="s">
        <v>2612</v>
      </c>
      <c r="B1260" s="64">
        <v>4.4889999999999999</v>
      </c>
      <c r="C1260" s="65">
        <v>5.3949999999999996</v>
      </c>
      <c r="D1260" s="66">
        <f t="shared" si="133"/>
        <v>1</v>
      </c>
      <c r="E1260" s="66">
        <f t="shared" si="134"/>
        <v>0.2</v>
      </c>
      <c r="F1260" s="66">
        <f t="shared" si="135"/>
        <v>1</v>
      </c>
      <c r="G1260" s="66">
        <f t="shared" si="136"/>
        <v>0.89780000000000004</v>
      </c>
      <c r="H1260" s="66">
        <f t="shared" si="137"/>
        <v>0.2</v>
      </c>
      <c r="I1260" s="66">
        <f t="shared" si="138"/>
        <v>0</v>
      </c>
      <c r="J1260" s="66">
        <f t="shared" si="139"/>
        <v>0</v>
      </c>
      <c r="K1260" s="66">
        <f>IF(CurrentMtgRatesDataTable8[[#This Row],[WA CC]]&lt;&gt;0,C1259-CurrentMtgRatesDataTable8[[#This Row],[WA CC]],0)</f>
        <v>0</v>
      </c>
      <c r="L1260" s="66">
        <f>IF(CurrentMtgRatesDataTable8[[#This Row],[Servicing Spread]]&lt;=0,L1259,CurrentMtgRatesDataTable8[[#This Row],[Servicing Spread]])</f>
        <v>0.79375000000000018</v>
      </c>
      <c r="M1260" s="66">
        <f>CurrentMtgRatesDataTable8[[#This Row],[Servicing Spread Non-Zero]]-L1259</f>
        <v>0</v>
      </c>
      <c r="N1260" s="66">
        <f>IF(J1259&lt;&gt;0,CurrentMtgRatesDataTable8[[#This Row],[Rate]]-C1259,N1259)</f>
        <v>-6.0000000000000497E-2</v>
      </c>
    </row>
    <row r="1261" spans="1:14">
      <c r="A1261" s="63" t="s">
        <v>2613</v>
      </c>
      <c r="B1261" s="64">
        <v>4.7229999999999999</v>
      </c>
      <c r="C1261" s="65">
        <v>5.3949999999999996</v>
      </c>
      <c r="D1261" s="66">
        <f t="shared" si="133"/>
        <v>2</v>
      </c>
      <c r="E1261" s="66">
        <f t="shared" si="134"/>
        <v>0.2</v>
      </c>
      <c r="F1261" s="66">
        <f t="shared" si="135"/>
        <v>2</v>
      </c>
      <c r="G1261" s="66">
        <f t="shared" si="136"/>
        <v>1.8424</v>
      </c>
      <c r="H1261" s="66">
        <f t="shared" si="137"/>
        <v>0.4</v>
      </c>
      <c r="I1261" s="66">
        <f t="shared" si="138"/>
        <v>0</v>
      </c>
      <c r="J1261" s="66">
        <f t="shared" si="139"/>
        <v>0</v>
      </c>
      <c r="K1261" s="66">
        <f>IF(CurrentMtgRatesDataTable8[[#This Row],[WA CC]]&lt;&gt;0,C1260-CurrentMtgRatesDataTable8[[#This Row],[WA CC]],0)</f>
        <v>0</v>
      </c>
      <c r="L1261" s="66">
        <f>IF(CurrentMtgRatesDataTable8[[#This Row],[Servicing Spread]]&lt;=0,L1260,CurrentMtgRatesDataTable8[[#This Row],[Servicing Spread]])</f>
        <v>0.79375000000000018</v>
      </c>
      <c r="M1261" s="66">
        <f>CurrentMtgRatesDataTable8[[#This Row],[Servicing Spread Non-Zero]]-L1260</f>
        <v>0</v>
      </c>
      <c r="N1261" s="66">
        <f>IF(J1260&lt;&gt;0,CurrentMtgRatesDataTable8[[#This Row],[Rate]]-C1260,N1260)</f>
        <v>-6.0000000000000497E-2</v>
      </c>
    </row>
    <row r="1262" spans="1:14">
      <c r="A1262" s="63" t="s">
        <v>2614</v>
      </c>
      <c r="B1262" s="64">
        <v>4.7050000000000001</v>
      </c>
      <c r="C1262" s="65">
        <v>5.3949999999999996</v>
      </c>
      <c r="D1262" s="66">
        <f t="shared" si="133"/>
        <v>5</v>
      </c>
      <c r="E1262" s="66">
        <f t="shared" si="134"/>
        <v>0.2</v>
      </c>
      <c r="F1262" s="66">
        <f t="shared" si="135"/>
        <v>3</v>
      </c>
      <c r="G1262" s="66">
        <f t="shared" si="136"/>
        <v>2.7834000000000003</v>
      </c>
      <c r="H1262" s="66">
        <f t="shared" si="137"/>
        <v>0.60000000000000009</v>
      </c>
      <c r="I1262" s="66">
        <f t="shared" si="138"/>
        <v>0</v>
      </c>
      <c r="J1262" s="66">
        <f t="shared" si="139"/>
        <v>0</v>
      </c>
      <c r="K1262" s="66">
        <f>IF(CurrentMtgRatesDataTable8[[#This Row],[WA CC]]&lt;&gt;0,C1261-CurrentMtgRatesDataTable8[[#This Row],[WA CC]],0)</f>
        <v>0</v>
      </c>
      <c r="L1262" s="66">
        <f>IF(CurrentMtgRatesDataTable8[[#This Row],[Servicing Spread]]&lt;=0,L1261,CurrentMtgRatesDataTable8[[#This Row],[Servicing Spread]])</f>
        <v>0.79375000000000018</v>
      </c>
      <c r="M1262" s="66">
        <f>CurrentMtgRatesDataTable8[[#This Row],[Servicing Spread Non-Zero]]-L1261</f>
        <v>0</v>
      </c>
      <c r="N1262" s="66">
        <f>IF(J1261&lt;&gt;0,CurrentMtgRatesDataTable8[[#This Row],[Rate]]-C1261,N1261)</f>
        <v>-6.0000000000000497E-2</v>
      </c>
    </row>
    <row r="1263" spans="1:14">
      <c r="A1263" s="63" t="s">
        <v>2615</v>
      </c>
      <c r="B1263" s="64">
        <v>4.5090000000000003</v>
      </c>
      <c r="C1263" s="65">
        <v>5.3949999999999996</v>
      </c>
      <c r="D1263" s="66">
        <f t="shared" si="133"/>
        <v>6</v>
      </c>
      <c r="E1263" s="66">
        <f t="shared" si="134"/>
        <v>0.2</v>
      </c>
      <c r="F1263" s="66">
        <f t="shared" si="135"/>
        <v>4</v>
      </c>
      <c r="G1263" s="66">
        <f t="shared" si="136"/>
        <v>3.6852000000000005</v>
      </c>
      <c r="H1263" s="66">
        <f t="shared" si="137"/>
        <v>0.8</v>
      </c>
      <c r="I1263" s="66">
        <f t="shared" si="138"/>
        <v>0</v>
      </c>
      <c r="J1263" s="66">
        <f t="shared" si="139"/>
        <v>0</v>
      </c>
      <c r="K1263" s="66">
        <f>IF(CurrentMtgRatesDataTable8[[#This Row],[WA CC]]&lt;&gt;0,C1262-CurrentMtgRatesDataTable8[[#This Row],[WA CC]],0)</f>
        <v>0</v>
      </c>
      <c r="L1263" s="66">
        <f>IF(CurrentMtgRatesDataTable8[[#This Row],[Servicing Spread]]&lt;=0,L1262,CurrentMtgRatesDataTable8[[#This Row],[Servicing Spread]])</f>
        <v>0.79375000000000018</v>
      </c>
      <c r="M1263" s="66">
        <f>CurrentMtgRatesDataTable8[[#This Row],[Servicing Spread Non-Zero]]-L1262</f>
        <v>0</v>
      </c>
      <c r="N1263" s="66">
        <f>IF(J1262&lt;&gt;0,CurrentMtgRatesDataTable8[[#This Row],[Rate]]-C1262,N1262)</f>
        <v>-6.0000000000000497E-2</v>
      </c>
    </row>
    <row r="1264" spans="1:14">
      <c r="A1264" s="63" t="s">
        <v>2616</v>
      </c>
      <c r="B1264" s="64">
        <v>4.3419999999999996</v>
      </c>
      <c r="C1264" s="65">
        <v>5.3949999999999996</v>
      </c>
      <c r="D1264" s="66">
        <f t="shared" si="133"/>
        <v>7</v>
      </c>
      <c r="E1264" s="66">
        <f t="shared" si="134"/>
        <v>0.2</v>
      </c>
      <c r="F1264" s="66">
        <f t="shared" si="135"/>
        <v>5</v>
      </c>
      <c r="G1264" s="66">
        <f t="shared" si="136"/>
        <v>4.5536000000000003</v>
      </c>
      <c r="H1264" s="66">
        <f t="shared" si="137"/>
        <v>1</v>
      </c>
      <c r="I1264" s="66">
        <f t="shared" si="138"/>
        <v>1</v>
      </c>
      <c r="J1264" s="66">
        <f t="shared" si="139"/>
        <v>4.5536000000000003</v>
      </c>
      <c r="K1264" s="66">
        <f>IF(CurrentMtgRatesDataTable8[[#This Row],[WA CC]]&lt;&gt;0,C1263-CurrentMtgRatesDataTable8[[#This Row],[WA CC]],0)</f>
        <v>0.84139999999999926</v>
      </c>
      <c r="L1264" s="66">
        <f>IF(CurrentMtgRatesDataTable8[[#This Row],[Servicing Spread]]&lt;=0,L1263,CurrentMtgRatesDataTable8[[#This Row],[Servicing Spread]])</f>
        <v>0.84139999999999926</v>
      </c>
      <c r="M1264" s="66">
        <f>CurrentMtgRatesDataTable8[[#This Row],[Servicing Spread Non-Zero]]-L1263</f>
        <v>4.7649999999999082E-2</v>
      </c>
      <c r="N1264" s="66">
        <f>IF(J1263&lt;&gt;0,CurrentMtgRatesDataTable8[[#This Row],[Rate]]-C1263,N1263)</f>
        <v>-6.0000000000000497E-2</v>
      </c>
    </row>
    <row r="1265" spans="1:14">
      <c r="A1265" s="63" t="s">
        <v>2617</v>
      </c>
      <c r="B1265" s="64">
        <v>4.1529999999999996</v>
      </c>
      <c r="C1265" s="65">
        <v>5.1150000000000002</v>
      </c>
      <c r="D1265" s="66">
        <f t="shared" si="133"/>
        <v>1</v>
      </c>
      <c r="E1265" s="66">
        <f t="shared" si="134"/>
        <v>0.2</v>
      </c>
      <c r="F1265" s="66">
        <f t="shared" si="135"/>
        <v>1</v>
      </c>
      <c r="G1265" s="66">
        <f t="shared" si="136"/>
        <v>0.8306</v>
      </c>
      <c r="H1265" s="66">
        <f t="shared" si="137"/>
        <v>0.2</v>
      </c>
      <c r="I1265" s="66">
        <f t="shared" si="138"/>
        <v>0</v>
      </c>
      <c r="J1265" s="66">
        <f t="shared" si="139"/>
        <v>0</v>
      </c>
      <c r="K1265" s="66">
        <f>IF(CurrentMtgRatesDataTable8[[#This Row],[WA CC]]&lt;&gt;0,C1264-CurrentMtgRatesDataTable8[[#This Row],[WA CC]],0)</f>
        <v>0</v>
      </c>
      <c r="L1265" s="66">
        <f>IF(CurrentMtgRatesDataTable8[[#This Row],[Servicing Spread]]&lt;=0,L1264,CurrentMtgRatesDataTable8[[#This Row],[Servicing Spread]])</f>
        <v>0.84139999999999926</v>
      </c>
      <c r="M1265" s="66">
        <f>CurrentMtgRatesDataTable8[[#This Row],[Servicing Spread Non-Zero]]-L1264</f>
        <v>0</v>
      </c>
      <c r="N1265" s="66">
        <f>IF(J1264&lt;&gt;0,CurrentMtgRatesDataTable8[[#This Row],[Rate]]-C1264,N1264)</f>
        <v>-0.27999999999999936</v>
      </c>
    </row>
    <row r="1266" spans="1:14">
      <c r="A1266" s="63" t="s">
        <v>2618</v>
      </c>
      <c r="B1266" s="64">
        <v>4.1070000000000002</v>
      </c>
      <c r="C1266" s="65">
        <v>5.1150000000000002</v>
      </c>
      <c r="D1266" s="66">
        <f t="shared" si="133"/>
        <v>2</v>
      </c>
      <c r="E1266" s="66">
        <f t="shared" si="134"/>
        <v>0.2</v>
      </c>
      <c r="F1266" s="66">
        <f t="shared" si="135"/>
        <v>2</v>
      </c>
      <c r="G1266" s="66">
        <f t="shared" si="136"/>
        <v>1.6520000000000001</v>
      </c>
      <c r="H1266" s="66">
        <f t="shared" si="137"/>
        <v>0.4</v>
      </c>
      <c r="I1266" s="66">
        <f t="shared" si="138"/>
        <v>0</v>
      </c>
      <c r="J1266" s="66">
        <f t="shared" si="139"/>
        <v>0</v>
      </c>
      <c r="K1266" s="66">
        <f>IF(CurrentMtgRatesDataTable8[[#This Row],[WA CC]]&lt;&gt;0,C1265-CurrentMtgRatesDataTable8[[#This Row],[WA CC]],0)</f>
        <v>0</v>
      </c>
      <c r="L1266" s="66">
        <f>IF(CurrentMtgRatesDataTable8[[#This Row],[Servicing Spread]]&lt;=0,L1265,CurrentMtgRatesDataTable8[[#This Row],[Servicing Spread]])</f>
        <v>0.84139999999999926</v>
      </c>
      <c r="M1266" s="66">
        <f>CurrentMtgRatesDataTable8[[#This Row],[Servicing Spread Non-Zero]]-L1265</f>
        <v>0</v>
      </c>
      <c r="N1266" s="66">
        <f>IF(J1265&lt;&gt;0,CurrentMtgRatesDataTable8[[#This Row],[Rate]]-C1265,N1265)</f>
        <v>-0.27999999999999936</v>
      </c>
    </row>
    <row r="1267" spans="1:14">
      <c r="A1267" s="63" t="s">
        <v>2619</v>
      </c>
      <c r="B1267" s="64">
        <v>4.1379999999999999</v>
      </c>
      <c r="C1267" s="65">
        <v>5.1150000000000002</v>
      </c>
      <c r="D1267" s="66">
        <f t="shared" si="133"/>
        <v>5</v>
      </c>
      <c r="E1267" s="66">
        <f t="shared" si="134"/>
        <v>0.2</v>
      </c>
      <c r="F1267" s="66">
        <f t="shared" si="135"/>
        <v>3</v>
      </c>
      <c r="G1267" s="66">
        <f t="shared" si="136"/>
        <v>2.4796</v>
      </c>
      <c r="H1267" s="66">
        <f t="shared" si="137"/>
        <v>0.60000000000000009</v>
      </c>
      <c r="I1267" s="66">
        <f t="shared" si="138"/>
        <v>0</v>
      </c>
      <c r="J1267" s="66">
        <f t="shared" si="139"/>
        <v>0</v>
      </c>
      <c r="K1267" s="66">
        <f>IF(CurrentMtgRatesDataTable8[[#This Row],[WA CC]]&lt;&gt;0,C1266-CurrentMtgRatesDataTable8[[#This Row],[WA CC]],0)</f>
        <v>0</v>
      </c>
      <c r="L1267" s="66">
        <f>IF(CurrentMtgRatesDataTable8[[#This Row],[Servicing Spread]]&lt;=0,L1266,CurrentMtgRatesDataTable8[[#This Row],[Servicing Spread]])</f>
        <v>0.84139999999999926</v>
      </c>
      <c r="M1267" s="66">
        <f>CurrentMtgRatesDataTable8[[#This Row],[Servicing Spread Non-Zero]]-L1266</f>
        <v>0</v>
      </c>
      <c r="N1267" s="66">
        <f>IF(J1266&lt;&gt;0,CurrentMtgRatesDataTable8[[#This Row],[Rate]]-C1266,N1266)</f>
        <v>-0.27999999999999936</v>
      </c>
    </row>
    <row r="1268" spans="1:14">
      <c r="A1268" s="63" t="s">
        <v>2620</v>
      </c>
      <c r="B1268" s="64">
        <v>3.9940000000000002</v>
      </c>
      <c r="C1268" s="65">
        <v>5.1150000000000002</v>
      </c>
      <c r="D1268" s="66">
        <f t="shared" si="133"/>
        <v>6</v>
      </c>
      <c r="E1268" s="66">
        <f t="shared" si="134"/>
        <v>0.2</v>
      </c>
      <c r="F1268" s="66">
        <f t="shared" si="135"/>
        <v>4</v>
      </c>
      <c r="G1268" s="66">
        <f t="shared" si="136"/>
        <v>3.2784</v>
      </c>
      <c r="H1268" s="66">
        <f t="shared" si="137"/>
        <v>0.8</v>
      </c>
      <c r="I1268" s="66">
        <f t="shared" si="138"/>
        <v>0</v>
      </c>
      <c r="J1268" s="66">
        <f t="shared" si="139"/>
        <v>0</v>
      </c>
      <c r="K1268" s="66">
        <f>IF(CurrentMtgRatesDataTable8[[#This Row],[WA CC]]&lt;&gt;0,C1267-CurrentMtgRatesDataTable8[[#This Row],[WA CC]],0)</f>
        <v>0</v>
      </c>
      <c r="L1268" s="66">
        <f>IF(CurrentMtgRatesDataTable8[[#This Row],[Servicing Spread]]&lt;=0,L1267,CurrentMtgRatesDataTable8[[#This Row],[Servicing Spread]])</f>
        <v>0.84139999999999926</v>
      </c>
      <c r="M1268" s="66">
        <f>CurrentMtgRatesDataTable8[[#This Row],[Servicing Spread Non-Zero]]-L1267</f>
        <v>0</v>
      </c>
      <c r="N1268" s="66">
        <f>IF(J1267&lt;&gt;0,CurrentMtgRatesDataTable8[[#This Row],[Rate]]-C1267,N1267)</f>
        <v>-0.27999999999999936</v>
      </c>
    </row>
    <row r="1269" spans="1:14">
      <c r="A1269" s="63" t="s">
        <v>2621</v>
      </c>
      <c r="B1269" s="64">
        <v>3.89</v>
      </c>
      <c r="C1269" s="65">
        <v>5.1150000000000002</v>
      </c>
      <c r="D1269" s="66">
        <f t="shared" si="133"/>
        <v>7</v>
      </c>
      <c r="E1269" s="66">
        <f t="shared" si="134"/>
        <v>0.2</v>
      </c>
      <c r="F1269" s="66">
        <f t="shared" si="135"/>
        <v>5</v>
      </c>
      <c r="G1269" s="66">
        <f t="shared" si="136"/>
        <v>4.0564</v>
      </c>
      <c r="H1269" s="66">
        <f t="shared" si="137"/>
        <v>1</v>
      </c>
      <c r="I1269" s="66">
        <f t="shared" si="138"/>
        <v>1</v>
      </c>
      <c r="J1269" s="66">
        <f t="shared" si="139"/>
        <v>4.0564</v>
      </c>
      <c r="K1269" s="66">
        <f>IF(CurrentMtgRatesDataTable8[[#This Row],[WA CC]]&lt;&gt;0,C1268-CurrentMtgRatesDataTable8[[#This Row],[WA CC]],0)</f>
        <v>1.0586000000000002</v>
      </c>
      <c r="L1269" s="66">
        <f>IF(CurrentMtgRatesDataTable8[[#This Row],[Servicing Spread]]&lt;=0,L1268,CurrentMtgRatesDataTable8[[#This Row],[Servicing Spread]])</f>
        <v>1.0586000000000002</v>
      </c>
      <c r="M1269" s="66">
        <f>CurrentMtgRatesDataTable8[[#This Row],[Servicing Spread Non-Zero]]-L1268</f>
        <v>0.21720000000000095</v>
      </c>
      <c r="N1269" s="66">
        <f>IF(J1268&lt;&gt;0,CurrentMtgRatesDataTable8[[#This Row],[Rate]]-C1268,N1268)</f>
        <v>-0.27999999999999936</v>
      </c>
    </row>
    <row r="1270" spans="1:14">
      <c r="A1270" s="63" t="s">
        <v>2622</v>
      </c>
      <c r="B1270" s="64">
        <v>3.879</v>
      </c>
      <c r="C1270" s="65">
        <v>5.09</v>
      </c>
      <c r="D1270" s="66">
        <f t="shared" si="133"/>
        <v>1</v>
      </c>
      <c r="E1270" s="66">
        <f t="shared" si="134"/>
        <v>0.2</v>
      </c>
      <c r="F1270" s="66">
        <f t="shared" si="135"/>
        <v>1</v>
      </c>
      <c r="G1270" s="66">
        <f t="shared" si="136"/>
        <v>0.77580000000000005</v>
      </c>
      <c r="H1270" s="66">
        <f t="shared" si="137"/>
        <v>0.2</v>
      </c>
      <c r="I1270" s="66">
        <f t="shared" si="138"/>
        <v>0</v>
      </c>
      <c r="J1270" s="66">
        <f t="shared" si="139"/>
        <v>0</v>
      </c>
      <c r="K1270" s="66">
        <f>IF(CurrentMtgRatesDataTable8[[#This Row],[WA CC]]&lt;&gt;0,C1269-CurrentMtgRatesDataTable8[[#This Row],[WA CC]],0)</f>
        <v>0</v>
      </c>
      <c r="L1270" s="66">
        <f>IF(CurrentMtgRatesDataTable8[[#This Row],[Servicing Spread]]&lt;=0,L1269,CurrentMtgRatesDataTable8[[#This Row],[Servicing Spread]])</f>
        <v>1.0586000000000002</v>
      </c>
      <c r="M1270" s="66">
        <f>CurrentMtgRatesDataTable8[[#This Row],[Servicing Spread Non-Zero]]-L1269</f>
        <v>0</v>
      </c>
      <c r="N1270" s="66">
        <f>IF(J1269&lt;&gt;0,CurrentMtgRatesDataTable8[[#This Row],[Rate]]-C1269,N1269)</f>
        <v>-2.5000000000000355E-2</v>
      </c>
    </row>
    <row r="1271" spans="1:14">
      <c r="A1271" s="63" t="s">
        <v>2623</v>
      </c>
      <c r="B1271" s="64">
        <v>3.875</v>
      </c>
      <c r="C1271" s="65">
        <v>5.09</v>
      </c>
      <c r="D1271" s="66">
        <f t="shared" si="133"/>
        <v>2</v>
      </c>
      <c r="E1271" s="66">
        <f t="shared" si="134"/>
        <v>0.2</v>
      </c>
      <c r="F1271" s="66">
        <f t="shared" si="135"/>
        <v>2</v>
      </c>
      <c r="G1271" s="66">
        <f t="shared" si="136"/>
        <v>1.5508000000000002</v>
      </c>
      <c r="H1271" s="66">
        <f t="shared" si="137"/>
        <v>0.4</v>
      </c>
      <c r="I1271" s="66">
        <f t="shared" si="138"/>
        <v>0</v>
      </c>
      <c r="J1271" s="66">
        <f t="shared" si="139"/>
        <v>0</v>
      </c>
      <c r="K1271" s="66">
        <f>IF(CurrentMtgRatesDataTable8[[#This Row],[WA CC]]&lt;&gt;0,C1270-CurrentMtgRatesDataTable8[[#This Row],[WA CC]],0)</f>
        <v>0</v>
      </c>
      <c r="L1271" s="66">
        <f>IF(CurrentMtgRatesDataTable8[[#This Row],[Servicing Spread]]&lt;=0,L1270,CurrentMtgRatesDataTable8[[#This Row],[Servicing Spread]])</f>
        <v>1.0586000000000002</v>
      </c>
      <c r="M1271" s="66">
        <f>CurrentMtgRatesDataTable8[[#This Row],[Servicing Spread Non-Zero]]-L1270</f>
        <v>0</v>
      </c>
      <c r="N1271" s="66">
        <f>IF(J1270&lt;&gt;0,CurrentMtgRatesDataTable8[[#This Row],[Rate]]-C1270,N1270)</f>
        <v>-2.5000000000000355E-2</v>
      </c>
    </row>
    <row r="1272" spans="1:14">
      <c r="A1272" s="63" t="s">
        <v>2624</v>
      </c>
      <c r="B1272" s="64">
        <v>4.032</v>
      </c>
      <c r="C1272" s="65">
        <v>5.09</v>
      </c>
      <c r="D1272" s="66">
        <f t="shared" si="133"/>
        <v>5</v>
      </c>
      <c r="E1272" s="66">
        <f t="shared" si="134"/>
        <v>0.2</v>
      </c>
      <c r="F1272" s="66">
        <f t="shared" si="135"/>
        <v>3</v>
      </c>
      <c r="G1272" s="66">
        <f t="shared" si="136"/>
        <v>2.3572000000000002</v>
      </c>
      <c r="H1272" s="66">
        <f t="shared" si="137"/>
        <v>0.60000000000000009</v>
      </c>
      <c r="I1272" s="66">
        <f t="shared" si="138"/>
        <v>0</v>
      </c>
      <c r="J1272" s="66">
        <f t="shared" si="139"/>
        <v>0</v>
      </c>
      <c r="K1272" s="66">
        <f>IF(CurrentMtgRatesDataTable8[[#This Row],[WA CC]]&lt;&gt;0,C1271-CurrentMtgRatesDataTable8[[#This Row],[WA CC]],0)</f>
        <v>0</v>
      </c>
      <c r="L1272" s="66">
        <f>IF(CurrentMtgRatesDataTable8[[#This Row],[Servicing Spread]]&lt;=0,L1271,CurrentMtgRatesDataTable8[[#This Row],[Servicing Spread]])</f>
        <v>1.0586000000000002</v>
      </c>
      <c r="M1272" s="66">
        <f>CurrentMtgRatesDataTable8[[#This Row],[Servicing Spread Non-Zero]]-L1271</f>
        <v>0</v>
      </c>
      <c r="N1272" s="66">
        <f>IF(J1271&lt;&gt;0,CurrentMtgRatesDataTable8[[#This Row],[Rate]]-C1271,N1271)</f>
        <v>-2.5000000000000355E-2</v>
      </c>
    </row>
    <row r="1273" spans="1:14">
      <c r="A1273" s="63" t="s">
        <v>2625</v>
      </c>
      <c r="B1273" s="64">
        <v>4.101</v>
      </c>
      <c r="C1273" s="65">
        <v>5.09</v>
      </c>
      <c r="D1273" s="66">
        <f t="shared" si="133"/>
        <v>6</v>
      </c>
      <c r="E1273" s="66">
        <f t="shared" si="134"/>
        <v>0.2</v>
      </c>
      <c r="F1273" s="66">
        <f t="shared" si="135"/>
        <v>4</v>
      </c>
      <c r="G1273" s="66">
        <f t="shared" si="136"/>
        <v>3.1774000000000004</v>
      </c>
      <c r="H1273" s="66">
        <f t="shared" si="137"/>
        <v>0.8</v>
      </c>
      <c r="I1273" s="66">
        <f t="shared" si="138"/>
        <v>0</v>
      </c>
      <c r="J1273" s="66">
        <f t="shared" si="139"/>
        <v>0</v>
      </c>
      <c r="K1273" s="66">
        <f>IF(CurrentMtgRatesDataTable8[[#This Row],[WA CC]]&lt;&gt;0,C1272-CurrentMtgRatesDataTable8[[#This Row],[WA CC]],0)</f>
        <v>0</v>
      </c>
      <c r="L1273" s="66">
        <f>IF(CurrentMtgRatesDataTable8[[#This Row],[Servicing Spread]]&lt;=0,L1272,CurrentMtgRatesDataTable8[[#This Row],[Servicing Spread]])</f>
        <v>1.0586000000000002</v>
      </c>
      <c r="M1273" s="66">
        <f>CurrentMtgRatesDataTable8[[#This Row],[Servicing Spread Non-Zero]]-L1272</f>
        <v>0</v>
      </c>
      <c r="N1273" s="66">
        <f>IF(J1272&lt;&gt;0,CurrentMtgRatesDataTable8[[#This Row],[Rate]]-C1272,N1272)</f>
        <v>-2.5000000000000355E-2</v>
      </c>
    </row>
    <row r="1274" spans="1:14">
      <c r="A1274" s="63" t="s">
        <v>2626</v>
      </c>
      <c r="B1274" s="64">
        <v>4.0140000000000002</v>
      </c>
      <c r="C1274" s="65">
        <v>5.09</v>
      </c>
      <c r="D1274" s="66">
        <f t="shared" si="133"/>
        <v>7</v>
      </c>
      <c r="E1274" s="66">
        <f t="shared" si="134"/>
        <v>0.2</v>
      </c>
      <c r="F1274" s="66">
        <f t="shared" si="135"/>
        <v>5</v>
      </c>
      <c r="G1274" s="66">
        <f t="shared" si="136"/>
        <v>3.9802000000000004</v>
      </c>
      <c r="H1274" s="66">
        <f t="shared" si="137"/>
        <v>1</v>
      </c>
      <c r="I1274" s="66">
        <f t="shared" si="138"/>
        <v>1</v>
      </c>
      <c r="J1274" s="66">
        <f t="shared" si="139"/>
        <v>3.9802000000000004</v>
      </c>
      <c r="K1274" s="66">
        <f>IF(CurrentMtgRatesDataTable8[[#This Row],[WA CC]]&lt;&gt;0,C1273-CurrentMtgRatesDataTable8[[#This Row],[WA CC]],0)</f>
        <v>1.1097999999999995</v>
      </c>
      <c r="L1274" s="66">
        <f>IF(CurrentMtgRatesDataTable8[[#This Row],[Servicing Spread]]&lt;=0,L1273,CurrentMtgRatesDataTable8[[#This Row],[Servicing Spread]])</f>
        <v>1.1097999999999995</v>
      </c>
      <c r="M1274" s="66">
        <f>CurrentMtgRatesDataTable8[[#This Row],[Servicing Spread Non-Zero]]-L1273</f>
        <v>5.1199999999999246E-2</v>
      </c>
      <c r="N1274" s="66">
        <f>IF(J1273&lt;&gt;0,CurrentMtgRatesDataTable8[[#This Row],[Rate]]-C1273,N1273)</f>
        <v>-2.5000000000000355E-2</v>
      </c>
    </row>
    <row r="1275" spans="1:14">
      <c r="A1275" s="63" t="s">
        <v>2627</v>
      </c>
      <c r="B1275" s="64">
        <v>3.9380000000000002</v>
      </c>
      <c r="C1275" s="65">
        <v>5.0249999999999995</v>
      </c>
      <c r="D1275" s="66">
        <f t="shared" si="133"/>
        <v>2</v>
      </c>
      <c r="E1275" s="66">
        <f t="shared" si="134"/>
        <v>0.2</v>
      </c>
      <c r="F1275" s="66">
        <f t="shared" si="135"/>
        <v>1</v>
      </c>
      <c r="G1275" s="66">
        <f t="shared" si="136"/>
        <v>0.78760000000000008</v>
      </c>
      <c r="H1275" s="66">
        <f t="shared" si="137"/>
        <v>0.2</v>
      </c>
      <c r="I1275" s="66">
        <f t="shared" si="138"/>
        <v>0</v>
      </c>
      <c r="J1275" s="66">
        <f t="shared" si="139"/>
        <v>0</v>
      </c>
      <c r="K1275" s="66">
        <f>IF(CurrentMtgRatesDataTable8[[#This Row],[WA CC]]&lt;&gt;0,C1274-CurrentMtgRatesDataTable8[[#This Row],[WA CC]],0)</f>
        <v>0</v>
      </c>
      <c r="L1275" s="66">
        <f>IF(CurrentMtgRatesDataTable8[[#This Row],[Servicing Spread]]&lt;=0,L1274,CurrentMtgRatesDataTable8[[#This Row],[Servicing Spread]])</f>
        <v>1.1097999999999995</v>
      </c>
      <c r="M1275" s="66">
        <f>CurrentMtgRatesDataTable8[[#This Row],[Servicing Spread Non-Zero]]-L1274</f>
        <v>0</v>
      </c>
      <c r="N1275" s="66">
        <f>IF(J1274&lt;&gt;0,CurrentMtgRatesDataTable8[[#This Row],[Rate]]-C1274,N1274)</f>
        <v>-6.5000000000000391E-2</v>
      </c>
    </row>
    <row r="1276" spans="1:14">
      <c r="A1276" s="63" t="s">
        <v>2628</v>
      </c>
      <c r="B1276" s="64">
        <v>3.9089999999999998</v>
      </c>
      <c r="C1276" s="65">
        <v>5.0249999999999995</v>
      </c>
      <c r="D1276" s="66">
        <f t="shared" si="133"/>
        <v>5</v>
      </c>
      <c r="E1276" s="66">
        <f t="shared" si="134"/>
        <v>0.2</v>
      </c>
      <c r="F1276" s="66">
        <f t="shared" si="135"/>
        <v>2</v>
      </c>
      <c r="G1276" s="66">
        <f t="shared" si="136"/>
        <v>1.5694000000000001</v>
      </c>
      <c r="H1276" s="66">
        <f t="shared" si="137"/>
        <v>0.4</v>
      </c>
      <c r="I1276" s="66">
        <f t="shared" si="138"/>
        <v>0</v>
      </c>
      <c r="J1276" s="66">
        <f t="shared" si="139"/>
        <v>0</v>
      </c>
      <c r="K1276" s="66">
        <f>IF(CurrentMtgRatesDataTable8[[#This Row],[WA CC]]&lt;&gt;0,C1275-CurrentMtgRatesDataTable8[[#This Row],[WA CC]],0)</f>
        <v>0</v>
      </c>
      <c r="L1276" s="66">
        <f>IF(CurrentMtgRatesDataTable8[[#This Row],[Servicing Spread]]&lt;=0,L1275,CurrentMtgRatesDataTable8[[#This Row],[Servicing Spread]])</f>
        <v>1.1097999999999995</v>
      </c>
      <c r="M1276" s="66">
        <f>CurrentMtgRatesDataTable8[[#This Row],[Servicing Spread Non-Zero]]-L1275</f>
        <v>0</v>
      </c>
      <c r="N1276" s="66">
        <f>IF(J1275&lt;&gt;0,CurrentMtgRatesDataTable8[[#This Row],[Rate]]-C1275,N1275)</f>
        <v>-6.5000000000000391E-2</v>
      </c>
    </row>
    <row r="1277" spans="1:14">
      <c r="A1277" s="63" t="s">
        <v>2629</v>
      </c>
      <c r="B1277" s="64">
        <v>3.9790000000000001</v>
      </c>
      <c r="C1277" s="65">
        <v>5.0249999999999995</v>
      </c>
      <c r="D1277" s="66">
        <f t="shared" si="133"/>
        <v>6</v>
      </c>
      <c r="E1277" s="66">
        <f t="shared" si="134"/>
        <v>0.2</v>
      </c>
      <c r="F1277" s="66">
        <f t="shared" si="135"/>
        <v>3</v>
      </c>
      <c r="G1277" s="66">
        <f t="shared" si="136"/>
        <v>2.3652000000000002</v>
      </c>
      <c r="H1277" s="66">
        <f t="shared" si="137"/>
        <v>0.60000000000000009</v>
      </c>
      <c r="I1277" s="66">
        <f t="shared" si="138"/>
        <v>0</v>
      </c>
      <c r="J1277" s="66">
        <f t="shared" si="139"/>
        <v>0</v>
      </c>
      <c r="K1277" s="66">
        <f>IF(CurrentMtgRatesDataTable8[[#This Row],[WA CC]]&lt;&gt;0,C1276-CurrentMtgRatesDataTable8[[#This Row],[WA CC]],0)</f>
        <v>0</v>
      </c>
      <c r="L1277" s="66">
        <f>IF(CurrentMtgRatesDataTable8[[#This Row],[Servicing Spread]]&lt;=0,L1276,CurrentMtgRatesDataTable8[[#This Row],[Servicing Spread]])</f>
        <v>1.1097999999999995</v>
      </c>
      <c r="M1277" s="66">
        <f>CurrentMtgRatesDataTable8[[#This Row],[Servicing Spread Non-Zero]]-L1276</f>
        <v>0</v>
      </c>
      <c r="N1277" s="66">
        <f>IF(J1276&lt;&gt;0,CurrentMtgRatesDataTable8[[#This Row],[Rate]]-C1276,N1276)</f>
        <v>-6.5000000000000391E-2</v>
      </c>
    </row>
    <row r="1278" spans="1:14">
      <c r="A1278" s="63" t="s">
        <v>2630</v>
      </c>
      <c r="B1278" s="64">
        <v>4.0209999999999999</v>
      </c>
      <c r="C1278" s="65">
        <v>5.0249999999999995</v>
      </c>
      <c r="D1278" s="66">
        <f t="shared" si="133"/>
        <v>7</v>
      </c>
      <c r="E1278" s="66">
        <f t="shared" si="134"/>
        <v>0.2</v>
      </c>
      <c r="F1278" s="66">
        <f t="shared" si="135"/>
        <v>4</v>
      </c>
      <c r="G1278" s="66">
        <f t="shared" si="136"/>
        <v>3.1694000000000004</v>
      </c>
      <c r="H1278" s="66">
        <f t="shared" si="137"/>
        <v>0.8</v>
      </c>
      <c r="I1278" s="66">
        <f t="shared" si="138"/>
        <v>1</v>
      </c>
      <c r="J1278" s="66">
        <f t="shared" si="139"/>
        <v>3.9617500000000003</v>
      </c>
      <c r="K1278" s="66">
        <f>IF(CurrentMtgRatesDataTable8[[#This Row],[WA CC]]&lt;&gt;0,C1277-CurrentMtgRatesDataTable8[[#This Row],[WA CC]],0)</f>
        <v>1.0632499999999991</v>
      </c>
      <c r="L1278" s="66">
        <f>IF(CurrentMtgRatesDataTable8[[#This Row],[Servicing Spread]]&lt;=0,L1277,CurrentMtgRatesDataTable8[[#This Row],[Servicing Spread]])</f>
        <v>1.0632499999999991</v>
      </c>
      <c r="M1278" s="66">
        <f>CurrentMtgRatesDataTable8[[#This Row],[Servicing Spread Non-Zero]]-L1277</f>
        <v>-4.6550000000000313E-2</v>
      </c>
      <c r="N1278" s="66">
        <f>IF(J1277&lt;&gt;0,CurrentMtgRatesDataTable8[[#This Row],[Rate]]-C1277,N1277)</f>
        <v>-6.5000000000000391E-2</v>
      </c>
    </row>
    <row r="1279" spans="1:14">
      <c r="A1279" s="63" t="s">
        <v>2631</v>
      </c>
      <c r="B1279" s="64">
        <v>4.2050000000000001</v>
      </c>
      <c r="C1279" s="65">
        <v>4.91</v>
      </c>
      <c r="D1279" s="66">
        <f t="shared" si="133"/>
        <v>2</v>
      </c>
      <c r="E1279" s="66">
        <f t="shared" si="134"/>
        <v>0.2</v>
      </c>
      <c r="F1279" s="66">
        <f t="shared" si="135"/>
        <v>1</v>
      </c>
      <c r="G1279" s="66">
        <f t="shared" si="136"/>
        <v>0.84100000000000008</v>
      </c>
      <c r="H1279" s="66">
        <f t="shared" si="137"/>
        <v>0.2</v>
      </c>
      <c r="I1279" s="66">
        <f t="shared" si="138"/>
        <v>0</v>
      </c>
      <c r="J1279" s="66">
        <f t="shared" si="139"/>
        <v>0</v>
      </c>
      <c r="K1279" s="66">
        <f>IF(CurrentMtgRatesDataTable8[[#This Row],[WA CC]]&lt;&gt;0,C1278-CurrentMtgRatesDataTable8[[#This Row],[WA CC]],0)</f>
        <v>0</v>
      </c>
      <c r="L1279" s="66">
        <f>IF(CurrentMtgRatesDataTable8[[#This Row],[Servicing Spread]]&lt;=0,L1278,CurrentMtgRatesDataTable8[[#This Row],[Servicing Spread]])</f>
        <v>1.0632499999999991</v>
      </c>
      <c r="M1279" s="66">
        <f>CurrentMtgRatesDataTable8[[#This Row],[Servicing Spread Non-Zero]]-L1278</f>
        <v>0</v>
      </c>
      <c r="N1279" s="66">
        <f>IF(J1278&lt;&gt;0,CurrentMtgRatesDataTable8[[#This Row],[Rate]]-C1278,N1278)</f>
        <v>-0.11499999999999932</v>
      </c>
    </row>
    <row r="1280" spans="1:14">
      <c r="A1280" s="63" t="s">
        <v>2632</v>
      </c>
      <c r="B1280" s="64">
        <v>4.0659999999999998</v>
      </c>
      <c r="C1280" s="65">
        <v>4.91</v>
      </c>
      <c r="D1280" s="66">
        <f t="shared" si="133"/>
        <v>5</v>
      </c>
      <c r="E1280" s="66">
        <f t="shared" si="134"/>
        <v>0.2</v>
      </c>
      <c r="F1280" s="66">
        <f t="shared" si="135"/>
        <v>2</v>
      </c>
      <c r="G1280" s="66">
        <f t="shared" si="136"/>
        <v>1.6542000000000001</v>
      </c>
      <c r="H1280" s="66">
        <f t="shared" si="137"/>
        <v>0.4</v>
      </c>
      <c r="I1280" s="66">
        <f t="shared" si="138"/>
        <v>0</v>
      </c>
      <c r="J1280" s="66">
        <f t="shared" si="139"/>
        <v>0</v>
      </c>
      <c r="K1280" s="66">
        <f>IF(CurrentMtgRatesDataTable8[[#This Row],[WA CC]]&lt;&gt;0,C1279-CurrentMtgRatesDataTable8[[#This Row],[WA CC]],0)</f>
        <v>0</v>
      </c>
      <c r="L1280" s="66">
        <f>IF(CurrentMtgRatesDataTable8[[#This Row],[Servicing Spread]]&lt;=0,L1279,CurrentMtgRatesDataTable8[[#This Row],[Servicing Spread]])</f>
        <v>1.0632499999999991</v>
      </c>
      <c r="M1280" s="66">
        <f>CurrentMtgRatesDataTable8[[#This Row],[Servicing Spread Non-Zero]]-L1279</f>
        <v>0</v>
      </c>
      <c r="N1280" s="66">
        <f>IF(J1279&lt;&gt;0,CurrentMtgRatesDataTable8[[#This Row],[Rate]]-C1279,N1279)</f>
        <v>-0.11499999999999932</v>
      </c>
    </row>
    <row r="1281" spans="1:14">
      <c r="A1281" s="63" t="s">
        <v>2633</v>
      </c>
      <c r="B1281" s="64">
        <v>3.78</v>
      </c>
      <c r="C1281" s="65">
        <v>4.91</v>
      </c>
      <c r="D1281" s="66">
        <f t="shared" si="133"/>
        <v>6</v>
      </c>
      <c r="E1281" s="66">
        <f t="shared" si="134"/>
        <v>0.2</v>
      </c>
      <c r="F1281" s="66">
        <f t="shared" si="135"/>
        <v>3</v>
      </c>
      <c r="G1281" s="66">
        <f t="shared" si="136"/>
        <v>2.4102000000000001</v>
      </c>
      <c r="H1281" s="66">
        <f t="shared" si="137"/>
        <v>0.60000000000000009</v>
      </c>
      <c r="I1281" s="66">
        <f t="shared" si="138"/>
        <v>0</v>
      </c>
      <c r="J1281" s="66">
        <f t="shared" si="139"/>
        <v>0</v>
      </c>
      <c r="K1281" s="66">
        <f>IF(CurrentMtgRatesDataTable8[[#This Row],[WA CC]]&lt;&gt;0,C1280-CurrentMtgRatesDataTable8[[#This Row],[WA CC]],0)</f>
        <v>0</v>
      </c>
      <c r="L1281" s="66">
        <f>IF(CurrentMtgRatesDataTable8[[#This Row],[Servicing Spread]]&lt;=0,L1280,CurrentMtgRatesDataTable8[[#This Row],[Servicing Spread]])</f>
        <v>1.0632499999999991</v>
      </c>
      <c r="M1281" s="66">
        <f>CurrentMtgRatesDataTable8[[#This Row],[Servicing Spread Non-Zero]]-L1280</f>
        <v>0</v>
      </c>
      <c r="N1281" s="66">
        <f>IF(J1280&lt;&gt;0,CurrentMtgRatesDataTable8[[#This Row],[Rate]]-C1280,N1280)</f>
        <v>-0.11499999999999932</v>
      </c>
    </row>
    <row r="1282" spans="1:14">
      <c r="A1282" s="63" t="s">
        <v>2634</v>
      </c>
      <c r="B1282" s="64">
        <v>3.7429999999999999</v>
      </c>
      <c r="C1282" s="65">
        <v>4.91</v>
      </c>
      <c r="D1282" s="66">
        <f t="shared" si="133"/>
        <v>7</v>
      </c>
      <c r="E1282" s="66">
        <f t="shared" si="134"/>
        <v>0.2</v>
      </c>
      <c r="F1282" s="66">
        <f t="shared" si="135"/>
        <v>4</v>
      </c>
      <c r="G1282" s="66">
        <f t="shared" si="136"/>
        <v>3.1588000000000003</v>
      </c>
      <c r="H1282" s="66">
        <f t="shared" si="137"/>
        <v>0.8</v>
      </c>
      <c r="I1282" s="66">
        <f t="shared" si="138"/>
        <v>1</v>
      </c>
      <c r="J1282" s="66">
        <f t="shared" si="139"/>
        <v>3.9485000000000001</v>
      </c>
      <c r="K1282" s="66">
        <f>IF(CurrentMtgRatesDataTable8[[#This Row],[WA CC]]&lt;&gt;0,C1281-CurrentMtgRatesDataTable8[[#This Row],[WA CC]],0)</f>
        <v>0.96150000000000002</v>
      </c>
      <c r="L1282" s="66">
        <f>IF(CurrentMtgRatesDataTable8[[#This Row],[Servicing Spread]]&lt;=0,L1281,CurrentMtgRatesDataTable8[[#This Row],[Servicing Spread]])</f>
        <v>0.96150000000000002</v>
      </c>
      <c r="M1282" s="66">
        <f>CurrentMtgRatesDataTable8[[#This Row],[Servicing Spread Non-Zero]]-L1281</f>
        <v>-0.10174999999999912</v>
      </c>
      <c r="N1282" s="66">
        <f>IF(J1281&lt;&gt;0,CurrentMtgRatesDataTable8[[#This Row],[Rate]]-C1281,N1281)</f>
        <v>-0.11499999999999932</v>
      </c>
    </row>
    <row r="1283" spans="1:14">
      <c r="A1283" s="63" t="s">
        <v>2635</v>
      </c>
      <c r="B1283" s="64">
        <v>3.762</v>
      </c>
      <c r="C1283" s="65">
        <v>4.8849999999999998</v>
      </c>
      <c r="D1283" s="66">
        <f t="shared" si="133"/>
        <v>1</v>
      </c>
      <c r="E1283" s="66">
        <f t="shared" si="134"/>
        <v>0.2</v>
      </c>
      <c r="F1283" s="66">
        <f t="shared" si="135"/>
        <v>1</v>
      </c>
      <c r="G1283" s="66">
        <f t="shared" si="136"/>
        <v>0.75240000000000007</v>
      </c>
      <c r="H1283" s="66">
        <f t="shared" si="137"/>
        <v>0.2</v>
      </c>
      <c r="I1283" s="66">
        <f t="shared" si="138"/>
        <v>0</v>
      </c>
      <c r="J1283" s="66">
        <f t="shared" si="139"/>
        <v>0</v>
      </c>
      <c r="K1283" s="66">
        <f>IF(CurrentMtgRatesDataTable8[[#This Row],[WA CC]]&lt;&gt;0,C1282-CurrentMtgRatesDataTable8[[#This Row],[WA CC]],0)</f>
        <v>0</v>
      </c>
      <c r="L1283" s="66">
        <f>IF(CurrentMtgRatesDataTable8[[#This Row],[Servicing Spread]]&lt;=0,L1282,CurrentMtgRatesDataTable8[[#This Row],[Servicing Spread]])</f>
        <v>0.96150000000000002</v>
      </c>
      <c r="M1283" s="66">
        <f>CurrentMtgRatesDataTable8[[#This Row],[Servicing Spread Non-Zero]]-L1282</f>
        <v>0</v>
      </c>
      <c r="N1283" s="66">
        <f>IF(J1282&lt;&gt;0,CurrentMtgRatesDataTable8[[#This Row],[Rate]]-C1282,N1282)</f>
        <v>-2.5000000000000355E-2</v>
      </c>
    </row>
    <row r="1284" spans="1:14">
      <c r="A1284" s="63" t="s">
        <v>2636</v>
      </c>
      <c r="B1284" s="64">
        <v>3.7330000000000001</v>
      </c>
      <c r="C1284" s="65">
        <v>4.8849999999999998</v>
      </c>
      <c r="D1284" s="66">
        <f t="shared" si="133"/>
        <v>2</v>
      </c>
      <c r="E1284" s="66">
        <f t="shared" si="134"/>
        <v>0.2</v>
      </c>
      <c r="F1284" s="66">
        <f t="shared" si="135"/>
        <v>2</v>
      </c>
      <c r="G1284" s="66">
        <f t="shared" si="136"/>
        <v>1.4990000000000001</v>
      </c>
      <c r="H1284" s="66">
        <f t="shared" si="137"/>
        <v>0.4</v>
      </c>
      <c r="I1284" s="66">
        <f t="shared" si="138"/>
        <v>0</v>
      </c>
      <c r="J1284" s="66">
        <f t="shared" si="139"/>
        <v>0</v>
      </c>
      <c r="K1284" s="66">
        <f>IF(CurrentMtgRatesDataTable8[[#This Row],[WA CC]]&lt;&gt;0,C1283-CurrentMtgRatesDataTable8[[#This Row],[WA CC]],0)</f>
        <v>0</v>
      </c>
      <c r="L1284" s="66">
        <f>IF(CurrentMtgRatesDataTable8[[#This Row],[Servicing Spread]]&lt;=0,L1283,CurrentMtgRatesDataTable8[[#This Row],[Servicing Spread]])</f>
        <v>0.96150000000000002</v>
      </c>
      <c r="M1284" s="66">
        <f>CurrentMtgRatesDataTable8[[#This Row],[Servicing Spread Non-Zero]]-L1283</f>
        <v>0</v>
      </c>
      <c r="N1284" s="66">
        <f>IF(J1283&lt;&gt;0,CurrentMtgRatesDataTable8[[#This Row],[Rate]]-C1283,N1283)</f>
        <v>-2.5000000000000355E-2</v>
      </c>
    </row>
    <row r="1285" spans="1:14">
      <c r="A1285" s="63" t="s">
        <v>2637</v>
      </c>
      <c r="B1285" s="64">
        <v>3.8</v>
      </c>
      <c r="C1285" s="65">
        <v>4.8849999999999998</v>
      </c>
      <c r="D1285" s="66">
        <f t="shared" ref="D1285:D1348" si="140">WEEKDAY(A1285,14)</f>
        <v>5</v>
      </c>
      <c r="E1285" s="66">
        <f t="shared" ref="E1285:E1348" si="141">VLOOKUP(D1285,Q$5:R$11,2,FALSE)</f>
        <v>0.2</v>
      </c>
      <c r="F1285" s="66">
        <f t="shared" ref="F1285:F1348" si="142">IF(AND(D1285&gt;D1284,F1284&lt;6),F1284+1,1)</f>
        <v>3</v>
      </c>
      <c r="G1285" s="66">
        <f t="shared" ref="G1285:G1348" si="143">IF(F1285&gt;F1284,G1284+B1285*E1285,B1285*E1285)</f>
        <v>2.2590000000000003</v>
      </c>
      <c r="H1285" s="66">
        <f t="shared" ref="H1285:H1348" si="144">IF(AND(F1285&lt;6,F1285&gt;F1284),E1285+H1284,E1285)</f>
        <v>0.60000000000000009</v>
      </c>
      <c r="I1285" s="66">
        <f t="shared" ref="I1285:I1348" si="145">IF(F1285&gt;F1286,1,0)</f>
        <v>0</v>
      </c>
      <c r="J1285" s="66">
        <f t="shared" ref="J1285:J1348" si="146">IF(F1285&gt;F1286,G1285/H1285,0)</f>
        <v>0</v>
      </c>
      <c r="K1285" s="66">
        <f>IF(CurrentMtgRatesDataTable8[[#This Row],[WA CC]]&lt;&gt;0,C1284-CurrentMtgRatesDataTable8[[#This Row],[WA CC]],0)</f>
        <v>0</v>
      </c>
      <c r="L1285" s="66">
        <f>IF(CurrentMtgRatesDataTable8[[#This Row],[Servicing Spread]]&lt;=0,L1284,CurrentMtgRatesDataTable8[[#This Row],[Servicing Spread]])</f>
        <v>0.96150000000000002</v>
      </c>
      <c r="M1285" s="66">
        <f>CurrentMtgRatesDataTable8[[#This Row],[Servicing Spread Non-Zero]]-L1284</f>
        <v>0</v>
      </c>
      <c r="N1285" s="66">
        <f>IF(J1284&lt;&gt;0,CurrentMtgRatesDataTable8[[#This Row],[Rate]]-C1284,N1284)</f>
        <v>-2.5000000000000355E-2</v>
      </c>
    </row>
    <row r="1286" spans="1:14">
      <c r="A1286" s="63" t="s">
        <v>2638</v>
      </c>
      <c r="B1286" s="64">
        <v>3.7719999999999998</v>
      </c>
      <c r="C1286" s="65">
        <v>4.8849999999999998</v>
      </c>
      <c r="D1286" s="66">
        <f t="shared" si="140"/>
        <v>6</v>
      </c>
      <c r="E1286" s="66">
        <f t="shared" si="141"/>
        <v>0.2</v>
      </c>
      <c r="F1286" s="66">
        <f t="shared" si="142"/>
        <v>4</v>
      </c>
      <c r="G1286" s="66">
        <f t="shared" si="143"/>
        <v>3.0134000000000003</v>
      </c>
      <c r="H1286" s="66">
        <f t="shared" si="144"/>
        <v>0.8</v>
      </c>
      <c r="I1286" s="66">
        <f t="shared" si="145"/>
        <v>0</v>
      </c>
      <c r="J1286" s="66">
        <f t="shared" si="146"/>
        <v>0</v>
      </c>
      <c r="K1286" s="66">
        <f>IF(CurrentMtgRatesDataTable8[[#This Row],[WA CC]]&lt;&gt;0,C1285-CurrentMtgRatesDataTable8[[#This Row],[WA CC]],0)</f>
        <v>0</v>
      </c>
      <c r="L1286" s="66">
        <f>IF(CurrentMtgRatesDataTable8[[#This Row],[Servicing Spread]]&lt;=0,L1285,CurrentMtgRatesDataTable8[[#This Row],[Servicing Spread]])</f>
        <v>0.96150000000000002</v>
      </c>
      <c r="M1286" s="66">
        <f>CurrentMtgRatesDataTable8[[#This Row],[Servicing Spread Non-Zero]]-L1285</f>
        <v>0</v>
      </c>
      <c r="N1286" s="66">
        <f>IF(J1285&lt;&gt;0,CurrentMtgRatesDataTable8[[#This Row],[Rate]]-C1285,N1285)</f>
        <v>-2.5000000000000355E-2</v>
      </c>
    </row>
    <row r="1287" spans="1:14">
      <c r="A1287" s="63" t="s">
        <v>2639</v>
      </c>
      <c r="B1287" s="64">
        <v>3.7559999999999998</v>
      </c>
      <c r="C1287" s="65">
        <v>4.8849999999999998</v>
      </c>
      <c r="D1287" s="66">
        <f t="shared" si="140"/>
        <v>7</v>
      </c>
      <c r="E1287" s="66">
        <f t="shared" si="141"/>
        <v>0.2</v>
      </c>
      <c r="F1287" s="66">
        <f t="shared" si="142"/>
        <v>5</v>
      </c>
      <c r="G1287" s="66">
        <f t="shared" si="143"/>
        <v>3.7646000000000002</v>
      </c>
      <c r="H1287" s="66">
        <f t="shared" si="144"/>
        <v>1</v>
      </c>
      <c r="I1287" s="66">
        <f t="shared" si="145"/>
        <v>1</v>
      </c>
      <c r="J1287" s="66">
        <f t="shared" si="146"/>
        <v>3.7646000000000002</v>
      </c>
      <c r="K1287" s="66">
        <f>IF(CurrentMtgRatesDataTable8[[#This Row],[WA CC]]&lt;&gt;0,C1286-CurrentMtgRatesDataTable8[[#This Row],[WA CC]],0)</f>
        <v>1.1203999999999996</v>
      </c>
      <c r="L1287" s="66">
        <f>IF(CurrentMtgRatesDataTable8[[#This Row],[Servicing Spread]]&lt;=0,L1286,CurrentMtgRatesDataTable8[[#This Row],[Servicing Spread]])</f>
        <v>1.1203999999999996</v>
      </c>
      <c r="M1287" s="66">
        <f>CurrentMtgRatesDataTable8[[#This Row],[Servicing Spread Non-Zero]]-L1286</f>
        <v>0.1588999999999996</v>
      </c>
      <c r="N1287" s="66">
        <f>IF(J1286&lt;&gt;0,CurrentMtgRatesDataTable8[[#This Row],[Rate]]-C1286,N1286)</f>
        <v>-2.5000000000000355E-2</v>
      </c>
    </row>
    <row r="1288" spans="1:14">
      <c r="A1288" s="63" t="s">
        <v>2640</v>
      </c>
      <c r="B1288" s="64">
        <v>3.8069999999999999</v>
      </c>
      <c r="C1288" s="65">
        <v>5.0449999999999999</v>
      </c>
      <c r="D1288" s="66">
        <f t="shared" si="140"/>
        <v>1</v>
      </c>
      <c r="E1288" s="66">
        <f t="shared" si="141"/>
        <v>0.2</v>
      </c>
      <c r="F1288" s="66">
        <f t="shared" si="142"/>
        <v>1</v>
      </c>
      <c r="G1288" s="66">
        <f t="shared" si="143"/>
        <v>0.76140000000000008</v>
      </c>
      <c r="H1288" s="66">
        <f t="shared" si="144"/>
        <v>0.2</v>
      </c>
      <c r="I1288" s="66">
        <f t="shared" si="145"/>
        <v>0</v>
      </c>
      <c r="J1288" s="66">
        <f t="shared" si="146"/>
        <v>0</v>
      </c>
      <c r="K1288" s="66">
        <f>IF(CurrentMtgRatesDataTable8[[#This Row],[WA CC]]&lt;&gt;0,C1287-CurrentMtgRatesDataTable8[[#This Row],[WA CC]],0)</f>
        <v>0</v>
      </c>
      <c r="L1288" s="66">
        <f>IF(CurrentMtgRatesDataTable8[[#This Row],[Servicing Spread]]&lt;=0,L1287,CurrentMtgRatesDataTable8[[#This Row],[Servicing Spread]])</f>
        <v>1.1203999999999996</v>
      </c>
      <c r="M1288" s="66">
        <f>CurrentMtgRatesDataTable8[[#This Row],[Servicing Spread Non-Zero]]-L1287</f>
        <v>0</v>
      </c>
      <c r="N1288" s="66">
        <f>IF(J1287&lt;&gt;0,CurrentMtgRatesDataTable8[[#This Row],[Rate]]-C1287,N1287)</f>
        <v>0.16000000000000014</v>
      </c>
    </row>
    <row r="1289" spans="1:14">
      <c r="A1289" s="63" t="s">
        <v>2641</v>
      </c>
      <c r="B1289" s="64">
        <v>3.9089999999999998</v>
      </c>
      <c r="C1289" s="65">
        <v>5.0449999999999999</v>
      </c>
      <c r="D1289" s="66">
        <f t="shared" si="140"/>
        <v>2</v>
      </c>
      <c r="E1289" s="66">
        <f t="shared" si="141"/>
        <v>0.2</v>
      </c>
      <c r="F1289" s="66">
        <f t="shared" si="142"/>
        <v>2</v>
      </c>
      <c r="G1289" s="66">
        <f t="shared" si="143"/>
        <v>1.5432000000000001</v>
      </c>
      <c r="H1289" s="66">
        <f t="shared" si="144"/>
        <v>0.4</v>
      </c>
      <c r="I1289" s="66">
        <f t="shared" si="145"/>
        <v>0</v>
      </c>
      <c r="J1289" s="66">
        <f t="shared" si="146"/>
        <v>0</v>
      </c>
      <c r="K1289" s="66">
        <f>IF(CurrentMtgRatesDataTable8[[#This Row],[WA CC]]&lt;&gt;0,C1288-CurrentMtgRatesDataTable8[[#This Row],[WA CC]],0)</f>
        <v>0</v>
      </c>
      <c r="L1289" s="66">
        <f>IF(CurrentMtgRatesDataTable8[[#This Row],[Servicing Spread]]&lt;=0,L1288,CurrentMtgRatesDataTable8[[#This Row],[Servicing Spread]])</f>
        <v>1.1203999999999996</v>
      </c>
      <c r="M1289" s="66">
        <f>CurrentMtgRatesDataTable8[[#This Row],[Servicing Spread Non-Zero]]-L1288</f>
        <v>0</v>
      </c>
      <c r="N1289" s="66">
        <f>IF(J1288&lt;&gt;0,CurrentMtgRatesDataTable8[[#This Row],[Rate]]-C1288,N1288)</f>
        <v>0.16000000000000014</v>
      </c>
    </row>
    <row r="1290" spans="1:14">
      <c r="A1290" s="63" t="s">
        <v>2642</v>
      </c>
      <c r="B1290" s="64">
        <v>3.9249999999999998</v>
      </c>
      <c r="C1290" s="65">
        <v>5.0449999999999999</v>
      </c>
      <c r="D1290" s="66">
        <f t="shared" si="140"/>
        <v>6</v>
      </c>
      <c r="E1290" s="66">
        <f t="shared" si="141"/>
        <v>0.2</v>
      </c>
      <c r="F1290" s="66">
        <f t="shared" si="142"/>
        <v>3</v>
      </c>
      <c r="G1290" s="66">
        <f t="shared" si="143"/>
        <v>2.3282000000000003</v>
      </c>
      <c r="H1290" s="66">
        <f t="shared" si="144"/>
        <v>0.60000000000000009</v>
      </c>
      <c r="I1290" s="66">
        <f t="shared" si="145"/>
        <v>0</v>
      </c>
      <c r="J1290" s="66">
        <f t="shared" si="146"/>
        <v>0</v>
      </c>
      <c r="K1290" s="66">
        <f>IF(CurrentMtgRatesDataTable8[[#This Row],[WA CC]]&lt;&gt;0,C1289-CurrentMtgRatesDataTable8[[#This Row],[WA CC]],0)</f>
        <v>0</v>
      </c>
      <c r="L1290" s="66">
        <f>IF(CurrentMtgRatesDataTable8[[#This Row],[Servicing Spread]]&lt;=0,L1289,CurrentMtgRatesDataTable8[[#This Row],[Servicing Spread]])</f>
        <v>1.1203999999999996</v>
      </c>
      <c r="M1290" s="66">
        <f>CurrentMtgRatesDataTable8[[#This Row],[Servicing Spread Non-Zero]]-L1289</f>
        <v>0</v>
      </c>
      <c r="N1290" s="66">
        <f>IF(J1289&lt;&gt;0,CurrentMtgRatesDataTable8[[#This Row],[Rate]]-C1289,N1289)</f>
        <v>0.16000000000000014</v>
      </c>
    </row>
    <row r="1291" spans="1:14">
      <c r="A1291" s="63" t="s">
        <v>2643</v>
      </c>
      <c r="B1291" s="64">
        <v>4.0819999999999999</v>
      </c>
      <c r="C1291" s="65">
        <v>5.0449999999999999</v>
      </c>
      <c r="D1291" s="66">
        <f t="shared" si="140"/>
        <v>7</v>
      </c>
      <c r="E1291" s="66">
        <f t="shared" si="141"/>
        <v>0.2</v>
      </c>
      <c r="F1291" s="66">
        <f t="shared" si="142"/>
        <v>4</v>
      </c>
      <c r="G1291" s="66">
        <f t="shared" si="143"/>
        <v>3.1446000000000005</v>
      </c>
      <c r="H1291" s="66">
        <f t="shared" si="144"/>
        <v>0.8</v>
      </c>
      <c r="I1291" s="66">
        <f t="shared" si="145"/>
        <v>1</v>
      </c>
      <c r="J1291" s="66">
        <f t="shared" si="146"/>
        <v>3.9307500000000006</v>
      </c>
      <c r="K1291" s="66">
        <f>IF(CurrentMtgRatesDataTable8[[#This Row],[WA CC]]&lt;&gt;0,C1290-CurrentMtgRatesDataTable8[[#This Row],[WA CC]],0)</f>
        <v>1.1142499999999993</v>
      </c>
      <c r="L1291" s="66">
        <f>IF(CurrentMtgRatesDataTable8[[#This Row],[Servicing Spread]]&lt;=0,L1290,CurrentMtgRatesDataTable8[[#This Row],[Servicing Spread]])</f>
        <v>1.1142499999999993</v>
      </c>
      <c r="M1291" s="66">
        <f>CurrentMtgRatesDataTable8[[#This Row],[Servicing Spread Non-Zero]]-L1290</f>
        <v>-6.1500000000003219E-3</v>
      </c>
      <c r="N1291" s="66">
        <f>IF(J1290&lt;&gt;0,CurrentMtgRatesDataTable8[[#This Row],[Rate]]-C1290,N1290)</f>
        <v>0.16000000000000014</v>
      </c>
    </row>
    <row r="1292" spans="1:14">
      <c r="A1292" s="63" t="s">
        <v>2644</v>
      </c>
      <c r="B1292" s="64">
        <v>4.048</v>
      </c>
      <c r="C1292" s="65">
        <v>5.0249999999999995</v>
      </c>
      <c r="D1292" s="66">
        <f t="shared" si="140"/>
        <v>1</v>
      </c>
      <c r="E1292" s="66">
        <f t="shared" si="141"/>
        <v>0.2</v>
      </c>
      <c r="F1292" s="66">
        <f t="shared" si="142"/>
        <v>1</v>
      </c>
      <c r="G1292" s="66">
        <f t="shared" si="143"/>
        <v>0.8096000000000001</v>
      </c>
      <c r="H1292" s="66">
        <f t="shared" si="144"/>
        <v>0.2</v>
      </c>
      <c r="I1292" s="66">
        <f t="shared" si="145"/>
        <v>0</v>
      </c>
      <c r="J1292" s="66">
        <f t="shared" si="146"/>
        <v>0</v>
      </c>
      <c r="K1292" s="66">
        <f>IF(CurrentMtgRatesDataTable8[[#This Row],[WA CC]]&lt;&gt;0,C1291-CurrentMtgRatesDataTable8[[#This Row],[WA CC]],0)</f>
        <v>0</v>
      </c>
      <c r="L1292" s="66">
        <f>IF(CurrentMtgRatesDataTable8[[#This Row],[Servicing Spread]]&lt;=0,L1291,CurrentMtgRatesDataTable8[[#This Row],[Servicing Spread]])</f>
        <v>1.1142499999999993</v>
      </c>
      <c r="M1292" s="66">
        <f>CurrentMtgRatesDataTable8[[#This Row],[Servicing Spread Non-Zero]]-L1291</f>
        <v>0</v>
      </c>
      <c r="N1292" s="66">
        <f>IF(J1291&lt;&gt;0,CurrentMtgRatesDataTable8[[#This Row],[Rate]]-C1291,N1291)</f>
        <v>-2.0000000000000462E-2</v>
      </c>
    </row>
    <row r="1293" spans="1:14">
      <c r="A1293" s="63" t="s">
        <v>2645</v>
      </c>
      <c r="B1293" s="64">
        <v>4.0049999999999999</v>
      </c>
      <c r="C1293" s="65">
        <v>5.0249999999999995</v>
      </c>
      <c r="D1293" s="66">
        <f t="shared" si="140"/>
        <v>2</v>
      </c>
      <c r="E1293" s="66">
        <f t="shared" si="141"/>
        <v>0.2</v>
      </c>
      <c r="F1293" s="66">
        <f t="shared" si="142"/>
        <v>2</v>
      </c>
      <c r="G1293" s="66">
        <f t="shared" si="143"/>
        <v>1.6106000000000003</v>
      </c>
      <c r="H1293" s="66">
        <f t="shared" si="144"/>
        <v>0.4</v>
      </c>
      <c r="I1293" s="66">
        <f t="shared" si="145"/>
        <v>0</v>
      </c>
      <c r="J1293" s="66">
        <f t="shared" si="146"/>
        <v>0</v>
      </c>
      <c r="K1293" s="66">
        <f>IF(CurrentMtgRatesDataTable8[[#This Row],[WA CC]]&lt;&gt;0,C1292-CurrentMtgRatesDataTable8[[#This Row],[WA CC]],0)</f>
        <v>0</v>
      </c>
      <c r="L1293" s="66">
        <f>IF(CurrentMtgRatesDataTable8[[#This Row],[Servicing Spread]]&lt;=0,L1292,CurrentMtgRatesDataTable8[[#This Row],[Servicing Spread]])</f>
        <v>1.1142499999999993</v>
      </c>
      <c r="M1293" s="66">
        <f>CurrentMtgRatesDataTable8[[#This Row],[Servicing Spread Non-Zero]]-L1292</f>
        <v>0</v>
      </c>
      <c r="N1293" s="66">
        <f>IF(J1292&lt;&gt;0,CurrentMtgRatesDataTable8[[#This Row],[Rate]]-C1292,N1292)</f>
        <v>-2.0000000000000462E-2</v>
      </c>
    </row>
    <row r="1294" spans="1:14">
      <c r="A1294" s="63" t="s">
        <v>2646</v>
      </c>
      <c r="B1294" s="64">
        <v>4.0199999999999996</v>
      </c>
      <c r="C1294" s="65">
        <v>5.0249999999999995</v>
      </c>
      <c r="D1294" s="66">
        <f t="shared" si="140"/>
        <v>5</v>
      </c>
      <c r="E1294" s="66">
        <f t="shared" si="141"/>
        <v>0.2</v>
      </c>
      <c r="F1294" s="66">
        <f t="shared" si="142"/>
        <v>3</v>
      </c>
      <c r="G1294" s="66">
        <f t="shared" si="143"/>
        <v>2.4146000000000001</v>
      </c>
      <c r="H1294" s="66">
        <f t="shared" si="144"/>
        <v>0.60000000000000009</v>
      </c>
      <c r="I1294" s="66">
        <f t="shared" si="145"/>
        <v>0</v>
      </c>
      <c r="J1294" s="66">
        <f t="shared" si="146"/>
        <v>0</v>
      </c>
      <c r="K1294" s="66">
        <f>IF(CurrentMtgRatesDataTable8[[#This Row],[WA CC]]&lt;&gt;0,C1293-CurrentMtgRatesDataTable8[[#This Row],[WA CC]],0)</f>
        <v>0</v>
      </c>
      <c r="L1294" s="66">
        <f>IF(CurrentMtgRatesDataTable8[[#This Row],[Servicing Spread]]&lt;=0,L1293,CurrentMtgRatesDataTable8[[#This Row],[Servicing Spread]])</f>
        <v>1.1142499999999993</v>
      </c>
      <c r="M1294" s="66">
        <f>CurrentMtgRatesDataTable8[[#This Row],[Servicing Spread Non-Zero]]-L1293</f>
        <v>0</v>
      </c>
      <c r="N1294" s="66">
        <f>IF(J1293&lt;&gt;0,CurrentMtgRatesDataTable8[[#This Row],[Rate]]-C1293,N1293)</f>
        <v>-2.0000000000000462E-2</v>
      </c>
    </row>
    <row r="1295" spans="1:14">
      <c r="A1295" s="63" t="s">
        <v>2647</v>
      </c>
      <c r="B1295" s="64">
        <v>3.911</v>
      </c>
      <c r="C1295" s="65">
        <v>5.0249999999999995</v>
      </c>
      <c r="D1295" s="66">
        <f t="shared" si="140"/>
        <v>6</v>
      </c>
      <c r="E1295" s="66">
        <f t="shared" si="141"/>
        <v>0.2</v>
      </c>
      <c r="F1295" s="66">
        <f t="shared" si="142"/>
        <v>4</v>
      </c>
      <c r="G1295" s="66">
        <f t="shared" si="143"/>
        <v>3.1968000000000001</v>
      </c>
      <c r="H1295" s="66">
        <f t="shared" si="144"/>
        <v>0.8</v>
      </c>
      <c r="I1295" s="66">
        <f t="shared" si="145"/>
        <v>0</v>
      </c>
      <c r="J1295" s="66">
        <f t="shared" si="146"/>
        <v>0</v>
      </c>
      <c r="K1295" s="66">
        <f>IF(CurrentMtgRatesDataTable8[[#This Row],[WA CC]]&lt;&gt;0,C1294-CurrentMtgRatesDataTable8[[#This Row],[WA CC]],0)</f>
        <v>0</v>
      </c>
      <c r="L1295" s="66">
        <f>IF(CurrentMtgRatesDataTable8[[#This Row],[Servicing Spread]]&lt;=0,L1294,CurrentMtgRatesDataTable8[[#This Row],[Servicing Spread]])</f>
        <v>1.1142499999999993</v>
      </c>
      <c r="M1295" s="66">
        <f>CurrentMtgRatesDataTable8[[#This Row],[Servicing Spread Non-Zero]]-L1294</f>
        <v>0</v>
      </c>
      <c r="N1295" s="66">
        <f>IF(J1294&lt;&gt;0,CurrentMtgRatesDataTable8[[#This Row],[Rate]]-C1294,N1294)</f>
        <v>-2.0000000000000462E-2</v>
      </c>
    </row>
    <row r="1296" spans="1:14">
      <c r="A1296" s="63" t="s">
        <v>2648</v>
      </c>
      <c r="B1296" s="64">
        <v>4.008</v>
      </c>
      <c r="C1296" s="65">
        <v>5.0249999999999995</v>
      </c>
      <c r="D1296" s="66">
        <f t="shared" si="140"/>
        <v>7</v>
      </c>
      <c r="E1296" s="66">
        <f t="shared" si="141"/>
        <v>0.2</v>
      </c>
      <c r="F1296" s="66">
        <f t="shared" si="142"/>
        <v>5</v>
      </c>
      <c r="G1296" s="66">
        <f t="shared" si="143"/>
        <v>3.9984000000000002</v>
      </c>
      <c r="H1296" s="66">
        <f t="shared" si="144"/>
        <v>1</v>
      </c>
      <c r="I1296" s="66">
        <f t="shared" si="145"/>
        <v>1</v>
      </c>
      <c r="J1296" s="66">
        <f t="shared" si="146"/>
        <v>3.9984000000000002</v>
      </c>
      <c r="K1296" s="66">
        <f>IF(CurrentMtgRatesDataTable8[[#This Row],[WA CC]]&lt;&gt;0,C1295-CurrentMtgRatesDataTable8[[#This Row],[WA CC]],0)</f>
        <v>1.0265999999999993</v>
      </c>
      <c r="L1296" s="66">
        <f>IF(CurrentMtgRatesDataTable8[[#This Row],[Servicing Spread]]&lt;=0,L1295,CurrentMtgRatesDataTable8[[#This Row],[Servicing Spread]])</f>
        <v>1.0265999999999993</v>
      </c>
      <c r="M1296" s="66">
        <f>CurrentMtgRatesDataTable8[[#This Row],[Servicing Spread Non-Zero]]-L1295</f>
        <v>-8.7650000000000006E-2</v>
      </c>
      <c r="N1296" s="66">
        <f>IF(J1295&lt;&gt;0,CurrentMtgRatesDataTable8[[#This Row],[Rate]]-C1295,N1295)</f>
        <v>-2.0000000000000462E-2</v>
      </c>
    </row>
    <row r="1297" spans="1:14">
      <c r="A1297" s="63" t="s">
        <v>2649</v>
      </c>
      <c r="B1297" s="64">
        <v>4.2939999999999996</v>
      </c>
      <c r="C1297" s="65">
        <v>5.2</v>
      </c>
      <c r="D1297" s="66">
        <f t="shared" si="140"/>
        <v>1</v>
      </c>
      <c r="E1297" s="66">
        <f t="shared" si="141"/>
        <v>0.2</v>
      </c>
      <c r="F1297" s="66">
        <f t="shared" si="142"/>
        <v>1</v>
      </c>
      <c r="G1297" s="66">
        <f t="shared" si="143"/>
        <v>0.85880000000000001</v>
      </c>
      <c r="H1297" s="66">
        <f t="shared" si="144"/>
        <v>0.2</v>
      </c>
      <c r="I1297" s="66">
        <f t="shared" si="145"/>
        <v>0</v>
      </c>
      <c r="J1297" s="66">
        <f t="shared" si="146"/>
        <v>0</v>
      </c>
      <c r="K1297" s="66">
        <f>IF(CurrentMtgRatesDataTable8[[#This Row],[WA CC]]&lt;&gt;0,C1296-CurrentMtgRatesDataTable8[[#This Row],[WA CC]],0)</f>
        <v>0</v>
      </c>
      <c r="L1297" s="66">
        <f>IF(CurrentMtgRatesDataTable8[[#This Row],[Servicing Spread]]&lt;=0,L1296,CurrentMtgRatesDataTable8[[#This Row],[Servicing Spread]])</f>
        <v>1.0265999999999993</v>
      </c>
      <c r="M1297" s="66">
        <f>CurrentMtgRatesDataTable8[[#This Row],[Servicing Spread Non-Zero]]-L1296</f>
        <v>0</v>
      </c>
      <c r="N1297" s="66">
        <f>IF(J1296&lt;&gt;0,CurrentMtgRatesDataTable8[[#This Row],[Rate]]-C1296,N1296)</f>
        <v>0.17500000000000071</v>
      </c>
    </row>
    <row r="1298" spans="1:14">
      <c r="A1298" s="63" t="s">
        <v>2650</v>
      </c>
      <c r="B1298" s="64">
        <v>4.2830000000000004</v>
      </c>
      <c r="C1298" s="65">
        <v>5.2</v>
      </c>
      <c r="D1298" s="66">
        <f t="shared" si="140"/>
        <v>2</v>
      </c>
      <c r="E1298" s="66">
        <f t="shared" si="141"/>
        <v>0.2</v>
      </c>
      <c r="F1298" s="66">
        <f t="shared" si="142"/>
        <v>2</v>
      </c>
      <c r="G1298" s="66">
        <f t="shared" si="143"/>
        <v>1.7154000000000003</v>
      </c>
      <c r="H1298" s="66">
        <f t="shared" si="144"/>
        <v>0.4</v>
      </c>
      <c r="I1298" s="66">
        <f t="shared" si="145"/>
        <v>0</v>
      </c>
      <c r="J1298" s="66">
        <f t="shared" si="146"/>
        <v>0</v>
      </c>
      <c r="K1298" s="66">
        <f>IF(CurrentMtgRatesDataTable8[[#This Row],[WA CC]]&lt;&gt;0,C1297-CurrentMtgRatesDataTable8[[#This Row],[WA CC]],0)</f>
        <v>0</v>
      </c>
      <c r="L1298" s="66">
        <f>IF(CurrentMtgRatesDataTable8[[#This Row],[Servicing Spread]]&lt;=0,L1297,CurrentMtgRatesDataTable8[[#This Row],[Servicing Spread]])</f>
        <v>1.0265999999999993</v>
      </c>
      <c r="M1298" s="66">
        <f>CurrentMtgRatesDataTable8[[#This Row],[Servicing Spread Non-Zero]]-L1297</f>
        <v>0</v>
      </c>
      <c r="N1298" s="66">
        <f>IF(J1297&lt;&gt;0,CurrentMtgRatesDataTable8[[#This Row],[Rate]]-C1297,N1297)</f>
        <v>0.17500000000000071</v>
      </c>
    </row>
    <row r="1299" spans="1:14">
      <c r="A1299" s="63" t="s">
        <v>2651</v>
      </c>
      <c r="B1299" s="64">
        <v>4.1539999999999999</v>
      </c>
      <c r="C1299" s="65">
        <v>5.2</v>
      </c>
      <c r="D1299" s="66">
        <f t="shared" si="140"/>
        <v>5</v>
      </c>
      <c r="E1299" s="66">
        <f t="shared" si="141"/>
        <v>0.2</v>
      </c>
      <c r="F1299" s="66">
        <f t="shared" si="142"/>
        <v>3</v>
      </c>
      <c r="G1299" s="66">
        <f t="shared" si="143"/>
        <v>2.5462000000000002</v>
      </c>
      <c r="H1299" s="66">
        <f t="shared" si="144"/>
        <v>0.60000000000000009</v>
      </c>
      <c r="I1299" s="66">
        <f t="shared" si="145"/>
        <v>0</v>
      </c>
      <c r="J1299" s="66">
        <f t="shared" si="146"/>
        <v>0</v>
      </c>
      <c r="K1299" s="66">
        <f>IF(CurrentMtgRatesDataTable8[[#This Row],[WA CC]]&lt;&gt;0,C1298-CurrentMtgRatesDataTable8[[#This Row],[WA CC]],0)</f>
        <v>0</v>
      </c>
      <c r="L1299" s="66">
        <f>IF(CurrentMtgRatesDataTable8[[#This Row],[Servicing Spread]]&lt;=0,L1298,CurrentMtgRatesDataTable8[[#This Row],[Servicing Spread]])</f>
        <v>1.0265999999999993</v>
      </c>
      <c r="M1299" s="66">
        <f>CurrentMtgRatesDataTable8[[#This Row],[Servicing Spread Non-Zero]]-L1298</f>
        <v>0</v>
      </c>
      <c r="N1299" s="66">
        <f>IF(J1298&lt;&gt;0,CurrentMtgRatesDataTable8[[#This Row],[Rate]]-C1298,N1298)</f>
        <v>0.17500000000000071</v>
      </c>
    </row>
    <row r="1300" spans="1:14">
      <c r="A1300" s="63" t="s">
        <v>2652</v>
      </c>
      <c r="B1300" s="64">
        <v>4.2880000000000003</v>
      </c>
      <c r="C1300" s="65">
        <v>5.2</v>
      </c>
      <c r="D1300" s="66">
        <f t="shared" si="140"/>
        <v>6</v>
      </c>
      <c r="E1300" s="66">
        <f t="shared" si="141"/>
        <v>0.2</v>
      </c>
      <c r="F1300" s="66">
        <f t="shared" si="142"/>
        <v>4</v>
      </c>
      <c r="G1300" s="66">
        <f t="shared" si="143"/>
        <v>3.4038000000000004</v>
      </c>
      <c r="H1300" s="66">
        <f t="shared" si="144"/>
        <v>0.8</v>
      </c>
      <c r="I1300" s="66">
        <f t="shared" si="145"/>
        <v>0</v>
      </c>
      <c r="J1300" s="66">
        <f t="shared" si="146"/>
        <v>0</v>
      </c>
      <c r="K1300" s="66">
        <f>IF(CurrentMtgRatesDataTable8[[#This Row],[WA CC]]&lt;&gt;0,C1299-CurrentMtgRatesDataTable8[[#This Row],[WA CC]],0)</f>
        <v>0</v>
      </c>
      <c r="L1300" s="66">
        <f>IF(CurrentMtgRatesDataTable8[[#This Row],[Servicing Spread]]&lt;=0,L1299,CurrentMtgRatesDataTable8[[#This Row],[Servicing Spread]])</f>
        <v>1.0265999999999993</v>
      </c>
      <c r="M1300" s="66">
        <f>CurrentMtgRatesDataTable8[[#This Row],[Servicing Spread Non-Zero]]-L1299</f>
        <v>0</v>
      </c>
      <c r="N1300" s="66">
        <f>IF(J1299&lt;&gt;0,CurrentMtgRatesDataTable8[[#This Row],[Rate]]-C1299,N1299)</f>
        <v>0.17500000000000071</v>
      </c>
    </row>
    <row r="1301" spans="1:14">
      <c r="A1301" s="63" t="s">
        <v>2653</v>
      </c>
      <c r="B1301" s="64">
        <v>4.3499999999999996</v>
      </c>
      <c r="C1301" s="65">
        <v>5.2</v>
      </c>
      <c r="D1301" s="66">
        <f t="shared" si="140"/>
        <v>7</v>
      </c>
      <c r="E1301" s="66">
        <f t="shared" si="141"/>
        <v>0.2</v>
      </c>
      <c r="F1301" s="66">
        <f t="shared" si="142"/>
        <v>5</v>
      </c>
      <c r="G1301" s="66">
        <f t="shared" si="143"/>
        <v>4.2738000000000005</v>
      </c>
      <c r="H1301" s="66">
        <f t="shared" si="144"/>
        <v>1</v>
      </c>
      <c r="I1301" s="66">
        <f t="shared" si="145"/>
        <v>1</v>
      </c>
      <c r="J1301" s="66">
        <f t="shared" si="146"/>
        <v>4.2738000000000005</v>
      </c>
      <c r="K1301" s="66">
        <f>IF(CurrentMtgRatesDataTable8[[#This Row],[WA CC]]&lt;&gt;0,C1300-CurrentMtgRatesDataTable8[[#This Row],[WA CC]],0)</f>
        <v>0.92619999999999969</v>
      </c>
      <c r="L1301" s="66">
        <f>IF(CurrentMtgRatesDataTable8[[#This Row],[Servicing Spread]]&lt;=0,L1300,CurrentMtgRatesDataTable8[[#This Row],[Servicing Spread]])</f>
        <v>0.92619999999999969</v>
      </c>
      <c r="M1301" s="66">
        <f>CurrentMtgRatesDataTable8[[#This Row],[Servicing Spread Non-Zero]]-L1300</f>
        <v>-0.1003999999999996</v>
      </c>
      <c r="N1301" s="66">
        <f>IF(J1300&lt;&gt;0,CurrentMtgRatesDataTable8[[#This Row],[Rate]]-C1300,N1300)</f>
        <v>0.17500000000000071</v>
      </c>
    </row>
    <row r="1302" spans="1:14">
      <c r="A1302" s="63" t="s">
        <v>2654</v>
      </c>
      <c r="B1302" s="64">
        <v>4.319</v>
      </c>
      <c r="C1302" s="65">
        <v>5.085</v>
      </c>
      <c r="D1302" s="66">
        <f t="shared" si="140"/>
        <v>1</v>
      </c>
      <c r="E1302" s="66">
        <f t="shared" si="141"/>
        <v>0.2</v>
      </c>
      <c r="F1302" s="66">
        <f t="shared" si="142"/>
        <v>1</v>
      </c>
      <c r="G1302" s="66">
        <f t="shared" si="143"/>
        <v>0.86380000000000001</v>
      </c>
      <c r="H1302" s="66">
        <f t="shared" si="144"/>
        <v>0.2</v>
      </c>
      <c r="I1302" s="66">
        <f t="shared" si="145"/>
        <v>0</v>
      </c>
      <c r="J1302" s="66">
        <f t="shared" si="146"/>
        <v>0</v>
      </c>
      <c r="K1302" s="66">
        <f>IF(CurrentMtgRatesDataTable8[[#This Row],[WA CC]]&lt;&gt;0,C1301-CurrentMtgRatesDataTable8[[#This Row],[WA CC]],0)</f>
        <v>0</v>
      </c>
      <c r="L1302" s="66">
        <f>IF(CurrentMtgRatesDataTable8[[#This Row],[Servicing Spread]]&lt;=0,L1301,CurrentMtgRatesDataTable8[[#This Row],[Servicing Spread]])</f>
        <v>0.92619999999999969</v>
      </c>
      <c r="M1302" s="66">
        <f>CurrentMtgRatesDataTable8[[#This Row],[Servicing Spread Non-Zero]]-L1301</f>
        <v>0</v>
      </c>
      <c r="N1302" s="66">
        <f>IF(J1301&lt;&gt;0,CurrentMtgRatesDataTable8[[#This Row],[Rate]]-C1301,N1301)</f>
        <v>-0.11500000000000021</v>
      </c>
    </row>
    <row r="1303" spans="1:14">
      <c r="A1303" s="63" t="s">
        <v>2655</v>
      </c>
      <c r="B1303" s="64">
        <v>4.3639999999999999</v>
      </c>
      <c r="C1303" s="65">
        <v>5.085</v>
      </c>
      <c r="D1303" s="66">
        <f t="shared" si="140"/>
        <v>2</v>
      </c>
      <c r="E1303" s="66">
        <f t="shared" si="141"/>
        <v>0.2</v>
      </c>
      <c r="F1303" s="66">
        <f t="shared" si="142"/>
        <v>2</v>
      </c>
      <c r="G1303" s="66">
        <f t="shared" si="143"/>
        <v>1.7366000000000001</v>
      </c>
      <c r="H1303" s="66">
        <f t="shared" si="144"/>
        <v>0.4</v>
      </c>
      <c r="I1303" s="66">
        <f t="shared" si="145"/>
        <v>0</v>
      </c>
      <c r="J1303" s="66">
        <f t="shared" si="146"/>
        <v>0</v>
      </c>
      <c r="K1303" s="66">
        <f>IF(CurrentMtgRatesDataTable8[[#This Row],[WA CC]]&lt;&gt;0,C1302-CurrentMtgRatesDataTable8[[#This Row],[WA CC]],0)</f>
        <v>0</v>
      </c>
      <c r="L1303" s="66">
        <f>IF(CurrentMtgRatesDataTable8[[#This Row],[Servicing Spread]]&lt;=0,L1302,CurrentMtgRatesDataTable8[[#This Row],[Servicing Spread]])</f>
        <v>0.92619999999999969</v>
      </c>
      <c r="M1303" s="66">
        <f>CurrentMtgRatesDataTable8[[#This Row],[Servicing Spread Non-Zero]]-L1302</f>
        <v>0</v>
      </c>
      <c r="N1303" s="66">
        <f>IF(J1302&lt;&gt;0,CurrentMtgRatesDataTable8[[#This Row],[Rate]]-C1302,N1302)</f>
        <v>-0.11500000000000021</v>
      </c>
    </row>
    <row r="1304" spans="1:14">
      <c r="A1304" s="39" t="s">
        <v>2656</v>
      </c>
      <c r="B1304" s="40">
        <v>4.3479999999999999</v>
      </c>
      <c r="C1304" s="11">
        <v>5.085</v>
      </c>
      <c r="D1304" s="16">
        <f t="shared" si="140"/>
        <v>5</v>
      </c>
      <c r="E1304" s="16">
        <f t="shared" si="141"/>
        <v>0.2</v>
      </c>
      <c r="F1304" s="16">
        <f t="shared" si="142"/>
        <v>3</v>
      </c>
      <c r="G1304" s="16">
        <f t="shared" si="143"/>
        <v>2.6062000000000003</v>
      </c>
      <c r="H1304" s="16">
        <f t="shared" si="144"/>
        <v>0.60000000000000009</v>
      </c>
      <c r="I1304" s="16">
        <f t="shared" si="145"/>
        <v>0</v>
      </c>
      <c r="J1304" s="16">
        <f t="shared" si="146"/>
        <v>0</v>
      </c>
      <c r="K1304" s="16">
        <f>IF(CurrentMtgRatesDataTable8[[#This Row],[WA CC]]&lt;&gt;0,C1303-CurrentMtgRatesDataTable8[[#This Row],[WA CC]],0)</f>
        <v>0</v>
      </c>
      <c r="L1304" s="16">
        <f>IF(CurrentMtgRatesDataTable8[[#This Row],[Servicing Spread]]&lt;=0,L1303,CurrentMtgRatesDataTable8[[#This Row],[Servicing Spread]])</f>
        <v>0.92619999999999969</v>
      </c>
      <c r="M1304" s="16">
        <f>CurrentMtgRatesDataTable8[[#This Row],[Servicing Spread Non-Zero]]-L1303</f>
        <v>0</v>
      </c>
      <c r="N1304" s="16">
        <f>IF(J1303&lt;&gt;0,CurrentMtgRatesDataTable8[[#This Row],[Rate]]-C1303,N1303)</f>
        <v>-0.11500000000000021</v>
      </c>
    </row>
    <row r="1305" spans="1:14">
      <c r="A1305" s="67" t="s">
        <v>2657</v>
      </c>
      <c r="B1305" s="68">
        <v>4.1550000000000002</v>
      </c>
      <c r="C1305" s="69">
        <v>5.085</v>
      </c>
      <c r="D1305" s="70">
        <f t="shared" si="140"/>
        <v>6</v>
      </c>
      <c r="E1305" s="70">
        <f t="shared" si="141"/>
        <v>0.2</v>
      </c>
      <c r="F1305" s="70">
        <f t="shared" si="142"/>
        <v>4</v>
      </c>
      <c r="G1305" s="70">
        <f t="shared" si="143"/>
        <v>3.4372000000000003</v>
      </c>
      <c r="H1305" s="70">
        <f t="shared" si="144"/>
        <v>0.8</v>
      </c>
      <c r="I1305" s="70">
        <f t="shared" si="145"/>
        <v>0</v>
      </c>
      <c r="J1305" s="70">
        <f t="shared" si="146"/>
        <v>0</v>
      </c>
      <c r="K1305" s="70">
        <f>IF(CurrentMtgRatesDataTable8[[#This Row],[WA CC]]&lt;&gt;0,C1304-CurrentMtgRatesDataTable8[[#This Row],[WA CC]],0)</f>
        <v>0</v>
      </c>
      <c r="L1305" s="70">
        <f>IF(CurrentMtgRatesDataTable8[[#This Row],[Servicing Spread]]&lt;=0,L1304,CurrentMtgRatesDataTable8[[#This Row],[Servicing Spread]])</f>
        <v>0.92619999999999969</v>
      </c>
      <c r="M1305" s="70">
        <f>CurrentMtgRatesDataTable8[[#This Row],[Servicing Spread Non-Zero]]-L1304</f>
        <v>0</v>
      </c>
      <c r="N1305" s="70">
        <f>IF(J1304&lt;&gt;0,CurrentMtgRatesDataTable8[[#This Row],[Rate]]-C1304,N1304)</f>
        <v>-0.11500000000000021</v>
      </c>
    </row>
    <row r="1306" spans="1:14">
      <c r="A1306" s="67" t="s">
        <v>2658</v>
      </c>
      <c r="B1306" s="68">
        <v>4.0730000000000004</v>
      </c>
      <c r="C1306" s="69">
        <v>5.085</v>
      </c>
      <c r="D1306" s="70">
        <f t="shared" si="140"/>
        <v>7</v>
      </c>
      <c r="E1306" s="70">
        <f t="shared" si="141"/>
        <v>0.2</v>
      </c>
      <c r="F1306" s="70">
        <f t="shared" si="142"/>
        <v>5</v>
      </c>
      <c r="G1306" s="70">
        <f t="shared" si="143"/>
        <v>4.2518000000000002</v>
      </c>
      <c r="H1306" s="70">
        <f t="shared" si="144"/>
        <v>1</v>
      </c>
      <c r="I1306" s="70">
        <f t="shared" si="145"/>
        <v>1</v>
      </c>
      <c r="J1306" s="70">
        <f t="shared" si="146"/>
        <v>4.2518000000000002</v>
      </c>
      <c r="K1306" s="70">
        <f>IF(CurrentMtgRatesDataTable8[[#This Row],[WA CC]]&lt;&gt;0,C1305-CurrentMtgRatesDataTable8[[#This Row],[WA CC]],0)</f>
        <v>0.83319999999999972</v>
      </c>
      <c r="L1306" s="70">
        <f>IF(CurrentMtgRatesDataTable8[[#This Row],[Servicing Spread]]&lt;=0,L1305,CurrentMtgRatesDataTable8[[#This Row],[Servicing Spread]])</f>
        <v>0.83319999999999972</v>
      </c>
      <c r="M1306" s="70">
        <f>CurrentMtgRatesDataTable8[[#This Row],[Servicing Spread Non-Zero]]-L1305</f>
        <v>-9.2999999999999972E-2</v>
      </c>
      <c r="N1306" s="70">
        <f>IF(J1305&lt;&gt;0,CurrentMtgRatesDataTable8[[#This Row],[Rate]]-C1305,N1305)</f>
        <v>-0.11500000000000021</v>
      </c>
    </row>
    <row r="1307" spans="1:14">
      <c r="A1307" s="67" t="s">
        <v>2659</v>
      </c>
      <c r="B1307" s="68">
        <v>4.056</v>
      </c>
      <c r="C1307" s="69">
        <v>4.9649999999999999</v>
      </c>
      <c r="D1307" s="70">
        <f t="shared" si="140"/>
        <v>1</v>
      </c>
      <c r="E1307" s="70">
        <f t="shared" si="141"/>
        <v>0.2</v>
      </c>
      <c r="F1307" s="70">
        <f t="shared" si="142"/>
        <v>1</v>
      </c>
      <c r="G1307" s="70">
        <f t="shared" si="143"/>
        <v>0.81120000000000003</v>
      </c>
      <c r="H1307" s="70">
        <f t="shared" si="144"/>
        <v>0.2</v>
      </c>
      <c r="I1307" s="70">
        <f t="shared" si="145"/>
        <v>0</v>
      </c>
      <c r="J1307" s="70">
        <f t="shared" si="146"/>
        <v>0</v>
      </c>
      <c r="K1307" s="70">
        <f>IF(CurrentMtgRatesDataTable8[[#This Row],[WA CC]]&lt;&gt;0,C1306-CurrentMtgRatesDataTable8[[#This Row],[WA CC]],0)</f>
        <v>0</v>
      </c>
      <c r="L1307" s="70">
        <f>IF(CurrentMtgRatesDataTable8[[#This Row],[Servicing Spread]]&lt;=0,L1306,CurrentMtgRatesDataTable8[[#This Row],[Servicing Spread]])</f>
        <v>0.83319999999999972</v>
      </c>
      <c r="M1307" s="70">
        <f>CurrentMtgRatesDataTable8[[#This Row],[Servicing Spread Non-Zero]]-L1306</f>
        <v>0</v>
      </c>
      <c r="N1307" s="70">
        <f>IF(J1306&lt;&gt;0,CurrentMtgRatesDataTable8[[#This Row],[Rate]]-C1306,N1306)</f>
        <v>-0.12000000000000011</v>
      </c>
    </row>
    <row r="1308" spans="1:14">
      <c r="A1308" s="67" t="s">
        <v>2660</v>
      </c>
      <c r="B1308" s="68">
        <v>4.2409999999999997</v>
      </c>
      <c r="C1308" s="69">
        <v>4.9649999999999999</v>
      </c>
      <c r="D1308" s="70">
        <f t="shared" si="140"/>
        <v>2</v>
      </c>
      <c r="E1308" s="70">
        <f t="shared" si="141"/>
        <v>0.2</v>
      </c>
      <c r="F1308" s="70">
        <f t="shared" si="142"/>
        <v>2</v>
      </c>
      <c r="G1308" s="70">
        <f t="shared" si="143"/>
        <v>1.6594</v>
      </c>
      <c r="H1308" s="70">
        <f t="shared" si="144"/>
        <v>0.4</v>
      </c>
      <c r="I1308" s="70">
        <f t="shared" si="145"/>
        <v>0</v>
      </c>
      <c r="J1308" s="70">
        <f t="shared" si="146"/>
        <v>0</v>
      </c>
      <c r="K1308" s="70">
        <f>IF(CurrentMtgRatesDataTable8[[#This Row],[WA CC]]&lt;&gt;0,C1307-CurrentMtgRatesDataTable8[[#This Row],[WA CC]],0)</f>
        <v>0</v>
      </c>
      <c r="L1308" s="70">
        <f>IF(CurrentMtgRatesDataTable8[[#This Row],[Servicing Spread]]&lt;=0,L1307,CurrentMtgRatesDataTable8[[#This Row],[Servicing Spread]])</f>
        <v>0.83319999999999972</v>
      </c>
      <c r="M1308" s="70">
        <f>CurrentMtgRatesDataTable8[[#This Row],[Servicing Spread Non-Zero]]-L1307</f>
        <v>0</v>
      </c>
      <c r="N1308" s="70">
        <f>IF(J1307&lt;&gt;0,CurrentMtgRatesDataTable8[[#This Row],[Rate]]-C1307,N1307)</f>
        <v>-0.12000000000000011</v>
      </c>
    </row>
    <row r="1309" spans="1:14">
      <c r="A1309" s="67" t="s">
        <v>2661</v>
      </c>
      <c r="B1309" s="68">
        <v>4.0990000000000002</v>
      </c>
      <c r="C1309" s="69">
        <v>4.9649999999999999</v>
      </c>
      <c r="D1309" s="70">
        <f t="shared" si="140"/>
        <v>6</v>
      </c>
      <c r="E1309" s="70">
        <f t="shared" si="141"/>
        <v>0.2</v>
      </c>
      <c r="F1309" s="70">
        <f t="shared" si="142"/>
        <v>3</v>
      </c>
      <c r="G1309" s="70">
        <f t="shared" si="143"/>
        <v>2.4792000000000001</v>
      </c>
      <c r="H1309" s="70">
        <f t="shared" si="144"/>
        <v>0.60000000000000009</v>
      </c>
      <c r="I1309" s="70">
        <f t="shared" si="145"/>
        <v>0</v>
      </c>
      <c r="J1309" s="70">
        <f t="shared" si="146"/>
        <v>0</v>
      </c>
      <c r="K1309" s="70">
        <f>IF(CurrentMtgRatesDataTable8[[#This Row],[WA CC]]&lt;&gt;0,C1308-CurrentMtgRatesDataTable8[[#This Row],[WA CC]],0)</f>
        <v>0</v>
      </c>
      <c r="L1309" s="70">
        <f>IF(CurrentMtgRatesDataTable8[[#This Row],[Servicing Spread]]&lt;=0,L1308,CurrentMtgRatesDataTable8[[#This Row],[Servicing Spread]])</f>
        <v>0.83319999999999972</v>
      </c>
      <c r="M1309" s="70">
        <f>CurrentMtgRatesDataTable8[[#This Row],[Servicing Spread Non-Zero]]-L1308</f>
        <v>0</v>
      </c>
      <c r="N1309" s="70">
        <f>IF(J1308&lt;&gt;0,CurrentMtgRatesDataTable8[[#This Row],[Rate]]-C1308,N1308)</f>
        <v>-0.12000000000000011</v>
      </c>
    </row>
    <row r="1310" spans="1:14">
      <c r="A1310" s="67" t="s">
        <v>2662</v>
      </c>
      <c r="B1310" s="68">
        <v>4.1230000000000002</v>
      </c>
      <c r="C1310" s="69">
        <v>4.9649999999999999</v>
      </c>
      <c r="D1310" s="70">
        <f t="shared" si="140"/>
        <v>7</v>
      </c>
      <c r="E1310" s="70">
        <f t="shared" si="141"/>
        <v>0.2</v>
      </c>
      <c r="F1310" s="70">
        <f t="shared" si="142"/>
        <v>4</v>
      </c>
      <c r="G1310" s="70">
        <f t="shared" si="143"/>
        <v>3.3038000000000003</v>
      </c>
      <c r="H1310" s="70">
        <f t="shared" si="144"/>
        <v>0.8</v>
      </c>
      <c r="I1310" s="70">
        <f t="shared" si="145"/>
        <v>1</v>
      </c>
      <c r="J1310" s="70">
        <f t="shared" si="146"/>
        <v>4.1297500000000005</v>
      </c>
      <c r="K1310" s="70">
        <f>IF(CurrentMtgRatesDataTable8[[#This Row],[WA CC]]&lt;&gt;0,C1309-CurrentMtgRatesDataTable8[[#This Row],[WA CC]],0)</f>
        <v>0.83524999999999938</v>
      </c>
      <c r="L1310" s="70">
        <f>IF(CurrentMtgRatesDataTable8[[#This Row],[Servicing Spread]]&lt;=0,L1309,CurrentMtgRatesDataTable8[[#This Row],[Servicing Spread]])</f>
        <v>0.83524999999999938</v>
      </c>
      <c r="M1310" s="70">
        <f>CurrentMtgRatesDataTable8[[#This Row],[Servicing Spread Non-Zero]]-L1309</f>
        <v>2.0499999999996632E-3</v>
      </c>
      <c r="N1310" s="70">
        <f>IF(J1309&lt;&gt;0,CurrentMtgRatesDataTable8[[#This Row],[Rate]]-C1309,N1309)</f>
        <v>-0.12000000000000011</v>
      </c>
    </row>
    <row r="1311" spans="1:14">
      <c r="A1311" s="67" t="s">
        <v>2663</v>
      </c>
      <c r="B1311" s="68">
        <v>4.2430000000000003</v>
      </c>
      <c r="C1311" s="69">
        <v>4.9950000000000001</v>
      </c>
      <c r="D1311" s="70">
        <f t="shared" si="140"/>
        <v>1</v>
      </c>
      <c r="E1311" s="70">
        <f t="shared" si="141"/>
        <v>0.2</v>
      </c>
      <c r="F1311" s="70">
        <f t="shared" si="142"/>
        <v>1</v>
      </c>
      <c r="G1311" s="70">
        <f t="shared" si="143"/>
        <v>0.84860000000000013</v>
      </c>
      <c r="H1311" s="70">
        <f t="shared" si="144"/>
        <v>0.2</v>
      </c>
      <c r="I1311" s="70">
        <f t="shared" si="145"/>
        <v>0</v>
      </c>
      <c r="J1311" s="70">
        <f t="shared" si="146"/>
        <v>0</v>
      </c>
      <c r="K1311" s="70">
        <f>IF(CurrentMtgRatesDataTable8[[#This Row],[WA CC]]&lt;&gt;0,C1310-CurrentMtgRatesDataTable8[[#This Row],[WA CC]],0)</f>
        <v>0</v>
      </c>
      <c r="L1311" s="70">
        <f>IF(CurrentMtgRatesDataTable8[[#This Row],[Servicing Spread]]&lt;=0,L1310,CurrentMtgRatesDataTable8[[#This Row],[Servicing Spread]])</f>
        <v>0.83524999999999938</v>
      </c>
      <c r="M1311" s="70">
        <f>CurrentMtgRatesDataTable8[[#This Row],[Servicing Spread Non-Zero]]-L1310</f>
        <v>0</v>
      </c>
      <c r="N1311" s="70">
        <f>IF(J1310&lt;&gt;0,CurrentMtgRatesDataTable8[[#This Row],[Rate]]-C1310,N1310)</f>
        <v>3.0000000000000249E-2</v>
      </c>
    </row>
    <row r="1312" spans="1:14">
      <c r="A1312" s="67" t="s">
        <v>2664</v>
      </c>
      <c r="B1312" s="68">
        <v>4.1950000000000003</v>
      </c>
      <c r="C1312" s="69">
        <v>4.9950000000000001</v>
      </c>
      <c r="D1312" s="70">
        <f t="shared" si="140"/>
        <v>2</v>
      </c>
      <c r="E1312" s="70">
        <f t="shared" si="141"/>
        <v>0.2</v>
      </c>
      <c r="F1312" s="70">
        <f t="shared" si="142"/>
        <v>2</v>
      </c>
      <c r="G1312" s="70">
        <f t="shared" si="143"/>
        <v>1.6876000000000002</v>
      </c>
      <c r="H1312" s="70">
        <f t="shared" si="144"/>
        <v>0.4</v>
      </c>
      <c r="I1312" s="70">
        <f t="shared" si="145"/>
        <v>0</v>
      </c>
      <c r="J1312" s="70">
        <f t="shared" si="146"/>
        <v>0</v>
      </c>
      <c r="K1312" s="70">
        <f>IF(CurrentMtgRatesDataTable8[[#This Row],[WA CC]]&lt;&gt;0,C1311-CurrentMtgRatesDataTable8[[#This Row],[WA CC]],0)</f>
        <v>0</v>
      </c>
      <c r="L1312" s="70">
        <f>IF(CurrentMtgRatesDataTable8[[#This Row],[Servicing Spread]]&lt;=0,L1311,CurrentMtgRatesDataTable8[[#This Row],[Servicing Spread]])</f>
        <v>0.83524999999999938</v>
      </c>
      <c r="M1312" s="70">
        <f>CurrentMtgRatesDataTable8[[#This Row],[Servicing Spread Non-Zero]]-L1311</f>
        <v>0</v>
      </c>
      <c r="N1312" s="70">
        <f>IF(J1311&lt;&gt;0,CurrentMtgRatesDataTable8[[#This Row],[Rate]]-C1311,N1311)</f>
        <v>3.0000000000000249E-2</v>
      </c>
    </row>
    <row r="1313" spans="1:14">
      <c r="A1313" s="67" t="s">
        <v>2665</v>
      </c>
      <c r="B1313" s="68">
        <v>4.2320000000000002</v>
      </c>
      <c r="C1313" s="69">
        <v>4.9950000000000001</v>
      </c>
      <c r="D1313" s="70">
        <f t="shared" si="140"/>
        <v>5</v>
      </c>
      <c r="E1313" s="70">
        <f t="shared" si="141"/>
        <v>0.2</v>
      </c>
      <c r="F1313" s="70">
        <f t="shared" si="142"/>
        <v>3</v>
      </c>
      <c r="G1313" s="70">
        <f t="shared" si="143"/>
        <v>2.5340000000000003</v>
      </c>
      <c r="H1313" s="70">
        <f t="shared" si="144"/>
        <v>0.60000000000000009</v>
      </c>
      <c r="I1313" s="70">
        <f t="shared" si="145"/>
        <v>0</v>
      </c>
      <c r="J1313" s="70">
        <f t="shared" si="146"/>
        <v>0</v>
      </c>
      <c r="K1313" s="70">
        <f>IF(CurrentMtgRatesDataTable8[[#This Row],[WA CC]]&lt;&gt;0,C1312-CurrentMtgRatesDataTable8[[#This Row],[WA CC]],0)</f>
        <v>0</v>
      </c>
      <c r="L1313" s="70">
        <f>IF(CurrentMtgRatesDataTable8[[#This Row],[Servicing Spread]]&lt;=0,L1312,CurrentMtgRatesDataTable8[[#This Row],[Servicing Spread]])</f>
        <v>0.83524999999999938</v>
      </c>
      <c r="M1313" s="70">
        <f>CurrentMtgRatesDataTable8[[#This Row],[Servicing Spread Non-Zero]]-L1312</f>
        <v>0</v>
      </c>
      <c r="N1313" s="70">
        <f>IF(J1312&lt;&gt;0,CurrentMtgRatesDataTable8[[#This Row],[Rate]]-C1312,N1312)</f>
        <v>3.0000000000000249E-2</v>
      </c>
    </row>
    <row r="1314" spans="1:14">
      <c r="A1314" s="67" t="s">
        <v>2666</v>
      </c>
      <c r="B1314" s="68">
        <v>4.2850000000000001</v>
      </c>
      <c r="C1314" s="69">
        <v>4.9950000000000001</v>
      </c>
      <c r="D1314" s="70">
        <f t="shared" si="140"/>
        <v>6</v>
      </c>
      <c r="E1314" s="70">
        <f t="shared" si="141"/>
        <v>0.2</v>
      </c>
      <c r="F1314" s="70">
        <f t="shared" si="142"/>
        <v>4</v>
      </c>
      <c r="G1314" s="70">
        <f t="shared" si="143"/>
        <v>3.3910000000000005</v>
      </c>
      <c r="H1314" s="70">
        <f t="shared" si="144"/>
        <v>0.8</v>
      </c>
      <c r="I1314" s="70">
        <f t="shared" si="145"/>
        <v>0</v>
      </c>
      <c r="J1314" s="70">
        <f t="shared" si="146"/>
        <v>0</v>
      </c>
      <c r="K1314" s="70">
        <f>IF(CurrentMtgRatesDataTable8[[#This Row],[WA CC]]&lt;&gt;0,C1313-CurrentMtgRatesDataTable8[[#This Row],[WA CC]],0)</f>
        <v>0</v>
      </c>
      <c r="L1314" s="70">
        <f>IF(CurrentMtgRatesDataTable8[[#This Row],[Servicing Spread]]&lt;=0,L1313,CurrentMtgRatesDataTable8[[#This Row],[Servicing Spread]])</f>
        <v>0.83524999999999938</v>
      </c>
      <c r="M1314" s="70">
        <f>CurrentMtgRatesDataTable8[[#This Row],[Servicing Spread Non-Zero]]-L1313</f>
        <v>0</v>
      </c>
      <c r="N1314" s="70">
        <f>IF(J1313&lt;&gt;0,CurrentMtgRatesDataTable8[[#This Row],[Rate]]-C1313,N1313)</f>
        <v>3.0000000000000249E-2</v>
      </c>
    </row>
    <row r="1315" spans="1:14">
      <c r="A1315" s="67" t="s">
        <v>2667</v>
      </c>
      <c r="B1315" s="68">
        <v>4.407</v>
      </c>
      <c r="C1315" s="69">
        <v>4.9950000000000001</v>
      </c>
      <c r="D1315" s="70">
        <f t="shared" si="140"/>
        <v>7</v>
      </c>
      <c r="E1315" s="70">
        <f t="shared" si="141"/>
        <v>0.2</v>
      </c>
      <c r="F1315" s="70">
        <f t="shared" si="142"/>
        <v>5</v>
      </c>
      <c r="G1315" s="70">
        <f t="shared" si="143"/>
        <v>4.2724000000000002</v>
      </c>
      <c r="H1315" s="70">
        <f t="shared" si="144"/>
        <v>1</v>
      </c>
      <c r="I1315" s="70">
        <f t="shared" si="145"/>
        <v>1</v>
      </c>
      <c r="J1315" s="70">
        <f t="shared" si="146"/>
        <v>4.2724000000000002</v>
      </c>
      <c r="K1315" s="70">
        <f>IF(CurrentMtgRatesDataTable8[[#This Row],[WA CC]]&lt;&gt;0,C1314-CurrentMtgRatesDataTable8[[#This Row],[WA CC]],0)</f>
        <v>0.72259999999999991</v>
      </c>
      <c r="L1315" s="70">
        <f>IF(CurrentMtgRatesDataTable8[[#This Row],[Servicing Spread]]&lt;=0,L1314,CurrentMtgRatesDataTable8[[#This Row],[Servicing Spread]])</f>
        <v>0.72259999999999991</v>
      </c>
      <c r="M1315" s="70">
        <f>CurrentMtgRatesDataTable8[[#This Row],[Servicing Spread Non-Zero]]-L1314</f>
        <v>-0.11264999999999947</v>
      </c>
      <c r="N1315" s="70">
        <f>IF(J1314&lt;&gt;0,CurrentMtgRatesDataTable8[[#This Row],[Rate]]-C1314,N1314)</f>
        <v>3.0000000000000249E-2</v>
      </c>
    </row>
    <row r="1316" spans="1:14">
      <c r="A1316" s="67" t="s">
        <v>2668</v>
      </c>
      <c r="B1316" s="68">
        <v>4.4189999999999996</v>
      </c>
      <c r="C1316" s="69">
        <v>5.0750000000000002</v>
      </c>
      <c r="D1316" s="70">
        <f t="shared" si="140"/>
        <v>1</v>
      </c>
      <c r="E1316" s="70">
        <f t="shared" si="141"/>
        <v>0.2</v>
      </c>
      <c r="F1316" s="70">
        <f t="shared" si="142"/>
        <v>1</v>
      </c>
      <c r="G1316" s="70">
        <f t="shared" si="143"/>
        <v>0.88379999999999992</v>
      </c>
      <c r="H1316" s="70">
        <f t="shared" si="144"/>
        <v>0.2</v>
      </c>
      <c r="I1316" s="70">
        <f t="shared" si="145"/>
        <v>0</v>
      </c>
      <c r="J1316" s="70">
        <f t="shared" si="146"/>
        <v>0</v>
      </c>
      <c r="K1316" s="70">
        <f>IF(CurrentMtgRatesDataTable8[[#This Row],[WA CC]]&lt;&gt;0,C1315-CurrentMtgRatesDataTable8[[#This Row],[WA CC]],0)</f>
        <v>0</v>
      </c>
      <c r="L1316" s="70">
        <f>IF(CurrentMtgRatesDataTable8[[#This Row],[Servicing Spread]]&lt;=0,L1315,CurrentMtgRatesDataTable8[[#This Row],[Servicing Spread]])</f>
        <v>0.72259999999999991</v>
      </c>
      <c r="M1316" s="70">
        <f>CurrentMtgRatesDataTable8[[#This Row],[Servicing Spread Non-Zero]]-L1315</f>
        <v>0</v>
      </c>
      <c r="N1316" s="70">
        <f>IF(J1315&lt;&gt;0,CurrentMtgRatesDataTable8[[#This Row],[Rate]]-C1315,N1315)</f>
        <v>8.0000000000000071E-2</v>
      </c>
    </row>
    <row r="1317" spans="1:14">
      <c r="A1317" s="67" t="s">
        <v>2669</v>
      </c>
      <c r="B1317" s="68">
        <v>4.4569999999999999</v>
      </c>
      <c r="C1317" s="69">
        <v>5.0750000000000002</v>
      </c>
      <c r="D1317" s="70">
        <f t="shared" si="140"/>
        <v>2</v>
      </c>
      <c r="E1317" s="70">
        <f t="shared" si="141"/>
        <v>0.2</v>
      </c>
      <c r="F1317" s="70">
        <f t="shared" si="142"/>
        <v>2</v>
      </c>
      <c r="G1317" s="70">
        <f t="shared" si="143"/>
        <v>1.7751999999999999</v>
      </c>
      <c r="H1317" s="70">
        <f t="shared" si="144"/>
        <v>0.4</v>
      </c>
      <c r="I1317" s="70">
        <f t="shared" si="145"/>
        <v>0</v>
      </c>
      <c r="J1317" s="70">
        <f t="shared" si="146"/>
        <v>0</v>
      </c>
      <c r="K1317" s="70">
        <f>IF(CurrentMtgRatesDataTable8[[#This Row],[WA CC]]&lt;&gt;0,C1316-CurrentMtgRatesDataTable8[[#This Row],[WA CC]],0)</f>
        <v>0</v>
      </c>
      <c r="L1317" s="70">
        <f>IF(CurrentMtgRatesDataTable8[[#This Row],[Servicing Spread]]&lt;=0,L1316,CurrentMtgRatesDataTable8[[#This Row],[Servicing Spread]])</f>
        <v>0.72259999999999991</v>
      </c>
      <c r="M1317" s="70">
        <f>CurrentMtgRatesDataTable8[[#This Row],[Servicing Spread Non-Zero]]-L1316</f>
        <v>0</v>
      </c>
      <c r="N1317" s="70">
        <f>IF(J1316&lt;&gt;0,CurrentMtgRatesDataTable8[[#This Row],[Rate]]-C1316,N1316)</f>
        <v>8.0000000000000071E-2</v>
      </c>
    </row>
    <row r="1318" spans="1:14">
      <c r="A1318" s="67" t="s">
        <v>2670</v>
      </c>
      <c r="B1318" s="68">
        <v>4.4009999999999998</v>
      </c>
      <c r="C1318" s="69">
        <v>5.0750000000000002</v>
      </c>
      <c r="D1318" s="70">
        <f t="shared" si="140"/>
        <v>5</v>
      </c>
      <c r="E1318" s="70">
        <f t="shared" si="141"/>
        <v>0.2</v>
      </c>
      <c r="F1318" s="70">
        <f t="shared" si="142"/>
        <v>3</v>
      </c>
      <c r="G1318" s="70">
        <f t="shared" si="143"/>
        <v>2.6553999999999998</v>
      </c>
      <c r="H1318" s="70">
        <f t="shared" si="144"/>
        <v>0.60000000000000009</v>
      </c>
      <c r="I1318" s="70">
        <f t="shared" si="145"/>
        <v>0</v>
      </c>
      <c r="J1318" s="70">
        <f t="shared" si="146"/>
        <v>0</v>
      </c>
      <c r="K1318" s="70">
        <f>IF(CurrentMtgRatesDataTable8[[#This Row],[WA CC]]&lt;&gt;0,C1317-CurrentMtgRatesDataTable8[[#This Row],[WA CC]],0)</f>
        <v>0</v>
      </c>
      <c r="L1318" s="70">
        <f>IF(CurrentMtgRatesDataTable8[[#This Row],[Servicing Spread]]&lt;=0,L1317,CurrentMtgRatesDataTable8[[#This Row],[Servicing Spread]])</f>
        <v>0.72259999999999991</v>
      </c>
      <c r="M1318" s="70">
        <f>CurrentMtgRatesDataTable8[[#This Row],[Servicing Spread Non-Zero]]-L1317</f>
        <v>0</v>
      </c>
      <c r="N1318" s="70">
        <f>IF(J1317&lt;&gt;0,CurrentMtgRatesDataTable8[[#This Row],[Rate]]-C1317,N1317)</f>
        <v>8.0000000000000071E-2</v>
      </c>
    </row>
    <row r="1319" spans="1:14">
      <c r="A1319" s="67" t="s">
        <v>2671</v>
      </c>
      <c r="B1319" s="68">
        <v>4.3639999999999999</v>
      </c>
      <c r="C1319" s="69">
        <v>5.0750000000000002</v>
      </c>
      <c r="D1319" s="70">
        <f t="shared" si="140"/>
        <v>6</v>
      </c>
      <c r="E1319" s="70">
        <f t="shared" si="141"/>
        <v>0.2</v>
      </c>
      <c r="F1319" s="70">
        <f t="shared" si="142"/>
        <v>4</v>
      </c>
      <c r="G1319" s="70">
        <f t="shared" si="143"/>
        <v>3.5282</v>
      </c>
      <c r="H1319" s="70">
        <f t="shared" si="144"/>
        <v>0.8</v>
      </c>
      <c r="I1319" s="70">
        <f t="shared" si="145"/>
        <v>0</v>
      </c>
      <c r="J1319" s="70">
        <f t="shared" si="146"/>
        <v>0</v>
      </c>
      <c r="K1319" s="70">
        <f>IF(CurrentMtgRatesDataTable8[[#This Row],[WA CC]]&lt;&gt;0,C1318-CurrentMtgRatesDataTable8[[#This Row],[WA CC]],0)</f>
        <v>0</v>
      </c>
      <c r="L1319" s="70">
        <f>IF(CurrentMtgRatesDataTable8[[#This Row],[Servicing Spread]]&lt;=0,L1318,CurrentMtgRatesDataTable8[[#This Row],[Servicing Spread]])</f>
        <v>0.72259999999999991</v>
      </c>
      <c r="M1319" s="70">
        <f>CurrentMtgRatesDataTable8[[#This Row],[Servicing Spread Non-Zero]]-L1318</f>
        <v>0</v>
      </c>
      <c r="N1319" s="70">
        <f>IF(J1318&lt;&gt;0,CurrentMtgRatesDataTable8[[#This Row],[Rate]]-C1318,N1318)</f>
        <v>8.0000000000000071E-2</v>
      </c>
    </row>
    <row r="1320" spans="1:14">
      <c r="A1320" s="67" t="s">
        <v>2672</v>
      </c>
      <c r="B1320" s="68">
        <v>4.3940000000000001</v>
      </c>
      <c r="C1320" s="69">
        <v>5.0750000000000002</v>
      </c>
      <c r="D1320" s="70">
        <f t="shared" si="140"/>
        <v>7</v>
      </c>
      <c r="E1320" s="70">
        <f t="shared" si="141"/>
        <v>0.2</v>
      </c>
      <c r="F1320" s="70">
        <f t="shared" si="142"/>
        <v>5</v>
      </c>
      <c r="G1320" s="70">
        <f t="shared" si="143"/>
        <v>4.407</v>
      </c>
      <c r="H1320" s="70">
        <f t="shared" si="144"/>
        <v>1</v>
      </c>
      <c r="I1320" s="70">
        <f t="shared" si="145"/>
        <v>1</v>
      </c>
      <c r="J1320" s="70">
        <f t="shared" si="146"/>
        <v>4.407</v>
      </c>
      <c r="K1320" s="70">
        <f>IF(CurrentMtgRatesDataTable8[[#This Row],[WA CC]]&lt;&gt;0,C1319-CurrentMtgRatesDataTable8[[#This Row],[WA CC]],0)</f>
        <v>0.66800000000000015</v>
      </c>
      <c r="L1320" s="70">
        <f>IF(CurrentMtgRatesDataTable8[[#This Row],[Servicing Spread]]&lt;=0,L1319,CurrentMtgRatesDataTable8[[#This Row],[Servicing Spread]])</f>
        <v>0.66800000000000015</v>
      </c>
      <c r="M1320" s="70">
        <f>CurrentMtgRatesDataTable8[[#This Row],[Servicing Spread Non-Zero]]-L1319</f>
        <v>-5.459999999999976E-2</v>
      </c>
      <c r="N1320" s="70">
        <f>IF(J1319&lt;&gt;0,CurrentMtgRatesDataTable8[[#This Row],[Rate]]-C1319,N1319)</f>
        <v>8.0000000000000071E-2</v>
      </c>
    </row>
    <row r="1321" spans="1:14">
      <c r="A1321" s="67" t="s">
        <v>2673</v>
      </c>
      <c r="B1321" s="68">
        <v>4.2290000000000001</v>
      </c>
      <c r="C1321" s="69">
        <v>4.9550000000000001</v>
      </c>
      <c r="D1321" s="70">
        <f t="shared" si="140"/>
        <v>1</v>
      </c>
      <c r="E1321" s="70">
        <f t="shared" si="141"/>
        <v>0.2</v>
      </c>
      <c r="F1321" s="70">
        <f t="shared" si="142"/>
        <v>1</v>
      </c>
      <c r="G1321" s="70">
        <f t="shared" si="143"/>
        <v>0.84580000000000011</v>
      </c>
      <c r="H1321" s="70">
        <f t="shared" si="144"/>
        <v>0.2</v>
      </c>
      <c r="I1321" s="70">
        <f t="shared" si="145"/>
        <v>0</v>
      </c>
      <c r="J1321" s="70">
        <f t="shared" si="146"/>
        <v>0</v>
      </c>
      <c r="K1321" s="70">
        <f>IF(CurrentMtgRatesDataTable8[[#This Row],[WA CC]]&lt;&gt;0,C1320-CurrentMtgRatesDataTable8[[#This Row],[WA CC]],0)</f>
        <v>0</v>
      </c>
      <c r="L1321" s="70">
        <f>IF(CurrentMtgRatesDataTable8[[#This Row],[Servicing Spread]]&lt;=0,L1320,CurrentMtgRatesDataTable8[[#This Row],[Servicing Spread]])</f>
        <v>0.66800000000000015</v>
      </c>
      <c r="M1321" s="70">
        <f>CurrentMtgRatesDataTable8[[#This Row],[Servicing Spread Non-Zero]]-L1320</f>
        <v>0</v>
      </c>
      <c r="N1321" s="70">
        <f>IF(J1320&lt;&gt;0,CurrentMtgRatesDataTable8[[#This Row],[Rate]]-C1320,N1320)</f>
        <v>-0.12000000000000011</v>
      </c>
    </row>
    <row r="1322" spans="1:14">
      <c r="A1322" s="67" t="s">
        <v>2674</v>
      </c>
      <c r="B1322" s="68">
        <v>4.218</v>
      </c>
      <c r="C1322" s="69">
        <v>4.9550000000000001</v>
      </c>
      <c r="D1322" s="70">
        <f t="shared" si="140"/>
        <v>2</v>
      </c>
      <c r="E1322" s="70">
        <f t="shared" si="141"/>
        <v>0.2</v>
      </c>
      <c r="F1322" s="70">
        <f t="shared" si="142"/>
        <v>2</v>
      </c>
      <c r="G1322" s="70">
        <f t="shared" si="143"/>
        <v>1.6894</v>
      </c>
      <c r="H1322" s="70">
        <f t="shared" si="144"/>
        <v>0.4</v>
      </c>
      <c r="I1322" s="70">
        <f t="shared" si="145"/>
        <v>0</v>
      </c>
      <c r="J1322" s="70">
        <f t="shared" si="146"/>
        <v>0</v>
      </c>
      <c r="K1322" s="70">
        <f>IF(CurrentMtgRatesDataTable8[[#This Row],[WA CC]]&lt;&gt;0,C1321-CurrentMtgRatesDataTable8[[#This Row],[WA CC]],0)</f>
        <v>0</v>
      </c>
      <c r="L1322" s="70">
        <f>IF(CurrentMtgRatesDataTable8[[#This Row],[Servicing Spread]]&lt;=0,L1321,CurrentMtgRatesDataTable8[[#This Row],[Servicing Spread]])</f>
        <v>0.66800000000000015</v>
      </c>
      <c r="M1322" s="70">
        <f>CurrentMtgRatesDataTable8[[#This Row],[Servicing Spread Non-Zero]]-L1321</f>
        <v>0</v>
      </c>
      <c r="N1322" s="70">
        <f>IF(J1321&lt;&gt;0,CurrentMtgRatesDataTable8[[#This Row],[Rate]]-C1321,N1321)</f>
        <v>-0.12000000000000011</v>
      </c>
    </row>
    <row r="1323" spans="1:14">
      <c r="A1323" s="67" t="s">
        <v>2675</v>
      </c>
      <c r="B1323" s="68">
        <v>4.2649999999999997</v>
      </c>
      <c r="C1323" s="69">
        <v>4.9550000000000001</v>
      </c>
      <c r="D1323" s="70">
        <f t="shared" si="140"/>
        <v>5</v>
      </c>
      <c r="E1323" s="70">
        <f t="shared" si="141"/>
        <v>0.2</v>
      </c>
      <c r="F1323" s="70">
        <f t="shared" si="142"/>
        <v>3</v>
      </c>
      <c r="G1323" s="70">
        <f t="shared" si="143"/>
        <v>2.5423999999999998</v>
      </c>
      <c r="H1323" s="70">
        <f t="shared" si="144"/>
        <v>0.60000000000000009</v>
      </c>
      <c r="I1323" s="70">
        <f t="shared" si="145"/>
        <v>0</v>
      </c>
      <c r="J1323" s="70">
        <f t="shared" si="146"/>
        <v>0</v>
      </c>
      <c r="K1323" s="70">
        <f>IF(CurrentMtgRatesDataTable8[[#This Row],[WA CC]]&lt;&gt;0,C1322-CurrentMtgRatesDataTable8[[#This Row],[WA CC]],0)</f>
        <v>0</v>
      </c>
      <c r="L1323" s="70">
        <f>IF(CurrentMtgRatesDataTable8[[#This Row],[Servicing Spread]]&lt;=0,L1322,CurrentMtgRatesDataTable8[[#This Row],[Servicing Spread]])</f>
        <v>0.66800000000000015</v>
      </c>
      <c r="M1323" s="70">
        <f>CurrentMtgRatesDataTable8[[#This Row],[Servicing Spread Non-Zero]]-L1322</f>
        <v>0</v>
      </c>
      <c r="N1323" s="70">
        <f>IF(J1322&lt;&gt;0,CurrentMtgRatesDataTable8[[#This Row],[Rate]]-C1322,N1322)</f>
        <v>-0.12000000000000011</v>
      </c>
    </row>
    <row r="1324" spans="1:14">
      <c r="A1324" s="67" t="s">
        <v>2676</v>
      </c>
      <c r="B1324" s="68">
        <v>4.2789999999999999</v>
      </c>
      <c r="C1324" s="69">
        <v>4.9550000000000001</v>
      </c>
      <c r="D1324" s="70">
        <f t="shared" si="140"/>
        <v>6</v>
      </c>
      <c r="E1324" s="70">
        <f t="shared" si="141"/>
        <v>0.2</v>
      </c>
      <c r="F1324" s="70">
        <f t="shared" si="142"/>
        <v>4</v>
      </c>
      <c r="G1324" s="70">
        <f t="shared" si="143"/>
        <v>3.3981999999999997</v>
      </c>
      <c r="H1324" s="70">
        <f t="shared" si="144"/>
        <v>0.8</v>
      </c>
      <c r="I1324" s="70">
        <f t="shared" si="145"/>
        <v>0</v>
      </c>
      <c r="J1324" s="70">
        <f t="shared" si="146"/>
        <v>0</v>
      </c>
      <c r="K1324" s="70">
        <f>IF(CurrentMtgRatesDataTable8[[#This Row],[WA CC]]&lt;&gt;0,C1323-CurrentMtgRatesDataTable8[[#This Row],[WA CC]],0)</f>
        <v>0</v>
      </c>
      <c r="L1324" s="70">
        <f>IF(CurrentMtgRatesDataTable8[[#This Row],[Servicing Spread]]&lt;=0,L1323,CurrentMtgRatesDataTable8[[#This Row],[Servicing Spread]])</f>
        <v>0.66800000000000015</v>
      </c>
      <c r="M1324" s="70">
        <f>CurrentMtgRatesDataTable8[[#This Row],[Servicing Spread Non-Zero]]-L1323</f>
        <v>0</v>
      </c>
      <c r="N1324" s="70">
        <f>IF(J1323&lt;&gt;0,CurrentMtgRatesDataTable8[[#This Row],[Rate]]-C1323,N1323)</f>
        <v>-0.12000000000000011</v>
      </c>
    </row>
    <row r="1325" spans="1:14">
      <c r="A1325" s="67" t="s">
        <v>2677</v>
      </c>
      <c r="B1325" s="68">
        <v>4.2240000000000002</v>
      </c>
      <c r="C1325" s="69">
        <v>4.9550000000000001</v>
      </c>
      <c r="D1325" s="70">
        <f t="shared" si="140"/>
        <v>7</v>
      </c>
      <c r="E1325" s="70">
        <f t="shared" si="141"/>
        <v>0.2</v>
      </c>
      <c r="F1325" s="70">
        <f t="shared" si="142"/>
        <v>5</v>
      </c>
      <c r="G1325" s="70">
        <f t="shared" si="143"/>
        <v>4.2429999999999994</v>
      </c>
      <c r="H1325" s="70">
        <f t="shared" si="144"/>
        <v>1</v>
      </c>
      <c r="I1325" s="70">
        <f t="shared" si="145"/>
        <v>1</v>
      </c>
      <c r="J1325" s="70">
        <f t="shared" si="146"/>
        <v>4.2429999999999994</v>
      </c>
      <c r="K1325" s="70">
        <f>IF(CurrentMtgRatesDataTable8[[#This Row],[WA CC]]&lt;&gt;0,C1324-CurrentMtgRatesDataTable8[[#This Row],[WA CC]],0)</f>
        <v>0.71200000000000063</v>
      </c>
      <c r="L1325" s="70">
        <f>IF(CurrentMtgRatesDataTable8[[#This Row],[Servicing Spread]]&lt;=0,L1324,CurrentMtgRatesDataTable8[[#This Row],[Servicing Spread]])</f>
        <v>0.71200000000000063</v>
      </c>
      <c r="M1325" s="70">
        <f>CurrentMtgRatesDataTable8[[#This Row],[Servicing Spread Non-Zero]]-L1324</f>
        <v>4.4000000000000483E-2</v>
      </c>
      <c r="N1325" s="70">
        <f>IF(J1324&lt;&gt;0,CurrentMtgRatesDataTable8[[#This Row],[Rate]]-C1324,N1324)</f>
        <v>-0.12000000000000011</v>
      </c>
    </row>
    <row r="1326" spans="1:14">
      <c r="A1326" s="67" t="s">
        <v>2678</v>
      </c>
      <c r="B1326" s="68">
        <v>4.1710000000000003</v>
      </c>
      <c r="C1326" s="69">
        <v>4.9050000000000002</v>
      </c>
      <c r="D1326" s="70">
        <f t="shared" si="140"/>
        <v>1</v>
      </c>
      <c r="E1326" s="70">
        <f t="shared" si="141"/>
        <v>0.2</v>
      </c>
      <c r="F1326" s="70">
        <f t="shared" si="142"/>
        <v>1</v>
      </c>
      <c r="G1326" s="70">
        <f t="shared" si="143"/>
        <v>0.83420000000000005</v>
      </c>
      <c r="H1326" s="70">
        <f t="shared" si="144"/>
        <v>0.2</v>
      </c>
      <c r="I1326" s="70">
        <f t="shared" si="145"/>
        <v>0</v>
      </c>
      <c r="J1326" s="70">
        <f t="shared" si="146"/>
        <v>0</v>
      </c>
      <c r="K1326" s="70">
        <f>IF(CurrentMtgRatesDataTable8[[#This Row],[WA CC]]&lt;&gt;0,C1325-CurrentMtgRatesDataTable8[[#This Row],[WA CC]],0)</f>
        <v>0</v>
      </c>
      <c r="L1326" s="70">
        <f>IF(CurrentMtgRatesDataTable8[[#This Row],[Servicing Spread]]&lt;=0,L1325,CurrentMtgRatesDataTable8[[#This Row],[Servicing Spread]])</f>
        <v>0.71200000000000063</v>
      </c>
      <c r="M1326" s="70">
        <f>CurrentMtgRatesDataTable8[[#This Row],[Servicing Spread Non-Zero]]-L1325</f>
        <v>0</v>
      </c>
      <c r="N1326" s="70">
        <f>IF(J1325&lt;&gt;0,CurrentMtgRatesDataTable8[[#This Row],[Rate]]-C1325,N1325)</f>
        <v>-4.9999999999999822E-2</v>
      </c>
    </row>
    <row r="1327" spans="1:14">
      <c r="A1327" s="67" t="s">
        <v>2679</v>
      </c>
      <c r="B1327" s="68">
        <v>4.181</v>
      </c>
      <c r="C1327" s="69">
        <v>4.9050000000000002</v>
      </c>
      <c r="D1327" s="70">
        <f t="shared" si="140"/>
        <v>2</v>
      </c>
      <c r="E1327" s="70">
        <f t="shared" si="141"/>
        <v>0.2</v>
      </c>
      <c r="F1327" s="70">
        <f t="shared" si="142"/>
        <v>2</v>
      </c>
      <c r="G1327" s="70">
        <f t="shared" si="143"/>
        <v>1.6704000000000001</v>
      </c>
      <c r="H1327" s="70">
        <f t="shared" si="144"/>
        <v>0.4</v>
      </c>
      <c r="I1327" s="70">
        <f t="shared" si="145"/>
        <v>0</v>
      </c>
      <c r="J1327" s="70">
        <f t="shared" si="146"/>
        <v>0</v>
      </c>
      <c r="K1327" s="70">
        <f>IF(CurrentMtgRatesDataTable8[[#This Row],[WA CC]]&lt;&gt;0,C1326-CurrentMtgRatesDataTable8[[#This Row],[WA CC]],0)</f>
        <v>0</v>
      </c>
      <c r="L1327" s="70">
        <f>IF(CurrentMtgRatesDataTable8[[#This Row],[Servicing Spread]]&lt;=0,L1326,CurrentMtgRatesDataTable8[[#This Row],[Servicing Spread]])</f>
        <v>0.71200000000000063</v>
      </c>
      <c r="M1327" s="70">
        <f>CurrentMtgRatesDataTable8[[#This Row],[Servicing Spread Non-Zero]]-L1326</f>
        <v>0</v>
      </c>
      <c r="N1327" s="70">
        <f>IF(J1326&lt;&gt;0,CurrentMtgRatesDataTable8[[#This Row],[Rate]]-C1326,N1326)</f>
        <v>-4.9999999999999822E-2</v>
      </c>
    </row>
    <row r="1328" spans="1:14">
      <c r="A1328" s="67" t="s">
        <v>2680</v>
      </c>
      <c r="B1328" s="68">
        <v>4.2089999999999996</v>
      </c>
      <c r="C1328" s="69">
        <v>4.9050000000000002</v>
      </c>
      <c r="D1328" s="70">
        <f t="shared" si="140"/>
        <v>5</v>
      </c>
      <c r="E1328" s="70">
        <f t="shared" si="141"/>
        <v>0.2</v>
      </c>
      <c r="F1328" s="70">
        <f t="shared" si="142"/>
        <v>3</v>
      </c>
      <c r="G1328" s="70">
        <f t="shared" si="143"/>
        <v>2.5122</v>
      </c>
      <c r="H1328" s="70">
        <f t="shared" si="144"/>
        <v>0.60000000000000009</v>
      </c>
      <c r="I1328" s="70">
        <f t="shared" si="145"/>
        <v>0</v>
      </c>
      <c r="J1328" s="70">
        <f t="shared" si="146"/>
        <v>0</v>
      </c>
      <c r="K1328" s="70">
        <f>IF(CurrentMtgRatesDataTable8[[#This Row],[WA CC]]&lt;&gt;0,C1327-CurrentMtgRatesDataTable8[[#This Row],[WA CC]],0)</f>
        <v>0</v>
      </c>
      <c r="L1328" s="70">
        <f>IF(CurrentMtgRatesDataTable8[[#This Row],[Servicing Spread]]&lt;=0,L1327,CurrentMtgRatesDataTable8[[#This Row],[Servicing Spread]])</f>
        <v>0.71200000000000063</v>
      </c>
      <c r="M1328" s="70">
        <f>CurrentMtgRatesDataTable8[[#This Row],[Servicing Spread Non-Zero]]-L1327</f>
        <v>0</v>
      </c>
      <c r="N1328" s="70">
        <f>IF(J1327&lt;&gt;0,CurrentMtgRatesDataTable8[[#This Row],[Rate]]-C1327,N1327)</f>
        <v>-4.9999999999999822E-2</v>
      </c>
    </row>
    <row r="1329" spans="1:14">
      <c r="A1329" s="67" t="s">
        <v>2681</v>
      </c>
      <c r="B1329" s="68">
        <v>4.2119999999999997</v>
      </c>
      <c r="C1329" s="69">
        <v>4.9050000000000002</v>
      </c>
      <c r="D1329" s="70">
        <f t="shared" si="140"/>
        <v>6</v>
      </c>
      <c r="E1329" s="70">
        <f t="shared" si="141"/>
        <v>0.2</v>
      </c>
      <c r="F1329" s="70">
        <f t="shared" si="142"/>
        <v>4</v>
      </c>
      <c r="G1329" s="70">
        <f t="shared" si="143"/>
        <v>3.3546</v>
      </c>
      <c r="H1329" s="70">
        <f t="shared" si="144"/>
        <v>0.8</v>
      </c>
      <c r="I1329" s="70">
        <f t="shared" si="145"/>
        <v>0</v>
      </c>
      <c r="J1329" s="70">
        <f t="shared" si="146"/>
        <v>0</v>
      </c>
      <c r="K1329" s="70">
        <f>IF(CurrentMtgRatesDataTable8[[#This Row],[WA CC]]&lt;&gt;0,C1328-CurrentMtgRatesDataTable8[[#This Row],[WA CC]],0)</f>
        <v>0</v>
      </c>
      <c r="L1329" s="70">
        <f>IF(CurrentMtgRatesDataTable8[[#This Row],[Servicing Spread]]&lt;=0,L1328,CurrentMtgRatesDataTable8[[#This Row],[Servicing Spread]])</f>
        <v>0.71200000000000063</v>
      </c>
      <c r="M1329" s="70">
        <f>CurrentMtgRatesDataTable8[[#This Row],[Servicing Spread Non-Zero]]-L1328</f>
        <v>0</v>
      </c>
      <c r="N1329" s="70">
        <f>IF(J1328&lt;&gt;0,CurrentMtgRatesDataTable8[[#This Row],[Rate]]-C1328,N1328)</f>
        <v>-4.9999999999999822E-2</v>
      </c>
    </row>
    <row r="1330" spans="1:14">
      <c r="A1330" s="67" t="s">
        <v>2682</v>
      </c>
      <c r="B1330" s="68">
        <v>3.8809999999999998</v>
      </c>
      <c r="C1330" s="69">
        <v>4.9050000000000002</v>
      </c>
      <c r="D1330" s="70">
        <f t="shared" si="140"/>
        <v>7</v>
      </c>
      <c r="E1330" s="70">
        <f t="shared" si="141"/>
        <v>0.2</v>
      </c>
      <c r="F1330" s="70">
        <f t="shared" si="142"/>
        <v>5</v>
      </c>
      <c r="G1330" s="70">
        <f t="shared" si="143"/>
        <v>4.1307999999999998</v>
      </c>
      <c r="H1330" s="70">
        <f t="shared" si="144"/>
        <v>1</v>
      </c>
      <c r="I1330" s="70">
        <f t="shared" si="145"/>
        <v>1</v>
      </c>
      <c r="J1330" s="70">
        <f t="shared" si="146"/>
        <v>4.1307999999999998</v>
      </c>
      <c r="K1330" s="70">
        <f>IF(CurrentMtgRatesDataTable8[[#This Row],[WA CC]]&lt;&gt;0,C1329-CurrentMtgRatesDataTable8[[#This Row],[WA CC]],0)</f>
        <v>0.77420000000000044</v>
      </c>
      <c r="L1330" s="70">
        <f>IF(CurrentMtgRatesDataTable8[[#This Row],[Servicing Spread]]&lt;=0,L1329,CurrentMtgRatesDataTable8[[#This Row],[Servicing Spread]])</f>
        <v>0.77420000000000044</v>
      </c>
      <c r="M1330" s="70">
        <f>CurrentMtgRatesDataTable8[[#This Row],[Servicing Spread Non-Zero]]-L1329</f>
        <v>6.2199999999999811E-2</v>
      </c>
      <c r="N1330" s="70">
        <f>IF(J1329&lt;&gt;0,CurrentMtgRatesDataTable8[[#This Row],[Rate]]-C1329,N1329)</f>
        <v>-4.9999999999999822E-2</v>
      </c>
    </row>
    <row r="1331" spans="1:14">
      <c r="A1331" s="67" t="s">
        <v>2683</v>
      </c>
      <c r="B1331" s="68">
        <v>3.8359999999999999</v>
      </c>
      <c r="C1331" s="69">
        <v>4.7749999999999995</v>
      </c>
      <c r="D1331" s="70">
        <f t="shared" si="140"/>
        <v>1</v>
      </c>
      <c r="E1331" s="70">
        <f t="shared" si="141"/>
        <v>0.2</v>
      </c>
      <c r="F1331" s="70">
        <f t="shared" si="142"/>
        <v>1</v>
      </c>
      <c r="G1331" s="70">
        <f t="shared" si="143"/>
        <v>0.76719999999999999</v>
      </c>
      <c r="H1331" s="70">
        <f t="shared" si="144"/>
        <v>0.2</v>
      </c>
      <c r="I1331" s="70">
        <f t="shared" si="145"/>
        <v>0</v>
      </c>
      <c r="J1331" s="70">
        <f t="shared" si="146"/>
        <v>0</v>
      </c>
      <c r="K1331" s="70">
        <f>IF(CurrentMtgRatesDataTable8[[#This Row],[WA CC]]&lt;&gt;0,C1330-CurrentMtgRatesDataTable8[[#This Row],[WA CC]],0)</f>
        <v>0</v>
      </c>
      <c r="L1331" s="70">
        <f>IF(CurrentMtgRatesDataTable8[[#This Row],[Servicing Spread]]&lt;=0,L1330,CurrentMtgRatesDataTable8[[#This Row],[Servicing Spread]])</f>
        <v>0.77420000000000044</v>
      </c>
      <c r="M1331" s="70">
        <f>CurrentMtgRatesDataTable8[[#This Row],[Servicing Spread Non-Zero]]-L1330</f>
        <v>0</v>
      </c>
      <c r="N1331" s="70">
        <f>IF(J1330&lt;&gt;0,CurrentMtgRatesDataTable8[[#This Row],[Rate]]-C1330,N1330)</f>
        <v>-0.13000000000000078</v>
      </c>
    </row>
    <row r="1332" spans="1:14">
      <c r="A1332" s="67" t="s">
        <v>2684</v>
      </c>
      <c r="B1332" s="68">
        <v>3.8959999999999999</v>
      </c>
      <c r="C1332" s="69">
        <v>4.7749999999999995</v>
      </c>
      <c r="D1332" s="70">
        <f t="shared" si="140"/>
        <v>2</v>
      </c>
      <c r="E1332" s="70">
        <f t="shared" si="141"/>
        <v>0.2</v>
      </c>
      <c r="F1332" s="70">
        <f t="shared" si="142"/>
        <v>2</v>
      </c>
      <c r="G1332" s="70">
        <f t="shared" si="143"/>
        <v>1.5464</v>
      </c>
      <c r="H1332" s="70">
        <f t="shared" si="144"/>
        <v>0.4</v>
      </c>
      <c r="I1332" s="70">
        <f t="shared" si="145"/>
        <v>0</v>
      </c>
      <c r="J1332" s="70">
        <f t="shared" si="146"/>
        <v>0</v>
      </c>
      <c r="K1332" s="70">
        <f>IF(CurrentMtgRatesDataTable8[[#This Row],[WA CC]]&lt;&gt;0,C1331-CurrentMtgRatesDataTable8[[#This Row],[WA CC]],0)</f>
        <v>0</v>
      </c>
      <c r="L1332" s="70">
        <f>IF(CurrentMtgRatesDataTable8[[#This Row],[Servicing Spread]]&lt;=0,L1331,CurrentMtgRatesDataTable8[[#This Row],[Servicing Spread]])</f>
        <v>0.77420000000000044</v>
      </c>
      <c r="M1332" s="70">
        <f>CurrentMtgRatesDataTable8[[#This Row],[Servicing Spread Non-Zero]]-L1331</f>
        <v>0</v>
      </c>
      <c r="N1332" s="70">
        <f>IF(J1331&lt;&gt;0,CurrentMtgRatesDataTable8[[#This Row],[Rate]]-C1331,N1331)</f>
        <v>-0.13000000000000078</v>
      </c>
    </row>
    <row r="1333" spans="1:14">
      <c r="A1333" s="67" t="s">
        <v>2685</v>
      </c>
      <c r="B1333" s="68">
        <v>3.93</v>
      </c>
      <c r="C1333" s="69">
        <v>4.7749999999999995</v>
      </c>
      <c r="D1333" s="70">
        <f t="shared" si="140"/>
        <v>5</v>
      </c>
      <c r="E1333" s="70">
        <f t="shared" si="141"/>
        <v>0.2</v>
      </c>
      <c r="F1333" s="70">
        <f t="shared" si="142"/>
        <v>3</v>
      </c>
      <c r="G1333" s="70">
        <f t="shared" si="143"/>
        <v>2.3323999999999998</v>
      </c>
      <c r="H1333" s="70">
        <f t="shared" si="144"/>
        <v>0.60000000000000009</v>
      </c>
      <c r="I1333" s="70">
        <f t="shared" si="145"/>
        <v>0</v>
      </c>
      <c r="J1333" s="70">
        <f t="shared" si="146"/>
        <v>0</v>
      </c>
      <c r="K1333" s="70">
        <f>IF(CurrentMtgRatesDataTable8[[#This Row],[WA CC]]&lt;&gt;0,C1332-CurrentMtgRatesDataTable8[[#This Row],[WA CC]],0)</f>
        <v>0</v>
      </c>
      <c r="L1333" s="70">
        <f>IF(CurrentMtgRatesDataTable8[[#This Row],[Servicing Spread]]&lt;=0,L1332,CurrentMtgRatesDataTable8[[#This Row],[Servicing Spread]])</f>
        <v>0.77420000000000044</v>
      </c>
      <c r="M1333" s="70">
        <f>CurrentMtgRatesDataTable8[[#This Row],[Servicing Spread Non-Zero]]-L1332</f>
        <v>0</v>
      </c>
      <c r="N1333" s="70">
        <f>IF(J1332&lt;&gt;0,CurrentMtgRatesDataTable8[[#This Row],[Rate]]-C1332,N1332)</f>
        <v>-0.13000000000000078</v>
      </c>
    </row>
    <row r="1334" spans="1:14">
      <c r="A1334" s="67" t="s">
        <v>2686</v>
      </c>
      <c r="B1334" s="68">
        <v>3.9369999999999998</v>
      </c>
      <c r="C1334" s="69">
        <v>4.7749999999999995</v>
      </c>
      <c r="D1334" s="70">
        <f t="shared" si="140"/>
        <v>6</v>
      </c>
      <c r="E1334" s="70">
        <f t="shared" si="141"/>
        <v>0.2</v>
      </c>
      <c r="F1334" s="70">
        <f t="shared" si="142"/>
        <v>4</v>
      </c>
      <c r="G1334" s="70">
        <f t="shared" si="143"/>
        <v>3.1197999999999997</v>
      </c>
      <c r="H1334" s="70">
        <f t="shared" si="144"/>
        <v>0.8</v>
      </c>
      <c r="I1334" s="70">
        <f t="shared" si="145"/>
        <v>0</v>
      </c>
      <c r="J1334" s="70">
        <f t="shared" si="146"/>
        <v>0</v>
      </c>
      <c r="K1334" s="70">
        <f>IF(CurrentMtgRatesDataTable8[[#This Row],[WA CC]]&lt;&gt;0,C1333-CurrentMtgRatesDataTable8[[#This Row],[WA CC]],0)</f>
        <v>0</v>
      </c>
      <c r="L1334" s="70">
        <f>IF(CurrentMtgRatesDataTable8[[#This Row],[Servicing Spread]]&lt;=0,L1333,CurrentMtgRatesDataTable8[[#This Row],[Servicing Spread]])</f>
        <v>0.77420000000000044</v>
      </c>
      <c r="M1334" s="70">
        <f>CurrentMtgRatesDataTable8[[#This Row],[Servicing Spread Non-Zero]]-L1333</f>
        <v>0</v>
      </c>
      <c r="N1334" s="70">
        <f>IF(J1333&lt;&gt;0,CurrentMtgRatesDataTable8[[#This Row],[Rate]]-C1333,N1333)</f>
        <v>-0.13000000000000078</v>
      </c>
    </row>
    <row r="1335" spans="1:14">
      <c r="A1335" s="67" t="s">
        <v>2687</v>
      </c>
      <c r="B1335" s="68">
        <v>3.9660000000000002</v>
      </c>
      <c r="C1335" s="69">
        <v>4.7749999999999995</v>
      </c>
      <c r="D1335" s="70">
        <f t="shared" si="140"/>
        <v>7</v>
      </c>
      <c r="E1335" s="70">
        <f t="shared" si="141"/>
        <v>0.2</v>
      </c>
      <c r="F1335" s="70">
        <f t="shared" si="142"/>
        <v>5</v>
      </c>
      <c r="G1335" s="70">
        <f t="shared" si="143"/>
        <v>3.9129999999999998</v>
      </c>
      <c r="H1335" s="70">
        <f t="shared" si="144"/>
        <v>1</v>
      </c>
      <c r="I1335" s="70">
        <f t="shared" si="145"/>
        <v>1</v>
      </c>
      <c r="J1335" s="70">
        <f t="shared" si="146"/>
        <v>3.9129999999999998</v>
      </c>
      <c r="K1335" s="70">
        <f>IF(CurrentMtgRatesDataTable8[[#This Row],[WA CC]]&lt;&gt;0,C1334-CurrentMtgRatesDataTable8[[#This Row],[WA CC]],0)</f>
        <v>0.86199999999999966</v>
      </c>
      <c r="L1335" s="70">
        <f>IF(CurrentMtgRatesDataTable8[[#This Row],[Servicing Spread]]&lt;=0,L1334,CurrentMtgRatesDataTable8[[#This Row],[Servicing Spread]])</f>
        <v>0.86199999999999966</v>
      </c>
      <c r="M1335" s="70">
        <f>CurrentMtgRatesDataTable8[[#This Row],[Servicing Spread Non-Zero]]-L1334</f>
        <v>8.7799999999999212E-2</v>
      </c>
      <c r="N1335" s="70">
        <f>IF(J1334&lt;&gt;0,CurrentMtgRatesDataTable8[[#This Row],[Rate]]-C1334,N1334)</f>
        <v>-0.13000000000000078</v>
      </c>
    </row>
    <row r="1336" spans="1:14">
      <c r="A1336" s="67" t="s">
        <v>2688</v>
      </c>
      <c r="B1336" s="68">
        <v>3.9380000000000002</v>
      </c>
      <c r="C1336" s="69">
        <v>4.7050000000000001</v>
      </c>
      <c r="D1336" s="70">
        <f t="shared" si="140"/>
        <v>1</v>
      </c>
      <c r="E1336" s="70">
        <f t="shared" si="141"/>
        <v>0.2</v>
      </c>
      <c r="F1336" s="70">
        <f t="shared" si="142"/>
        <v>1</v>
      </c>
      <c r="G1336" s="70">
        <f t="shared" si="143"/>
        <v>0.78760000000000008</v>
      </c>
      <c r="H1336" s="70">
        <f t="shared" si="144"/>
        <v>0.2</v>
      </c>
      <c r="I1336" s="70">
        <f t="shared" si="145"/>
        <v>0</v>
      </c>
      <c r="J1336" s="70">
        <f t="shared" si="146"/>
        <v>0</v>
      </c>
      <c r="K1336" s="70">
        <f>IF(CurrentMtgRatesDataTable8[[#This Row],[WA CC]]&lt;&gt;0,C1335-CurrentMtgRatesDataTable8[[#This Row],[WA CC]],0)</f>
        <v>0</v>
      </c>
      <c r="L1336" s="70">
        <f>IF(CurrentMtgRatesDataTable8[[#This Row],[Servicing Spread]]&lt;=0,L1335,CurrentMtgRatesDataTable8[[#This Row],[Servicing Spread]])</f>
        <v>0.86199999999999966</v>
      </c>
      <c r="M1336" s="70">
        <f>CurrentMtgRatesDataTable8[[#This Row],[Servicing Spread Non-Zero]]-L1335</f>
        <v>0</v>
      </c>
      <c r="N1336" s="70">
        <f>IF(J1335&lt;&gt;0,CurrentMtgRatesDataTable8[[#This Row],[Rate]]-C1335,N1335)</f>
        <v>-6.9999999999999396E-2</v>
      </c>
    </row>
    <row r="1337" spans="1:14">
      <c r="A1337" s="67" t="s">
        <v>2689</v>
      </c>
      <c r="B1337" s="68">
        <v>3.9129999999999998</v>
      </c>
      <c r="C1337" s="69">
        <v>4.7050000000000001</v>
      </c>
      <c r="D1337" s="70">
        <f t="shared" si="140"/>
        <v>2</v>
      </c>
      <c r="E1337" s="70">
        <f t="shared" si="141"/>
        <v>0.2</v>
      </c>
      <c r="F1337" s="70">
        <f t="shared" si="142"/>
        <v>2</v>
      </c>
      <c r="G1337" s="70">
        <f t="shared" si="143"/>
        <v>1.5702</v>
      </c>
      <c r="H1337" s="70">
        <f t="shared" si="144"/>
        <v>0.4</v>
      </c>
      <c r="I1337" s="70">
        <f t="shared" si="145"/>
        <v>0</v>
      </c>
      <c r="J1337" s="70">
        <f t="shared" si="146"/>
        <v>0</v>
      </c>
      <c r="K1337" s="70">
        <f>IF(CurrentMtgRatesDataTable8[[#This Row],[WA CC]]&lt;&gt;0,C1336-CurrentMtgRatesDataTable8[[#This Row],[WA CC]],0)</f>
        <v>0</v>
      </c>
      <c r="L1337" s="70">
        <f>IF(CurrentMtgRatesDataTable8[[#This Row],[Servicing Spread]]&lt;=0,L1336,CurrentMtgRatesDataTable8[[#This Row],[Servicing Spread]])</f>
        <v>0.86199999999999966</v>
      </c>
      <c r="M1337" s="70">
        <f>CurrentMtgRatesDataTable8[[#This Row],[Servicing Spread Non-Zero]]-L1336</f>
        <v>0</v>
      </c>
      <c r="N1337" s="70">
        <f>IF(J1336&lt;&gt;0,CurrentMtgRatesDataTable8[[#This Row],[Rate]]-C1336,N1336)</f>
        <v>-6.9999999999999396E-2</v>
      </c>
    </row>
    <row r="1338" spans="1:14">
      <c r="A1338" s="67" t="s">
        <v>2690</v>
      </c>
      <c r="B1338" s="68">
        <v>3.8860000000000001</v>
      </c>
      <c r="C1338" s="69">
        <v>4.7050000000000001</v>
      </c>
      <c r="D1338" s="70">
        <f t="shared" si="140"/>
        <v>5</v>
      </c>
      <c r="E1338" s="70">
        <f t="shared" si="141"/>
        <v>0.2</v>
      </c>
      <c r="F1338" s="70">
        <f t="shared" si="142"/>
        <v>3</v>
      </c>
      <c r="G1338" s="70">
        <f t="shared" si="143"/>
        <v>2.3474000000000004</v>
      </c>
      <c r="H1338" s="70">
        <f t="shared" si="144"/>
        <v>0.60000000000000009</v>
      </c>
      <c r="I1338" s="70">
        <f t="shared" si="145"/>
        <v>0</v>
      </c>
      <c r="J1338" s="70">
        <f t="shared" si="146"/>
        <v>0</v>
      </c>
      <c r="K1338" s="70">
        <f>IF(CurrentMtgRatesDataTable8[[#This Row],[WA CC]]&lt;&gt;0,C1337-CurrentMtgRatesDataTable8[[#This Row],[WA CC]],0)</f>
        <v>0</v>
      </c>
      <c r="L1338" s="70">
        <f>IF(CurrentMtgRatesDataTable8[[#This Row],[Servicing Spread]]&lt;=0,L1337,CurrentMtgRatesDataTable8[[#This Row],[Servicing Spread]])</f>
        <v>0.86199999999999966</v>
      </c>
      <c r="M1338" s="70">
        <f>CurrentMtgRatesDataTable8[[#This Row],[Servicing Spread Non-Zero]]-L1337</f>
        <v>0</v>
      </c>
      <c r="N1338" s="70">
        <f>IF(J1337&lt;&gt;0,CurrentMtgRatesDataTable8[[#This Row],[Rate]]-C1337,N1337)</f>
        <v>-6.9999999999999396E-2</v>
      </c>
    </row>
    <row r="1339" spans="1:14">
      <c r="A1339" s="67" t="s">
        <v>2691</v>
      </c>
      <c r="B1339" s="68">
        <v>3.8980000000000001</v>
      </c>
      <c r="C1339" s="69">
        <v>4.7050000000000001</v>
      </c>
      <c r="D1339" s="70">
        <f t="shared" si="140"/>
        <v>6</v>
      </c>
      <c r="E1339" s="70">
        <f t="shared" si="141"/>
        <v>0.2</v>
      </c>
      <c r="F1339" s="70">
        <f t="shared" si="142"/>
        <v>4</v>
      </c>
      <c r="G1339" s="70">
        <f t="shared" si="143"/>
        <v>3.1270000000000007</v>
      </c>
      <c r="H1339" s="70">
        <f t="shared" si="144"/>
        <v>0.8</v>
      </c>
      <c r="I1339" s="70">
        <f t="shared" si="145"/>
        <v>0</v>
      </c>
      <c r="J1339" s="70">
        <f t="shared" si="146"/>
        <v>0</v>
      </c>
      <c r="K1339" s="70">
        <f>IF(CurrentMtgRatesDataTable8[[#This Row],[WA CC]]&lt;&gt;0,C1338-CurrentMtgRatesDataTable8[[#This Row],[WA CC]],0)</f>
        <v>0</v>
      </c>
      <c r="L1339" s="70">
        <f>IF(CurrentMtgRatesDataTable8[[#This Row],[Servicing Spread]]&lt;=0,L1338,CurrentMtgRatesDataTable8[[#This Row],[Servicing Spread]])</f>
        <v>0.86199999999999966</v>
      </c>
      <c r="M1339" s="70">
        <f>CurrentMtgRatesDataTable8[[#This Row],[Servicing Spread Non-Zero]]-L1338</f>
        <v>0</v>
      </c>
      <c r="N1339" s="70">
        <f>IF(J1338&lt;&gt;0,CurrentMtgRatesDataTable8[[#This Row],[Rate]]-C1338,N1338)</f>
        <v>-6.9999999999999396E-2</v>
      </c>
    </row>
    <row r="1340" spans="1:14">
      <c r="A1340" s="67" t="s">
        <v>2692</v>
      </c>
      <c r="B1340" s="68">
        <v>3.907</v>
      </c>
      <c r="C1340" s="69">
        <v>4.7050000000000001</v>
      </c>
      <c r="D1340" s="70">
        <f t="shared" si="140"/>
        <v>7</v>
      </c>
      <c r="E1340" s="70">
        <f t="shared" si="141"/>
        <v>0.2</v>
      </c>
      <c r="F1340" s="70">
        <f t="shared" si="142"/>
        <v>5</v>
      </c>
      <c r="G1340" s="70">
        <f t="shared" si="143"/>
        <v>3.9084000000000008</v>
      </c>
      <c r="H1340" s="70">
        <f t="shared" si="144"/>
        <v>1</v>
      </c>
      <c r="I1340" s="70">
        <f t="shared" si="145"/>
        <v>1</v>
      </c>
      <c r="J1340" s="70">
        <f t="shared" si="146"/>
        <v>3.9084000000000008</v>
      </c>
      <c r="K1340" s="70">
        <f>IF(CurrentMtgRatesDataTable8[[#This Row],[WA CC]]&lt;&gt;0,C1339-CurrentMtgRatesDataTable8[[#This Row],[WA CC]],0)</f>
        <v>0.79659999999999931</v>
      </c>
      <c r="L1340" s="70">
        <f>IF(CurrentMtgRatesDataTable8[[#This Row],[Servicing Spread]]&lt;=0,L1339,CurrentMtgRatesDataTable8[[#This Row],[Servicing Spread]])</f>
        <v>0.79659999999999931</v>
      </c>
      <c r="M1340" s="70">
        <f>CurrentMtgRatesDataTable8[[#This Row],[Servicing Spread Non-Zero]]-L1339</f>
        <v>-6.5400000000000347E-2</v>
      </c>
      <c r="N1340" s="70">
        <f>IF(J1339&lt;&gt;0,CurrentMtgRatesDataTable8[[#This Row],[Rate]]-C1339,N1339)</f>
        <v>-6.9999999999999396E-2</v>
      </c>
    </row>
    <row r="1341" spans="1:14">
      <c r="A1341" s="67" t="s">
        <v>2693</v>
      </c>
      <c r="B1341" s="68">
        <v>3.984</v>
      </c>
      <c r="C1341" s="69">
        <v>4.7949999999999999</v>
      </c>
      <c r="D1341" s="70">
        <f t="shared" si="140"/>
        <v>1</v>
      </c>
      <c r="E1341" s="70">
        <f t="shared" si="141"/>
        <v>0.2</v>
      </c>
      <c r="F1341" s="70">
        <f t="shared" si="142"/>
        <v>1</v>
      </c>
      <c r="G1341" s="70">
        <f t="shared" si="143"/>
        <v>0.79680000000000006</v>
      </c>
      <c r="H1341" s="70">
        <f t="shared" si="144"/>
        <v>0.2</v>
      </c>
      <c r="I1341" s="70">
        <f t="shared" si="145"/>
        <v>0</v>
      </c>
      <c r="J1341" s="70">
        <f t="shared" si="146"/>
        <v>0</v>
      </c>
      <c r="K1341" s="70">
        <f>IF(CurrentMtgRatesDataTable8[[#This Row],[WA CC]]&lt;&gt;0,C1340-CurrentMtgRatesDataTable8[[#This Row],[WA CC]],0)</f>
        <v>0</v>
      </c>
      <c r="L1341" s="70">
        <f>IF(CurrentMtgRatesDataTable8[[#This Row],[Servicing Spread]]&lt;=0,L1340,CurrentMtgRatesDataTable8[[#This Row],[Servicing Spread]])</f>
        <v>0.79659999999999931</v>
      </c>
      <c r="M1341" s="70">
        <f>CurrentMtgRatesDataTable8[[#This Row],[Servicing Spread Non-Zero]]-L1340</f>
        <v>0</v>
      </c>
      <c r="N1341" s="70">
        <f>IF(J1340&lt;&gt;0,CurrentMtgRatesDataTable8[[#This Row],[Rate]]-C1340,N1340)</f>
        <v>8.9999999999999858E-2</v>
      </c>
    </row>
    <row r="1342" spans="1:14">
      <c r="A1342" s="67" t="s">
        <v>2694</v>
      </c>
      <c r="B1342" s="68">
        <v>4.0750000000000002</v>
      </c>
      <c r="C1342" s="69">
        <v>4.7949999999999999</v>
      </c>
      <c r="D1342" s="70">
        <f t="shared" si="140"/>
        <v>2</v>
      </c>
      <c r="E1342" s="70">
        <f t="shared" si="141"/>
        <v>0.2</v>
      </c>
      <c r="F1342" s="70">
        <f t="shared" si="142"/>
        <v>2</v>
      </c>
      <c r="G1342" s="70">
        <f t="shared" si="143"/>
        <v>1.6118000000000001</v>
      </c>
      <c r="H1342" s="70">
        <f t="shared" si="144"/>
        <v>0.4</v>
      </c>
      <c r="I1342" s="70">
        <f t="shared" si="145"/>
        <v>0</v>
      </c>
      <c r="J1342" s="70">
        <f t="shared" si="146"/>
        <v>0</v>
      </c>
      <c r="K1342" s="70">
        <f>IF(CurrentMtgRatesDataTable8[[#This Row],[WA CC]]&lt;&gt;0,C1341-CurrentMtgRatesDataTable8[[#This Row],[WA CC]],0)</f>
        <v>0</v>
      </c>
      <c r="L1342" s="70">
        <f>IF(CurrentMtgRatesDataTable8[[#This Row],[Servicing Spread]]&lt;=0,L1341,CurrentMtgRatesDataTable8[[#This Row],[Servicing Spread]])</f>
        <v>0.79659999999999931</v>
      </c>
      <c r="M1342" s="70">
        <f>CurrentMtgRatesDataTable8[[#This Row],[Servicing Spread Non-Zero]]-L1341</f>
        <v>0</v>
      </c>
      <c r="N1342" s="70">
        <f>IF(J1341&lt;&gt;0,CurrentMtgRatesDataTable8[[#This Row],[Rate]]-C1341,N1341)</f>
        <v>8.9999999999999858E-2</v>
      </c>
    </row>
    <row r="1343" spans="1:14">
      <c r="A1343" s="67" t="s">
        <v>2695</v>
      </c>
      <c r="B1343" s="68">
        <v>4.07</v>
      </c>
      <c r="C1343" s="69">
        <v>4.7949999999999999</v>
      </c>
      <c r="D1343" s="70">
        <f t="shared" si="140"/>
        <v>5</v>
      </c>
      <c r="E1343" s="70">
        <f t="shared" si="141"/>
        <v>0.2</v>
      </c>
      <c r="F1343" s="70">
        <f t="shared" si="142"/>
        <v>3</v>
      </c>
      <c r="G1343" s="70">
        <f t="shared" si="143"/>
        <v>2.4258000000000002</v>
      </c>
      <c r="H1343" s="70">
        <f t="shared" si="144"/>
        <v>0.60000000000000009</v>
      </c>
      <c r="I1343" s="70">
        <f t="shared" si="145"/>
        <v>0</v>
      </c>
      <c r="J1343" s="70">
        <f t="shared" si="146"/>
        <v>0</v>
      </c>
      <c r="K1343" s="70">
        <f>IF(CurrentMtgRatesDataTable8[[#This Row],[WA CC]]&lt;&gt;0,C1342-CurrentMtgRatesDataTable8[[#This Row],[WA CC]],0)</f>
        <v>0</v>
      </c>
      <c r="L1343" s="70">
        <f>IF(CurrentMtgRatesDataTable8[[#This Row],[Servicing Spread]]&lt;=0,L1342,CurrentMtgRatesDataTable8[[#This Row],[Servicing Spread]])</f>
        <v>0.79659999999999931</v>
      </c>
      <c r="M1343" s="70">
        <f>CurrentMtgRatesDataTable8[[#This Row],[Servicing Spread Non-Zero]]-L1342</f>
        <v>0</v>
      </c>
      <c r="N1343" s="70">
        <f>IF(J1342&lt;&gt;0,CurrentMtgRatesDataTable8[[#This Row],[Rate]]-C1342,N1342)</f>
        <v>8.9999999999999858E-2</v>
      </c>
    </row>
    <row r="1344" spans="1:14">
      <c r="A1344" s="67" t="s">
        <v>2696</v>
      </c>
      <c r="B1344" s="68">
        <v>4.0119999999999996</v>
      </c>
      <c r="C1344" s="69">
        <v>4.7949999999999999</v>
      </c>
      <c r="D1344" s="70">
        <f t="shared" si="140"/>
        <v>6</v>
      </c>
      <c r="E1344" s="70">
        <f t="shared" si="141"/>
        <v>0.2</v>
      </c>
      <c r="F1344" s="70">
        <f t="shared" si="142"/>
        <v>4</v>
      </c>
      <c r="G1344" s="70">
        <f t="shared" si="143"/>
        <v>3.2282000000000002</v>
      </c>
      <c r="H1344" s="70">
        <f t="shared" si="144"/>
        <v>0.8</v>
      </c>
      <c r="I1344" s="70">
        <f t="shared" si="145"/>
        <v>0</v>
      </c>
      <c r="J1344" s="70">
        <f t="shared" si="146"/>
        <v>0</v>
      </c>
      <c r="K1344" s="70">
        <f>IF(CurrentMtgRatesDataTable8[[#This Row],[WA CC]]&lt;&gt;0,C1343-CurrentMtgRatesDataTable8[[#This Row],[WA CC]],0)</f>
        <v>0</v>
      </c>
      <c r="L1344" s="70">
        <f>IF(CurrentMtgRatesDataTable8[[#This Row],[Servicing Spread]]&lt;=0,L1343,CurrentMtgRatesDataTable8[[#This Row],[Servicing Spread]])</f>
        <v>0.79659999999999931</v>
      </c>
      <c r="M1344" s="70">
        <f>CurrentMtgRatesDataTable8[[#This Row],[Servicing Spread Non-Zero]]-L1343</f>
        <v>0</v>
      </c>
      <c r="N1344" s="70">
        <f>IF(J1343&lt;&gt;0,CurrentMtgRatesDataTable8[[#This Row],[Rate]]-C1343,N1343)</f>
        <v>8.9999999999999858E-2</v>
      </c>
    </row>
    <row r="1345" spans="1:14">
      <c r="A1345" s="67" t="s">
        <v>2697</v>
      </c>
      <c r="B1345" s="68">
        <v>3.927</v>
      </c>
      <c r="C1345" s="69">
        <v>4.7949999999999999</v>
      </c>
      <c r="D1345" s="70">
        <f t="shared" si="140"/>
        <v>7</v>
      </c>
      <c r="E1345" s="70">
        <f t="shared" si="141"/>
        <v>0.2</v>
      </c>
      <c r="F1345" s="70">
        <f t="shared" si="142"/>
        <v>5</v>
      </c>
      <c r="G1345" s="70">
        <f t="shared" si="143"/>
        <v>4.0136000000000003</v>
      </c>
      <c r="H1345" s="70">
        <f t="shared" si="144"/>
        <v>1</v>
      </c>
      <c r="I1345" s="70">
        <f t="shared" si="145"/>
        <v>1</v>
      </c>
      <c r="J1345" s="70">
        <f t="shared" si="146"/>
        <v>4.0136000000000003</v>
      </c>
      <c r="K1345" s="70">
        <f>IF(CurrentMtgRatesDataTable8[[#This Row],[WA CC]]&lt;&gt;0,C1344-CurrentMtgRatesDataTable8[[#This Row],[WA CC]],0)</f>
        <v>0.78139999999999965</v>
      </c>
      <c r="L1345" s="70">
        <f>IF(CurrentMtgRatesDataTable8[[#This Row],[Servicing Spread]]&lt;=0,L1344,CurrentMtgRatesDataTable8[[#This Row],[Servicing Spread]])</f>
        <v>0.78139999999999965</v>
      </c>
      <c r="M1345" s="70">
        <f>CurrentMtgRatesDataTable8[[#This Row],[Servicing Spread Non-Zero]]-L1344</f>
        <v>-1.5199999999999658E-2</v>
      </c>
      <c r="N1345" s="70">
        <f>IF(J1344&lt;&gt;0,CurrentMtgRatesDataTable8[[#This Row],[Rate]]-C1344,N1344)</f>
        <v>8.9999999999999858E-2</v>
      </c>
    </row>
    <row r="1346" spans="1:14">
      <c r="A1346" s="67" t="s">
        <v>2698</v>
      </c>
      <c r="B1346" s="68">
        <v>4.0209999999999999</v>
      </c>
      <c r="C1346" s="69">
        <v>4.7200000000000006</v>
      </c>
      <c r="D1346" s="70">
        <f t="shared" si="140"/>
        <v>1</v>
      </c>
      <c r="E1346" s="70">
        <f t="shared" si="141"/>
        <v>0.2</v>
      </c>
      <c r="F1346" s="70">
        <f t="shared" si="142"/>
        <v>1</v>
      </c>
      <c r="G1346" s="70">
        <f t="shared" si="143"/>
        <v>0.80420000000000003</v>
      </c>
      <c r="H1346" s="70">
        <f t="shared" si="144"/>
        <v>0.2</v>
      </c>
      <c r="I1346" s="70">
        <f t="shared" si="145"/>
        <v>0</v>
      </c>
      <c r="J1346" s="70">
        <f t="shared" si="146"/>
        <v>0</v>
      </c>
      <c r="K1346" s="70">
        <f>IF(CurrentMtgRatesDataTable8[[#This Row],[WA CC]]&lt;&gt;0,C1345-CurrentMtgRatesDataTable8[[#This Row],[WA CC]],0)</f>
        <v>0</v>
      </c>
      <c r="L1346" s="70">
        <f>IF(CurrentMtgRatesDataTable8[[#This Row],[Servicing Spread]]&lt;=0,L1345,CurrentMtgRatesDataTable8[[#This Row],[Servicing Spread]])</f>
        <v>0.78139999999999965</v>
      </c>
      <c r="M1346" s="70">
        <f>CurrentMtgRatesDataTable8[[#This Row],[Servicing Spread Non-Zero]]-L1345</f>
        <v>0</v>
      </c>
      <c r="N1346" s="70">
        <f>IF(J1345&lt;&gt;0,CurrentMtgRatesDataTable8[[#This Row],[Rate]]-C1345,N1345)</f>
        <v>-7.4999999999999289E-2</v>
      </c>
    </row>
    <row r="1347" spans="1:14">
      <c r="A1347" s="67" t="s">
        <v>2699</v>
      </c>
      <c r="B1347" s="68">
        <v>3.9980000000000002</v>
      </c>
      <c r="C1347" s="69">
        <v>4.7200000000000006</v>
      </c>
      <c r="D1347" s="70">
        <f t="shared" si="140"/>
        <v>5</v>
      </c>
      <c r="E1347" s="70">
        <f t="shared" si="141"/>
        <v>0.2</v>
      </c>
      <c r="F1347" s="70">
        <f t="shared" si="142"/>
        <v>2</v>
      </c>
      <c r="G1347" s="70">
        <f t="shared" si="143"/>
        <v>1.6038000000000001</v>
      </c>
      <c r="H1347" s="70">
        <f t="shared" si="144"/>
        <v>0.4</v>
      </c>
      <c r="I1347" s="70">
        <f t="shared" si="145"/>
        <v>0</v>
      </c>
      <c r="J1347" s="70">
        <f t="shared" si="146"/>
        <v>0</v>
      </c>
      <c r="K1347" s="70">
        <f>IF(CurrentMtgRatesDataTable8[[#This Row],[WA CC]]&lt;&gt;0,C1346-CurrentMtgRatesDataTable8[[#This Row],[WA CC]],0)</f>
        <v>0</v>
      </c>
      <c r="L1347" s="70">
        <f>IF(CurrentMtgRatesDataTable8[[#This Row],[Servicing Spread]]&lt;=0,L1346,CurrentMtgRatesDataTable8[[#This Row],[Servicing Spread]])</f>
        <v>0.78139999999999965</v>
      </c>
      <c r="M1347" s="70">
        <f>CurrentMtgRatesDataTable8[[#This Row],[Servicing Spread Non-Zero]]-L1346</f>
        <v>0</v>
      </c>
      <c r="N1347" s="70">
        <f>IF(J1346&lt;&gt;0,CurrentMtgRatesDataTable8[[#This Row],[Rate]]-C1346,N1346)</f>
        <v>-7.4999999999999289E-2</v>
      </c>
    </row>
    <row r="1348" spans="1:14">
      <c r="A1348" s="67" t="s">
        <v>2700</v>
      </c>
      <c r="B1348" s="68">
        <v>3.96</v>
      </c>
      <c r="C1348" s="69">
        <v>4.7200000000000006</v>
      </c>
      <c r="D1348" s="70">
        <f t="shared" si="140"/>
        <v>6</v>
      </c>
      <c r="E1348" s="70">
        <f t="shared" si="141"/>
        <v>0.2</v>
      </c>
      <c r="F1348" s="70">
        <f t="shared" si="142"/>
        <v>3</v>
      </c>
      <c r="G1348" s="70">
        <f t="shared" si="143"/>
        <v>2.3958000000000004</v>
      </c>
      <c r="H1348" s="70">
        <f t="shared" si="144"/>
        <v>0.60000000000000009</v>
      </c>
      <c r="I1348" s="70">
        <f t="shared" si="145"/>
        <v>0</v>
      </c>
      <c r="J1348" s="70">
        <f t="shared" si="146"/>
        <v>0</v>
      </c>
      <c r="K1348" s="70">
        <f>IF(CurrentMtgRatesDataTable8[[#This Row],[WA CC]]&lt;&gt;0,C1347-CurrentMtgRatesDataTable8[[#This Row],[WA CC]],0)</f>
        <v>0</v>
      </c>
      <c r="L1348" s="70">
        <f>IF(CurrentMtgRatesDataTable8[[#This Row],[Servicing Spread]]&lt;=0,L1347,CurrentMtgRatesDataTable8[[#This Row],[Servicing Spread]])</f>
        <v>0.78139999999999965</v>
      </c>
      <c r="M1348" s="70">
        <f>CurrentMtgRatesDataTable8[[#This Row],[Servicing Spread Non-Zero]]-L1347</f>
        <v>0</v>
      </c>
      <c r="N1348" s="70">
        <f>IF(J1347&lt;&gt;0,CurrentMtgRatesDataTable8[[#This Row],[Rate]]-C1347,N1347)</f>
        <v>-7.4999999999999289E-2</v>
      </c>
    </row>
    <row r="1349" spans="1:14">
      <c r="A1349" s="67" t="s">
        <v>2701</v>
      </c>
      <c r="B1349" s="68">
        <v>3.9390000000000001</v>
      </c>
      <c r="C1349" s="69">
        <v>4.7200000000000006</v>
      </c>
      <c r="D1349" s="70">
        <f t="shared" ref="D1349:D1412" si="147">WEEKDAY(A1349,14)</f>
        <v>7</v>
      </c>
      <c r="E1349" s="70">
        <f t="shared" ref="E1349:E1412" si="148">VLOOKUP(D1349,Q$5:R$11,2,FALSE)</f>
        <v>0.2</v>
      </c>
      <c r="F1349" s="70">
        <f t="shared" ref="F1349:F1412" si="149">IF(AND(D1349&gt;D1348,F1348&lt;6),F1348+1,1)</f>
        <v>4</v>
      </c>
      <c r="G1349" s="70">
        <f t="shared" ref="G1349:G1412" si="150">IF(F1349&gt;F1348,G1348+B1349*E1349,B1349*E1349)</f>
        <v>3.1836000000000002</v>
      </c>
      <c r="H1349" s="70">
        <f t="shared" ref="H1349:H1412" si="151">IF(AND(F1349&lt;6,F1349&gt;F1348),E1349+H1348,E1349)</f>
        <v>0.8</v>
      </c>
      <c r="I1349" s="70">
        <f t="shared" ref="I1349:I1412" si="152">IF(F1349&gt;F1350,1,0)</f>
        <v>1</v>
      </c>
      <c r="J1349" s="70">
        <f t="shared" ref="J1349:J1412" si="153">IF(F1349&gt;F1350,G1349/H1349,0)</f>
        <v>3.9795000000000003</v>
      </c>
      <c r="K1349" s="70">
        <f>IF(CurrentMtgRatesDataTable8[[#This Row],[WA CC]]&lt;&gt;0,C1348-CurrentMtgRatesDataTable8[[#This Row],[WA CC]],0)</f>
        <v>0.74050000000000038</v>
      </c>
      <c r="L1349" s="70">
        <f>IF(CurrentMtgRatesDataTable8[[#This Row],[Servicing Spread]]&lt;=0,L1348,CurrentMtgRatesDataTable8[[#This Row],[Servicing Spread]])</f>
        <v>0.74050000000000038</v>
      </c>
      <c r="M1349" s="70">
        <f>CurrentMtgRatesDataTable8[[#This Row],[Servicing Spread Non-Zero]]-L1348</f>
        <v>-4.089999999999927E-2</v>
      </c>
      <c r="N1349" s="70">
        <f>IF(J1348&lt;&gt;0,CurrentMtgRatesDataTable8[[#This Row],[Rate]]-C1348,N1348)</f>
        <v>-7.4999999999999289E-2</v>
      </c>
    </row>
    <row r="1350" spans="1:14">
      <c r="A1350" s="67" t="s">
        <v>2702</v>
      </c>
      <c r="B1350" s="68">
        <v>3.972</v>
      </c>
      <c r="C1350" s="69">
        <v>4.7249999999999996</v>
      </c>
      <c r="D1350" s="70">
        <f t="shared" si="147"/>
        <v>1</v>
      </c>
      <c r="E1350" s="70">
        <f t="shared" si="148"/>
        <v>0.2</v>
      </c>
      <c r="F1350" s="70">
        <f t="shared" si="149"/>
        <v>1</v>
      </c>
      <c r="G1350" s="70">
        <f t="shared" si="150"/>
        <v>0.7944</v>
      </c>
      <c r="H1350" s="70">
        <f t="shared" si="151"/>
        <v>0.2</v>
      </c>
      <c r="I1350" s="70">
        <f t="shared" si="152"/>
        <v>0</v>
      </c>
      <c r="J1350" s="70">
        <f t="shared" si="153"/>
        <v>0</v>
      </c>
      <c r="K1350" s="70">
        <f>IF(CurrentMtgRatesDataTable8[[#This Row],[WA CC]]&lt;&gt;0,C1349-CurrentMtgRatesDataTable8[[#This Row],[WA CC]],0)</f>
        <v>0</v>
      </c>
      <c r="L1350" s="70">
        <f>IF(CurrentMtgRatesDataTable8[[#This Row],[Servicing Spread]]&lt;=0,L1349,CurrentMtgRatesDataTable8[[#This Row],[Servicing Spread]])</f>
        <v>0.74050000000000038</v>
      </c>
      <c r="M1350" s="70">
        <f>CurrentMtgRatesDataTable8[[#This Row],[Servicing Spread Non-Zero]]-L1349</f>
        <v>0</v>
      </c>
      <c r="N1350" s="70">
        <f>IF(J1349&lt;&gt;0,CurrentMtgRatesDataTable8[[#This Row],[Rate]]-C1349,N1349)</f>
        <v>4.9999999999990052E-3</v>
      </c>
    </row>
    <row r="1351" spans="1:14">
      <c r="A1351" s="67" t="s">
        <v>2703</v>
      </c>
      <c r="B1351" s="68">
        <v>4.0330000000000004</v>
      </c>
      <c r="C1351" s="69">
        <v>4.7249999999999996</v>
      </c>
      <c r="D1351" s="70">
        <f t="shared" si="147"/>
        <v>2</v>
      </c>
      <c r="E1351" s="70">
        <f t="shared" si="148"/>
        <v>0.2</v>
      </c>
      <c r="F1351" s="70">
        <f t="shared" si="149"/>
        <v>2</v>
      </c>
      <c r="G1351" s="70">
        <f t="shared" si="150"/>
        <v>1.601</v>
      </c>
      <c r="H1351" s="70">
        <f t="shared" si="151"/>
        <v>0.4</v>
      </c>
      <c r="I1351" s="70">
        <f t="shared" si="152"/>
        <v>0</v>
      </c>
      <c r="J1351" s="70">
        <f t="shared" si="153"/>
        <v>0</v>
      </c>
      <c r="K1351" s="70">
        <f>IF(CurrentMtgRatesDataTable8[[#This Row],[WA CC]]&lt;&gt;0,C1350-CurrentMtgRatesDataTable8[[#This Row],[WA CC]],0)</f>
        <v>0</v>
      </c>
      <c r="L1351" s="70">
        <f>IF(CurrentMtgRatesDataTable8[[#This Row],[Servicing Spread]]&lt;=0,L1350,CurrentMtgRatesDataTable8[[#This Row],[Servicing Spread]])</f>
        <v>0.74050000000000038</v>
      </c>
      <c r="M1351" s="70">
        <f>CurrentMtgRatesDataTable8[[#This Row],[Servicing Spread Non-Zero]]-L1350</f>
        <v>0</v>
      </c>
      <c r="N1351" s="70">
        <f>IF(J1350&lt;&gt;0,CurrentMtgRatesDataTable8[[#This Row],[Rate]]-C1350,N1350)</f>
        <v>4.9999999999990052E-3</v>
      </c>
    </row>
    <row r="1352" spans="1:14">
      <c r="A1352" s="67" t="s">
        <v>2704</v>
      </c>
      <c r="B1352" s="68">
        <v>3.9969999999999999</v>
      </c>
      <c r="C1352" s="69">
        <v>4.7249999999999996</v>
      </c>
      <c r="D1352" s="70">
        <f t="shared" si="147"/>
        <v>5</v>
      </c>
      <c r="E1352" s="70">
        <f t="shared" si="148"/>
        <v>0.2</v>
      </c>
      <c r="F1352" s="70">
        <f t="shared" si="149"/>
        <v>3</v>
      </c>
      <c r="G1352" s="70">
        <f t="shared" si="150"/>
        <v>2.4003999999999999</v>
      </c>
      <c r="H1352" s="70">
        <f t="shared" si="151"/>
        <v>0.60000000000000009</v>
      </c>
      <c r="I1352" s="70">
        <f t="shared" si="152"/>
        <v>0</v>
      </c>
      <c r="J1352" s="70">
        <f t="shared" si="153"/>
        <v>0</v>
      </c>
      <c r="K1352" s="70">
        <f>IF(CurrentMtgRatesDataTable8[[#This Row],[WA CC]]&lt;&gt;0,C1351-CurrentMtgRatesDataTable8[[#This Row],[WA CC]],0)</f>
        <v>0</v>
      </c>
      <c r="L1352" s="70">
        <f>IF(CurrentMtgRatesDataTable8[[#This Row],[Servicing Spread]]&lt;=0,L1351,CurrentMtgRatesDataTable8[[#This Row],[Servicing Spread]])</f>
        <v>0.74050000000000038</v>
      </c>
      <c r="M1352" s="70">
        <f>CurrentMtgRatesDataTable8[[#This Row],[Servicing Spread Non-Zero]]-L1351</f>
        <v>0</v>
      </c>
      <c r="N1352" s="70">
        <f>IF(J1351&lt;&gt;0,CurrentMtgRatesDataTable8[[#This Row],[Rate]]-C1351,N1351)</f>
        <v>4.9999999999990052E-3</v>
      </c>
    </row>
    <row r="1353" spans="1:14">
      <c r="A1353" s="67" t="s">
        <v>2705</v>
      </c>
      <c r="B1353" s="68">
        <v>4.01</v>
      </c>
      <c r="C1353" s="69">
        <v>4.7249999999999996</v>
      </c>
      <c r="D1353" s="70">
        <f t="shared" si="147"/>
        <v>6</v>
      </c>
      <c r="E1353" s="70">
        <f t="shared" si="148"/>
        <v>0.2</v>
      </c>
      <c r="F1353" s="70">
        <f t="shared" si="149"/>
        <v>4</v>
      </c>
      <c r="G1353" s="70">
        <f t="shared" si="150"/>
        <v>3.2023999999999999</v>
      </c>
      <c r="H1353" s="70">
        <f t="shared" si="151"/>
        <v>0.8</v>
      </c>
      <c r="I1353" s="70">
        <f t="shared" si="152"/>
        <v>0</v>
      </c>
      <c r="J1353" s="70">
        <f t="shared" si="153"/>
        <v>0</v>
      </c>
      <c r="K1353" s="70">
        <f>IF(CurrentMtgRatesDataTable8[[#This Row],[WA CC]]&lt;&gt;0,C1352-CurrentMtgRatesDataTable8[[#This Row],[WA CC]],0)</f>
        <v>0</v>
      </c>
      <c r="L1353" s="70">
        <f>IF(CurrentMtgRatesDataTable8[[#This Row],[Servicing Spread]]&lt;=0,L1352,CurrentMtgRatesDataTable8[[#This Row],[Servicing Spread]])</f>
        <v>0.74050000000000038</v>
      </c>
      <c r="M1353" s="70">
        <f>CurrentMtgRatesDataTable8[[#This Row],[Servicing Spread Non-Zero]]-L1352</f>
        <v>0</v>
      </c>
      <c r="N1353" s="70">
        <f>IF(J1352&lt;&gt;0,CurrentMtgRatesDataTable8[[#This Row],[Rate]]-C1352,N1352)</f>
        <v>4.9999999999990052E-3</v>
      </c>
    </row>
    <row r="1354" spans="1:14">
      <c r="A1354" s="67" t="s">
        <v>2706</v>
      </c>
      <c r="B1354" s="68">
        <v>4.03</v>
      </c>
      <c r="C1354" s="69">
        <v>4.7249999999999996</v>
      </c>
      <c r="D1354" s="70">
        <f t="shared" si="147"/>
        <v>7</v>
      </c>
      <c r="E1354" s="70">
        <f t="shared" si="148"/>
        <v>0.2</v>
      </c>
      <c r="F1354" s="70">
        <f t="shared" si="149"/>
        <v>5</v>
      </c>
      <c r="G1354" s="70">
        <f t="shared" si="150"/>
        <v>4.0084</v>
      </c>
      <c r="H1354" s="70">
        <f t="shared" si="151"/>
        <v>1</v>
      </c>
      <c r="I1354" s="70">
        <f t="shared" si="152"/>
        <v>1</v>
      </c>
      <c r="J1354" s="70">
        <f t="shared" si="153"/>
        <v>4.0084</v>
      </c>
      <c r="K1354" s="70">
        <f>IF(CurrentMtgRatesDataTable8[[#This Row],[WA CC]]&lt;&gt;0,C1353-CurrentMtgRatesDataTable8[[#This Row],[WA CC]],0)</f>
        <v>0.71659999999999968</v>
      </c>
      <c r="L1354" s="70">
        <f>IF(CurrentMtgRatesDataTable8[[#This Row],[Servicing Spread]]&lt;=0,L1353,CurrentMtgRatesDataTable8[[#This Row],[Servicing Spread]])</f>
        <v>0.71659999999999968</v>
      </c>
      <c r="M1354" s="70">
        <f>CurrentMtgRatesDataTable8[[#This Row],[Servicing Spread Non-Zero]]-L1353</f>
        <v>-2.3900000000000698E-2</v>
      </c>
      <c r="N1354" s="70">
        <f>IF(J1353&lt;&gt;0,CurrentMtgRatesDataTable8[[#This Row],[Rate]]-C1353,N1353)</f>
        <v>4.9999999999990052E-3</v>
      </c>
    </row>
    <row r="1355" spans="1:14">
      <c r="A1355" s="67" t="s">
        <v>2707</v>
      </c>
      <c r="B1355" s="68">
        <v>3.996</v>
      </c>
      <c r="C1355" s="69">
        <v>4.7050000000000001</v>
      </c>
      <c r="D1355" s="70">
        <f t="shared" si="147"/>
        <v>1</v>
      </c>
      <c r="E1355" s="70">
        <f t="shared" si="148"/>
        <v>0.2</v>
      </c>
      <c r="F1355" s="70">
        <f t="shared" si="149"/>
        <v>1</v>
      </c>
      <c r="G1355" s="70">
        <f t="shared" si="150"/>
        <v>0.79920000000000002</v>
      </c>
      <c r="H1355" s="70">
        <f t="shared" si="151"/>
        <v>0.2</v>
      </c>
      <c r="I1355" s="70">
        <f t="shared" si="152"/>
        <v>0</v>
      </c>
      <c r="J1355" s="70">
        <f t="shared" si="153"/>
        <v>0</v>
      </c>
      <c r="K1355" s="70">
        <f>IF(CurrentMtgRatesDataTable8[[#This Row],[WA CC]]&lt;&gt;0,C1354-CurrentMtgRatesDataTable8[[#This Row],[WA CC]],0)</f>
        <v>0</v>
      </c>
      <c r="L1355" s="70">
        <f>IF(CurrentMtgRatesDataTable8[[#This Row],[Servicing Spread]]&lt;=0,L1354,CurrentMtgRatesDataTable8[[#This Row],[Servicing Spread]])</f>
        <v>0.71659999999999968</v>
      </c>
      <c r="M1355" s="70">
        <f>CurrentMtgRatesDataTable8[[#This Row],[Servicing Spread Non-Zero]]-L1354</f>
        <v>0</v>
      </c>
      <c r="N1355" s="70">
        <f>IF(J1354&lt;&gt;0,CurrentMtgRatesDataTable8[[#This Row],[Rate]]-C1354,N1354)</f>
        <v>-1.9999999999999574E-2</v>
      </c>
    </row>
    <row r="1356" spans="1:14">
      <c r="A1356" s="67" t="s">
        <v>2708</v>
      </c>
      <c r="B1356" s="68">
        <v>3.9929999999999999</v>
      </c>
      <c r="C1356" s="69">
        <v>4.7050000000000001</v>
      </c>
      <c r="D1356" s="70">
        <f t="shared" si="147"/>
        <v>2</v>
      </c>
      <c r="E1356" s="70">
        <f t="shared" si="148"/>
        <v>0.2</v>
      </c>
      <c r="F1356" s="70">
        <f t="shared" si="149"/>
        <v>2</v>
      </c>
      <c r="G1356" s="70">
        <f t="shared" si="150"/>
        <v>1.5977999999999999</v>
      </c>
      <c r="H1356" s="70">
        <f t="shared" si="151"/>
        <v>0.4</v>
      </c>
      <c r="I1356" s="70">
        <f t="shared" si="152"/>
        <v>0</v>
      </c>
      <c r="J1356" s="70">
        <f t="shared" si="153"/>
        <v>0</v>
      </c>
      <c r="K1356" s="70">
        <f>IF(CurrentMtgRatesDataTable8[[#This Row],[WA CC]]&lt;&gt;0,C1355-CurrentMtgRatesDataTable8[[#This Row],[WA CC]],0)</f>
        <v>0</v>
      </c>
      <c r="L1356" s="70">
        <f>IF(CurrentMtgRatesDataTable8[[#This Row],[Servicing Spread]]&lt;=0,L1355,CurrentMtgRatesDataTable8[[#This Row],[Servicing Spread]])</f>
        <v>0.71659999999999968</v>
      </c>
      <c r="M1356" s="70">
        <f>CurrentMtgRatesDataTable8[[#This Row],[Servicing Spread Non-Zero]]-L1355</f>
        <v>0</v>
      </c>
      <c r="N1356" s="70">
        <f>IF(J1355&lt;&gt;0,CurrentMtgRatesDataTable8[[#This Row],[Rate]]-C1355,N1355)</f>
        <v>-1.9999999999999574E-2</v>
      </c>
    </row>
    <row r="1357" spans="1:14">
      <c r="A1357" s="67" t="s">
        <v>2709</v>
      </c>
      <c r="B1357" s="68">
        <v>3.8359999999999999</v>
      </c>
      <c r="C1357" s="69">
        <v>4.7050000000000001</v>
      </c>
      <c r="D1357" s="70">
        <f t="shared" si="147"/>
        <v>5</v>
      </c>
      <c r="E1357" s="70">
        <f t="shared" si="148"/>
        <v>0.2</v>
      </c>
      <c r="F1357" s="70">
        <f t="shared" si="149"/>
        <v>3</v>
      </c>
      <c r="G1357" s="70">
        <f t="shared" si="150"/>
        <v>2.3649999999999998</v>
      </c>
      <c r="H1357" s="70">
        <f t="shared" si="151"/>
        <v>0.60000000000000009</v>
      </c>
      <c r="I1357" s="70">
        <f t="shared" si="152"/>
        <v>0</v>
      </c>
      <c r="J1357" s="70">
        <f t="shared" si="153"/>
        <v>0</v>
      </c>
      <c r="K1357" s="70">
        <f>IF(CurrentMtgRatesDataTable8[[#This Row],[WA CC]]&lt;&gt;0,C1356-CurrentMtgRatesDataTable8[[#This Row],[WA CC]],0)</f>
        <v>0</v>
      </c>
      <c r="L1357" s="70">
        <f>IF(CurrentMtgRatesDataTable8[[#This Row],[Servicing Spread]]&lt;=0,L1356,CurrentMtgRatesDataTable8[[#This Row],[Servicing Spread]])</f>
        <v>0.71659999999999968</v>
      </c>
      <c r="M1357" s="70">
        <f>CurrentMtgRatesDataTable8[[#This Row],[Servicing Spread Non-Zero]]-L1356</f>
        <v>0</v>
      </c>
      <c r="N1357" s="70">
        <f>IF(J1356&lt;&gt;0,CurrentMtgRatesDataTable8[[#This Row],[Rate]]-C1356,N1356)</f>
        <v>-1.9999999999999574E-2</v>
      </c>
    </row>
    <row r="1358" spans="1:14">
      <c r="A1358" s="67" t="s">
        <v>2710</v>
      </c>
      <c r="B1358" s="68">
        <v>3.9020000000000001</v>
      </c>
      <c r="C1358" s="69">
        <v>4.7050000000000001</v>
      </c>
      <c r="D1358" s="70">
        <f t="shared" si="147"/>
        <v>6</v>
      </c>
      <c r="E1358" s="70">
        <f t="shared" si="148"/>
        <v>0.2</v>
      </c>
      <c r="F1358" s="70">
        <f t="shared" si="149"/>
        <v>4</v>
      </c>
      <c r="G1358" s="70">
        <f t="shared" si="150"/>
        <v>3.1454</v>
      </c>
      <c r="H1358" s="70">
        <f t="shared" si="151"/>
        <v>0.8</v>
      </c>
      <c r="I1358" s="70">
        <f t="shared" si="152"/>
        <v>0</v>
      </c>
      <c r="J1358" s="70">
        <f t="shared" si="153"/>
        <v>0</v>
      </c>
      <c r="K1358" s="70">
        <f>IF(CurrentMtgRatesDataTable8[[#This Row],[WA CC]]&lt;&gt;0,C1357-CurrentMtgRatesDataTable8[[#This Row],[WA CC]],0)</f>
        <v>0</v>
      </c>
      <c r="L1358" s="70">
        <f>IF(CurrentMtgRatesDataTable8[[#This Row],[Servicing Spread]]&lt;=0,L1357,CurrentMtgRatesDataTable8[[#This Row],[Servicing Spread]])</f>
        <v>0.71659999999999968</v>
      </c>
      <c r="M1358" s="70">
        <f>CurrentMtgRatesDataTable8[[#This Row],[Servicing Spread Non-Zero]]-L1357</f>
        <v>0</v>
      </c>
      <c r="N1358" s="70">
        <f>IF(J1357&lt;&gt;0,CurrentMtgRatesDataTable8[[#This Row],[Rate]]-C1357,N1357)</f>
        <v>-1.9999999999999574E-2</v>
      </c>
    </row>
    <row r="1359" spans="1:14">
      <c r="A1359" s="67" t="s">
        <v>2711</v>
      </c>
      <c r="B1359" s="68">
        <v>3.9860000000000002</v>
      </c>
      <c r="C1359" s="69">
        <v>4.7050000000000001</v>
      </c>
      <c r="D1359" s="70">
        <f t="shared" si="147"/>
        <v>7</v>
      </c>
      <c r="E1359" s="70">
        <f t="shared" si="148"/>
        <v>0.2</v>
      </c>
      <c r="F1359" s="70">
        <f t="shared" si="149"/>
        <v>5</v>
      </c>
      <c r="G1359" s="70">
        <f t="shared" si="150"/>
        <v>3.9426000000000001</v>
      </c>
      <c r="H1359" s="70">
        <f t="shared" si="151"/>
        <v>1</v>
      </c>
      <c r="I1359" s="70">
        <f t="shared" si="152"/>
        <v>1</v>
      </c>
      <c r="J1359" s="70">
        <f t="shared" si="153"/>
        <v>3.9426000000000001</v>
      </c>
      <c r="K1359" s="70">
        <f>IF(CurrentMtgRatesDataTable8[[#This Row],[WA CC]]&lt;&gt;0,C1358-CurrentMtgRatesDataTable8[[#This Row],[WA CC]],0)</f>
        <v>0.76239999999999997</v>
      </c>
      <c r="L1359" s="70">
        <f>IF(CurrentMtgRatesDataTable8[[#This Row],[Servicing Spread]]&lt;=0,L1358,CurrentMtgRatesDataTable8[[#This Row],[Servicing Spread]])</f>
        <v>0.76239999999999997</v>
      </c>
      <c r="M1359" s="70">
        <f>CurrentMtgRatesDataTable8[[#This Row],[Servicing Spread Non-Zero]]-L1358</f>
        <v>4.5800000000000285E-2</v>
      </c>
      <c r="N1359" s="70">
        <f>IF(J1358&lt;&gt;0,CurrentMtgRatesDataTable8[[#This Row],[Rate]]-C1358,N1358)</f>
        <v>-1.9999999999999574E-2</v>
      </c>
    </row>
    <row r="1360" spans="1:14">
      <c r="A1360" s="67" t="s">
        <v>2712</v>
      </c>
      <c r="B1360" s="68">
        <v>4.0140000000000002</v>
      </c>
      <c r="C1360" s="69">
        <v>4.7649999999999997</v>
      </c>
      <c r="D1360" s="70">
        <f t="shared" si="147"/>
        <v>1</v>
      </c>
      <c r="E1360" s="70">
        <f t="shared" si="148"/>
        <v>0.2</v>
      </c>
      <c r="F1360" s="70">
        <f t="shared" si="149"/>
        <v>1</v>
      </c>
      <c r="G1360" s="70">
        <f t="shared" si="150"/>
        <v>0.80280000000000007</v>
      </c>
      <c r="H1360" s="70">
        <f t="shared" si="151"/>
        <v>0.2</v>
      </c>
      <c r="I1360" s="70">
        <f t="shared" si="152"/>
        <v>0</v>
      </c>
      <c r="J1360" s="70">
        <f t="shared" si="153"/>
        <v>0</v>
      </c>
      <c r="K1360" s="70">
        <f>IF(CurrentMtgRatesDataTable8[[#This Row],[WA CC]]&lt;&gt;0,C1359-CurrentMtgRatesDataTable8[[#This Row],[WA CC]],0)</f>
        <v>0</v>
      </c>
      <c r="L1360" s="70">
        <f>IF(CurrentMtgRatesDataTable8[[#This Row],[Servicing Spread]]&lt;=0,L1359,CurrentMtgRatesDataTable8[[#This Row],[Servicing Spread]])</f>
        <v>0.76239999999999997</v>
      </c>
      <c r="M1360" s="70">
        <f>CurrentMtgRatesDataTable8[[#This Row],[Servicing Spread Non-Zero]]-L1359</f>
        <v>0</v>
      </c>
      <c r="N1360" s="70">
        <f>IF(J1359&lt;&gt;0,CurrentMtgRatesDataTable8[[#This Row],[Rate]]-C1359,N1359)</f>
        <v>5.9999999999999609E-2</v>
      </c>
    </row>
    <row r="1361" spans="1:14">
      <c r="A1361" s="67" t="s">
        <v>2713</v>
      </c>
      <c r="B1361" s="68">
        <v>4.0858865652484404</v>
      </c>
      <c r="C1361" s="69">
        <v>4.7649999999999997</v>
      </c>
      <c r="D1361" s="70">
        <f t="shared" si="147"/>
        <v>2</v>
      </c>
      <c r="E1361" s="70">
        <f t="shared" si="148"/>
        <v>0.2</v>
      </c>
      <c r="F1361" s="70">
        <f t="shared" si="149"/>
        <v>2</v>
      </c>
      <c r="G1361" s="70">
        <f t="shared" si="150"/>
        <v>1.6199773130496882</v>
      </c>
      <c r="H1361" s="70">
        <f t="shared" si="151"/>
        <v>0.4</v>
      </c>
      <c r="I1361" s="70">
        <f t="shared" si="152"/>
        <v>0</v>
      </c>
      <c r="J1361" s="70">
        <f t="shared" si="153"/>
        <v>0</v>
      </c>
      <c r="K1361" s="70">
        <f>IF(CurrentMtgRatesDataTable8[[#This Row],[WA CC]]&lt;&gt;0,C1360-CurrentMtgRatesDataTable8[[#This Row],[WA CC]],0)</f>
        <v>0</v>
      </c>
      <c r="L1361" s="70">
        <f>IF(CurrentMtgRatesDataTable8[[#This Row],[Servicing Spread]]&lt;=0,L1360,CurrentMtgRatesDataTable8[[#This Row],[Servicing Spread]])</f>
        <v>0.76239999999999997</v>
      </c>
      <c r="M1361" s="70">
        <f>CurrentMtgRatesDataTable8[[#This Row],[Servicing Spread Non-Zero]]-L1360</f>
        <v>0</v>
      </c>
      <c r="N1361" s="70">
        <f>IF(J1360&lt;&gt;0,CurrentMtgRatesDataTable8[[#This Row],[Rate]]-C1360,N1360)</f>
        <v>5.9999999999999609E-2</v>
      </c>
    </row>
    <row r="1362" spans="1:14">
      <c r="A1362" s="67" t="s">
        <v>2714</v>
      </c>
      <c r="B1362" s="68">
        <v>4.0382751963727896</v>
      </c>
      <c r="C1362" s="69">
        <v>4.7649999999999997</v>
      </c>
      <c r="D1362" s="70">
        <f t="shared" si="147"/>
        <v>5</v>
      </c>
      <c r="E1362" s="70">
        <f t="shared" si="148"/>
        <v>0.2</v>
      </c>
      <c r="F1362" s="70">
        <f t="shared" si="149"/>
        <v>3</v>
      </c>
      <c r="G1362" s="70">
        <f t="shared" si="150"/>
        <v>2.4276323523242462</v>
      </c>
      <c r="H1362" s="70">
        <f t="shared" si="151"/>
        <v>0.60000000000000009</v>
      </c>
      <c r="I1362" s="70">
        <f t="shared" si="152"/>
        <v>0</v>
      </c>
      <c r="J1362" s="70">
        <f t="shared" si="153"/>
        <v>0</v>
      </c>
      <c r="K1362" s="70">
        <f>IF(CurrentMtgRatesDataTable8[[#This Row],[WA CC]]&lt;&gt;0,C1361-CurrentMtgRatesDataTable8[[#This Row],[WA CC]],0)</f>
        <v>0</v>
      </c>
      <c r="L1362" s="70">
        <f>IF(CurrentMtgRatesDataTable8[[#This Row],[Servicing Spread]]&lt;=0,L1361,CurrentMtgRatesDataTable8[[#This Row],[Servicing Spread]])</f>
        <v>0.76239999999999997</v>
      </c>
      <c r="M1362" s="70">
        <f>CurrentMtgRatesDataTable8[[#This Row],[Servicing Spread Non-Zero]]-L1361</f>
        <v>0</v>
      </c>
      <c r="N1362" s="70">
        <f>IF(J1361&lt;&gt;0,CurrentMtgRatesDataTable8[[#This Row],[Rate]]-C1361,N1361)</f>
        <v>5.9999999999999609E-2</v>
      </c>
    </row>
    <row r="1363" spans="1:14">
      <c r="A1363" s="67" t="s">
        <v>2715</v>
      </c>
      <c r="B1363" s="68">
        <v>3.98397047379131</v>
      </c>
      <c r="C1363" s="69">
        <v>4.7649999999999997</v>
      </c>
      <c r="D1363" s="70">
        <f t="shared" si="147"/>
        <v>6</v>
      </c>
      <c r="E1363" s="70">
        <f t="shared" si="148"/>
        <v>0.2</v>
      </c>
      <c r="F1363" s="70">
        <f t="shared" si="149"/>
        <v>4</v>
      </c>
      <c r="G1363" s="70">
        <f t="shared" si="150"/>
        <v>3.2244264470825081</v>
      </c>
      <c r="H1363" s="70">
        <f t="shared" si="151"/>
        <v>0.8</v>
      </c>
      <c r="I1363" s="70">
        <f t="shared" si="152"/>
        <v>0</v>
      </c>
      <c r="J1363" s="70">
        <f t="shared" si="153"/>
        <v>0</v>
      </c>
      <c r="K1363" s="70">
        <f>IF(CurrentMtgRatesDataTable8[[#This Row],[WA CC]]&lt;&gt;0,C1362-CurrentMtgRatesDataTable8[[#This Row],[WA CC]],0)</f>
        <v>0</v>
      </c>
      <c r="L1363" s="70">
        <f>IF(CurrentMtgRatesDataTable8[[#This Row],[Servicing Spread]]&lt;=0,L1362,CurrentMtgRatesDataTable8[[#This Row],[Servicing Spread]])</f>
        <v>0.76239999999999997</v>
      </c>
      <c r="M1363" s="70">
        <f>CurrentMtgRatesDataTable8[[#This Row],[Servicing Spread Non-Zero]]-L1362</f>
        <v>0</v>
      </c>
      <c r="N1363" s="70">
        <f>IF(J1362&lt;&gt;0,CurrentMtgRatesDataTable8[[#This Row],[Rate]]-C1362,N1362)</f>
        <v>5.9999999999999609E-2</v>
      </c>
    </row>
    <row r="1364" spans="1:14">
      <c r="A1364" s="67" t="s">
        <v>2716</v>
      </c>
      <c r="B1364" s="68">
        <v>3.9681320887033702</v>
      </c>
      <c r="C1364" s="69">
        <v>4.7649999999999997</v>
      </c>
      <c r="D1364" s="70">
        <f t="shared" si="147"/>
        <v>7</v>
      </c>
      <c r="E1364" s="70">
        <f t="shared" si="148"/>
        <v>0.2</v>
      </c>
      <c r="F1364" s="70">
        <f t="shared" si="149"/>
        <v>5</v>
      </c>
      <c r="G1364" s="70">
        <f t="shared" si="150"/>
        <v>4.0180528648231819</v>
      </c>
      <c r="H1364" s="70">
        <f t="shared" si="151"/>
        <v>1</v>
      </c>
      <c r="I1364" s="70">
        <f t="shared" si="152"/>
        <v>1</v>
      </c>
      <c r="J1364" s="70">
        <f t="shared" si="153"/>
        <v>4.0180528648231819</v>
      </c>
      <c r="K1364" s="70">
        <f>IF(CurrentMtgRatesDataTable8[[#This Row],[WA CC]]&lt;&gt;0,C1363-CurrentMtgRatesDataTable8[[#This Row],[WA CC]],0)</f>
        <v>0.74694713517681777</v>
      </c>
      <c r="L1364" s="70">
        <f>IF(CurrentMtgRatesDataTable8[[#This Row],[Servicing Spread]]&lt;=0,L1363,CurrentMtgRatesDataTable8[[#This Row],[Servicing Spread]])</f>
        <v>0.74694713517681777</v>
      </c>
      <c r="M1364" s="70">
        <f>CurrentMtgRatesDataTable8[[#This Row],[Servicing Spread Non-Zero]]-L1363</f>
        <v>-1.54528648231822E-2</v>
      </c>
      <c r="N1364" s="70">
        <f>IF(J1363&lt;&gt;0,CurrentMtgRatesDataTable8[[#This Row],[Rate]]-C1363,N1363)</f>
        <v>5.9999999999999609E-2</v>
      </c>
    </row>
    <row r="1365" spans="1:14">
      <c r="A1365" s="67" t="s">
        <v>2717</v>
      </c>
      <c r="B1365" s="68">
        <v>4.0854192145494599</v>
      </c>
      <c r="C1365" s="69">
        <v>4.7600000000000007</v>
      </c>
      <c r="D1365" s="70">
        <f t="shared" si="147"/>
        <v>1</v>
      </c>
      <c r="E1365" s="70">
        <f t="shared" si="148"/>
        <v>0.2</v>
      </c>
      <c r="F1365" s="70">
        <f t="shared" si="149"/>
        <v>1</v>
      </c>
      <c r="G1365" s="70">
        <f t="shared" si="150"/>
        <v>0.817083842909892</v>
      </c>
      <c r="H1365" s="70">
        <f t="shared" si="151"/>
        <v>0.2</v>
      </c>
      <c r="I1365" s="70">
        <f t="shared" si="152"/>
        <v>0</v>
      </c>
      <c r="J1365" s="70">
        <f t="shared" si="153"/>
        <v>0</v>
      </c>
      <c r="K1365" s="70">
        <f>IF(CurrentMtgRatesDataTable8[[#This Row],[WA CC]]&lt;&gt;0,C1364-CurrentMtgRatesDataTable8[[#This Row],[WA CC]],0)</f>
        <v>0</v>
      </c>
      <c r="L1365" s="70">
        <f>IF(CurrentMtgRatesDataTable8[[#This Row],[Servicing Spread]]&lt;=0,L1364,CurrentMtgRatesDataTable8[[#This Row],[Servicing Spread]])</f>
        <v>0.74694713517681777</v>
      </c>
      <c r="M1365" s="70">
        <f>CurrentMtgRatesDataTable8[[#This Row],[Servicing Spread Non-Zero]]-L1364</f>
        <v>0</v>
      </c>
      <c r="N1365" s="70">
        <f>IF(J1364&lt;&gt;0,CurrentMtgRatesDataTable8[[#This Row],[Rate]]-C1364,N1364)</f>
        <v>-4.9999999999990052E-3</v>
      </c>
    </row>
    <row r="1366" spans="1:14">
      <c r="A1366" s="67" t="s">
        <v>2718</v>
      </c>
      <c r="B1366" s="68">
        <v>4.1292620798053701</v>
      </c>
      <c r="C1366" s="69">
        <v>4.7600000000000007</v>
      </c>
      <c r="D1366" s="70">
        <f t="shared" si="147"/>
        <v>2</v>
      </c>
      <c r="E1366" s="70">
        <f t="shared" si="148"/>
        <v>0.2</v>
      </c>
      <c r="F1366" s="70">
        <f t="shared" si="149"/>
        <v>2</v>
      </c>
      <c r="G1366" s="70">
        <f t="shared" si="150"/>
        <v>1.6429362588709662</v>
      </c>
      <c r="H1366" s="70">
        <f t="shared" si="151"/>
        <v>0.4</v>
      </c>
      <c r="I1366" s="70">
        <f t="shared" si="152"/>
        <v>0</v>
      </c>
      <c r="J1366" s="70">
        <f t="shared" si="153"/>
        <v>0</v>
      </c>
      <c r="K1366" s="70">
        <f>IF(CurrentMtgRatesDataTable8[[#This Row],[WA CC]]&lt;&gt;0,C1365-CurrentMtgRatesDataTable8[[#This Row],[WA CC]],0)</f>
        <v>0</v>
      </c>
      <c r="L1366" s="70">
        <f>IF(CurrentMtgRatesDataTable8[[#This Row],[Servicing Spread]]&lt;=0,L1365,CurrentMtgRatesDataTable8[[#This Row],[Servicing Spread]])</f>
        <v>0.74694713517681777</v>
      </c>
      <c r="M1366" s="70">
        <f>CurrentMtgRatesDataTable8[[#This Row],[Servicing Spread Non-Zero]]-L1365</f>
        <v>0</v>
      </c>
      <c r="N1366" s="70">
        <f>IF(J1365&lt;&gt;0,CurrentMtgRatesDataTable8[[#This Row],[Rate]]-C1365,N1365)</f>
        <v>-4.9999999999990052E-3</v>
      </c>
    </row>
    <row r="1367" spans="1:14">
      <c r="A1367" s="67" t="s">
        <v>2719</v>
      </c>
      <c r="B1367" s="68">
        <v>3.99949062402847</v>
      </c>
      <c r="C1367" s="69">
        <v>4.7600000000000007</v>
      </c>
      <c r="D1367" s="70">
        <f t="shared" si="147"/>
        <v>5</v>
      </c>
      <c r="E1367" s="70">
        <f t="shared" si="148"/>
        <v>0.2</v>
      </c>
      <c r="F1367" s="70">
        <f t="shared" si="149"/>
        <v>3</v>
      </c>
      <c r="G1367" s="70">
        <f t="shared" si="150"/>
        <v>2.4428343836766602</v>
      </c>
      <c r="H1367" s="70">
        <f t="shared" si="151"/>
        <v>0.60000000000000009</v>
      </c>
      <c r="I1367" s="70">
        <f t="shared" si="152"/>
        <v>0</v>
      </c>
      <c r="J1367" s="70">
        <f t="shared" si="153"/>
        <v>0</v>
      </c>
      <c r="K1367" s="70">
        <f>IF(CurrentMtgRatesDataTable8[[#This Row],[WA CC]]&lt;&gt;0,C1366-CurrentMtgRatesDataTable8[[#This Row],[WA CC]],0)</f>
        <v>0</v>
      </c>
      <c r="L1367" s="70">
        <f>IF(CurrentMtgRatesDataTable8[[#This Row],[Servicing Spread]]&lt;=0,L1366,CurrentMtgRatesDataTable8[[#This Row],[Servicing Spread]])</f>
        <v>0.74694713517681777</v>
      </c>
      <c r="M1367" s="70">
        <f>CurrentMtgRatesDataTable8[[#This Row],[Servicing Spread Non-Zero]]-L1366</f>
        <v>0</v>
      </c>
      <c r="N1367" s="70">
        <f>IF(J1366&lt;&gt;0,CurrentMtgRatesDataTable8[[#This Row],[Rate]]-C1366,N1366)</f>
        <v>-4.9999999999990052E-3</v>
      </c>
    </row>
    <row r="1368" spans="1:14">
      <c r="A1368" s="67" t="s">
        <v>2720</v>
      </c>
      <c r="B1368" s="68">
        <v>3.9836601215814702</v>
      </c>
      <c r="C1368" s="69">
        <v>4.7600000000000007</v>
      </c>
      <c r="D1368" s="70">
        <f t="shared" si="147"/>
        <v>6</v>
      </c>
      <c r="E1368" s="70">
        <f t="shared" si="148"/>
        <v>0.2</v>
      </c>
      <c r="F1368" s="70">
        <f t="shared" si="149"/>
        <v>4</v>
      </c>
      <c r="G1368" s="70">
        <f t="shared" si="150"/>
        <v>3.239566407992954</v>
      </c>
      <c r="H1368" s="70">
        <f t="shared" si="151"/>
        <v>0.8</v>
      </c>
      <c r="I1368" s="70">
        <f t="shared" si="152"/>
        <v>0</v>
      </c>
      <c r="J1368" s="70">
        <f t="shared" si="153"/>
        <v>0</v>
      </c>
      <c r="K1368" s="70">
        <f>IF(CurrentMtgRatesDataTable8[[#This Row],[WA CC]]&lt;&gt;0,C1367-CurrentMtgRatesDataTable8[[#This Row],[WA CC]],0)</f>
        <v>0</v>
      </c>
      <c r="L1368" s="70">
        <f>IF(CurrentMtgRatesDataTable8[[#This Row],[Servicing Spread]]&lt;=0,L1367,CurrentMtgRatesDataTable8[[#This Row],[Servicing Spread]])</f>
        <v>0.74694713517681777</v>
      </c>
      <c r="M1368" s="70">
        <f>CurrentMtgRatesDataTable8[[#This Row],[Servicing Spread Non-Zero]]-L1367</f>
        <v>0</v>
      </c>
      <c r="N1368" s="70">
        <f>IF(J1367&lt;&gt;0,CurrentMtgRatesDataTable8[[#This Row],[Rate]]-C1367,N1367)</f>
        <v>-4.9999999999990052E-3</v>
      </c>
    </row>
    <row r="1369" spans="1:14">
      <c r="A1369" s="67" t="s">
        <v>2721</v>
      </c>
      <c r="B1369" s="68">
        <v>3.9344361689485301</v>
      </c>
      <c r="C1369" s="69">
        <v>4.7600000000000007</v>
      </c>
      <c r="D1369" s="70">
        <f t="shared" si="147"/>
        <v>7</v>
      </c>
      <c r="E1369" s="70">
        <f t="shared" si="148"/>
        <v>0.2</v>
      </c>
      <c r="F1369" s="70">
        <f t="shared" si="149"/>
        <v>5</v>
      </c>
      <c r="G1369" s="70">
        <f t="shared" si="150"/>
        <v>4.02645364178266</v>
      </c>
      <c r="H1369" s="70">
        <f t="shared" si="151"/>
        <v>1</v>
      </c>
      <c r="I1369" s="70">
        <f t="shared" si="152"/>
        <v>1</v>
      </c>
      <c r="J1369" s="70">
        <f t="shared" si="153"/>
        <v>4.02645364178266</v>
      </c>
      <c r="K1369" s="70">
        <f>IF(CurrentMtgRatesDataTable8[[#This Row],[WA CC]]&lt;&gt;0,C1368-CurrentMtgRatesDataTable8[[#This Row],[WA CC]],0)</f>
        <v>0.73354635821734071</v>
      </c>
      <c r="L1369" s="70">
        <f>IF(CurrentMtgRatesDataTable8[[#This Row],[Servicing Spread]]&lt;=0,L1368,CurrentMtgRatesDataTable8[[#This Row],[Servicing Spread]])</f>
        <v>0.73354635821734071</v>
      </c>
      <c r="M1369" s="70">
        <f>CurrentMtgRatesDataTable8[[#This Row],[Servicing Spread Non-Zero]]-L1368</f>
        <v>-1.3400776959477056E-2</v>
      </c>
      <c r="N1369" s="70">
        <f>IF(J1368&lt;&gt;0,CurrentMtgRatesDataTable8[[#This Row],[Rate]]-C1368,N1368)</f>
        <v>-4.9999999999990052E-3</v>
      </c>
    </row>
    <row r="1370" spans="1:14">
      <c r="A1370" s="67" t="s">
        <v>2722</v>
      </c>
      <c r="B1370" s="68">
        <v>3.9377092917489702</v>
      </c>
      <c r="C1370" s="69">
        <v>4.7450000000000001</v>
      </c>
      <c r="D1370" s="70">
        <f t="shared" si="147"/>
        <v>1</v>
      </c>
      <c r="E1370" s="70">
        <f t="shared" si="148"/>
        <v>0.2</v>
      </c>
      <c r="F1370" s="70">
        <f t="shared" si="149"/>
        <v>1</v>
      </c>
      <c r="G1370" s="70">
        <f t="shared" si="150"/>
        <v>0.78754185834979407</v>
      </c>
      <c r="H1370" s="70">
        <f t="shared" si="151"/>
        <v>0.2</v>
      </c>
      <c r="I1370" s="70">
        <f t="shared" si="152"/>
        <v>0</v>
      </c>
      <c r="J1370" s="70">
        <f t="shared" si="153"/>
        <v>0</v>
      </c>
      <c r="K1370" s="70">
        <f>IF(CurrentMtgRatesDataTable8[[#This Row],[WA CC]]&lt;&gt;0,C1369-CurrentMtgRatesDataTable8[[#This Row],[WA CC]],0)</f>
        <v>0</v>
      </c>
      <c r="L1370" s="70">
        <f>IF(CurrentMtgRatesDataTable8[[#This Row],[Servicing Spread]]&lt;=0,L1369,CurrentMtgRatesDataTable8[[#This Row],[Servicing Spread]])</f>
        <v>0.73354635821734071</v>
      </c>
      <c r="M1370" s="70">
        <f>CurrentMtgRatesDataTable8[[#This Row],[Servicing Spread Non-Zero]]-L1369</f>
        <v>0</v>
      </c>
      <c r="N1370" s="70">
        <f>IF(J1369&lt;&gt;0,CurrentMtgRatesDataTable8[[#This Row],[Rate]]-C1369,N1369)</f>
        <v>-1.5000000000000568E-2</v>
      </c>
    </row>
    <row r="1371" spans="1:14">
      <c r="A1371" s="67" t="s">
        <v>2723</v>
      </c>
      <c r="B1371" s="68">
        <v>3.9483608476023102</v>
      </c>
      <c r="C1371" s="69">
        <v>4.7450000000000001</v>
      </c>
      <c r="D1371" s="70">
        <f t="shared" si="147"/>
        <v>2</v>
      </c>
      <c r="E1371" s="70">
        <f t="shared" si="148"/>
        <v>0.2</v>
      </c>
      <c r="F1371" s="70">
        <f t="shared" si="149"/>
        <v>2</v>
      </c>
      <c r="G1371" s="70">
        <f t="shared" si="150"/>
        <v>1.577214027870256</v>
      </c>
      <c r="H1371" s="70">
        <f t="shared" si="151"/>
        <v>0.4</v>
      </c>
      <c r="I1371" s="70">
        <f t="shared" si="152"/>
        <v>0</v>
      </c>
      <c r="J1371" s="70">
        <f t="shared" si="153"/>
        <v>0</v>
      </c>
      <c r="K1371" s="70">
        <f>IF(CurrentMtgRatesDataTable8[[#This Row],[WA CC]]&lt;&gt;0,C1370-CurrentMtgRatesDataTable8[[#This Row],[WA CC]],0)</f>
        <v>0</v>
      </c>
      <c r="L1371" s="70">
        <f>IF(CurrentMtgRatesDataTable8[[#This Row],[Servicing Spread]]&lt;=0,L1370,CurrentMtgRatesDataTable8[[#This Row],[Servicing Spread]])</f>
        <v>0.73354635821734071</v>
      </c>
      <c r="M1371" s="70">
        <f>CurrentMtgRatesDataTable8[[#This Row],[Servicing Spread Non-Zero]]-L1370</f>
        <v>0</v>
      </c>
      <c r="N1371" s="70">
        <f>IF(J1370&lt;&gt;0,CurrentMtgRatesDataTable8[[#This Row],[Rate]]-C1370,N1370)</f>
        <v>-1.5000000000000568E-2</v>
      </c>
    </row>
    <row r="1372" spans="1:14">
      <c r="A1372" s="67" t="s">
        <v>2724</v>
      </c>
      <c r="B1372" s="68">
        <v>3.9990234053017799</v>
      </c>
      <c r="C1372" s="69">
        <v>4.7450000000000001</v>
      </c>
      <c r="D1372" s="70">
        <f t="shared" si="147"/>
        <v>5</v>
      </c>
      <c r="E1372" s="70">
        <f t="shared" si="148"/>
        <v>0.2</v>
      </c>
      <c r="F1372" s="70">
        <f t="shared" si="149"/>
        <v>3</v>
      </c>
      <c r="G1372" s="70">
        <f t="shared" si="150"/>
        <v>2.3770187089306121</v>
      </c>
      <c r="H1372" s="70">
        <f t="shared" si="151"/>
        <v>0.60000000000000009</v>
      </c>
      <c r="I1372" s="70">
        <f t="shared" si="152"/>
        <v>0</v>
      </c>
      <c r="J1372" s="70">
        <f t="shared" si="153"/>
        <v>0</v>
      </c>
      <c r="K1372" s="70">
        <f>IF(CurrentMtgRatesDataTable8[[#This Row],[WA CC]]&lt;&gt;0,C1371-CurrentMtgRatesDataTable8[[#This Row],[WA CC]],0)</f>
        <v>0</v>
      </c>
      <c r="L1372" s="70">
        <f>IF(CurrentMtgRatesDataTable8[[#This Row],[Servicing Spread]]&lt;=0,L1371,CurrentMtgRatesDataTable8[[#This Row],[Servicing Spread]])</f>
        <v>0.73354635821734071</v>
      </c>
      <c r="M1372" s="70">
        <f>CurrentMtgRatesDataTable8[[#This Row],[Servicing Spread Non-Zero]]-L1371</f>
        <v>0</v>
      </c>
      <c r="N1372" s="70">
        <f>IF(J1371&lt;&gt;0,CurrentMtgRatesDataTable8[[#This Row],[Rate]]-C1371,N1371)</f>
        <v>-1.5000000000000568E-2</v>
      </c>
    </row>
    <row r="1373" spans="1:14">
      <c r="A1373" s="67" t="s">
        <v>2725</v>
      </c>
      <c r="B1373" s="68">
        <v>4.0019424974542304</v>
      </c>
      <c r="C1373" s="69">
        <v>4.7450000000000001</v>
      </c>
      <c r="D1373" s="70">
        <f t="shared" si="147"/>
        <v>6</v>
      </c>
      <c r="E1373" s="70">
        <f t="shared" si="148"/>
        <v>0.2</v>
      </c>
      <c r="F1373" s="70">
        <f t="shared" si="149"/>
        <v>4</v>
      </c>
      <c r="G1373" s="70">
        <f t="shared" si="150"/>
        <v>3.1774072084214584</v>
      </c>
      <c r="H1373" s="70">
        <f t="shared" si="151"/>
        <v>0.8</v>
      </c>
      <c r="I1373" s="70">
        <f t="shared" si="152"/>
        <v>0</v>
      </c>
      <c r="J1373" s="70">
        <f t="shared" si="153"/>
        <v>0</v>
      </c>
      <c r="K1373" s="70">
        <f>IF(CurrentMtgRatesDataTable8[[#This Row],[WA CC]]&lt;&gt;0,C1372-CurrentMtgRatesDataTable8[[#This Row],[WA CC]],0)</f>
        <v>0</v>
      </c>
      <c r="L1373" s="70">
        <f>IF(CurrentMtgRatesDataTable8[[#This Row],[Servicing Spread]]&lt;=0,L1372,CurrentMtgRatesDataTable8[[#This Row],[Servicing Spread]])</f>
        <v>0.73354635821734071</v>
      </c>
      <c r="M1373" s="70">
        <f>CurrentMtgRatesDataTable8[[#This Row],[Servicing Spread Non-Zero]]-L1372</f>
        <v>0</v>
      </c>
      <c r="N1373" s="70">
        <f>IF(J1372&lt;&gt;0,CurrentMtgRatesDataTable8[[#This Row],[Rate]]-C1372,N1372)</f>
        <v>-1.5000000000000568E-2</v>
      </c>
    </row>
    <row r="1374" spans="1:14">
      <c r="A1374" s="67" t="s">
        <v>2726</v>
      </c>
      <c r="B1374" s="68">
        <v>3.9658918180527398</v>
      </c>
      <c r="C1374" s="69">
        <v>4.7450000000000001</v>
      </c>
      <c r="D1374" s="70">
        <f t="shared" si="147"/>
        <v>7</v>
      </c>
      <c r="E1374" s="70">
        <f t="shared" si="148"/>
        <v>0.2</v>
      </c>
      <c r="F1374" s="70">
        <f t="shared" si="149"/>
        <v>5</v>
      </c>
      <c r="G1374" s="70">
        <f t="shared" si="150"/>
        <v>3.9705855720320065</v>
      </c>
      <c r="H1374" s="70">
        <f t="shared" si="151"/>
        <v>1</v>
      </c>
      <c r="I1374" s="70">
        <f t="shared" si="152"/>
        <v>1</v>
      </c>
      <c r="J1374" s="70">
        <f t="shared" si="153"/>
        <v>3.9705855720320065</v>
      </c>
      <c r="K1374" s="70">
        <f>IF(CurrentMtgRatesDataTable8[[#This Row],[WA CC]]&lt;&gt;0,C1373-CurrentMtgRatesDataTable8[[#This Row],[WA CC]],0)</f>
        <v>0.77441442796799365</v>
      </c>
      <c r="L1374" s="70">
        <f>IF(CurrentMtgRatesDataTable8[[#This Row],[Servicing Spread]]&lt;=0,L1373,CurrentMtgRatesDataTable8[[#This Row],[Servicing Spread]])</f>
        <v>0.77441442796799365</v>
      </c>
      <c r="M1374" s="70">
        <f>CurrentMtgRatesDataTable8[[#This Row],[Servicing Spread Non-Zero]]-L1373</f>
        <v>4.0868069750652936E-2</v>
      </c>
      <c r="N1374" s="70">
        <f>IF(J1373&lt;&gt;0,CurrentMtgRatesDataTable8[[#This Row],[Rate]]-C1373,N1373)</f>
        <v>-1.5000000000000568E-2</v>
      </c>
    </row>
    <row r="1375" spans="1:14">
      <c r="A1375" s="67" t="s">
        <v>2727</v>
      </c>
      <c r="B1375" s="68">
        <v>4.0624954510543301</v>
      </c>
      <c r="C1375" s="69">
        <v>4.835</v>
      </c>
      <c r="D1375" s="70">
        <f t="shared" si="147"/>
        <v>1</v>
      </c>
      <c r="E1375" s="70">
        <f t="shared" si="148"/>
        <v>0.2</v>
      </c>
      <c r="F1375" s="70">
        <f t="shared" si="149"/>
        <v>1</v>
      </c>
      <c r="G1375" s="70">
        <f t="shared" si="150"/>
        <v>0.81249909021086608</v>
      </c>
      <c r="H1375" s="70">
        <f t="shared" si="151"/>
        <v>0.2</v>
      </c>
      <c r="I1375" s="70">
        <f t="shared" si="152"/>
        <v>0</v>
      </c>
      <c r="J1375" s="70">
        <f t="shared" si="153"/>
        <v>0</v>
      </c>
      <c r="K1375" s="70">
        <f>IF(CurrentMtgRatesDataTable8[[#This Row],[WA CC]]&lt;&gt;0,C1374-CurrentMtgRatesDataTable8[[#This Row],[WA CC]],0)</f>
        <v>0</v>
      </c>
      <c r="L1375" s="70">
        <f>IF(CurrentMtgRatesDataTable8[[#This Row],[Servicing Spread]]&lt;=0,L1374,CurrentMtgRatesDataTable8[[#This Row],[Servicing Spread]])</f>
        <v>0.77441442796799365</v>
      </c>
      <c r="M1375" s="70">
        <f>CurrentMtgRatesDataTable8[[#This Row],[Servicing Spread Non-Zero]]-L1374</f>
        <v>0</v>
      </c>
      <c r="N1375" s="70">
        <f>IF(J1374&lt;&gt;0,CurrentMtgRatesDataTable8[[#This Row],[Rate]]-C1374,N1374)</f>
        <v>8.9999999999999858E-2</v>
      </c>
    </row>
    <row r="1376" spans="1:14">
      <c r="A1376" s="67" t="s">
        <v>2728</v>
      </c>
      <c r="B1376" s="68">
        <v>4.1267911600136697</v>
      </c>
      <c r="C1376" s="69">
        <v>4.835</v>
      </c>
      <c r="D1376" s="70">
        <f t="shared" si="147"/>
        <v>2</v>
      </c>
      <c r="E1376" s="70">
        <f t="shared" si="148"/>
        <v>0.2</v>
      </c>
      <c r="F1376" s="70">
        <f t="shared" si="149"/>
        <v>2</v>
      </c>
      <c r="G1376" s="70">
        <f t="shared" si="150"/>
        <v>1.6378573222136001</v>
      </c>
      <c r="H1376" s="70">
        <f t="shared" si="151"/>
        <v>0.4</v>
      </c>
      <c r="I1376" s="70">
        <f t="shared" si="152"/>
        <v>0</v>
      </c>
      <c r="J1376" s="70">
        <f t="shared" si="153"/>
        <v>0</v>
      </c>
      <c r="K1376" s="70">
        <f>IF(CurrentMtgRatesDataTable8[[#This Row],[WA CC]]&lt;&gt;0,C1375-CurrentMtgRatesDataTable8[[#This Row],[WA CC]],0)</f>
        <v>0</v>
      </c>
      <c r="L1376" s="70">
        <f>IF(CurrentMtgRatesDataTable8[[#This Row],[Servicing Spread]]&lt;=0,L1375,CurrentMtgRatesDataTable8[[#This Row],[Servicing Spread]])</f>
        <v>0.77441442796799365</v>
      </c>
      <c r="M1376" s="70">
        <f>CurrentMtgRatesDataTable8[[#This Row],[Servicing Spread Non-Zero]]-L1375</f>
        <v>0</v>
      </c>
      <c r="N1376" s="70">
        <f>IF(J1375&lt;&gt;0,CurrentMtgRatesDataTable8[[#This Row],[Rate]]-C1375,N1375)</f>
        <v>8.9999999999999858E-2</v>
      </c>
    </row>
    <row r="1377" spans="1:14">
      <c r="A1377" s="67" t="s">
        <v>2729</v>
      </c>
      <c r="B1377" s="68">
        <v>4.1847992907242402</v>
      </c>
      <c r="C1377" s="69">
        <v>4.835</v>
      </c>
      <c r="D1377" s="70">
        <f t="shared" si="147"/>
        <v>6</v>
      </c>
      <c r="E1377" s="70">
        <f t="shared" si="148"/>
        <v>0.2</v>
      </c>
      <c r="F1377" s="70">
        <f t="shared" si="149"/>
        <v>3</v>
      </c>
      <c r="G1377" s="70">
        <f t="shared" si="150"/>
        <v>2.474817180358448</v>
      </c>
      <c r="H1377" s="70">
        <f t="shared" si="151"/>
        <v>0.60000000000000009</v>
      </c>
      <c r="I1377" s="70">
        <f t="shared" si="152"/>
        <v>0</v>
      </c>
      <c r="J1377" s="70">
        <f t="shared" si="153"/>
        <v>0</v>
      </c>
      <c r="K1377" s="70">
        <f>IF(CurrentMtgRatesDataTable8[[#This Row],[WA CC]]&lt;&gt;0,C1376-CurrentMtgRatesDataTable8[[#This Row],[WA CC]],0)</f>
        <v>0</v>
      </c>
      <c r="L1377" s="70">
        <f>IF(CurrentMtgRatesDataTable8[[#This Row],[Servicing Spread]]&lt;=0,L1376,CurrentMtgRatesDataTable8[[#This Row],[Servicing Spread]])</f>
        <v>0.77441442796799365</v>
      </c>
      <c r="M1377" s="70">
        <f>CurrentMtgRatesDataTable8[[#This Row],[Servicing Spread Non-Zero]]-L1376</f>
        <v>0</v>
      </c>
      <c r="N1377" s="70">
        <f>IF(J1376&lt;&gt;0,CurrentMtgRatesDataTable8[[#This Row],[Rate]]-C1376,N1376)</f>
        <v>8.9999999999999858E-2</v>
      </c>
    </row>
    <row r="1378" spans="1:14">
      <c r="A1378" s="67" t="s">
        <v>2730</v>
      </c>
      <c r="B1378" s="68">
        <v>4.5461261028594704</v>
      </c>
      <c r="C1378" s="69">
        <v>4.835</v>
      </c>
      <c r="D1378" s="70">
        <f t="shared" si="147"/>
        <v>7</v>
      </c>
      <c r="E1378" s="70">
        <f t="shared" si="148"/>
        <v>0.2</v>
      </c>
      <c r="F1378" s="70">
        <f t="shared" si="149"/>
        <v>4</v>
      </c>
      <c r="G1378" s="70">
        <f t="shared" si="150"/>
        <v>3.3840424009303423</v>
      </c>
      <c r="H1378" s="70">
        <f t="shared" si="151"/>
        <v>0.8</v>
      </c>
      <c r="I1378" s="70">
        <f t="shared" si="152"/>
        <v>1</v>
      </c>
      <c r="J1378" s="70">
        <f t="shared" si="153"/>
        <v>4.2300530011629274</v>
      </c>
      <c r="K1378" s="70">
        <f>IF(CurrentMtgRatesDataTable8[[#This Row],[WA CC]]&lt;&gt;0,C1377-CurrentMtgRatesDataTable8[[#This Row],[WA CC]],0)</f>
        <v>0.60494699883707259</v>
      </c>
      <c r="L1378" s="70">
        <f>IF(CurrentMtgRatesDataTable8[[#This Row],[Servicing Spread]]&lt;=0,L1377,CurrentMtgRatesDataTable8[[#This Row],[Servicing Spread]])</f>
        <v>0.60494699883707259</v>
      </c>
      <c r="M1378" s="70">
        <f>CurrentMtgRatesDataTable8[[#This Row],[Servicing Spread Non-Zero]]-L1377</f>
        <v>-0.16946742913092105</v>
      </c>
      <c r="N1378" s="70">
        <f>IF(J1377&lt;&gt;0,CurrentMtgRatesDataTable8[[#This Row],[Rate]]-C1377,N1377)</f>
        <v>8.9999999999999858E-2</v>
      </c>
    </row>
    <row r="1379" spans="1:14">
      <c r="A1379" s="67" t="s">
        <v>2731</v>
      </c>
      <c r="B1379" s="68">
        <v>4.6970142591137503</v>
      </c>
      <c r="C1379" s="69">
        <v>5.2149999999999999</v>
      </c>
      <c r="D1379" s="70">
        <f t="shared" si="147"/>
        <v>1</v>
      </c>
      <c r="E1379" s="70">
        <f t="shared" si="148"/>
        <v>0.2</v>
      </c>
      <c r="F1379" s="70">
        <f t="shared" si="149"/>
        <v>1</v>
      </c>
      <c r="G1379" s="70">
        <f t="shared" si="150"/>
        <v>0.93940285182275007</v>
      </c>
      <c r="H1379" s="70">
        <f t="shared" si="151"/>
        <v>0.2</v>
      </c>
      <c r="I1379" s="70">
        <f t="shared" si="152"/>
        <v>0</v>
      </c>
      <c r="J1379" s="70">
        <f t="shared" si="153"/>
        <v>0</v>
      </c>
      <c r="K1379" s="70">
        <f>IF(CurrentMtgRatesDataTable8[[#This Row],[WA CC]]&lt;&gt;0,C1378-CurrentMtgRatesDataTable8[[#This Row],[WA CC]],0)</f>
        <v>0</v>
      </c>
      <c r="L1379" s="70">
        <f>IF(CurrentMtgRatesDataTable8[[#This Row],[Servicing Spread]]&lt;=0,L1378,CurrentMtgRatesDataTable8[[#This Row],[Servicing Spread]])</f>
        <v>0.60494699883707259</v>
      </c>
      <c r="M1379" s="70">
        <f>CurrentMtgRatesDataTable8[[#This Row],[Servicing Spread Non-Zero]]-L1378</f>
        <v>0</v>
      </c>
      <c r="N1379" s="70">
        <f>IF(J1378&lt;&gt;0,CurrentMtgRatesDataTable8[[#This Row],[Rate]]-C1378,N1378)</f>
        <v>0.37999999999999989</v>
      </c>
    </row>
    <row r="1380" spans="1:14">
      <c r="A1380" s="67" t="s">
        <v>2732</v>
      </c>
      <c r="B1380" s="68">
        <v>4.3482980174609898</v>
      </c>
      <c r="C1380" s="69">
        <v>5.2149999999999999</v>
      </c>
      <c r="D1380" s="70">
        <f t="shared" si="147"/>
        <v>2</v>
      </c>
      <c r="E1380" s="70">
        <f t="shared" si="148"/>
        <v>0.2</v>
      </c>
      <c r="F1380" s="70">
        <f t="shared" si="149"/>
        <v>2</v>
      </c>
      <c r="G1380" s="70">
        <f t="shared" si="150"/>
        <v>1.8090624553149479</v>
      </c>
      <c r="H1380" s="70">
        <f t="shared" si="151"/>
        <v>0.4</v>
      </c>
      <c r="I1380" s="70">
        <f t="shared" si="152"/>
        <v>0</v>
      </c>
      <c r="J1380" s="70">
        <f t="shared" si="153"/>
        <v>0</v>
      </c>
      <c r="K1380" s="70">
        <f>IF(CurrentMtgRatesDataTable8[[#This Row],[WA CC]]&lt;&gt;0,C1379-CurrentMtgRatesDataTable8[[#This Row],[WA CC]],0)</f>
        <v>0</v>
      </c>
      <c r="L1380" s="70">
        <f>IF(CurrentMtgRatesDataTable8[[#This Row],[Servicing Spread]]&lt;=0,L1379,CurrentMtgRatesDataTable8[[#This Row],[Servicing Spread]])</f>
        <v>0.60494699883707259</v>
      </c>
      <c r="M1380" s="70">
        <f>CurrentMtgRatesDataTable8[[#This Row],[Servicing Spread Non-Zero]]-L1379</f>
        <v>0</v>
      </c>
      <c r="N1380" s="70">
        <f>IF(J1379&lt;&gt;0,CurrentMtgRatesDataTable8[[#This Row],[Rate]]-C1379,N1379)</f>
        <v>0.37999999999999989</v>
      </c>
    </row>
    <row r="1381" spans="1:14">
      <c r="A1381" s="67" t="s">
        <v>2733</v>
      </c>
      <c r="B1381" s="68">
        <v>4.6571853089091997</v>
      </c>
      <c r="C1381" s="69">
        <v>5.2149999999999999</v>
      </c>
      <c r="D1381" s="70">
        <f t="shared" si="147"/>
        <v>5</v>
      </c>
      <c r="E1381" s="70">
        <f t="shared" si="148"/>
        <v>0.2</v>
      </c>
      <c r="F1381" s="70">
        <f t="shared" si="149"/>
        <v>3</v>
      </c>
      <c r="G1381" s="70">
        <f t="shared" si="150"/>
        <v>2.7404995170967879</v>
      </c>
      <c r="H1381" s="70">
        <f t="shared" si="151"/>
        <v>0.60000000000000009</v>
      </c>
      <c r="I1381" s="70">
        <f t="shared" si="152"/>
        <v>0</v>
      </c>
      <c r="J1381" s="70">
        <f t="shared" si="153"/>
        <v>0</v>
      </c>
      <c r="K1381" s="70">
        <f>IF(CurrentMtgRatesDataTable8[[#This Row],[WA CC]]&lt;&gt;0,C1380-CurrentMtgRatesDataTable8[[#This Row],[WA CC]],0)</f>
        <v>0</v>
      </c>
      <c r="L1381" s="70">
        <f>IF(CurrentMtgRatesDataTable8[[#This Row],[Servicing Spread]]&lt;=0,L1380,CurrentMtgRatesDataTable8[[#This Row],[Servicing Spread]])</f>
        <v>0.60494699883707259</v>
      </c>
      <c r="M1381" s="70">
        <f>CurrentMtgRatesDataTable8[[#This Row],[Servicing Spread Non-Zero]]-L1380</f>
        <v>0</v>
      </c>
      <c r="N1381" s="70">
        <f>IF(J1380&lt;&gt;0,CurrentMtgRatesDataTable8[[#This Row],[Rate]]-C1380,N1380)</f>
        <v>0.37999999999999989</v>
      </c>
    </row>
    <row r="1382" spans="1:14">
      <c r="A1382" s="67" t="s">
        <v>2734</v>
      </c>
      <c r="B1382" s="68">
        <v>4.6038312574802696</v>
      </c>
      <c r="C1382" s="69">
        <v>5.2149999999999999</v>
      </c>
      <c r="D1382" s="70">
        <f t="shared" si="147"/>
        <v>6</v>
      </c>
      <c r="E1382" s="70">
        <f t="shared" si="148"/>
        <v>0.2</v>
      </c>
      <c r="F1382" s="70">
        <f t="shared" si="149"/>
        <v>4</v>
      </c>
      <c r="G1382" s="70">
        <f t="shared" si="150"/>
        <v>3.661265768592842</v>
      </c>
      <c r="H1382" s="70">
        <f t="shared" si="151"/>
        <v>0.8</v>
      </c>
      <c r="I1382" s="70">
        <f t="shared" si="152"/>
        <v>0</v>
      </c>
      <c r="J1382" s="70">
        <f t="shared" si="153"/>
        <v>0</v>
      </c>
      <c r="K1382" s="70">
        <f>IF(CurrentMtgRatesDataTable8[[#This Row],[WA CC]]&lt;&gt;0,C1381-CurrentMtgRatesDataTable8[[#This Row],[WA CC]],0)</f>
        <v>0</v>
      </c>
      <c r="L1382" s="70">
        <f>IF(CurrentMtgRatesDataTable8[[#This Row],[Servicing Spread]]&lt;=0,L1381,CurrentMtgRatesDataTable8[[#This Row],[Servicing Spread]])</f>
        <v>0.60494699883707259</v>
      </c>
      <c r="M1382" s="70">
        <f>CurrentMtgRatesDataTable8[[#This Row],[Servicing Spread Non-Zero]]-L1381</f>
        <v>0</v>
      </c>
      <c r="N1382" s="70">
        <f>IF(J1381&lt;&gt;0,CurrentMtgRatesDataTable8[[#This Row],[Rate]]-C1381,N1381)</f>
        <v>0.37999999999999989</v>
      </c>
    </row>
    <row r="1383" spans="1:14">
      <c r="A1383" s="67" t="s">
        <v>2735</v>
      </c>
      <c r="B1383" s="68">
        <v>4.5316630868018404</v>
      </c>
      <c r="C1383" s="69">
        <v>5.2149999999999999</v>
      </c>
      <c r="D1383" s="70">
        <f t="shared" si="147"/>
        <v>7</v>
      </c>
      <c r="E1383" s="70">
        <f t="shared" si="148"/>
        <v>0.2</v>
      </c>
      <c r="F1383" s="70">
        <f t="shared" si="149"/>
        <v>5</v>
      </c>
      <c r="G1383" s="70">
        <f t="shared" si="150"/>
        <v>4.5675983859532101</v>
      </c>
      <c r="H1383" s="70">
        <f t="shared" si="151"/>
        <v>1</v>
      </c>
      <c r="I1383" s="70">
        <f t="shared" si="152"/>
        <v>1</v>
      </c>
      <c r="J1383" s="70">
        <f t="shared" si="153"/>
        <v>4.5675983859532101</v>
      </c>
      <c r="K1383" s="70">
        <f>IF(CurrentMtgRatesDataTable8[[#This Row],[WA CC]]&lt;&gt;0,C1382-CurrentMtgRatesDataTable8[[#This Row],[WA CC]],0)</f>
        <v>0.64740161404678975</v>
      </c>
      <c r="L1383" s="70">
        <f>IF(CurrentMtgRatesDataTable8[[#This Row],[Servicing Spread]]&lt;=0,L1382,CurrentMtgRatesDataTable8[[#This Row],[Servicing Spread]])</f>
        <v>0.64740161404678975</v>
      </c>
      <c r="M1383" s="70">
        <f>CurrentMtgRatesDataTable8[[#This Row],[Servicing Spread Non-Zero]]-L1382</f>
        <v>4.2454615209717161E-2</v>
      </c>
      <c r="N1383" s="70">
        <f>IF(J1382&lt;&gt;0,CurrentMtgRatesDataTable8[[#This Row],[Rate]]-C1382,N1382)</f>
        <v>0.37999999999999989</v>
      </c>
    </row>
    <row r="1384" spans="1:14">
      <c r="A1384" s="67" t="s">
        <v>2736</v>
      </c>
      <c r="B1384" s="68">
        <v>4.7247724048366599</v>
      </c>
      <c r="C1384" s="69">
        <v>5.5149999999999997</v>
      </c>
      <c r="D1384" s="70">
        <f t="shared" si="147"/>
        <v>1</v>
      </c>
      <c r="E1384" s="70">
        <f t="shared" si="148"/>
        <v>0.2</v>
      </c>
      <c r="F1384" s="70">
        <f t="shared" si="149"/>
        <v>1</v>
      </c>
      <c r="G1384" s="70">
        <f t="shared" si="150"/>
        <v>0.94495448096733203</v>
      </c>
      <c r="H1384" s="70">
        <f t="shared" si="151"/>
        <v>0.2</v>
      </c>
      <c r="I1384" s="70">
        <f t="shared" si="152"/>
        <v>0</v>
      </c>
      <c r="J1384" s="70">
        <f t="shared" si="153"/>
        <v>0</v>
      </c>
      <c r="K1384" s="70">
        <f>IF(CurrentMtgRatesDataTable8[[#This Row],[WA CC]]&lt;&gt;0,C1383-CurrentMtgRatesDataTable8[[#This Row],[WA CC]],0)</f>
        <v>0</v>
      </c>
      <c r="L1384" s="70">
        <f>IF(CurrentMtgRatesDataTable8[[#This Row],[Servicing Spread]]&lt;=0,L1383,CurrentMtgRatesDataTable8[[#This Row],[Servicing Spread]])</f>
        <v>0.64740161404678975</v>
      </c>
      <c r="M1384" s="70">
        <f>CurrentMtgRatesDataTable8[[#This Row],[Servicing Spread Non-Zero]]-L1383</f>
        <v>0</v>
      </c>
      <c r="N1384" s="70">
        <f>IF(J1383&lt;&gt;0,CurrentMtgRatesDataTable8[[#This Row],[Rate]]-C1383,N1383)</f>
        <v>0.29999999999999982</v>
      </c>
    </row>
    <row r="1385" spans="1:14">
      <c r="A1385" s="67" t="s">
        <v>2737</v>
      </c>
      <c r="B1385" s="68">
        <v>4.9133558436838003</v>
      </c>
      <c r="C1385" s="69">
        <v>5.5149999999999997</v>
      </c>
      <c r="D1385" s="70">
        <f t="shared" si="147"/>
        <v>2</v>
      </c>
      <c r="E1385" s="70">
        <f t="shared" si="148"/>
        <v>0.2</v>
      </c>
      <c r="F1385" s="70">
        <f t="shared" si="149"/>
        <v>2</v>
      </c>
      <c r="G1385" s="70">
        <f t="shared" si="150"/>
        <v>1.9276256497040922</v>
      </c>
      <c r="H1385" s="70">
        <f t="shared" si="151"/>
        <v>0.4</v>
      </c>
      <c r="I1385" s="70">
        <f t="shared" si="152"/>
        <v>0</v>
      </c>
      <c r="J1385" s="70">
        <f t="shared" si="153"/>
        <v>0</v>
      </c>
      <c r="K1385" s="70">
        <f>IF(CurrentMtgRatesDataTable8[[#This Row],[WA CC]]&lt;&gt;0,C1384-CurrentMtgRatesDataTable8[[#This Row],[WA CC]],0)</f>
        <v>0</v>
      </c>
      <c r="L1385" s="70">
        <f>IF(CurrentMtgRatesDataTable8[[#This Row],[Servicing Spread]]&lt;=0,L1384,CurrentMtgRatesDataTable8[[#This Row],[Servicing Spread]])</f>
        <v>0.64740161404678975</v>
      </c>
      <c r="M1385" s="70">
        <f>CurrentMtgRatesDataTable8[[#This Row],[Servicing Spread Non-Zero]]-L1384</f>
        <v>0</v>
      </c>
      <c r="N1385" s="70">
        <f>IF(J1384&lt;&gt;0,CurrentMtgRatesDataTable8[[#This Row],[Rate]]-C1384,N1384)</f>
        <v>0.29999999999999982</v>
      </c>
    </row>
    <row r="1386" spans="1:14">
      <c r="A1386" s="67" t="s">
        <v>2738</v>
      </c>
      <c r="B1386" s="68">
        <v>5.0210252747438799</v>
      </c>
      <c r="C1386" s="69">
        <v>5.5149999999999997</v>
      </c>
      <c r="D1386" s="70">
        <f t="shared" si="147"/>
        <v>5</v>
      </c>
      <c r="E1386" s="70">
        <f t="shared" si="148"/>
        <v>0.2</v>
      </c>
      <c r="F1386" s="70">
        <f t="shared" si="149"/>
        <v>3</v>
      </c>
      <c r="G1386" s="70">
        <f t="shared" si="150"/>
        <v>2.9318307046528682</v>
      </c>
      <c r="H1386" s="70">
        <f t="shared" si="151"/>
        <v>0.60000000000000009</v>
      </c>
      <c r="I1386" s="70">
        <f t="shared" si="152"/>
        <v>0</v>
      </c>
      <c r="J1386" s="70">
        <f t="shared" si="153"/>
        <v>0</v>
      </c>
      <c r="K1386" s="70">
        <f>IF(CurrentMtgRatesDataTable8[[#This Row],[WA CC]]&lt;&gt;0,C1385-CurrentMtgRatesDataTable8[[#This Row],[WA CC]],0)</f>
        <v>0</v>
      </c>
      <c r="L1386" s="70">
        <f>IF(CurrentMtgRatesDataTable8[[#This Row],[Servicing Spread]]&lt;=0,L1385,CurrentMtgRatesDataTable8[[#This Row],[Servicing Spread]])</f>
        <v>0.64740161404678975</v>
      </c>
      <c r="M1386" s="70">
        <f>CurrentMtgRatesDataTable8[[#This Row],[Servicing Spread Non-Zero]]-L1385</f>
        <v>0</v>
      </c>
      <c r="N1386" s="70">
        <f>IF(J1385&lt;&gt;0,CurrentMtgRatesDataTable8[[#This Row],[Rate]]-C1385,N1385)</f>
        <v>0.29999999999999982</v>
      </c>
    </row>
    <row r="1387" spans="1:14">
      <c r="A1387" s="67" t="s">
        <v>2739</v>
      </c>
      <c r="B1387" s="68">
        <v>4.9680896333680096</v>
      </c>
      <c r="C1387" s="69">
        <v>5.5149999999999997</v>
      </c>
      <c r="D1387" s="70">
        <f t="shared" si="147"/>
        <v>6</v>
      </c>
      <c r="E1387" s="70">
        <f t="shared" si="148"/>
        <v>0.2</v>
      </c>
      <c r="F1387" s="70">
        <f t="shared" si="149"/>
        <v>4</v>
      </c>
      <c r="G1387" s="70">
        <f t="shared" si="150"/>
        <v>3.92544863132647</v>
      </c>
      <c r="H1387" s="70">
        <f t="shared" si="151"/>
        <v>0.8</v>
      </c>
      <c r="I1387" s="70">
        <f t="shared" si="152"/>
        <v>0</v>
      </c>
      <c r="J1387" s="70">
        <f t="shared" si="153"/>
        <v>0</v>
      </c>
      <c r="K1387" s="70">
        <f>IF(CurrentMtgRatesDataTable8[[#This Row],[WA CC]]&lt;&gt;0,C1386-CurrentMtgRatesDataTable8[[#This Row],[WA CC]],0)</f>
        <v>0</v>
      </c>
      <c r="L1387" s="70">
        <f>IF(CurrentMtgRatesDataTable8[[#This Row],[Servicing Spread]]&lt;=0,L1386,CurrentMtgRatesDataTable8[[#This Row],[Servicing Spread]])</f>
        <v>0.64740161404678975</v>
      </c>
      <c r="M1387" s="70">
        <f>CurrentMtgRatesDataTable8[[#This Row],[Servicing Spread Non-Zero]]-L1386</f>
        <v>0</v>
      </c>
      <c r="N1387" s="70">
        <f>IF(J1386&lt;&gt;0,CurrentMtgRatesDataTable8[[#This Row],[Rate]]-C1386,N1386)</f>
        <v>0.29999999999999982</v>
      </c>
    </row>
    <row r="1388" spans="1:14">
      <c r="A1388" s="67" t="s">
        <v>2740</v>
      </c>
      <c r="B1388" s="68">
        <v>5.0580311566362104</v>
      </c>
      <c r="C1388" s="69">
        <v>5.5149999999999997</v>
      </c>
      <c r="D1388" s="70">
        <f t="shared" si="147"/>
        <v>7</v>
      </c>
      <c r="E1388" s="70">
        <f t="shared" si="148"/>
        <v>0.2</v>
      </c>
      <c r="F1388" s="70">
        <f t="shared" si="149"/>
        <v>5</v>
      </c>
      <c r="G1388" s="70">
        <f t="shared" si="150"/>
        <v>4.9370548626537119</v>
      </c>
      <c r="H1388" s="70">
        <f t="shared" si="151"/>
        <v>1</v>
      </c>
      <c r="I1388" s="70">
        <f t="shared" si="152"/>
        <v>1</v>
      </c>
      <c r="J1388" s="70">
        <f t="shared" si="153"/>
        <v>4.9370548626537119</v>
      </c>
      <c r="K1388" s="70">
        <f>IF(CurrentMtgRatesDataTable8[[#This Row],[WA CC]]&lt;&gt;0,C1387-CurrentMtgRatesDataTable8[[#This Row],[WA CC]],0)</f>
        <v>0.57794513734628783</v>
      </c>
      <c r="L1388" s="70">
        <f>IF(CurrentMtgRatesDataTable8[[#This Row],[Servicing Spread]]&lt;=0,L1387,CurrentMtgRatesDataTable8[[#This Row],[Servicing Spread]])</f>
        <v>0.57794513734628783</v>
      </c>
      <c r="M1388" s="70">
        <f>CurrentMtgRatesDataTable8[[#This Row],[Servicing Spread Non-Zero]]-L1387</f>
        <v>-6.9456476700501923E-2</v>
      </c>
      <c r="N1388" s="70">
        <f>IF(J1387&lt;&gt;0,CurrentMtgRatesDataTable8[[#This Row],[Rate]]-C1387,N1387)</f>
        <v>0.29999999999999982</v>
      </c>
    </row>
    <row r="1389" spans="1:14">
      <c r="A1389" s="67" t="s">
        <v>2741</v>
      </c>
      <c r="B1389" s="68">
        <v>4.9733954933239399</v>
      </c>
      <c r="C1389" s="69">
        <v>5.3049999999999997</v>
      </c>
      <c r="D1389" s="70">
        <f t="shared" si="147"/>
        <v>1</v>
      </c>
      <c r="E1389" s="70">
        <f t="shared" si="148"/>
        <v>0.2</v>
      </c>
      <c r="F1389" s="70">
        <f t="shared" si="149"/>
        <v>1</v>
      </c>
      <c r="G1389" s="70">
        <f t="shared" si="150"/>
        <v>0.99467909866478799</v>
      </c>
      <c r="H1389" s="70">
        <f t="shared" si="151"/>
        <v>0.2</v>
      </c>
      <c r="I1389" s="70">
        <f t="shared" si="152"/>
        <v>0</v>
      </c>
      <c r="J1389" s="70">
        <f t="shared" si="153"/>
        <v>0</v>
      </c>
      <c r="K1389" s="70">
        <f>IF(CurrentMtgRatesDataTable8[[#This Row],[WA CC]]&lt;&gt;0,C1388-CurrentMtgRatesDataTable8[[#This Row],[WA CC]],0)</f>
        <v>0</v>
      </c>
      <c r="L1389" s="70">
        <f>IF(CurrentMtgRatesDataTable8[[#This Row],[Servicing Spread]]&lt;=0,L1388,CurrentMtgRatesDataTable8[[#This Row],[Servicing Spread]])</f>
        <v>0.57794513734628783</v>
      </c>
      <c r="M1389" s="70">
        <f>CurrentMtgRatesDataTable8[[#This Row],[Servicing Spread Non-Zero]]-L1388</f>
        <v>0</v>
      </c>
      <c r="N1389" s="70">
        <f>IF(J1388&lt;&gt;0,CurrentMtgRatesDataTable8[[#This Row],[Rate]]-C1388,N1388)</f>
        <v>-0.20999999999999996</v>
      </c>
    </row>
    <row r="1390" spans="1:14">
      <c r="A1390" s="67" t="s">
        <v>2742</v>
      </c>
      <c r="B1390" s="68">
        <v>4.8431358731509304</v>
      </c>
      <c r="C1390" s="69">
        <v>5.3049999999999997</v>
      </c>
      <c r="D1390" s="70">
        <f t="shared" si="147"/>
        <v>2</v>
      </c>
      <c r="E1390" s="70">
        <f t="shared" si="148"/>
        <v>0.2</v>
      </c>
      <c r="F1390" s="70">
        <f t="shared" si="149"/>
        <v>2</v>
      </c>
      <c r="G1390" s="70">
        <f t="shared" si="150"/>
        <v>1.963306273294974</v>
      </c>
      <c r="H1390" s="70">
        <f t="shared" si="151"/>
        <v>0.4</v>
      </c>
      <c r="I1390" s="70">
        <f t="shared" si="152"/>
        <v>0</v>
      </c>
      <c r="J1390" s="70">
        <f t="shared" si="153"/>
        <v>0</v>
      </c>
      <c r="K1390" s="70">
        <f>IF(CurrentMtgRatesDataTable8[[#This Row],[WA CC]]&lt;&gt;0,C1389-CurrentMtgRatesDataTable8[[#This Row],[WA CC]],0)</f>
        <v>0</v>
      </c>
      <c r="L1390" s="70">
        <f>IF(CurrentMtgRatesDataTable8[[#This Row],[Servicing Spread]]&lt;=0,L1389,CurrentMtgRatesDataTable8[[#This Row],[Servicing Spread]])</f>
        <v>0.57794513734628783</v>
      </c>
      <c r="M1390" s="70">
        <f>CurrentMtgRatesDataTable8[[#This Row],[Servicing Spread Non-Zero]]-L1389</f>
        <v>0</v>
      </c>
      <c r="N1390" s="70">
        <f>IF(J1389&lt;&gt;0,CurrentMtgRatesDataTable8[[#This Row],[Rate]]-C1389,N1389)</f>
        <v>-0.20999999999999996</v>
      </c>
    </row>
    <row r="1391" spans="1:14">
      <c r="A1391" s="67" t="s">
        <v>2743</v>
      </c>
      <c r="B1391" s="68">
        <v>4.7158540195913403</v>
      </c>
      <c r="C1391" s="69">
        <v>5.3049999999999997</v>
      </c>
      <c r="D1391" s="70">
        <f t="shared" si="147"/>
        <v>5</v>
      </c>
      <c r="E1391" s="70">
        <f t="shared" si="148"/>
        <v>0.2</v>
      </c>
      <c r="F1391" s="70">
        <f t="shared" si="149"/>
        <v>3</v>
      </c>
      <c r="G1391" s="70">
        <f t="shared" si="150"/>
        <v>2.9064770772132422</v>
      </c>
      <c r="H1391" s="70">
        <f t="shared" si="151"/>
        <v>0.60000000000000009</v>
      </c>
      <c r="I1391" s="70">
        <f t="shared" si="152"/>
        <v>0</v>
      </c>
      <c r="J1391" s="70">
        <f t="shared" si="153"/>
        <v>0</v>
      </c>
      <c r="K1391" s="70">
        <f>IF(CurrentMtgRatesDataTable8[[#This Row],[WA CC]]&lt;&gt;0,C1390-CurrentMtgRatesDataTable8[[#This Row],[WA CC]],0)</f>
        <v>0</v>
      </c>
      <c r="L1391" s="70">
        <f>IF(CurrentMtgRatesDataTable8[[#This Row],[Servicing Spread]]&lt;=0,L1390,CurrentMtgRatesDataTable8[[#This Row],[Servicing Spread]])</f>
        <v>0.57794513734628783</v>
      </c>
      <c r="M1391" s="70">
        <f>CurrentMtgRatesDataTable8[[#This Row],[Servicing Spread Non-Zero]]-L1390</f>
        <v>0</v>
      </c>
      <c r="N1391" s="70">
        <f>IF(J1390&lt;&gt;0,CurrentMtgRatesDataTable8[[#This Row],[Rate]]-C1390,N1390)</f>
        <v>-0.20999999999999996</v>
      </c>
    </row>
    <row r="1392" spans="1:14">
      <c r="A1392" s="67" t="s">
        <v>2744</v>
      </c>
      <c r="B1392" s="68">
        <v>4.6514330531076</v>
      </c>
      <c r="C1392" s="69">
        <v>5.3049999999999997</v>
      </c>
      <c r="D1392" s="70">
        <f t="shared" si="147"/>
        <v>6</v>
      </c>
      <c r="E1392" s="70">
        <f t="shared" si="148"/>
        <v>0.2</v>
      </c>
      <c r="F1392" s="70">
        <f t="shared" si="149"/>
        <v>4</v>
      </c>
      <c r="G1392" s="70">
        <f t="shared" si="150"/>
        <v>3.8367636878347624</v>
      </c>
      <c r="H1392" s="70">
        <f t="shared" si="151"/>
        <v>0.8</v>
      </c>
      <c r="I1392" s="70">
        <f t="shared" si="152"/>
        <v>0</v>
      </c>
      <c r="J1392" s="70">
        <f t="shared" si="153"/>
        <v>0</v>
      </c>
      <c r="K1392" s="70">
        <f>IF(CurrentMtgRatesDataTable8[[#This Row],[WA CC]]&lt;&gt;0,C1391-CurrentMtgRatesDataTable8[[#This Row],[WA CC]],0)</f>
        <v>0</v>
      </c>
      <c r="L1392" s="70">
        <f>IF(CurrentMtgRatesDataTable8[[#This Row],[Servicing Spread]]&lt;=0,L1391,CurrentMtgRatesDataTable8[[#This Row],[Servicing Spread]])</f>
        <v>0.57794513734628783</v>
      </c>
      <c r="M1392" s="70">
        <f>CurrentMtgRatesDataTable8[[#This Row],[Servicing Spread Non-Zero]]-L1391</f>
        <v>0</v>
      </c>
      <c r="N1392" s="70">
        <f>IF(J1391&lt;&gt;0,CurrentMtgRatesDataTable8[[#This Row],[Rate]]-C1391,N1391)</f>
        <v>-0.20999999999999996</v>
      </c>
    </row>
    <row r="1393" spans="1:14">
      <c r="A1393" s="67" t="s">
        <v>2745</v>
      </c>
      <c r="B1393" s="68">
        <v>4.5533712237404398</v>
      </c>
      <c r="C1393" s="69">
        <v>5.3049999999999997</v>
      </c>
      <c r="D1393" s="70">
        <f t="shared" si="147"/>
        <v>7</v>
      </c>
      <c r="E1393" s="70">
        <f t="shared" si="148"/>
        <v>0.2</v>
      </c>
      <c r="F1393" s="70">
        <f t="shared" si="149"/>
        <v>5</v>
      </c>
      <c r="G1393" s="70">
        <f t="shared" si="150"/>
        <v>4.7474379325828506</v>
      </c>
      <c r="H1393" s="70">
        <f t="shared" si="151"/>
        <v>1</v>
      </c>
      <c r="I1393" s="70">
        <f t="shared" si="152"/>
        <v>1</v>
      </c>
      <c r="J1393" s="70">
        <f t="shared" si="153"/>
        <v>4.7474379325828506</v>
      </c>
      <c r="K1393" s="70">
        <f>IF(CurrentMtgRatesDataTable8[[#This Row],[WA CC]]&lt;&gt;0,C1392-CurrentMtgRatesDataTable8[[#This Row],[WA CC]],0)</f>
        <v>0.55756206741714909</v>
      </c>
      <c r="L1393" s="70">
        <f>IF(CurrentMtgRatesDataTable8[[#This Row],[Servicing Spread]]&lt;=0,L1392,CurrentMtgRatesDataTable8[[#This Row],[Servicing Spread]])</f>
        <v>0.55756206741714909</v>
      </c>
      <c r="M1393" s="70">
        <f>CurrentMtgRatesDataTable8[[#This Row],[Servicing Spread Non-Zero]]-L1392</f>
        <v>-2.0383069929138742E-2</v>
      </c>
      <c r="N1393" s="70">
        <f>IF(J1392&lt;&gt;0,CurrentMtgRatesDataTable8[[#This Row],[Rate]]-C1392,N1392)</f>
        <v>-0.20999999999999996</v>
      </c>
    </row>
    <row r="1394" spans="1:14">
      <c r="A1394" s="67" t="s">
        <v>2746</v>
      </c>
      <c r="B1394" s="68">
        <v>4.8695263849477799</v>
      </c>
      <c r="C1394" s="69">
        <v>5.3449999999999998</v>
      </c>
      <c r="D1394" s="70">
        <f t="shared" si="147"/>
        <v>1</v>
      </c>
      <c r="E1394" s="70">
        <f t="shared" si="148"/>
        <v>0.2</v>
      </c>
      <c r="F1394" s="70">
        <f t="shared" si="149"/>
        <v>1</v>
      </c>
      <c r="G1394" s="70">
        <f t="shared" si="150"/>
        <v>0.97390527698955598</v>
      </c>
      <c r="H1394" s="70">
        <f t="shared" si="151"/>
        <v>0.2</v>
      </c>
      <c r="I1394" s="70">
        <f t="shared" si="152"/>
        <v>0</v>
      </c>
      <c r="J1394" s="70">
        <f t="shared" si="153"/>
        <v>0</v>
      </c>
      <c r="K1394" s="70">
        <f>IF(CurrentMtgRatesDataTable8[[#This Row],[WA CC]]&lt;&gt;0,C1393-CurrentMtgRatesDataTable8[[#This Row],[WA CC]],0)</f>
        <v>0</v>
      </c>
      <c r="L1394" s="70">
        <f>IF(CurrentMtgRatesDataTable8[[#This Row],[Servicing Spread]]&lt;=0,L1393,CurrentMtgRatesDataTable8[[#This Row],[Servicing Spread]])</f>
        <v>0.55756206741714909</v>
      </c>
      <c r="M1394" s="70">
        <f>CurrentMtgRatesDataTable8[[#This Row],[Servicing Spread Non-Zero]]-L1393</f>
        <v>0</v>
      </c>
      <c r="N1394" s="70">
        <f>IF(J1393&lt;&gt;0,CurrentMtgRatesDataTable8[[#This Row],[Rate]]-C1393,N1393)</f>
        <v>4.0000000000000036E-2</v>
      </c>
    </row>
    <row r="1395" spans="1:14">
      <c r="A1395" s="67" t="s">
        <v>2747</v>
      </c>
      <c r="B1395" s="68">
        <v>4.7997659816222598</v>
      </c>
      <c r="C1395" s="69">
        <v>5.3449999999999998</v>
      </c>
      <c r="D1395" s="70">
        <f t="shared" si="147"/>
        <v>2</v>
      </c>
      <c r="E1395" s="70">
        <f t="shared" si="148"/>
        <v>0.2</v>
      </c>
      <c r="F1395" s="70">
        <f t="shared" si="149"/>
        <v>2</v>
      </c>
      <c r="G1395" s="70">
        <f t="shared" si="150"/>
        <v>1.9338584733140078</v>
      </c>
      <c r="H1395" s="70">
        <f t="shared" si="151"/>
        <v>0.4</v>
      </c>
      <c r="I1395" s="70">
        <f t="shared" si="152"/>
        <v>0</v>
      </c>
      <c r="J1395" s="70">
        <f t="shared" si="153"/>
        <v>0</v>
      </c>
      <c r="K1395" s="70">
        <f>IF(CurrentMtgRatesDataTable8[[#This Row],[WA CC]]&lt;&gt;0,C1394-CurrentMtgRatesDataTable8[[#This Row],[WA CC]],0)</f>
        <v>0</v>
      </c>
      <c r="L1395" s="70">
        <f>IF(CurrentMtgRatesDataTable8[[#This Row],[Servicing Spread]]&lt;=0,L1394,CurrentMtgRatesDataTable8[[#This Row],[Servicing Spread]])</f>
        <v>0.55756206741714909</v>
      </c>
      <c r="M1395" s="70">
        <f>CurrentMtgRatesDataTable8[[#This Row],[Servicing Spread Non-Zero]]-L1394</f>
        <v>0</v>
      </c>
      <c r="N1395" s="70">
        <f>IF(J1394&lt;&gt;0,CurrentMtgRatesDataTable8[[#This Row],[Rate]]-C1394,N1394)</f>
        <v>4.0000000000000036E-2</v>
      </c>
    </row>
    <row r="1396" spans="1:14">
      <c r="A1396" s="67" t="s">
        <v>2748</v>
      </c>
      <c r="B1396" s="68">
        <v>4.70691842962996</v>
      </c>
      <c r="C1396" s="69">
        <v>5.3449999999999998</v>
      </c>
      <c r="D1396" s="70">
        <f t="shared" si="147"/>
        <v>5</v>
      </c>
      <c r="E1396" s="70">
        <f t="shared" si="148"/>
        <v>0.2</v>
      </c>
      <c r="F1396" s="70">
        <f t="shared" si="149"/>
        <v>3</v>
      </c>
      <c r="G1396" s="70">
        <f t="shared" si="150"/>
        <v>2.8752421592399999</v>
      </c>
      <c r="H1396" s="70">
        <f t="shared" si="151"/>
        <v>0.60000000000000009</v>
      </c>
      <c r="I1396" s="70">
        <f t="shared" si="152"/>
        <v>0</v>
      </c>
      <c r="J1396" s="70">
        <f t="shared" si="153"/>
        <v>0</v>
      </c>
      <c r="K1396" s="70">
        <f>IF(CurrentMtgRatesDataTable8[[#This Row],[WA CC]]&lt;&gt;0,C1395-CurrentMtgRatesDataTable8[[#This Row],[WA CC]],0)</f>
        <v>0</v>
      </c>
      <c r="L1396" s="70">
        <f>IF(CurrentMtgRatesDataTable8[[#This Row],[Servicing Spread]]&lt;=0,L1395,CurrentMtgRatesDataTable8[[#This Row],[Servicing Spread]])</f>
        <v>0.55756206741714909</v>
      </c>
      <c r="M1396" s="70">
        <f>CurrentMtgRatesDataTable8[[#This Row],[Servicing Spread Non-Zero]]-L1395</f>
        <v>0</v>
      </c>
      <c r="N1396" s="70">
        <f>IF(J1395&lt;&gt;0,CurrentMtgRatesDataTable8[[#This Row],[Rate]]-C1395,N1395)</f>
        <v>4.0000000000000036E-2</v>
      </c>
    </row>
    <row r="1397" spans="1:14">
      <c r="A1397" s="67" t="s">
        <v>2749</v>
      </c>
      <c r="B1397" s="68">
        <v>4.7171670120953504</v>
      </c>
      <c r="C1397" s="69">
        <v>5.3449999999999998</v>
      </c>
      <c r="D1397" s="70">
        <f t="shared" si="147"/>
        <v>6</v>
      </c>
      <c r="E1397" s="70">
        <f t="shared" si="148"/>
        <v>0.2</v>
      </c>
      <c r="F1397" s="70">
        <f t="shared" si="149"/>
        <v>4</v>
      </c>
      <c r="G1397" s="70">
        <f t="shared" si="150"/>
        <v>3.8186755616590702</v>
      </c>
      <c r="H1397" s="70">
        <f t="shared" si="151"/>
        <v>0.8</v>
      </c>
      <c r="I1397" s="70">
        <f t="shared" si="152"/>
        <v>0</v>
      </c>
      <c r="J1397" s="70">
        <f t="shared" si="153"/>
        <v>0</v>
      </c>
      <c r="K1397" s="70">
        <f>IF(CurrentMtgRatesDataTable8[[#This Row],[WA CC]]&lt;&gt;0,C1396-CurrentMtgRatesDataTable8[[#This Row],[WA CC]],0)</f>
        <v>0</v>
      </c>
      <c r="L1397" s="70">
        <f>IF(CurrentMtgRatesDataTable8[[#This Row],[Servicing Spread]]&lt;=0,L1396,CurrentMtgRatesDataTable8[[#This Row],[Servicing Spread]])</f>
        <v>0.55756206741714909</v>
      </c>
      <c r="M1397" s="70">
        <f>CurrentMtgRatesDataTable8[[#This Row],[Servicing Spread Non-Zero]]-L1396</f>
        <v>0</v>
      </c>
      <c r="N1397" s="70">
        <f>IF(J1396&lt;&gt;0,CurrentMtgRatesDataTable8[[#This Row],[Rate]]-C1396,N1396)</f>
        <v>4.0000000000000036E-2</v>
      </c>
    </row>
    <row r="1398" spans="1:14">
      <c r="A1398" s="67" t="s">
        <v>2750</v>
      </c>
      <c r="B1398" s="68">
        <v>4.7295240214605601</v>
      </c>
      <c r="C1398" s="69">
        <v>5.3449999999999998</v>
      </c>
      <c r="D1398" s="70">
        <f t="shared" si="147"/>
        <v>7</v>
      </c>
      <c r="E1398" s="70">
        <f t="shared" si="148"/>
        <v>0.2</v>
      </c>
      <c r="F1398" s="70">
        <f t="shared" si="149"/>
        <v>5</v>
      </c>
      <c r="G1398" s="70">
        <f t="shared" si="150"/>
        <v>4.7645803659511827</v>
      </c>
      <c r="H1398" s="70">
        <f t="shared" si="151"/>
        <v>1</v>
      </c>
      <c r="I1398" s="70">
        <f t="shared" si="152"/>
        <v>1</v>
      </c>
      <c r="J1398" s="70">
        <f t="shared" si="153"/>
        <v>4.7645803659511827</v>
      </c>
      <c r="K1398" s="70">
        <f>IF(CurrentMtgRatesDataTable8[[#This Row],[WA CC]]&lt;&gt;0,C1397-CurrentMtgRatesDataTable8[[#This Row],[WA CC]],0)</f>
        <v>0.58041963404881702</v>
      </c>
      <c r="L1398" s="70">
        <f>IF(CurrentMtgRatesDataTable8[[#This Row],[Servicing Spread]]&lt;=0,L1397,CurrentMtgRatesDataTable8[[#This Row],[Servicing Spread]])</f>
        <v>0.58041963404881702</v>
      </c>
      <c r="M1398" s="70">
        <f>CurrentMtgRatesDataTable8[[#This Row],[Servicing Spread Non-Zero]]-L1397</f>
        <v>2.2857566631667936E-2</v>
      </c>
      <c r="N1398" s="70">
        <f>IF(J1397&lt;&gt;0,CurrentMtgRatesDataTable8[[#This Row],[Rate]]-C1397,N1397)</f>
        <v>4.0000000000000036E-2</v>
      </c>
    </row>
    <row r="1399" spans="1:14">
      <c r="A1399" s="67" t="s">
        <v>2751</v>
      </c>
      <c r="B1399" s="68">
        <v>4.5573550156860199</v>
      </c>
      <c r="C1399" s="69">
        <v>5.2450000000000001</v>
      </c>
      <c r="D1399" s="70">
        <f t="shared" si="147"/>
        <v>1</v>
      </c>
      <c r="E1399" s="70">
        <f t="shared" si="148"/>
        <v>0.2</v>
      </c>
      <c r="F1399" s="70">
        <f t="shared" si="149"/>
        <v>1</v>
      </c>
      <c r="G1399" s="70">
        <f t="shared" si="150"/>
        <v>0.91147100313720397</v>
      </c>
      <c r="H1399" s="70">
        <f t="shared" si="151"/>
        <v>0.2</v>
      </c>
      <c r="I1399" s="70">
        <f t="shared" si="152"/>
        <v>0</v>
      </c>
      <c r="J1399" s="70">
        <f t="shared" si="153"/>
        <v>0</v>
      </c>
      <c r="K1399" s="70">
        <f>IF(CurrentMtgRatesDataTable8[[#This Row],[WA CC]]&lt;&gt;0,C1398-CurrentMtgRatesDataTable8[[#This Row],[WA CC]],0)</f>
        <v>0</v>
      </c>
      <c r="L1399" s="70">
        <f>IF(CurrentMtgRatesDataTable8[[#This Row],[Servicing Spread]]&lt;=0,L1398,CurrentMtgRatesDataTable8[[#This Row],[Servicing Spread]])</f>
        <v>0.58041963404881702</v>
      </c>
      <c r="M1399" s="70">
        <f>CurrentMtgRatesDataTable8[[#This Row],[Servicing Spread Non-Zero]]-L1398</f>
        <v>0</v>
      </c>
      <c r="N1399" s="70">
        <f>IF(J1398&lt;&gt;0,CurrentMtgRatesDataTable8[[#This Row],[Rate]]-C1398,N1398)</f>
        <v>-9.9999999999999645E-2</v>
      </c>
    </row>
    <row r="1400" spans="1:14">
      <c r="A1400" s="67" t="s">
        <v>2752</v>
      </c>
      <c r="B1400" s="68">
        <v>4.5296267398521097</v>
      </c>
      <c r="C1400" s="69">
        <v>5.2450000000000001</v>
      </c>
      <c r="D1400" s="70">
        <f t="shared" si="147"/>
        <v>2</v>
      </c>
      <c r="E1400" s="70">
        <f t="shared" si="148"/>
        <v>0.2</v>
      </c>
      <c r="F1400" s="70">
        <f t="shared" si="149"/>
        <v>2</v>
      </c>
      <c r="G1400" s="70">
        <f t="shared" si="150"/>
        <v>1.8173963511076261</v>
      </c>
      <c r="H1400" s="70">
        <f t="shared" si="151"/>
        <v>0.4</v>
      </c>
      <c r="I1400" s="70">
        <f t="shared" si="152"/>
        <v>0</v>
      </c>
      <c r="J1400" s="70">
        <f t="shared" si="153"/>
        <v>0</v>
      </c>
      <c r="K1400" s="70">
        <f>IF(CurrentMtgRatesDataTable8[[#This Row],[WA CC]]&lt;&gt;0,C1399-CurrentMtgRatesDataTable8[[#This Row],[WA CC]],0)</f>
        <v>0</v>
      </c>
      <c r="L1400" s="70">
        <f>IF(CurrentMtgRatesDataTable8[[#This Row],[Servicing Spread]]&lt;=0,L1399,CurrentMtgRatesDataTable8[[#This Row],[Servicing Spread]])</f>
        <v>0.58041963404881702</v>
      </c>
      <c r="M1400" s="70">
        <f>CurrentMtgRatesDataTable8[[#This Row],[Servicing Spread Non-Zero]]-L1399</f>
        <v>0</v>
      </c>
      <c r="N1400" s="70">
        <f>IF(J1399&lt;&gt;0,CurrentMtgRatesDataTable8[[#This Row],[Rate]]-C1399,N1399)</f>
        <v>-9.9999999999999645E-2</v>
      </c>
    </row>
    <row r="1401" spans="1:14">
      <c r="A1401" s="67" t="s">
        <v>2753</v>
      </c>
      <c r="B1401" s="68">
        <v>4.5382302787035904</v>
      </c>
      <c r="C1401" s="69">
        <v>5.2450000000000001</v>
      </c>
      <c r="D1401" s="70">
        <f t="shared" si="147"/>
        <v>5</v>
      </c>
      <c r="E1401" s="70">
        <f t="shared" si="148"/>
        <v>0.2</v>
      </c>
      <c r="F1401" s="70">
        <f t="shared" si="149"/>
        <v>3</v>
      </c>
      <c r="G1401" s="70">
        <f t="shared" si="150"/>
        <v>2.7250424068483441</v>
      </c>
      <c r="H1401" s="70">
        <f t="shared" si="151"/>
        <v>0.60000000000000009</v>
      </c>
      <c r="I1401" s="70">
        <f t="shared" si="152"/>
        <v>0</v>
      </c>
      <c r="J1401" s="70">
        <f t="shared" si="153"/>
        <v>0</v>
      </c>
      <c r="K1401" s="70">
        <f>IF(CurrentMtgRatesDataTable8[[#This Row],[WA CC]]&lt;&gt;0,C1400-CurrentMtgRatesDataTable8[[#This Row],[WA CC]],0)</f>
        <v>0</v>
      </c>
      <c r="L1401" s="70">
        <f>IF(CurrentMtgRatesDataTable8[[#This Row],[Servicing Spread]]&lt;=0,L1400,CurrentMtgRatesDataTable8[[#This Row],[Servicing Spread]])</f>
        <v>0.58041963404881702</v>
      </c>
      <c r="M1401" s="70">
        <f>CurrentMtgRatesDataTable8[[#This Row],[Servicing Spread Non-Zero]]-L1400</f>
        <v>0</v>
      </c>
      <c r="N1401" s="70">
        <f>IF(J1400&lt;&gt;0,CurrentMtgRatesDataTable8[[#This Row],[Rate]]-C1400,N1400)</f>
        <v>-9.9999999999999645E-2</v>
      </c>
    </row>
    <row r="1402" spans="1:14">
      <c r="A1402" s="67" t="s">
        <v>2754</v>
      </c>
      <c r="B1402" s="68">
        <v>4.5836926722253999</v>
      </c>
      <c r="C1402" s="69">
        <v>5.2450000000000001</v>
      </c>
      <c r="D1402" s="70">
        <f t="shared" si="147"/>
        <v>6</v>
      </c>
      <c r="E1402" s="70">
        <f t="shared" si="148"/>
        <v>0.2</v>
      </c>
      <c r="F1402" s="70">
        <f t="shared" si="149"/>
        <v>4</v>
      </c>
      <c r="G1402" s="70">
        <f t="shared" si="150"/>
        <v>3.6417809412934243</v>
      </c>
      <c r="H1402" s="70">
        <f t="shared" si="151"/>
        <v>0.8</v>
      </c>
      <c r="I1402" s="70">
        <f t="shared" si="152"/>
        <v>0</v>
      </c>
      <c r="J1402" s="70">
        <f t="shared" si="153"/>
        <v>0</v>
      </c>
      <c r="K1402" s="70">
        <f>IF(CurrentMtgRatesDataTable8[[#This Row],[WA CC]]&lt;&gt;0,C1401-CurrentMtgRatesDataTable8[[#This Row],[WA CC]],0)</f>
        <v>0</v>
      </c>
      <c r="L1402" s="70">
        <f>IF(CurrentMtgRatesDataTable8[[#This Row],[Servicing Spread]]&lt;=0,L1401,CurrentMtgRatesDataTable8[[#This Row],[Servicing Spread]])</f>
        <v>0.58041963404881702</v>
      </c>
      <c r="M1402" s="70">
        <f>CurrentMtgRatesDataTable8[[#This Row],[Servicing Spread Non-Zero]]-L1401</f>
        <v>0</v>
      </c>
      <c r="N1402" s="70">
        <f>IF(J1401&lt;&gt;0,CurrentMtgRatesDataTable8[[#This Row],[Rate]]-C1401,N1401)</f>
        <v>-9.9999999999999645E-2</v>
      </c>
    </row>
    <row r="1403" spans="1:14">
      <c r="A1403" s="67" t="s">
        <v>2755</v>
      </c>
      <c r="B1403" s="68">
        <v>4.5519930038564898</v>
      </c>
      <c r="C1403" s="69">
        <v>5.2450000000000001</v>
      </c>
      <c r="D1403" s="70">
        <f t="shared" si="147"/>
        <v>7</v>
      </c>
      <c r="E1403" s="70">
        <f t="shared" si="148"/>
        <v>0.2</v>
      </c>
      <c r="F1403" s="70">
        <f t="shared" si="149"/>
        <v>5</v>
      </c>
      <c r="G1403" s="70">
        <f t="shared" si="150"/>
        <v>4.5521795420647226</v>
      </c>
      <c r="H1403" s="70">
        <f t="shared" si="151"/>
        <v>1</v>
      </c>
      <c r="I1403" s="70">
        <f t="shared" si="152"/>
        <v>1</v>
      </c>
      <c r="J1403" s="70">
        <f t="shared" si="153"/>
        <v>4.5521795420647226</v>
      </c>
      <c r="K1403" s="70">
        <f>IF(CurrentMtgRatesDataTable8[[#This Row],[WA CC]]&lt;&gt;0,C1402-CurrentMtgRatesDataTable8[[#This Row],[WA CC]],0)</f>
        <v>0.69282045793527747</v>
      </c>
      <c r="L1403" s="70">
        <f>IF(CurrentMtgRatesDataTable8[[#This Row],[Servicing Spread]]&lt;=0,L1402,CurrentMtgRatesDataTable8[[#This Row],[Servicing Spread]])</f>
        <v>0.69282045793527747</v>
      </c>
      <c r="M1403" s="70">
        <f>CurrentMtgRatesDataTable8[[#This Row],[Servicing Spread Non-Zero]]-L1402</f>
        <v>0.11240082388646044</v>
      </c>
      <c r="N1403" s="70">
        <f>IF(J1402&lt;&gt;0,CurrentMtgRatesDataTable8[[#This Row],[Rate]]-C1402,N1402)</f>
        <v>-9.9999999999999645E-2</v>
      </c>
    </row>
    <row r="1404" spans="1:14">
      <c r="A1404" s="67" t="s">
        <v>2756</v>
      </c>
      <c r="B1404" s="68">
        <v>4.51238356820474</v>
      </c>
      <c r="C1404" s="69">
        <v>5.125</v>
      </c>
      <c r="D1404" s="70">
        <f t="shared" si="147"/>
        <v>1</v>
      </c>
      <c r="E1404" s="70">
        <f t="shared" si="148"/>
        <v>0.2</v>
      </c>
      <c r="F1404" s="70">
        <f t="shared" si="149"/>
        <v>1</v>
      </c>
      <c r="G1404" s="70">
        <f t="shared" si="150"/>
        <v>0.90247671364094806</v>
      </c>
      <c r="H1404" s="70">
        <f t="shared" si="151"/>
        <v>0.2</v>
      </c>
      <c r="I1404" s="70">
        <f t="shared" si="152"/>
        <v>0</v>
      </c>
      <c r="J1404" s="70">
        <f t="shared" si="153"/>
        <v>0</v>
      </c>
      <c r="K1404" s="70">
        <f>IF(CurrentMtgRatesDataTable8[[#This Row],[WA CC]]&lt;&gt;0,C1403-CurrentMtgRatesDataTable8[[#This Row],[WA CC]],0)</f>
        <v>0</v>
      </c>
      <c r="L1404" s="70">
        <f>IF(CurrentMtgRatesDataTable8[[#This Row],[Servicing Spread]]&lt;=0,L1403,CurrentMtgRatesDataTable8[[#This Row],[Servicing Spread]])</f>
        <v>0.69282045793527747</v>
      </c>
      <c r="M1404" s="70">
        <f>CurrentMtgRatesDataTable8[[#This Row],[Servicing Spread Non-Zero]]-L1403</f>
        <v>0</v>
      </c>
      <c r="N1404" s="70">
        <f>IF(J1403&lt;&gt;0,CurrentMtgRatesDataTable8[[#This Row],[Rate]]-C1403,N1403)</f>
        <v>-0.12000000000000011</v>
      </c>
    </row>
    <row r="1405" spans="1:14">
      <c r="A1405" s="67" t="s">
        <v>2757</v>
      </c>
      <c r="B1405" s="68">
        <v>4.5132098360502599</v>
      </c>
      <c r="C1405" s="69">
        <v>5.125</v>
      </c>
      <c r="D1405" s="70">
        <f t="shared" si="147"/>
        <v>5</v>
      </c>
      <c r="E1405" s="70">
        <f t="shared" si="148"/>
        <v>0.2</v>
      </c>
      <c r="F1405" s="70">
        <f t="shared" si="149"/>
        <v>2</v>
      </c>
      <c r="G1405" s="70">
        <f t="shared" si="150"/>
        <v>1.8051186808510002</v>
      </c>
      <c r="H1405" s="70">
        <f t="shared" si="151"/>
        <v>0.4</v>
      </c>
      <c r="I1405" s="70">
        <f t="shared" si="152"/>
        <v>0</v>
      </c>
      <c r="J1405" s="70">
        <f t="shared" si="153"/>
        <v>0</v>
      </c>
      <c r="K1405" s="70">
        <f>IF(CurrentMtgRatesDataTable8[[#This Row],[WA CC]]&lt;&gt;0,C1404-CurrentMtgRatesDataTable8[[#This Row],[WA CC]],0)</f>
        <v>0</v>
      </c>
      <c r="L1405" s="70">
        <f>IF(CurrentMtgRatesDataTable8[[#This Row],[Servicing Spread]]&lt;=0,L1404,CurrentMtgRatesDataTable8[[#This Row],[Servicing Spread]])</f>
        <v>0.69282045793527747</v>
      </c>
      <c r="M1405" s="70">
        <f>CurrentMtgRatesDataTable8[[#This Row],[Servicing Spread Non-Zero]]-L1404</f>
        <v>0</v>
      </c>
      <c r="N1405" s="70">
        <f>IF(J1404&lt;&gt;0,CurrentMtgRatesDataTable8[[#This Row],[Rate]]-C1404,N1404)</f>
        <v>-0.12000000000000011</v>
      </c>
    </row>
    <row r="1406" spans="1:14">
      <c r="A1406" s="67" t="s">
        <v>2758</v>
      </c>
      <c r="B1406" s="68">
        <v>4.47649476719163</v>
      </c>
      <c r="C1406" s="69">
        <v>5.125</v>
      </c>
      <c r="D1406" s="70">
        <f t="shared" si="147"/>
        <v>6</v>
      </c>
      <c r="E1406" s="70">
        <f t="shared" si="148"/>
        <v>0.2</v>
      </c>
      <c r="F1406" s="70">
        <f t="shared" si="149"/>
        <v>3</v>
      </c>
      <c r="G1406" s="70">
        <f t="shared" si="150"/>
        <v>2.7004176342893262</v>
      </c>
      <c r="H1406" s="70">
        <f t="shared" si="151"/>
        <v>0.60000000000000009</v>
      </c>
      <c r="I1406" s="70">
        <f t="shared" si="152"/>
        <v>0</v>
      </c>
      <c r="J1406" s="70">
        <f t="shared" si="153"/>
        <v>0</v>
      </c>
      <c r="K1406" s="70">
        <f>IF(CurrentMtgRatesDataTable8[[#This Row],[WA CC]]&lt;&gt;0,C1405-CurrentMtgRatesDataTable8[[#This Row],[WA CC]],0)</f>
        <v>0</v>
      </c>
      <c r="L1406" s="70">
        <f>IF(CurrentMtgRatesDataTable8[[#This Row],[Servicing Spread]]&lt;=0,L1405,CurrentMtgRatesDataTable8[[#This Row],[Servicing Spread]])</f>
        <v>0.69282045793527747</v>
      </c>
      <c r="M1406" s="70">
        <f>CurrentMtgRatesDataTable8[[#This Row],[Servicing Spread Non-Zero]]-L1405</f>
        <v>0</v>
      </c>
      <c r="N1406" s="70">
        <f>IF(J1405&lt;&gt;0,CurrentMtgRatesDataTable8[[#This Row],[Rate]]-C1405,N1405)</f>
        <v>-0.12000000000000011</v>
      </c>
    </row>
    <row r="1407" spans="1:14">
      <c r="A1407" s="67" t="s">
        <v>2759</v>
      </c>
      <c r="B1407" s="68">
        <v>4.3291738104190198</v>
      </c>
      <c r="C1407" s="69">
        <v>5.125</v>
      </c>
      <c r="D1407" s="70">
        <f t="shared" si="147"/>
        <v>7</v>
      </c>
      <c r="E1407" s="70">
        <f t="shared" si="148"/>
        <v>0.2</v>
      </c>
      <c r="F1407" s="70">
        <f t="shared" si="149"/>
        <v>4</v>
      </c>
      <c r="G1407" s="70">
        <f t="shared" si="150"/>
        <v>3.5662523963731303</v>
      </c>
      <c r="H1407" s="70">
        <f t="shared" si="151"/>
        <v>0.8</v>
      </c>
      <c r="I1407" s="70">
        <f t="shared" si="152"/>
        <v>1</v>
      </c>
      <c r="J1407" s="70">
        <f t="shared" si="153"/>
        <v>4.4578154954664129</v>
      </c>
      <c r="K1407" s="70">
        <f>IF(CurrentMtgRatesDataTable8[[#This Row],[WA CC]]&lt;&gt;0,C1406-CurrentMtgRatesDataTable8[[#This Row],[WA CC]],0)</f>
        <v>0.66718450453358713</v>
      </c>
      <c r="L1407" s="70">
        <f>IF(CurrentMtgRatesDataTable8[[#This Row],[Servicing Spread]]&lt;=0,L1406,CurrentMtgRatesDataTable8[[#This Row],[Servicing Spread]])</f>
        <v>0.66718450453358713</v>
      </c>
      <c r="M1407" s="70">
        <f>CurrentMtgRatesDataTable8[[#This Row],[Servicing Spread Non-Zero]]-L1406</f>
        <v>-2.5635953401690337E-2</v>
      </c>
      <c r="N1407" s="70">
        <f>IF(J1406&lt;&gt;0,CurrentMtgRatesDataTable8[[#This Row],[Rate]]-C1406,N1406)</f>
        <v>-0.12000000000000011</v>
      </c>
    </row>
    <row r="1408" spans="1:14">
      <c r="A1408" s="67" t="s">
        <v>2760</v>
      </c>
      <c r="B1408" s="68">
        <v>4.4334603391427096</v>
      </c>
      <c r="C1408" s="69">
        <v>5.0649999999999995</v>
      </c>
      <c r="D1408" s="70">
        <f t="shared" si="147"/>
        <v>1</v>
      </c>
      <c r="E1408" s="70">
        <f t="shared" si="148"/>
        <v>0.2</v>
      </c>
      <c r="F1408" s="70">
        <f t="shared" si="149"/>
        <v>1</v>
      </c>
      <c r="G1408" s="70">
        <f t="shared" si="150"/>
        <v>0.88669206782854193</v>
      </c>
      <c r="H1408" s="70">
        <f t="shared" si="151"/>
        <v>0.2</v>
      </c>
      <c r="I1408" s="70">
        <f t="shared" si="152"/>
        <v>0</v>
      </c>
      <c r="J1408" s="70">
        <f t="shared" si="153"/>
        <v>0</v>
      </c>
      <c r="K1408" s="70">
        <f>IF(CurrentMtgRatesDataTable8[[#This Row],[WA CC]]&lt;&gt;0,C1407-CurrentMtgRatesDataTable8[[#This Row],[WA CC]],0)</f>
        <v>0</v>
      </c>
      <c r="L1408" s="70">
        <f>IF(CurrentMtgRatesDataTable8[[#This Row],[Servicing Spread]]&lt;=0,L1407,CurrentMtgRatesDataTable8[[#This Row],[Servicing Spread]])</f>
        <v>0.66718450453358713</v>
      </c>
      <c r="M1408" s="70">
        <f>CurrentMtgRatesDataTable8[[#This Row],[Servicing Spread Non-Zero]]-L1407</f>
        <v>0</v>
      </c>
      <c r="N1408" s="70">
        <f>IF(J1407&lt;&gt;0,CurrentMtgRatesDataTable8[[#This Row],[Rate]]-C1407,N1407)</f>
        <v>-6.0000000000000497E-2</v>
      </c>
    </row>
    <row r="1409" spans="1:14">
      <c r="A1409" s="67" t="s">
        <v>2761</v>
      </c>
      <c r="B1409" s="68">
        <v>4.3342654887123597</v>
      </c>
      <c r="C1409" s="69">
        <v>5.0649999999999995</v>
      </c>
      <c r="D1409" s="70">
        <f t="shared" si="147"/>
        <v>2</v>
      </c>
      <c r="E1409" s="70">
        <f t="shared" si="148"/>
        <v>0.2</v>
      </c>
      <c r="F1409" s="70">
        <f t="shared" si="149"/>
        <v>2</v>
      </c>
      <c r="G1409" s="70">
        <f t="shared" si="150"/>
        <v>1.7535451655710139</v>
      </c>
      <c r="H1409" s="70">
        <f t="shared" si="151"/>
        <v>0.4</v>
      </c>
      <c r="I1409" s="70">
        <f t="shared" si="152"/>
        <v>0</v>
      </c>
      <c r="J1409" s="70">
        <f t="shared" si="153"/>
        <v>0</v>
      </c>
      <c r="K1409" s="70">
        <f>IF(CurrentMtgRatesDataTable8[[#This Row],[WA CC]]&lt;&gt;0,C1408-CurrentMtgRatesDataTable8[[#This Row],[WA CC]],0)</f>
        <v>0</v>
      </c>
      <c r="L1409" s="70">
        <f>IF(CurrentMtgRatesDataTable8[[#This Row],[Servicing Spread]]&lt;=0,L1408,CurrentMtgRatesDataTable8[[#This Row],[Servicing Spread]])</f>
        <v>0.66718450453358713</v>
      </c>
      <c r="M1409" s="70">
        <f>CurrentMtgRatesDataTable8[[#This Row],[Servicing Spread Non-Zero]]-L1408</f>
        <v>0</v>
      </c>
      <c r="N1409" s="70">
        <f>IF(J1408&lt;&gt;0,CurrentMtgRatesDataTable8[[#This Row],[Rate]]-C1408,N1408)</f>
        <v>-6.0000000000000497E-2</v>
      </c>
    </row>
    <row r="1410" spans="1:14">
      <c r="A1410" s="67" t="s">
        <v>2762</v>
      </c>
      <c r="B1410" s="68">
        <v>4.4042626448622402</v>
      </c>
      <c r="C1410" s="69">
        <v>5.0649999999999995</v>
      </c>
      <c r="D1410" s="70">
        <f t="shared" si="147"/>
        <v>5</v>
      </c>
      <c r="E1410" s="70">
        <f t="shared" si="148"/>
        <v>0.2</v>
      </c>
      <c r="F1410" s="70">
        <f t="shared" si="149"/>
        <v>3</v>
      </c>
      <c r="G1410" s="70">
        <f t="shared" si="150"/>
        <v>2.6343976945434617</v>
      </c>
      <c r="H1410" s="70">
        <f t="shared" si="151"/>
        <v>0.60000000000000009</v>
      </c>
      <c r="I1410" s="70">
        <f t="shared" si="152"/>
        <v>0</v>
      </c>
      <c r="J1410" s="70">
        <f t="shared" si="153"/>
        <v>0</v>
      </c>
      <c r="K1410" s="70">
        <f>IF(CurrentMtgRatesDataTable8[[#This Row],[WA CC]]&lt;&gt;0,C1409-CurrentMtgRatesDataTable8[[#This Row],[WA CC]],0)</f>
        <v>0</v>
      </c>
      <c r="L1410" s="70">
        <f>IF(CurrentMtgRatesDataTable8[[#This Row],[Servicing Spread]]&lt;=0,L1409,CurrentMtgRatesDataTable8[[#This Row],[Servicing Spread]])</f>
        <v>0.66718450453358713</v>
      </c>
      <c r="M1410" s="70">
        <f>CurrentMtgRatesDataTable8[[#This Row],[Servicing Spread Non-Zero]]-L1409</f>
        <v>0</v>
      </c>
      <c r="N1410" s="70">
        <f>IF(J1409&lt;&gt;0,CurrentMtgRatesDataTable8[[#This Row],[Rate]]-C1409,N1409)</f>
        <v>-6.0000000000000497E-2</v>
      </c>
    </row>
    <row r="1411" spans="1:14">
      <c r="A1411" s="67" t="s">
        <v>2763</v>
      </c>
      <c r="B1411" s="68">
        <v>4.4750737593381604</v>
      </c>
      <c r="C1411" s="69">
        <v>5.0649999999999995</v>
      </c>
      <c r="D1411" s="70">
        <f t="shared" si="147"/>
        <v>6</v>
      </c>
      <c r="E1411" s="70">
        <f t="shared" si="148"/>
        <v>0.2</v>
      </c>
      <c r="F1411" s="70">
        <f t="shared" si="149"/>
        <v>4</v>
      </c>
      <c r="G1411" s="70">
        <f t="shared" si="150"/>
        <v>3.5294124464110936</v>
      </c>
      <c r="H1411" s="70">
        <f t="shared" si="151"/>
        <v>0.8</v>
      </c>
      <c r="I1411" s="70">
        <f t="shared" si="152"/>
        <v>0</v>
      </c>
      <c r="J1411" s="70">
        <f t="shared" si="153"/>
        <v>0</v>
      </c>
      <c r="K1411" s="70">
        <f>IF(CurrentMtgRatesDataTable8[[#This Row],[WA CC]]&lt;&gt;0,C1410-CurrentMtgRatesDataTable8[[#This Row],[WA CC]],0)</f>
        <v>0</v>
      </c>
      <c r="L1411" s="70">
        <f>IF(CurrentMtgRatesDataTable8[[#This Row],[Servicing Spread]]&lt;=0,L1410,CurrentMtgRatesDataTable8[[#This Row],[Servicing Spread]])</f>
        <v>0.66718450453358713</v>
      </c>
      <c r="M1411" s="70">
        <f>CurrentMtgRatesDataTable8[[#This Row],[Servicing Spread Non-Zero]]-L1410</f>
        <v>0</v>
      </c>
      <c r="N1411" s="70">
        <f>IF(J1410&lt;&gt;0,CurrentMtgRatesDataTable8[[#This Row],[Rate]]-C1410,N1410)</f>
        <v>-6.0000000000000497E-2</v>
      </c>
    </row>
    <row r="1412" spans="1:14">
      <c r="A1412" s="67" t="s">
        <v>2764</v>
      </c>
      <c r="B1412" s="68">
        <v>4.6454097169322601</v>
      </c>
      <c r="C1412" s="69">
        <v>5.0649999999999995</v>
      </c>
      <c r="D1412" s="70">
        <f t="shared" si="147"/>
        <v>7</v>
      </c>
      <c r="E1412" s="70">
        <f t="shared" si="148"/>
        <v>0.2</v>
      </c>
      <c r="F1412" s="70">
        <f t="shared" si="149"/>
        <v>5</v>
      </c>
      <c r="G1412" s="70">
        <f t="shared" si="150"/>
        <v>4.4584943897975453</v>
      </c>
      <c r="H1412" s="70">
        <f t="shared" si="151"/>
        <v>1</v>
      </c>
      <c r="I1412" s="70">
        <f t="shared" si="152"/>
        <v>1</v>
      </c>
      <c r="J1412" s="70">
        <f t="shared" si="153"/>
        <v>4.4584943897975453</v>
      </c>
      <c r="K1412" s="70">
        <f>IF(CurrentMtgRatesDataTable8[[#This Row],[WA CC]]&lt;&gt;0,C1411-CurrentMtgRatesDataTable8[[#This Row],[WA CC]],0)</f>
        <v>0.60650561020245419</v>
      </c>
      <c r="L1412" s="70">
        <f>IF(CurrentMtgRatesDataTable8[[#This Row],[Servicing Spread]]&lt;=0,L1411,CurrentMtgRatesDataTable8[[#This Row],[Servicing Spread]])</f>
        <v>0.60650561020245419</v>
      </c>
      <c r="M1412" s="70">
        <f>CurrentMtgRatesDataTable8[[#This Row],[Servicing Spread Non-Zero]]-L1411</f>
        <v>-6.0678894331132938E-2</v>
      </c>
      <c r="N1412" s="70">
        <f>IF(J1411&lt;&gt;0,CurrentMtgRatesDataTable8[[#This Row],[Rate]]-C1411,N1411)</f>
        <v>-6.0000000000000497E-2</v>
      </c>
    </row>
    <row r="1413" spans="1:14">
      <c r="A1413" s="67" t="s">
        <v>2765</v>
      </c>
      <c r="B1413" s="68">
        <v>4.5721462536322504</v>
      </c>
      <c r="C1413" s="69">
        <v>5.125</v>
      </c>
      <c r="D1413" s="70">
        <f t="shared" ref="D1413:D1476" si="154">WEEKDAY(A1413,14)</f>
        <v>1</v>
      </c>
      <c r="E1413" s="70">
        <f t="shared" ref="E1413:E1476" si="155">VLOOKUP(D1413,Q$5:R$11,2,FALSE)</f>
        <v>0.2</v>
      </c>
      <c r="F1413" s="70">
        <f t="shared" ref="F1413:F1476" si="156">IF(AND(D1413&gt;D1412,F1412&lt;6),F1412+1,1)</f>
        <v>1</v>
      </c>
      <c r="G1413" s="70">
        <f t="shared" ref="G1413:G1476" si="157">IF(F1413&gt;F1412,G1412+B1413*E1413,B1413*E1413)</f>
        <v>0.91442925072645009</v>
      </c>
      <c r="H1413" s="70">
        <f t="shared" ref="H1413:H1476" si="158">IF(AND(F1413&lt;6,F1413&gt;F1412),E1413+H1412,E1413)</f>
        <v>0.2</v>
      </c>
      <c r="I1413" s="70">
        <f t="shared" ref="I1413:I1476" si="159">IF(F1413&gt;F1414,1,0)</f>
        <v>0</v>
      </c>
      <c r="J1413" s="70">
        <f t="shared" ref="J1413:J1476" si="160">IF(F1413&gt;F1414,G1413/H1413,0)</f>
        <v>0</v>
      </c>
      <c r="K1413" s="70">
        <f>IF(CurrentMtgRatesDataTable8[[#This Row],[WA CC]]&lt;&gt;0,C1412-CurrentMtgRatesDataTable8[[#This Row],[WA CC]],0)</f>
        <v>0</v>
      </c>
      <c r="L1413" s="70">
        <f>IF(CurrentMtgRatesDataTable8[[#This Row],[Servicing Spread]]&lt;=0,L1412,CurrentMtgRatesDataTable8[[#This Row],[Servicing Spread]])</f>
        <v>0.60650561020245419</v>
      </c>
      <c r="M1413" s="70">
        <f>CurrentMtgRatesDataTable8[[#This Row],[Servicing Spread Non-Zero]]-L1412</f>
        <v>0</v>
      </c>
      <c r="N1413" s="70">
        <f>IF(J1412&lt;&gt;0,CurrentMtgRatesDataTable8[[#This Row],[Rate]]-C1412,N1412)</f>
        <v>6.0000000000000497E-2</v>
      </c>
    </row>
    <row r="1414" spans="1:14">
      <c r="A1414" s="67" t="s">
        <v>2766</v>
      </c>
      <c r="B1414" s="68">
        <v>4.6304839866395699</v>
      </c>
      <c r="C1414" s="69">
        <v>5.125</v>
      </c>
      <c r="D1414" s="70">
        <f t="shared" si="154"/>
        <v>2</v>
      </c>
      <c r="E1414" s="70">
        <f t="shared" si="155"/>
        <v>0.2</v>
      </c>
      <c r="F1414" s="70">
        <f t="shared" si="156"/>
        <v>2</v>
      </c>
      <c r="G1414" s="70">
        <f t="shared" si="157"/>
        <v>1.8405260480543641</v>
      </c>
      <c r="H1414" s="70">
        <f t="shared" si="158"/>
        <v>0.4</v>
      </c>
      <c r="I1414" s="70">
        <f t="shared" si="159"/>
        <v>0</v>
      </c>
      <c r="J1414" s="70">
        <f t="shared" si="160"/>
        <v>0</v>
      </c>
      <c r="K1414" s="70">
        <f>IF(CurrentMtgRatesDataTable8[[#This Row],[WA CC]]&lt;&gt;0,C1413-CurrentMtgRatesDataTable8[[#This Row],[WA CC]],0)</f>
        <v>0</v>
      </c>
      <c r="L1414" s="70">
        <f>IF(CurrentMtgRatesDataTable8[[#This Row],[Servicing Spread]]&lt;=0,L1413,CurrentMtgRatesDataTable8[[#This Row],[Servicing Spread]])</f>
        <v>0.60650561020245419</v>
      </c>
      <c r="M1414" s="70">
        <f>CurrentMtgRatesDataTable8[[#This Row],[Servicing Spread Non-Zero]]-L1413</f>
        <v>0</v>
      </c>
      <c r="N1414" s="70">
        <f>IF(J1413&lt;&gt;0,CurrentMtgRatesDataTable8[[#This Row],[Rate]]-C1413,N1413)</f>
        <v>6.0000000000000497E-2</v>
      </c>
    </row>
    <row r="1415" spans="1:14">
      <c r="A1415" s="67" t="s">
        <v>2767</v>
      </c>
      <c r="B1415" s="68">
        <v>4.5684126556630096</v>
      </c>
      <c r="C1415" s="69">
        <v>5.125</v>
      </c>
      <c r="D1415" s="70">
        <f t="shared" si="154"/>
        <v>5</v>
      </c>
      <c r="E1415" s="70">
        <f t="shared" si="155"/>
        <v>0.2</v>
      </c>
      <c r="F1415" s="70">
        <f t="shared" si="156"/>
        <v>3</v>
      </c>
      <c r="G1415" s="70">
        <f t="shared" si="157"/>
        <v>2.7542085791869662</v>
      </c>
      <c r="H1415" s="70">
        <f t="shared" si="158"/>
        <v>0.60000000000000009</v>
      </c>
      <c r="I1415" s="70">
        <f t="shared" si="159"/>
        <v>0</v>
      </c>
      <c r="J1415" s="70">
        <f t="shared" si="160"/>
        <v>0</v>
      </c>
      <c r="K1415" s="70">
        <f>IF(CurrentMtgRatesDataTable8[[#This Row],[WA CC]]&lt;&gt;0,C1414-CurrentMtgRatesDataTable8[[#This Row],[WA CC]],0)</f>
        <v>0</v>
      </c>
      <c r="L1415" s="70">
        <f>IF(CurrentMtgRatesDataTable8[[#This Row],[Servicing Spread]]&lt;=0,L1414,CurrentMtgRatesDataTable8[[#This Row],[Servicing Spread]])</f>
        <v>0.60650561020245419</v>
      </c>
      <c r="M1415" s="70">
        <f>CurrentMtgRatesDataTable8[[#This Row],[Servicing Spread Non-Zero]]-L1414</f>
        <v>0</v>
      </c>
      <c r="N1415" s="70">
        <f>IF(J1414&lt;&gt;0,CurrentMtgRatesDataTable8[[#This Row],[Rate]]-C1414,N1414)</f>
        <v>6.0000000000000497E-2</v>
      </c>
    </row>
    <row r="1416" spans="1:14">
      <c r="A1416" s="67" t="s">
        <v>2768</v>
      </c>
      <c r="B1416" s="68">
        <v>4.4450564746735504</v>
      </c>
      <c r="C1416" s="69">
        <v>5.125</v>
      </c>
      <c r="D1416" s="70">
        <f t="shared" si="154"/>
        <v>6</v>
      </c>
      <c r="E1416" s="70">
        <f t="shared" si="155"/>
        <v>0.2</v>
      </c>
      <c r="F1416" s="70">
        <f t="shared" si="156"/>
        <v>4</v>
      </c>
      <c r="G1416" s="70">
        <f t="shared" si="157"/>
        <v>3.6432198741216761</v>
      </c>
      <c r="H1416" s="70">
        <f t="shared" si="158"/>
        <v>0.8</v>
      </c>
      <c r="I1416" s="70">
        <f t="shared" si="159"/>
        <v>0</v>
      </c>
      <c r="J1416" s="70">
        <f t="shared" si="160"/>
        <v>0</v>
      </c>
      <c r="K1416" s="70">
        <f>IF(CurrentMtgRatesDataTable8[[#This Row],[WA CC]]&lt;&gt;0,C1415-CurrentMtgRatesDataTable8[[#This Row],[WA CC]],0)</f>
        <v>0</v>
      </c>
      <c r="L1416" s="70">
        <f>IF(CurrentMtgRatesDataTable8[[#This Row],[Servicing Spread]]&lt;=0,L1415,CurrentMtgRatesDataTable8[[#This Row],[Servicing Spread]])</f>
        <v>0.60650561020245419</v>
      </c>
      <c r="M1416" s="70">
        <f>CurrentMtgRatesDataTable8[[#This Row],[Servicing Spread Non-Zero]]-L1415</f>
        <v>0</v>
      </c>
      <c r="N1416" s="70">
        <f>IF(J1415&lt;&gt;0,CurrentMtgRatesDataTable8[[#This Row],[Rate]]-C1415,N1415)</f>
        <v>6.0000000000000497E-2</v>
      </c>
    </row>
    <row r="1417" spans="1:14">
      <c r="A1417" s="67" t="s">
        <v>2769</v>
      </c>
      <c r="B1417" s="68">
        <v>4.4958474326444602</v>
      </c>
      <c r="C1417" s="69">
        <v>5.125</v>
      </c>
      <c r="D1417" s="70">
        <f t="shared" si="154"/>
        <v>7</v>
      </c>
      <c r="E1417" s="70">
        <f t="shared" si="155"/>
        <v>0.2</v>
      </c>
      <c r="F1417" s="70">
        <f t="shared" si="156"/>
        <v>5</v>
      </c>
      <c r="G1417" s="70">
        <f t="shared" si="157"/>
        <v>4.5423893606505681</v>
      </c>
      <c r="H1417" s="70">
        <f t="shared" si="158"/>
        <v>1</v>
      </c>
      <c r="I1417" s="70">
        <f t="shared" si="159"/>
        <v>1</v>
      </c>
      <c r="J1417" s="70">
        <f t="shared" si="160"/>
        <v>4.5423893606505681</v>
      </c>
      <c r="K1417" s="70">
        <f>IF(CurrentMtgRatesDataTable8[[#This Row],[WA CC]]&lt;&gt;0,C1416-CurrentMtgRatesDataTable8[[#This Row],[WA CC]],0)</f>
        <v>0.58261063934943191</v>
      </c>
      <c r="L1417" s="70">
        <f>IF(CurrentMtgRatesDataTable8[[#This Row],[Servicing Spread]]&lt;=0,L1416,CurrentMtgRatesDataTable8[[#This Row],[Servicing Spread]])</f>
        <v>0.58261063934943191</v>
      </c>
      <c r="M1417" s="70">
        <f>CurrentMtgRatesDataTable8[[#This Row],[Servicing Spread Non-Zero]]-L1416</f>
        <v>-2.3894970853022279E-2</v>
      </c>
      <c r="N1417" s="70">
        <f>IF(J1416&lt;&gt;0,CurrentMtgRatesDataTable8[[#This Row],[Rate]]-C1416,N1416)</f>
        <v>6.0000000000000497E-2</v>
      </c>
    </row>
    <row r="1418" spans="1:14">
      <c r="A1418" s="67" t="s">
        <v>2770</v>
      </c>
      <c r="B1418" s="68">
        <v>4.6713719716358098</v>
      </c>
      <c r="C1418" s="69">
        <v>5.1749999999999998</v>
      </c>
      <c r="D1418" s="70">
        <f t="shared" si="154"/>
        <v>1</v>
      </c>
      <c r="E1418" s="70">
        <f t="shared" si="155"/>
        <v>0.2</v>
      </c>
      <c r="F1418" s="70">
        <f t="shared" si="156"/>
        <v>1</v>
      </c>
      <c r="G1418" s="70">
        <f t="shared" si="157"/>
        <v>0.93427439432716197</v>
      </c>
      <c r="H1418" s="70">
        <f t="shared" si="158"/>
        <v>0.2</v>
      </c>
      <c r="I1418" s="70">
        <f t="shared" si="159"/>
        <v>0</v>
      </c>
      <c r="J1418" s="70">
        <f t="shared" si="160"/>
        <v>0</v>
      </c>
      <c r="K1418" s="70">
        <f>IF(CurrentMtgRatesDataTable8[[#This Row],[WA CC]]&lt;&gt;0,C1417-CurrentMtgRatesDataTable8[[#This Row],[WA CC]],0)</f>
        <v>0</v>
      </c>
      <c r="L1418" s="70">
        <f>IF(CurrentMtgRatesDataTable8[[#This Row],[Servicing Spread]]&lt;=0,L1417,CurrentMtgRatesDataTable8[[#This Row],[Servicing Spread]])</f>
        <v>0.58261063934943191</v>
      </c>
      <c r="M1418" s="70">
        <f>CurrentMtgRatesDataTable8[[#This Row],[Servicing Spread Non-Zero]]-L1417</f>
        <v>0</v>
      </c>
      <c r="N1418" s="70">
        <f>IF(J1417&lt;&gt;0,CurrentMtgRatesDataTable8[[#This Row],[Rate]]-C1417,N1417)</f>
        <v>4.9999999999999822E-2</v>
      </c>
    </row>
    <row r="1419" spans="1:14">
      <c r="A1419" s="67" t="s">
        <v>2771</v>
      </c>
      <c r="B1419" s="68">
        <v>4.6096118243029496</v>
      </c>
      <c r="C1419" s="69">
        <v>5.1749999999999998</v>
      </c>
      <c r="D1419" s="70">
        <f t="shared" si="154"/>
        <v>2</v>
      </c>
      <c r="E1419" s="70">
        <f t="shared" si="155"/>
        <v>0.2</v>
      </c>
      <c r="F1419" s="70">
        <f t="shared" si="156"/>
        <v>2</v>
      </c>
      <c r="G1419" s="70">
        <f t="shared" si="157"/>
        <v>1.856196759187752</v>
      </c>
      <c r="H1419" s="70">
        <f t="shared" si="158"/>
        <v>0.4</v>
      </c>
      <c r="I1419" s="70">
        <f t="shared" si="159"/>
        <v>0</v>
      </c>
      <c r="J1419" s="70">
        <f t="shared" si="160"/>
        <v>0</v>
      </c>
      <c r="K1419" s="70">
        <f>IF(CurrentMtgRatesDataTable8[[#This Row],[WA CC]]&lt;&gt;0,C1418-CurrentMtgRatesDataTable8[[#This Row],[WA CC]],0)</f>
        <v>0</v>
      </c>
      <c r="L1419" s="70">
        <f>IF(CurrentMtgRatesDataTable8[[#This Row],[Servicing Spread]]&lt;=0,L1418,CurrentMtgRatesDataTable8[[#This Row],[Servicing Spread]])</f>
        <v>0.58261063934943191</v>
      </c>
      <c r="M1419" s="70">
        <f>CurrentMtgRatesDataTable8[[#This Row],[Servicing Spread Non-Zero]]-L1418</f>
        <v>0</v>
      </c>
      <c r="N1419" s="70">
        <f>IF(J1418&lt;&gt;0,CurrentMtgRatesDataTable8[[#This Row],[Rate]]-C1418,N1418)</f>
        <v>4.9999999999999822E-2</v>
      </c>
    </row>
    <row r="1420" spans="1:14">
      <c r="A1420" s="67" t="s">
        <v>2772</v>
      </c>
      <c r="B1420" s="68">
        <v>4.63863921638956</v>
      </c>
      <c r="C1420" s="69">
        <v>5.1749999999999998</v>
      </c>
      <c r="D1420" s="70">
        <f t="shared" si="154"/>
        <v>5</v>
      </c>
      <c r="E1420" s="70">
        <f t="shared" si="155"/>
        <v>0.2</v>
      </c>
      <c r="F1420" s="70">
        <f t="shared" si="156"/>
        <v>3</v>
      </c>
      <c r="G1420" s="70">
        <f t="shared" si="157"/>
        <v>2.7839246024656639</v>
      </c>
      <c r="H1420" s="70">
        <f t="shared" si="158"/>
        <v>0.60000000000000009</v>
      </c>
      <c r="I1420" s="70">
        <f t="shared" si="159"/>
        <v>0</v>
      </c>
      <c r="J1420" s="70">
        <f t="shared" si="160"/>
        <v>0</v>
      </c>
      <c r="K1420" s="70">
        <f>IF(CurrentMtgRatesDataTable8[[#This Row],[WA CC]]&lt;&gt;0,C1419-CurrentMtgRatesDataTable8[[#This Row],[WA CC]],0)</f>
        <v>0</v>
      </c>
      <c r="L1420" s="70">
        <f>IF(CurrentMtgRatesDataTable8[[#This Row],[Servicing Spread]]&lt;=0,L1419,CurrentMtgRatesDataTable8[[#This Row],[Servicing Spread]])</f>
        <v>0.58261063934943191</v>
      </c>
      <c r="M1420" s="70">
        <f>CurrentMtgRatesDataTable8[[#This Row],[Servicing Spread Non-Zero]]-L1419</f>
        <v>0</v>
      </c>
      <c r="N1420" s="70">
        <f>IF(J1419&lt;&gt;0,CurrentMtgRatesDataTable8[[#This Row],[Rate]]-C1419,N1419)</f>
        <v>4.9999999999999822E-2</v>
      </c>
    </row>
    <row r="1421" spans="1:14">
      <c r="A1421" s="67" t="s">
        <v>2773</v>
      </c>
      <c r="B1421" s="68">
        <v>4.5880604059327803</v>
      </c>
      <c r="C1421" s="69">
        <v>5.1749999999999998</v>
      </c>
      <c r="D1421" s="70">
        <f t="shared" si="154"/>
        <v>6</v>
      </c>
      <c r="E1421" s="70">
        <f t="shared" si="155"/>
        <v>0.2</v>
      </c>
      <c r="F1421" s="70">
        <f t="shared" si="156"/>
        <v>4</v>
      </c>
      <c r="G1421" s="70">
        <f t="shared" si="157"/>
        <v>3.7015366836522201</v>
      </c>
      <c r="H1421" s="70">
        <f t="shared" si="158"/>
        <v>0.8</v>
      </c>
      <c r="I1421" s="70">
        <f t="shared" si="159"/>
        <v>0</v>
      </c>
      <c r="J1421" s="70">
        <f t="shared" si="160"/>
        <v>0</v>
      </c>
      <c r="K1421" s="70">
        <f>IF(CurrentMtgRatesDataTable8[[#This Row],[WA CC]]&lt;&gt;0,C1420-CurrentMtgRatesDataTable8[[#This Row],[WA CC]],0)</f>
        <v>0</v>
      </c>
      <c r="L1421" s="70">
        <f>IF(CurrentMtgRatesDataTable8[[#This Row],[Servicing Spread]]&lt;=0,L1420,CurrentMtgRatesDataTable8[[#This Row],[Servicing Spread]])</f>
        <v>0.58261063934943191</v>
      </c>
      <c r="M1421" s="70">
        <f>CurrentMtgRatesDataTable8[[#This Row],[Servicing Spread Non-Zero]]-L1420</f>
        <v>0</v>
      </c>
      <c r="N1421" s="70">
        <f>IF(J1420&lt;&gt;0,CurrentMtgRatesDataTable8[[#This Row],[Rate]]-C1420,N1420)</f>
        <v>4.9999999999999822E-2</v>
      </c>
    </row>
    <row r="1422" spans="1:14">
      <c r="A1422" s="67" t="s">
        <v>2774</v>
      </c>
      <c r="B1422" s="68">
        <v>4.5456448076002696</v>
      </c>
      <c r="C1422" s="69">
        <v>5.1749999999999998</v>
      </c>
      <c r="D1422" s="70">
        <f t="shared" si="154"/>
        <v>7</v>
      </c>
      <c r="E1422" s="70">
        <f t="shared" si="155"/>
        <v>0.2</v>
      </c>
      <c r="F1422" s="70">
        <f t="shared" si="156"/>
        <v>5</v>
      </c>
      <c r="G1422" s="70">
        <f t="shared" si="157"/>
        <v>4.6106656451722738</v>
      </c>
      <c r="H1422" s="70">
        <f t="shared" si="158"/>
        <v>1</v>
      </c>
      <c r="I1422" s="70">
        <f t="shared" si="159"/>
        <v>1</v>
      </c>
      <c r="J1422" s="70">
        <f t="shared" si="160"/>
        <v>4.6106656451722738</v>
      </c>
      <c r="K1422" s="70">
        <f>IF(CurrentMtgRatesDataTable8[[#This Row],[WA CC]]&lt;&gt;0,C1421-CurrentMtgRatesDataTable8[[#This Row],[WA CC]],0)</f>
        <v>0.56433435482772598</v>
      </c>
      <c r="L1422" s="70">
        <f>IF(CurrentMtgRatesDataTable8[[#This Row],[Servicing Spread]]&lt;=0,L1421,CurrentMtgRatesDataTable8[[#This Row],[Servicing Spread]])</f>
        <v>0.56433435482772598</v>
      </c>
      <c r="M1422" s="70">
        <f>CurrentMtgRatesDataTable8[[#This Row],[Servicing Spread Non-Zero]]-L1421</f>
        <v>-1.8276284521705932E-2</v>
      </c>
      <c r="N1422" s="70">
        <f>IF(J1421&lt;&gt;0,CurrentMtgRatesDataTable8[[#This Row],[Rate]]-C1421,N1421)</f>
        <v>4.9999999999999822E-2</v>
      </c>
    </row>
    <row r="1423" spans="1:14">
      <c r="A1423" s="67" t="s">
        <v>2775</v>
      </c>
      <c r="B1423" s="68">
        <v>4.54111441805032</v>
      </c>
      <c r="C1423" s="69">
        <v>5.12</v>
      </c>
      <c r="D1423" s="70">
        <f t="shared" si="154"/>
        <v>1</v>
      </c>
      <c r="E1423" s="70">
        <f t="shared" si="155"/>
        <v>0.2</v>
      </c>
      <c r="F1423" s="70">
        <f t="shared" si="156"/>
        <v>1</v>
      </c>
      <c r="G1423" s="70">
        <f t="shared" si="157"/>
        <v>0.90822288361006409</v>
      </c>
      <c r="H1423" s="70">
        <f t="shared" si="158"/>
        <v>0.2</v>
      </c>
      <c r="I1423" s="70">
        <f t="shared" si="159"/>
        <v>0</v>
      </c>
      <c r="J1423" s="70">
        <f t="shared" si="160"/>
        <v>0</v>
      </c>
      <c r="K1423" s="70">
        <f>IF(CurrentMtgRatesDataTable8[[#This Row],[WA CC]]&lt;&gt;0,C1422-CurrentMtgRatesDataTable8[[#This Row],[WA CC]],0)</f>
        <v>0</v>
      </c>
      <c r="L1423" s="70">
        <f>IF(CurrentMtgRatesDataTable8[[#This Row],[Servicing Spread]]&lt;=0,L1422,CurrentMtgRatesDataTable8[[#This Row],[Servicing Spread]])</f>
        <v>0.56433435482772598</v>
      </c>
      <c r="M1423" s="70">
        <f>CurrentMtgRatesDataTable8[[#This Row],[Servicing Spread Non-Zero]]-L1422</f>
        <v>0</v>
      </c>
      <c r="N1423" s="70">
        <f>IF(J1422&lt;&gt;0,CurrentMtgRatesDataTable8[[#This Row],[Rate]]-C1422,N1422)</f>
        <v>-5.4999999999999716E-2</v>
      </c>
    </row>
    <row r="1424" spans="1:14">
      <c r="A1424" s="67" t="s">
        <v>2776</v>
      </c>
      <c r="B1424" s="68">
        <v>4.3966180199050102</v>
      </c>
      <c r="C1424" s="69">
        <v>5.12</v>
      </c>
      <c r="D1424" s="70">
        <f t="shared" si="154"/>
        <v>2</v>
      </c>
      <c r="E1424" s="70">
        <f t="shared" si="155"/>
        <v>0.2</v>
      </c>
      <c r="F1424" s="70">
        <f t="shared" si="156"/>
        <v>2</v>
      </c>
      <c r="G1424" s="70">
        <f t="shared" si="157"/>
        <v>1.787546487591066</v>
      </c>
      <c r="H1424" s="70">
        <f t="shared" si="158"/>
        <v>0.4</v>
      </c>
      <c r="I1424" s="70">
        <f t="shared" si="159"/>
        <v>0</v>
      </c>
      <c r="J1424" s="70">
        <f t="shared" si="160"/>
        <v>0</v>
      </c>
      <c r="K1424" s="70">
        <f>IF(CurrentMtgRatesDataTable8[[#This Row],[WA CC]]&lt;&gt;0,C1423-CurrentMtgRatesDataTable8[[#This Row],[WA CC]],0)</f>
        <v>0</v>
      </c>
      <c r="L1424" s="70">
        <f>IF(CurrentMtgRatesDataTable8[[#This Row],[Servicing Spread]]&lt;=0,L1423,CurrentMtgRatesDataTable8[[#This Row],[Servicing Spread]])</f>
        <v>0.56433435482772598</v>
      </c>
      <c r="M1424" s="70">
        <f>CurrentMtgRatesDataTable8[[#This Row],[Servicing Spread Non-Zero]]-L1423</f>
        <v>0</v>
      </c>
      <c r="N1424" s="70">
        <f>IF(J1423&lt;&gt;0,CurrentMtgRatesDataTable8[[#This Row],[Rate]]-C1423,N1423)</f>
        <v>-5.4999999999999716E-2</v>
      </c>
    </row>
    <row r="1425" spans="1:14">
      <c r="A1425" s="67" t="s">
        <v>2777</v>
      </c>
      <c r="B1425" s="68">
        <v>4.5200238311858598</v>
      </c>
      <c r="C1425" s="69">
        <v>5.12</v>
      </c>
      <c r="D1425" s="70">
        <f t="shared" si="154"/>
        <v>5</v>
      </c>
      <c r="E1425" s="70">
        <f t="shared" si="155"/>
        <v>0.2</v>
      </c>
      <c r="F1425" s="70">
        <f t="shared" si="156"/>
        <v>3</v>
      </c>
      <c r="G1425" s="70">
        <f t="shared" si="157"/>
        <v>2.691551253828238</v>
      </c>
      <c r="H1425" s="70">
        <f t="shared" si="158"/>
        <v>0.60000000000000009</v>
      </c>
      <c r="I1425" s="70">
        <f t="shared" si="159"/>
        <v>0</v>
      </c>
      <c r="J1425" s="70">
        <f t="shared" si="160"/>
        <v>0</v>
      </c>
      <c r="K1425" s="70">
        <f>IF(CurrentMtgRatesDataTable8[[#This Row],[WA CC]]&lt;&gt;0,C1424-CurrentMtgRatesDataTable8[[#This Row],[WA CC]],0)</f>
        <v>0</v>
      </c>
      <c r="L1425" s="70">
        <f>IF(CurrentMtgRatesDataTable8[[#This Row],[Servicing Spread]]&lt;=0,L1424,CurrentMtgRatesDataTable8[[#This Row],[Servicing Spread]])</f>
        <v>0.56433435482772598</v>
      </c>
      <c r="M1425" s="70">
        <f>CurrentMtgRatesDataTable8[[#This Row],[Servicing Spread Non-Zero]]-L1424</f>
        <v>0</v>
      </c>
      <c r="N1425" s="70">
        <f>IF(J1424&lt;&gt;0,CurrentMtgRatesDataTable8[[#This Row],[Rate]]-C1424,N1424)</f>
        <v>-5.4999999999999716E-2</v>
      </c>
    </row>
    <row r="1426" spans="1:14">
      <c r="A1426" s="67" t="s">
        <v>2778</v>
      </c>
      <c r="B1426" s="68">
        <v>4.5781811389704599</v>
      </c>
      <c r="C1426" s="69">
        <v>5.12</v>
      </c>
      <c r="D1426" s="70">
        <f t="shared" si="154"/>
        <v>6</v>
      </c>
      <c r="E1426" s="70">
        <f t="shared" si="155"/>
        <v>0.2</v>
      </c>
      <c r="F1426" s="70">
        <f t="shared" si="156"/>
        <v>4</v>
      </c>
      <c r="G1426" s="70">
        <f t="shared" si="157"/>
        <v>3.6071874816223302</v>
      </c>
      <c r="H1426" s="70">
        <f t="shared" si="158"/>
        <v>0.8</v>
      </c>
      <c r="I1426" s="70">
        <f t="shared" si="159"/>
        <v>0</v>
      </c>
      <c r="J1426" s="70">
        <f t="shared" si="160"/>
        <v>0</v>
      </c>
      <c r="K1426" s="70">
        <f>IF(CurrentMtgRatesDataTable8[[#This Row],[WA CC]]&lt;&gt;0,C1425-CurrentMtgRatesDataTable8[[#This Row],[WA CC]],0)</f>
        <v>0</v>
      </c>
      <c r="L1426" s="70">
        <f>IF(CurrentMtgRatesDataTable8[[#This Row],[Servicing Spread]]&lt;=0,L1425,CurrentMtgRatesDataTable8[[#This Row],[Servicing Spread]])</f>
        <v>0.56433435482772598</v>
      </c>
      <c r="M1426" s="70">
        <f>CurrentMtgRatesDataTable8[[#This Row],[Servicing Spread Non-Zero]]-L1425</f>
        <v>0</v>
      </c>
      <c r="N1426" s="70">
        <f>IF(J1425&lt;&gt;0,CurrentMtgRatesDataTable8[[#This Row],[Rate]]-C1425,N1425)</f>
        <v>-5.4999999999999716E-2</v>
      </c>
    </row>
    <row r="1427" spans="1:14">
      <c r="A1427" s="67" t="s">
        <v>2779</v>
      </c>
      <c r="B1427" s="68">
        <v>4.69170438695099</v>
      </c>
      <c r="C1427" s="69">
        <v>5.12</v>
      </c>
      <c r="D1427" s="70">
        <f t="shared" si="154"/>
        <v>7</v>
      </c>
      <c r="E1427" s="70">
        <f t="shared" si="155"/>
        <v>0.2</v>
      </c>
      <c r="F1427" s="70">
        <f t="shared" si="156"/>
        <v>5</v>
      </c>
      <c r="G1427" s="70">
        <f t="shared" si="157"/>
        <v>4.5455283590125282</v>
      </c>
      <c r="H1427" s="70">
        <f t="shared" si="158"/>
        <v>1</v>
      </c>
      <c r="I1427" s="70">
        <f t="shared" si="159"/>
        <v>1</v>
      </c>
      <c r="J1427" s="70">
        <f t="shared" si="160"/>
        <v>4.5455283590125282</v>
      </c>
      <c r="K1427" s="70">
        <f>IF(CurrentMtgRatesDataTable8[[#This Row],[WA CC]]&lt;&gt;0,C1426-CurrentMtgRatesDataTable8[[#This Row],[WA CC]],0)</f>
        <v>0.57447164098747194</v>
      </c>
      <c r="L1427" s="70">
        <f>IF(CurrentMtgRatesDataTable8[[#This Row],[Servicing Spread]]&lt;=0,L1426,CurrentMtgRatesDataTable8[[#This Row],[Servicing Spread]])</f>
        <v>0.57447164098747194</v>
      </c>
      <c r="M1427" s="70">
        <f>CurrentMtgRatesDataTable8[[#This Row],[Servicing Spread Non-Zero]]-L1426</f>
        <v>1.0137286159745962E-2</v>
      </c>
      <c r="N1427" s="70">
        <f>IF(J1426&lt;&gt;0,CurrentMtgRatesDataTable8[[#This Row],[Rate]]-C1426,N1426)</f>
        <v>-5.4999999999999716E-2</v>
      </c>
    </row>
    <row r="1428" spans="1:14">
      <c r="A1428" s="67" t="s">
        <v>2780</v>
      </c>
      <c r="B1428" s="68">
        <v>4.7088204691244897</v>
      </c>
      <c r="C1428" s="69">
        <v>5.2149999999999999</v>
      </c>
      <c r="D1428" s="70">
        <f t="shared" si="154"/>
        <v>1</v>
      </c>
      <c r="E1428" s="70">
        <f t="shared" si="155"/>
        <v>0.2</v>
      </c>
      <c r="F1428" s="70">
        <f t="shared" si="156"/>
        <v>1</v>
      </c>
      <c r="G1428" s="70">
        <f t="shared" si="157"/>
        <v>0.94176409382489801</v>
      </c>
      <c r="H1428" s="70">
        <f t="shared" si="158"/>
        <v>0.2</v>
      </c>
      <c r="I1428" s="70">
        <f t="shared" si="159"/>
        <v>0</v>
      </c>
      <c r="J1428" s="70">
        <f t="shared" si="160"/>
        <v>0</v>
      </c>
      <c r="K1428" s="70">
        <f>IF(CurrentMtgRatesDataTable8[[#This Row],[WA CC]]&lt;&gt;0,C1427-CurrentMtgRatesDataTable8[[#This Row],[WA CC]],0)</f>
        <v>0</v>
      </c>
      <c r="L1428" s="70">
        <f>IF(CurrentMtgRatesDataTable8[[#This Row],[Servicing Spread]]&lt;=0,L1427,CurrentMtgRatesDataTable8[[#This Row],[Servicing Spread]])</f>
        <v>0.57447164098747194</v>
      </c>
      <c r="M1428" s="70">
        <f>CurrentMtgRatesDataTable8[[#This Row],[Servicing Spread Non-Zero]]-L1427</f>
        <v>0</v>
      </c>
      <c r="N1428" s="70">
        <f>IF(J1427&lt;&gt;0,CurrentMtgRatesDataTable8[[#This Row],[Rate]]-C1427,N1427)</f>
        <v>9.4999999999999751E-2</v>
      </c>
    </row>
    <row r="1429" spans="1:14">
      <c r="A1429" s="67" t="s">
        <v>2781</v>
      </c>
      <c r="B1429" s="68">
        <v>4.8023291340184597</v>
      </c>
      <c r="C1429" s="69">
        <v>5.2149999999999999</v>
      </c>
      <c r="D1429" s="70">
        <f t="shared" si="154"/>
        <v>2</v>
      </c>
      <c r="E1429" s="70">
        <f t="shared" si="155"/>
        <v>0.2</v>
      </c>
      <c r="F1429" s="70">
        <f t="shared" si="156"/>
        <v>2</v>
      </c>
      <c r="G1429" s="70">
        <f t="shared" si="157"/>
        <v>1.90222992062859</v>
      </c>
      <c r="H1429" s="70">
        <f t="shared" si="158"/>
        <v>0.4</v>
      </c>
      <c r="I1429" s="70">
        <f t="shared" si="159"/>
        <v>0</v>
      </c>
      <c r="J1429" s="70">
        <f t="shared" si="160"/>
        <v>0</v>
      </c>
      <c r="K1429" s="70">
        <f>IF(CurrentMtgRatesDataTable8[[#This Row],[WA CC]]&lt;&gt;0,C1428-CurrentMtgRatesDataTable8[[#This Row],[WA CC]],0)</f>
        <v>0</v>
      </c>
      <c r="L1429" s="70">
        <f>IF(CurrentMtgRatesDataTable8[[#This Row],[Servicing Spread]]&lt;=0,L1428,CurrentMtgRatesDataTable8[[#This Row],[Servicing Spread]])</f>
        <v>0.57447164098747194</v>
      </c>
      <c r="M1429" s="70">
        <f>CurrentMtgRatesDataTable8[[#This Row],[Servicing Spread Non-Zero]]-L1428</f>
        <v>0</v>
      </c>
      <c r="N1429" s="70">
        <f>IF(J1428&lt;&gt;0,CurrentMtgRatesDataTable8[[#This Row],[Rate]]-C1428,N1428)</f>
        <v>9.4999999999999751E-2</v>
      </c>
    </row>
    <row r="1430" spans="1:14">
      <c r="A1430" s="67" t="s">
        <v>2782</v>
      </c>
      <c r="B1430" s="68">
        <v>4.6941420395</v>
      </c>
      <c r="C1430" s="69">
        <v>5.2149999999999999</v>
      </c>
      <c r="D1430" s="70">
        <f t="shared" si="154"/>
        <v>5</v>
      </c>
      <c r="E1430" s="70">
        <f t="shared" si="155"/>
        <v>0.2</v>
      </c>
      <c r="F1430" s="70">
        <f t="shared" si="156"/>
        <v>3</v>
      </c>
      <c r="G1430" s="70">
        <f t="shared" si="157"/>
        <v>2.84105832852859</v>
      </c>
      <c r="H1430" s="70">
        <f t="shared" si="158"/>
        <v>0.60000000000000009</v>
      </c>
      <c r="I1430" s="70">
        <f t="shared" si="159"/>
        <v>0</v>
      </c>
      <c r="J1430" s="70">
        <f t="shared" si="160"/>
        <v>0</v>
      </c>
      <c r="K1430" s="70">
        <f>IF(CurrentMtgRatesDataTable8[[#This Row],[WA CC]]&lt;&gt;0,C1429-CurrentMtgRatesDataTable8[[#This Row],[WA CC]],0)</f>
        <v>0</v>
      </c>
      <c r="L1430" s="70">
        <f>IF(CurrentMtgRatesDataTable8[[#This Row],[Servicing Spread]]&lt;=0,L1429,CurrentMtgRatesDataTable8[[#This Row],[Servicing Spread]])</f>
        <v>0.57447164098747194</v>
      </c>
      <c r="M1430" s="70">
        <f>CurrentMtgRatesDataTable8[[#This Row],[Servicing Spread Non-Zero]]-L1429</f>
        <v>0</v>
      </c>
      <c r="N1430" s="70">
        <f>IF(J1429&lt;&gt;0,CurrentMtgRatesDataTable8[[#This Row],[Rate]]-C1429,N1429)</f>
        <v>9.4999999999999751E-2</v>
      </c>
    </row>
    <row r="1431" spans="1:14">
      <c r="A1431" s="67" t="s">
        <v>2783</v>
      </c>
      <c r="B1431" s="68">
        <v>4.6274021600222</v>
      </c>
      <c r="C1431" s="69">
        <v>5.2149999999999999</v>
      </c>
      <c r="D1431" s="70">
        <f t="shared" si="154"/>
        <v>6</v>
      </c>
      <c r="E1431" s="70">
        <f t="shared" si="155"/>
        <v>0.2</v>
      </c>
      <c r="F1431" s="70">
        <f t="shared" si="156"/>
        <v>4</v>
      </c>
      <c r="G1431" s="70">
        <f t="shared" si="157"/>
        <v>3.7665387605330301</v>
      </c>
      <c r="H1431" s="70">
        <f t="shared" si="158"/>
        <v>0.8</v>
      </c>
      <c r="I1431" s="70">
        <f t="shared" si="159"/>
        <v>0</v>
      </c>
      <c r="J1431" s="70">
        <f t="shared" si="160"/>
        <v>0</v>
      </c>
      <c r="K1431" s="70">
        <f>IF(CurrentMtgRatesDataTable8[[#This Row],[WA CC]]&lt;&gt;0,C1430-CurrentMtgRatesDataTable8[[#This Row],[WA CC]],0)</f>
        <v>0</v>
      </c>
      <c r="L1431" s="70">
        <f>IF(CurrentMtgRatesDataTable8[[#This Row],[Servicing Spread]]&lt;=0,L1430,CurrentMtgRatesDataTable8[[#This Row],[Servicing Spread]])</f>
        <v>0.57447164098747194</v>
      </c>
      <c r="M1431" s="70">
        <f>CurrentMtgRatesDataTable8[[#This Row],[Servicing Spread Non-Zero]]-L1430</f>
        <v>0</v>
      </c>
      <c r="N1431" s="70">
        <f>IF(J1430&lt;&gt;0,CurrentMtgRatesDataTable8[[#This Row],[Rate]]-C1430,N1430)</f>
        <v>9.4999999999999751E-2</v>
      </c>
    </row>
    <row r="1432" spans="1:14">
      <c r="A1432" s="67" t="s">
        <v>2784</v>
      </c>
      <c r="B1432" s="68">
        <v>4.63628090103954</v>
      </c>
      <c r="C1432" s="69">
        <v>5.2149999999999999</v>
      </c>
      <c r="D1432" s="70">
        <f t="shared" si="154"/>
        <v>7</v>
      </c>
      <c r="E1432" s="70">
        <f t="shared" si="155"/>
        <v>0.2</v>
      </c>
      <c r="F1432" s="70">
        <f t="shared" si="156"/>
        <v>5</v>
      </c>
      <c r="G1432" s="70">
        <f t="shared" si="157"/>
        <v>4.6937949407409381</v>
      </c>
      <c r="H1432" s="70">
        <f t="shared" si="158"/>
        <v>1</v>
      </c>
      <c r="I1432" s="70">
        <f t="shared" si="159"/>
        <v>1</v>
      </c>
      <c r="J1432" s="70">
        <f t="shared" si="160"/>
        <v>4.6937949407409381</v>
      </c>
      <c r="K1432" s="70">
        <f>IF(CurrentMtgRatesDataTable8[[#This Row],[WA CC]]&lt;&gt;0,C1431-CurrentMtgRatesDataTable8[[#This Row],[WA CC]],0)</f>
        <v>0.5212050592590618</v>
      </c>
      <c r="L1432" s="70">
        <f>IF(CurrentMtgRatesDataTable8[[#This Row],[Servicing Spread]]&lt;=0,L1431,CurrentMtgRatesDataTable8[[#This Row],[Servicing Spread]])</f>
        <v>0.5212050592590618</v>
      </c>
      <c r="M1432" s="70">
        <f>CurrentMtgRatesDataTable8[[#This Row],[Servicing Spread Non-Zero]]-L1431</f>
        <v>-5.3266581728410145E-2</v>
      </c>
      <c r="N1432" s="70">
        <f>IF(J1431&lt;&gt;0,CurrentMtgRatesDataTable8[[#This Row],[Rate]]-C1431,N1431)</f>
        <v>9.4999999999999751E-2</v>
      </c>
    </row>
    <row r="1433" spans="1:14">
      <c r="A1433" s="67" t="s">
        <v>2785</v>
      </c>
      <c r="B1433" s="68">
        <v>4.5270636921351999</v>
      </c>
      <c r="C1433" s="69">
        <v>5.0449999999999999</v>
      </c>
      <c r="D1433" s="70">
        <f t="shared" si="154"/>
        <v>1</v>
      </c>
      <c r="E1433" s="70">
        <f t="shared" si="155"/>
        <v>0.2</v>
      </c>
      <c r="F1433" s="70">
        <f t="shared" si="156"/>
        <v>1</v>
      </c>
      <c r="G1433" s="70">
        <f t="shared" si="157"/>
        <v>0.90541273842704006</v>
      </c>
      <c r="H1433" s="70">
        <f t="shared" si="158"/>
        <v>0.2</v>
      </c>
      <c r="I1433" s="70">
        <f t="shared" si="159"/>
        <v>0</v>
      </c>
      <c r="J1433" s="70">
        <f t="shared" si="160"/>
        <v>0</v>
      </c>
      <c r="K1433" s="70">
        <f>IF(CurrentMtgRatesDataTable8[[#This Row],[WA CC]]&lt;&gt;0,C1432-CurrentMtgRatesDataTable8[[#This Row],[WA CC]],0)</f>
        <v>0</v>
      </c>
      <c r="L1433" s="70">
        <f>IF(CurrentMtgRatesDataTable8[[#This Row],[Servicing Spread]]&lt;=0,L1432,CurrentMtgRatesDataTable8[[#This Row],[Servicing Spread]])</f>
        <v>0.5212050592590618</v>
      </c>
      <c r="M1433" s="70">
        <f>CurrentMtgRatesDataTable8[[#This Row],[Servicing Spread Non-Zero]]-L1432</f>
        <v>0</v>
      </c>
      <c r="N1433" s="70">
        <f>IF(J1432&lt;&gt;0,CurrentMtgRatesDataTable8[[#This Row],[Rate]]-C1432,N1432)</f>
        <v>-0.16999999999999993</v>
      </c>
    </row>
    <row r="1434" spans="1:14">
      <c r="A1434" s="67" t="s">
        <v>2786</v>
      </c>
      <c r="B1434" s="68">
        <v>4.4905768064664304</v>
      </c>
      <c r="C1434" s="69">
        <v>5.0449999999999999</v>
      </c>
      <c r="D1434" s="70">
        <f t="shared" si="154"/>
        <v>2</v>
      </c>
      <c r="E1434" s="70">
        <f t="shared" si="155"/>
        <v>0.2</v>
      </c>
      <c r="F1434" s="70">
        <f t="shared" si="156"/>
        <v>2</v>
      </c>
      <c r="G1434" s="70">
        <f t="shared" si="157"/>
        <v>1.8035280997203262</v>
      </c>
      <c r="H1434" s="70">
        <f t="shared" si="158"/>
        <v>0.4</v>
      </c>
      <c r="I1434" s="70">
        <f t="shared" si="159"/>
        <v>0</v>
      </c>
      <c r="J1434" s="70">
        <f t="shared" si="160"/>
        <v>0</v>
      </c>
      <c r="K1434" s="70">
        <f>IF(CurrentMtgRatesDataTable8[[#This Row],[WA CC]]&lt;&gt;0,C1433-CurrentMtgRatesDataTable8[[#This Row],[WA CC]],0)</f>
        <v>0</v>
      </c>
      <c r="L1434" s="70">
        <f>IF(CurrentMtgRatesDataTable8[[#This Row],[Servicing Spread]]&lt;=0,L1433,CurrentMtgRatesDataTable8[[#This Row],[Servicing Spread]])</f>
        <v>0.5212050592590618</v>
      </c>
      <c r="M1434" s="70">
        <f>CurrentMtgRatesDataTable8[[#This Row],[Servicing Spread Non-Zero]]-L1433</f>
        <v>0</v>
      </c>
      <c r="N1434" s="70">
        <f>IF(J1433&lt;&gt;0,CurrentMtgRatesDataTable8[[#This Row],[Rate]]-C1433,N1433)</f>
        <v>-0.16999999999999993</v>
      </c>
    </row>
    <row r="1435" spans="1:14">
      <c r="A1435" s="67" t="s">
        <v>2787</v>
      </c>
      <c r="B1435" s="68">
        <v>4.4661577062572499</v>
      </c>
      <c r="C1435" s="69">
        <v>5.0449999999999999</v>
      </c>
      <c r="D1435" s="70">
        <f t="shared" si="154"/>
        <v>5</v>
      </c>
      <c r="E1435" s="70">
        <f t="shared" si="155"/>
        <v>0.2</v>
      </c>
      <c r="F1435" s="70">
        <f t="shared" si="156"/>
        <v>3</v>
      </c>
      <c r="G1435" s="70">
        <f t="shared" si="157"/>
        <v>2.6967596409717762</v>
      </c>
      <c r="H1435" s="70">
        <f t="shared" si="158"/>
        <v>0.60000000000000009</v>
      </c>
      <c r="I1435" s="70">
        <f t="shared" si="159"/>
        <v>0</v>
      </c>
      <c r="J1435" s="70">
        <f t="shared" si="160"/>
        <v>0</v>
      </c>
      <c r="K1435" s="70">
        <f>IF(CurrentMtgRatesDataTable8[[#This Row],[WA CC]]&lt;&gt;0,C1434-CurrentMtgRatesDataTable8[[#This Row],[WA CC]],0)</f>
        <v>0</v>
      </c>
      <c r="L1435" s="70">
        <f>IF(CurrentMtgRatesDataTable8[[#This Row],[Servicing Spread]]&lt;=0,L1434,CurrentMtgRatesDataTable8[[#This Row],[Servicing Spread]])</f>
        <v>0.5212050592590618</v>
      </c>
      <c r="M1435" s="70">
        <f>CurrentMtgRatesDataTable8[[#This Row],[Servicing Spread Non-Zero]]-L1434</f>
        <v>0</v>
      </c>
      <c r="N1435" s="70">
        <f>IF(J1434&lt;&gt;0,CurrentMtgRatesDataTable8[[#This Row],[Rate]]-C1434,N1434)</f>
        <v>-0.16999999999999993</v>
      </c>
    </row>
    <row r="1436" spans="1:14">
      <c r="A1436" s="67" t="s">
        <v>2788</v>
      </c>
      <c r="B1436" s="68">
        <v>4.5086621780802796</v>
      </c>
      <c r="C1436" s="69">
        <v>5.0449999999999999</v>
      </c>
      <c r="D1436" s="70">
        <f t="shared" si="154"/>
        <v>6</v>
      </c>
      <c r="E1436" s="70">
        <f t="shared" si="155"/>
        <v>0.2</v>
      </c>
      <c r="F1436" s="70">
        <f t="shared" si="156"/>
        <v>4</v>
      </c>
      <c r="G1436" s="70">
        <f t="shared" si="157"/>
        <v>3.5984920765878323</v>
      </c>
      <c r="H1436" s="70">
        <f t="shared" si="158"/>
        <v>0.8</v>
      </c>
      <c r="I1436" s="70">
        <f t="shared" si="159"/>
        <v>0</v>
      </c>
      <c r="J1436" s="70">
        <f t="shared" si="160"/>
        <v>0</v>
      </c>
      <c r="K1436" s="70">
        <f>IF(CurrentMtgRatesDataTable8[[#This Row],[WA CC]]&lt;&gt;0,C1435-CurrentMtgRatesDataTable8[[#This Row],[WA CC]],0)</f>
        <v>0</v>
      </c>
      <c r="L1436" s="70">
        <f>IF(CurrentMtgRatesDataTable8[[#This Row],[Servicing Spread]]&lt;=0,L1435,CurrentMtgRatesDataTable8[[#This Row],[Servicing Spread]])</f>
        <v>0.5212050592590618</v>
      </c>
      <c r="M1436" s="70">
        <f>CurrentMtgRatesDataTable8[[#This Row],[Servicing Spread Non-Zero]]-L1435</f>
        <v>0</v>
      </c>
      <c r="N1436" s="70">
        <f>IF(J1435&lt;&gt;0,CurrentMtgRatesDataTable8[[#This Row],[Rate]]-C1435,N1435)</f>
        <v>-0.16999999999999993</v>
      </c>
    </row>
    <row r="1437" spans="1:14">
      <c r="A1437" s="67" t="s">
        <v>2789</v>
      </c>
      <c r="B1437" s="68">
        <v>4.4772482198843999</v>
      </c>
      <c r="C1437" s="69">
        <v>5.0449999999999999</v>
      </c>
      <c r="D1437" s="70">
        <f t="shared" si="154"/>
        <v>7</v>
      </c>
      <c r="E1437" s="70">
        <f t="shared" si="155"/>
        <v>0.2</v>
      </c>
      <c r="F1437" s="70">
        <f t="shared" si="156"/>
        <v>5</v>
      </c>
      <c r="G1437" s="70">
        <f t="shared" si="157"/>
        <v>4.4939417205647123</v>
      </c>
      <c r="H1437" s="70">
        <f t="shared" si="158"/>
        <v>1</v>
      </c>
      <c r="I1437" s="70">
        <f t="shared" si="159"/>
        <v>1</v>
      </c>
      <c r="J1437" s="70">
        <f t="shared" si="160"/>
        <v>4.4939417205647123</v>
      </c>
      <c r="K1437" s="70">
        <f>IF(CurrentMtgRatesDataTable8[[#This Row],[WA CC]]&lt;&gt;0,C1436-CurrentMtgRatesDataTable8[[#This Row],[WA CC]],0)</f>
        <v>0.55105827943528762</v>
      </c>
      <c r="L1437" s="70">
        <f>IF(CurrentMtgRatesDataTable8[[#This Row],[Servicing Spread]]&lt;=0,L1436,CurrentMtgRatesDataTable8[[#This Row],[Servicing Spread]])</f>
        <v>0.55105827943528762</v>
      </c>
      <c r="M1437" s="70">
        <f>CurrentMtgRatesDataTable8[[#This Row],[Servicing Spread Non-Zero]]-L1436</f>
        <v>2.9853220176225825E-2</v>
      </c>
      <c r="N1437" s="70">
        <f>IF(J1436&lt;&gt;0,CurrentMtgRatesDataTable8[[#This Row],[Rate]]-C1436,N1436)</f>
        <v>-0.16999999999999993</v>
      </c>
    </row>
    <row r="1438" spans="1:14">
      <c r="A1438" s="67" t="s">
        <v>2790</v>
      </c>
      <c r="B1438" s="68">
        <v>4.4468130329155198</v>
      </c>
      <c r="C1438" s="69">
        <v>5.0649999999999995</v>
      </c>
      <c r="D1438" s="70">
        <f t="shared" si="154"/>
        <v>1</v>
      </c>
      <c r="E1438" s="70">
        <f t="shared" si="155"/>
        <v>0.2</v>
      </c>
      <c r="F1438" s="70">
        <f t="shared" si="156"/>
        <v>1</v>
      </c>
      <c r="G1438" s="70">
        <f t="shared" si="157"/>
        <v>0.88936260658310395</v>
      </c>
      <c r="H1438" s="70">
        <f t="shared" si="158"/>
        <v>0.2</v>
      </c>
      <c r="I1438" s="70">
        <f t="shared" si="159"/>
        <v>0</v>
      </c>
      <c r="J1438" s="70">
        <f t="shared" si="160"/>
        <v>0</v>
      </c>
      <c r="K1438" s="70">
        <f>IF(CurrentMtgRatesDataTable8[[#This Row],[WA CC]]&lt;&gt;0,C1437-CurrentMtgRatesDataTable8[[#This Row],[WA CC]],0)</f>
        <v>0</v>
      </c>
      <c r="L1438" s="70">
        <f>IF(CurrentMtgRatesDataTable8[[#This Row],[Servicing Spread]]&lt;=0,L1437,CurrentMtgRatesDataTable8[[#This Row],[Servicing Spread]])</f>
        <v>0.55105827943528762</v>
      </c>
      <c r="M1438" s="70">
        <f>CurrentMtgRatesDataTable8[[#This Row],[Servicing Spread Non-Zero]]-L1437</f>
        <v>0</v>
      </c>
      <c r="N1438" s="70">
        <f>IF(J1437&lt;&gt;0,CurrentMtgRatesDataTable8[[#This Row],[Rate]]-C1437,N1437)</f>
        <v>1.9999999999999574E-2</v>
      </c>
    </row>
    <row r="1439" spans="1:14">
      <c r="A1439" s="67" t="s">
        <v>2791</v>
      </c>
      <c r="B1439" s="68">
        <v>4.5218268263556496</v>
      </c>
      <c r="C1439" s="69">
        <v>5.0649999999999995</v>
      </c>
      <c r="D1439" s="70">
        <f t="shared" si="154"/>
        <v>2</v>
      </c>
      <c r="E1439" s="70">
        <f t="shared" si="155"/>
        <v>0.2</v>
      </c>
      <c r="F1439" s="70">
        <f t="shared" si="156"/>
        <v>2</v>
      </c>
      <c r="G1439" s="70">
        <f t="shared" si="157"/>
        <v>1.793727971854234</v>
      </c>
      <c r="H1439" s="70">
        <f t="shared" si="158"/>
        <v>0.4</v>
      </c>
      <c r="I1439" s="70">
        <f t="shared" si="159"/>
        <v>0</v>
      </c>
      <c r="J1439" s="70">
        <f t="shared" si="160"/>
        <v>0</v>
      </c>
      <c r="K1439" s="70">
        <f>IF(CurrentMtgRatesDataTable8[[#This Row],[WA CC]]&lt;&gt;0,C1438-CurrentMtgRatesDataTable8[[#This Row],[WA CC]],0)</f>
        <v>0</v>
      </c>
      <c r="L1439" s="70">
        <f>IF(CurrentMtgRatesDataTable8[[#This Row],[Servicing Spread]]&lt;=0,L1438,CurrentMtgRatesDataTable8[[#This Row],[Servicing Spread]])</f>
        <v>0.55105827943528762</v>
      </c>
      <c r="M1439" s="70">
        <f>CurrentMtgRatesDataTable8[[#This Row],[Servicing Spread Non-Zero]]-L1438</f>
        <v>0</v>
      </c>
      <c r="N1439" s="70">
        <f>IF(J1438&lt;&gt;0,CurrentMtgRatesDataTable8[[#This Row],[Rate]]-C1438,N1438)</f>
        <v>1.9999999999999574E-2</v>
      </c>
    </row>
    <row r="1440" spans="1:14">
      <c r="A1440" s="67" t="s">
        <v>2792</v>
      </c>
      <c r="B1440" s="68">
        <v>4.4896940069303302</v>
      </c>
      <c r="C1440" s="69">
        <v>5.0649999999999995</v>
      </c>
      <c r="D1440" s="70">
        <f t="shared" si="154"/>
        <v>5</v>
      </c>
      <c r="E1440" s="70">
        <f t="shared" si="155"/>
        <v>0.2</v>
      </c>
      <c r="F1440" s="70">
        <f t="shared" si="156"/>
        <v>3</v>
      </c>
      <c r="G1440" s="70">
        <f t="shared" si="157"/>
        <v>2.6916667732402999</v>
      </c>
      <c r="H1440" s="70">
        <f t="shared" si="158"/>
        <v>0.60000000000000009</v>
      </c>
      <c r="I1440" s="70">
        <f t="shared" si="159"/>
        <v>0</v>
      </c>
      <c r="J1440" s="70">
        <f t="shared" si="160"/>
        <v>0</v>
      </c>
      <c r="K1440" s="70">
        <f>IF(CurrentMtgRatesDataTable8[[#This Row],[WA CC]]&lt;&gt;0,C1439-CurrentMtgRatesDataTable8[[#This Row],[WA CC]],0)</f>
        <v>0</v>
      </c>
      <c r="L1440" s="70">
        <f>IF(CurrentMtgRatesDataTable8[[#This Row],[Servicing Spread]]&lt;=0,L1439,CurrentMtgRatesDataTable8[[#This Row],[Servicing Spread]])</f>
        <v>0.55105827943528762</v>
      </c>
      <c r="M1440" s="70">
        <f>CurrentMtgRatesDataTable8[[#This Row],[Servicing Spread Non-Zero]]-L1439</f>
        <v>0</v>
      </c>
      <c r="N1440" s="70">
        <f>IF(J1439&lt;&gt;0,CurrentMtgRatesDataTable8[[#This Row],[Rate]]-C1439,N1439)</f>
        <v>1.9999999999999574E-2</v>
      </c>
    </row>
    <row r="1441" spans="1:14">
      <c r="A1441" s="67" t="s">
        <v>2793</v>
      </c>
      <c r="B1441" s="68">
        <v>4.4667812706961696</v>
      </c>
      <c r="C1441" s="69">
        <v>5.0649999999999995</v>
      </c>
      <c r="D1441" s="70">
        <f t="shared" si="154"/>
        <v>6</v>
      </c>
      <c r="E1441" s="70">
        <f t="shared" si="155"/>
        <v>0.2</v>
      </c>
      <c r="F1441" s="70">
        <f t="shared" si="156"/>
        <v>4</v>
      </c>
      <c r="G1441" s="70">
        <f t="shared" si="157"/>
        <v>3.5850230273795338</v>
      </c>
      <c r="H1441" s="70">
        <f t="shared" si="158"/>
        <v>0.8</v>
      </c>
      <c r="I1441" s="70">
        <f t="shared" si="159"/>
        <v>0</v>
      </c>
      <c r="J1441" s="70">
        <f t="shared" si="160"/>
        <v>0</v>
      </c>
      <c r="K1441" s="70">
        <f>IF(CurrentMtgRatesDataTable8[[#This Row],[WA CC]]&lt;&gt;0,C1440-CurrentMtgRatesDataTable8[[#This Row],[WA CC]],0)</f>
        <v>0</v>
      </c>
      <c r="L1441" s="70">
        <f>IF(CurrentMtgRatesDataTable8[[#This Row],[Servicing Spread]]&lt;=0,L1440,CurrentMtgRatesDataTable8[[#This Row],[Servicing Spread]])</f>
        <v>0.55105827943528762</v>
      </c>
      <c r="M1441" s="70">
        <f>CurrentMtgRatesDataTable8[[#This Row],[Servicing Spread Non-Zero]]-L1440</f>
        <v>0</v>
      </c>
      <c r="N1441" s="70">
        <f>IF(J1440&lt;&gt;0,CurrentMtgRatesDataTable8[[#This Row],[Rate]]-C1440,N1440)</f>
        <v>1.9999999999999574E-2</v>
      </c>
    </row>
    <row r="1442" spans="1:14">
      <c r="A1442" s="67" t="s">
        <v>2794</v>
      </c>
      <c r="B1442" s="68">
        <v>4.4625044526524196</v>
      </c>
      <c r="C1442" s="69">
        <v>5.0649999999999995</v>
      </c>
      <c r="D1442" s="70">
        <f t="shared" si="154"/>
        <v>7</v>
      </c>
      <c r="E1442" s="70">
        <f t="shared" si="155"/>
        <v>0.2</v>
      </c>
      <c r="F1442" s="70">
        <f t="shared" si="156"/>
        <v>5</v>
      </c>
      <c r="G1442" s="70">
        <f t="shared" si="157"/>
        <v>4.4775239179100179</v>
      </c>
      <c r="H1442" s="70">
        <f t="shared" si="158"/>
        <v>1</v>
      </c>
      <c r="I1442" s="70">
        <f t="shared" si="159"/>
        <v>1</v>
      </c>
      <c r="J1442" s="70">
        <f t="shared" si="160"/>
        <v>4.4775239179100179</v>
      </c>
      <c r="K1442" s="70">
        <f>IF(CurrentMtgRatesDataTable8[[#This Row],[WA CC]]&lt;&gt;0,C1441-CurrentMtgRatesDataTable8[[#This Row],[WA CC]],0)</f>
        <v>0.58747608208998159</v>
      </c>
      <c r="L1442" s="70">
        <f>IF(CurrentMtgRatesDataTable8[[#This Row],[Servicing Spread]]&lt;=0,L1441,CurrentMtgRatesDataTable8[[#This Row],[Servicing Spread]])</f>
        <v>0.58747608208998159</v>
      </c>
      <c r="M1442" s="70">
        <f>CurrentMtgRatesDataTable8[[#This Row],[Servicing Spread Non-Zero]]-L1441</f>
        <v>3.6417802654693965E-2</v>
      </c>
      <c r="N1442" s="70">
        <f>IF(J1441&lt;&gt;0,CurrentMtgRatesDataTable8[[#This Row],[Rate]]-C1441,N1441)</f>
        <v>1.9999999999999574E-2</v>
      </c>
    </row>
    <row r="1443" spans="1:14">
      <c r="A1443" s="67" t="s">
        <v>2795</v>
      </c>
      <c r="B1443" s="68">
        <v>4.4893181215842404</v>
      </c>
      <c r="C1443" s="69">
        <v>5.0049999999999999</v>
      </c>
      <c r="D1443" s="70">
        <f t="shared" si="154"/>
        <v>1</v>
      </c>
      <c r="E1443" s="70">
        <f t="shared" si="155"/>
        <v>0.2</v>
      </c>
      <c r="F1443" s="70">
        <f t="shared" si="156"/>
        <v>1</v>
      </c>
      <c r="G1443" s="70">
        <f t="shared" si="157"/>
        <v>0.89786362431684807</v>
      </c>
      <c r="H1443" s="70">
        <f t="shared" si="158"/>
        <v>0.2</v>
      </c>
      <c r="I1443" s="70">
        <f t="shared" si="159"/>
        <v>0</v>
      </c>
      <c r="J1443" s="70">
        <f t="shared" si="160"/>
        <v>0</v>
      </c>
      <c r="K1443" s="70">
        <f>IF(CurrentMtgRatesDataTable8[[#This Row],[WA CC]]&lt;&gt;0,C1442-CurrentMtgRatesDataTable8[[#This Row],[WA CC]],0)</f>
        <v>0</v>
      </c>
      <c r="L1443" s="70">
        <f>IF(CurrentMtgRatesDataTable8[[#This Row],[Servicing Spread]]&lt;=0,L1442,CurrentMtgRatesDataTable8[[#This Row],[Servicing Spread]])</f>
        <v>0.58747608208998159</v>
      </c>
      <c r="M1443" s="70">
        <f>CurrentMtgRatesDataTable8[[#This Row],[Servicing Spread Non-Zero]]-L1442</f>
        <v>0</v>
      </c>
      <c r="N1443" s="70">
        <f>IF(J1442&lt;&gt;0,CurrentMtgRatesDataTable8[[#This Row],[Rate]]-C1442,N1442)</f>
        <v>-5.9999999999999609E-2</v>
      </c>
    </row>
    <row r="1444" spans="1:14">
      <c r="A1444" s="67" t="s">
        <v>2796</v>
      </c>
      <c r="B1444" s="68">
        <v>4.4840186363491501</v>
      </c>
      <c r="C1444" s="69">
        <v>5.0049999999999999</v>
      </c>
      <c r="D1444" s="70">
        <f t="shared" si="154"/>
        <v>2</v>
      </c>
      <c r="E1444" s="70">
        <f t="shared" si="155"/>
        <v>0.2</v>
      </c>
      <c r="F1444" s="70">
        <f t="shared" si="156"/>
        <v>2</v>
      </c>
      <c r="G1444" s="70">
        <f t="shared" si="157"/>
        <v>1.794667351586678</v>
      </c>
      <c r="H1444" s="70">
        <f t="shared" si="158"/>
        <v>0.4</v>
      </c>
      <c r="I1444" s="70">
        <f t="shared" si="159"/>
        <v>0</v>
      </c>
      <c r="J1444" s="70">
        <f t="shared" si="160"/>
        <v>0</v>
      </c>
      <c r="K1444" s="70">
        <f>IF(CurrentMtgRatesDataTable8[[#This Row],[WA CC]]&lt;&gt;0,C1443-CurrentMtgRatesDataTable8[[#This Row],[WA CC]],0)</f>
        <v>0</v>
      </c>
      <c r="L1444" s="70">
        <f>IF(CurrentMtgRatesDataTable8[[#This Row],[Servicing Spread]]&lt;=0,L1443,CurrentMtgRatesDataTable8[[#This Row],[Servicing Spread]])</f>
        <v>0.58747608208998159</v>
      </c>
      <c r="M1444" s="70">
        <f>CurrentMtgRatesDataTable8[[#This Row],[Servicing Spread Non-Zero]]-L1443</f>
        <v>0</v>
      </c>
      <c r="N1444" s="70">
        <f>IF(J1443&lt;&gt;0,CurrentMtgRatesDataTable8[[#This Row],[Rate]]-C1443,N1443)</f>
        <v>-5.9999999999999609E-2</v>
      </c>
    </row>
    <row r="1445" spans="1:14">
      <c r="A1445" s="67" t="s">
        <v>2797</v>
      </c>
      <c r="B1445" s="68">
        <v>4.4218428473129299</v>
      </c>
      <c r="C1445" s="69">
        <v>5.0049999999999999</v>
      </c>
      <c r="D1445" s="70">
        <f t="shared" si="154"/>
        <v>5</v>
      </c>
      <c r="E1445" s="70">
        <f t="shared" si="155"/>
        <v>0.2</v>
      </c>
      <c r="F1445" s="70">
        <f t="shared" si="156"/>
        <v>3</v>
      </c>
      <c r="G1445" s="70">
        <f t="shared" si="157"/>
        <v>2.6790359210492642</v>
      </c>
      <c r="H1445" s="70">
        <f t="shared" si="158"/>
        <v>0.60000000000000009</v>
      </c>
      <c r="I1445" s="70">
        <f t="shared" si="159"/>
        <v>0</v>
      </c>
      <c r="J1445" s="70">
        <f t="shared" si="160"/>
        <v>0</v>
      </c>
      <c r="K1445" s="70">
        <f>IF(CurrentMtgRatesDataTable8[[#This Row],[WA CC]]&lt;&gt;0,C1444-CurrentMtgRatesDataTable8[[#This Row],[WA CC]],0)</f>
        <v>0</v>
      </c>
      <c r="L1445" s="70">
        <f>IF(CurrentMtgRatesDataTable8[[#This Row],[Servicing Spread]]&lt;=0,L1444,CurrentMtgRatesDataTable8[[#This Row],[Servicing Spread]])</f>
        <v>0.58747608208998159</v>
      </c>
      <c r="M1445" s="70">
        <f>CurrentMtgRatesDataTable8[[#This Row],[Servicing Spread Non-Zero]]-L1444</f>
        <v>0</v>
      </c>
      <c r="N1445" s="70">
        <f>IF(J1444&lt;&gt;0,CurrentMtgRatesDataTable8[[#This Row],[Rate]]-C1444,N1444)</f>
        <v>-5.9999999999999609E-2</v>
      </c>
    </row>
    <row r="1446" spans="1:14">
      <c r="A1446" s="67" t="s">
        <v>2798</v>
      </c>
      <c r="B1446" s="68">
        <v>4.4018032228453601</v>
      </c>
      <c r="C1446" s="69">
        <v>5.0049999999999999</v>
      </c>
      <c r="D1446" s="70">
        <f t="shared" si="154"/>
        <v>6</v>
      </c>
      <c r="E1446" s="70">
        <f t="shared" si="155"/>
        <v>0.2</v>
      </c>
      <c r="F1446" s="70">
        <f t="shared" si="156"/>
        <v>4</v>
      </c>
      <c r="G1446" s="70">
        <f t="shared" si="157"/>
        <v>3.5593965656183362</v>
      </c>
      <c r="H1446" s="70">
        <f t="shared" si="158"/>
        <v>0.8</v>
      </c>
      <c r="I1446" s="70">
        <f t="shared" si="159"/>
        <v>0</v>
      </c>
      <c r="J1446" s="70">
        <f t="shared" si="160"/>
        <v>0</v>
      </c>
      <c r="K1446" s="70">
        <f>IF(CurrentMtgRatesDataTable8[[#This Row],[WA CC]]&lt;&gt;0,C1445-CurrentMtgRatesDataTable8[[#This Row],[WA CC]],0)</f>
        <v>0</v>
      </c>
      <c r="L1446" s="70">
        <f>IF(CurrentMtgRatesDataTable8[[#This Row],[Servicing Spread]]&lt;=0,L1445,CurrentMtgRatesDataTable8[[#This Row],[Servicing Spread]])</f>
        <v>0.58747608208998159</v>
      </c>
      <c r="M1446" s="70">
        <f>CurrentMtgRatesDataTable8[[#This Row],[Servicing Spread Non-Zero]]-L1445</f>
        <v>0</v>
      </c>
      <c r="N1446" s="70">
        <f>IF(J1445&lt;&gt;0,CurrentMtgRatesDataTable8[[#This Row],[Rate]]-C1445,N1445)</f>
        <v>-5.9999999999999609E-2</v>
      </c>
    </row>
    <row r="1447" spans="1:14">
      <c r="A1447" s="67" t="s">
        <v>2799</v>
      </c>
      <c r="B1447" s="68">
        <v>4.3146942011491198</v>
      </c>
      <c r="C1447" s="69">
        <v>5.0049999999999999</v>
      </c>
      <c r="D1447" s="70">
        <f t="shared" si="154"/>
        <v>7</v>
      </c>
      <c r="E1447" s="70">
        <f t="shared" si="155"/>
        <v>0.2</v>
      </c>
      <c r="F1447" s="70">
        <f t="shared" si="156"/>
        <v>5</v>
      </c>
      <c r="G1447" s="70">
        <f t="shared" si="157"/>
        <v>4.4223354058481599</v>
      </c>
      <c r="H1447" s="70">
        <f t="shared" si="158"/>
        <v>1</v>
      </c>
      <c r="I1447" s="70">
        <f t="shared" si="159"/>
        <v>1</v>
      </c>
      <c r="J1447" s="70">
        <f t="shared" si="160"/>
        <v>4.4223354058481599</v>
      </c>
      <c r="K1447" s="70">
        <f>IF(CurrentMtgRatesDataTable8[[#This Row],[WA CC]]&lt;&gt;0,C1446-CurrentMtgRatesDataTable8[[#This Row],[WA CC]],0)</f>
        <v>0.58266459415184002</v>
      </c>
      <c r="L1447" s="70">
        <f>IF(CurrentMtgRatesDataTable8[[#This Row],[Servicing Spread]]&lt;=0,L1446,CurrentMtgRatesDataTable8[[#This Row],[Servicing Spread]])</f>
        <v>0.58266459415184002</v>
      </c>
      <c r="M1447" s="70">
        <f>CurrentMtgRatesDataTable8[[#This Row],[Servicing Spread Non-Zero]]-L1446</f>
        <v>-4.8114879381415676E-3</v>
      </c>
      <c r="N1447" s="70">
        <f>IF(J1446&lt;&gt;0,CurrentMtgRatesDataTable8[[#This Row],[Rate]]-C1446,N1446)</f>
        <v>-5.9999999999999609E-2</v>
      </c>
    </row>
    <row r="1448" spans="1:14">
      <c r="A1448" s="67" t="s">
        <v>2800</v>
      </c>
      <c r="B1448" s="68">
        <v>4.3619708283631802</v>
      </c>
      <c r="C1448" s="69">
        <v>4.9950000000000001</v>
      </c>
      <c r="D1448" s="70">
        <f t="shared" si="154"/>
        <v>1</v>
      </c>
      <c r="E1448" s="70">
        <f t="shared" si="155"/>
        <v>0.2</v>
      </c>
      <c r="F1448" s="70">
        <f t="shared" si="156"/>
        <v>1</v>
      </c>
      <c r="G1448" s="70">
        <f t="shared" si="157"/>
        <v>0.87239416567263606</v>
      </c>
      <c r="H1448" s="70">
        <f t="shared" si="158"/>
        <v>0.2</v>
      </c>
      <c r="I1448" s="70">
        <f t="shared" si="159"/>
        <v>0</v>
      </c>
      <c r="J1448" s="70">
        <f t="shared" si="160"/>
        <v>0</v>
      </c>
      <c r="K1448" s="70">
        <f>IF(CurrentMtgRatesDataTable8[[#This Row],[WA CC]]&lt;&gt;0,C1447-CurrentMtgRatesDataTable8[[#This Row],[WA CC]],0)</f>
        <v>0</v>
      </c>
      <c r="L1448" s="70">
        <f>IF(CurrentMtgRatesDataTable8[[#This Row],[Servicing Spread]]&lt;=0,L1447,CurrentMtgRatesDataTable8[[#This Row],[Servicing Spread]])</f>
        <v>0.58266459415184002</v>
      </c>
      <c r="M1448" s="70">
        <f>CurrentMtgRatesDataTable8[[#This Row],[Servicing Spread Non-Zero]]-L1447</f>
        <v>0</v>
      </c>
      <c r="N1448" s="70">
        <f>IF(J1447&lt;&gt;0,CurrentMtgRatesDataTable8[[#This Row],[Rate]]-C1447,N1447)</f>
        <v>-9.9999999999997868E-3</v>
      </c>
    </row>
    <row r="1449" spans="1:14">
      <c r="A1449" s="67" t="s">
        <v>2801</v>
      </c>
      <c r="B1449" s="68">
        <v>4.4236895250434403</v>
      </c>
      <c r="C1449" s="69">
        <v>4.9950000000000001</v>
      </c>
      <c r="D1449" s="70">
        <f t="shared" si="154"/>
        <v>2</v>
      </c>
      <c r="E1449" s="70">
        <f t="shared" si="155"/>
        <v>0.2</v>
      </c>
      <c r="F1449" s="70">
        <f t="shared" si="156"/>
        <v>2</v>
      </c>
      <c r="G1449" s="70">
        <f t="shared" si="157"/>
        <v>1.7571320706813243</v>
      </c>
      <c r="H1449" s="70">
        <f t="shared" si="158"/>
        <v>0.4</v>
      </c>
      <c r="I1449" s="70">
        <f t="shared" si="159"/>
        <v>0</v>
      </c>
      <c r="J1449" s="70">
        <f t="shared" si="160"/>
        <v>0</v>
      </c>
      <c r="K1449" s="70">
        <f>IF(CurrentMtgRatesDataTable8[[#This Row],[WA CC]]&lt;&gt;0,C1448-CurrentMtgRatesDataTable8[[#This Row],[WA CC]],0)</f>
        <v>0</v>
      </c>
      <c r="L1449" s="70">
        <f>IF(CurrentMtgRatesDataTable8[[#This Row],[Servicing Spread]]&lt;=0,L1448,CurrentMtgRatesDataTable8[[#This Row],[Servicing Spread]])</f>
        <v>0.58266459415184002</v>
      </c>
      <c r="M1449" s="70">
        <f>CurrentMtgRatesDataTable8[[#This Row],[Servicing Spread Non-Zero]]-L1448</f>
        <v>0</v>
      </c>
      <c r="N1449" s="70">
        <f>IF(J1448&lt;&gt;0,CurrentMtgRatesDataTable8[[#This Row],[Rate]]-C1448,N1448)</f>
        <v>-9.9999999999997868E-3</v>
      </c>
    </row>
    <row r="1450" spans="1:14">
      <c r="A1450" s="67" t="s">
        <v>2802</v>
      </c>
      <c r="B1450" s="68">
        <v>4.4147056243728899</v>
      </c>
      <c r="C1450" s="69">
        <v>4.9950000000000001</v>
      </c>
      <c r="D1450" s="70">
        <f t="shared" si="154"/>
        <v>6</v>
      </c>
      <c r="E1450" s="70">
        <f t="shared" si="155"/>
        <v>0.2</v>
      </c>
      <c r="F1450" s="70">
        <f t="shared" si="156"/>
        <v>3</v>
      </c>
      <c r="G1450" s="70">
        <f t="shared" si="157"/>
        <v>2.6400731955559023</v>
      </c>
      <c r="H1450" s="70">
        <f t="shared" si="158"/>
        <v>0.60000000000000009</v>
      </c>
      <c r="I1450" s="70">
        <f t="shared" si="159"/>
        <v>0</v>
      </c>
      <c r="J1450" s="70">
        <f t="shared" si="160"/>
        <v>0</v>
      </c>
      <c r="K1450" s="70">
        <f>IF(CurrentMtgRatesDataTable8[[#This Row],[WA CC]]&lt;&gt;0,C1449-CurrentMtgRatesDataTable8[[#This Row],[WA CC]],0)</f>
        <v>0</v>
      </c>
      <c r="L1450" s="70">
        <f>IF(CurrentMtgRatesDataTable8[[#This Row],[Servicing Spread]]&lt;=0,L1449,CurrentMtgRatesDataTable8[[#This Row],[Servicing Spread]])</f>
        <v>0.58266459415184002</v>
      </c>
      <c r="M1450" s="70">
        <f>CurrentMtgRatesDataTable8[[#This Row],[Servicing Spread Non-Zero]]-L1449</f>
        <v>0</v>
      </c>
      <c r="N1450" s="70">
        <f>IF(J1449&lt;&gt;0,CurrentMtgRatesDataTable8[[#This Row],[Rate]]-C1449,N1449)</f>
        <v>-9.9999999999997868E-3</v>
      </c>
    </row>
    <row r="1451" spans="1:14">
      <c r="A1451" s="67" t="s">
        <v>2803</v>
      </c>
      <c r="B1451" s="68">
        <v>4.3998633854908302</v>
      </c>
      <c r="C1451" s="69">
        <v>4.9950000000000001</v>
      </c>
      <c r="D1451" s="70">
        <f t="shared" si="154"/>
        <v>7</v>
      </c>
      <c r="E1451" s="70">
        <f t="shared" si="155"/>
        <v>0.2</v>
      </c>
      <c r="F1451" s="70">
        <f t="shared" si="156"/>
        <v>4</v>
      </c>
      <c r="G1451" s="70">
        <f t="shared" si="157"/>
        <v>3.5200458726540682</v>
      </c>
      <c r="H1451" s="70">
        <f t="shared" si="158"/>
        <v>0.8</v>
      </c>
      <c r="I1451" s="70">
        <f t="shared" si="159"/>
        <v>1</v>
      </c>
      <c r="J1451" s="70">
        <f t="shared" si="160"/>
        <v>4.4000573408175851</v>
      </c>
      <c r="K1451" s="70">
        <f>IF(CurrentMtgRatesDataTable8[[#This Row],[WA CC]]&lt;&gt;0,C1450-CurrentMtgRatesDataTable8[[#This Row],[WA CC]],0)</f>
        <v>0.59494265918241496</v>
      </c>
      <c r="L1451" s="70">
        <f>IF(CurrentMtgRatesDataTable8[[#This Row],[Servicing Spread]]&lt;=0,L1450,CurrentMtgRatesDataTable8[[#This Row],[Servicing Spread]])</f>
        <v>0.59494265918241496</v>
      </c>
      <c r="M1451" s="70">
        <f>CurrentMtgRatesDataTable8[[#This Row],[Servicing Spread Non-Zero]]-L1450</f>
        <v>1.2278065030574936E-2</v>
      </c>
      <c r="N1451" s="70">
        <f>IF(J1450&lt;&gt;0,CurrentMtgRatesDataTable8[[#This Row],[Rate]]-C1450,N1450)</f>
        <v>-9.9999999999997868E-3</v>
      </c>
    </row>
    <row r="1452" spans="1:14">
      <c r="A1452" s="67" t="s">
        <v>2804</v>
      </c>
      <c r="B1452" s="68">
        <v>4.2849705602631802</v>
      </c>
      <c r="C1452" s="69">
        <v>4.9649999999999999</v>
      </c>
      <c r="D1452" s="70">
        <f t="shared" si="154"/>
        <v>1</v>
      </c>
      <c r="E1452" s="70">
        <f t="shared" si="155"/>
        <v>0.2</v>
      </c>
      <c r="F1452" s="70">
        <f t="shared" si="156"/>
        <v>1</v>
      </c>
      <c r="G1452" s="70">
        <f t="shared" si="157"/>
        <v>0.85699411205263609</v>
      </c>
      <c r="H1452" s="70">
        <f t="shared" si="158"/>
        <v>0.2</v>
      </c>
      <c r="I1452" s="70">
        <f t="shared" si="159"/>
        <v>0</v>
      </c>
      <c r="J1452" s="70">
        <f t="shared" si="160"/>
        <v>0</v>
      </c>
      <c r="K1452" s="70">
        <f>IF(CurrentMtgRatesDataTable8[[#This Row],[WA CC]]&lt;&gt;0,C1451-CurrentMtgRatesDataTable8[[#This Row],[WA CC]],0)</f>
        <v>0</v>
      </c>
      <c r="L1452" s="70">
        <f>IF(CurrentMtgRatesDataTable8[[#This Row],[Servicing Spread]]&lt;=0,L1451,CurrentMtgRatesDataTable8[[#This Row],[Servicing Spread]])</f>
        <v>0.59494265918241496</v>
      </c>
      <c r="M1452" s="70">
        <f>CurrentMtgRatesDataTable8[[#This Row],[Servicing Spread Non-Zero]]-L1451</f>
        <v>0</v>
      </c>
      <c r="N1452" s="70">
        <f>IF(J1451&lt;&gt;0,CurrentMtgRatesDataTable8[[#This Row],[Rate]]-C1451,N1451)</f>
        <v>-3.0000000000000249E-2</v>
      </c>
    </row>
    <row r="1453" spans="1:14">
      <c r="A1453" s="67" t="s">
        <v>2805</v>
      </c>
      <c r="B1453" s="68">
        <v>4.2893929732223901</v>
      </c>
      <c r="C1453" s="69">
        <v>4.9649999999999999</v>
      </c>
      <c r="D1453" s="70">
        <f t="shared" si="154"/>
        <v>2</v>
      </c>
      <c r="E1453" s="70">
        <f t="shared" si="155"/>
        <v>0.2</v>
      </c>
      <c r="F1453" s="70">
        <f t="shared" si="156"/>
        <v>2</v>
      </c>
      <c r="G1453" s="70">
        <f t="shared" si="157"/>
        <v>1.7148727066971141</v>
      </c>
      <c r="H1453" s="70">
        <f t="shared" si="158"/>
        <v>0.4</v>
      </c>
      <c r="I1453" s="70">
        <f t="shared" si="159"/>
        <v>0</v>
      </c>
      <c r="J1453" s="70">
        <f t="shared" si="160"/>
        <v>0</v>
      </c>
      <c r="K1453" s="70">
        <f>IF(CurrentMtgRatesDataTable8[[#This Row],[WA CC]]&lt;&gt;0,C1452-CurrentMtgRatesDataTable8[[#This Row],[WA CC]],0)</f>
        <v>0</v>
      </c>
      <c r="L1453" s="70">
        <f>IF(CurrentMtgRatesDataTable8[[#This Row],[Servicing Spread]]&lt;=0,L1452,CurrentMtgRatesDataTable8[[#This Row],[Servicing Spread]])</f>
        <v>0.59494265918241496</v>
      </c>
      <c r="M1453" s="70">
        <f>CurrentMtgRatesDataTable8[[#This Row],[Servicing Spread Non-Zero]]-L1452</f>
        <v>0</v>
      </c>
      <c r="N1453" s="70">
        <f>IF(J1452&lt;&gt;0,CurrentMtgRatesDataTable8[[#This Row],[Rate]]-C1452,N1452)</f>
        <v>-3.0000000000000249E-2</v>
      </c>
    </row>
    <row r="1454" spans="1:14">
      <c r="A1454" s="67" t="s">
        <v>2806</v>
      </c>
      <c r="B1454" s="68">
        <v>4.3567155764944898</v>
      </c>
      <c r="C1454" s="69">
        <v>4.9649999999999999</v>
      </c>
      <c r="D1454" s="70">
        <f t="shared" si="154"/>
        <v>5</v>
      </c>
      <c r="E1454" s="70">
        <f t="shared" si="155"/>
        <v>0.2</v>
      </c>
      <c r="F1454" s="70">
        <f t="shared" si="156"/>
        <v>3</v>
      </c>
      <c r="G1454" s="70">
        <f t="shared" si="157"/>
        <v>2.5862158219960119</v>
      </c>
      <c r="H1454" s="70">
        <f t="shared" si="158"/>
        <v>0.60000000000000009</v>
      </c>
      <c r="I1454" s="70">
        <f t="shared" si="159"/>
        <v>0</v>
      </c>
      <c r="J1454" s="70">
        <f t="shared" si="160"/>
        <v>0</v>
      </c>
      <c r="K1454" s="70">
        <f>IF(CurrentMtgRatesDataTable8[[#This Row],[WA CC]]&lt;&gt;0,C1453-CurrentMtgRatesDataTable8[[#This Row],[WA CC]],0)</f>
        <v>0</v>
      </c>
      <c r="L1454" s="70">
        <f>IF(CurrentMtgRatesDataTable8[[#This Row],[Servicing Spread]]&lt;=0,L1453,CurrentMtgRatesDataTable8[[#This Row],[Servicing Spread]])</f>
        <v>0.59494265918241496</v>
      </c>
      <c r="M1454" s="70">
        <f>CurrentMtgRatesDataTable8[[#This Row],[Servicing Spread Non-Zero]]-L1453</f>
        <v>0</v>
      </c>
      <c r="N1454" s="70">
        <f>IF(J1453&lt;&gt;0,CurrentMtgRatesDataTable8[[#This Row],[Rate]]-C1453,N1453)</f>
        <v>-3.0000000000000249E-2</v>
      </c>
    </row>
    <row r="1455" spans="1:14">
      <c r="A1455" s="67" t="s">
        <v>2807</v>
      </c>
      <c r="B1455" s="68">
        <v>4.3923528334419304</v>
      </c>
      <c r="C1455" s="69">
        <v>4.9649999999999999</v>
      </c>
      <c r="D1455" s="70">
        <f t="shared" si="154"/>
        <v>6</v>
      </c>
      <c r="E1455" s="70">
        <f t="shared" si="155"/>
        <v>0.2</v>
      </c>
      <c r="F1455" s="70">
        <f t="shared" si="156"/>
        <v>4</v>
      </c>
      <c r="G1455" s="70">
        <f t="shared" si="157"/>
        <v>3.4646863886843979</v>
      </c>
      <c r="H1455" s="70">
        <f t="shared" si="158"/>
        <v>0.8</v>
      </c>
      <c r="I1455" s="70">
        <f t="shared" si="159"/>
        <v>0</v>
      </c>
      <c r="J1455" s="70">
        <f t="shared" si="160"/>
        <v>0</v>
      </c>
      <c r="K1455" s="70">
        <f>IF(CurrentMtgRatesDataTable8[[#This Row],[WA CC]]&lt;&gt;0,C1454-CurrentMtgRatesDataTable8[[#This Row],[WA CC]],0)</f>
        <v>0</v>
      </c>
      <c r="L1455" s="70">
        <f>IF(CurrentMtgRatesDataTable8[[#This Row],[Servicing Spread]]&lt;=0,L1454,CurrentMtgRatesDataTable8[[#This Row],[Servicing Spread]])</f>
        <v>0.59494265918241496</v>
      </c>
      <c r="M1455" s="70">
        <f>CurrentMtgRatesDataTable8[[#This Row],[Servicing Spread Non-Zero]]-L1454</f>
        <v>0</v>
      </c>
      <c r="N1455" s="70">
        <f>IF(J1454&lt;&gt;0,CurrentMtgRatesDataTable8[[#This Row],[Rate]]-C1454,N1454)</f>
        <v>-3.0000000000000249E-2</v>
      </c>
    </row>
    <row r="1456" spans="1:14">
      <c r="A1456" s="67" t="s">
        <v>2808</v>
      </c>
      <c r="B1456" s="68">
        <v>4.3875037639123304</v>
      </c>
      <c r="C1456" s="69">
        <v>4.9649999999999999</v>
      </c>
      <c r="D1456" s="70">
        <f t="shared" si="154"/>
        <v>7</v>
      </c>
      <c r="E1456" s="70">
        <f t="shared" si="155"/>
        <v>0.2</v>
      </c>
      <c r="F1456" s="70">
        <f t="shared" si="156"/>
        <v>5</v>
      </c>
      <c r="G1456" s="70">
        <f t="shared" si="157"/>
        <v>4.342187141466864</v>
      </c>
      <c r="H1456" s="70">
        <f t="shared" si="158"/>
        <v>1</v>
      </c>
      <c r="I1456" s="70">
        <f t="shared" si="159"/>
        <v>1</v>
      </c>
      <c r="J1456" s="70">
        <f t="shared" si="160"/>
        <v>4.342187141466864</v>
      </c>
      <c r="K1456" s="70">
        <f>IF(CurrentMtgRatesDataTable8[[#This Row],[WA CC]]&lt;&gt;0,C1455-CurrentMtgRatesDataTable8[[#This Row],[WA CC]],0)</f>
        <v>0.62281285853313584</v>
      </c>
      <c r="L1456" s="70">
        <f>IF(CurrentMtgRatesDataTable8[[#This Row],[Servicing Spread]]&lt;=0,L1455,CurrentMtgRatesDataTable8[[#This Row],[Servicing Spread]])</f>
        <v>0.62281285853313584</v>
      </c>
      <c r="M1456" s="70">
        <f>CurrentMtgRatesDataTable8[[#This Row],[Servicing Spread Non-Zero]]-L1455</f>
        <v>2.7870199350720881E-2</v>
      </c>
      <c r="N1456" s="70">
        <f>IF(J1455&lt;&gt;0,CurrentMtgRatesDataTable8[[#This Row],[Rate]]-C1455,N1455)</f>
        <v>-3.0000000000000249E-2</v>
      </c>
    </row>
    <row r="1457" spans="1:14">
      <c r="A1457" s="67" t="s">
        <v>2809</v>
      </c>
      <c r="B1457" s="68">
        <v>4.3106149816517698</v>
      </c>
      <c r="C1457" s="69">
        <v>4.9400000000000004</v>
      </c>
      <c r="D1457" s="70">
        <f t="shared" si="154"/>
        <v>1</v>
      </c>
      <c r="E1457" s="70">
        <f t="shared" si="155"/>
        <v>0.2</v>
      </c>
      <c r="F1457" s="70">
        <f t="shared" si="156"/>
        <v>1</v>
      </c>
      <c r="G1457" s="70">
        <f t="shared" si="157"/>
        <v>0.86212299633035405</v>
      </c>
      <c r="H1457" s="70">
        <f t="shared" si="158"/>
        <v>0.2</v>
      </c>
      <c r="I1457" s="70">
        <f t="shared" si="159"/>
        <v>0</v>
      </c>
      <c r="J1457" s="70">
        <f t="shared" si="160"/>
        <v>0</v>
      </c>
      <c r="K1457" s="70">
        <f>IF(CurrentMtgRatesDataTable8[[#This Row],[WA CC]]&lt;&gt;0,C1456-CurrentMtgRatesDataTable8[[#This Row],[WA CC]],0)</f>
        <v>0</v>
      </c>
      <c r="L1457" s="70">
        <f>IF(CurrentMtgRatesDataTable8[[#This Row],[Servicing Spread]]&lt;=0,L1456,CurrentMtgRatesDataTable8[[#This Row],[Servicing Spread]])</f>
        <v>0.62281285853313584</v>
      </c>
      <c r="M1457" s="70">
        <f>CurrentMtgRatesDataTable8[[#This Row],[Servicing Spread Non-Zero]]-L1456</f>
        <v>0</v>
      </c>
      <c r="N1457" s="70">
        <f>IF(J1456&lt;&gt;0,CurrentMtgRatesDataTable8[[#This Row],[Rate]]-C1456,N1456)</f>
        <v>-2.4999999999999467E-2</v>
      </c>
    </row>
    <row r="1458" spans="1:14">
      <c r="A1458" s="67" t="s">
        <v>2810</v>
      </c>
      <c r="B1458" s="68">
        <v>4.38724504861732</v>
      </c>
      <c r="C1458" s="69">
        <v>4.9400000000000004</v>
      </c>
      <c r="D1458" s="70">
        <f t="shared" si="154"/>
        <v>2</v>
      </c>
      <c r="E1458" s="70">
        <f t="shared" si="155"/>
        <v>0.2</v>
      </c>
      <c r="F1458" s="70">
        <f t="shared" si="156"/>
        <v>2</v>
      </c>
      <c r="G1458" s="70">
        <f t="shared" si="157"/>
        <v>1.7395720060538182</v>
      </c>
      <c r="H1458" s="70">
        <f t="shared" si="158"/>
        <v>0.4</v>
      </c>
      <c r="I1458" s="70">
        <f t="shared" si="159"/>
        <v>0</v>
      </c>
      <c r="J1458" s="70">
        <f t="shared" si="160"/>
        <v>0</v>
      </c>
      <c r="K1458" s="70">
        <f>IF(CurrentMtgRatesDataTable8[[#This Row],[WA CC]]&lt;&gt;0,C1457-CurrentMtgRatesDataTable8[[#This Row],[WA CC]],0)</f>
        <v>0</v>
      </c>
      <c r="L1458" s="70">
        <f>IF(CurrentMtgRatesDataTable8[[#This Row],[Servicing Spread]]&lt;=0,L1457,CurrentMtgRatesDataTable8[[#This Row],[Servicing Spread]])</f>
        <v>0.62281285853313584</v>
      </c>
      <c r="M1458" s="70">
        <f>CurrentMtgRatesDataTable8[[#This Row],[Servicing Spread Non-Zero]]-L1457</f>
        <v>0</v>
      </c>
      <c r="N1458" s="70">
        <f>IF(J1457&lt;&gt;0,CurrentMtgRatesDataTable8[[#This Row],[Rate]]-C1457,N1457)</f>
        <v>-2.4999999999999467E-2</v>
      </c>
    </row>
    <row r="1459" spans="1:14">
      <c r="A1459" s="67" t="s">
        <v>2811</v>
      </c>
      <c r="B1459" s="68">
        <v>4.4135306739200999</v>
      </c>
      <c r="C1459" s="69">
        <v>4.9400000000000004</v>
      </c>
      <c r="D1459" s="70">
        <f t="shared" si="154"/>
        <v>5</v>
      </c>
      <c r="E1459" s="70">
        <f t="shared" si="155"/>
        <v>0.2</v>
      </c>
      <c r="F1459" s="70">
        <f t="shared" si="156"/>
        <v>3</v>
      </c>
      <c r="G1459" s="70">
        <f t="shared" si="157"/>
        <v>2.6222781408378384</v>
      </c>
      <c r="H1459" s="70">
        <f t="shared" si="158"/>
        <v>0.60000000000000009</v>
      </c>
      <c r="I1459" s="70">
        <f t="shared" si="159"/>
        <v>0</v>
      </c>
      <c r="J1459" s="70">
        <f t="shared" si="160"/>
        <v>0</v>
      </c>
      <c r="K1459" s="70">
        <f>IF(CurrentMtgRatesDataTable8[[#This Row],[WA CC]]&lt;&gt;0,C1458-CurrentMtgRatesDataTable8[[#This Row],[WA CC]],0)</f>
        <v>0</v>
      </c>
      <c r="L1459" s="70">
        <f>IF(CurrentMtgRatesDataTable8[[#This Row],[Servicing Spread]]&lt;=0,L1458,CurrentMtgRatesDataTable8[[#This Row],[Servicing Spread]])</f>
        <v>0.62281285853313584</v>
      </c>
      <c r="M1459" s="70">
        <f>CurrentMtgRatesDataTable8[[#This Row],[Servicing Spread Non-Zero]]-L1458</f>
        <v>0</v>
      </c>
      <c r="N1459" s="70">
        <f>IF(J1458&lt;&gt;0,CurrentMtgRatesDataTable8[[#This Row],[Rate]]-C1458,N1458)</f>
        <v>-2.4999999999999467E-2</v>
      </c>
    </row>
    <row r="1460" spans="1:14">
      <c r="A1460" s="67" t="s">
        <v>2812</v>
      </c>
      <c r="B1460" s="68">
        <v>4.3858952470103896</v>
      </c>
      <c r="C1460" s="69">
        <v>4.9400000000000004</v>
      </c>
      <c r="D1460" s="70">
        <f t="shared" si="154"/>
        <v>6</v>
      </c>
      <c r="E1460" s="70">
        <f t="shared" si="155"/>
        <v>0.2</v>
      </c>
      <c r="F1460" s="70">
        <f t="shared" si="156"/>
        <v>4</v>
      </c>
      <c r="G1460" s="70">
        <f t="shared" si="157"/>
        <v>3.4994571902399163</v>
      </c>
      <c r="H1460" s="70">
        <f t="shared" si="158"/>
        <v>0.8</v>
      </c>
      <c r="I1460" s="70">
        <f t="shared" si="159"/>
        <v>0</v>
      </c>
      <c r="J1460" s="70">
        <f t="shared" si="160"/>
        <v>0</v>
      </c>
      <c r="K1460" s="70">
        <f>IF(CurrentMtgRatesDataTable8[[#This Row],[WA CC]]&lt;&gt;0,C1459-CurrentMtgRatesDataTable8[[#This Row],[WA CC]],0)</f>
        <v>0</v>
      </c>
      <c r="L1460" s="70">
        <f>IF(CurrentMtgRatesDataTable8[[#This Row],[Servicing Spread]]&lt;=0,L1459,CurrentMtgRatesDataTable8[[#This Row],[Servicing Spread]])</f>
        <v>0.62281285853313584</v>
      </c>
      <c r="M1460" s="70">
        <f>CurrentMtgRatesDataTable8[[#This Row],[Servicing Spread Non-Zero]]-L1459</f>
        <v>0</v>
      </c>
      <c r="N1460" s="70">
        <f>IF(J1459&lt;&gt;0,CurrentMtgRatesDataTable8[[#This Row],[Rate]]-C1459,N1459)</f>
        <v>-2.4999999999999467E-2</v>
      </c>
    </row>
    <row r="1461" spans="1:14">
      <c r="A1461" s="67" t="s">
        <v>2813</v>
      </c>
      <c r="B1461" s="68">
        <v>4.3746957229884798</v>
      </c>
      <c r="C1461" s="69">
        <v>4.9400000000000004</v>
      </c>
      <c r="D1461" s="70">
        <f t="shared" si="154"/>
        <v>7</v>
      </c>
      <c r="E1461" s="70">
        <f t="shared" si="155"/>
        <v>0.2</v>
      </c>
      <c r="F1461" s="70">
        <f t="shared" si="156"/>
        <v>5</v>
      </c>
      <c r="G1461" s="70">
        <f t="shared" si="157"/>
        <v>4.3743963348376127</v>
      </c>
      <c r="H1461" s="70">
        <f t="shared" si="158"/>
        <v>1</v>
      </c>
      <c r="I1461" s="70">
        <f t="shared" si="159"/>
        <v>1</v>
      </c>
      <c r="J1461" s="70">
        <f t="shared" si="160"/>
        <v>4.3743963348376127</v>
      </c>
      <c r="K1461" s="70">
        <f>IF(CurrentMtgRatesDataTable8[[#This Row],[WA CC]]&lt;&gt;0,C1460-CurrentMtgRatesDataTable8[[#This Row],[WA CC]],0)</f>
        <v>0.56560366516238769</v>
      </c>
      <c r="L1461" s="70">
        <f>IF(CurrentMtgRatesDataTable8[[#This Row],[Servicing Spread]]&lt;=0,L1460,CurrentMtgRatesDataTable8[[#This Row],[Servicing Spread]])</f>
        <v>0.56560366516238769</v>
      </c>
      <c r="M1461" s="70">
        <f>CurrentMtgRatesDataTable8[[#This Row],[Servicing Spread Non-Zero]]-L1460</f>
        <v>-5.7209193370748146E-2</v>
      </c>
      <c r="N1461" s="70">
        <f>IF(J1460&lt;&gt;0,CurrentMtgRatesDataTable8[[#This Row],[Rate]]-C1460,N1460)</f>
        <v>-2.4999999999999467E-2</v>
      </c>
    </row>
    <row r="1462" spans="1:14">
      <c r="A1462" s="67" t="s">
        <v>2814</v>
      </c>
      <c r="B1462" s="68">
        <v>4.3077555523319999</v>
      </c>
      <c r="C1462" s="69">
        <v>4.8650000000000002</v>
      </c>
      <c r="D1462" s="70">
        <f t="shared" si="154"/>
        <v>1</v>
      </c>
      <c r="E1462" s="70">
        <f t="shared" si="155"/>
        <v>0.2</v>
      </c>
      <c r="F1462" s="70">
        <f t="shared" si="156"/>
        <v>1</v>
      </c>
      <c r="G1462" s="70">
        <f t="shared" si="157"/>
        <v>0.86155111046639998</v>
      </c>
      <c r="H1462" s="70">
        <f t="shared" si="158"/>
        <v>0.2</v>
      </c>
      <c r="I1462" s="70">
        <f t="shared" si="159"/>
        <v>0</v>
      </c>
      <c r="J1462" s="70">
        <f t="shared" si="160"/>
        <v>0</v>
      </c>
      <c r="K1462" s="70">
        <f>IF(CurrentMtgRatesDataTable8[[#This Row],[WA CC]]&lt;&gt;0,C1461-CurrentMtgRatesDataTable8[[#This Row],[WA CC]],0)</f>
        <v>0</v>
      </c>
      <c r="L1462" s="70">
        <f>IF(CurrentMtgRatesDataTable8[[#This Row],[Servicing Spread]]&lt;=0,L1461,CurrentMtgRatesDataTable8[[#This Row],[Servicing Spread]])</f>
        <v>0.56560366516238769</v>
      </c>
      <c r="M1462" s="70">
        <f>CurrentMtgRatesDataTable8[[#This Row],[Servicing Spread Non-Zero]]-L1461</f>
        <v>0</v>
      </c>
      <c r="N1462" s="70">
        <f>IF(J1461&lt;&gt;0,CurrentMtgRatesDataTable8[[#This Row],[Rate]]-C1461,N1461)</f>
        <v>-7.5000000000000178E-2</v>
      </c>
    </row>
    <row r="1463" spans="1:14">
      <c r="A1463" s="67" t="s">
        <v>2815</v>
      </c>
      <c r="B1463" s="68">
        <v>4.2693829925010798</v>
      </c>
      <c r="C1463" s="69">
        <v>4.8650000000000002</v>
      </c>
      <c r="D1463" s="70">
        <f t="shared" si="154"/>
        <v>2</v>
      </c>
      <c r="E1463" s="70">
        <f t="shared" si="155"/>
        <v>0.2</v>
      </c>
      <c r="F1463" s="70">
        <f t="shared" si="156"/>
        <v>2</v>
      </c>
      <c r="G1463" s="70">
        <f t="shared" si="157"/>
        <v>1.7154277089666161</v>
      </c>
      <c r="H1463" s="70">
        <f t="shared" si="158"/>
        <v>0.4</v>
      </c>
      <c r="I1463" s="70">
        <f t="shared" si="159"/>
        <v>0</v>
      </c>
      <c r="J1463" s="70">
        <f t="shared" si="160"/>
        <v>0</v>
      </c>
      <c r="K1463" s="70">
        <f>IF(CurrentMtgRatesDataTable8[[#This Row],[WA CC]]&lt;&gt;0,C1462-CurrentMtgRatesDataTable8[[#This Row],[WA CC]],0)</f>
        <v>0</v>
      </c>
      <c r="L1463" s="70">
        <f>IF(CurrentMtgRatesDataTable8[[#This Row],[Servicing Spread]]&lt;=0,L1462,CurrentMtgRatesDataTable8[[#This Row],[Servicing Spread]])</f>
        <v>0.56560366516238769</v>
      </c>
      <c r="M1463" s="70">
        <f>CurrentMtgRatesDataTable8[[#This Row],[Servicing Spread Non-Zero]]-L1462</f>
        <v>0</v>
      </c>
      <c r="N1463" s="70">
        <f>IF(J1462&lt;&gt;0,CurrentMtgRatesDataTable8[[#This Row],[Rate]]-C1462,N1462)</f>
        <v>-7.5000000000000178E-2</v>
      </c>
    </row>
    <row r="1464" spans="1:14">
      <c r="A1464" s="67" t="s">
        <v>2816</v>
      </c>
      <c r="B1464" s="68">
        <v>4.2157690741212202</v>
      </c>
      <c r="C1464" s="69">
        <v>4.8650000000000002</v>
      </c>
      <c r="D1464" s="70">
        <f t="shared" si="154"/>
        <v>5</v>
      </c>
      <c r="E1464" s="70">
        <f t="shared" si="155"/>
        <v>0.2</v>
      </c>
      <c r="F1464" s="70">
        <f t="shared" si="156"/>
        <v>3</v>
      </c>
      <c r="G1464" s="70">
        <f t="shared" si="157"/>
        <v>2.5585815237908602</v>
      </c>
      <c r="H1464" s="70">
        <f t="shared" si="158"/>
        <v>0.60000000000000009</v>
      </c>
      <c r="I1464" s="70">
        <f t="shared" si="159"/>
        <v>0</v>
      </c>
      <c r="J1464" s="70">
        <f t="shared" si="160"/>
        <v>0</v>
      </c>
      <c r="K1464" s="70">
        <f>IF(CurrentMtgRatesDataTable8[[#This Row],[WA CC]]&lt;&gt;0,C1463-CurrentMtgRatesDataTable8[[#This Row],[WA CC]],0)</f>
        <v>0</v>
      </c>
      <c r="L1464" s="70">
        <f>IF(CurrentMtgRatesDataTable8[[#This Row],[Servicing Spread]]&lt;=0,L1463,CurrentMtgRatesDataTable8[[#This Row],[Servicing Spread]])</f>
        <v>0.56560366516238769</v>
      </c>
      <c r="M1464" s="70">
        <f>CurrentMtgRatesDataTable8[[#This Row],[Servicing Spread Non-Zero]]-L1463</f>
        <v>0</v>
      </c>
      <c r="N1464" s="70">
        <f>IF(J1463&lt;&gt;0,CurrentMtgRatesDataTable8[[#This Row],[Rate]]-C1463,N1463)</f>
        <v>-7.5000000000000178E-2</v>
      </c>
    </row>
    <row r="1465" spans="1:14">
      <c r="A1465" s="67" t="s">
        <v>2817</v>
      </c>
      <c r="B1465" s="68">
        <v>4.20861900620468</v>
      </c>
      <c r="C1465" s="69">
        <v>4.8650000000000002</v>
      </c>
      <c r="D1465" s="70">
        <f t="shared" si="154"/>
        <v>6</v>
      </c>
      <c r="E1465" s="70">
        <f t="shared" si="155"/>
        <v>0.2</v>
      </c>
      <c r="F1465" s="70">
        <f t="shared" si="156"/>
        <v>4</v>
      </c>
      <c r="G1465" s="70">
        <f t="shared" si="157"/>
        <v>3.4003053250317965</v>
      </c>
      <c r="H1465" s="70">
        <f t="shared" si="158"/>
        <v>0.8</v>
      </c>
      <c r="I1465" s="70">
        <f t="shared" si="159"/>
        <v>0</v>
      </c>
      <c r="J1465" s="70">
        <f t="shared" si="160"/>
        <v>0</v>
      </c>
      <c r="K1465" s="70">
        <f>IF(CurrentMtgRatesDataTable8[[#This Row],[WA CC]]&lt;&gt;0,C1464-CurrentMtgRatesDataTable8[[#This Row],[WA CC]],0)</f>
        <v>0</v>
      </c>
      <c r="L1465" s="70">
        <f>IF(CurrentMtgRatesDataTable8[[#This Row],[Servicing Spread]]&lt;=0,L1464,CurrentMtgRatesDataTable8[[#This Row],[Servicing Spread]])</f>
        <v>0.56560366516238769</v>
      </c>
      <c r="M1465" s="70">
        <f>CurrentMtgRatesDataTable8[[#This Row],[Servicing Spread Non-Zero]]-L1464</f>
        <v>0</v>
      </c>
      <c r="N1465" s="70">
        <f>IF(J1464&lt;&gt;0,CurrentMtgRatesDataTable8[[#This Row],[Rate]]-C1464,N1464)</f>
        <v>-7.5000000000000178E-2</v>
      </c>
    </row>
    <row r="1466" spans="1:14">
      <c r="A1466" s="67" t="s">
        <v>2818</v>
      </c>
      <c r="B1466" s="68">
        <v>4.2246706147488897</v>
      </c>
      <c r="C1466" s="69">
        <v>4.8650000000000002</v>
      </c>
      <c r="D1466" s="70">
        <f t="shared" si="154"/>
        <v>7</v>
      </c>
      <c r="E1466" s="70">
        <f t="shared" si="155"/>
        <v>0.2</v>
      </c>
      <c r="F1466" s="70">
        <f t="shared" si="156"/>
        <v>5</v>
      </c>
      <c r="G1466" s="70">
        <f t="shared" si="157"/>
        <v>4.2452394479815743</v>
      </c>
      <c r="H1466" s="70">
        <f t="shared" si="158"/>
        <v>1</v>
      </c>
      <c r="I1466" s="70">
        <f t="shared" si="159"/>
        <v>1</v>
      </c>
      <c r="J1466" s="70">
        <f t="shared" si="160"/>
        <v>4.2452394479815743</v>
      </c>
      <c r="K1466" s="70">
        <f>IF(CurrentMtgRatesDataTable8[[#This Row],[WA CC]]&lt;&gt;0,C1465-CurrentMtgRatesDataTable8[[#This Row],[WA CC]],0)</f>
        <v>0.61976055201842595</v>
      </c>
      <c r="L1466" s="70">
        <f>IF(CurrentMtgRatesDataTable8[[#This Row],[Servicing Spread]]&lt;=0,L1465,CurrentMtgRatesDataTable8[[#This Row],[Servicing Spread]])</f>
        <v>0.61976055201842595</v>
      </c>
      <c r="M1466" s="70">
        <f>CurrentMtgRatesDataTable8[[#This Row],[Servicing Spread Non-Zero]]-L1465</f>
        <v>5.4156886856038255E-2</v>
      </c>
      <c r="N1466" s="70">
        <f>IF(J1465&lt;&gt;0,CurrentMtgRatesDataTable8[[#This Row],[Rate]]-C1465,N1465)</f>
        <v>-7.5000000000000178E-2</v>
      </c>
    </row>
    <row r="1467" spans="1:14">
      <c r="A1467" s="67" t="s">
        <v>2819</v>
      </c>
      <c r="B1467" s="68">
        <v>4.1036651214712503</v>
      </c>
      <c r="C1467" s="69">
        <v>4.7949999999999999</v>
      </c>
      <c r="D1467" s="70">
        <f t="shared" si="154"/>
        <v>1</v>
      </c>
      <c r="E1467" s="70">
        <f t="shared" si="155"/>
        <v>0.2</v>
      </c>
      <c r="F1467" s="70">
        <f t="shared" si="156"/>
        <v>1</v>
      </c>
      <c r="G1467" s="70">
        <f t="shared" si="157"/>
        <v>0.8207330242942501</v>
      </c>
      <c r="H1467" s="70">
        <f t="shared" si="158"/>
        <v>0.2</v>
      </c>
      <c r="I1467" s="70">
        <f t="shared" si="159"/>
        <v>0</v>
      </c>
      <c r="J1467" s="70">
        <f t="shared" si="160"/>
        <v>0</v>
      </c>
      <c r="K1467" s="70">
        <f>IF(CurrentMtgRatesDataTable8[[#This Row],[WA CC]]&lt;&gt;0,C1466-CurrentMtgRatesDataTable8[[#This Row],[WA CC]],0)</f>
        <v>0</v>
      </c>
      <c r="L1467" s="70">
        <f>IF(CurrentMtgRatesDataTable8[[#This Row],[Servicing Spread]]&lt;=0,L1466,CurrentMtgRatesDataTable8[[#This Row],[Servicing Spread]])</f>
        <v>0.61976055201842595</v>
      </c>
      <c r="M1467" s="70">
        <f>CurrentMtgRatesDataTable8[[#This Row],[Servicing Spread Non-Zero]]-L1466</f>
        <v>0</v>
      </c>
      <c r="N1467" s="70">
        <f>IF(J1466&lt;&gt;0,CurrentMtgRatesDataTable8[[#This Row],[Rate]]-C1466,N1466)</f>
        <v>-7.0000000000000284E-2</v>
      </c>
    </row>
    <row r="1468" spans="1:14">
      <c r="A1468" s="67" t="s">
        <v>2820</v>
      </c>
      <c r="B1468" s="68">
        <v>4.1062803770596004</v>
      </c>
      <c r="C1468" s="69">
        <v>4.7949999999999999</v>
      </c>
      <c r="D1468" s="70">
        <f t="shared" si="154"/>
        <v>2</v>
      </c>
      <c r="E1468" s="70">
        <f t="shared" si="155"/>
        <v>0.2</v>
      </c>
      <c r="F1468" s="70">
        <f t="shared" si="156"/>
        <v>2</v>
      </c>
      <c r="G1468" s="70">
        <f t="shared" si="157"/>
        <v>1.6419890997061701</v>
      </c>
      <c r="H1468" s="70">
        <f t="shared" si="158"/>
        <v>0.4</v>
      </c>
      <c r="I1468" s="70">
        <f t="shared" si="159"/>
        <v>0</v>
      </c>
      <c r="J1468" s="70">
        <f t="shared" si="160"/>
        <v>0</v>
      </c>
      <c r="K1468" s="70">
        <f>IF(CurrentMtgRatesDataTable8[[#This Row],[WA CC]]&lt;&gt;0,C1467-CurrentMtgRatesDataTable8[[#This Row],[WA CC]],0)</f>
        <v>0</v>
      </c>
      <c r="L1468" s="70">
        <f>IF(CurrentMtgRatesDataTable8[[#This Row],[Servicing Spread]]&lt;=0,L1467,CurrentMtgRatesDataTable8[[#This Row],[Servicing Spread]])</f>
        <v>0.61976055201842595</v>
      </c>
      <c r="M1468" s="70">
        <f>CurrentMtgRatesDataTable8[[#This Row],[Servicing Spread Non-Zero]]-L1467</f>
        <v>0</v>
      </c>
      <c r="N1468" s="70">
        <f>IF(J1467&lt;&gt;0,CurrentMtgRatesDataTable8[[#This Row],[Rate]]-C1467,N1467)</f>
        <v>-7.0000000000000284E-2</v>
      </c>
    </row>
    <row r="1469" spans="1:14">
      <c r="A1469" s="67" t="s">
        <v>2821</v>
      </c>
      <c r="B1469" s="68">
        <v>4.13196584982978</v>
      </c>
      <c r="C1469" s="69">
        <v>4.7949999999999999</v>
      </c>
      <c r="D1469" s="70">
        <f t="shared" si="154"/>
        <v>5</v>
      </c>
      <c r="E1469" s="70">
        <f t="shared" si="155"/>
        <v>0.2</v>
      </c>
      <c r="F1469" s="70">
        <f t="shared" si="156"/>
        <v>3</v>
      </c>
      <c r="G1469" s="70">
        <f t="shared" si="157"/>
        <v>2.468382269672126</v>
      </c>
      <c r="H1469" s="70">
        <f t="shared" si="158"/>
        <v>0.60000000000000009</v>
      </c>
      <c r="I1469" s="70">
        <f t="shared" si="159"/>
        <v>0</v>
      </c>
      <c r="J1469" s="70">
        <f t="shared" si="160"/>
        <v>0</v>
      </c>
      <c r="K1469" s="70">
        <f>IF(CurrentMtgRatesDataTable8[[#This Row],[WA CC]]&lt;&gt;0,C1468-CurrentMtgRatesDataTable8[[#This Row],[WA CC]],0)</f>
        <v>0</v>
      </c>
      <c r="L1469" s="70">
        <f>IF(CurrentMtgRatesDataTable8[[#This Row],[Servicing Spread]]&lt;=0,L1468,CurrentMtgRatesDataTable8[[#This Row],[Servicing Spread]])</f>
        <v>0.61976055201842595</v>
      </c>
      <c r="M1469" s="70">
        <f>CurrentMtgRatesDataTable8[[#This Row],[Servicing Spread Non-Zero]]-L1468</f>
        <v>0</v>
      </c>
      <c r="N1469" s="70">
        <f>IF(J1468&lt;&gt;0,CurrentMtgRatesDataTable8[[#This Row],[Rate]]-C1468,N1468)</f>
        <v>-7.0000000000000284E-2</v>
      </c>
    </row>
    <row r="1470" spans="1:14">
      <c r="A1470" s="67" t="s">
        <v>2822</v>
      </c>
      <c r="B1470" s="68">
        <v>4.1411248917961396</v>
      </c>
      <c r="C1470" s="69">
        <v>4.7949999999999999</v>
      </c>
      <c r="D1470" s="70">
        <f t="shared" si="154"/>
        <v>6</v>
      </c>
      <c r="E1470" s="70">
        <f t="shared" si="155"/>
        <v>0.2</v>
      </c>
      <c r="F1470" s="70">
        <f t="shared" si="156"/>
        <v>4</v>
      </c>
      <c r="G1470" s="70">
        <f t="shared" si="157"/>
        <v>3.296607248031354</v>
      </c>
      <c r="H1470" s="70">
        <f t="shared" si="158"/>
        <v>0.8</v>
      </c>
      <c r="I1470" s="70">
        <f t="shared" si="159"/>
        <v>0</v>
      </c>
      <c r="J1470" s="70">
        <f t="shared" si="160"/>
        <v>0</v>
      </c>
      <c r="K1470" s="70">
        <f>IF(CurrentMtgRatesDataTable8[[#This Row],[WA CC]]&lt;&gt;0,C1469-CurrentMtgRatesDataTable8[[#This Row],[WA CC]],0)</f>
        <v>0</v>
      </c>
      <c r="L1470" s="70">
        <f>IF(CurrentMtgRatesDataTable8[[#This Row],[Servicing Spread]]&lt;=0,L1469,CurrentMtgRatesDataTable8[[#This Row],[Servicing Spread]])</f>
        <v>0.61976055201842595</v>
      </c>
      <c r="M1470" s="70">
        <f>CurrentMtgRatesDataTable8[[#This Row],[Servicing Spread Non-Zero]]-L1469</f>
        <v>0</v>
      </c>
      <c r="N1470" s="70">
        <f>IF(J1469&lt;&gt;0,CurrentMtgRatesDataTable8[[#This Row],[Rate]]-C1469,N1469)</f>
        <v>-7.0000000000000284E-2</v>
      </c>
    </row>
    <row r="1471" spans="1:14">
      <c r="A1471" s="67" t="s">
        <v>2823</v>
      </c>
      <c r="B1471" s="68">
        <v>4.0916476404722104</v>
      </c>
      <c r="C1471" s="69">
        <v>4.7949999999999999</v>
      </c>
      <c r="D1471" s="70">
        <f t="shared" si="154"/>
        <v>7</v>
      </c>
      <c r="E1471" s="70">
        <f t="shared" si="155"/>
        <v>0.2</v>
      </c>
      <c r="F1471" s="70">
        <f t="shared" si="156"/>
        <v>5</v>
      </c>
      <c r="G1471" s="70">
        <f t="shared" si="157"/>
        <v>4.1149367761257958</v>
      </c>
      <c r="H1471" s="70">
        <f t="shared" si="158"/>
        <v>1</v>
      </c>
      <c r="I1471" s="70">
        <f t="shared" si="159"/>
        <v>1</v>
      </c>
      <c r="J1471" s="70">
        <f t="shared" si="160"/>
        <v>4.1149367761257958</v>
      </c>
      <c r="K1471" s="70">
        <f>IF(CurrentMtgRatesDataTable8[[#This Row],[WA CC]]&lt;&gt;0,C1470-CurrentMtgRatesDataTable8[[#This Row],[WA CC]],0)</f>
        <v>0.68006322387420415</v>
      </c>
      <c r="L1471" s="70">
        <f>IF(CurrentMtgRatesDataTable8[[#This Row],[Servicing Spread]]&lt;=0,L1470,CurrentMtgRatesDataTable8[[#This Row],[Servicing Spread]])</f>
        <v>0.68006322387420415</v>
      </c>
      <c r="M1471" s="70">
        <f>CurrentMtgRatesDataTable8[[#This Row],[Servicing Spread Non-Zero]]-L1470</f>
        <v>6.03026718557782E-2</v>
      </c>
      <c r="N1471" s="70">
        <f>IF(J1470&lt;&gt;0,CurrentMtgRatesDataTable8[[#This Row],[Rate]]-C1470,N1470)</f>
        <v>-7.0000000000000284E-2</v>
      </c>
    </row>
    <row r="1472" spans="1:14">
      <c r="A1472" s="67" t="s">
        <v>2824</v>
      </c>
      <c r="B1472" s="68">
        <v>4.1215548044602803</v>
      </c>
      <c r="C1472" s="69">
        <v>4.8449999999999998</v>
      </c>
      <c r="D1472" s="70">
        <f t="shared" si="154"/>
        <v>1</v>
      </c>
      <c r="E1472" s="70">
        <f t="shared" si="155"/>
        <v>0.2</v>
      </c>
      <c r="F1472" s="70">
        <f t="shared" si="156"/>
        <v>1</v>
      </c>
      <c r="G1472" s="70">
        <f t="shared" si="157"/>
        <v>0.82431096089205613</v>
      </c>
      <c r="H1472" s="70">
        <f t="shared" si="158"/>
        <v>0.2</v>
      </c>
      <c r="I1472" s="70">
        <f t="shared" si="159"/>
        <v>0</v>
      </c>
      <c r="J1472" s="70">
        <f t="shared" si="160"/>
        <v>0</v>
      </c>
      <c r="K1472" s="70">
        <f>IF(CurrentMtgRatesDataTable8[[#This Row],[WA CC]]&lt;&gt;0,C1471-CurrentMtgRatesDataTable8[[#This Row],[WA CC]],0)</f>
        <v>0</v>
      </c>
      <c r="L1472" s="70">
        <f>IF(CurrentMtgRatesDataTable8[[#This Row],[Servicing Spread]]&lt;=0,L1471,CurrentMtgRatesDataTable8[[#This Row],[Servicing Spread]])</f>
        <v>0.68006322387420415</v>
      </c>
      <c r="M1472" s="70">
        <f>CurrentMtgRatesDataTable8[[#This Row],[Servicing Spread Non-Zero]]-L1471</f>
        <v>0</v>
      </c>
      <c r="N1472" s="70">
        <f>IF(J1471&lt;&gt;0,CurrentMtgRatesDataTable8[[#This Row],[Rate]]-C1471,N1471)</f>
        <v>4.9999999999999822E-2</v>
      </c>
    </row>
    <row r="1473" spans="1:14">
      <c r="A1473" s="67" t="s">
        <v>2825</v>
      </c>
      <c r="B1473" s="68">
        <v>4.25157131551628</v>
      </c>
      <c r="C1473" s="69">
        <v>4.8449999999999998</v>
      </c>
      <c r="D1473" s="70">
        <f t="shared" si="154"/>
        <v>2</v>
      </c>
      <c r="E1473" s="70">
        <f t="shared" si="155"/>
        <v>0.2</v>
      </c>
      <c r="F1473" s="70">
        <f t="shared" si="156"/>
        <v>2</v>
      </c>
      <c r="G1473" s="70">
        <f t="shared" si="157"/>
        <v>1.6746252239953123</v>
      </c>
      <c r="H1473" s="70">
        <f t="shared" si="158"/>
        <v>0.4</v>
      </c>
      <c r="I1473" s="70">
        <f t="shared" si="159"/>
        <v>0</v>
      </c>
      <c r="J1473" s="70">
        <f t="shared" si="160"/>
        <v>0</v>
      </c>
      <c r="K1473" s="70">
        <f>IF(CurrentMtgRatesDataTable8[[#This Row],[WA CC]]&lt;&gt;0,C1472-CurrentMtgRatesDataTable8[[#This Row],[WA CC]],0)</f>
        <v>0</v>
      </c>
      <c r="L1473" s="70">
        <f>IF(CurrentMtgRatesDataTable8[[#This Row],[Servicing Spread]]&lt;=0,L1472,CurrentMtgRatesDataTable8[[#This Row],[Servicing Spread]])</f>
        <v>0.68006322387420415</v>
      </c>
      <c r="M1473" s="70">
        <f>CurrentMtgRatesDataTable8[[#This Row],[Servicing Spread Non-Zero]]-L1472</f>
        <v>0</v>
      </c>
      <c r="N1473" s="70">
        <f>IF(J1472&lt;&gt;0,CurrentMtgRatesDataTable8[[#This Row],[Rate]]-C1472,N1472)</f>
        <v>4.9999999999999822E-2</v>
      </c>
    </row>
    <row r="1474" spans="1:14">
      <c r="A1474" s="67" t="s">
        <v>2826</v>
      </c>
      <c r="B1474" s="68">
        <v>4.2189338879677702</v>
      </c>
      <c r="C1474" s="69">
        <v>4.8449999999999998</v>
      </c>
      <c r="D1474" s="70">
        <f t="shared" si="154"/>
        <v>6</v>
      </c>
      <c r="E1474" s="70">
        <f t="shared" si="155"/>
        <v>0.2</v>
      </c>
      <c r="F1474" s="70">
        <f t="shared" si="156"/>
        <v>3</v>
      </c>
      <c r="G1474" s="70">
        <f t="shared" si="157"/>
        <v>2.5184120015888665</v>
      </c>
      <c r="H1474" s="70">
        <f t="shared" si="158"/>
        <v>0.60000000000000009</v>
      </c>
      <c r="I1474" s="70">
        <f t="shared" si="159"/>
        <v>0</v>
      </c>
      <c r="J1474" s="70">
        <f t="shared" si="160"/>
        <v>0</v>
      </c>
      <c r="K1474" s="70">
        <f>IF(CurrentMtgRatesDataTable8[[#This Row],[WA CC]]&lt;&gt;0,C1473-CurrentMtgRatesDataTable8[[#This Row],[WA CC]],0)</f>
        <v>0</v>
      </c>
      <c r="L1474" s="70">
        <f>IF(CurrentMtgRatesDataTable8[[#This Row],[Servicing Spread]]&lt;=0,L1473,CurrentMtgRatesDataTable8[[#This Row],[Servicing Spread]])</f>
        <v>0.68006322387420415</v>
      </c>
      <c r="M1474" s="70">
        <f>CurrentMtgRatesDataTable8[[#This Row],[Servicing Spread Non-Zero]]-L1473</f>
        <v>0</v>
      </c>
      <c r="N1474" s="70">
        <f>IF(J1473&lt;&gt;0,CurrentMtgRatesDataTable8[[#This Row],[Rate]]-C1473,N1473)</f>
        <v>4.9999999999999822E-2</v>
      </c>
    </row>
    <row r="1475" spans="1:14">
      <c r="A1475" s="67" t="s">
        <v>2827</v>
      </c>
      <c r="B1475" s="68">
        <v>4.3229656821981903</v>
      </c>
      <c r="C1475" s="69">
        <v>4.8449999999999998</v>
      </c>
      <c r="D1475" s="70">
        <f t="shared" si="154"/>
        <v>7</v>
      </c>
      <c r="E1475" s="70">
        <f t="shared" si="155"/>
        <v>0.2</v>
      </c>
      <c r="F1475" s="70">
        <f t="shared" si="156"/>
        <v>4</v>
      </c>
      <c r="G1475" s="70">
        <f t="shared" si="157"/>
        <v>3.3830051380285044</v>
      </c>
      <c r="H1475" s="70">
        <f t="shared" si="158"/>
        <v>0.8</v>
      </c>
      <c r="I1475" s="70">
        <f t="shared" si="159"/>
        <v>1</v>
      </c>
      <c r="J1475" s="70">
        <f t="shared" si="160"/>
        <v>4.2287564225356302</v>
      </c>
      <c r="K1475" s="70">
        <f>IF(CurrentMtgRatesDataTable8[[#This Row],[WA CC]]&lt;&gt;0,C1474-CurrentMtgRatesDataTable8[[#This Row],[WA CC]],0)</f>
        <v>0.61624357746436953</v>
      </c>
      <c r="L1475" s="70">
        <f>IF(CurrentMtgRatesDataTable8[[#This Row],[Servicing Spread]]&lt;=0,L1474,CurrentMtgRatesDataTable8[[#This Row],[Servicing Spread]])</f>
        <v>0.61624357746436953</v>
      </c>
      <c r="M1475" s="70">
        <f>CurrentMtgRatesDataTable8[[#This Row],[Servicing Spread Non-Zero]]-L1474</f>
        <v>-6.3819646409834618E-2</v>
      </c>
      <c r="N1475" s="70">
        <f>IF(J1474&lt;&gt;0,CurrentMtgRatesDataTable8[[#This Row],[Rate]]-C1474,N1474)</f>
        <v>4.9999999999999822E-2</v>
      </c>
    </row>
    <row r="1476" spans="1:14">
      <c r="A1476" s="67" t="s">
        <v>2828</v>
      </c>
      <c r="B1476" s="68">
        <v>4.4003888929265802</v>
      </c>
      <c r="C1476" s="69">
        <v>4.9249999999999998</v>
      </c>
      <c r="D1476" s="70">
        <f t="shared" si="154"/>
        <v>1</v>
      </c>
      <c r="E1476" s="70">
        <f t="shared" si="155"/>
        <v>0.2</v>
      </c>
      <c r="F1476" s="70">
        <f t="shared" si="156"/>
        <v>1</v>
      </c>
      <c r="G1476" s="70">
        <f t="shared" si="157"/>
        <v>0.88007777858531611</v>
      </c>
      <c r="H1476" s="70">
        <f t="shared" si="158"/>
        <v>0.2</v>
      </c>
      <c r="I1476" s="70">
        <f t="shared" si="159"/>
        <v>0</v>
      </c>
      <c r="J1476" s="70">
        <f t="shared" si="160"/>
        <v>0</v>
      </c>
      <c r="K1476" s="70">
        <f>IF(CurrentMtgRatesDataTable8[[#This Row],[WA CC]]&lt;&gt;0,C1475-CurrentMtgRatesDataTable8[[#This Row],[WA CC]],0)</f>
        <v>0</v>
      </c>
      <c r="L1476" s="70">
        <f>IF(CurrentMtgRatesDataTable8[[#This Row],[Servicing Spread]]&lt;=0,L1475,CurrentMtgRatesDataTable8[[#This Row],[Servicing Spread]])</f>
        <v>0.61624357746436953</v>
      </c>
      <c r="M1476" s="70">
        <f>CurrentMtgRatesDataTable8[[#This Row],[Servicing Spread Non-Zero]]-L1475</f>
        <v>0</v>
      </c>
      <c r="N1476" s="70">
        <f>IF(J1475&lt;&gt;0,CurrentMtgRatesDataTable8[[#This Row],[Rate]]-C1475,N1475)</f>
        <v>8.0000000000000071E-2</v>
      </c>
    </row>
    <row r="1477" spans="1:14">
      <c r="A1477" s="67" t="s">
        <v>2829</v>
      </c>
      <c r="B1477" s="68">
        <v>4.35814613727121</v>
      </c>
      <c r="C1477" s="69">
        <v>4.9249999999999998</v>
      </c>
      <c r="D1477" s="70">
        <f t="shared" ref="D1477:D1540" si="161">WEEKDAY(A1477,14)</f>
        <v>2</v>
      </c>
      <c r="E1477" s="70">
        <f t="shared" ref="E1477:E1540" si="162">VLOOKUP(D1477,Q$5:R$11,2,FALSE)</f>
        <v>0.2</v>
      </c>
      <c r="F1477" s="70">
        <f t="shared" ref="F1477:F1540" si="163">IF(AND(D1477&gt;D1476,F1476&lt;6),F1476+1,1)</f>
        <v>2</v>
      </c>
      <c r="G1477" s="70">
        <f t="shared" ref="G1477:G1540" si="164">IF(F1477&gt;F1476,G1476+B1477*E1477,B1477*E1477)</f>
        <v>1.7517070060395583</v>
      </c>
      <c r="H1477" s="70">
        <f t="shared" ref="H1477:H1540" si="165">IF(AND(F1477&lt;6,F1477&gt;F1476),E1477+H1476,E1477)</f>
        <v>0.4</v>
      </c>
      <c r="I1477" s="70">
        <f t="shared" ref="I1477:I1540" si="166">IF(F1477&gt;F1478,1,0)</f>
        <v>0</v>
      </c>
      <c r="J1477" s="70">
        <f t="shared" ref="J1477:J1540" si="167">IF(F1477&gt;F1478,G1477/H1477,0)</f>
        <v>0</v>
      </c>
      <c r="K1477" s="70">
        <f>IF(CurrentMtgRatesDataTable8[[#This Row],[WA CC]]&lt;&gt;0,C1476-CurrentMtgRatesDataTable8[[#This Row],[WA CC]],0)</f>
        <v>0</v>
      </c>
      <c r="L1477" s="70">
        <f>IF(CurrentMtgRatesDataTable8[[#This Row],[Servicing Spread]]&lt;=0,L1476,CurrentMtgRatesDataTable8[[#This Row],[Servicing Spread]])</f>
        <v>0.61624357746436953</v>
      </c>
      <c r="M1477" s="70">
        <f>CurrentMtgRatesDataTable8[[#This Row],[Servicing Spread Non-Zero]]-L1476</f>
        <v>0</v>
      </c>
      <c r="N1477" s="70">
        <f>IF(J1476&lt;&gt;0,CurrentMtgRatesDataTable8[[#This Row],[Rate]]-C1476,N1476)</f>
        <v>8.0000000000000071E-2</v>
      </c>
    </row>
    <row r="1478" spans="1:14">
      <c r="A1478" s="67" t="s">
        <v>2830</v>
      </c>
      <c r="B1478" s="68">
        <v>4.3423147818274304</v>
      </c>
      <c r="C1478" s="69">
        <v>4.9249999999999998</v>
      </c>
      <c r="D1478" s="70">
        <f t="shared" si="161"/>
        <v>5</v>
      </c>
      <c r="E1478" s="70">
        <f t="shared" si="162"/>
        <v>0.2</v>
      </c>
      <c r="F1478" s="70">
        <f t="shared" si="163"/>
        <v>3</v>
      </c>
      <c r="G1478" s="70">
        <f t="shared" si="164"/>
        <v>2.6201699624050443</v>
      </c>
      <c r="H1478" s="70">
        <f t="shared" si="165"/>
        <v>0.60000000000000009</v>
      </c>
      <c r="I1478" s="70">
        <f t="shared" si="166"/>
        <v>0</v>
      </c>
      <c r="J1478" s="70">
        <f t="shared" si="167"/>
        <v>0</v>
      </c>
      <c r="K1478" s="70">
        <f>IF(CurrentMtgRatesDataTable8[[#This Row],[WA CC]]&lt;&gt;0,C1477-CurrentMtgRatesDataTable8[[#This Row],[WA CC]],0)</f>
        <v>0</v>
      </c>
      <c r="L1478" s="70">
        <f>IF(CurrentMtgRatesDataTable8[[#This Row],[Servicing Spread]]&lt;=0,L1477,CurrentMtgRatesDataTable8[[#This Row],[Servicing Spread]])</f>
        <v>0.61624357746436953</v>
      </c>
      <c r="M1478" s="70">
        <f>CurrentMtgRatesDataTable8[[#This Row],[Servicing Spread Non-Zero]]-L1477</f>
        <v>0</v>
      </c>
      <c r="N1478" s="70">
        <f>IF(J1477&lt;&gt;0,CurrentMtgRatesDataTable8[[#This Row],[Rate]]-C1477,N1477)</f>
        <v>8.0000000000000071E-2</v>
      </c>
    </row>
    <row r="1479" spans="1:14">
      <c r="A1479" s="67" t="s">
        <v>2831</v>
      </c>
      <c r="B1479" s="68">
        <v>4.3050974396980903</v>
      </c>
      <c r="C1479" s="69">
        <v>4.9249999999999998</v>
      </c>
      <c r="D1479" s="70">
        <f t="shared" si="161"/>
        <v>6</v>
      </c>
      <c r="E1479" s="70">
        <f t="shared" si="162"/>
        <v>0.2</v>
      </c>
      <c r="F1479" s="70">
        <f t="shared" si="163"/>
        <v>4</v>
      </c>
      <c r="G1479" s="70">
        <f t="shared" si="164"/>
        <v>3.4811894503446625</v>
      </c>
      <c r="H1479" s="70">
        <f t="shared" si="165"/>
        <v>0.8</v>
      </c>
      <c r="I1479" s="70">
        <f t="shared" si="166"/>
        <v>0</v>
      </c>
      <c r="J1479" s="70">
        <f t="shared" si="167"/>
        <v>0</v>
      </c>
      <c r="K1479" s="70">
        <f>IF(CurrentMtgRatesDataTable8[[#This Row],[WA CC]]&lt;&gt;0,C1478-CurrentMtgRatesDataTable8[[#This Row],[WA CC]],0)</f>
        <v>0</v>
      </c>
      <c r="L1479" s="70">
        <f>IF(CurrentMtgRatesDataTable8[[#This Row],[Servicing Spread]]&lt;=0,L1478,CurrentMtgRatesDataTable8[[#This Row],[Servicing Spread]])</f>
        <v>0.61624357746436953</v>
      </c>
      <c r="M1479" s="70">
        <f>CurrentMtgRatesDataTable8[[#This Row],[Servicing Spread Non-Zero]]-L1478</f>
        <v>0</v>
      </c>
      <c r="N1479" s="70">
        <f>IF(J1478&lt;&gt;0,CurrentMtgRatesDataTable8[[#This Row],[Rate]]-C1478,N1478)</f>
        <v>8.0000000000000071E-2</v>
      </c>
    </row>
    <row r="1480" spans="1:14">
      <c r="A1480" s="67" t="s">
        <v>2832</v>
      </c>
      <c r="B1480" s="68">
        <v>4.3519072215429899</v>
      </c>
      <c r="C1480" s="69">
        <v>4.9249999999999998</v>
      </c>
      <c r="D1480" s="70">
        <f t="shared" si="161"/>
        <v>7</v>
      </c>
      <c r="E1480" s="70">
        <f t="shared" si="162"/>
        <v>0.2</v>
      </c>
      <c r="F1480" s="70">
        <f t="shared" si="163"/>
        <v>5</v>
      </c>
      <c r="G1480" s="70">
        <f t="shared" si="164"/>
        <v>4.3515708946532605</v>
      </c>
      <c r="H1480" s="70">
        <f t="shared" si="165"/>
        <v>1</v>
      </c>
      <c r="I1480" s="70">
        <f t="shared" si="166"/>
        <v>1</v>
      </c>
      <c r="J1480" s="70">
        <f t="shared" si="167"/>
        <v>4.3515708946532605</v>
      </c>
      <c r="K1480" s="70">
        <f>IF(CurrentMtgRatesDataTable8[[#This Row],[WA CC]]&lt;&gt;0,C1479-CurrentMtgRatesDataTable8[[#This Row],[WA CC]],0)</f>
        <v>0.5734291053467393</v>
      </c>
      <c r="L1480" s="70">
        <f>IF(CurrentMtgRatesDataTable8[[#This Row],[Servicing Spread]]&lt;=0,L1479,CurrentMtgRatesDataTable8[[#This Row],[Servicing Spread]])</f>
        <v>0.5734291053467393</v>
      </c>
      <c r="M1480" s="70">
        <f>CurrentMtgRatesDataTable8[[#This Row],[Servicing Spread Non-Zero]]-L1479</f>
        <v>-4.2814472117630231E-2</v>
      </c>
      <c r="N1480" s="70">
        <f>IF(J1479&lt;&gt;0,CurrentMtgRatesDataTable8[[#This Row],[Rate]]-C1479,N1479)</f>
        <v>8.0000000000000071E-2</v>
      </c>
    </row>
    <row r="1481" spans="1:14">
      <c r="A1481" s="67" t="s">
        <v>2833</v>
      </c>
      <c r="B1481" s="68">
        <v>4.3488818556653497</v>
      </c>
      <c r="C1481" s="69">
        <v>4.9550000000000001</v>
      </c>
      <c r="D1481" s="70">
        <f t="shared" si="161"/>
        <v>1</v>
      </c>
      <c r="E1481" s="70">
        <f t="shared" si="162"/>
        <v>0.2</v>
      </c>
      <c r="F1481" s="70">
        <f t="shared" si="163"/>
        <v>1</v>
      </c>
      <c r="G1481" s="70">
        <f t="shared" si="164"/>
        <v>0.86977637113306994</v>
      </c>
      <c r="H1481" s="70">
        <f t="shared" si="165"/>
        <v>0.2</v>
      </c>
      <c r="I1481" s="70">
        <f t="shared" si="166"/>
        <v>0</v>
      </c>
      <c r="J1481" s="70">
        <f t="shared" si="167"/>
        <v>0</v>
      </c>
      <c r="K1481" s="70">
        <f>IF(CurrentMtgRatesDataTable8[[#This Row],[WA CC]]&lt;&gt;0,C1480-CurrentMtgRatesDataTable8[[#This Row],[WA CC]],0)</f>
        <v>0</v>
      </c>
      <c r="L1481" s="70">
        <f>IF(CurrentMtgRatesDataTable8[[#This Row],[Servicing Spread]]&lt;=0,L1480,CurrentMtgRatesDataTable8[[#This Row],[Servicing Spread]])</f>
        <v>0.5734291053467393</v>
      </c>
      <c r="M1481" s="70">
        <f>CurrentMtgRatesDataTable8[[#This Row],[Servicing Spread Non-Zero]]-L1480</f>
        <v>0</v>
      </c>
      <c r="N1481" s="70">
        <f>IF(J1480&lt;&gt;0,CurrentMtgRatesDataTable8[[#This Row],[Rate]]-C1480,N1480)</f>
        <v>3.0000000000000249E-2</v>
      </c>
    </row>
    <row r="1482" spans="1:14">
      <c r="A1482" s="67" t="s">
        <v>2834</v>
      </c>
      <c r="B1482" s="68">
        <v>4.38826230842961</v>
      </c>
      <c r="C1482" s="69">
        <v>4.9550000000000001</v>
      </c>
      <c r="D1482" s="70">
        <f t="shared" si="161"/>
        <v>2</v>
      </c>
      <c r="E1482" s="70">
        <f t="shared" si="162"/>
        <v>0.2</v>
      </c>
      <c r="F1482" s="70">
        <f t="shared" si="163"/>
        <v>2</v>
      </c>
      <c r="G1482" s="70">
        <f t="shared" si="164"/>
        <v>1.747428832818992</v>
      </c>
      <c r="H1482" s="70">
        <f t="shared" si="165"/>
        <v>0.4</v>
      </c>
      <c r="I1482" s="70">
        <f t="shared" si="166"/>
        <v>0</v>
      </c>
      <c r="J1482" s="70">
        <f t="shared" si="167"/>
        <v>0</v>
      </c>
      <c r="K1482" s="70">
        <f>IF(CurrentMtgRatesDataTable8[[#This Row],[WA CC]]&lt;&gt;0,C1481-CurrentMtgRatesDataTable8[[#This Row],[WA CC]],0)</f>
        <v>0</v>
      </c>
      <c r="L1482" s="70">
        <f>IF(CurrentMtgRatesDataTable8[[#This Row],[Servicing Spread]]&lt;=0,L1481,CurrentMtgRatesDataTable8[[#This Row],[Servicing Spread]])</f>
        <v>0.5734291053467393</v>
      </c>
      <c r="M1482" s="70">
        <f>CurrentMtgRatesDataTable8[[#This Row],[Servicing Spread Non-Zero]]-L1481</f>
        <v>0</v>
      </c>
      <c r="N1482" s="70">
        <f>IF(J1481&lt;&gt;0,CurrentMtgRatesDataTable8[[#This Row],[Rate]]-C1481,N1481)</f>
        <v>3.0000000000000249E-2</v>
      </c>
    </row>
    <row r="1483" spans="1:14">
      <c r="A1483" s="67" t="s">
        <v>2835</v>
      </c>
      <c r="B1483" s="68">
        <v>4.4589642626822599</v>
      </c>
      <c r="C1483" s="69">
        <v>4.9550000000000001</v>
      </c>
      <c r="D1483" s="70">
        <f t="shared" si="161"/>
        <v>5</v>
      </c>
      <c r="E1483" s="70">
        <f t="shared" si="162"/>
        <v>0.2</v>
      </c>
      <c r="F1483" s="70">
        <f t="shared" si="163"/>
        <v>3</v>
      </c>
      <c r="G1483" s="70">
        <f t="shared" si="164"/>
        <v>2.639221685355444</v>
      </c>
      <c r="H1483" s="70">
        <f t="shared" si="165"/>
        <v>0.60000000000000009</v>
      </c>
      <c r="I1483" s="70">
        <f t="shared" si="166"/>
        <v>0</v>
      </c>
      <c r="J1483" s="70">
        <f t="shared" si="167"/>
        <v>0</v>
      </c>
      <c r="K1483" s="70">
        <f>IF(CurrentMtgRatesDataTable8[[#This Row],[WA CC]]&lt;&gt;0,C1482-CurrentMtgRatesDataTable8[[#This Row],[WA CC]],0)</f>
        <v>0</v>
      </c>
      <c r="L1483" s="70">
        <f>IF(CurrentMtgRatesDataTable8[[#This Row],[Servicing Spread]]&lt;=0,L1482,CurrentMtgRatesDataTable8[[#This Row],[Servicing Spread]])</f>
        <v>0.5734291053467393</v>
      </c>
      <c r="M1483" s="70">
        <f>CurrentMtgRatesDataTable8[[#This Row],[Servicing Spread Non-Zero]]-L1482</f>
        <v>0</v>
      </c>
      <c r="N1483" s="70">
        <f>IF(J1482&lt;&gt;0,CurrentMtgRatesDataTable8[[#This Row],[Rate]]-C1482,N1482)</f>
        <v>3.0000000000000249E-2</v>
      </c>
    </row>
    <row r="1484" spans="1:14">
      <c r="A1484" s="67" t="s">
        <v>2836</v>
      </c>
      <c r="B1484" s="68">
        <v>4.3816960794866402</v>
      </c>
      <c r="C1484" s="69">
        <v>4.9550000000000001</v>
      </c>
      <c r="D1484" s="70">
        <f t="shared" si="161"/>
        <v>6</v>
      </c>
      <c r="E1484" s="70">
        <f t="shared" si="162"/>
        <v>0.2</v>
      </c>
      <c r="F1484" s="70">
        <f t="shared" si="163"/>
        <v>4</v>
      </c>
      <c r="G1484" s="70">
        <f t="shared" si="164"/>
        <v>3.5155609012527722</v>
      </c>
      <c r="H1484" s="70">
        <f t="shared" si="165"/>
        <v>0.8</v>
      </c>
      <c r="I1484" s="70">
        <f t="shared" si="166"/>
        <v>0</v>
      </c>
      <c r="J1484" s="70">
        <f t="shared" si="167"/>
        <v>0</v>
      </c>
      <c r="K1484" s="70">
        <f>IF(CurrentMtgRatesDataTable8[[#This Row],[WA CC]]&lt;&gt;0,C1483-CurrentMtgRatesDataTable8[[#This Row],[WA CC]],0)</f>
        <v>0</v>
      </c>
      <c r="L1484" s="70">
        <f>IF(CurrentMtgRatesDataTable8[[#This Row],[Servicing Spread]]&lt;=0,L1483,CurrentMtgRatesDataTable8[[#This Row],[Servicing Spread]])</f>
        <v>0.5734291053467393</v>
      </c>
      <c r="M1484" s="70">
        <f>CurrentMtgRatesDataTable8[[#This Row],[Servicing Spread Non-Zero]]-L1483</f>
        <v>0</v>
      </c>
      <c r="N1484" s="70">
        <f>IF(J1483&lt;&gt;0,CurrentMtgRatesDataTable8[[#This Row],[Rate]]-C1483,N1483)</f>
        <v>3.0000000000000249E-2</v>
      </c>
    </row>
    <row r="1485" spans="1:14">
      <c r="A1485" s="67" t="s">
        <v>2837</v>
      </c>
      <c r="B1485" s="68">
        <v>4.2932098032766302</v>
      </c>
      <c r="C1485" s="69">
        <v>4.9550000000000001</v>
      </c>
      <c r="D1485" s="70">
        <f t="shared" si="161"/>
        <v>7</v>
      </c>
      <c r="E1485" s="70">
        <f t="shared" si="162"/>
        <v>0.2</v>
      </c>
      <c r="F1485" s="70">
        <f t="shared" si="163"/>
        <v>5</v>
      </c>
      <c r="G1485" s="70">
        <f t="shared" si="164"/>
        <v>4.3742028619080981</v>
      </c>
      <c r="H1485" s="70">
        <f t="shared" si="165"/>
        <v>1</v>
      </c>
      <c r="I1485" s="70">
        <f t="shared" si="166"/>
        <v>1</v>
      </c>
      <c r="J1485" s="70">
        <f t="shared" si="167"/>
        <v>4.3742028619080981</v>
      </c>
      <c r="K1485" s="70">
        <f>IF(CurrentMtgRatesDataTable8[[#This Row],[WA CC]]&lt;&gt;0,C1484-CurrentMtgRatesDataTable8[[#This Row],[WA CC]],0)</f>
        <v>0.58079713809190192</v>
      </c>
      <c r="L1485" s="70">
        <f>IF(CurrentMtgRatesDataTable8[[#This Row],[Servicing Spread]]&lt;=0,L1484,CurrentMtgRatesDataTable8[[#This Row],[Servicing Spread]])</f>
        <v>0.58079713809190192</v>
      </c>
      <c r="M1485" s="70">
        <f>CurrentMtgRatesDataTable8[[#This Row],[Servicing Spread Non-Zero]]-L1484</f>
        <v>7.3680327451626226E-3</v>
      </c>
      <c r="N1485" s="70">
        <f>IF(J1484&lt;&gt;0,CurrentMtgRatesDataTable8[[#This Row],[Rate]]-C1484,N1484)</f>
        <v>3.0000000000000249E-2</v>
      </c>
    </row>
    <row r="1486" spans="1:14">
      <c r="A1486" s="67" t="s">
        <v>2838</v>
      </c>
      <c r="B1486" s="68">
        <v>4.3555541278720096</v>
      </c>
      <c r="C1486" s="69">
        <v>4.9050000000000002</v>
      </c>
      <c r="D1486" s="70">
        <f t="shared" si="161"/>
        <v>1</v>
      </c>
      <c r="E1486" s="70">
        <f t="shared" si="162"/>
        <v>0.2</v>
      </c>
      <c r="F1486" s="70">
        <f t="shared" si="163"/>
        <v>1</v>
      </c>
      <c r="G1486" s="70">
        <f t="shared" si="164"/>
        <v>0.871110825574402</v>
      </c>
      <c r="H1486" s="70">
        <f t="shared" si="165"/>
        <v>0.2</v>
      </c>
      <c r="I1486" s="70">
        <f t="shared" si="166"/>
        <v>0</v>
      </c>
      <c r="J1486" s="70">
        <f t="shared" si="167"/>
        <v>0</v>
      </c>
      <c r="K1486" s="70">
        <f>IF(CurrentMtgRatesDataTable8[[#This Row],[WA CC]]&lt;&gt;0,C1485-CurrentMtgRatesDataTable8[[#This Row],[WA CC]],0)</f>
        <v>0</v>
      </c>
      <c r="L1486" s="70">
        <f>IF(CurrentMtgRatesDataTable8[[#This Row],[Servicing Spread]]&lt;=0,L1485,CurrentMtgRatesDataTable8[[#This Row],[Servicing Spread]])</f>
        <v>0.58079713809190192</v>
      </c>
      <c r="M1486" s="70">
        <f>CurrentMtgRatesDataTable8[[#This Row],[Servicing Spread Non-Zero]]-L1485</f>
        <v>0</v>
      </c>
      <c r="N1486" s="70">
        <f>IF(J1485&lt;&gt;0,CurrentMtgRatesDataTable8[[#This Row],[Rate]]-C1485,N1485)</f>
        <v>-4.9999999999999822E-2</v>
      </c>
    </row>
    <row r="1487" spans="1:14">
      <c r="A1487" s="67" t="s">
        <v>2839</v>
      </c>
      <c r="B1487" s="68">
        <v>4.2897391912668903</v>
      </c>
      <c r="C1487" s="69">
        <v>4.9050000000000002</v>
      </c>
      <c r="D1487" s="70">
        <f t="shared" si="161"/>
        <v>2</v>
      </c>
      <c r="E1487" s="70">
        <f t="shared" si="162"/>
        <v>0.2</v>
      </c>
      <c r="F1487" s="70">
        <f t="shared" si="163"/>
        <v>2</v>
      </c>
      <c r="G1487" s="70">
        <f t="shared" si="164"/>
        <v>1.7290586638277801</v>
      </c>
      <c r="H1487" s="70">
        <f t="shared" si="165"/>
        <v>0.4</v>
      </c>
      <c r="I1487" s="70">
        <f t="shared" si="166"/>
        <v>0</v>
      </c>
      <c r="J1487" s="70">
        <f t="shared" si="167"/>
        <v>0</v>
      </c>
      <c r="K1487" s="70">
        <f>IF(CurrentMtgRatesDataTable8[[#This Row],[WA CC]]&lt;&gt;0,C1486-CurrentMtgRatesDataTable8[[#This Row],[WA CC]],0)</f>
        <v>0</v>
      </c>
      <c r="L1487" s="70">
        <f>IF(CurrentMtgRatesDataTable8[[#This Row],[Servicing Spread]]&lt;=0,L1486,CurrentMtgRatesDataTable8[[#This Row],[Servicing Spread]])</f>
        <v>0.58079713809190192</v>
      </c>
      <c r="M1487" s="70">
        <f>CurrentMtgRatesDataTable8[[#This Row],[Servicing Spread Non-Zero]]-L1486</f>
        <v>0</v>
      </c>
      <c r="N1487" s="70">
        <f>IF(J1486&lt;&gt;0,CurrentMtgRatesDataTable8[[#This Row],[Rate]]-C1486,N1486)</f>
        <v>-4.9999999999999822E-2</v>
      </c>
    </row>
    <row r="1488" spans="1:14">
      <c r="A1488" s="67" t="s">
        <v>2840</v>
      </c>
      <c r="B1488" s="68">
        <v>4.3408438369016098</v>
      </c>
      <c r="C1488" s="69">
        <v>4.9050000000000002</v>
      </c>
      <c r="D1488" s="70">
        <f t="shared" si="161"/>
        <v>5</v>
      </c>
      <c r="E1488" s="70">
        <f t="shared" si="162"/>
        <v>0.2</v>
      </c>
      <c r="F1488" s="70">
        <f t="shared" si="163"/>
        <v>3</v>
      </c>
      <c r="G1488" s="70">
        <f t="shared" si="164"/>
        <v>2.5972274312081023</v>
      </c>
      <c r="H1488" s="70">
        <f t="shared" si="165"/>
        <v>0.60000000000000009</v>
      </c>
      <c r="I1488" s="70">
        <f t="shared" si="166"/>
        <v>0</v>
      </c>
      <c r="J1488" s="70">
        <f t="shared" si="167"/>
        <v>0</v>
      </c>
      <c r="K1488" s="70">
        <f>IF(CurrentMtgRatesDataTable8[[#This Row],[WA CC]]&lt;&gt;0,C1487-CurrentMtgRatesDataTable8[[#This Row],[WA CC]],0)</f>
        <v>0</v>
      </c>
      <c r="L1488" s="70">
        <f>IF(CurrentMtgRatesDataTable8[[#This Row],[Servicing Spread]]&lt;=0,L1487,CurrentMtgRatesDataTable8[[#This Row],[Servicing Spread]])</f>
        <v>0.58079713809190192</v>
      </c>
      <c r="M1488" s="70">
        <f>CurrentMtgRatesDataTable8[[#This Row],[Servicing Spread Non-Zero]]-L1487</f>
        <v>0</v>
      </c>
      <c r="N1488" s="70">
        <f>IF(J1487&lt;&gt;0,CurrentMtgRatesDataTable8[[#This Row],[Rate]]-C1487,N1487)</f>
        <v>-4.9999999999999822E-2</v>
      </c>
    </row>
    <row r="1489" spans="1:14">
      <c r="A1489" s="67" t="s">
        <v>2841</v>
      </c>
      <c r="B1489" s="68">
        <v>4.373408196372</v>
      </c>
      <c r="C1489" s="69">
        <v>4.9050000000000002</v>
      </c>
      <c r="D1489" s="70">
        <f t="shared" si="161"/>
        <v>6</v>
      </c>
      <c r="E1489" s="70">
        <f t="shared" si="162"/>
        <v>0.2</v>
      </c>
      <c r="F1489" s="70">
        <f t="shared" si="163"/>
        <v>4</v>
      </c>
      <c r="G1489" s="70">
        <f t="shared" si="164"/>
        <v>3.4719090704825022</v>
      </c>
      <c r="H1489" s="70">
        <f t="shared" si="165"/>
        <v>0.8</v>
      </c>
      <c r="I1489" s="70">
        <f t="shared" si="166"/>
        <v>0</v>
      </c>
      <c r="J1489" s="70">
        <f t="shared" si="167"/>
        <v>0</v>
      </c>
      <c r="K1489" s="70">
        <f>IF(CurrentMtgRatesDataTable8[[#This Row],[WA CC]]&lt;&gt;0,C1488-CurrentMtgRatesDataTable8[[#This Row],[WA CC]],0)</f>
        <v>0</v>
      </c>
      <c r="L1489" s="70">
        <f>IF(CurrentMtgRatesDataTable8[[#This Row],[Servicing Spread]]&lt;=0,L1488,CurrentMtgRatesDataTable8[[#This Row],[Servicing Spread]])</f>
        <v>0.58079713809190192</v>
      </c>
      <c r="M1489" s="70">
        <f>CurrentMtgRatesDataTable8[[#This Row],[Servicing Spread Non-Zero]]-L1488</f>
        <v>0</v>
      </c>
      <c r="N1489" s="70">
        <f>IF(J1488&lt;&gt;0,CurrentMtgRatesDataTable8[[#This Row],[Rate]]-C1488,N1488)</f>
        <v>-4.9999999999999822E-2</v>
      </c>
    </row>
    <row r="1490" spans="1:14">
      <c r="A1490" s="67" t="s">
        <v>2842</v>
      </c>
      <c r="B1490" s="68">
        <v>4.3972220458174904</v>
      </c>
      <c r="C1490" s="69">
        <v>4.9050000000000002</v>
      </c>
      <c r="D1490" s="70">
        <f t="shared" si="161"/>
        <v>7</v>
      </c>
      <c r="E1490" s="70">
        <f t="shared" si="162"/>
        <v>0.2</v>
      </c>
      <c r="F1490" s="70">
        <f t="shared" si="163"/>
        <v>5</v>
      </c>
      <c r="G1490" s="70">
        <f t="shared" si="164"/>
        <v>4.3513534796460007</v>
      </c>
      <c r="H1490" s="70">
        <f t="shared" si="165"/>
        <v>1</v>
      </c>
      <c r="I1490" s="70">
        <f t="shared" si="166"/>
        <v>1</v>
      </c>
      <c r="J1490" s="70">
        <f t="shared" si="167"/>
        <v>4.3513534796460007</v>
      </c>
      <c r="K1490" s="70">
        <f>IF(CurrentMtgRatesDataTable8[[#This Row],[WA CC]]&lt;&gt;0,C1489-CurrentMtgRatesDataTable8[[#This Row],[WA CC]],0)</f>
        <v>0.55364652035399953</v>
      </c>
      <c r="L1490" s="70">
        <f>IF(CurrentMtgRatesDataTable8[[#This Row],[Servicing Spread]]&lt;=0,L1489,CurrentMtgRatesDataTable8[[#This Row],[Servicing Spread]])</f>
        <v>0.55364652035399953</v>
      </c>
      <c r="M1490" s="70">
        <f>CurrentMtgRatesDataTable8[[#This Row],[Servicing Spread Non-Zero]]-L1489</f>
        <v>-2.7150617737902394E-2</v>
      </c>
      <c r="N1490" s="70">
        <f>IF(J1489&lt;&gt;0,CurrentMtgRatesDataTable8[[#This Row],[Rate]]-C1489,N1489)</f>
        <v>-4.9999999999999822E-2</v>
      </c>
    </row>
    <row r="1491" spans="1:14">
      <c r="A1491" s="67" t="s">
        <v>2843</v>
      </c>
      <c r="B1491" s="68">
        <v>4.3402733466802799</v>
      </c>
      <c r="C1491" s="69">
        <v>4.835</v>
      </c>
      <c r="D1491" s="70">
        <f t="shared" si="161"/>
        <v>1</v>
      </c>
      <c r="E1491" s="70">
        <f t="shared" si="162"/>
        <v>0.2</v>
      </c>
      <c r="F1491" s="70">
        <f t="shared" si="163"/>
        <v>1</v>
      </c>
      <c r="G1491" s="70">
        <f t="shared" si="164"/>
        <v>0.86805466933605602</v>
      </c>
      <c r="H1491" s="70">
        <f t="shared" si="165"/>
        <v>0.2</v>
      </c>
      <c r="I1491" s="70">
        <f t="shared" si="166"/>
        <v>0</v>
      </c>
      <c r="J1491" s="70">
        <f t="shared" si="167"/>
        <v>0</v>
      </c>
      <c r="K1491" s="70">
        <f>IF(CurrentMtgRatesDataTable8[[#This Row],[WA CC]]&lt;&gt;0,C1490-CurrentMtgRatesDataTable8[[#This Row],[WA CC]],0)</f>
        <v>0</v>
      </c>
      <c r="L1491" s="70">
        <f>IF(CurrentMtgRatesDataTable8[[#This Row],[Servicing Spread]]&lt;=0,L1490,CurrentMtgRatesDataTable8[[#This Row],[Servicing Spread]])</f>
        <v>0.55364652035399953</v>
      </c>
      <c r="M1491" s="70">
        <f>CurrentMtgRatesDataTable8[[#This Row],[Servicing Spread Non-Zero]]-L1490</f>
        <v>0</v>
      </c>
      <c r="N1491" s="70">
        <f>IF(J1490&lt;&gt;0,CurrentMtgRatesDataTable8[[#This Row],[Rate]]-C1490,N1490)</f>
        <v>-7.0000000000000284E-2</v>
      </c>
    </row>
    <row r="1492" spans="1:14">
      <c r="A1492" s="67" t="s">
        <v>2844</v>
      </c>
      <c r="B1492" s="68">
        <v>4.2931767610180103</v>
      </c>
      <c r="C1492" s="69">
        <v>4.835</v>
      </c>
      <c r="D1492" s="70">
        <f t="shared" si="161"/>
        <v>2</v>
      </c>
      <c r="E1492" s="70">
        <f t="shared" si="162"/>
        <v>0.2</v>
      </c>
      <c r="F1492" s="70">
        <f t="shared" si="163"/>
        <v>2</v>
      </c>
      <c r="G1492" s="70">
        <f t="shared" si="164"/>
        <v>1.7266900215396581</v>
      </c>
      <c r="H1492" s="70">
        <f t="shared" si="165"/>
        <v>0.4</v>
      </c>
      <c r="I1492" s="70">
        <f t="shared" si="166"/>
        <v>0</v>
      </c>
      <c r="J1492" s="70">
        <f t="shared" si="167"/>
        <v>0</v>
      </c>
      <c r="K1492" s="70">
        <f>IF(CurrentMtgRatesDataTable8[[#This Row],[WA CC]]&lt;&gt;0,C1491-CurrentMtgRatesDataTable8[[#This Row],[WA CC]],0)</f>
        <v>0</v>
      </c>
      <c r="L1492" s="70">
        <f>IF(CurrentMtgRatesDataTable8[[#This Row],[Servicing Spread]]&lt;=0,L1491,CurrentMtgRatesDataTable8[[#This Row],[Servicing Spread]])</f>
        <v>0.55364652035399953</v>
      </c>
      <c r="M1492" s="70">
        <f>CurrentMtgRatesDataTable8[[#This Row],[Servicing Spread Non-Zero]]-L1491</f>
        <v>0</v>
      </c>
      <c r="N1492" s="70">
        <f>IF(J1491&lt;&gt;0,CurrentMtgRatesDataTable8[[#This Row],[Rate]]-C1491,N1491)</f>
        <v>-7.0000000000000284E-2</v>
      </c>
    </row>
    <row r="1493" spans="1:14">
      <c r="A1493" s="67" t="s">
        <v>2845</v>
      </c>
      <c r="B1493" s="68">
        <v>4.2771826509263802</v>
      </c>
      <c r="C1493" s="69">
        <v>4.835</v>
      </c>
      <c r="D1493" s="70">
        <f t="shared" si="161"/>
        <v>5</v>
      </c>
      <c r="E1493" s="70">
        <f t="shared" si="162"/>
        <v>0.2</v>
      </c>
      <c r="F1493" s="70">
        <f t="shared" si="163"/>
        <v>3</v>
      </c>
      <c r="G1493" s="70">
        <f t="shared" si="164"/>
        <v>2.5821265517249343</v>
      </c>
      <c r="H1493" s="70">
        <f t="shared" si="165"/>
        <v>0.60000000000000009</v>
      </c>
      <c r="I1493" s="70">
        <f t="shared" si="166"/>
        <v>0</v>
      </c>
      <c r="J1493" s="70">
        <f t="shared" si="167"/>
        <v>0</v>
      </c>
      <c r="K1493" s="70">
        <f>IF(CurrentMtgRatesDataTable8[[#This Row],[WA CC]]&lt;&gt;0,C1492-CurrentMtgRatesDataTable8[[#This Row],[WA CC]],0)</f>
        <v>0</v>
      </c>
      <c r="L1493" s="70">
        <f>IF(CurrentMtgRatesDataTable8[[#This Row],[Servicing Spread]]&lt;=0,L1492,CurrentMtgRatesDataTable8[[#This Row],[Servicing Spread]])</f>
        <v>0.55364652035399953</v>
      </c>
      <c r="M1493" s="70">
        <f>CurrentMtgRatesDataTable8[[#This Row],[Servicing Spread Non-Zero]]-L1492</f>
        <v>0</v>
      </c>
      <c r="N1493" s="70">
        <f>IF(J1492&lt;&gt;0,CurrentMtgRatesDataTable8[[#This Row],[Rate]]-C1492,N1492)</f>
        <v>-7.0000000000000284E-2</v>
      </c>
    </row>
    <row r="1494" spans="1:14">
      <c r="A1494" s="67" t="s">
        <v>2846</v>
      </c>
      <c r="B1494" s="68">
        <v>4.2500557876279803</v>
      </c>
      <c r="C1494" s="69">
        <v>4.835</v>
      </c>
      <c r="D1494" s="70">
        <f t="shared" si="161"/>
        <v>6</v>
      </c>
      <c r="E1494" s="70">
        <f t="shared" si="162"/>
        <v>0.2</v>
      </c>
      <c r="F1494" s="70">
        <f t="shared" si="163"/>
        <v>4</v>
      </c>
      <c r="G1494" s="70">
        <f t="shared" si="164"/>
        <v>3.4321377092505303</v>
      </c>
      <c r="H1494" s="70">
        <f t="shared" si="165"/>
        <v>0.8</v>
      </c>
      <c r="I1494" s="70">
        <f t="shared" si="166"/>
        <v>1</v>
      </c>
      <c r="J1494" s="70">
        <f t="shared" si="167"/>
        <v>4.2901721365631627</v>
      </c>
      <c r="K1494" s="70">
        <f>IF(CurrentMtgRatesDataTable8[[#This Row],[WA CC]]&lt;&gt;0,C1493-CurrentMtgRatesDataTable8[[#This Row],[WA CC]],0)</f>
        <v>0.54482786343683731</v>
      </c>
      <c r="L1494" s="70">
        <f>IF(CurrentMtgRatesDataTable8[[#This Row],[Servicing Spread]]&lt;=0,L1493,CurrentMtgRatesDataTable8[[#This Row],[Servicing Spread]])</f>
        <v>0.54482786343683731</v>
      </c>
      <c r="M1494" s="70">
        <f>CurrentMtgRatesDataTable8[[#This Row],[Servicing Spread Non-Zero]]-L1493</f>
        <v>-8.8186569171622153E-3</v>
      </c>
      <c r="N1494" s="70">
        <f>IF(J1493&lt;&gt;0,CurrentMtgRatesDataTable8[[#This Row],[Rate]]-C1493,N1493)</f>
        <v>-7.0000000000000284E-2</v>
      </c>
    </row>
    <row r="1495" spans="1:14">
      <c r="A1495" s="67" t="s">
        <v>2847</v>
      </c>
      <c r="B1495" s="68">
        <v>4.20548521315607</v>
      </c>
      <c r="C1495" s="69">
        <v>4.7549999999999999</v>
      </c>
      <c r="D1495" s="70">
        <f t="shared" si="161"/>
        <v>1</v>
      </c>
      <c r="E1495" s="70">
        <f t="shared" si="162"/>
        <v>0.2</v>
      </c>
      <c r="F1495" s="70">
        <f t="shared" si="163"/>
        <v>1</v>
      </c>
      <c r="G1495" s="70">
        <f t="shared" si="164"/>
        <v>0.8410970426312141</v>
      </c>
      <c r="H1495" s="70">
        <f t="shared" si="165"/>
        <v>0.2</v>
      </c>
      <c r="I1495" s="70">
        <f t="shared" si="166"/>
        <v>0</v>
      </c>
      <c r="J1495" s="70">
        <f t="shared" si="167"/>
        <v>0</v>
      </c>
      <c r="K1495" s="70">
        <f>IF(CurrentMtgRatesDataTable8[[#This Row],[WA CC]]&lt;&gt;0,C1494-CurrentMtgRatesDataTable8[[#This Row],[WA CC]],0)</f>
        <v>0</v>
      </c>
      <c r="L1495" s="70">
        <f>IF(CurrentMtgRatesDataTable8[[#This Row],[Servicing Spread]]&lt;=0,L1494,CurrentMtgRatesDataTable8[[#This Row],[Servicing Spread]])</f>
        <v>0.54482786343683731</v>
      </c>
      <c r="M1495" s="70">
        <f>CurrentMtgRatesDataTable8[[#This Row],[Servicing Spread Non-Zero]]-L1494</f>
        <v>0</v>
      </c>
      <c r="N1495" s="70">
        <f>IF(J1494&lt;&gt;0,CurrentMtgRatesDataTable8[[#This Row],[Rate]]-C1494,N1494)</f>
        <v>-8.0000000000000071E-2</v>
      </c>
    </row>
    <row r="1496" spans="1:14">
      <c r="A1496" s="67" t="s">
        <v>2848</v>
      </c>
      <c r="B1496" s="68">
        <v>4.1259829792930098</v>
      </c>
      <c r="C1496" s="69">
        <v>4.7549999999999999</v>
      </c>
      <c r="D1496" s="70">
        <f t="shared" si="161"/>
        <v>2</v>
      </c>
      <c r="E1496" s="70">
        <f t="shared" si="162"/>
        <v>0.2</v>
      </c>
      <c r="F1496" s="70">
        <f t="shared" si="163"/>
        <v>2</v>
      </c>
      <c r="G1496" s="70">
        <f t="shared" si="164"/>
        <v>1.6662936384898162</v>
      </c>
      <c r="H1496" s="70">
        <f t="shared" si="165"/>
        <v>0.4</v>
      </c>
      <c r="I1496" s="70">
        <f t="shared" si="166"/>
        <v>0</v>
      </c>
      <c r="J1496" s="70">
        <f t="shared" si="167"/>
        <v>0</v>
      </c>
      <c r="K1496" s="70">
        <f>IF(CurrentMtgRatesDataTable8[[#This Row],[WA CC]]&lt;&gt;0,C1495-CurrentMtgRatesDataTable8[[#This Row],[WA CC]],0)</f>
        <v>0</v>
      </c>
      <c r="L1496" s="70">
        <f>IF(CurrentMtgRatesDataTable8[[#This Row],[Servicing Spread]]&lt;=0,L1495,CurrentMtgRatesDataTable8[[#This Row],[Servicing Spread]])</f>
        <v>0.54482786343683731</v>
      </c>
      <c r="M1496" s="70">
        <f>CurrentMtgRatesDataTable8[[#This Row],[Servicing Spread Non-Zero]]-L1495</f>
        <v>0</v>
      </c>
      <c r="N1496" s="70">
        <f>IF(J1495&lt;&gt;0,CurrentMtgRatesDataTable8[[#This Row],[Rate]]-C1495,N1495)</f>
        <v>-8.0000000000000071E-2</v>
      </c>
    </row>
    <row r="1497" spans="1:14">
      <c r="A1497" s="67" t="s">
        <v>2849</v>
      </c>
      <c r="B1497" s="68">
        <v>4.0276416526255199</v>
      </c>
      <c r="C1497" s="69">
        <v>4.7549999999999999</v>
      </c>
      <c r="D1497" s="70">
        <f t="shared" si="161"/>
        <v>5</v>
      </c>
      <c r="E1497" s="70">
        <f t="shared" si="162"/>
        <v>0.2</v>
      </c>
      <c r="F1497" s="70">
        <f t="shared" si="163"/>
        <v>3</v>
      </c>
      <c r="G1497" s="70">
        <f t="shared" si="164"/>
        <v>2.4718219690149201</v>
      </c>
      <c r="H1497" s="70">
        <f t="shared" si="165"/>
        <v>0.60000000000000009</v>
      </c>
      <c r="I1497" s="70">
        <f t="shared" si="166"/>
        <v>0</v>
      </c>
      <c r="J1497" s="70">
        <f t="shared" si="167"/>
        <v>0</v>
      </c>
      <c r="K1497" s="70">
        <f>IF(CurrentMtgRatesDataTable8[[#This Row],[WA CC]]&lt;&gt;0,C1496-CurrentMtgRatesDataTable8[[#This Row],[WA CC]],0)</f>
        <v>0</v>
      </c>
      <c r="L1497" s="70">
        <f>IF(CurrentMtgRatesDataTable8[[#This Row],[Servicing Spread]]&lt;=0,L1496,CurrentMtgRatesDataTable8[[#This Row],[Servicing Spread]])</f>
        <v>0.54482786343683731</v>
      </c>
      <c r="M1497" s="70">
        <f>CurrentMtgRatesDataTable8[[#This Row],[Servicing Spread Non-Zero]]-L1496</f>
        <v>0</v>
      </c>
      <c r="N1497" s="70">
        <f>IF(J1496&lt;&gt;0,CurrentMtgRatesDataTable8[[#This Row],[Rate]]-C1496,N1496)</f>
        <v>-8.0000000000000071E-2</v>
      </c>
    </row>
    <row r="1498" spans="1:14">
      <c r="A1498" s="67" t="s">
        <v>2850</v>
      </c>
      <c r="B1498" s="68">
        <v>4.0836397040229198</v>
      </c>
      <c r="C1498" s="69">
        <v>4.7549999999999999</v>
      </c>
      <c r="D1498" s="70">
        <f t="shared" si="161"/>
        <v>6</v>
      </c>
      <c r="E1498" s="70">
        <f t="shared" si="162"/>
        <v>0.2</v>
      </c>
      <c r="F1498" s="70">
        <f t="shared" si="163"/>
        <v>4</v>
      </c>
      <c r="G1498" s="70">
        <f t="shared" si="164"/>
        <v>3.2885499098195039</v>
      </c>
      <c r="H1498" s="70">
        <f t="shared" si="165"/>
        <v>0.8</v>
      </c>
      <c r="I1498" s="70">
        <f t="shared" si="166"/>
        <v>0</v>
      </c>
      <c r="J1498" s="70">
        <f t="shared" si="167"/>
        <v>0</v>
      </c>
      <c r="K1498" s="70">
        <f>IF(CurrentMtgRatesDataTable8[[#This Row],[WA CC]]&lt;&gt;0,C1497-CurrentMtgRatesDataTable8[[#This Row],[WA CC]],0)</f>
        <v>0</v>
      </c>
      <c r="L1498" s="70">
        <f>IF(CurrentMtgRatesDataTable8[[#This Row],[Servicing Spread]]&lt;=0,L1497,CurrentMtgRatesDataTable8[[#This Row],[Servicing Spread]])</f>
        <v>0.54482786343683731</v>
      </c>
      <c r="M1498" s="70">
        <f>CurrentMtgRatesDataTable8[[#This Row],[Servicing Spread Non-Zero]]-L1497</f>
        <v>0</v>
      </c>
      <c r="N1498" s="70">
        <f>IF(J1497&lt;&gt;0,CurrentMtgRatesDataTable8[[#This Row],[Rate]]-C1497,N1497)</f>
        <v>-8.0000000000000071E-2</v>
      </c>
    </row>
    <row r="1499" spans="1:14">
      <c r="A1499" s="67" t="s">
        <v>2851</v>
      </c>
      <c r="B1499" s="68">
        <v>4.1321940857741</v>
      </c>
      <c r="C1499" s="69">
        <v>4.7549999999999999</v>
      </c>
      <c r="D1499" s="70">
        <f t="shared" si="161"/>
        <v>7</v>
      </c>
      <c r="E1499" s="70">
        <f t="shared" si="162"/>
        <v>0.2</v>
      </c>
      <c r="F1499" s="70">
        <f t="shared" si="163"/>
        <v>5</v>
      </c>
      <c r="G1499" s="70">
        <f t="shared" si="164"/>
        <v>4.1149887269743237</v>
      </c>
      <c r="H1499" s="70">
        <f t="shared" si="165"/>
        <v>1</v>
      </c>
      <c r="I1499" s="70">
        <f t="shared" si="166"/>
        <v>1</v>
      </c>
      <c r="J1499" s="70">
        <f t="shared" si="167"/>
        <v>4.1149887269743237</v>
      </c>
      <c r="K1499" s="70">
        <f>IF(CurrentMtgRatesDataTable8[[#This Row],[WA CC]]&lt;&gt;0,C1498-CurrentMtgRatesDataTable8[[#This Row],[WA CC]],0)</f>
        <v>0.64001127302567618</v>
      </c>
      <c r="L1499" s="70">
        <f>IF(CurrentMtgRatesDataTable8[[#This Row],[Servicing Spread]]&lt;=0,L1498,CurrentMtgRatesDataTable8[[#This Row],[Servicing Spread]])</f>
        <v>0.64001127302567618</v>
      </c>
      <c r="M1499" s="70">
        <f>CurrentMtgRatesDataTable8[[#This Row],[Servicing Spread Non-Zero]]-L1498</f>
        <v>9.5183409588838863E-2</v>
      </c>
      <c r="N1499" s="70">
        <f>IF(J1498&lt;&gt;0,CurrentMtgRatesDataTable8[[#This Row],[Rate]]-C1498,N1498)</f>
        <v>-8.0000000000000071E-2</v>
      </c>
    </row>
    <row r="1500" spans="1:14">
      <c r="A1500" s="67" t="s">
        <v>2852</v>
      </c>
      <c r="B1500" s="68">
        <v>4.1420321818090899</v>
      </c>
      <c r="C1500" s="69">
        <v>4.7050000000000001</v>
      </c>
      <c r="D1500" s="70">
        <f t="shared" si="161"/>
        <v>1</v>
      </c>
      <c r="E1500" s="70">
        <f t="shared" si="162"/>
        <v>0.2</v>
      </c>
      <c r="F1500" s="70">
        <f t="shared" si="163"/>
        <v>1</v>
      </c>
      <c r="G1500" s="70">
        <f t="shared" si="164"/>
        <v>0.82840643636181799</v>
      </c>
      <c r="H1500" s="70">
        <f t="shared" si="165"/>
        <v>0.2</v>
      </c>
      <c r="I1500" s="70">
        <f t="shared" si="166"/>
        <v>0</v>
      </c>
      <c r="J1500" s="70">
        <f t="shared" si="167"/>
        <v>0</v>
      </c>
      <c r="K1500" s="70">
        <f>IF(CurrentMtgRatesDataTable8[[#This Row],[WA CC]]&lt;&gt;0,C1499-CurrentMtgRatesDataTable8[[#This Row],[WA CC]],0)</f>
        <v>0</v>
      </c>
      <c r="L1500" s="70">
        <f>IF(CurrentMtgRatesDataTable8[[#This Row],[Servicing Spread]]&lt;=0,L1499,CurrentMtgRatesDataTable8[[#This Row],[Servicing Spread]])</f>
        <v>0.64001127302567618</v>
      </c>
      <c r="M1500" s="70">
        <f>CurrentMtgRatesDataTable8[[#This Row],[Servicing Spread Non-Zero]]-L1499</f>
        <v>0</v>
      </c>
      <c r="N1500" s="70">
        <f>IF(J1499&lt;&gt;0,CurrentMtgRatesDataTable8[[#This Row],[Rate]]-C1499,N1499)</f>
        <v>-4.9999999999999822E-2</v>
      </c>
    </row>
    <row r="1501" spans="1:14">
      <c r="A1501" s="67" t="s">
        <v>2853</v>
      </c>
      <c r="B1501" s="68">
        <v>4.1140697739800602</v>
      </c>
      <c r="C1501" s="69">
        <v>4.7050000000000001</v>
      </c>
      <c r="D1501" s="70">
        <f t="shared" si="161"/>
        <v>2</v>
      </c>
      <c r="E1501" s="70">
        <f t="shared" si="162"/>
        <v>0.2</v>
      </c>
      <c r="F1501" s="70">
        <f t="shared" si="163"/>
        <v>2</v>
      </c>
      <c r="G1501" s="70">
        <f t="shared" si="164"/>
        <v>1.65122039115783</v>
      </c>
      <c r="H1501" s="70">
        <f t="shared" si="165"/>
        <v>0.4</v>
      </c>
      <c r="I1501" s="70">
        <f t="shared" si="166"/>
        <v>0</v>
      </c>
      <c r="J1501" s="70">
        <f t="shared" si="167"/>
        <v>0</v>
      </c>
      <c r="K1501" s="70">
        <f>IF(CurrentMtgRatesDataTable8[[#This Row],[WA CC]]&lt;&gt;0,C1500-CurrentMtgRatesDataTable8[[#This Row],[WA CC]],0)</f>
        <v>0</v>
      </c>
      <c r="L1501" s="70">
        <f>IF(CurrentMtgRatesDataTable8[[#This Row],[Servicing Spread]]&lt;=0,L1500,CurrentMtgRatesDataTable8[[#This Row],[Servicing Spread]])</f>
        <v>0.64001127302567618</v>
      </c>
      <c r="M1501" s="70">
        <f>CurrentMtgRatesDataTable8[[#This Row],[Servicing Spread Non-Zero]]-L1500</f>
        <v>0</v>
      </c>
      <c r="N1501" s="70">
        <f>IF(J1500&lt;&gt;0,CurrentMtgRatesDataTable8[[#This Row],[Rate]]-C1500,N1500)</f>
        <v>-4.9999999999999822E-2</v>
      </c>
    </row>
    <row r="1502" spans="1:14">
      <c r="A1502" s="67" t="s">
        <v>2854</v>
      </c>
      <c r="B1502" s="68">
        <v>4.0891366736037797</v>
      </c>
      <c r="C1502" s="69">
        <v>4.7050000000000001</v>
      </c>
      <c r="D1502" s="70">
        <f t="shared" si="161"/>
        <v>5</v>
      </c>
      <c r="E1502" s="70">
        <f t="shared" si="162"/>
        <v>0.2</v>
      </c>
      <c r="F1502" s="70">
        <f t="shared" si="163"/>
        <v>3</v>
      </c>
      <c r="G1502" s="70">
        <f t="shared" si="164"/>
        <v>2.4690477258785859</v>
      </c>
      <c r="H1502" s="70">
        <f t="shared" si="165"/>
        <v>0.60000000000000009</v>
      </c>
      <c r="I1502" s="70">
        <f t="shared" si="166"/>
        <v>0</v>
      </c>
      <c r="J1502" s="70">
        <f t="shared" si="167"/>
        <v>0</v>
      </c>
      <c r="K1502" s="70">
        <f>IF(CurrentMtgRatesDataTable8[[#This Row],[WA CC]]&lt;&gt;0,C1501-CurrentMtgRatesDataTable8[[#This Row],[WA CC]],0)</f>
        <v>0</v>
      </c>
      <c r="L1502" s="70">
        <f>IF(CurrentMtgRatesDataTable8[[#This Row],[Servicing Spread]]&lt;=0,L1501,CurrentMtgRatesDataTable8[[#This Row],[Servicing Spread]])</f>
        <v>0.64001127302567618</v>
      </c>
      <c r="M1502" s="70">
        <f>CurrentMtgRatesDataTable8[[#This Row],[Servicing Spread Non-Zero]]-L1501</f>
        <v>0</v>
      </c>
      <c r="N1502" s="70">
        <f>IF(J1501&lt;&gt;0,CurrentMtgRatesDataTable8[[#This Row],[Rate]]-C1501,N1501)</f>
        <v>-4.9999999999999822E-2</v>
      </c>
    </row>
    <row r="1503" spans="1:14">
      <c r="A1503" s="67" t="s">
        <v>2855</v>
      </c>
      <c r="B1503" s="68">
        <v>4.0075676353274599</v>
      </c>
      <c r="C1503" s="69">
        <v>4.7050000000000001</v>
      </c>
      <c r="D1503" s="70">
        <f t="shared" si="161"/>
        <v>6</v>
      </c>
      <c r="E1503" s="70">
        <f t="shared" si="162"/>
        <v>0.2</v>
      </c>
      <c r="F1503" s="70">
        <f t="shared" si="163"/>
        <v>4</v>
      </c>
      <c r="G1503" s="70">
        <f t="shared" si="164"/>
        <v>3.270561252944078</v>
      </c>
      <c r="H1503" s="70">
        <f t="shared" si="165"/>
        <v>0.8</v>
      </c>
      <c r="I1503" s="70">
        <f t="shared" si="166"/>
        <v>0</v>
      </c>
      <c r="J1503" s="70">
        <f t="shared" si="167"/>
        <v>0</v>
      </c>
      <c r="K1503" s="70">
        <f>IF(CurrentMtgRatesDataTable8[[#This Row],[WA CC]]&lt;&gt;0,C1502-CurrentMtgRatesDataTable8[[#This Row],[WA CC]],0)</f>
        <v>0</v>
      </c>
      <c r="L1503" s="70">
        <f>IF(CurrentMtgRatesDataTable8[[#This Row],[Servicing Spread]]&lt;=0,L1502,CurrentMtgRatesDataTable8[[#This Row],[Servicing Spread]])</f>
        <v>0.64001127302567618</v>
      </c>
      <c r="M1503" s="70">
        <f>CurrentMtgRatesDataTable8[[#This Row],[Servicing Spread Non-Zero]]-L1502</f>
        <v>0</v>
      </c>
      <c r="N1503" s="70">
        <f>IF(J1502&lt;&gt;0,CurrentMtgRatesDataTable8[[#This Row],[Rate]]-C1502,N1502)</f>
        <v>-4.9999999999999822E-2</v>
      </c>
    </row>
    <row r="1504" spans="1:14">
      <c r="A1504" s="67" t="s">
        <v>2856</v>
      </c>
      <c r="B1504" s="68">
        <v>3.99745211095173</v>
      </c>
      <c r="C1504" s="69">
        <v>4.7050000000000001</v>
      </c>
      <c r="D1504" s="70">
        <f t="shared" si="161"/>
        <v>7</v>
      </c>
      <c r="E1504" s="70">
        <f t="shared" si="162"/>
        <v>0.2</v>
      </c>
      <c r="F1504" s="70">
        <f t="shared" si="163"/>
        <v>5</v>
      </c>
      <c r="G1504" s="70">
        <f t="shared" si="164"/>
        <v>4.0700516751344242</v>
      </c>
      <c r="H1504" s="70">
        <f t="shared" si="165"/>
        <v>1</v>
      </c>
      <c r="I1504" s="70">
        <f t="shared" si="166"/>
        <v>1</v>
      </c>
      <c r="J1504" s="70">
        <f t="shared" si="167"/>
        <v>4.0700516751344242</v>
      </c>
      <c r="K1504" s="70">
        <f>IF(CurrentMtgRatesDataTable8[[#This Row],[WA CC]]&lt;&gt;0,C1503-CurrentMtgRatesDataTable8[[#This Row],[WA CC]],0)</f>
        <v>0.63494832486557584</v>
      </c>
      <c r="L1504" s="70">
        <f>IF(CurrentMtgRatesDataTable8[[#This Row],[Servicing Spread]]&lt;=0,L1503,CurrentMtgRatesDataTable8[[#This Row],[Servicing Spread]])</f>
        <v>0.63494832486557584</v>
      </c>
      <c r="M1504" s="70">
        <f>CurrentMtgRatesDataTable8[[#This Row],[Servicing Spread Non-Zero]]-L1503</f>
        <v>-5.0629481601003334E-3</v>
      </c>
      <c r="N1504" s="70">
        <f>IF(J1503&lt;&gt;0,CurrentMtgRatesDataTable8[[#This Row],[Rate]]-C1503,N1503)</f>
        <v>-4.9999999999999822E-2</v>
      </c>
    </row>
    <row r="1505" spans="1:14">
      <c r="A1505" s="67" t="s">
        <v>2857</v>
      </c>
      <c r="B1505" s="68">
        <v>3.9539461258953699</v>
      </c>
      <c r="C1505" s="69">
        <v>4.6349999999999998</v>
      </c>
      <c r="D1505" s="70">
        <f t="shared" si="161"/>
        <v>2</v>
      </c>
      <c r="E1505" s="70">
        <f t="shared" si="162"/>
        <v>0.2</v>
      </c>
      <c r="F1505" s="70">
        <f t="shared" si="163"/>
        <v>1</v>
      </c>
      <c r="G1505" s="70">
        <f t="shared" si="164"/>
        <v>0.79078922517907402</v>
      </c>
      <c r="H1505" s="70">
        <f t="shared" si="165"/>
        <v>0.2</v>
      </c>
      <c r="I1505" s="70">
        <f t="shared" si="166"/>
        <v>0</v>
      </c>
      <c r="J1505" s="70">
        <f t="shared" si="167"/>
        <v>0</v>
      </c>
      <c r="K1505" s="70">
        <f>IF(CurrentMtgRatesDataTable8[[#This Row],[WA CC]]&lt;&gt;0,C1504-CurrentMtgRatesDataTable8[[#This Row],[WA CC]],0)</f>
        <v>0</v>
      </c>
      <c r="L1505" s="70">
        <f>IF(CurrentMtgRatesDataTable8[[#This Row],[Servicing Spread]]&lt;=0,L1504,CurrentMtgRatesDataTable8[[#This Row],[Servicing Spread]])</f>
        <v>0.63494832486557584</v>
      </c>
      <c r="M1505" s="70">
        <f>CurrentMtgRatesDataTable8[[#This Row],[Servicing Spread Non-Zero]]-L1504</f>
        <v>0</v>
      </c>
      <c r="N1505" s="70">
        <f>IF(J1504&lt;&gt;0,CurrentMtgRatesDataTable8[[#This Row],[Rate]]-C1504,N1504)</f>
        <v>-7.0000000000000284E-2</v>
      </c>
    </row>
    <row r="1506" spans="1:14">
      <c r="A1506" s="67" t="s">
        <v>2858</v>
      </c>
      <c r="B1506" s="68">
        <v>3.9489986239848101</v>
      </c>
      <c r="C1506" s="69">
        <v>4.6349999999999998</v>
      </c>
      <c r="D1506" s="70">
        <f t="shared" si="161"/>
        <v>5</v>
      </c>
      <c r="E1506" s="70">
        <f t="shared" si="162"/>
        <v>0.2</v>
      </c>
      <c r="F1506" s="70">
        <f t="shared" si="163"/>
        <v>2</v>
      </c>
      <c r="G1506" s="70">
        <f t="shared" si="164"/>
        <v>1.5805889499760362</v>
      </c>
      <c r="H1506" s="70">
        <f t="shared" si="165"/>
        <v>0.4</v>
      </c>
      <c r="I1506" s="70">
        <f t="shared" si="166"/>
        <v>0</v>
      </c>
      <c r="J1506" s="70">
        <f t="shared" si="167"/>
        <v>0</v>
      </c>
      <c r="K1506" s="70">
        <f>IF(CurrentMtgRatesDataTable8[[#This Row],[WA CC]]&lt;&gt;0,C1505-CurrentMtgRatesDataTable8[[#This Row],[WA CC]],0)</f>
        <v>0</v>
      </c>
      <c r="L1506" s="70">
        <f>IF(CurrentMtgRatesDataTable8[[#This Row],[Servicing Spread]]&lt;=0,L1505,CurrentMtgRatesDataTable8[[#This Row],[Servicing Spread]])</f>
        <v>0.63494832486557584</v>
      </c>
      <c r="M1506" s="70">
        <f>CurrentMtgRatesDataTable8[[#This Row],[Servicing Spread Non-Zero]]-L1505</f>
        <v>0</v>
      </c>
      <c r="N1506" s="70">
        <f>IF(J1505&lt;&gt;0,CurrentMtgRatesDataTable8[[#This Row],[Rate]]-C1505,N1505)</f>
        <v>-7.0000000000000284E-2</v>
      </c>
    </row>
    <row r="1507" spans="1:14">
      <c r="A1507" s="67" t="s">
        <v>2859</v>
      </c>
      <c r="B1507" s="68">
        <v>4.0436498008653103</v>
      </c>
      <c r="C1507" s="69">
        <v>4.6349999999999998</v>
      </c>
      <c r="D1507" s="70">
        <f t="shared" si="161"/>
        <v>6</v>
      </c>
      <c r="E1507" s="70">
        <f t="shared" si="162"/>
        <v>0.2</v>
      </c>
      <c r="F1507" s="70">
        <f t="shared" si="163"/>
        <v>3</v>
      </c>
      <c r="G1507" s="70">
        <f t="shared" si="164"/>
        <v>2.3893189101490981</v>
      </c>
      <c r="H1507" s="70">
        <f t="shared" si="165"/>
        <v>0.60000000000000009</v>
      </c>
      <c r="I1507" s="70">
        <f t="shared" si="166"/>
        <v>0</v>
      </c>
      <c r="J1507" s="70">
        <f t="shared" si="167"/>
        <v>0</v>
      </c>
      <c r="K1507" s="70">
        <f>IF(CurrentMtgRatesDataTable8[[#This Row],[WA CC]]&lt;&gt;0,C1506-CurrentMtgRatesDataTable8[[#This Row],[WA CC]],0)</f>
        <v>0</v>
      </c>
      <c r="L1507" s="70">
        <f>IF(CurrentMtgRatesDataTable8[[#This Row],[Servicing Spread]]&lt;=0,L1506,CurrentMtgRatesDataTable8[[#This Row],[Servicing Spread]])</f>
        <v>0.63494832486557584</v>
      </c>
      <c r="M1507" s="70">
        <f>CurrentMtgRatesDataTable8[[#This Row],[Servicing Spread Non-Zero]]-L1506</f>
        <v>0</v>
      </c>
      <c r="N1507" s="70">
        <f>IF(J1506&lt;&gt;0,CurrentMtgRatesDataTable8[[#This Row],[Rate]]-C1506,N1506)</f>
        <v>-7.0000000000000284E-2</v>
      </c>
    </row>
    <row r="1508" spans="1:14">
      <c r="A1508" s="67" t="s">
        <v>2860</v>
      </c>
      <c r="B1508" s="68">
        <v>4.1065098067076402</v>
      </c>
      <c r="C1508" s="69">
        <v>4.6349999999999998</v>
      </c>
      <c r="D1508" s="70">
        <f t="shared" si="161"/>
        <v>7</v>
      </c>
      <c r="E1508" s="70">
        <f t="shared" si="162"/>
        <v>0.2</v>
      </c>
      <c r="F1508" s="70">
        <f t="shared" si="163"/>
        <v>4</v>
      </c>
      <c r="G1508" s="70">
        <f t="shared" si="164"/>
        <v>3.2106208714906264</v>
      </c>
      <c r="H1508" s="70">
        <f t="shared" si="165"/>
        <v>0.8</v>
      </c>
      <c r="I1508" s="70">
        <f t="shared" si="166"/>
        <v>1</v>
      </c>
      <c r="J1508" s="70">
        <f t="shared" si="167"/>
        <v>4.0132760893632824</v>
      </c>
      <c r="K1508" s="70">
        <f>IF(CurrentMtgRatesDataTable8[[#This Row],[WA CC]]&lt;&gt;0,C1507-CurrentMtgRatesDataTable8[[#This Row],[WA CC]],0)</f>
        <v>0.62172391063671739</v>
      </c>
      <c r="L1508" s="70">
        <f>IF(CurrentMtgRatesDataTable8[[#This Row],[Servicing Spread]]&lt;=0,L1507,CurrentMtgRatesDataTable8[[#This Row],[Servicing Spread]])</f>
        <v>0.62172391063671739</v>
      </c>
      <c r="M1508" s="70">
        <f>CurrentMtgRatesDataTable8[[#This Row],[Servicing Spread Non-Zero]]-L1507</f>
        <v>-1.322441422885845E-2</v>
      </c>
      <c r="N1508" s="70">
        <f>IF(J1507&lt;&gt;0,CurrentMtgRatesDataTable8[[#This Row],[Rate]]-C1507,N1507)</f>
        <v>-7.0000000000000284E-2</v>
      </c>
    </row>
    <row r="1509" spans="1:14">
      <c r="A1509" s="67" t="s">
        <v>2861</v>
      </c>
      <c r="B1509" s="68">
        <v>4.1694309446566704</v>
      </c>
      <c r="C1509" s="69">
        <v>4.7349999999999994</v>
      </c>
      <c r="D1509" s="70">
        <f t="shared" si="161"/>
        <v>1</v>
      </c>
      <c r="E1509" s="70">
        <f t="shared" si="162"/>
        <v>0.2</v>
      </c>
      <c r="F1509" s="70">
        <f t="shared" si="163"/>
        <v>1</v>
      </c>
      <c r="G1509" s="70">
        <f t="shared" si="164"/>
        <v>0.83388618893133415</v>
      </c>
      <c r="H1509" s="70">
        <f t="shared" si="165"/>
        <v>0.2</v>
      </c>
      <c r="I1509" s="70">
        <f t="shared" si="166"/>
        <v>0</v>
      </c>
      <c r="J1509" s="70">
        <f t="shared" si="167"/>
        <v>0</v>
      </c>
      <c r="K1509" s="70">
        <f>IF(CurrentMtgRatesDataTable8[[#This Row],[WA CC]]&lt;&gt;0,C1508-CurrentMtgRatesDataTable8[[#This Row],[WA CC]],0)</f>
        <v>0</v>
      </c>
      <c r="L1509" s="70">
        <f>IF(CurrentMtgRatesDataTable8[[#This Row],[Servicing Spread]]&lt;=0,L1508,CurrentMtgRatesDataTable8[[#This Row],[Servicing Spread]])</f>
        <v>0.62172391063671739</v>
      </c>
      <c r="M1509" s="70">
        <f>CurrentMtgRatesDataTable8[[#This Row],[Servicing Spread Non-Zero]]-L1508</f>
        <v>0</v>
      </c>
      <c r="N1509" s="70">
        <f>IF(J1508&lt;&gt;0,CurrentMtgRatesDataTable8[[#This Row],[Rate]]-C1508,N1508)</f>
        <v>9.9999999999999645E-2</v>
      </c>
    </row>
    <row r="1510" spans="1:14">
      <c r="A1510" s="67" t="s">
        <v>2862</v>
      </c>
      <c r="B1510" s="68">
        <v>4.2443083823505896</v>
      </c>
      <c r="C1510" s="69">
        <v>4.7349999999999994</v>
      </c>
      <c r="D1510" s="70">
        <f t="shared" si="161"/>
        <v>2</v>
      </c>
      <c r="E1510" s="70">
        <f t="shared" si="162"/>
        <v>0.2</v>
      </c>
      <c r="F1510" s="70">
        <f t="shared" si="163"/>
        <v>2</v>
      </c>
      <c r="G1510" s="70">
        <f t="shared" si="164"/>
        <v>1.6827478654014523</v>
      </c>
      <c r="H1510" s="70">
        <f t="shared" si="165"/>
        <v>0.4</v>
      </c>
      <c r="I1510" s="70">
        <f t="shared" si="166"/>
        <v>0</v>
      </c>
      <c r="J1510" s="70">
        <f t="shared" si="167"/>
        <v>0</v>
      </c>
      <c r="K1510" s="70">
        <f>IF(CurrentMtgRatesDataTable8[[#This Row],[WA CC]]&lt;&gt;0,C1509-CurrentMtgRatesDataTable8[[#This Row],[WA CC]],0)</f>
        <v>0</v>
      </c>
      <c r="L1510" s="70">
        <f>IF(CurrentMtgRatesDataTable8[[#This Row],[Servicing Spread]]&lt;=0,L1509,CurrentMtgRatesDataTable8[[#This Row],[Servicing Spread]])</f>
        <v>0.62172391063671739</v>
      </c>
      <c r="M1510" s="70">
        <f>CurrentMtgRatesDataTable8[[#This Row],[Servicing Spread Non-Zero]]-L1509</f>
        <v>0</v>
      </c>
      <c r="N1510" s="70">
        <f>IF(J1509&lt;&gt;0,CurrentMtgRatesDataTable8[[#This Row],[Rate]]-C1509,N1509)</f>
        <v>9.9999999999999645E-2</v>
      </c>
    </row>
    <row r="1511" spans="1:14">
      <c r="A1511" s="67" t="s">
        <v>2863</v>
      </c>
      <c r="B1511" s="68">
        <v>4.1946030538706003</v>
      </c>
      <c r="C1511" s="69">
        <v>4.7349999999999994</v>
      </c>
      <c r="D1511" s="70">
        <f t="shared" si="161"/>
        <v>5</v>
      </c>
      <c r="E1511" s="70">
        <f t="shared" si="162"/>
        <v>0.2</v>
      </c>
      <c r="F1511" s="70">
        <f t="shared" si="163"/>
        <v>3</v>
      </c>
      <c r="G1511" s="70">
        <f t="shared" si="164"/>
        <v>2.5216684761755723</v>
      </c>
      <c r="H1511" s="70">
        <f t="shared" si="165"/>
        <v>0.60000000000000009</v>
      </c>
      <c r="I1511" s="70">
        <f t="shared" si="166"/>
        <v>0</v>
      </c>
      <c r="J1511" s="70">
        <f t="shared" si="167"/>
        <v>0</v>
      </c>
      <c r="K1511" s="70">
        <f>IF(CurrentMtgRatesDataTable8[[#This Row],[WA CC]]&lt;&gt;0,C1510-CurrentMtgRatesDataTable8[[#This Row],[WA CC]],0)</f>
        <v>0</v>
      </c>
      <c r="L1511" s="70">
        <f>IF(CurrentMtgRatesDataTable8[[#This Row],[Servicing Spread]]&lt;=0,L1510,CurrentMtgRatesDataTable8[[#This Row],[Servicing Spread]])</f>
        <v>0.62172391063671739</v>
      </c>
      <c r="M1511" s="70">
        <f>CurrentMtgRatesDataTable8[[#This Row],[Servicing Spread Non-Zero]]-L1510</f>
        <v>0</v>
      </c>
      <c r="N1511" s="70">
        <f>IF(J1510&lt;&gt;0,CurrentMtgRatesDataTable8[[#This Row],[Rate]]-C1510,N1510)</f>
        <v>9.9999999999999645E-2</v>
      </c>
    </row>
    <row r="1512" spans="1:14">
      <c r="A1512" s="67" t="s">
        <v>2864</v>
      </c>
      <c r="B1512" s="68">
        <v>4.150426323254</v>
      </c>
      <c r="C1512" s="69">
        <v>4.7349999999999994</v>
      </c>
      <c r="D1512" s="70">
        <f t="shared" si="161"/>
        <v>6</v>
      </c>
      <c r="E1512" s="70">
        <f t="shared" si="162"/>
        <v>0.2</v>
      </c>
      <c r="F1512" s="70">
        <f t="shared" si="163"/>
        <v>4</v>
      </c>
      <c r="G1512" s="70">
        <f t="shared" si="164"/>
        <v>3.3517537408263722</v>
      </c>
      <c r="H1512" s="70">
        <f t="shared" si="165"/>
        <v>0.8</v>
      </c>
      <c r="I1512" s="70">
        <f t="shared" si="166"/>
        <v>0</v>
      </c>
      <c r="J1512" s="70">
        <f t="shared" si="167"/>
        <v>0</v>
      </c>
      <c r="K1512" s="70">
        <f>IF(CurrentMtgRatesDataTable8[[#This Row],[WA CC]]&lt;&gt;0,C1511-CurrentMtgRatesDataTable8[[#This Row],[WA CC]],0)</f>
        <v>0</v>
      </c>
      <c r="L1512" s="70">
        <f>IF(CurrentMtgRatesDataTable8[[#This Row],[Servicing Spread]]&lt;=0,L1511,CurrentMtgRatesDataTable8[[#This Row],[Servicing Spread]])</f>
        <v>0.62172391063671739</v>
      </c>
      <c r="M1512" s="70">
        <f>CurrentMtgRatesDataTable8[[#This Row],[Servicing Spread Non-Zero]]-L1511</f>
        <v>0</v>
      </c>
      <c r="N1512" s="70">
        <f>IF(J1511&lt;&gt;0,CurrentMtgRatesDataTable8[[#This Row],[Rate]]-C1511,N1511)</f>
        <v>9.9999999999999645E-2</v>
      </c>
    </row>
    <row r="1513" spans="1:14">
      <c r="A1513" s="67" t="s">
        <v>2865</v>
      </c>
      <c r="B1513" s="68">
        <v>4.1916747687051901</v>
      </c>
      <c r="C1513" s="69">
        <v>4.7349999999999994</v>
      </c>
      <c r="D1513" s="70">
        <f t="shared" si="161"/>
        <v>7</v>
      </c>
      <c r="E1513" s="70">
        <f t="shared" si="162"/>
        <v>0.2</v>
      </c>
      <c r="F1513" s="70">
        <f t="shared" si="163"/>
        <v>5</v>
      </c>
      <c r="G1513" s="70">
        <f t="shared" si="164"/>
        <v>4.1900886945674101</v>
      </c>
      <c r="H1513" s="70">
        <f t="shared" si="165"/>
        <v>1</v>
      </c>
      <c r="I1513" s="70">
        <f t="shared" si="166"/>
        <v>1</v>
      </c>
      <c r="J1513" s="70">
        <f t="shared" si="167"/>
        <v>4.1900886945674101</v>
      </c>
      <c r="K1513" s="70">
        <f>IF(CurrentMtgRatesDataTable8[[#This Row],[WA CC]]&lt;&gt;0,C1512-CurrentMtgRatesDataTable8[[#This Row],[WA CC]],0)</f>
        <v>0.54491130543258937</v>
      </c>
      <c r="L1513" s="70">
        <f>IF(CurrentMtgRatesDataTable8[[#This Row],[Servicing Spread]]&lt;=0,L1512,CurrentMtgRatesDataTable8[[#This Row],[Servicing Spread]])</f>
        <v>0.54491130543258937</v>
      </c>
      <c r="M1513" s="70">
        <f>CurrentMtgRatesDataTable8[[#This Row],[Servicing Spread Non-Zero]]-L1512</f>
        <v>-7.6812605204128026E-2</v>
      </c>
      <c r="N1513" s="70">
        <f>IF(J1512&lt;&gt;0,CurrentMtgRatesDataTable8[[#This Row],[Rate]]-C1512,N1512)</f>
        <v>9.9999999999999645E-2</v>
      </c>
    </row>
    <row r="1514" spans="1:14">
      <c r="A1514" s="67" t="s">
        <v>2866</v>
      </c>
      <c r="B1514" s="68">
        <v>4.2251526469505096</v>
      </c>
      <c r="C1514" s="69">
        <v>4.8650000000000002</v>
      </c>
      <c r="D1514" s="70">
        <f t="shared" si="161"/>
        <v>1</v>
      </c>
      <c r="E1514" s="70">
        <f t="shared" si="162"/>
        <v>0.2</v>
      </c>
      <c r="F1514" s="70">
        <f t="shared" si="163"/>
        <v>1</v>
      </c>
      <c r="G1514" s="70">
        <f t="shared" si="164"/>
        <v>0.84503052939010193</v>
      </c>
      <c r="H1514" s="70">
        <f t="shared" si="165"/>
        <v>0.2</v>
      </c>
      <c r="I1514" s="70">
        <f t="shared" si="166"/>
        <v>0</v>
      </c>
      <c r="J1514" s="70">
        <f t="shared" si="167"/>
        <v>0</v>
      </c>
      <c r="K1514" s="70">
        <f>IF(CurrentMtgRatesDataTable8[[#This Row],[WA CC]]&lt;&gt;0,C1513-CurrentMtgRatesDataTable8[[#This Row],[WA CC]],0)</f>
        <v>0</v>
      </c>
      <c r="L1514" s="70">
        <f>IF(CurrentMtgRatesDataTable8[[#This Row],[Servicing Spread]]&lt;=0,L1513,CurrentMtgRatesDataTable8[[#This Row],[Servicing Spread]])</f>
        <v>0.54491130543258937</v>
      </c>
      <c r="M1514" s="70">
        <f>CurrentMtgRatesDataTable8[[#This Row],[Servicing Spread Non-Zero]]-L1513</f>
        <v>0</v>
      </c>
      <c r="N1514" s="70">
        <f>IF(J1513&lt;&gt;0,CurrentMtgRatesDataTable8[[#This Row],[Rate]]-C1513,N1513)</f>
        <v>0.13000000000000078</v>
      </c>
    </row>
    <row r="1515" spans="1:14">
      <c r="A1515" s="67" t="s">
        <v>2867</v>
      </c>
      <c r="B1515" s="68">
        <v>4.24709221665087</v>
      </c>
      <c r="C1515" s="69">
        <v>4.8650000000000002</v>
      </c>
      <c r="D1515" s="70">
        <f t="shared" si="161"/>
        <v>2</v>
      </c>
      <c r="E1515" s="70">
        <f t="shared" si="162"/>
        <v>0.2</v>
      </c>
      <c r="F1515" s="70">
        <f t="shared" si="163"/>
        <v>2</v>
      </c>
      <c r="G1515" s="70">
        <f t="shared" si="164"/>
        <v>1.6944489727202758</v>
      </c>
      <c r="H1515" s="70">
        <f t="shared" si="165"/>
        <v>0.4</v>
      </c>
      <c r="I1515" s="70">
        <f t="shared" si="166"/>
        <v>0</v>
      </c>
      <c r="J1515" s="70">
        <f t="shared" si="167"/>
        <v>0</v>
      </c>
      <c r="K1515" s="70">
        <f>IF(CurrentMtgRatesDataTable8[[#This Row],[WA CC]]&lt;&gt;0,C1514-CurrentMtgRatesDataTable8[[#This Row],[WA CC]],0)</f>
        <v>0</v>
      </c>
      <c r="L1515" s="70">
        <f>IF(CurrentMtgRatesDataTable8[[#This Row],[Servicing Spread]]&lt;=0,L1514,CurrentMtgRatesDataTable8[[#This Row],[Servicing Spread]])</f>
        <v>0.54491130543258937</v>
      </c>
      <c r="M1515" s="70">
        <f>CurrentMtgRatesDataTable8[[#This Row],[Servicing Spread Non-Zero]]-L1514</f>
        <v>0</v>
      </c>
      <c r="N1515" s="70">
        <f>IF(J1514&lt;&gt;0,CurrentMtgRatesDataTable8[[#This Row],[Rate]]-C1514,N1514)</f>
        <v>0.13000000000000078</v>
      </c>
    </row>
    <row r="1516" spans="1:14">
      <c r="A1516" s="67" t="s">
        <v>2868</v>
      </c>
      <c r="B1516" s="68">
        <v>4.2831681294625197</v>
      </c>
      <c r="C1516" s="69">
        <v>4.8650000000000002</v>
      </c>
      <c r="D1516" s="70">
        <f t="shared" si="161"/>
        <v>5</v>
      </c>
      <c r="E1516" s="70">
        <f t="shared" si="162"/>
        <v>0.2</v>
      </c>
      <c r="F1516" s="70">
        <f t="shared" si="163"/>
        <v>3</v>
      </c>
      <c r="G1516" s="70">
        <f t="shared" si="164"/>
        <v>2.5510825986127799</v>
      </c>
      <c r="H1516" s="70">
        <f t="shared" si="165"/>
        <v>0.60000000000000009</v>
      </c>
      <c r="I1516" s="70">
        <f t="shared" si="166"/>
        <v>0</v>
      </c>
      <c r="J1516" s="70">
        <f t="shared" si="167"/>
        <v>0</v>
      </c>
      <c r="K1516" s="70">
        <f>IF(CurrentMtgRatesDataTable8[[#This Row],[WA CC]]&lt;&gt;0,C1515-CurrentMtgRatesDataTable8[[#This Row],[WA CC]],0)</f>
        <v>0</v>
      </c>
      <c r="L1516" s="70">
        <f>IF(CurrentMtgRatesDataTable8[[#This Row],[Servicing Spread]]&lt;=0,L1515,CurrentMtgRatesDataTable8[[#This Row],[Servicing Spread]])</f>
        <v>0.54491130543258937</v>
      </c>
      <c r="M1516" s="70">
        <f>CurrentMtgRatesDataTable8[[#This Row],[Servicing Spread Non-Zero]]-L1515</f>
        <v>0</v>
      </c>
      <c r="N1516" s="70">
        <f>IF(J1515&lt;&gt;0,CurrentMtgRatesDataTable8[[#This Row],[Rate]]-C1515,N1515)</f>
        <v>0.13000000000000078</v>
      </c>
    </row>
    <row r="1517" spans="1:14">
      <c r="A1517" s="67" t="s">
        <v>2869</v>
      </c>
      <c r="B1517" s="68">
        <v>4.35407192844752</v>
      </c>
      <c r="C1517" s="69">
        <v>4.8650000000000002</v>
      </c>
      <c r="D1517" s="70">
        <f t="shared" si="161"/>
        <v>6</v>
      </c>
      <c r="E1517" s="70">
        <f t="shared" si="162"/>
        <v>0.2</v>
      </c>
      <c r="F1517" s="70">
        <f t="shared" si="163"/>
        <v>4</v>
      </c>
      <c r="G1517" s="70">
        <f t="shared" si="164"/>
        <v>3.421896984302284</v>
      </c>
      <c r="H1517" s="70">
        <f t="shared" si="165"/>
        <v>0.8</v>
      </c>
      <c r="I1517" s="70">
        <f t="shared" si="166"/>
        <v>0</v>
      </c>
      <c r="J1517" s="70">
        <f t="shared" si="167"/>
        <v>0</v>
      </c>
      <c r="K1517" s="70">
        <f>IF(CurrentMtgRatesDataTable8[[#This Row],[WA CC]]&lt;&gt;0,C1516-CurrentMtgRatesDataTable8[[#This Row],[WA CC]],0)</f>
        <v>0</v>
      </c>
      <c r="L1517" s="70">
        <f>IF(CurrentMtgRatesDataTable8[[#This Row],[Servicing Spread]]&lt;=0,L1516,CurrentMtgRatesDataTable8[[#This Row],[Servicing Spread]])</f>
        <v>0.54491130543258937</v>
      </c>
      <c r="M1517" s="70">
        <f>CurrentMtgRatesDataTable8[[#This Row],[Servicing Spread Non-Zero]]-L1516</f>
        <v>0</v>
      </c>
      <c r="N1517" s="70">
        <f>IF(J1516&lt;&gt;0,CurrentMtgRatesDataTable8[[#This Row],[Rate]]-C1516,N1516)</f>
        <v>0.13000000000000078</v>
      </c>
    </row>
    <row r="1518" spans="1:14">
      <c r="A1518" s="67" t="s">
        <v>2870</v>
      </c>
      <c r="B1518" s="68">
        <v>4.3249234913731902</v>
      </c>
      <c r="C1518" s="69">
        <v>4.8650000000000002</v>
      </c>
      <c r="D1518" s="70">
        <f t="shared" si="161"/>
        <v>7</v>
      </c>
      <c r="E1518" s="70">
        <f t="shared" si="162"/>
        <v>0.2</v>
      </c>
      <c r="F1518" s="70">
        <f t="shared" si="163"/>
        <v>5</v>
      </c>
      <c r="G1518" s="70">
        <f t="shared" si="164"/>
        <v>4.2868816825769223</v>
      </c>
      <c r="H1518" s="70">
        <f t="shared" si="165"/>
        <v>1</v>
      </c>
      <c r="I1518" s="70">
        <f t="shared" si="166"/>
        <v>1</v>
      </c>
      <c r="J1518" s="70">
        <f t="shared" si="167"/>
        <v>4.2868816825769223</v>
      </c>
      <c r="K1518" s="70">
        <f>IF(CurrentMtgRatesDataTable8[[#This Row],[WA CC]]&lt;&gt;0,C1517-CurrentMtgRatesDataTable8[[#This Row],[WA CC]],0)</f>
        <v>0.57811831742307795</v>
      </c>
      <c r="L1518" s="70">
        <f>IF(CurrentMtgRatesDataTable8[[#This Row],[Servicing Spread]]&lt;=0,L1517,CurrentMtgRatesDataTable8[[#This Row],[Servicing Spread]])</f>
        <v>0.57811831742307795</v>
      </c>
      <c r="M1518" s="70">
        <f>CurrentMtgRatesDataTable8[[#This Row],[Servicing Spread Non-Zero]]-L1517</f>
        <v>3.3207011990488589E-2</v>
      </c>
      <c r="N1518" s="70">
        <f>IF(J1517&lt;&gt;0,CurrentMtgRatesDataTable8[[#This Row],[Rate]]-C1517,N1517)</f>
        <v>0.13000000000000078</v>
      </c>
    </row>
    <row r="1519" spans="1:14">
      <c r="A1519" s="67" t="s">
        <v>2871</v>
      </c>
      <c r="B1519" s="68">
        <v>4.1982238259141704</v>
      </c>
      <c r="C1519" s="69">
        <v>4.9749999999999996</v>
      </c>
      <c r="D1519" s="70">
        <f t="shared" si="161"/>
        <v>1</v>
      </c>
      <c r="E1519" s="70">
        <f t="shared" si="162"/>
        <v>0.2</v>
      </c>
      <c r="F1519" s="70">
        <f t="shared" si="163"/>
        <v>1</v>
      </c>
      <c r="G1519" s="70">
        <f t="shared" si="164"/>
        <v>0.83964476518283415</v>
      </c>
      <c r="H1519" s="70">
        <f t="shared" si="165"/>
        <v>0.2</v>
      </c>
      <c r="I1519" s="70">
        <f t="shared" si="166"/>
        <v>0</v>
      </c>
      <c r="J1519" s="70">
        <f t="shared" si="167"/>
        <v>0</v>
      </c>
      <c r="K1519" s="70">
        <f>IF(CurrentMtgRatesDataTable8[[#This Row],[WA CC]]&lt;&gt;0,C1518-CurrentMtgRatesDataTable8[[#This Row],[WA CC]],0)</f>
        <v>0</v>
      </c>
      <c r="L1519" s="70">
        <f>IF(CurrentMtgRatesDataTable8[[#This Row],[Servicing Spread]]&lt;=0,L1518,CurrentMtgRatesDataTable8[[#This Row],[Servicing Spread]])</f>
        <v>0.57811831742307795</v>
      </c>
      <c r="M1519" s="70">
        <f>CurrentMtgRatesDataTable8[[#This Row],[Servicing Spread Non-Zero]]-L1518</f>
        <v>0</v>
      </c>
      <c r="N1519" s="70">
        <f>IF(J1518&lt;&gt;0,CurrentMtgRatesDataTable8[[#This Row],[Rate]]-C1518,N1518)</f>
        <v>0.10999999999999943</v>
      </c>
    </row>
    <row r="1520" spans="1:14">
      <c r="A1520" s="67" t="s">
        <v>2872</v>
      </c>
      <c r="B1520" s="68">
        <v>4.2629090218108301</v>
      </c>
      <c r="C1520" s="69">
        <v>4.9749999999999996</v>
      </c>
      <c r="D1520" s="70">
        <f t="shared" si="161"/>
        <v>2</v>
      </c>
      <c r="E1520" s="70">
        <f t="shared" si="162"/>
        <v>0.2</v>
      </c>
      <c r="F1520" s="70">
        <f t="shared" si="163"/>
        <v>2</v>
      </c>
      <c r="G1520" s="70">
        <f t="shared" si="164"/>
        <v>1.6922265695450003</v>
      </c>
      <c r="H1520" s="70">
        <f t="shared" si="165"/>
        <v>0.4</v>
      </c>
      <c r="I1520" s="70">
        <f t="shared" si="166"/>
        <v>0</v>
      </c>
      <c r="J1520" s="70">
        <f t="shared" si="167"/>
        <v>0</v>
      </c>
      <c r="K1520" s="70">
        <f>IF(CurrentMtgRatesDataTable8[[#This Row],[WA CC]]&lt;&gt;0,C1519-CurrentMtgRatesDataTable8[[#This Row],[WA CC]],0)</f>
        <v>0</v>
      </c>
      <c r="L1520" s="70">
        <f>IF(CurrentMtgRatesDataTable8[[#This Row],[Servicing Spread]]&lt;=0,L1519,CurrentMtgRatesDataTable8[[#This Row],[Servicing Spread]])</f>
        <v>0.57811831742307795</v>
      </c>
      <c r="M1520" s="70">
        <f>CurrentMtgRatesDataTable8[[#This Row],[Servicing Spread Non-Zero]]-L1519</f>
        <v>0</v>
      </c>
      <c r="N1520" s="70">
        <f>IF(J1519&lt;&gt;0,CurrentMtgRatesDataTable8[[#This Row],[Rate]]-C1519,N1519)</f>
        <v>0.10999999999999943</v>
      </c>
    </row>
    <row r="1521" spans="1:14">
      <c r="A1521" s="67" t="s">
        <v>2873</v>
      </c>
      <c r="B1521" s="68">
        <v>4.4100417756267198</v>
      </c>
      <c r="C1521" s="69">
        <v>4.9749999999999996</v>
      </c>
      <c r="D1521" s="70">
        <f t="shared" si="161"/>
        <v>5</v>
      </c>
      <c r="E1521" s="70">
        <f t="shared" si="162"/>
        <v>0.2</v>
      </c>
      <c r="F1521" s="70">
        <f t="shared" si="163"/>
        <v>3</v>
      </c>
      <c r="G1521" s="70">
        <f t="shared" si="164"/>
        <v>2.5742349246703444</v>
      </c>
      <c r="H1521" s="70">
        <f t="shared" si="165"/>
        <v>0.60000000000000009</v>
      </c>
      <c r="I1521" s="70">
        <f t="shared" si="166"/>
        <v>0</v>
      </c>
      <c r="J1521" s="70">
        <f t="shared" si="167"/>
        <v>0</v>
      </c>
      <c r="K1521" s="70">
        <f>IF(CurrentMtgRatesDataTable8[[#This Row],[WA CC]]&lt;&gt;0,C1520-CurrentMtgRatesDataTable8[[#This Row],[WA CC]],0)</f>
        <v>0</v>
      </c>
      <c r="L1521" s="70">
        <f>IF(CurrentMtgRatesDataTable8[[#This Row],[Servicing Spread]]&lt;=0,L1520,CurrentMtgRatesDataTable8[[#This Row],[Servicing Spread]])</f>
        <v>0.57811831742307795</v>
      </c>
      <c r="M1521" s="70">
        <f>CurrentMtgRatesDataTable8[[#This Row],[Servicing Spread Non-Zero]]-L1520</f>
        <v>0</v>
      </c>
      <c r="N1521" s="70">
        <f>IF(J1520&lt;&gt;0,CurrentMtgRatesDataTable8[[#This Row],[Rate]]-C1520,N1520)</f>
        <v>0.10999999999999943</v>
      </c>
    </row>
    <row r="1522" spans="1:14">
      <c r="A1522" s="67" t="s">
        <v>2874</v>
      </c>
      <c r="B1522" s="68">
        <v>4.4853991734605403</v>
      </c>
      <c r="C1522" s="69">
        <v>4.9749999999999996</v>
      </c>
      <c r="D1522" s="70">
        <f t="shared" si="161"/>
        <v>6</v>
      </c>
      <c r="E1522" s="70">
        <f t="shared" si="162"/>
        <v>0.2</v>
      </c>
      <c r="F1522" s="70">
        <f t="shared" si="163"/>
        <v>4</v>
      </c>
      <c r="G1522" s="70">
        <f t="shared" si="164"/>
        <v>3.4713147593624525</v>
      </c>
      <c r="H1522" s="70">
        <f t="shared" si="165"/>
        <v>0.8</v>
      </c>
      <c r="I1522" s="70">
        <f t="shared" si="166"/>
        <v>0</v>
      </c>
      <c r="J1522" s="70">
        <f t="shared" si="167"/>
        <v>0</v>
      </c>
      <c r="K1522" s="70">
        <f>IF(CurrentMtgRatesDataTable8[[#This Row],[WA CC]]&lt;&gt;0,C1521-CurrentMtgRatesDataTable8[[#This Row],[WA CC]],0)</f>
        <v>0</v>
      </c>
      <c r="L1522" s="70">
        <f>IF(CurrentMtgRatesDataTable8[[#This Row],[Servicing Spread]]&lt;=0,L1521,CurrentMtgRatesDataTable8[[#This Row],[Servicing Spread]])</f>
        <v>0.57811831742307795</v>
      </c>
      <c r="M1522" s="70">
        <f>CurrentMtgRatesDataTable8[[#This Row],[Servicing Spread Non-Zero]]-L1521</f>
        <v>0</v>
      </c>
      <c r="N1522" s="70">
        <f>IF(J1521&lt;&gt;0,CurrentMtgRatesDataTable8[[#This Row],[Rate]]-C1521,N1521)</f>
        <v>0.10999999999999943</v>
      </c>
    </row>
    <row r="1523" spans="1:14">
      <c r="A1523" s="67" t="s">
        <v>2875</v>
      </c>
      <c r="B1523" s="68">
        <v>4.4959394472763297</v>
      </c>
      <c r="C1523" s="69">
        <v>4.9749999999999996</v>
      </c>
      <c r="D1523" s="70">
        <f t="shared" si="161"/>
        <v>7</v>
      </c>
      <c r="E1523" s="70">
        <f t="shared" si="162"/>
        <v>0.2</v>
      </c>
      <c r="F1523" s="70">
        <f t="shared" si="163"/>
        <v>5</v>
      </c>
      <c r="G1523" s="70">
        <f t="shared" si="164"/>
        <v>4.3705026488177188</v>
      </c>
      <c r="H1523" s="70">
        <f t="shared" si="165"/>
        <v>1</v>
      </c>
      <c r="I1523" s="70">
        <f t="shared" si="166"/>
        <v>1</v>
      </c>
      <c r="J1523" s="70">
        <f t="shared" si="167"/>
        <v>4.3705026488177188</v>
      </c>
      <c r="K1523" s="70">
        <f>IF(CurrentMtgRatesDataTable8[[#This Row],[WA CC]]&lt;&gt;0,C1522-CurrentMtgRatesDataTable8[[#This Row],[WA CC]],0)</f>
        <v>0.60449735118228087</v>
      </c>
      <c r="L1523" s="70">
        <f>IF(CurrentMtgRatesDataTable8[[#This Row],[Servicing Spread]]&lt;=0,L1522,CurrentMtgRatesDataTable8[[#This Row],[Servicing Spread]])</f>
        <v>0.60449735118228087</v>
      </c>
      <c r="M1523" s="70">
        <f>CurrentMtgRatesDataTable8[[#This Row],[Servicing Spread Non-Zero]]-L1522</f>
        <v>2.6379033759202919E-2</v>
      </c>
      <c r="N1523" s="70">
        <f>IF(J1522&lt;&gt;0,CurrentMtgRatesDataTable8[[#This Row],[Rate]]-C1522,N1522)</f>
        <v>0.10999999999999943</v>
      </c>
    </row>
    <row r="1524" spans="1:14">
      <c r="A1524" s="67" t="s">
        <v>2876</v>
      </c>
      <c r="B1524" s="68">
        <v>4.5466749341860799</v>
      </c>
      <c r="C1524" s="69">
        <v>5.0649999999999995</v>
      </c>
      <c r="D1524" s="70">
        <f t="shared" si="161"/>
        <v>1</v>
      </c>
      <c r="E1524" s="70">
        <f t="shared" si="162"/>
        <v>0.2</v>
      </c>
      <c r="F1524" s="70">
        <f t="shared" si="163"/>
        <v>1</v>
      </c>
      <c r="G1524" s="70">
        <f t="shared" si="164"/>
        <v>0.90933498683721603</v>
      </c>
      <c r="H1524" s="70">
        <f t="shared" si="165"/>
        <v>0.2</v>
      </c>
      <c r="I1524" s="70">
        <f t="shared" si="166"/>
        <v>0</v>
      </c>
      <c r="J1524" s="70">
        <f t="shared" si="167"/>
        <v>0</v>
      </c>
      <c r="K1524" s="70">
        <f>IF(CurrentMtgRatesDataTable8[[#This Row],[WA CC]]&lt;&gt;0,C1523-CurrentMtgRatesDataTable8[[#This Row],[WA CC]],0)</f>
        <v>0</v>
      </c>
      <c r="L1524" s="70">
        <f>IF(CurrentMtgRatesDataTable8[[#This Row],[Servicing Spread]]&lt;=0,L1523,CurrentMtgRatesDataTable8[[#This Row],[Servicing Spread]])</f>
        <v>0.60449735118228087</v>
      </c>
      <c r="M1524" s="70">
        <f>CurrentMtgRatesDataTable8[[#This Row],[Servicing Spread Non-Zero]]-L1523</f>
        <v>0</v>
      </c>
      <c r="N1524" s="70">
        <f>IF(J1523&lt;&gt;0,CurrentMtgRatesDataTable8[[#This Row],[Rate]]-C1523,N1523)</f>
        <v>8.9999999999999858E-2</v>
      </c>
    </row>
    <row r="1525" spans="1:14">
      <c r="A1525" s="67" t="s">
        <v>2877</v>
      </c>
      <c r="B1525" s="68">
        <v>4.59677757599475</v>
      </c>
      <c r="C1525" s="69">
        <v>5.0649999999999995</v>
      </c>
      <c r="D1525" s="70">
        <f t="shared" si="161"/>
        <v>5</v>
      </c>
      <c r="E1525" s="70">
        <f t="shared" si="162"/>
        <v>0.2</v>
      </c>
      <c r="F1525" s="70">
        <f t="shared" si="163"/>
        <v>2</v>
      </c>
      <c r="G1525" s="70">
        <f t="shared" si="164"/>
        <v>1.8286905020361661</v>
      </c>
      <c r="H1525" s="70">
        <f t="shared" si="165"/>
        <v>0.4</v>
      </c>
      <c r="I1525" s="70">
        <f t="shared" si="166"/>
        <v>0</v>
      </c>
      <c r="J1525" s="70">
        <f t="shared" si="167"/>
        <v>0</v>
      </c>
      <c r="K1525" s="70">
        <f>IF(CurrentMtgRatesDataTable8[[#This Row],[WA CC]]&lt;&gt;0,C1524-CurrentMtgRatesDataTable8[[#This Row],[WA CC]],0)</f>
        <v>0</v>
      </c>
      <c r="L1525" s="70">
        <f>IF(CurrentMtgRatesDataTable8[[#This Row],[Servicing Spread]]&lt;=0,L1524,CurrentMtgRatesDataTable8[[#This Row],[Servicing Spread]])</f>
        <v>0.60449735118228087</v>
      </c>
      <c r="M1525" s="70">
        <f>CurrentMtgRatesDataTable8[[#This Row],[Servicing Spread Non-Zero]]-L1524</f>
        <v>0</v>
      </c>
      <c r="N1525" s="70">
        <f>IF(J1524&lt;&gt;0,CurrentMtgRatesDataTable8[[#This Row],[Rate]]-C1524,N1524)</f>
        <v>8.9999999999999858E-2</v>
      </c>
    </row>
    <row r="1526" spans="1:14">
      <c r="A1526" s="67" t="s">
        <v>2878</v>
      </c>
      <c r="B1526" s="68">
        <v>4.5562322293542801</v>
      </c>
      <c r="C1526" s="69">
        <v>5.0649999999999995</v>
      </c>
      <c r="D1526" s="70">
        <f t="shared" si="161"/>
        <v>6</v>
      </c>
      <c r="E1526" s="70">
        <f t="shared" si="162"/>
        <v>0.2</v>
      </c>
      <c r="F1526" s="70">
        <f t="shared" si="163"/>
        <v>3</v>
      </c>
      <c r="G1526" s="70">
        <f t="shared" si="164"/>
        <v>2.7399369479070224</v>
      </c>
      <c r="H1526" s="70">
        <f t="shared" si="165"/>
        <v>0.60000000000000009</v>
      </c>
      <c r="I1526" s="70">
        <f t="shared" si="166"/>
        <v>0</v>
      </c>
      <c r="J1526" s="70">
        <f t="shared" si="167"/>
        <v>0</v>
      </c>
      <c r="K1526" s="70">
        <f>IF(CurrentMtgRatesDataTable8[[#This Row],[WA CC]]&lt;&gt;0,C1525-CurrentMtgRatesDataTable8[[#This Row],[WA CC]],0)</f>
        <v>0</v>
      </c>
      <c r="L1526" s="70">
        <f>IF(CurrentMtgRatesDataTable8[[#This Row],[Servicing Spread]]&lt;=0,L1525,CurrentMtgRatesDataTable8[[#This Row],[Servicing Spread]])</f>
        <v>0.60449735118228087</v>
      </c>
      <c r="M1526" s="70">
        <f>CurrentMtgRatesDataTable8[[#This Row],[Servicing Spread Non-Zero]]-L1525</f>
        <v>0</v>
      </c>
      <c r="N1526" s="70">
        <f>IF(J1525&lt;&gt;0,CurrentMtgRatesDataTable8[[#This Row],[Rate]]-C1525,N1525)</f>
        <v>8.9999999999999858E-2</v>
      </c>
    </row>
    <row r="1527" spans="1:14">
      <c r="A1527" s="67" t="s">
        <v>2879</v>
      </c>
      <c r="B1527" s="68">
        <v>4.5227658881926001</v>
      </c>
      <c r="C1527" s="69">
        <v>5.0649999999999995</v>
      </c>
      <c r="D1527" s="70">
        <f t="shared" si="161"/>
        <v>7</v>
      </c>
      <c r="E1527" s="70">
        <f t="shared" si="162"/>
        <v>0.2</v>
      </c>
      <c r="F1527" s="70">
        <f t="shared" si="163"/>
        <v>4</v>
      </c>
      <c r="G1527" s="70">
        <f t="shared" si="164"/>
        <v>3.6444901255455422</v>
      </c>
      <c r="H1527" s="70">
        <f t="shared" si="165"/>
        <v>0.8</v>
      </c>
      <c r="I1527" s="70">
        <f t="shared" si="166"/>
        <v>1</v>
      </c>
      <c r="J1527" s="70">
        <f t="shared" si="167"/>
        <v>4.5556126569319275</v>
      </c>
      <c r="K1527" s="70">
        <f>IF(CurrentMtgRatesDataTable8[[#This Row],[WA CC]]&lt;&gt;0,C1526-CurrentMtgRatesDataTable8[[#This Row],[WA CC]],0)</f>
        <v>0.50938734306807198</v>
      </c>
      <c r="L1527" s="70">
        <f>IF(CurrentMtgRatesDataTable8[[#This Row],[Servicing Spread]]&lt;=0,L1526,CurrentMtgRatesDataTable8[[#This Row],[Servicing Spread]])</f>
        <v>0.50938734306807198</v>
      </c>
      <c r="M1527" s="70">
        <f>CurrentMtgRatesDataTable8[[#This Row],[Servicing Spread Non-Zero]]-L1526</f>
        <v>-9.5110008114208888E-2</v>
      </c>
      <c r="N1527" s="70">
        <f>IF(J1526&lt;&gt;0,CurrentMtgRatesDataTable8[[#This Row],[Rate]]-C1526,N1526)</f>
        <v>8.9999999999999858E-2</v>
      </c>
    </row>
    <row r="1528" spans="1:14">
      <c r="A1528" s="67" t="s">
        <v>2880</v>
      </c>
      <c r="B1528" s="68">
        <v>4.55924813591131</v>
      </c>
      <c r="C1528" s="69">
        <v>5.0149999999999997</v>
      </c>
      <c r="D1528" s="70">
        <f t="shared" si="161"/>
        <v>1</v>
      </c>
      <c r="E1528" s="70">
        <f t="shared" si="162"/>
        <v>0.2</v>
      </c>
      <c r="F1528" s="70">
        <f t="shared" si="163"/>
        <v>1</v>
      </c>
      <c r="G1528" s="70">
        <f t="shared" si="164"/>
        <v>0.91184962718226203</v>
      </c>
      <c r="H1528" s="70">
        <f t="shared" si="165"/>
        <v>0.2</v>
      </c>
      <c r="I1528" s="70">
        <f t="shared" si="166"/>
        <v>0</v>
      </c>
      <c r="J1528" s="70">
        <f t="shared" si="167"/>
        <v>0</v>
      </c>
      <c r="K1528" s="70">
        <f>IF(CurrentMtgRatesDataTable8[[#This Row],[WA CC]]&lt;&gt;0,C1527-CurrentMtgRatesDataTable8[[#This Row],[WA CC]],0)</f>
        <v>0</v>
      </c>
      <c r="L1528" s="70">
        <f>IF(CurrentMtgRatesDataTable8[[#This Row],[Servicing Spread]]&lt;=0,L1527,CurrentMtgRatesDataTable8[[#This Row],[Servicing Spread]])</f>
        <v>0.50938734306807198</v>
      </c>
      <c r="M1528" s="70">
        <f>CurrentMtgRatesDataTable8[[#This Row],[Servicing Spread Non-Zero]]-L1527</f>
        <v>0</v>
      </c>
      <c r="N1528" s="70">
        <f>IF(J1527&lt;&gt;0,CurrentMtgRatesDataTable8[[#This Row],[Rate]]-C1527,N1527)</f>
        <v>-4.9999999999999822E-2</v>
      </c>
    </row>
    <row r="1529" spans="1:14">
      <c r="A1529" s="67" t="s">
        <v>2881</v>
      </c>
      <c r="B1529" s="68">
        <v>4.5325306763420503</v>
      </c>
      <c r="C1529" s="69">
        <v>5.0149999999999997</v>
      </c>
      <c r="D1529" s="70">
        <f t="shared" si="161"/>
        <v>5</v>
      </c>
      <c r="E1529" s="70">
        <f t="shared" si="162"/>
        <v>0.2</v>
      </c>
      <c r="F1529" s="70">
        <f t="shared" si="163"/>
        <v>2</v>
      </c>
      <c r="G1529" s="70">
        <f t="shared" si="164"/>
        <v>1.8183557624506721</v>
      </c>
      <c r="H1529" s="70">
        <f t="shared" si="165"/>
        <v>0.4</v>
      </c>
      <c r="I1529" s="70">
        <f t="shared" si="166"/>
        <v>0</v>
      </c>
      <c r="J1529" s="70">
        <f t="shared" si="167"/>
        <v>0</v>
      </c>
      <c r="K1529" s="70">
        <f>IF(CurrentMtgRatesDataTable8[[#This Row],[WA CC]]&lt;&gt;0,C1528-CurrentMtgRatesDataTable8[[#This Row],[WA CC]],0)</f>
        <v>0</v>
      </c>
      <c r="L1529" s="70">
        <f>IF(CurrentMtgRatesDataTable8[[#This Row],[Servicing Spread]]&lt;=0,L1528,CurrentMtgRatesDataTable8[[#This Row],[Servicing Spread]])</f>
        <v>0.50938734306807198</v>
      </c>
      <c r="M1529" s="70">
        <f>CurrentMtgRatesDataTable8[[#This Row],[Servicing Spread Non-Zero]]-L1528</f>
        <v>0</v>
      </c>
      <c r="N1529" s="70">
        <f>IF(J1528&lt;&gt;0,CurrentMtgRatesDataTable8[[#This Row],[Rate]]-C1528,N1528)</f>
        <v>-4.9999999999999822E-2</v>
      </c>
    </row>
    <row r="1530" spans="1:14">
      <c r="A1530" s="67" t="s">
        <v>2882</v>
      </c>
      <c r="B1530" s="68">
        <v>4.4366588454273899</v>
      </c>
      <c r="C1530" s="69">
        <v>5.0149999999999997</v>
      </c>
      <c r="D1530" s="70">
        <f t="shared" si="161"/>
        <v>6</v>
      </c>
      <c r="E1530" s="70">
        <f t="shared" si="162"/>
        <v>0.2</v>
      </c>
      <c r="F1530" s="70">
        <f t="shared" si="163"/>
        <v>3</v>
      </c>
      <c r="G1530" s="70">
        <f t="shared" si="164"/>
        <v>2.7056875315361504</v>
      </c>
      <c r="H1530" s="70">
        <f t="shared" si="165"/>
        <v>0.60000000000000009</v>
      </c>
      <c r="I1530" s="70">
        <f t="shared" si="166"/>
        <v>0</v>
      </c>
      <c r="J1530" s="70">
        <f t="shared" si="167"/>
        <v>0</v>
      </c>
      <c r="K1530" s="70">
        <f>IF(CurrentMtgRatesDataTable8[[#This Row],[WA CC]]&lt;&gt;0,C1529-CurrentMtgRatesDataTable8[[#This Row],[WA CC]],0)</f>
        <v>0</v>
      </c>
      <c r="L1530" s="70">
        <f>IF(CurrentMtgRatesDataTable8[[#This Row],[Servicing Spread]]&lt;=0,L1529,CurrentMtgRatesDataTable8[[#This Row],[Servicing Spread]])</f>
        <v>0.50938734306807198</v>
      </c>
      <c r="M1530" s="70">
        <f>CurrentMtgRatesDataTable8[[#This Row],[Servicing Spread Non-Zero]]-L1529</f>
        <v>0</v>
      </c>
      <c r="N1530" s="70">
        <f>IF(J1529&lt;&gt;0,CurrentMtgRatesDataTable8[[#This Row],[Rate]]-C1529,N1529)</f>
        <v>-4.9999999999999822E-2</v>
      </c>
    </row>
    <row r="1531" spans="1:14">
      <c r="A1531" s="67" t="s">
        <v>2883</v>
      </c>
      <c r="B1531" s="68">
        <v>4.4757415062169699</v>
      </c>
      <c r="C1531" s="69">
        <v>5.0149999999999997</v>
      </c>
      <c r="D1531" s="70">
        <f t="shared" si="161"/>
        <v>7</v>
      </c>
      <c r="E1531" s="70">
        <f t="shared" si="162"/>
        <v>0.2</v>
      </c>
      <c r="F1531" s="70">
        <f t="shared" si="163"/>
        <v>4</v>
      </c>
      <c r="G1531" s="70">
        <f t="shared" si="164"/>
        <v>3.6008358327795444</v>
      </c>
      <c r="H1531" s="70">
        <f t="shared" si="165"/>
        <v>0.8</v>
      </c>
      <c r="I1531" s="70">
        <f t="shared" si="166"/>
        <v>1</v>
      </c>
      <c r="J1531" s="70">
        <f t="shared" si="167"/>
        <v>4.5010447909744302</v>
      </c>
      <c r="K1531" s="70">
        <f>IF(CurrentMtgRatesDataTable8[[#This Row],[WA CC]]&lt;&gt;0,C1530-CurrentMtgRatesDataTable8[[#This Row],[WA CC]],0)</f>
        <v>0.51395520902556946</v>
      </c>
      <c r="L1531" s="70">
        <f>IF(CurrentMtgRatesDataTable8[[#This Row],[Servicing Spread]]&lt;=0,L1530,CurrentMtgRatesDataTable8[[#This Row],[Servicing Spread]])</f>
        <v>0.51395520902556946</v>
      </c>
      <c r="M1531" s="70">
        <f>CurrentMtgRatesDataTable8[[#This Row],[Servicing Spread Non-Zero]]-L1530</f>
        <v>4.5678659574974745E-3</v>
      </c>
      <c r="N1531" s="70">
        <f>IF(J1530&lt;&gt;0,CurrentMtgRatesDataTable8[[#This Row],[Rate]]-C1530,N1530)</f>
        <v>-4.9999999999999822E-2</v>
      </c>
    </row>
    <row r="1532" spans="1:14">
      <c r="A1532" s="67" t="s">
        <v>2884</v>
      </c>
      <c r="B1532" s="68">
        <v>4.5050354214295503</v>
      </c>
      <c r="C1532" s="69">
        <v>4.9849999999999994</v>
      </c>
      <c r="D1532" s="70">
        <f t="shared" si="161"/>
        <v>1</v>
      </c>
      <c r="E1532" s="70">
        <f t="shared" si="162"/>
        <v>0.2</v>
      </c>
      <c r="F1532" s="70">
        <f t="shared" si="163"/>
        <v>1</v>
      </c>
      <c r="G1532" s="70">
        <f t="shared" si="164"/>
        <v>0.90100708428591014</v>
      </c>
      <c r="H1532" s="70">
        <f t="shared" si="165"/>
        <v>0.2</v>
      </c>
      <c r="I1532" s="70">
        <f t="shared" si="166"/>
        <v>0</v>
      </c>
      <c r="J1532" s="70">
        <f t="shared" si="167"/>
        <v>0</v>
      </c>
      <c r="K1532" s="70">
        <f>IF(CurrentMtgRatesDataTable8[[#This Row],[WA CC]]&lt;&gt;0,C1531-CurrentMtgRatesDataTable8[[#This Row],[WA CC]],0)</f>
        <v>0</v>
      </c>
      <c r="L1532" s="70">
        <f>IF(CurrentMtgRatesDataTable8[[#This Row],[Servicing Spread]]&lt;=0,L1531,CurrentMtgRatesDataTable8[[#This Row],[Servicing Spread]])</f>
        <v>0.51395520902556946</v>
      </c>
      <c r="M1532" s="70">
        <f>CurrentMtgRatesDataTable8[[#This Row],[Servicing Spread Non-Zero]]-L1531</f>
        <v>0</v>
      </c>
      <c r="N1532" s="70">
        <f>IF(J1531&lt;&gt;0,CurrentMtgRatesDataTable8[[#This Row],[Rate]]-C1531,N1531)</f>
        <v>-3.0000000000000249E-2</v>
      </c>
    </row>
    <row r="1533" spans="1:14">
      <c r="A1533" s="67" t="s">
        <v>2885</v>
      </c>
      <c r="B1533" s="68">
        <v>4.4995349725531799</v>
      </c>
      <c r="C1533" s="69">
        <v>4.9849999999999994</v>
      </c>
      <c r="D1533" s="70">
        <f t="shared" si="161"/>
        <v>2</v>
      </c>
      <c r="E1533" s="70">
        <f t="shared" si="162"/>
        <v>0.2</v>
      </c>
      <c r="F1533" s="70">
        <f t="shared" si="163"/>
        <v>2</v>
      </c>
      <c r="G1533" s="70">
        <f t="shared" si="164"/>
        <v>1.8009140787965463</v>
      </c>
      <c r="H1533" s="70">
        <f t="shared" si="165"/>
        <v>0.4</v>
      </c>
      <c r="I1533" s="70">
        <f t="shared" si="166"/>
        <v>0</v>
      </c>
      <c r="J1533" s="70">
        <f t="shared" si="167"/>
        <v>0</v>
      </c>
      <c r="K1533" s="70">
        <f>IF(CurrentMtgRatesDataTable8[[#This Row],[WA CC]]&lt;&gt;0,C1532-CurrentMtgRatesDataTable8[[#This Row],[WA CC]],0)</f>
        <v>0</v>
      </c>
      <c r="L1533" s="70">
        <f>IF(CurrentMtgRatesDataTable8[[#This Row],[Servicing Spread]]&lt;=0,L1532,CurrentMtgRatesDataTable8[[#This Row],[Servicing Spread]])</f>
        <v>0.51395520902556946</v>
      </c>
      <c r="M1533" s="70">
        <f>CurrentMtgRatesDataTable8[[#This Row],[Servicing Spread Non-Zero]]-L1532</f>
        <v>0</v>
      </c>
      <c r="N1533" s="70">
        <f>IF(J1532&lt;&gt;0,CurrentMtgRatesDataTable8[[#This Row],[Rate]]-C1532,N1532)</f>
        <v>-3.0000000000000249E-2</v>
      </c>
    </row>
    <row r="1534" spans="1:14">
      <c r="A1534" s="67" t="s">
        <v>2886</v>
      </c>
      <c r="B1534" s="68">
        <v>4.4888752273782604</v>
      </c>
      <c r="C1534" s="69">
        <v>4.9849999999999994</v>
      </c>
      <c r="D1534" s="70">
        <f t="shared" si="161"/>
        <v>5</v>
      </c>
      <c r="E1534" s="70">
        <f t="shared" si="162"/>
        <v>0.2</v>
      </c>
      <c r="F1534" s="70">
        <f t="shared" si="163"/>
        <v>3</v>
      </c>
      <c r="G1534" s="70">
        <f t="shared" si="164"/>
        <v>2.6986891242721986</v>
      </c>
      <c r="H1534" s="70">
        <f t="shared" si="165"/>
        <v>0.60000000000000009</v>
      </c>
      <c r="I1534" s="70">
        <f t="shared" si="166"/>
        <v>0</v>
      </c>
      <c r="J1534" s="70">
        <f t="shared" si="167"/>
        <v>0</v>
      </c>
      <c r="K1534" s="70">
        <f>IF(CurrentMtgRatesDataTable8[[#This Row],[WA CC]]&lt;&gt;0,C1533-CurrentMtgRatesDataTable8[[#This Row],[WA CC]],0)</f>
        <v>0</v>
      </c>
      <c r="L1534" s="70">
        <f>IF(CurrentMtgRatesDataTable8[[#This Row],[Servicing Spread]]&lt;=0,L1533,CurrentMtgRatesDataTable8[[#This Row],[Servicing Spread]])</f>
        <v>0.51395520902556946</v>
      </c>
      <c r="M1534" s="70">
        <f>CurrentMtgRatesDataTable8[[#This Row],[Servicing Spread Non-Zero]]-L1533</f>
        <v>0</v>
      </c>
      <c r="N1534" s="70">
        <f>IF(J1533&lt;&gt;0,CurrentMtgRatesDataTable8[[#This Row],[Rate]]-C1533,N1533)</f>
        <v>-3.0000000000000249E-2</v>
      </c>
    </row>
    <row r="1535" spans="1:14">
      <c r="A1535" s="67" t="s">
        <v>2887</v>
      </c>
      <c r="B1535" s="68">
        <v>4.4087647025481802</v>
      </c>
      <c r="C1535" s="69">
        <v>4.9849999999999994</v>
      </c>
      <c r="D1535" s="70">
        <f t="shared" si="161"/>
        <v>6</v>
      </c>
      <c r="E1535" s="70">
        <f t="shared" si="162"/>
        <v>0.2</v>
      </c>
      <c r="F1535" s="70">
        <f t="shared" si="163"/>
        <v>4</v>
      </c>
      <c r="G1535" s="70">
        <f t="shared" si="164"/>
        <v>3.5804420647818347</v>
      </c>
      <c r="H1535" s="70">
        <f t="shared" si="165"/>
        <v>0.8</v>
      </c>
      <c r="I1535" s="70">
        <f t="shared" si="166"/>
        <v>0</v>
      </c>
      <c r="J1535" s="70">
        <f t="shared" si="167"/>
        <v>0</v>
      </c>
      <c r="K1535" s="70">
        <f>IF(CurrentMtgRatesDataTable8[[#This Row],[WA CC]]&lt;&gt;0,C1534-CurrentMtgRatesDataTable8[[#This Row],[WA CC]],0)</f>
        <v>0</v>
      </c>
      <c r="L1535" s="70">
        <f>IF(CurrentMtgRatesDataTable8[[#This Row],[Servicing Spread]]&lt;=0,L1534,CurrentMtgRatesDataTable8[[#This Row],[Servicing Spread]])</f>
        <v>0.51395520902556946</v>
      </c>
      <c r="M1535" s="70">
        <f>CurrentMtgRatesDataTable8[[#This Row],[Servicing Spread Non-Zero]]-L1534</f>
        <v>0</v>
      </c>
      <c r="N1535" s="70">
        <f>IF(J1534&lt;&gt;0,CurrentMtgRatesDataTable8[[#This Row],[Rate]]-C1534,N1534)</f>
        <v>-3.0000000000000249E-2</v>
      </c>
    </row>
    <row r="1536" spans="1:14">
      <c r="A1536" s="67" t="s">
        <v>2888</v>
      </c>
      <c r="B1536" s="68">
        <v>4.45414970407412</v>
      </c>
      <c r="C1536" s="69">
        <v>4.9849999999999994</v>
      </c>
      <c r="D1536" s="70">
        <f t="shared" si="161"/>
        <v>7</v>
      </c>
      <c r="E1536" s="70">
        <f t="shared" si="162"/>
        <v>0.2</v>
      </c>
      <c r="F1536" s="70">
        <f t="shared" si="163"/>
        <v>5</v>
      </c>
      <c r="G1536" s="70">
        <f t="shared" si="164"/>
        <v>4.471272005596659</v>
      </c>
      <c r="H1536" s="70">
        <f t="shared" si="165"/>
        <v>1</v>
      </c>
      <c r="I1536" s="70">
        <f t="shared" si="166"/>
        <v>1</v>
      </c>
      <c r="J1536" s="70">
        <f t="shared" si="167"/>
        <v>4.471272005596659</v>
      </c>
      <c r="K1536" s="70">
        <f>IF(CurrentMtgRatesDataTable8[[#This Row],[WA CC]]&lt;&gt;0,C1535-CurrentMtgRatesDataTable8[[#This Row],[WA CC]],0)</f>
        <v>0.51372799440334038</v>
      </c>
      <c r="L1536" s="70">
        <f>IF(CurrentMtgRatesDataTable8[[#This Row],[Servicing Spread]]&lt;=0,L1535,CurrentMtgRatesDataTable8[[#This Row],[Servicing Spread]])</f>
        <v>0.51372799440334038</v>
      </c>
      <c r="M1536" s="70">
        <f>CurrentMtgRatesDataTable8[[#This Row],[Servicing Spread Non-Zero]]-L1535</f>
        <v>-2.2721462222907718E-4</v>
      </c>
      <c r="N1536" s="70">
        <f>IF(J1535&lt;&gt;0,CurrentMtgRatesDataTable8[[#This Row],[Rate]]-C1535,N1535)</f>
        <v>-3.0000000000000249E-2</v>
      </c>
    </row>
    <row r="1537" spans="1:14">
      <c r="A1537" s="67" t="s">
        <v>2889</v>
      </c>
      <c r="B1537" s="68">
        <v>4.4265935062281203</v>
      </c>
      <c r="C1537" s="69">
        <v>4.915</v>
      </c>
      <c r="D1537" s="70">
        <f t="shared" si="161"/>
        <v>1</v>
      </c>
      <c r="E1537" s="70">
        <f t="shared" si="162"/>
        <v>0.2</v>
      </c>
      <c r="F1537" s="70">
        <f t="shared" si="163"/>
        <v>1</v>
      </c>
      <c r="G1537" s="70">
        <f t="shared" si="164"/>
        <v>0.88531870124562406</v>
      </c>
      <c r="H1537" s="70">
        <f t="shared" si="165"/>
        <v>0.2</v>
      </c>
      <c r="I1537" s="70">
        <f t="shared" si="166"/>
        <v>0</v>
      </c>
      <c r="J1537" s="70">
        <f t="shared" si="167"/>
        <v>0</v>
      </c>
      <c r="K1537" s="70">
        <f>IF(CurrentMtgRatesDataTable8[[#This Row],[WA CC]]&lt;&gt;0,C1536-CurrentMtgRatesDataTable8[[#This Row],[WA CC]],0)</f>
        <v>0</v>
      </c>
      <c r="L1537" s="70">
        <f>IF(CurrentMtgRatesDataTable8[[#This Row],[Servicing Spread]]&lt;=0,L1536,CurrentMtgRatesDataTable8[[#This Row],[Servicing Spread]])</f>
        <v>0.51372799440334038</v>
      </c>
      <c r="M1537" s="70">
        <f>CurrentMtgRatesDataTable8[[#This Row],[Servicing Spread Non-Zero]]-L1536</f>
        <v>0</v>
      </c>
      <c r="N1537" s="70">
        <f>IF(J1536&lt;&gt;0,CurrentMtgRatesDataTable8[[#This Row],[Rate]]-C1536,N1536)</f>
        <v>-6.9999999999999396E-2</v>
      </c>
    </row>
    <row r="1538" spans="1:14">
      <c r="A1538" s="67" t="s">
        <v>2890</v>
      </c>
      <c r="B1538" s="68">
        <v>4.3696707015242504</v>
      </c>
      <c r="C1538" s="69">
        <v>4.915</v>
      </c>
      <c r="D1538" s="70">
        <f t="shared" si="161"/>
        <v>2</v>
      </c>
      <c r="E1538" s="70">
        <f t="shared" si="162"/>
        <v>0.2</v>
      </c>
      <c r="F1538" s="70">
        <f t="shared" si="163"/>
        <v>2</v>
      </c>
      <c r="G1538" s="70">
        <f t="shared" si="164"/>
        <v>1.7592528415504742</v>
      </c>
      <c r="H1538" s="70">
        <f t="shared" si="165"/>
        <v>0.4</v>
      </c>
      <c r="I1538" s="70">
        <f t="shared" si="166"/>
        <v>0</v>
      </c>
      <c r="J1538" s="70">
        <f t="shared" si="167"/>
        <v>0</v>
      </c>
      <c r="K1538" s="70">
        <f>IF(CurrentMtgRatesDataTable8[[#This Row],[WA CC]]&lt;&gt;0,C1537-CurrentMtgRatesDataTable8[[#This Row],[WA CC]],0)</f>
        <v>0</v>
      </c>
      <c r="L1538" s="70">
        <f>IF(CurrentMtgRatesDataTable8[[#This Row],[Servicing Spread]]&lt;=0,L1537,CurrentMtgRatesDataTable8[[#This Row],[Servicing Spread]])</f>
        <v>0.51372799440334038</v>
      </c>
      <c r="M1538" s="70">
        <f>CurrentMtgRatesDataTable8[[#This Row],[Servicing Spread Non-Zero]]-L1537</f>
        <v>0</v>
      </c>
      <c r="N1538" s="70">
        <f>IF(J1537&lt;&gt;0,CurrentMtgRatesDataTable8[[#This Row],[Rate]]-C1537,N1537)</f>
        <v>-6.9999999999999396E-2</v>
      </c>
    </row>
    <row r="1539" spans="1:14">
      <c r="A1539" s="67" t="s">
        <v>2891</v>
      </c>
      <c r="B1539" s="68">
        <v>4.40197102684707</v>
      </c>
      <c r="C1539" s="69">
        <v>4.915</v>
      </c>
      <c r="D1539" s="70">
        <f t="shared" si="161"/>
        <v>6</v>
      </c>
      <c r="E1539" s="70">
        <f t="shared" si="162"/>
        <v>0.2</v>
      </c>
      <c r="F1539" s="70">
        <f t="shared" si="163"/>
        <v>3</v>
      </c>
      <c r="G1539" s="70">
        <f t="shared" si="164"/>
        <v>2.6396470469198885</v>
      </c>
      <c r="H1539" s="70">
        <f t="shared" si="165"/>
        <v>0.60000000000000009</v>
      </c>
      <c r="I1539" s="70">
        <f t="shared" si="166"/>
        <v>0</v>
      </c>
      <c r="J1539" s="70">
        <f t="shared" si="167"/>
        <v>0</v>
      </c>
      <c r="K1539" s="70">
        <f>IF(CurrentMtgRatesDataTable8[[#This Row],[WA CC]]&lt;&gt;0,C1538-CurrentMtgRatesDataTable8[[#This Row],[WA CC]],0)</f>
        <v>0</v>
      </c>
      <c r="L1539" s="70">
        <f>IF(CurrentMtgRatesDataTable8[[#This Row],[Servicing Spread]]&lt;=0,L1538,CurrentMtgRatesDataTable8[[#This Row],[Servicing Spread]])</f>
        <v>0.51372799440334038</v>
      </c>
      <c r="M1539" s="70">
        <f>CurrentMtgRatesDataTable8[[#This Row],[Servicing Spread Non-Zero]]-L1538</f>
        <v>0</v>
      </c>
      <c r="N1539" s="70">
        <f>IF(J1538&lt;&gt;0,CurrentMtgRatesDataTable8[[#This Row],[Rate]]-C1538,N1538)</f>
        <v>-6.9999999999999396E-2</v>
      </c>
    </row>
    <row r="1540" spans="1:14">
      <c r="A1540" s="67" t="s">
        <v>2892</v>
      </c>
      <c r="B1540" s="68">
        <v>4.3677855259785003</v>
      </c>
      <c r="C1540" s="69">
        <v>4.915</v>
      </c>
      <c r="D1540" s="70">
        <f t="shared" si="161"/>
        <v>7</v>
      </c>
      <c r="E1540" s="70">
        <f t="shared" si="162"/>
        <v>0.2</v>
      </c>
      <c r="F1540" s="70">
        <f t="shared" si="163"/>
        <v>4</v>
      </c>
      <c r="G1540" s="70">
        <f t="shared" si="164"/>
        <v>3.5132041521155886</v>
      </c>
      <c r="H1540" s="70">
        <f t="shared" si="165"/>
        <v>0.8</v>
      </c>
      <c r="I1540" s="70">
        <f t="shared" si="166"/>
        <v>1</v>
      </c>
      <c r="J1540" s="70">
        <f t="shared" si="167"/>
        <v>4.3915051901444855</v>
      </c>
      <c r="K1540" s="70">
        <f>IF(CurrentMtgRatesDataTable8[[#This Row],[WA CC]]&lt;&gt;0,C1539-CurrentMtgRatesDataTable8[[#This Row],[WA CC]],0)</f>
        <v>0.52349480985551455</v>
      </c>
      <c r="L1540" s="70">
        <f>IF(CurrentMtgRatesDataTable8[[#This Row],[Servicing Spread]]&lt;=0,L1539,CurrentMtgRatesDataTable8[[#This Row],[Servicing Spread]])</f>
        <v>0.52349480985551455</v>
      </c>
      <c r="M1540" s="70">
        <f>CurrentMtgRatesDataTable8[[#This Row],[Servicing Spread Non-Zero]]-L1539</f>
        <v>9.7668154521741712E-3</v>
      </c>
      <c r="N1540" s="70">
        <f>IF(J1539&lt;&gt;0,CurrentMtgRatesDataTable8[[#This Row],[Rate]]-C1539,N1539)</f>
        <v>-6.9999999999999396E-2</v>
      </c>
    </row>
    <row r="1541" spans="1:14">
      <c r="A1541" s="67" t="s">
        <v>2893</v>
      </c>
      <c r="B1541" s="68">
        <v>4.3351721963990704</v>
      </c>
      <c r="C1541" s="69">
        <v>4.8800000000000008</v>
      </c>
      <c r="D1541" s="70">
        <f t="shared" ref="D1541:D1604" si="168">WEEKDAY(A1541,14)</f>
        <v>1</v>
      </c>
      <c r="E1541" s="70">
        <f t="shared" ref="E1541:E1604" si="169">VLOOKUP(D1541,Q$5:R$11,2,FALSE)</f>
        <v>0.2</v>
      </c>
      <c r="F1541" s="70">
        <f t="shared" ref="F1541:F1604" si="170">IF(AND(D1541&gt;D1540,F1540&lt;6),F1540+1,1)</f>
        <v>1</v>
      </c>
      <c r="G1541" s="70">
        <f t="shared" ref="G1541:G1604" si="171">IF(F1541&gt;F1540,G1540+B1541*E1541,B1541*E1541)</f>
        <v>0.86703443927981416</v>
      </c>
      <c r="H1541" s="70">
        <f t="shared" ref="H1541:H1604" si="172">IF(AND(F1541&lt;6,F1541&gt;F1540),E1541+H1540,E1541)</f>
        <v>0.2</v>
      </c>
      <c r="I1541" s="70">
        <f t="shared" ref="I1541:I1604" si="173">IF(F1541&gt;F1542,1,0)</f>
        <v>0</v>
      </c>
      <c r="J1541" s="70">
        <f t="shared" ref="J1541:J1604" si="174">IF(F1541&gt;F1542,G1541/H1541,0)</f>
        <v>0</v>
      </c>
      <c r="K1541" s="70">
        <f>IF(CurrentMtgRatesDataTable8[[#This Row],[WA CC]]&lt;&gt;0,C1540-CurrentMtgRatesDataTable8[[#This Row],[WA CC]],0)</f>
        <v>0</v>
      </c>
      <c r="L1541" s="70">
        <f>IF(CurrentMtgRatesDataTable8[[#This Row],[Servicing Spread]]&lt;=0,L1540,CurrentMtgRatesDataTable8[[#This Row],[Servicing Spread]])</f>
        <v>0.52349480985551455</v>
      </c>
      <c r="M1541" s="70">
        <f>CurrentMtgRatesDataTable8[[#This Row],[Servicing Spread Non-Zero]]-L1540</f>
        <v>0</v>
      </c>
      <c r="N1541" s="70">
        <f>IF(J1540&lt;&gt;0,CurrentMtgRatesDataTable8[[#This Row],[Rate]]-C1540,N1540)</f>
        <v>-3.4999999999999254E-2</v>
      </c>
    </row>
    <row r="1542" spans="1:14">
      <c r="A1542" s="67" t="s">
        <v>2894</v>
      </c>
      <c r="B1542" s="68">
        <v>4.3453136562403598</v>
      </c>
      <c r="C1542" s="69">
        <v>4.8800000000000008</v>
      </c>
      <c r="D1542" s="70">
        <f t="shared" si="168"/>
        <v>2</v>
      </c>
      <c r="E1542" s="70">
        <f t="shared" si="169"/>
        <v>0.2</v>
      </c>
      <c r="F1542" s="70">
        <f t="shared" si="170"/>
        <v>2</v>
      </c>
      <c r="G1542" s="70">
        <f t="shared" si="171"/>
        <v>1.736097170527886</v>
      </c>
      <c r="H1542" s="70">
        <f t="shared" si="172"/>
        <v>0.4</v>
      </c>
      <c r="I1542" s="70">
        <f t="shared" si="173"/>
        <v>0</v>
      </c>
      <c r="J1542" s="70">
        <f t="shared" si="174"/>
        <v>0</v>
      </c>
      <c r="K1542" s="70">
        <f>IF(CurrentMtgRatesDataTable8[[#This Row],[WA CC]]&lt;&gt;0,C1541-CurrentMtgRatesDataTable8[[#This Row],[WA CC]],0)</f>
        <v>0</v>
      </c>
      <c r="L1542" s="70">
        <f>IF(CurrentMtgRatesDataTable8[[#This Row],[Servicing Spread]]&lt;=0,L1541,CurrentMtgRatesDataTable8[[#This Row],[Servicing Spread]])</f>
        <v>0.52349480985551455</v>
      </c>
      <c r="M1542" s="70">
        <f>CurrentMtgRatesDataTable8[[#This Row],[Servicing Spread Non-Zero]]-L1541</f>
        <v>0</v>
      </c>
      <c r="N1542" s="70">
        <f>IF(J1541&lt;&gt;0,CurrentMtgRatesDataTable8[[#This Row],[Rate]]-C1541,N1541)</f>
        <v>-3.4999999999999254E-2</v>
      </c>
    </row>
    <row r="1543" spans="1:14">
      <c r="A1543" s="67" t="s">
        <v>2895</v>
      </c>
      <c r="B1543" s="68">
        <v>4.3808133444291499</v>
      </c>
      <c r="C1543" s="69">
        <v>4.8800000000000008</v>
      </c>
      <c r="D1543" s="70">
        <f t="shared" si="168"/>
        <v>5</v>
      </c>
      <c r="E1543" s="70">
        <f t="shared" si="169"/>
        <v>0.2</v>
      </c>
      <c r="F1543" s="70">
        <f t="shared" si="170"/>
        <v>3</v>
      </c>
      <c r="G1543" s="70">
        <f t="shared" si="171"/>
        <v>2.6122598394137162</v>
      </c>
      <c r="H1543" s="70">
        <f t="shared" si="172"/>
        <v>0.60000000000000009</v>
      </c>
      <c r="I1543" s="70">
        <f t="shared" si="173"/>
        <v>0</v>
      </c>
      <c r="J1543" s="70">
        <f t="shared" si="174"/>
        <v>0</v>
      </c>
      <c r="K1543" s="70">
        <f>IF(CurrentMtgRatesDataTable8[[#This Row],[WA CC]]&lt;&gt;0,C1542-CurrentMtgRatesDataTable8[[#This Row],[WA CC]],0)</f>
        <v>0</v>
      </c>
      <c r="L1543" s="70">
        <f>IF(CurrentMtgRatesDataTable8[[#This Row],[Servicing Spread]]&lt;=0,L1542,CurrentMtgRatesDataTable8[[#This Row],[Servicing Spread]])</f>
        <v>0.52349480985551455</v>
      </c>
      <c r="M1543" s="70">
        <f>CurrentMtgRatesDataTable8[[#This Row],[Servicing Spread Non-Zero]]-L1542</f>
        <v>0</v>
      </c>
      <c r="N1543" s="70">
        <f>IF(J1542&lt;&gt;0,CurrentMtgRatesDataTable8[[#This Row],[Rate]]-C1542,N1542)</f>
        <v>-3.4999999999999254E-2</v>
      </c>
    </row>
    <row r="1544" spans="1:14">
      <c r="A1544" s="67" t="s">
        <v>2896</v>
      </c>
      <c r="B1544" s="68">
        <v>4.3708224568224496</v>
      </c>
      <c r="C1544" s="69">
        <v>4.8800000000000008</v>
      </c>
      <c r="D1544" s="70">
        <f t="shared" si="168"/>
        <v>6</v>
      </c>
      <c r="E1544" s="70">
        <f t="shared" si="169"/>
        <v>0.2</v>
      </c>
      <c r="F1544" s="70">
        <f t="shared" si="170"/>
        <v>4</v>
      </c>
      <c r="G1544" s="70">
        <f t="shared" si="171"/>
        <v>3.4864243307782061</v>
      </c>
      <c r="H1544" s="70">
        <f t="shared" si="172"/>
        <v>0.8</v>
      </c>
      <c r="I1544" s="70">
        <f t="shared" si="173"/>
        <v>0</v>
      </c>
      <c r="J1544" s="70">
        <f t="shared" si="174"/>
        <v>0</v>
      </c>
      <c r="K1544" s="70">
        <f>IF(CurrentMtgRatesDataTable8[[#This Row],[WA CC]]&lt;&gt;0,C1543-CurrentMtgRatesDataTable8[[#This Row],[WA CC]],0)</f>
        <v>0</v>
      </c>
      <c r="L1544" s="70">
        <f>IF(CurrentMtgRatesDataTable8[[#This Row],[Servicing Spread]]&lt;=0,L1543,CurrentMtgRatesDataTable8[[#This Row],[Servicing Spread]])</f>
        <v>0.52349480985551455</v>
      </c>
      <c r="M1544" s="70">
        <f>CurrentMtgRatesDataTable8[[#This Row],[Servicing Spread Non-Zero]]-L1543</f>
        <v>0</v>
      </c>
      <c r="N1544" s="70">
        <f>IF(J1543&lt;&gt;0,CurrentMtgRatesDataTable8[[#This Row],[Rate]]-C1543,N1543)</f>
        <v>-3.4999999999999254E-2</v>
      </c>
    </row>
    <row r="1545" spans="1:14">
      <c r="A1545" s="67" t="s">
        <v>2897</v>
      </c>
      <c r="B1545" s="68">
        <v>4.3871320688708701</v>
      </c>
      <c r="C1545" s="69">
        <v>4.8800000000000008</v>
      </c>
      <c r="D1545" s="70">
        <f t="shared" si="168"/>
        <v>7</v>
      </c>
      <c r="E1545" s="70">
        <f t="shared" si="169"/>
        <v>0.2</v>
      </c>
      <c r="F1545" s="70">
        <f t="shared" si="170"/>
        <v>5</v>
      </c>
      <c r="G1545" s="70">
        <f t="shared" si="171"/>
        <v>4.36385074455238</v>
      </c>
      <c r="H1545" s="70">
        <f t="shared" si="172"/>
        <v>1</v>
      </c>
      <c r="I1545" s="70">
        <f t="shared" si="173"/>
        <v>1</v>
      </c>
      <c r="J1545" s="70">
        <f t="shared" si="174"/>
        <v>4.36385074455238</v>
      </c>
      <c r="K1545" s="70">
        <f>IF(CurrentMtgRatesDataTable8[[#This Row],[WA CC]]&lt;&gt;0,C1544-CurrentMtgRatesDataTable8[[#This Row],[WA CC]],0)</f>
        <v>0.5161492554476208</v>
      </c>
      <c r="L1545" s="70">
        <f>IF(CurrentMtgRatesDataTable8[[#This Row],[Servicing Spread]]&lt;=0,L1544,CurrentMtgRatesDataTable8[[#This Row],[Servicing Spread]])</f>
        <v>0.5161492554476208</v>
      </c>
      <c r="M1545" s="70">
        <f>CurrentMtgRatesDataTable8[[#This Row],[Servicing Spread Non-Zero]]-L1544</f>
        <v>-7.3455544078937507E-3</v>
      </c>
      <c r="N1545" s="70">
        <f>IF(J1544&lt;&gt;0,CurrentMtgRatesDataTable8[[#This Row],[Rate]]-C1544,N1544)</f>
        <v>-3.4999999999999254E-2</v>
      </c>
    </row>
    <row r="1546" spans="1:14">
      <c r="A1546" s="67" t="s">
        <v>2898</v>
      </c>
      <c r="B1546" s="68">
        <v>4.4035449757031202</v>
      </c>
      <c r="C1546" s="69">
        <v>4.9349999999999996</v>
      </c>
      <c r="D1546" s="70">
        <f t="shared" si="168"/>
        <v>1</v>
      </c>
      <c r="E1546" s="70">
        <f t="shared" si="169"/>
        <v>0.2</v>
      </c>
      <c r="F1546" s="70">
        <f t="shared" si="170"/>
        <v>1</v>
      </c>
      <c r="G1546" s="70">
        <f t="shared" si="171"/>
        <v>0.88070899514062406</v>
      </c>
      <c r="H1546" s="70">
        <f t="shared" si="172"/>
        <v>0.2</v>
      </c>
      <c r="I1546" s="70">
        <f t="shared" si="173"/>
        <v>0</v>
      </c>
      <c r="J1546" s="70">
        <f t="shared" si="174"/>
        <v>0</v>
      </c>
      <c r="K1546" s="70">
        <f>IF(CurrentMtgRatesDataTable8[[#This Row],[WA CC]]&lt;&gt;0,C1545-CurrentMtgRatesDataTable8[[#This Row],[WA CC]],0)</f>
        <v>0</v>
      </c>
      <c r="L1546" s="70">
        <f>IF(CurrentMtgRatesDataTable8[[#This Row],[Servicing Spread]]&lt;=0,L1545,CurrentMtgRatesDataTable8[[#This Row],[Servicing Spread]])</f>
        <v>0.5161492554476208</v>
      </c>
      <c r="M1546" s="70">
        <f>CurrentMtgRatesDataTable8[[#This Row],[Servicing Spread Non-Zero]]-L1545</f>
        <v>0</v>
      </c>
      <c r="N1546" s="70">
        <f>IF(J1545&lt;&gt;0,CurrentMtgRatesDataTable8[[#This Row],[Rate]]-C1545,N1545)</f>
        <v>5.4999999999998828E-2</v>
      </c>
    </row>
    <row r="1547" spans="1:14">
      <c r="A1547" s="67" t="s">
        <v>2899</v>
      </c>
      <c r="B1547" s="68">
        <v>4.3620296970155801</v>
      </c>
      <c r="C1547" s="69">
        <v>4.9349999999999996</v>
      </c>
      <c r="D1547" s="70">
        <f t="shared" si="168"/>
        <v>2</v>
      </c>
      <c r="E1547" s="70">
        <f t="shared" si="169"/>
        <v>0.2</v>
      </c>
      <c r="F1547" s="70">
        <f t="shared" si="170"/>
        <v>2</v>
      </c>
      <c r="G1547" s="70">
        <f t="shared" si="171"/>
        <v>1.7531149345437402</v>
      </c>
      <c r="H1547" s="70">
        <f t="shared" si="172"/>
        <v>0.4</v>
      </c>
      <c r="I1547" s="70">
        <f t="shared" si="173"/>
        <v>0</v>
      </c>
      <c r="J1547" s="70">
        <f t="shared" si="174"/>
        <v>0</v>
      </c>
      <c r="K1547" s="70">
        <f>IF(CurrentMtgRatesDataTable8[[#This Row],[WA CC]]&lt;&gt;0,C1546-CurrentMtgRatesDataTable8[[#This Row],[WA CC]],0)</f>
        <v>0</v>
      </c>
      <c r="L1547" s="70">
        <f>IF(CurrentMtgRatesDataTable8[[#This Row],[Servicing Spread]]&lt;=0,L1546,CurrentMtgRatesDataTable8[[#This Row],[Servicing Spread]])</f>
        <v>0.5161492554476208</v>
      </c>
      <c r="M1547" s="70">
        <f>CurrentMtgRatesDataTable8[[#This Row],[Servicing Spread Non-Zero]]-L1546</f>
        <v>0</v>
      </c>
      <c r="N1547" s="70">
        <f>IF(J1546&lt;&gt;0,CurrentMtgRatesDataTable8[[#This Row],[Rate]]-C1546,N1546)</f>
        <v>5.4999999999998828E-2</v>
      </c>
    </row>
    <row r="1548" spans="1:14">
      <c r="A1548" s="67" t="s">
        <v>2900</v>
      </c>
      <c r="B1548" s="68">
        <v>4.3830379443838403</v>
      </c>
      <c r="C1548" s="69">
        <v>4.9349999999999996</v>
      </c>
      <c r="D1548" s="70">
        <f t="shared" si="168"/>
        <v>5</v>
      </c>
      <c r="E1548" s="70">
        <f t="shared" si="169"/>
        <v>0.2</v>
      </c>
      <c r="F1548" s="70">
        <f t="shared" si="170"/>
        <v>3</v>
      </c>
      <c r="G1548" s="70">
        <f t="shared" si="171"/>
        <v>2.6297225234205084</v>
      </c>
      <c r="H1548" s="70">
        <f t="shared" si="172"/>
        <v>0.60000000000000009</v>
      </c>
      <c r="I1548" s="70">
        <f t="shared" si="173"/>
        <v>0</v>
      </c>
      <c r="J1548" s="70">
        <f t="shared" si="174"/>
        <v>0</v>
      </c>
      <c r="K1548" s="70">
        <f>IF(CurrentMtgRatesDataTable8[[#This Row],[WA CC]]&lt;&gt;0,C1547-CurrentMtgRatesDataTable8[[#This Row],[WA CC]],0)</f>
        <v>0</v>
      </c>
      <c r="L1548" s="70">
        <f>IF(CurrentMtgRatesDataTable8[[#This Row],[Servicing Spread]]&lt;=0,L1547,CurrentMtgRatesDataTable8[[#This Row],[Servicing Spread]])</f>
        <v>0.5161492554476208</v>
      </c>
      <c r="M1548" s="70">
        <f>CurrentMtgRatesDataTable8[[#This Row],[Servicing Spread Non-Zero]]-L1547</f>
        <v>0</v>
      </c>
      <c r="N1548" s="70">
        <f>IF(J1547&lt;&gt;0,CurrentMtgRatesDataTable8[[#This Row],[Rate]]-C1547,N1547)</f>
        <v>5.4999999999998828E-2</v>
      </c>
    </row>
    <row r="1549" spans="1:14">
      <c r="A1549" s="67" t="s">
        <v>2901</v>
      </c>
      <c r="B1549" s="68">
        <v>4.36192533618898</v>
      </c>
      <c r="C1549" s="69">
        <v>4.9349999999999996</v>
      </c>
      <c r="D1549" s="70">
        <f t="shared" si="168"/>
        <v>6</v>
      </c>
      <c r="E1549" s="70">
        <f t="shared" si="169"/>
        <v>0.2</v>
      </c>
      <c r="F1549" s="70">
        <f t="shared" si="170"/>
        <v>4</v>
      </c>
      <c r="G1549" s="70">
        <f t="shared" si="171"/>
        <v>3.5021075906583046</v>
      </c>
      <c r="H1549" s="70">
        <f t="shared" si="172"/>
        <v>0.8</v>
      </c>
      <c r="I1549" s="70">
        <f t="shared" si="173"/>
        <v>0</v>
      </c>
      <c r="J1549" s="70">
        <f t="shared" si="174"/>
        <v>0</v>
      </c>
      <c r="K1549" s="70">
        <f>IF(CurrentMtgRatesDataTable8[[#This Row],[WA CC]]&lt;&gt;0,C1548-CurrentMtgRatesDataTable8[[#This Row],[WA CC]],0)</f>
        <v>0</v>
      </c>
      <c r="L1549" s="70">
        <f>IF(CurrentMtgRatesDataTable8[[#This Row],[Servicing Spread]]&lt;=0,L1548,CurrentMtgRatesDataTable8[[#This Row],[Servicing Spread]])</f>
        <v>0.5161492554476208</v>
      </c>
      <c r="M1549" s="70">
        <f>CurrentMtgRatesDataTable8[[#This Row],[Servicing Spread Non-Zero]]-L1548</f>
        <v>0</v>
      </c>
      <c r="N1549" s="70">
        <f>IF(J1548&lt;&gt;0,CurrentMtgRatesDataTable8[[#This Row],[Rate]]-C1548,N1548)</f>
        <v>5.4999999999998828E-2</v>
      </c>
    </row>
    <row r="1550" spans="1:14">
      <c r="A1550" s="67" t="s">
        <v>2902</v>
      </c>
      <c r="B1550" s="68">
        <v>4.3947791027497498</v>
      </c>
      <c r="C1550" s="69">
        <v>4.9349999999999996</v>
      </c>
      <c r="D1550" s="70">
        <f t="shared" si="168"/>
        <v>7</v>
      </c>
      <c r="E1550" s="70">
        <f t="shared" si="169"/>
        <v>0.2</v>
      </c>
      <c r="F1550" s="70">
        <f t="shared" si="170"/>
        <v>5</v>
      </c>
      <c r="G1550" s="70">
        <f t="shared" si="171"/>
        <v>4.3810634112082543</v>
      </c>
      <c r="H1550" s="70">
        <f t="shared" si="172"/>
        <v>1</v>
      </c>
      <c r="I1550" s="70">
        <f t="shared" si="173"/>
        <v>1</v>
      </c>
      <c r="J1550" s="70">
        <f t="shared" si="174"/>
        <v>4.3810634112082543</v>
      </c>
      <c r="K1550" s="70">
        <f>IF(CurrentMtgRatesDataTable8[[#This Row],[WA CC]]&lt;&gt;0,C1549-CurrentMtgRatesDataTable8[[#This Row],[WA CC]],0)</f>
        <v>0.55393658879174534</v>
      </c>
      <c r="L1550" s="70">
        <f>IF(CurrentMtgRatesDataTable8[[#This Row],[Servicing Spread]]&lt;=0,L1549,CurrentMtgRatesDataTable8[[#This Row],[Servicing Spread]])</f>
        <v>0.55393658879174534</v>
      </c>
      <c r="M1550" s="70">
        <f>CurrentMtgRatesDataTable8[[#This Row],[Servicing Spread Non-Zero]]-L1549</f>
        <v>3.7787333344124541E-2</v>
      </c>
      <c r="N1550" s="70">
        <f>IF(J1549&lt;&gt;0,CurrentMtgRatesDataTable8[[#This Row],[Rate]]-C1549,N1549)</f>
        <v>5.4999999999998828E-2</v>
      </c>
    </row>
    <row r="1551" spans="1:14">
      <c r="A1551" s="67" t="s">
        <v>2903</v>
      </c>
      <c r="B1551" s="68">
        <v>4.3238522350012696</v>
      </c>
      <c r="C1551" s="69">
        <v>4.8949999999999996</v>
      </c>
      <c r="D1551" s="70">
        <f t="shared" si="168"/>
        <v>1</v>
      </c>
      <c r="E1551" s="70">
        <f t="shared" si="169"/>
        <v>0.2</v>
      </c>
      <c r="F1551" s="70">
        <f t="shared" si="170"/>
        <v>1</v>
      </c>
      <c r="G1551" s="70">
        <f t="shared" si="171"/>
        <v>0.86477044700025396</v>
      </c>
      <c r="H1551" s="70">
        <f t="shared" si="172"/>
        <v>0.2</v>
      </c>
      <c r="I1551" s="70">
        <f t="shared" si="173"/>
        <v>0</v>
      </c>
      <c r="J1551" s="70">
        <f t="shared" si="174"/>
        <v>0</v>
      </c>
      <c r="K1551" s="70">
        <f>IF(CurrentMtgRatesDataTable8[[#This Row],[WA CC]]&lt;&gt;0,C1550-CurrentMtgRatesDataTable8[[#This Row],[WA CC]],0)</f>
        <v>0</v>
      </c>
      <c r="L1551" s="70">
        <f>IF(CurrentMtgRatesDataTable8[[#This Row],[Servicing Spread]]&lt;=0,L1550,CurrentMtgRatesDataTable8[[#This Row],[Servicing Spread]])</f>
        <v>0.55393658879174534</v>
      </c>
      <c r="M1551" s="70">
        <f>CurrentMtgRatesDataTable8[[#This Row],[Servicing Spread Non-Zero]]-L1550</f>
        <v>0</v>
      </c>
      <c r="N1551" s="70">
        <f>IF(J1550&lt;&gt;0,CurrentMtgRatesDataTable8[[#This Row],[Rate]]-C1550,N1550)</f>
        <v>-4.0000000000000036E-2</v>
      </c>
    </row>
    <row r="1552" spans="1:14">
      <c r="A1552" s="67" t="s">
        <v>2904</v>
      </c>
      <c r="B1552" s="68">
        <v>4.27659949074806</v>
      </c>
      <c r="C1552" s="69">
        <v>4.8949999999999996</v>
      </c>
      <c r="D1552" s="70">
        <f t="shared" si="168"/>
        <v>2</v>
      </c>
      <c r="E1552" s="70">
        <f t="shared" si="169"/>
        <v>0.2</v>
      </c>
      <c r="F1552" s="70">
        <f t="shared" si="170"/>
        <v>2</v>
      </c>
      <c r="G1552" s="70">
        <f t="shared" si="171"/>
        <v>1.7200903451498659</v>
      </c>
      <c r="H1552" s="70">
        <f t="shared" si="172"/>
        <v>0.4</v>
      </c>
      <c r="I1552" s="70">
        <f t="shared" si="173"/>
        <v>0</v>
      </c>
      <c r="J1552" s="70">
        <f t="shared" si="174"/>
        <v>0</v>
      </c>
      <c r="K1552" s="70">
        <f>IF(CurrentMtgRatesDataTable8[[#This Row],[WA CC]]&lt;&gt;0,C1551-CurrentMtgRatesDataTable8[[#This Row],[WA CC]],0)</f>
        <v>0</v>
      </c>
      <c r="L1552" s="70">
        <f>IF(CurrentMtgRatesDataTable8[[#This Row],[Servicing Spread]]&lt;=0,L1551,CurrentMtgRatesDataTable8[[#This Row],[Servicing Spread]])</f>
        <v>0.55393658879174534</v>
      </c>
      <c r="M1552" s="70">
        <f>CurrentMtgRatesDataTable8[[#This Row],[Servicing Spread Non-Zero]]-L1551</f>
        <v>0</v>
      </c>
      <c r="N1552" s="70">
        <f>IF(J1551&lt;&gt;0,CurrentMtgRatesDataTable8[[#This Row],[Rate]]-C1551,N1551)</f>
        <v>-4.0000000000000036E-2</v>
      </c>
    </row>
    <row r="1553" spans="1:14">
      <c r="A1553" s="67" t="s">
        <v>2905</v>
      </c>
      <c r="B1553" s="68">
        <v>4.3320366694681303</v>
      </c>
      <c r="C1553" s="69">
        <v>4.8949999999999996</v>
      </c>
      <c r="D1553" s="70">
        <f t="shared" si="168"/>
        <v>5</v>
      </c>
      <c r="E1553" s="70">
        <f t="shared" si="169"/>
        <v>0.2</v>
      </c>
      <c r="F1553" s="70">
        <f t="shared" si="170"/>
        <v>3</v>
      </c>
      <c r="G1553" s="70">
        <f t="shared" si="171"/>
        <v>2.5864976790434921</v>
      </c>
      <c r="H1553" s="70">
        <f t="shared" si="172"/>
        <v>0.60000000000000009</v>
      </c>
      <c r="I1553" s="70">
        <f t="shared" si="173"/>
        <v>0</v>
      </c>
      <c r="J1553" s="70">
        <f t="shared" si="174"/>
        <v>0</v>
      </c>
      <c r="K1553" s="70">
        <f>IF(CurrentMtgRatesDataTable8[[#This Row],[WA CC]]&lt;&gt;0,C1552-CurrentMtgRatesDataTable8[[#This Row],[WA CC]],0)</f>
        <v>0</v>
      </c>
      <c r="L1553" s="70">
        <f>IF(CurrentMtgRatesDataTable8[[#This Row],[Servicing Spread]]&lt;=0,L1552,CurrentMtgRatesDataTable8[[#This Row],[Servicing Spread]])</f>
        <v>0.55393658879174534</v>
      </c>
      <c r="M1553" s="70">
        <f>CurrentMtgRatesDataTable8[[#This Row],[Servicing Spread Non-Zero]]-L1552</f>
        <v>0</v>
      </c>
      <c r="N1553" s="70">
        <f>IF(J1552&lt;&gt;0,CurrentMtgRatesDataTable8[[#This Row],[Rate]]-C1552,N1552)</f>
        <v>-4.0000000000000036E-2</v>
      </c>
    </row>
    <row r="1554" spans="1:14">
      <c r="A1554" s="67" t="s">
        <v>2906</v>
      </c>
      <c r="B1554" s="68">
        <v>4.3653171841277603</v>
      </c>
      <c r="C1554" s="69">
        <v>4.8949999999999996</v>
      </c>
      <c r="D1554" s="70">
        <f t="shared" si="168"/>
        <v>6</v>
      </c>
      <c r="E1554" s="70">
        <f t="shared" si="169"/>
        <v>0.2</v>
      </c>
      <c r="F1554" s="70">
        <f t="shared" si="170"/>
        <v>4</v>
      </c>
      <c r="G1554" s="70">
        <f t="shared" si="171"/>
        <v>3.459561115869044</v>
      </c>
      <c r="H1554" s="70">
        <f t="shared" si="172"/>
        <v>0.8</v>
      </c>
      <c r="I1554" s="70">
        <f t="shared" si="173"/>
        <v>0</v>
      </c>
      <c r="J1554" s="70">
        <f t="shared" si="174"/>
        <v>0</v>
      </c>
      <c r="K1554" s="70">
        <f>IF(CurrentMtgRatesDataTable8[[#This Row],[WA CC]]&lt;&gt;0,C1553-CurrentMtgRatesDataTable8[[#This Row],[WA CC]],0)</f>
        <v>0</v>
      </c>
      <c r="L1554" s="70">
        <f>IF(CurrentMtgRatesDataTable8[[#This Row],[Servicing Spread]]&lt;=0,L1553,CurrentMtgRatesDataTable8[[#This Row],[Servicing Spread]])</f>
        <v>0.55393658879174534</v>
      </c>
      <c r="M1554" s="70">
        <f>CurrentMtgRatesDataTable8[[#This Row],[Servicing Spread Non-Zero]]-L1553</f>
        <v>0</v>
      </c>
      <c r="N1554" s="70">
        <f>IF(J1553&lt;&gt;0,CurrentMtgRatesDataTable8[[#This Row],[Rate]]-C1553,N1553)</f>
        <v>-4.0000000000000036E-2</v>
      </c>
    </row>
    <row r="1555" spans="1:14">
      <c r="A1555" s="67" t="s">
        <v>2907</v>
      </c>
      <c r="B1555" s="68">
        <v>4.4063561989726701</v>
      </c>
      <c r="C1555" s="69">
        <v>4.8949999999999996</v>
      </c>
      <c r="D1555" s="70">
        <f t="shared" si="168"/>
        <v>7</v>
      </c>
      <c r="E1555" s="70">
        <f t="shared" si="169"/>
        <v>0.2</v>
      </c>
      <c r="F1555" s="70">
        <f t="shared" si="170"/>
        <v>5</v>
      </c>
      <c r="G1555" s="70">
        <f t="shared" si="171"/>
        <v>4.3408323556635784</v>
      </c>
      <c r="H1555" s="70">
        <f t="shared" si="172"/>
        <v>1</v>
      </c>
      <c r="I1555" s="70">
        <f t="shared" si="173"/>
        <v>1</v>
      </c>
      <c r="J1555" s="70">
        <f t="shared" si="174"/>
        <v>4.3408323556635784</v>
      </c>
      <c r="K1555" s="70">
        <f>IF(CurrentMtgRatesDataTable8[[#This Row],[WA CC]]&lt;&gt;0,C1554-CurrentMtgRatesDataTable8[[#This Row],[WA CC]],0)</f>
        <v>0.55416764433642118</v>
      </c>
      <c r="L1555" s="70">
        <f>IF(CurrentMtgRatesDataTable8[[#This Row],[Servicing Spread]]&lt;=0,L1554,CurrentMtgRatesDataTable8[[#This Row],[Servicing Spread]])</f>
        <v>0.55416764433642118</v>
      </c>
      <c r="M1555" s="70">
        <f>CurrentMtgRatesDataTable8[[#This Row],[Servicing Spread Non-Zero]]-L1554</f>
        <v>2.3105554467584E-4</v>
      </c>
      <c r="N1555" s="70">
        <f>IF(J1554&lt;&gt;0,CurrentMtgRatesDataTable8[[#This Row],[Rate]]-C1554,N1554)</f>
        <v>-4.0000000000000036E-2</v>
      </c>
    </row>
    <row r="1556" spans="1:14">
      <c r="A1556" s="67" t="s">
        <v>2908</v>
      </c>
      <c r="B1556" s="68">
        <v>4.39879039135689</v>
      </c>
      <c r="C1556" s="69">
        <v>4.8549999999999995</v>
      </c>
      <c r="D1556" s="70">
        <f t="shared" si="168"/>
        <v>1</v>
      </c>
      <c r="E1556" s="70">
        <f t="shared" si="169"/>
        <v>0.2</v>
      </c>
      <c r="F1556" s="70">
        <f t="shared" si="170"/>
        <v>1</v>
      </c>
      <c r="G1556" s="70">
        <f t="shared" si="171"/>
        <v>0.87975807827137809</v>
      </c>
      <c r="H1556" s="70">
        <f t="shared" si="172"/>
        <v>0.2</v>
      </c>
      <c r="I1556" s="70">
        <f t="shared" si="173"/>
        <v>0</v>
      </c>
      <c r="J1556" s="70">
        <f t="shared" si="174"/>
        <v>0</v>
      </c>
      <c r="K1556" s="70">
        <f>IF(CurrentMtgRatesDataTable8[[#This Row],[WA CC]]&lt;&gt;0,C1555-CurrentMtgRatesDataTable8[[#This Row],[WA CC]],0)</f>
        <v>0</v>
      </c>
      <c r="L1556" s="70">
        <f>IF(CurrentMtgRatesDataTable8[[#This Row],[Servicing Spread]]&lt;=0,L1555,CurrentMtgRatesDataTable8[[#This Row],[Servicing Spread]])</f>
        <v>0.55416764433642118</v>
      </c>
      <c r="M1556" s="70">
        <f>CurrentMtgRatesDataTable8[[#This Row],[Servicing Spread Non-Zero]]-L1555</f>
        <v>0</v>
      </c>
      <c r="N1556" s="70">
        <f>IF(J1555&lt;&gt;0,CurrentMtgRatesDataTable8[[#This Row],[Rate]]-C1555,N1555)</f>
        <v>-4.0000000000000036E-2</v>
      </c>
    </row>
    <row r="1557" spans="1:14">
      <c r="A1557" s="67" t="s">
        <v>2909</v>
      </c>
      <c r="B1557" s="68">
        <v>4.3460644034455198</v>
      </c>
      <c r="C1557" s="69">
        <v>4.8549999999999995</v>
      </c>
      <c r="D1557" s="70">
        <f t="shared" si="168"/>
        <v>2</v>
      </c>
      <c r="E1557" s="70">
        <f t="shared" si="169"/>
        <v>0.2</v>
      </c>
      <c r="F1557" s="70">
        <f t="shared" si="170"/>
        <v>2</v>
      </c>
      <c r="G1557" s="70">
        <f t="shared" si="171"/>
        <v>1.748970958960482</v>
      </c>
      <c r="H1557" s="70">
        <f t="shared" si="172"/>
        <v>0.4</v>
      </c>
      <c r="I1557" s="70">
        <f t="shared" si="173"/>
        <v>0</v>
      </c>
      <c r="J1557" s="70">
        <f t="shared" si="174"/>
        <v>0</v>
      </c>
      <c r="K1557" s="70">
        <f>IF(CurrentMtgRatesDataTable8[[#This Row],[WA CC]]&lt;&gt;0,C1556-CurrentMtgRatesDataTable8[[#This Row],[WA CC]],0)</f>
        <v>0</v>
      </c>
      <c r="L1557" s="70">
        <f>IF(CurrentMtgRatesDataTable8[[#This Row],[Servicing Spread]]&lt;=0,L1556,CurrentMtgRatesDataTable8[[#This Row],[Servicing Spread]])</f>
        <v>0.55416764433642118</v>
      </c>
      <c r="M1557" s="70">
        <f>CurrentMtgRatesDataTable8[[#This Row],[Servicing Spread Non-Zero]]-L1556</f>
        <v>0</v>
      </c>
      <c r="N1557" s="70">
        <f>IF(J1556&lt;&gt;0,CurrentMtgRatesDataTable8[[#This Row],[Rate]]-C1556,N1556)</f>
        <v>-4.0000000000000036E-2</v>
      </c>
    </row>
    <row r="1558" spans="1:14">
      <c r="A1558" s="67" t="s">
        <v>2910</v>
      </c>
      <c r="B1558" s="68">
        <v>4.3232740567057197</v>
      </c>
      <c r="C1558" s="69">
        <v>4.8549999999999995</v>
      </c>
      <c r="D1558" s="70">
        <f t="shared" si="168"/>
        <v>6</v>
      </c>
      <c r="E1558" s="70">
        <f t="shared" si="169"/>
        <v>0.2</v>
      </c>
      <c r="F1558" s="70">
        <f t="shared" si="170"/>
        <v>3</v>
      </c>
      <c r="G1558" s="70">
        <f t="shared" si="171"/>
        <v>2.6136257703016259</v>
      </c>
      <c r="H1558" s="70">
        <f t="shared" si="172"/>
        <v>0.60000000000000009</v>
      </c>
      <c r="I1558" s="70">
        <f t="shared" si="173"/>
        <v>0</v>
      </c>
      <c r="J1558" s="70">
        <f t="shared" si="174"/>
        <v>0</v>
      </c>
      <c r="K1558" s="70">
        <f>IF(CurrentMtgRatesDataTable8[[#This Row],[WA CC]]&lt;&gt;0,C1557-CurrentMtgRatesDataTable8[[#This Row],[WA CC]],0)</f>
        <v>0</v>
      </c>
      <c r="L1558" s="70">
        <f>IF(CurrentMtgRatesDataTable8[[#This Row],[Servicing Spread]]&lt;=0,L1557,CurrentMtgRatesDataTable8[[#This Row],[Servicing Spread]])</f>
        <v>0.55416764433642118</v>
      </c>
      <c r="M1558" s="70">
        <f>CurrentMtgRatesDataTable8[[#This Row],[Servicing Spread Non-Zero]]-L1557</f>
        <v>0</v>
      </c>
      <c r="N1558" s="70">
        <f>IF(J1557&lt;&gt;0,CurrentMtgRatesDataTable8[[#This Row],[Rate]]-C1557,N1557)</f>
        <v>-4.0000000000000036E-2</v>
      </c>
    </row>
    <row r="1559" spans="1:14">
      <c r="A1559" s="67" t="s">
        <v>2911</v>
      </c>
      <c r="B1559" s="68">
        <v>4.39139662370218</v>
      </c>
      <c r="C1559" s="69">
        <v>4.8549999999999995</v>
      </c>
      <c r="D1559" s="70">
        <f t="shared" si="168"/>
        <v>7</v>
      </c>
      <c r="E1559" s="70">
        <f t="shared" si="169"/>
        <v>0.2</v>
      </c>
      <c r="F1559" s="70">
        <f t="shared" si="170"/>
        <v>4</v>
      </c>
      <c r="G1559" s="70">
        <f t="shared" si="171"/>
        <v>3.4919050950420618</v>
      </c>
      <c r="H1559" s="70">
        <f t="shared" si="172"/>
        <v>0.8</v>
      </c>
      <c r="I1559" s="70">
        <f t="shared" si="173"/>
        <v>1</v>
      </c>
      <c r="J1559" s="70">
        <f t="shared" si="174"/>
        <v>4.3648813688025774</v>
      </c>
      <c r="K1559" s="70">
        <f>IF(CurrentMtgRatesDataTable8[[#This Row],[WA CC]]&lt;&gt;0,C1558-CurrentMtgRatesDataTable8[[#This Row],[WA CC]],0)</f>
        <v>0.49011863119742216</v>
      </c>
      <c r="L1559" s="70">
        <f>IF(CurrentMtgRatesDataTable8[[#This Row],[Servicing Spread]]&lt;=0,L1558,CurrentMtgRatesDataTable8[[#This Row],[Servicing Spread]])</f>
        <v>0.49011863119742216</v>
      </c>
      <c r="M1559" s="70">
        <f>CurrentMtgRatesDataTable8[[#This Row],[Servicing Spread Non-Zero]]-L1558</f>
        <v>-6.4049013138999022E-2</v>
      </c>
      <c r="N1559" s="70">
        <f>IF(J1558&lt;&gt;0,CurrentMtgRatesDataTable8[[#This Row],[Rate]]-C1558,N1558)</f>
        <v>-4.0000000000000036E-2</v>
      </c>
    </row>
    <row r="1560" spans="1:14">
      <c r="A1560" s="67" t="s">
        <v>2912</v>
      </c>
      <c r="B1560" s="68">
        <v>4.4681580494178297</v>
      </c>
      <c r="C1560" s="69">
        <v>4.9749999999999996</v>
      </c>
      <c r="D1560" s="70">
        <f t="shared" si="168"/>
        <v>1</v>
      </c>
      <c r="E1560" s="70">
        <f t="shared" si="169"/>
        <v>0.2</v>
      </c>
      <c r="F1560" s="70">
        <f t="shared" si="170"/>
        <v>1</v>
      </c>
      <c r="G1560" s="70">
        <f t="shared" si="171"/>
        <v>0.89363160988356594</v>
      </c>
      <c r="H1560" s="70">
        <f t="shared" si="172"/>
        <v>0.2</v>
      </c>
      <c r="I1560" s="70">
        <f t="shared" si="173"/>
        <v>0</v>
      </c>
      <c r="J1560" s="70">
        <f t="shared" si="174"/>
        <v>0</v>
      </c>
      <c r="K1560" s="70">
        <f>IF(CurrentMtgRatesDataTable8[[#This Row],[WA CC]]&lt;&gt;0,C1559-CurrentMtgRatesDataTable8[[#This Row],[WA CC]],0)</f>
        <v>0</v>
      </c>
      <c r="L1560" s="70">
        <f>IF(CurrentMtgRatesDataTable8[[#This Row],[Servicing Spread]]&lt;=0,L1559,CurrentMtgRatesDataTable8[[#This Row],[Servicing Spread]])</f>
        <v>0.49011863119742216</v>
      </c>
      <c r="M1560" s="70">
        <f>CurrentMtgRatesDataTable8[[#This Row],[Servicing Spread Non-Zero]]-L1559</f>
        <v>0</v>
      </c>
      <c r="N1560" s="70">
        <f>IF(J1559&lt;&gt;0,CurrentMtgRatesDataTable8[[#This Row],[Rate]]-C1559,N1559)</f>
        <v>0.12000000000000011</v>
      </c>
    </row>
    <row r="1561" spans="1:14">
      <c r="A1561" s="67" t="s">
        <v>2913</v>
      </c>
      <c r="B1561" s="68">
        <v>4.4863054912143996</v>
      </c>
      <c r="C1561" s="69">
        <v>4.9749999999999996</v>
      </c>
      <c r="D1561" s="70">
        <f t="shared" si="168"/>
        <v>2</v>
      </c>
      <c r="E1561" s="70">
        <f t="shared" si="169"/>
        <v>0.2</v>
      </c>
      <c r="F1561" s="70">
        <f t="shared" si="170"/>
        <v>2</v>
      </c>
      <c r="G1561" s="70">
        <f t="shared" si="171"/>
        <v>1.7908927081264459</v>
      </c>
      <c r="H1561" s="70">
        <f t="shared" si="172"/>
        <v>0.4</v>
      </c>
      <c r="I1561" s="70">
        <f t="shared" si="173"/>
        <v>0</v>
      </c>
      <c r="J1561" s="70">
        <f t="shared" si="174"/>
        <v>0</v>
      </c>
      <c r="K1561" s="70">
        <f>IF(CurrentMtgRatesDataTable8[[#This Row],[WA CC]]&lt;&gt;0,C1560-CurrentMtgRatesDataTable8[[#This Row],[WA CC]],0)</f>
        <v>0</v>
      </c>
      <c r="L1561" s="70">
        <f>IF(CurrentMtgRatesDataTable8[[#This Row],[Servicing Spread]]&lt;=0,L1560,CurrentMtgRatesDataTable8[[#This Row],[Servicing Spread]])</f>
        <v>0.49011863119742216</v>
      </c>
      <c r="M1561" s="70">
        <f>CurrentMtgRatesDataTable8[[#This Row],[Servicing Spread Non-Zero]]-L1560</f>
        <v>0</v>
      </c>
      <c r="N1561" s="70">
        <f>IF(J1560&lt;&gt;0,CurrentMtgRatesDataTable8[[#This Row],[Rate]]-C1560,N1560)</f>
        <v>0.12000000000000011</v>
      </c>
    </row>
    <row r="1562" spans="1:14">
      <c r="A1562" s="67" t="s">
        <v>2914</v>
      </c>
      <c r="B1562" s="68">
        <v>4.4624514287627797</v>
      </c>
      <c r="C1562" s="69">
        <v>4.9749999999999996</v>
      </c>
      <c r="D1562" s="70">
        <f t="shared" si="168"/>
        <v>5</v>
      </c>
      <c r="E1562" s="70">
        <f t="shared" si="169"/>
        <v>0.2</v>
      </c>
      <c r="F1562" s="70">
        <f t="shared" si="170"/>
        <v>3</v>
      </c>
      <c r="G1562" s="70">
        <f t="shared" si="171"/>
        <v>2.6833829938790017</v>
      </c>
      <c r="H1562" s="70">
        <f t="shared" si="172"/>
        <v>0.60000000000000009</v>
      </c>
      <c r="I1562" s="70">
        <f t="shared" si="173"/>
        <v>0</v>
      </c>
      <c r="J1562" s="70">
        <f t="shared" si="174"/>
        <v>0</v>
      </c>
      <c r="K1562" s="70">
        <f>IF(CurrentMtgRatesDataTable8[[#This Row],[WA CC]]&lt;&gt;0,C1561-CurrentMtgRatesDataTable8[[#This Row],[WA CC]],0)</f>
        <v>0</v>
      </c>
      <c r="L1562" s="70">
        <f>IF(CurrentMtgRatesDataTable8[[#This Row],[Servicing Spread]]&lt;=0,L1561,CurrentMtgRatesDataTable8[[#This Row],[Servicing Spread]])</f>
        <v>0.49011863119742216</v>
      </c>
      <c r="M1562" s="70">
        <f>CurrentMtgRatesDataTable8[[#This Row],[Servicing Spread Non-Zero]]-L1561</f>
        <v>0</v>
      </c>
      <c r="N1562" s="70">
        <f>IF(J1561&lt;&gt;0,CurrentMtgRatesDataTable8[[#This Row],[Rate]]-C1561,N1561)</f>
        <v>0.12000000000000011</v>
      </c>
    </row>
    <row r="1563" spans="1:14">
      <c r="A1563" s="67" t="s">
        <v>2915</v>
      </c>
      <c r="B1563" s="68">
        <v>4.3914373803155096</v>
      </c>
      <c r="C1563" s="69">
        <v>4.9749999999999996</v>
      </c>
      <c r="D1563" s="70">
        <f t="shared" si="168"/>
        <v>6</v>
      </c>
      <c r="E1563" s="70">
        <f t="shared" si="169"/>
        <v>0.2</v>
      </c>
      <c r="F1563" s="70">
        <f t="shared" si="170"/>
        <v>4</v>
      </c>
      <c r="G1563" s="70">
        <f t="shared" si="171"/>
        <v>3.5616704699421038</v>
      </c>
      <c r="H1563" s="70">
        <f t="shared" si="172"/>
        <v>0.8</v>
      </c>
      <c r="I1563" s="70">
        <f t="shared" si="173"/>
        <v>0</v>
      </c>
      <c r="J1563" s="70">
        <f t="shared" si="174"/>
        <v>0</v>
      </c>
      <c r="K1563" s="70">
        <f>IF(CurrentMtgRatesDataTable8[[#This Row],[WA CC]]&lt;&gt;0,C1562-CurrentMtgRatesDataTable8[[#This Row],[WA CC]],0)</f>
        <v>0</v>
      </c>
      <c r="L1563" s="70">
        <f>IF(CurrentMtgRatesDataTable8[[#This Row],[Servicing Spread]]&lt;=0,L1562,CurrentMtgRatesDataTable8[[#This Row],[Servicing Spread]])</f>
        <v>0.49011863119742216</v>
      </c>
      <c r="M1563" s="70">
        <f>CurrentMtgRatesDataTable8[[#This Row],[Servicing Spread Non-Zero]]-L1562</f>
        <v>0</v>
      </c>
      <c r="N1563" s="70">
        <f>IF(J1562&lt;&gt;0,CurrentMtgRatesDataTable8[[#This Row],[Rate]]-C1562,N1562)</f>
        <v>0.12000000000000011</v>
      </c>
    </row>
    <row r="1564" spans="1:14">
      <c r="A1564" s="67" t="s">
        <v>2916</v>
      </c>
      <c r="B1564" s="68">
        <v>4.3958479142443396</v>
      </c>
      <c r="C1564" s="69">
        <v>4.9749999999999996</v>
      </c>
      <c r="D1564" s="70">
        <f t="shared" si="168"/>
        <v>7</v>
      </c>
      <c r="E1564" s="70">
        <f t="shared" si="169"/>
        <v>0.2</v>
      </c>
      <c r="F1564" s="70">
        <f t="shared" si="170"/>
        <v>5</v>
      </c>
      <c r="G1564" s="70">
        <f t="shared" si="171"/>
        <v>4.4408400527909713</v>
      </c>
      <c r="H1564" s="70">
        <f t="shared" si="172"/>
        <v>1</v>
      </c>
      <c r="I1564" s="70">
        <f t="shared" si="173"/>
        <v>1</v>
      </c>
      <c r="J1564" s="70">
        <f t="shared" si="174"/>
        <v>4.4408400527909713</v>
      </c>
      <c r="K1564" s="70">
        <f>IF(CurrentMtgRatesDataTable8[[#This Row],[WA CC]]&lt;&gt;0,C1563-CurrentMtgRatesDataTable8[[#This Row],[WA CC]],0)</f>
        <v>0.53415994720902837</v>
      </c>
      <c r="L1564" s="70">
        <f>IF(CurrentMtgRatesDataTable8[[#This Row],[Servicing Spread]]&lt;=0,L1563,CurrentMtgRatesDataTable8[[#This Row],[Servicing Spread]])</f>
        <v>0.53415994720902837</v>
      </c>
      <c r="M1564" s="70">
        <f>CurrentMtgRatesDataTable8[[#This Row],[Servicing Spread Non-Zero]]-L1563</f>
        <v>4.4041316011606213E-2</v>
      </c>
      <c r="N1564" s="70">
        <f>IF(J1563&lt;&gt;0,CurrentMtgRatesDataTable8[[#This Row],[Rate]]-C1563,N1563)</f>
        <v>0.12000000000000011</v>
      </c>
    </row>
    <row r="1565" spans="1:14">
      <c r="A1565" s="67" t="s">
        <v>2917</v>
      </c>
      <c r="B1565" s="68">
        <v>4.3541837134250203</v>
      </c>
      <c r="C1565" s="69">
        <v>4.8949999999999996</v>
      </c>
      <c r="D1565" s="70">
        <f t="shared" si="168"/>
        <v>1</v>
      </c>
      <c r="E1565" s="70">
        <f t="shared" si="169"/>
        <v>0.2</v>
      </c>
      <c r="F1565" s="70">
        <f t="shared" si="170"/>
        <v>1</v>
      </c>
      <c r="G1565" s="70">
        <f t="shared" si="171"/>
        <v>0.87083674268500411</v>
      </c>
      <c r="H1565" s="70">
        <f t="shared" si="172"/>
        <v>0.2</v>
      </c>
      <c r="I1565" s="70">
        <f t="shared" si="173"/>
        <v>0</v>
      </c>
      <c r="J1565" s="70">
        <f t="shared" si="174"/>
        <v>0</v>
      </c>
      <c r="K1565" s="70">
        <f>IF(CurrentMtgRatesDataTable8[[#This Row],[WA CC]]&lt;&gt;0,C1564-CurrentMtgRatesDataTable8[[#This Row],[WA CC]],0)</f>
        <v>0</v>
      </c>
      <c r="L1565" s="70">
        <f>IF(CurrentMtgRatesDataTable8[[#This Row],[Servicing Spread]]&lt;=0,L1564,CurrentMtgRatesDataTable8[[#This Row],[Servicing Spread]])</f>
        <v>0.53415994720902837</v>
      </c>
      <c r="M1565" s="70">
        <f>CurrentMtgRatesDataTable8[[#This Row],[Servicing Spread Non-Zero]]-L1564</f>
        <v>0</v>
      </c>
      <c r="N1565" s="70">
        <f>IF(J1564&lt;&gt;0,CurrentMtgRatesDataTable8[[#This Row],[Rate]]-C1564,N1564)</f>
        <v>-8.0000000000000071E-2</v>
      </c>
    </row>
    <row r="1566" spans="1:14">
      <c r="A1566" s="67" t="s">
        <v>2918</v>
      </c>
      <c r="B1566" s="68">
        <v>4.2907489973721598</v>
      </c>
      <c r="C1566" s="69">
        <v>4.8949999999999996</v>
      </c>
      <c r="D1566" s="70">
        <f t="shared" si="168"/>
        <v>2</v>
      </c>
      <c r="E1566" s="70">
        <f t="shared" si="169"/>
        <v>0.2</v>
      </c>
      <c r="F1566" s="70">
        <f t="shared" si="170"/>
        <v>2</v>
      </c>
      <c r="G1566" s="70">
        <f t="shared" si="171"/>
        <v>1.7289865421594361</v>
      </c>
      <c r="H1566" s="70">
        <f t="shared" si="172"/>
        <v>0.4</v>
      </c>
      <c r="I1566" s="70">
        <f t="shared" si="173"/>
        <v>0</v>
      </c>
      <c r="J1566" s="70">
        <f t="shared" si="174"/>
        <v>0</v>
      </c>
      <c r="K1566" s="70">
        <f>IF(CurrentMtgRatesDataTable8[[#This Row],[WA CC]]&lt;&gt;0,C1565-CurrentMtgRatesDataTable8[[#This Row],[WA CC]],0)</f>
        <v>0</v>
      </c>
      <c r="L1566" s="70">
        <f>IF(CurrentMtgRatesDataTable8[[#This Row],[Servicing Spread]]&lt;=0,L1565,CurrentMtgRatesDataTable8[[#This Row],[Servicing Spread]])</f>
        <v>0.53415994720902837</v>
      </c>
      <c r="M1566" s="70">
        <f>CurrentMtgRatesDataTable8[[#This Row],[Servicing Spread Non-Zero]]-L1565</f>
        <v>0</v>
      </c>
      <c r="N1566" s="70">
        <f>IF(J1565&lt;&gt;0,CurrentMtgRatesDataTable8[[#This Row],[Rate]]-C1565,N1565)</f>
        <v>-8.0000000000000071E-2</v>
      </c>
    </row>
    <row r="1567" spans="1:14">
      <c r="A1567" s="67" t="s">
        <v>2919</v>
      </c>
      <c r="B1567" s="68">
        <v>4.3283668171127099</v>
      </c>
      <c r="C1567" s="69">
        <v>4.8949999999999996</v>
      </c>
      <c r="D1567" s="70">
        <f t="shared" si="168"/>
        <v>5</v>
      </c>
      <c r="E1567" s="70">
        <f t="shared" si="169"/>
        <v>0.2</v>
      </c>
      <c r="F1567" s="70">
        <f t="shared" si="170"/>
        <v>3</v>
      </c>
      <c r="G1567" s="70">
        <f t="shared" si="171"/>
        <v>2.5946599055819783</v>
      </c>
      <c r="H1567" s="70">
        <f t="shared" si="172"/>
        <v>0.60000000000000009</v>
      </c>
      <c r="I1567" s="70">
        <f t="shared" si="173"/>
        <v>0</v>
      </c>
      <c r="J1567" s="70">
        <f t="shared" si="174"/>
        <v>0</v>
      </c>
      <c r="K1567" s="70">
        <f>IF(CurrentMtgRatesDataTable8[[#This Row],[WA CC]]&lt;&gt;0,C1566-CurrentMtgRatesDataTable8[[#This Row],[WA CC]],0)</f>
        <v>0</v>
      </c>
      <c r="L1567" s="70">
        <f>IF(CurrentMtgRatesDataTable8[[#This Row],[Servicing Spread]]&lt;=0,L1566,CurrentMtgRatesDataTable8[[#This Row],[Servicing Spread]])</f>
        <v>0.53415994720902837</v>
      </c>
      <c r="M1567" s="70">
        <f>CurrentMtgRatesDataTable8[[#This Row],[Servicing Spread Non-Zero]]-L1566</f>
        <v>0</v>
      </c>
      <c r="N1567" s="70">
        <f>IF(J1566&lt;&gt;0,CurrentMtgRatesDataTable8[[#This Row],[Rate]]-C1566,N1566)</f>
        <v>-8.0000000000000071E-2</v>
      </c>
    </row>
    <row r="1568" spans="1:14">
      <c r="A1568" s="67" t="s">
        <v>2920</v>
      </c>
      <c r="B1568" s="68">
        <v>4.33436583116631</v>
      </c>
      <c r="C1568" s="69">
        <v>4.8949999999999996</v>
      </c>
      <c r="D1568" s="70">
        <f t="shared" si="168"/>
        <v>6</v>
      </c>
      <c r="E1568" s="70">
        <f t="shared" si="169"/>
        <v>0.2</v>
      </c>
      <c r="F1568" s="70">
        <f t="shared" si="170"/>
        <v>4</v>
      </c>
      <c r="G1568" s="70">
        <f t="shared" si="171"/>
        <v>3.4615330718152402</v>
      </c>
      <c r="H1568" s="70">
        <f t="shared" si="172"/>
        <v>0.8</v>
      </c>
      <c r="I1568" s="70">
        <f t="shared" si="173"/>
        <v>0</v>
      </c>
      <c r="J1568" s="70">
        <f t="shared" si="174"/>
        <v>0</v>
      </c>
      <c r="K1568" s="70">
        <f>IF(CurrentMtgRatesDataTable8[[#This Row],[WA CC]]&lt;&gt;0,C1567-CurrentMtgRatesDataTable8[[#This Row],[WA CC]],0)</f>
        <v>0</v>
      </c>
      <c r="L1568" s="70">
        <f>IF(CurrentMtgRatesDataTable8[[#This Row],[Servicing Spread]]&lt;=0,L1567,CurrentMtgRatesDataTable8[[#This Row],[Servicing Spread]])</f>
        <v>0.53415994720902837</v>
      </c>
      <c r="M1568" s="70">
        <f>CurrentMtgRatesDataTable8[[#This Row],[Servicing Spread Non-Zero]]-L1567</f>
        <v>0</v>
      </c>
      <c r="N1568" s="70">
        <f>IF(J1567&lt;&gt;0,CurrentMtgRatesDataTable8[[#This Row],[Rate]]-C1567,N1567)</f>
        <v>-8.0000000000000071E-2</v>
      </c>
    </row>
    <row r="1569" spans="1:14">
      <c r="A1569" s="67" t="s">
        <v>2921</v>
      </c>
      <c r="B1569" s="68">
        <v>4.3075702513209801</v>
      </c>
      <c r="C1569" s="69">
        <v>4.8949999999999996</v>
      </c>
      <c r="D1569" s="70">
        <f t="shared" si="168"/>
        <v>7</v>
      </c>
      <c r="E1569" s="70">
        <f t="shared" si="169"/>
        <v>0.2</v>
      </c>
      <c r="F1569" s="70">
        <f t="shared" si="170"/>
        <v>5</v>
      </c>
      <c r="G1569" s="70">
        <f t="shared" si="171"/>
        <v>4.3230471220794362</v>
      </c>
      <c r="H1569" s="70">
        <f t="shared" si="172"/>
        <v>1</v>
      </c>
      <c r="I1569" s="70">
        <f t="shared" si="173"/>
        <v>1</v>
      </c>
      <c r="J1569" s="70">
        <f t="shared" si="174"/>
        <v>4.3230471220794362</v>
      </c>
      <c r="K1569" s="70">
        <f>IF(CurrentMtgRatesDataTable8[[#This Row],[WA CC]]&lt;&gt;0,C1568-CurrentMtgRatesDataTable8[[#This Row],[WA CC]],0)</f>
        <v>0.57195287792056337</v>
      </c>
      <c r="L1569" s="70">
        <f>IF(CurrentMtgRatesDataTable8[[#This Row],[Servicing Spread]]&lt;=0,L1568,CurrentMtgRatesDataTable8[[#This Row],[Servicing Spread]])</f>
        <v>0.57195287792056337</v>
      </c>
      <c r="M1569" s="70">
        <f>CurrentMtgRatesDataTable8[[#This Row],[Servicing Spread Non-Zero]]-L1568</f>
        <v>3.7792930711535E-2</v>
      </c>
      <c r="N1569" s="70">
        <f>IF(J1568&lt;&gt;0,CurrentMtgRatesDataTable8[[#This Row],[Rate]]-C1568,N1568)</f>
        <v>-8.0000000000000071E-2</v>
      </c>
    </row>
    <row r="1570" spans="1:14">
      <c r="A1570" s="67" t="s">
        <v>2922</v>
      </c>
      <c r="B1570" s="68">
        <v>4.28354406281293</v>
      </c>
      <c r="C1570" s="69">
        <v>4.875</v>
      </c>
      <c r="D1570" s="70">
        <f t="shared" si="168"/>
        <v>1</v>
      </c>
      <c r="E1570" s="70">
        <f t="shared" si="169"/>
        <v>0.2</v>
      </c>
      <c r="F1570" s="70">
        <f t="shared" si="170"/>
        <v>1</v>
      </c>
      <c r="G1570" s="70">
        <f t="shared" si="171"/>
        <v>0.85670881256258602</v>
      </c>
      <c r="H1570" s="70">
        <f t="shared" si="172"/>
        <v>0.2</v>
      </c>
      <c r="I1570" s="70">
        <f t="shared" si="173"/>
        <v>0</v>
      </c>
      <c r="J1570" s="70">
        <f t="shared" si="174"/>
        <v>0</v>
      </c>
      <c r="K1570" s="70">
        <f>IF(CurrentMtgRatesDataTable8[[#This Row],[WA CC]]&lt;&gt;0,C1569-CurrentMtgRatesDataTable8[[#This Row],[WA CC]],0)</f>
        <v>0</v>
      </c>
      <c r="L1570" s="70">
        <f>IF(CurrentMtgRatesDataTable8[[#This Row],[Servicing Spread]]&lt;=0,L1569,CurrentMtgRatesDataTable8[[#This Row],[Servicing Spread]])</f>
        <v>0.57195287792056337</v>
      </c>
      <c r="M1570" s="70">
        <f>CurrentMtgRatesDataTable8[[#This Row],[Servicing Spread Non-Zero]]-L1569</f>
        <v>0</v>
      </c>
      <c r="N1570" s="70">
        <f>IF(J1569&lt;&gt;0,CurrentMtgRatesDataTable8[[#This Row],[Rate]]-C1569,N1569)</f>
        <v>-1.9999999999999574E-2</v>
      </c>
    </row>
    <row r="1571" spans="1:14">
      <c r="A1571" s="67" t="s">
        <v>2923</v>
      </c>
      <c r="B1571" s="68">
        <v>4.3264407511767597</v>
      </c>
      <c r="C1571" s="69">
        <v>4.875</v>
      </c>
      <c r="D1571" s="70">
        <f t="shared" si="168"/>
        <v>2</v>
      </c>
      <c r="E1571" s="70">
        <f t="shared" si="169"/>
        <v>0.2</v>
      </c>
      <c r="F1571" s="70">
        <f t="shared" si="170"/>
        <v>2</v>
      </c>
      <c r="G1571" s="70">
        <f t="shared" si="171"/>
        <v>1.7219969627979381</v>
      </c>
      <c r="H1571" s="70">
        <f t="shared" si="172"/>
        <v>0.4</v>
      </c>
      <c r="I1571" s="70">
        <f t="shared" si="173"/>
        <v>0</v>
      </c>
      <c r="J1571" s="70">
        <f t="shared" si="174"/>
        <v>0</v>
      </c>
      <c r="K1571" s="70">
        <f>IF(CurrentMtgRatesDataTable8[[#This Row],[WA CC]]&lt;&gt;0,C1570-CurrentMtgRatesDataTable8[[#This Row],[WA CC]],0)</f>
        <v>0</v>
      </c>
      <c r="L1571" s="70">
        <f>IF(CurrentMtgRatesDataTable8[[#This Row],[Servicing Spread]]&lt;=0,L1570,CurrentMtgRatesDataTable8[[#This Row],[Servicing Spread]])</f>
        <v>0.57195287792056337</v>
      </c>
      <c r="M1571" s="70">
        <f>CurrentMtgRatesDataTable8[[#This Row],[Servicing Spread Non-Zero]]-L1570</f>
        <v>0</v>
      </c>
      <c r="N1571" s="70">
        <f>IF(J1570&lt;&gt;0,CurrentMtgRatesDataTable8[[#This Row],[Rate]]-C1570,N1570)</f>
        <v>-1.9999999999999574E-2</v>
      </c>
    </row>
    <row r="1572" spans="1:14">
      <c r="A1572" s="67" t="s">
        <v>2924</v>
      </c>
      <c r="B1572" s="68">
        <v>4.3426015987932098</v>
      </c>
      <c r="C1572" s="69">
        <v>4.875</v>
      </c>
      <c r="D1572" s="70">
        <f t="shared" si="168"/>
        <v>5</v>
      </c>
      <c r="E1572" s="70">
        <f t="shared" si="169"/>
        <v>0.2</v>
      </c>
      <c r="F1572" s="70">
        <f t="shared" si="170"/>
        <v>3</v>
      </c>
      <c r="G1572" s="70">
        <f t="shared" si="171"/>
        <v>2.5905172825565801</v>
      </c>
      <c r="H1572" s="70">
        <f t="shared" si="172"/>
        <v>0.60000000000000009</v>
      </c>
      <c r="I1572" s="70">
        <f t="shared" si="173"/>
        <v>0</v>
      </c>
      <c r="J1572" s="70">
        <f t="shared" si="174"/>
        <v>0</v>
      </c>
      <c r="K1572" s="70">
        <f>IF(CurrentMtgRatesDataTable8[[#This Row],[WA CC]]&lt;&gt;0,C1571-CurrentMtgRatesDataTable8[[#This Row],[WA CC]],0)</f>
        <v>0</v>
      </c>
      <c r="L1572" s="70">
        <f>IF(CurrentMtgRatesDataTable8[[#This Row],[Servicing Spread]]&lt;=0,L1571,CurrentMtgRatesDataTable8[[#This Row],[Servicing Spread]])</f>
        <v>0.57195287792056337</v>
      </c>
      <c r="M1572" s="70">
        <f>CurrentMtgRatesDataTable8[[#This Row],[Servicing Spread Non-Zero]]-L1571</f>
        <v>0</v>
      </c>
      <c r="N1572" s="70">
        <f>IF(J1571&lt;&gt;0,CurrentMtgRatesDataTable8[[#This Row],[Rate]]-C1571,N1571)</f>
        <v>-1.9999999999999574E-2</v>
      </c>
    </row>
    <row r="1573" spans="1:14">
      <c r="A1573" s="67" t="s">
        <v>2925</v>
      </c>
      <c r="B1573" s="68">
        <v>4.3086396970179104</v>
      </c>
      <c r="C1573" s="69">
        <v>4.875</v>
      </c>
      <c r="D1573" s="70">
        <f t="shared" si="168"/>
        <v>6</v>
      </c>
      <c r="E1573" s="70">
        <f t="shared" si="169"/>
        <v>0.2</v>
      </c>
      <c r="F1573" s="70">
        <f t="shared" si="170"/>
        <v>4</v>
      </c>
      <c r="G1573" s="70">
        <f t="shared" si="171"/>
        <v>3.4522452219601623</v>
      </c>
      <c r="H1573" s="70">
        <f t="shared" si="172"/>
        <v>0.8</v>
      </c>
      <c r="I1573" s="70">
        <f t="shared" si="173"/>
        <v>0</v>
      </c>
      <c r="J1573" s="70">
        <f t="shared" si="174"/>
        <v>0</v>
      </c>
      <c r="K1573" s="70">
        <f>IF(CurrentMtgRatesDataTable8[[#This Row],[WA CC]]&lt;&gt;0,C1572-CurrentMtgRatesDataTable8[[#This Row],[WA CC]],0)</f>
        <v>0</v>
      </c>
      <c r="L1573" s="70">
        <f>IF(CurrentMtgRatesDataTable8[[#This Row],[Servicing Spread]]&lt;=0,L1572,CurrentMtgRatesDataTable8[[#This Row],[Servicing Spread]])</f>
        <v>0.57195287792056337</v>
      </c>
      <c r="M1573" s="70">
        <f>CurrentMtgRatesDataTable8[[#This Row],[Servicing Spread Non-Zero]]-L1572</f>
        <v>0</v>
      </c>
      <c r="N1573" s="70">
        <f>IF(J1572&lt;&gt;0,CurrentMtgRatesDataTable8[[#This Row],[Rate]]-C1572,N1572)</f>
        <v>-1.9999999999999574E-2</v>
      </c>
    </row>
    <row r="1574" spans="1:14">
      <c r="A1574" s="67" t="s">
        <v>2926</v>
      </c>
      <c r="B1574" s="68">
        <v>4.3172642307534899</v>
      </c>
      <c r="C1574" s="69">
        <v>4.875</v>
      </c>
      <c r="D1574" s="70">
        <f t="shared" si="168"/>
        <v>7</v>
      </c>
      <c r="E1574" s="70">
        <f t="shared" si="169"/>
        <v>0.2</v>
      </c>
      <c r="F1574" s="70">
        <f t="shared" si="170"/>
        <v>5</v>
      </c>
      <c r="G1574" s="70">
        <f t="shared" si="171"/>
        <v>4.3156980681108603</v>
      </c>
      <c r="H1574" s="70">
        <f t="shared" si="172"/>
        <v>1</v>
      </c>
      <c r="I1574" s="70">
        <f t="shared" si="173"/>
        <v>1</v>
      </c>
      <c r="J1574" s="70">
        <f t="shared" si="174"/>
        <v>4.3156980681108603</v>
      </c>
      <c r="K1574" s="70">
        <f>IF(CurrentMtgRatesDataTable8[[#This Row],[WA CC]]&lt;&gt;0,C1573-CurrentMtgRatesDataTable8[[#This Row],[WA CC]],0)</f>
        <v>0.55930193188913968</v>
      </c>
      <c r="L1574" s="70">
        <f>IF(CurrentMtgRatesDataTable8[[#This Row],[Servicing Spread]]&lt;=0,L1573,CurrentMtgRatesDataTable8[[#This Row],[Servicing Spread]])</f>
        <v>0.55930193188913968</v>
      </c>
      <c r="M1574" s="70">
        <f>CurrentMtgRatesDataTable8[[#This Row],[Servicing Spread Non-Zero]]-L1573</f>
        <v>-1.2650946031423693E-2</v>
      </c>
      <c r="N1574" s="70">
        <f>IF(J1573&lt;&gt;0,CurrentMtgRatesDataTable8[[#This Row],[Rate]]-C1573,N1573)</f>
        <v>-1.9999999999999574E-2</v>
      </c>
    </row>
    <row r="1575" spans="1:14">
      <c r="A1575" s="67" t="s">
        <v>2927</v>
      </c>
      <c r="B1575" s="68">
        <v>4.3258467011541697</v>
      </c>
      <c r="C1575" s="69">
        <v>4.8849999999999998</v>
      </c>
      <c r="D1575" s="70">
        <f t="shared" si="168"/>
        <v>1</v>
      </c>
      <c r="E1575" s="70">
        <f t="shared" si="169"/>
        <v>0.2</v>
      </c>
      <c r="F1575" s="70">
        <f t="shared" si="170"/>
        <v>1</v>
      </c>
      <c r="G1575" s="70">
        <f t="shared" si="171"/>
        <v>0.86516934023083403</v>
      </c>
      <c r="H1575" s="70">
        <f t="shared" si="172"/>
        <v>0.2</v>
      </c>
      <c r="I1575" s="70">
        <f t="shared" si="173"/>
        <v>0</v>
      </c>
      <c r="J1575" s="70">
        <f t="shared" si="174"/>
        <v>0</v>
      </c>
      <c r="K1575" s="70">
        <f>IF(CurrentMtgRatesDataTable8[[#This Row],[WA CC]]&lt;&gt;0,C1574-CurrentMtgRatesDataTable8[[#This Row],[WA CC]],0)</f>
        <v>0</v>
      </c>
      <c r="L1575" s="70">
        <f>IF(CurrentMtgRatesDataTable8[[#This Row],[Servicing Spread]]&lt;=0,L1574,CurrentMtgRatesDataTable8[[#This Row],[Servicing Spread]])</f>
        <v>0.55930193188913968</v>
      </c>
      <c r="M1575" s="70">
        <f>CurrentMtgRatesDataTable8[[#This Row],[Servicing Spread Non-Zero]]-L1574</f>
        <v>0</v>
      </c>
      <c r="N1575" s="70">
        <f>IF(J1574&lt;&gt;0,CurrentMtgRatesDataTable8[[#This Row],[Rate]]-C1574,N1574)</f>
        <v>9.9999999999997868E-3</v>
      </c>
    </row>
    <row r="1576" spans="1:14">
      <c r="A1576" s="67" t="s">
        <v>2928</v>
      </c>
      <c r="B1576" s="68">
        <v>4.3434277440528701</v>
      </c>
      <c r="C1576" s="69">
        <v>4.8849999999999998</v>
      </c>
      <c r="D1576" s="70">
        <f t="shared" si="168"/>
        <v>2</v>
      </c>
      <c r="E1576" s="70">
        <f t="shared" si="169"/>
        <v>0.2</v>
      </c>
      <c r="F1576" s="70">
        <f t="shared" si="170"/>
        <v>2</v>
      </c>
      <c r="G1576" s="70">
        <f t="shared" si="171"/>
        <v>1.7338548890414081</v>
      </c>
      <c r="H1576" s="70">
        <f t="shared" si="172"/>
        <v>0.4</v>
      </c>
      <c r="I1576" s="70">
        <f t="shared" si="173"/>
        <v>0</v>
      </c>
      <c r="J1576" s="70">
        <f t="shared" si="174"/>
        <v>0</v>
      </c>
      <c r="K1576" s="70">
        <f>IF(CurrentMtgRatesDataTable8[[#This Row],[WA CC]]&lt;&gt;0,C1575-CurrentMtgRatesDataTable8[[#This Row],[WA CC]],0)</f>
        <v>0</v>
      </c>
      <c r="L1576" s="70">
        <f>IF(CurrentMtgRatesDataTable8[[#This Row],[Servicing Spread]]&lt;=0,L1575,CurrentMtgRatesDataTable8[[#This Row],[Servicing Spread]])</f>
        <v>0.55930193188913968</v>
      </c>
      <c r="M1576" s="70">
        <f>CurrentMtgRatesDataTable8[[#This Row],[Servicing Spread Non-Zero]]-L1575</f>
        <v>0</v>
      </c>
      <c r="N1576" s="70">
        <f>IF(J1575&lt;&gt;0,CurrentMtgRatesDataTable8[[#This Row],[Rate]]-C1575,N1575)</f>
        <v>9.9999999999997868E-3</v>
      </c>
    </row>
    <row r="1577" spans="1:14">
      <c r="A1577" s="67" t="s">
        <v>2929</v>
      </c>
      <c r="B1577" s="68">
        <v>4.3389433333037397</v>
      </c>
      <c r="C1577" s="69">
        <v>4.8849999999999998</v>
      </c>
      <c r="D1577" s="70">
        <f t="shared" si="168"/>
        <v>5</v>
      </c>
      <c r="E1577" s="70">
        <f t="shared" si="169"/>
        <v>0.2</v>
      </c>
      <c r="F1577" s="70">
        <f t="shared" si="170"/>
        <v>3</v>
      </c>
      <c r="G1577" s="70">
        <f t="shared" si="171"/>
        <v>2.601643555702156</v>
      </c>
      <c r="H1577" s="70">
        <f t="shared" si="172"/>
        <v>0.60000000000000009</v>
      </c>
      <c r="I1577" s="70">
        <f t="shared" si="173"/>
        <v>0</v>
      </c>
      <c r="J1577" s="70">
        <f t="shared" si="174"/>
        <v>0</v>
      </c>
      <c r="K1577" s="70">
        <f>IF(CurrentMtgRatesDataTable8[[#This Row],[WA CC]]&lt;&gt;0,C1576-CurrentMtgRatesDataTable8[[#This Row],[WA CC]],0)</f>
        <v>0</v>
      </c>
      <c r="L1577" s="70">
        <f>IF(CurrentMtgRatesDataTable8[[#This Row],[Servicing Spread]]&lt;=0,L1576,CurrentMtgRatesDataTable8[[#This Row],[Servicing Spread]])</f>
        <v>0.55930193188913968</v>
      </c>
      <c r="M1577" s="70">
        <f>CurrentMtgRatesDataTable8[[#This Row],[Servicing Spread Non-Zero]]-L1576</f>
        <v>0</v>
      </c>
      <c r="N1577" s="70">
        <f>IF(J1576&lt;&gt;0,CurrentMtgRatesDataTable8[[#This Row],[Rate]]-C1576,N1576)</f>
        <v>9.9999999999997868E-3</v>
      </c>
    </row>
    <row r="1578" spans="1:14">
      <c r="A1578" s="67" t="s">
        <v>2930</v>
      </c>
      <c r="B1578" s="68">
        <v>4.3166556715219997</v>
      </c>
      <c r="C1578" s="69">
        <v>4.8849999999999998</v>
      </c>
      <c r="D1578" s="70">
        <f t="shared" si="168"/>
        <v>6</v>
      </c>
      <c r="E1578" s="70">
        <f t="shared" si="169"/>
        <v>0.2</v>
      </c>
      <c r="F1578" s="70">
        <f t="shared" si="170"/>
        <v>4</v>
      </c>
      <c r="G1578" s="70">
        <f t="shared" si="171"/>
        <v>3.4649746900065561</v>
      </c>
      <c r="H1578" s="70">
        <f t="shared" si="172"/>
        <v>0.8</v>
      </c>
      <c r="I1578" s="70">
        <f t="shared" si="173"/>
        <v>0</v>
      </c>
      <c r="J1578" s="70">
        <f t="shared" si="174"/>
        <v>0</v>
      </c>
      <c r="K1578" s="70">
        <f>IF(CurrentMtgRatesDataTable8[[#This Row],[WA CC]]&lt;&gt;0,C1577-CurrentMtgRatesDataTable8[[#This Row],[WA CC]],0)</f>
        <v>0</v>
      </c>
      <c r="L1578" s="70">
        <f>IF(CurrentMtgRatesDataTable8[[#This Row],[Servicing Spread]]&lt;=0,L1577,CurrentMtgRatesDataTable8[[#This Row],[Servicing Spread]])</f>
        <v>0.55930193188913968</v>
      </c>
      <c r="M1578" s="70">
        <f>CurrentMtgRatesDataTable8[[#This Row],[Servicing Spread Non-Zero]]-L1577</f>
        <v>0</v>
      </c>
      <c r="N1578" s="70">
        <f>IF(J1577&lt;&gt;0,CurrentMtgRatesDataTable8[[#This Row],[Rate]]-C1577,N1577)</f>
        <v>9.9999999999997868E-3</v>
      </c>
    </row>
    <row r="1579" spans="1:14">
      <c r="A1579" s="67" t="s">
        <v>2931</v>
      </c>
      <c r="B1579" s="68">
        <v>4.2959930858907898</v>
      </c>
      <c r="C1579" s="69">
        <v>4.8849999999999998</v>
      </c>
      <c r="D1579" s="70">
        <f t="shared" si="168"/>
        <v>7</v>
      </c>
      <c r="E1579" s="70">
        <f t="shared" si="169"/>
        <v>0.2</v>
      </c>
      <c r="F1579" s="70">
        <f t="shared" si="170"/>
        <v>5</v>
      </c>
      <c r="G1579" s="70">
        <f t="shared" si="171"/>
        <v>4.3241733071847142</v>
      </c>
      <c r="H1579" s="70">
        <f t="shared" si="172"/>
        <v>1</v>
      </c>
      <c r="I1579" s="70">
        <f t="shared" si="173"/>
        <v>1</v>
      </c>
      <c r="J1579" s="70">
        <f t="shared" si="174"/>
        <v>4.3241733071847142</v>
      </c>
      <c r="K1579" s="70">
        <f>IF(CurrentMtgRatesDataTable8[[#This Row],[WA CC]]&lt;&gt;0,C1578-CurrentMtgRatesDataTable8[[#This Row],[WA CC]],0)</f>
        <v>0.56082669281528563</v>
      </c>
      <c r="L1579" s="70">
        <f>IF(CurrentMtgRatesDataTable8[[#This Row],[Servicing Spread]]&lt;=0,L1578,CurrentMtgRatesDataTable8[[#This Row],[Servicing Spread]])</f>
        <v>0.56082669281528563</v>
      </c>
      <c r="M1579" s="70">
        <f>CurrentMtgRatesDataTable8[[#This Row],[Servicing Spread Non-Zero]]-L1578</f>
        <v>1.5247609261459516E-3</v>
      </c>
      <c r="N1579" s="70">
        <f>IF(J1578&lt;&gt;0,CurrentMtgRatesDataTable8[[#This Row],[Rate]]-C1578,N1578)</f>
        <v>9.9999999999997868E-3</v>
      </c>
    </row>
    <row r="1580" spans="1:14">
      <c r="A1580" s="67" t="s">
        <v>2932</v>
      </c>
      <c r="B1580" s="68">
        <v>4.3324190334721902</v>
      </c>
      <c r="C1580" s="69">
        <v>4.8900000000000006</v>
      </c>
      <c r="D1580" s="70">
        <f t="shared" si="168"/>
        <v>1</v>
      </c>
      <c r="E1580" s="70">
        <f t="shared" si="169"/>
        <v>0.2</v>
      </c>
      <c r="F1580" s="70">
        <f t="shared" si="170"/>
        <v>1</v>
      </c>
      <c r="G1580" s="70">
        <f t="shared" si="171"/>
        <v>0.86648380669443803</v>
      </c>
      <c r="H1580" s="70">
        <f t="shared" si="172"/>
        <v>0.2</v>
      </c>
      <c r="I1580" s="70">
        <f t="shared" si="173"/>
        <v>0</v>
      </c>
      <c r="J1580" s="70">
        <f t="shared" si="174"/>
        <v>0</v>
      </c>
      <c r="K1580" s="70">
        <f>IF(CurrentMtgRatesDataTable8[[#This Row],[WA CC]]&lt;&gt;0,C1579-CurrentMtgRatesDataTable8[[#This Row],[WA CC]],0)</f>
        <v>0</v>
      </c>
      <c r="L1580" s="70">
        <f>IF(CurrentMtgRatesDataTable8[[#This Row],[Servicing Spread]]&lt;=0,L1579,CurrentMtgRatesDataTable8[[#This Row],[Servicing Spread]])</f>
        <v>0.56082669281528563</v>
      </c>
      <c r="M1580" s="70">
        <f>CurrentMtgRatesDataTable8[[#This Row],[Servicing Spread Non-Zero]]-L1579</f>
        <v>0</v>
      </c>
      <c r="N1580" s="70">
        <f>IF(J1579&lt;&gt;0,CurrentMtgRatesDataTable8[[#This Row],[Rate]]-C1579,N1579)</f>
        <v>5.0000000000007816E-3</v>
      </c>
    </row>
    <row r="1581" spans="1:14">
      <c r="A1581" s="67" t="s">
        <v>2933</v>
      </c>
      <c r="B1581" s="68">
        <v>4.3559191149383603</v>
      </c>
      <c r="C1581" s="69">
        <v>4.8900000000000006</v>
      </c>
      <c r="D1581" s="70">
        <f t="shared" si="168"/>
        <v>2</v>
      </c>
      <c r="E1581" s="70">
        <f t="shared" si="169"/>
        <v>0.2</v>
      </c>
      <c r="F1581" s="70">
        <f t="shared" si="170"/>
        <v>2</v>
      </c>
      <c r="G1581" s="70">
        <f t="shared" si="171"/>
        <v>1.7376676296821101</v>
      </c>
      <c r="H1581" s="70">
        <f t="shared" si="172"/>
        <v>0.4</v>
      </c>
      <c r="I1581" s="70">
        <f t="shared" si="173"/>
        <v>0</v>
      </c>
      <c r="J1581" s="70">
        <f t="shared" si="174"/>
        <v>0</v>
      </c>
      <c r="K1581" s="70">
        <f>IF(CurrentMtgRatesDataTable8[[#This Row],[WA CC]]&lt;&gt;0,C1580-CurrentMtgRatesDataTable8[[#This Row],[WA CC]],0)</f>
        <v>0</v>
      </c>
      <c r="L1581" s="70">
        <f>IF(CurrentMtgRatesDataTable8[[#This Row],[Servicing Spread]]&lt;=0,L1580,CurrentMtgRatesDataTable8[[#This Row],[Servicing Spread]])</f>
        <v>0.56082669281528563</v>
      </c>
      <c r="M1581" s="70">
        <f>CurrentMtgRatesDataTable8[[#This Row],[Servicing Spread Non-Zero]]-L1580</f>
        <v>0</v>
      </c>
      <c r="N1581" s="70">
        <f>IF(J1580&lt;&gt;0,CurrentMtgRatesDataTable8[[#This Row],[Rate]]-C1580,N1580)</f>
        <v>5.0000000000007816E-3</v>
      </c>
    </row>
    <row r="1582" spans="1:14">
      <c r="A1582" s="67" t="s">
        <v>2934</v>
      </c>
      <c r="B1582" s="68">
        <v>4.3264666924807997</v>
      </c>
      <c r="C1582" s="69">
        <v>4.8900000000000006</v>
      </c>
      <c r="D1582" s="70">
        <f t="shared" si="168"/>
        <v>5</v>
      </c>
      <c r="E1582" s="70">
        <f t="shared" si="169"/>
        <v>0.2</v>
      </c>
      <c r="F1582" s="70">
        <f t="shared" si="170"/>
        <v>3</v>
      </c>
      <c r="G1582" s="70">
        <f t="shared" si="171"/>
        <v>2.6029609681782699</v>
      </c>
      <c r="H1582" s="70">
        <f t="shared" si="172"/>
        <v>0.60000000000000009</v>
      </c>
      <c r="I1582" s="70">
        <f t="shared" si="173"/>
        <v>0</v>
      </c>
      <c r="J1582" s="70">
        <f t="shared" si="174"/>
        <v>0</v>
      </c>
      <c r="K1582" s="70">
        <f>IF(CurrentMtgRatesDataTable8[[#This Row],[WA CC]]&lt;&gt;0,C1581-CurrentMtgRatesDataTable8[[#This Row],[WA CC]],0)</f>
        <v>0</v>
      </c>
      <c r="L1582" s="70">
        <f>IF(CurrentMtgRatesDataTable8[[#This Row],[Servicing Spread]]&lt;=0,L1581,CurrentMtgRatesDataTable8[[#This Row],[Servicing Spread]])</f>
        <v>0.56082669281528563</v>
      </c>
      <c r="M1582" s="70">
        <f>CurrentMtgRatesDataTable8[[#This Row],[Servicing Spread Non-Zero]]-L1581</f>
        <v>0</v>
      </c>
      <c r="N1582" s="70">
        <f>IF(J1581&lt;&gt;0,CurrentMtgRatesDataTable8[[#This Row],[Rate]]-C1581,N1581)</f>
        <v>5.0000000000007816E-3</v>
      </c>
    </row>
    <row r="1583" spans="1:14">
      <c r="A1583" s="67" t="s">
        <v>2935</v>
      </c>
      <c r="B1583" s="68">
        <v>4.3288813937469399</v>
      </c>
      <c r="C1583" s="69">
        <v>4.8900000000000006</v>
      </c>
      <c r="D1583" s="70">
        <f t="shared" si="168"/>
        <v>6</v>
      </c>
      <c r="E1583" s="70">
        <f t="shared" si="169"/>
        <v>0.2</v>
      </c>
      <c r="F1583" s="70">
        <f t="shared" si="170"/>
        <v>4</v>
      </c>
      <c r="G1583" s="70">
        <f t="shared" si="171"/>
        <v>3.4687372469276578</v>
      </c>
      <c r="H1583" s="70">
        <f t="shared" si="172"/>
        <v>0.8</v>
      </c>
      <c r="I1583" s="70">
        <f t="shared" si="173"/>
        <v>0</v>
      </c>
      <c r="J1583" s="70">
        <f t="shared" si="174"/>
        <v>0</v>
      </c>
      <c r="K1583" s="70">
        <f>IF(CurrentMtgRatesDataTable8[[#This Row],[WA CC]]&lt;&gt;0,C1582-CurrentMtgRatesDataTable8[[#This Row],[WA CC]],0)</f>
        <v>0</v>
      </c>
      <c r="L1583" s="70">
        <f>IF(CurrentMtgRatesDataTable8[[#This Row],[Servicing Spread]]&lt;=0,L1582,CurrentMtgRatesDataTable8[[#This Row],[Servicing Spread]])</f>
        <v>0.56082669281528563</v>
      </c>
      <c r="M1583" s="70">
        <f>CurrentMtgRatesDataTable8[[#This Row],[Servicing Spread Non-Zero]]-L1582</f>
        <v>0</v>
      </c>
      <c r="N1583" s="70">
        <f>IF(J1582&lt;&gt;0,CurrentMtgRatesDataTable8[[#This Row],[Rate]]-C1582,N1582)</f>
        <v>5.0000000000007816E-3</v>
      </c>
    </row>
    <row r="1584" spans="1:14">
      <c r="A1584" s="67" t="s">
        <v>2936</v>
      </c>
      <c r="B1584" s="68">
        <v>4.44806938128339</v>
      </c>
      <c r="C1584" s="69">
        <v>4.8900000000000006</v>
      </c>
      <c r="D1584" s="70">
        <f t="shared" si="168"/>
        <v>7</v>
      </c>
      <c r="E1584" s="70">
        <f t="shared" si="169"/>
        <v>0.2</v>
      </c>
      <c r="F1584" s="70">
        <f t="shared" si="170"/>
        <v>5</v>
      </c>
      <c r="G1584" s="70">
        <f t="shared" si="171"/>
        <v>4.3583511231843364</v>
      </c>
      <c r="H1584" s="70">
        <f t="shared" si="172"/>
        <v>1</v>
      </c>
      <c r="I1584" s="70">
        <f t="shared" si="173"/>
        <v>1</v>
      </c>
      <c r="J1584" s="70">
        <f t="shared" si="174"/>
        <v>4.3583511231843364</v>
      </c>
      <c r="K1584" s="70">
        <f>IF(CurrentMtgRatesDataTable8[[#This Row],[WA CC]]&lt;&gt;0,C1583-CurrentMtgRatesDataTable8[[#This Row],[WA CC]],0)</f>
        <v>0.5316488768156642</v>
      </c>
      <c r="L1584" s="70">
        <f>IF(CurrentMtgRatesDataTable8[[#This Row],[Servicing Spread]]&lt;=0,L1583,CurrentMtgRatesDataTable8[[#This Row],[Servicing Spread]])</f>
        <v>0.5316488768156642</v>
      </c>
      <c r="M1584" s="70">
        <f>CurrentMtgRatesDataTable8[[#This Row],[Servicing Spread Non-Zero]]-L1583</f>
        <v>-2.9177815999621437E-2</v>
      </c>
      <c r="N1584" s="70">
        <f>IF(J1583&lt;&gt;0,CurrentMtgRatesDataTable8[[#This Row],[Rate]]-C1583,N1583)</f>
        <v>5.0000000000007816E-3</v>
      </c>
    </row>
    <row r="1585" spans="1:14">
      <c r="A1585" s="67" t="s">
        <v>2937</v>
      </c>
      <c r="B1585" s="68">
        <v>4.5108071165053296</v>
      </c>
      <c r="C1585" s="69">
        <v>5.0049999999999999</v>
      </c>
      <c r="D1585" s="70">
        <f t="shared" si="168"/>
        <v>1</v>
      </c>
      <c r="E1585" s="70">
        <f t="shared" si="169"/>
        <v>0.2</v>
      </c>
      <c r="F1585" s="70">
        <f t="shared" si="170"/>
        <v>1</v>
      </c>
      <c r="G1585" s="70">
        <f t="shared" si="171"/>
        <v>0.90216142330106597</v>
      </c>
      <c r="H1585" s="70">
        <f t="shared" si="172"/>
        <v>0.2</v>
      </c>
      <c r="I1585" s="70">
        <f t="shared" si="173"/>
        <v>0</v>
      </c>
      <c r="J1585" s="70">
        <f t="shared" si="174"/>
        <v>0</v>
      </c>
      <c r="K1585" s="70">
        <f>IF(CurrentMtgRatesDataTable8[[#This Row],[WA CC]]&lt;&gt;0,C1584-CurrentMtgRatesDataTable8[[#This Row],[WA CC]],0)</f>
        <v>0</v>
      </c>
      <c r="L1585" s="70">
        <f>IF(CurrentMtgRatesDataTable8[[#This Row],[Servicing Spread]]&lt;=0,L1584,CurrentMtgRatesDataTable8[[#This Row],[Servicing Spread]])</f>
        <v>0.5316488768156642</v>
      </c>
      <c r="M1585" s="70">
        <f>CurrentMtgRatesDataTable8[[#This Row],[Servicing Spread Non-Zero]]-L1584</f>
        <v>0</v>
      </c>
      <c r="N1585" s="70">
        <f>IF(J1584&lt;&gt;0,CurrentMtgRatesDataTable8[[#This Row],[Rate]]-C1584,N1584)</f>
        <v>0.11499999999999932</v>
      </c>
    </row>
    <row r="1586" spans="1:14">
      <c r="A1586" s="67" t="s">
        <v>2938</v>
      </c>
      <c r="B1586" s="68">
        <v>4.4567860106722499</v>
      </c>
      <c r="C1586" s="69">
        <v>5.0049999999999999</v>
      </c>
      <c r="D1586" s="70">
        <f t="shared" si="168"/>
        <v>2</v>
      </c>
      <c r="E1586" s="70">
        <f t="shared" si="169"/>
        <v>0.2</v>
      </c>
      <c r="F1586" s="70">
        <f t="shared" si="170"/>
        <v>2</v>
      </c>
      <c r="G1586" s="70">
        <f t="shared" si="171"/>
        <v>1.793518625435516</v>
      </c>
      <c r="H1586" s="70">
        <f t="shared" si="172"/>
        <v>0.4</v>
      </c>
      <c r="I1586" s="70">
        <f t="shared" si="173"/>
        <v>0</v>
      </c>
      <c r="J1586" s="70">
        <f t="shared" si="174"/>
        <v>0</v>
      </c>
      <c r="K1586" s="70">
        <f>IF(CurrentMtgRatesDataTable8[[#This Row],[WA CC]]&lt;&gt;0,C1585-CurrentMtgRatesDataTable8[[#This Row],[WA CC]],0)</f>
        <v>0</v>
      </c>
      <c r="L1586" s="70">
        <f>IF(CurrentMtgRatesDataTable8[[#This Row],[Servicing Spread]]&lt;=0,L1585,CurrentMtgRatesDataTable8[[#This Row],[Servicing Spread]])</f>
        <v>0.5316488768156642</v>
      </c>
      <c r="M1586" s="70">
        <f>CurrentMtgRatesDataTable8[[#This Row],[Servicing Spread Non-Zero]]-L1585</f>
        <v>0</v>
      </c>
      <c r="N1586" s="70">
        <f>IF(J1585&lt;&gt;0,CurrentMtgRatesDataTable8[[#This Row],[Rate]]-C1585,N1585)</f>
        <v>0.11499999999999932</v>
      </c>
    </row>
    <row r="1587" spans="1:14">
      <c r="A1587" s="67" t="s">
        <v>2939</v>
      </c>
      <c r="B1587" s="68">
        <v>4.4592769235468799</v>
      </c>
      <c r="C1587" s="69">
        <v>5.0049999999999999</v>
      </c>
      <c r="D1587" s="70">
        <f t="shared" si="168"/>
        <v>5</v>
      </c>
      <c r="E1587" s="70">
        <f t="shared" si="169"/>
        <v>0.2</v>
      </c>
      <c r="F1587" s="70">
        <f t="shared" si="170"/>
        <v>3</v>
      </c>
      <c r="G1587" s="70">
        <f t="shared" si="171"/>
        <v>2.685374010144892</v>
      </c>
      <c r="H1587" s="70">
        <f t="shared" si="172"/>
        <v>0.60000000000000009</v>
      </c>
      <c r="I1587" s="70">
        <f t="shared" si="173"/>
        <v>0</v>
      </c>
      <c r="J1587" s="70">
        <f t="shared" si="174"/>
        <v>0</v>
      </c>
      <c r="K1587" s="70">
        <f>IF(CurrentMtgRatesDataTable8[[#This Row],[WA CC]]&lt;&gt;0,C1586-CurrentMtgRatesDataTable8[[#This Row],[WA CC]],0)</f>
        <v>0</v>
      </c>
      <c r="L1587" s="70">
        <f>IF(CurrentMtgRatesDataTable8[[#This Row],[Servicing Spread]]&lt;=0,L1586,CurrentMtgRatesDataTable8[[#This Row],[Servicing Spread]])</f>
        <v>0.5316488768156642</v>
      </c>
      <c r="M1587" s="70">
        <f>CurrentMtgRatesDataTable8[[#This Row],[Servicing Spread Non-Zero]]-L1586</f>
        <v>0</v>
      </c>
      <c r="N1587" s="70">
        <f>IF(J1586&lt;&gt;0,CurrentMtgRatesDataTable8[[#This Row],[Rate]]-C1586,N1586)</f>
        <v>0.11499999999999932</v>
      </c>
    </row>
    <row r="1588" spans="1:14">
      <c r="A1588" s="67" t="s">
        <v>2940</v>
      </c>
      <c r="B1588" s="68">
        <v>4.4898920529880604</v>
      </c>
      <c r="C1588" s="69">
        <v>5.0049999999999999</v>
      </c>
      <c r="D1588" s="70">
        <f t="shared" si="168"/>
        <v>6</v>
      </c>
      <c r="E1588" s="70">
        <f t="shared" si="169"/>
        <v>0.2</v>
      </c>
      <c r="F1588" s="70">
        <f t="shared" si="170"/>
        <v>4</v>
      </c>
      <c r="G1588" s="70">
        <f t="shared" si="171"/>
        <v>3.583352420742504</v>
      </c>
      <c r="H1588" s="70">
        <f t="shared" si="172"/>
        <v>0.8</v>
      </c>
      <c r="I1588" s="70">
        <f t="shared" si="173"/>
        <v>0</v>
      </c>
      <c r="J1588" s="70">
        <f t="shared" si="174"/>
        <v>0</v>
      </c>
      <c r="K1588" s="70">
        <f>IF(CurrentMtgRatesDataTable8[[#This Row],[WA CC]]&lt;&gt;0,C1587-CurrentMtgRatesDataTable8[[#This Row],[WA CC]],0)</f>
        <v>0</v>
      </c>
      <c r="L1588" s="70">
        <f>IF(CurrentMtgRatesDataTable8[[#This Row],[Servicing Spread]]&lt;=0,L1587,CurrentMtgRatesDataTable8[[#This Row],[Servicing Spread]])</f>
        <v>0.5316488768156642</v>
      </c>
      <c r="M1588" s="70">
        <f>CurrentMtgRatesDataTable8[[#This Row],[Servicing Spread Non-Zero]]-L1587</f>
        <v>0</v>
      </c>
      <c r="N1588" s="70">
        <f>IF(J1587&lt;&gt;0,CurrentMtgRatesDataTable8[[#This Row],[Rate]]-C1587,N1587)</f>
        <v>0.11499999999999932</v>
      </c>
    </row>
    <row r="1589" spans="1:14">
      <c r="A1589" s="67" t="s">
        <v>2941</v>
      </c>
      <c r="B1589" s="68">
        <v>4.50331407162441</v>
      </c>
      <c r="C1589" s="69">
        <v>5.0049999999999999</v>
      </c>
      <c r="D1589" s="70">
        <f t="shared" si="168"/>
        <v>7</v>
      </c>
      <c r="E1589" s="70">
        <f t="shared" si="169"/>
        <v>0.2</v>
      </c>
      <c r="F1589" s="70">
        <f t="shared" si="170"/>
        <v>5</v>
      </c>
      <c r="G1589" s="70">
        <f t="shared" si="171"/>
        <v>4.4840152350673863</v>
      </c>
      <c r="H1589" s="70">
        <f t="shared" si="172"/>
        <v>1</v>
      </c>
      <c r="I1589" s="70">
        <f t="shared" si="173"/>
        <v>1</v>
      </c>
      <c r="J1589" s="70">
        <f t="shared" si="174"/>
        <v>4.4840152350673863</v>
      </c>
      <c r="K1589" s="70">
        <f>IF(CurrentMtgRatesDataTable8[[#This Row],[WA CC]]&lt;&gt;0,C1588-CurrentMtgRatesDataTable8[[#This Row],[WA CC]],0)</f>
        <v>0.52098476493261359</v>
      </c>
      <c r="L1589" s="70">
        <f>IF(CurrentMtgRatesDataTable8[[#This Row],[Servicing Spread]]&lt;=0,L1588,CurrentMtgRatesDataTable8[[#This Row],[Servicing Spread]])</f>
        <v>0.52098476493261359</v>
      </c>
      <c r="M1589" s="70">
        <f>CurrentMtgRatesDataTable8[[#This Row],[Servicing Spread Non-Zero]]-L1588</f>
        <v>-1.0664111883050609E-2</v>
      </c>
      <c r="N1589" s="70">
        <f>IF(J1588&lt;&gt;0,CurrentMtgRatesDataTable8[[#This Row],[Rate]]-C1588,N1588)</f>
        <v>0.11499999999999932</v>
      </c>
    </row>
    <row r="1590" spans="1:14">
      <c r="A1590" s="67" t="s">
        <v>2942</v>
      </c>
      <c r="B1590" s="68">
        <v>4.5550104650883503</v>
      </c>
      <c r="C1590" s="69">
        <v>5.1100000000000003</v>
      </c>
      <c r="D1590" s="70">
        <f t="shared" si="168"/>
        <v>1</v>
      </c>
      <c r="E1590" s="70">
        <f t="shared" si="169"/>
        <v>0.2</v>
      </c>
      <c r="F1590" s="70">
        <f t="shared" si="170"/>
        <v>1</v>
      </c>
      <c r="G1590" s="70">
        <f t="shared" si="171"/>
        <v>0.9110020930176701</v>
      </c>
      <c r="H1590" s="70">
        <f t="shared" si="172"/>
        <v>0.2</v>
      </c>
      <c r="I1590" s="70">
        <f t="shared" si="173"/>
        <v>0</v>
      </c>
      <c r="J1590" s="70">
        <f t="shared" si="174"/>
        <v>0</v>
      </c>
      <c r="K1590" s="70">
        <f>IF(CurrentMtgRatesDataTable8[[#This Row],[WA CC]]&lt;&gt;0,C1589-CurrentMtgRatesDataTable8[[#This Row],[WA CC]],0)</f>
        <v>0</v>
      </c>
      <c r="L1590" s="70">
        <f>IF(CurrentMtgRatesDataTable8[[#This Row],[Servicing Spread]]&lt;=0,L1589,CurrentMtgRatesDataTable8[[#This Row],[Servicing Spread]])</f>
        <v>0.52098476493261359</v>
      </c>
      <c r="M1590" s="70">
        <f>CurrentMtgRatesDataTable8[[#This Row],[Servicing Spread Non-Zero]]-L1589</f>
        <v>0</v>
      </c>
      <c r="N1590" s="70">
        <f>IF(J1589&lt;&gt;0,CurrentMtgRatesDataTable8[[#This Row],[Rate]]-C1589,N1589)</f>
        <v>0.10500000000000043</v>
      </c>
    </row>
    <row r="1591" spans="1:14">
      <c r="A1591" s="67" t="s">
        <v>2943</v>
      </c>
      <c r="B1591" s="68">
        <v>4.6749268739863803</v>
      </c>
      <c r="C1591" s="69">
        <v>5.1100000000000003</v>
      </c>
      <c r="D1591" s="70">
        <f t="shared" si="168"/>
        <v>5</v>
      </c>
      <c r="E1591" s="70">
        <f t="shared" si="169"/>
        <v>0.2</v>
      </c>
      <c r="F1591" s="70">
        <f t="shared" si="170"/>
        <v>2</v>
      </c>
      <c r="G1591" s="70">
        <f t="shared" si="171"/>
        <v>1.8459874678149462</v>
      </c>
      <c r="H1591" s="70">
        <f t="shared" si="172"/>
        <v>0.4</v>
      </c>
      <c r="I1591" s="70">
        <f t="shared" si="173"/>
        <v>0</v>
      </c>
      <c r="J1591" s="70">
        <f t="shared" si="174"/>
        <v>0</v>
      </c>
      <c r="K1591" s="70">
        <f>IF(CurrentMtgRatesDataTable8[[#This Row],[WA CC]]&lt;&gt;0,C1590-CurrentMtgRatesDataTable8[[#This Row],[WA CC]],0)</f>
        <v>0</v>
      </c>
      <c r="L1591" s="70">
        <f>IF(CurrentMtgRatesDataTable8[[#This Row],[Servicing Spread]]&lt;=0,L1590,CurrentMtgRatesDataTable8[[#This Row],[Servicing Spread]])</f>
        <v>0.52098476493261359</v>
      </c>
      <c r="M1591" s="70">
        <f>CurrentMtgRatesDataTable8[[#This Row],[Servicing Spread Non-Zero]]-L1590</f>
        <v>0</v>
      </c>
      <c r="N1591" s="70">
        <f>IF(J1590&lt;&gt;0,CurrentMtgRatesDataTable8[[#This Row],[Rate]]-C1590,N1590)</f>
        <v>0.10500000000000043</v>
      </c>
    </row>
    <row r="1592" spans="1:14">
      <c r="A1592" s="67" t="s">
        <v>2944</v>
      </c>
      <c r="B1592" s="68">
        <v>4.6396609638543298</v>
      </c>
      <c r="C1592" s="69">
        <v>5.1100000000000003</v>
      </c>
      <c r="D1592" s="70">
        <f t="shared" si="168"/>
        <v>6</v>
      </c>
      <c r="E1592" s="70">
        <f t="shared" si="169"/>
        <v>0.2</v>
      </c>
      <c r="F1592" s="70">
        <f t="shared" si="170"/>
        <v>3</v>
      </c>
      <c r="G1592" s="70">
        <f t="shared" si="171"/>
        <v>2.7739196605858121</v>
      </c>
      <c r="H1592" s="70">
        <f t="shared" si="172"/>
        <v>0.60000000000000009</v>
      </c>
      <c r="I1592" s="70">
        <f t="shared" si="173"/>
        <v>0</v>
      </c>
      <c r="J1592" s="70">
        <f t="shared" si="174"/>
        <v>0</v>
      </c>
      <c r="K1592" s="70">
        <f>IF(CurrentMtgRatesDataTable8[[#This Row],[WA CC]]&lt;&gt;0,C1591-CurrentMtgRatesDataTable8[[#This Row],[WA CC]],0)</f>
        <v>0</v>
      </c>
      <c r="L1592" s="70">
        <f>IF(CurrentMtgRatesDataTable8[[#This Row],[Servicing Spread]]&lt;=0,L1591,CurrentMtgRatesDataTable8[[#This Row],[Servicing Spread]])</f>
        <v>0.52098476493261359</v>
      </c>
      <c r="M1592" s="70">
        <f>CurrentMtgRatesDataTable8[[#This Row],[Servicing Spread Non-Zero]]-L1591</f>
        <v>0</v>
      </c>
      <c r="N1592" s="70">
        <f>IF(J1591&lt;&gt;0,CurrentMtgRatesDataTable8[[#This Row],[Rate]]-C1591,N1591)</f>
        <v>0.10500000000000043</v>
      </c>
    </row>
    <row r="1593" spans="1:14">
      <c r="A1593" s="67" t="s">
        <v>2945</v>
      </c>
      <c r="B1593" s="68">
        <v>4.5339139017749996</v>
      </c>
      <c r="C1593" s="69">
        <v>5.1100000000000003</v>
      </c>
      <c r="D1593" s="70">
        <f t="shared" si="168"/>
        <v>7</v>
      </c>
      <c r="E1593" s="70">
        <f t="shared" si="169"/>
        <v>0.2</v>
      </c>
      <c r="F1593" s="70">
        <f t="shared" si="170"/>
        <v>4</v>
      </c>
      <c r="G1593" s="70">
        <f t="shared" si="171"/>
        <v>3.680702440940812</v>
      </c>
      <c r="H1593" s="70">
        <f t="shared" si="172"/>
        <v>0.8</v>
      </c>
      <c r="I1593" s="70">
        <f t="shared" si="173"/>
        <v>1</v>
      </c>
      <c r="J1593" s="70">
        <f t="shared" si="174"/>
        <v>4.6008780511760143</v>
      </c>
      <c r="K1593" s="70">
        <f>IF(CurrentMtgRatesDataTable8[[#This Row],[WA CC]]&lt;&gt;0,C1592-CurrentMtgRatesDataTable8[[#This Row],[WA CC]],0)</f>
        <v>0.50912194882398598</v>
      </c>
      <c r="L1593" s="70">
        <f>IF(CurrentMtgRatesDataTable8[[#This Row],[Servicing Spread]]&lt;=0,L1592,CurrentMtgRatesDataTable8[[#This Row],[Servicing Spread]])</f>
        <v>0.50912194882398598</v>
      </c>
      <c r="M1593" s="70">
        <f>CurrentMtgRatesDataTable8[[#This Row],[Servicing Spread Non-Zero]]-L1592</f>
        <v>-1.1862816108627605E-2</v>
      </c>
      <c r="N1593" s="70">
        <f>IF(J1592&lt;&gt;0,CurrentMtgRatesDataTable8[[#This Row],[Rate]]-C1592,N1592)</f>
        <v>0.10500000000000043</v>
      </c>
    </row>
    <row r="1594" spans="1:14">
      <c r="A1594" s="67" t="s">
        <v>2946</v>
      </c>
      <c r="B1594" s="68">
        <v>4.5547050374212796</v>
      </c>
      <c r="C1594" s="69">
        <v>4.9700000000000006</v>
      </c>
      <c r="D1594" s="70">
        <f t="shared" si="168"/>
        <v>1</v>
      </c>
      <c r="E1594" s="70">
        <f t="shared" si="169"/>
        <v>0.2</v>
      </c>
      <c r="F1594" s="70">
        <f t="shared" si="170"/>
        <v>1</v>
      </c>
      <c r="G1594" s="70">
        <f t="shared" si="171"/>
        <v>0.91094100748425599</v>
      </c>
      <c r="H1594" s="70">
        <f t="shared" si="172"/>
        <v>0.2</v>
      </c>
      <c r="I1594" s="70">
        <f t="shared" si="173"/>
        <v>0</v>
      </c>
      <c r="J1594" s="70">
        <f t="shared" si="174"/>
        <v>0</v>
      </c>
      <c r="K1594" s="70">
        <f>IF(CurrentMtgRatesDataTable8[[#This Row],[WA CC]]&lt;&gt;0,C1593-CurrentMtgRatesDataTable8[[#This Row],[WA CC]],0)</f>
        <v>0</v>
      </c>
      <c r="L1594" s="70">
        <f>IF(CurrentMtgRatesDataTable8[[#This Row],[Servicing Spread]]&lt;=0,L1593,CurrentMtgRatesDataTable8[[#This Row],[Servicing Spread]])</f>
        <v>0.50912194882398598</v>
      </c>
      <c r="M1594" s="70">
        <f>CurrentMtgRatesDataTable8[[#This Row],[Servicing Spread Non-Zero]]-L1593</f>
        <v>0</v>
      </c>
      <c r="N1594" s="70">
        <f>IF(J1593&lt;&gt;0,CurrentMtgRatesDataTable8[[#This Row],[Rate]]-C1593,N1593)</f>
        <v>-0.13999999999999968</v>
      </c>
    </row>
    <row r="1595" spans="1:14">
      <c r="A1595" s="67" t="s">
        <v>2947</v>
      </c>
      <c r="B1595" s="68">
        <v>4.5414983688963702</v>
      </c>
      <c r="C1595" s="69">
        <v>4.9700000000000006</v>
      </c>
      <c r="D1595" s="70">
        <f t="shared" si="168"/>
        <v>2</v>
      </c>
      <c r="E1595" s="70">
        <f t="shared" si="169"/>
        <v>0.2</v>
      </c>
      <c r="F1595" s="70">
        <f t="shared" si="170"/>
        <v>2</v>
      </c>
      <c r="G1595" s="70">
        <f t="shared" si="171"/>
        <v>1.8192406812635302</v>
      </c>
      <c r="H1595" s="70">
        <f t="shared" si="172"/>
        <v>0.4</v>
      </c>
      <c r="I1595" s="70">
        <f t="shared" si="173"/>
        <v>0</v>
      </c>
      <c r="J1595" s="70">
        <f t="shared" si="174"/>
        <v>0</v>
      </c>
      <c r="K1595" s="70">
        <f>IF(CurrentMtgRatesDataTable8[[#This Row],[WA CC]]&lt;&gt;0,C1594-CurrentMtgRatesDataTable8[[#This Row],[WA CC]],0)</f>
        <v>0</v>
      </c>
      <c r="L1595" s="70">
        <f>IF(CurrentMtgRatesDataTable8[[#This Row],[Servicing Spread]]&lt;=0,L1594,CurrentMtgRatesDataTable8[[#This Row],[Servicing Spread]])</f>
        <v>0.50912194882398598</v>
      </c>
      <c r="M1595" s="70">
        <f>CurrentMtgRatesDataTable8[[#This Row],[Servicing Spread Non-Zero]]-L1594</f>
        <v>0</v>
      </c>
      <c r="N1595" s="70">
        <f>IF(J1594&lt;&gt;0,CurrentMtgRatesDataTable8[[#This Row],[Rate]]-C1594,N1594)</f>
        <v>-0.13999999999999968</v>
      </c>
    </row>
    <row r="1596" spans="1:14">
      <c r="A1596" s="67" t="s">
        <v>2948</v>
      </c>
      <c r="B1596" s="68">
        <v>4.46067713288181</v>
      </c>
      <c r="C1596" s="69">
        <v>4.9700000000000006</v>
      </c>
      <c r="D1596" s="70">
        <f t="shared" si="168"/>
        <v>5</v>
      </c>
      <c r="E1596" s="70">
        <f t="shared" si="169"/>
        <v>0.2</v>
      </c>
      <c r="F1596" s="70">
        <f t="shared" si="170"/>
        <v>3</v>
      </c>
      <c r="G1596" s="70">
        <f t="shared" si="171"/>
        <v>2.7113761078398921</v>
      </c>
      <c r="H1596" s="70">
        <f t="shared" si="172"/>
        <v>0.60000000000000009</v>
      </c>
      <c r="I1596" s="70">
        <f t="shared" si="173"/>
        <v>0</v>
      </c>
      <c r="J1596" s="70">
        <f t="shared" si="174"/>
        <v>0</v>
      </c>
      <c r="K1596" s="70">
        <f>IF(CurrentMtgRatesDataTable8[[#This Row],[WA CC]]&lt;&gt;0,C1595-CurrentMtgRatesDataTable8[[#This Row],[WA CC]],0)</f>
        <v>0</v>
      </c>
      <c r="L1596" s="70">
        <f>IF(CurrentMtgRatesDataTable8[[#This Row],[Servicing Spread]]&lt;=0,L1595,CurrentMtgRatesDataTable8[[#This Row],[Servicing Spread]])</f>
        <v>0.50912194882398598</v>
      </c>
      <c r="M1596" s="70">
        <f>CurrentMtgRatesDataTable8[[#This Row],[Servicing Spread Non-Zero]]-L1595</f>
        <v>0</v>
      </c>
      <c r="N1596" s="70">
        <f>IF(J1595&lt;&gt;0,CurrentMtgRatesDataTable8[[#This Row],[Rate]]-C1595,N1595)</f>
        <v>-0.13999999999999968</v>
      </c>
    </row>
    <row r="1597" spans="1:14">
      <c r="A1597" s="67" t="s">
        <v>2949</v>
      </c>
      <c r="B1597" s="68">
        <v>4.43648737834312</v>
      </c>
      <c r="C1597" s="69">
        <v>4.9700000000000006</v>
      </c>
      <c r="D1597" s="70">
        <f t="shared" si="168"/>
        <v>6</v>
      </c>
      <c r="E1597" s="70">
        <f t="shared" si="169"/>
        <v>0.2</v>
      </c>
      <c r="F1597" s="70">
        <f t="shared" si="170"/>
        <v>4</v>
      </c>
      <c r="G1597" s="70">
        <f t="shared" si="171"/>
        <v>3.598673583508516</v>
      </c>
      <c r="H1597" s="70">
        <f t="shared" si="172"/>
        <v>0.8</v>
      </c>
      <c r="I1597" s="70">
        <f t="shared" si="173"/>
        <v>0</v>
      </c>
      <c r="J1597" s="70">
        <f t="shared" si="174"/>
        <v>0</v>
      </c>
      <c r="K1597" s="70">
        <f>IF(CurrentMtgRatesDataTable8[[#This Row],[WA CC]]&lt;&gt;0,C1596-CurrentMtgRatesDataTable8[[#This Row],[WA CC]],0)</f>
        <v>0</v>
      </c>
      <c r="L1597" s="70">
        <f>IF(CurrentMtgRatesDataTable8[[#This Row],[Servicing Spread]]&lt;=0,L1596,CurrentMtgRatesDataTable8[[#This Row],[Servicing Spread]])</f>
        <v>0.50912194882398598</v>
      </c>
      <c r="M1597" s="70">
        <f>CurrentMtgRatesDataTable8[[#This Row],[Servicing Spread Non-Zero]]-L1596</f>
        <v>0</v>
      </c>
      <c r="N1597" s="70">
        <f>IF(J1596&lt;&gt;0,CurrentMtgRatesDataTable8[[#This Row],[Rate]]-C1596,N1596)</f>
        <v>-0.13999999999999968</v>
      </c>
    </row>
    <row r="1598" spans="1:14">
      <c r="A1598" s="67" t="s">
        <v>2950</v>
      </c>
      <c r="B1598" s="68">
        <v>4.4864108282816497</v>
      </c>
      <c r="C1598" s="69">
        <v>4.9700000000000006</v>
      </c>
      <c r="D1598" s="70">
        <f t="shared" si="168"/>
        <v>7</v>
      </c>
      <c r="E1598" s="70">
        <f t="shared" si="169"/>
        <v>0.2</v>
      </c>
      <c r="F1598" s="70">
        <f t="shared" si="170"/>
        <v>5</v>
      </c>
      <c r="G1598" s="70">
        <f t="shared" si="171"/>
        <v>4.4959557491648461</v>
      </c>
      <c r="H1598" s="70">
        <f t="shared" si="172"/>
        <v>1</v>
      </c>
      <c r="I1598" s="70">
        <f t="shared" si="173"/>
        <v>1</v>
      </c>
      <c r="J1598" s="70">
        <f t="shared" si="174"/>
        <v>4.4959557491648461</v>
      </c>
      <c r="K1598" s="70">
        <f>IF(CurrentMtgRatesDataTable8[[#This Row],[WA CC]]&lt;&gt;0,C1597-CurrentMtgRatesDataTable8[[#This Row],[WA CC]],0)</f>
        <v>0.47404425083515456</v>
      </c>
      <c r="L1598" s="70">
        <f>IF(CurrentMtgRatesDataTable8[[#This Row],[Servicing Spread]]&lt;=0,L1597,CurrentMtgRatesDataTable8[[#This Row],[Servicing Spread]])</f>
        <v>0.47404425083515456</v>
      </c>
      <c r="M1598" s="70">
        <f>CurrentMtgRatesDataTable8[[#This Row],[Servicing Spread Non-Zero]]-L1597</f>
        <v>-3.5077697988831424E-2</v>
      </c>
      <c r="N1598" s="70">
        <f>IF(J1597&lt;&gt;0,CurrentMtgRatesDataTable8[[#This Row],[Rate]]-C1597,N1597)</f>
        <v>-0.13999999999999968</v>
      </c>
    </row>
    <row r="1599" spans="1:14">
      <c r="A1599" s="67" t="s">
        <v>2951</v>
      </c>
      <c r="B1599" s="68">
        <v>4.4789537620961699</v>
      </c>
      <c r="C1599" s="69">
        <v>4.9950000000000001</v>
      </c>
      <c r="D1599" s="70">
        <f t="shared" si="168"/>
        <v>1</v>
      </c>
      <c r="E1599" s="70">
        <f t="shared" si="169"/>
        <v>0.2</v>
      </c>
      <c r="F1599" s="70">
        <f t="shared" si="170"/>
        <v>1</v>
      </c>
      <c r="G1599" s="70">
        <f t="shared" si="171"/>
        <v>0.895790752419234</v>
      </c>
      <c r="H1599" s="70">
        <f t="shared" si="172"/>
        <v>0.2</v>
      </c>
      <c r="I1599" s="70">
        <f t="shared" si="173"/>
        <v>0</v>
      </c>
      <c r="J1599" s="70">
        <f t="shared" si="174"/>
        <v>0</v>
      </c>
      <c r="K1599" s="70">
        <f>IF(CurrentMtgRatesDataTable8[[#This Row],[WA CC]]&lt;&gt;0,C1598-CurrentMtgRatesDataTable8[[#This Row],[WA CC]],0)</f>
        <v>0</v>
      </c>
      <c r="L1599" s="70">
        <f>IF(CurrentMtgRatesDataTable8[[#This Row],[Servicing Spread]]&lt;=0,L1598,CurrentMtgRatesDataTable8[[#This Row],[Servicing Spread]])</f>
        <v>0.47404425083515456</v>
      </c>
      <c r="M1599" s="70">
        <f>CurrentMtgRatesDataTable8[[#This Row],[Servicing Spread Non-Zero]]-L1598</f>
        <v>0</v>
      </c>
      <c r="N1599" s="70">
        <f>IF(J1598&lt;&gt;0,CurrentMtgRatesDataTable8[[#This Row],[Rate]]-C1598,N1598)</f>
        <v>2.4999999999999467E-2</v>
      </c>
    </row>
    <row r="1600" spans="1:14">
      <c r="A1600" s="67" t="s">
        <v>2952</v>
      </c>
      <c r="B1600" s="68">
        <v>4.42115238805538</v>
      </c>
      <c r="C1600" s="69">
        <v>4.9950000000000001</v>
      </c>
      <c r="D1600" s="70">
        <f t="shared" si="168"/>
        <v>2</v>
      </c>
      <c r="E1600" s="70">
        <f t="shared" si="169"/>
        <v>0.2</v>
      </c>
      <c r="F1600" s="70">
        <f t="shared" si="170"/>
        <v>2</v>
      </c>
      <c r="G1600" s="70">
        <f t="shared" si="171"/>
        <v>1.78002123003031</v>
      </c>
      <c r="H1600" s="70">
        <f t="shared" si="172"/>
        <v>0.4</v>
      </c>
      <c r="I1600" s="70">
        <f t="shared" si="173"/>
        <v>0</v>
      </c>
      <c r="J1600" s="70">
        <f t="shared" si="174"/>
        <v>0</v>
      </c>
      <c r="K1600" s="70">
        <f>IF(CurrentMtgRatesDataTable8[[#This Row],[WA CC]]&lt;&gt;0,C1599-CurrentMtgRatesDataTable8[[#This Row],[WA CC]],0)</f>
        <v>0</v>
      </c>
      <c r="L1600" s="70">
        <f>IF(CurrentMtgRatesDataTable8[[#This Row],[Servicing Spread]]&lt;=0,L1599,CurrentMtgRatesDataTable8[[#This Row],[Servicing Spread]])</f>
        <v>0.47404425083515456</v>
      </c>
      <c r="M1600" s="70">
        <f>CurrentMtgRatesDataTable8[[#This Row],[Servicing Spread Non-Zero]]-L1599</f>
        <v>0</v>
      </c>
      <c r="N1600" s="70">
        <f>IF(J1599&lt;&gt;0,CurrentMtgRatesDataTable8[[#This Row],[Rate]]-C1599,N1599)</f>
        <v>2.4999999999999467E-2</v>
      </c>
    </row>
    <row r="1601" spans="1:14">
      <c r="A1601" s="67" t="s">
        <v>2953</v>
      </c>
      <c r="B1601" s="68">
        <v>4.4647730176576399</v>
      </c>
      <c r="C1601" s="69">
        <v>4.9950000000000001</v>
      </c>
      <c r="D1601" s="70">
        <f t="shared" si="168"/>
        <v>5</v>
      </c>
      <c r="E1601" s="70">
        <f t="shared" si="169"/>
        <v>0.2</v>
      </c>
      <c r="F1601" s="70">
        <f t="shared" si="170"/>
        <v>3</v>
      </c>
      <c r="G1601" s="70">
        <f t="shared" si="171"/>
        <v>2.6729758335618379</v>
      </c>
      <c r="H1601" s="70">
        <f t="shared" si="172"/>
        <v>0.60000000000000009</v>
      </c>
      <c r="I1601" s="70">
        <f t="shared" si="173"/>
        <v>0</v>
      </c>
      <c r="J1601" s="70">
        <f t="shared" si="174"/>
        <v>0</v>
      </c>
      <c r="K1601" s="70">
        <f>IF(CurrentMtgRatesDataTable8[[#This Row],[WA CC]]&lt;&gt;0,C1600-CurrentMtgRatesDataTable8[[#This Row],[WA CC]],0)</f>
        <v>0</v>
      </c>
      <c r="L1601" s="70">
        <f>IF(CurrentMtgRatesDataTable8[[#This Row],[Servicing Spread]]&lt;=0,L1600,CurrentMtgRatesDataTable8[[#This Row],[Servicing Spread]])</f>
        <v>0.47404425083515456</v>
      </c>
      <c r="M1601" s="70">
        <f>CurrentMtgRatesDataTable8[[#This Row],[Servicing Spread Non-Zero]]-L1600</f>
        <v>0</v>
      </c>
      <c r="N1601" s="70">
        <f>IF(J1600&lt;&gt;0,CurrentMtgRatesDataTable8[[#This Row],[Rate]]-C1600,N1600)</f>
        <v>2.4999999999999467E-2</v>
      </c>
    </row>
    <row r="1602" spans="1:14">
      <c r="A1602" s="67" t="s">
        <v>2954</v>
      </c>
      <c r="B1602" s="68">
        <v>4.4716808473301803</v>
      </c>
      <c r="C1602" s="69">
        <v>4.9950000000000001</v>
      </c>
      <c r="D1602" s="70">
        <f t="shared" si="168"/>
        <v>6</v>
      </c>
      <c r="E1602" s="70">
        <f t="shared" si="169"/>
        <v>0.2</v>
      </c>
      <c r="F1602" s="70">
        <f t="shared" si="170"/>
        <v>4</v>
      </c>
      <c r="G1602" s="70">
        <f t="shared" si="171"/>
        <v>3.5673120030278742</v>
      </c>
      <c r="H1602" s="70">
        <f t="shared" si="172"/>
        <v>0.8</v>
      </c>
      <c r="I1602" s="70">
        <f t="shared" si="173"/>
        <v>0</v>
      </c>
      <c r="J1602" s="70">
        <f t="shared" si="174"/>
        <v>0</v>
      </c>
      <c r="K1602" s="70">
        <f>IF(CurrentMtgRatesDataTable8[[#This Row],[WA CC]]&lt;&gt;0,C1601-CurrentMtgRatesDataTable8[[#This Row],[WA CC]],0)</f>
        <v>0</v>
      </c>
      <c r="L1602" s="70">
        <f>IF(CurrentMtgRatesDataTable8[[#This Row],[Servicing Spread]]&lt;=0,L1601,CurrentMtgRatesDataTable8[[#This Row],[Servicing Spread]])</f>
        <v>0.47404425083515456</v>
      </c>
      <c r="M1602" s="70">
        <f>CurrentMtgRatesDataTable8[[#This Row],[Servicing Spread Non-Zero]]-L1601</f>
        <v>0</v>
      </c>
      <c r="N1602" s="70">
        <f>IF(J1601&lt;&gt;0,CurrentMtgRatesDataTable8[[#This Row],[Rate]]-C1601,N1601)</f>
        <v>2.4999999999999467E-2</v>
      </c>
    </row>
    <row r="1603" spans="1:14">
      <c r="A1603" s="67" t="s">
        <v>2955</v>
      </c>
      <c r="B1603" s="68">
        <v>4.428704005388</v>
      </c>
      <c r="C1603" s="69">
        <v>4.9950000000000001</v>
      </c>
      <c r="D1603" s="70">
        <f t="shared" si="168"/>
        <v>7</v>
      </c>
      <c r="E1603" s="70">
        <f t="shared" si="169"/>
        <v>0.2</v>
      </c>
      <c r="F1603" s="70">
        <f t="shared" si="170"/>
        <v>5</v>
      </c>
      <c r="G1603" s="70">
        <f t="shared" si="171"/>
        <v>4.4530528041054742</v>
      </c>
      <c r="H1603" s="70">
        <f t="shared" si="172"/>
        <v>1</v>
      </c>
      <c r="I1603" s="70">
        <f t="shared" si="173"/>
        <v>1</v>
      </c>
      <c r="J1603" s="70">
        <f t="shared" si="174"/>
        <v>4.4530528041054742</v>
      </c>
      <c r="K1603" s="70">
        <f>IF(CurrentMtgRatesDataTable8[[#This Row],[WA CC]]&lt;&gt;0,C1602-CurrentMtgRatesDataTable8[[#This Row],[WA CC]],0)</f>
        <v>0.54194719589452589</v>
      </c>
      <c r="L1603" s="70">
        <f>IF(CurrentMtgRatesDataTable8[[#This Row],[Servicing Spread]]&lt;=0,L1602,CurrentMtgRatesDataTable8[[#This Row],[Servicing Spread]])</f>
        <v>0.54194719589452589</v>
      </c>
      <c r="M1603" s="70">
        <f>CurrentMtgRatesDataTable8[[#This Row],[Servicing Spread Non-Zero]]-L1602</f>
        <v>6.7902945059371334E-2</v>
      </c>
      <c r="N1603" s="70">
        <f>IF(J1602&lt;&gt;0,CurrentMtgRatesDataTable8[[#This Row],[Rate]]-C1602,N1602)</f>
        <v>2.4999999999999467E-2</v>
      </c>
    </row>
    <row r="1604" spans="1:14">
      <c r="A1604" s="67" t="s">
        <v>2956</v>
      </c>
      <c r="B1604" s="68">
        <v>4.4736805890433802</v>
      </c>
      <c r="C1604" s="69">
        <v>4.9849999999999994</v>
      </c>
      <c r="D1604" s="70">
        <f t="shared" si="168"/>
        <v>1</v>
      </c>
      <c r="E1604" s="70">
        <f t="shared" si="169"/>
        <v>0.2</v>
      </c>
      <c r="F1604" s="70">
        <f t="shared" si="170"/>
        <v>1</v>
      </c>
      <c r="G1604" s="70">
        <f t="shared" si="171"/>
        <v>0.89473611780867612</v>
      </c>
      <c r="H1604" s="70">
        <f t="shared" si="172"/>
        <v>0.2</v>
      </c>
      <c r="I1604" s="70">
        <f t="shared" si="173"/>
        <v>0</v>
      </c>
      <c r="J1604" s="70">
        <f t="shared" si="174"/>
        <v>0</v>
      </c>
      <c r="K1604" s="70">
        <f>IF(CurrentMtgRatesDataTable8[[#This Row],[WA CC]]&lt;&gt;0,C1603-CurrentMtgRatesDataTable8[[#This Row],[WA CC]],0)</f>
        <v>0</v>
      </c>
      <c r="L1604" s="70">
        <f>IF(CurrentMtgRatesDataTable8[[#This Row],[Servicing Spread]]&lt;=0,L1603,CurrentMtgRatesDataTable8[[#This Row],[Servicing Spread]])</f>
        <v>0.54194719589452589</v>
      </c>
      <c r="M1604" s="70">
        <f>CurrentMtgRatesDataTable8[[#This Row],[Servicing Spread Non-Zero]]-L1603</f>
        <v>0</v>
      </c>
      <c r="N1604" s="70">
        <f>IF(J1603&lt;&gt;0,CurrentMtgRatesDataTable8[[#This Row],[Rate]]-C1603,N1603)</f>
        <v>-1.0000000000000675E-2</v>
      </c>
    </row>
    <row r="1605" spans="1:14">
      <c r="A1605" s="67" t="s">
        <v>2957</v>
      </c>
      <c r="B1605" s="68">
        <v>4.4965756326414796</v>
      </c>
      <c r="C1605" s="69">
        <v>4.9849999999999994</v>
      </c>
      <c r="D1605" s="70">
        <f t="shared" ref="D1605:D1668" si="175">WEEKDAY(A1605,14)</f>
        <v>2</v>
      </c>
      <c r="E1605" s="70">
        <f t="shared" ref="E1605:E1668" si="176">VLOOKUP(D1605,Q$5:R$11,2,FALSE)</f>
        <v>0.2</v>
      </c>
      <c r="F1605" s="70">
        <f t="shared" ref="F1605:F1668" si="177">IF(AND(D1605&gt;D1604,F1604&lt;6),F1604+1,1)</f>
        <v>2</v>
      </c>
      <c r="G1605" s="70">
        <f t="shared" ref="G1605:G1668" si="178">IF(F1605&gt;F1604,G1604+B1605*E1605,B1605*E1605)</f>
        <v>1.7940512443369721</v>
      </c>
      <c r="H1605" s="70">
        <f t="shared" ref="H1605:H1668" si="179">IF(AND(F1605&lt;6,F1605&gt;F1604),E1605+H1604,E1605)</f>
        <v>0.4</v>
      </c>
      <c r="I1605" s="70">
        <f t="shared" ref="I1605:I1668" si="180">IF(F1605&gt;F1606,1,0)</f>
        <v>0</v>
      </c>
      <c r="J1605" s="70">
        <f t="shared" ref="J1605:J1668" si="181">IF(F1605&gt;F1606,G1605/H1605,0)</f>
        <v>0</v>
      </c>
      <c r="K1605" s="70">
        <f>IF(CurrentMtgRatesDataTable8[[#This Row],[WA CC]]&lt;&gt;0,C1604-CurrentMtgRatesDataTable8[[#This Row],[WA CC]],0)</f>
        <v>0</v>
      </c>
      <c r="L1605" s="70">
        <f>IF(CurrentMtgRatesDataTable8[[#This Row],[Servicing Spread]]&lt;=0,L1604,CurrentMtgRatesDataTable8[[#This Row],[Servicing Spread]])</f>
        <v>0.54194719589452589</v>
      </c>
      <c r="M1605" s="70">
        <f>CurrentMtgRatesDataTable8[[#This Row],[Servicing Spread Non-Zero]]-L1604</f>
        <v>0</v>
      </c>
      <c r="N1605" s="70">
        <f>IF(J1604&lt;&gt;0,CurrentMtgRatesDataTable8[[#This Row],[Rate]]-C1604,N1604)</f>
        <v>-1.0000000000000675E-2</v>
      </c>
    </row>
    <row r="1606" spans="1:14">
      <c r="A1606" s="67" t="s">
        <v>2958</v>
      </c>
      <c r="B1606" s="68">
        <v>4.4869707371824896</v>
      </c>
      <c r="C1606" s="69">
        <v>4.9849999999999994</v>
      </c>
      <c r="D1606" s="70">
        <f t="shared" si="175"/>
        <v>5</v>
      </c>
      <c r="E1606" s="70">
        <f t="shared" si="176"/>
        <v>0.2</v>
      </c>
      <c r="F1606" s="70">
        <f t="shared" si="177"/>
        <v>3</v>
      </c>
      <c r="G1606" s="70">
        <f t="shared" si="178"/>
        <v>2.69144539177347</v>
      </c>
      <c r="H1606" s="70">
        <f t="shared" si="179"/>
        <v>0.60000000000000009</v>
      </c>
      <c r="I1606" s="70">
        <f t="shared" si="180"/>
        <v>0</v>
      </c>
      <c r="J1606" s="70">
        <f t="shared" si="181"/>
        <v>0</v>
      </c>
      <c r="K1606" s="70">
        <f>IF(CurrentMtgRatesDataTable8[[#This Row],[WA CC]]&lt;&gt;0,C1605-CurrentMtgRatesDataTable8[[#This Row],[WA CC]],0)</f>
        <v>0</v>
      </c>
      <c r="L1606" s="70">
        <f>IF(CurrentMtgRatesDataTable8[[#This Row],[Servicing Spread]]&lt;=0,L1605,CurrentMtgRatesDataTable8[[#This Row],[Servicing Spread]])</f>
        <v>0.54194719589452589</v>
      </c>
      <c r="M1606" s="70">
        <f>CurrentMtgRatesDataTable8[[#This Row],[Servicing Spread Non-Zero]]-L1605</f>
        <v>0</v>
      </c>
      <c r="N1606" s="70">
        <f>IF(J1605&lt;&gt;0,CurrentMtgRatesDataTable8[[#This Row],[Rate]]-C1605,N1605)</f>
        <v>-1.0000000000000675E-2</v>
      </c>
    </row>
    <row r="1607" spans="1:14">
      <c r="A1607" s="67" t="s">
        <v>2959</v>
      </c>
      <c r="B1607" s="68">
        <v>4.4098221091894096</v>
      </c>
      <c r="C1607" s="69">
        <v>4.9849999999999994</v>
      </c>
      <c r="D1607" s="70">
        <f t="shared" si="175"/>
        <v>6</v>
      </c>
      <c r="E1607" s="70">
        <f t="shared" si="176"/>
        <v>0.2</v>
      </c>
      <c r="F1607" s="70">
        <f t="shared" si="177"/>
        <v>4</v>
      </c>
      <c r="G1607" s="70">
        <f t="shared" si="178"/>
        <v>3.5734098136113519</v>
      </c>
      <c r="H1607" s="70">
        <f t="shared" si="179"/>
        <v>0.8</v>
      </c>
      <c r="I1607" s="70">
        <f t="shared" si="180"/>
        <v>0</v>
      </c>
      <c r="J1607" s="70">
        <f t="shared" si="181"/>
        <v>0</v>
      </c>
      <c r="K1607" s="70">
        <f>IF(CurrentMtgRatesDataTable8[[#This Row],[WA CC]]&lt;&gt;0,C1606-CurrentMtgRatesDataTable8[[#This Row],[WA CC]],0)</f>
        <v>0</v>
      </c>
      <c r="L1607" s="70">
        <f>IF(CurrentMtgRatesDataTable8[[#This Row],[Servicing Spread]]&lt;=0,L1606,CurrentMtgRatesDataTable8[[#This Row],[Servicing Spread]])</f>
        <v>0.54194719589452589</v>
      </c>
      <c r="M1607" s="70">
        <f>CurrentMtgRatesDataTable8[[#This Row],[Servicing Spread Non-Zero]]-L1606</f>
        <v>0</v>
      </c>
      <c r="N1607" s="70">
        <f>IF(J1606&lt;&gt;0,CurrentMtgRatesDataTable8[[#This Row],[Rate]]-C1606,N1606)</f>
        <v>-1.0000000000000675E-2</v>
      </c>
    </row>
    <row r="1608" spans="1:14">
      <c r="A1608" s="67" t="s">
        <v>2960</v>
      </c>
      <c r="B1608" s="68">
        <v>4.4652868467046396</v>
      </c>
      <c r="C1608" s="69">
        <v>4.9849999999999994</v>
      </c>
      <c r="D1608" s="70">
        <f t="shared" si="175"/>
        <v>7</v>
      </c>
      <c r="E1608" s="70">
        <f t="shared" si="176"/>
        <v>0.2</v>
      </c>
      <c r="F1608" s="70">
        <f t="shared" si="177"/>
        <v>5</v>
      </c>
      <c r="G1608" s="70">
        <f t="shared" si="178"/>
        <v>4.4664671829522797</v>
      </c>
      <c r="H1608" s="70">
        <f t="shared" si="179"/>
        <v>1</v>
      </c>
      <c r="I1608" s="70">
        <f t="shared" si="180"/>
        <v>1</v>
      </c>
      <c r="J1608" s="70">
        <f t="shared" si="181"/>
        <v>4.4664671829522797</v>
      </c>
      <c r="K1608" s="70">
        <f>IF(CurrentMtgRatesDataTable8[[#This Row],[WA CC]]&lt;&gt;0,C1607-CurrentMtgRatesDataTable8[[#This Row],[WA CC]],0)</f>
        <v>0.5185328170477197</v>
      </c>
      <c r="L1608" s="70">
        <f>IF(CurrentMtgRatesDataTable8[[#This Row],[Servicing Spread]]&lt;=0,L1607,CurrentMtgRatesDataTable8[[#This Row],[Servicing Spread]])</f>
        <v>0.5185328170477197</v>
      </c>
      <c r="M1608" s="70">
        <f>CurrentMtgRatesDataTable8[[#This Row],[Servicing Spread Non-Zero]]-L1607</f>
        <v>-2.3414378846806194E-2</v>
      </c>
      <c r="N1608" s="70">
        <f>IF(J1607&lt;&gt;0,CurrentMtgRatesDataTable8[[#This Row],[Rate]]-C1607,N1607)</f>
        <v>-1.0000000000000675E-2</v>
      </c>
    </row>
    <row r="1609" spans="1:14">
      <c r="A1609" s="67" t="s">
        <v>2961</v>
      </c>
      <c r="B1609" s="68">
        <v>4.4231720775400198</v>
      </c>
      <c r="C1609" s="69">
        <v>4.9249999999999998</v>
      </c>
      <c r="D1609" s="70">
        <f t="shared" si="175"/>
        <v>1</v>
      </c>
      <c r="E1609" s="70">
        <f t="shared" si="176"/>
        <v>0.2</v>
      </c>
      <c r="F1609" s="70">
        <f t="shared" si="177"/>
        <v>1</v>
      </c>
      <c r="G1609" s="70">
        <f t="shared" si="178"/>
        <v>0.88463441550800404</v>
      </c>
      <c r="H1609" s="70">
        <f t="shared" si="179"/>
        <v>0.2</v>
      </c>
      <c r="I1609" s="70">
        <f t="shared" si="180"/>
        <v>0</v>
      </c>
      <c r="J1609" s="70">
        <f t="shared" si="181"/>
        <v>0</v>
      </c>
      <c r="K1609" s="70">
        <f>IF(CurrentMtgRatesDataTable8[[#This Row],[WA CC]]&lt;&gt;0,C1608-CurrentMtgRatesDataTable8[[#This Row],[WA CC]],0)</f>
        <v>0</v>
      </c>
      <c r="L1609" s="70">
        <f>IF(CurrentMtgRatesDataTable8[[#This Row],[Servicing Spread]]&lt;=0,L1608,CurrentMtgRatesDataTable8[[#This Row],[Servicing Spread]])</f>
        <v>0.5185328170477197</v>
      </c>
      <c r="M1609" s="70">
        <f>CurrentMtgRatesDataTable8[[#This Row],[Servicing Spread Non-Zero]]-L1608</f>
        <v>0</v>
      </c>
      <c r="N1609" s="70">
        <f>IF(J1608&lt;&gt;0,CurrentMtgRatesDataTable8[[#This Row],[Rate]]-C1608,N1608)</f>
        <v>-5.9999999999999609E-2</v>
      </c>
    </row>
    <row r="1610" spans="1:14">
      <c r="A1610" s="67" t="s">
        <v>2962</v>
      </c>
      <c r="B1610" s="68">
        <v>4.3907036032517297</v>
      </c>
      <c r="C1610" s="69">
        <v>4.9249999999999998</v>
      </c>
      <c r="D1610" s="70">
        <f t="shared" si="175"/>
        <v>2</v>
      </c>
      <c r="E1610" s="70">
        <f t="shared" si="176"/>
        <v>0.2</v>
      </c>
      <c r="F1610" s="70">
        <f t="shared" si="177"/>
        <v>2</v>
      </c>
      <c r="G1610" s="70">
        <f t="shared" si="178"/>
        <v>1.7627751361583499</v>
      </c>
      <c r="H1610" s="70">
        <f t="shared" si="179"/>
        <v>0.4</v>
      </c>
      <c r="I1610" s="70">
        <f t="shared" si="180"/>
        <v>0</v>
      </c>
      <c r="J1610" s="70">
        <f t="shared" si="181"/>
        <v>0</v>
      </c>
      <c r="K1610" s="70">
        <f>IF(CurrentMtgRatesDataTable8[[#This Row],[WA CC]]&lt;&gt;0,C1609-CurrentMtgRatesDataTable8[[#This Row],[WA CC]],0)</f>
        <v>0</v>
      </c>
      <c r="L1610" s="70">
        <f>IF(CurrentMtgRatesDataTable8[[#This Row],[Servicing Spread]]&lt;=0,L1609,CurrentMtgRatesDataTable8[[#This Row],[Servicing Spread]])</f>
        <v>0.5185328170477197</v>
      </c>
      <c r="M1610" s="70">
        <f>CurrentMtgRatesDataTable8[[#This Row],[Servicing Spread Non-Zero]]-L1609</f>
        <v>0</v>
      </c>
      <c r="N1610" s="70">
        <f>IF(J1609&lt;&gt;0,CurrentMtgRatesDataTable8[[#This Row],[Rate]]-C1609,N1609)</f>
        <v>-5.9999999999999609E-2</v>
      </c>
    </row>
    <row r="1611" spans="1:14">
      <c r="A1611" s="67" t="s">
        <v>2963</v>
      </c>
      <c r="B1611" s="68">
        <v>4.4330227290786599</v>
      </c>
      <c r="C1611" s="69">
        <v>4.9249999999999998</v>
      </c>
      <c r="D1611" s="70">
        <f t="shared" si="175"/>
        <v>5</v>
      </c>
      <c r="E1611" s="70">
        <f t="shared" si="176"/>
        <v>0.2</v>
      </c>
      <c r="F1611" s="70">
        <f t="shared" si="177"/>
        <v>3</v>
      </c>
      <c r="G1611" s="70">
        <f t="shared" si="178"/>
        <v>2.6493796819740818</v>
      </c>
      <c r="H1611" s="70">
        <f t="shared" si="179"/>
        <v>0.60000000000000009</v>
      </c>
      <c r="I1611" s="70">
        <f t="shared" si="180"/>
        <v>0</v>
      </c>
      <c r="J1611" s="70">
        <f t="shared" si="181"/>
        <v>0</v>
      </c>
      <c r="K1611" s="70">
        <f>IF(CurrentMtgRatesDataTable8[[#This Row],[WA CC]]&lt;&gt;0,C1610-CurrentMtgRatesDataTable8[[#This Row],[WA CC]],0)</f>
        <v>0</v>
      </c>
      <c r="L1611" s="70">
        <f>IF(CurrentMtgRatesDataTable8[[#This Row],[Servicing Spread]]&lt;=0,L1610,CurrentMtgRatesDataTable8[[#This Row],[Servicing Spread]])</f>
        <v>0.5185328170477197</v>
      </c>
      <c r="M1611" s="70">
        <f>CurrentMtgRatesDataTable8[[#This Row],[Servicing Spread Non-Zero]]-L1610</f>
        <v>0</v>
      </c>
      <c r="N1611" s="70">
        <f>IF(J1610&lt;&gt;0,CurrentMtgRatesDataTable8[[#This Row],[Rate]]-C1610,N1610)</f>
        <v>-5.9999999999999609E-2</v>
      </c>
    </row>
    <row r="1612" spans="1:14">
      <c r="A1612" s="67" t="s">
        <v>2964</v>
      </c>
      <c r="B1612" s="68">
        <v>4.3804364670362999</v>
      </c>
      <c r="C1612" s="69">
        <v>4.9249999999999998</v>
      </c>
      <c r="D1612" s="70">
        <f t="shared" si="175"/>
        <v>6</v>
      </c>
      <c r="E1612" s="70">
        <f t="shared" si="176"/>
        <v>0.2</v>
      </c>
      <c r="F1612" s="70">
        <f t="shared" si="177"/>
        <v>4</v>
      </c>
      <c r="G1612" s="70">
        <f t="shared" si="178"/>
        <v>3.5254669753813417</v>
      </c>
      <c r="H1612" s="70">
        <f t="shared" si="179"/>
        <v>0.8</v>
      </c>
      <c r="I1612" s="70">
        <f t="shared" si="180"/>
        <v>0</v>
      </c>
      <c r="J1612" s="70">
        <f t="shared" si="181"/>
        <v>0</v>
      </c>
      <c r="K1612" s="70">
        <f>IF(CurrentMtgRatesDataTable8[[#This Row],[WA CC]]&lt;&gt;0,C1611-CurrentMtgRatesDataTable8[[#This Row],[WA CC]],0)</f>
        <v>0</v>
      </c>
      <c r="L1612" s="70">
        <f>IF(CurrentMtgRatesDataTable8[[#This Row],[Servicing Spread]]&lt;=0,L1611,CurrentMtgRatesDataTable8[[#This Row],[Servicing Spread]])</f>
        <v>0.5185328170477197</v>
      </c>
      <c r="M1612" s="70">
        <f>CurrentMtgRatesDataTable8[[#This Row],[Servicing Spread Non-Zero]]-L1611</f>
        <v>0</v>
      </c>
      <c r="N1612" s="70">
        <f>IF(J1611&lt;&gt;0,CurrentMtgRatesDataTable8[[#This Row],[Rate]]-C1611,N1611)</f>
        <v>-5.9999999999999609E-2</v>
      </c>
    </row>
    <row r="1613" spans="1:14">
      <c r="A1613" s="67" t="s">
        <v>2965</v>
      </c>
      <c r="B1613" s="68">
        <v>4.33515952342636</v>
      </c>
      <c r="C1613" s="69">
        <v>4.9249999999999998</v>
      </c>
      <c r="D1613" s="70">
        <f t="shared" si="175"/>
        <v>7</v>
      </c>
      <c r="E1613" s="70">
        <f t="shared" si="176"/>
        <v>0.2</v>
      </c>
      <c r="F1613" s="70">
        <f t="shared" si="177"/>
        <v>5</v>
      </c>
      <c r="G1613" s="70">
        <f t="shared" si="178"/>
        <v>4.392498880066614</v>
      </c>
      <c r="H1613" s="70">
        <f t="shared" si="179"/>
        <v>1</v>
      </c>
      <c r="I1613" s="70">
        <f t="shared" si="180"/>
        <v>1</v>
      </c>
      <c r="J1613" s="70">
        <f t="shared" si="181"/>
        <v>4.392498880066614</v>
      </c>
      <c r="K1613" s="70">
        <f>IF(CurrentMtgRatesDataTable8[[#This Row],[WA CC]]&lt;&gt;0,C1612-CurrentMtgRatesDataTable8[[#This Row],[WA CC]],0)</f>
        <v>0.53250111993338578</v>
      </c>
      <c r="L1613" s="70">
        <f>IF(CurrentMtgRatesDataTable8[[#This Row],[Servicing Spread]]&lt;=0,L1612,CurrentMtgRatesDataTable8[[#This Row],[Servicing Spread]])</f>
        <v>0.53250111993338578</v>
      </c>
      <c r="M1613" s="70">
        <f>CurrentMtgRatesDataTable8[[#This Row],[Servicing Spread Non-Zero]]-L1612</f>
        <v>1.3968302885666084E-2</v>
      </c>
      <c r="N1613" s="70">
        <f>IF(J1612&lt;&gt;0,CurrentMtgRatesDataTable8[[#This Row],[Rate]]-C1612,N1612)</f>
        <v>-5.9999999999999609E-2</v>
      </c>
    </row>
    <row r="1614" spans="1:14">
      <c r="A1614" s="67" t="s">
        <v>2966</v>
      </c>
      <c r="B1614" s="68">
        <v>4.2225645965485699</v>
      </c>
      <c r="C1614" s="69">
        <v>4.8549999999999995</v>
      </c>
      <c r="D1614" s="70">
        <f t="shared" si="175"/>
        <v>1</v>
      </c>
      <c r="E1614" s="70">
        <f t="shared" si="176"/>
        <v>0.2</v>
      </c>
      <c r="F1614" s="70">
        <f t="shared" si="177"/>
        <v>1</v>
      </c>
      <c r="G1614" s="70">
        <f t="shared" si="178"/>
        <v>0.84451291930971406</v>
      </c>
      <c r="H1614" s="70">
        <f t="shared" si="179"/>
        <v>0.2</v>
      </c>
      <c r="I1614" s="70">
        <f t="shared" si="180"/>
        <v>0</v>
      </c>
      <c r="J1614" s="70">
        <f t="shared" si="181"/>
        <v>0</v>
      </c>
      <c r="K1614" s="70">
        <f>IF(CurrentMtgRatesDataTable8[[#This Row],[WA CC]]&lt;&gt;0,C1613-CurrentMtgRatesDataTable8[[#This Row],[WA CC]],0)</f>
        <v>0</v>
      </c>
      <c r="L1614" s="70">
        <f>IF(CurrentMtgRatesDataTable8[[#This Row],[Servicing Spread]]&lt;=0,L1613,CurrentMtgRatesDataTable8[[#This Row],[Servicing Spread]])</f>
        <v>0.53250111993338578</v>
      </c>
      <c r="M1614" s="70">
        <f>CurrentMtgRatesDataTable8[[#This Row],[Servicing Spread Non-Zero]]-L1613</f>
        <v>0</v>
      </c>
      <c r="N1614" s="70">
        <f>IF(J1613&lt;&gt;0,CurrentMtgRatesDataTable8[[#This Row],[Rate]]-C1613,N1613)</f>
        <v>-7.0000000000000284E-2</v>
      </c>
    </row>
    <row r="1615" spans="1:14">
      <c r="A1615" s="67" t="s">
        <v>2967</v>
      </c>
      <c r="B1615" s="68">
        <v>4.2583811688869497</v>
      </c>
      <c r="C1615" s="69">
        <v>4.8549999999999995</v>
      </c>
      <c r="D1615" s="70">
        <f t="shared" si="175"/>
        <v>2</v>
      </c>
      <c r="E1615" s="70">
        <f t="shared" si="176"/>
        <v>0.2</v>
      </c>
      <c r="F1615" s="70">
        <f t="shared" si="177"/>
        <v>2</v>
      </c>
      <c r="G1615" s="70">
        <f t="shared" si="178"/>
        <v>1.6961891530871041</v>
      </c>
      <c r="H1615" s="70">
        <f t="shared" si="179"/>
        <v>0.4</v>
      </c>
      <c r="I1615" s="70">
        <f t="shared" si="180"/>
        <v>0</v>
      </c>
      <c r="J1615" s="70">
        <f t="shared" si="181"/>
        <v>0</v>
      </c>
      <c r="K1615" s="70">
        <f>IF(CurrentMtgRatesDataTable8[[#This Row],[WA CC]]&lt;&gt;0,C1614-CurrentMtgRatesDataTable8[[#This Row],[WA CC]],0)</f>
        <v>0</v>
      </c>
      <c r="L1615" s="70">
        <f>IF(CurrentMtgRatesDataTable8[[#This Row],[Servicing Spread]]&lt;=0,L1614,CurrentMtgRatesDataTable8[[#This Row],[Servicing Spread]])</f>
        <v>0.53250111993338578</v>
      </c>
      <c r="M1615" s="70">
        <f>CurrentMtgRatesDataTable8[[#This Row],[Servicing Spread Non-Zero]]-L1614</f>
        <v>0</v>
      </c>
      <c r="N1615" s="70">
        <f>IF(J1614&lt;&gt;0,CurrentMtgRatesDataTable8[[#This Row],[Rate]]-C1614,N1614)</f>
        <v>-7.0000000000000284E-2</v>
      </c>
    </row>
    <row r="1616" spans="1:14">
      <c r="A1616" s="67" t="s">
        <v>2968</v>
      </c>
      <c r="B1616" s="68">
        <v>4.3116514744048198</v>
      </c>
      <c r="C1616" s="69">
        <v>4.8549999999999995</v>
      </c>
      <c r="D1616" s="70">
        <f t="shared" si="175"/>
        <v>5</v>
      </c>
      <c r="E1616" s="70">
        <f t="shared" si="176"/>
        <v>0.2</v>
      </c>
      <c r="F1616" s="70">
        <f t="shared" si="177"/>
        <v>3</v>
      </c>
      <c r="G1616" s="70">
        <f t="shared" si="178"/>
        <v>2.558519447968068</v>
      </c>
      <c r="H1616" s="70">
        <f t="shared" si="179"/>
        <v>0.60000000000000009</v>
      </c>
      <c r="I1616" s="70">
        <f t="shared" si="180"/>
        <v>0</v>
      </c>
      <c r="J1616" s="70">
        <f t="shared" si="181"/>
        <v>0</v>
      </c>
      <c r="K1616" s="70">
        <f>IF(CurrentMtgRatesDataTable8[[#This Row],[WA CC]]&lt;&gt;0,C1615-CurrentMtgRatesDataTable8[[#This Row],[WA CC]],0)</f>
        <v>0</v>
      </c>
      <c r="L1616" s="70">
        <f>IF(CurrentMtgRatesDataTable8[[#This Row],[Servicing Spread]]&lt;=0,L1615,CurrentMtgRatesDataTable8[[#This Row],[Servicing Spread]])</f>
        <v>0.53250111993338578</v>
      </c>
      <c r="M1616" s="70">
        <f>CurrentMtgRatesDataTable8[[#This Row],[Servicing Spread Non-Zero]]-L1615</f>
        <v>0</v>
      </c>
      <c r="N1616" s="70">
        <f>IF(J1615&lt;&gt;0,CurrentMtgRatesDataTable8[[#This Row],[Rate]]-C1615,N1615)</f>
        <v>-7.0000000000000284E-2</v>
      </c>
    </row>
    <row r="1617" spans="1:14">
      <c r="A1617" s="67" t="s">
        <v>2969</v>
      </c>
      <c r="B1617" s="68">
        <v>4.2863821248238798</v>
      </c>
      <c r="C1617" s="69">
        <v>4.8549999999999995</v>
      </c>
      <c r="D1617" s="70">
        <f t="shared" si="175"/>
        <v>6</v>
      </c>
      <c r="E1617" s="70">
        <f t="shared" si="176"/>
        <v>0.2</v>
      </c>
      <c r="F1617" s="70">
        <f t="shared" si="177"/>
        <v>4</v>
      </c>
      <c r="G1617" s="70">
        <f t="shared" si="178"/>
        <v>3.4157958729328439</v>
      </c>
      <c r="H1617" s="70">
        <f t="shared" si="179"/>
        <v>0.8</v>
      </c>
      <c r="I1617" s="70">
        <f t="shared" si="180"/>
        <v>0</v>
      </c>
      <c r="J1617" s="70">
        <f t="shared" si="181"/>
        <v>0</v>
      </c>
      <c r="K1617" s="70">
        <f>IF(CurrentMtgRatesDataTable8[[#This Row],[WA CC]]&lt;&gt;0,C1616-CurrentMtgRatesDataTable8[[#This Row],[WA CC]],0)</f>
        <v>0</v>
      </c>
      <c r="L1617" s="70">
        <f>IF(CurrentMtgRatesDataTable8[[#This Row],[Servicing Spread]]&lt;=0,L1616,CurrentMtgRatesDataTable8[[#This Row],[Servicing Spread]])</f>
        <v>0.53250111993338578</v>
      </c>
      <c r="M1617" s="70">
        <f>CurrentMtgRatesDataTable8[[#This Row],[Servicing Spread Non-Zero]]-L1616</f>
        <v>0</v>
      </c>
      <c r="N1617" s="70">
        <f>IF(J1616&lt;&gt;0,CurrentMtgRatesDataTable8[[#This Row],[Rate]]-C1616,N1616)</f>
        <v>-7.0000000000000284E-2</v>
      </c>
    </row>
    <row r="1618" spans="1:14">
      <c r="A1618" s="67" t="s">
        <v>2970</v>
      </c>
      <c r="B1618" s="68">
        <v>4.29267231886561</v>
      </c>
      <c r="C1618" s="69">
        <v>4.8549999999999995</v>
      </c>
      <c r="D1618" s="70">
        <f t="shared" si="175"/>
        <v>7</v>
      </c>
      <c r="E1618" s="70">
        <f t="shared" si="176"/>
        <v>0.2</v>
      </c>
      <c r="F1618" s="70">
        <f t="shared" si="177"/>
        <v>5</v>
      </c>
      <c r="G1618" s="70">
        <f t="shared" si="178"/>
        <v>4.2743303367059662</v>
      </c>
      <c r="H1618" s="70">
        <f t="shared" si="179"/>
        <v>1</v>
      </c>
      <c r="I1618" s="70">
        <f t="shared" si="180"/>
        <v>1</v>
      </c>
      <c r="J1618" s="70">
        <f t="shared" si="181"/>
        <v>4.2743303367059662</v>
      </c>
      <c r="K1618" s="70">
        <f>IF(CurrentMtgRatesDataTable8[[#This Row],[WA CC]]&lt;&gt;0,C1617-CurrentMtgRatesDataTable8[[#This Row],[WA CC]],0)</f>
        <v>0.58066966329403336</v>
      </c>
      <c r="L1618" s="70">
        <f>IF(CurrentMtgRatesDataTable8[[#This Row],[Servicing Spread]]&lt;=0,L1617,CurrentMtgRatesDataTable8[[#This Row],[Servicing Spread]])</f>
        <v>0.58066966329403336</v>
      </c>
      <c r="M1618" s="70">
        <f>CurrentMtgRatesDataTable8[[#This Row],[Servicing Spread Non-Zero]]-L1617</f>
        <v>4.8168543360647575E-2</v>
      </c>
      <c r="N1618" s="70">
        <f>IF(J1617&lt;&gt;0,CurrentMtgRatesDataTable8[[#This Row],[Rate]]-C1617,N1617)</f>
        <v>-7.0000000000000284E-2</v>
      </c>
    </row>
    <row r="1619" spans="1:14">
      <c r="A1619" s="67" t="s">
        <v>2971</v>
      </c>
      <c r="B1619" s="68">
        <v>4.2824920445458003</v>
      </c>
      <c r="C1619" s="69">
        <v>4.7649999999999997</v>
      </c>
      <c r="D1619" s="70">
        <f t="shared" si="175"/>
        <v>1</v>
      </c>
      <c r="E1619" s="70">
        <f t="shared" si="176"/>
        <v>0.2</v>
      </c>
      <c r="F1619" s="70">
        <f t="shared" si="177"/>
        <v>1</v>
      </c>
      <c r="G1619" s="70">
        <f t="shared" si="178"/>
        <v>0.85649840890916007</v>
      </c>
      <c r="H1619" s="70">
        <f t="shared" si="179"/>
        <v>0.2</v>
      </c>
      <c r="I1619" s="70">
        <f t="shared" si="180"/>
        <v>0</v>
      </c>
      <c r="J1619" s="70">
        <f t="shared" si="181"/>
        <v>0</v>
      </c>
      <c r="K1619" s="70">
        <f>IF(CurrentMtgRatesDataTable8[[#This Row],[WA CC]]&lt;&gt;0,C1618-CurrentMtgRatesDataTable8[[#This Row],[WA CC]],0)</f>
        <v>0</v>
      </c>
      <c r="L1619" s="70">
        <f>IF(CurrentMtgRatesDataTable8[[#This Row],[Servicing Spread]]&lt;=0,L1618,CurrentMtgRatesDataTable8[[#This Row],[Servicing Spread]])</f>
        <v>0.58066966329403336</v>
      </c>
      <c r="M1619" s="70">
        <f>CurrentMtgRatesDataTable8[[#This Row],[Servicing Spread Non-Zero]]-L1618</f>
        <v>0</v>
      </c>
      <c r="N1619" s="70">
        <f>IF(J1618&lt;&gt;0,CurrentMtgRatesDataTable8[[#This Row],[Rate]]-C1618,N1618)</f>
        <v>-8.9999999999999858E-2</v>
      </c>
    </row>
    <row r="1620" spans="1:14">
      <c r="A1620" s="67" t="s">
        <v>2972</v>
      </c>
      <c r="B1620" s="68">
        <v>4.1918495185036004</v>
      </c>
      <c r="C1620" s="69">
        <v>4.7649999999999997</v>
      </c>
      <c r="D1620" s="70">
        <f t="shared" si="175"/>
        <v>2</v>
      </c>
      <c r="E1620" s="70">
        <f t="shared" si="176"/>
        <v>0.2</v>
      </c>
      <c r="F1620" s="70">
        <f t="shared" si="177"/>
        <v>2</v>
      </c>
      <c r="G1620" s="70">
        <f t="shared" si="178"/>
        <v>1.6948683126098802</v>
      </c>
      <c r="H1620" s="70">
        <f t="shared" si="179"/>
        <v>0.4</v>
      </c>
      <c r="I1620" s="70">
        <f t="shared" si="180"/>
        <v>0</v>
      </c>
      <c r="J1620" s="70">
        <f t="shared" si="181"/>
        <v>0</v>
      </c>
      <c r="K1620" s="70">
        <f>IF(CurrentMtgRatesDataTable8[[#This Row],[WA CC]]&lt;&gt;0,C1619-CurrentMtgRatesDataTable8[[#This Row],[WA CC]],0)</f>
        <v>0</v>
      </c>
      <c r="L1620" s="70">
        <f>IF(CurrentMtgRatesDataTable8[[#This Row],[Servicing Spread]]&lt;=0,L1619,CurrentMtgRatesDataTable8[[#This Row],[Servicing Spread]])</f>
        <v>0.58066966329403336</v>
      </c>
      <c r="M1620" s="70">
        <f>CurrentMtgRatesDataTable8[[#This Row],[Servicing Spread Non-Zero]]-L1619</f>
        <v>0</v>
      </c>
      <c r="N1620" s="70">
        <f>IF(J1619&lt;&gt;0,CurrentMtgRatesDataTable8[[#This Row],[Rate]]-C1619,N1619)</f>
        <v>-8.9999999999999858E-2</v>
      </c>
    </row>
    <row r="1621" spans="1:14">
      <c r="A1621" s="67" t="s">
        <v>2973</v>
      </c>
      <c r="B1621" s="68">
        <v>4.1901624922476204</v>
      </c>
      <c r="C1621" s="69">
        <v>4.7649999999999997</v>
      </c>
      <c r="D1621" s="70">
        <f t="shared" si="175"/>
        <v>5</v>
      </c>
      <c r="E1621" s="70">
        <f t="shared" si="176"/>
        <v>0.2</v>
      </c>
      <c r="F1621" s="70">
        <f t="shared" si="177"/>
        <v>3</v>
      </c>
      <c r="G1621" s="70">
        <f t="shared" si="178"/>
        <v>2.5329008110594042</v>
      </c>
      <c r="H1621" s="70">
        <f t="shared" si="179"/>
        <v>0.60000000000000009</v>
      </c>
      <c r="I1621" s="70">
        <f t="shared" si="180"/>
        <v>0</v>
      </c>
      <c r="J1621" s="70">
        <f t="shared" si="181"/>
        <v>0</v>
      </c>
      <c r="K1621" s="70">
        <f>IF(CurrentMtgRatesDataTable8[[#This Row],[WA CC]]&lt;&gt;0,C1620-CurrentMtgRatesDataTable8[[#This Row],[WA CC]],0)</f>
        <v>0</v>
      </c>
      <c r="L1621" s="70">
        <f>IF(CurrentMtgRatesDataTable8[[#This Row],[Servicing Spread]]&lt;=0,L1620,CurrentMtgRatesDataTable8[[#This Row],[Servicing Spread]])</f>
        <v>0.58066966329403336</v>
      </c>
      <c r="M1621" s="70">
        <f>CurrentMtgRatesDataTable8[[#This Row],[Servicing Spread Non-Zero]]-L1620</f>
        <v>0</v>
      </c>
      <c r="N1621" s="70">
        <f>IF(J1620&lt;&gt;0,CurrentMtgRatesDataTable8[[#This Row],[Rate]]-C1620,N1620)</f>
        <v>-8.9999999999999858E-2</v>
      </c>
    </row>
    <row r="1622" spans="1:14">
      <c r="A1622" s="67" t="s">
        <v>2974</v>
      </c>
      <c r="B1622" s="68">
        <v>4.1366014421206501</v>
      </c>
      <c r="C1622" s="69">
        <v>4.7649999999999997</v>
      </c>
      <c r="D1622" s="70">
        <f t="shared" si="175"/>
        <v>6</v>
      </c>
      <c r="E1622" s="70">
        <f t="shared" si="176"/>
        <v>0.2</v>
      </c>
      <c r="F1622" s="70">
        <f t="shared" si="177"/>
        <v>4</v>
      </c>
      <c r="G1622" s="70">
        <f t="shared" si="178"/>
        <v>3.3602210994835344</v>
      </c>
      <c r="H1622" s="70">
        <f t="shared" si="179"/>
        <v>0.8</v>
      </c>
      <c r="I1622" s="70">
        <f t="shared" si="180"/>
        <v>0</v>
      </c>
      <c r="J1622" s="70">
        <f t="shared" si="181"/>
        <v>0</v>
      </c>
      <c r="K1622" s="70">
        <f>IF(CurrentMtgRatesDataTable8[[#This Row],[WA CC]]&lt;&gt;0,C1621-CurrentMtgRatesDataTable8[[#This Row],[WA CC]],0)</f>
        <v>0</v>
      </c>
      <c r="L1622" s="70">
        <f>IF(CurrentMtgRatesDataTable8[[#This Row],[Servicing Spread]]&lt;=0,L1621,CurrentMtgRatesDataTable8[[#This Row],[Servicing Spread]])</f>
        <v>0.58066966329403336</v>
      </c>
      <c r="M1622" s="70">
        <f>CurrentMtgRatesDataTable8[[#This Row],[Servicing Spread Non-Zero]]-L1621</f>
        <v>0</v>
      </c>
      <c r="N1622" s="70">
        <f>IF(J1621&lt;&gt;0,CurrentMtgRatesDataTable8[[#This Row],[Rate]]-C1621,N1621)</f>
        <v>-8.9999999999999858E-2</v>
      </c>
    </row>
    <row r="1623" spans="1:14">
      <c r="A1623" s="67" t="s">
        <v>2975</v>
      </c>
      <c r="B1623" s="68">
        <v>4.1277739940837899</v>
      </c>
      <c r="C1623" s="69">
        <v>4.7649999999999997</v>
      </c>
      <c r="D1623" s="70">
        <f t="shared" si="175"/>
        <v>7</v>
      </c>
      <c r="E1623" s="70">
        <f t="shared" si="176"/>
        <v>0.2</v>
      </c>
      <c r="F1623" s="70">
        <f t="shared" si="177"/>
        <v>5</v>
      </c>
      <c r="G1623" s="70">
        <f t="shared" si="178"/>
        <v>4.1857758983002924</v>
      </c>
      <c r="H1623" s="70">
        <f t="shared" si="179"/>
        <v>1</v>
      </c>
      <c r="I1623" s="70">
        <f t="shared" si="180"/>
        <v>1</v>
      </c>
      <c r="J1623" s="70">
        <f t="shared" si="181"/>
        <v>4.1857758983002924</v>
      </c>
      <c r="K1623" s="70">
        <f>IF(CurrentMtgRatesDataTable8[[#This Row],[WA CC]]&lt;&gt;0,C1622-CurrentMtgRatesDataTable8[[#This Row],[WA CC]],0)</f>
        <v>0.57922410169970728</v>
      </c>
      <c r="L1623" s="70">
        <f>IF(CurrentMtgRatesDataTable8[[#This Row],[Servicing Spread]]&lt;=0,L1622,CurrentMtgRatesDataTable8[[#This Row],[Servicing Spread]])</f>
        <v>0.57922410169970728</v>
      </c>
      <c r="M1623" s="70">
        <f>CurrentMtgRatesDataTable8[[#This Row],[Servicing Spread Non-Zero]]-L1622</f>
        <v>-1.4455615943260725E-3</v>
      </c>
      <c r="N1623" s="70">
        <f>IF(J1622&lt;&gt;0,CurrentMtgRatesDataTable8[[#This Row],[Rate]]-C1622,N1622)</f>
        <v>-8.9999999999999858E-2</v>
      </c>
    </row>
    <row r="1624" spans="1:14">
      <c r="A1624" s="67" t="s">
        <v>2976</v>
      </c>
      <c r="B1624" s="68">
        <v>4.0603021710098597</v>
      </c>
      <c r="C1624" s="69">
        <v>4.7050000000000001</v>
      </c>
      <c r="D1624" s="70">
        <f t="shared" si="175"/>
        <v>1</v>
      </c>
      <c r="E1624" s="70">
        <f t="shared" si="176"/>
        <v>0.2</v>
      </c>
      <c r="F1624" s="70">
        <f t="shared" si="177"/>
        <v>1</v>
      </c>
      <c r="G1624" s="70">
        <f t="shared" si="178"/>
        <v>0.81206043420197194</v>
      </c>
      <c r="H1624" s="70">
        <f t="shared" si="179"/>
        <v>0.2</v>
      </c>
      <c r="I1624" s="70">
        <f t="shared" si="180"/>
        <v>0</v>
      </c>
      <c r="J1624" s="70">
        <f t="shared" si="181"/>
        <v>0</v>
      </c>
      <c r="K1624" s="70">
        <f>IF(CurrentMtgRatesDataTable8[[#This Row],[WA CC]]&lt;&gt;0,C1623-CurrentMtgRatesDataTable8[[#This Row],[WA CC]],0)</f>
        <v>0</v>
      </c>
      <c r="L1624" s="70">
        <f>IF(CurrentMtgRatesDataTable8[[#This Row],[Servicing Spread]]&lt;=0,L1623,CurrentMtgRatesDataTable8[[#This Row],[Servicing Spread]])</f>
        <v>0.57922410169970728</v>
      </c>
      <c r="M1624" s="70">
        <f>CurrentMtgRatesDataTable8[[#This Row],[Servicing Spread Non-Zero]]-L1623</f>
        <v>0</v>
      </c>
      <c r="N1624" s="70">
        <f>IF(J1623&lt;&gt;0,CurrentMtgRatesDataTable8[[#This Row],[Rate]]-C1623,N1623)</f>
        <v>-5.9999999999999609E-2</v>
      </c>
    </row>
    <row r="1625" spans="1:14">
      <c r="A1625" s="67" t="s">
        <v>2977</v>
      </c>
      <c r="B1625" s="68">
        <v>4.0434395753567598</v>
      </c>
      <c r="C1625" s="69">
        <v>4.7050000000000001</v>
      </c>
      <c r="D1625" s="70">
        <f t="shared" si="175"/>
        <v>2</v>
      </c>
      <c r="E1625" s="70">
        <f t="shared" si="176"/>
        <v>0.2</v>
      </c>
      <c r="F1625" s="70">
        <f t="shared" si="177"/>
        <v>2</v>
      </c>
      <c r="G1625" s="70">
        <f t="shared" si="178"/>
        <v>1.6207483492733239</v>
      </c>
      <c r="H1625" s="70">
        <f t="shared" si="179"/>
        <v>0.4</v>
      </c>
      <c r="I1625" s="70">
        <f t="shared" si="180"/>
        <v>0</v>
      </c>
      <c r="J1625" s="70">
        <f t="shared" si="181"/>
        <v>0</v>
      </c>
      <c r="K1625" s="70">
        <f>IF(CurrentMtgRatesDataTable8[[#This Row],[WA CC]]&lt;&gt;0,C1624-CurrentMtgRatesDataTable8[[#This Row],[WA CC]],0)</f>
        <v>0</v>
      </c>
      <c r="L1625" s="70">
        <f>IF(CurrentMtgRatesDataTable8[[#This Row],[Servicing Spread]]&lt;=0,L1624,CurrentMtgRatesDataTable8[[#This Row],[Servicing Spread]])</f>
        <v>0.57922410169970728</v>
      </c>
      <c r="M1625" s="70">
        <f>CurrentMtgRatesDataTable8[[#This Row],[Servicing Spread Non-Zero]]-L1624</f>
        <v>0</v>
      </c>
      <c r="N1625" s="70">
        <f>IF(J1624&lt;&gt;0,CurrentMtgRatesDataTable8[[#This Row],[Rate]]-C1624,N1624)</f>
        <v>-5.9999999999999609E-2</v>
      </c>
    </row>
    <row r="1626" spans="1:14">
      <c r="A1626" s="67" t="s">
        <v>2978</v>
      </c>
      <c r="B1626" s="68">
        <v>4.1135456996822297</v>
      </c>
      <c r="C1626" s="69">
        <v>4.7050000000000001</v>
      </c>
      <c r="D1626" s="70">
        <f t="shared" si="175"/>
        <v>5</v>
      </c>
      <c r="E1626" s="70">
        <f t="shared" si="176"/>
        <v>0.2</v>
      </c>
      <c r="F1626" s="70">
        <f t="shared" si="177"/>
        <v>3</v>
      </c>
      <c r="G1626" s="70">
        <f t="shared" si="178"/>
        <v>2.44345748920977</v>
      </c>
      <c r="H1626" s="70">
        <f t="shared" si="179"/>
        <v>0.60000000000000009</v>
      </c>
      <c r="I1626" s="70">
        <f t="shared" si="180"/>
        <v>0</v>
      </c>
      <c r="J1626" s="70">
        <f t="shared" si="181"/>
        <v>0</v>
      </c>
      <c r="K1626" s="70">
        <f>IF(CurrentMtgRatesDataTable8[[#This Row],[WA CC]]&lt;&gt;0,C1625-CurrentMtgRatesDataTable8[[#This Row],[WA CC]],0)</f>
        <v>0</v>
      </c>
      <c r="L1626" s="70">
        <f>IF(CurrentMtgRatesDataTable8[[#This Row],[Servicing Spread]]&lt;=0,L1625,CurrentMtgRatesDataTable8[[#This Row],[Servicing Spread]])</f>
        <v>0.57922410169970728</v>
      </c>
      <c r="M1626" s="70">
        <f>CurrentMtgRatesDataTable8[[#This Row],[Servicing Spread Non-Zero]]-L1625</f>
        <v>0</v>
      </c>
      <c r="N1626" s="70">
        <f>IF(J1625&lt;&gt;0,CurrentMtgRatesDataTable8[[#This Row],[Rate]]-C1625,N1625)</f>
        <v>-5.9999999999999609E-2</v>
      </c>
    </row>
    <row r="1627" spans="1:14">
      <c r="A1627" s="67" t="s">
        <v>2979</v>
      </c>
      <c r="B1627" s="68">
        <v>4.0582150153093597</v>
      </c>
      <c r="C1627" s="69">
        <v>4.7050000000000001</v>
      </c>
      <c r="D1627" s="70">
        <f t="shared" si="175"/>
        <v>6</v>
      </c>
      <c r="E1627" s="70">
        <f t="shared" si="176"/>
        <v>0.2</v>
      </c>
      <c r="F1627" s="70">
        <f t="shared" si="177"/>
        <v>4</v>
      </c>
      <c r="G1627" s="70">
        <f t="shared" si="178"/>
        <v>3.2551004922716418</v>
      </c>
      <c r="H1627" s="70">
        <f t="shared" si="179"/>
        <v>0.8</v>
      </c>
      <c r="I1627" s="70">
        <f t="shared" si="180"/>
        <v>0</v>
      </c>
      <c r="J1627" s="70">
        <f t="shared" si="181"/>
        <v>0</v>
      </c>
      <c r="K1627" s="70">
        <f>IF(CurrentMtgRatesDataTable8[[#This Row],[WA CC]]&lt;&gt;0,C1626-CurrentMtgRatesDataTable8[[#This Row],[WA CC]],0)</f>
        <v>0</v>
      </c>
      <c r="L1627" s="70">
        <f>IF(CurrentMtgRatesDataTable8[[#This Row],[Servicing Spread]]&lt;=0,L1626,CurrentMtgRatesDataTable8[[#This Row],[Servicing Spread]])</f>
        <v>0.57922410169970728</v>
      </c>
      <c r="M1627" s="70">
        <f>CurrentMtgRatesDataTable8[[#This Row],[Servicing Spread Non-Zero]]-L1626</f>
        <v>0</v>
      </c>
      <c r="N1627" s="70">
        <f>IF(J1626&lt;&gt;0,CurrentMtgRatesDataTable8[[#This Row],[Rate]]-C1626,N1626)</f>
        <v>-5.9999999999999609E-2</v>
      </c>
    </row>
    <row r="1628" spans="1:14">
      <c r="A1628" s="67" t="s">
        <v>2980</v>
      </c>
      <c r="B1628" s="68">
        <v>4.0848766627969999</v>
      </c>
      <c r="C1628" s="69">
        <v>4.7050000000000001</v>
      </c>
      <c r="D1628" s="70">
        <f t="shared" si="175"/>
        <v>7</v>
      </c>
      <c r="E1628" s="70">
        <f t="shared" si="176"/>
        <v>0.2</v>
      </c>
      <c r="F1628" s="70">
        <f t="shared" si="177"/>
        <v>5</v>
      </c>
      <c r="G1628" s="70">
        <f t="shared" si="178"/>
        <v>4.0720758248310416</v>
      </c>
      <c r="H1628" s="70">
        <f t="shared" si="179"/>
        <v>1</v>
      </c>
      <c r="I1628" s="70">
        <f t="shared" si="180"/>
        <v>1</v>
      </c>
      <c r="J1628" s="70">
        <f t="shared" si="181"/>
        <v>4.0720758248310416</v>
      </c>
      <c r="K1628" s="70">
        <f>IF(CurrentMtgRatesDataTable8[[#This Row],[WA CC]]&lt;&gt;0,C1627-CurrentMtgRatesDataTable8[[#This Row],[WA CC]],0)</f>
        <v>0.63292417516895849</v>
      </c>
      <c r="L1628" s="70">
        <f>IF(CurrentMtgRatesDataTable8[[#This Row],[Servicing Spread]]&lt;=0,L1627,CurrentMtgRatesDataTable8[[#This Row],[Servicing Spread]])</f>
        <v>0.63292417516895849</v>
      </c>
      <c r="M1628" s="70">
        <f>CurrentMtgRatesDataTable8[[#This Row],[Servicing Spread Non-Zero]]-L1627</f>
        <v>5.3700073469251208E-2</v>
      </c>
      <c r="N1628" s="70">
        <f>IF(J1627&lt;&gt;0,CurrentMtgRatesDataTable8[[#This Row],[Rate]]-C1627,N1627)</f>
        <v>-5.9999999999999609E-2</v>
      </c>
    </row>
    <row r="1629" spans="1:14">
      <c r="A1629" s="67" t="s">
        <v>2981</v>
      </c>
      <c r="B1629" s="68">
        <v>4.1816156787089804</v>
      </c>
      <c r="C1629" s="69">
        <v>4.74</v>
      </c>
      <c r="D1629" s="70">
        <f t="shared" si="175"/>
        <v>1</v>
      </c>
      <c r="E1629" s="70">
        <f t="shared" si="176"/>
        <v>0.2</v>
      </c>
      <c r="F1629" s="70">
        <f t="shared" si="177"/>
        <v>1</v>
      </c>
      <c r="G1629" s="70">
        <f t="shared" si="178"/>
        <v>0.83632313574179618</v>
      </c>
      <c r="H1629" s="70">
        <f t="shared" si="179"/>
        <v>0.2</v>
      </c>
      <c r="I1629" s="70">
        <f t="shared" si="180"/>
        <v>0</v>
      </c>
      <c r="J1629" s="70">
        <f t="shared" si="181"/>
        <v>0</v>
      </c>
      <c r="K1629" s="70">
        <f>IF(CurrentMtgRatesDataTable8[[#This Row],[WA CC]]&lt;&gt;0,C1628-CurrentMtgRatesDataTable8[[#This Row],[WA CC]],0)</f>
        <v>0</v>
      </c>
      <c r="L1629" s="70">
        <f>IF(CurrentMtgRatesDataTable8[[#This Row],[Servicing Spread]]&lt;=0,L1628,CurrentMtgRatesDataTable8[[#This Row],[Servicing Spread]])</f>
        <v>0.63292417516895849</v>
      </c>
      <c r="M1629" s="70">
        <f>CurrentMtgRatesDataTable8[[#This Row],[Servicing Spread Non-Zero]]-L1628</f>
        <v>0</v>
      </c>
      <c r="N1629" s="70">
        <f>IF(J1628&lt;&gt;0,CurrentMtgRatesDataTable8[[#This Row],[Rate]]-C1628,N1628)</f>
        <v>3.5000000000000142E-2</v>
      </c>
    </row>
    <row r="1630" spans="1:14">
      <c r="A1630" s="67" t="s">
        <v>2982</v>
      </c>
      <c r="B1630" s="68">
        <v>4.1547377505957597</v>
      </c>
      <c r="C1630" s="69">
        <v>4.74</v>
      </c>
      <c r="D1630" s="70">
        <f t="shared" si="175"/>
        <v>2</v>
      </c>
      <c r="E1630" s="70">
        <f t="shared" si="176"/>
        <v>0.2</v>
      </c>
      <c r="F1630" s="70">
        <f t="shared" si="177"/>
        <v>2</v>
      </c>
      <c r="G1630" s="70">
        <f t="shared" si="178"/>
        <v>1.6672706858609483</v>
      </c>
      <c r="H1630" s="70">
        <f t="shared" si="179"/>
        <v>0.4</v>
      </c>
      <c r="I1630" s="70">
        <f t="shared" si="180"/>
        <v>0</v>
      </c>
      <c r="J1630" s="70">
        <f t="shared" si="181"/>
        <v>0</v>
      </c>
      <c r="K1630" s="70">
        <f>IF(CurrentMtgRatesDataTable8[[#This Row],[WA CC]]&lt;&gt;0,C1629-CurrentMtgRatesDataTable8[[#This Row],[WA CC]],0)</f>
        <v>0</v>
      </c>
      <c r="L1630" s="70">
        <f>IF(CurrentMtgRatesDataTable8[[#This Row],[Servicing Spread]]&lt;=0,L1629,CurrentMtgRatesDataTable8[[#This Row],[Servicing Spread]])</f>
        <v>0.63292417516895849</v>
      </c>
      <c r="M1630" s="70">
        <f>CurrentMtgRatesDataTable8[[#This Row],[Servicing Spread Non-Zero]]-L1629</f>
        <v>0</v>
      </c>
      <c r="N1630" s="70">
        <f>IF(J1629&lt;&gt;0,CurrentMtgRatesDataTable8[[#This Row],[Rate]]-C1629,N1629)</f>
        <v>3.5000000000000142E-2</v>
      </c>
    </row>
    <row r="1631" spans="1:14">
      <c r="A1631" s="67" t="s">
        <v>2983</v>
      </c>
      <c r="B1631" s="68">
        <v>4.1510729312983097</v>
      </c>
      <c r="C1631" s="69">
        <v>4.74</v>
      </c>
      <c r="D1631" s="70">
        <f t="shared" si="175"/>
        <v>6</v>
      </c>
      <c r="E1631" s="70">
        <f t="shared" si="176"/>
        <v>0.2</v>
      </c>
      <c r="F1631" s="70">
        <f t="shared" si="177"/>
        <v>3</v>
      </c>
      <c r="G1631" s="70">
        <f t="shared" si="178"/>
        <v>2.4974852721206102</v>
      </c>
      <c r="H1631" s="70">
        <f t="shared" si="179"/>
        <v>0.60000000000000009</v>
      </c>
      <c r="I1631" s="70">
        <f t="shared" si="180"/>
        <v>0</v>
      </c>
      <c r="J1631" s="70">
        <f t="shared" si="181"/>
        <v>0</v>
      </c>
      <c r="K1631" s="70">
        <f>IF(CurrentMtgRatesDataTable8[[#This Row],[WA CC]]&lt;&gt;0,C1630-CurrentMtgRatesDataTable8[[#This Row],[WA CC]],0)</f>
        <v>0</v>
      </c>
      <c r="L1631" s="70">
        <f>IF(CurrentMtgRatesDataTable8[[#This Row],[Servicing Spread]]&lt;=0,L1630,CurrentMtgRatesDataTable8[[#This Row],[Servicing Spread]])</f>
        <v>0.63292417516895849</v>
      </c>
      <c r="M1631" s="70">
        <f>CurrentMtgRatesDataTable8[[#This Row],[Servicing Spread Non-Zero]]-L1630</f>
        <v>0</v>
      </c>
      <c r="N1631" s="70">
        <f>IF(J1630&lt;&gt;0,CurrentMtgRatesDataTable8[[#This Row],[Rate]]-C1630,N1630)</f>
        <v>3.5000000000000142E-2</v>
      </c>
    </row>
    <row r="1632" spans="1:14">
      <c r="A1632" s="67" t="s">
        <v>2984</v>
      </c>
      <c r="B1632" s="68">
        <v>4.1766757617978998</v>
      </c>
      <c r="C1632" s="69">
        <v>4.74</v>
      </c>
      <c r="D1632" s="70">
        <f t="shared" si="175"/>
        <v>7</v>
      </c>
      <c r="E1632" s="70">
        <f t="shared" si="176"/>
        <v>0.2</v>
      </c>
      <c r="F1632" s="70">
        <f t="shared" si="177"/>
        <v>4</v>
      </c>
      <c r="G1632" s="70">
        <f t="shared" si="178"/>
        <v>3.3328204244801904</v>
      </c>
      <c r="H1632" s="70">
        <f t="shared" si="179"/>
        <v>0.8</v>
      </c>
      <c r="I1632" s="70">
        <f t="shared" si="180"/>
        <v>1</v>
      </c>
      <c r="J1632" s="70">
        <f t="shared" si="181"/>
        <v>4.1660255306002378</v>
      </c>
      <c r="K1632" s="70">
        <f>IF(CurrentMtgRatesDataTable8[[#This Row],[WA CC]]&lt;&gt;0,C1631-CurrentMtgRatesDataTable8[[#This Row],[WA CC]],0)</f>
        <v>0.57397446939976238</v>
      </c>
      <c r="L1632" s="70">
        <f>IF(CurrentMtgRatesDataTable8[[#This Row],[Servicing Spread]]&lt;=0,L1631,CurrentMtgRatesDataTable8[[#This Row],[Servicing Spread]])</f>
        <v>0.57397446939976238</v>
      </c>
      <c r="M1632" s="70">
        <f>CurrentMtgRatesDataTable8[[#This Row],[Servicing Spread Non-Zero]]-L1631</f>
        <v>-5.8949705769196115E-2</v>
      </c>
      <c r="N1632" s="70">
        <f>IF(J1631&lt;&gt;0,CurrentMtgRatesDataTable8[[#This Row],[Rate]]-C1631,N1631)</f>
        <v>3.5000000000000142E-2</v>
      </c>
    </row>
    <row r="1633" spans="1:14">
      <c r="A1633" s="67" t="s">
        <v>2985</v>
      </c>
      <c r="B1633" s="68">
        <v>4.1875796065751203</v>
      </c>
      <c r="C1633" s="69">
        <v>4.6449999999999996</v>
      </c>
      <c r="D1633" s="70">
        <f t="shared" si="175"/>
        <v>1</v>
      </c>
      <c r="E1633" s="70">
        <f t="shared" si="176"/>
        <v>0.2</v>
      </c>
      <c r="F1633" s="70">
        <f t="shared" si="177"/>
        <v>1</v>
      </c>
      <c r="G1633" s="70">
        <f t="shared" si="178"/>
        <v>0.83751592131502406</v>
      </c>
      <c r="H1633" s="70">
        <f t="shared" si="179"/>
        <v>0.2</v>
      </c>
      <c r="I1633" s="70">
        <f t="shared" si="180"/>
        <v>0</v>
      </c>
      <c r="J1633" s="70">
        <f t="shared" si="181"/>
        <v>0</v>
      </c>
      <c r="K1633" s="70">
        <f>IF(CurrentMtgRatesDataTable8[[#This Row],[WA CC]]&lt;&gt;0,C1632-CurrentMtgRatesDataTable8[[#This Row],[WA CC]],0)</f>
        <v>0</v>
      </c>
      <c r="L1633" s="70">
        <f>IF(CurrentMtgRatesDataTable8[[#This Row],[Servicing Spread]]&lt;=0,L1632,CurrentMtgRatesDataTable8[[#This Row],[Servicing Spread]])</f>
        <v>0.57397446939976238</v>
      </c>
      <c r="M1633" s="70">
        <f>CurrentMtgRatesDataTable8[[#This Row],[Servicing Spread Non-Zero]]-L1632</f>
        <v>0</v>
      </c>
      <c r="N1633" s="70">
        <f>IF(J1632&lt;&gt;0,CurrentMtgRatesDataTable8[[#This Row],[Rate]]-C1632,N1632)</f>
        <v>-9.5000000000000639E-2</v>
      </c>
    </row>
    <row r="1634" spans="1:14">
      <c r="A1634" s="67" t="s">
        <v>2986</v>
      </c>
      <c r="B1634" s="68">
        <v>4.0385004286184003</v>
      </c>
      <c r="C1634" s="69">
        <v>4.6449999999999996</v>
      </c>
      <c r="D1634" s="70">
        <f t="shared" si="175"/>
        <v>2</v>
      </c>
      <c r="E1634" s="70">
        <f t="shared" si="176"/>
        <v>0.2</v>
      </c>
      <c r="F1634" s="70">
        <f t="shared" si="177"/>
        <v>2</v>
      </c>
      <c r="G1634" s="70">
        <f t="shared" si="178"/>
        <v>1.6452160070387043</v>
      </c>
      <c r="H1634" s="70">
        <f t="shared" si="179"/>
        <v>0.4</v>
      </c>
      <c r="I1634" s="70">
        <f t="shared" si="180"/>
        <v>0</v>
      </c>
      <c r="J1634" s="70">
        <f t="shared" si="181"/>
        <v>0</v>
      </c>
      <c r="K1634" s="70">
        <f>IF(CurrentMtgRatesDataTable8[[#This Row],[WA CC]]&lt;&gt;0,C1633-CurrentMtgRatesDataTable8[[#This Row],[WA CC]],0)</f>
        <v>0</v>
      </c>
      <c r="L1634" s="70">
        <f>IF(CurrentMtgRatesDataTable8[[#This Row],[Servicing Spread]]&lt;=0,L1633,CurrentMtgRatesDataTable8[[#This Row],[Servicing Spread]])</f>
        <v>0.57397446939976238</v>
      </c>
      <c r="M1634" s="70">
        <f>CurrentMtgRatesDataTable8[[#This Row],[Servicing Spread Non-Zero]]-L1633</f>
        <v>0</v>
      </c>
      <c r="N1634" s="70">
        <f>IF(J1633&lt;&gt;0,CurrentMtgRatesDataTable8[[#This Row],[Rate]]-C1633,N1633)</f>
        <v>-9.5000000000000639E-2</v>
      </c>
    </row>
    <row r="1635" spans="1:14">
      <c r="A1635" s="67" t="s">
        <v>2987</v>
      </c>
      <c r="B1635" s="68">
        <v>4.0322223616301196</v>
      </c>
      <c r="C1635" s="69">
        <v>4.6449999999999996</v>
      </c>
      <c r="D1635" s="70">
        <f t="shared" si="175"/>
        <v>5</v>
      </c>
      <c r="E1635" s="70">
        <f t="shared" si="176"/>
        <v>0.2</v>
      </c>
      <c r="F1635" s="70">
        <f t="shared" si="177"/>
        <v>3</v>
      </c>
      <c r="G1635" s="70">
        <f t="shared" si="178"/>
        <v>2.4516604793647283</v>
      </c>
      <c r="H1635" s="70">
        <f t="shared" si="179"/>
        <v>0.60000000000000009</v>
      </c>
      <c r="I1635" s="70">
        <f t="shared" si="180"/>
        <v>0</v>
      </c>
      <c r="J1635" s="70">
        <f t="shared" si="181"/>
        <v>0</v>
      </c>
      <c r="K1635" s="70">
        <f>IF(CurrentMtgRatesDataTable8[[#This Row],[WA CC]]&lt;&gt;0,C1634-CurrentMtgRatesDataTable8[[#This Row],[WA CC]],0)</f>
        <v>0</v>
      </c>
      <c r="L1635" s="70">
        <f>IF(CurrentMtgRatesDataTable8[[#This Row],[Servicing Spread]]&lt;=0,L1634,CurrentMtgRatesDataTable8[[#This Row],[Servicing Spread]])</f>
        <v>0.57397446939976238</v>
      </c>
      <c r="M1635" s="70">
        <f>CurrentMtgRatesDataTable8[[#This Row],[Servicing Spread Non-Zero]]-L1634</f>
        <v>0</v>
      </c>
      <c r="N1635" s="70">
        <f>IF(J1634&lt;&gt;0,CurrentMtgRatesDataTable8[[#This Row],[Rate]]-C1634,N1634)</f>
        <v>-9.5000000000000639E-2</v>
      </c>
    </row>
    <row r="1636" spans="1:14">
      <c r="A1636" s="67" t="s">
        <v>2988</v>
      </c>
      <c r="B1636" s="68">
        <v>3.9995818786114699</v>
      </c>
      <c r="C1636" s="69">
        <v>4.6449999999999996</v>
      </c>
      <c r="D1636" s="70">
        <f t="shared" si="175"/>
        <v>6</v>
      </c>
      <c r="E1636" s="70">
        <f t="shared" si="176"/>
        <v>0.2</v>
      </c>
      <c r="F1636" s="70">
        <f t="shared" si="177"/>
        <v>4</v>
      </c>
      <c r="G1636" s="70">
        <f t="shared" si="178"/>
        <v>3.2515768550870225</v>
      </c>
      <c r="H1636" s="70">
        <f t="shared" si="179"/>
        <v>0.8</v>
      </c>
      <c r="I1636" s="70">
        <f t="shared" si="180"/>
        <v>0</v>
      </c>
      <c r="J1636" s="70">
        <f t="shared" si="181"/>
        <v>0</v>
      </c>
      <c r="K1636" s="70">
        <f>IF(CurrentMtgRatesDataTable8[[#This Row],[WA CC]]&lt;&gt;0,C1635-CurrentMtgRatesDataTable8[[#This Row],[WA CC]],0)</f>
        <v>0</v>
      </c>
      <c r="L1636" s="70">
        <f>IF(CurrentMtgRatesDataTable8[[#This Row],[Servicing Spread]]&lt;=0,L1635,CurrentMtgRatesDataTable8[[#This Row],[Servicing Spread]])</f>
        <v>0.57397446939976238</v>
      </c>
      <c r="M1636" s="70">
        <f>CurrentMtgRatesDataTable8[[#This Row],[Servicing Spread Non-Zero]]-L1635</f>
        <v>0</v>
      </c>
      <c r="N1636" s="70">
        <f>IF(J1635&lt;&gt;0,CurrentMtgRatesDataTable8[[#This Row],[Rate]]-C1635,N1635)</f>
        <v>-9.5000000000000639E-2</v>
      </c>
    </row>
    <row r="1637" spans="1:14">
      <c r="A1637" s="67" t="s">
        <v>2989</v>
      </c>
      <c r="B1637" s="68">
        <v>3.99424998031441</v>
      </c>
      <c r="C1637" s="69">
        <v>4.6449999999999996</v>
      </c>
      <c r="D1637" s="70">
        <f t="shared" si="175"/>
        <v>7</v>
      </c>
      <c r="E1637" s="70">
        <f t="shared" si="176"/>
        <v>0.2</v>
      </c>
      <c r="F1637" s="70">
        <f t="shared" si="177"/>
        <v>5</v>
      </c>
      <c r="G1637" s="70">
        <f t="shared" si="178"/>
        <v>4.0504268511499042</v>
      </c>
      <c r="H1637" s="70">
        <f t="shared" si="179"/>
        <v>1</v>
      </c>
      <c r="I1637" s="70">
        <f t="shared" si="180"/>
        <v>1</v>
      </c>
      <c r="J1637" s="70">
        <f t="shared" si="181"/>
        <v>4.0504268511499042</v>
      </c>
      <c r="K1637" s="70">
        <f>IF(CurrentMtgRatesDataTable8[[#This Row],[WA CC]]&lt;&gt;0,C1636-CurrentMtgRatesDataTable8[[#This Row],[WA CC]],0)</f>
        <v>0.59457314885009538</v>
      </c>
      <c r="L1637" s="70">
        <f>IF(CurrentMtgRatesDataTable8[[#This Row],[Servicing Spread]]&lt;=0,L1636,CurrentMtgRatesDataTable8[[#This Row],[Servicing Spread]])</f>
        <v>0.59457314885009538</v>
      </c>
      <c r="M1637" s="70">
        <f>CurrentMtgRatesDataTable8[[#This Row],[Servicing Spread Non-Zero]]-L1636</f>
        <v>2.0598679450333002E-2</v>
      </c>
      <c r="N1637" s="70">
        <f>IF(J1636&lt;&gt;0,CurrentMtgRatesDataTable8[[#This Row],[Rate]]-C1636,N1636)</f>
        <v>-9.5000000000000639E-2</v>
      </c>
    </row>
    <row r="1638" spans="1:14">
      <c r="A1638" s="67" t="s">
        <v>2990</v>
      </c>
      <c r="B1638" s="68">
        <v>4.1065329889998603</v>
      </c>
      <c r="C1638" s="69">
        <v>4.6749999999999998</v>
      </c>
      <c r="D1638" s="70">
        <f t="shared" si="175"/>
        <v>1</v>
      </c>
      <c r="E1638" s="70">
        <f t="shared" si="176"/>
        <v>0.2</v>
      </c>
      <c r="F1638" s="70">
        <f t="shared" si="177"/>
        <v>1</v>
      </c>
      <c r="G1638" s="70">
        <f t="shared" si="178"/>
        <v>0.82130659779997206</v>
      </c>
      <c r="H1638" s="70">
        <f t="shared" si="179"/>
        <v>0.2</v>
      </c>
      <c r="I1638" s="70">
        <f t="shared" si="180"/>
        <v>0</v>
      </c>
      <c r="J1638" s="70">
        <f t="shared" si="181"/>
        <v>0</v>
      </c>
      <c r="K1638" s="70">
        <f>IF(CurrentMtgRatesDataTable8[[#This Row],[WA CC]]&lt;&gt;0,C1637-CurrentMtgRatesDataTable8[[#This Row],[WA CC]],0)</f>
        <v>0</v>
      </c>
      <c r="L1638" s="70">
        <f>IF(CurrentMtgRatesDataTable8[[#This Row],[Servicing Spread]]&lt;=0,L1637,CurrentMtgRatesDataTable8[[#This Row],[Servicing Spread]])</f>
        <v>0.59457314885009538</v>
      </c>
      <c r="M1638" s="70">
        <f>CurrentMtgRatesDataTable8[[#This Row],[Servicing Spread Non-Zero]]-L1637</f>
        <v>0</v>
      </c>
      <c r="N1638" s="70">
        <f>IF(J1637&lt;&gt;0,CurrentMtgRatesDataTable8[[#This Row],[Rate]]-C1637,N1637)</f>
        <v>3.0000000000000249E-2</v>
      </c>
    </row>
    <row r="1639" spans="1:14">
      <c r="A1639" s="67" t="s">
        <v>2991</v>
      </c>
      <c r="B1639" s="68">
        <v>4.0220452407104803</v>
      </c>
      <c r="C1639" s="69">
        <v>4.6749999999999998</v>
      </c>
      <c r="D1639" s="70">
        <f t="shared" si="175"/>
        <v>2</v>
      </c>
      <c r="E1639" s="70">
        <f t="shared" si="176"/>
        <v>0.2</v>
      </c>
      <c r="F1639" s="70">
        <f t="shared" si="177"/>
        <v>2</v>
      </c>
      <c r="G1639" s="70">
        <f t="shared" si="178"/>
        <v>1.6257156459420683</v>
      </c>
      <c r="H1639" s="70">
        <f t="shared" si="179"/>
        <v>0.4</v>
      </c>
      <c r="I1639" s="70">
        <f t="shared" si="180"/>
        <v>0</v>
      </c>
      <c r="J1639" s="70">
        <f t="shared" si="181"/>
        <v>0</v>
      </c>
      <c r="K1639" s="70">
        <f>IF(CurrentMtgRatesDataTable8[[#This Row],[WA CC]]&lt;&gt;0,C1638-CurrentMtgRatesDataTable8[[#This Row],[WA CC]],0)</f>
        <v>0</v>
      </c>
      <c r="L1639" s="70">
        <f>IF(CurrentMtgRatesDataTable8[[#This Row],[Servicing Spread]]&lt;=0,L1638,CurrentMtgRatesDataTable8[[#This Row],[Servicing Spread]])</f>
        <v>0.59457314885009538</v>
      </c>
      <c r="M1639" s="70">
        <f>CurrentMtgRatesDataTable8[[#This Row],[Servicing Spread Non-Zero]]-L1638</f>
        <v>0</v>
      </c>
      <c r="N1639" s="70">
        <f>IF(J1638&lt;&gt;0,CurrentMtgRatesDataTable8[[#This Row],[Rate]]-C1638,N1638)</f>
        <v>3.0000000000000249E-2</v>
      </c>
    </row>
    <row r="1640" spans="1:14">
      <c r="A1640" s="67" t="s">
        <v>2992</v>
      </c>
      <c r="B1640" s="68">
        <v>4.0388489600085498</v>
      </c>
      <c r="C1640" s="69">
        <v>4.6749999999999998</v>
      </c>
      <c r="D1640" s="70">
        <f t="shared" si="175"/>
        <v>5</v>
      </c>
      <c r="E1640" s="70">
        <f t="shared" si="176"/>
        <v>0.2</v>
      </c>
      <c r="F1640" s="70">
        <f t="shared" si="177"/>
        <v>3</v>
      </c>
      <c r="G1640" s="70">
        <f t="shared" si="178"/>
        <v>2.4334854379437783</v>
      </c>
      <c r="H1640" s="70">
        <f t="shared" si="179"/>
        <v>0.60000000000000009</v>
      </c>
      <c r="I1640" s="70">
        <f t="shared" si="180"/>
        <v>0</v>
      </c>
      <c r="J1640" s="70">
        <f t="shared" si="181"/>
        <v>0</v>
      </c>
      <c r="K1640" s="70">
        <f>IF(CurrentMtgRatesDataTable8[[#This Row],[WA CC]]&lt;&gt;0,C1639-CurrentMtgRatesDataTable8[[#This Row],[WA CC]],0)</f>
        <v>0</v>
      </c>
      <c r="L1640" s="70">
        <f>IF(CurrentMtgRatesDataTable8[[#This Row],[Servicing Spread]]&lt;=0,L1639,CurrentMtgRatesDataTable8[[#This Row],[Servicing Spread]])</f>
        <v>0.59457314885009538</v>
      </c>
      <c r="M1640" s="70">
        <f>CurrentMtgRatesDataTable8[[#This Row],[Servicing Spread Non-Zero]]-L1639</f>
        <v>0</v>
      </c>
      <c r="N1640" s="70">
        <f>IF(J1639&lt;&gt;0,CurrentMtgRatesDataTable8[[#This Row],[Rate]]-C1639,N1639)</f>
        <v>3.0000000000000249E-2</v>
      </c>
    </row>
    <row r="1641" spans="1:14">
      <c r="A1641" s="67" t="s">
        <v>2993</v>
      </c>
      <c r="B1641" s="68">
        <v>4.0755435435930698</v>
      </c>
      <c r="C1641" s="69">
        <v>4.6749999999999998</v>
      </c>
      <c r="D1641" s="70">
        <f t="shared" si="175"/>
        <v>6</v>
      </c>
      <c r="E1641" s="70">
        <f t="shared" si="176"/>
        <v>0.2</v>
      </c>
      <c r="F1641" s="70">
        <f t="shared" si="177"/>
        <v>4</v>
      </c>
      <c r="G1641" s="70">
        <f t="shared" si="178"/>
        <v>3.2485941466623922</v>
      </c>
      <c r="H1641" s="70">
        <f t="shared" si="179"/>
        <v>0.8</v>
      </c>
      <c r="I1641" s="70">
        <f t="shared" si="180"/>
        <v>0</v>
      </c>
      <c r="J1641" s="70">
        <f t="shared" si="181"/>
        <v>0</v>
      </c>
      <c r="K1641" s="70">
        <f>IF(CurrentMtgRatesDataTable8[[#This Row],[WA CC]]&lt;&gt;0,C1640-CurrentMtgRatesDataTable8[[#This Row],[WA CC]],0)</f>
        <v>0</v>
      </c>
      <c r="L1641" s="70">
        <f>IF(CurrentMtgRatesDataTable8[[#This Row],[Servicing Spread]]&lt;=0,L1640,CurrentMtgRatesDataTable8[[#This Row],[Servicing Spread]])</f>
        <v>0.59457314885009538</v>
      </c>
      <c r="M1641" s="70">
        <f>CurrentMtgRatesDataTable8[[#This Row],[Servicing Spread Non-Zero]]-L1640</f>
        <v>0</v>
      </c>
      <c r="N1641" s="70">
        <f>IF(J1640&lt;&gt;0,CurrentMtgRatesDataTable8[[#This Row],[Rate]]-C1640,N1640)</f>
        <v>3.0000000000000249E-2</v>
      </c>
    </row>
    <row r="1642" spans="1:14">
      <c r="A1642" s="67" t="s">
        <v>2994</v>
      </c>
      <c r="B1642" s="68">
        <v>4.0548762191412902</v>
      </c>
      <c r="C1642" s="69">
        <v>4.6749999999999998</v>
      </c>
      <c r="D1642" s="70">
        <f t="shared" si="175"/>
        <v>7</v>
      </c>
      <c r="E1642" s="70">
        <f t="shared" si="176"/>
        <v>0.2</v>
      </c>
      <c r="F1642" s="70">
        <f t="shared" si="177"/>
        <v>5</v>
      </c>
      <c r="G1642" s="70">
        <f t="shared" si="178"/>
        <v>4.0595693904906502</v>
      </c>
      <c r="H1642" s="70">
        <f t="shared" si="179"/>
        <v>1</v>
      </c>
      <c r="I1642" s="70">
        <f t="shared" si="180"/>
        <v>1</v>
      </c>
      <c r="J1642" s="70">
        <f t="shared" si="181"/>
        <v>4.0595693904906502</v>
      </c>
      <c r="K1642" s="70">
        <f>IF(CurrentMtgRatesDataTable8[[#This Row],[WA CC]]&lt;&gt;0,C1641-CurrentMtgRatesDataTable8[[#This Row],[WA CC]],0)</f>
        <v>0.61543060950934958</v>
      </c>
      <c r="L1642" s="70">
        <f>IF(CurrentMtgRatesDataTable8[[#This Row],[Servicing Spread]]&lt;=0,L1641,CurrentMtgRatesDataTable8[[#This Row],[Servicing Spread]])</f>
        <v>0.61543060950934958</v>
      </c>
      <c r="M1642" s="70">
        <f>CurrentMtgRatesDataTable8[[#This Row],[Servicing Spread Non-Zero]]-L1641</f>
        <v>2.0857460659254201E-2</v>
      </c>
      <c r="N1642" s="70">
        <f>IF(J1641&lt;&gt;0,CurrentMtgRatesDataTable8[[#This Row],[Rate]]-C1641,N1641)</f>
        <v>3.0000000000000249E-2</v>
      </c>
    </row>
    <row r="1643" spans="1:14">
      <c r="A1643" s="67" t="s">
        <v>2995</v>
      </c>
      <c r="B1643" s="68">
        <v>3.9681915618839301</v>
      </c>
      <c r="C1643" s="69">
        <v>4.6150000000000002</v>
      </c>
      <c r="D1643" s="70">
        <f t="shared" si="175"/>
        <v>1</v>
      </c>
      <c r="E1643" s="70">
        <f t="shared" si="176"/>
        <v>0.2</v>
      </c>
      <c r="F1643" s="70">
        <f t="shared" si="177"/>
        <v>1</v>
      </c>
      <c r="G1643" s="70">
        <f t="shared" si="178"/>
        <v>0.79363831237678606</v>
      </c>
      <c r="H1643" s="70">
        <f t="shared" si="179"/>
        <v>0.2</v>
      </c>
      <c r="I1643" s="70">
        <f t="shared" si="180"/>
        <v>0</v>
      </c>
      <c r="J1643" s="70">
        <f t="shared" si="181"/>
        <v>0</v>
      </c>
      <c r="K1643" s="70">
        <f>IF(CurrentMtgRatesDataTable8[[#This Row],[WA CC]]&lt;&gt;0,C1642-CurrentMtgRatesDataTable8[[#This Row],[WA CC]],0)</f>
        <v>0</v>
      </c>
      <c r="L1643" s="70">
        <f>IF(CurrentMtgRatesDataTable8[[#This Row],[Servicing Spread]]&lt;=0,L1642,CurrentMtgRatesDataTable8[[#This Row],[Servicing Spread]])</f>
        <v>0.61543060950934958</v>
      </c>
      <c r="M1643" s="70">
        <f>CurrentMtgRatesDataTable8[[#This Row],[Servicing Spread Non-Zero]]-L1642</f>
        <v>0</v>
      </c>
      <c r="N1643" s="70">
        <f>IF(J1642&lt;&gt;0,CurrentMtgRatesDataTable8[[#This Row],[Rate]]-C1642,N1642)</f>
        <v>-5.9999999999999609E-2</v>
      </c>
    </row>
    <row r="1644" spans="1:14">
      <c r="A1644" s="67" t="s">
        <v>2996</v>
      </c>
      <c r="B1644" s="68">
        <v>3.9704372321975399</v>
      </c>
      <c r="C1644" s="69">
        <v>4.6150000000000002</v>
      </c>
      <c r="D1644" s="70">
        <f t="shared" si="175"/>
        <v>2</v>
      </c>
      <c r="E1644" s="70">
        <f t="shared" si="176"/>
        <v>0.2</v>
      </c>
      <c r="F1644" s="70">
        <f t="shared" si="177"/>
        <v>2</v>
      </c>
      <c r="G1644" s="70">
        <f t="shared" si="178"/>
        <v>1.5877257588162941</v>
      </c>
      <c r="H1644" s="70">
        <f t="shared" si="179"/>
        <v>0.4</v>
      </c>
      <c r="I1644" s="70">
        <f t="shared" si="180"/>
        <v>0</v>
      </c>
      <c r="J1644" s="70">
        <f t="shared" si="181"/>
        <v>0</v>
      </c>
      <c r="K1644" s="70">
        <f>IF(CurrentMtgRatesDataTable8[[#This Row],[WA CC]]&lt;&gt;0,C1643-CurrentMtgRatesDataTable8[[#This Row],[WA CC]],0)</f>
        <v>0</v>
      </c>
      <c r="L1644" s="70">
        <f>IF(CurrentMtgRatesDataTable8[[#This Row],[Servicing Spread]]&lt;=0,L1643,CurrentMtgRatesDataTable8[[#This Row],[Servicing Spread]])</f>
        <v>0.61543060950934958</v>
      </c>
      <c r="M1644" s="70">
        <f>CurrentMtgRatesDataTable8[[#This Row],[Servicing Spread Non-Zero]]-L1643</f>
        <v>0</v>
      </c>
      <c r="N1644" s="70">
        <f>IF(J1643&lt;&gt;0,CurrentMtgRatesDataTable8[[#This Row],[Rate]]-C1643,N1643)</f>
        <v>-5.9999999999999609E-2</v>
      </c>
    </row>
    <row r="1645" spans="1:14">
      <c r="A1645" s="67" t="s">
        <v>2997</v>
      </c>
      <c r="B1645" s="68">
        <v>3.95504263689417</v>
      </c>
      <c r="C1645" s="69">
        <v>4.6150000000000002</v>
      </c>
      <c r="D1645" s="70">
        <f t="shared" si="175"/>
        <v>5</v>
      </c>
      <c r="E1645" s="70">
        <f t="shared" si="176"/>
        <v>0.2</v>
      </c>
      <c r="F1645" s="70">
        <f t="shared" si="177"/>
        <v>3</v>
      </c>
      <c r="G1645" s="70">
        <f t="shared" si="178"/>
        <v>2.3787342861951282</v>
      </c>
      <c r="H1645" s="70">
        <f t="shared" si="179"/>
        <v>0.60000000000000009</v>
      </c>
      <c r="I1645" s="70">
        <f t="shared" si="180"/>
        <v>0</v>
      </c>
      <c r="J1645" s="70">
        <f t="shared" si="181"/>
        <v>0</v>
      </c>
      <c r="K1645" s="70">
        <f>IF(CurrentMtgRatesDataTable8[[#This Row],[WA CC]]&lt;&gt;0,C1644-CurrentMtgRatesDataTable8[[#This Row],[WA CC]],0)</f>
        <v>0</v>
      </c>
      <c r="L1645" s="70">
        <f>IF(CurrentMtgRatesDataTable8[[#This Row],[Servicing Spread]]&lt;=0,L1644,CurrentMtgRatesDataTable8[[#This Row],[Servicing Spread]])</f>
        <v>0.61543060950934958</v>
      </c>
      <c r="M1645" s="70">
        <f>CurrentMtgRatesDataTable8[[#This Row],[Servicing Spread Non-Zero]]-L1644</f>
        <v>0</v>
      </c>
      <c r="N1645" s="70">
        <f>IF(J1644&lt;&gt;0,CurrentMtgRatesDataTable8[[#This Row],[Rate]]-C1644,N1644)</f>
        <v>-5.9999999999999609E-2</v>
      </c>
    </row>
    <row r="1646" spans="1:14">
      <c r="A1646" s="67" t="s">
        <v>2998</v>
      </c>
      <c r="B1646" s="68">
        <v>3.8749234361838099</v>
      </c>
      <c r="C1646" s="69">
        <v>4.6150000000000002</v>
      </c>
      <c r="D1646" s="70">
        <f t="shared" si="175"/>
        <v>6</v>
      </c>
      <c r="E1646" s="70">
        <f t="shared" si="176"/>
        <v>0.2</v>
      </c>
      <c r="F1646" s="70">
        <f t="shared" si="177"/>
        <v>4</v>
      </c>
      <c r="G1646" s="70">
        <f t="shared" si="178"/>
        <v>3.1537189734318902</v>
      </c>
      <c r="H1646" s="70">
        <f t="shared" si="179"/>
        <v>0.8</v>
      </c>
      <c r="I1646" s="70">
        <f t="shared" si="180"/>
        <v>0</v>
      </c>
      <c r="J1646" s="70">
        <f t="shared" si="181"/>
        <v>0</v>
      </c>
      <c r="K1646" s="70">
        <f>IF(CurrentMtgRatesDataTable8[[#This Row],[WA CC]]&lt;&gt;0,C1645-CurrentMtgRatesDataTable8[[#This Row],[WA CC]],0)</f>
        <v>0</v>
      </c>
      <c r="L1646" s="70">
        <f>IF(CurrentMtgRatesDataTable8[[#This Row],[Servicing Spread]]&lt;=0,L1645,CurrentMtgRatesDataTable8[[#This Row],[Servicing Spread]])</f>
        <v>0.61543060950934958</v>
      </c>
      <c r="M1646" s="70">
        <f>CurrentMtgRatesDataTable8[[#This Row],[Servicing Spread Non-Zero]]-L1645</f>
        <v>0</v>
      </c>
      <c r="N1646" s="70">
        <f>IF(J1645&lt;&gt;0,CurrentMtgRatesDataTable8[[#This Row],[Rate]]-C1645,N1645)</f>
        <v>-5.9999999999999609E-2</v>
      </c>
    </row>
    <row r="1647" spans="1:14">
      <c r="A1647" s="67" t="s">
        <v>2999</v>
      </c>
      <c r="B1647" s="68">
        <v>3.8309205213509201</v>
      </c>
      <c r="C1647" s="69">
        <v>4.6150000000000002</v>
      </c>
      <c r="D1647" s="70">
        <f t="shared" si="175"/>
        <v>7</v>
      </c>
      <c r="E1647" s="70">
        <f t="shared" si="176"/>
        <v>0.2</v>
      </c>
      <c r="F1647" s="70">
        <f t="shared" si="177"/>
        <v>5</v>
      </c>
      <c r="G1647" s="70">
        <f t="shared" si="178"/>
        <v>3.9199030777020742</v>
      </c>
      <c r="H1647" s="70">
        <f t="shared" si="179"/>
        <v>1</v>
      </c>
      <c r="I1647" s="70">
        <f t="shared" si="180"/>
        <v>1</v>
      </c>
      <c r="J1647" s="70">
        <f t="shared" si="181"/>
        <v>3.9199030777020742</v>
      </c>
      <c r="K1647" s="70">
        <f>IF(CurrentMtgRatesDataTable8[[#This Row],[WA CC]]&lt;&gt;0,C1646-CurrentMtgRatesDataTable8[[#This Row],[WA CC]],0)</f>
        <v>0.69509692229792597</v>
      </c>
      <c r="L1647" s="70">
        <f>IF(CurrentMtgRatesDataTable8[[#This Row],[Servicing Spread]]&lt;=0,L1646,CurrentMtgRatesDataTable8[[#This Row],[Servicing Spread]])</f>
        <v>0.69509692229792597</v>
      </c>
      <c r="M1647" s="70">
        <f>CurrentMtgRatesDataTable8[[#This Row],[Servicing Spread Non-Zero]]-L1646</f>
        <v>7.9666312788576388E-2</v>
      </c>
      <c r="N1647" s="70">
        <f>IF(J1646&lt;&gt;0,CurrentMtgRatesDataTable8[[#This Row],[Rate]]-C1646,N1646)</f>
        <v>-5.9999999999999609E-2</v>
      </c>
    </row>
    <row r="1648" spans="1:14">
      <c r="A1648" s="67" t="s">
        <v>3000</v>
      </c>
      <c r="B1648" s="68">
        <v>3.9081396695725101</v>
      </c>
      <c r="C1648" s="69">
        <v>4.5049999999999999</v>
      </c>
      <c r="D1648" s="70">
        <f t="shared" si="175"/>
        <v>1</v>
      </c>
      <c r="E1648" s="70">
        <f t="shared" si="176"/>
        <v>0.2</v>
      </c>
      <c r="F1648" s="70">
        <f t="shared" si="177"/>
        <v>1</v>
      </c>
      <c r="G1648" s="70">
        <f t="shared" si="178"/>
        <v>0.78162793391450203</v>
      </c>
      <c r="H1648" s="70">
        <f t="shared" si="179"/>
        <v>0.2</v>
      </c>
      <c r="I1648" s="70">
        <f t="shared" si="180"/>
        <v>0</v>
      </c>
      <c r="J1648" s="70">
        <f t="shared" si="181"/>
        <v>0</v>
      </c>
      <c r="K1648" s="70">
        <f>IF(CurrentMtgRatesDataTable8[[#This Row],[WA CC]]&lt;&gt;0,C1647-CurrentMtgRatesDataTable8[[#This Row],[WA CC]],0)</f>
        <v>0</v>
      </c>
      <c r="L1648" s="70">
        <f>IF(CurrentMtgRatesDataTable8[[#This Row],[Servicing Spread]]&lt;=0,L1647,CurrentMtgRatesDataTable8[[#This Row],[Servicing Spread]])</f>
        <v>0.69509692229792597</v>
      </c>
      <c r="M1648" s="70">
        <f>CurrentMtgRatesDataTable8[[#This Row],[Servicing Spread Non-Zero]]-L1647</f>
        <v>0</v>
      </c>
      <c r="N1648" s="70">
        <f>IF(J1647&lt;&gt;0,CurrentMtgRatesDataTable8[[#This Row],[Rate]]-C1647,N1647)</f>
        <v>-0.11000000000000032</v>
      </c>
    </row>
    <row r="1649" spans="1:14">
      <c r="A1649" s="67" t="s">
        <v>3001</v>
      </c>
      <c r="B1649" s="68">
        <v>3.8645789384645899</v>
      </c>
      <c r="C1649" s="69">
        <v>4.5049999999999999</v>
      </c>
      <c r="D1649" s="70">
        <f t="shared" si="175"/>
        <v>2</v>
      </c>
      <c r="E1649" s="70">
        <f t="shared" si="176"/>
        <v>0.2</v>
      </c>
      <c r="F1649" s="70">
        <f t="shared" si="177"/>
        <v>2</v>
      </c>
      <c r="G1649" s="70">
        <f t="shared" si="178"/>
        <v>1.55454372160742</v>
      </c>
      <c r="H1649" s="70">
        <f t="shared" si="179"/>
        <v>0.4</v>
      </c>
      <c r="I1649" s="70">
        <f t="shared" si="180"/>
        <v>0</v>
      </c>
      <c r="J1649" s="70">
        <f t="shared" si="181"/>
        <v>0</v>
      </c>
      <c r="K1649" s="70">
        <f>IF(CurrentMtgRatesDataTable8[[#This Row],[WA CC]]&lt;&gt;0,C1648-CurrentMtgRatesDataTable8[[#This Row],[WA CC]],0)</f>
        <v>0</v>
      </c>
      <c r="L1649" s="70">
        <f>IF(CurrentMtgRatesDataTable8[[#This Row],[Servicing Spread]]&lt;=0,L1648,CurrentMtgRatesDataTable8[[#This Row],[Servicing Spread]])</f>
        <v>0.69509692229792597</v>
      </c>
      <c r="M1649" s="70">
        <f>CurrentMtgRatesDataTable8[[#This Row],[Servicing Spread Non-Zero]]-L1648</f>
        <v>0</v>
      </c>
      <c r="N1649" s="70">
        <f>IF(J1648&lt;&gt;0,CurrentMtgRatesDataTable8[[#This Row],[Rate]]-C1648,N1648)</f>
        <v>-0.11000000000000032</v>
      </c>
    </row>
    <row r="1650" spans="1:14">
      <c r="A1650" s="67" t="s">
        <v>3002</v>
      </c>
      <c r="B1650" s="68">
        <v>3.76157153445837</v>
      </c>
      <c r="C1650" s="69">
        <v>4.5049999999999999</v>
      </c>
      <c r="D1650" s="70">
        <f t="shared" si="175"/>
        <v>5</v>
      </c>
      <c r="E1650" s="70">
        <f t="shared" si="176"/>
        <v>0.2</v>
      </c>
      <c r="F1650" s="70">
        <f t="shared" si="177"/>
        <v>3</v>
      </c>
      <c r="G1650" s="70">
        <f t="shared" si="178"/>
        <v>2.3068580284990938</v>
      </c>
      <c r="H1650" s="70">
        <f t="shared" si="179"/>
        <v>0.60000000000000009</v>
      </c>
      <c r="I1650" s="70">
        <f t="shared" si="180"/>
        <v>0</v>
      </c>
      <c r="J1650" s="70">
        <f t="shared" si="181"/>
        <v>0</v>
      </c>
      <c r="K1650" s="70">
        <f>IF(CurrentMtgRatesDataTable8[[#This Row],[WA CC]]&lt;&gt;0,C1649-CurrentMtgRatesDataTable8[[#This Row],[WA CC]],0)</f>
        <v>0</v>
      </c>
      <c r="L1650" s="70">
        <f>IF(CurrentMtgRatesDataTable8[[#This Row],[Servicing Spread]]&lt;=0,L1649,CurrentMtgRatesDataTable8[[#This Row],[Servicing Spread]])</f>
        <v>0.69509692229792597</v>
      </c>
      <c r="M1650" s="70">
        <f>CurrentMtgRatesDataTable8[[#This Row],[Servicing Spread Non-Zero]]-L1649</f>
        <v>0</v>
      </c>
      <c r="N1650" s="70">
        <f>IF(J1649&lt;&gt;0,CurrentMtgRatesDataTable8[[#This Row],[Rate]]-C1649,N1649)</f>
        <v>-0.11000000000000032</v>
      </c>
    </row>
    <row r="1651" spans="1:14">
      <c r="A1651" s="67" t="s">
        <v>3003</v>
      </c>
      <c r="B1651" s="68">
        <v>3.7253294237149102</v>
      </c>
      <c r="C1651" s="69">
        <v>4.5049999999999999</v>
      </c>
      <c r="D1651" s="70">
        <f t="shared" si="175"/>
        <v>6</v>
      </c>
      <c r="E1651" s="70">
        <f t="shared" si="176"/>
        <v>0.2</v>
      </c>
      <c r="F1651" s="70">
        <f t="shared" si="177"/>
        <v>4</v>
      </c>
      <c r="G1651" s="70">
        <f t="shared" si="178"/>
        <v>3.0519239132420761</v>
      </c>
      <c r="H1651" s="70">
        <f t="shared" si="179"/>
        <v>0.8</v>
      </c>
      <c r="I1651" s="70">
        <f t="shared" si="180"/>
        <v>0</v>
      </c>
      <c r="J1651" s="70">
        <f t="shared" si="181"/>
        <v>0</v>
      </c>
      <c r="K1651" s="70">
        <f>IF(CurrentMtgRatesDataTable8[[#This Row],[WA CC]]&lt;&gt;0,C1650-CurrentMtgRatesDataTable8[[#This Row],[WA CC]],0)</f>
        <v>0</v>
      </c>
      <c r="L1651" s="70">
        <f>IF(CurrentMtgRatesDataTable8[[#This Row],[Servicing Spread]]&lt;=0,L1650,CurrentMtgRatesDataTable8[[#This Row],[Servicing Spread]])</f>
        <v>0.69509692229792597</v>
      </c>
      <c r="M1651" s="70">
        <f>CurrentMtgRatesDataTable8[[#This Row],[Servicing Spread Non-Zero]]-L1650</f>
        <v>0</v>
      </c>
      <c r="N1651" s="70">
        <f>IF(J1650&lt;&gt;0,CurrentMtgRatesDataTable8[[#This Row],[Rate]]-C1650,N1650)</f>
        <v>-0.11000000000000032</v>
      </c>
    </row>
    <row r="1652" spans="1:14">
      <c r="A1652" s="67" t="s">
        <v>3004</v>
      </c>
      <c r="B1652" s="68">
        <v>3.7245864326615101</v>
      </c>
      <c r="C1652" s="69">
        <v>4.5049999999999999</v>
      </c>
      <c r="D1652" s="70">
        <f t="shared" si="175"/>
        <v>7</v>
      </c>
      <c r="E1652" s="70">
        <f t="shared" si="176"/>
        <v>0.2</v>
      </c>
      <c r="F1652" s="70">
        <f t="shared" si="177"/>
        <v>5</v>
      </c>
      <c r="G1652" s="70">
        <f t="shared" si="178"/>
        <v>3.7968411997743781</v>
      </c>
      <c r="H1652" s="70">
        <f t="shared" si="179"/>
        <v>1</v>
      </c>
      <c r="I1652" s="70">
        <f t="shared" si="180"/>
        <v>1</v>
      </c>
      <c r="J1652" s="70">
        <f t="shared" si="181"/>
        <v>3.7968411997743781</v>
      </c>
      <c r="K1652" s="70">
        <f>IF(CurrentMtgRatesDataTable8[[#This Row],[WA CC]]&lt;&gt;0,C1651-CurrentMtgRatesDataTable8[[#This Row],[WA CC]],0)</f>
        <v>0.70815880022562183</v>
      </c>
      <c r="L1652" s="70">
        <f>IF(CurrentMtgRatesDataTable8[[#This Row],[Servicing Spread]]&lt;=0,L1651,CurrentMtgRatesDataTable8[[#This Row],[Servicing Spread]])</f>
        <v>0.70815880022562183</v>
      </c>
      <c r="M1652" s="70">
        <f>CurrentMtgRatesDataTable8[[#This Row],[Servicing Spread Non-Zero]]-L1651</f>
        <v>1.3061877927695864E-2</v>
      </c>
      <c r="N1652" s="70">
        <f>IF(J1651&lt;&gt;0,CurrentMtgRatesDataTable8[[#This Row],[Rate]]-C1651,N1651)</f>
        <v>-0.11000000000000032</v>
      </c>
    </row>
    <row r="1653" spans="1:14">
      <c r="A1653" s="67" t="s">
        <v>3005</v>
      </c>
      <c r="B1653" s="68">
        <v>3.6937861699124901</v>
      </c>
      <c r="C1653" s="69">
        <v>4.4950000000000001</v>
      </c>
      <c r="D1653" s="70">
        <f t="shared" si="175"/>
        <v>1</v>
      </c>
      <c r="E1653" s="70">
        <f t="shared" si="176"/>
        <v>0.2</v>
      </c>
      <c r="F1653" s="70">
        <f t="shared" si="177"/>
        <v>1</v>
      </c>
      <c r="G1653" s="70">
        <f t="shared" si="178"/>
        <v>0.73875723398249804</v>
      </c>
      <c r="H1653" s="70">
        <f t="shared" si="179"/>
        <v>0.2</v>
      </c>
      <c r="I1653" s="70">
        <f t="shared" si="180"/>
        <v>0</v>
      </c>
      <c r="J1653" s="70">
        <f t="shared" si="181"/>
        <v>0</v>
      </c>
      <c r="K1653" s="70">
        <f>IF(CurrentMtgRatesDataTable8[[#This Row],[WA CC]]&lt;&gt;0,C1652-CurrentMtgRatesDataTable8[[#This Row],[WA CC]],0)</f>
        <v>0</v>
      </c>
      <c r="L1653" s="70">
        <f>IF(CurrentMtgRatesDataTable8[[#This Row],[Servicing Spread]]&lt;=0,L1652,CurrentMtgRatesDataTable8[[#This Row],[Servicing Spread]])</f>
        <v>0.70815880022562183</v>
      </c>
      <c r="M1653" s="70">
        <f>CurrentMtgRatesDataTable8[[#This Row],[Servicing Spread Non-Zero]]-L1652</f>
        <v>0</v>
      </c>
      <c r="N1653" s="70">
        <f>IF(J1652&lt;&gt;0,CurrentMtgRatesDataTable8[[#This Row],[Rate]]-C1652,N1652)</f>
        <v>-9.9999999999997868E-3</v>
      </c>
    </row>
    <row r="1654" spans="1:14">
      <c r="A1654" s="67" t="s">
        <v>3006</v>
      </c>
      <c r="B1654" s="68">
        <v>3.7169645721765798</v>
      </c>
      <c r="C1654" s="69">
        <v>4.4950000000000001</v>
      </c>
      <c r="D1654" s="70">
        <f t="shared" si="175"/>
        <v>2</v>
      </c>
      <c r="E1654" s="70">
        <f t="shared" si="176"/>
        <v>0.2</v>
      </c>
      <c r="F1654" s="70">
        <f t="shared" si="177"/>
        <v>2</v>
      </c>
      <c r="G1654" s="70">
        <f t="shared" si="178"/>
        <v>1.4821501484178139</v>
      </c>
      <c r="H1654" s="70">
        <f t="shared" si="179"/>
        <v>0.4</v>
      </c>
      <c r="I1654" s="70">
        <f t="shared" si="180"/>
        <v>0</v>
      </c>
      <c r="J1654" s="70">
        <f t="shared" si="181"/>
        <v>0</v>
      </c>
      <c r="K1654" s="70">
        <f>IF(CurrentMtgRatesDataTable8[[#This Row],[WA CC]]&lt;&gt;0,C1653-CurrentMtgRatesDataTable8[[#This Row],[WA CC]],0)</f>
        <v>0</v>
      </c>
      <c r="L1654" s="70">
        <f>IF(CurrentMtgRatesDataTable8[[#This Row],[Servicing Spread]]&lt;=0,L1653,CurrentMtgRatesDataTable8[[#This Row],[Servicing Spread]])</f>
        <v>0.70815880022562183</v>
      </c>
      <c r="M1654" s="70">
        <f>CurrentMtgRatesDataTable8[[#This Row],[Servicing Spread Non-Zero]]-L1653</f>
        <v>0</v>
      </c>
      <c r="N1654" s="70">
        <f>IF(J1653&lt;&gt;0,CurrentMtgRatesDataTable8[[#This Row],[Rate]]-C1653,N1653)</f>
        <v>-9.9999999999997868E-3</v>
      </c>
    </row>
    <row r="1655" spans="1:14">
      <c r="A1655" s="67" t="s">
        <v>3007</v>
      </c>
      <c r="B1655" s="68">
        <v>3.6351349086376898</v>
      </c>
      <c r="C1655" s="69">
        <v>4.4950000000000001</v>
      </c>
      <c r="D1655" s="70">
        <f t="shared" si="175"/>
        <v>6</v>
      </c>
      <c r="E1655" s="70">
        <f t="shared" si="176"/>
        <v>0.2</v>
      </c>
      <c r="F1655" s="70">
        <f t="shared" si="177"/>
        <v>3</v>
      </c>
      <c r="G1655" s="70">
        <f t="shared" si="178"/>
        <v>2.2091771301453518</v>
      </c>
      <c r="H1655" s="70">
        <f t="shared" si="179"/>
        <v>0.60000000000000009</v>
      </c>
      <c r="I1655" s="70">
        <f t="shared" si="180"/>
        <v>0</v>
      </c>
      <c r="J1655" s="70">
        <f t="shared" si="181"/>
        <v>0</v>
      </c>
      <c r="K1655" s="70">
        <f>IF(CurrentMtgRatesDataTable8[[#This Row],[WA CC]]&lt;&gt;0,C1654-CurrentMtgRatesDataTable8[[#This Row],[WA CC]],0)</f>
        <v>0</v>
      </c>
      <c r="L1655" s="70">
        <f>IF(CurrentMtgRatesDataTable8[[#This Row],[Servicing Spread]]&lt;=0,L1654,CurrentMtgRatesDataTable8[[#This Row],[Servicing Spread]])</f>
        <v>0.70815880022562183</v>
      </c>
      <c r="M1655" s="70">
        <f>CurrentMtgRatesDataTable8[[#This Row],[Servicing Spread Non-Zero]]-L1654</f>
        <v>0</v>
      </c>
      <c r="N1655" s="70">
        <f>IF(J1654&lt;&gt;0,CurrentMtgRatesDataTable8[[#This Row],[Rate]]-C1654,N1654)</f>
        <v>-9.9999999999997868E-3</v>
      </c>
    </row>
    <row r="1656" spans="1:14">
      <c r="A1656" s="67" t="s">
        <v>3008</v>
      </c>
      <c r="B1656" s="68">
        <v>3.6983718742730902</v>
      </c>
      <c r="C1656" s="69">
        <v>4.4950000000000001</v>
      </c>
      <c r="D1656" s="70">
        <f t="shared" si="175"/>
        <v>7</v>
      </c>
      <c r="E1656" s="70">
        <f t="shared" si="176"/>
        <v>0.2</v>
      </c>
      <c r="F1656" s="70">
        <f t="shared" si="177"/>
        <v>4</v>
      </c>
      <c r="G1656" s="70">
        <f t="shared" si="178"/>
        <v>2.9488515049999697</v>
      </c>
      <c r="H1656" s="70">
        <f t="shared" si="179"/>
        <v>0.8</v>
      </c>
      <c r="I1656" s="70">
        <f t="shared" si="180"/>
        <v>1</v>
      </c>
      <c r="J1656" s="70">
        <f t="shared" si="181"/>
        <v>3.6860643812499618</v>
      </c>
      <c r="K1656" s="70">
        <f>IF(CurrentMtgRatesDataTable8[[#This Row],[WA CC]]&lt;&gt;0,C1655-CurrentMtgRatesDataTable8[[#This Row],[WA CC]],0)</f>
        <v>0.80893561875003828</v>
      </c>
      <c r="L1656" s="70">
        <f>IF(CurrentMtgRatesDataTable8[[#This Row],[Servicing Spread]]&lt;=0,L1655,CurrentMtgRatesDataTable8[[#This Row],[Servicing Spread]])</f>
        <v>0.80893561875003828</v>
      </c>
      <c r="M1656" s="70">
        <f>CurrentMtgRatesDataTable8[[#This Row],[Servicing Spread Non-Zero]]-L1655</f>
        <v>0.10077681852441644</v>
      </c>
      <c r="N1656" s="70">
        <f>IF(J1655&lt;&gt;0,CurrentMtgRatesDataTable8[[#This Row],[Rate]]-C1655,N1655)</f>
        <v>-9.9999999999997868E-3</v>
      </c>
    </row>
    <row r="1657" spans="1:14">
      <c r="A1657" s="67" t="s">
        <v>3009</v>
      </c>
      <c r="B1657" s="68">
        <v>3.7116847376523299</v>
      </c>
      <c r="C1657" s="69">
        <v>4.4950000000000001</v>
      </c>
      <c r="D1657" s="70">
        <f t="shared" si="175"/>
        <v>1</v>
      </c>
      <c r="E1657" s="70">
        <f t="shared" si="176"/>
        <v>0.2</v>
      </c>
      <c r="F1657" s="70">
        <f t="shared" si="177"/>
        <v>1</v>
      </c>
      <c r="G1657" s="70">
        <f t="shared" si="178"/>
        <v>0.74233694753046597</v>
      </c>
      <c r="H1657" s="70">
        <f t="shared" si="179"/>
        <v>0.2</v>
      </c>
      <c r="I1657" s="70">
        <f t="shared" si="180"/>
        <v>0</v>
      </c>
      <c r="J1657" s="70">
        <f t="shared" si="181"/>
        <v>0</v>
      </c>
      <c r="K1657" s="70">
        <f>IF(CurrentMtgRatesDataTable8[[#This Row],[WA CC]]&lt;&gt;0,C1656-CurrentMtgRatesDataTable8[[#This Row],[WA CC]],0)</f>
        <v>0</v>
      </c>
      <c r="L1657" s="70">
        <f>IF(CurrentMtgRatesDataTable8[[#This Row],[Servicing Spread]]&lt;=0,L1656,CurrentMtgRatesDataTable8[[#This Row],[Servicing Spread]])</f>
        <v>0.80893561875003828</v>
      </c>
      <c r="M1657" s="70">
        <f>CurrentMtgRatesDataTable8[[#This Row],[Servicing Spread Non-Zero]]-L1656</f>
        <v>0</v>
      </c>
      <c r="N1657" s="70">
        <f>IF(J1656&lt;&gt;0,CurrentMtgRatesDataTable8[[#This Row],[Rate]]-C1656,N1656)</f>
        <v>0</v>
      </c>
    </row>
    <row r="1658" spans="1:14">
      <c r="A1658" s="67" t="s">
        <v>3010</v>
      </c>
      <c r="B1658" s="68">
        <v>3.7157547738350298</v>
      </c>
      <c r="C1658" s="69">
        <v>4.4950000000000001</v>
      </c>
      <c r="D1658" s="70">
        <f t="shared" si="175"/>
        <v>2</v>
      </c>
      <c r="E1658" s="70">
        <f t="shared" si="176"/>
        <v>0.2</v>
      </c>
      <c r="F1658" s="70">
        <f t="shared" si="177"/>
        <v>2</v>
      </c>
      <c r="G1658" s="70">
        <f t="shared" si="178"/>
        <v>1.4854879022974719</v>
      </c>
      <c r="H1658" s="70">
        <f t="shared" si="179"/>
        <v>0.4</v>
      </c>
      <c r="I1658" s="70">
        <f t="shared" si="180"/>
        <v>0</v>
      </c>
      <c r="J1658" s="70">
        <f t="shared" si="181"/>
        <v>0</v>
      </c>
      <c r="K1658" s="70">
        <f>IF(CurrentMtgRatesDataTable8[[#This Row],[WA CC]]&lt;&gt;0,C1657-CurrentMtgRatesDataTable8[[#This Row],[WA CC]],0)</f>
        <v>0</v>
      </c>
      <c r="L1658" s="70">
        <f>IF(CurrentMtgRatesDataTable8[[#This Row],[Servicing Spread]]&lt;=0,L1657,CurrentMtgRatesDataTable8[[#This Row],[Servicing Spread]])</f>
        <v>0.80893561875003828</v>
      </c>
      <c r="M1658" s="70">
        <f>CurrentMtgRatesDataTable8[[#This Row],[Servicing Spread Non-Zero]]-L1657</f>
        <v>0</v>
      </c>
      <c r="N1658" s="70">
        <f>IF(J1657&lt;&gt;0,CurrentMtgRatesDataTable8[[#This Row],[Rate]]-C1657,N1657)</f>
        <v>0</v>
      </c>
    </row>
    <row r="1659" spans="1:14">
      <c r="A1659" s="67" t="s">
        <v>3011</v>
      </c>
      <c r="B1659" s="68">
        <v>3.7139520787979201</v>
      </c>
      <c r="C1659" s="69">
        <v>4.4950000000000001</v>
      </c>
      <c r="D1659" s="70">
        <f t="shared" si="175"/>
        <v>5</v>
      </c>
      <c r="E1659" s="70">
        <f t="shared" si="176"/>
        <v>0.2</v>
      </c>
      <c r="F1659" s="70">
        <f t="shared" si="177"/>
        <v>3</v>
      </c>
      <c r="G1659" s="70">
        <f t="shared" si="178"/>
        <v>2.2282783180570558</v>
      </c>
      <c r="H1659" s="70">
        <f t="shared" si="179"/>
        <v>0.60000000000000009</v>
      </c>
      <c r="I1659" s="70">
        <f t="shared" si="180"/>
        <v>0</v>
      </c>
      <c r="J1659" s="70">
        <f t="shared" si="181"/>
        <v>0</v>
      </c>
      <c r="K1659" s="70">
        <f>IF(CurrentMtgRatesDataTable8[[#This Row],[WA CC]]&lt;&gt;0,C1658-CurrentMtgRatesDataTable8[[#This Row],[WA CC]],0)</f>
        <v>0</v>
      </c>
      <c r="L1659" s="70">
        <f>IF(CurrentMtgRatesDataTable8[[#This Row],[Servicing Spread]]&lt;=0,L1658,CurrentMtgRatesDataTable8[[#This Row],[Servicing Spread]])</f>
        <v>0.80893561875003828</v>
      </c>
      <c r="M1659" s="70">
        <f>CurrentMtgRatesDataTable8[[#This Row],[Servicing Spread Non-Zero]]-L1658</f>
        <v>0</v>
      </c>
      <c r="N1659" s="70">
        <f>IF(J1658&lt;&gt;0,CurrentMtgRatesDataTable8[[#This Row],[Rate]]-C1658,N1658)</f>
        <v>0</v>
      </c>
    </row>
    <row r="1660" spans="1:14">
      <c r="A1660" s="67" t="s">
        <v>3012</v>
      </c>
      <c r="B1660" s="68">
        <v>3.7530610600060998</v>
      </c>
      <c r="C1660" s="69">
        <v>4.4950000000000001</v>
      </c>
      <c r="D1660" s="70">
        <f t="shared" si="175"/>
        <v>6</v>
      </c>
      <c r="E1660" s="70">
        <f t="shared" si="176"/>
        <v>0.2</v>
      </c>
      <c r="F1660" s="70">
        <f t="shared" si="177"/>
        <v>4</v>
      </c>
      <c r="G1660" s="70">
        <f t="shared" si="178"/>
        <v>2.9788905300582758</v>
      </c>
      <c r="H1660" s="70">
        <f t="shared" si="179"/>
        <v>0.8</v>
      </c>
      <c r="I1660" s="70">
        <f t="shared" si="180"/>
        <v>0</v>
      </c>
      <c r="J1660" s="70">
        <f t="shared" si="181"/>
        <v>0</v>
      </c>
      <c r="K1660" s="70">
        <f>IF(CurrentMtgRatesDataTable8[[#This Row],[WA CC]]&lt;&gt;0,C1659-CurrentMtgRatesDataTable8[[#This Row],[WA CC]],0)</f>
        <v>0</v>
      </c>
      <c r="L1660" s="70">
        <f>IF(CurrentMtgRatesDataTable8[[#This Row],[Servicing Spread]]&lt;=0,L1659,CurrentMtgRatesDataTable8[[#This Row],[Servicing Spread]])</f>
        <v>0.80893561875003828</v>
      </c>
      <c r="M1660" s="70">
        <f>CurrentMtgRatesDataTable8[[#This Row],[Servicing Spread Non-Zero]]-L1659</f>
        <v>0</v>
      </c>
      <c r="N1660" s="70">
        <f>IF(J1659&lt;&gt;0,CurrentMtgRatesDataTable8[[#This Row],[Rate]]-C1659,N1659)</f>
        <v>0</v>
      </c>
    </row>
    <row r="1661" spans="1:14">
      <c r="A1661" s="67" t="s">
        <v>3013</v>
      </c>
      <c r="B1661" s="68">
        <v>3.7004314254453599</v>
      </c>
      <c r="C1661" s="69">
        <v>4.4950000000000001</v>
      </c>
      <c r="D1661" s="70">
        <f t="shared" si="175"/>
        <v>7</v>
      </c>
      <c r="E1661" s="70">
        <f t="shared" si="176"/>
        <v>0.2</v>
      </c>
      <c r="F1661" s="70">
        <f t="shared" si="177"/>
        <v>5</v>
      </c>
      <c r="G1661" s="70">
        <f t="shared" si="178"/>
        <v>3.7189768151473479</v>
      </c>
      <c r="H1661" s="70">
        <f t="shared" si="179"/>
        <v>1</v>
      </c>
      <c r="I1661" s="70">
        <f t="shared" si="180"/>
        <v>1</v>
      </c>
      <c r="J1661" s="70">
        <f t="shared" si="181"/>
        <v>3.7189768151473479</v>
      </c>
      <c r="K1661" s="70">
        <f>IF(CurrentMtgRatesDataTable8[[#This Row],[WA CC]]&lt;&gt;0,C1660-CurrentMtgRatesDataTable8[[#This Row],[WA CC]],0)</f>
        <v>0.7760231848526522</v>
      </c>
      <c r="L1661" s="70">
        <f>IF(CurrentMtgRatesDataTable8[[#This Row],[Servicing Spread]]&lt;=0,L1660,CurrentMtgRatesDataTable8[[#This Row],[Servicing Spread]])</f>
        <v>0.7760231848526522</v>
      </c>
      <c r="M1661" s="70">
        <f>CurrentMtgRatesDataTable8[[#This Row],[Servicing Spread Non-Zero]]-L1660</f>
        <v>-3.2912433897386073E-2</v>
      </c>
      <c r="N1661" s="70">
        <f>IF(J1660&lt;&gt;0,CurrentMtgRatesDataTable8[[#This Row],[Rate]]-C1660,N1660)</f>
        <v>0</v>
      </c>
    </row>
    <row r="1662" spans="1:14">
      <c r="A1662" s="67" t="s">
        <v>3014</v>
      </c>
      <c r="B1662" s="68">
        <v>3.61225468229547</v>
      </c>
      <c r="C1662" s="69">
        <v>4.4849999999999994</v>
      </c>
      <c r="D1662" s="70">
        <f t="shared" si="175"/>
        <v>1</v>
      </c>
      <c r="E1662" s="70">
        <f t="shared" si="176"/>
        <v>0.2</v>
      </c>
      <c r="F1662" s="70">
        <f t="shared" si="177"/>
        <v>1</v>
      </c>
      <c r="G1662" s="70">
        <f t="shared" si="178"/>
        <v>0.72245093645909408</v>
      </c>
      <c r="H1662" s="70">
        <f t="shared" si="179"/>
        <v>0.2</v>
      </c>
      <c r="I1662" s="70">
        <f t="shared" si="180"/>
        <v>0</v>
      </c>
      <c r="J1662" s="70">
        <f t="shared" si="181"/>
        <v>0</v>
      </c>
      <c r="K1662" s="70">
        <f>IF(CurrentMtgRatesDataTable8[[#This Row],[WA CC]]&lt;&gt;0,C1661-CurrentMtgRatesDataTable8[[#This Row],[WA CC]],0)</f>
        <v>0</v>
      </c>
      <c r="L1662" s="70">
        <f>IF(CurrentMtgRatesDataTable8[[#This Row],[Servicing Spread]]&lt;=0,L1661,CurrentMtgRatesDataTable8[[#This Row],[Servicing Spread]])</f>
        <v>0.7760231848526522</v>
      </c>
      <c r="M1662" s="70">
        <f>CurrentMtgRatesDataTable8[[#This Row],[Servicing Spread Non-Zero]]-L1661</f>
        <v>0</v>
      </c>
      <c r="N1662" s="70">
        <f>IF(J1661&lt;&gt;0,CurrentMtgRatesDataTable8[[#This Row],[Rate]]-C1661,N1661)</f>
        <v>-1.0000000000000675E-2</v>
      </c>
    </row>
    <row r="1663" spans="1:14">
      <c r="A1663" s="67" t="s">
        <v>3015</v>
      </c>
      <c r="B1663" s="68">
        <v>3.5977339672611302</v>
      </c>
      <c r="C1663" s="69">
        <v>4.4849999999999994</v>
      </c>
      <c r="D1663" s="70">
        <f t="shared" si="175"/>
        <v>2</v>
      </c>
      <c r="E1663" s="70">
        <f t="shared" si="176"/>
        <v>0.2</v>
      </c>
      <c r="F1663" s="70">
        <f t="shared" si="177"/>
        <v>2</v>
      </c>
      <c r="G1663" s="70">
        <f t="shared" si="178"/>
        <v>1.44199772991132</v>
      </c>
      <c r="H1663" s="70">
        <f t="shared" si="179"/>
        <v>0.4</v>
      </c>
      <c r="I1663" s="70">
        <f t="shared" si="180"/>
        <v>0</v>
      </c>
      <c r="J1663" s="70">
        <f t="shared" si="181"/>
        <v>0</v>
      </c>
      <c r="K1663" s="70">
        <f>IF(CurrentMtgRatesDataTable8[[#This Row],[WA CC]]&lt;&gt;0,C1662-CurrentMtgRatesDataTable8[[#This Row],[WA CC]],0)</f>
        <v>0</v>
      </c>
      <c r="L1663" s="70">
        <f>IF(CurrentMtgRatesDataTable8[[#This Row],[Servicing Spread]]&lt;=0,L1662,CurrentMtgRatesDataTable8[[#This Row],[Servicing Spread]])</f>
        <v>0.7760231848526522</v>
      </c>
      <c r="M1663" s="70">
        <f>CurrentMtgRatesDataTable8[[#This Row],[Servicing Spread Non-Zero]]-L1662</f>
        <v>0</v>
      </c>
      <c r="N1663" s="70">
        <f>IF(J1662&lt;&gt;0,CurrentMtgRatesDataTable8[[#This Row],[Rate]]-C1662,N1662)</f>
        <v>-1.0000000000000675E-2</v>
      </c>
    </row>
    <row r="1664" spans="1:14">
      <c r="A1664" s="67" t="s">
        <v>3016</v>
      </c>
      <c r="B1664" s="68">
        <v>3.6574122729716501</v>
      </c>
      <c r="C1664" s="69">
        <v>4.4849999999999994</v>
      </c>
      <c r="D1664" s="70">
        <f t="shared" si="175"/>
        <v>5</v>
      </c>
      <c r="E1664" s="70">
        <f t="shared" si="176"/>
        <v>0.2</v>
      </c>
      <c r="F1664" s="70">
        <f t="shared" si="177"/>
        <v>3</v>
      </c>
      <c r="G1664" s="70">
        <f t="shared" si="178"/>
        <v>2.1734801845056499</v>
      </c>
      <c r="H1664" s="70">
        <f t="shared" si="179"/>
        <v>0.60000000000000009</v>
      </c>
      <c r="I1664" s="70">
        <f t="shared" si="180"/>
        <v>0</v>
      </c>
      <c r="J1664" s="70">
        <f t="shared" si="181"/>
        <v>0</v>
      </c>
      <c r="K1664" s="70">
        <f>IF(CurrentMtgRatesDataTable8[[#This Row],[WA CC]]&lt;&gt;0,C1663-CurrentMtgRatesDataTable8[[#This Row],[WA CC]],0)</f>
        <v>0</v>
      </c>
      <c r="L1664" s="70">
        <f>IF(CurrentMtgRatesDataTable8[[#This Row],[Servicing Spread]]&lt;=0,L1663,CurrentMtgRatesDataTable8[[#This Row],[Servicing Spread]])</f>
        <v>0.7760231848526522</v>
      </c>
      <c r="M1664" s="70">
        <f>CurrentMtgRatesDataTable8[[#This Row],[Servicing Spread Non-Zero]]-L1663</f>
        <v>0</v>
      </c>
      <c r="N1664" s="70">
        <f>IF(J1663&lt;&gt;0,CurrentMtgRatesDataTable8[[#This Row],[Rate]]-C1663,N1663)</f>
        <v>-1.0000000000000675E-2</v>
      </c>
    </row>
    <row r="1665" spans="1:14">
      <c r="A1665" s="67" t="s">
        <v>3017</v>
      </c>
      <c r="B1665" s="68">
        <v>3.6359250391556399</v>
      </c>
      <c r="C1665" s="69">
        <v>4.4849999999999994</v>
      </c>
      <c r="D1665" s="70">
        <f t="shared" si="175"/>
        <v>6</v>
      </c>
      <c r="E1665" s="70">
        <f t="shared" si="176"/>
        <v>0.2</v>
      </c>
      <c r="F1665" s="70">
        <f t="shared" si="177"/>
        <v>4</v>
      </c>
      <c r="G1665" s="70">
        <f t="shared" si="178"/>
        <v>2.9006651923367781</v>
      </c>
      <c r="H1665" s="70">
        <f t="shared" si="179"/>
        <v>0.8</v>
      </c>
      <c r="I1665" s="70">
        <f t="shared" si="180"/>
        <v>0</v>
      </c>
      <c r="J1665" s="70">
        <f t="shared" si="181"/>
        <v>0</v>
      </c>
      <c r="K1665" s="70">
        <f>IF(CurrentMtgRatesDataTable8[[#This Row],[WA CC]]&lt;&gt;0,C1664-CurrentMtgRatesDataTable8[[#This Row],[WA CC]],0)</f>
        <v>0</v>
      </c>
      <c r="L1665" s="70">
        <f>IF(CurrentMtgRatesDataTable8[[#This Row],[Servicing Spread]]&lt;=0,L1664,CurrentMtgRatesDataTable8[[#This Row],[Servicing Spread]])</f>
        <v>0.7760231848526522</v>
      </c>
      <c r="M1665" s="70">
        <f>CurrentMtgRatesDataTable8[[#This Row],[Servicing Spread Non-Zero]]-L1664</f>
        <v>0</v>
      </c>
      <c r="N1665" s="70">
        <f>IF(J1664&lt;&gt;0,CurrentMtgRatesDataTable8[[#This Row],[Rate]]-C1664,N1664)</f>
        <v>-1.0000000000000675E-2</v>
      </c>
    </row>
    <row r="1666" spans="1:14">
      <c r="A1666" s="67" t="s">
        <v>3018</v>
      </c>
      <c r="B1666" s="68">
        <v>3.5678680750549598</v>
      </c>
      <c r="C1666" s="69">
        <v>4.4849999999999994</v>
      </c>
      <c r="D1666" s="70">
        <f t="shared" si="175"/>
        <v>7</v>
      </c>
      <c r="E1666" s="70">
        <f t="shared" si="176"/>
        <v>0.2</v>
      </c>
      <c r="F1666" s="70">
        <f t="shared" si="177"/>
        <v>5</v>
      </c>
      <c r="G1666" s="70">
        <f t="shared" si="178"/>
        <v>3.6142388073477703</v>
      </c>
      <c r="H1666" s="70">
        <f t="shared" si="179"/>
        <v>1</v>
      </c>
      <c r="I1666" s="70">
        <f t="shared" si="180"/>
        <v>1</v>
      </c>
      <c r="J1666" s="70">
        <f t="shared" si="181"/>
        <v>3.6142388073477703</v>
      </c>
      <c r="K1666" s="70">
        <f>IF(CurrentMtgRatesDataTable8[[#This Row],[WA CC]]&lt;&gt;0,C1665-CurrentMtgRatesDataTable8[[#This Row],[WA CC]],0)</f>
        <v>0.87076119265222918</v>
      </c>
      <c r="L1666" s="70">
        <f>IF(CurrentMtgRatesDataTable8[[#This Row],[Servicing Spread]]&lt;=0,L1665,CurrentMtgRatesDataTable8[[#This Row],[Servicing Spread]])</f>
        <v>0.87076119265222918</v>
      </c>
      <c r="M1666" s="70">
        <f>CurrentMtgRatesDataTable8[[#This Row],[Servicing Spread Non-Zero]]-L1665</f>
        <v>9.4738007799576973E-2</v>
      </c>
      <c r="N1666" s="70">
        <f>IF(J1665&lt;&gt;0,CurrentMtgRatesDataTable8[[#This Row],[Rate]]-C1665,N1665)</f>
        <v>-1.0000000000000675E-2</v>
      </c>
    </row>
    <row r="1667" spans="1:14">
      <c r="A1667" s="67" t="s">
        <v>3019</v>
      </c>
      <c r="B1667" s="68">
        <v>3.5744549502502401</v>
      </c>
      <c r="C1667" s="69">
        <v>4.4649999999999999</v>
      </c>
      <c r="D1667" s="70">
        <f t="shared" si="175"/>
        <v>1</v>
      </c>
      <c r="E1667" s="70">
        <f t="shared" si="176"/>
        <v>0.2</v>
      </c>
      <c r="F1667" s="70">
        <f t="shared" si="177"/>
        <v>1</v>
      </c>
      <c r="G1667" s="70">
        <f t="shared" si="178"/>
        <v>0.71489099005004808</v>
      </c>
      <c r="H1667" s="70">
        <f t="shared" si="179"/>
        <v>0.2</v>
      </c>
      <c r="I1667" s="70">
        <f t="shared" si="180"/>
        <v>0</v>
      </c>
      <c r="J1667" s="70">
        <f t="shared" si="181"/>
        <v>0</v>
      </c>
      <c r="K1667" s="70">
        <f>IF(CurrentMtgRatesDataTable8[[#This Row],[WA CC]]&lt;&gt;0,C1666-CurrentMtgRatesDataTable8[[#This Row],[WA CC]],0)</f>
        <v>0</v>
      </c>
      <c r="L1667" s="70">
        <f>IF(CurrentMtgRatesDataTable8[[#This Row],[Servicing Spread]]&lt;=0,L1666,CurrentMtgRatesDataTable8[[#This Row],[Servicing Spread]])</f>
        <v>0.87076119265222918</v>
      </c>
      <c r="M1667" s="70">
        <f>CurrentMtgRatesDataTable8[[#This Row],[Servicing Spread Non-Zero]]-L1666</f>
        <v>0</v>
      </c>
      <c r="N1667" s="70">
        <f>IF(J1666&lt;&gt;0,CurrentMtgRatesDataTable8[[#This Row],[Rate]]-C1666,N1666)</f>
        <v>-1.9999999999999574E-2</v>
      </c>
    </row>
    <row r="1668" spans="1:14">
      <c r="A1668" s="67" t="s">
        <v>3020</v>
      </c>
      <c r="B1668" s="68">
        <v>3.6186192566546098</v>
      </c>
      <c r="C1668" s="69">
        <v>4.4649999999999999</v>
      </c>
      <c r="D1668" s="70">
        <f t="shared" si="175"/>
        <v>2</v>
      </c>
      <c r="E1668" s="70">
        <f t="shared" si="176"/>
        <v>0.2</v>
      </c>
      <c r="F1668" s="70">
        <f t="shared" si="177"/>
        <v>2</v>
      </c>
      <c r="G1668" s="70">
        <f t="shared" si="178"/>
        <v>1.4386148413809701</v>
      </c>
      <c r="H1668" s="70">
        <f t="shared" si="179"/>
        <v>0.4</v>
      </c>
      <c r="I1668" s="70">
        <f t="shared" si="180"/>
        <v>0</v>
      </c>
      <c r="J1668" s="70">
        <f t="shared" si="181"/>
        <v>0</v>
      </c>
      <c r="K1668" s="70">
        <f>IF(CurrentMtgRatesDataTable8[[#This Row],[WA CC]]&lt;&gt;0,C1667-CurrentMtgRatesDataTable8[[#This Row],[WA CC]],0)</f>
        <v>0</v>
      </c>
      <c r="L1668" s="70">
        <f>IF(CurrentMtgRatesDataTable8[[#This Row],[Servicing Spread]]&lt;=0,L1667,CurrentMtgRatesDataTable8[[#This Row],[Servicing Spread]])</f>
        <v>0.87076119265222918</v>
      </c>
      <c r="M1668" s="70">
        <f>CurrentMtgRatesDataTable8[[#This Row],[Servicing Spread Non-Zero]]-L1667</f>
        <v>0</v>
      </c>
      <c r="N1668" s="70">
        <f>IF(J1667&lt;&gt;0,CurrentMtgRatesDataTable8[[#This Row],[Rate]]-C1667,N1667)</f>
        <v>-1.9999999999999574E-2</v>
      </c>
    </row>
    <row r="1669" spans="1:14">
      <c r="A1669" s="67" t="s">
        <v>3021</v>
      </c>
      <c r="B1669" s="68">
        <v>3.62029695072312</v>
      </c>
      <c r="C1669" s="69">
        <v>4.4649999999999999</v>
      </c>
      <c r="D1669" s="70">
        <f t="shared" ref="D1669:D1732" si="182">WEEKDAY(A1669,14)</f>
        <v>5</v>
      </c>
      <c r="E1669" s="70">
        <f t="shared" ref="E1669:E1732" si="183">VLOOKUP(D1669,Q$5:R$11,2,FALSE)</f>
        <v>0.2</v>
      </c>
      <c r="F1669" s="70">
        <f t="shared" ref="F1669:F1732" si="184">IF(AND(D1669&gt;D1668,F1668&lt;6),F1668+1,1)</f>
        <v>3</v>
      </c>
      <c r="G1669" s="70">
        <f t="shared" ref="G1669:G1732" si="185">IF(F1669&gt;F1668,G1668+B1669*E1669,B1669*E1669)</f>
        <v>2.1626742315255942</v>
      </c>
      <c r="H1669" s="70">
        <f t="shared" ref="H1669:H1732" si="186">IF(AND(F1669&lt;6,F1669&gt;F1668),E1669+H1668,E1669)</f>
        <v>0.60000000000000009</v>
      </c>
      <c r="I1669" s="70">
        <f t="shared" ref="I1669:I1732" si="187">IF(F1669&gt;F1670,1,0)</f>
        <v>0</v>
      </c>
      <c r="J1669" s="70">
        <f t="shared" ref="J1669:J1732" si="188">IF(F1669&gt;F1670,G1669/H1669,0)</f>
        <v>0</v>
      </c>
      <c r="K1669" s="70">
        <f>IF(CurrentMtgRatesDataTable8[[#This Row],[WA CC]]&lt;&gt;0,C1668-CurrentMtgRatesDataTable8[[#This Row],[WA CC]],0)</f>
        <v>0</v>
      </c>
      <c r="L1669" s="70">
        <f>IF(CurrentMtgRatesDataTable8[[#This Row],[Servicing Spread]]&lt;=0,L1668,CurrentMtgRatesDataTable8[[#This Row],[Servicing Spread]])</f>
        <v>0.87076119265222918</v>
      </c>
      <c r="M1669" s="70">
        <f>CurrentMtgRatesDataTable8[[#This Row],[Servicing Spread Non-Zero]]-L1668</f>
        <v>0</v>
      </c>
      <c r="N1669" s="70">
        <f>IF(J1668&lt;&gt;0,CurrentMtgRatesDataTable8[[#This Row],[Rate]]-C1668,N1668)</f>
        <v>-1.9999999999999574E-2</v>
      </c>
    </row>
    <row r="1670" spans="1:14">
      <c r="A1670" s="67" t="s">
        <v>3022</v>
      </c>
      <c r="B1670" s="68">
        <v>3.61999586617174</v>
      </c>
      <c r="C1670" s="69">
        <v>4.4649999999999999</v>
      </c>
      <c r="D1670" s="70">
        <f t="shared" si="182"/>
        <v>6</v>
      </c>
      <c r="E1670" s="70">
        <f t="shared" si="183"/>
        <v>0.2</v>
      </c>
      <c r="F1670" s="70">
        <f t="shared" si="184"/>
        <v>4</v>
      </c>
      <c r="G1670" s="70">
        <f t="shared" si="185"/>
        <v>2.8866734047599421</v>
      </c>
      <c r="H1670" s="70">
        <f t="shared" si="186"/>
        <v>0.8</v>
      </c>
      <c r="I1670" s="70">
        <f t="shared" si="187"/>
        <v>0</v>
      </c>
      <c r="J1670" s="70">
        <f t="shared" si="188"/>
        <v>0</v>
      </c>
      <c r="K1670" s="70">
        <f>IF(CurrentMtgRatesDataTable8[[#This Row],[WA CC]]&lt;&gt;0,C1669-CurrentMtgRatesDataTable8[[#This Row],[WA CC]],0)</f>
        <v>0</v>
      </c>
      <c r="L1670" s="70">
        <f>IF(CurrentMtgRatesDataTable8[[#This Row],[Servicing Spread]]&lt;=0,L1669,CurrentMtgRatesDataTable8[[#This Row],[Servicing Spread]])</f>
        <v>0.87076119265222918</v>
      </c>
      <c r="M1670" s="70">
        <f>CurrentMtgRatesDataTable8[[#This Row],[Servicing Spread Non-Zero]]-L1669</f>
        <v>0</v>
      </c>
      <c r="N1670" s="70">
        <f>IF(J1669&lt;&gt;0,CurrentMtgRatesDataTable8[[#This Row],[Rate]]-C1669,N1669)</f>
        <v>-1.9999999999999574E-2</v>
      </c>
    </row>
    <row r="1671" spans="1:14">
      <c r="A1671" s="67" t="s">
        <v>3023</v>
      </c>
      <c r="B1671" s="68">
        <v>3.5712445785635301</v>
      </c>
      <c r="C1671" s="69">
        <v>4.4649999999999999</v>
      </c>
      <c r="D1671" s="70">
        <f t="shared" si="182"/>
        <v>7</v>
      </c>
      <c r="E1671" s="70">
        <f t="shared" si="183"/>
        <v>0.2</v>
      </c>
      <c r="F1671" s="70">
        <f t="shared" si="184"/>
        <v>5</v>
      </c>
      <c r="G1671" s="70">
        <f t="shared" si="185"/>
        <v>3.6009223204726482</v>
      </c>
      <c r="H1671" s="70">
        <f t="shared" si="186"/>
        <v>1</v>
      </c>
      <c r="I1671" s="70">
        <f t="shared" si="187"/>
        <v>1</v>
      </c>
      <c r="J1671" s="70">
        <f t="shared" si="188"/>
        <v>3.6009223204726482</v>
      </c>
      <c r="K1671" s="70">
        <f>IF(CurrentMtgRatesDataTable8[[#This Row],[WA CC]]&lt;&gt;0,C1670-CurrentMtgRatesDataTable8[[#This Row],[WA CC]],0)</f>
        <v>0.86407767952735171</v>
      </c>
      <c r="L1671" s="70">
        <f>IF(CurrentMtgRatesDataTable8[[#This Row],[Servicing Spread]]&lt;=0,L1670,CurrentMtgRatesDataTable8[[#This Row],[Servicing Spread]])</f>
        <v>0.86407767952735171</v>
      </c>
      <c r="M1671" s="70">
        <f>CurrentMtgRatesDataTable8[[#This Row],[Servicing Spread Non-Zero]]-L1670</f>
        <v>-6.6835131248774715E-3</v>
      </c>
      <c r="N1671" s="70">
        <f>IF(J1670&lt;&gt;0,CurrentMtgRatesDataTable8[[#This Row],[Rate]]-C1670,N1670)</f>
        <v>-1.9999999999999574E-2</v>
      </c>
    </row>
    <row r="1672" spans="1:14">
      <c r="A1672" s="67" t="s">
        <v>3024</v>
      </c>
      <c r="B1672" s="68">
        <v>3.5563108510344099</v>
      </c>
      <c r="C1672" s="69">
        <v>4.415</v>
      </c>
      <c r="D1672" s="70">
        <f t="shared" si="182"/>
        <v>1</v>
      </c>
      <c r="E1672" s="70">
        <f t="shared" si="183"/>
        <v>0.2</v>
      </c>
      <c r="F1672" s="70">
        <f t="shared" si="184"/>
        <v>1</v>
      </c>
      <c r="G1672" s="70">
        <f t="shared" si="185"/>
        <v>0.71126217020688198</v>
      </c>
      <c r="H1672" s="70">
        <f t="shared" si="186"/>
        <v>0.2</v>
      </c>
      <c r="I1672" s="70">
        <f t="shared" si="187"/>
        <v>0</v>
      </c>
      <c r="J1672" s="70">
        <f t="shared" si="188"/>
        <v>0</v>
      </c>
      <c r="K1672" s="70">
        <f>IF(CurrentMtgRatesDataTable8[[#This Row],[WA CC]]&lt;&gt;0,C1671-CurrentMtgRatesDataTable8[[#This Row],[WA CC]],0)</f>
        <v>0</v>
      </c>
      <c r="L1672" s="70">
        <f>IF(CurrentMtgRatesDataTable8[[#This Row],[Servicing Spread]]&lt;=0,L1671,CurrentMtgRatesDataTable8[[#This Row],[Servicing Spread]])</f>
        <v>0.86407767952735171</v>
      </c>
      <c r="M1672" s="70">
        <f>CurrentMtgRatesDataTable8[[#This Row],[Servicing Spread Non-Zero]]-L1671</f>
        <v>0</v>
      </c>
      <c r="N1672" s="70">
        <f>IF(J1671&lt;&gt;0,CurrentMtgRatesDataTable8[[#This Row],[Rate]]-C1671,N1671)</f>
        <v>-4.9999999999999822E-2</v>
      </c>
    </row>
    <row r="1673" spans="1:14">
      <c r="A1673" s="67" t="s">
        <v>3025</v>
      </c>
      <c r="B1673" s="68">
        <v>3.4896878921206298</v>
      </c>
      <c r="C1673" s="69">
        <v>4.415</v>
      </c>
      <c r="D1673" s="70">
        <f t="shared" si="182"/>
        <v>2</v>
      </c>
      <c r="E1673" s="70">
        <f t="shared" si="183"/>
        <v>0.2</v>
      </c>
      <c r="F1673" s="70">
        <f t="shared" si="184"/>
        <v>2</v>
      </c>
      <c r="G1673" s="70">
        <f t="shared" si="185"/>
        <v>1.4091997486310079</v>
      </c>
      <c r="H1673" s="70">
        <f t="shared" si="186"/>
        <v>0.4</v>
      </c>
      <c r="I1673" s="70">
        <f t="shared" si="187"/>
        <v>0</v>
      </c>
      <c r="J1673" s="70">
        <f t="shared" si="188"/>
        <v>0</v>
      </c>
      <c r="K1673" s="70">
        <f>IF(CurrentMtgRatesDataTable8[[#This Row],[WA CC]]&lt;&gt;0,C1672-CurrentMtgRatesDataTable8[[#This Row],[WA CC]],0)</f>
        <v>0</v>
      </c>
      <c r="L1673" s="70">
        <f>IF(CurrentMtgRatesDataTable8[[#This Row],[Servicing Spread]]&lt;=0,L1672,CurrentMtgRatesDataTable8[[#This Row],[Servicing Spread]])</f>
        <v>0.86407767952735171</v>
      </c>
      <c r="M1673" s="70">
        <f>CurrentMtgRatesDataTable8[[#This Row],[Servicing Spread Non-Zero]]-L1672</f>
        <v>0</v>
      </c>
      <c r="N1673" s="70">
        <f>IF(J1672&lt;&gt;0,CurrentMtgRatesDataTable8[[#This Row],[Rate]]-C1672,N1672)</f>
        <v>-4.9999999999999822E-2</v>
      </c>
    </row>
    <row r="1674" spans="1:14">
      <c r="A1674" s="67" t="s">
        <v>3026</v>
      </c>
      <c r="B1674" s="68">
        <v>3.57269688805264</v>
      </c>
      <c r="C1674" s="69">
        <v>4.415</v>
      </c>
      <c r="D1674" s="70">
        <f t="shared" si="182"/>
        <v>5</v>
      </c>
      <c r="E1674" s="70">
        <f t="shared" si="183"/>
        <v>0.2</v>
      </c>
      <c r="F1674" s="70">
        <f t="shared" si="184"/>
        <v>3</v>
      </c>
      <c r="G1674" s="70">
        <f t="shared" si="185"/>
        <v>2.1237391262415359</v>
      </c>
      <c r="H1674" s="70">
        <f t="shared" si="186"/>
        <v>0.60000000000000009</v>
      </c>
      <c r="I1674" s="70">
        <f t="shared" si="187"/>
        <v>0</v>
      </c>
      <c r="J1674" s="70">
        <f t="shared" si="188"/>
        <v>0</v>
      </c>
      <c r="K1674" s="70">
        <f>IF(CurrentMtgRatesDataTable8[[#This Row],[WA CC]]&lt;&gt;0,C1673-CurrentMtgRatesDataTable8[[#This Row],[WA CC]],0)</f>
        <v>0</v>
      </c>
      <c r="L1674" s="70">
        <f>IF(CurrentMtgRatesDataTable8[[#This Row],[Servicing Spread]]&lt;=0,L1673,CurrentMtgRatesDataTable8[[#This Row],[Servicing Spread]])</f>
        <v>0.86407767952735171</v>
      </c>
      <c r="M1674" s="70">
        <f>CurrentMtgRatesDataTable8[[#This Row],[Servicing Spread Non-Zero]]-L1673</f>
        <v>0</v>
      </c>
      <c r="N1674" s="70">
        <f>IF(J1673&lt;&gt;0,CurrentMtgRatesDataTable8[[#This Row],[Rate]]-C1673,N1673)</f>
        <v>-4.9999999999999822E-2</v>
      </c>
    </row>
    <row r="1675" spans="1:14">
      <c r="A1675" s="67" t="s">
        <v>3027</v>
      </c>
      <c r="B1675" s="68">
        <v>3.5231448518386399</v>
      </c>
      <c r="C1675" s="69">
        <v>4.415</v>
      </c>
      <c r="D1675" s="70">
        <f t="shared" si="182"/>
        <v>6</v>
      </c>
      <c r="E1675" s="70">
        <f t="shared" si="183"/>
        <v>0.2</v>
      </c>
      <c r="F1675" s="70">
        <f t="shared" si="184"/>
        <v>4</v>
      </c>
      <c r="G1675" s="70">
        <f t="shared" si="185"/>
        <v>2.8283680966092639</v>
      </c>
      <c r="H1675" s="70">
        <f t="shared" si="186"/>
        <v>0.8</v>
      </c>
      <c r="I1675" s="70">
        <f t="shared" si="187"/>
        <v>0</v>
      </c>
      <c r="J1675" s="70">
        <f t="shared" si="188"/>
        <v>0</v>
      </c>
      <c r="K1675" s="70">
        <f>IF(CurrentMtgRatesDataTable8[[#This Row],[WA CC]]&lt;&gt;0,C1674-CurrentMtgRatesDataTable8[[#This Row],[WA CC]],0)</f>
        <v>0</v>
      </c>
      <c r="L1675" s="70">
        <f>IF(CurrentMtgRatesDataTable8[[#This Row],[Servicing Spread]]&lt;=0,L1674,CurrentMtgRatesDataTable8[[#This Row],[Servicing Spread]])</f>
        <v>0.86407767952735171</v>
      </c>
      <c r="M1675" s="70">
        <f>CurrentMtgRatesDataTable8[[#This Row],[Servicing Spread Non-Zero]]-L1674</f>
        <v>0</v>
      </c>
      <c r="N1675" s="70">
        <f>IF(J1674&lt;&gt;0,CurrentMtgRatesDataTable8[[#This Row],[Rate]]-C1674,N1674)</f>
        <v>-4.9999999999999822E-2</v>
      </c>
    </row>
    <row r="1676" spans="1:14">
      <c r="A1676" s="67" t="s">
        <v>3028</v>
      </c>
      <c r="B1676" s="68">
        <v>3.5817037313601801</v>
      </c>
      <c r="C1676" s="69">
        <v>4.415</v>
      </c>
      <c r="D1676" s="70">
        <f t="shared" si="182"/>
        <v>7</v>
      </c>
      <c r="E1676" s="70">
        <f t="shared" si="183"/>
        <v>0.2</v>
      </c>
      <c r="F1676" s="70">
        <f t="shared" si="184"/>
        <v>5</v>
      </c>
      <c r="G1676" s="70">
        <f t="shared" si="185"/>
        <v>3.5447088428812998</v>
      </c>
      <c r="H1676" s="70">
        <f t="shared" si="186"/>
        <v>1</v>
      </c>
      <c r="I1676" s="70">
        <f t="shared" si="187"/>
        <v>1</v>
      </c>
      <c r="J1676" s="70">
        <f t="shared" si="188"/>
        <v>3.5447088428812998</v>
      </c>
      <c r="K1676" s="70">
        <f>IF(CurrentMtgRatesDataTable8[[#This Row],[WA CC]]&lt;&gt;0,C1675-CurrentMtgRatesDataTable8[[#This Row],[WA CC]],0)</f>
        <v>0.8702911571187002</v>
      </c>
      <c r="L1676" s="70">
        <f>IF(CurrentMtgRatesDataTable8[[#This Row],[Servicing Spread]]&lt;=0,L1675,CurrentMtgRatesDataTable8[[#This Row],[Servicing Spread]])</f>
        <v>0.8702911571187002</v>
      </c>
      <c r="M1676" s="70">
        <f>CurrentMtgRatesDataTable8[[#This Row],[Servicing Spread Non-Zero]]-L1675</f>
        <v>6.213477591348493E-3</v>
      </c>
      <c r="N1676" s="70">
        <f>IF(J1675&lt;&gt;0,CurrentMtgRatesDataTable8[[#This Row],[Rate]]-C1675,N1675)</f>
        <v>-4.9999999999999822E-2</v>
      </c>
    </row>
    <row r="1677" spans="1:14">
      <c r="A1677" s="67" t="s">
        <v>3029</v>
      </c>
      <c r="B1677" s="68">
        <v>3.5533724108576199</v>
      </c>
      <c r="C1677" s="69">
        <v>4.3650000000000002</v>
      </c>
      <c r="D1677" s="70">
        <f t="shared" si="182"/>
        <v>1</v>
      </c>
      <c r="E1677" s="70">
        <f t="shared" si="183"/>
        <v>0.2</v>
      </c>
      <c r="F1677" s="70">
        <f t="shared" si="184"/>
        <v>1</v>
      </c>
      <c r="G1677" s="70">
        <f t="shared" si="185"/>
        <v>0.71067448217152407</v>
      </c>
      <c r="H1677" s="70">
        <f t="shared" si="186"/>
        <v>0.2</v>
      </c>
      <c r="I1677" s="70">
        <f t="shared" si="187"/>
        <v>0</v>
      </c>
      <c r="J1677" s="70">
        <f t="shared" si="188"/>
        <v>0</v>
      </c>
      <c r="K1677" s="70">
        <f>IF(CurrentMtgRatesDataTable8[[#This Row],[WA CC]]&lt;&gt;0,C1676-CurrentMtgRatesDataTable8[[#This Row],[WA CC]],0)</f>
        <v>0</v>
      </c>
      <c r="L1677" s="70">
        <f>IF(CurrentMtgRatesDataTable8[[#This Row],[Servicing Spread]]&lt;=0,L1676,CurrentMtgRatesDataTable8[[#This Row],[Servicing Spread]])</f>
        <v>0.8702911571187002</v>
      </c>
      <c r="M1677" s="70">
        <f>CurrentMtgRatesDataTable8[[#This Row],[Servicing Spread Non-Zero]]-L1676</f>
        <v>0</v>
      </c>
      <c r="N1677" s="70">
        <f>IF(J1676&lt;&gt;0,CurrentMtgRatesDataTable8[[#This Row],[Rate]]-C1676,N1676)</f>
        <v>-4.9999999999999822E-2</v>
      </c>
    </row>
    <row r="1678" spans="1:14">
      <c r="A1678" s="67" t="s">
        <v>3030</v>
      </c>
      <c r="B1678" s="68">
        <v>3.4895808718983901</v>
      </c>
      <c r="C1678" s="69">
        <v>4.3650000000000002</v>
      </c>
      <c r="D1678" s="70">
        <f t="shared" si="182"/>
        <v>2</v>
      </c>
      <c r="E1678" s="70">
        <f t="shared" si="183"/>
        <v>0.2</v>
      </c>
      <c r="F1678" s="70">
        <f t="shared" si="184"/>
        <v>2</v>
      </c>
      <c r="G1678" s="70">
        <f t="shared" si="185"/>
        <v>1.4085906565512021</v>
      </c>
      <c r="H1678" s="70">
        <f t="shared" si="186"/>
        <v>0.4</v>
      </c>
      <c r="I1678" s="70">
        <f t="shared" si="187"/>
        <v>0</v>
      </c>
      <c r="J1678" s="70">
        <f t="shared" si="188"/>
        <v>0</v>
      </c>
      <c r="K1678" s="70">
        <f>IF(CurrentMtgRatesDataTable8[[#This Row],[WA CC]]&lt;&gt;0,C1677-CurrentMtgRatesDataTable8[[#This Row],[WA CC]],0)</f>
        <v>0</v>
      </c>
      <c r="L1678" s="70">
        <f>IF(CurrentMtgRatesDataTable8[[#This Row],[Servicing Spread]]&lt;=0,L1677,CurrentMtgRatesDataTable8[[#This Row],[Servicing Spread]])</f>
        <v>0.8702911571187002</v>
      </c>
      <c r="M1678" s="70">
        <f>CurrentMtgRatesDataTable8[[#This Row],[Servicing Spread Non-Zero]]-L1677</f>
        <v>0</v>
      </c>
      <c r="N1678" s="70">
        <f>IF(J1677&lt;&gt;0,CurrentMtgRatesDataTable8[[#This Row],[Rate]]-C1677,N1677)</f>
        <v>-4.9999999999999822E-2</v>
      </c>
    </row>
    <row r="1679" spans="1:14">
      <c r="A1679" s="67" t="s">
        <v>3031</v>
      </c>
      <c r="B1679" s="68">
        <v>3.49180448486619</v>
      </c>
      <c r="C1679" s="69">
        <v>4.3650000000000002</v>
      </c>
      <c r="D1679" s="70">
        <f t="shared" si="182"/>
        <v>5</v>
      </c>
      <c r="E1679" s="70">
        <f t="shared" si="183"/>
        <v>0.2</v>
      </c>
      <c r="F1679" s="70">
        <f t="shared" si="184"/>
        <v>3</v>
      </c>
      <c r="G1679" s="70">
        <f t="shared" si="185"/>
        <v>2.1069515535244401</v>
      </c>
      <c r="H1679" s="70">
        <f t="shared" si="186"/>
        <v>0.60000000000000009</v>
      </c>
      <c r="I1679" s="70">
        <f t="shared" si="187"/>
        <v>0</v>
      </c>
      <c r="J1679" s="70">
        <f t="shared" si="188"/>
        <v>0</v>
      </c>
      <c r="K1679" s="70">
        <f>IF(CurrentMtgRatesDataTable8[[#This Row],[WA CC]]&lt;&gt;0,C1678-CurrentMtgRatesDataTable8[[#This Row],[WA CC]],0)</f>
        <v>0</v>
      </c>
      <c r="L1679" s="70">
        <f>IF(CurrentMtgRatesDataTable8[[#This Row],[Servicing Spread]]&lt;=0,L1678,CurrentMtgRatesDataTable8[[#This Row],[Servicing Spread]])</f>
        <v>0.8702911571187002</v>
      </c>
      <c r="M1679" s="70">
        <f>CurrentMtgRatesDataTable8[[#This Row],[Servicing Spread Non-Zero]]-L1678</f>
        <v>0</v>
      </c>
      <c r="N1679" s="70">
        <f>IF(J1678&lt;&gt;0,CurrentMtgRatesDataTable8[[#This Row],[Rate]]-C1678,N1678)</f>
        <v>-4.9999999999999822E-2</v>
      </c>
    </row>
    <row r="1680" spans="1:14">
      <c r="A1680" s="67" t="s">
        <v>3032</v>
      </c>
      <c r="B1680" s="68">
        <v>3.4542970342524599</v>
      </c>
      <c r="C1680" s="69">
        <v>4.3650000000000002</v>
      </c>
      <c r="D1680" s="70">
        <f t="shared" si="182"/>
        <v>6</v>
      </c>
      <c r="E1680" s="70">
        <f t="shared" si="183"/>
        <v>0.2</v>
      </c>
      <c r="F1680" s="70">
        <f t="shared" si="184"/>
        <v>4</v>
      </c>
      <c r="G1680" s="70">
        <f t="shared" si="185"/>
        <v>2.7978109603749322</v>
      </c>
      <c r="H1680" s="70">
        <f t="shared" si="186"/>
        <v>0.8</v>
      </c>
      <c r="I1680" s="70">
        <f t="shared" si="187"/>
        <v>0</v>
      </c>
      <c r="J1680" s="70">
        <f t="shared" si="188"/>
        <v>0</v>
      </c>
      <c r="K1680" s="70">
        <f>IF(CurrentMtgRatesDataTable8[[#This Row],[WA CC]]&lt;&gt;0,C1679-CurrentMtgRatesDataTable8[[#This Row],[WA CC]],0)</f>
        <v>0</v>
      </c>
      <c r="L1680" s="70">
        <f>IF(CurrentMtgRatesDataTable8[[#This Row],[Servicing Spread]]&lt;=0,L1679,CurrentMtgRatesDataTable8[[#This Row],[Servicing Spread]])</f>
        <v>0.8702911571187002</v>
      </c>
      <c r="M1680" s="70">
        <f>CurrentMtgRatesDataTable8[[#This Row],[Servicing Spread Non-Zero]]-L1679</f>
        <v>0</v>
      </c>
      <c r="N1680" s="70">
        <f>IF(J1679&lt;&gt;0,CurrentMtgRatesDataTable8[[#This Row],[Rate]]-C1679,N1679)</f>
        <v>-4.9999999999999822E-2</v>
      </c>
    </row>
    <row r="1681" spans="1:14">
      <c r="A1681" s="67" t="s">
        <v>3033</v>
      </c>
      <c r="B1681" s="68">
        <v>3.35854987033981</v>
      </c>
      <c r="C1681" s="69">
        <v>4.3650000000000002</v>
      </c>
      <c r="D1681" s="70">
        <f t="shared" si="182"/>
        <v>7</v>
      </c>
      <c r="E1681" s="70">
        <f t="shared" si="183"/>
        <v>0.2</v>
      </c>
      <c r="F1681" s="70">
        <f t="shared" si="184"/>
        <v>5</v>
      </c>
      <c r="G1681" s="70">
        <f t="shared" si="185"/>
        <v>3.4695209344428943</v>
      </c>
      <c r="H1681" s="70">
        <f t="shared" si="186"/>
        <v>1</v>
      </c>
      <c r="I1681" s="70">
        <f t="shared" si="187"/>
        <v>1</v>
      </c>
      <c r="J1681" s="70">
        <f t="shared" si="188"/>
        <v>3.4695209344428943</v>
      </c>
      <c r="K1681" s="70">
        <f>IF(CurrentMtgRatesDataTable8[[#This Row],[WA CC]]&lt;&gt;0,C1680-CurrentMtgRatesDataTable8[[#This Row],[WA CC]],0)</f>
        <v>0.89547906555710588</v>
      </c>
      <c r="L1681" s="70">
        <f>IF(CurrentMtgRatesDataTable8[[#This Row],[Servicing Spread]]&lt;=0,L1680,CurrentMtgRatesDataTable8[[#This Row],[Servicing Spread]])</f>
        <v>0.89547906555710588</v>
      </c>
      <c r="M1681" s="70">
        <f>CurrentMtgRatesDataTable8[[#This Row],[Servicing Spread Non-Zero]]-L1680</f>
        <v>2.5187908438405682E-2</v>
      </c>
      <c r="N1681" s="70">
        <f>IF(J1680&lt;&gt;0,CurrentMtgRatesDataTable8[[#This Row],[Rate]]-C1680,N1680)</f>
        <v>-4.9999999999999822E-2</v>
      </c>
    </row>
    <row r="1682" spans="1:14">
      <c r="A1682" s="67" t="s">
        <v>3034</v>
      </c>
      <c r="B1682" s="68">
        <v>3.4547274007447699</v>
      </c>
      <c r="C1682" s="69">
        <v>4.3449999999999998</v>
      </c>
      <c r="D1682" s="70">
        <f t="shared" si="182"/>
        <v>1</v>
      </c>
      <c r="E1682" s="70">
        <f t="shared" si="183"/>
        <v>0.2</v>
      </c>
      <c r="F1682" s="70">
        <f t="shared" si="184"/>
        <v>1</v>
      </c>
      <c r="G1682" s="70">
        <f t="shared" si="185"/>
        <v>0.69094548014895407</v>
      </c>
      <c r="H1682" s="70">
        <f t="shared" si="186"/>
        <v>0.2</v>
      </c>
      <c r="I1682" s="70">
        <f t="shared" si="187"/>
        <v>0</v>
      </c>
      <c r="J1682" s="70">
        <f t="shared" si="188"/>
        <v>0</v>
      </c>
      <c r="K1682" s="70">
        <f>IF(CurrentMtgRatesDataTable8[[#This Row],[WA CC]]&lt;&gt;0,C1681-CurrentMtgRatesDataTable8[[#This Row],[WA CC]],0)</f>
        <v>0</v>
      </c>
      <c r="L1682" s="70">
        <f>IF(CurrentMtgRatesDataTable8[[#This Row],[Servicing Spread]]&lt;=0,L1681,CurrentMtgRatesDataTable8[[#This Row],[Servicing Spread]])</f>
        <v>0.89547906555710588</v>
      </c>
      <c r="M1682" s="70">
        <f>CurrentMtgRatesDataTable8[[#This Row],[Servicing Spread Non-Zero]]-L1681</f>
        <v>0</v>
      </c>
      <c r="N1682" s="70">
        <f>IF(J1681&lt;&gt;0,CurrentMtgRatesDataTable8[[#This Row],[Rate]]-C1681,N1681)</f>
        <v>-2.0000000000000462E-2</v>
      </c>
    </row>
    <row r="1683" spans="1:14">
      <c r="A1683" s="67" t="s">
        <v>3035</v>
      </c>
      <c r="B1683" s="68">
        <v>3.3899712399776001</v>
      </c>
      <c r="C1683" s="69">
        <v>4.3449999999999998</v>
      </c>
      <c r="D1683" s="70">
        <f t="shared" si="182"/>
        <v>2</v>
      </c>
      <c r="E1683" s="70">
        <f t="shared" si="183"/>
        <v>0.2</v>
      </c>
      <c r="F1683" s="70">
        <f t="shared" si="184"/>
        <v>2</v>
      </c>
      <c r="G1683" s="70">
        <f t="shared" si="185"/>
        <v>1.3689397281444742</v>
      </c>
      <c r="H1683" s="70">
        <f t="shared" si="186"/>
        <v>0.4</v>
      </c>
      <c r="I1683" s="70">
        <f t="shared" si="187"/>
        <v>0</v>
      </c>
      <c r="J1683" s="70">
        <f t="shared" si="188"/>
        <v>0</v>
      </c>
      <c r="K1683" s="70">
        <f>IF(CurrentMtgRatesDataTable8[[#This Row],[WA CC]]&lt;&gt;0,C1682-CurrentMtgRatesDataTable8[[#This Row],[WA CC]],0)</f>
        <v>0</v>
      </c>
      <c r="L1683" s="70">
        <f>IF(CurrentMtgRatesDataTable8[[#This Row],[Servicing Spread]]&lt;=0,L1682,CurrentMtgRatesDataTable8[[#This Row],[Servicing Spread]])</f>
        <v>0.89547906555710588</v>
      </c>
      <c r="M1683" s="70">
        <f>CurrentMtgRatesDataTable8[[#This Row],[Servicing Spread Non-Zero]]-L1682</f>
        <v>0</v>
      </c>
      <c r="N1683" s="70">
        <f>IF(J1682&lt;&gt;0,CurrentMtgRatesDataTable8[[#This Row],[Rate]]-C1682,N1682)</f>
        <v>-2.0000000000000462E-2</v>
      </c>
    </row>
    <row r="1684" spans="1:14">
      <c r="A1684" s="67" t="s">
        <v>3036</v>
      </c>
      <c r="B1684" s="68">
        <v>3.3097577744325402</v>
      </c>
      <c r="C1684" s="69">
        <v>4.3449999999999998</v>
      </c>
      <c r="D1684" s="70">
        <f t="shared" si="182"/>
        <v>5</v>
      </c>
      <c r="E1684" s="70">
        <f t="shared" si="183"/>
        <v>0.2</v>
      </c>
      <c r="F1684" s="70">
        <f t="shared" si="184"/>
        <v>3</v>
      </c>
      <c r="G1684" s="70">
        <f t="shared" si="185"/>
        <v>2.0308912830309822</v>
      </c>
      <c r="H1684" s="70">
        <f t="shared" si="186"/>
        <v>0.60000000000000009</v>
      </c>
      <c r="I1684" s="70">
        <f t="shared" si="187"/>
        <v>0</v>
      </c>
      <c r="J1684" s="70">
        <f t="shared" si="188"/>
        <v>0</v>
      </c>
      <c r="K1684" s="70">
        <f>IF(CurrentMtgRatesDataTable8[[#This Row],[WA CC]]&lt;&gt;0,C1683-CurrentMtgRatesDataTable8[[#This Row],[WA CC]],0)</f>
        <v>0</v>
      </c>
      <c r="L1684" s="70">
        <f>IF(CurrentMtgRatesDataTable8[[#This Row],[Servicing Spread]]&lt;=0,L1683,CurrentMtgRatesDataTable8[[#This Row],[Servicing Spread]])</f>
        <v>0.89547906555710588</v>
      </c>
      <c r="M1684" s="70">
        <f>CurrentMtgRatesDataTable8[[#This Row],[Servicing Spread Non-Zero]]-L1683</f>
        <v>0</v>
      </c>
      <c r="N1684" s="70">
        <f>IF(J1683&lt;&gt;0,CurrentMtgRatesDataTable8[[#This Row],[Rate]]-C1683,N1683)</f>
        <v>-2.0000000000000462E-2</v>
      </c>
    </row>
    <row r="1685" spans="1:14">
      <c r="A1685" s="67" t="s">
        <v>3037</v>
      </c>
      <c r="B1685" s="68">
        <v>3.4027398981402199</v>
      </c>
      <c r="C1685" s="69">
        <v>4.3449999999999998</v>
      </c>
      <c r="D1685" s="70">
        <f t="shared" si="182"/>
        <v>6</v>
      </c>
      <c r="E1685" s="70">
        <f t="shared" si="183"/>
        <v>0.2</v>
      </c>
      <c r="F1685" s="70">
        <f t="shared" si="184"/>
        <v>4</v>
      </c>
      <c r="G1685" s="70">
        <f t="shared" si="185"/>
        <v>2.7114392626590265</v>
      </c>
      <c r="H1685" s="70">
        <f t="shared" si="186"/>
        <v>0.8</v>
      </c>
      <c r="I1685" s="70">
        <f t="shared" si="187"/>
        <v>0</v>
      </c>
      <c r="J1685" s="70">
        <f t="shared" si="188"/>
        <v>0</v>
      </c>
      <c r="K1685" s="70">
        <f>IF(CurrentMtgRatesDataTable8[[#This Row],[WA CC]]&lt;&gt;0,C1684-CurrentMtgRatesDataTable8[[#This Row],[WA CC]],0)</f>
        <v>0</v>
      </c>
      <c r="L1685" s="70">
        <f>IF(CurrentMtgRatesDataTable8[[#This Row],[Servicing Spread]]&lt;=0,L1684,CurrentMtgRatesDataTable8[[#This Row],[Servicing Spread]])</f>
        <v>0.89547906555710588</v>
      </c>
      <c r="M1685" s="70">
        <f>CurrentMtgRatesDataTable8[[#This Row],[Servicing Spread Non-Zero]]-L1684</f>
        <v>0</v>
      </c>
      <c r="N1685" s="70">
        <f>IF(J1684&lt;&gt;0,CurrentMtgRatesDataTable8[[#This Row],[Rate]]-C1684,N1684)</f>
        <v>-2.0000000000000462E-2</v>
      </c>
    </row>
    <row r="1686" spans="1:14">
      <c r="A1686" s="67" t="s">
        <v>3038</v>
      </c>
      <c r="B1686" s="68">
        <v>3.4513058656963702</v>
      </c>
      <c r="C1686" s="69">
        <v>4.3449999999999998</v>
      </c>
      <c r="D1686" s="70">
        <f t="shared" si="182"/>
        <v>7</v>
      </c>
      <c r="E1686" s="70">
        <f t="shared" si="183"/>
        <v>0.2</v>
      </c>
      <c r="F1686" s="70">
        <f t="shared" si="184"/>
        <v>5</v>
      </c>
      <c r="G1686" s="70">
        <f t="shared" si="185"/>
        <v>3.4017004357983005</v>
      </c>
      <c r="H1686" s="70">
        <f t="shared" si="186"/>
        <v>1</v>
      </c>
      <c r="I1686" s="70">
        <f t="shared" si="187"/>
        <v>1</v>
      </c>
      <c r="J1686" s="70">
        <f t="shared" si="188"/>
        <v>3.4017004357983005</v>
      </c>
      <c r="K1686" s="70">
        <f>IF(CurrentMtgRatesDataTable8[[#This Row],[WA CC]]&lt;&gt;0,C1685-CurrentMtgRatesDataTable8[[#This Row],[WA CC]],0)</f>
        <v>0.94329956420169925</v>
      </c>
      <c r="L1686" s="70">
        <f>IF(CurrentMtgRatesDataTable8[[#This Row],[Servicing Spread]]&lt;=0,L1685,CurrentMtgRatesDataTable8[[#This Row],[Servicing Spread]])</f>
        <v>0.94329956420169925</v>
      </c>
      <c r="M1686" s="70">
        <f>CurrentMtgRatesDataTable8[[#This Row],[Servicing Spread Non-Zero]]-L1685</f>
        <v>4.7820498644593368E-2</v>
      </c>
      <c r="N1686" s="70">
        <f>IF(J1685&lt;&gt;0,CurrentMtgRatesDataTable8[[#This Row],[Rate]]-C1685,N1685)</f>
        <v>-2.0000000000000462E-2</v>
      </c>
    </row>
    <row r="1687" spans="1:14">
      <c r="A1687" s="67" t="s">
        <v>3039</v>
      </c>
      <c r="B1687" s="68">
        <v>3.3146540643406799</v>
      </c>
      <c r="C1687" s="69">
        <v>4.2850000000000001</v>
      </c>
      <c r="D1687" s="70">
        <f t="shared" si="182"/>
        <v>1</v>
      </c>
      <c r="E1687" s="70">
        <f t="shared" si="183"/>
        <v>0.2</v>
      </c>
      <c r="F1687" s="70">
        <f t="shared" si="184"/>
        <v>1</v>
      </c>
      <c r="G1687" s="70">
        <f t="shared" si="185"/>
        <v>0.66293081286813604</v>
      </c>
      <c r="H1687" s="70">
        <f t="shared" si="186"/>
        <v>0.2</v>
      </c>
      <c r="I1687" s="70">
        <f t="shared" si="187"/>
        <v>0</v>
      </c>
      <c r="J1687" s="70">
        <f t="shared" si="188"/>
        <v>0</v>
      </c>
      <c r="K1687" s="70">
        <f>IF(CurrentMtgRatesDataTable8[[#This Row],[WA CC]]&lt;&gt;0,C1686-CurrentMtgRatesDataTable8[[#This Row],[WA CC]],0)</f>
        <v>0</v>
      </c>
      <c r="L1687" s="70">
        <f>IF(CurrentMtgRatesDataTable8[[#This Row],[Servicing Spread]]&lt;=0,L1686,CurrentMtgRatesDataTable8[[#This Row],[Servicing Spread]])</f>
        <v>0.94329956420169925</v>
      </c>
      <c r="M1687" s="70">
        <f>CurrentMtgRatesDataTable8[[#This Row],[Servicing Spread Non-Zero]]-L1686</f>
        <v>0</v>
      </c>
      <c r="N1687" s="70">
        <f>IF(J1686&lt;&gt;0,CurrentMtgRatesDataTable8[[#This Row],[Rate]]-C1686,N1686)</f>
        <v>-5.9999999999999609E-2</v>
      </c>
    </row>
    <row r="1688" spans="1:14">
      <c r="A1688" s="67" t="s">
        <v>3040</v>
      </c>
      <c r="B1688" s="68">
        <v>3.4259342822959402</v>
      </c>
      <c r="C1688" s="69">
        <v>4.2850000000000001</v>
      </c>
      <c r="D1688" s="70">
        <f t="shared" si="182"/>
        <v>2</v>
      </c>
      <c r="E1688" s="70">
        <f t="shared" si="183"/>
        <v>0.2</v>
      </c>
      <c r="F1688" s="70">
        <f t="shared" si="184"/>
        <v>2</v>
      </c>
      <c r="G1688" s="70">
        <f t="shared" si="185"/>
        <v>1.348117669327324</v>
      </c>
      <c r="H1688" s="70">
        <f t="shared" si="186"/>
        <v>0.4</v>
      </c>
      <c r="I1688" s="70">
        <f t="shared" si="187"/>
        <v>0</v>
      </c>
      <c r="J1688" s="70">
        <f t="shared" si="188"/>
        <v>0</v>
      </c>
      <c r="K1688" s="70">
        <f>IF(CurrentMtgRatesDataTable8[[#This Row],[WA CC]]&lt;&gt;0,C1687-CurrentMtgRatesDataTable8[[#This Row],[WA CC]],0)</f>
        <v>0</v>
      </c>
      <c r="L1688" s="70">
        <f>IF(CurrentMtgRatesDataTable8[[#This Row],[Servicing Spread]]&lt;=0,L1687,CurrentMtgRatesDataTable8[[#This Row],[Servicing Spread]])</f>
        <v>0.94329956420169925</v>
      </c>
      <c r="M1688" s="70">
        <f>CurrentMtgRatesDataTable8[[#This Row],[Servicing Spread Non-Zero]]-L1687</f>
        <v>0</v>
      </c>
      <c r="N1688" s="70">
        <f>IF(J1687&lt;&gt;0,CurrentMtgRatesDataTable8[[#This Row],[Rate]]-C1687,N1687)</f>
        <v>-5.9999999999999609E-2</v>
      </c>
    </row>
    <row r="1689" spans="1:14">
      <c r="A1689" s="67" t="s">
        <v>3041</v>
      </c>
      <c r="B1689" s="68">
        <v>3.4281900657226099</v>
      </c>
      <c r="C1689" s="69">
        <v>4.2850000000000001</v>
      </c>
      <c r="D1689" s="70">
        <f t="shared" si="182"/>
        <v>5</v>
      </c>
      <c r="E1689" s="70">
        <f t="shared" si="183"/>
        <v>0.2</v>
      </c>
      <c r="F1689" s="70">
        <f t="shared" si="184"/>
        <v>3</v>
      </c>
      <c r="G1689" s="70">
        <f t="shared" si="185"/>
        <v>2.0337556824718459</v>
      </c>
      <c r="H1689" s="70">
        <f t="shared" si="186"/>
        <v>0.60000000000000009</v>
      </c>
      <c r="I1689" s="70">
        <f t="shared" si="187"/>
        <v>0</v>
      </c>
      <c r="J1689" s="70">
        <f t="shared" si="188"/>
        <v>0</v>
      </c>
      <c r="K1689" s="70">
        <f>IF(CurrentMtgRatesDataTable8[[#This Row],[WA CC]]&lt;&gt;0,C1688-CurrentMtgRatesDataTable8[[#This Row],[WA CC]],0)</f>
        <v>0</v>
      </c>
      <c r="L1689" s="70">
        <f>IF(CurrentMtgRatesDataTable8[[#This Row],[Servicing Spread]]&lt;=0,L1688,CurrentMtgRatesDataTable8[[#This Row],[Servicing Spread]])</f>
        <v>0.94329956420169925</v>
      </c>
      <c r="M1689" s="70">
        <f>CurrentMtgRatesDataTable8[[#This Row],[Servicing Spread Non-Zero]]-L1688</f>
        <v>0</v>
      </c>
      <c r="N1689" s="70">
        <f>IF(J1688&lt;&gt;0,CurrentMtgRatesDataTable8[[#This Row],[Rate]]-C1688,N1688)</f>
        <v>-5.9999999999999609E-2</v>
      </c>
    </row>
    <row r="1690" spans="1:14">
      <c r="A1690" s="67" t="s">
        <v>3042</v>
      </c>
      <c r="B1690" s="68">
        <v>3.3648256919240902</v>
      </c>
      <c r="C1690" s="69">
        <v>4.2850000000000001</v>
      </c>
      <c r="D1690" s="70">
        <f t="shared" si="182"/>
        <v>6</v>
      </c>
      <c r="E1690" s="70">
        <f t="shared" si="183"/>
        <v>0.2</v>
      </c>
      <c r="F1690" s="70">
        <f t="shared" si="184"/>
        <v>4</v>
      </c>
      <c r="G1690" s="70">
        <f t="shared" si="185"/>
        <v>2.7067208208566642</v>
      </c>
      <c r="H1690" s="70">
        <f t="shared" si="186"/>
        <v>0.8</v>
      </c>
      <c r="I1690" s="70">
        <f t="shared" si="187"/>
        <v>0</v>
      </c>
      <c r="J1690" s="70">
        <f t="shared" si="188"/>
        <v>0</v>
      </c>
      <c r="K1690" s="70">
        <f>IF(CurrentMtgRatesDataTable8[[#This Row],[WA CC]]&lt;&gt;0,C1689-CurrentMtgRatesDataTable8[[#This Row],[WA CC]],0)</f>
        <v>0</v>
      </c>
      <c r="L1690" s="70">
        <f>IF(CurrentMtgRatesDataTable8[[#This Row],[Servicing Spread]]&lt;=0,L1689,CurrentMtgRatesDataTable8[[#This Row],[Servicing Spread]])</f>
        <v>0.94329956420169925</v>
      </c>
      <c r="M1690" s="70">
        <f>CurrentMtgRatesDataTable8[[#This Row],[Servicing Spread Non-Zero]]-L1689</f>
        <v>0</v>
      </c>
      <c r="N1690" s="70">
        <f>IF(J1689&lt;&gt;0,CurrentMtgRatesDataTable8[[#This Row],[Rate]]-C1689,N1689)</f>
        <v>-5.9999999999999609E-2</v>
      </c>
    </row>
    <row r="1691" spans="1:14">
      <c r="A1691" s="67" t="s">
        <v>3043</v>
      </c>
      <c r="B1691" s="68">
        <v>3.3775667961303499</v>
      </c>
      <c r="C1691" s="69">
        <v>4.2850000000000001</v>
      </c>
      <c r="D1691" s="70">
        <f t="shared" si="182"/>
        <v>7</v>
      </c>
      <c r="E1691" s="70">
        <f t="shared" si="183"/>
        <v>0.2</v>
      </c>
      <c r="F1691" s="70">
        <f t="shared" si="184"/>
        <v>5</v>
      </c>
      <c r="G1691" s="70">
        <f t="shared" si="185"/>
        <v>3.382234180082734</v>
      </c>
      <c r="H1691" s="70">
        <f t="shared" si="186"/>
        <v>1</v>
      </c>
      <c r="I1691" s="70">
        <f t="shared" si="187"/>
        <v>1</v>
      </c>
      <c r="J1691" s="70">
        <f t="shared" si="188"/>
        <v>3.382234180082734</v>
      </c>
      <c r="K1691" s="70">
        <f>IF(CurrentMtgRatesDataTable8[[#This Row],[WA CC]]&lt;&gt;0,C1690-CurrentMtgRatesDataTable8[[#This Row],[WA CC]],0)</f>
        <v>0.90276581991726612</v>
      </c>
      <c r="L1691" s="70">
        <f>IF(CurrentMtgRatesDataTable8[[#This Row],[Servicing Spread]]&lt;=0,L1690,CurrentMtgRatesDataTable8[[#This Row],[Servicing Spread]])</f>
        <v>0.90276581991726612</v>
      </c>
      <c r="M1691" s="70">
        <f>CurrentMtgRatesDataTable8[[#This Row],[Servicing Spread Non-Zero]]-L1690</f>
        <v>-4.0533744284433126E-2</v>
      </c>
      <c r="N1691" s="70">
        <f>IF(J1690&lt;&gt;0,CurrentMtgRatesDataTable8[[#This Row],[Rate]]-C1690,N1690)</f>
        <v>-5.9999999999999609E-2</v>
      </c>
    </row>
    <row r="1692" spans="1:14">
      <c r="A1692" s="67" t="s">
        <v>3044</v>
      </c>
      <c r="B1692" s="68">
        <v>3.3148411862097</v>
      </c>
      <c r="C1692" s="69">
        <v>4.2450000000000001</v>
      </c>
      <c r="D1692" s="70">
        <f t="shared" si="182"/>
        <v>1</v>
      </c>
      <c r="E1692" s="70">
        <f t="shared" si="183"/>
        <v>0.2</v>
      </c>
      <c r="F1692" s="70">
        <f t="shared" si="184"/>
        <v>1</v>
      </c>
      <c r="G1692" s="70">
        <f t="shared" si="185"/>
        <v>0.66296823724194009</v>
      </c>
      <c r="H1692" s="70">
        <f t="shared" si="186"/>
        <v>0.2</v>
      </c>
      <c r="I1692" s="70">
        <f t="shared" si="187"/>
        <v>0</v>
      </c>
      <c r="J1692" s="70">
        <f t="shared" si="188"/>
        <v>0</v>
      </c>
      <c r="K1692" s="70">
        <f>IF(CurrentMtgRatesDataTable8[[#This Row],[WA CC]]&lt;&gt;0,C1691-CurrentMtgRatesDataTable8[[#This Row],[WA CC]],0)</f>
        <v>0</v>
      </c>
      <c r="L1692" s="70">
        <f>IF(CurrentMtgRatesDataTable8[[#This Row],[Servicing Spread]]&lt;=0,L1691,CurrentMtgRatesDataTable8[[#This Row],[Servicing Spread]])</f>
        <v>0.90276581991726612</v>
      </c>
      <c r="M1692" s="70">
        <f>CurrentMtgRatesDataTable8[[#This Row],[Servicing Spread Non-Zero]]-L1691</f>
        <v>0</v>
      </c>
      <c r="N1692" s="70">
        <f>IF(J1691&lt;&gt;0,CurrentMtgRatesDataTable8[[#This Row],[Rate]]-C1691,N1691)</f>
        <v>-4.0000000000000036E-2</v>
      </c>
    </row>
    <row r="1693" spans="1:14">
      <c r="A1693" s="67" t="s">
        <v>3045</v>
      </c>
      <c r="B1693" s="68">
        <v>3.4736376064582202</v>
      </c>
      <c r="C1693" s="69">
        <v>4.2450000000000001</v>
      </c>
      <c r="D1693" s="70">
        <f t="shared" si="182"/>
        <v>2</v>
      </c>
      <c r="E1693" s="70">
        <f t="shared" si="183"/>
        <v>0.2</v>
      </c>
      <c r="F1693" s="70">
        <f t="shared" si="184"/>
        <v>2</v>
      </c>
      <c r="G1693" s="70">
        <f t="shared" si="185"/>
        <v>1.357695758533584</v>
      </c>
      <c r="H1693" s="70">
        <f t="shared" si="186"/>
        <v>0.4</v>
      </c>
      <c r="I1693" s="70">
        <f t="shared" si="187"/>
        <v>0</v>
      </c>
      <c r="J1693" s="70">
        <f t="shared" si="188"/>
        <v>0</v>
      </c>
      <c r="K1693" s="70">
        <f>IF(CurrentMtgRatesDataTable8[[#This Row],[WA CC]]&lt;&gt;0,C1692-CurrentMtgRatesDataTable8[[#This Row],[WA CC]],0)</f>
        <v>0</v>
      </c>
      <c r="L1693" s="70">
        <f>IF(CurrentMtgRatesDataTable8[[#This Row],[Servicing Spread]]&lt;=0,L1692,CurrentMtgRatesDataTable8[[#This Row],[Servicing Spread]])</f>
        <v>0.90276581991726612</v>
      </c>
      <c r="M1693" s="70">
        <f>CurrentMtgRatesDataTable8[[#This Row],[Servicing Spread Non-Zero]]-L1692</f>
        <v>0</v>
      </c>
      <c r="N1693" s="70">
        <f>IF(J1692&lt;&gt;0,CurrentMtgRatesDataTable8[[#This Row],[Rate]]-C1692,N1692)</f>
        <v>-4.0000000000000036E-2</v>
      </c>
    </row>
    <row r="1694" spans="1:14">
      <c r="A1694" s="67" t="s">
        <v>3046</v>
      </c>
      <c r="B1694" s="68">
        <v>3.3509813047921901</v>
      </c>
      <c r="C1694" s="69">
        <v>4.2450000000000001</v>
      </c>
      <c r="D1694" s="70">
        <f t="shared" si="182"/>
        <v>5</v>
      </c>
      <c r="E1694" s="70">
        <f t="shared" si="183"/>
        <v>0.2</v>
      </c>
      <c r="F1694" s="70">
        <f t="shared" si="184"/>
        <v>3</v>
      </c>
      <c r="G1694" s="70">
        <f t="shared" si="185"/>
        <v>2.0278920194920222</v>
      </c>
      <c r="H1694" s="70">
        <f t="shared" si="186"/>
        <v>0.60000000000000009</v>
      </c>
      <c r="I1694" s="70">
        <f t="shared" si="187"/>
        <v>0</v>
      </c>
      <c r="J1694" s="70">
        <f t="shared" si="188"/>
        <v>0</v>
      </c>
      <c r="K1694" s="70">
        <f>IF(CurrentMtgRatesDataTable8[[#This Row],[WA CC]]&lt;&gt;0,C1693-CurrentMtgRatesDataTable8[[#This Row],[WA CC]],0)</f>
        <v>0</v>
      </c>
      <c r="L1694" s="70">
        <f>IF(CurrentMtgRatesDataTable8[[#This Row],[Servicing Spread]]&lt;=0,L1693,CurrentMtgRatesDataTable8[[#This Row],[Servicing Spread]])</f>
        <v>0.90276581991726612</v>
      </c>
      <c r="M1694" s="70">
        <f>CurrentMtgRatesDataTable8[[#This Row],[Servicing Spread Non-Zero]]-L1693</f>
        <v>0</v>
      </c>
      <c r="N1694" s="70">
        <f>IF(J1693&lt;&gt;0,CurrentMtgRatesDataTable8[[#This Row],[Rate]]-C1693,N1693)</f>
        <v>-4.0000000000000036E-2</v>
      </c>
    </row>
    <row r="1695" spans="1:14">
      <c r="A1695" s="67" t="s">
        <v>3047</v>
      </c>
      <c r="B1695" s="68">
        <v>3.2159138186340601</v>
      </c>
      <c r="C1695" s="69">
        <v>4.2450000000000001</v>
      </c>
      <c r="D1695" s="70">
        <f t="shared" si="182"/>
        <v>6</v>
      </c>
      <c r="E1695" s="70">
        <f t="shared" si="183"/>
        <v>0.2</v>
      </c>
      <c r="F1695" s="70">
        <f t="shared" si="184"/>
        <v>4</v>
      </c>
      <c r="G1695" s="70">
        <f t="shared" si="185"/>
        <v>2.6710747832188342</v>
      </c>
      <c r="H1695" s="70">
        <f t="shared" si="186"/>
        <v>0.8</v>
      </c>
      <c r="I1695" s="70">
        <f t="shared" si="187"/>
        <v>0</v>
      </c>
      <c r="J1695" s="70">
        <f t="shared" si="188"/>
        <v>0</v>
      </c>
      <c r="K1695" s="70">
        <f>IF(CurrentMtgRatesDataTable8[[#This Row],[WA CC]]&lt;&gt;0,C1694-CurrentMtgRatesDataTable8[[#This Row],[WA CC]],0)</f>
        <v>0</v>
      </c>
      <c r="L1695" s="70">
        <f>IF(CurrentMtgRatesDataTable8[[#This Row],[Servicing Spread]]&lt;=0,L1694,CurrentMtgRatesDataTable8[[#This Row],[Servicing Spread]])</f>
        <v>0.90276581991726612</v>
      </c>
      <c r="M1695" s="70">
        <f>CurrentMtgRatesDataTable8[[#This Row],[Servicing Spread Non-Zero]]-L1694</f>
        <v>0</v>
      </c>
      <c r="N1695" s="70">
        <f>IF(J1694&lt;&gt;0,CurrentMtgRatesDataTable8[[#This Row],[Rate]]-C1694,N1694)</f>
        <v>-4.0000000000000036E-2</v>
      </c>
    </row>
    <row r="1696" spans="1:14">
      <c r="A1696" s="67" t="s">
        <v>3048</v>
      </c>
      <c r="B1696" s="68">
        <v>3.32481371924804</v>
      </c>
      <c r="C1696" s="69">
        <v>4.2450000000000001</v>
      </c>
      <c r="D1696" s="70">
        <f t="shared" si="182"/>
        <v>7</v>
      </c>
      <c r="E1696" s="70">
        <f t="shared" si="183"/>
        <v>0.2</v>
      </c>
      <c r="F1696" s="70">
        <f t="shared" si="184"/>
        <v>5</v>
      </c>
      <c r="G1696" s="70">
        <f t="shared" si="185"/>
        <v>3.3360375270684424</v>
      </c>
      <c r="H1696" s="70">
        <f t="shared" si="186"/>
        <v>1</v>
      </c>
      <c r="I1696" s="70">
        <f t="shared" si="187"/>
        <v>1</v>
      </c>
      <c r="J1696" s="70">
        <f t="shared" si="188"/>
        <v>3.3360375270684424</v>
      </c>
      <c r="K1696" s="70">
        <f>IF(CurrentMtgRatesDataTable8[[#This Row],[WA CC]]&lt;&gt;0,C1695-CurrentMtgRatesDataTable8[[#This Row],[WA CC]],0)</f>
        <v>0.90896247293155774</v>
      </c>
      <c r="L1696" s="70">
        <f>IF(CurrentMtgRatesDataTable8[[#This Row],[Servicing Spread]]&lt;=0,L1695,CurrentMtgRatesDataTable8[[#This Row],[Servicing Spread]])</f>
        <v>0.90896247293155774</v>
      </c>
      <c r="M1696" s="70">
        <f>CurrentMtgRatesDataTable8[[#This Row],[Servicing Spread Non-Zero]]-L1695</f>
        <v>6.1966530142916199E-3</v>
      </c>
      <c r="N1696" s="70">
        <f>IF(J1695&lt;&gt;0,CurrentMtgRatesDataTable8[[#This Row],[Rate]]-C1695,N1695)</f>
        <v>-4.0000000000000036E-2</v>
      </c>
    </row>
    <row r="1697" spans="1:14">
      <c r="A1697" s="67" t="s">
        <v>3049</v>
      </c>
      <c r="B1697" s="68">
        <v>3.3890510312770701</v>
      </c>
      <c r="C1697" s="69">
        <v>4.2749999999999995</v>
      </c>
      <c r="D1697" s="70">
        <f t="shared" si="182"/>
        <v>1</v>
      </c>
      <c r="E1697" s="70">
        <f t="shared" si="183"/>
        <v>0.2</v>
      </c>
      <c r="F1697" s="70">
        <f t="shared" si="184"/>
        <v>1</v>
      </c>
      <c r="G1697" s="70">
        <f t="shared" si="185"/>
        <v>0.6778102062554141</v>
      </c>
      <c r="H1697" s="70">
        <f t="shared" si="186"/>
        <v>0.2</v>
      </c>
      <c r="I1697" s="70">
        <f t="shared" si="187"/>
        <v>0</v>
      </c>
      <c r="J1697" s="70">
        <f t="shared" si="188"/>
        <v>0</v>
      </c>
      <c r="K1697" s="70">
        <f>IF(CurrentMtgRatesDataTable8[[#This Row],[WA CC]]&lt;&gt;0,C1696-CurrentMtgRatesDataTable8[[#This Row],[WA CC]],0)</f>
        <v>0</v>
      </c>
      <c r="L1697" s="70">
        <f>IF(CurrentMtgRatesDataTable8[[#This Row],[Servicing Spread]]&lt;=0,L1696,CurrentMtgRatesDataTable8[[#This Row],[Servicing Spread]])</f>
        <v>0.90896247293155774</v>
      </c>
      <c r="M1697" s="70">
        <f>CurrentMtgRatesDataTable8[[#This Row],[Servicing Spread Non-Zero]]-L1696</f>
        <v>0</v>
      </c>
      <c r="N1697" s="70">
        <f>IF(J1696&lt;&gt;0,CurrentMtgRatesDataTable8[[#This Row],[Rate]]-C1696,N1696)</f>
        <v>2.9999999999999361E-2</v>
      </c>
    </row>
    <row r="1698" spans="1:14">
      <c r="A1698" s="67" t="s">
        <v>3050</v>
      </c>
      <c r="B1698" s="68">
        <v>3.4859467631869601</v>
      </c>
      <c r="C1698" s="69">
        <v>4.2749999999999995</v>
      </c>
      <c r="D1698" s="70">
        <f t="shared" si="182"/>
        <v>2</v>
      </c>
      <c r="E1698" s="70">
        <f t="shared" si="183"/>
        <v>0.2</v>
      </c>
      <c r="F1698" s="70">
        <f t="shared" si="184"/>
        <v>2</v>
      </c>
      <c r="G1698" s="70">
        <f t="shared" si="185"/>
        <v>1.3749995588928061</v>
      </c>
      <c r="H1698" s="70">
        <f t="shared" si="186"/>
        <v>0.4</v>
      </c>
      <c r="I1698" s="70">
        <f t="shared" si="187"/>
        <v>0</v>
      </c>
      <c r="J1698" s="70">
        <f t="shared" si="188"/>
        <v>0</v>
      </c>
      <c r="K1698" s="70">
        <f>IF(CurrentMtgRatesDataTable8[[#This Row],[WA CC]]&lt;&gt;0,C1697-CurrentMtgRatesDataTable8[[#This Row],[WA CC]],0)</f>
        <v>0</v>
      </c>
      <c r="L1698" s="70">
        <f>IF(CurrentMtgRatesDataTable8[[#This Row],[Servicing Spread]]&lt;=0,L1697,CurrentMtgRatesDataTable8[[#This Row],[Servicing Spread]])</f>
        <v>0.90896247293155774</v>
      </c>
      <c r="M1698" s="70">
        <f>CurrentMtgRatesDataTable8[[#This Row],[Servicing Spread Non-Zero]]-L1697</f>
        <v>0</v>
      </c>
      <c r="N1698" s="70">
        <f>IF(J1697&lt;&gt;0,CurrentMtgRatesDataTable8[[#This Row],[Rate]]-C1697,N1697)</f>
        <v>2.9999999999999361E-2</v>
      </c>
    </row>
    <row r="1699" spans="1:14">
      <c r="A1699" s="67" t="s">
        <v>3051</v>
      </c>
      <c r="B1699" s="68">
        <v>2.9178438087897001</v>
      </c>
      <c r="C1699" s="69">
        <v>4.2749999999999995</v>
      </c>
      <c r="D1699" s="70">
        <f t="shared" si="182"/>
        <v>6</v>
      </c>
      <c r="E1699" s="70">
        <f t="shared" si="183"/>
        <v>0.2</v>
      </c>
      <c r="F1699" s="70">
        <f t="shared" si="184"/>
        <v>3</v>
      </c>
      <c r="G1699" s="70">
        <f t="shared" si="185"/>
        <v>1.958568320650746</v>
      </c>
      <c r="H1699" s="70">
        <f t="shared" si="186"/>
        <v>0.60000000000000009</v>
      </c>
      <c r="I1699" s="70">
        <f t="shared" si="187"/>
        <v>0</v>
      </c>
      <c r="J1699" s="70">
        <f t="shared" si="188"/>
        <v>0</v>
      </c>
      <c r="K1699" s="70">
        <f>IF(CurrentMtgRatesDataTable8[[#This Row],[WA CC]]&lt;&gt;0,C1698-CurrentMtgRatesDataTable8[[#This Row],[WA CC]],0)</f>
        <v>0</v>
      </c>
      <c r="L1699" s="70">
        <f>IF(CurrentMtgRatesDataTable8[[#This Row],[Servicing Spread]]&lt;=0,L1698,CurrentMtgRatesDataTable8[[#This Row],[Servicing Spread]])</f>
        <v>0.90896247293155774</v>
      </c>
      <c r="M1699" s="70">
        <f>CurrentMtgRatesDataTable8[[#This Row],[Servicing Spread Non-Zero]]-L1698</f>
        <v>0</v>
      </c>
      <c r="N1699" s="70">
        <f>IF(J1698&lt;&gt;0,CurrentMtgRatesDataTable8[[#This Row],[Rate]]-C1698,N1698)</f>
        <v>2.9999999999999361E-2</v>
      </c>
    </row>
    <row r="1700" spans="1:14">
      <c r="A1700" s="67" t="s">
        <v>3052</v>
      </c>
      <c r="B1700" s="68">
        <v>2.8754722391573799</v>
      </c>
      <c r="C1700" s="69">
        <v>4.2749999999999995</v>
      </c>
      <c r="D1700" s="70">
        <f t="shared" si="182"/>
        <v>7</v>
      </c>
      <c r="E1700" s="70">
        <f t="shared" si="183"/>
        <v>0.2</v>
      </c>
      <c r="F1700" s="70">
        <f t="shared" si="184"/>
        <v>4</v>
      </c>
      <c r="G1700" s="70">
        <f t="shared" si="185"/>
        <v>2.5336627684822219</v>
      </c>
      <c r="H1700" s="70">
        <f t="shared" si="186"/>
        <v>0.8</v>
      </c>
      <c r="I1700" s="70">
        <f t="shared" si="187"/>
        <v>1</v>
      </c>
      <c r="J1700" s="70">
        <f t="shared" si="188"/>
        <v>3.1670784606027773</v>
      </c>
      <c r="K1700" s="70">
        <f>IF(CurrentMtgRatesDataTable8[[#This Row],[WA CC]]&lt;&gt;0,C1699-CurrentMtgRatesDataTable8[[#This Row],[WA CC]],0)</f>
        <v>1.1079215393972222</v>
      </c>
      <c r="L1700" s="70">
        <f>IF(CurrentMtgRatesDataTable8[[#This Row],[Servicing Spread]]&lt;=0,L1699,CurrentMtgRatesDataTable8[[#This Row],[Servicing Spread]])</f>
        <v>1.1079215393972222</v>
      </c>
      <c r="M1700" s="70">
        <f>CurrentMtgRatesDataTable8[[#This Row],[Servicing Spread Non-Zero]]-L1699</f>
        <v>0.19895906646566441</v>
      </c>
      <c r="N1700" s="70">
        <f>IF(J1699&lt;&gt;0,CurrentMtgRatesDataTable8[[#This Row],[Rate]]-C1699,N1699)</f>
        <v>2.9999999999999361E-2</v>
      </c>
    </row>
    <row r="1701" spans="1:14">
      <c r="A1701" s="67" t="s">
        <v>3053</v>
      </c>
      <c r="B1701" s="68">
        <v>3.27423419115966</v>
      </c>
      <c r="C1701" s="69">
        <v>4.2949999999999999</v>
      </c>
      <c r="D1701" s="70">
        <f t="shared" si="182"/>
        <v>1</v>
      </c>
      <c r="E1701" s="70">
        <f t="shared" si="183"/>
        <v>0.2</v>
      </c>
      <c r="F1701" s="70">
        <f t="shared" si="184"/>
        <v>1</v>
      </c>
      <c r="G1701" s="70">
        <f t="shared" si="185"/>
        <v>0.65484683823193202</v>
      </c>
      <c r="H1701" s="70">
        <f t="shared" si="186"/>
        <v>0.2</v>
      </c>
      <c r="I1701" s="70">
        <f t="shared" si="187"/>
        <v>0</v>
      </c>
      <c r="J1701" s="70">
        <f t="shared" si="188"/>
        <v>0</v>
      </c>
      <c r="K1701" s="70">
        <f>IF(CurrentMtgRatesDataTable8[[#This Row],[WA CC]]&lt;&gt;0,C1700-CurrentMtgRatesDataTable8[[#This Row],[WA CC]],0)</f>
        <v>0</v>
      </c>
      <c r="L1701" s="70">
        <f>IF(CurrentMtgRatesDataTable8[[#This Row],[Servicing Spread]]&lt;=0,L1700,CurrentMtgRatesDataTable8[[#This Row],[Servicing Spread]])</f>
        <v>1.1079215393972222</v>
      </c>
      <c r="M1701" s="70">
        <f>CurrentMtgRatesDataTable8[[#This Row],[Servicing Spread Non-Zero]]-L1700</f>
        <v>0</v>
      </c>
      <c r="N1701" s="70">
        <f>IF(J1700&lt;&gt;0,CurrentMtgRatesDataTable8[[#This Row],[Rate]]-C1700,N1700)</f>
        <v>2.0000000000000462E-2</v>
      </c>
    </row>
    <row r="1702" spans="1:14">
      <c r="A1702" s="67" t="s">
        <v>3054</v>
      </c>
      <c r="B1702" s="68">
        <v>3.5824167330839298</v>
      </c>
      <c r="C1702" s="69">
        <v>4.2949999999999999</v>
      </c>
      <c r="D1702" s="70">
        <f t="shared" si="182"/>
        <v>2</v>
      </c>
      <c r="E1702" s="70">
        <f t="shared" si="183"/>
        <v>0.2</v>
      </c>
      <c r="F1702" s="70">
        <f t="shared" si="184"/>
        <v>2</v>
      </c>
      <c r="G1702" s="70">
        <f t="shared" si="185"/>
        <v>1.371330184848718</v>
      </c>
      <c r="H1702" s="70">
        <f t="shared" si="186"/>
        <v>0.4</v>
      </c>
      <c r="I1702" s="70">
        <f t="shared" si="187"/>
        <v>0</v>
      </c>
      <c r="J1702" s="70">
        <f t="shared" si="188"/>
        <v>0</v>
      </c>
      <c r="K1702" s="70">
        <f>IF(CurrentMtgRatesDataTable8[[#This Row],[WA CC]]&lt;&gt;0,C1701-CurrentMtgRatesDataTable8[[#This Row],[WA CC]],0)</f>
        <v>0</v>
      </c>
      <c r="L1702" s="70">
        <f>IF(CurrentMtgRatesDataTable8[[#This Row],[Servicing Spread]]&lt;=0,L1701,CurrentMtgRatesDataTable8[[#This Row],[Servicing Spread]])</f>
        <v>1.1079215393972222</v>
      </c>
      <c r="M1702" s="70">
        <f>CurrentMtgRatesDataTable8[[#This Row],[Servicing Spread Non-Zero]]-L1701</f>
        <v>0</v>
      </c>
      <c r="N1702" s="70">
        <f>IF(J1701&lt;&gt;0,CurrentMtgRatesDataTable8[[#This Row],[Rate]]-C1701,N1701)</f>
        <v>2.0000000000000462E-2</v>
      </c>
    </row>
    <row r="1703" spans="1:14">
      <c r="A1703" s="67" t="s">
        <v>3055</v>
      </c>
      <c r="B1703" s="68">
        <v>3.4826570671786499</v>
      </c>
      <c r="C1703" s="69">
        <v>4.2949999999999999</v>
      </c>
      <c r="D1703" s="70">
        <f t="shared" si="182"/>
        <v>5</v>
      </c>
      <c r="E1703" s="70">
        <f t="shared" si="183"/>
        <v>0.2</v>
      </c>
      <c r="F1703" s="70">
        <f t="shared" si="184"/>
        <v>3</v>
      </c>
      <c r="G1703" s="70">
        <f t="shared" si="185"/>
        <v>2.0678615982844479</v>
      </c>
      <c r="H1703" s="70">
        <f t="shared" si="186"/>
        <v>0.60000000000000009</v>
      </c>
      <c r="I1703" s="70">
        <f t="shared" si="187"/>
        <v>0</v>
      </c>
      <c r="J1703" s="70">
        <f t="shared" si="188"/>
        <v>0</v>
      </c>
      <c r="K1703" s="70">
        <f>IF(CurrentMtgRatesDataTable8[[#This Row],[WA CC]]&lt;&gt;0,C1702-CurrentMtgRatesDataTable8[[#This Row],[WA CC]],0)</f>
        <v>0</v>
      </c>
      <c r="L1703" s="70">
        <f>IF(CurrentMtgRatesDataTable8[[#This Row],[Servicing Spread]]&lt;=0,L1702,CurrentMtgRatesDataTable8[[#This Row],[Servicing Spread]])</f>
        <v>1.1079215393972222</v>
      </c>
      <c r="M1703" s="70">
        <f>CurrentMtgRatesDataTable8[[#This Row],[Servicing Spread Non-Zero]]-L1702</f>
        <v>0</v>
      </c>
      <c r="N1703" s="70">
        <f>IF(J1702&lt;&gt;0,CurrentMtgRatesDataTable8[[#This Row],[Rate]]-C1702,N1702)</f>
        <v>2.0000000000000462E-2</v>
      </c>
    </row>
    <row r="1704" spans="1:14">
      <c r="A1704" s="67" t="s">
        <v>3056</v>
      </c>
      <c r="B1704" s="68">
        <v>3.4240397608872502</v>
      </c>
      <c r="C1704" s="69">
        <v>4.2949999999999999</v>
      </c>
      <c r="D1704" s="70">
        <f t="shared" si="182"/>
        <v>6</v>
      </c>
      <c r="E1704" s="70">
        <f t="shared" si="183"/>
        <v>0.2</v>
      </c>
      <c r="F1704" s="70">
        <f t="shared" si="184"/>
        <v>4</v>
      </c>
      <c r="G1704" s="70">
        <f t="shared" si="185"/>
        <v>2.7526695504618979</v>
      </c>
      <c r="H1704" s="70">
        <f t="shared" si="186"/>
        <v>0.8</v>
      </c>
      <c r="I1704" s="70">
        <f t="shared" si="187"/>
        <v>0</v>
      </c>
      <c r="J1704" s="70">
        <f t="shared" si="188"/>
        <v>0</v>
      </c>
      <c r="K1704" s="70">
        <f>IF(CurrentMtgRatesDataTable8[[#This Row],[WA CC]]&lt;&gt;0,C1703-CurrentMtgRatesDataTable8[[#This Row],[WA CC]],0)</f>
        <v>0</v>
      </c>
      <c r="L1704" s="70">
        <f>IF(CurrentMtgRatesDataTable8[[#This Row],[Servicing Spread]]&lt;=0,L1703,CurrentMtgRatesDataTable8[[#This Row],[Servicing Spread]])</f>
        <v>1.1079215393972222</v>
      </c>
      <c r="M1704" s="70">
        <f>CurrentMtgRatesDataTable8[[#This Row],[Servicing Spread Non-Zero]]-L1703</f>
        <v>0</v>
      </c>
      <c r="N1704" s="70">
        <f>IF(J1703&lt;&gt;0,CurrentMtgRatesDataTable8[[#This Row],[Rate]]-C1703,N1703)</f>
        <v>2.0000000000000462E-2</v>
      </c>
    </row>
    <row r="1705" spans="1:14">
      <c r="A1705" s="67" t="s">
        <v>3057</v>
      </c>
      <c r="B1705" s="68">
        <v>3.4999897213938702</v>
      </c>
      <c r="C1705" s="69">
        <v>4.2949999999999999</v>
      </c>
      <c r="D1705" s="70">
        <f t="shared" si="182"/>
        <v>7</v>
      </c>
      <c r="E1705" s="70">
        <f t="shared" si="183"/>
        <v>0.2</v>
      </c>
      <c r="F1705" s="70">
        <f t="shared" si="184"/>
        <v>5</v>
      </c>
      <c r="G1705" s="70">
        <f t="shared" si="185"/>
        <v>3.4526674947406719</v>
      </c>
      <c r="H1705" s="70">
        <f t="shared" si="186"/>
        <v>1</v>
      </c>
      <c r="I1705" s="70">
        <f t="shared" si="187"/>
        <v>1</v>
      </c>
      <c r="J1705" s="70">
        <f t="shared" si="188"/>
        <v>3.4526674947406719</v>
      </c>
      <c r="K1705" s="70">
        <f>IF(CurrentMtgRatesDataTable8[[#This Row],[WA CC]]&lt;&gt;0,C1704-CurrentMtgRatesDataTable8[[#This Row],[WA CC]],0)</f>
        <v>0.84233250525932801</v>
      </c>
      <c r="L1705" s="70">
        <f>IF(CurrentMtgRatesDataTable8[[#This Row],[Servicing Spread]]&lt;=0,L1704,CurrentMtgRatesDataTable8[[#This Row],[Servicing Spread]])</f>
        <v>0.84233250525932801</v>
      </c>
      <c r="M1705" s="70">
        <f>CurrentMtgRatesDataTable8[[#This Row],[Servicing Spread Non-Zero]]-L1704</f>
        <v>-0.26558903413789414</v>
      </c>
      <c r="N1705" s="70">
        <f>IF(J1704&lt;&gt;0,CurrentMtgRatesDataTable8[[#This Row],[Rate]]-C1704,N1704)</f>
        <v>2.0000000000000462E-2</v>
      </c>
    </row>
    <row r="1706" spans="1:14">
      <c r="A1706" s="67" t="s">
        <v>3058</v>
      </c>
      <c r="B1706" s="68">
        <v>3.5452565074921298</v>
      </c>
      <c r="C1706" s="69">
        <v>4.2949999999999999</v>
      </c>
      <c r="D1706" s="70">
        <f t="shared" si="182"/>
        <v>1</v>
      </c>
      <c r="E1706" s="70">
        <f t="shared" si="183"/>
        <v>0.2</v>
      </c>
      <c r="F1706" s="70">
        <f t="shared" si="184"/>
        <v>1</v>
      </c>
      <c r="G1706" s="70">
        <f t="shared" si="185"/>
        <v>0.70905130149842599</v>
      </c>
      <c r="H1706" s="70">
        <f t="shared" si="186"/>
        <v>0.2</v>
      </c>
      <c r="I1706" s="70">
        <f t="shared" si="187"/>
        <v>0</v>
      </c>
      <c r="J1706" s="70">
        <f t="shared" si="188"/>
        <v>0</v>
      </c>
      <c r="K1706" s="70">
        <f>IF(CurrentMtgRatesDataTable8[[#This Row],[WA CC]]&lt;&gt;0,C1705-CurrentMtgRatesDataTable8[[#This Row],[WA CC]],0)</f>
        <v>0</v>
      </c>
      <c r="L1706" s="70">
        <f>IF(CurrentMtgRatesDataTable8[[#This Row],[Servicing Spread]]&lt;=0,L1705,CurrentMtgRatesDataTable8[[#This Row],[Servicing Spread]])</f>
        <v>0.84233250525932801</v>
      </c>
      <c r="M1706" s="70">
        <f>CurrentMtgRatesDataTable8[[#This Row],[Servicing Spread Non-Zero]]-L1705</f>
        <v>0</v>
      </c>
      <c r="N1706" s="70">
        <f>IF(J1705&lt;&gt;0,CurrentMtgRatesDataTable8[[#This Row],[Rate]]-C1705,N1705)</f>
        <v>0</v>
      </c>
    </row>
    <row r="1707" spans="1:14">
      <c r="A1707" s="67" t="s">
        <v>3059</v>
      </c>
      <c r="B1707" s="68">
        <v>3.5812170938916301</v>
      </c>
      <c r="C1707" s="69">
        <v>4.2949999999999999</v>
      </c>
      <c r="D1707" s="70">
        <f t="shared" si="182"/>
        <v>2</v>
      </c>
      <c r="E1707" s="70">
        <f t="shared" si="183"/>
        <v>0.2</v>
      </c>
      <c r="F1707" s="70">
        <f t="shared" si="184"/>
        <v>2</v>
      </c>
      <c r="G1707" s="70">
        <f t="shared" si="185"/>
        <v>1.4252947202767521</v>
      </c>
      <c r="H1707" s="70">
        <f t="shared" si="186"/>
        <v>0.4</v>
      </c>
      <c r="I1707" s="70">
        <f t="shared" si="187"/>
        <v>0</v>
      </c>
      <c r="J1707" s="70">
        <f t="shared" si="188"/>
        <v>0</v>
      </c>
      <c r="K1707" s="70">
        <f>IF(CurrentMtgRatesDataTable8[[#This Row],[WA CC]]&lt;&gt;0,C1706-CurrentMtgRatesDataTable8[[#This Row],[WA CC]],0)</f>
        <v>0</v>
      </c>
      <c r="L1707" s="70">
        <f>IF(CurrentMtgRatesDataTable8[[#This Row],[Servicing Spread]]&lt;=0,L1706,CurrentMtgRatesDataTable8[[#This Row],[Servicing Spread]])</f>
        <v>0.84233250525932801</v>
      </c>
      <c r="M1707" s="70">
        <f>CurrentMtgRatesDataTable8[[#This Row],[Servicing Spread Non-Zero]]-L1706</f>
        <v>0</v>
      </c>
      <c r="N1707" s="70">
        <f>IF(J1706&lt;&gt;0,CurrentMtgRatesDataTable8[[#This Row],[Rate]]-C1706,N1706)</f>
        <v>0</v>
      </c>
    </row>
    <row r="1708" spans="1:14">
      <c r="A1708" s="67" t="s">
        <v>3060</v>
      </c>
      <c r="B1708" s="68">
        <v>3.5072902678740601</v>
      </c>
      <c r="C1708" s="69">
        <v>4.2949999999999999</v>
      </c>
      <c r="D1708" s="70">
        <f t="shared" si="182"/>
        <v>5</v>
      </c>
      <c r="E1708" s="70">
        <f t="shared" si="183"/>
        <v>0.2</v>
      </c>
      <c r="F1708" s="70">
        <f t="shared" si="184"/>
        <v>3</v>
      </c>
      <c r="G1708" s="70">
        <f t="shared" si="185"/>
        <v>2.1267527738515639</v>
      </c>
      <c r="H1708" s="70">
        <f t="shared" si="186"/>
        <v>0.60000000000000009</v>
      </c>
      <c r="I1708" s="70">
        <f t="shared" si="187"/>
        <v>0</v>
      </c>
      <c r="J1708" s="70">
        <f t="shared" si="188"/>
        <v>0</v>
      </c>
      <c r="K1708" s="70">
        <f>IF(CurrentMtgRatesDataTable8[[#This Row],[WA CC]]&lt;&gt;0,C1707-CurrentMtgRatesDataTable8[[#This Row],[WA CC]],0)</f>
        <v>0</v>
      </c>
      <c r="L1708" s="70">
        <f>IF(CurrentMtgRatesDataTable8[[#This Row],[Servicing Spread]]&lt;=0,L1707,CurrentMtgRatesDataTable8[[#This Row],[Servicing Spread]])</f>
        <v>0.84233250525932801</v>
      </c>
      <c r="M1708" s="70">
        <f>CurrentMtgRatesDataTable8[[#This Row],[Servicing Spread Non-Zero]]-L1707</f>
        <v>0</v>
      </c>
      <c r="N1708" s="70">
        <f>IF(J1707&lt;&gt;0,CurrentMtgRatesDataTable8[[#This Row],[Rate]]-C1707,N1707)</f>
        <v>0</v>
      </c>
    </row>
    <row r="1709" spans="1:14">
      <c r="A1709" s="67" t="s">
        <v>3061</v>
      </c>
      <c r="B1709" s="68">
        <v>3.3816928010474498</v>
      </c>
      <c r="C1709" s="69">
        <v>4.2949999999999999</v>
      </c>
      <c r="D1709" s="70">
        <f t="shared" si="182"/>
        <v>6</v>
      </c>
      <c r="E1709" s="70">
        <f t="shared" si="183"/>
        <v>0.2</v>
      </c>
      <c r="F1709" s="70">
        <f t="shared" si="184"/>
        <v>4</v>
      </c>
      <c r="G1709" s="70">
        <f t="shared" si="185"/>
        <v>2.8030913340610537</v>
      </c>
      <c r="H1709" s="70">
        <f t="shared" si="186"/>
        <v>0.8</v>
      </c>
      <c r="I1709" s="70">
        <f t="shared" si="187"/>
        <v>0</v>
      </c>
      <c r="J1709" s="70">
        <f t="shared" si="188"/>
        <v>0</v>
      </c>
      <c r="K1709" s="70">
        <f>IF(CurrentMtgRatesDataTable8[[#This Row],[WA CC]]&lt;&gt;0,C1708-CurrentMtgRatesDataTable8[[#This Row],[WA CC]],0)</f>
        <v>0</v>
      </c>
      <c r="L1709" s="70">
        <f>IF(CurrentMtgRatesDataTable8[[#This Row],[Servicing Spread]]&lt;=0,L1708,CurrentMtgRatesDataTable8[[#This Row],[Servicing Spread]])</f>
        <v>0.84233250525932801</v>
      </c>
      <c r="M1709" s="70">
        <f>CurrentMtgRatesDataTable8[[#This Row],[Servicing Spread Non-Zero]]-L1708</f>
        <v>0</v>
      </c>
      <c r="N1709" s="70">
        <f>IF(J1708&lt;&gt;0,CurrentMtgRatesDataTable8[[#This Row],[Rate]]-C1708,N1708)</f>
        <v>0</v>
      </c>
    </row>
    <row r="1710" spans="1:14">
      <c r="A1710" s="67" t="s">
        <v>3062</v>
      </c>
      <c r="B1710" s="68">
        <v>3.3486154121359601</v>
      </c>
      <c r="C1710" s="69">
        <v>4.2949999999999999</v>
      </c>
      <c r="D1710" s="70">
        <f t="shared" si="182"/>
        <v>7</v>
      </c>
      <c r="E1710" s="70">
        <f t="shared" si="183"/>
        <v>0.2</v>
      </c>
      <c r="F1710" s="70">
        <f t="shared" si="184"/>
        <v>5</v>
      </c>
      <c r="G1710" s="70">
        <f t="shared" si="185"/>
        <v>3.4728144164882457</v>
      </c>
      <c r="H1710" s="70">
        <f t="shared" si="186"/>
        <v>1</v>
      </c>
      <c r="I1710" s="70">
        <f t="shared" si="187"/>
        <v>1</v>
      </c>
      <c r="J1710" s="70">
        <f t="shared" si="188"/>
        <v>3.4728144164882457</v>
      </c>
      <c r="K1710" s="70">
        <f>IF(CurrentMtgRatesDataTable8[[#This Row],[WA CC]]&lt;&gt;0,C1709-CurrentMtgRatesDataTable8[[#This Row],[WA CC]],0)</f>
        <v>0.82218558351175419</v>
      </c>
      <c r="L1710" s="70">
        <f>IF(CurrentMtgRatesDataTable8[[#This Row],[Servicing Spread]]&lt;=0,L1709,CurrentMtgRatesDataTable8[[#This Row],[Servicing Spread]])</f>
        <v>0.82218558351175419</v>
      </c>
      <c r="M1710" s="70">
        <f>CurrentMtgRatesDataTable8[[#This Row],[Servicing Spread Non-Zero]]-L1709</f>
        <v>-2.014692174757382E-2</v>
      </c>
      <c r="N1710" s="70">
        <f>IF(J1709&lt;&gt;0,CurrentMtgRatesDataTable8[[#This Row],[Rate]]-C1709,N1709)</f>
        <v>0</v>
      </c>
    </row>
    <row r="1711" spans="1:14">
      <c r="A1711" s="67" t="s">
        <v>3063</v>
      </c>
      <c r="B1711" s="68">
        <v>3.3812572324869898</v>
      </c>
      <c r="C1711" s="69">
        <v>4.2700000000000005</v>
      </c>
      <c r="D1711" s="70">
        <f t="shared" si="182"/>
        <v>1</v>
      </c>
      <c r="E1711" s="70">
        <f t="shared" si="183"/>
        <v>0.2</v>
      </c>
      <c r="F1711" s="70">
        <f t="shared" si="184"/>
        <v>1</v>
      </c>
      <c r="G1711" s="70">
        <f t="shared" si="185"/>
        <v>0.67625144649739799</v>
      </c>
      <c r="H1711" s="70">
        <f t="shared" si="186"/>
        <v>0.2</v>
      </c>
      <c r="I1711" s="70">
        <f t="shared" si="187"/>
        <v>0</v>
      </c>
      <c r="J1711" s="70">
        <f t="shared" si="188"/>
        <v>0</v>
      </c>
      <c r="K1711" s="70">
        <f>IF(CurrentMtgRatesDataTable8[[#This Row],[WA CC]]&lt;&gt;0,C1710-CurrentMtgRatesDataTable8[[#This Row],[WA CC]],0)</f>
        <v>0</v>
      </c>
      <c r="L1711" s="70">
        <f>IF(CurrentMtgRatesDataTable8[[#This Row],[Servicing Spread]]&lt;=0,L1710,CurrentMtgRatesDataTable8[[#This Row],[Servicing Spread]])</f>
        <v>0.82218558351175419</v>
      </c>
      <c r="M1711" s="70">
        <f>CurrentMtgRatesDataTable8[[#This Row],[Servicing Spread Non-Zero]]-L1710</f>
        <v>0</v>
      </c>
      <c r="N1711" s="70">
        <f>IF(J1710&lt;&gt;0,CurrentMtgRatesDataTable8[[#This Row],[Rate]]-C1710,N1710)</f>
        <v>-2.4999999999999467E-2</v>
      </c>
    </row>
    <row r="1712" spans="1:14">
      <c r="A1712" s="67" t="s">
        <v>3064</v>
      </c>
      <c r="B1712" s="68">
        <v>3.4477944939432299</v>
      </c>
      <c r="C1712" s="69">
        <v>4.2700000000000005</v>
      </c>
      <c r="D1712" s="70">
        <f t="shared" si="182"/>
        <v>2</v>
      </c>
      <c r="E1712" s="70">
        <f t="shared" si="183"/>
        <v>0.2</v>
      </c>
      <c r="F1712" s="70">
        <f t="shared" si="184"/>
        <v>2</v>
      </c>
      <c r="G1712" s="70">
        <f t="shared" si="185"/>
        <v>1.3658103452860439</v>
      </c>
      <c r="H1712" s="70">
        <f t="shared" si="186"/>
        <v>0.4</v>
      </c>
      <c r="I1712" s="70">
        <f t="shared" si="187"/>
        <v>0</v>
      </c>
      <c r="J1712" s="70">
        <f t="shared" si="188"/>
        <v>0</v>
      </c>
      <c r="K1712" s="70">
        <f>IF(CurrentMtgRatesDataTable8[[#This Row],[WA CC]]&lt;&gt;0,C1711-CurrentMtgRatesDataTable8[[#This Row],[WA CC]],0)</f>
        <v>0</v>
      </c>
      <c r="L1712" s="70">
        <f>IF(CurrentMtgRatesDataTable8[[#This Row],[Servicing Spread]]&lt;=0,L1711,CurrentMtgRatesDataTable8[[#This Row],[Servicing Spread]])</f>
        <v>0.82218558351175419</v>
      </c>
      <c r="M1712" s="70">
        <f>CurrentMtgRatesDataTable8[[#This Row],[Servicing Spread Non-Zero]]-L1711</f>
        <v>0</v>
      </c>
      <c r="N1712" s="70">
        <f>IF(J1711&lt;&gt;0,CurrentMtgRatesDataTable8[[#This Row],[Rate]]-C1711,N1711)</f>
        <v>-2.4999999999999467E-2</v>
      </c>
    </row>
    <row r="1713" spans="1:14">
      <c r="A1713" s="67" t="s">
        <v>3065</v>
      </c>
      <c r="B1713" s="68">
        <v>3.3545487544925501</v>
      </c>
      <c r="C1713" s="69">
        <v>4.2700000000000005</v>
      </c>
      <c r="D1713" s="70">
        <f t="shared" si="182"/>
        <v>5</v>
      </c>
      <c r="E1713" s="70">
        <f t="shared" si="183"/>
        <v>0.2</v>
      </c>
      <c r="F1713" s="70">
        <f t="shared" si="184"/>
        <v>3</v>
      </c>
      <c r="G1713" s="70">
        <f t="shared" si="185"/>
        <v>2.036720096184554</v>
      </c>
      <c r="H1713" s="70">
        <f t="shared" si="186"/>
        <v>0.60000000000000009</v>
      </c>
      <c r="I1713" s="70">
        <f t="shared" si="187"/>
        <v>0</v>
      </c>
      <c r="J1713" s="70">
        <f t="shared" si="188"/>
        <v>0</v>
      </c>
      <c r="K1713" s="70">
        <f>IF(CurrentMtgRatesDataTable8[[#This Row],[WA CC]]&lt;&gt;0,C1712-CurrentMtgRatesDataTable8[[#This Row],[WA CC]],0)</f>
        <v>0</v>
      </c>
      <c r="L1713" s="70">
        <f>IF(CurrentMtgRatesDataTable8[[#This Row],[Servicing Spread]]&lt;=0,L1712,CurrentMtgRatesDataTable8[[#This Row],[Servicing Spread]])</f>
        <v>0.82218558351175419</v>
      </c>
      <c r="M1713" s="70">
        <f>CurrentMtgRatesDataTable8[[#This Row],[Servicing Spread Non-Zero]]-L1712</f>
        <v>0</v>
      </c>
      <c r="N1713" s="70">
        <f>IF(J1712&lt;&gt;0,CurrentMtgRatesDataTable8[[#This Row],[Rate]]-C1712,N1712)</f>
        <v>-2.4999999999999467E-2</v>
      </c>
    </row>
    <row r="1714" spans="1:14">
      <c r="A1714" s="67" t="s">
        <v>3066</v>
      </c>
      <c r="B1714" s="68">
        <v>3.3126574854818198</v>
      </c>
      <c r="C1714" s="69">
        <v>4.2700000000000005</v>
      </c>
      <c r="D1714" s="70">
        <f t="shared" si="182"/>
        <v>6</v>
      </c>
      <c r="E1714" s="70">
        <f t="shared" si="183"/>
        <v>0.2</v>
      </c>
      <c r="F1714" s="70">
        <f t="shared" si="184"/>
        <v>4</v>
      </c>
      <c r="G1714" s="70">
        <f t="shared" si="185"/>
        <v>2.699251593280918</v>
      </c>
      <c r="H1714" s="70">
        <f t="shared" si="186"/>
        <v>0.8</v>
      </c>
      <c r="I1714" s="70">
        <f t="shared" si="187"/>
        <v>0</v>
      </c>
      <c r="J1714" s="70">
        <f t="shared" si="188"/>
        <v>0</v>
      </c>
      <c r="K1714" s="70">
        <f>IF(CurrentMtgRatesDataTable8[[#This Row],[WA CC]]&lt;&gt;0,C1713-CurrentMtgRatesDataTable8[[#This Row],[WA CC]],0)</f>
        <v>0</v>
      </c>
      <c r="L1714" s="70">
        <f>IF(CurrentMtgRatesDataTable8[[#This Row],[Servicing Spread]]&lt;=0,L1713,CurrentMtgRatesDataTable8[[#This Row],[Servicing Spread]])</f>
        <v>0.82218558351175419</v>
      </c>
      <c r="M1714" s="70">
        <f>CurrentMtgRatesDataTable8[[#This Row],[Servicing Spread Non-Zero]]-L1713</f>
        <v>0</v>
      </c>
      <c r="N1714" s="70">
        <f>IF(J1713&lt;&gt;0,CurrentMtgRatesDataTable8[[#This Row],[Rate]]-C1713,N1713)</f>
        <v>-2.4999999999999467E-2</v>
      </c>
    </row>
    <row r="1715" spans="1:14">
      <c r="A1715" s="67" t="s">
        <v>3067</v>
      </c>
      <c r="B1715" s="68">
        <v>3.3780590589163499</v>
      </c>
      <c r="C1715" s="69">
        <v>4.2700000000000005</v>
      </c>
      <c r="D1715" s="70">
        <f t="shared" si="182"/>
        <v>7</v>
      </c>
      <c r="E1715" s="70">
        <f t="shared" si="183"/>
        <v>0.2</v>
      </c>
      <c r="F1715" s="70">
        <f t="shared" si="184"/>
        <v>5</v>
      </c>
      <c r="G1715" s="70">
        <f t="shared" si="185"/>
        <v>3.3748634050641879</v>
      </c>
      <c r="H1715" s="70">
        <f t="shared" si="186"/>
        <v>1</v>
      </c>
      <c r="I1715" s="70">
        <f t="shared" si="187"/>
        <v>1</v>
      </c>
      <c r="J1715" s="70">
        <f t="shared" si="188"/>
        <v>3.3748634050641879</v>
      </c>
      <c r="K1715" s="70">
        <f>IF(CurrentMtgRatesDataTable8[[#This Row],[WA CC]]&lt;&gt;0,C1714-CurrentMtgRatesDataTable8[[#This Row],[WA CC]],0)</f>
        <v>0.89513659493581255</v>
      </c>
      <c r="L1715" s="70">
        <f>IF(CurrentMtgRatesDataTable8[[#This Row],[Servicing Spread]]&lt;=0,L1714,CurrentMtgRatesDataTable8[[#This Row],[Servicing Spread]])</f>
        <v>0.89513659493581255</v>
      </c>
      <c r="M1715" s="70">
        <f>CurrentMtgRatesDataTable8[[#This Row],[Servicing Spread Non-Zero]]-L1714</f>
        <v>7.2951011424058354E-2</v>
      </c>
      <c r="N1715" s="70">
        <f>IF(J1714&lt;&gt;0,CurrentMtgRatesDataTable8[[#This Row],[Rate]]-C1714,N1714)</f>
        <v>-2.4999999999999467E-2</v>
      </c>
    </row>
    <row r="1716" spans="1:14">
      <c r="A1716" s="67" t="s">
        <v>3068</v>
      </c>
      <c r="B1716" s="68">
        <v>3.3837525303970701</v>
      </c>
      <c r="C1716" s="69">
        <v>4.22</v>
      </c>
      <c r="D1716" s="70">
        <f t="shared" si="182"/>
        <v>1</v>
      </c>
      <c r="E1716" s="70">
        <f t="shared" si="183"/>
        <v>0.2</v>
      </c>
      <c r="F1716" s="70">
        <f t="shared" si="184"/>
        <v>1</v>
      </c>
      <c r="G1716" s="70">
        <f t="shared" si="185"/>
        <v>0.67675050607941412</v>
      </c>
      <c r="H1716" s="70">
        <f t="shared" si="186"/>
        <v>0.2</v>
      </c>
      <c r="I1716" s="70">
        <f t="shared" si="187"/>
        <v>0</v>
      </c>
      <c r="J1716" s="70">
        <f t="shared" si="188"/>
        <v>0</v>
      </c>
      <c r="K1716" s="70">
        <f>IF(CurrentMtgRatesDataTable8[[#This Row],[WA CC]]&lt;&gt;0,C1715-CurrentMtgRatesDataTable8[[#This Row],[WA CC]],0)</f>
        <v>0</v>
      </c>
      <c r="L1716" s="70">
        <f>IF(CurrentMtgRatesDataTable8[[#This Row],[Servicing Spread]]&lt;=0,L1715,CurrentMtgRatesDataTable8[[#This Row],[Servicing Spread]])</f>
        <v>0.89513659493581255</v>
      </c>
      <c r="M1716" s="70">
        <f>CurrentMtgRatesDataTable8[[#This Row],[Servicing Spread Non-Zero]]-L1715</f>
        <v>0</v>
      </c>
      <c r="N1716" s="70">
        <f>IF(J1715&lt;&gt;0,CurrentMtgRatesDataTable8[[#This Row],[Rate]]-C1715,N1715)</f>
        <v>-5.0000000000000711E-2</v>
      </c>
    </row>
    <row r="1717" spans="1:14">
      <c r="A1717" s="67" t="s">
        <v>3069</v>
      </c>
      <c r="B1717" s="68">
        <v>3.3887067722686099</v>
      </c>
      <c r="C1717" s="69">
        <v>4.22</v>
      </c>
      <c r="D1717" s="70">
        <f t="shared" si="182"/>
        <v>2</v>
      </c>
      <c r="E1717" s="70">
        <f t="shared" si="183"/>
        <v>0.2</v>
      </c>
      <c r="F1717" s="70">
        <f t="shared" si="184"/>
        <v>2</v>
      </c>
      <c r="G1717" s="70">
        <f t="shared" si="185"/>
        <v>1.3544918605331362</v>
      </c>
      <c r="H1717" s="70">
        <f t="shared" si="186"/>
        <v>0.4</v>
      </c>
      <c r="I1717" s="70">
        <f t="shared" si="187"/>
        <v>0</v>
      </c>
      <c r="J1717" s="70">
        <f t="shared" si="188"/>
        <v>0</v>
      </c>
      <c r="K1717" s="70">
        <f>IF(CurrentMtgRatesDataTable8[[#This Row],[WA CC]]&lt;&gt;0,C1716-CurrentMtgRatesDataTable8[[#This Row],[WA CC]],0)</f>
        <v>0</v>
      </c>
      <c r="L1717" s="70">
        <f>IF(CurrentMtgRatesDataTable8[[#This Row],[Servicing Spread]]&lt;=0,L1716,CurrentMtgRatesDataTable8[[#This Row],[Servicing Spread]])</f>
        <v>0.89513659493581255</v>
      </c>
      <c r="M1717" s="70">
        <f>CurrentMtgRatesDataTable8[[#This Row],[Servicing Spread Non-Zero]]-L1716</f>
        <v>0</v>
      </c>
      <c r="N1717" s="70">
        <f>IF(J1716&lt;&gt;0,CurrentMtgRatesDataTable8[[#This Row],[Rate]]-C1716,N1716)</f>
        <v>-5.0000000000000711E-2</v>
      </c>
    </row>
    <row r="1718" spans="1:14">
      <c r="A1718" s="67" t="s">
        <v>3070</v>
      </c>
      <c r="B1718" s="68">
        <v>3.33557494189058</v>
      </c>
      <c r="C1718" s="69">
        <v>4.22</v>
      </c>
      <c r="D1718" s="70">
        <f t="shared" si="182"/>
        <v>5</v>
      </c>
      <c r="E1718" s="70">
        <f t="shared" si="183"/>
        <v>0.2</v>
      </c>
      <c r="F1718" s="70">
        <f t="shared" si="184"/>
        <v>3</v>
      </c>
      <c r="G1718" s="70">
        <f t="shared" si="185"/>
        <v>2.0216068489112522</v>
      </c>
      <c r="H1718" s="70">
        <f t="shared" si="186"/>
        <v>0.60000000000000009</v>
      </c>
      <c r="I1718" s="70">
        <f t="shared" si="187"/>
        <v>0</v>
      </c>
      <c r="J1718" s="70">
        <f t="shared" si="188"/>
        <v>0</v>
      </c>
      <c r="K1718" s="70">
        <f>IF(CurrentMtgRatesDataTable8[[#This Row],[WA CC]]&lt;&gt;0,C1717-CurrentMtgRatesDataTable8[[#This Row],[WA CC]],0)</f>
        <v>0</v>
      </c>
      <c r="L1718" s="70">
        <f>IF(CurrentMtgRatesDataTable8[[#This Row],[Servicing Spread]]&lt;=0,L1717,CurrentMtgRatesDataTable8[[#This Row],[Servicing Spread]])</f>
        <v>0.89513659493581255</v>
      </c>
      <c r="M1718" s="70">
        <f>CurrentMtgRatesDataTable8[[#This Row],[Servicing Spread Non-Zero]]-L1717</f>
        <v>0</v>
      </c>
      <c r="N1718" s="70">
        <f>IF(J1717&lt;&gt;0,CurrentMtgRatesDataTable8[[#This Row],[Rate]]-C1717,N1717)</f>
        <v>-5.0000000000000711E-2</v>
      </c>
    </row>
    <row r="1719" spans="1:14">
      <c r="A1719" s="67" t="s">
        <v>3071</v>
      </c>
      <c r="B1719" s="68">
        <v>3.33658833970674</v>
      </c>
      <c r="C1719" s="69">
        <v>4.22</v>
      </c>
      <c r="D1719" s="70">
        <f t="shared" si="182"/>
        <v>6</v>
      </c>
      <c r="E1719" s="70">
        <f t="shared" si="183"/>
        <v>0.2</v>
      </c>
      <c r="F1719" s="70">
        <f t="shared" si="184"/>
        <v>4</v>
      </c>
      <c r="G1719" s="70">
        <f t="shared" si="185"/>
        <v>2.6889245168526004</v>
      </c>
      <c r="H1719" s="70">
        <f t="shared" si="186"/>
        <v>0.8</v>
      </c>
      <c r="I1719" s="70">
        <f t="shared" si="187"/>
        <v>0</v>
      </c>
      <c r="J1719" s="70">
        <f t="shared" si="188"/>
        <v>0</v>
      </c>
      <c r="K1719" s="70">
        <f>IF(CurrentMtgRatesDataTable8[[#This Row],[WA CC]]&lt;&gt;0,C1718-CurrentMtgRatesDataTable8[[#This Row],[WA CC]],0)</f>
        <v>0</v>
      </c>
      <c r="L1719" s="70">
        <f>IF(CurrentMtgRatesDataTable8[[#This Row],[Servicing Spread]]&lt;=0,L1718,CurrentMtgRatesDataTable8[[#This Row],[Servicing Spread]])</f>
        <v>0.89513659493581255</v>
      </c>
      <c r="M1719" s="70">
        <f>CurrentMtgRatesDataTable8[[#This Row],[Servicing Spread Non-Zero]]-L1718</f>
        <v>0</v>
      </c>
      <c r="N1719" s="70">
        <f>IF(J1718&lt;&gt;0,CurrentMtgRatesDataTable8[[#This Row],[Rate]]-C1718,N1718)</f>
        <v>-5.0000000000000711E-2</v>
      </c>
    </row>
    <row r="1720" spans="1:14">
      <c r="A1720" s="67" t="s">
        <v>3072</v>
      </c>
      <c r="B1720" s="68">
        <v>3.2627915445419702</v>
      </c>
      <c r="C1720" s="69">
        <v>4.22</v>
      </c>
      <c r="D1720" s="70">
        <f t="shared" si="182"/>
        <v>7</v>
      </c>
      <c r="E1720" s="70">
        <f t="shared" si="183"/>
        <v>0.2</v>
      </c>
      <c r="F1720" s="70">
        <f t="shared" si="184"/>
        <v>5</v>
      </c>
      <c r="G1720" s="70">
        <f t="shared" si="185"/>
        <v>3.3414828257609943</v>
      </c>
      <c r="H1720" s="70">
        <f t="shared" si="186"/>
        <v>1</v>
      </c>
      <c r="I1720" s="70">
        <f t="shared" si="187"/>
        <v>1</v>
      </c>
      <c r="J1720" s="70">
        <f t="shared" si="188"/>
        <v>3.3414828257609943</v>
      </c>
      <c r="K1720" s="70">
        <f>IF(CurrentMtgRatesDataTable8[[#This Row],[WA CC]]&lt;&gt;0,C1719-CurrentMtgRatesDataTable8[[#This Row],[WA CC]],0)</f>
        <v>0.87851717423900544</v>
      </c>
      <c r="L1720" s="70">
        <f>IF(CurrentMtgRatesDataTable8[[#This Row],[Servicing Spread]]&lt;=0,L1719,CurrentMtgRatesDataTable8[[#This Row],[Servicing Spread]])</f>
        <v>0.87851717423900544</v>
      </c>
      <c r="M1720" s="70">
        <f>CurrentMtgRatesDataTable8[[#This Row],[Servicing Spread Non-Zero]]-L1719</f>
        <v>-1.6619420696807108E-2</v>
      </c>
      <c r="N1720" s="70">
        <f>IF(J1719&lt;&gt;0,CurrentMtgRatesDataTable8[[#This Row],[Rate]]-C1719,N1719)</f>
        <v>-5.0000000000000711E-2</v>
      </c>
    </row>
    <row r="1721" spans="1:14">
      <c r="A1721" s="67" t="s">
        <v>3073</v>
      </c>
      <c r="B1721" s="68">
        <v>3.2236541263428502</v>
      </c>
      <c r="C1721" s="69">
        <v>4.1400000000000006</v>
      </c>
      <c r="D1721" s="70">
        <f t="shared" si="182"/>
        <v>1</v>
      </c>
      <c r="E1721" s="70">
        <f t="shared" si="183"/>
        <v>0.2</v>
      </c>
      <c r="F1721" s="70">
        <f t="shared" si="184"/>
        <v>1</v>
      </c>
      <c r="G1721" s="70">
        <f t="shared" si="185"/>
        <v>0.64473082526857006</v>
      </c>
      <c r="H1721" s="70">
        <f t="shared" si="186"/>
        <v>0.2</v>
      </c>
      <c r="I1721" s="70">
        <f t="shared" si="187"/>
        <v>0</v>
      </c>
      <c r="J1721" s="70">
        <f t="shared" si="188"/>
        <v>0</v>
      </c>
      <c r="K1721" s="70">
        <f>IF(CurrentMtgRatesDataTable8[[#This Row],[WA CC]]&lt;&gt;0,C1720-CurrentMtgRatesDataTable8[[#This Row],[WA CC]],0)</f>
        <v>0</v>
      </c>
      <c r="L1721" s="70">
        <f>IF(CurrentMtgRatesDataTable8[[#This Row],[Servicing Spread]]&lt;=0,L1720,CurrentMtgRatesDataTable8[[#This Row],[Servicing Spread]])</f>
        <v>0.87851717423900544</v>
      </c>
      <c r="M1721" s="70">
        <f>CurrentMtgRatesDataTable8[[#This Row],[Servicing Spread Non-Zero]]-L1720</f>
        <v>0</v>
      </c>
      <c r="N1721" s="70">
        <f>IF(J1720&lt;&gt;0,CurrentMtgRatesDataTable8[[#This Row],[Rate]]-C1720,N1720)</f>
        <v>-7.9999999999999183E-2</v>
      </c>
    </row>
    <row r="1722" spans="1:14">
      <c r="A1722" s="67" t="s">
        <v>3074</v>
      </c>
      <c r="B1722" s="68">
        <v>3.2304597597994502</v>
      </c>
      <c r="C1722" s="69">
        <v>4.1400000000000006</v>
      </c>
      <c r="D1722" s="70">
        <f t="shared" si="182"/>
        <v>2</v>
      </c>
      <c r="E1722" s="70">
        <f t="shared" si="183"/>
        <v>0.2</v>
      </c>
      <c r="F1722" s="70">
        <f t="shared" si="184"/>
        <v>2</v>
      </c>
      <c r="G1722" s="70">
        <f t="shared" si="185"/>
        <v>1.2908227772284602</v>
      </c>
      <c r="H1722" s="70">
        <f t="shared" si="186"/>
        <v>0.4</v>
      </c>
      <c r="I1722" s="70">
        <f t="shared" si="187"/>
        <v>0</v>
      </c>
      <c r="J1722" s="70">
        <f t="shared" si="188"/>
        <v>0</v>
      </c>
      <c r="K1722" s="70">
        <f>IF(CurrentMtgRatesDataTable8[[#This Row],[WA CC]]&lt;&gt;0,C1721-CurrentMtgRatesDataTable8[[#This Row],[WA CC]],0)</f>
        <v>0</v>
      </c>
      <c r="L1722" s="70">
        <f>IF(CurrentMtgRatesDataTable8[[#This Row],[Servicing Spread]]&lt;=0,L1721,CurrentMtgRatesDataTable8[[#This Row],[Servicing Spread]])</f>
        <v>0.87851717423900544</v>
      </c>
      <c r="M1722" s="70">
        <f>CurrentMtgRatesDataTable8[[#This Row],[Servicing Spread Non-Zero]]-L1721</f>
        <v>0</v>
      </c>
      <c r="N1722" s="70">
        <f>IF(J1721&lt;&gt;0,CurrentMtgRatesDataTable8[[#This Row],[Rate]]-C1721,N1721)</f>
        <v>-7.9999999999999183E-2</v>
      </c>
    </row>
    <row r="1723" spans="1:14">
      <c r="A1723" s="67" t="s">
        <v>3075</v>
      </c>
      <c r="B1723" s="68">
        <v>3.28568492905061</v>
      </c>
      <c r="C1723" s="69">
        <v>4.1400000000000006</v>
      </c>
      <c r="D1723" s="70">
        <f t="shared" si="182"/>
        <v>6</v>
      </c>
      <c r="E1723" s="70">
        <f t="shared" si="183"/>
        <v>0.2</v>
      </c>
      <c r="F1723" s="70">
        <f t="shared" si="184"/>
        <v>3</v>
      </c>
      <c r="G1723" s="70">
        <f t="shared" si="185"/>
        <v>1.9479597630385821</v>
      </c>
      <c r="H1723" s="70">
        <f t="shared" si="186"/>
        <v>0.60000000000000009</v>
      </c>
      <c r="I1723" s="70">
        <f t="shared" si="187"/>
        <v>0</v>
      </c>
      <c r="J1723" s="70">
        <f t="shared" si="188"/>
        <v>0</v>
      </c>
      <c r="K1723" s="70">
        <f>IF(CurrentMtgRatesDataTable8[[#This Row],[WA CC]]&lt;&gt;0,C1722-CurrentMtgRatesDataTable8[[#This Row],[WA CC]],0)</f>
        <v>0</v>
      </c>
      <c r="L1723" s="70">
        <f>IF(CurrentMtgRatesDataTable8[[#This Row],[Servicing Spread]]&lt;=0,L1722,CurrentMtgRatesDataTable8[[#This Row],[Servicing Spread]])</f>
        <v>0.87851717423900544</v>
      </c>
      <c r="M1723" s="70">
        <f>CurrentMtgRatesDataTable8[[#This Row],[Servicing Spread Non-Zero]]-L1722</f>
        <v>0</v>
      </c>
      <c r="N1723" s="70">
        <f>IF(J1722&lt;&gt;0,CurrentMtgRatesDataTable8[[#This Row],[Rate]]-C1722,N1722)</f>
        <v>-7.9999999999999183E-2</v>
      </c>
    </row>
    <row r="1724" spans="1:14">
      <c r="A1724" s="67" t="s">
        <v>3076</v>
      </c>
      <c r="B1724" s="68">
        <v>3.2618668739394301</v>
      </c>
      <c r="C1724" s="69">
        <v>4.1400000000000006</v>
      </c>
      <c r="D1724" s="70">
        <f t="shared" si="182"/>
        <v>7</v>
      </c>
      <c r="E1724" s="70">
        <f t="shared" si="183"/>
        <v>0.2</v>
      </c>
      <c r="F1724" s="70">
        <f t="shared" si="184"/>
        <v>4</v>
      </c>
      <c r="G1724" s="70">
        <f t="shared" si="185"/>
        <v>2.600333137826468</v>
      </c>
      <c r="H1724" s="70">
        <f t="shared" si="186"/>
        <v>0.8</v>
      </c>
      <c r="I1724" s="70">
        <f t="shared" si="187"/>
        <v>1</v>
      </c>
      <c r="J1724" s="70">
        <f t="shared" si="188"/>
        <v>3.2504164222830849</v>
      </c>
      <c r="K1724" s="70">
        <f>IF(CurrentMtgRatesDataTable8[[#This Row],[WA CC]]&lt;&gt;0,C1723-CurrentMtgRatesDataTable8[[#This Row],[WA CC]],0)</f>
        <v>0.88958357771691565</v>
      </c>
      <c r="L1724" s="70">
        <f>IF(CurrentMtgRatesDataTable8[[#This Row],[Servicing Spread]]&lt;=0,L1723,CurrentMtgRatesDataTable8[[#This Row],[Servicing Spread]])</f>
        <v>0.88958357771691565</v>
      </c>
      <c r="M1724" s="70">
        <f>CurrentMtgRatesDataTable8[[#This Row],[Servicing Spread Non-Zero]]-L1723</f>
        <v>1.1066403477910214E-2</v>
      </c>
      <c r="N1724" s="70">
        <f>IF(J1723&lt;&gt;0,CurrentMtgRatesDataTable8[[#This Row],[Rate]]-C1723,N1723)</f>
        <v>-7.9999999999999183E-2</v>
      </c>
    </row>
    <row r="1725" spans="1:14">
      <c r="A1725" s="67" t="s">
        <v>3077</v>
      </c>
      <c r="B1725" s="68">
        <v>3.2849236576117899</v>
      </c>
      <c r="C1725" s="69">
        <v>4.16</v>
      </c>
      <c r="D1725" s="70">
        <f t="shared" si="182"/>
        <v>1</v>
      </c>
      <c r="E1725" s="70">
        <f t="shared" si="183"/>
        <v>0.2</v>
      </c>
      <c r="F1725" s="70">
        <f t="shared" si="184"/>
        <v>1</v>
      </c>
      <c r="G1725" s="70">
        <f t="shared" si="185"/>
        <v>0.65698473152235803</v>
      </c>
      <c r="H1725" s="70">
        <f t="shared" si="186"/>
        <v>0.2</v>
      </c>
      <c r="I1725" s="70">
        <f t="shared" si="187"/>
        <v>0</v>
      </c>
      <c r="J1725" s="70">
        <f t="shared" si="188"/>
        <v>0</v>
      </c>
      <c r="K1725" s="70">
        <f>IF(CurrentMtgRatesDataTable8[[#This Row],[WA CC]]&lt;&gt;0,C1724-CurrentMtgRatesDataTable8[[#This Row],[WA CC]],0)</f>
        <v>0</v>
      </c>
      <c r="L1725" s="70">
        <f>IF(CurrentMtgRatesDataTable8[[#This Row],[Servicing Spread]]&lt;=0,L1724,CurrentMtgRatesDataTable8[[#This Row],[Servicing Spread]])</f>
        <v>0.88958357771691565</v>
      </c>
      <c r="M1725" s="70">
        <f>CurrentMtgRatesDataTable8[[#This Row],[Servicing Spread Non-Zero]]-L1724</f>
        <v>0</v>
      </c>
      <c r="N1725" s="70">
        <f>IF(J1724&lt;&gt;0,CurrentMtgRatesDataTable8[[#This Row],[Rate]]-C1724,N1724)</f>
        <v>1.9999999999999574E-2</v>
      </c>
    </row>
    <row r="1726" spans="1:14">
      <c r="A1726" s="67" t="s">
        <v>3078</v>
      </c>
      <c r="B1726" s="68">
        <v>3.3753713873087698</v>
      </c>
      <c r="C1726" s="69">
        <v>4.16</v>
      </c>
      <c r="D1726" s="70">
        <f t="shared" si="182"/>
        <v>2</v>
      </c>
      <c r="E1726" s="70">
        <f t="shared" si="183"/>
        <v>0.2</v>
      </c>
      <c r="F1726" s="70">
        <f t="shared" si="184"/>
        <v>2</v>
      </c>
      <c r="G1726" s="70">
        <f t="shared" si="185"/>
        <v>1.332059008984112</v>
      </c>
      <c r="H1726" s="70">
        <f t="shared" si="186"/>
        <v>0.4</v>
      </c>
      <c r="I1726" s="70">
        <f t="shared" si="187"/>
        <v>0</v>
      </c>
      <c r="J1726" s="70">
        <f t="shared" si="188"/>
        <v>0</v>
      </c>
      <c r="K1726" s="70">
        <f>IF(CurrentMtgRatesDataTable8[[#This Row],[WA CC]]&lt;&gt;0,C1725-CurrentMtgRatesDataTable8[[#This Row],[WA CC]],0)</f>
        <v>0</v>
      </c>
      <c r="L1726" s="70">
        <f>IF(CurrentMtgRatesDataTable8[[#This Row],[Servicing Spread]]&lt;=0,L1725,CurrentMtgRatesDataTable8[[#This Row],[Servicing Spread]])</f>
        <v>0.88958357771691565</v>
      </c>
      <c r="M1726" s="70">
        <f>CurrentMtgRatesDataTable8[[#This Row],[Servicing Spread Non-Zero]]-L1725</f>
        <v>0</v>
      </c>
      <c r="N1726" s="70">
        <f>IF(J1725&lt;&gt;0,CurrentMtgRatesDataTable8[[#This Row],[Rate]]-C1725,N1725)</f>
        <v>1.9999999999999574E-2</v>
      </c>
    </row>
    <row r="1727" spans="1:14">
      <c r="A1727" s="67" t="s">
        <v>3079</v>
      </c>
      <c r="B1727" s="68">
        <v>3.29993933931729</v>
      </c>
      <c r="C1727" s="69">
        <v>4.16</v>
      </c>
      <c r="D1727" s="70">
        <f t="shared" si="182"/>
        <v>5</v>
      </c>
      <c r="E1727" s="70">
        <f t="shared" si="183"/>
        <v>0.2</v>
      </c>
      <c r="F1727" s="70">
        <f t="shared" si="184"/>
        <v>3</v>
      </c>
      <c r="G1727" s="70">
        <f t="shared" si="185"/>
        <v>1.9920468768475701</v>
      </c>
      <c r="H1727" s="70">
        <f t="shared" si="186"/>
        <v>0.60000000000000009</v>
      </c>
      <c r="I1727" s="70">
        <f t="shared" si="187"/>
        <v>0</v>
      </c>
      <c r="J1727" s="70">
        <f t="shared" si="188"/>
        <v>0</v>
      </c>
      <c r="K1727" s="70">
        <f>IF(CurrentMtgRatesDataTable8[[#This Row],[WA CC]]&lt;&gt;0,C1726-CurrentMtgRatesDataTable8[[#This Row],[WA CC]],0)</f>
        <v>0</v>
      </c>
      <c r="L1727" s="70">
        <f>IF(CurrentMtgRatesDataTable8[[#This Row],[Servicing Spread]]&lt;=0,L1726,CurrentMtgRatesDataTable8[[#This Row],[Servicing Spread]])</f>
        <v>0.88958357771691565</v>
      </c>
      <c r="M1727" s="70">
        <f>CurrentMtgRatesDataTable8[[#This Row],[Servicing Spread Non-Zero]]-L1726</f>
        <v>0</v>
      </c>
      <c r="N1727" s="70">
        <f>IF(J1726&lt;&gt;0,CurrentMtgRatesDataTable8[[#This Row],[Rate]]-C1726,N1726)</f>
        <v>1.9999999999999574E-2</v>
      </c>
    </row>
    <row r="1728" spans="1:14">
      <c r="A1728" s="67" t="s">
        <v>3080</v>
      </c>
      <c r="B1728" s="68">
        <v>3.2698607393854702</v>
      </c>
      <c r="C1728" s="69">
        <v>4.16</v>
      </c>
      <c r="D1728" s="70">
        <f t="shared" si="182"/>
        <v>6</v>
      </c>
      <c r="E1728" s="70">
        <f t="shared" si="183"/>
        <v>0.2</v>
      </c>
      <c r="F1728" s="70">
        <f t="shared" si="184"/>
        <v>4</v>
      </c>
      <c r="G1728" s="70">
        <f t="shared" si="185"/>
        <v>2.646019024724664</v>
      </c>
      <c r="H1728" s="70">
        <f t="shared" si="186"/>
        <v>0.8</v>
      </c>
      <c r="I1728" s="70">
        <f t="shared" si="187"/>
        <v>0</v>
      </c>
      <c r="J1728" s="70">
        <f t="shared" si="188"/>
        <v>0</v>
      </c>
      <c r="K1728" s="70">
        <f>IF(CurrentMtgRatesDataTable8[[#This Row],[WA CC]]&lt;&gt;0,C1727-CurrentMtgRatesDataTable8[[#This Row],[WA CC]],0)</f>
        <v>0</v>
      </c>
      <c r="L1728" s="70">
        <f>IF(CurrentMtgRatesDataTable8[[#This Row],[Servicing Spread]]&lt;=0,L1727,CurrentMtgRatesDataTable8[[#This Row],[Servicing Spread]])</f>
        <v>0.88958357771691565</v>
      </c>
      <c r="M1728" s="70">
        <f>CurrentMtgRatesDataTable8[[#This Row],[Servicing Spread Non-Zero]]-L1727</f>
        <v>0</v>
      </c>
      <c r="N1728" s="70">
        <f>IF(J1727&lt;&gt;0,CurrentMtgRatesDataTable8[[#This Row],[Rate]]-C1727,N1727)</f>
        <v>1.9999999999999574E-2</v>
      </c>
    </row>
    <row r="1729" spans="1:14">
      <c r="A1729" s="67" t="s">
        <v>3081</v>
      </c>
      <c r="B1729" s="68">
        <v>3.2551499981762402</v>
      </c>
      <c r="C1729" s="69">
        <v>4.16</v>
      </c>
      <c r="D1729" s="70">
        <f t="shared" si="182"/>
        <v>7</v>
      </c>
      <c r="E1729" s="70">
        <f t="shared" si="183"/>
        <v>0.2</v>
      </c>
      <c r="F1729" s="70">
        <f t="shared" si="184"/>
        <v>5</v>
      </c>
      <c r="G1729" s="70">
        <f t="shared" si="185"/>
        <v>3.2970490243599122</v>
      </c>
      <c r="H1729" s="70">
        <f t="shared" si="186"/>
        <v>1</v>
      </c>
      <c r="I1729" s="70">
        <f t="shared" si="187"/>
        <v>1</v>
      </c>
      <c r="J1729" s="70">
        <f t="shared" si="188"/>
        <v>3.2970490243599122</v>
      </c>
      <c r="K1729" s="70">
        <f>IF(CurrentMtgRatesDataTable8[[#This Row],[WA CC]]&lt;&gt;0,C1728-CurrentMtgRatesDataTable8[[#This Row],[WA CC]],0)</f>
        <v>0.86295097564008794</v>
      </c>
      <c r="L1729" s="70">
        <f>IF(CurrentMtgRatesDataTable8[[#This Row],[Servicing Spread]]&lt;=0,L1728,CurrentMtgRatesDataTable8[[#This Row],[Servicing Spread]])</f>
        <v>0.86295097564008794</v>
      </c>
      <c r="M1729" s="70">
        <f>CurrentMtgRatesDataTable8[[#This Row],[Servicing Spread Non-Zero]]-L1728</f>
        <v>-2.6632602076827716E-2</v>
      </c>
      <c r="N1729" s="70">
        <f>IF(J1728&lt;&gt;0,CurrentMtgRatesDataTable8[[#This Row],[Rate]]-C1728,N1728)</f>
        <v>1.9999999999999574E-2</v>
      </c>
    </row>
    <row r="1730" spans="1:14">
      <c r="A1730" s="67" t="s">
        <v>3082</v>
      </c>
      <c r="B1730" s="68">
        <v>3.29243233279866</v>
      </c>
      <c r="C1730" s="69">
        <v>4.1800000000000006</v>
      </c>
      <c r="D1730" s="70">
        <f t="shared" si="182"/>
        <v>1</v>
      </c>
      <c r="E1730" s="70">
        <f t="shared" si="183"/>
        <v>0.2</v>
      </c>
      <c r="F1730" s="70">
        <f t="shared" si="184"/>
        <v>1</v>
      </c>
      <c r="G1730" s="70">
        <f t="shared" si="185"/>
        <v>0.65848646655973209</v>
      </c>
      <c r="H1730" s="70">
        <f t="shared" si="186"/>
        <v>0.2</v>
      </c>
      <c r="I1730" s="70">
        <f t="shared" si="187"/>
        <v>0</v>
      </c>
      <c r="J1730" s="70">
        <f t="shared" si="188"/>
        <v>0</v>
      </c>
      <c r="K1730" s="70">
        <f>IF(CurrentMtgRatesDataTable8[[#This Row],[WA CC]]&lt;&gt;0,C1729-CurrentMtgRatesDataTable8[[#This Row],[WA CC]],0)</f>
        <v>0</v>
      </c>
      <c r="L1730" s="70">
        <f>IF(CurrentMtgRatesDataTable8[[#This Row],[Servicing Spread]]&lt;=0,L1729,CurrentMtgRatesDataTable8[[#This Row],[Servicing Spread]])</f>
        <v>0.86295097564008794</v>
      </c>
      <c r="M1730" s="70">
        <f>CurrentMtgRatesDataTable8[[#This Row],[Servicing Spread Non-Zero]]-L1729</f>
        <v>0</v>
      </c>
      <c r="N1730" s="70">
        <f>IF(J1729&lt;&gt;0,CurrentMtgRatesDataTable8[[#This Row],[Rate]]-C1729,N1729)</f>
        <v>2.0000000000000462E-2</v>
      </c>
    </row>
    <row r="1731" spans="1:14">
      <c r="A1731" s="67" t="s">
        <v>3083</v>
      </c>
      <c r="B1731" s="68">
        <v>3.3180812438752501</v>
      </c>
      <c r="C1731" s="69">
        <v>4.1800000000000006</v>
      </c>
      <c r="D1731" s="70">
        <f t="shared" si="182"/>
        <v>2</v>
      </c>
      <c r="E1731" s="70">
        <f t="shared" si="183"/>
        <v>0.2</v>
      </c>
      <c r="F1731" s="70">
        <f t="shared" si="184"/>
        <v>2</v>
      </c>
      <c r="G1731" s="70">
        <f t="shared" si="185"/>
        <v>1.3221027153347822</v>
      </c>
      <c r="H1731" s="70">
        <f t="shared" si="186"/>
        <v>0.4</v>
      </c>
      <c r="I1731" s="70">
        <f t="shared" si="187"/>
        <v>0</v>
      </c>
      <c r="J1731" s="70">
        <f t="shared" si="188"/>
        <v>0</v>
      </c>
      <c r="K1731" s="70">
        <f>IF(CurrentMtgRatesDataTable8[[#This Row],[WA CC]]&lt;&gt;0,C1730-CurrentMtgRatesDataTable8[[#This Row],[WA CC]],0)</f>
        <v>0</v>
      </c>
      <c r="L1731" s="70">
        <f>IF(CurrentMtgRatesDataTable8[[#This Row],[Servicing Spread]]&lt;=0,L1730,CurrentMtgRatesDataTable8[[#This Row],[Servicing Spread]])</f>
        <v>0.86295097564008794</v>
      </c>
      <c r="M1731" s="70">
        <f>CurrentMtgRatesDataTable8[[#This Row],[Servicing Spread Non-Zero]]-L1730</f>
        <v>0</v>
      </c>
      <c r="N1731" s="70">
        <f>IF(J1730&lt;&gt;0,CurrentMtgRatesDataTable8[[#This Row],[Rate]]-C1730,N1730)</f>
        <v>2.0000000000000462E-2</v>
      </c>
    </row>
    <row r="1732" spans="1:14">
      <c r="A1732" s="67" t="s">
        <v>3084</v>
      </c>
      <c r="B1732" s="68">
        <v>3.3738531590782599</v>
      </c>
      <c r="C1732" s="69">
        <v>4.1800000000000006</v>
      </c>
      <c r="D1732" s="70">
        <f t="shared" si="182"/>
        <v>5</v>
      </c>
      <c r="E1732" s="70">
        <f t="shared" si="183"/>
        <v>0.2</v>
      </c>
      <c r="F1732" s="70">
        <f t="shared" si="184"/>
        <v>3</v>
      </c>
      <c r="G1732" s="70">
        <f t="shared" si="185"/>
        <v>1.9968733471504341</v>
      </c>
      <c r="H1732" s="70">
        <f t="shared" si="186"/>
        <v>0.60000000000000009</v>
      </c>
      <c r="I1732" s="70">
        <f t="shared" si="187"/>
        <v>0</v>
      </c>
      <c r="J1732" s="70">
        <f t="shared" si="188"/>
        <v>0</v>
      </c>
      <c r="K1732" s="70">
        <f>IF(CurrentMtgRatesDataTable8[[#This Row],[WA CC]]&lt;&gt;0,C1731-CurrentMtgRatesDataTable8[[#This Row],[WA CC]],0)</f>
        <v>0</v>
      </c>
      <c r="L1732" s="70">
        <f>IF(CurrentMtgRatesDataTable8[[#This Row],[Servicing Spread]]&lt;=0,L1731,CurrentMtgRatesDataTable8[[#This Row],[Servicing Spread]])</f>
        <v>0.86295097564008794</v>
      </c>
      <c r="M1732" s="70">
        <f>CurrentMtgRatesDataTable8[[#This Row],[Servicing Spread Non-Zero]]-L1731</f>
        <v>0</v>
      </c>
      <c r="N1732" s="70">
        <f>IF(J1731&lt;&gt;0,CurrentMtgRatesDataTable8[[#This Row],[Rate]]-C1731,N1731)</f>
        <v>2.0000000000000462E-2</v>
      </c>
    </row>
    <row r="1733" spans="1:14">
      <c r="A1733" s="67" t="s">
        <v>3085</v>
      </c>
      <c r="B1733" s="68">
        <v>3.4470194550256101</v>
      </c>
      <c r="C1733" s="69">
        <v>4.1800000000000006</v>
      </c>
      <c r="D1733" s="70">
        <f t="shared" ref="D1733:D1796" si="189">WEEKDAY(A1733,14)</f>
        <v>6</v>
      </c>
      <c r="E1733" s="70">
        <f t="shared" ref="E1733:E1796" si="190">VLOOKUP(D1733,Q$5:R$11,2,FALSE)</f>
        <v>0.2</v>
      </c>
      <c r="F1733" s="70">
        <f t="shared" ref="F1733:F1796" si="191">IF(AND(D1733&gt;D1732,F1732&lt;6),F1732+1,1)</f>
        <v>4</v>
      </c>
      <c r="G1733" s="70">
        <f t="shared" ref="G1733:G1796" si="192">IF(F1733&gt;F1732,G1732+B1733*E1733,B1733*E1733)</f>
        <v>2.6862772381555562</v>
      </c>
      <c r="H1733" s="70">
        <f t="shared" ref="H1733:H1796" si="193">IF(AND(F1733&lt;6,F1733&gt;F1732),E1733+H1732,E1733)</f>
        <v>0.8</v>
      </c>
      <c r="I1733" s="70">
        <f t="shared" ref="I1733:I1796" si="194">IF(F1733&gt;F1734,1,0)</f>
        <v>0</v>
      </c>
      <c r="J1733" s="70">
        <f t="shared" ref="J1733:J1796" si="195">IF(F1733&gt;F1734,G1733/H1733,0)</f>
        <v>0</v>
      </c>
      <c r="K1733" s="70">
        <f>IF(CurrentMtgRatesDataTable8[[#This Row],[WA CC]]&lt;&gt;0,C1732-CurrentMtgRatesDataTable8[[#This Row],[WA CC]],0)</f>
        <v>0</v>
      </c>
      <c r="L1733" s="70">
        <f>IF(CurrentMtgRatesDataTable8[[#This Row],[Servicing Spread]]&lt;=0,L1732,CurrentMtgRatesDataTable8[[#This Row],[Servicing Spread]])</f>
        <v>0.86295097564008794</v>
      </c>
      <c r="M1733" s="70">
        <f>CurrentMtgRatesDataTable8[[#This Row],[Servicing Spread Non-Zero]]-L1732</f>
        <v>0</v>
      </c>
      <c r="N1733" s="70">
        <f>IF(J1732&lt;&gt;0,CurrentMtgRatesDataTable8[[#This Row],[Rate]]-C1732,N1732)</f>
        <v>2.0000000000000462E-2</v>
      </c>
    </row>
    <row r="1734" spans="1:14">
      <c r="A1734" s="67" t="s">
        <v>3086</v>
      </c>
      <c r="B1734" s="68">
        <v>3.4972821592251799</v>
      </c>
      <c r="C1734" s="69">
        <v>4.1800000000000006</v>
      </c>
      <c r="D1734" s="70">
        <f t="shared" si="189"/>
        <v>7</v>
      </c>
      <c r="E1734" s="70">
        <f t="shared" si="190"/>
        <v>0.2</v>
      </c>
      <c r="F1734" s="70">
        <f t="shared" si="191"/>
        <v>5</v>
      </c>
      <c r="G1734" s="70">
        <f t="shared" si="192"/>
        <v>3.385733670000592</v>
      </c>
      <c r="H1734" s="70">
        <f t="shared" si="193"/>
        <v>1</v>
      </c>
      <c r="I1734" s="70">
        <f t="shared" si="194"/>
        <v>1</v>
      </c>
      <c r="J1734" s="70">
        <f t="shared" si="195"/>
        <v>3.385733670000592</v>
      </c>
      <c r="K1734" s="70">
        <f>IF(CurrentMtgRatesDataTable8[[#This Row],[WA CC]]&lt;&gt;0,C1733-CurrentMtgRatesDataTable8[[#This Row],[WA CC]],0)</f>
        <v>0.7942663299994086</v>
      </c>
      <c r="L1734" s="70">
        <f>IF(CurrentMtgRatesDataTable8[[#This Row],[Servicing Spread]]&lt;=0,L1733,CurrentMtgRatesDataTable8[[#This Row],[Servicing Spread]])</f>
        <v>0.7942663299994086</v>
      </c>
      <c r="M1734" s="70">
        <f>CurrentMtgRatesDataTable8[[#This Row],[Servicing Spread Non-Zero]]-L1733</f>
        <v>-6.8684645640679332E-2</v>
      </c>
      <c r="N1734" s="70">
        <f>IF(J1733&lt;&gt;0,CurrentMtgRatesDataTable8[[#This Row],[Rate]]-C1733,N1733)</f>
        <v>2.0000000000000462E-2</v>
      </c>
    </row>
    <row r="1735" spans="1:14">
      <c r="A1735" s="67" t="s">
        <v>3087</v>
      </c>
      <c r="B1735" s="68">
        <v>3.4349602054057899</v>
      </c>
      <c r="C1735" s="69">
        <v>4.1900000000000004</v>
      </c>
      <c r="D1735" s="70">
        <f t="shared" si="189"/>
        <v>1</v>
      </c>
      <c r="E1735" s="70">
        <f t="shared" si="190"/>
        <v>0.2</v>
      </c>
      <c r="F1735" s="70">
        <f t="shared" si="191"/>
        <v>1</v>
      </c>
      <c r="G1735" s="70">
        <f t="shared" si="192"/>
        <v>0.68699204108115808</v>
      </c>
      <c r="H1735" s="70">
        <f t="shared" si="193"/>
        <v>0.2</v>
      </c>
      <c r="I1735" s="70">
        <f t="shared" si="194"/>
        <v>0</v>
      </c>
      <c r="J1735" s="70">
        <f t="shared" si="195"/>
        <v>0</v>
      </c>
      <c r="K1735" s="70">
        <f>IF(CurrentMtgRatesDataTable8[[#This Row],[WA CC]]&lt;&gt;0,C1734-CurrentMtgRatesDataTable8[[#This Row],[WA CC]],0)</f>
        <v>0</v>
      </c>
      <c r="L1735" s="70">
        <f>IF(CurrentMtgRatesDataTable8[[#This Row],[Servicing Spread]]&lt;=0,L1734,CurrentMtgRatesDataTable8[[#This Row],[Servicing Spread]])</f>
        <v>0.7942663299994086</v>
      </c>
      <c r="M1735" s="70">
        <f>CurrentMtgRatesDataTable8[[#This Row],[Servicing Spread Non-Zero]]-L1734</f>
        <v>0</v>
      </c>
      <c r="N1735" s="70">
        <f>IF(J1734&lt;&gt;0,CurrentMtgRatesDataTable8[[#This Row],[Rate]]-C1734,N1734)</f>
        <v>9.9999999999997868E-3</v>
      </c>
    </row>
    <row r="1736" spans="1:14">
      <c r="A1736" s="67" t="s">
        <v>3088</v>
      </c>
      <c r="B1736" s="68">
        <v>3.3978435458388301</v>
      </c>
      <c r="C1736" s="69">
        <v>4.1900000000000004</v>
      </c>
      <c r="D1736" s="70">
        <f t="shared" si="189"/>
        <v>2</v>
      </c>
      <c r="E1736" s="70">
        <f t="shared" si="190"/>
        <v>0.2</v>
      </c>
      <c r="F1736" s="70">
        <f t="shared" si="191"/>
        <v>2</v>
      </c>
      <c r="G1736" s="70">
        <f t="shared" si="192"/>
        <v>1.3665607502489241</v>
      </c>
      <c r="H1736" s="70">
        <f t="shared" si="193"/>
        <v>0.4</v>
      </c>
      <c r="I1736" s="70">
        <f t="shared" si="194"/>
        <v>0</v>
      </c>
      <c r="J1736" s="70">
        <f t="shared" si="195"/>
        <v>0</v>
      </c>
      <c r="K1736" s="70">
        <f>IF(CurrentMtgRatesDataTable8[[#This Row],[WA CC]]&lt;&gt;0,C1735-CurrentMtgRatesDataTable8[[#This Row],[WA CC]],0)</f>
        <v>0</v>
      </c>
      <c r="L1736" s="70">
        <f>IF(CurrentMtgRatesDataTable8[[#This Row],[Servicing Spread]]&lt;=0,L1735,CurrentMtgRatesDataTable8[[#This Row],[Servicing Spread]])</f>
        <v>0.7942663299994086</v>
      </c>
      <c r="M1736" s="70">
        <f>CurrentMtgRatesDataTable8[[#This Row],[Servicing Spread Non-Zero]]-L1735</f>
        <v>0</v>
      </c>
      <c r="N1736" s="70">
        <f>IF(J1735&lt;&gt;0,CurrentMtgRatesDataTable8[[#This Row],[Rate]]-C1735,N1735)</f>
        <v>9.9999999999997868E-3</v>
      </c>
    </row>
    <row r="1737" spans="1:14">
      <c r="A1737" s="67" t="s">
        <v>3089</v>
      </c>
      <c r="B1737" s="68">
        <v>3.4437756409484899</v>
      </c>
      <c r="C1737" s="69">
        <v>4.1900000000000004</v>
      </c>
      <c r="D1737" s="70">
        <f t="shared" si="189"/>
        <v>5</v>
      </c>
      <c r="E1737" s="70">
        <f t="shared" si="190"/>
        <v>0.2</v>
      </c>
      <c r="F1737" s="70">
        <f t="shared" si="191"/>
        <v>3</v>
      </c>
      <c r="G1737" s="70">
        <f t="shared" si="192"/>
        <v>2.0553158784386221</v>
      </c>
      <c r="H1737" s="70">
        <f t="shared" si="193"/>
        <v>0.60000000000000009</v>
      </c>
      <c r="I1737" s="70">
        <f t="shared" si="194"/>
        <v>0</v>
      </c>
      <c r="J1737" s="70">
        <f t="shared" si="195"/>
        <v>0</v>
      </c>
      <c r="K1737" s="70">
        <f>IF(CurrentMtgRatesDataTable8[[#This Row],[WA CC]]&lt;&gt;0,C1736-CurrentMtgRatesDataTable8[[#This Row],[WA CC]],0)</f>
        <v>0</v>
      </c>
      <c r="L1737" s="70">
        <f>IF(CurrentMtgRatesDataTable8[[#This Row],[Servicing Spread]]&lt;=0,L1736,CurrentMtgRatesDataTable8[[#This Row],[Servicing Spread]])</f>
        <v>0.7942663299994086</v>
      </c>
      <c r="M1737" s="70">
        <f>CurrentMtgRatesDataTable8[[#This Row],[Servicing Spread Non-Zero]]-L1736</f>
        <v>0</v>
      </c>
      <c r="N1737" s="70">
        <f>IF(J1736&lt;&gt;0,CurrentMtgRatesDataTable8[[#This Row],[Rate]]-C1736,N1736)</f>
        <v>9.9999999999997868E-3</v>
      </c>
    </row>
    <row r="1738" spans="1:14">
      <c r="A1738" s="67" t="s">
        <v>3090</v>
      </c>
      <c r="B1738" s="68">
        <v>3.3942292142664399</v>
      </c>
      <c r="C1738" s="69">
        <v>4.1900000000000004</v>
      </c>
      <c r="D1738" s="70">
        <f t="shared" si="189"/>
        <v>6</v>
      </c>
      <c r="E1738" s="70">
        <f t="shared" si="190"/>
        <v>0.2</v>
      </c>
      <c r="F1738" s="70">
        <f t="shared" si="191"/>
        <v>4</v>
      </c>
      <c r="G1738" s="70">
        <f t="shared" si="192"/>
        <v>2.73416172129191</v>
      </c>
      <c r="H1738" s="70">
        <f t="shared" si="193"/>
        <v>0.8</v>
      </c>
      <c r="I1738" s="70">
        <f t="shared" si="194"/>
        <v>0</v>
      </c>
      <c r="J1738" s="70">
        <f t="shared" si="195"/>
        <v>0</v>
      </c>
      <c r="K1738" s="70">
        <f>IF(CurrentMtgRatesDataTable8[[#This Row],[WA CC]]&lt;&gt;0,C1737-CurrentMtgRatesDataTable8[[#This Row],[WA CC]],0)</f>
        <v>0</v>
      </c>
      <c r="L1738" s="70">
        <f>IF(CurrentMtgRatesDataTable8[[#This Row],[Servicing Spread]]&lt;=0,L1737,CurrentMtgRatesDataTable8[[#This Row],[Servicing Spread]])</f>
        <v>0.7942663299994086</v>
      </c>
      <c r="M1738" s="70">
        <f>CurrentMtgRatesDataTable8[[#This Row],[Servicing Spread Non-Zero]]-L1737</f>
        <v>0</v>
      </c>
      <c r="N1738" s="70">
        <f>IF(J1737&lt;&gt;0,CurrentMtgRatesDataTable8[[#This Row],[Rate]]-C1737,N1737)</f>
        <v>9.9999999999997868E-3</v>
      </c>
    </row>
    <row r="1739" spans="1:14">
      <c r="A1739" s="67" t="s">
        <v>3091</v>
      </c>
      <c r="B1739" s="68">
        <v>3.3788755445641998</v>
      </c>
      <c r="C1739" s="69">
        <v>4.1900000000000004</v>
      </c>
      <c r="D1739" s="70">
        <f t="shared" si="189"/>
        <v>7</v>
      </c>
      <c r="E1739" s="70">
        <f t="shared" si="190"/>
        <v>0.2</v>
      </c>
      <c r="F1739" s="70">
        <f t="shared" si="191"/>
        <v>5</v>
      </c>
      <c r="G1739" s="70">
        <f t="shared" si="192"/>
        <v>3.4099368302047499</v>
      </c>
      <c r="H1739" s="70">
        <f t="shared" si="193"/>
        <v>1</v>
      </c>
      <c r="I1739" s="70">
        <f t="shared" si="194"/>
        <v>1</v>
      </c>
      <c r="J1739" s="70">
        <f t="shared" si="195"/>
        <v>3.4099368302047499</v>
      </c>
      <c r="K1739" s="70">
        <f>IF(CurrentMtgRatesDataTable8[[#This Row],[WA CC]]&lt;&gt;0,C1738-CurrentMtgRatesDataTable8[[#This Row],[WA CC]],0)</f>
        <v>0.78006316979525048</v>
      </c>
      <c r="L1739" s="70">
        <f>IF(CurrentMtgRatesDataTable8[[#This Row],[Servicing Spread]]&lt;=0,L1738,CurrentMtgRatesDataTable8[[#This Row],[Servicing Spread]])</f>
        <v>0.78006316979525048</v>
      </c>
      <c r="M1739" s="70">
        <f>CurrentMtgRatesDataTable8[[#This Row],[Servicing Spread Non-Zero]]-L1738</f>
        <v>-1.4203160204158127E-2</v>
      </c>
      <c r="N1739" s="70">
        <f>IF(J1738&lt;&gt;0,CurrentMtgRatesDataTable8[[#This Row],[Rate]]-C1738,N1738)</f>
        <v>9.9999999999997868E-3</v>
      </c>
    </row>
    <row r="1740" spans="1:14">
      <c r="A1740" s="67" t="s">
        <v>3092</v>
      </c>
      <c r="B1740" s="68">
        <v>3.2932799331983502</v>
      </c>
      <c r="C1740" s="69">
        <v>4.12</v>
      </c>
      <c r="D1740" s="70">
        <f t="shared" si="189"/>
        <v>1</v>
      </c>
      <c r="E1740" s="70">
        <f t="shared" si="190"/>
        <v>0.2</v>
      </c>
      <c r="F1740" s="70">
        <f t="shared" si="191"/>
        <v>1</v>
      </c>
      <c r="G1740" s="70">
        <f t="shared" si="192"/>
        <v>0.65865598663967007</v>
      </c>
      <c r="H1740" s="70">
        <f t="shared" si="193"/>
        <v>0.2</v>
      </c>
      <c r="I1740" s="70">
        <f t="shared" si="194"/>
        <v>0</v>
      </c>
      <c r="J1740" s="70">
        <f t="shared" si="195"/>
        <v>0</v>
      </c>
      <c r="K1740" s="70">
        <f>IF(CurrentMtgRatesDataTable8[[#This Row],[WA CC]]&lt;&gt;0,C1739-CurrentMtgRatesDataTable8[[#This Row],[WA CC]],0)</f>
        <v>0</v>
      </c>
      <c r="L1740" s="70">
        <f>IF(CurrentMtgRatesDataTable8[[#This Row],[Servicing Spread]]&lt;=0,L1739,CurrentMtgRatesDataTable8[[#This Row],[Servicing Spread]])</f>
        <v>0.78006316979525048</v>
      </c>
      <c r="M1740" s="70">
        <f>CurrentMtgRatesDataTable8[[#This Row],[Servicing Spread Non-Zero]]-L1739</f>
        <v>0</v>
      </c>
      <c r="N1740" s="70">
        <f>IF(J1739&lt;&gt;0,CurrentMtgRatesDataTable8[[#This Row],[Rate]]-C1739,N1739)</f>
        <v>-7.0000000000000284E-2</v>
      </c>
    </row>
    <row r="1741" spans="1:14">
      <c r="A1741" s="67" t="s">
        <v>3093</v>
      </c>
      <c r="B1741" s="68">
        <v>3.36447856474331</v>
      </c>
      <c r="C1741" s="69">
        <v>4.12</v>
      </c>
      <c r="D1741" s="70">
        <f t="shared" si="189"/>
        <v>2</v>
      </c>
      <c r="E1741" s="70">
        <f t="shared" si="190"/>
        <v>0.2</v>
      </c>
      <c r="F1741" s="70">
        <f t="shared" si="191"/>
        <v>2</v>
      </c>
      <c r="G1741" s="70">
        <f t="shared" si="192"/>
        <v>1.3315516995883321</v>
      </c>
      <c r="H1741" s="70">
        <f t="shared" si="193"/>
        <v>0.4</v>
      </c>
      <c r="I1741" s="70">
        <f t="shared" si="194"/>
        <v>0</v>
      </c>
      <c r="J1741" s="70">
        <f t="shared" si="195"/>
        <v>0</v>
      </c>
      <c r="K1741" s="70">
        <f>IF(CurrentMtgRatesDataTable8[[#This Row],[WA CC]]&lt;&gt;0,C1740-CurrentMtgRatesDataTable8[[#This Row],[WA CC]],0)</f>
        <v>0</v>
      </c>
      <c r="L1741" s="70">
        <f>IF(CurrentMtgRatesDataTable8[[#This Row],[Servicing Spread]]&lt;=0,L1740,CurrentMtgRatesDataTable8[[#This Row],[Servicing Spread]])</f>
        <v>0.78006316979525048</v>
      </c>
      <c r="M1741" s="70">
        <f>CurrentMtgRatesDataTable8[[#This Row],[Servicing Spread Non-Zero]]-L1740</f>
        <v>0</v>
      </c>
      <c r="N1741" s="70">
        <f>IF(J1740&lt;&gt;0,CurrentMtgRatesDataTable8[[#This Row],[Rate]]-C1740,N1740)</f>
        <v>-7.0000000000000284E-2</v>
      </c>
    </row>
    <row r="1742" spans="1:14">
      <c r="A1742" s="67" t="s">
        <v>3094</v>
      </c>
      <c r="B1742" s="68">
        <v>3.4019325101208402</v>
      </c>
      <c r="C1742" s="69">
        <v>4.12</v>
      </c>
      <c r="D1742" s="70">
        <f t="shared" si="189"/>
        <v>5</v>
      </c>
      <c r="E1742" s="70">
        <f t="shared" si="190"/>
        <v>0.2</v>
      </c>
      <c r="F1742" s="70">
        <f t="shared" si="191"/>
        <v>3</v>
      </c>
      <c r="G1742" s="70">
        <f t="shared" si="192"/>
        <v>2.0119382016125003</v>
      </c>
      <c r="H1742" s="70">
        <f t="shared" si="193"/>
        <v>0.60000000000000009</v>
      </c>
      <c r="I1742" s="70">
        <f t="shared" si="194"/>
        <v>0</v>
      </c>
      <c r="J1742" s="70">
        <f t="shared" si="195"/>
        <v>0</v>
      </c>
      <c r="K1742" s="70">
        <f>IF(CurrentMtgRatesDataTable8[[#This Row],[WA CC]]&lt;&gt;0,C1741-CurrentMtgRatesDataTable8[[#This Row],[WA CC]],0)</f>
        <v>0</v>
      </c>
      <c r="L1742" s="70">
        <f>IF(CurrentMtgRatesDataTable8[[#This Row],[Servicing Spread]]&lt;=0,L1741,CurrentMtgRatesDataTable8[[#This Row],[Servicing Spread]])</f>
        <v>0.78006316979525048</v>
      </c>
      <c r="M1742" s="70">
        <f>CurrentMtgRatesDataTable8[[#This Row],[Servicing Spread Non-Zero]]-L1741</f>
        <v>0</v>
      </c>
      <c r="N1742" s="70">
        <f>IF(J1741&lt;&gt;0,CurrentMtgRatesDataTable8[[#This Row],[Rate]]-C1741,N1741)</f>
        <v>-7.0000000000000284E-2</v>
      </c>
    </row>
    <row r="1743" spans="1:14">
      <c r="A1743" s="67" t="s">
        <v>3095</v>
      </c>
      <c r="B1743" s="68">
        <v>3.5005083818006302</v>
      </c>
      <c r="C1743" s="69">
        <v>4.12</v>
      </c>
      <c r="D1743" s="70">
        <f t="shared" si="189"/>
        <v>6</v>
      </c>
      <c r="E1743" s="70">
        <f t="shared" si="190"/>
        <v>0.2</v>
      </c>
      <c r="F1743" s="70">
        <f t="shared" si="191"/>
        <v>4</v>
      </c>
      <c r="G1743" s="70">
        <f t="shared" si="192"/>
        <v>2.7120398779726265</v>
      </c>
      <c r="H1743" s="70">
        <f t="shared" si="193"/>
        <v>0.8</v>
      </c>
      <c r="I1743" s="70">
        <f t="shared" si="194"/>
        <v>0</v>
      </c>
      <c r="J1743" s="70">
        <f t="shared" si="195"/>
        <v>0</v>
      </c>
      <c r="K1743" s="70">
        <f>IF(CurrentMtgRatesDataTable8[[#This Row],[WA CC]]&lt;&gt;0,C1742-CurrentMtgRatesDataTable8[[#This Row],[WA CC]],0)</f>
        <v>0</v>
      </c>
      <c r="L1743" s="70">
        <f>IF(CurrentMtgRatesDataTable8[[#This Row],[Servicing Spread]]&lt;=0,L1742,CurrentMtgRatesDataTable8[[#This Row],[Servicing Spread]])</f>
        <v>0.78006316979525048</v>
      </c>
      <c r="M1743" s="70">
        <f>CurrentMtgRatesDataTable8[[#This Row],[Servicing Spread Non-Zero]]-L1742</f>
        <v>0</v>
      </c>
      <c r="N1743" s="70">
        <f>IF(J1742&lt;&gt;0,CurrentMtgRatesDataTable8[[#This Row],[Rate]]-C1742,N1742)</f>
        <v>-7.0000000000000284E-2</v>
      </c>
    </row>
    <row r="1744" spans="1:14">
      <c r="A1744" s="67" t="s">
        <v>3096</v>
      </c>
      <c r="B1744" s="68">
        <v>3.4875216571101499</v>
      </c>
      <c r="C1744" s="69">
        <v>4.12</v>
      </c>
      <c r="D1744" s="70">
        <f t="shared" si="189"/>
        <v>7</v>
      </c>
      <c r="E1744" s="70">
        <f t="shared" si="190"/>
        <v>0.2</v>
      </c>
      <c r="F1744" s="70">
        <f t="shared" si="191"/>
        <v>5</v>
      </c>
      <c r="G1744" s="70">
        <f t="shared" si="192"/>
        <v>3.4095442093946566</v>
      </c>
      <c r="H1744" s="70">
        <f t="shared" si="193"/>
        <v>1</v>
      </c>
      <c r="I1744" s="70">
        <f t="shared" si="194"/>
        <v>1</v>
      </c>
      <c r="J1744" s="70">
        <f t="shared" si="195"/>
        <v>3.4095442093946566</v>
      </c>
      <c r="K1744" s="70">
        <f>IF(CurrentMtgRatesDataTable8[[#This Row],[WA CC]]&lt;&gt;0,C1743-CurrentMtgRatesDataTable8[[#This Row],[WA CC]],0)</f>
        <v>0.71045579060534347</v>
      </c>
      <c r="L1744" s="70">
        <f>IF(CurrentMtgRatesDataTable8[[#This Row],[Servicing Spread]]&lt;=0,L1743,CurrentMtgRatesDataTable8[[#This Row],[Servicing Spread]])</f>
        <v>0.71045579060534347</v>
      </c>
      <c r="M1744" s="70">
        <f>CurrentMtgRatesDataTable8[[#This Row],[Servicing Spread Non-Zero]]-L1743</f>
        <v>-6.9607379189907004E-2</v>
      </c>
      <c r="N1744" s="70">
        <f>IF(J1743&lt;&gt;0,CurrentMtgRatesDataTable8[[#This Row],[Rate]]-C1743,N1743)</f>
        <v>-7.0000000000000284E-2</v>
      </c>
    </row>
    <row r="1745" spans="1:14">
      <c r="A1745" s="67" t="s">
        <v>3097</v>
      </c>
      <c r="B1745" s="68">
        <v>3.6084692172926802</v>
      </c>
      <c r="C1745" s="69">
        <v>4.3649999999999993</v>
      </c>
      <c r="D1745" s="70">
        <f t="shared" si="189"/>
        <v>2</v>
      </c>
      <c r="E1745" s="70">
        <f t="shared" si="190"/>
        <v>0.2</v>
      </c>
      <c r="F1745" s="70">
        <f t="shared" si="191"/>
        <v>1</v>
      </c>
      <c r="G1745" s="70">
        <f t="shared" si="192"/>
        <v>0.72169384345853604</v>
      </c>
      <c r="H1745" s="70">
        <f t="shared" si="193"/>
        <v>0.2</v>
      </c>
      <c r="I1745" s="70">
        <f t="shared" si="194"/>
        <v>0</v>
      </c>
      <c r="J1745" s="70">
        <f t="shared" si="195"/>
        <v>0</v>
      </c>
      <c r="K1745" s="70">
        <f>IF(CurrentMtgRatesDataTable8[[#This Row],[WA CC]]&lt;&gt;0,C1744-CurrentMtgRatesDataTable8[[#This Row],[WA CC]],0)</f>
        <v>0</v>
      </c>
      <c r="L1745" s="70">
        <f>IF(CurrentMtgRatesDataTable8[[#This Row],[Servicing Spread]]&lt;=0,L1744,CurrentMtgRatesDataTable8[[#This Row],[Servicing Spread]])</f>
        <v>0.71045579060534347</v>
      </c>
      <c r="M1745" s="70">
        <f>CurrentMtgRatesDataTable8[[#This Row],[Servicing Spread Non-Zero]]-L1744</f>
        <v>0</v>
      </c>
      <c r="N1745" s="70">
        <f>IF(J1744&lt;&gt;0,CurrentMtgRatesDataTable8[[#This Row],[Rate]]-C1744,N1744)</f>
        <v>0.24499999999999922</v>
      </c>
    </row>
    <row r="1746" spans="1:14">
      <c r="A1746" s="67" t="s">
        <v>3098</v>
      </c>
      <c r="B1746" s="68">
        <v>3.7358424195517999</v>
      </c>
      <c r="C1746" s="69">
        <v>4.3649999999999993</v>
      </c>
      <c r="D1746" s="70">
        <f t="shared" si="189"/>
        <v>5</v>
      </c>
      <c r="E1746" s="70">
        <f t="shared" si="190"/>
        <v>0.2</v>
      </c>
      <c r="F1746" s="70">
        <f t="shared" si="191"/>
        <v>2</v>
      </c>
      <c r="G1746" s="70">
        <f t="shared" si="192"/>
        <v>1.4688623273688961</v>
      </c>
      <c r="H1746" s="70">
        <f t="shared" si="193"/>
        <v>0.4</v>
      </c>
      <c r="I1746" s="70">
        <f t="shared" si="194"/>
        <v>0</v>
      </c>
      <c r="J1746" s="70">
        <f t="shared" si="195"/>
        <v>0</v>
      </c>
      <c r="K1746" s="70">
        <f>IF(CurrentMtgRatesDataTable8[[#This Row],[WA CC]]&lt;&gt;0,C1745-CurrentMtgRatesDataTable8[[#This Row],[WA CC]],0)</f>
        <v>0</v>
      </c>
      <c r="L1746" s="70">
        <f>IF(CurrentMtgRatesDataTable8[[#This Row],[Servicing Spread]]&lt;=0,L1745,CurrentMtgRatesDataTable8[[#This Row],[Servicing Spread]])</f>
        <v>0.71045579060534347</v>
      </c>
      <c r="M1746" s="70">
        <f>CurrentMtgRatesDataTable8[[#This Row],[Servicing Spread Non-Zero]]-L1745</f>
        <v>0</v>
      </c>
      <c r="N1746" s="70">
        <f>IF(J1745&lt;&gt;0,CurrentMtgRatesDataTable8[[#This Row],[Rate]]-C1745,N1745)</f>
        <v>0.24499999999999922</v>
      </c>
    </row>
    <row r="1747" spans="1:14">
      <c r="A1747" s="67" t="s">
        <v>3099</v>
      </c>
      <c r="B1747" s="68">
        <v>3.7216750580319999</v>
      </c>
      <c r="C1747" s="69">
        <v>4.3649999999999993</v>
      </c>
      <c r="D1747" s="70">
        <f t="shared" si="189"/>
        <v>6</v>
      </c>
      <c r="E1747" s="70">
        <f t="shared" si="190"/>
        <v>0.2</v>
      </c>
      <c r="F1747" s="70">
        <f t="shared" si="191"/>
        <v>3</v>
      </c>
      <c r="G1747" s="70">
        <f t="shared" si="192"/>
        <v>2.2131973389752959</v>
      </c>
      <c r="H1747" s="70">
        <f t="shared" si="193"/>
        <v>0.60000000000000009</v>
      </c>
      <c r="I1747" s="70">
        <f t="shared" si="194"/>
        <v>0</v>
      </c>
      <c r="J1747" s="70">
        <f t="shared" si="195"/>
        <v>0</v>
      </c>
      <c r="K1747" s="70">
        <f>IF(CurrentMtgRatesDataTable8[[#This Row],[WA CC]]&lt;&gt;0,C1746-CurrentMtgRatesDataTable8[[#This Row],[WA CC]],0)</f>
        <v>0</v>
      </c>
      <c r="L1747" s="70">
        <f>IF(CurrentMtgRatesDataTable8[[#This Row],[Servicing Spread]]&lt;=0,L1746,CurrentMtgRatesDataTable8[[#This Row],[Servicing Spread]])</f>
        <v>0.71045579060534347</v>
      </c>
      <c r="M1747" s="70">
        <f>CurrentMtgRatesDataTable8[[#This Row],[Servicing Spread Non-Zero]]-L1746</f>
        <v>0</v>
      </c>
      <c r="N1747" s="70">
        <f>IF(J1746&lt;&gt;0,CurrentMtgRatesDataTable8[[#This Row],[Rate]]-C1746,N1746)</f>
        <v>0.24499999999999922</v>
      </c>
    </row>
    <row r="1748" spans="1:14">
      <c r="A1748" s="67" t="s">
        <v>3100</v>
      </c>
      <c r="B1748" s="68">
        <v>3.7192905700547598</v>
      </c>
      <c r="C1748" s="69">
        <v>4.3649999999999993</v>
      </c>
      <c r="D1748" s="70">
        <f t="shared" si="189"/>
        <v>7</v>
      </c>
      <c r="E1748" s="70">
        <f t="shared" si="190"/>
        <v>0.2</v>
      </c>
      <c r="F1748" s="70">
        <f t="shared" si="191"/>
        <v>4</v>
      </c>
      <c r="G1748" s="70">
        <f t="shared" si="192"/>
        <v>2.9570554529862481</v>
      </c>
      <c r="H1748" s="70">
        <f t="shared" si="193"/>
        <v>0.8</v>
      </c>
      <c r="I1748" s="70">
        <f t="shared" si="194"/>
        <v>1</v>
      </c>
      <c r="J1748" s="70">
        <f t="shared" si="195"/>
        <v>3.6963193162328101</v>
      </c>
      <c r="K1748" s="70">
        <f>IF(CurrentMtgRatesDataTable8[[#This Row],[WA CC]]&lt;&gt;0,C1747-CurrentMtgRatesDataTable8[[#This Row],[WA CC]],0)</f>
        <v>0.66868068376718925</v>
      </c>
      <c r="L1748" s="70">
        <f>IF(CurrentMtgRatesDataTable8[[#This Row],[Servicing Spread]]&lt;=0,L1747,CurrentMtgRatesDataTable8[[#This Row],[Servicing Spread]])</f>
        <v>0.66868068376718925</v>
      </c>
      <c r="M1748" s="70">
        <f>CurrentMtgRatesDataTable8[[#This Row],[Servicing Spread Non-Zero]]-L1747</f>
        <v>-4.1775106838154219E-2</v>
      </c>
      <c r="N1748" s="70">
        <f>IF(J1747&lt;&gt;0,CurrentMtgRatesDataTable8[[#This Row],[Rate]]-C1747,N1747)</f>
        <v>0.24499999999999922</v>
      </c>
    </row>
    <row r="1749" spans="1:14">
      <c r="A1749" s="67" t="s">
        <v>3101</v>
      </c>
      <c r="B1749" s="68">
        <v>3.7504056732158699</v>
      </c>
      <c r="C1749" s="69">
        <v>4.3500000000000005</v>
      </c>
      <c r="D1749" s="70">
        <f t="shared" si="189"/>
        <v>1</v>
      </c>
      <c r="E1749" s="70">
        <f t="shared" si="190"/>
        <v>0.2</v>
      </c>
      <c r="F1749" s="70">
        <f t="shared" si="191"/>
        <v>1</v>
      </c>
      <c r="G1749" s="70">
        <f t="shared" si="192"/>
        <v>0.75008113464317405</v>
      </c>
      <c r="H1749" s="70">
        <f t="shared" si="193"/>
        <v>0.2</v>
      </c>
      <c r="I1749" s="70">
        <f t="shared" si="194"/>
        <v>0</v>
      </c>
      <c r="J1749" s="70">
        <f t="shared" si="195"/>
        <v>0</v>
      </c>
      <c r="K1749" s="70">
        <f>IF(CurrentMtgRatesDataTable8[[#This Row],[WA CC]]&lt;&gt;0,C1748-CurrentMtgRatesDataTable8[[#This Row],[WA CC]],0)</f>
        <v>0</v>
      </c>
      <c r="L1749" s="70">
        <f>IF(CurrentMtgRatesDataTable8[[#This Row],[Servicing Spread]]&lt;=0,L1748,CurrentMtgRatesDataTable8[[#This Row],[Servicing Spread]])</f>
        <v>0.66868068376718925</v>
      </c>
      <c r="M1749" s="70">
        <f>CurrentMtgRatesDataTable8[[#This Row],[Servicing Spread Non-Zero]]-L1748</f>
        <v>0</v>
      </c>
      <c r="N1749" s="70">
        <f>IF(J1748&lt;&gt;0,CurrentMtgRatesDataTable8[[#This Row],[Rate]]-C1748,N1748)</f>
        <v>-1.4999999999998792E-2</v>
      </c>
    </row>
    <row r="1750" spans="1:14">
      <c r="A1750" s="67" t="s">
        <v>3102</v>
      </c>
      <c r="B1750" s="68">
        <v>3.7656964979535998</v>
      </c>
      <c r="C1750" s="69">
        <v>4.3500000000000005</v>
      </c>
      <c r="D1750" s="70">
        <f t="shared" si="189"/>
        <v>2</v>
      </c>
      <c r="E1750" s="70">
        <f t="shared" si="190"/>
        <v>0.2</v>
      </c>
      <c r="F1750" s="70">
        <f t="shared" si="191"/>
        <v>2</v>
      </c>
      <c r="G1750" s="70">
        <f t="shared" si="192"/>
        <v>1.503220434233894</v>
      </c>
      <c r="H1750" s="70">
        <f t="shared" si="193"/>
        <v>0.4</v>
      </c>
      <c r="I1750" s="70">
        <f t="shared" si="194"/>
        <v>0</v>
      </c>
      <c r="J1750" s="70">
        <f t="shared" si="195"/>
        <v>0</v>
      </c>
      <c r="K1750" s="70">
        <f>IF(CurrentMtgRatesDataTable8[[#This Row],[WA CC]]&lt;&gt;0,C1749-CurrentMtgRatesDataTable8[[#This Row],[WA CC]],0)</f>
        <v>0</v>
      </c>
      <c r="L1750" s="70">
        <f>IF(CurrentMtgRatesDataTable8[[#This Row],[Servicing Spread]]&lt;=0,L1749,CurrentMtgRatesDataTable8[[#This Row],[Servicing Spread]])</f>
        <v>0.66868068376718925</v>
      </c>
      <c r="M1750" s="70">
        <f>CurrentMtgRatesDataTable8[[#This Row],[Servicing Spread Non-Zero]]-L1749</f>
        <v>0</v>
      </c>
      <c r="N1750" s="70">
        <f>IF(J1749&lt;&gt;0,CurrentMtgRatesDataTable8[[#This Row],[Rate]]-C1749,N1749)</f>
        <v>-1.4999999999998792E-2</v>
      </c>
    </row>
    <row r="1751" spans="1:14">
      <c r="A1751" s="67" t="s">
        <v>3103</v>
      </c>
      <c r="B1751" s="68">
        <v>3.7276148600385599</v>
      </c>
      <c r="C1751" s="69">
        <v>4.3500000000000005</v>
      </c>
      <c r="D1751" s="70">
        <f t="shared" si="189"/>
        <v>5</v>
      </c>
      <c r="E1751" s="70">
        <f t="shared" si="190"/>
        <v>0.2</v>
      </c>
      <c r="F1751" s="70">
        <f t="shared" si="191"/>
        <v>3</v>
      </c>
      <c r="G1751" s="70">
        <f t="shared" si="192"/>
        <v>2.2487434062416058</v>
      </c>
      <c r="H1751" s="70">
        <f t="shared" si="193"/>
        <v>0.60000000000000009</v>
      </c>
      <c r="I1751" s="70">
        <f t="shared" si="194"/>
        <v>0</v>
      </c>
      <c r="J1751" s="70">
        <f t="shared" si="195"/>
        <v>0</v>
      </c>
      <c r="K1751" s="70">
        <f>IF(CurrentMtgRatesDataTable8[[#This Row],[WA CC]]&lt;&gt;0,C1750-CurrentMtgRatesDataTable8[[#This Row],[WA CC]],0)</f>
        <v>0</v>
      </c>
      <c r="L1751" s="70">
        <f>IF(CurrentMtgRatesDataTable8[[#This Row],[Servicing Spread]]&lt;=0,L1750,CurrentMtgRatesDataTable8[[#This Row],[Servicing Spread]])</f>
        <v>0.66868068376718925</v>
      </c>
      <c r="M1751" s="70">
        <f>CurrentMtgRatesDataTable8[[#This Row],[Servicing Spread Non-Zero]]-L1750</f>
        <v>0</v>
      </c>
      <c r="N1751" s="70">
        <f>IF(J1750&lt;&gt;0,CurrentMtgRatesDataTable8[[#This Row],[Rate]]-C1750,N1750)</f>
        <v>-1.4999999999998792E-2</v>
      </c>
    </row>
    <row r="1752" spans="1:14">
      <c r="A1752" s="67" t="s">
        <v>3104</v>
      </c>
      <c r="B1752" s="68">
        <v>3.70185042885449</v>
      </c>
      <c r="C1752" s="69">
        <v>4.3500000000000005</v>
      </c>
      <c r="D1752" s="70">
        <f t="shared" si="189"/>
        <v>6</v>
      </c>
      <c r="E1752" s="70">
        <f t="shared" si="190"/>
        <v>0.2</v>
      </c>
      <c r="F1752" s="70">
        <f t="shared" si="191"/>
        <v>4</v>
      </c>
      <c r="G1752" s="70">
        <f t="shared" si="192"/>
        <v>2.9891134920125038</v>
      </c>
      <c r="H1752" s="70">
        <f t="shared" si="193"/>
        <v>0.8</v>
      </c>
      <c r="I1752" s="70">
        <f t="shared" si="194"/>
        <v>0</v>
      </c>
      <c r="J1752" s="70">
        <f t="shared" si="195"/>
        <v>0</v>
      </c>
      <c r="K1752" s="70">
        <f>IF(CurrentMtgRatesDataTable8[[#This Row],[WA CC]]&lt;&gt;0,C1751-CurrentMtgRatesDataTable8[[#This Row],[WA CC]],0)</f>
        <v>0</v>
      </c>
      <c r="L1752" s="70">
        <f>IF(CurrentMtgRatesDataTable8[[#This Row],[Servicing Spread]]&lt;=0,L1751,CurrentMtgRatesDataTable8[[#This Row],[Servicing Spread]])</f>
        <v>0.66868068376718925</v>
      </c>
      <c r="M1752" s="70">
        <f>CurrentMtgRatesDataTable8[[#This Row],[Servicing Spread Non-Zero]]-L1751</f>
        <v>0</v>
      </c>
      <c r="N1752" s="70">
        <f>IF(J1751&lt;&gt;0,CurrentMtgRatesDataTable8[[#This Row],[Rate]]-C1751,N1751)</f>
        <v>-1.4999999999998792E-2</v>
      </c>
    </row>
    <row r="1753" spans="1:14">
      <c r="A1753" s="67" t="s">
        <v>3105</v>
      </c>
      <c r="B1753" s="68">
        <v>3.8537113332934001</v>
      </c>
      <c r="C1753" s="69">
        <v>4.3500000000000005</v>
      </c>
      <c r="D1753" s="70">
        <f t="shared" si="189"/>
        <v>7</v>
      </c>
      <c r="E1753" s="70">
        <f t="shared" si="190"/>
        <v>0.2</v>
      </c>
      <c r="F1753" s="70">
        <f t="shared" si="191"/>
        <v>5</v>
      </c>
      <c r="G1753" s="70">
        <f t="shared" si="192"/>
        <v>3.7598557586711836</v>
      </c>
      <c r="H1753" s="70">
        <f t="shared" si="193"/>
        <v>1</v>
      </c>
      <c r="I1753" s="70">
        <f t="shared" si="194"/>
        <v>1</v>
      </c>
      <c r="J1753" s="70">
        <f t="shared" si="195"/>
        <v>3.7598557586711836</v>
      </c>
      <c r="K1753" s="70">
        <f>IF(CurrentMtgRatesDataTable8[[#This Row],[WA CC]]&lt;&gt;0,C1752-CurrentMtgRatesDataTable8[[#This Row],[WA CC]],0)</f>
        <v>0.59014424132881693</v>
      </c>
      <c r="L1753" s="70">
        <f>IF(CurrentMtgRatesDataTable8[[#This Row],[Servicing Spread]]&lt;=0,L1752,CurrentMtgRatesDataTable8[[#This Row],[Servicing Spread]])</f>
        <v>0.59014424132881693</v>
      </c>
      <c r="M1753" s="70">
        <f>CurrentMtgRatesDataTable8[[#This Row],[Servicing Spread Non-Zero]]-L1752</f>
        <v>-7.8536442438372323E-2</v>
      </c>
      <c r="N1753" s="70">
        <f>IF(J1752&lt;&gt;0,CurrentMtgRatesDataTable8[[#This Row],[Rate]]-C1752,N1752)</f>
        <v>-1.4999999999998792E-2</v>
      </c>
    </row>
    <row r="1754" spans="1:14">
      <c r="A1754" s="67" t="s">
        <v>3106</v>
      </c>
      <c r="B1754" s="68">
        <v>3.8227318166189899</v>
      </c>
      <c r="C1754" s="69">
        <v>4.41</v>
      </c>
      <c r="D1754" s="70">
        <f t="shared" si="189"/>
        <v>2</v>
      </c>
      <c r="E1754" s="70">
        <f t="shared" si="190"/>
        <v>0.2</v>
      </c>
      <c r="F1754" s="70">
        <f t="shared" si="191"/>
        <v>1</v>
      </c>
      <c r="G1754" s="70">
        <f t="shared" si="192"/>
        <v>0.764546363323798</v>
      </c>
      <c r="H1754" s="70">
        <f t="shared" si="193"/>
        <v>0.2</v>
      </c>
      <c r="I1754" s="70">
        <f t="shared" si="194"/>
        <v>0</v>
      </c>
      <c r="J1754" s="70">
        <f t="shared" si="195"/>
        <v>0</v>
      </c>
      <c r="K1754" s="70">
        <f>IF(CurrentMtgRatesDataTable8[[#This Row],[WA CC]]&lt;&gt;0,C1753-CurrentMtgRatesDataTable8[[#This Row],[WA CC]],0)</f>
        <v>0</v>
      </c>
      <c r="L1754" s="70">
        <f>IF(CurrentMtgRatesDataTable8[[#This Row],[Servicing Spread]]&lt;=0,L1753,CurrentMtgRatesDataTable8[[#This Row],[Servicing Spread]])</f>
        <v>0.59014424132881693</v>
      </c>
      <c r="M1754" s="70">
        <f>CurrentMtgRatesDataTable8[[#This Row],[Servicing Spread Non-Zero]]-L1753</f>
        <v>0</v>
      </c>
      <c r="N1754" s="70">
        <f>IF(J1753&lt;&gt;0,CurrentMtgRatesDataTable8[[#This Row],[Rate]]-C1753,N1753)</f>
        <v>5.9999999999999609E-2</v>
      </c>
    </row>
    <row r="1755" spans="1:14">
      <c r="A1755" s="67" t="s">
        <v>3107</v>
      </c>
      <c r="B1755" s="68">
        <v>3.77045062155505</v>
      </c>
      <c r="C1755" s="69">
        <v>4.41</v>
      </c>
      <c r="D1755" s="70">
        <f t="shared" si="189"/>
        <v>5</v>
      </c>
      <c r="E1755" s="70">
        <f t="shared" si="190"/>
        <v>0.2</v>
      </c>
      <c r="F1755" s="70">
        <f t="shared" si="191"/>
        <v>2</v>
      </c>
      <c r="G1755" s="70">
        <f t="shared" si="192"/>
        <v>1.518636487634808</v>
      </c>
      <c r="H1755" s="70">
        <f t="shared" si="193"/>
        <v>0.4</v>
      </c>
      <c r="I1755" s="70">
        <f t="shared" si="194"/>
        <v>0</v>
      </c>
      <c r="J1755" s="70">
        <f t="shared" si="195"/>
        <v>0</v>
      </c>
      <c r="K1755" s="70">
        <f>IF(CurrentMtgRatesDataTable8[[#This Row],[WA CC]]&lt;&gt;0,C1754-CurrentMtgRatesDataTable8[[#This Row],[WA CC]],0)</f>
        <v>0</v>
      </c>
      <c r="L1755" s="70">
        <f>IF(CurrentMtgRatesDataTable8[[#This Row],[Servicing Spread]]&lt;=0,L1754,CurrentMtgRatesDataTable8[[#This Row],[Servicing Spread]])</f>
        <v>0.59014424132881693</v>
      </c>
      <c r="M1755" s="70">
        <f>CurrentMtgRatesDataTable8[[#This Row],[Servicing Spread Non-Zero]]-L1754</f>
        <v>0</v>
      </c>
      <c r="N1755" s="70">
        <f>IF(J1754&lt;&gt;0,CurrentMtgRatesDataTable8[[#This Row],[Rate]]-C1754,N1754)</f>
        <v>5.9999999999999609E-2</v>
      </c>
    </row>
    <row r="1756" spans="1:14">
      <c r="A1756" s="67" t="s">
        <v>3108</v>
      </c>
      <c r="B1756" s="68">
        <v>3.77972455261011</v>
      </c>
      <c r="C1756" s="69">
        <v>4.41</v>
      </c>
      <c r="D1756" s="70">
        <f t="shared" si="189"/>
        <v>6</v>
      </c>
      <c r="E1756" s="70">
        <f t="shared" si="190"/>
        <v>0.2</v>
      </c>
      <c r="F1756" s="70">
        <f t="shared" si="191"/>
        <v>3</v>
      </c>
      <c r="G1756" s="70">
        <f t="shared" si="192"/>
        <v>2.2745813981568301</v>
      </c>
      <c r="H1756" s="70">
        <f t="shared" si="193"/>
        <v>0.60000000000000009</v>
      </c>
      <c r="I1756" s="70">
        <f t="shared" si="194"/>
        <v>0</v>
      </c>
      <c r="J1756" s="70">
        <f t="shared" si="195"/>
        <v>0</v>
      </c>
      <c r="K1756" s="70">
        <f>IF(CurrentMtgRatesDataTable8[[#This Row],[WA CC]]&lt;&gt;0,C1755-CurrentMtgRatesDataTable8[[#This Row],[WA CC]],0)</f>
        <v>0</v>
      </c>
      <c r="L1756" s="70">
        <f>IF(CurrentMtgRatesDataTable8[[#This Row],[Servicing Spread]]&lt;=0,L1755,CurrentMtgRatesDataTable8[[#This Row],[Servicing Spread]])</f>
        <v>0.59014424132881693</v>
      </c>
      <c r="M1756" s="70">
        <f>CurrentMtgRatesDataTable8[[#This Row],[Servicing Spread Non-Zero]]-L1755</f>
        <v>0</v>
      </c>
      <c r="N1756" s="70">
        <f>IF(J1755&lt;&gt;0,CurrentMtgRatesDataTable8[[#This Row],[Rate]]-C1755,N1755)</f>
        <v>5.9999999999999609E-2</v>
      </c>
    </row>
    <row r="1757" spans="1:14">
      <c r="A1757" s="67" t="s">
        <v>3109</v>
      </c>
      <c r="B1757" s="68">
        <v>3.9343682452256599</v>
      </c>
      <c r="C1757" s="69">
        <v>4.41</v>
      </c>
      <c r="D1757" s="70">
        <f t="shared" si="189"/>
        <v>7</v>
      </c>
      <c r="E1757" s="70">
        <f t="shared" si="190"/>
        <v>0.2</v>
      </c>
      <c r="F1757" s="70">
        <f t="shared" si="191"/>
        <v>4</v>
      </c>
      <c r="G1757" s="70">
        <f t="shared" si="192"/>
        <v>3.0614550472019619</v>
      </c>
      <c r="H1757" s="70">
        <f t="shared" si="193"/>
        <v>0.8</v>
      </c>
      <c r="I1757" s="70">
        <f t="shared" si="194"/>
        <v>1</v>
      </c>
      <c r="J1757" s="70">
        <f t="shared" si="195"/>
        <v>3.8268188090024524</v>
      </c>
      <c r="K1757" s="70">
        <f>IF(CurrentMtgRatesDataTable8[[#This Row],[WA CC]]&lt;&gt;0,C1756-CurrentMtgRatesDataTable8[[#This Row],[WA CC]],0)</f>
        <v>0.58318119099754773</v>
      </c>
      <c r="L1757" s="70">
        <f>IF(CurrentMtgRatesDataTable8[[#This Row],[Servicing Spread]]&lt;=0,L1756,CurrentMtgRatesDataTable8[[#This Row],[Servicing Spread]])</f>
        <v>0.58318119099754773</v>
      </c>
      <c r="M1757" s="70">
        <f>CurrentMtgRatesDataTable8[[#This Row],[Servicing Spread Non-Zero]]-L1756</f>
        <v>-6.9630503312692049E-3</v>
      </c>
      <c r="N1757" s="70">
        <f>IF(J1756&lt;&gt;0,CurrentMtgRatesDataTable8[[#This Row],[Rate]]-C1756,N1756)</f>
        <v>5.9999999999999609E-2</v>
      </c>
    </row>
    <row r="1758" spans="1:14">
      <c r="A1758" s="67" t="s">
        <v>3110</v>
      </c>
      <c r="B1758" s="68">
        <v>3.9593986970399602</v>
      </c>
      <c r="C1758" s="69">
        <v>4.5350000000000001</v>
      </c>
      <c r="D1758" s="70">
        <f t="shared" si="189"/>
        <v>1</v>
      </c>
      <c r="E1758" s="70">
        <f t="shared" si="190"/>
        <v>0.2</v>
      </c>
      <c r="F1758" s="70">
        <f t="shared" si="191"/>
        <v>1</v>
      </c>
      <c r="G1758" s="70">
        <f t="shared" si="192"/>
        <v>0.79187973940799206</v>
      </c>
      <c r="H1758" s="70">
        <f t="shared" si="193"/>
        <v>0.2</v>
      </c>
      <c r="I1758" s="70">
        <f t="shared" si="194"/>
        <v>0</v>
      </c>
      <c r="J1758" s="70">
        <f t="shared" si="195"/>
        <v>0</v>
      </c>
      <c r="K1758" s="70">
        <f>IF(CurrentMtgRatesDataTable8[[#This Row],[WA CC]]&lt;&gt;0,C1757-CurrentMtgRatesDataTable8[[#This Row],[WA CC]],0)</f>
        <v>0</v>
      </c>
      <c r="L1758" s="70">
        <f>IF(CurrentMtgRatesDataTable8[[#This Row],[Servicing Spread]]&lt;=0,L1757,CurrentMtgRatesDataTable8[[#This Row],[Servicing Spread]])</f>
        <v>0.58318119099754773</v>
      </c>
      <c r="M1758" s="70">
        <f>CurrentMtgRatesDataTable8[[#This Row],[Servicing Spread Non-Zero]]-L1757</f>
        <v>0</v>
      </c>
      <c r="N1758" s="70">
        <f>IF(J1757&lt;&gt;0,CurrentMtgRatesDataTable8[[#This Row],[Rate]]-C1757,N1757)</f>
        <v>0.125</v>
      </c>
    </row>
    <row r="1759" spans="1:14">
      <c r="A1759" s="67" t="s">
        <v>3111</v>
      </c>
      <c r="B1759" s="68">
        <v>3.94456802211183</v>
      </c>
      <c r="C1759" s="69">
        <v>4.5350000000000001</v>
      </c>
      <c r="D1759" s="70">
        <f t="shared" si="189"/>
        <v>2</v>
      </c>
      <c r="E1759" s="70">
        <f t="shared" si="190"/>
        <v>0.2</v>
      </c>
      <c r="F1759" s="70">
        <f t="shared" si="191"/>
        <v>2</v>
      </c>
      <c r="G1759" s="70">
        <f t="shared" si="192"/>
        <v>1.5807933438303581</v>
      </c>
      <c r="H1759" s="70">
        <f t="shared" si="193"/>
        <v>0.4</v>
      </c>
      <c r="I1759" s="70">
        <f t="shared" si="194"/>
        <v>0</v>
      </c>
      <c r="J1759" s="70">
        <f t="shared" si="195"/>
        <v>0</v>
      </c>
      <c r="K1759" s="70">
        <f>IF(CurrentMtgRatesDataTable8[[#This Row],[WA CC]]&lt;&gt;0,C1758-CurrentMtgRatesDataTable8[[#This Row],[WA CC]],0)</f>
        <v>0</v>
      </c>
      <c r="L1759" s="70">
        <f>IF(CurrentMtgRatesDataTable8[[#This Row],[Servicing Spread]]&lt;=0,L1758,CurrentMtgRatesDataTable8[[#This Row],[Servicing Spread]])</f>
        <v>0.58318119099754773</v>
      </c>
      <c r="M1759" s="70">
        <f>CurrentMtgRatesDataTable8[[#This Row],[Servicing Spread Non-Zero]]-L1758</f>
        <v>0</v>
      </c>
      <c r="N1759" s="70">
        <f>IF(J1758&lt;&gt;0,CurrentMtgRatesDataTable8[[#This Row],[Rate]]-C1758,N1758)</f>
        <v>0.125</v>
      </c>
    </row>
    <row r="1760" spans="1:14">
      <c r="A1760" s="67" t="s">
        <v>3112</v>
      </c>
      <c r="B1760" s="68">
        <v>3.8510282187821998</v>
      </c>
      <c r="C1760" s="69">
        <v>4.5350000000000001</v>
      </c>
      <c r="D1760" s="70">
        <f t="shared" si="189"/>
        <v>5</v>
      </c>
      <c r="E1760" s="70">
        <f t="shared" si="190"/>
        <v>0.2</v>
      </c>
      <c r="F1760" s="70">
        <f t="shared" si="191"/>
        <v>3</v>
      </c>
      <c r="G1760" s="70">
        <f t="shared" si="192"/>
        <v>2.3509989875867978</v>
      </c>
      <c r="H1760" s="70">
        <f t="shared" si="193"/>
        <v>0.60000000000000009</v>
      </c>
      <c r="I1760" s="70">
        <f t="shared" si="194"/>
        <v>0</v>
      </c>
      <c r="J1760" s="70">
        <f t="shared" si="195"/>
        <v>0</v>
      </c>
      <c r="K1760" s="70">
        <f>IF(CurrentMtgRatesDataTable8[[#This Row],[WA CC]]&lt;&gt;0,C1759-CurrentMtgRatesDataTable8[[#This Row],[WA CC]],0)</f>
        <v>0</v>
      </c>
      <c r="L1760" s="70">
        <f>IF(CurrentMtgRatesDataTable8[[#This Row],[Servicing Spread]]&lt;=0,L1759,CurrentMtgRatesDataTable8[[#This Row],[Servicing Spread]])</f>
        <v>0.58318119099754773</v>
      </c>
      <c r="M1760" s="70">
        <f>CurrentMtgRatesDataTable8[[#This Row],[Servicing Spread Non-Zero]]-L1759</f>
        <v>0</v>
      </c>
      <c r="N1760" s="70">
        <f>IF(J1759&lt;&gt;0,CurrentMtgRatesDataTable8[[#This Row],[Rate]]-C1759,N1759)</f>
        <v>0.125</v>
      </c>
    </row>
    <row r="1761" spans="1:14">
      <c r="A1761" s="67" t="s">
        <v>3113</v>
      </c>
      <c r="B1761" s="68">
        <v>4.0550663978664101</v>
      </c>
      <c r="C1761" s="69">
        <v>4.5350000000000001</v>
      </c>
      <c r="D1761" s="70">
        <f t="shared" si="189"/>
        <v>6</v>
      </c>
      <c r="E1761" s="70">
        <f t="shared" si="190"/>
        <v>0.2</v>
      </c>
      <c r="F1761" s="70">
        <f t="shared" si="191"/>
        <v>4</v>
      </c>
      <c r="G1761" s="70">
        <f t="shared" si="192"/>
        <v>3.1620122671600797</v>
      </c>
      <c r="H1761" s="70">
        <f t="shared" si="193"/>
        <v>0.8</v>
      </c>
      <c r="I1761" s="70">
        <f t="shared" si="194"/>
        <v>0</v>
      </c>
      <c r="J1761" s="70">
        <f t="shared" si="195"/>
        <v>0</v>
      </c>
      <c r="K1761" s="70">
        <f>IF(CurrentMtgRatesDataTable8[[#This Row],[WA CC]]&lt;&gt;0,C1760-CurrentMtgRatesDataTable8[[#This Row],[WA CC]],0)</f>
        <v>0</v>
      </c>
      <c r="L1761" s="70">
        <f>IF(CurrentMtgRatesDataTable8[[#This Row],[Servicing Spread]]&lt;=0,L1760,CurrentMtgRatesDataTable8[[#This Row],[Servicing Spread]])</f>
        <v>0.58318119099754773</v>
      </c>
      <c r="M1761" s="70">
        <f>CurrentMtgRatesDataTable8[[#This Row],[Servicing Spread Non-Zero]]-L1760</f>
        <v>0</v>
      </c>
      <c r="N1761" s="70">
        <f>IF(J1760&lt;&gt;0,CurrentMtgRatesDataTable8[[#This Row],[Rate]]-C1760,N1760)</f>
        <v>0.125</v>
      </c>
    </row>
    <row r="1762" spans="1:14">
      <c r="A1762" s="67" t="s">
        <v>3114</v>
      </c>
      <c r="B1762" s="68">
        <v>4.1053911512333396</v>
      </c>
      <c r="C1762" s="69">
        <v>4.5350000000000001</v>
      </c>
      <c r="D1762" s="70">
        <f t="shared" si="189"/>
        <v>7</v>
      </c>
      <c r="E1762" s="70">
        <f t="shared" si="190"/>
        <v>0.2</v>
      </c>
      <c r="F1762" s="70">
        <f t="shared" si="191"/>
        <v>5</v>
      </c>
      <c r="G1762" s="70">
        <f t="shared" si="192"/>
        <v>3.9830904974067476</v>
      </c>
      <c r="H1762" s="70">
        <f t="shared" si="193"/>
        <v>1</v>
      </c>
      <c r="I1762" s="70">
        <f t="shared" si="194"/>
        <v>1</v>
      </c>
      <c r="J1762" s="70">
        <f t="shared" si="195"/>
        <v>3.9830904974067476</v>
      </c>
      <c r="K1762" s="70">
        <f>IF(CurrentMtgRatesDataTable8[[#This Row],[WA CC]]&lt;&gt;0,C1761-CurrentMtgRatesDataTable8[[#This Row],[WA CC]],0)</f>
        <v>0.55190950259325255</v>
      </c>
      <c r="L1762" s="70">
        <f>IF(CurrentMtgRatesDataTable8[[#This Row],[Servicing Spread]]&lt;=0,L1761,CurrentMtgRatesDataTable8[[#This Row],[Servicing Spread]])</f>
        <v>0.55190950259325255</v>
      </c>
      <c r="M1762" s="70">
        <f>CurrentMtgRatesDataTable8[[#This Row],[Servicing Spread Non-Zero]]-L1761</f>
        <v>-3.1271688404295173E-2</v>
      </c>
      <c r="N1762" s="70">
        <f>IF(J1761&lt;&gt;0,CurrentMtgRatesDataTable8[[#This Row],[Rate]]-C1761,N1761)</f>
        <v>0.125</v>
      </c>
    </row>
    <row r="1763" spans="1:14">
      <c r="A1763" s="67" t="s">
        <v>3115</v>
      </c>
      <c r="B1763" s="68">
        <v>4.05607255604572</v>
      </c>
      <c r="C1763" s="69">
        <v>4.7549999999999999</v>
      </c>
      <c r="D1763" s="70">
        <f t="shared" si="189"/>
        <v>1</v>
      </c>
      <c r="E1763" s="70">
        <f t="shared" si="190"/>
        <v>0.2</v>
      </c>
      <c r="F1763" s="70">
        <f t="shared" si="191"/>
        <v>1</v>
      </c>
      <c r="G1763" s="70">
        <f t="shared" si="192"/>
        <v>0.81121451120914401</v>
      </c>
      <c r="H1763" s="70">
        <f t="shared" si="193"/>
        <v>0.2</v>
      </c>
      <c r="I1763" s="70">
        <f t="shared" si="194"/>
        <v>0</v>
      </c>
      <c r="J1763" s="70">
        <f t="shared" si="195"/>
        <v>0</v>
      </c>
      <c r="K1763" s="70">
        <f>IF(CurrentMtgRatesDataTable8[[#This Row],[WA CC]]&lt;&gt;0,C1762-CurrentMtgRatesDataTable8[[#This Row],[WA CC]],0)</f>
        <v>0</v>
      </c>
      <c r="L1763" s="70">
        <f>IF(CurrentMtgRatesDataTable8[[#This Row],[Servicing Spread]]&lt;=0,L1762,CurrentMtgRatesDataTable8[[#This Row],[Servicing Spread]])</f>
        <v>0.55190950259325255</v>
      </c>
      <c r="M1763" s="70">
        <f>CurrentMtgRatesDataTable8[[#This Row],[Servicing Spread Non-Zero]]-L1762</f>
        <v>0</v>
      </c>
      <c r="N1763" s="70">
        <f>IF(J1762&lt;&gt;0,CurrentMtgRatesDataTable8[[#This Row],[Rate]]-C1762,N1762)</f>
        <v>0.21999999999999975</v>
      </c>
    </row>
    <row r="1764" spans="1:14">
      <c r="A1764" s="67" t="s">
        <v>3116</v>
      </c>
      <c r="B1764" s="68">
        <v>4.1283648412935303</v>
      </c>
      <c r="C1764" s="69">
        <v>4.7549999999999999</v>
      </c>
      <c r="D1764" s="70">
        <f t="shared" si="189"/>
        <v>2</v>
      </c>
      <c r="E1764" s="70">
        <f t="shared" si="190"/>
        <v>0.2</v>
      </c>
      <c r="F1764" s="70">
        <f t="shared" si="191"/>
        <v>2</v>
      </c>
      <c r="G1764" s="70">
        <f t="shared" si="192"/>
        <v>1.6368874794678501</v>
      </c>
      <c r="H1764" s="70">
        <f t="shared" si="193"/>
        <v>0.4</v>
      </c>
      <c r="I1764" s="70">
        <f t="shared" si="194"/>
        <v>0</v>
      </c>
      <c r="J1764" s="70">
        <f t="shared" si="195"/>
        <v>0</v>
      </c>
      <c r="K1764" s="70">
        <f>IF(CurrentMtgRatesDataTable8[[#This Row],[WA CC]]&lt;&gt;0,C1763-CurrentMtgRatesDataTable8[[#This Row],[WA CC]],0)</f>
        <v>0</v>
      </c>
      <c r="L1764" s="70">
        <f>IF(CurrentMtgRatesDataTable8[[#This Row],[Servicing Spread]]&lt;=0,L1763,CurrentMtgRatesDataTable8[[#This Row],[Servicing Spread]])</f>
        <v>0.55190950259325255</v>
      </c>
      <c r="M1764" s="70">
        <f>CurrentMtgRatesDataTable8[[#This Row],[Servicing Spread Non-Zero]]-L1763</f>
        <v>0</v>
      </c>
      <c r="N1764" s="70">
        <f>IF(J1763&lt;&gt;0,CurrentMtgRatesDataTable8[[#This Row],[Rate]]-C1763,N1763)</f>
        <v>0.21999999999999975</v>
      </c>
    </row>
    <row r="1765" spans="1:14">
      <c r="A1765" s="67" t="s">
        <v>3117</v>
      </c>
      <c r="B1765" s="68">
        <v>4.1089742638804996</v>
      </c>
      <c r="C1765" s="69">
        <v>4.7549999999999999</v>
      </c>
      <c r="D1765" s="70">
        <f t="shared" si="189"/>
        <v>5</v>
      </c>
      <c r="E1765" s="70">
        <f t="shared" si="190"/>
        <v>0.2</v>
      </c>
      <c r="F1765" s="70">
        <f t="shared" si="191"/>
        <v>3</v>
      </c>
      <c r="G1765" s="70">
        <f t="shared" si="192"/>
        <v>2.4586823322439502</v>
      </c>
      <c r="H1765" s="70">
        <f t="shared" si="193"/>
        <v>0.60000000000000009</v>
      </c>
      <c r="I1765" s="70">
        <f t="shared" si="194"/>
        <v>0</v>
      </c>
      <c r="J1765" s="70">
        <f t="shared" si="195"/>
        <v>0</v>
      </c>
      <c r="K1765" s="70">
        <f>IF(CurrentMtgRatesDataTable8[[#This Row],[WA CC]]&lt;&gt;0,C1764-CurrentMtgRatesDataTable8[[#This Row],[WA CC]],0)</f>
        <v>0</v>
      </c>
      <c r="L1765" s="70">
        <f>IF(CurrentMtgRatesDataTable8[[#This Row],[Servicing Spread]]&lt;=0,L1764,CurrentMtgRatesDataTable8[[#This Row],[Servicing Spread]])</f>
        <v>0.55190950259325255</v>
      </c>
      <c r="M1765" s="70">
        <f>CurrentMtgRatesDataTable8[[#This Row],[Servicing Spread Non-Zero]]-L1764</f>
        <v>0</v>
      </c>
      <c r="N1765" s="70">
        <f>IF(J1764&lt;&gt;0,CurrentMtgRatesDataTable8[[#This Row],[Rate]]-C1764,N1764)</f>
        <v>0.21999999999999975</v>
      </c>
    </row>
    <row r="1766" spans="1:14">
      <c r="A1766" s="67" t="s">
        <v>3118</v>
      </c>
      <c r="B1766" s="68">
        <v>4.2874791963185999</v>
      </c>
      <c r="C1766" s="69">
        <v>4.7549999999999999</v>
      </c>
      <c r="D1766" s="70">
        <f t="shared" si="189"/>
        <v>6</v>
      </c>
      <c r="E1766" s="70">
        <f t="shared" si="190"/>
        <v>0.2</v>
      </c>
      <c r="F1766" s="70">
        <f t="shared" si="191"/>
        <v>4</v>
      </c>
      <c r="G1766" s="70">
        <f t="shared" si="192"/>
        <v>3.3161781715076701</v>
      </c>
      <c r="H1766" s="70">
        <f t="shared" si="193"/>
        <v>0.8</v>
      </c>
      <c r="I1766" s="70">
        <f t="shared" si="194"/>
        <v>0</v>
      </c>
      <c r="J1766" s="70">
        <f t="shared" si="195"/>
        <v>0</v>
      </c>
      <c r="K1766" s="70">
        <f>IF(CurrentMtgRatesDataTable8[[#This Row],[WA CC]]&lt;&gt;0,C1765-CurrentMtgRatesDataTable8[[#This Row],[WA CC]],0)</f>
        <v>0</v>
      </c>
      <c r="L1766" s="70">
        <f>IF(CurrentMtgRatesDataTable8[[#This Row],[Servicing Spread]]&lt;=0,L1765,CurrentMtgRatesDataTable8[[#This Row],[Servicing Spread]])</f>
        <v>0.55190950259325255</v>
      </c>
      <c r="M1766" s="70">
        <f>CurrentMtgRatesDataTable8[[#This Row],[Servicing Spread Non-Zero]]-L1765</f>
        <v>0</v>
      </c>
      <c r="N1766" s="70">
        <f>IF(J1765&lt;&gt;0,CurrentMtgRatesDataTable8[[#This Row],[Rate]]-C1765,N1765)</f>
        <v>0.21999999999999975</v>
      </c>
    </row>
    <row r="1767" spans="1:14">
      <c r="A1767" s="67" t="s">
        <v>3119</v>
      </c>
      <c r="B1767" s="68">
        <v>4.3841234940053697</v>
      </c>
      <c r="C1767" s="69">
        <v>4.7549999999999999</v>
      </c>
      <c r="D1767" s="70">
        <f t="shared" si="189"/>
        <v>7</v>
      </c>
      <c r="E1767" s="70">
        <f t="shared" si="190"/>
        <v>0.2</v>
      </c>
      <c r="F1767" s="70">
        <f t="shared" si="191"/>
        <v>5</v>
      </c>
      <c r="G1767" s="70">
        <f t="shared" si="192"/>
        <v>4.1930028703087441</v>
      </c>
      <c r="H1767" s="70">
        <f t="shared" si="193"/>
        <v>1</v>
      </c>
      <c r="I1767" s="70">
        <f t="shared" si="194"/>
        <v>1</v>
      </c>
      <c r="J1767" s="70">
        <f t="shared" si="195"/>
        <v>4.1930028703087441</v>
      </c>
      <c r="K1767" s="70">
        <f>IF(CurrentMtgRatesDataTable8[[#This Row],[WA CC]]&lt;&gt;0,C1766-CurrentMtgRatesDataTable8[[#This Row],[WA CC]],0)</f>
        <v>0.56199712969125581</v>
      </c>
      <c r="L1767" s="70">
        <f>IF(CurrentMtgRatesDataTable8[[#This Row],[Servicing Spread]]&lt;=0,L1766,CurrentMtgRatesDataTable8[[#This Row],[Servicing Spread]])</f>
        <v>0.56199712969125581</v>
      </c>
      <c r="M1767" s="70">
        <f>CurrentMtgRatesDataTable8[[#This Row],[Servicing Spread Non-Zero]]-L1766</f>
        <v>1.008762709800326E-2</v>
      </c>
      <c r="N1767" s="70">
        <f>IF(J1766&lt;&gt;0,CurrentMtgRatesDataTable8[[#This Row],[Rate]]-C1766,N1766)</f>
        <v>0.21999999999999975</v>
      </c>
    </row>
    <row r="1768" spans="1:14">
      <c r="A1768" s="67" t="s">
        <v>3120</v>
      </c>
      <c r="B1768" s="68">
        <v>4.3563887495905904</v>
      </c>
      <c r="C1768" s="69">
        <v>4.7349999999999994</v>
      </c>
      <c r="D1768" s="70">
        <f t="shared" si="189"/>
        <v>1</v>
      </c>
      <c r="E1768" s="70">
        <f t="shared" si="190"/>
        <v>0.2</v>
      </c>
      <c r="F1768" s="70">
        <f t="shared" si="191"/>
        <v>1</v>
      </c>
      <c r="G1768" s="70">
        <f t="shared" si="192"/>
        <v>0.87127774991811813</v>
      </c>
      <c r="H1768" s="70">
        <f t="shared" si="193"/>
        <v>0.2</v>
      </c>
      <c r="I1768" s="70">
        <f t="shared" si="194"/>
        <v>0</v>
      </c>
      <c r="J1768" s="70">
        <f t="shared" si="195"/>
        <v>0</v>
      </c>
      <c r="K1768" s="70">
        <f>IF(CurrentMtgRatesDataTable8[[#This Row],[WA CC]]&lt;&gt;0,C1767-CurrentMtgRatesDataTable8[[#This Row],[WA CC]],0)</f>
        <v>0</v>
      </c>
      <c r="L1768" s="70">
        <f>IF(CurrentMtgRatesDataTable8[[#This Row],[Servicing Spread]]&lt;=0,L1767,CurrentMtgRatesDataTable8[[#This Row],[Servicing Spread]])</f>
        <v>0.56199712969125581</v>
      </c>
      <c r="M1768" s="70">
        <f>CurrentMtgRatesDataTable8[[#This Row],[Servicing Spread Non-Zero]]-L1767</f>
        <v>0</v>
      </c>
      <c r="N1768" s="70">
        <f>IF(J1767&lt;&gt;0,CurrentMtgRatesDataTable8[[#This Row],[Rate]]-C1767,N1767)</f>
        <v>-2.0000000000000462E-2</v>
      </c>
    </row>
    <row r="1769" spans="1:14">
      <c r="A1769" s="67" t="s">
        <v>3121</v>
      </c>
      <c r="B1769" s="68">
        <v>4.1670201724021796</v>
      </c>
      <c r="C1769" s="69">
        <v>4.7349999999999994</v>
      </c>
      <c r="D1769" s="70">
        <f t="shared" si="189"/>
        <v>2</v>
      </c>
      <c r="E1769" s="70">
        <f t="shared" si="190"/>
        <v>0.2</v>
      </c>
      <c r="F1769" s="70">
        <f t="shared" si="191"/>
        <v>2</v>
      </c>
      <c r="G1769" s="70">
        <f t="shared" si="192"/>
        <v>1.704681784398554</v>
      </c>
      <c r="H1769" s="70">
        <f t="shared" si="193"/>
        <v>0.4</v>
      </c>
      <c r="I1769" s="70">
        <f t="shared" si="194"/>
        <v>0</v>
      </c>
      <c r="J1769" s="70">
        <f t="shared" si="195"/>
        <v>0</v>
      </c>
      <c r="K1769" s="70">
        <f>IF(CurrentMtgRatesDataTable8[[#This Row],[WA CC]]&lt;&gt;0,C1768-CurrentMtgRatesDataTable8[[#This Row],[WA CC]],0)</f>
        <v>0</v>
      </c>
      <c r="L1769" s="70">
        <f>IF(CurrentMtgRatesDataTable8[[#This Row],[Servicing Spread]]&lt;=0,L1768,CurrentMtgRatesDataTable8[[#This Row],[Servicing Spread]])</f>
        <v>0.56199712969125581</v>
      </c>
      <c r="M1769" s="70">
        <f>CurrentMtgRatesDataTable8[[#This Row],[Servicing Spread Non-Zero]]-L1768</f>
        <v>0</v>
      </c>
      <c r="N1769" s="70">
        <f>IF(J1768&lt;&gt;0,CurrentMtgRatesDataTable8[[#This Row],[Rate]]-C1768,N1768)</f>
        <v>-2.0000000000000462E-2</v>
      </c>
    </row>
    <row r="1770" spans="1:14">
      <c r="A1770" s="67" t="s">
        <v>3122</v>
      </c>
      <c r="B1770" s="68">
        <v>4.2106190227226401</v>
      </c>
      <c r="C1770" s="69">
        <v>4.7349999999999994</v>
      </c>
      <c r="D1770" s="70">
        <f t="shared" si="189"/>
        <v>5</v>
      </c>
      <c r="E1770" s="70">
        <f t="shared" si="190"/>
        <v>0.2</v>
      </c>
      <c r="F1770" s="70">
        <f t="shared" si="191"/>
        <v>3</v>
      </c>
      <c r="G1770" s="70">
        <f t="shared" si="192"/>
        <v>2.5468055889430818</v>
      </c>
      <c r="H1770" s="70">
        <f t="shared" si="193"/>
        <v>0.60000000000000009</v>
      </c>
      <c r="I1770" s="70">
        <f t="shared" si="194"/>
        <v>0</v>
      </c>
      <c r="J1770" s="70">
        <f t="shared" si="195"/>
        <v>0</v>
      </c>
      <c r="K1770" s="70">
        <f>IF(CurrentMtgRatesDataTable8[[#This Row],[WA CC]]&lt;&gt;0,C1769-CurrentMtgRatesDataTable8[[#This Row],[WA CC]],0)</f>
        <v>0</v>
      </c>
      <c r="L1770" s="70">
        <f>IF(CurrentMtgRatesDataTable8[[#This Row],[Servicing Spread]]&lt;=0,L1769,CurrentMtgRatesDataTable8[[#This Row],[Servicing Spread]])</f>
        <v>0.56199712969125581</v>
      </c>
      <c r="M1770" s="70">
        <f>CurrentMtgRatesDataTable8[[#This Row],[Servicing Spread Non-Zero]]-L1769</f>
        <v>0</v>
      </c>
      <c r="N1770" s="70">
        <f>IF(J1769&lt;&gt;0,CurrentMtgRatesDataTable8[[#This Row],[Rate]]-C1769,N1769)</f>
        <v>-2.0000000000000462E-2</v>
      </c>
    </row>
    <row r="1771" spans="1:14">
      <c r="A1771" s="67" t="s">
        <v>3123</v>
      </c>
      <c r="B1771" s="68">
        <v>4.1747769851216496</v>
      </c>
      <c r="C1771" s="69">
        <v>4.7349999999999994</v>
      </c>
      <c r="D1771" s="70">
        <f t="shared" si="189"/>
        <v>6</v>
      </c>
      <c r="E1771" s="70">
        <f t="shared" si="190"/>
        <v>0.2</v>
      </c>
      <c r="F1771" s="70">
        <f t="shared" si="191"/>
        <v>4</v>
      </c>
      <c r="G1771" s="70">
        <f t="shared" si="192"/>
        <v>3.3817609859674116</v>
      </c>
      <c r="H1771" s="70">
        <f t="shared" si="193"/>
        <v>0.8</v>
      </c>
      <c r="I1771" s="70">
        <f t="shared" si="194"/>
        <v>0</v>
      </c>
      <c r="J1771" s="70">
        <f t="shared" si="195"/>
        <v>0</v>
      </c>
      <c r="K1771" s="70">
        <f>IF(CurrentMtgRatesDataTable8[[#This Row],[WA CC]]&lt;&gt;0,C1770-CurrentMtgRatesDataTable8[[#This Row],[WA CC]],0)</f>
        <v>0</v>
      </c>
      <c r="L1771" s="70">
        <f>IF(CurrentMtgRatesDataTable8[[#This Row],[Servicing Spread]]&lt;=0,L1770,CurrentMtgRatesDataTable8[[#This Row],[Servicing Spread]])</f>
        <v>0.56199712969125581</v>
      </c>
      <c r="M1771" s="70">
        <f>CurrentMtgRatesDataTable8[[#This Row],[Servicing Spread Non-Zero]]-L1770</f>
        <v>0</v>
      </c>
      <c r="N1771" s="70">
        <f>IF(J1770&lt;&gt;0,CurrentMtgRatesDataTable8[[#This Row],[Rate]]-C1770,N1770)</f>
        <v>-2.0000000000000462E-2</v>
      </c>
    </row>
    <row r="1772" spans="1:14">
      <c r="A1772" s="67" t="s">
        <v>3124</v>
      </c>
      <c r="B1772" s="68">
        <v>4.1785023611627299</v>
      </c>
      <c r="C1772" s="69">
        <v>4.7349999999999994</v>
      </c>
      <c r="D1772" s="70">
        <f t="shared" si="189"/>
        <v>7</v>
      </c>
      <c r="E1772" s="70">
        <f t="shared" si="190"/>
        <v>0.2</v>
      </c>
      <c r="F1772" s="70">
        <f t="shared" si="191"/>
        <v>5</v>
      </c>
      <c r="G1772" s="70">
        <f t="shared" si="192"/>
        <v>4.2174614581999581</v>
      </c>
      <c r="H1772" s="70">
        <f t="shared" si="193"/>
        <v>1</v>
      </c>
      <c r="I1772" s="70">
        <f t="shared" si="194"/>
        <v>1</v>
      </c>
      <c r="J1772" s="70">
        <f t="shared" si="195"/>
        <v>4.2174614581999581</v>
      </c>
      <c r="K1772" s="70">
        <f>IF(CurrentMtgRatesDataTable8[[#This Row],[WA CC]]&lt;&gt;0,C1771-CurrentMtgRatesDataTable8[[#This Row],[WA CC]],0)</f>
        <v>0.51753854180004133</v>
      </c>
      <c r="L1772" s="70">
        <f>IF(CurrentMtgRatesDataTable8[[#This Row],[Servicing Spread]]&lt;=0,L1771,CurrentMtgRatesDataTable8[[#This Row],[Servicing Spread]])</f>
        <v>0.51753854180004133</v>
      </c>
      <c r="M1772" s="70">
        <f>CurrentMtgRatesDataTable8[[#This Row],[Servicing Spread Non-Zero]]-L1771</f>
        <v>-4.4458587891214485E-2</v>
      </c>
      <c r="N1772" s="70">
        <f>IF(J1771&lt;&gt;0,CurrentMtgRatesDataTable8[[#This Row],[Rate]]-C1771,N1771)</f>
        <v>-2.0000000000000462E-2</v>
      </c>
    </row>
    <row r="1773" spans="1:14">
      <c r="A1773" s="67" t="s">
        <v>3125</v>
      </c>
      <c r="B1773" s="68">
        <v>4.2265070801815998</v>
      </c>
      <c r="C1773" s="69">
        <v>4.8100000000000005</v>
      </c>
      <c r="D1773" s="70">
        <f t="shared" si="189"/>
        <v>1</v>
      </c>
      <c r="E1773" s="70">
        <f t="shared" si="190"/>
        <v>0.2</v>
      </c>
      <c r="F1773" s="70">
        <f t="shared" si="191"/>
        <v>1</v>
      </c>
      <c r="G1773" s="70">
        <f t="shared" si="192"/>
        <v>0.84530141603632003</v>
      </c>
      <c r="H1773" s="70">
        <f t="shared" si="193"/>
        <v>0.2</v>
      </c>
      <c r="I1773" s="70">
        <f t="shared" si="194"/>
        <v>0</v>
      </c>
      <c r="J1773" s="70">
        <f t="shared" si="195"/>
        <v>0</v>
      </c>
      <c r="K1773" s="70">
        <f>IF(CurrentMtgRatesDataTable8[[#This Row],[WA CC]]&lt;&gt;0,C1772-CurrentMtgRatesDataTable8[[#This Row],[WA CC]],0)</f>
        <v>0</v>
      </c>
      <c r="L1773" s="70">
        <f>IF(CurrentMtgRatesDataTable8[[#This Row],[Servicing Spread]]&lt;=0,L1772,CurrentMtgRatesDataTable8[[#This Row],[Servicing Spread]])</f>
        <v>0.51753854180004133</v>
      </c>
      <c r="M1773" s="70">
        <f>CurrentMtgRatesDataTable8[[#This Row],[Servicing Spread Non-Zero]]-L1772</f>
        <v>0</v>
      </c>
      <c r="N1773" s="70">
        <f>IF(J1772&lt;&gt;0,CurrentMtgRatesDataTable8[[#This Row],[Rate]]-C1772,N1772)</f>
        <v>7.5000000000001066E-2</v>
      </c>
    </row>
    <row r="1774" spans="1:14">
      <c r="A1774" s="67" t="s">
        <v>3126</v>
      </c>
      <c r="B1774" s="68">
        <v>4.2128404720611599</v>
      </c>
      <c r="C1774" s="69">
        <v>4.8100000000000005</v>
      </c>
      <c r="D1774" s="70">
        <f t="shared" si="189"/>
        <v>5</v>
      </c>
      <c r="E1774" s="70">
        <f t="shared" si="190"/>
        <v>0.2</v>
      </c>
      <c r="F1774" s="70">
        <f t="shared" si="191"/>
        <v>2</v>
      </c>
      <c r="G1774" s="70">
        <f t="shared" si="192"/>
        <v>1.6878695104485519</v>
      </c>
      <c r="H1774" s="70">
        <f t="shared" si="193"/>
        <v>0.4</v>
      </c>
      <c r="I1774" s="70">
        <f t="shared" si="194"/>
        <v>0</v>
      </c>
      <c r="J1774" s="70">
        <f t="shared" si="195"/>
        <v>0</v>
      </c>
      <c r="K1774" s="70">
        <f>IF(CurrentMtgRatesDataTable8[[#This Row],[WA CC]]&lt;&gt;0,C1773-CurrentMtgRatesDataTable8[[#This Row],[WA CC]],0)</f>
        <v>0</v>
      </c>
      <c r="L1774" s="70">
        <f>IF(CurrentMtgRatesDataTable8[[#This Row],[Servicing Spread]]&lt;=0,L1773,CurrentMtgRatesDataTable8[[#This Row],[Servicing Spread]])</f>
        <v>0.51753854180004133</v>
      </c>
      <c r="M1774" s="70">
        <f>CurrentMtgRatesDataTable8[[#This Row],[Servicing Spread Non-Zero]]-L1773</f>
        <v>0</v>
      </c>
      <c r="N1774" s="70">
        <f>IF(J1773&lt;&gt;0,CurrentMtgRatesDataTable8[[#This Row],[Rate]]-C1773,N1773)</f>
        <v>7.5000000000001066E-2</v>
      </c>
    </row>
    <row r="1775" spans="1:14">
      <c r="A1775" s="67" t="s">
        <v>3127</v>
      </c>
      <c r="B1775" s="68">
        <v>4.3267789144844704</v>
      </c>
      <c r="C1775" s="69">
        <v>4.8100000000000005</v>
      </c>
      <c r="D1775" s="70">
        <f t="shared" si="189"/>
        <v>6</v>
      </c>
      <c r="E1775" s="70">
        <f t="shared" si="190"/>
        <v>0.2</v>
      </c>
      <c r="F1775" s="70">
        <f t="shared" si="191"/>
        <v>3</v>
      </c>
      <c r="G1775" s="70">
        <f t="shared" si="192"/>
        <v>2.553225293345446</v>
      </c>
      <c r="H1775" s="70">
        <f t="shared" si="193"/>
        <v>0.60000000000000009</v>
      </c>
      <c r="I1775" s="70">
        <f t="shared" si="194"/>
        <v>0</v>
      </c>
      <c r="J1775" s="70">
        <f t="shared" si="195"/>
        <v>0</v>
      </c>
      <c r="K1775" s="70">
        <f>IF(CurrentMtgRatesDataTable8[[#This Row],[WA CC]]&lt;&gt;0,C1774-CurrentMtgRatesDataTable8[[#This Row],[WA CC]],0)</f>
        <v>0</v>
      </c>
      <c r="L1775" s="70">
        <f>IF(CurrentMtgRatesDataTable8[[#This Row],[Servicing Spread]]&lt;=0,L1774,CurrentMtgRatesDataTable8[[#This Row],[Servicing Spread]])</f>
        <v>0.51753854180004133</v>
      </c>
      <c r="M1775" s="70">
        <f>CurrentMtgRatesDataTable8[[#This Row],[Servicing Spread Non-Zero]]-L1774</f>
        <v>0</v>
      </c>
      <c r="N1775" s="70">
        <f>IF(J1774&lt;&gt;0,CurrentMtgRatesDataTable8[[#This Row],[Rate]]-C1774,N1774)</f>
        <v>7.5000000000001066E-2</v>
      </c>
    </row>
    <row r="1776" spans="1:14">
      <c r="A1776" s="67" t="s">
        <v>3128</v>
      </c>
      <c r="B1776" s="68">
        <v>4.1712027046695104</v>
      </c>
      <c r="C1776" s="69">
        <v>4.8100000000000005</v>
      </c>
      <c r="D1776" s="70">
        <f t="shared" si="189"/>
        <v>7</v>
      </c>
      <c r="E1776" s="70">
        <f t="shared" si="190"/>
        <v>0.2</v>
      </c>
      <c r="F1776" s="70">
        <f t="shared" si="191"/>
        <v>4</v>
      </c>
      <c r="G1776" s="70">
        <f t="shared" si="192"/>
        <v>3.387465834279348</v>
      </c>
      <c r="H1776" s="70">
        <f t="shared" si="193"/>
        <v>0.8</v>
      </c>
      <c r="I1776" s="70">
        <f t="shared" si="194"/>
        <v>1</v>
      </c>
      <c r="J1776" s="70">
        <f t="shared" si="195"/>
        <v>4.2343322928491851</v>
      </c>
      <c r="K1776" s="70">
        <f>IF(CurrentMtgRatesDataTable8[[#This Row],[WA CC]]&lt;&gt;0,C1775-CurrentMtgRatesDataTable8[[#This Row],[WA CC]],0)</f>
        <v>0.57566770715081539</v>
      </c>
      <c r="L1776" s="70">
        <f>IF(CurrentMtgRatesDataTable8[[#This Row],[Servicing Spread]]&lt;=0,L1775,CurrentMtgRatesDataTable8[[#This Row],[Servicing Spread]])</f>
        <v>0.57566770715081539</v>
      </c>
      <c r="M1776" s="70">
        <f>CurrentMtgRatesDataTable8[[#This Row],[Servicing Spread Non-Zero]]-L1775</f>
        <v>5.8129165350774059E-2</v>
      </c>
      <c r="N1776" s="70">
        <f>IF(J1775&lt;&gt;0,CurrentMtgRatesDataTable8[[#This Row],[Rate]]-C1775,N1775)</f>
        <v>7.5000000000001066E-2</v>
      </c>
    </row>
    <row r="1777" spans="1:14">
      <c r="A1777" s="67" t="s">
        <v>3129</v>
      </c>
      <c r="B1777" s="68">
        <v>4.18878443667134</v>
      </c>
      <c r="C1777" s="69">
        <v>4.72</v>
      </c>
      <c r="D1777" s="70">
        <f t="shared" si="189"/>
        <v>1</v>
      </c>
      <c r="E1777" s="70">
        <f t="shared" si="190"/>
        <v>0.2</v>
      </c>
      <c r="F1777" s="70">
        <f t="shared" si="191"/>
        <v>1</v>
      </c>
      <c r="G1777" s="70">
        <f t="shared" si="192"/>
        <v>0.83775688733426801</v>
      </c>
      <c r="H1777" s="70">
        <f t="shared" si="193"/>
        <v>0.2</v>
      </c>
      <c r="I1777" s="70">
        <f t="shared" si="194"/>
        <v>0</v>
      </c>
      <c r="J1777" s="70">
        <f t="shared" si="195"/>
        <v>0</v>
      </c>
      <c r="K1777" s="70">
        <f>IF(CurrentMtgRatesDataTable8[[#This Row],[WA CC]]&lt;&gt;0,C1776-CurrentMtgRatesDataTable8[[#This Row],[WA CC]],0)</f>
        <v>0</v>
      </c>
      <c r="L1777" s="70">
        <f>IF(CurrentMtgRatesDataTable8[[#This Row],[Servicing Spread]]&lt;=0,L1776,CurrentMtgRatesDataTable8[[#This Row],[Servicing Spread]])</f>
        <v>0.57566770715081539</v>
      </c>
      <c r="M1777" s="70">
        <f>CurrentMtgRatesDataTable8[[#This Row],[Servicing Spread Non-Zero]]-L1776</f>
        <v>0</v>
      </c>
      <c r="N1777" s="70">
        <f>IF(J1776&lt;&gt;0,CurrentMtgRatesDataTable8[[#This Row],[Rate]]-C1776,N1776)</f>
        <v>-9.0000000000000746E-2</v>
      </c>
    </row>
    <row r="1778" spans="1:14">
      <c r="A1778" s="67" t="s">
        <v>3130</v>
      </c>
      <c r="B1778" s="68">
        <v>4.1057743711836503</v>
      </c>
      <c r="C1778" s="69">
        <v>4.72</v>
      </c>
      <c r="D1778" s="70">
        <f t="shared" si="189"/>
        <v>2</v>
      </c>
      <c r="E1778" s="70">
        <f t="shared" si="190"/>
        <v>0.2</v>
      </c>
      <c r="F1778" s="70">
        <f t="shared" si="191"/>
        <v>2</v>
      </c>
      <c r="G1778" s="70">
        <f t="shared" si="192"/>
        <v>1.6589117615709981</v>
      </c>
      <c r="H1778" s="70">
        <f t="shared" si="193"/>
        <v>0.4</v>
      </c>
      <c r="I1778" s="70">
        <f t="shared" si="194"/>
        <v>0</v>
      </c>
      <c r="J1778" s="70">
        <f t="shared" si="195"/>
        <v>0</v>
      </c>
      <c r="K1778" s="70">
        <f>IF(CurrentMtgRatesDataTable8[[#This Row],[WA CC]]&lt;&gt;0,C1777-CurrentMtgRatesDataTable8[[#This Row],[WA CC]],0)</f>
        <v>0</v>
      </c>
      <c r="L1778" s="70">
        <f>IF(CurrentMtgRatesDataTable8[[#This Row],[Servicing Spread]]&lt;=0,L1777,CurrentMtgRatesDataTable8[[#This Row],[Servicing Spread]])</f>
        <v>0.57566770715081539</v>
      </c>
      <c r="M1778" s="70">
        <f>CurrentMtgRatesDataTable8[[#This Row],[Servicing Spread Non-Zero]]-L1777</f>
        <v>0</v>
      </c>
      <c r="N1778" s="70">
        <f>IF(J1777&lt;&gt;0,CurrentMtgRatesDataTable8[[#This Row],[Rate]]-C1777,N1777)</f>
        <v>-9.0000000000000746E-2</v>
      </c>
    </row>
    <row r="1779" spans="1:14">
      <c r="A1779" s="67" t="s">
        <v>3131</v>
      </c>
      <c r="B1779" s="68">
        <v>4.11936695587936</v>
      </c>
      <c r="C1779" s="69">
        <v>4.72</v>
      </c>
      <c r="D1779" s="70">
        <f t="shared" si="189"/>
        <v>5</v>
      </c>
      <c r="E1779" s="70">
        <f t="shared" si="190"/>
        <v>0.2</v>
      </c>
      <c r="F1779" s="70">
        <f t="shared" si="191"/>
        <v>3</v>
      </c>
      <c r="G1779" s="70">
        <f t="shared" si="192"/>
        <v>2.4827851527468701</v>
      </c>
      <c r="H1779" s="70">
        <f t="shared" si="193"/>
        <v>0.60000000000000009</v>
      </c>
      <c r="I1779" s="70">
        <f t="shared" si="194"/>
        <v>0</v>
      </c>
      <c r="J1779" s="70">
        <f t="shared" si="195"/>
        <v>0</v>
      </c>
      <c r="K1779" s="70">
        <f>IF(CurrentMtgRatesDataTable8[[#This Row],[WA CC]]&lt;&gt;0,C1778-CurrentMtgRatesDataTable8[[#This Row],[WA CC]],0)</f>
        <v>0</v>
      </c>
      <c r="L1779" s="70">
        <f>IF(CurrentMtgRatesDataTable8[[#This Row],[Servicing Spread]]&lt;=0,L1778,CurrentMtgRatesDataTable8[[#This Row],[Servicing Spread]])</f>
        <v>0.57566770715081539</v>
      </c>
      <c r="M1779" s="70">
        <f>CurrentMtgRatesDataTable8[[#This Row],[Servicing Spread Non-Zero]]-L1778</f>
        <v>0</v>
      </c>
      <c r="N1779" s="70">
        <f>IF(J1778&lt;&gt;0,CurrentMtgRatesDataTable8[[#This Row],[Rate]]-C1778,N1778)</f>
        <v>-9.0000000000000746E-2</v>
      </c>
    </row>
    <row r="1780" spans="1:14">
      <c r="A1780" s="67" t="s">
        <v>3132</v>
      </c>
      <c r="B1780" s="68">
        <v>4.1122999566586502</v>
      </c>
      <c r="C1780" s="69">
        <v>4.72</v>
      </c>
      <c r="D1780" s="70">
        <f t="shared" si="189"/>
        <v>6</v>
      </c>
      <c r="E1780" s="70">
        <f t="shared" si="190"/>
        <v>0.2</v>
      </c>
      <c r="F1780" s="70">
        <f t="shared" si="191"/>
        <v>4</v>
      </c>
      <c r="G1780" s="70">
        <f t="shared" si="192"/>
        <v>3.3052451440785999</v>
      </c>
      <c r="H1780" s="70">
        <f t="shared" si="193"/>
        <v>0.8</v>
      </c>
      <c r="I1780" s="70">
        <f t="shared" si="194"/>
        <v>0</v>
      </c>
      <c r="J1780" s="70">
        <f t="shared" si="195"/>
        <v>0</v>
      </c>
      <c r="K1780" s="70">
        <f>IF(CurrentMtgRatesDataTable8[[#This Row],[WA CC]]&lt;&gt;0,C1779-CurrentMtgRatesDataTable8[[#This Row],[WA CC]],0)</f>
        <v>0</v>
      </c>
      <c r="L1780" s="70">
        <f>IF(CurrentMtgRatesDataTable8[[#This Row],[Servicing Spread]]&lt;=0,L1779,CurrentMtgRatesDataTable8[[#This Row],[Servicing Spread]])</f>
        <v>0.57566770715081539</v>
      </c>
      <c r="M1780" s="70">
        <f>CurrentMtgRatesDataTable8[[#This Row],[Servicing Spread Non-Zero]]-L1779</f>
        <v>0</v>
      </c>
      <c r="N1780" s="70">
        <f>IF(J1779&lt;&gt;0,CurrentMtgRatesDataTable8[[#This Row],[Rate]]-C1779,N1779)</f>
        <v>-9.0000000000000746E-2</v>
      </c>
    </row>
    <row r="1781" spans="1:14">
      <c r="A1781" s="67" t="s">
        <v>3133</v>
      </c>
      <c r="B1781" s="68">
        <v>4.2469378689917301</v>
      </c>
      <c r="C1781" s="69">
        <v>4.72</v>
      </c>
      <c r="D1781" s="70">
        <f t="shared" si="189"/>
        <v>7</v>
      </c>
      <c r="E1781" s="70">
        <f t="shared" si="190"/>
        <v>0.2</v>
      </c>
      <c r="F1781" s="70">
        <f t="shared" si="191"/>
        <v>5</v>
      </c>
      <c r="G1781" s="70">
        <f t="shared" si="192"/>
        <v>4.1546327178769458</v>
      </c>
      <c r="H1781" s="70">
        <f t="shared" si="193"/>
        <v>1</v>
      </c>
      <c r="I1781" s="70">
        <f t="shared" si="194"/>
        <v>1</v>
      </c>
      <c r="J1781" s="70">
        <f t="shared" si="195"/>
        <v>4.1546327178769458</v>
      </c>
      <c r="K1781" s="70">
        <f>IF(CurrentMtgRatesDataTable8[[#This Row],[WA CC]]&lt;&gt;0,C1780-CurrentMtgRatesDataTable8[[#This Row],[WA CC]],0)</f>
        <v>0.56536728212305398</v>
      </c>
      <c r="L1781" s="70">
        <f>IF(CurrentMtgRatesDataTable8[[#This Row],[Servicing Spread]]&lt;=0,L1780,CurrentMtgRatesDataTable8[[#This Row],[Servicing Spread]])</f>
        <v>0.56536728212305398</v>
      </c>
      <c r="M1781" s="70">
        <f>CurrentMtgRatesDataTable8[[#This Row],[Servicing Spread Non-Zero]]-L1780</f>
        <v>-1.0300425027761406E-2</v>
      </c>
      <c r="N1781" s="70">
        <f>IF(J1780&lt;&gt;0,CurrentMtgRatesDataTable8[[#This Row],[Rate]]-C1780,N1780)</f>
        <v>-9.0000000000000746E-2</v>
      </c>
    </row>
    <row r="1782" spans="1:14">
      <c r="A1782" s="67" t="s">
        <v>3134</v>
      </c>
      <c r="B1782" s="68">
        <v>4.2000787125651602</v>
      </c>
      <c r="C1782" s="69">
        <v>4.66</v>
      </c>
      <c r="D1782" s="70">
        <f t="shared" si="189"/>
        <v>1</v>
      </c>
      <c r="E1782" s="70">
        <f t="shared" si="190"/>
        <v>0.2</v>
      </c>
      <c r="F1782" s="70">
        <f t="shared" si="191"/>
        <v>1</v>
      </c>
      <c r="G1782" s="70">
        <f t="shared" si="192"/>
        <v>0.84001574251303213</v>
      </c>
      <c r="H1782" s="70">
        <f t="shared" si="193"/>
        <v>0.2</v>
      </c>
      <c r="I1782" s="70">
        <f t="shared" si="194"/>
        <v>0</v>
      </c>
      <c r="J1782" s="70">
        <f t="shared" si="195"/>
        <v>0</v>
      </c>
      <c r="K1782" s="70">
        <f>IF(CurrentMtgRatesDataTable8[[#This Row],[WA CC]]&lt;&gt;0,C1781-CurrentMtgRatesDataTable8[[#This Row],[WA CC]],0)</f>
        <v>0</v>
      </c>
      <c r="L1782" s="70">
        <f>IF(CurrentMtgRatesDataTable8[[#This Row],[Servicing Spread]]&lt;=0,L1781,CurrentMtgRatesDataTable8[[#This Row],[Servicing Spread]])</f>
        <v>0.56536728212305398</v>
      </c>
      <c r="M1782" s="70">
        <f>CurrentMtgRatesDataTable8[[#This Row],[Servicing Spread Non-Zero]]-L1781</f>
        <v>0</v>
      </c>
      <c r="N1782" s="70">
        <f>IF(J1781&lt;&gt;0,CurrentMtgRatesDataTable8[[#This Row],[Rate]]-C1781,N1781)</f>
        <v>-5.9999999999999609E-2</v>
      </c>
    </row>
    <row r="1783" spans="1:14">
      <c r="A1783" s="67" t="s">
        <v>3135</v>
      </c>
      <c r="B1783" s="68">
        <v>4.1021104273380802</v>
      </c>
      <c r="C1783" s="69">
        <v>4.66</v>
      </c>
      <c r="D1783" s="70">
        <f t="shared" si="189"/>
        <v>2</v>
      </c>
      <c r="E1783" s="70">
        <f t="shared" si="190"/>
        <v>0.2</v>
      </c>
      <c r="F1783" s="70">
        <f t="shared" si="191"/>
        <v>2</v>
      </c>
      <c r="G1783" s="70">
        <f t="shared" si="192"/>
        <v>1.6604378279806482</v>
      </c>
      <c r="H1783" s="70">
        <f t="shared" si="193"/>
        <v>0.4</v>
      </c>
      <c r="I1783" s="70">
        <f t="shared" si="194"/>
        <v>0</v>
      </c>
      <c r="J1783" s="70">
        <f t="shared" si="195"/>
        <v>0</v>
      </c>
      <c r="K1783" s="70">
        <f>IF(CurrentMtgRatesDataTable8[[#This Row],[WA CC]]&lt;&gt;0,C1782-CurrentMtgRatesDataTable8[[#This Row],[WA CC]],0)</f>
        <v>0</v>
      </c>
      <c r="L1783" s="70">
        <f>IF(CurrentMtgRatesDataTable8[[#This Row],[Servicing Spread]]&lt;=0,L1782,CurrentMtgRatesDataTable8[[#This Row],[Servicing Spread]])</f>
        <v>0.56536728212305398</v>
      </c>
      <c r="M1783" s="70">
        <f>CurrentMtgRatesDataTable8[[#This Row],[Servicing Spread Non-Zero]]-L1782</f>
        <v>0</v>
      </c>
      <c r="N1783" s="70">
        <f>IF(J1782&lt;&gt;0,CurrentMtgRatesDataTable8[[#This Row],[Rate]]-C1782,N1782)</f>
        <v>-5.9999999999999609E-2</v>
      </c>
    </row>
    <row r="1784" spans="1:14">
      <c r="A1784" s="67" t="s">
        <v>3136</v>
      </c>
      <c r="B1784" s="68">
        <v>4.0762960784999098</v>
      </c>
      <c r="C1784" s="69">
        <v>4.66</v>
      </c>
      <c r="D1784" s="70">
        <f t="shared" si="189"/>
        <v>5</v>
      </c>
      <c r="E1784" s="70">
        <f t="shared" si="190"/>
        <v>0.2</v>
      </c>
      <c r="F1784" s="70">
        <f t="shared" si="191"/>
        <v>3</v>
      </c>
      <c r="G1784" s="70">
        <f t="shared" si="192"/>
        <v>2.47569704368063</v>
      </c>
      <c r="H1784" s="70">
        <f t="shared" si="193"/>
        <v>0.60000000000000009</v>
      </c>
      <c r="I1784" s="70">
        <f t="shared" si="194"/>
        <v>0</v>
      </c>
      <c r="J1784" s="70">
        <f t="shared" si="195"/>
        <v>0</v>
      </c>
      <c r="K1784" s="70">
        <f>IF(CurrentMtgRatesDataTable8[[#This Row],[WA CC]]&lt;&gt;0,C1783-CurrentMtgRatesDataTable8[[#This Row],[WA CC]],0)</f>
        <v>0</v>
      </c>
      <c r="L1784" s="70">
        <f>IF(CurrentMtgRatesDataTable8[[#This Row],[Servicing Spread]]&lt;=0,L1783,CurrentMtgRatesDataTable8[[#This Row],[Servicing Spread]])</f>
        <v>0.56536728212305398</v>
      </c>
      <c r="M1784" s="70">
        <f>CurrentMtgRatesDataTable8[[#This Row],[Servicing Spread Non-Zero]]-L1783</f>
        <v>0</v>
      </c>
      <c r="N1784" s="70">
        <f>IF(J1783&lt;&gt;0,CurrentMtgRatesDataTable8[[#This Row],[Rate]]-C1783,N1783)</f>
        <v>-5.9999999999999609E-2</v>
      </c>
    </row>
    <row r="1785" spans="1:14">
      <c r="A1785" s="67" t="s">
        <v>3137</v>
      </c>
      <c r="B1785" s="68">
        <v>4.1304635686140401</v>
      </c>
      <c r="C1785" s="69">
        <v>4.66</v>
      </c>
      <c r="D1785" s="70">
        <f t="shared" si="189"/>
        <v>6</v>
      </c>
      <c r="E1785" s="70">
        <f t="shared" si="190"/>
        <v>0.2</v>
      </c>
      <c r="F1785" s="70">
        <f t="shared" si="191"/>
        <v>4</v>
      </c>
      <c r="G1785" s="70">
        <f t="shared" si="192"/>
        <v>3.3017897574034381</v>
      </c>
      <c r="H1785" s="70">
        <f t="shared" si="193"/>
        <v>0.8</v>
      </c>
      <c r="I1785" s="70">
        <f t="shared" si="194"/>
        <v>0</v>
      </c>
      <c r="J1785" s="70">
        <f t="shared" si="195"/>
        <v>0</v>
      </c>
      <c r="K1785" s="70">
        <f>IF(CurrentMtgRatesDataTable8[[#This Row],[WA CC]]&lt;&gt;0,C1784-CurrentMtgRatesDataTable8[[#This Row],[WA CC]],0)</f>
        <v>0</v>
      </c>
      <c r="L1785" s="70">
        <f>IF(CurrentMtgRatesDataTable8[[#This Row],[Servicing Spread]]&lt;=0,L1784,CurrentMtgRatesDataTable8[[#This Row],[Servicing Spread]])</f>
        <v>0.56536728212305398</v>
      </c>
      <c r="M1785" s="70">
        <f>CurrentMtgRatesDataTable8[[#This Row],[Servicing Spread Non-Zero]]-L1784</f>
        <v>0</v>
      </c>
      <c r="N1785" s="70">
        <f>IF(J1784&lt;&gt;0,CurrentMtgRatesDataTable8[[#This Row],[Rate]]-C1784,N1784)</f>
        <v>-5.9999999999999609E-2</v>
      </c>
    </row>
    <row r="1786" spans="1:14">
      <c r="A1786" s="67" t="s">
        <v>3138</v>
      </c>
      <c r="B1786" s="68">
        <v>4.1275516725905304</v>
      </c>
      <c r="C1786" s="69">
        <v>4.66</v>
      </c>
      <c r="D1786" s="70">
        <f t="shared" si="189"/>
        <v>7</v>
      </c>
      <c r="E1786" s="70">
        <f t="shared" si="190"/>
        <v>0.2</v>
      </c>
      <c r="F1786" s="70">
        <f t="shared" si="191"/>
        <v>5</v>
      </c>
      <c r="G1786" s="70">
        <f t="shared" si="192"/>
        <v>4.1273000919215441</v>
      </c>
      <c r="H1786" s="70">
        <f t="shared" si="193"/>
        <v>1</v>
      </c>
      <c r="I1786" s="70">
        <f t="shared" si="194"/>
        <v>1</v>
      </c>
      <c r="J1786" s="70">
        <f t="shared" si="195"/>
        <v>4.1273000919215441</v>
      </c>
      <c r="K1786" s="70">
        <f>IF(CurrentMtgRatesDataTable8[[#This Row],[WA CC]]&lt;&gt;0,C1785-CurrentMtgRatesDataTable8[[#This Row],[WA CC]],0)</f>
        <v>0.53269990807845602</v>
      </c>
      <c r="L1786" s="70">
        <f>IF(CurrentMtgRatesDataTable8[[#This Row],[Servicing Spread]]&lt;=0,L1785,CurrentMtgRatesDataTable8[[#This Row],[Servicing Spread]])</f>
        <v>0.53269990807845602</v>
      </c>
      <c r="M1786" s="70">
        <f>CurrentMtgRatesDataTable8[[#This Row],[Servicing Spread Non-Zero]]-L1785</f>
        <v>-3.2667374044597963E-2</v>
      </c>
      <c r="N1786" s="70">
        <f>IF(J1785&lt;&gt;0,CurrentMtgRatesDataTable8[[#This Row],[Rate]]-C1785,N1785)</f>
        <v>-5.9999999999999609E-2</v>
      </c>
    </row>
    <row r="1787" spans="1:14">
      <c r="A1787" s="67" t="s">
        <v>3139</v>
      </c>
      <c r="B1787" s="68">
        <v>4.0727672759857096</v>
      </c>
      <c r="C1787" s="69">
        <v>4.6900000000000004</v>
      </c>
      <c r="D1787" s="70">
        <f t="shared" si="189"/>
        <v>1</v>
      </c>
      <c r="E1787" s="70">
        <f t="shared" si="190"/>
        <v>0.2</v>
      </c>
      <c r="F1787" s="70">
        <f t="shared" si="191"/>
        <v>1</v>
      </c>
      <c r="G1787" s="70">
        <f t="shared" si="192"/>
        <v>0.81455345519714195</v>
      </c>
      <c r="H1787" s="70">
        <f t="shared" si="193"/>
        <v>0.2</v>
      </c>
      <c r="I1787" s="70">
        <f t="shared" si="194"/>
        <v>0</v>
      </c>
      <c r="J1787" s="70">
        <f t="shared" si="195"/>
        <v>0</v>
      </c>
      <c r="K1787" s="70">
        <f>IF(CurrentMtgRatesDataTable8[[#This Row],[WA CC]]&lt;&gt;0,C1786-CurrentMtgRatesDataTable8[[#This Row],[WA CC]],0)</f>
        <v>0</v>
      </c>
      <c r="L1787" s="70">
        <f>IF(CurrentMtgRatesDataTable8[[#This Row],[Servicing Spread]]&lt;=0,L1786,CurrentMtgRatesDataTable8[[#This Row],[Servicing Spread]])</f>
        <v>0.53269990807845602</v>
      </c>
      <c r="M1787" s="70">
        <f>CurrentMtgRatesDataTable8[[#This Row],[Servicing Spread Non-Zero]]-L1786</f>
        <v>0</v>
      </c>
      <c r="N1787" s="70">
        <f>IF(J1786&lt;&gt;0,CurrentMtgRatesDataTable8[[#This Row],[Rate]]-C1786,N1786)</f>
        <v>3.0000000000000249E-2</v>
      </c>
    </row>
    <row r="1788" spans="1:14">
      <c r="A1788" s="67" t="s">
        <v>3140</v>
      </c>
      <c r="B1788" s="68">
        <v>4.0858523120533601</v>
      </c>
      <c r="C1788" s="69">
        <v>4.6900000000000004</v>
      </c>
      <c r="D1788" s="70">
        <f t="shared" si="189"/>
        <v>2</v>
      </c>
      <c r="E1788" s="70">
        <f t="shared" si="190"/>
        <v>0.2</v>
      </c>
      <c r="F1788" s="70">
        <f t="shared" si="191"/>
        <v>2</v>
      </c>
      <c r="G1788" s="70">
        <f t="shared" si="192"/>
        <v>1.631723917607814</v>
      </c>
      <c r="H1788" s="70">
        <f t="shared" si="193"/>
        <v>0.4</v>
      </c>
      <c r="I1788" s="70">
        <f t="shared" si="194"/>
        <v>0</v>
      </c>
      <c r="J1788" s="70">
        <f t="shared" si="195"/>
        <v>0</v>
      </c>
      <c r="K1788" s="70">
        <f>IF(CurrentMtgRatesDataTable8[[#This Row],[WA CC]]&lt;&gt;0,C1787-CurrentMtgRatesDataTable8[[#This Row],[WA CC]],0)</f>
        <v>0</v>
      </c>
      <c r="L1788" s="70">
        <f>IF(CurrentMtgRatesDataTable8[[#This Row],[Servicing Spread]]&lt;=0,L1787,CurrentMtgRatesDataTable8[[#This Row],[Servicing Spread]])</f>
        <v>0.53269990807845602</v>
      </c>
      <c r="M1788" s="70">
        <f>CurrentMtgRatesDataTable8[[#This Row],[Servicing Spread Non-Zero]]-L1787</f>
        <v>0</v>
      </c>
      <c r="N1788" s="70">
        <f>IF(J1787&lt;&gt;0,CurrentMtgRatesDataTable8[[#This Row],[Rate]]-C1787,N1787)</f>
        <v>3.0000000000000249E-2</v>
      </c>
    </row>
    <row r="1789" spans="1:14">
      <c r="A1789" s="67" t="s">
        <v>3141</v>
      </c>
      <c r="B1789" s="68">
        <v>4.14123720248294</v>
      </c>
      <c r="C1789" s="69">
        <v>4.6900000000000004</v>
      </c>
      <c r="D1789" s="70">
        <f t="shared" si="189"/>
        <v>6</v>
      </c>
      <c r="E1789" s="70">
        <f t="shared" si="190"/>
        <v>0.2</v>
      </c>
      <c r="F1789" s="70">
        <f t="shared" si="191"/>
        <v>3</v>
      </c>
      <c r="G1789" s="70">
        <f t="shared" si="192"/>
        <v>2.459971358104402</v>
      </c>
      <c r="H1789" s="70">
        <f t="shared" si="193"/>
        <v>0.60000000000000009</v>
      </c>
      <c r="I1789" s="70">
        <f t="shared" si="194"/>
        <v>0</v>
      </c>
      <c r="J1789" s="70">
        <f t="shared" si="195"/>
        <v>0</v>
      </c>
      <c r="K1789" s="70">
        <f>IF(CurrentMtgRatesDataTable8[[#This Row],[WA CC]]&lt;&gt;0,C1788-CurrentMtgRatesDataTable8[[#This Row],[WA CC]],0)</f>
        <v>0</v>
      </c>
      <c r="L1789" s="70">
        <f>IF(CurrentMtgRatesDataTable8[[#This Row],[Servicing Spread]]&lt;=0,L1788,CurrentMtgRatesDataTable8[[#This Row],[Servicing Spread]])</f>
        <v>0.53269990807845602</v>
      </c>
      <c r="M1789" s="70">
        <f>CurrentMtgRatesDataTable8[[#This Row],[Servicing Spread Non-Zero]]-L1788</f>
        <v>0</v>
      </c>
      <c r="N1789" s="70">
        <f>IF(J1788&lt;&gt;0,CurrentMtgRatesDataTable8[[#This Row],[Rate]]-C1788,N1788)</f>
        <v>3.0000000000000249E-2</v>
      </c>
    </row>
    <row r="1790" spans="1:14">
      <c r="A1790" s="67" t="s">
        <v>3142</v>
      </c>
      <c r="B1790" s="68">
        <v>4.1151242571540303</v>
      </c>
      <c r="C1790" s="69">
        <v>4.6900000000000004</v>
      </c>
      <c r="D1790" s="70">
        <f t="shared" si="189"/>
        <v>7</v>
      </c>
      <c r="E1790" s="70">
        <f t="shared" si="190"/>
        <v>0.2</v>
      </c>
      <c r="F1790" s="70">
        <f t="shared" si="191"/>
        <v>4</v>
      </c>
      <c r="G1790" s="70">
        <f t="shared" si="192"/>
        <v>3.2829962095352081</v>
      </c>
      <c r="H1790" s="70">
        <f t="shared" si="193"/>
        <v>0.8</v>
      </c>
      <c r="I1790" s="70">
        <f t="shared" si="194"/>
        <v>1</v>
      </c>
      <c r="J1790" s="70">
        <f t="shared" si="195"/>
        <v>4.10374526191901</v>
      </c>
      <c r="K1790" s="70">
        <f>IF(CurrentMtgRatesDataTable8[[#This Row],[WA CC]]&lt;&gt;0,C1789-CurrentMtgRatesDataTable8[[#This Row],[WA CC]],0)</f>
        <v>0.58625473808099038</v>
      </c>
      <c r="L1790" s="70">
        <f>IF(CurrentMtgRatesDataTable8[[#This Row],[Servicing Spread]]&lt;=0,L1789,CurrentMtgRatesDataTable8[[#This Row],[Servicing Spread]])</f>
        <v>0.58625473808099038</v>
      </c>
      <c r="M1790" s="70">
        <f>CurrentMtgRatesDataTable8[[#This Row],[Servicing Spread Non-Zero]]-L1789</f>
        <v>5.3554830002534359E-2</v>
      </c>
      <c r="N1790" s="70">
        <f>IF(J1789&lt;&gt;0,CurrentMtgRatesDataTable8[[#This Row],[Rate]]-C1789,N1789)</f>
        <v>3.0000000000000249E-2</v>
      </c>
    </row>
    <row r="1791" spans="1:14">
      <c r="A1791" s="67" t="s">
        <v>3143</v>
      </c>
      <c r="B1791" s="68">
        <v>4.2162328947968701</v>
      </c>
      <c r="C1791" s="69">
        <v>4.7249999999999996</v>
      </c>
      <c r="D1791" s="70">
        <f t="shared" si="189"/>
        <v>1</v>
      </c>
      <c r="E1791" s="70">
        <f t="shared" si="190"/>
        <v>0.2</v>
      </c>
      <c r="F1791" s="70">
        <f t="shared" si="191"/>
        <v>1</v>
      </c>
      <c r="G1791" s="70">
        <f t="shared" si="192"/>
        <v>0.84324657895937405</v>
      </c>
      <c r="H1791" s="70">
        <f t="shared" si="193"/>
        <v>0.2</v>
      </c>
      <c r="I1791" s="70">
        <f t="shared" si="194"/>
        <v>0</v>
      </c>
      <c r="J1791" s="70">
        <f t="shared" si="195"/>
        <v>0</v>
      </c>
      <c r="K1791" s="70">
        <f>IF(CurrentMtgRatesDataTable8[[#This Row],[WA CC]]&lt;&gt;0,C1790-CurrentMtgRatesDataTable8[[#This Row],[WA CC]],0)</f>
        <v>0</v>
      </c>
      <c r="L1791" s="70">
        <f>IF(CurrentMtgRatesDataTable8[[#This Row],[Servicing Spread]]&lt;=0,L1790,CurrentMtgRatesDataTable8[[#This Row],[Servicing Spread]])</f>
        <v>0.58625473808099038</v>
      </c>
      <c r="M1791" s="70">
        <f>CurrentMtgRatesDataTable8[[#This Row],[Servicing Spread Non-Zero]]-L1790</f>
        <v>0</v>
      </c>
      <c r="N1791" s="70">
        <f>IF(J1790&lt;&gt;0,CurrentMtgRatesDataTable8[[#This Row],[Rate]]-C1790,N1790)</f>
        <v>3.4999999999999254E-2</v>
      </c>
    </row>
    <row r="1792" spans="1:14">
      <c r="A1792" s="67" t="s">
        <v>3144</v>
      </c>
      <c r="B1792" s="68">
        <v>4.1821146174950501</v>
      </c>
      <c r="C1792" s="69">
        <v>4.7249999999999996</v>
      </c>
      <c r="D1792" s="70">
        <f t="shared" si="189"/>
        <v>2</v>
      </c>
      <c r="E1792" s="70">
        <f t="shared" si="190"/>
        <v>0.2</v>
      </c>
      <c r="F1792" s="70">
        <f t="shared" si="191"/>
        <v>2</v>
      </c>
      <c r="G1792" s="70">
        <f t="shared" si="192"/>
        <v>1.6796695024583841</v>
      </c>
      <c r="H1792" s="70">
        <f t="shared" si="193"/>
        <v>0.4</v>
      </c>
      <c r="I1792" s="70">
        <f t="shared" si="194"/>
        <v>0</v>
      </c>
      <c r="J1792" s="70">
        <f t="shared" si="195"/>
        <v>0</v>
      </c>
      <c r="K1792" s="70">
        <f>IF(CurrentMtgRatesDataTable8[[#This Row],[WA CC]]&lt;&gt;0,C1791-CurrentMtgRatesDataTable8[[#This Row],[WA CC]],0)</f>
        <v>0</v>
      </c>
      <c r="L1792" s="70">
        <f>IF(CurrentMtgRatesDataTable8[[#This Row],[Servicing Spread]]&lt;=0,L1791,CurrentMtgRatesDataTable8[[#This Row],[Servicing Spread]])</f>
        <v>0.58625473808099038</v>
      </c>
      <c r="M1792" s="70">
        <f>CurrentMtgRatesDataTable8[[#This Row],[Servicing Spread Non-Zero]]-L1791</f>
        <v>0</v>
      </c>
      <c r="N1792" s="70">
        <f>IF(J1791&lt;&gt;0,CurrentMtgRatesDataTable8[[#This Row],[Rate]]-C1791,N1791)</f>
        <v>3.4999999999999254E-2</v>
      </c>
    </row>
    <row r="1793" spans="1:14">
      <c r="A1793" s="67" t="s">
        <v>3145</v>
      </c>
      <c r="B1793" s="68">
        <v>4.1956447039949802</v>
      </c>
      <c r="C1793" s="69">
        <v>4.7249999999999996</v>
      </c>
      <c r="D1793" s="70">
        <f t="shared" si="189"/>
        <v>5</v>
      </c>
      <c r="E1793" s="70">
        <f t="shared" si="190"/>
        <v>0.2</v>
      </c>
      <c r="F1793" s="70">
        <f t="shared" si="191"/>
        <v>3</v>
      </c>
      <c r="G1793" s="70">
        <f t="shared" si="192"/>
        <v>2.5187984432573804</v>
      </c>
      <c r="H1793" s="70">
        <f t="shared" si="193"/>
        <v>0.60000000000000009</v>
      </c>
      <c r="I1793" s="70">
        <f t="shared" si="194"/>
        <v>0</v>
      </c>
      <c r="J1793" s="70">
        <f t="shared" si="195"/>
        <v>0</v>
      </c>
      <c r="K1793" s="70">
        <f>IF(CurrentMtgRatesDataTable8[[#This Row],[WA CC]]&lt;&gt;0,C1792-CurrentMtgRatesDataTable8[[#This Row],[WA CC]],0)</f>
        <v>0</v>
      </c>
      <c r="L1793" s="70">
        <f>IF(CurrentMtgRatesDataTable8[[#This Row],[Servicing Spread]]&lt;=0,L1792,CurrentMtgRatesDataTable8[[#This Row],[Servicing Spread]])</f>
        <v>0.58625473808099038</v>
      </c>
      <c r="M1793" s="70">
        <f>CurrentMtgRatesDataTable8[[#This Row],[Servicing Spread Non-Zero]]-L1792</f>
        <v>0</v>
      </c>
      <c r="N1793" s="70">
        <f>IF(J1792&lt;&gt;0,CurrentMtgRatesDataTable8[[#This Row],[Rate]]-C1792,N1792)</f>
        <v>3.4999999999999254E-2</v>
      </c>
    </row>
    <row r="1794" spans="1:14">
      <c r="A1794" s="67" t="s">
        <v>3146</v>
      </c>
      <c r="B1794" s="68">
        <v>4.1484976418835604</v>
      </c>
      <c r="C1794" s="69">
        <v>4.7249999999999996</v>
      </c>
      <c r="D1794" s="70">
        <f t="shared" si="189"/>
        <v>6</v>
      </c>
      <c r="E1794" s="70">
        <f t="shared" si="190"/>
        <v>0.2</v>
      </c>
      <c r="F1794" s="70">
        <f t="shared" si="191"/>
        <v>4</v>
      </c>
      <c r="G1794" s="70">
        <f t="shared" si="192"/>
        <v>3.3484979716340924</v>
      </c>
      <c r="H1794" s="70">
        <f t="shared" si="193"/>
        <v>0.8</v>
      </c>
      <c r="I1794" s="70">
        <f t="shared" si="194"/>
        <v>0</v>
      </c>
      <c r="J1794" s="70">
        <f t="shared" si="195"/>
        <v>0</v>
      </c>
      <c r="K1794" s="70">
        <f>IF(CurrentMtgRatesDataTable8[[#This Row],[WA CC]]&lt;&gt;0,C1793-CurrentMtgRatesDataTable8[[#This Row],[WA CC]],0)</f>
        <v>0</v>
      </c>
      <c r="L1794" s="70">
        <f>IF(CurrentMtgRatesDataTable8[[#This Row],[Servicing Spread]]&lt;=0,L1793,CurrentMtgRatesDataTable8[[#This Row],[Servicing Spread]])</f>
        <v>0.58625473808099038</v>
      </c>
      <c r="M1794" s="70">
        <f>CurrentMtgRatesDataTable8[[#This Row],[Servicing Spread Non-Zero]]-L1793</f>
        <v>0</v>
      </c>
      <c r="N1794" s="70">
        <f>IF(J1793&lt;&gt;0,CurrentMtgRatesDataTable8[[#This Row],[Rate]]-C1793,N1793)</f>
        <v>3.4999999999999254E-2</v>
      </c>
    </row>
    <row r="1795" spans="1:14">
      <c r="A1795" s="67" t="s">
        <v>3147</v>
      </c>
      <c r="B1795" s="68">
        <v>4.2301753993648097</v>
      </c>
      <c r="C1795" s="69">
        <v>4.7249999999999996</v>
      </c>
      <c r="D1795" s="70">
        <f t="shared" si="189"/>
        <v>7</v>
      </c>
      <c r="E1795" s="70">
        <f t="shared" si="190"/>
        <v>0.2</v>
      </c>
      <c r="F1795" s="70">
        <f t="shared" si="191"/>
        <v>5</v>
      </c>
      <c r="G1795" s="70">
        <f t="shared" si="192"/>
        <v>4.1945330515070545</v>
      </c>
      <c r="H1795" s="70">
        <f t="shared" si="193"/>
        <v>1</v>
      </c>
      <c r="I1795" s="70">
        <f t="shared" si="194"/>
        <v>1</v>
      </c>
      <c r="J1795" s="70">
        <f t="shared" si="195"/>
        <v>4.1945330515070545</v>
      </c>
      <c r="K1795" s="70">
        <f>IF(CurrentMtgRatesDataTable8[[#This Row],[WA CC]]&lt;&gt;0,C1794-CurrentMtgRatesDataTable8[[#This Row],[WA CC]],0)</f>
        <v>0.53046694849294518</v>
      </c>
      <c r="L1795" s="70">
        <f>IF(CurrentMtgRatesDataTable8[[#This Row],[Servicing Spread]]&lt;=0,L1794,CurrentMtgRatesDataTable8[[#This Row],[Servicing Spread]])</f>
        <v>0.53046694849294518</v>
      </c>
      <c r="M1795" s="70">
        <f>CurrentMtgRatesDataTable8[[#This Row],[Servicing Spread Non-Zero]]-L1794</f>
        <v>-5.57877895880452E-2</v>
      </c>
      <c r="N1795" s="70">
        <f>IF(J1794&lt;&gt;0,CurrentMtgRatesDataTable8[[#This Row],[Rate]]-C1794,N1794)</f>
        <v>3.4999999999999254E-2</v>
      </c>
    </row>
    <row r="1796" spans="1:14">
      <c r="A1796" s="67" t="s">
        <v>3148</v>
      </c>
      <c r="B1796" s="68">
        <v>4.1787721751727096</v>
      </c>
      <c r="C1796" s="69">
        <v>4.76</v>
      </c>
      <c r="D1796" s="70">
        <f t="shared" si="189"/>
        <v>1</v>
      </c>
      <c r="E1796" s="70">
        <f t="shared" si="190"/>
        <v>0.2</v>
      </c>
      <c r="F1796" s="70">
        <f t="shared" si="191"/>
        <v>1</v>
      </c>
      <c r="G1796" s="70">
        <f t="shared" si="192"/>
        <v>0.83575443503454194</v>
      </c>
      <c r="H1796" s="70">
        <f t="shared" si="193"/>
        <v>0.2</v>
      </c>
      <c r="I1796" s="70">
        <f t="shared" si="194"/>
        <v>0</v>
      </c>
      <c r="J1796" s="70">
        <f t="shared" si="195"/>
        <v>0</v>
      </c>
      <c r="K1796" s="70">
        <f>IF(CurrentMtgRatesDataTable8[[#This Row],[WA CC]]&lt;&gt;0,C1795-CurrentMtgRatesDataTable8[[#This Row],[WA CC]],0)</f>
        <v>0</v>
      </c>
      <c r="L1796" s="70">
        <f>IF(CurrentMtgRatesDataTable8[[#This Row],[Servicing Spread]]&lt;=0,L1795,CurrentMtgRatesDataTable8[[#This Row],[Servicing Spread]])</f>
        <v>0.53046694849294518</v>
      </c>
      <c r="M1796" s="70">
        <f>CurrentMtgRatesDataTable8[[#This Row],[Servicing Spread Non-Zero]]-L1795</f>
        <v>0</v>
      </c>
      <c r="N1796" s="70">
        <f>IF(J1795&lt;&gt;0,CurrentMtgRatesDataTable8[[#This Row],[Rate]]-C1795,N1795)</f>
        <v>3.5000000000000142E-2</v>
      </c>
    </row>
    <row r="1797" spans="1:14">
      <c r="A1797" s="67" t="s">
        <v>3149</v>
      </c>
      <c r="B1797" s="68">
        <v>4.14863561976171</v>
      </c>
      <c r="C1797" s="69">
        <v>4.76</v>
      </c>
      <c r="D1797" s="70">
        <f t="shared" ref="D1797:D1860" si="196">WEEKDAY(A1797,14)</f>
        <v>2</v>
      </c>
      <c r="E1797" s="70">
        <f t="shared" ref="E1797:E1860" si="197">VLOOKUP(D1797,Q$5:R$11,2,FALSE)</f>
        <v>0.2</v>
      </c>
      <c r="F1797" s="70">
        <f t="shared" ref="F1797:F1860" si="198">IF(AND(D1797&gt;D1796,F1796&lt;6),F1796+1,1)</f>
        <v>2</v>
      </c>
      <c r="G1797" s="70">
        <f t="shared" ref="G1797:G1860" si="199">IF(F1797&gt;F1796,G1796+B1797*E1797,B1797*E1797)</f>
        <v>1.6654815589868841</v>
      </c>
      <c r="H1797" s="70">
        <f t="shared" ref="H1797:H1860" si="200">IF(AND(F1797&lt;6,F1797&gt;F1796),E1797+H1796,E1797)</f>
        <v>0.4</v>
      </c>
      <c r="I1797" s="70">
        <f t="shared" ref="I1797:I1860" si="201">IF(F1797&gt;F1798,1,0)</f>
        <v>0</v>
      </c>
      <c r="J1797" s="70">
        <f t="shared" ref="J1797:J1860" si="202">IF(F1797&gt;F1798,G1797/H1797,0)</f>
        <v>0</v>
      </c>
      <c r="K1797" s="70">
        <f>IF(CurrentMtgRatesDataTable8[[#This Row],[WA CC]]&lt;&gt;0,C1796-CurrentMtgRatesDataTable8[[#This Row],[WA CC]],0)</f>
        <v>0</v>
      </c>
      <c r="L1797" s="70">
        <f>IF(CurrentMtgRatesDataTable8[[#This Row],[Servicing Spread]]&lt;=0,L1796,CurrentMtgRatesDataTable8[[#This Row],[Servicing Spread]])</f>
        <v>0.53046694849294518</v>
      </c>
      <c r="M1797" s="70">
        <f>CurrentMtgRatesDataTable8[[#This Row],[Servicing Spread Non-Zero]]-L1796</f>
        <v>0</v>
      </c>
      <c r="N1797" s="70">
        <f>IF(J1796&lt;&gt;0,CurrentMtgRatesDataTable8[[#This Row],[Rate]]-C1796,N1796)</f>
        <v>3.5000000000000142E-2</v>
      </c>
    </row>
    <row r="1798" spans="1:14">
      <c r="A1798" s="67" t="s">
        <v>3150</v>
      </c>
      <c r="B1798" s="68">
        <v>4.1734715507654796</v>
      </c>
      <c r="C1798" s="69">
        <v>4.76</v>
      </c>
      <c r="D1798" s="70">
        <f t="shared" si="196"/>
        <v>5</v>
      </c>
      <c r="E1798" s="70">
        <f t="shared" si="197"/>
        <v>0.2</v>
      </c>
      <c r="F1798" s="70">
        <f t="shared" si="198"/>
        <v>3</v>
      </c>
      <c r="G1798" s="70">
        <f t="shared" si="199"/>
        <v>2.50017586913998</v>
      </c>
      <c r="H1798" s="70">
        <f t="shared" si="200"/>
        <v>0.60000000000000009</v>
      </c>
      <c r="I1798" s="70">
        <f t="shared" si="201"/>
        <v>0</v>
      </c>
      <c r="J1798" s="70">
        <f t="shared" si="202"/>
        <v>0</v>
      </c>
      <c r="K1798" s="70">
        <f>IF(CurrentMtgRatesDataTable8[[#This Row],[WA CC]]&lt;&gt;0,C1797-CurrentMtgRatesDataTable8[[#This Row],[WA CC]],0)</f>
        <v>0</v>
      </c>
      <c r="L1798" s="70">
        <f>IF(CurrentMtgRatesDataTable8[[#This Row],[Servicing Spread]]&lt;=0,L1797,CurrentMtgRatesDataTable8[[#This Row],[Servicing Spread]])</f>
        <v>0.53046694849294518</v>
      </c>
      <c r="M1798" s="70">
        <f>CurrentMtgRatesDataTable8[[#This Row],[Servicing Spread Non-Zero]]-L1797</f>
        <v>0</v>
      </c>
      <c r="N1798" s="70">
        <f>IF(J1797&lt;&gt;0,CurrentMtgRatesDataTable8[[#This Row],[Rate]]-C1797,N1797)</f>
        <v>3.5000000000000142E-2</v>
      </c>
    </row>
    <row r="1799" spans="1:14">
      <c r="A1799" s="67" t="s">
        <v>3151</v>
      </c>
      <c r="B1799" s="68">
        <v>4.2330193845594</v>
      </c>
      <c r="C1799" s="69">
        <v>4.76</v>
      </c>
      <c r="D1799" s="70">
        <f t="shared" si="196"/>
        <v>6</v>
      </c>
      <c r="E1799" s="70">
        <f t="shared" si="197"/>
        <v>0.2</v>
      </c>
      <c r="F1799" s="70">
        <f t="shared" si="198"/>
        <v>4</v>
      </c>
      <c r="G1799" s="70">
        <f t="shared" si="199"/>
        <v>3.34677974605186</v>
      </c>
      <c r="H1799" s="70">
        <f t="shared" si="200"/>
        <v>0.8</v>
      </c>
      <c r="I1799" s="70">
        <f t="shared" si="201"/>
        <v>0</v>
      </c>
      <c r="J1799" s="70">
        <f t="shared" si="202"/>
        <v>0</v>
      </c>
      <c r="K1799" s="70">
        <f>IF(CurrentMtgRatesDataTable8[[#This Row],[WA CC]]&lt;&gt;0,C1798-CurrentMtgRatesDataTable8[[#This Row],[WA CC]],0)</f>
        <v>0</v>
      </c>
      <c r="L1799" s="70">
        <f>IF(CurrentMtgRatesDataTable8[[#This Row],[Servicing Spread]]&lt;=0,L1798,CurrentMtgRatesDataTable8[[#This Row],[Servicing Spread]])</f>
        <v>0.53046694849294518</v>
      </c>
      <c r="M1799" s="70">
        <f>CurrentMtgRatesDataTable8[[#This Row],[Servicing Spread Non-Zero]]-L1798</f>
        <v>0</v>
      </c>
      <c r="N1799" s="70">
        <f>IF(J1798&lt;&gt;0,CurrentMtgRatesDataTable8[[#This Row],[Rate]]-C1798,N1798)</f>
        <v>3.5000000000000142E-2</v>
      </c>
    </row>
    <row r="1800" spans="1:14">
      <c r="A1800" s="67" t="s">
        <v>3152</v>
      </c>
      <c r="B1800" s="68">
        <v>4.28369779454294</v>
      </c>
      <c r="C1800" s="69">
        <v>4.76</v>
      </c>
      <c r="D1800" s="70">
        <f t="shared" si="196"/>
        <v>7</v>
      </c>
      <c r="E1800" s="70">
        <f t="shared" si="197"/>
        <v>0.2</v>
      </c>
      <c r="F1800" s="70">
        <f t="shared" si="198"/>
        <v>5</v>
      </c>
      <c r="G1800" s="70">
        <f t="shared" si="199"/>
        <v>4.203519304960448</v>
      </c>
      <c r="H1800" s="70">
        <f t="shared" si="200"/>
        <v>1</v>
      </c>
      <c r="I1800" s="70">
        <f t="shared" si="201"/>
        <v>1</v>
      </c>
      <c r="J1800" s="70">
        <f t="shared" si="202"/>
        <v>4.203519304960448</v>
      </c>
      <c r="K1800" s="70">
        <f>IF(CurrentMtgRatesDataTable8[[#This Row],[WA CC]]&lt;&gt;0,C1799-CurrentMtgRatesDataTable8[[#This Row],[WA CC]],0)</f>
        <v>0.55648069503955178</v>
      </c>
      <c r="L1800" s="70">
        <f>IF(CurrentMtgRatesDataTable8[[#This Row],[Servicing Spread]]&lt;=0,L1799,CurrentMtgRatesDataTable8[[#This Row],[Servicing Spread]])</f>
        <v>0.55648069503955178</v>
      </c>
      <c r="M1800" s="70">
        <f>CurrentMtgRatesDataTable8[[#This Row],[Servicing Spread Non-Zero]]-L1799</f>
        <v>2.6013746546606598E-2</v>
      </c>
      <c r="N1800" s="70">
        <f>IF(J1799&lt;&gt;0,CurrentMtgRatesDataTable8[[#This Row],[Rate]]-C1799,N1799)</f>
        <v>3.5000000000000142E-2</v>
      </c>
    </row>
    <row r="1801" spans="1:14">
      <c r="A1801" s="67" t="s">
        <v>3153</v>
      </c>
      <c r="B1801" s="68">
        <v>4.3267547753136801</v>
      </c>
      <c r="C1801" s="69">
        <v>4.9749999999999996</v>
      </c>
      <c r="D1801" s="70">
        <f t="shared" si="196"/>
        <v>1</v>
      </c>
      <c r="E1801" s="70">
        <f t="shared" si="197"/>
        <v>0.2</v>
      </c>
      <c r="F1801" s="70">
        <f t="shared" si="198"/>
        <v>1</v>
      </c>
      <c r="G1801" s="70">
        <f t="shared" si="199"/>
        <v>0.86535095506273607</v>
      </c>
      <c r="H1801" s="70">
        <f t="shared" si="200"/>
        <v>0.2</v>
      </c>
      <c r="I1801" s="70">
        <f t="shared" si="201"/>
        <v>0</v>
      </c>
      <c r="J1801" s="70">
        <f t="shared" si="202"/>
        <v>0</v>
      </c>
      <c r="K1801" s="70">
        <f>IF(CurrentMtgRatesDataTable8[[#This Row],[WA CC]]&lt;&gt;0,C1800-CurrentMtgRatesDataTable8[[#This Row],[WA CC]],0)</f>
        <v>0</v>
      </c>
      <c r="L1801" s="70">
        <f>IF(CurrentMtgRatesDataTable8[[#This Row],[Servicing Spread]]&lt;=0,L1800,CurrentMtgRatesDataTable8[[#This Row],[Servicing Spread]])</f>
        <v>0.55648069503955178</v>
      </c>
      <c r="M1801" s="70">
        <f>CurrentMtgRatesDataTable8[[#This Row],[Servicing Spread Non-Zero]]-L1800</f>
        <v>0</v>
      </c>
      <c r="N1801" s="70">
        <f>IF(J1800&lt;&gt;0,CurrentMtgRatesDataTable8[[#This Row],[Rate]]-C1800,N1800)</f>
        <v>0.21499999999999986</v>
      </c>
    </row>
    <row r="1802" spans="1:14">
      <c r="A1802" s="67" t="s">
        <v>3154</v>
      </c>
      <c r="B1802" s="68">
        <v>4.3946942714157897</v>
      </c>
      <c r="C1802" s="69">
        <v>4.9749999999999996</v>
      </c>
      <c r="D1802" s="70">
        <f t="shared" si="196"/>
        <v>2</v>
      </c>
      <c r="E1802" s="70">
        <f t="shared" si="197"/>
        <v>0.2</v>
      </c>
      <c r="F1802" s="70">
        <f t="shared" si="198"/>
        <v>2</v>
      </c>
      <c r="G1802" s="70">
        <f t="shared" si="199"/>
        <v>1.7442898093458941</v>
      </c>
      <c r="H1802" s="70">
        <f t="shared" si="200"/>
        <v>0.4</v>
      </c>
      <c r="I1802" s="70">
        <f t="shared" si="201"/>
        <v>0</v>
      </c>
      <c r="J1802" s="70">
        <f t="shared" si="202"/>
        <v>0</v>
      </c>
      <c r="K1802" s="70">
        <f>IF(CurrentMtgRatesDataTable8[[#This Row],[WA CC]]&lt;&gt;0,C1801-CurrentMtgRatesDataTable8[[#This Row],[WA CC]],0)</f>
        <v>0</v>
      </c>
      <c r="L1802" s="70">
        <f>IF(CurrentMtgRatesDataTable8[[#This Row],[Servicing Spread]]&lt;=0,L1801,CurrentMtgRatesDataTable8[[#This Row],[Servicing Spread]])</f>
        <v>0.55648069503955178</v>
      </c>
      <c r="M1802" s="70">
        <f>CurrentMtgRatesDataTable8[[#This Row],[Servicing Spread Non-Zero]]-L1801</f>
        <v>0</v>
      </c>
      <c r="N1802" s="70">
        <f>IF(J1801&lt;&gt;0,CurrentMtgRatesDataTable8[[#This Row],[Rate]]-C1801,N1801)</f>
        <v>0.21499999999999986</v>
      </c>
    </row>
    <row r="1803" spans="1:14">
      <c r="A1803" s="67" t="s">
        <v>3155</v>
      </c>
      <c r="B1803" s="68">
        <v>4.4120235680825504</v>
      </c>
      <c r="C1803" s="69">
        <v>4.9749999999999996</v>
      </c>
      <c r="D1803" s="70">
        <f t="shared" si="196"/>
        <v>5</v>
      </c>
      <c r="E1803" s="70">
        <f t="shared" si="197"/>
        <v>0.2</v>
      </c>
      <c r="F1803" s="70">
        <f t="shared" si="198"/>
        <v>3</v>
      </c>
      <c r="G1803" s="70">
        <f t="shared" si="199"/>
        <v>2.6266945229624041</v>
      </c>
      <c r="H1803" s="70">
        <f t="shared" si="200"/>
        <v>0.60000000000000009</v>
      </c>
      <c r="I1803" s="70">
        <f t="shared" si="201"/>
        <v>0</v>
      </c>
      <c r="J1803" s="70">
        <f t="shared" si="202"/>
        <v>0</v>
      </c>
      <c r="K1803" s="70">
        <f>IF(CurrentMtgRatesDataTable8[[#This Row],[WA CC]]&lt;&gt;0,C1802-CurrentMtgRatesDataTable8[[#This Row],[WA CC]],0)</f>
        <v>0</v>
      </c>
      <c r="L1803" s="70">
        <f>IF(CurrentMtgRatesDataTable8[[#This Row],[Servicing Spread]]&lt;=0,L1802,CurrentMtgRatesDataTable8[[#This Row],[Servicing Spread]])</f>
        <v>0.55648069503955178</v>
      </c>
      <c r="M1803" s="70">
        <f>CurrentMtgRatesDataTable8[[#This Row],[Servicing Spread Non-Zero]]-L1802</f>
        <v>0</v>
      </c>
      <c r="N1803" s="70">
        <f>IF(J1802&lt;&gt;0,CurrentMtgRatesDataTable8[[#This Row],[Rate]]-C1802,N1802)</f>
        <v>0.21499999999999986</v>
      </c>
    </row>
    <row r="1804" spans="1:14">
      <c r="A1804" s="67" t="s">
        <v>3156</v>
      </c>
      <c r="B1804" s="68">
        <v>4.4871263560303003</v>
      </c>
      <c r="C1804" s="69">
        <v>4.9749999999999996</v>
      </c>
      <c r="D1804" s="70">
        <f t="shared" si="196"/>
        <v>6</v>
      </c>
      <c r="E1804" s="70">
        <f t="shared" si="197"/>
        <v>0.2</v>
      </c>
      <c r="F1804" s="70">
        <f t="shared" si="198"/>
        <v>4</v>
      </c>
      <c r="G1804" s="70">
        <f t="shared" si="199"/>
        <v>3.5241197941684641</v>
      </c>
      <c r="H1804" s="70">
        <f t="shared" si="200"/>
        <v>0.8</v>
      </c>
      <c r="I1804" s="70">
        <f t="shared" si="201"/>
        <v>0</v>
      </c>
      <c r="J1804" s="70">
        <f t="shared" si="202"/>
        <v>0</v>
      </c>
      <c r="K1804" s="70">
        <f>IF(CurrentMtgRatesDataTable8[[#This Row],[WA CC]]&lt;&gt;0,C1803-CurrentMtgRatesDataTable8[[#This Row],[WA CC]],0)</f>
        <v>0</v>
      </c>
      <c r="L1804" s="70">
        <f>IF(CurrentMtgRatesDataTable8[[#This Row],[Servicing Spread]]&lt;=0,L1803,CurrentMtgRatesDataTable8[[#This Row],[Servicing Spread]])</f>
        <v>0.55648069503955178</v>
      </c>
      <c r="M1804" s="70">
        <f>CurrentMtgRatesDataTable8[[#This Row],[Servicing Spread Non-Zero]]-L1803</f>
        <v>0</v>
      </c>
      <c r="N1804" s="70">
        <f>IF(J1803&lt;&gt;0,CurrentMtgRatesDataTable8[[#This Row],[Rate]]-C1803,N1803)</f>
        <v>0.21499999999999986</v>
      </c>
    </row>
    <row r="1805" spans="1:14">
      <c r="A1805" s="67" t="s">
        <v>3157</v>
      </c>
      <c r="B1805" s="68">
        <v>4.4529420360272596</v>
      </c>
      <c r="C1805" s="69">
        <v>4.9749999999999996</v>
      </c>
      <c r="D1805" s="70">
        <f t="shared" si="196"/>
        <v>7</v>
      </c>
      <c r="E1805" s="70">
        <f t="shared" si="197"/>
        <v>0.2</v>
      </c>
      <c r="F1805" s="70">
        <f t="shared" si="198"/>
        <v>5</v>
      </c>
      <c r="G1805" s="70">
        <f t="shared" si="199"/>
        <v>4.4147082013739158</v>
      </c>
      <c r="H1805" s="70">
        <f t="shared" si="200"/>
        <v>1</v>
      </c>
      <c r="I1805" s="70">
        <f t="shared" si="201"/>
        <v>1</v>
      </c>
      <c r="J1805" s="70">
        <f t="shared" si="202"/>
        <v>4.4147082013739158</v>
      </c>
      <c r="K1805" s="70">
        <f>IF(CurrentMtgRatesDataTable8[[#This Row],[WA CC]]&lt;&gt;0,C1804-CurrentMtgRatesDataTable8[[#This Row],[WA CC]],0)</f>
        <v>0.5602917986260838</v>
      </c>
      <c r="L1805" s="70">
        <f>IF(CurrentMtgRatesDataTable8[[#This Row],[Servicing Spread]]&lt;=0,L1804,CurrentMtgRatesDataTable8[[#This Row],[Servicing Spread]])</f>
        <v>0.5602917986260838</v>
      </c>
      <c r="M1805" s="70">
        <f>CurrentMtgRatesDataTable8[[#This Row],[Servicing Spread Non-Zero]]-L1804</f>
        <v>3.8111035865320275E-3</v>
      </c>
      <c r="N1805" s="70">
        <f>IF(J1804&lt;&gt;0,CurrentMtgRatesDataTable8[[#This Row],[Rate]]-C1804,N1804)</f>
        <v>0.21499999999999986</v>
      </c>
    </row>
    <row r="1806" spans="1:14">
      <c r="A1806" s="67" t="s">
        <v>3158</v>
      </c>
      <c r="B1806" s="68">
        <v>4.5012486389065298</v>
      </c>
      <c r="C1806" s="69">
        <v>4.9249999999999998</v>
      </c>
      <c r="D1806" s="70">
        <f t="shared" si="196"/>
        <v>1</v>
      </c>
      <c r="E1806" s="70">
        <f t="shared" si="197"/>
        <v>0.2</v>
      </c>
      <c r="F1806" s="70">
        <f t="shared" si="198"/>
        <v>1</v>
      </c>
      <c r="G1806" s="70">
        <f t="shared" si="199"/>
        <v>0.90024972778130596</v>
      </c>
      <c r="H1806" s="70">
        <f t="shared" si="200"/>
        <v>0.2</v>
      </c>
      <c r="I1806" s="70">
        <f t="shared" si="201"/>
        <v>0</v>
      </c>
      <c r="J1806" s="70">
        <f t="shared" si="202"/>
        <v>0</v>
      </c>
      <c r="K1806" s="70">
        <f>IF(CurrentMtgRatesDataTable8[[#This Row],[WA CC]]&lt;&gt;0,C1805-CurrentMtgRatesDataTable8[[#This Row],[WA CC]],0)</f>
        <v>0</v>
      </c>
      <c r="L1806" s="70">
        <f>IF(CurrentMtgRatesDataTable8[[#This Row],[Servicing Spread]]&lt;=0,L1805,CurrentMtgRatesDataTable8[[#This Row],[Servicing Spread]])</f>
        <v>0.5602917986260838</v>
      </c>
      <c r="M1806" s="70">
        <f>CurrentMtgRatesDataTable8[[#This Row],[Servicing Spread Non-Zero]]-L1805</f>
        <v>0</v>
      </c>
      <c r="N1806" s="70">
        <f>IF(J1805&lt;&gt;0,CurrentMtgRatesDataTable8[[#This Row],[Rate]]-C1805,N1805)</f>
        <v>-4.9999999999999822E-2</v>
      </c>
    </row>
    <row r="1807" spans="1:14">
      <c r="A1807" s="67" t="s">
        <v>3159</v>
      </c>
      <c r="B1807" s="68">
        <v>4.4343090035877397</v>
      </c>
      <c r="C1807" s="69">
        <v>4.9249999999999998</v>
      </c>
      <c r="D1807" s="70">
        <f t="shared" si="196"/>
        <v>2</v>
      </c>
      <c r="E1807" s="70">
        <f t="shared" si="197"/>
        <v>0.2</v>
      </c>
      <c r="F1807" s="70">
        <f t="shared" si="198"/>
        <v>2</v>
      </c>
      <c r="G1807" s="70">
        <f t="shared" si="199"/>
        <v>1.7871115284988539</v>
      </c>
      <c r="H1807" s="70">
        <f t="shared" si="200"/>
        <v>0.4</v>
      </c>
      <c r="I1807" s="70">
        <f t="shared" si="201"/>
        <v>0</v>
      </c>
      <c r="J1807" s="70">
        <f t="shared" si="202"/>
        <v>0</v>
      </c>
      <c r="K1807" s="70">
        <f>IF(CurrentMtgRatesDataTable8[[#This Row],[WA CC]]&lt;&gt;0,C1806-CurrentMtgRatesDataTable8[[#This Row],[WA CC]],0)</f>
        <v>0</v>
      </c>
      <c r="L1807" s="70">
        <f>IF(CurrentMtgRatesDataTable8[[#This Row],[Servicing Spread]]&lt;=0,L1806,CurrentMtgRatesDataTable8[[#This Row],[Servicing Spread]])</f>
        <v>0.5602917986260838</v>
      </c>
      <c r="M1807" s="70">
        <f>CurrentMtgRatesDataTable8[[#This Row],[Servicing Spread Non-Zero]]-L1806</f>
        <v>0</v>
      </c>
      <c r="N1807" s="70">
        <f>IF(J1806&lt;&gt;0,CurrentMtgRatesDataTable8[[#This Row],[Rate]]-C1806,N1806)</f>
        <v>-4.9999999999999822E-2</v>
      </c>
    </row>
    <row r="1808" spans="1:14">
      <c r="A1808" s="67" t="s">
        <v>3160</v>
      </c>
      <c r="B1808" s="68">
        <v>4.3931467669702702</v>
      </c>
      <c r="C1808" s="69">
        <v>4.9249999999999998</v>
      </c>
      <c r="D1808" s="70">
        <f t="shared" si="196"/>
        <v>5</v>
      </c>
      <c r="E1808" s="70">
        <f t="shared" si="197"/>
        <v>0.2</v>
      </c>
      <c r="F1808" s="70">
        <f t="shared" si="198"/>
        <v>3</v>
      </c>
      <c r="G1808" s="70">
        <f t="shared" si="199"/>
        <v>2.665740881892908</v>
      </c>
      <c r="H1808" s="70">
        <f t="shared" si="200"/>
        <v>0.60000000000000009</v>
      </c>
      <c r="I1808" s="70">
        <f t="shared" si="201"/>
        <v>0</v>
      </c>
      <c r="J1808" s="70">
        <f t="shared" si="202"/>
        <v>0</v>
      </c>
      <c r="K1808" s="70">
        <f>IF(CurrentMtgRatesDataTable8[[#This Row],[WA CC]]&lt;&gt;0,C1807-CurrentMtgRatesDataTable8[[#This Row],[WA CC]],0)</f>
        <v>0</v>
      </c>
      <c r="L1808" s="70">
        <f>IF(CurrentMtgRatesDataTable8[[#This Row],[Servicing Spread]]&lt;=0,L1807,CurrentMtgRatesDataTable8[[#This Row],[Servicing Spread]])</f>
        <v>0.5602917986260838</v>
      </c>
      <c r="M1808" s="70">
        <f>CurrentMtgRatesDataTable8[[#This Row],[Servicing Spread Non-Zero]]-L1807</f>
        <v>0</v>
      </c>
      <c r="N1808" s="70">
        <f>IF(J1807&lt;&gt;0,CurrentMtgRatesDataTable8[[#This Row],[Rate]]-C1807,N1807)</f>
        <v>-4.9999999999999822E-2</v>
      </c>
    </row>
    <row r="1809" spans="1:14">
      <c r="A1809" s="67" t="s">
        <v>3161</v>
      </c>
      <c r="B1809" s="68">
        <v>4.3851093392960596</v>
      </c>
      <c r="C1809" s="69">
        <v>4.9249999999999998</v>
      </c>
      <c r="D1809" s="70">
        <f t="shared" si="196"/>
        <v>6</v>
      </c>
      <c r="E1809" s="70">
        <f t="shared" si="197"/>
        <v>0.2</v>
      </c>
      <c r="F1809" s="70">
        <f t="shared" si="198"/>
        <v>4</v>
      </c>
      <c r="G1809" s="70">
        <f t="shared" si="199"/>
        <v>3.5427627497521201</v>
      </c>
      <c r="H1809" s="70">
        <f t="shared" si="200"/>
        <v>0.8</v>
      </c>
      <c r="I1809" s="70">
        <f t="shared" si="201"/>
        <v>0</v>
      </c>
      <c r="J1809" s="70">
        <f t="shared" si="202"/>
        <v>0</v>
      </c>
      <c r="K1809" s="70">
        <f>IF(CurrentMtgRatesDataTable8[[#This Row],[WA CC]]&lt;&gt;0,C1808-CurrentMtgRatesDataTable8[[#This Row],[WA CC]],0)</f>
        <v>0</v>
      </c>
      <c r="L1809" s="70">
        <f>IF(CurrentMtgRatesDataTable8[[#This Row],[Servicing Spread]]&lt;=0,L1808,CurrentMtgRatesDataTable8[[#This Row],[Servicing Spread]])</f>
        <v>0.5602917986260838</v>
      </c>
      <c r="M1809" s="70">
        <f>CurrentMtgRatesDataTable8[[#This Row],[Servicing Spread Non-Zero]]-L1808</f>
        <v>0</v>
      </c>
      <c r="N1809" s="70">
        <f>IF(J1808&lt;&gt;0,CurrentMtgRatesDataTable8[[#This Row],[Rate]]-C1808,N1808)</f>
        <v>-4.9999999999999822E-2</v>
      </c>
    </row>
    <row r="1810" spans="1:14">
      <c r="A1810" s="67" t="s">
        <v>3162</v>
      </c>
      <c r="B1810" s="68">
        <v>4.3989620429497798</v>
      </c>
      <c r="C1810" s="69">
        <v>4.9249999999999998</v>
      </c>
      <c r="D1810" s="70">
        <f t="shared" si="196"/>
        <v>7</v>
      </c>
      <c r="E1810" s="70">
        <f t="shared" si="197"/>
        <v>0.2</v>
      </c>
      <c r="F1810" s="70">
        <f t="shared" si="198"/>
        <v>5</v>
      </c>
      <c r="G1810" s="70">
        <f t="shared" si="199"/>
        <v>4.4225551583420764</v>
      </c>
      <c r="H1810" s="70">
        <f t="shared" si="200"/>
        <v>1</v>
      </c>
      <c r="I1810" s="70">
        <f t="shared" si="201"/>
        <v>1</v>
      </c>
      <c r="J1810" s="70">
        <f t="shared" si="202"/>
        <v>4.4225551583420764</v>
      </c>
      <c r="K1810" s="70">
        <f>IF(CurrentMtgRatesDataTable8[[#This Row],[WA CC]]&lt;&gt;0,C1809-CurrentMtgRatesDataTable8[[#This Row],[WA CC]],0)</f>
        <v>0.50244484165792347</v>
      </c>
      <c r="L1810" s="70">
        <f>IF(CurrentMtgRatesDataTable8[[#This Row],[Servicing Spread]]&lt;=0,L1809,CurrentMtgRatesDataTable8[[#This Row],[Servicing Spread]])</f>
        <v>0.50244484165792347</v>
      </c>
      <c r="M1810" s="70">
        <f>CurrentMtgRatesDataTable8[[#This Row],[Servicing Spread Non-Zero]]-L1809</f>
        <v>-5.7846956968160335E-2</v>
      </c>
      <c r="N1810" s="70">
        <f>IF(J1809&lt;&gt;0,CurrentMtgRatesDataTable8[[#This Row],[Rate]]-C1809,N1809)</f>
        <v>-4.9999999999999822E-2</v>
      </c>
    </row>
    <row r="1811" spans="1:14">
      <c r="A1811" s="67" t="s">
        <v>3163</v>
      </c>
      <c r="B1811" s="68">
        <v>4.3504406978742196</v>
      </c>
      <c r="C1811" s="69">
        <v>4.8500000000000005</v>
      </c>
      <c r="D1811" s="70">
        <f t="shared" si="196"/>
        <v>1</v>
      </c>
      <c r="E1811" s="70">
        <f t="shared" si="197"/>
        <v>0.2</v>
      </c>
      <c r="F1811" s="70">
        <f t="shared" si="198"/>
        <v>1</v>
      </c>
      <c r="G1811" s="70">
        <f t="shared" si="199"/>
        <v>0.87008813957484399</v>
      </c>
      <c r="H1811" s="70">
        <f t="shared" si="200"/>
        <v>0.2</v>
      </c>
      <c r="I1811" s="70">
        <f t="shared" si="201"/>
        <v>0</v>
      </c>
      <c r="J1811" s="70">
        <f t="shared" si="202"/>
        <v>0</v>
      </c>
      <c r="K1811" s="70">
        <f>IF(CurrentMtgRatesDataTable8[[#This Row],[WA CC]]&lt;&gt;0,C1810-CurrentMtgRatesDataTable8[[#This Row],[WA CC]],0)</f>
        <v>0</v>
      </c>
      <c r="L1811" s="70">
        <f>IF(CurrentMtgRatesDataTable8[[#This Row],[Servicing Spread]]&lt;=0,L1810,CurrentMtgRatesDataTable8[[#This Row],[Servicing Spread]])</f>
        <v>0.50244484165792347</v>
      </c>
      <c r="M1811" s="70">
        <f>CurrentMtgRatesDataTable8[[#This Row],[Servicing Spread Non-Zero]]-L1810</f>
        <v>0</v>
      </c>
      <c r="N1811" s="70">
        <f>IF(J1810&lt;&gt;0,CurrentMtgRatesDataTable8[[#This Row],[Rate]]-C1810,N1810)</f>
        <v>-7.4999999999999289E-2</v>
      </c>
    </row>
    <row r="1812" spans="1:14">
      <c r="A1812" s="67" t="s">
        <v>3164</v>
      </c>
      <c r="B1812" s="68">
        <v>4.3663894001401404</v>
      </c>
      <c r="C1812" s="69">
        <v>4.8500000000000005</v>
      </c>
      <c r="D1812" s="70">
        <f t="shared" si="196"/>
        <v>2</v>
      </c>
      <c r="E1812" s="70">
        <f t="shared" si="197"/>
        <v>0.2</v>
      </c>
      <c r="F1812" s="70">
        <f t="shared" si="198"/>
        <v>2</v>
      </c>
      <c r="G1812" s="70">
        <f t="shared" si="199"/>
        <v>1.7433660196028722</v>
      </c>
      <c r="H1812" s="70">
        <f t="shared" si="200"/>
        <v>0.4</v>
      </c>
      <c r="I1812" s="70">
        <f t="shared" si="201"/>
        <v>0</v>
      </c>
      <c r="J1812" s="70">
        <f t="shared" si="202"/>
        <v>0</v>
      </c>
      <c r="K1812" s="70">
        <f>IF(CurrentMtgRatesDataTable8[[#This Row],[WA CC]]&lt;&gt;0,C1811-CurrentMtgRatesDataTable8[[#This Row],[WA CC]],0)</f>
        <v>0</v>
      </c>
      <c r="L1812" s="70">
        <f>IF(CurrentMtgRatesDataTable8[[#This Row],[Servicing Spread]]&lt;=0,L1811,CurrentMtgRatesDataTable8[[#This Row],[Servicing Spread]])</f>
        <v>0.50244484165792347</v>
      </c>
      <c r="M1812" s="70">
        <f>CurrentMtgRatesDataTable8[[#This Row],[Servicing Spread Non-Zero]]-L1811</f>
        <v>0</v>
      </c>
      <c r="N1812" s="70">
        <f>IF(J1811&lt;&gt;0,CurrentMtgRatesDataTable8[[#This Row],[Rate]]-C1811,N1811)</f>
        <v>-7.4999999999999289E-2</v>
      </c>
    </row>
    <row r="1813" spans="1:14">
      <c r="A1813" s="67" t="s">
        <v>3165</v>
      </c>
      <c r="B1813" s="68">
        <v>4.2999787872892696</v>
      </c>
      <c r="C1813" s="69">
        <v>4.8500000000000005</v>
      </c>
      <c r="D1813" s="70">
        <f t="shared" si="196"/>
        <v>6</v>
      </c>
      <c r="E1813" s="70">
        <f t="shared" si="197"/>
        <v>0.2</v>
      </c>
      <c r="F1813" s="70">
        <f t="shared" si="198"/>
        <v>3</v>
      </c>
      <c r="G1813" s="70">
        <f t="shared" si="199"/>
        <v>2.603361777060726</v>
      </c>
      <c r="H1813" s="70">
        <f t="shared" si="200"/>
        <v>0.60000000000000009</v>
      </c>
      <c r="I1813" s="70">
        <f t="shared" si="201"/>
        <v>0</v>
      </c>
      <c r="J1813" s="70">
        <f t="shared" si="202"/>
        <v>0</v>
      </c>
      <c r="K1813" s="70">
        <f>IF(CurrentMtgRatesDataTable8[[#This Row],[WA CC]]&lt;&gt;0,C1812-CurrentMtgRatesDataTable8[[#This Row],[WA CC]],0)</f>
        <v>0</v>
      </c>
      <c r="L1813" s="70">
        <f>IF(CurrentMtgRatesDataTable8[[#This Row],[Servicing Spread]]&lt;=0,L1812,CurrentMtgRatesDataTable8[[#This Row],[Servicing Spread]])</f>
        <v>0.50244484165792347</v>
      </c>
      <c r="M1813" s="70">
        <f>CurrentMtgRatesDataTable8[[#This Row],[Servicing Spread Non-Zero]]-L1812</f>
        <v>0</v>
      </c>
      <c r="N1813" s="70">
        <f>IF(J1812&lt;&gt;0,CurrentMtgRatesDataTable8[[#This Row],[Rate]]-C1812,N1812)</f>
        <v>-7.4999999999999289E-2</v>
      </c>
    </row>
    <row r="1814" spans="1:14">
      <c r="A1814" s="67" t="s">
        <v>3166</v>
      </c>
      <c r="B1814" s="68">
        <v>4.3068603066225304</v>
      </c>
      <c r="C1814" s="69">
        <v>4.8500000000000005</v>
      </c>
      <c r="D1814" s="70">
        <f t="shared" si="196"/>
        <v>7</v>
      </c>
      <c r="E1814" s="70">
        <f t="shared" si="197"/>
        <v>0.2</v>
      </c>
      <c r="F1814" s="70">
        <f t="shared" si="198"/>
        <v>4</v>
      </c>
      <c r="G1814" s="70">
        <f t="shared" si="199"/>
        <v>3.4647338383852322</v>
      </c>
      <c r="H1814" s="70">
        <f t="shared" si="200"/>
        <v>0.8</v>
      </c>
      <c r="I1814" s="70">
        <f t="shared" si="201"/>
        <v>1</v>
      </c>
      <c r="J1814" s="70">
        <f t="shared" si="202"/>
        <v>4.3309172979815402</v>
      </c>
      <c r="K1814" s="70">
        <f>IF(CurrentMtgRatesDataTable8[[#This Row],[WA CC]]&lt;&gt;0,C1813-CurrentMtgRatesDataTable8[[#This Row],[WA CC]],0)</f>
        <v>0.5190827020184603</v>
      </c>
      <c r="L1814" s="70">
        <f>IF(CurrentMtgRatesDataTable8[[#This Row],[Servicing Spread]]&lt;=0,L1813,CurrentMtgRatesDataTable8[[#This Row],[Servicing Spread]])</f>
        <v>0.5190827020184603</v>
      </c>
      <c r="M1814" s="70">
        <f>CurrentMtgRatesDataTable8[[#This Row],[Servicing Spread Non-Zero]]-L1813</f>
        <v>1.6637860360536827E-2</v>
      </c>
      <c r="N1814" s="70">
        <f>IF(J1813&lt;&gt;0,CurrentMtgRatesDataTable8[[#This Row],[Rate]]-C1813,N1813)</f>
        <v>-7.4999999999999289E-2</v>
      </c>
    </row>
    <row r="1815" spans="1:14">
      <c r="A1815" s="67" t="s">
        <v>3167</v>
      </c>
      <c r="B1815" s="68">
        <v>4.2636232083898697</v>
      </c>
      <c r="C1815" s="69">
        <v>4.7949999999999999</v>
      </c>
      <c r="D1815" s="70">
        <f t="shared" si="196"/>
        <v>1</v>
      </c>
      <c r="E1815" s="70">
        <f t="shared" si="197"/>
        <v>0.2</v>
      </c>
      <c r="F1815" s="70">
        <f t="shared" si="198"/>
        <v>1</v>
      </c>
      <c r="G1815" s="70">
        <f t="shared" si="199"/>
        <v>0.85272464167797402</v>
      </c>
      <c r="H1815" s="70">
        <f t="shared" si="200"/>
        <v>0.2</v>
      </c>
      <c r="I1815" s="70">
        <f t="shared" si="201"/>
        <v>0</v>
      </c>
      <c r="J1815" s="70">
        <f t="shared" si="202"/>
        <v>0</v>
      </c>
      <c r="K1815" s="70">
        <f>IF(CurrentMtgRatesDataTable8[[#This Row],[WA CC]]&lt;&gt;0,C1814-CurrentMtgRatesDataTable8[[#This Row],[WA CC]],0)</f>
        <v>0</v>
      </c>
      <c r="L1815" s="70">
        <f>IF(CurrentMtgRatesDataTable8[[#This Row],[Servicing Spread]]&lt;=0,L1814,CurrentMtgRatesDataTable8[[#This Row],[Servicing Spread]])</f>
        <v>0.5190827020184603</v>
      </c>
      <c r="M1815" s="70">
        <f>CurrentMtgRatesDataTable8[[#This Row],[Servicing Spread Non-Zero]]-L1814</f>
        <v>0</v>
      </c>
      <c r="N1815" s="70">
        <f>IF(J1814&lt;&gt;0,CurrentMtgRatesDataTable8[[#This Row],[Rate]]-C1814,N1814)</f>
        <v>-5.5000000000000604E-2</v>
      </c>
    </row>
    <row r="1816" spans="1:14">
      <c r="A1816" s="67" t="s">
        <v>3168</v>
      </c>
      <c r="B1816" s="68">
        <v>4.24966898318924</v>
      </c>
      <c r="C1816" s="69">
        <v>4.7949999999999999</v>
      </c>
      <c r="D1816" s="70">
        <f t="shared" si="196"/>
        <v>2</v>
      </c>
      <c r="E1816" s="70">
        <f t="shared" si="197"/>
        <v>0.2</v>
      </c>
      <c r="F1816" s="70">
        <f t="shared" si="198"/>
        <v>2</v>
      </c>
      <c r="G1816" s="70">
        <f t="shared" si="199"/>
        <v>1.7026584383158221</v>
      </c>
      <c r="H1816" s="70">
        <f t="shared" si="200"/>
        <v>0.4</v>
      </c>
      <c r="I1816" s="70">
        <f t="shared" si="201"/>
        <v>0</v>
      </c>
      <c r="J1816" s="70">
        <f t="shared" si="202"/>
        <v>0</v>
      </c>
      <c r="K1816" s="70">
        <f>IF(CurrentMtgRatesDataTable8[[#This Row],[WA CC]]&lt;&gt;0,C1815-CurrentMtgRatesDataTable8[[#This Row],[WA CC]],0)</f>
        <v>0</v>
      </c>
      <c r="L1816" s="70">
        <f>IF(CurrentMtgRatesDataTable8[[#This Row],[Servicing Spread]]&lt;=0,L1815,CurrentMtgRatesDataTable8[[#This Row],[Servicing Spread]])</f>
        <v>0.5190827020184603</v>
      </c>
      <c r="M1816" s="70">
        <f>CurrentMtgRatesDataTable8[[#This Row],[Servicing Spread Non-Zero]]-L1815</f>
        <v>0</v>
      </c>
      <c r="N1816" s="70">
        <f>IF(J1815&lt;&gt;0,CurrentMtgRatesDataTable8[[#This Row],[Rate]]-C1815,N1815)</f>
        <v>-5.5000000000000604E-2</v>
      </c>
    </row>
    <row r="1817" spans="1:14">
      <c r="A1817" s="67" t="s">
        <v>3169</v>
      </c>
      <c r="B1817" s="68">
        <v>4.23083224039922</v>
      </c>
      <c r="C1817" s="69">
        <v>4.7949999999999999</v>
      </c>
      <c r="D1817" s="70">
        <f t="shared" si="196"/>
        <v>5</v>
      </c>
      <c r="E1817" s="70">
        <f t="shared" si="197"/>
        <v>0.2</v>
      </c>
      <c r="F1817" s="70">
        <f t="shared" si="198"/>
        <v>3</v>
      </c>
      <c r="G1817" s="70">
        <f t="shared" si="199"/>
        <v>2.548824886395666</v>
      </c>
      <c r="H1817" s="70">
        <f t="shared" si="200"/>
        <v>0.60000000000000009</v>
      </c>
      <c r="I1817" s="70">
        <f t="shared" si="201"/>
        <v>0</v>
      </c>
      <c r="J1817" s="70">
        <f t="shared" si="202"/>
        <v>0</v>
      </c>
      <c r="K1817" s="70">
        <f>IF(CurrentMtgRatesDataTable8[[#This Row],[WA CC]]&lt;&gt;0,C1816-CurrentMtgRatesDataTable8[[#This Row],[WA CC]],0)</f>
        <v>0</v>
      </c>
      <c r="L1817" s="70">
        <f>IF(CurrentMtgRatesDataTable8[[#This Row],[Servicing Spread]]&lt;=0,L1816,CurrentMtgRatesDataTable8[[#This Row],[Servicing Spread]])</f>
        <v>0.5190827020184603</v>
      </c>
      <c r="M1817" s="70">
        <f>CurrentMtgRatesDataTable8[[#This Row],[Servicing Spread Non-Zero]]-L1816</f>
        <v>0</v>
      </c>
      <c r="N1817" s="70">
        <f>IF(J1816&lt;&gt;0,CurrentMtgRatesDataTable8[[#This Row],[Rate]]-C1816,N1816)</f>
        <v>-5.5000000000000604E-2</v>
      </c>
    </row>
    <row r="1818" spans="1:14">
      <c r="A1818" s="67" t="s">
        <v>3170</v>
      </c>
      <c r="B1818" s="68">
        <v>4.2366916114708397</v>
      </c>
      <c r="C1818" s="69">
        <v>4.7949999999999999</v>
      </c>
      <c r="D1818" s="70">
        <f t="shared" si="196"/>
        <v>6</v>
      </c>
      <c r="E1818" s="70">
        <f t="shared" si="197"/>
        <v>0.2</v>
      </c>
      <c r="F1818" s="70">
        <f t="shared" si="198"/>
        <v>4</v>
      </c>
      <c r="G1818" s="70">
        <f t="shared" si="199"/>
        <v>3.3961632086898339</v>
      </c>
      <c r="H1818" s="70">
        <f t="shared" si="200"/>
        <v>0.8</v>
      </c>
      <c r="I1818" s="70">
        <f t="shared" si="201"/>
        <v>0</v>
      </c>
      <c r="J1818" s="70">
        <f t="shared" si="202"/>
        <v>0</v>
      </c>
      <c r="K1818" s="70">
        <f>IF(CurrentMtgRatesDataTable8[[#This Row],[WA CC]]&lt;&gt;0,C1817-CurrentMtgRatesDataTable8[[#This Row],[WA CC]],0)</f>
        <v>0</v>
      </c>
      <c r="L1818" s="70">
        <f>IF(CurrentMtgRatesDataTable8[[#This Row],[Servicing Spread]]&lt;=0,L1817,CurrentMtgRatesDataTable8[[#This Row],[Servicing Spread]])</f>
        <v>0.5190827020184603</v>
      </c>
      <c r="M1818" s="70">
        <f>CurrentMtgRatesDataTable8[[#This Row],[Servicing Spread Non-Zero]]-L1817</f>
        <v>0</v>
      </c>
      <c r="N1818" s="70">
        <f>IF(J1817&lt;&gt;0,CurrentMtgRatesDataTable8[[#This Row],[Rate]]-C1817,N1817)</f>
        <v>-5.5000000000000604E-2</v>
      </c>
    </row>
    <row r="1819" spans="1:14">
      <c r="A1819" s="67" t="s">
        <v>3171</v>
      </c>
      <c r="B1819" s="68">
        <v>4.2791501508107297</v>
      </c>
      <c r="C1819" s="69">
        <v>4.7949999999999999</v>
      </c>
      <c r="D1819" s="70">
        <f t="shared" si="196"/>
        <v>7</v>
      </c>
      <c r="E1819" s="70">
        <f t="shared" si="197"/>
        <v>0.2</v>
      </c>
      <c r="F1819" s="70">
        <f t="shared" si="198"/>
        <v>5</v>
      </c>
      <c r="G1819" s="70">
        <f t="shared" si="199"/>
        <v>4.2519932388519797</v>
      </c>
      <c r="H1819" s="70">
        <f t="shared" si="200"/>
        <v>1</v>
      </c>
      <c r="I1819" s="70">
        <f t="shared" si="201"/>
        <v>1</v>
      </c>
      <c r="J1819" s="70">
        <f t="shared" si="202"/>
        <v>4.2519932388519797</v>
      </c>
      <c r="K1819" s="70">
        <f>IF(CurrentMtgRatesDataTable8[[#This Row],[WA CC]]&lt;&gt;0,C1818-CurrentMtgRatesDataTable8[[#This Row],[WA CC]],0)</f>
        <v>0.54300676114802027</v>
      </c>
      <c r="L1819" s="70">
        <f>IF(CurrentMtgRatesDataTable8[[#This Row],[Servicing Spread]]&lt;=0,L1818,CurrentMtgRatesDataTable8[[#This Row],[Servicing Spread]])</f>
        <v>0.54300676114802027</v>
      </c>
      <c r="M1819" s="70">
        <f>CurrentMtgRatesDataTable8[[#This Row],[Servicing Spread Non-Zero]]-L1818</f>
        <v>2.3924059129559971E-2</v>
      </c>
      <c r="N1819" s="70">
        <f>IF(J1818&lt;&gt;0,CurrentMtgRatesDataTable8[[#This Row],[Rate]]-C1818,N1818)</f>
        <v>-5.5000000000000604E-2</v>
      </c>
    </row>
    <row r="1820" spans="1:14">
      <c r="A1820" s="67" t="s">
        <v>3172</v>
      </c>
      <c r="B1820" s="68">
        <v>4.3559011648520096</v>
      </c>
      <c r="C1820" s="69">
        <v>4.8049999999999997</v>
      </c>
      <c r="D1820" s="70">
        <f t="shared" si="196"/>
        <v>1</v>
      </c>
      <c r="E1820" s="70">
        <f t="shared" si="197"/>
        <v>0.2</v>
      </c>
      <c r="F1820" s="70">
        <f t="shared" si="198"/>
        <v>1</v>
      </c>
      <c r="G1820" s="70">
        <f t="shared" si="199"/>
        <v>0.87118023297040192</v>
      </c>
      <c r="H1820" s="70">
        <f t="shared" si="200"/>
        <v>0.2</v>
      </c>
      <c r="I1820" s="70">
        <f t="shared" si="201"/>
        <v>0</v>
      </c>
      <c r="J1820" s="70">
        <f t="shared" si="202"/>
        <v>0</v>
      </c>
      <c r="K1820" s="70">
        <f>IF(CurrentMtgRatesDataTable8[[#This Row],[WA CC]]&lt;&gt;0,C1819-CurrentMtgRatesDataTable8[[#This Row],[WA CC]],0)</f>
        <v>0</v>
      </c>
      <c r="L1820" s="70">
        <f>IF(CurrentMtgRatesDataTable8[[#This Row],[Servicing Spread]]&lt;=0,L1819,CurrentMtgRatesDataTable8[[#This Row],[Servicing Spread]])</f>
        <v>0.54300676114802027</v>
      </c>
      <c r="M1820" s="70">
        <f>CurrentMtgRatesDataTable8[[#This Row],[Servicing Spread Non-Zero]]-L1819</f>
        <v>0</v>
      </c>
      <c r="N1820" s="70">
        <f>IF(J1819&lt;&gt;0,CurrentMtgRatesDataTable8[[#This Row],[Rate]]-C1819,N1819)</f>
        <v>9.9999999999997868E-3</v>
      </c>
    </row>
    <row r="1821" spans="1:14">
      <c r="A1821" s="67" t="s">
        <v>3173</v>
      </c>
      <c r="B1821" s="68">
        <v>4.2658188568583704</v>
      </c>
      <c r="C1821" s="69">
        <v>4.8049999999999997</v>
      </c>
      <c r="D1821" s="70">
        <f t="shared" si="196"/>
        <v>2</v>
      </c>
      <c r="E1821" s="70">
        <f t="shared" si="197"/>
        <v>0.2</v>
      </c>
      <c r="F1821" s="70">
        <f t="shared" si="198"/>
        <v>2</v>
      </c>
      <c r="G1821" s="70">
        <f t="shared" si="199"/>
        <v>1.7243440043420759</v>
      </c>
      <c r="H1821" s="70">
        <f t="shared" si="200"/>
        <v>0.4</v>
      </c>
      <c r="I1821" s="70">
        <f t="shared" si="201"/>
        <v>0</v>
      </c>
      <c r="J1821" s="70">
        <f t="shared" si="202"/>
        <v>0</v>
      </c>
      <c r="K1821" s="70">
        <f>IF(CurrentMtgRatesDataTable8[[#This Row],[WA CC]]&lt;&gt;0,C1820-CurrentMtgRatesDataTable8[[#This Row],[WA CC]],0)</f>
        <v>0</v>
      </c>
      <c r="L1821" s="70">
        <f>IF(CurrentMtgRatesDataTable8[[#This Row],[Servicing Spread]]&lt;=0,L1820,CurrentMtgRatesDataTable8[[#This Row],[Servicing Spread]])</f>
        <v>0.54300676114802027</v>
      </c>
      <c r="M1821" s="70">
        <f>CurrentMtgRatesDataTable8[[#This Row],[Servicing Spread Non-Zero]]-L1820</f>
        <v>0</v>
      </c>
      <c r="N1821" s="70">
        <f>IF(J1820&lt;&gt;0,CurrentMtgRatesDataTable8[[#This Row],[Rate]]-C1820,N1820)</f>
        <v>9.9999999999997868E-3</v>
      </c>
    </row>
    <row r="1822" spans="1:14">
      <c r="A1822" s="67" t="s">
        <v>3174</v>
      </c>
      <c r="B1822" s="68">
        <v>4.2757251655325801</v>
      </c>
      <c r="C1822" s="69">
        <v>4.8049999999999997</v>
      </c>
      <c r="D1822" s="70">
        <f t="shared" si="196"/>
        <v>5</v>
      </c>
      <c r="E1822" s="70">
        <f t="shared" si="197"/>
        <v>0.2</v>
      </c>
      <c r="F1822" s="70">
        <f t="shared" si="198"/>
        <v>3</v>
      </c>
      <c r="G1822" s="70">
        <f t="shared" si="199"/>
        <v>2.5794890374485919</v>
      </c>
      <c r="H1822" s="70">
        <f t="shared" si="200"/>
        <v>0.60000000000000009</v>
      </c>
      <c r="I1822" s="70">
        <f t="shared" si="201"/>
        <v>0</v>
      </c>
      <c r="J1822" s="70">
        <f t="shared" si="202"/>
        <v>0</v>
      </c>
      <c r="K1822" s="70">
        <f>IF(CurrentMtgRatesDataTable8[[#This Row],[WA CC]]&lt;&gt;0,C1821-CurrentMtgRatesDataTable8[[#This Row],[WA CC]],0)</f>
        <v>0</v>
      </c>
      <c r="L1822" s="70">
        <f>IF(CurrentMtgRatesDataTable8[[#This Row],[Servicing Spread]]&lt;=0,L1821,CurrentMtgRatesDataTable8[[#This Row],[Servicing Spread]])</f>
        <v>0.54300676114802027</v>
      </c>
      <c r="M1822" s="70">
        <f>CurrentMtgRatesDataTable8[[#This Row],[Servicing Spread Non-Zero]]-L1821</f>
        <v>0</v>
      </c>
      <c r="N1822" s="70">
        <f>IF(J1821&lt;&gt;0,CurrentMtgRatesDataTable8[[#This Row],[Rate]]-C1821,N1821)</f>
        <v>9.9999999999997868E-3</v>
      </c>
    </row>
    <row r="1823" spans="1:14">
      <c r="A1823" s="67" t="s">
        <v>3175</v>
      </c>
      <c r="B1823" s="68">
        <v>4.3121099537916301</v>
      </c>
      <c r="C1823" s="69">
        <v>4.8049999999999997</v>
      </c>
      <c r="D1823" s="70">
        <f t="shared" si="196"/>
        <v>6</v>
      </c>
      <c r="E1823" s="70">
        <f t="shared" si="197"/>
        <v>0.2</v>
      </c>
      <c r="F1823" s="70">
        <f t="shared" si="198"/>
        <v>4</v>
      </c>
      <c r="G1823" s="70">
        <f t="shared" si="199"/>
        <v>3.4419110282069179</v>
      </c>
      <c r="H1823" s="70">
        <f t="shared" si="200"/>
        <v>0.8</v>
      </c>
      <c r="I1823" s="70">
        <f t="shared" si="201"/>
        <v>0</v>
      </c>
      <c r="J1823" s="70">
        <f t="shared" si="202"/>
        <v>0</v>
      </c>
      <c r="K1823" s="70">
        <f>IF(CurrentMtgRatesDataTable8[[#This Row],[WA CC]]&lt;&gt;0,C1822-CurrentMtgRatesDataTable8[[#This Row],[WA CC]],0)</f>
        <v>0</v>
      </c>
      <c r="L1823" s="70">
        <f>IF(CurrentMtgRatesDataTable8[[#This Row],[Servicing Spread]]&lt;=0,L1822,CurrentMtgRatesDataTable8[[#This Row],[Servicing Spread]])</f>
        <v>0.54300676114802027</v>
      </c>
      <c r="M1823" s="70">
        <f>CurrentMtgRatesDataTable8[[#This Row],[Servicing Spread Non-Zero]]-L1822</f>
        <v>0</v>
      </c>
      <c r="N1823" s="70">
        <f>IF(J1822&lt;&gt;0,CurrentMtgRatesDataTable8[[#This Row],[Rate]]-C1822,N1822)</f>
        <v>9.9999999999997868E-3</v>
      </c>
    </row>
    <row r="1824" spans="1:14">
      <c r="A1824" s="67" t="s">
        <v>3176</v>
      </c>
      <c r="B1824" s="68">
        <v>4.2484409490171098</v>
      </c>
      <c r="C1824" s="69">
        <v>4.8049999999999997</v>
      </c>
      <c r="D1824" s="70">
        <f t="shared" si="196"/>
        <v>7</v>
      </c>
      <c r="E1824" s="70">
        <f t="shared" si="197"/>
        <v>0.2</v>
      </c>
      <c r="F1824" s="70">
        <f t="shared" si="198"/>
        <v>5</v>
      </c>
      <c r="G1824" s="70">
        <f t="shared" si="199"/>
        <v>4.2915992180103402</v>
      </c>
      <c r="H1824" s="70">
        <f t="shared" si="200"/>
        <v>1</v>
      </c>
      <c r="I1824" s="70">
        <f t="shared" si="201"/>
        <v>1</v>
      </c>
      <c r="J1824" s="70">
        <f t="shared" si="202"/>
        <v>4.2915992180103402</v>
      </c>
      <c r="K1824" s="70">
        <f>IF(CurrentMtgRatesDataTable8[[#This Row],[WA CC]]&lt;&gt;0,C1823-CurrentMtgRatesDataTable8[[#This Row],[WA CC]],0)</f>
        <v>0.51340078198965955</v>
      </c>
      <c r="L1824" s="70">
        <f>IF(CurrentMtgRatesDataTable8[[#This Row],[Servicing Spread]]&lt;=0,L1823,CurrentMtgRatesDataTable8[[#This Row],[Servicing Spread]])</f>
        <v>0.51340078198965955</v>
      </c>
      <c r="M1824" s="70">
        <f>CurrentMtgRatesDataTable8[[#This Row],[Servicing Spread Non-Zero]]-L1823</f>
        <v>-2.9605979158360718E-2</v>
      </c>
      <c r="N1824" s="70">
        <f>IF(J1823&lt;&gt;0,CurrentMtgRatesDataTable8[[#This Row],[Rate]]-C1823,N1823)</f>
        <v>9.9999999999997868E-3</v>
      </c>
    </row>
    <row r="1825" spans="1:14">
      <c r="A1825" s="67" t="s">
        <v>3177</v>
      </c>
      <c r="B1825" s="68">
        <v>4.1984052857638501</v>
      </c>
      <c r="C1825" s="69">
        <v>4.6849999999999996</v>
      </c>
      <c r="D1825" s="70">
        <f t="shared" si="196"/>
        <v>1</v>
      </c>
      <c r="E1825" s="70">
        <f t="shared" si="197"/>
        <v>0.2</v>
      </c>
      <c r="F1825" s="70">
        <f t="shared" si="198"/>
        <v>1</v>
      </c>
      <c r="G1825" s="70">
        <f t="shared" si="199"/>
        <v>0.83968105715277008</v>
      </c>
      <c r="H1825" s="70">
        <f t="shared" si="200"/>
        <v>0.2</v>
      </c>
      <c r="I1825" s="70">
        <f t="shared" si="201"/>
        <v>0</v>
      </c>
      <c r="J1825" s="70">
        <f t="shared" si="202"/>
        <v>0</v>
      </c>
      <c r="K1825" s="70">
        <f>IF(CurrentMtgRatesDataTable8[[#This Row],[WA CC]]&lt;&gt;0,C1824-CurrentMtgRatesDataTable8[[#This Row],[WA CC]],0)</f>
        <v>0</v>
      </c>
      <c r="L1825" s="70">
        <f>IF(CurrentMtgRatesDataTable8[[#This Row],[Servicing Spread]]&lt;=0,L1824,CurrentMtgRatesDataTable8[[#This Row],[Servicing Spread]])</f>
        <v>0.51340078198965955</v>
      </c>
      <c r="M1825" s="70">
        <f>CurrentMtgRatesDataTable8[[#This Row],[Servicing Spread Non-Zero]]-L1824</f>
        <v>0</v>
      </c>
      <c r="N1825" s="70">
        <f>IF(J1824&lt;&gt;0,CurrentMtgRatesDataTable8[[#This Row],[Rate]]-C1824,N1824)</f>
        <v>-0.12000000000000011</v>
      </c>
    </row>
    <row r="1826" spans="1:14">
      <c r="A1826" s="67" t="s">
        <v>3178</v>
      </c>
      <c r="B1826" s="68">
        <v>4.2139949993879302</v>
      </c>
      <c r="C1826" s="69">
        <v>4.6849999999999996</v>
      </c>
      <c r="D1826" s="70">
        <f t="shared" si="196"/>
        <v>2</v>
      </c>
      <c r="E1826" s="70">
        <f t="shared" si="197"/>
        <v>0.2</v>
      </c>
      <c r="F1826" s="70">
        <f t="shared" si="198"/>
        <v>2</v>
      </c>
      <c r="G1826" s="70">
        <f t="shared" si="199"/>
        <v>1.6824800570303562</v>
      </c>
      <c r="H1826" s="70">
        <f t="shared" si="200"/>
        <v>0.4</v>
      </c>
      <c r="I1826" s="70">
        <f t="shared" si="201"/>
        <v>0</v>
      </c>
      <c r="J1826" s="70">
        <f t="shared" si="202"/>
        <v>0</v>
      </c>
      <c r="K1826" s="70">
        <f>IF(CurrentMtgRatesDataTable8[[#This Row],[WA CC]]&lt;&gt;0,C1825-CurrentMtgRatesDataTable8[[#This Row],[WA CC]],0)</f>
        <v>0</v>
      </c>
      <c r="L1826" s="70">
        <f>IF(CurrentMtgRatesDataTable8[[#This Row],[Servicing Spread]]&lt;=0,L1825,CurrentMtgRatesDataTable8[[#This Row],[Servicing Spread]])</f>
        <v>0.51340078198965955</v>
      </c>
      <c r="M1826" s="70">
        <f>CurrentMtgRatesDataTable8[[#This Row],[Servicing Spread Non-Zero]]-L1825</f>
        <v>0</v>
      </c>
      <c r="N1826" s="70">
        <f>IF(J1825&lt;&gt;0,CurrentMtgRatesDataTable8[[#This Row],[Rate]]-C1825,N1825)</f>
        <v>-0.12000000000000011</v>
      </c>
    </row>
    <row r="1827" spans="1:14">
      <c r="A1827" s="67" t="s">
        <v>3179</v>
      </c>
      <c r="B1827" s="68">
        <v>4.1795306518075401</v>
      </c>
      <c r="C1827" s="69">
        <v>4.6849999999999996</v>
      </c>
      <c r="D1827" s="70">
        <f t="shared" si="196"/>
        <v>5</v>
      </c>
      <c r="E1827" s="70">
        <f t="shared" si="197"/>
        <v>0.2</v>
      </c>
      <c r="F1827" s="70">
        <f t="shared" si="198"/>
        <v>3</v>
      </c>
      <c r="G1827" s="70">
        <f t="shared" si="199"/>
        <v>2.5183861873918643</v>
      </c>
      <c r="H1827" s="70">
        <f t="shared" si="200"/>
        <v>0.60000000000000009</v>
      </c>
      <c r="I1827" s="70">
        <f t="shared" si="201"/>
        <v>0</v>
      </c>
      <c r="J1827" s="70">
        <f t="shared" si="202"/>
        <v>0</v>
      </c>
      <c r="K1827" s="70">
        <f>IF(CurrentMtgRatesDataTable8[[#This Row],[WA CC]]&lt;&gt;0,C1826-CurrentMtgRatesDataTable8[[#This Row],[WA CC]],0)</f>
        <v>0</v>
      </c>
      <c r="L1827" s="70">
        <f>IF(CurrentMtgRatesDataTable8[[#This Row],[Servicing Spread]]&lt;=0,L1826,CurrentMtgRatesDataTable8[[#This Row],[Servicing Spread]])</f>
        <v>0.51340078198965955</v>
      </c>
      <c r="M1827" s="70">
        <f>CurrentMtgRatesDataTable8[[#This Row],[Servicing Spread Non-Zero]]-L1826</f>
        <v>0</v>
      </c>
      <c r="N1827" s="70">
        <f>IF(J1826&lt;&gt;0,CurrentMtgRatesDataTable8[[#This Row],[Rate]]-C1826,N1826)</f>
        <v>-0.12000000000000011</v>
      </c>
    </row>
    <row r="1828" spans="1:14">
      <c r="A1828" s="67" t="s">
        <v>3180</v>
      </c>
      <c r="B1828" s="68">
        <v>4.1729690002093802</v>
      </c>
      <c r="C1828" s="69">
        <v>4.6849999999999996</v>
      </c>
      <c r="D1828" s="70">
        <f t="shared" si="196"/>
        <v>6</v>
      </c>
      <c r="E1828" s="70">
        <f t="shared" si="197"/>
        <v>0.2</v>
      </c>
      <c r="F1828" s="70">
        <f t="shared" si="198"/>
        <v>4</v>
      </c>
      <c r="G1828" s="70">
        <f t="shared" si="199"/>
        <v>3.3529799874337405</v>
      </c>
      <c r="H1828" s="70">
        <f t="shared" si="200"/>
        <v>0.8</v>
      </c>
      <c r="I1828" s="70">
        <f t="shared" si="201"/>
        <v>0</v>
      </c>
      <c r="J1828" s="70">
        <f t="shared" si="202"/>
        <v>0</v>
      </c>
      <c r="K1828" s="70">
        <f>IF(CurrentMtgRatesDataTable8[[#This Row],[WA CC]]&lt;&gt;0,C1827-CurrentMtgRatesDataTable8[[#This Row],[WA CC]],0)</f>
        <v>0</v>
      </c>
      <c r="L1828" s="70">
        <f>IF(CurrentMtgRatesDataTable8[[#This Row],[Servicing Spread]]&lt;=0,L1827,CurrentMtgRatesDataTable8[[#This Row],[Servicing Spread]])</f>
        <v>0.51340078198965955</v>
      </c>
      <c r="M1828" s="70">
        <f>CurrentMtgRatesDataTable8[[#This Row],[Servicing Spread Non-Zero]]-L1827</f>
        <v>0</v>
      </c>
      <c r="N1828" s="70">
        <f>IF(J1827&lt;&gt;0,CurrentMtgRatesDataTable8[[#This Row],[Rate]]-C1827,N1827)</f>
        <v>-0.12000000000000011</v>
      </c>
    </row>
    <row r="1829" spans="1:14">
      <c r="A1829" s="67" t="s">
        <v>3181</v>
      </c>
      <c r="B1829" s="68">
        <v>4.0816167711617402</v>
      </c>
      <c r="C1829" s="69">
        <v>4.6849999999999996</v>
      </c>
      <c r="D1829" s="70">
        <f t="shared" si="196"/>
        <v>7</v>
      </c>
      <c r="E1829" s="70">
        <f t="shared" si="197"/>
        <v>0.2</v>
      </c>
      <c r="F1829" s="70">
        <f t="shared" si="198"/>
        <v>5</v>
      </c>
      <c r="G1829" s="70">
        <f t="shared" si="199"/>
        <v>4.1693033416660885</v>
      </c>
      <c r="H1829" s="70">
        <f t="shared" si="200"/>
        <v>1</v>
      </c>
      <c r="I1829" s="70">
        <f t="shared" si="201"/>
        <v>1</v>
      </c>
      <c r="J1829" s="70">
        <f t="shared" si="202"/>
        <v>4.1693033416660885</v>
      </c>
      <c r="K1829" s="70">
        <f>IF(CurrentMtgRatesDataTable8[[#This Row],[WA CC]]&lt;&gt;0,C1828-CurrentMtgRatesDataTable8[[#This Row],[WA CC]],0)</f>
        <v>0.5156966583339111</v>
      </c>
      <c r="L1829" s="70">
        <f>IF(CurrentMtgRatesDataTable8[[#This Row],[Servicing Spread]]&lt;=0,L1828,CurrentMtgRatesDataTable8[[#This Row],[Servicing Spread]])</f>
        <v>0.5156966583339111</v>
      </c>
      <c r="M1829" s="70">
        <f>CurrentMtgRatesDataTable8[[#This Row],[Servicing Spread Non-Zero]]-L1828</f>
        <v>2.2958763442515462E-3</v>
      </c>
      <c r="N1829" s="70">
        <f>IF(J1828&lt;&gt;0,CurrentMtgRatesDataTable8[[#This Row],[Rate]]-C1828,N1828)</f>
        <v>-0.12000000000000011</v>
      </c>
    </row>
    <row r="1830" spans="1:14">
      <c r="A1830" s="67" t="s">
        <v>3182</v>
      </c>
      <c r="B1830" s="68">
        <v>4.1072423459751501</v>
      </c>
      <c r="C1830" s="69">
        <v>4.7349999999999994</v>
      </c>
      <c r="D1830" s="70">
        <f t="shared" si="196"/>
        <v>1</v>
      </c>
      <c r="E1830" s="70">
        <f t="shared" si="197"/>
        <v>0.2</v>
      </c>
      <c r="F1830" s="70">
        <f t="shared" si="198"/>
        <v>1</v>
      </c>
      <c r="G1830" s="70">
        <f t="shared" si="199"/>
        <v>0.82144846919503012</v>
      </c>
      <c r="H1830" s="70">
        <f t="shared" si="200"/>
        <v>0.2</v>
      </c>
      <c r="I1830" s="70">
        <f t="shared" si="201"/>
        <v>0</v>
      </c>
      <c r="J1830" s="70">
        <f t="shared" si="202"/>
        <v>0</v>
      </c>
      <c r="K1830" s="70">
        <f>IF(CurrentMtgRatesDataTable8[[#This Row],[WA CC]]&lt;&gt;0,C1829-CurrentMtgRatesDataTable8[[#This Row],[WA CC]],0)</f>
        <v>0</v>
      </c>
      <c r="L1830" s="70">
        <f>IF(CurrentMtgRatesDataTable8[[#This Row],[Servicing Spread]]&lt;=0,L1829,CurrentMtgRatesDataTable8[[#This Row],[Servicing Spread]])</f>
        <v>0.5156966583339111</v>
      </c>
      <c r="M1830" s="70">
        <f>CurrentMtgRatesDataTable8[[#This Row],[Servicing Spread Non-Zero]]-L1829</f>
        <v>0</v>
      </c>
      <c r="N1830" s="70">
        <f>IF(J1829&lt;&gt;0,CurrentMtgRatesDataTable8[[#This Row],[Rate]]-C1829,N1829)</f>
        <v>4.9999999999999822E-2</v>
      </c>
    </row>
    <row r="1831" spans="1:14">
      <c r="A1831" s="67" t="s">
        <v>3183</v>
      </c>
      <c r="B1831" s="68">
        <v>4.1111783880134496</v>
      </c>
      <c r="C1831" s="69">
        <v>4.7349999999999994</v>
      </c>
      <c r="D1831" s="70">
        <f t="shared" si="196"/>
        <v>2</v>
      </c>
      <c r="E1831" s="70">
        <f t="shared" si="197"/>
        <v>0.2</v>
      </c>
      <c r="F1831" s="70">
        <f t="shared" si="198"/>
        <v>2</v>
      </c>
      <c r="G1831" s="70">
        <f t="shared" si="199"/>
        <v>1.6436841467977201</v>
      </c>
      <c r="H1831" s="70">
        <f t="shared" si="200"/>
        <v>0.4</v>
      </c>
      <c r="I1831" s="70">
        <f t="shared" si="201"/>
        <v>0</v>
      </c>
      <c r="J1831" s="70">
        <f t="shared" si="202"/>
        <v>0</v>
      </c>
      <c r="K1831" s="70">
        <f>IF(CurrentMtgRatesDataTable8[[#This Row],[WA CC]]&lt;&gt;0,C1830-CurrentMtgRatesDataTable8[[#This Row],[WA CC]],0)</f>
        <v>0</v>
      </c>
      <c r="L1831" s="70">
        <f>IF(CurrentMtgRatesDataTable8[[#This Row],[Servicing Spread]]&lt;=0,L1830,CurrentMtgRatesDataTable8[[#This Row],[Servicing Spread]])</f>
        <v>0.5156966583339111</v>
      </c>
      <c r="M1831" s="70">
        <f>CurrentMtgRatesDataTable8[[#This Row],[Servicing Spread Non-Zero]]-L1830</f>
        <v>0</v>
      </c>
      <c r="N1831" s="70">
        <f>IF(J1830&lt;&gt;0,CurrentMtgRatesDataTable8[[#This Row],[Rate]]-C1830,N1830)</f>
        <v>4.9999999999999822E-2</v>
      </c>
    </row>
    <row r="1832" spans="1:14">
      <c r="A1832" s="67" t="s">
        <v>3184</v>
      </c>
      <c r="B1832" s="68">
        <v>4.1633848417706298</v>
      </c>
      <c r="C1832" s="69">
        <v>4.7349999999999994</v>
      </c>
      <c r="D1832" s="70">
        <f t="shared" si="196"/>
        <v>5</v>
      </c>
      <c r="E1832" s="70">
        <f t="shared" si="197"/>
        <v>0.2</v>
      </c>
      <c r="F1832" s="70">
        <f t="shared" si="198"/>
        <v>3</v>
      </c>
      <c r="G1832" s="70">
        <f t="shared" si="199"/>
        <v>2.4763611151518461</v>
      </c>
      <c r="H1832" s="70">
        <f t="shared" si="200"/>
        <v>0.60000000000000009</v>
      </c>
      <c r="I1832" s="70">
        <f t="shared" si="201"/>
        <v>0</v>
      </c>
      <c r="J1832" s="70">
        <f t="shared" si="202"/>
        <v>0</v>
      </c>
      <c r="K1832" s="70">
        <f>IF(CurrentMtgRatesDataTable8[[#This Row],[WA CC]]&lt;&gt;0,C1831-CurrentMtgRatesDataTable8[[#This Row],[WA CC]],0)</f>
        <v>0</v>
      </c>
      <c r="L1832" s="70">
        <f>IF(CurrentMtgRatesDataTable8[[#This Row],[Servicing Spread]]&lt;=0,L1831,CurrentMtgRatesDataTable8[[#This Row],[Servicing Spread]])</f>
        <v>0.5156966583339111</v>
      </c>
      <c r="M1832" s="70">
        <f>CurrentMtgRatesDataTable8[[#This Row],[Servicing Spread Non-Zero]]-L1831</f>
        <v>0</v>
      </c>
      <c r="N1832" s="70">
        <f>IF(J1831&lt;&gt;0,CurrentMtgRatesDataTable8[[#This Row],[Rate]]-C1831,N1831)</f>
        <v>4.9999999999999822E-2</v>
      </c>
    </row>
    <row r="1833" spans="1:14">
      <c r="A1833" s="67" t="s">
        <v>3185</v>
      </c>
      <c r="B1833" s="68">
        <v>4.1893598629654702</v>
      </c>
      <c r="C1833" s="69">
        <v>4.7349999999999994</v>
      </c>
      <c r="D1833" s="70">
        <f t="shared" si="196"/>
        <v>6</v>
      </c>
      <c r="E1833" s="70">
        <f t="shared" si="197"/>
        <v>0.2</v>
      </c>
      <c r="F1833" s="70">
        <f t="shared" si="198"/>
        <v>4</v>
      </c>
      <c r="G1833" s="70">
        <f t="shared" si="199"/>
        <v>3.31423308774494</v>
      </c>
      <c r="H1833" s="70">
        <f t="shared" si="200"/>
        <v>0.8</v>
      </c>
      <c r="I1833" s="70">
        <f t="shared" si="201"/>
        <v>0</v>
      </c>
      <c r="J1833" s="70">
        <f t="shared" si="202"/>
        <v>0</v>
      </c>
      <c r="K1833" s="70">
        <f>IF(CurrentMtgRatesDataTable8[[#This Row],[WA CC]]&lt;&gt;0,C1832-CurrentMtgRatesDataTable8[[#This Row],[WA CC]],0)</f>
        <v>0</v>
      </c>
      <c r="L1833" s="70">
        <f>IF(CurrentMtgRatesDataTable8[[#This Row],[Servicing Spread]]&lt;=0,L1832,CurrentMtgRatesDataTable8[[#This Row],[Servicing Spread]])</f>
        <v>0.5156966583339111</v>
      </c>
      <c r="M1833" s="70">
        <f>CurrentMtgRatesDataTable8[[#This Row],[Servicing Spread Non-Zero]]-L1832</f>
        <v>0</v>
      </c>
      <c r="N1833" s="70">
        <f>IF(J1832&lt;&gt;0,CurrentMtgRatesDataTable8[[#This Row],[Rate]]-C1832,N1832)</f>
        <v>4.9999999999999822E-2</v>
      </c>
    </row>
    <row r="1834" spans="1:14">
      <c r="A1834" s="67" t="s">
        <v>3186</v>
      </c>
      <c r="B1834" s="68">
        <v>4.2092705664772598</v>
      </c>
      <c r="C1834" s="69">
        <v>4.7349999999999994</v>
      </c>
      <c r="D1834" s="70">
        <f t="shared" si="196"/>
        <v>7</v>
      </c>
      <c r="E1834" s="70">
        <f t="shared" si="197"/>
        <v>0.2</v>
      </c>
      <c r="F1834" s="70">
        <f t="shared" si="198"/>
        <v>5</v>
      </c>
      <c r="G1834" s="70">
        <f t="shared" si="199"/>
        <v>4.1560872010403918</v>
      </c>
      <c r="H1834" s="70">
        <f t="shared" si="200"/>
        <v>1</v>
      </c>
      <c r="I1834" s="70">
        <f t="shared" si="201"/>
        <v>1</v>
      </c>
      <c r="J1834" s="70">
        <f t="shared" si="202"/>
        <v>4.1560872010403918</v>
      </c>
      <c r="K1834" s="70">
        <f>IF(CurrentMtgRatesDataTable8[[#This Row],[WA CC]]&lt;&gt;0,C1833-CurrentMtgRatesDataTable8[[#This Row],[WA CC]],0)</f>
        <v>0.57891279895960768</v>
      </c>
      <c r="L1834" s="70">
        <f>IF(CurrentMtgRatesDataTable8[[#This Row],[Servicing Spread]]&lt;=0,L1833,CurrentMtgRatesDataTable8[[#This Row],[Servicing Spread]])</f>
        <v>0.57891279895960768</v>
      </c>
      <c r="M1834" s="70">
        <f>CurrentMtgRatesDataTable8[[#This Row],[Servicing Spread Non-Zero]]-L1833</f>
        <v>6.3216140625696582E-2</v>
      </c>
      <c r="N1834" s="70">
        <f>IF(J1833&lt;&gt;0,CurrentMtgRatesDataTable8[[#This Row],[Rate]]-C1833,N1833)</f>
        <v>4.9999999999999822E-2</v>
      </c>
    </row>
    <row r="1835" spans="1:14">
      <c r="A1835" s="67" t="s">
        <v>3187</v>
      </c>
      <c r="B1835" s="68">
        <v>4.22853993673895</v>
      </c>
      <c r="C1835" s="69">
        <v>4.7850000000000001</v>
      </c>
      <c r="D1835" s="70">
        <f t="shared" si="196"/>
        <v>1</v>
      </c>
      <c r="E1835" s="70">
        <f t="shared" si="197"/>
        <v>0.2</v>
      </c>
      <c r="F1835" s="70">
        <f t="shared" si="198"/>
        <v>1</v>
      </c>
      <c r="G1835" s="70">
        <f t="shared" si="199"/>
        <v>0.84570798734779007</v>
      </c>
      <c r="H1835" s="70">
        <f t="shared" si="200"/>
        <v>0.2</v>
      </c>
      <c r="I1835" s="70">
        <f t="shared" si="201"/>
        <v>0</v>
      </c>
      <c r="J1835" s="70">
        <f t="shared" si="202"/>
        <v>0</v>
      </c>
      <c r="K1835" s="70">
        <f>IF(CurrentMtgRatesDataTable8[[#This Row],[WA CC]]&lt;&gt;0,C1834-CurrentMtgRatesDataTable8[[#This Row],[WA CC]],0)</f>
        <v>0</v>
      </c>
      <c r="L1835" s="70">
        <f>IF(CurrentMtgRatesDataTable8[[#This Row],[Servicing Spread]]&lt;=0,L1834,CurrentMtgRatesDataTable8[[#This Row],[Servicing Spread]])</f>
        <v>0.57891279895960768</v>
      </c>
      <c r="M1835" s="70">
        <f>CurrentMtgRatesDataTable8[[#This Row],[Servicing Spread Non-Zero]]-L1834</f>
        <v>0</v>
      </c>
      <c r="N1835" s="70">
        <f>IF(J1834&lt;&gt;0,CurrentMtgRatesDataTable8[[#This Row],[Rate]]-C1834,N1834)</f>
        <v>5.0000000000000711E-2</v>
      </c>
    </row>
    <row r="1836" spans="1:14">
      <c r="A1836" s="67" t="s">
        <v>3188</v>
      </c>
      <c r="B1836" s="68">
        <v>4.2607943289152903</v>
      </c>
      <c r="C1836" s="69">
        <v>4.7850000000000001</v>
      </c>
      <c r="D1836" s="70">
        <f t="shared" si="196"/>
        <v>2</v>
      </c>
      <c r="E1836" s="70">
        <f t="shared" si="197"/>
        <v>0.2</v>
      </c>
      <c r="F1836" s="70">
        <f t="shared" si="198"/>
        <v>2</v>
      </c>
      <c r="G1836" s="70">
        <f t="shared" si="199"/>
        <v>1.6978668531308481</v>
      </c>
      <c r="H1836" s="70">
        <f t="shared" si="200"/>
        <v>0.4</v>
      </c>
      <c r="I1836" s="70">
        <f t="shared" si="201"/>
        <v>0</v>
      </c>
      <c r="J1836" s="70">
        <f t="shared" si="202"/>
        <v>0</v>
      </c>
      <c r="K1836" s="70">
        <f>IF(CurrentMtgRatesDataTable8[[#This Row],[WA CC]]&lt;&gt;0,C1835-CurrentMtgRatesDataTable8[[#This Row],[WA CC]],0)</f>
        <v>0</v>
      </c>
      <c r="L1836" s="70">
        <f>IF(CurrentMtgRatesDataTable8[[#This Row],[Servicing Spread]]&lt;=0,L1835,CurrentMtgRatesDataTable8[[#This Row],[Servicing Spread]])</f>
        <v>0.57891279895960768</v>
      </c>
      <c r="M1836" s="70">
        <f>CurrentMtgRatesDataTable8[[#This Row],[Servicing Spread Non-Zero]]-L1835</f>
        <v>0</v>
      </c>
      <c r="N1836" s="70">
        <f>IF(J1835&lt;&gt;0,CurrentMtgRatesDataTable8[[#This Row],[Rate]]-C1835,N1835)</f>
        <v>5.0000000000000711E-2</v>
      </c>
    </row>
    <row r="1837" spans="1:14">
      <c r="A1837" s="67" t="s">
        <v>3189</v>
      </c>
      <c r="B1837" s="68">
        <v>4.2631006281435502</v>
      </c>
      <c r="C1837" s="69">
        <v>4.7850000000000001</v>
      </c>
      <c r="D1837" s="70">
        <f t="shared" si="196"/>
        <v>5</v>
      </c>
      <c r="E1837" s="70">
        <f t="shared" si="197"/>
        <v>0.2</v>
      </c>
      <c r="F1837" s="70">
        <f t="shared" si="198"/>
        <v>3</v>
      </c>
      <c r="G1837" s="70">
        <f t="shared" si="199"/>
        <v>2.5504869787595581</v>
      </c>
      <c r="H1837" s="70">
        <f t="shared" si="200"/>
        <v>0.60000000000000009</v>
      </c>
      <c r="I1837" s="70">
        <f t="shared" si="201"/>
        <v>0</v>
      </c>
      <c r="J1837" s="70">
        <f t="shared" si="202"/>
        <v>0</v>
      </c>
      <c r="K1837" s="70">
        <f>IF(CurrentMtgRatesDataTable8[[#This Row],[WA CC]]&lt;&gt;0,C1836-CurrentMtgRatesDataTable8[[#This Row],[WA CC]],0)</f>
        <v>0</v>
      </c>
      <c r="L1837" s="70">
        <f>IF(CurrentMtgRatesDataTable8[[#This Row],[Servicing Spread]]&lt;=0,L1836,CurrentMtgRatesDataTable8[[#This Row],[Servicing Spread]])</f>
        <v>0.57891279895960768</v>
      </c>
      <c r="M1837" s="70">
        <f>CurrentMtgRatesDataTable8[[#This Row],[Servicing Spread Non-Zero]]-L1836</f>
        <v>0</v>
      </c>
      <c r="N1837" s="70">
        <f>IF(J1836&lt;&gt;0,CurrentMtgRatesDataTable8[[#This Row],[Rate]]-C1836,N1836)</f>
        <v>5.0000000000000711E-2</v>
      </c>
    </row>
    <row r="1838" spans="1:14">
      <c r="A1838" s="67" t="s">
        <v>3190</v>
      </c>
      <c r="B1838" s="68">
        <v>4.3031579691569499</v>
      </c>
      <c r="C1838" s="69">
        <v>4.7850000000000001</v>
      </c>
      <c r="D1838" s="70">
        <f t="shared" si="196"/>
        <v>6</v>
      </c>
      <c r="E1838" s="70">
        <f t="shared" si="197"/>
        <v>0.2</v>
      </c>
      <c r="F1838" s="70">
        <f t="shared" si="198"/>
        <v>4</v>
      </c>
      <c r="G1838" s="70">
        <f t="shared" si="199"/>
        <v>3.4111185725909481</v>
      </c>
      <c r="H1838" s="70">
        <f t="shared" si="200"/>
        <v>0.8</v>
      </c>
      <c r="I1838" s="70">
        <f t="shared" si="201"/>
        <v>0</v>
      </c>
      <c r="J1838" s="70">
        <f t="shared" si="202"/>
        <v>0</v>
      </c>
      <c r="K1838" s="70">
        <f>IF(CurrentMtgRatesDataTable8[[#This Row],[WA CC]]&lt;&gt;0,C1837-CurrentMtgRatesDataTable8[[#This Row],[WA CC]],0)</f>
        <v>0</v>
      </c>
      <c r="L1838" s="70">
        <f>IF(CurrentMtgRatesDataTable8[[#This Row],[Servicing Spread]]&lt;=0,L1837,CurrentMtgRatesDataTable8[[#This Row],[Servicing Spread]])</f>
        <v>0.57891279895960768</v>
      </c>
      <c r="M1838" s="70">
        <f>CurrentMtgRatesDataTable8[[#This Row],[Servicing Spread Non-Zero]]-L1837</f>
        <v>0</v>
      </c>
      <c r="N1838" s="70">
        <f>IF(J1837&lt;&gt;0,CurrentMtgRatesDataTable8[[#This Row],[Rate]]-C1837,N1837)</f>
        <v>5.0000000000000711E-2</v>
      </c>
    </row>
    <row r="1839" spans="1:14">
      <c r="A1839" s="67" t="s">
        <v>3191</v>
      </c>
      <c r="B1839" s="68">
        <v>4.2688327995501503</v>
      </c>
      <c r="C1839" s="69">
        <v>4.7850000000000001</v>
      </c>
      <c r="D1839" s="70">
        <f t="shared" si="196"/>
        <v>7</v>
      </c>
      <c r="E1839" s="70">
        <f t="shared" si="197"/>
        <v>0.2</v>
      </c>
      <c r="F1839" s="70">
        <f t="shared" si="198"/>
        <v>5</v>
      </c>
      <c r="G1839" s="70">
        <f t="shared" si="199"/>
        <v>4.2648851325009787</v>
      </c>
      <c r="H1839" s="70">
        <f t="shared" si="200"/>
        <v>1</v>
      </c>
      <c r="I1839" s="70">
        <f t="shared" si="201"/>
        <v>1</v>
      </c>
      <c r="J1839" s="70">
        <f t="shared" si="202"/>
        <v>4.2648851325009787</v>
      </c>
      <c r="K1839" s="70">
        <f>IF(CurrentMtgRatesDataTable8[[#This Row],[WA CC]]&lt;&gt;0,C1838-CurrentMtgRatesDataTable8[[#This Row],[WA CC]],0)</f>
        <v>0.52011486749902147</v>
      </c>
      <c r="L1839" s="70">
        <f>IF(CurrentMtgRatesDataTable8[[#This Row],[Servicing Spread]]&lt;=0,L1838,CurrentMtgRatesDataTable8[[#This Row],[Servicing Spread]])</f>
        <v>0.52011486749902147</v>
      </c>
      <c r="M1839" s="70">
        <f>CurrentMtgRatesDataTable8[[#This Row],[Servicing Spread Non-Zero]]-L1838</f>
        <v>-5.8797931460586206E-2</v>
      </c>
      <c r="N1839" s="70">
        <f>IF(J1838&lt;&gt;0,CurrentMtgRatesDataTable8[[#This Row],[Rate]]-C1838,N1838)</f>
        <v>5.0000000000000711E-2</v>
      </c>
    </row>
    <row r="1840" spans="1:14">
      <c r="A1840" s="67" t="s">
        <v>3192</v>
      </c>
      <c r="B1840" s="68">
        <v>4.26321220258097</v>
      </c>
      <c r="C1840" s="69">
        <v>4.7949999999999999</v>
      </c>
      <c r="D1840" s="70">
        <f t="shared" si="196"/>
        <v>1</v>
      </c>
      <c r="E1840" s="70">
        <f t="shared" si="197"/>
        <v>0.2</v>
      </c>
      <c r="F1840" s="70">
        <f t="shared" si="198"/>
        <v>1</v>
      </c>
      <c r="G1840" s="70">
        <f t="shared" si="199"/>
        <v>0.85264244051619409</v>
      </c>
      <c r="H1840" s="70">
        <f t="shared" si="200"/>
        <v>0.2</v>
      </c>
      <c r="I1840" s="70">
        <f t="shared" si="201"/>
        <v>0</v>
      </c>
      <c r="J1840" s="70">
        <f t="shared" si="202"/>
        <v>0</v>
      </c>
      <c r="K1840" s="70">
        <f>IF(CurrentMtgRatesDataTable8[[#This Row],[WA CC]]&lt;&gt;0,C1839-CurrentMtgRatesDataTable8[[#This Row],[WA CC]],0)</f>
        <v>0</v>
      </c>
      <c r="L1840" s="70">
        <f>IF(CurrentMtgRatesDataTable8[[#This Row],[Servicing Spread]]&lt;=0,L1839,CurrentMtgRatesDataTable8[[#This Row],[Servicing Spread]])</f>
        <v>0.52011486749902147</v>
      </c>
      <c r="M1840" s="70">
        <f>CurrentMtgRatesDataTable8[[#This Row],[Servicing Spread Non-Zero]]-L1839</f>
        <v>0</v>
      </c>
      <c r="N1840" s="70">
        <f>IF(J1839&lt;&gt;0,CurrentMtgRatesDataTable8[[#This Row],[Rate]]-C1839,N1839)</f>
        <v>9.9999999999997868E-3</v>
      </c>
    </row>
    <row r="1841" spans="1:14">
      <c r="A1841" s="67" t="s">
        <v>3193</v>
      </c>
      <c r="B1841" s="68">
        <v>4.2725182079422597</v>
      </c>
      <c r="C1841" s="69">
        <v>4.7949999999999999</v>
      </c>
      <c r="D1841" s="70">
        <f t="shared" si="196"/>
        <v>2</v>
      </c>
      <c r="E1841" s="70">
        <f t="shared" si="197"/>
        <v>0.2</v>
      </c>
      <c r="F1841" s="70">
        <f t="shared" si="198"/>
        <v>2</v>
      </c>
      <c r="G1841" s="70">
        <f t="shared" si="199"/>
        <v>1.707146082104646</v>
      </c>
      <c r="H1841" s="70">
        <f t="shared" si="200"/>
        <v>0.4</v>
      </c>
      <c r="I1841" s="70">
        <f t="shared" si="201"/>
        <v>0</v>
      </c>
      <c r="J1841" s="70">
        <f t="shared" si="202"/>
        <v>0</v>
      </c>
      <c r="K1841" s="70">
        <f>IF(CurrentMtgRatesDataTable8[[#This Row],[WA CC]]&lt;&gt;0,C1840-CurrentMtgRatesDataTable8[[#This Row],[WA CC]],0)</f>
        <v>0</v>
      </c>
      <c r="L1841" s="70">
        <f>IF(CurrentMtgRatesDataTable8[[#This Row],[Servicing Spread]]&lt;=0,L1840,CurrentMtgRatesDataTable8[[#This Row],[Servicing Spread]])</f>
        <v>0.52011486749902147</v>
      </c>
      <c r="M1841" s="70">
        <f>CurrentMtgRatesDataTable8[[#This Row],[Servicing Spread Non-Zero]]-L1840</f>
        <v>0</v>
      </c>
      <c r="N1841" s="70">
        <f>IF(J1840&lt;&gt;0,CurrentMtgRatesDataTable8[[#This Row],[Rate]]-C1840,N1840)</f>
        <v>9.9999999999997868E-3</v>
      </c>
    </row>
    <row r="1842" spans="1:14">
      <c r="A1842" s="67" t="s">
        <v>3194</v>
      </c>
      <c r="B1842" s="68">
        <v>4.2707131453580098</v>
      </c>
      <c r="C1842" s="69">
        <v>4.7949999999999999</v>
      </c>
      <c r="D1842" s="70">
        <f t="shared" si="196"/>
        <v>5</v>
      </c>
      <c r="E1842" s="70">
        <f t="shared" si="197"/>
        <v>0.2</v>
      </c>
      <c r="F1842" s="70">
        <f t="shared" si="198"/>
        <v>3</v>
      </c>
      <c r="G1842" s="70">
        <f t="shared" si="199"/>
        <v>2.5612887111762479</v>
      </c>
      <c r="H1842" s="70">
        <f t="shared" si="200"/>
        <v>0.60000000000000009</v>
      </c>
      <c r="I1842" s="70">
        <f t="shared" si="201"/>
        <v>0</v>
      </c>
      <c r="J1842" s="70">
        <f t="shared" si="202"/>
        <v>0</v>
      </c>
      <c r="K1842" s="70">
        <f>IF(CurrentMtgRatesDataTable8[[#This Row],[WA CC]]&lt;&gt;0,C1841-CurrentMtgRatesDataTable8[[#This Row],[WA CC]],0)</f>
        <v>0</v>
      </c>
      <c r="L1842" s="70">
        <f>IF(CurrentMtgRatesDataTable8[[#This Row],[Servicing Spread]]&lt;=0,L1841,CurrentMtgRatesDataTable8[[#This Row],[Servicing Spread]])</f>
        <v>0.52011486749902147</v>
      </c>
      <c r="M1842" s="70">
        <f>CurrentMtgRatesDataTable8[[#This Row],[Servicing Spread Non-Zero]]-L1841</f>
        <v>0</v>
      </c>
      <c r="N1842" s="70">
        <f>IF(J1841&lt;&gt;0,CurrentMtgRatesDataTable8[[#This Row],[Rate]]-C1841,N1841)</f>
        <v>9.9999999999997868E-3</v>
      </c>
    </row>
    <row r="1843" spans="1:14">
      <c r="A1843" s="67" t="s">
        <v>3195</v>
      </c>
      <c r="B1843" s="68">
        <v>4.32682935952222</v>
      </c>
      <c r="C1843" s="69">
        <v>4.7949999999999999</v>
      </c>
      <c r="D1843" s="70">
        <f t="shared" si="196"/>
        <v>6</v>
      </c>
      <c r="E1843" s="70">
        <f t="shared" si="197"/>
        <v>0.2</v>
      </c>
      <c r="F1843" s="70">
        <f t="shared" si="198"/>
        <v>4</v>
      </c>
      <c r="G1843" s="70">
        <f t="shared" si="199"/>
        <v>3.4266545830806918</v>
      </c>
      <c r="H1843" s="70">
        <f t="shared" si="200"/>
        <v>0.8</v>
      </c>
      <c r="I1843" s="70">
        <f t="shared" si="201"/>
        <v>0</v>
      </c>
      <c r="J1843" s="70">
        <f t="shared" si="202"/>
        <v>0</v>
      </c>
      <c r="K1843" s="70">
        <f>IF(CurrentMtgRatesDataTable8[[#This Row],[WA CC]]&lt;&gt;0,C1842-CurrentMtgRatesDataTable8[[#This Row],[WA CC]],0)</f>
        <v>0</v>
      </c>
      <c r="L1843" s="70">
        <f>IF(CurrentMtgRatesDataTable8[[#This Row],[Servicing Spread]]&lt;=0,L1842,CurrentMtgRatesDataTable8[[#This Row],[Servicing Spread]])</f>
        <v>0.52011486749902147</v>
      </c>
      <c r="M1843" s="70">
        <f>CurrentMtgRatesDataTable8[[#This Row],[Servicing Spread Non-Zero]]-L1842</f>
        <v>0</v>
      </c>
      <c r="N1843" s="70">
        <f>IF(J1842&lt;&gt;0,CurrentMtgRatesDataTable8[[#This Row],[Rate]]-C1842,N1842)</f>
        <v>9.9999999999997868E-3</v>
      </c>
    </row>
    <row r="1844" spans="1:14">
      <c r="A1844" s="67" t="s">
        <v>3196</v>
      </c>
      <c r="B1844" s="68">
        <v>4.3581821128406304</v>
      </c>
      <c r="C1844" s="69">
        <v>4.7949999999999999</v>
      </c>
      <c r="D1844" s="70">
        <f t="shared" si="196"/>
        <v>7</v>
      </c>
      <c r="E1844" s="70">
        <f t="shared" si="197"/>
        <v>0.2</v>
      </c>
      <c r="F1844" s="70">
        <f t="shared" si="198"/>
        <v>5</v>
      </c>
      <c r="G1844" s="70">
        <f t="shared" si="199"/>
        <v>4.2982910056488182</v>
      </c>
      <c r="H1844" s="70">
        <f t="shared" si="200"/>
        <v>1</v>
      </c>
      <c r="I1844" s="70">
        <f t="shared" si="201"/>
        <v>1</v>
      </c>
      <c r="J1844" s="70">
        <f t="shared" si="202"/>
        <v>4.2982910056488182</v>
      </c>
      <c r="K1844" s="70">
        <f>IF(CurrentMtgRatesDataTable8[[#This Row],[WA CC]]&lt;&gt;0,C1843-CurrentMtgRatesDataTable8[[#This Row],[WA CC]],0)</f>
        <v>0.49670899435118177</v>
      </c>
      <c r="L1844" s="70">
        <f>IF(CurrentMtgRatesDataTable8[[#This Row],[Servicing Spread]]&lt;=0,L1843,CurrentMtgRatesDataTable8[[#This Row],[Servicing Spread]])</f>
        <v>0.49670899435118177</v>
      </c>
      <c r="M1844" s="70">
        <f>CurrentMtgRatesDataTable8[[#This Row],[Servicing Spread Non-Zero]]-L1843</f>
        <v>-2.3405873147839706E-2</v>
      </c>
      <c r="N1844" s="70">
        <f>IF(J1843&lt;&gt;0,CurrentMtgRatesDataTable8[[#This Row],[Rate]]-C1843,N1843)</f>
        <v>9.9999999999997868E-3</v>
      </c>
    </row>
    <row r="1845" spans="1:14">
      <c r="A1845" s="67" t="s">
        <v>3197</v>
      </c>
      <c r="B1845" s="68">
        <v>4.3534210844177004</v>
      </c>
      <c r="C1845" s="69">
        <v>4.8100000000000005</v>
      </c>
      <c r="D1845" s="70">
        <f t="shared" si="196"/>
        <v>1</v>
      </c>
      <c r="E1845" s="70">
        <f t="shared" si="197"/>
        <v>0.2</v>
      </c>
      <c r="F1845" s="70">
        <f t="shared" si="198"/>
        <v>1</v>
      </c>
      <c r="G1845" s="70">
        <f t="shared" si="199"/>
        <v>0.87068421688354014</v>
      </c>
      <c r="H1845" s="70">
        <f t="shared" si="200"/>
        <v>0.2</v>
      </c>
      <c r="I1845" s="70">
        <f t="shared" si="201"/>
        <v>0</v>
      </c>
      <c r="J1845" s="70">
        <f t="shared" si="202"/>
        <v>0</v>
      </c>
      <c r="K1845" s="70">
        <f>IF(CurrentMtgRatesDataTable8[[#This Row],[WA CC]]&lt;&gt;0,C1844-CurrentMtgRatesDataTable8[[#This Row],[WA CC]],0)</f>
        <v>0</v>
      </c>
      <c r="L1845" s="70">
        <f>IF(CurrentMtgRatesDataTable8[[#This Row],[Servicing Spread]]&lt;=0,L1844,CurrentMtgRatesDataTable8[[#This Row],[Servicing Spread]])</f>
        <v>0.49670899435118177</v>
      </c>
      <c r="M1845" s="70">
        <f>CurrentMtgRatesDataTable8[[#This Row],[Servicing Spread Non-Zero]]-L1844</f>
        <v>0</v>
      </c>
      <c r="N1845" s="70">
        <f>IF(J1844&lt;&gt;0,CurrentMtgRatesDataTable8[[#This Row],[Rate]]-C1844,N1844)</f>
        <v>1.5000000000000568E-2</v>
      </c>
    </row>
    <row r="1846" spans="1:14">
      <c r="A1846" s="67" t="s">
        <v>3198</v>
      </c>
      <c r="B1846" s="68">
        <v>4.3622076135317203</v>
      </c>
      <c r="C1846" s="69">
        <v>4.8100000000000005</v>
      </c>
      <c r="D1846" s="70">
        <f t="shared" si="196"/>
        <v>2</v>
      </c>
      <c r="E1846" s="70">
        <f t="shared" si="197"/>
        <v>0.2</v>
      </c>
      <c r="F1846" s="70">
        <f t="shared" si="198"/>
        <v>2</v>
      </c>
      <c r="G1846" s="70">
        <f t="shared" si="199"/>
        <v>1.7431257395898843</v>
      </c>
      <c r="H1846" s="70">
        <f t="shared" si="200"/>
        <v>0.4</v>
      </c>
      <c r="I1846" s="70">
        <f t="shared" si="201"/>
        <v>0</v>
      </c>
      <c r="J1846" s="70">
        <f t="shared" si="202"/>
        <v>0</v>
      </c>
      <c r="K1846" s="70">
        <f>IF(CurrentMtgRatesDataTable8[[#This Row],[WA CC]]&lt;&gt;0,C1845-CurrentMtgRatesDataTable8[[#This Row],[WA CC]],0)</f>
        <v>0</v>
      </c>
      <c r="L1846" s="70">
        <f>IF(CurrentMtgRatesDataTable8[[#This Row],[Servicing Spread]]&lt;=0,L1845,CurrentMtgRatesDataTable8[[#This Row],[Servicing Spread]])</f>
        <v>0.49670899435118177</v>
      </c>
      <c r="M1846" s="70">
        <f>CurrentMtgRatesDataTable8[[#This Row],[Servicing Spread Non-Zero]]-L1845</f>
        <v>0</v>
      </c>
      <c r="N1846" s="70">
        <f>IF(J1845&lt;&gt;0,CurrentMtgRatesDataTable8[[#This Row],[Rate]]-C1845,N1845)</f>
        <v>1.5000000000000568E-2</v>
      </c>
    </row>
    <row r="1847" spans="1:14">
      <c r="A1847" s="67" t="s">
        <v>3199</v>
      </c>
      <c r="B1847" s="68">
        <v>4.3573317351240703</v>
      </c>
      <c r="C1847" s="69">
        <v>4.8100000000000005</v>
      </c>
      <c r="D1847" s="70">
        <f t="shared" si="196"/>
        <v>5</v>
      </c>
      <c r="E1847" s="70">
        <f t="shared" si="197"/>
        <v>0.2</v>
      </c>
      <c r="F1847" s="70">
        <f t="shared" si="198"/>
        <v>3</v>
      </c>
      <c r="G1847" s="70">
        <f t="shared" si="199"/>
        <v>2.6145920866146986</v>
      </c>
      <c r="H1847" s="70">
        <f t="shared" si="200"/>
        <v>0.60000000000000009</v>
      </c>
      <c r="I1847" s="70">
        <f t="shared" si="201"/>
        <v>0</v>
      </c>
      <c r="J1847" s="70">
        <f t="shared" si="202"/>
        <v>0</v>
      </c>
      <c r="K1847" s="70">
        <f>IF(CurrentMtgRatesDataTable8[[#This Row],[WA CC]]&lt;&gt;0,C1846-CurrentMtgRatesDataTable8[[#This Row],[WA CC]],0)</f>
        <v>0</v>
      </c>
      <c r="L1847" s="70">
        <f>IF(CurrentMtgRatesDataTable8[[#This Row],[Servicing Spread]]&lt;=0,L1846,CurrentMtgRatesDataTable8[[#This Row],[Servicing Spread]])</f>
        <v>0.49670899435118177</v>
      </c>
      <c r="M1847" s="70">
        <f>CurrentMtgRatesDataTable8[[#This Row],[Servicing Spread Non-Zero]]-L1846</f>
        <v>0</v>
      </c>
      <c r="N1847" s="70">
        <f>IF(J1846&lt;&gt;0,CurrentMtgRatesDataTable8[[#This Row],[Rate]]-C1846,N1846)</f>
        <v>1.5000000000000568E-2</v>
      </c>
    </row>
    <row r="1848" spans="1:14">
      <c r="A1848" s="67" t="s">
        <v>3200</v>
      </c>
      <c r="B1848" s="68">
        <v>4.30611620618477</v>
      </c>
      <c r="C1848" s="69">
        <v>4.8100000000000005</v>
      </c>
      <c r="D1848" s="70">
        <f t="shared" si="196"/>
        <v>6</v>
      </c>
      <c r="E1848" s="70">
        <f t="shared" si="197"/>
        <v>0.2</v>
      </c>
      <c r="F1848" s="70">
        <f t="shared" si="198"/>
        <v>4</v>
      </c>
      <c r="G1848" s="70">
        <f t="shared" si="199"/>
        <v>3.4758153278516524</v>
      </c>
      <c r="H1848" s="70">
        <f t="shared" si="200"/>
        <v>0.8</v>
      </c>
      <c r="I1848" s="70">
        <f t="shared" si="201"/>
        <v>0</v>
      </c>
      <c r="J1848" s="70">
        <f t="shared" si="202"/>
        <v>0</v>
      </c>
      <c r="K1848" s="70">
        <f>IF(CurrentMtgRatesDataTable8[[#This Row],[WA CC]]&lt;&gt;0,C1847-CurrentMtgRatesDataTable8[[#This Row],[WA CC]],0)</f>
        <v>0</v>
      </c>
      <c r="L1848" s="70">
        <f>IF(CurrentMtgRatesDataTable8[[#This Row],[Servicing Spread]]&lt;=0,L1847,CurrentMtgRatesDataTable8[[#This Row],[Servicing Spread]])</f>
        <v>0.49670899435118177</v>
      </c>
      <c r="M1848" s="70">
        <f>CurrentMtgRatesDataTable8[[#This Row],[Servicing Spread Non-Zero]]-L1847</f>
        <v>0</v>
      </c>
      <c r="N1848" s="70">
        <f>IF(J1847&lt;&gt;0,CurrentMtgRatesDataTable8[[#This Row],[Rate]]-C1847,N1847)</f>
        <v>1.5000000000000568E-2</v>
      </c>
    </row>
    <row r="1849" spans="1:14">
      <c r="A1849" s="67" t="s">
        <v>3201</v>
      </c>
      <c r="B1849" s="68">
        <v>4.2868662030008098</v>
      </c>
      <c r="C1849" s="69">
        <v>4.8100000000000005</v>
      </c>
      <c r="D1849" s="70">
        <f t="shared" si="196"/>
        <v>7</v>
      </c>
      <c r="E1849" s="70">
        <f t="shared" si="197"/>
        <v>0.2</v>
      </c>
      <c r="F1849" s="70">
        <f t="shared" si="198"/>
        <v>5</v>
      </c>
      <c r="G1849" s="70">
        <f t="shared" si="199"/>
        <v>4.3331885684518143</v>
      </c>
      <c r="H1849" s="70">
        <f t="shared" si="200"/>
        <v>1</v>
      </c>
      <c r="I1849" s="70">
        <f t="shared" si="201"/>
        <v>1</v>
      </c>
      <c r="J1849" s="70">
        <f t="shared" si="202"/>
        <v>4.3331885684518143</v>
      </c>
      <c r="K1849" s="70">
        <f>IF(CurrentMtgRatesDataTable8[[#This Row],[WA CC]]&lt;&gt;0,C1848-CurrentMtgRatesDataTable8[[#This Row],[WA CC]],0)</f>
        <v>0.47681143154818617</v>
      </c>
      <c r="L1849" s="70">
        <f>IF(CurrentMtgRatesDataTable8[[#This Row],[Servicing Spread]]&lt;=0,L1848,CurrentMtgRatesDataTable8[[#This Row],[Servicing Spread]])</f>
        <v>0.47681143154818617</v>
      </c>
      <c r="M1849" s="70">
        <f>CurrentMtgRatesDataTable8[[#This Row],[Servicing Spread Non-Zero]]-L1848</f>
        <v>-1.9897562802995594E-2</v>
      </c>
      <c r="N1849" s="70">
        <f>IF(J1848&lt;&gt;0,CurrentMtgRatesDataTable8[[#This Row],[Rate]]-C1848,N1848)</f>
        <v>1.5000000000000568E-2</v>
      </c>
    </row>
    <row r="1850" spans="1:14">
      <c r="A1850" s="67" t="s">
        <v>3202</v>
      </c>
      <c r="B1850" s="68">
        <v>4.2935055694790503</v>
      </c>
      <c r="C1850" s="69">
        <v>4.7249999999999996</v>
      </c>
      <c r="D1850" s="70">
        <f t="shared" si="196"/>
        <v>1</v>
      </c>
      <c r="E1850" s="70">
        <f t="shared" si="197"/>
        <v>0.2</v>
      </c>
      <c r="F1850" s="70">
        <f t="shared" si="198"/>
        <v>1</v>
      </c>
      <c r="G1850" s="70">
        <f t="shared" si="199"/>
        <v>0.85870111389581005</v>
      </c>
      <c r="H1850" s="70">
        <f t="shared" si="200"/>
        <v>0.2</v>
      </c>
      <c r="I1850" s="70">
        <f t="shared" si="201"/>
        <v>0</v>
      </c>
      <c r="J1850" s="70">
        <f t="shared" si="202"/>
        <v>0</v>
      </c>
      <c r="K1850" s="70">
        <f>IF(CurrentMtgRatesDataTable8[[#This Row],[WA CC]]&lt;&gt;0,C1849-CurrentMtgRatesDataTable8[[#This Row],[WA CC]],0)</f>
        <v>0</v>
      </c>
      <c r="L1850" s="70">
        <f>IF(CurrentMtgRatesDataTable8[[#This Row],[Servicing Spread]]&lt;=0,L1849,CurrentMtgRatesDataTable8[[#This Row],[Servicing Spread]])</f>
        <v>0.47681143154818617</v>
      </c>
      <c r="M1850" s="70">
        <f>CurrentMtgRatesDataTable8[[#This Row],[Servicing Spread Non-Zero]]-L1849</f>
        <v>0</v>
      </c>
      <c r="N1850" s="70">
        <f>IF(J1849&lt;&gt;0,CurrentMtgRatesDataTable8[[#This Row],[Rate]]-C1849,N1849)</f>
        <v>-8.5000000000000853E-2</v>
      </c>
    </row>
    <row r="1851" spans="1:14">
      <c r="A1851" s="67" t="s">
        <v>3203</v>
      </c>
      <c r="B1851" s="68">
        <v>4.2253488908248604</v>
      </c>
      <c r="C1851" s="69">
        <v>4.7249999999999996</v>
      </c>
      <c r="D1851" s="70">
        <f t="shared" si="196"/>
        <v>2</v>
      </c>
      <c r="E1851" s="70">
        <f t="shared" si="197"/>
        <v>0.2</v>
      </c>
      <c r="F1851" s="70">
        <f t="shared" si="198"/>
        <v>2</v>
      </c>
      <c r="G1851" s="70">
        <f t="shared" si="199"/>
        <v>1.7037708920607821</v>
      </c>
      <c r="H1851" s="70">
        <f t="shared" si="200"/>
        <v>0.4</v>
      </c>
      <c r="I1851" s="70">
        <f t="shared" si="201"/>
        <v>0</v>
      </c>
      <c r="J1851" s="70">
        <f t="shared" si="202"/>
        <v>0</v>
      </c>
      <c r="K1851" s="70">
        <f>IF(CurrentMtgRatesDataTable8[[#This Row],[WA CC]]&lt;&gt;0,C1850-CurrentMtgRatesDataTable8[[#This Row],[WA CC]],0)</f>
        <v>0</v>
      </c>
      <c r="L1851" s="70">
        <f>IF(CurrentMtgRatesDataTable8[[#This Row],[Servicing Spread]]&lt;=0,L1850,CurrentMtgRatesDataTable8[[#This Row],[Servicing Spread]])</f>
        <v>0.47681143154818617</v>
      </c>
      <c r="M1851" s="70">
        <f>CurrentMtgRatesDataTable8[[#This Row],[Servicing Spread Non-Zero]]-L1850</f>
        <v>0</v>
      </c>
      <c r="N1851" s="70">
        <f>IF(J1850&lt;&gt;0,CurrentMtgRatesDataTable8[[#This Row],[Rate]]-C1850,N1850)</f>
        <v>-8.5000000000000853E-2</v>
      </c>
    </row>
    <row r="1852" spans="1:14">
      <c r="A1852" s="67" t="s">
        <v>3204</v>
      </c>
      <c r="B1852" s="68">
        <v>4.1920950828505896</v>
      </c>
      <c r="C1852" s="69">
        <v>4.7249999999999996</v>
      </c>
      <c r="D1852" s="70">
        <f t="shared" si="196"/>
        <v>5</v>
      </c>
      <c r="E1852" s="70">
        <f t="shared" si="197"/>
        <v>0.2</v>
      </c>
      <c r="F1852" s="70">
        <f t="shared" si="198"/>
        <v>3</v>
      </c>
      <c r="G1852" s="70">
        <f t="shared" si="199"/>
        <v>2.5421899086308999</v>
      </c>
      <c r="H1852" s="70">
        <f t="shared" si="200"/>
        <v>0.60000000000000009</v>
      </c>
      <c r="I1852" s="70">
        <f t="shared" si="201"/>
        <v>0</v>
      </c>
      <c r="J1852" s="70">
        <f t="shared" si="202"/>
        <v>0</v>
      </c>
      <c r="K1852" s="70">
        <f>IF(CurrentMtgRatesDataTable8[[#This Row],[WA CC]]&lt;&gt;0,C1851-CurrentMtgRatesDataTable8[[#This Row],[WA CC]],0)</f>
        <v>0</v>
      </c>
      <c r="L1852" s="70">
        <f>IF(CurrentMtgRatesDataTable8[[#This Row],[Servicing Spread]]&lt;=0,L1851,CurrentMtgRatesDataTable8[[#This Row],[Servicing Spread]])</f>
        <v>0.47681143154818617</v>
      </c>
      <c r="M1852" s="70">
        <f>CurrentMtgRatesDataTable8[[#This Row],[Servicing Spread Non-Zero]]-L1851</f>
        <v>0</v>
      </c>
      <c r="N1852" s="70">
        <f>IF(J1851&lt;&gt;0,CurrentMtgRatesDataTable8[[#This Row],[Rate]]-C1851,N1851)</f>
        <v>-8.5000000000000853E-2</v>
      </c>
    </row>
    <row r="1853" spans="1:14">
      <c r="A1853" s="67" t="s">
        <v>3205</v>
      </c>
      <c r="B1853" s="68">
        <v>4.1805597151959502</v>
      </c>
      <c r="C1853" s="69">
        <v>4.7249999999999996</v>
      </c>
      <c r="D1853" s="70">
        <f t="shared" si="196"/>
        <v>6</v>
      </c>
      <c r="E1853" s="70">
        <f t="shared" si="197"/>
        <v>0.2</v>
      </c>
      <c r="F1853" s="70">
        <f t="shared" si="198"/>
        <v>4</v>
      </c>
      <c r="G1853" s="70">
        <f t="shared" si="199"/>
        <v>3.37830185167009</v>
      </c>
      <c r="H1853" s="70">
        <f t="shared" si="200"/>
        <v>0.8</v>
      </c>
      <c r="I1853" s="70">
        <f t="shared" si="201"/>
        <v>0</v>
      </c>
      <c r="J1853" s="70">
        <f t="shared" si="202"/>
        <v>0</v>
      </c>
      <c r="K1853" s="70">
        <f>IF(CurrentMtgRatesDataTable8[[#This Row],[WA CC]]&lt;&gt;0,C1852-CurrentMtgRatesDataTable8[[#This Row],[WA CC]],0)</f>
        <v>0</v>
      </c>
      <c r="L1853" s="70">
        <f>IF(CurrentMtgRatesDataTable8[[#This Row],[Servicing Spread]]&lt;=0,L1852,CurrentMtgRatesDataTable8[[#This Row],[Servicing Spread]])</f>
        <v>0.47681143154818617</v>
      </c>
      <c r="M1853" s="70">
        <f>CurrentMtgRatesDataTable8[[#This Row],[Servicing Spread Non-Zero]]-L1852</f>
        <v>0</v>
      </c>
      <c r="N1853" s="70">
        <f>IF(J1852&lt;&gt;0,CurrentMtgRatesDataTable8[[#This Row],[Rate]]-C1852,N1852)</f>
        <v>-8.5000000000000853E-2</v>
      </c>
    </row>
    <row r="1854" spans="1:14">
      <c r="A1854" s="67" t="s">
        <v>3206</v>
      </c>
      <c r="B1854" s="68">
        <v>4.2102300154498904</v>
      </c>
      <c r="C1854" s="69">
        <v>4.7249999999999996</v>
      </c>
      <c r="D1854" s="70">
        <f t="shared" si="196"/>
        <v>7</v>
      </c>
      <c r="E1854" s="70">
        <f t="shared" si="197"/>
        <v>0.2</v>
      </c>
      <c r="F1854" s="70">
        <f t="shared" si="198"/>
        <v>5</v>
      </c>
      <c r="G1854" s="70">
        <f t="shared" si="199"/>
        <v>4.2203478547600684</v>
      </c>
      <c r="H1854" s="70">
        <f t="shared" si="200"/>
        <v>1</v>
      </c>
      <c r="I1854" s="70">
        <f t="shared" si="201"/>
        <v>1</v>
      </c>
      <c r="J1854" s="70">
        <f t="shared" si="202"/>
        <v>4.2203478547600684</v>
      </c>
      <c r="K1854" s="70">
        <f>IF(CurrentMtgRatesDataTable8[[#This Row],[WA CC]]&lt;&gt;0,C1853-CurrentMtgRatesDataTable8[[#This Row],[WA CC]],0)</f>
        <v>0.50465214523993129</v>
      </c>
      <c r="L1854" s="70">
        <f>IF(CurrentMtgRatesDataTable8[[#This Row],[Servicing Spread]]&lt;=0,L1853,CurrentMtgRatesDataTable8[[#This Row],[Servicing Spread]])</f>
        <v>0.50465214523993129</v>
      </c>
      <c r="M1854" s="70">
        <f>CurrentMtgRatesDataTable8[[#This Row],[Servicing Spread Non-Zero]]-L1853</f>
        <v>2.7840713691745123E-2</v>
      </c>
      <c r="N1854" s="70">
        <f>IF(J1853&lt;&gt;0,CurrentMtgRatesDataTable8[[#This Row],[Rate]]-C1853,N1853)</f>
        <v>-8.5000000000000853E-2</v>
      </c>
    </row>
    <row r="1855" spans="1:14">
      <c r="A1855" s="67" t="s">
        <v>3207</v>
      </c>
      <c r="B1855" s="68">
        <v>4.2118801952184501</v>
      </c>
      <c r="C1855" s="69">
        <v>4.7050000000000001</v>
      </c>
      <c r="D1855" s="70">
        <f t="shared" si="196"/>
        <v>1</v>
      </c>
      <c r="E1855" s="70">
        <f t="shared" si="197"/>
        <v>0.2</v>
      </c>
      <c r="F1855" s="70">
        <f t="shared" si="198"/>
        <v>1</v>
      </c>
      <c r="G1855" s="70">
        <f t="shared" si="199"/>
        <v>0.84237603904369007</v>
      </c>
      <c r="H1855" s="70">
        <f t="shared" si="200"/>
        <v>0.2</v>
      </c>
      <c r="I1855" s="70">
        <f t="shared" si="201"/>
        <v>0</v>
      </c>
      <c r="J1855" s="70">
        <f t="shared" si="202"/>
        <v>0</v>
      </c>
      <c r="K1855" s="70">
        <f>IF(CurrentMtgRatesDataTable8[[#This Row],[WA CC]]&lt;&gt;0,C1854-CurrentMtgRatesDataTable8[[#This Row],[WA CC]],0)</f>
        <v>0</v>
      </c>
      <c r="L1855" s="70">
        <f>IF(CurrentMtgRatesDataTable8[[#This Row],[Servicing Spread]]&lt;=0,L1854,CurrentMtgRatesDataTable8[[#This Row],[Servicing Spread]])</f>
        <v>0.50465214523993129</v>
      </c>
      <c r="M1855" s="70">
        <f>CurrentMtgRatesDataTable8[[#This Row],[Servicing Spread Non-Zero]]-L1854</f>
        <v>0</v>
      </c>
      <c r="N1855" s="70">
        <f>IF(J1854&lt;&gt;0,CurrentMtgRatesDataTable8[[#This Row],[Rate]]-C1854,N1854)</f>
        <v>-1.9999999999999574E-2</v>
      </c>
    </row>
    <row r="1856" spans="1:14">
      <c r="A1856" s="67" t="s">
        <v>3208</v>
      </c>
      <c r="B1856" s="68">
        <v>4.1798117346260302</v>
      </c>
      <c r="C1856" s="69">
        <v>4.7050000000000001</v>
      </c>
      <c r="D1856" s="70">
        <f t="shared" si="196"/>
        <v>5</v>
      </c>
      <c r="E1856" s="70">
        <f t="shared" si="197"/>
        <v>0.2</v>
      </c>
      <c r="F1856" s="70">
        <f t="shared" si="198"/>
        <v>2</v>
      </c>
      <c r="G1856" s="70">
        <f t="shared" si="199"/>
        <v>1.6783383859688961</v>
      </c>
      <c r="H1856" s="70">
        <f t="shared" si="200"/>
        <v>0.4</v>
      </c>
      <c r="I1856" s="70">
        <f t="shared" si="201"/>
        <v>0</v>
      </c>
      <c r="J1856" s="70">
        <f t="shared" si="202"/>
        <v>0</v>
      </c>
      <c r="K1856" s="70">
        <f>IF(CurrentMtgRatesDataTable8[[#This Row],[WA CC]]&lt;&gt;0,C1855-CurrentMtgRatesDataTable8[[#This Row],[WA CC]],0)</f>
        <v>0</v>
      </c>
      <c r="L1856" s="70">
        <f>IF(CurrentMtgRatesDataTable8[[#This Row],[Servicing Spread]]&lt;=0,L1855,CurrentMtgRatesDataTable8[[#This Row],[Servicing Spread]])</f>
        <v>0.50465214523993129</v>
      </c>
      <c r="M1856" s="70">
        <f>CurrentMtgRatesDataTable8[[#This Row],[Servicing Spread Non-Zero]]-L1855</f>
        <v>0</v>
      </c>
      <c r="N1856" s="70">
        <f>IF(J1855&lt;&gt;0,CurrentMtgRatesDataTable8[[#This Row],[Rate]]-C1855,N1855)</f>
        <v>-1.9999999999999574E-2</v>
      </c>
    </row>
    <row r="1857" spans="1:14">
      <c r="A1857" s="67" t="s">
        <v>3209</v>
      </c>
      <c r="B1857" s="68">
        <v>4.1488060132239797</v>
      </c>
      <c r="C1857" s="69">
        <v>4.7050000000000001</v>
      </c>
      <c r="D1857" s="70">
        <f t="shared" si="196"/>
        <v>6</v>
      </c>
      <c r="E1857" s="70">
        <f t="shared" si="197"/>
        <v>0.2</v>
      </c>
      <c r="F1857" s="70">
        <f t="shared" si="198"/>
        <v>3</v>
      </c>
      <c r="G1857" s="70">
        <f t="shared" si="199"/>
        <v>2.5080995886136921</v>
      </c>
      <c r="H1857" s="70">
        <f t="shared" si="200"/>
        <v>0.60000000000000009</v>
      </c>
      <c r="I1857" s="70">
        <f t="shared" si="201"/>
        <v>0</v>
      </c>
      <c r="J1857" s="70">
        <f t="shared" si="202"/>
        <v>0</v>
      </c>
      <c r="K1857" s="70">
        <f>IF(CurrentMtgRatesDataTable8[[#This Row],[WA CC]]&lt;&gt;0,C1856-CurrentMtgRatesDataTable8[[#This Row],[WA CC]],0)</f>
        <v>0</v>
      </c>
      <c r="L1857" s="70">
        <f>IF(CurrentMtgRatesDataTable8[[#This Row],[Servicing Spread]]&lt;=0,L1856,CurrentMtgRatesDataTable8[[#This Row],[Servicing Spread]])</f>
        <v>0.50465214523993129</v>
      </c>
      <c r="M1857" s="70">
        <f>CurrentMtgRatesDataTable8[[#This Row],[Servicing Spread Non-Zero]]-L1856</f>
        <v>0</v>
      </c>
      <c r="N1857" s="70">
        <f>IF(J1856&lt;&gt;0,CurrentMtgRatesDataTable8[[#This Row],[Rate]]-C1856,N1856)</f>
        <v>-1.9999999999999574E-2</v>
      </c>
    </row>
    <row r="1858" spans="1:14">
      <c r="A1858" s="67" t="s">
        <v>3210</v>
      </c>
      <c r="B1858" s="68">
        <v>4.1737753595226996</v>
      </c>
      <c r="C1858" s="69">
        <v>4.7050000000000001</v>
      </c>
      <c r="D1858" s="70">
        <f t="shared" si="196"/>
        <v>7</v>
      </c>
      <c r="E1858" s="70">
        <f t="shared" si="197"/>
        <v>0.2</v>
      </c>
      <c r="F1858" s="70">
        <f t="shared" si="198"/>
        <v>4</v>
      </c>
      <c r="G1858" s="70">
        <f t="shared" si="199"/>
        <v>3.3428546605182321</v>
      </c>
      <c r="H1858" s="70">
        <f t="shared" si="200"/>
        <v>0.8</v>
      </c>
      <c r="I1858" s="70">
        <f t="shared" si="201"/>
        <v>1</v>
      </c>
      <c r="J1858" s="70">
        <f t="shared" si="202"/>
        <v>4.1785683256477899</v>
      </c>
      <c r="K1858" s="70">
        <f>IF(CurrentMtgRatesDataTable8[[#This Row],[WA CC]]&lt;&gt;0,C1857-CurrentMtgRatesDataTable8[[#This Row],[WA CC]],0)</f>
        <v>0.52643167435221017</v>
      </c>
      <c r="L1858" s="70">
        <f>IF(CurrentMtgRatesDataTable8[[#This Row],[Servicing Spread]]&lt;=0,L1857,CurrentMtgRatesDataTable8[[#This Row],[Servicing Spread]])</f>
        <v>0.52643167435221017</v>
      </c>
      <c r="M1858" s="70">
        <f>CurrentMtgRatesDataTable8[[#This Row],[Servicing Spread Non-Zero]]-L1857</f>
        <v>2.1779529112278873E-2</v>
      </c>
      <c r="N1858" s="70">
        <f>IF(J1857&lt;&gt;0,CurrentMtgRatesDataTable8[[#This Row],[Rate]]-C1857,N1857)</f>
        <v>-1.9999999999999574E-2</v>
      </c>
    </row>
    <row r="1859" spans="1:14">
      <c r="A1859" s="67" t="s">
        <v>3211</v>
      </c>
      <c r="B1859" s="68">
        <v>4.1085299627435603</v>
      </c>
      <c r="C1859" s="69">
        <v>4.6349999999999998</v>
      </c>
      <c r="D1859" s="70">
        <f t="shared" si="196"/>
        <v>1</v>
      </c>
      <c r="E1859" s="70">
        <f t="shared" si="197"/>
        <v>0.2</v>
      </c>
      <c r="F1859" s="70">
        <f t="shared" si="198"/>
        <v>1</v>
      </c>
      <c r="G1859" s="70">
        <f t="shared" si="199"/>
        <v>0.82170599254871213</v>
      </c>
      <c r="H1859" s="70">
        <f t="shared" si="200"/>
        <v>0.2</v>
      </c>
      <c r="I1859" s="70">
        <f t="shared" si="201"/>
        <v>0</v>
      </c>
      <c r="J1859" s="70">
        <f t="shared" si="202"/>
        <v>0</v>
      </c>
      <c r="K1859" s="70">
        <f>IF(CurrentMtgRatesDataTable8[[#This Row],[WA CC]]&lt;&gt;0,C1858-CurrentMtgRatesDataTable8[[#This Row],[WA CC]],0)</f>
        <v>0</v>
      </c>
      <c r="L1859" s="70">
        <f>IF(CurrentMtgRatesDataTable8[[#This Row],[Servicing Spread]]&lt;=0,L1858,CurrentMtgRatesDataTable8[[#This Row],[Servicing Spread]])</f>
        <v>0.52643167435221017</v>
      </c>
      <c r="M1859" s="70">
        <f>CurrentMtgRatesDataTable8[[#This Row],[Servicing Spread Non-Zero]]-L1858</f>
        <v>0</v>
      </c>
      <c r="N1859" s="70">
        <f>IF(J1858&lt;&gt;0,CurrentMtgRatesDataTable8[[#This Row],[Rate]]-C1858,N1858)</f>
        <v>-7.0000000000000284E-2</v>
      </c>
    </row>
    <row r="1860" spans="1:14">
      <c r="A1860" s="67" t="s">
        <v>3212</v>
      </c>
      <c r="B1860" s="68">
        <v>4.0911415079480502</v>
      </c>
      <c r="C1860" s="69">
        <v>4.6349999999999998</v>
      </c>
      <c r="D1860" s="70">
        <f t="shared" si="196"/>
        <v>2</v>
      </c>
      <c r="E1860" s="70">
        <f t="shared" si="197"/>
        <v>0.2</v>
      </c>
      <c r="F1860" s="70">
        <f t="shared" si="198"/>
        <v>2</v>
      </c>
      <c r="G1860" s="70">
        <f t="shared" si="199"/>
        <v>1.6399342941383224</v>
      </c>
      <c r="H1860" s="70">
        <f t="shared" si="200"/>
        <v>0.4</v>
      </c>
      <c r="I1860" s="70">
        <f t="shared" si="201"/>
        <v>0</v>
      </c>
      <c r="J1860" s="70">
        <f t="shared" si="202"/>
        <v>0</v>
      </c>
      <c r="K1860" s="70">
        <f>IF(CurrentMtgRatesDataTable8[[#This Row],[WA CC]]&lt;&gt;0,C1859-CurrentMtgRatesDataTable8[[#This Row],[WA CC]],0)</f>
        <v>0</v>
      </c>
      <c r="L1860" s="70">
        <f>IF(CurrentMtgRatesDataTable8[[#This Row],[Servicing Spread]]&lt;=0,L1859,CurrentMtgRatesDataTable8[[#This Row],[Servicing Spread]])</f>
        <v>0.52643167435221017</v>
      </c>
      <c r="M1860" s="70">
        <f>CurrentMtgRatesDataTable8[[#This Row],[Servicing Spread Non-Zero]]-L1859</f>
        <v>0</v>
      </c>
      <c r="N1860" s="70">
        <f>IF(J1859&lt;&gt;0,CurrentMtgRatesDataTable8[[#This Row],[Rate]]-C1859,N1859)</f>
        <v>-7.0000000000000284E-2</v>
      </c>
    </row>
    <row r="1861" spans="1:14">
      <c r="A1861" s="67" t="s">
        <v>3213</v>
      </c>
      <c r="B1861" s="68">
        <v>4.1017392555975398</v>
      </c>
      <c r="C1861" s="69">
        <v>4.6349999999999998</v>
      </c>
      <c r="D1861" s="70">
        <f t="shared" ref="D1861:D1924" si="203">WEEKDAY(A1861,14)</f>
        <v>5</v>
      </c>
      <c r="E1861" s="70">
        <f t="shared" ref="E1861:E1924" si="204">VLOOKUP(D1861,Q$5:R$11,2,FALSE)</f>
        <v>0.2</v>
      </c>
      <c r="F1861" s="70">
        <f t="shared" ref="F1861:F1924" si="205">IF(AND(D1861&gt;D1860,F1860&lt;6),F1860+1,1)</f>
        <v>3</v>
      </c>
      <c r="G1861" s="70">
        <f t="shared" ref="G1861:G1924" si="206">IF(F1861&gt;F1860,G1860+B1861*E1861,B1861*E1861)</f>
        <v>2.4602821452578305</v>
      </c>
      <c r="H1861" s="70">
        <f t="shared" ref="H1861:H1924" si="207">IF(AND(F1861&lt;6,F1861&gt;F1860),E1861+H1860,E1861)</f>
        <v>0.60000000000000009</v>
      </c>
      <c r="I1861" s="70">
        <f t="shared" ref="I1861:I1924" si="208">IF(F1861&gt;F1862,1,0)</f>
        <v>0</v>
      </c>
      <c r="J1861" s="70">
        <f t="shared" ref="J1861:J1924" si="209">IF(F1861&gt;F1862,G1861/H1861,0)</f>
        <v>0</v>
      </c>
      <c r="K1861" s="70">
        <f>IF(CurrentMtgRatesDataTable8[[#This Row],[WA CC]]&lt;&gt;0,C1860-CurrentMtgRatesDataTable8[[#This Row],[WA CC]],0)</f>
        <v>0</v>
      </c>
      <c r="L1861" s="70">
        <f>IF(CurrentMtgRatesDataTable8[[#This Row],[Servicing Spread]]&lt;=0,L1860,CurrentMtgRatesDataTable8[[#This Row],[Servicing Spread]])</f>
        <v>0.52643167435221017</v>
      </c>
      <c r="M1861" s="70">
        <f>CurrentMtgRatesDataTable8[[#This Row],[Servicing Spread Non-Zero]]-L1860</f>
        <v>0</v>
      </c>
      <c r="N1861" s="70">
        <f>IF(J1860&lt;&gt;0,CurrentMtgRatesDataTable8[[#This Row],[Rate]]-C1860,N1860)</f>
        <v>-7.0000000000000284E-2</v>
      </c>
    </row>
    <row r="1862" spans="1:14">
      <c r="A1862" s="67" t="s">
        <v>3214</v>
      </c>
      <c r="B1862" s="68">
        <v>4.0711736764918296</v>
      </c>
      <c r="C1862" s="69">
        <v>4.6349999999999998</v>
      </c>
      <c r="D1862" s="70">
        <f t="shared" si="203"/>
        <v>6</v>
      </c>
      <c r="E1862" s="70">
        <f t="shared" si="204"/>
        <v>0.2</v>
      </c>
      <c r="F1862" s="70">
        <f t="shared" si="205"/>
        <v>4</v>
      </c>
      <c r="G1862" s="70">
        <f t="shared" si="206"/>
        <v>3.2745168805561966</v>
      </c>
      <c r="H1862" s="70">
        <f t="shared" si="207"/>
        <v>0.8</v>
      </c>
      <c r="I1862" s="70">
        <f t="shared" si="208"/>
        <v>0</v>
      </c>
      <c r="J1862" s="70">
        <f t="shared" si="209"/>
        <v>0</v>
      </c>
      <c r="K1862" s="70">
        <f>IF(CurrentMtgRatesDataTable8[[#This Row],[WA CC]]&lt;&gt;0,C1861-CurrentMtgRatesDataTable8[[#This Row],[WA CC]],0)</f>
        <v>0</v>
      </c>
      <c r="L1862" s="70">
        <f>IF(CurrentMtgRatesDataTable8[[#This Row],[Servicing Spread]]&lt;=0,L1861,CurrentMtgRatesDataTable8[[#This Row],[Servicing Spread]])</f>
        <v>0.52643167435221017</v>
      </c>
      <c r="M1862" s="70">
        <f>CurrentMtgRatesDataTable8[[#This Row],[Servicing Spread Non-Zero]]-L1861</f>
        <v>0</v>
      </c>
      <c r="N1862" s="70">
        <f>IF(J1861&lt;&gt;0,CurrentMtgRatesDataTable8[[#This Row],[Rate]]-C1861,N1861)</f>
        <v>-7.0000000000000284E-2</v>
      </c>
    </row>
    <row r="1863" spans="1:14">
      <c r="A1863" s="67" t="s">
        <v>3215</v>
      </c>
      <c r="B1863" s="68">
        <v>4.0402883420391804</v>
      </c>
      <c r="C1863" s="69">
        <v>4.6349999999999998</v>
      </c>
      <c r="D1863" s="70">
        <f t="shared" si="203"/>
        <v>7</v>
      </c>
      <c r="E1863" s="70">
        <f t="shared" si="204"/>
        <v>0.2</v>
      </c>
      <c r="F1863" s="70">
        <f t="shared" si="205"/>
        <v>5</v>
      </c>
      <c r="G1863" s="70">
        <f t="shared" si="206"/>
        <v>4.0825745489640326</v>
      </c>
      <c r="H1863" s="70">
        <f t="shared" si="207"/>
        <v>1</v>
      </c>
      <c r="I1863" s="70">
        <f t="shared" si="208"/>
        <v>1</v>
      </c>
      <c r="J1863" s="70">
        <f t="shared" si="209"/>
        <v>4.0825745489640326</v>
      </c>
      <c r="K1863" s="70">
        <f>IF(CurrentMtgRatesDataTable8[[#This Row],[WA CC]]&lt;&gt;0,C1862-CurrentMtgRatesDataTable8[[#This Row],[WA CC]],0)</f>
        <v>0.55242545103596719</v>
      </c>
      <c r="L1863" s="70">
        <f>IF(CurrentMtgRatesDataTable8[[#This Row],[Servicing Spread]]&lt;=0,L1862,CurrentMtgRatesDataTable8[[#This Row],[Servicing Spread]])</f>
        <v>0.55242545103596719</v>
      </c>
      <c r="M1863" s="70">
        <f>CurrentMtgRatesDataTable8[[#This Row],[Servicing Spread Non-Zero]]-L1862</f>
        <v>2.5993776683757019E-2</v>
      </c>
      <c r="N1863" s="70">
        <f>IF(J1862&lt;&gt;0,CurrentMtgRatesDataTable8[[#This Row],[Rate]]-C1862,N1862)</f>
        <v>-7.0000000000000284E-2</v>
      </c>
    </row>
    <row r="1864" spans="1:14">
      <c r="A1864" s="67" t="s">
        <v>3216</v>
      </c>
      <c r="B1864" s="68">
        <v>3.9897426848348498</v>
      </c>
      <c r="C1864" s="69">
        <v>4.5549999999999997</v>
      </c>
      <c r="D1864" s="70">
        <f t="shared" si="203"/>
        <v>1</v>
      </c>
      <c r="E1864" s="70">
        <f t="shared" si="204"/>
        <v>0.2</v>
      </c>
      <c r="F1864" s="70">
        <f t="shared" si="205"/>
        <v>1</v>
      </c>
      <c r="G1864" s="70">
        <f t="shared" si="206"/>
        <v>0.79794853696696999</v>
      </c>
      <c r="H1864" s="70">
        <f t="shared" si="207"/>
        <v>0.2</v>
      </c>
      <c r="I1864" s="70">
        <f t="shared" si="208"/>
        <v>0</v>
      </c>
      <c r="J1864" s="70">
        <f t="shared" si="209"/>
        <v>0</v>
      </c>
      <c r="K1864" s="70">
        <f>IF(CurrentMtgRatesDataTable8[[#This Row],[WA CC]]&lt;&gt;0,C1863-CurrentMtgRatesDataTable8[[#This Row],[WA CC]],0)</f>
        <v>0</v>
      </c>
      <c r="L1864" s="70">
        <f>IF(CurrentMtgRatesDataTable8[[#This Row],[Servicing Spread]]&lt;=0,L1863,CurrentMtgRatesDataTable8[[#This Row],[Servicing Spread]])</f>
        <v>0.55242545103596719</v>
      </c>
      <c r="M1864" s="70">
        <f>CurrentMtgRatesDataTable8[[#This Row],[Servicing Spread Non-Zero]]-L1863</f>
        <v>0</v>
      </c>
      <c r="N1864" s="70">
        <f>IF(J1863&lt;&gt;0,CurrentMtgRatesDataTable8[[#This Row],[Rate]]-C1863,N1863)</f>
        <v>-8.0000000000000071E-2</v>
      </c>
    </row>
    <row r="1865" spans="1:14">
      <c r="A1865" s="67" t="s">
        <v>3217</v>
      </c>
      <c r="B1865" s="68">
        <v>3.9810369231878999</v>
      </c>
      <c r="C1865" s="69">
        <v>4.5549999999999997</v>
      </c>
      <c r="D1865" s="70">
        <f t="shared" si="203"/>
        <v>2</v>
      </c>
      <c r="E1865" s="70">
        <f t="shared" si="204"/>
        <v>0.2</v>
      </c>
      <c r="F1865" s="70">
        <f t="shared" si="205"/>
        <v>2</v>
      </c>
      <c r="G1865" s="70">
        <f t="shared" si="206"/>
        <v>1.59415592160455</v>
      </c>
      <c r="H1865" s="70">
        <f t="shared" si="207"/>
        <v>0.4</v>
      </c>
      <c r="I1865" s="70">
        <f t="shared" si="208"/>
        <v>0</v>
      </c>
      <c r="J1865" s="70">
        <f t="shared" si="209"/>
        <v>0</v>
      </c>
      <c r="K1865" s="70">
        <f>IF(CurrentMtgRatesDataTable8[[#This Row],[WA CC]]&lt;&gt;0,C1864-CurrentMtgRatesDataTable8[[#This Row],[WA CC]],0)</f>
        <v>0</v>
      </c>
      <c r="L1865" s="70">
        <f>IF(CurrentMtgRatesDataTable8[[#This Row],[Servicing Spread]]&lt;=0,L1864,CurrentMtgRatesDataTable8[[#This Row],[Servicing Spread]])</f>
        <v>0.55242545103596719</v>
      </c>
      <c r="M1865" s="70">
        <f>CurrentMtgRatesDataTable8[[#This Row],[Servicing Spread Non-Zero]]-L1864</f>
        <v>0</v>
      </c>
      <c r="N1865" s="70">
        <f>IF(J1864&lt;&gt;0,CurrentMtgRatesDataTable8[[#This Row],[Rate]]-C1864,N1864)</f>
        <v>-8.0000000000000071E-2</v>
      </c>
    </row>
    <row r="1866" spans="1:14">
      <c r="A1866" s="67" t="s">
        <v>3218</v>
      </c>
      <c r="B1866" s="68">
        <v>3.9671840173196098</v>
      </c>
      <c r="C1866" s="69">
        <v>4.5549999999999997</v>
      </c>
      <c r="D1866" s="70">
        <f t="shared" si="203"/>
        <v>5</v>
      </c>
      <c r="E1866" s="70">
        <f t="shared" si="204"/>
        <v>0.2</v>
      </c>
      <c r="F1866" s="70">
        <f t="shared" si="205"/>
        <v>3</v>
      </c>
      <c r="G1866" s="70">
        <f t="shared" si="206"/>
        <v>2.3875927250684721</v>
      </c>
      <c r="H1866" s="70">
        <f t="shared" si="207"/>
        <v>0.60000000000000009</v>
      </c>
      <c r="I1866" s="70">
        <f t="shared" si="208"/>
        <v>0</v>
      </c>
      <c r="J1866" s="70">
        <f t="shared" si="209"/>
        <v>0</v>
      </c>
      <c r="K1866" s="70">
        <f>IF(CurrentMtgRatesDataTable8[[#This Row],[WA CC]]&lt;&gt;0,C1865-CurrentMtgRatesDataTable8[[#This Row],[WA CC]],0)</f>
        <v>0</v>
      </c>
      <c r="L1866" s="70">
        <f>IF(CurrentMtgRatesDataTable8[[#This Row],[Servicing Spread]]&lt;=0,L1865,CurrentMtgRatesDataTable8[[#This Row],[Servicing Spread]])</f>
        <v>0.55242545103596719</v>
      </c>
      <c r="M1866" s="70">
        <f>CurrentMtgRatesDataTable8[[#This Row],[Servicing Spread Non-Zero]]-L1865</f>
        <v>0</v>
      </c>
      <c r="N1866" s="70">
        <f>IF(J1865&lt;&gt;0,CurrentMtgRatesDataTable8[[#This Row],[Rate]]-C1865,N1865)</f>
        <v>-8.0000000000000071E-2</v>
      </c>
    </row>
    <row r="1867" spans="1:14">
      <c r="A1867" s="67" t="s">
        <v>3219</v>
      </c>
      <c r="B1867" s="68">
        <v>4.01017409767306</v>
      </c>
      <c r="C1867" s="69">
        <v>4.5549999999999997</v>
      </c>
      <c r="D1867" s="70">
        <f t="shared" si="203"/>
        <v>6</v>
      </c>
      <c r="E1867" s="70">
        <f t="shared" si="204"/>
        <v>0.2</v>
      </c>
      <c r="F1867" s="70">
        <f t="shared" si="205"/>
        <v>4</v>
      </c>
      <c r="G1867" s="70">
        <f t="shared" si="206"/>
        <v>3.1896275446030842</v>
      </c>
      <c r="H1867" s="70">
        <f t="shared" si="207"/>
        <v>0.8</v>
      </c>
      <c r="I1867" s="70">
        <f t="shared" si="208"/>
        <v>0</v>
      </c>
      <c r="J1867" s="70">
        <f t="shared" si="209"/>
        <v>0</v>
      </c>
      <c r="K1867" s="70">
        <f>IF(CurrentMtgRatesDataTable8[[#This Row],[WA CC]]&lt;&gt;0,C1866-CurrentMtgRatesDataTable8[[#This Row],[WA CC]],0)</f>
        <v>0</v>
      </c>
      <c r="L1867" s="70">
        <f>IF(CurrentMtgRatesDataTable8[[#This Row],[Servicing Spread]]&lt;=0,L1866,CurrentMtgRatesDataTable8[[#This Row],[Servicing Spread]])</f>
        <v>0.55242545103596719</v>
      </c>
      <c r="M1867" s="70">
        <f>CurrentMtgRatesDataTable8[[#This Row],[Servicing Spread Non-Zero]]-L1866</f>
        <v>0</v>
      </c>
      <c r="N1867" s="70">
        <f>IF(J1866&lt;&gt;0,CurrentMtgRatesDataTable8[[#This Row],[Rate]]-C1866,N1866)</f>
        <v>-8.0000000000000071E-2</v>
      </c>
    </row>
    <row r="1868" spans="1:14">
      <c r="A1868" s="67" t="s">
        <v>3220</v>
      </c>
      <c r="B1868" s="68">
        <v>3.98265251730554</v>
      </c>
      <c r="C1868" s="69">
        <v>4.5549999999999997</v>
      </c>
      <c r="D1868" s="70">
        <f t="shared" si="203"/>
        <v>7</v>
      </c>
      <c r="E1868" s="70">
        <f t="shared" si="204"/>
        <v>0.2</v>
      </c>
      <c r="F1868" s="70">
        <f t="shared" si="205"/>
        <v>5</v>
      </c>
      <c r="G1868" s="70">
        <f t="shared" si="206"/>
        <v>3.9861580480641923</v>
      </c>
      <c r="H1868" s="70">
        <f t="shared" si="207"/>
        <v>1</v>
      </c>
      <c r="I1868" s="70">
        <f t="shared" si="208"/>
        <v>1</v>
      </c>
      <c r="J1868" s="70">
        <f t="shared" si="209"/>
        <v>3.9861580480641923</v>
      </c>
      <c r="K1868" s="70">
        <f>IF(CurrentMtgRatesDataTable8[[#This Row],[WA CC]]&lt;&gt;0,C1867-CurrentMtgRatesDataTable8[[#This Row],[WA CC]],0)</f>
        <v>0.56884195193580744</v>
      </c>
      <c r="L1868" s="70">
        <f>IF(CurrentMtgRatesDataTable8[[#This Row],[Servicing Spread]]&lt;=0,L1867,CurrentMtgRatesDataTable8[[#This Row],[Servicing Spread]])</f>
        <v>0.56884195193580744</v>
      </c>
      <c r="M1868" s="70">
        <f>CurrentMtgRatesDataTable8[[#This Row],[Servicing Spread Non-Zero]]-L1867</f>
        <v>1.6416500899840258E-2</v>
      </c>
      <c r="N1868" s="70">
        <f>IF(J1867&lt;&gt;0,CurrentMtgRatesDataTable8[[#This Row],[Rate]]-C1867,N1867)</f>
        <v>-8.0000000000000071E-2</v>
      </c>
    </row>
    <row r="1869" spans="1:14">
      <c r="A1869" s="67" t="s">
        <v>3221</v>
      </c>
      <c r="B1869" s="68">
        <v>4.0052084315685699</v>
      </c>
      <c r="C1869" s="69">
        <v>4.5350000000000001</v>
      </c>
      <c r="D1869" s="70">
        <f t="shared" si="203"/>
        <v>1</v>
      </c>
      <c r="E1869" s="70">
        <f t="shared" si="204"/>
        <v>0.2</v>
      </c>
      <c r="F1869" s="70">
        <f t="shared" si="205"/>
        <v>1</v>
      </c>
      <c r="G1869" s="70">
        <f t="shared" si="206"/>
        <v>0.80104168631371397</v>
      </c>
      <c r="H1869" s="70">
        <f t="shared" si="207"/>
        <v>0.2</v>
      </c>
      <c r="I1869" s="70">
        <f t="shared" si="208"/>
        <v>0</v>
      </c>
      <c r="J1869" s="70">
        <f t="shared" si="209"/>
        <v>0</v>
      </c>
      <c r="K1869" s="70">
        <f>IF(CurrentMtgRatesDataTable8[[#This Row],[WA CC]]&lt;&gt;0,C1868-CurrentMtgRatesDataTable8[[#This Row],[WA CC]],0)</f>
        <v>0</v>
      </c>
      <c r="L1869" s="70">
        <f>IF(CurrentMtgRatesDataTable8[[#This Row],[Servicing Spread]]&lt;=0,L1868,CurrentMtgRatesDataTable8[[#This Row],[Servicing Spread]])</f>
        <v>0.56884195193580744</v>
      </c>
      <c r="M1869" s="70">
        <f>CurrentMtgRatesDataTable8[[#This Row],[Servicing Spread Non-Zero]]-L1868</f>
        <v>0</v>
      </c>
      <c r="N1869" s="70">
        <f>IF(J1868&lt;&gt;0,CurrentMtgRatesDataTable8[[#This Row],[Rate]]-C1868,N1868)</f>
        <v>-1.9999999999999574E-2</v>
      </c>
    </row>
    <row r="1870" spans="1:14">
      <c r="A1870" s="67" t="s">
        <v>3222</v>
      </c>
      <c r="B1870" s="68">
        <v>3.98862222187666</v>
      </c>
      <c r="C1870" s="69">
        <v>4.5350000000000001</v>
      </c>
      <c r="D1870" s="70">
        <f t="shared" si="203"/>
        <v>2</v>
      </c>
      <c r="E1870" s="70">
        <f t="shared" si="204"/>
        <v>0.2</v>
      </c>
      <c r="F1870" s="70">
        <f t="shared" si="205"/>
        <v>2</v>
      </c>
      <c r="G1870" s="70">
        <f t="shared" si="206"/>
        <v>1.5987661306890462</v>
      </c>
      <c r="H1870" s="70">
        <f t="shared" si="207"/>
        <v>0.4</v>
      </c>
      <c r="I1870" s="70">
        <f t="shared" si="208"/>
        <v>0</v>
      </c>
      <c r="J1870" s="70">
        <f t="shared" si="209"/>
        <v>0</v>
      </c>
      <c r="K1870" s="70">
        <f>IF(CurrentMtgRatesDataTable8[[#This Row],[WA CC]]&lt;&gt;0,C1869-CurrentMtgRatesDataTable8[[#This Row],[WA CC]],0)</f>
        <v>0</v>
      </c>
      <c r="L1870" s="70">
        <f>IF(CurrentMtgRatesDataTable8[[#This Row],[Servicing Spread]]&lt;=0,L1869,CurrentMtgRatesDataTable8[[#This Row],[Servicing Spread]])</f>
        <v>0.56884195193580744</v>
      </c>
      <c r="M1870" s="70">
        <f>CurrentMtgRatesDataTable8[[#This Row],[Servicing Spread Non-Zero]]-L1869</f>
        <v>0</v>
      </c>
      <c r="N1870" s="70">
        <f>IF(J1869&lt;&gt;0,CurrentMtgRatesDataTable8[[#This Row],[Rate]]-C1869,N1869)</f>
        <v>-1.9999999999999574E-2</v>
      </c>
    </row>
    <row r="1871" spans="1:14">
      <c r="A1871" s="67" t="s">
        <v>3223</v>
      </c>
      <c r="B1871" s="68">
        <v>3.9714462688070098</v>
      </c>
      <c r="C1871" s="69">
        <v>4.5350000000000001</v>
      </c>
      <c r="D1871" s="70">
        <f t="shared" si="203"/>
        <v>5</v>
      </c>
      <c r="E1871" s="70">
        <f t="shared" si="204"/>
        <v>0.2</v>
      </c>
      <c r="F1871" s="70">
        <f t="shared" si="205"/>
        <v>3</v>
      </c>
      <c r="G1871" s="70">
        <f t="shared" si="206"/>
        <v>2.3930553844504483</v>
      </c>
      <c r="H1871" s="70">
        <f t="shared" si="207"/>
        <v>0.60000000000000009</v>
      </c>
      <c r="I1871" s="70">
        <f t="shared" si="208"/>
        <v>0</v>
      </c>
      <c r="J1871" s="70">
        <f t="shared" si="209"/>
        <v>0</v>
      </c>
      <c r="K1871" s="70">
        <f>IF(CurrentMtgRatesDataTable8[[#This Row],[WA CC]]&lt;&gt;0,C1870-CurrentMtgRatesDataTable8[[#This Row],[WA CC]],0)</f>
        <v>0</v>
      </c>
      <c r="L1871" s="70">
        <f>IF(CurrentMtgRatesDataTable8[[#This Row],[Servicing Spread]]&lt;=0,L1870,CurrentMtgRatesDataTable8[[#This Row],[Servicing Spread]])</f>
        <v>0.56884195193580744</v>
      </c>
      <c r="M1871" s="70">
        <f>CurrentMtgRatesDataTable8[[#This Row],[Servicing Spread Non-Zero]]-L1870</f>
        <v>0</v>
      </c>
      <c r="N1871" s="70">
        <f>IF(J1870&lt;&gt;0,CurrentMtgRatesDataTable8[[#This Row],[Rate]]-C1870,N1870)</f>
        <v>-1.9999999999999574E-2</v>
      </c>
    </row>
    <row r="1872" spans="1:14">
      <c r="A1872" s="67" t="s">
        <v>3224</v>
      </c>
      <c r="B1872" s="68">
        <v>3.9561973951129898</v>
      </c>
      <c r="C1872" s="69">
        <v>4.5350000000000001</v>
      </c>
      <c r="D1872" s="70">
        <f t="shared" si="203"/>
        <v>6</v>
      </c>
      <c r="E1872" s="70">
        <f t="shared" si="204"/>
        <v>0.2</v>
      </c>
      <c r="F1872" s="70">
        <f t="shared" si="205"/>
        <v>4</v>
      </c>
      <c r="G1872" s="70">
        <f t="shared" si="206"/>
        <v>3.1842948634730464</v>
      </c>
      <c r="H1872" s="70">
        <f t="shared" si="207"/>
        <v>0.8</v>
      </c>
      <c r="I1872" s="70">
        <f t="shared" si="208"/>
        <v>0</v>
      </c>
      <c r="J1872" s="70">
        <f t="shared" si="209"/>
        <v>0</v>
      </c>
      <c r="K1872" s="70">
        <f>IF(CurrentMtgRatesDataTable8[[#This Row],[WA CC]]&lt;&gt;0,C1871-CurrentMtgRatesDataTable8[[#This Row],[WA CC]],0)</f>
        <v>0</v>
      </c>
      <c r="L1872" s="70">
        <f>IF(CurrentMtgRatesDataTable8[[#This Row],[Servicing Spread]]&lt;=0,L1871,CurrentMtgRatesDataTable8[[#This Row],[Servicing Spread]])</f>
        <v>0.56884195193580744</v>
      </c>
      <c r="M1872" s="70">
        <f>CurrentMtgRatesDataTable8[[#This Row],[Servicing Spread Non-Zero]]-L1871</f>
        <v>0</v>
      </c>
      <c r="N1872" s="70">
        <f>IF(J1871&lt;&gt;0,CurrentMtgRatesDataTable8[[#This Row],[Rate]]-C1871,N1871)</f>
        <v>-1.9999999999999574E-2</v>
      </c>
    </row>
    <row r="1873" spans="1:14">
      <c r="A1873" s="67" t="s">
        <v>3225</v>
      </c>
      <c r="B1873" s="68">
        <v>3.9981747408284201</v>
      </c>
      <c r="C1873" s="69">
        <v>4.5350000000000001</v>
      </c>
      <c r="D1873" s="70">
        <f t="shared" si="203"/>
        <v>7</v>
      </c>
      <c r="E1873" s="70">
        <f t="shared" si="204"/>
        <v>0.2</v>
      </c>
      <c r="F1873" s="70">
        <f t="shared" si="205"/>
        <v>5</v>
      </c>
      <c r="G1873" s="70">
        <f t="shared" si="206"/>
        <v>3.9839298116387303</v>
      </c>
      <c r="H1873" s="70">
        <f t="shared" si="207"/>
        <v>1</v>
      </c>
      <c r="I1873" s="70">
        <f t="shared" si="208"/>
        <v>1</v>
      </c>
      <c r="J1873" s="70">
        <f t="shared" si="209"/>
        <v>3.9839298116387303</v>
      </c>
      <c r="K1873" s="70">
        <f>IF(CurrentMtgRatesDataTable8[[#This Row],[WA CC]]&lt;&gt;0,C1872-CurrentMtgRatesDataTable8[[#This Row],[WA CC]],0)</f>
        <v>0.55107018836126986</v>
      </c>
      <c r="L1873" s="70">
        <f>IF(CurrentMtgRatesDataTable8[[#This Row],[Servicing Spread]]&lt;=0,L1872,CurrentMtgRatesDataTable8[[#This Row],[Servicing Spread]])</f>
        <v>0.55107018836126986</v>
      </c>
      <c r="M1873" s="70">
        <f>CurrentMtgRatesDataTable8[[#This Row],[Servicing Spread Non-Zero]]-L1872</f>
        <v>-1.777176357453758E-2</v>
      </c>
      <c r="N1873" s="70">
        <f>IF(J1872&lt;&gt;0,CurrentMtgRatesDataTable8[[#This Row],[Rate]]-C1872,N1872)</f>
        <v>-1.9999999999999574E-2</v>
      </c>
    </row>
    <row r="1874" spans="1:14">
      <c r="A1874" s="67" t="s">
        <v>3226</v>
      </c>
      <c r="B1874" s="68">
        <v>4.0056577921068204</v>
      </c>
      <c r="C1874" s="69">
        <v>4.5249999999999995</v>
      </c>
      <c r="D1874" s="70">
        <f t="shared" si="203"/>
        <v>1</v>
      </c>
      <c r="E1874" s="70">
        <f t="shared" si="204"/>
        <v>0.2</v>
      </c>
      <c r="F1874" s="70">
        <f t="shared" si="205"/>
        <v>1</v>
      </c>
      <c r="G1874" s="70">
        <f t="shared" si="206"/>
        <v>0.80113155842136408</v>
      </c>
      <c r="H1874" s="70">
        <f t="shared" si="207"/>
        <v>0.2</v>
      </c>
      <c r="I1874" s="70">
        <f t="shared" si="208"/>
        <v>0</v>
      </c>
      <c r="J1874" s="70">
        <f t="shared" si="209"/>
        <v>0</v>
      </c>
      <c r="K1874" s="70">
        <f>IF(CurrentMtgRatesDataTable8[[#This Row],[WA CC]]&lt;&gt;0,C1873-CurrentMtgRatesDataTable8[[#This Row],[WA CC]],0)</f>
        <v>0</v>
      </c>
      <c r="L1874" s="70">
        <f>IF(CurrentMtgRatesDataTable8[[#This Row],[Servicing Spread]]&lt;=0,L1873,CurrentMtgRatesDataTable8[[#This Row],[Servicing Spread]])</f>
        <v>0.55107018836126986</v>
      </c>
      <c r="M1874" s="70">
        <f>CurrentMtgRatesDataTable8[[#This Row],[Servicing Spread Non-Zero]]-L1873</f>
        <v>0</v>
      </c>
      <c r="N1874" s="70">
        <f>IF(J1873&lt;&gt;0,CurrentMtgRatesDataTable8[[#This Row],[Rate]]-C1873,N1873)</f>
        <v>-1.0000000000000675E-2</v>
      </c>
    </row>
    <row r="1875" spans="1:14">
      <c r="A1875" s="67" t="s">
        <v>3227</v>
      </c>
      <c r="B1875" s="68">
        <v>3.9928413440389701</v>
      </c>
      <c r="C1875" s="69">
        <v>4.5249999999999995</v>
      </c>
      <c r="D1875" s="70">
        <f t="shared" si="203"/>
        <v>2</v>
      </c>
      <c r="E1875" s="70">
        <f t="shared" si="204"/>
        <v>0.2</v>
      </c>
      <c r="F1875" s="70">
        <f t="shared" si="205"/>
        <v>2</v>
      </c>
      <c r="G1875" s="70">
        <f t="shared" si="206"/>
        <v>1.5996998272291583</v>
      </c>
      <c r="H1875" s="70">
        <f t="shared" si="207"/>
        <v>0.4</v>
      </c>
      <c r="I1875" s="70">
        <f t="shared" si="208"/>
        <v>0</v>
      </c>
      <c r="J1875" s="70">
        <f t="shared" si="209"/>
        <v>0</v>
      </c>
      <c r="K1875" s="70">
        <f>IF(CurrentMtgRatesDataTable8[[#This Row],[WA CC]]&lt;&gt;0,C1874-CurrentMtgRatesDataTable8[[#This Row],[WA CC]],0)</f>
        <v>0</v>
      </c>
      <c r="L1875" s="70">
        <f>IF(CurrentMtgRatesDataTable8[[#This Row],[Servicing Spread]]&lt;=0,L1874,CurrentMtgRatesDataTable8[[#This Row],[Servicing Spread]])</f>
        <v>0.55107018836126986</v>
      </c>
      <c r="M1875" s="70">
        <f>CurrentMtgRatesDataTable8[[#This Row],[Servicing Spread Non-Zero]]-L1874</f>
        <v>0</v>
      </c>
      <c r="N1875" s="70">
        <f>IF(J1874&lt;&gt;0,CurrentMtgRatesDataTable8[[#This Row],[Rate]]-C1874,N1874)</f>
        <v>-1.0000000000000675E-2</v>
      </c>
    </row>
    <row r="1876" spans="1:14">
      <c r="A1876" s="67" t="s">
        <v>3228</v>
      </c>
      <c r="B1876" s="68">
        <v>3.9961535030173398</v>
      </c>
      <c r="C1876" s="69">
        <v>4.5249999999999995</v>
      </c>
      <c r="D1876" s="70">
        <f t="shared" si="203"/>
        <v>5</v>
      </c>
      <c r="E1876" s="70">
        <f t="shared" si="204"/>
        <v>0.2</v>
      </c>
      <c r="F1876" s="70">
        <f t="shared" si="205"/>
        <v>3</v>
      </c>
      <c r="G1876" s="70">
        <f t="shared" si="206"/>
        <v>2.3989305278326265</v>
      </c>
      <c r="H1876" s="70">
        <f t="shared" si="207"/>
        <v>0.60000000000000009</v>
      </c>
      <c r="I1876" s="70">
        <f t="shared" si="208"/>
        <v>0</v>
      </c>
      <c r="J1876" s="70">
        <f t="shared" si="209"/>
        <v>0</v>
      </c>
      <c r="K1876" s="70">
        <f>IF(CurrentMtgRatesDataTable8[[#This Row],[WA CC]]&lt;&gt;0,C1875-CurrentMtgRatesDataTable8[[#This Row],[WA CC]],0)</f>
        <v>0</v>
      </c>
      <c r="L1876" s="70">
        <f>IF(CurrentMtgRatesDataTable8[[#This Row],[Servicing Spread]]&lt;=0,L1875,CurrentMtgRatesDataTable8[[#This Row],[Servicing Spread]])</f>
        <v>0.55107018836126986</v>
      </c>
      <c r="M1876" s="70">
        <f>CurrentMtgRatesDataTable8[[#This Row],[Servicing Spread Non-Zero]]-L1875</f>
        <v>0</v>
      </c>
      <c r="N1876" s="70">
        <f>IF(J1875&lt;&gt;0,CurrentMtgRatesDataTable8[[#This Row],[Rate]]-C1875,N1875)</f>
        <v>-1.0000000000000675E-2</v>
      </c>
    </row>
    <row r="1877" spans="1:14">
      <c r="A1877" s="67" t="s">
        <v>3229</v>
      </c>
      <c r="B1877" s="68">
        <v>3.9840068188340201</v>
      </c>
      <c r="C1877" s="69">
        <v>4.5249999999999995</v>
      </c>
      <c r="D1877" s="70">
        <f t="shared" si="203"/>
        <v>6</v>
      </c>
      <c r="E1877" s="70">
        <f t="shared" si="204"/>
        <v>0.2</v>
      </c>
      <c r="F1877" s="70">
        <f t="shared" si="205"/>
        <v>4</v>
      </c>
      <c r="G1877" s="70">
        <f t="shared" si="206"/>
        <v>3.1957318915994306</v>
      </c>
      <c r="H1877" s="70">
        <f t="shared" si="207"/>
        <v>0.8</v>
      </c>
      <c r="I1877" s="70">
        <f t="shared" si="208"/>
        <v>0</v>
      </c>
      <c r="J1877" s="70">
        <f t="shared" si="209"/>
        <v>0</v>
      </c>
      <c r="K1877" s="70">
        <f>IF(CurrentMtgRatesDataTable8[[#This Row],[WA CC]]&lt;&gt;0,C1876-CurrentMtgRatesDataTable8[[#This Row],[WA CC]],0)</f>
        <v>0</v>
      </c>
      <c r="L1877" s="70">
        <f>IF(CurrentMtgRatesDataTable8[[#This Row],[Servicing Spread]]&lt;=0,L1876,CurrentMtgRatesDataTable8[[#This Row],[Servicing Spread]])</f>
        <v>0.55107018836126986</v>
      </c>
      <c r="M1877" s="70">
        <f>CurrentMtgRatesDataTable8[[#This Row],[Servicing Spread Non-Zero]]-L1876</f>
        <v>0</v>
      </c>
      <c r="N1877" s="70">
        <f>IF(J1876&lt;&gt;0,CurrentMtgRatesDataTable8[[#This Row],[Rate]]-C1876,N1876)</f>
        <v>-1.0000000000000675E-2</v>
      </c>
    </row>
    <row r="1878" spans="1:14">
      <c r="A1878" s="67" t="s">
        <v>3230</v>
      </c>
      <c r="B1878" s="68">
        <v>3.9826402417029598</v>
      </c>
      <c r="C1878" s="69">
        <v>4.5249999999999995</v>
      </c>
      <c r="D1878" s="70">
        <f t="shared" si="203"/>
        <v>7</v>
      </c>
      <c r="E1878" s="70">
        <f t="shared" si="204"/>
        <v>0.2</v>
      </c>
      <c r="F1878" s="70">
        <f t="shared" si="205"/>
        <v>5</v>
      </c>
      <c r="G1878" s="70">
        <f t="shared" si="206"/>
        <v>3.9922599399400225</v>
      </c>
      <c r="H1878" s="70">
        <f t="shared" si="207"/>
        <v>1</v>
      </c>
      <c r="I1878" s="70">
        <f t="shared" si="208"/>
        <v>1</v>
      </c>
      <c r="J1878" s="70">
        <f t="shared" si="209"/>
        <v>3.9922599399400225</v>
      </c>
      <c r="K1878" s="70">
        <f>IF(CurrentMtgRatesDataTable8[[#This Row],[WA CC]]&lt;&gt;0,C1877-CurrentMtgRatesDataTable8[[#This Row],[WA CC]],0)</f>
        <v>0.53274006005997698</v>
      </c>
      <c r="L1878" s="70">
        <f>IF(CurrentMtgRatesDataTable8[[#This Row],[Servicing Spread]]&lt;=0,L1877,CurrentMtgRatesDataTable8[[#This Row],[Servicing Spread]])</f>
        <v>0.53274006005997698</v>
      </c>
      <c r="M1878" s="70">
        <f>CurrentMtgRatesDataTable8[[#This Row],[Servicing Spread Non-Zero]]-L1877</f>
        <v>-1.8330128301292881E-2</v>
      </c>
      <c r="N1878" s="70">
        <f>IF(J1877&lt;&gt;0,CurrentMtgRatesDataTable8[[#This Row],[Rate]]-C1877,N1877)</f>
        <v>-1.0000000000000675E-2</v>
      </c>
    </row>
    <row r="1879" spans="1:14">
      <c r="A1879" s="67" t="s">
        <v>3231</v>
      </c>
      <c r="B1879" s="68">
        <v>3.9110937732392999</v>
      </c>
      <c r="C1879" s="69">
        <v>4.45</v>
      </c>
      <c r="D1879" s="70">
        <f t="shared" si="203"/>
        <v>1</v>
      </c>
      <c r="E1879" s="70">
        <f t="shared" si="204"/>
        <v>0.2</v>
      </c>
      <c r="F1879" s="70">
        <f t="shared" si="205"/>
        <v>1</v>
      </c>
      <c r="G1879" s="70">
        <f t="shared" si="206"/>
        <v>0.78221875464786006</v>
      </c>
      <c r="H1879" s="70">
        <f t="shared" si="207"/>
        <v>0.2</v>
      </c>
      <c r="I1879" s="70">
        <f t="shared" si="208"/>
        <v>0</v>
      </c>
      <c r="J1879" s="70">
        <f t="shared" si="209"/>
        <v>0</v>
      </c>
      <c r="K1879" s="70">
        <f>IF(CurrentMtgRatesDataTable8[[#This Row],[WA CC]]&lt;&gt;0,C1878-CurrentMtgRatesDataTable8[[#This Row],[WA CC]],0)</f>
        <v>0</v>
      </c>
      <c r="L1879" s="70">
        <f>IF(CurrentMtgRatesDataTable8[[#This Row],[Servicing Spread]]&lt;=0,L1878,CurrentMtgRatesDataTable8[[#This Row],[Servicing Spread]])</f>
        <v>0.53274006005997698</v>
      </c>
      <c r="M1879" s="70">
        <f>CurrentMtgRatesDataTable8[[#This Row],[Servicing Spread Non-Zero]]-L1878</f>
        <v>0</v>
      </c>
      <c r="N1879" s="70">
        <f>IF(J1878&lt;&gt;0,CurrentMtgRatesDataTable8[[#This Row],[Rate]]-C1878,N1878)</f>
        <v>-7.4999999999999289E-2</v>
      </c>
    </row>
    <row r="1880" spans="1:14">
      <c r="A1880" s="67" t="s">
        <v>3232</v>
      </c>
      <c r="B1880" s="68">
        <v>3.9340132469573699</v>
      </c>
      <c r="C1880" s="69">
        <v>4.45</v>
      </c>
      <c r="D1880" s="70">
        <f t="shared" si="203"/>
        <v>2</v>
      </c>
      <c r="E1880" s="70">
        <f t="shared" si="204"/>
        <v>0.2</v>
      </c>
      <c r="F1880" s="70">
        <f t="shared" si="205"/>
        <v>2</v>
      </c>
      <c r="G1880" s="70">
        <f t="shared" si="206"/>
        <v>1.5690214040393342</v>
      </c>
      <c r="H1880" s="70">
        <f t="shared" si="207"/>
        <v>0.4</v>
      </c>
      <c r="I1880" s="70">
        <f t="shared" si="208"/>
        <v>0</v>
      </c>
      <c r="J1880" s="70">
        <f t="shared" si="209"/>
        <v>0</v>
      </c>
      <c r="K1880" s="70">
        <f>IF(CurrentMtgRatesDataTable8[[#This Row],[WA CC]]&lt;&gt;0,C1879-CurrentMtgRatesDataTable8[[#This Row],[WA CC]],0)</f>
        <v>0</v>
      </c>
      <c r="L1880" s="70">
        <f>IF(CurrentMtgRatesDataTable8[[#This Row],[Servicing Spread]]&lt;=0,L1879,CurrentMtgRatesDataTable8[[#This Row],[Servicing Spread]])</f>
        <v>0.53274006005997698</v>
      </c>
      <c r="M1880" s="70">
        <f>CurrentMtgRatesDataTable8[[#This Row],[Servicing Spread Non-Zero]]-L1879</f>
        <v>0</v>
      </c>
      <c r="N1880" s="70">
        <f>IF(J1879&lt;&gt;0,CurrentMtgRatesDataTable8[[#This Row],[Rate]]-C1879,N1879)</f>
        <v>-7.4999999999999289E-2</v>
      </c>
    </row>
    <row r="1881" spans="1:14">
      <c r="A1881" s="67" t="s">
        <v>3233</v>
      </c>
      <c r="B1881" s="68">
        <v>3.93235427092598</v>
      </c>
      <c r="C1881" s="69">
        <v>4.45</v>
      </c>
      <c r="D1881" s="70">
        <f t="shared" si="203"/>
        <v>6</v>
      </c>
      <c r="E1881" s="70">
        <f t="shared" si="204"/>
        <v>0.2</v>
      </c>
      <c r="F1881" s="70">
        <f t="shared" si="205"/>
        <v>3</v>
      </c>
      <c r="G1881" s="70">
        <f t="shared" si="206"/>
        <v>2.3554922582245301</v>
      </c>
      <c r="H1881" s="70">
        <f t="shared" si="207"/>
        <v>0.60000000000000009</v>
      </c>
      <c r="I1881" s="70">
        <f t="shared" si="208"/>
        <v>0</v>
      </c>
      <c r="J1881" s="70">
        <f t="shared" si="209"/>
        <v>0</v>
      </c>
      <c r="K1881" s="70">
        <f>IF(CurrentMtgRatesDataTable8[[#This Row],[WA CC]]&lt;&gt;0,C1880-CurrentMtgRatesDataTable8[[#This Row],[WA CC]],0)</f>
        <v>0</v>
      </c>
      <c r="L1881" s="70">
        <f>IF(CurrentMtgRatesDataTable8[[#This Row],[Servicing Spread]]&lt;=0,L1880,CurrentMtgRatesDataTable8[[#This Row],[Servicing Spread]])</f>
        <v>0.53274006005997698</v>
      </c>
      <c r="M1881" s="70">
        <f>CurrentMtgRatesDataTable8[[#This Row],[Servicing Spread Non-Zero]]-L1880</f>
        <v>0</v>
      </c>
      <c r="N1881" s="70">
        <f>IF(J1880&lt;&gt;0,CurrentMtgRatesDataTable8[[#This Row],[Rate]]-C1880,N1880)</f>
        <v>-7.4999999999999289E-2</v>
      </c>
    </row>
    <row r="1882" spans="1:14">
      <c r="A1882" s="67" t="s">
        <v>3234</v>
      </c>
      <c r="B1882" s="68">
        <v>3.86349424372803</v>
      </c>
      <c r="C1882" s="69">
        <v>4.45</v>
      </c>
      <c r="D1882" s="70">
        <f t="shared" si="203"/>
        <v>7</v>
      </c>
      <c r="E1882" s="70">
        <f t="shared" si="204"/>
        <v>0.2</v>
      </c>
      <c r="F1882" s="70">
        <f t="shared" si="205"/>
        <v>4</v>
      </c>
      <c r="G1882" s="70">
        <f t="shared" si="206"/>
        <v>3.128191106970136</v>
      </c>
      <c r="H1882" s="70">
        <f t="shared" si="207"/>
        <v>0.8</v>
      </c>
      <c r="I1882" s="70">
        <f t="shared" si="208"/>
        <v>1</v>
      </c>
      <c r="J1882" s="70">
        <f t="shared" si="209"/>
        <v>3.9102388837126698</v>
      </c>
      <c r="K1882" s="70">
        <f>IF(CurrentMtgRatesDataTable8[[#This Row],[WA CC]]&lt;&gt;0,C1881-CurrentMtgRatesDataTable8[[#This Row],[WA CC]],0)</f>
        <v>0.53976111628733037</v>
      </c>
      <c r="L1882" s="70">
        <f>IF(CurrentMtgRatesDataTable8[[#This Row],[Servicing Spread]]&lt;=0,L1881,CurrentMtgRatesDataTable8[[#This Row],[Servicing Spread]])</f>
        <v>0.53976111628733037</v>
      </c>
      <c r="M1882" s="70">
        <f>CurrentMtgRatesDataTable8[[#This Row],[Servicing Spread Non-Zero]]-L1881</f>
        <v>7.0210562273533839E-3</v>
      </c>
      <c r="N1882" s="70">
        <f>IF(J1881&lt;&gt;0,CurrentMtgRatesDataTable8[[#This Row],[Rate]]-C1881,N1881)</f>
        <v>-7.4999999999999289E-2</v>
      </c>
    </row>
    <row r="1883" spans="1:14">
      <c r="A1883" s="67" t="s">
        <v>3235</v>
      </c>
      <c r="B1883" s="68">
        <v>3.91386634442794</v>
      </c>
      <c r="C1883" s="69">
        <v>4.415</v>
      </c>
      <c r="D1883" s="70">
        <f t="shared" si="203"/>
        <v>1</v>
      </c>
      <c r="E1883" s="70">
        <f t="shared" si="204"/>
        <v>0.2</v>
      </c>
      <c r="F1883" s="70">
        <f t="shared" si="205"/>
        <v>1</v>
      </c>
      <c r="G1883" s="70">
        <f t="shared" si="206"/>
        <v>0.78277326888558807</v>
      </c>
      <c r="H1883" s="70">
        <f t="shared" si="207"/>
        <v>0.2</v>
      </c>
      <c r="I1883" s="70">
        <f t="shared" si="208"/>
        <v>0</v>
      </c>
      <c r="J1883" s="70">
        <f t="shared" si="209"/>
        <v>0</v>
      </c>
      <c r="K1883" s="70">
        <f>IF(CurrentMtgRatesDataTable8[[#This Row],[WA CC]]&lt;&gt;0,C1882-CurrentMtgRatesDataTable8[[#This Row],[WA CC]],0)</f>
        <v>0</v>
      </c>
      <c r="L1883" s="70">
        <f>IF(CurrentMtgRatesDataTable8[[#This Row],[Servicing Spread]]&lt;=0,L1882,CurrentMtgRatesDataTable8[[#This Row],[Servicing Spread]])</f>
        <v>0.53976111628733037</v>
      </c>
      <c r="M1883" s="70">
        <f>CurrentMtgRatesDataTable8[[#This Row],[Servicing Spread Non-Zero]]-L1882</f>
        <v>0</v>
      </c>
      <c r="N1883" s="70">
        <f>IF(J1882&lt;&gt;0,CurrentMtgRatesDataTable8[[#This Row],[Rate]]-C1882,N1882)</f>
        <v>-3.5000000000000142E-2</v>
      </c>
    </row>
    <row r="1884" spans="1:14">
      <c r="A1884" s="67" t="s">
        <v>3236</v>
      </c>
      <c r="B1884" s="68">
        <v>3.8932835819735199</v>
      </c>
      <c r="C1884" s="69">
        <v>4.415</v>
      </c>
      <c r="D1884" s="70">
        <f t="shared" si="203"/>
        <v>2</v>
      </c>
      <c r="E1884" s="70">
        <f t="shared" si="204"/>
        <v>0.2</v>
      </c>
      <c r="F1884" s="70">
        <f t="shared" si="205"/>
        <v>2</v>
      </c>
      <c r="G1884" s="70">
        <f t="shared" si="206"/>
        <v>1.561429985280292</v>
      </c>
      <c r="H1884" s="70">
        <f t="shared" si="207"/>
        <v>0.4</v>
      </c>
      <c r="I1884" s="70">
        <f t="shared" si="208"/>
        <v>0</v>
      </c>
      <c r="J1884" s="70">
        <f t="shared" si="209"/>
        <v>0</v>
      </c>
      <c r="K1884" s="70">
        <f>IF(CurrentMtgRatesDataTable8[[#This Row],[WA CC]]&lt;&gt;0,C1883-CurrentMtgRatesDataTable8[[#This Row],[WA CC]],0)</f>
        <v>0</v>
      </c>
      <c r="L1884" s="70">
        <f>IF(CurrentMtgRatesDataTable8[[#This Row],[Servicing Spread]]&lt;=0,L1883,CurrentMtgRatesDataTable8[[#This Row],[Servicing Spread]])</f>
        <v>0.53976111628733037</v>
      </c>
      <c r="M1884" s="70">
        <f>CurrentMtgRatesDataTable8[[#This Row],[Servicing Spread Non-Zero]]-L1883</f>
        <v>0</v>
      </c>
      <c r="N1884" s="70">
        <f>IF(J1883&lt;&gt;0,CurrentMtgRatesDataTable8[[#This Row],[Rate]]-C1883,N1883)</f>
        <v>-3.5000000000000142E-2</v>
      </c>
    </row>
    <row r="1885" spans="1:14">
      <c r="A1885" s="67" t="s">
        <v>3237</v>
      </c>
      <c r="B1885" s="68">
        <v>3.9007146694666899</v>
      </c>
      <c r="C1885" s="69">
        <v>4.415</v>
      </c>
      <c r="D1885" s="70">
        <f t="shared" si="203"/>
        <v>5</v>
      </c>
      <c r="E1885" s="70">
        <f t="shared" si="204"/>
        <v>0.2</v>
      </c>
      <c r="F1885" s="70">
        <f t="shared" si="205"/>
        <v>3</v>
      </c>
      <c r="G1885" s="70">
        <f t="shared" si="206"/>
        <v>2.3415729191736299</v>
      </c>
      <c r="H1885" s="70">
        <f t="shared" si="207"/>
        <v>0.60000000000000009</v>
      </c>
      <c r="I1885" s="70">
        <f t="shared" si="208"/>
        <v>0</v>
      </c>
      <c r="J1885" s="70">
        <f t="shared" si="209"/>
        <v>0</v>
      </c>
      <c r="K1885" s="70">
        <f>IF(CurrentMtgRatesDataTable8[[#This Row],[WA CC]]&lt;&gt;0,C1884-CurrentMtgRatesDataTable8[[#This Row],[WA CC]],0)</f>
        <v>0</v>
      </c>
      <c r="L1885" s="70">
        <f>IF(CurrentMtgRatesDataTable8[[#This Row],[Servicing Spread]]&lt;=0,L1884,CurrentMtgRatesDataTable8[[#This Row],[Servicing Spread]])</f>
        <v>0.53976111628733037</v>
      </c>
      <c r="M1885" s="70">
        <f>CurrentMtgRatesDataTable8[[#This Row],[Servicing Spread Non-Zero]]-L1884</f>
        <v>0</v>
      </c>
      <c r="N1885" s="70">
        <f>IF(J1884&lt;&gt;0,CurrentMtgRatesDataTable8[[#This Row],[Rate]]-C1884,N1884)</f>
        <v>-3.5000000000000142E-2</v>
      </c>
    </row>
    <row r="1886" spans="1:14">
      <c r="A1886" s="67" t="s">
        <v>3238</v>
      </c>
      <c r="B1886" s="68">
        <v>3.8958144444652301</v>
      </c>
      <c r="C1886" s="69">
        <v>4.415</v>
      </c>
      <c r="D1886" s="70">
        <f t="shared" si="203"/>
        <v>6</v>
      </c>
      <c r="E1886" s="70">
        <f t="shared" si="204"/>
        <v>0.2</v>
      </c>
      <c r="F1886" s="70">
        <f t="shared" si="205"/>
        <v>4</v>
      </c>
      <c r="G1886" s="70">
        <f t="shared" si="206"/>
        <v>3.1207358080666761</v>
      </c>
      <c r="H1886" s="70">
        <f t="shared" si="207"/>
        <v>0.8</v>
      </c>
      <c r="I1886" s="70">
        <f t="shared" si="208"/>
        <v>0</v>
      </c>
      <c r="J1886" s="70">
        <f t="shared" si="209"/>
        <v>0</v>
      </c>
      <c r="K1886" s="70">
        <f>IF(CurrentMtgRatesDataTable8[[#This Row],[WA CC]]&lt;&gt;0,C1885-CurrentMtgRatesDataTable8[[#This Row],[WA CC]],0)</f>
        <v>0</v>
      </c>
      <c r="L1886" s="70">
        <f>IF(CurrentMtgRatesDataTable8[[#This Row],[Servicing Spread]]&lt;=0,L1885,CurrentMtgRatesDataTable8[[#This Row],[Servicing Spread]])</f>
        <v>0.53976111628733037</v>
      </c>
      <c r="M1886" s="70">
        <f>CurrentMtgRatesDataTable8[[#This Row],[Servicing Spread Non-Zero]]-L1885</f>
        <v>0</v>
      </c>
      <c r="N1886" s="70">
        <f>IF(J1885&lt;&gt;0,CurrentMtgRatesDataTable8[[#This Row],[Rate]]-C1885,N1885)</f>
        <v>-3.5000000000000142E-2</v>
      </c>
    </row>
    <row r="1887" spans="1:14">
      <c r="A1887" s="67" t="s">
        <v>3239</v>
      </c>
      <c r="B1887" s="68">
        <v>3.8566823596436302</v>
      </c>
      <c r="C1887" s="69">
        <v>4.415</v>
      </c>
      <c r="D1887" s="70">
        <f t="shared" si="203"/>
        <v>7</v>
      </c>
      <c r="E1887" s="70">
        <f t="shared" si="204"/>
        <v>0.2</v>
      </c>
      <c r="F1887" s="70">
        <f t="shared" si="205"/>
        <v>5</v>
      </c>
      <c r="G1887" s="70">
        <f t="shared" si="206"/>
        <v>3.8920722799954022</v>
      </c>
      <c r="H1887" s="70">
        <f t="shared" si="207"/>
        <v>1</v>
      </c>
      <c r="I1887" s="70">
        <f t="shared" si="208"/>
        <v>1</v>
      </c>
      <c r="J1887" s="70">
        <f t="shared" si="209"/>
        <v>3.8920722799954022</v>
      </c>
      <c r="K1887" s="70">
        <f>IF(CurrentMtgRatesDataTable8[[#This Row],[WA CC]]&lt;&gt;0,C1886-CurrentMtgRatesDataTable8[[#This Row],[WA CC]],0)</f>
        <v>0.52292772000459786</v>
      </c>
      <c r="L1887" s="70">
        <f>IF(CurrentMtgRatesDataTable8[[#This Row],[Servicing Spread]]&lt;=0,L1886,CurrentMtgRatesDataTable8[[#This Row],[Servicing Spread]])</f>
        <v>0.52292772000459786</v>
      </c>
      <c r="M1887" s="70">
        <f>CurrentMtgRatesDataTable8[[#This Row],[Servicing Spread Non-Zero]]-L1886</f>
        <v>-1.6833396282732505E-2</v>
      </c>
      <c r="N1887" s="70">
        <f>IF(J1886&lt;&gt;0,CurrentMtgRatesDataTable8[[#This Row],[Rate]]-C1886,N1886)</f>
        <v>-3.5000000000000142E-2</v>
      </c>
    </row>
    <row r="1888" spans="1:14">
      <c r="A1888" s="67" t="s">
        <v>3240</v>
      </c>
      <c r="B1888" s="68">
        <v>3.8960475696297299</v>
      </c>
      <c r="C1888" s="69">
        <v>4.4249999999999998</v>
      </c>
      <c r="D1888" s="70">
        <f t="shared" si="203"/>
        <v>1</v>
      </c>
      <c r="E1888" s="70">
        <f t="shared" si="204"/>
        <v>0.2</v>
      </c>
      <c r="F1888" s="70">
        <f t="shared" si="205"/>
        <v>1</v>
      </c>
      <c r="G1888" s="70">
        <f t="shared" si="206"/>
        <v>0.77920951392594606</v>
      </c>
      <c r="H1888" s="70">
        <f t="shared" si="207"/>
        <v>0.2</v>
      </c>
      <c r="I1888" s="70">
        <f t="shared" si="208"/>
        <v>0</v>
      </c>
      <c r="J1888" s="70">
        <f t="shared" si="209"/>
        <v>0</v>
      </c>
      <c r="K1888" s="70">
        <f>IF(CurrentMtgRatesDataTable8[[#This Row],[WA CC]]&lt;&gt;0,C1887-CurrentMtgRatesDataTable8[[#This Row],[WA CC]],0)</f>
        <v>0</v>
      </c>
      <c r="L1888" s="70">
        <f>IF(CurrentMtgRatesDataTable8[[#This Row],[Servicing Spread]]&lt;=0,L1887,CurrentMtgRatesDataTable8[[#This Row],[Servicing Spread]])</f>
        <v>0.52292772000459786</v>
      </c>
      <c r="M1888" s="70">
        <f>CurrentMtgRatesDataTable8[[#This Row],[Servicing Spread Non-Zero]]-L1887</f>
        <v>0</v>
      </c>
      <c r="N1888" s="70">
        <f>IF(J1887&lt;&gt;0,CurrentMtgRatesDataTable8[[#This Row],[Rate]]-C1887,N1887)</f>
        <v>9.9999999999997868E-3</v>
      </c>
    </row>
    <row r="1889" spans="1:14">
      <c r="A1889" s="67" t="s">
        <v>3241</v>
      </c>
      <c r="B1889" s="68">
        <v>3.8969631716255102</v>
      </c>
      <c r="C1889" s="69">
        <v>4.4249999999999998</v>
      </c>
      <c r="D1889" s="70">
        <f t="shared" si="203"/>
        <v>2</v>
      </c>
      <c r="E1889" s="70">
        <f t="shared" si="204"/>
        <v>0.2</v>
      </c>
      <c r="F1889" s="70">
        <f t="shared" si="205"/>
        <v>2</v>
      </c>
      <c r="G1889" s="70">
        <f t="shared" si="206"/>
        <v>1.5586021482510481</v>
      </c>
      <c r="H1889" s="70">
        <f t="shared" si="207"/>
        <v>0.4</v>
      </c>
      <c r="I1889" s="70">
        <f t="shared" si="208"/>
        <v>0</v>
      </c>
      <c r="J1889" s="70">
        <f t="shared" si="209"/>
        <v>0</v>
      </c>
      <c r="K1889" s="70">
        <f>IF(CurrentMtgRatesDataTable8[[#This Row],[WA CC]]&lt;&gt;0,C1888-CurrentMtgRatesDataTable8[[#This Row],[WA CC]],0)</f>
        <v>0</v>
      </c>
      <c r="L1889" s="70">
        <f>IF(CurrentMtgRatesDataTable8[[#This Row],[Servicing Spread]]&lt;=0,L1888,CurrentMtgRatesDataTable8[[#This Row],[Servicing Spread]])</f>
        <v>0.52292772000459786</v>
      </c>
      <c r="M1889" s="70">
        <f>CurrentMtgRatesDataTable8[[#This Row],[Servicing Spread Non-Zero]]-L1888</f>
        <v>0</v>
      </c>
      <c r="N1889" s="70">
        <f>IF(J1888&lt;&gt;0,CurrentMtgRatesDataTable8[[#This Row],[Rate]]-C1888,N1888)</f>
        <v>9.9999999999997868E-3</v>
      </c>
    </row>
    <row r="1890" spans="1:14">
      <c r="A1890" s="67" t="s">
        <v>3242</v>
      </c>
      <c r="B1890" s="68">
        <v>3.9067873129845099</v>
      </c>
      <c r="C1890" s="69">
        <v>4.4249999999999998</v>
      </c>
      <c r="D1890" s="70">
        <f t="shared" si="203"/>
        <v>5</v>
      </c>
      <c r="E1890" s="70">
        <f t="shared" si="204"/>
        <v>0.2</v>
      </c>
      <c r="F1890" s="70">
        <f t="shared" si="205"/>
        <v>3</v>
      </c>
      <c r="G1890" s="70">
        <f t="shared" si="206"/>
        <v>2.3399596108479503</v>
      </c>
      <c r="H1890" s="70">
        <f t="shared" si="207"/>
        <v>0.60000000000000009</v>
      </c>
      <c r="I1890" s="70">
        <f t="shared" si="208"/>
        <v>0</v>
      </c>
      <c r="J1890" s="70">
        <f t="shared" si="209"/>
        <v>0</v>
      </c>
      <c r="K1890" s="70">
        <f>IF(CurrentMtgRatesDataTable8[[#This Row],[WA CC]]&lt;&gt;0,C1889-CurrentMtgRatesDataTable8[[#This Row],[WA CC]],0)</f>
        <v>0</v>
      </c>
      <c r="L1890" s="70">
        <f>IF(CurrentMtgRatesDataTable8[[#This Row],[Servicing Spread]]&lt;=0,L1889,CurrentMtgRatesDataTable8[[#This Row],[Servicing Spread]])</f>
        <v>0.52292772000459786</v>
      </c>
      <c r="M1890" s="70">
        <f>CurrentMtgRatesDataTable8[[#This Row],[Servicing Spread Non-Zero]]-L1889</f>
        <v>0</v>
      </c>
      <c r="N1890" s="70">
        <f>IF(J1889&lt;&gt;0,CurrentMtgRatesDataTable8[[#This Row],[Rate]]-C1889,N1889)</f>
        <v>9.9999999999997868E-3</v>
      </c>
    </row>
    <row r="1891" spans="1:14">
      <c r="A1891" s="67" t="s">
        <v>3243</v>
      </c>
      <c r="B1891" s="68">
        <v>3.9753443748507</v>
      </c>
      <c r="C1891" s="69">
        <v>4.4249999999999998</v>
      </c>
      <c r="D1891" s="70">
        <f t="shared" si="203"/>
        <v>6</v>
      </c>
      <c r="E1891" s="70">
        <f t="shared" si="204"/>
        <v>0.2</v>
      </c>
      <c r="F1891" s="70">
        <f t="shared" si="205"/>
        <v>4</v>
      </c>
      <c r="G1891" s="70">
        <f t="shared" si="206"/>
        <v>3.1350284858180903</v>
      </c>
      <c r="H1891" s="70">
        <f t="shared" si="207"/>
        <v>0.8</v>
      </c>
      <c r="I1891" s="70">
        <f t="shared" si="208"/>
        <v>0</v>
      </c>
      <c r="J1891" s="70">
        <f t="shared" si="209"/>
        <v>0</v>
      </c>
      <c r="K1891" s="70">
        <f>IF(CurrentMtgRatesDataTable8[[#This Row],[WA CC]]&lt;&gt;0,C1890-CurrentMtgRatesDataTable8[[#This Row],[WA CC]],0)</f>
        <v>0</v>
      </c>
      <c r="L1891" s="70">
        <f>IF(CurrentMtgRatesDataTable8[[#This Row],[Servicing Spread]]&lt;=0,L1890,CurrentMtgRatesDataTable8[[#This Row],[Servicing Spread]])</f>
        <v>0.52292772000459786</v>
      </c>
      <c r="M1891" s="70">
        <f>CurrentMtgRatesDataTable8[[#This Row],[Servicing Spread Non-Zero]]-L1890</f>
        <v>0</v>
      </c>
      <c r="N1891" s="70">
        <f>IF(J1890&lt;&gt;0,CurrentMtgRatesDataTable8[[#This Row],[Rate]]-C1890,N1890)</f>
        <v>9.9999999999997868E-3</v>
      </c>
    </row>
    <row r="1892" spans="1:14">
      <c r="A1892" s="67" t="s">
        <v>3244</v>
      </c>
      <c r="B1892" s="68">
        <v>3.9059042463873701</v>
      </c>
      <c r="C1892" s="69">
        <v>4.4249999999999998</v>
      </c>
      <c r="D1892" s="70">
        <f t="shared" si="203"/>
        <v>7</v>
      </c>
      <c r="E1892" s="70">
        <f t="shared" si="204"/>
        <v>0.2</v>
      </c>
      <c r="F1892" s="70">
        <f t="shared" si="205"/>
        <v>5</v>
      </c>
      <c r="G1892" s="70">
        <f t="shared" si="206"/>
        <v>3.9162093350955645</v>
      </c>
      <c r="H1892" s="70">
        <f t="shared" si="207"/>
        <v>1</v>
      </c>
      <c r="I1892" s="70">
        <f t="shared" si="208"/>
        <v>1</v>
      </c>
      <c r="J1892" s="70">
        <f t="shared" si="209"/>
        <v>3.9162093350955645</v>
      </c>
      <c r="K1892" s="70">
        <f>IF(CurrentMtgRatesDataTable8[[#This Row],[WA CC]]&lt;&gt;0,C1891-CurrentMtgRatesDataTable8[[#This Row],[WA CC]],0)</f>
        <v>0.50879066490443536</v>
      </c>
      <c r="L1892" s="70">
        <f>IF(CurrentMtgRatesDataTable8[[#This Row],[Servicing Spread]]&lt;=0,L1891,CurrentMtgRatesDataTable8[[#This Row],[Servicing Spread]])</f>
        <v>0.50879066490443536</v>
      </c>
      <c r="M1892" s="70">
        <f>CurrentMtgRatesDataTable8[[#This Row],[Servicing Spread Non-Zero]]-L1891</f>
        <v>-1.4137055100162499E-2</v>
      </c>
      <c r="N1892" s="70">
        <f>IF(J1891&lt;&gt;0,CurrentMtgRatesDataTable8[[#This Row],[Rate]]-C1891,N1891)</f>
        <v>9.9999999999997868E-3</v>
      </c>
    </row>
    <row r="1893" spans="1:14">
      <c r="A1893" s="67" t="s">
        <v>3245</v>
      </c>
      <c r="B1893" s="68">
        <v>3.8841647371272701</v>
      </c>
      <c r="C1893" s="69">
        <v>4.45</v>
      </c>
      <c r="D1893" s="70">
        <f t="shared" si="203"/>
        <v>1</v>
      </c>
      <c r="E1893" s="70">
        <f t="shared" si="204"/>
        <v>0.2</v>
      </c>
      <c r="F1893" s="70">
        <f t="shared" si="205"/>
        <v>1</v>
      </c>
      <c r="G1893" s="70">
        <f t="shared" si="206"/>
        <v>0.77683294742545406</v>
      </c>
      <c r="H1893" s="70">
        <f t="shared" si="207"/>
        <v>0.2</v>
      </c>
      <c r="I1893" s="70">
        <f t="shared" si="208"/>
        <v>0</v>
      </c>
      <c r="J1893" s="70">
        <f t="shared" si="209"/>
        <v>0</v>
      </c>
      <c r="K1893" s="70">
        <f>IF(CurrentMtgRatesDataTable8[[#This Row],[WA CC]]&lt;&gt;0,C1892-CurrentMtgRatesDataTable8[[#This Row],[WA CC]],0)</f>
        <v>0</v>
      </c>
      <c r="L1893" s="70">
        <f>IF(CurrentMtgRatesDataTable8[[#This Row],[Servicing Spread]]&lt;=0,L1892,CurrentMtgRatesDataTable8[[#This Row],[Servicing Spread]])</f>
        <v>0.50879066490443536</v>
      </c>
      <c r="M1893" s="70">
        <f>CurrentMtgRatesDataTable8[[#This Row],[Servicing Spread Non-Zero]]-L1892</f>
        <v>0</v>
      </c>
      <c r="N1893" s="70">
        <f>IF(J1892&lt;&gt;0,CurrentMtgRatesDataTable8[[#This Row],[Rate]]-C1892,N1892)</f>
        <v>2.5000000000000355E-2</v>
      </c>
    </row>
    <row r="1894" spans="1:14">
      <c r="A1894" s="67" t="s">
        <v>3246</v>
      </c>
      <c r="B1894" s="68">
        <v>3.9054668226802498</v>
      </c>
      <c r="C1894" s="69">
        <v>4.45</v>
      </c>
      <c r="D1894" s="70">
        <f t="shared" si="203"/>
        <v>2</v>
      </c>
      <c r="E1894" s="70">
        <f t="shared" si="204"/>
        <v>0.2</v>
      </c>
      <c r="F1894" s="70">
        <f t="shared" si="205"/>
        <v>2</v>
      </c>
      <c r="G1894" s="70">
        <f t="shared" si="206"/>
        <v>1.5579263119615041</v>
      </c>
      <c r="H1894" s="70">
        <f t="shared" si="207"/>
        <v>0.4</v>
      </c>
      <c r="I1894" s="70">
        <f t="shared" si="208"/>
        <v>0</v>
      </c>
      <c r="J1894" s="70">
        <f t="shared" si="209"/>
        <v>0</v>
      </c>
      <c r="K1894" s="70">
        <f>IF(CurrentMtgRatesDataTable8[[#This Row],[WA CC]]&lt;&gt;0,C1893-CurrentMtgRatesDataTable8[[#This Row],[WA CC]],0)</f>
        <v>0</v>
      </c>
      <c r="L1894" s="70">
        <f>IF(CurrentMtgRatesDataTable8[[#This Row],[Servicing Spread]]&lt;=0,L1893,CurrentMtgRatesDataTable8[[#This Row],[Servicing Spread]])</f>
        <v>0.50879066490443536</v>
      </c>
      <c r="M1894" s="70">
        <f>CurrentMtgRatesDataTable8[[#This Row],[Servicing Spread Non-Zero]]-L1893</f>
        <v>0</v>
      </c>
      <c r="N1894" s="70">
        <f>IF(J1893&lt;&gt;0,CurrentMtgRatesDataTable8[[#This Row],[Rate]]-C1893,N1893)</f>
        <v>2.5000000000000355E-2</v>
      </c>
    </row>
    <row r="1895" spans="1:14">
      <c r="A1895" s="67" t="s">
        <v>3247</v>
      </c>
      <c r="B1895" s="68">
        <v>3.9260526521362999</v>
      </c>
      <c r="C1895" s="69">
        <v>4.45</v>
      </c>
      <c r="D1895" s="70">
        <f t="shared" si="203"/>
        <v>5</v>
      </c>
      <c r="E1895" s="70">
        <f t="shared" si="204"/>
        <v>0.2</v>
      </c>
      <c r="F1895" s="70">
        <f t="shared" si="205"/>
        <v>3</v>
      </c>
      <c r="G1895" s="70">
        <f t="shared" si="206"/>
        <v>2.3431368423887644</v>
      </c>
      <c r="H1895" s="70">
        <f t="shared" si="207"/>
        <v>0.60000000000000009</v>
      </c>
      <c r="I1895" s="70">
        <f t="shared" si="208"/>
        <v>0</v>
      </c>
      <c r="J1895" s="70">
        <f t="shared" si="209"/>
        <v>0</v>
      </c>
      <c r="K1895" s="70">
        <f>IF(CurrentMtgRatesDataTable8[[#This Row],[WA CC]]&lt;&gt;0,C1894-CurrentMtgRatesDataTable8[[#This Row],[WA CC]],0)</f>
        <v>0</v>
      </c>
      <c r="L1895" s="70">
        <f>IF(CurrentMtgRatesDataTable8[[#This Row],[Servicing Spread]]&lt;=0,L1894,CurrentMtgRatesDataTable8[[#This Row],[Servicing Spread]])</f>
        <v>0.50879066490443536</v>
      </c>
      <c r="M1895" s="70">
        <f>CurrentMtgRatesDataTable8[[#This Row],[Servicing Spread Non-Zero]]-L1894</f>
        <v>0</v>
      </c>
      <c r="N1895" s="70">
        <f>IF(J1894&lt;&gt;0,CurrentMtgRatesDataTable8[[#This Row],[Rate]]-C1894,N1894)</f>
        <v>2.5000000000000355E-2</v>
      </c>
    </row>
    <row r="1896" spans="1:14">
      <c r="A1896" s="67" t="s">
        <v>3248</v>
      </c>
      <c r="B1896" s="68">
        <v>3.9333528033335798</v>
      </c>
      <c r="C1896" s="69">
        <v>4.45</v>
      </c>
      <c r="D1896" s="70">
        <f t="shared" si="203"/>
        <v>6</v>
      </c>
      <c r="E1896" s="70">
        <f t="shared" si="204"/>
        <v>0.2</v>
      </c>
      <c r="F1896" s="70">
        <f t="shared" si="205"/>
        <v>4</v>
      </c>
      <c r="G1896" s="70">
        <f t="shared" si="206"/>
        <v>3.1298074030554806</v>
      </c>
      <c r="H1896" s="70">
        <f t="shared" si="207"/>
        <v>0.8</v>
      </c>
      <c r="I1896" s="70">
        <f t="shared" si="208"/>
        <v>0</v>
      </c>
      <c r="J1896" s="70">
        <f t="shared" si="209"/>
        <v>0</v>
      </c>
      <c r="K1896" s="70">
        <f>IF(CurrentMtgRatesDataTable8[[#This Row],[WA CC]]&lt;&gt;0,C1895-CurrentMtgRatesDataTable8[[#This Row],[WA CC]],0)</f>
        <v>0</v>
      </c>
      <c r="L1896" s="70">
        <f>IF(CurrentMtgRatesDataTable8[[#This Row],[Servicing Spread]]&lt;=0,L1895,CurrentMtgRatesDataTable8[[#This Row],[Servicing Spread]])</f>
        <v>0.50879066490443536</v>
      </c>
      <c r="M1896" s="70">
        <f>CurrentMtgRatesDataTable8[[#This Row],[Servicing Spread Non-Zero]]-L1895</f>
        <v>0</v>
      </c>
      <c r="N1896" s="70">
        <f>IF(J1895&lt;&gt;0,CurrentMtgRatesDataTable8[[#This Row],[Rate]]-C1895,N1895)</f>
        <v>2.5000000000000355E-2</v>
      </c>
    </row>
    <row r="1897" spans="1:14">
      <c r="A1897" s="67" t="s">
        <v>3249</v>
      </c>
      <c r="B1897" s="68">
        <v>3.9103100553676802</v>
      </c>
      <c r="C1897" s="69">
        <v>4.45</v>
      </c>
      <c r="D1897" s="70">
        <f t="shared" si="203"/>
        <v>7</v>
      </c>
      <c r="E1897" s="70">
        <f t="shared" si="204"/>
        <v>0.2</v>
      </c>
      <c r="F1897" s="70">
        <f t="shared" si="205"/>
        <v>5</v>
      </c>
      <c r="G1897" s="70">
        <f t="shared" si="206"/>
        <v>3.9118694141290167</v>
      </c>
      <c r="H1897" s="70">
        <f t="shared" si="207"/>
        <v>1</v>
      </c>
      <c r="I1897" s="70">
        <f t="shared" si="208"/>
        <v>1</v>
      </c>
      <c r="J1897" s="70">
        <f t="shared" si="209"/>
        <v>3.9118694141290167</v>
      </c>
      <c r="K1897" s="70">
        <f>IF(CurrentMtgRatesDataTable8[[#This Row],[WA CC]]&lt;&gt;0,C1896-CurrentMtgRatesDataTable8[[#This Row],[WA CC]],0)</f>
        <v>0.5381305858709835</v>
      </c>
      <c r="L1897" s="70">
        <f>IF(CurrentMtgRatesDataTable8[[#This Row],[Servicing Spread]]&lt;=0,L1896,CurrentMtgRatesDataTable8[[#This Row],[Servicing Spread]])</f>
        <v>0.5381305858709835</v>
      </c>
      <c r="M1897" s="70">
        <f>CurrentMtgRatesDataTable8[[#This Row],[Servicing Spread Non-Zero]]-L1896</f>
        <v>2.9339920966548139E-2</v>
      </c>
      <c r="N1897" s="70">
        <f>IF(J1896&lt;&gt;0,CurrentMtgRatesDataTable8[[#This Row],[Rate]]-C1896,N1896)</f>
        <v>2.5000000000000355E-2</v>
      </c>
    </row>
    <row r="1898" spans="1:14">
      <c r="A1898" s="67" t="s">
        <v>3250</v>
      </c>
      <c r="B1898" s="68">
        <v>3.84233320184673</v>
      </c>
      <c r="C1898" s="69">
        <v>4.4349999999999996</v>
      </c>
      <c r="D1898" s="70">
        <f t="shared" si="203"/>
        <v>1</v>
      </c>
      <c r="E1898" s="70">
        <f t="shared" si="204"/>
        <v>0.2</v>
      </c>
      <c r="F1898" s="70">
        <f t="shared" si="205"/>
        <v>1</v>
      </c>
      <c r="G1898" s="70">
        <f t="shared" si="206"/>
        <v>0.76846664036934609</v>
      </c>
      <c r="H1898" s="70">
        <f t="shared" si="207"/>
        <v>0.2</v>
      </c>
      <c r="I1898" s="70">
        <f t="shared" si="208"/>
        <v>0</v>
      </c>
      <c r="J1898" s="70">
        <f t="shared" si="209"/>
        <v>0</v>
      </c>
      <c r="K1898" s="70">
        <f>IF(CurrentMtgRatesDataTable8[[#This Row],[WA CC]]&lt;&gt;0,C1897-CurrentMtgRatesDataTable8[[#This Row],[WA CC]],0)</f>
        <v>0</v>
      </c>
      <c r="L1898" s="70">
        <f>IF(CurrentMtgRatesDataTable8[[#This Row],[Servicing Spread]]&lt;=0,L1897,CurrentMtgRatesDataTable8[[#This Row],[Servicing Spread]])</f>
        <v>0.5381305858709835</v>
      </c>
      <c r="M1898" s="70">
        <f>CurrentMtgRatesDataTable8[[#This Row],[Servicing Spread Non-Zero]]-L1897</f>
        <v>0</v>
      </c>
      <c r="N1898" s="70">
        <f>IF(J1897&lt;&gt;0,CurrentMtgRatesDataTable8[[#This Row],[Rate]]-C1897,N1897)</f>
        <v>-1.5000000000000568E-2</v>
      </c>
    </row>
    <row r="1899" spans="1:14">
      <c r="A1899" s="67" t="s">
        <v>3251</v>
      </c>
      <c r="B1899" s="68">
        <v>3.8413126795761698</v>
      </c>
      <c r="C1899" s="69">
        <v>4.4349999999999996</v>
      </c>
      <c r="D1899" s="70">
        <f t="shared" si="203"/>
        <v>2</v>
      </c>
      <c r="E1899" s="70">
        <f t="shared" si="204"/>
        <v>0.2</v>
      </c>
      <c r="F1899" s="70">
        <f t="shared" si="205"/>
        <v>2</v>
      </c>
      <c r="G1899" s="70">
        <f t="shared" si="206"/>
        <v>1.5367291762845801</v>
      </c>
      <c r="H1899" s="70">
        <f t="shared" si="207"/>
        <v>0.4</v>
      </c>
      <c r="I1899" s="70">
        <f t="shared" si="208"/>
        <v>0</v>
      </c>
      <c r="J1899" s="70">
        <f t="shared" si="209"/>
        <v>0</v>
      </c>
      <c r="K1899" s="70">
        <f>IF(CurrentMtgRatesDataTable8[[#This Row],[WA CC]]&lt;&gt;0,C1898-CurrentMtgRatesDataTable8[[#This Row],[WA CC]],0)</f>
        <v>0</v>
      </c>
      <c r="L1899" s="70">
        <f>IF(CurrentMtgRatesDataTable8[[#This Row],[Servicing Spread]]&lt;=0,L1898,CurrentMtgRatesDataTable8[[#This Row],[Servicing Spread]])</f>
        <v>0.5381305858709835</v>
      </c>
      <c r="M1899" s="70">
        <f>CurrentMtgRatesDataTable8[[#This Row],[Servicing Spread Non-Zero]]-L1898</f>
        <v>0</v>
      </c>
      <c r="N1899" s="70">
        <f>IF(J1898&lt;&gt;0,CurrentMtgRatesDataTable8[[#This Row],[Rate]]-C1898,N1898)</f>
        <v>-1.5000000000000568E-2</v>
      </c>
    </row>
    <row r="1900" spans="1:14">
      <c r="A1900" s="67" t="s">
        <v>3252</v>
      </c>
      <c r="B1900" s="68">
        <v>3.88514648916032</v>
      </c>
      <c r="C1900" s="69">
        <v>4.4349999999999996</v>
      </c>
      <c r="D1900" s="70">
        <f t="shared" si="203"/>
        <v>5</v>
      </c>
      <c r="E1900" s="70">
        <f t="shared" si="204"/>
        <v>0.2</v>
      </c>
      <c r="F1900" s="70">
        <f t="shared" si="205"/>
        <v>3</v>
      </c>
      <c r="G1900" s="70">
        <f t="shared" si="206"/>
        <v>2.3137584741166441</v>
      </c>
      <c r="H1900" s="70">
        <f t="shared" si="207"/>
        <v>0.60000000000000009</v>
      </c>
      <c r="I1900" s="70">
        <f t="shared" si="208"/>
        <v>0</v>
      </c>
      <c r="J1900" s="70">
        <f t="shared" si="209"/>
        <v>0</v>
      </c>
      <c r="K1900" s="70">
        <f>IF(CurrentMtgRatesDataTable8[[#This Row],[WA CC]]&lt;&gt;0,C1899-CurrentMtgRatesDataTable8[[#This Row],[WA CC]],0)</f>
        <v>0</v>
      </c>
      <c r="L1900" s="70">
        <f>IF(CurrentMtgRatesDataTable8[[#This Row],[Servicing Spread]]&lt;=0,L1899,CurrentMtgRatesDataTable8[[#This Row],[Servicing Spread]])</f>
        <v>0.5381305858709835</v>
      </c>
      <c r="M1900" s="70">
        <f>CurrentMtgRatesDataTable8[[#This Row],[Servicing Spread Non-Zero]]-L1899</f>
        <v>0</v>
      </c>
      <c r="N1900" s="70">
        <f>IF(J1899&lt;&gt;0,CurrentMtgRatesDataTable8[[#This Row],[Rate]]-C1899,N1899)</f>
        <v>-1.5000000000000568E-2</v>
      </c>
    </row>
    <row r="1901" spans="1:14">
      <c r="A1901" s="67" t="s">
        <v>3253</v>
      </c>
      <c r="B1901" s="68">
        <v>3.9645862144820998</v>
      </c>
      <c r="C1901" s="69">
        <v>4.4349999999999996</v>
      </c>
      <c r="D1901" s="70">
        <f t="shared" si="203"/>
        <v>6</v>
      </c>
      <c r="E1901" s="70">
        <f t="shared" si="204"/>
        <v>0.2</v>
      </c>
      <c r="F1901" s="70">
        <f t="shared" si="205"/>
        <v>4</v>
      </c>
      <c r="G1901" s="70">
        <f t="shared" si="206"/>
        <v>3.1066757170130641</v>
      </c>
      <c r="H1901" s="70">
        <f t="shared" si="207"/>
        <v>0.8</v>
      </c>
      <c r="I1901" s="70">
        <f t="shared" si="208"/>
        <v>0</v>
      </c>
      <c r="J1901" s="70">
        <f t="shared" si="209"/>
        <v>0</v>
      </c>
      <c r="K1901" s="70">
        <f>IF(CurrentMtgRatesDataTable8[[#This Row],[WA CC]]&lt;&gt;0,C1900-CurrentMtgRatesDataTable8[[#This Row],[WA CC]],0)</f>
        <v>0</v>
      </c>
      <c r="L1901" s="70">
        <f>IF(CurrentMtgRatesDataTable8[[#This Row],[Servicing Spread]]&lt;=0,L1900,CurrentMtgRatesDataTable8[[#This Row],[Servicing Spread]])</f>
        <v>0.5381305858709835</v>
      </c>
      <c r="M1901" s="70">
        <f>CurrentMtgRatesDataTable8[[#This Row],[Servicing Spread Non-Zero]]-L1900</f>
        <v>0</v>
      </c>
      <c r="N1901" s="70">
        <f>IF(J1900&lt;&gt;0,CurrentMtgRatesDataTable8[[#This Row],[Rate]]-C1900,N1900)</f>
        <v>-1.5000000000000568E-2</v>
      </c>
    </row>
    <row r="1902" spans="1:14">
      <c r="A1902" s="67" t="s">
        <v>3254</v>
      </c>
      <c r="B1902" s="68">
        <v>3.9900665756964502</v>
      </c>
      <c r="C1902" s="69">
        <v>4.4349999999999996</v>
      </c>
      <c r="D1902" s="70">
        <f t="shared" si="203"/>
        <v>7</v>
      </c>
      <c r="E1902" s="70">
        <f t="shared" si="204"/>
        <v>0.2</v>
      </c>
      <c r="F1902" s="70">
        <f t="shared" si="205"/>
        <v>5</v>
      </c>
      <c r="G1902" s="70">
        <f t="shared" si="206"/>
        <v>3.904689032152354</v>
      </c>
      <c r="H1902" s="70">
        <f t="shared" si="207"/>
        <v>1</v>
      </c>
      <c r="I1902" s="70">
        <f t="shared" si="208"/>
        <v>1</v>
      </c>
      <c r="J1902" s="70">
        <f t="shared" si="209"/>
        <v>3.904689032152354</v>
      </c>
      <c r="K1902" s="70">
        <f>IF(CurrentMtgRatesDataTable8[[#This Row],[WA CC]]&lt;&gt;0,C1901-CurrentMtgRatesDataTable8[[#This Row],[WA CC]],0)</f>
        <v>0.53031096784764564</v>
      </c>
      <c r="L1902" s="70">
        <f>IF(CurrentMtgRatesDataTable8[[#This Row],[Servicing Spread]]&lt;=0,L1901,CurrentMtgRatesDataTable8[[#This Row],[Servicing Spread]])</f>
        <v>0.53031096784764564</v>
      </c>
      <c r="M1902" s="70">
        <f>CurrentMtgRatesDataTable8[[#This Row],[Servicing Spread Non-Zero]]-L1901</f>
        <v>-7.8196180233378598E-3</v>
      </c>
      <c r="N1902" s="70">
        <f>IF(J1901&lt;&gt;0,CurrentMtgRatesDataTable8[[#This Row],[Rate]]-C1901,N1901)</f>
        <v>-1.5000000000000568E-2</v>
      </c>
    </row>
    <row r="1903" spans="1:14">
      <c r="A1903" s="67" t="s">
        <v>3255</v>
      </c>
      <c r="B1903" s="68">
        <v>4.0210177977435997</v>
      </c>
      <c r="C1903" s="69">
        <v>4.5249999999999995</v>
      </c>
      <c r="D1903" s="70">
        <f t="shared" si="203"/>
        <v>1</v>
      </c>
      <c r="E1903" s="70">
        <f t="shared" si="204"/>
        <v>0.2</v>
      </c>
      <c r="F1903" s="70">
        <f t="shared" si="205"/>
        <v>1</v>
      </c>
      <c r="G1903" s="70">
        <f t="shared" si="206"/>
        <v>0.80420355954872003</v>
      </c>
      <c r="H1903" s="70">
        <f t="shared" si="207"/>
        <v>0.2</v>
      </c>
      <c r="I1903" s="70">
        <f t="shared" si="208"/>
        <v>0</v>
      </c>
      <c r="J1903" s="70">
        <f t="shared" si="209"/>
        <v>0</v>
      </c>
      <c r="K1903" s="70">
        <f>IF(CurrentMtgRatesDataTable8[[#This Row],[WA CC]]&lt;&gt;0,C1902-CurrentMtgRatesDataTable8[[#This Row],[WA CC]],0)</f>
        <v>0</v>
      </c>
      <c r="L1903" s="70">
        <f>IF(CurrentMtgRatesDataTable8[[#This Row],[Servicing Spread]]&lt;=0,L1902,CurrentMtgRatesDataTable8[[#This Row],[Servicing Spread]])</f>
        <v>0.53031096784764564</v>
      </c>
      <c r="M1903" s="70">
        <f>CurrentMtgRatesDataTable8[[#This Row],[Servicing Spread Non-Zero]]-L1902</f>
        <v>0</v>
      </c>
      <c r="N1903" s="70">
        <f>IF(J1902&lt;&gt;0,CurrentMtgRatesDataTable8[[#This Row],[Rate]]-C1902,N1902)</f>
        <v>8.9999999999999858E-2</v>
      </c>
    </row>
    <row r="1904" spans="1:14">
      <c r="A1904" s="67" t="s">
        <v>3256</v>
      </c>
      <c r="B1904" s="68">
        <v>4.04948996007146</v>
      </c>
      <c r="C1904" s="69">
        <v>4.5249999999999995</v>
      </c>
      <c r="D1904" s="70">
        <f t="shared" si="203"/>
        <v>2</v>
      </c>
      <c r="E1904" s="70">
        <f t="shared" si="204"/>
        <v>0.2</v>
      </c>
      <c r="F1904" s="70">
        <f t="shared" si="205"/>
        <v>2</v>
      </c>
      <c r="G1904" s="70">
        <f t="shared" si="206"/>
        <v>1.6141015515630119</v>
      </c>
      <c r="H1904" s="70">
        <f t="shared" si="207"/>
        <v>0.4</v>
      </c>
      <c r="I1904" s="70">
        <f t="shared" si="208"/>
        <v>0</v>
      </c>
      <c r="J1904" s="70">
        <f t="shared" si="209"/>
        <v>0</v>
      </c>
      <c r="K1904" s="70">
        <f>IF(CurrentMtgRatesDataTable8[[#This Row],[WA CC]]&lt;&gt;0,C1903-CurrentMtgRatesDataTable8[[#This Row],[WA CC]],0)</f>
        <v>0</v>
      </c>
      <c r="L1904" s="70">
        <f>IF(CurrentMtgRatesDataTable8[[#This Row],[Servicing Spread]]&lt;=0,L1903,CurrentMtgRatesDataTable8[[#This Row],[Servicing Spread]])</f>
        <v>0.53031096784764564</v>
      </c>
      <c r="M1904" s="70">
        <f>CurrentMtgRatesDataTable8[[#This Row],[Servicing Spread Non-Zero]]-L1903</f>
        <v>0</v>
      </c>
      <c r="N1904" s="70">
        <f>IF(J1903&lt;&gt;0,CurrentMtgRatesDataTable8[[#This Row],[Rate]]-C1903,N1903)</f>
        <v>8.9999999999999858E-2</v>
      </c>
    </row>
    <row r="1905" spans="1:14">
      <c r="A1905" s="67" t="s">
        <v>3257</v>
      </c>
      <c r="B1905" s="68">
        <v>4.0109296583696397</v>
      </c>
      <c r="C1905" s="69">
        <v>4.5249999999999995</v>
      </c>
      <c r="D1905" s="70">
        <f t="shared" si="203"/>
        <v>6</v>
      </c>
      <c r="E1905" s="70">
        <f t="shared" si="204"/>
        <v>0.2</v>
      </c>
      <c r="F1905" s="70">
        <f t="shared" si="205"/>
        <v>3</v>
      </c>
      <c r="G1905" s="70">
        <f t="shared" si="206"/>
        <v>2.4162874832369399</v>
      </c>
      <c r="H1905" s="70">
        <f t="shared" si="207"/>
        <v>0.60000000000000009</v>
      </c>
      <c r="I1905" s="70">
        <f t="shared" si="208"/>
        <v>0</v>
      </c>
      <c r="J1905" s="70">
        <f t="shared" si="209"/>
        <v>0</v>
      </c>
      <c r="K1905" s="70">
        <f>IF(CurrentMtgRatesDataTable8[[#This Row],[WA CC]]&lt;&gt;0,C1904-CurrentMtgRatesDataTable8[[#This Row],[WA CC]],0)</f>
        <v>0</v>
      </c>
      <c r="L1905" s="70">
        <f>IF(CurrentMtgRatesDataTable8[[#This Row],[Servicing Spread]]&lt;=0,L1904,CurrentMtgRatesDataTable8[[#This Row],[Servicing Spread]])</f>
        <v>0.53031096784764564</v>
      </c>
      <c r="M1905" s="70">
        <f>CurrentMtgRatesDataTable8[[#This Row],[Servicing Spread Non-Zero]]-L1904</f>
        <v>0</v>
      </c>
      <c r="N1905" s="70">
        <f>IF(J1904&lt;&gt;0,CurrentMtgRatesDataTable8[[#This Row],[Rate]]-C1904,N1904)</f>
        <v>8.9999999999999858E-2</v>
      </c>
    </row>
    <row r="1906" spans="1:14">
      <c r="A1906" s="67" t="s">
        <v>3258</v>
      </c>
      <c r="B1906" s="68">
        <v>4.00074846478753</v>
      </c>
      <c r="C1906" s="69">
        <v>4.5249999999999995</v>
      </c>
      <c r="D1906" s="70">
        <f t="shared" si="203"/>
        <v>7</v>
      </c>
      <c r="E1906" s="70">
        <f t="shared" si="204"/>
        <v>0.2</v>
      </c>
      <c r="F1906" s="70">
        <f t="shared" si="205"/>
        <v>4</v>
      </c>
      <c r="G1906" s="70">
        <f t="shared" si="206"/>
        <v>3.2164371761944457</v>
      </c>
      <c r="H1906" s="70">
        <f t="shared" si="207"/>
        <v>0.8</v>
      </c>
      <c r="I1906" s="70">
        <f t="shared" si="208"/>
        <v>1</v>
      </c>
      <c r="J1906" s="70">
        <f t="shared" si="209"/>
        <v>4.0205464702430564</v>
      </c>
      <c r="K1906" s="70">
        <f>IF(CurrentMtgRatesDataTable8[[#This Row],[WA CC]]&lt;&gt;0,C1905-CurrentMtgRatesDataTable8[[#This Row],[WA CC]],0)</f>
        <v>0.50445352975694302</v>
      </c>
      <c r="L1906" s="70">
        <f>IF(CurrentMtgRatesDataTable8[[#This Row],[Servicing Spread]]&lt;=0,L1905,CurrentMtgRatesDataTable8[[#This Row],[Servicing Spread]])</f>
        <v>0.50445352975694302</v>
      </c>
      <c r="M1906" s="70">
        <f>CurrentMtgRatesDataTable8[[#This Row],[Servicing Spread Non-Zero]]-L1905</f>
        <v>-2.5857438090702622E-2</v>
      </c>
      <c r="N1906" s="70">
        <f>IF(J1905&lt;&gt;0,CurrentMtgRatesDataTable8[[#This Row],[Rate]]-C1905,N1905)</f>
        <v>8.9999999999999858E-2</v>
      </c>
    </row>
    <row r="1907" spans="1:14">
      <c r="A1907" s="67" t="s">
        <v>3259</v>
      </c>
      <c r="B1907" s="68">
        <v>4.0552994132592604</v>
      </c>
      <c r="C1907" s="69">
        <v>4.4349999999999996</v>
      </c>
      <c r="D1907" s="70">
        <f t="shared" si="203"/>
        <v>1</v>
      </c>
      <c r="E1907" s="70">
        <f t="shared" si="204"/>
        <v>0.2</v>
      </c>
      <c r="F1907" s="70">
        <f t="shared" si="205"/>
        <v>1</v>
      </c>
      <c r="G1907" s="70">
        <f t="shared" si="206"/>
        <v>0.81105988265185214</v>
      </c>
      <c r="H1907" s="70">
        <f t="shared" si="207"/>
        <v>0.2</v>
      </c>
      <c r="I1907" s="70">
        <f t="shared" si="208"/>
        <v>0</v>
      </c>
      <c r="J1907" s="70">
        <f t="shared" si="209"/>
        <v>0</v>
      </c>
      <c r="K1907" s="70">
        <f>IF(CurrentMtgRatesDataTable8[[#This Row],[WA CC]]&lt;&gt;0,C1906-CurrentMtgRatesDataTable8[[#This Row],[WA CC]],0)</f>
        <v>0</v>
      </c>
      <c r="L1907" s="70">
        <f>IF(CurrentMtgRatesDataTable8[[#This Row],[Servicing Spread]]&lt;=0,L1906,CurrentMtgRatesDataTable8[[#This Row],[Servicing Spread]])</f>
        <v>0.50445352975694302</v>
      </c>
      <c r="M1907" s="70">
        <f>CurrentMtgRatesDataTable8[[#This Row],[Servicing Spread Non-Zero]]-L1906</f>
        <v>0</v>
      </c>
      <c r="N1907" s="70">
        <f>IF(J1906&lt;&gt;0,CurrentMtgRatesDataTable8[[#This Row],[Rate]]-C1906,N1906)</f>
        <v>-8.9999999999999858E-2</v>
      </c>
    </row>
    <row r="1908" spans="1:14">
      <c r="A1908" s="67" t="s">
        <v>3260</v>
      </c>
      <c r="B1908" s="68">
        <v>3.9560446412855801</v>
      </c>
      <c r="C1908" s="69">
        <v>4.4349999999999996</v>
      </c>
      <c r="D1908" s="70">
        <f t="shared" si="203"/>
        <v>2</v>
      </c>
      <c r="E1908" s="70">
        <f t="shared" si="204"/>
        <v>0.2</v>
      </c>
      <c r="F1908" s="70">
        <f t="shared" si="205"/>
        <v>2</v>
      </c>
      <c r="G1908" s="70">
        <f t="shared" si="206"/>
        <v>1.6022688109089682</v>
      </c>
      <c r="H1908" s="70">
        <f t="shared" si="207"/>
        <v>0.4</v>
      </c>
      <c r="I1908" s="70">
        <f t="shared" si="208"/>
        <v>0</v>
      </c>
      <c r="J1908" s="70">
        <f t="shared" si="209"/>
        <v>0</v>
      </c>
      <c r="K1908" s="70">
        <f>IF(CurrentMtgRatesDataTable8[[#This Row],[WA CC]]&lt;&gt;0,C1907-CurrentMtgRatesDataTable8[[#This Row],[WA CC]],0)</f>
        <v>0</v>
      </c>
      <c r="L1908" s="70">
        <f>IF(CurrentMtgRatesDataTable8[[#This Row],[Servicing Spread]]&lt;=0,L1907,CurrentMtgRatesDataTable8[[#This Row],[Servicing Spread]])</f>
        <v>0.50445352975694302</v>
      </c>
      <c r="M1908" s="70">
        <f>CurrentMtgRatesDataTable8[[#This Row],[Servicing Spread Non-Zero]]-L1907</f>
        <v>0</v>
      </c>
      <c r="N1908" s="70">
        <f>IF(J1907&lt;&gt;0,CurrentMtgRatesDataTable8[[#This Row],[Rate]]-C1907,N1907)</f>
        <v>-8.9999999999999858E-2</v>
      </c>
    </row>
    <row r="1909" spans="1:14">
      <c r="A1909" s="67" t="s">
        <v>3261</v>
      </c>
      <c r="B1909" s="68">
        <v>3.9124758151912502</v>
      </c>
      <c r="C1909" s="69">
        <v>4.4349999999999996</v>
      </c>
      <c r="D1909" s="70">
        <f t="shared" si="203"/>
        <v>5</v>
      </c>
      <c r="E1909" s="70">
        <f t="shared" si="204"/>
        <v>0.2</v>
      </c>
      <c r="F1909" s="70">
        <f t="shared" si="205"/>
        <v>3</v>
      </c>
      <c r="G1909" s="70">
        <f t="shared" si="206"/>
        <v>2.3847639739472184</v>
      </c>
      <c r="H1909" s="70">
        <f t="shared" si="207"/>
        <v>0.60000000000000009</v>
      </c>
      <c r="I1909" s="70">
        <f t="shared" si="208"/>
        <v>0</v>
      </c>
      <c r="J1909" s="70">
        <f t="shared" si="209"/>
        <v>0</v>
      </c>
      <c r="K1909" s="70">
        <f>IF(CurrentMtgRatesDataTable8[[#This Row],[WA CC]]&lt;&gt;0,C1908-CurrentMtgRatesDataTable8[[#This Row],[WA CC]],0)</f>
        <v>0</v>
      </c>
      <c r="L1909" s="70">
        <f>IF(CurrentMtgRatesDataTable8[[#This Row],[Servicing Spread]]&lt;=0,L1908,CurrentMtgRatesDataTable8[[#This Row],[Servicing Spread]])</f>
        <v>0.50445352975694302</v>
      </c>
      <c r="M1909" s="70">
        <f>CurrentMtgRatesDataTable8[[#This Row],[Servicing Spread Non-Zero]]-L1908</f>
        <v>0</v>
      </c>
      <c r="N1909" s="70">
        <f>IF(J1908&lt;&gt;0,CurrentMtgRatesDataTable8[[#This Row],[Rate]]-C1908,N1908)</f>
        <v>-8.9999999999999858E-2</v>
      </c>
    </row>
    <row r="1910" spans="1:14">
      <c r="A1910" s="67" t="s">
        <v>3262</v>
      </c>
      <c r="B1910" s="68">
        <v>3.8994081954805799</v>
      </c>
      <c r="C1910" s="69">
        <v>4.4349999999999996</v>
      </c>
      <c r="D1910" s="70">
        <f t="shared" si="203"/>
        <v>6</v>
      </c>
      <c r="E1910" s="70">
        <f t="shared" si="204"/>
        <v>0.2</v>
      </c>
      <c r="F1910" s="70">
        <f t="shared" si="205"/>
        <v>4</v>
      </c>
      <c r="G1910" s="70">
        <f t="shared" si="206"/>
        <v>3.1646456130433345</v>
      </c>
      <c r="H1910" s="70">
        <f t="shared" si="207"/>
        <v>0.8</v>
      </c>
      <c r="I1910" s="70">
        <f t="shared" si="208"/>
        <v>0</v>
      </c>
      <c r="J1910" s="70">
        <f t="shared" si="209"/>
        <v>0</v>
      </c>
      <c r="K1910" s="70">
        <f>IF(CurrentMtgRatesDataTable8[[#This Row],[WA CC]]&lt;&gt;0,C1909-CurrentMtgRatesDataTable8[[#This Row],[WA CC]],0)</f>
        <v>0</v>
      </c>
      <c r="L1910" s="70">
        <f>IF(CurrentMtgRatesDataTable8[[#This Row],[Servicing Spread]]&lt;=0,L1909,CurrentMtgRatesDataTable8[[#This Row],[Servicing Spread]])</f>
        <v>0.50445352975694302</v>
      </c>
      <c r="M1910" s="70">
        <f>CurrentMtgRatesDataTable8[[#This Row],[Servicing Spread Non-Zero]]-L1909</f>
        <v>0</v>
      </c>
      <c r="N1910" s="70">
        <f>IF(J1909&lt;&gt;0,CurrentMtgRatesDataTable8[[#This Row],[Rate]]-C1909,N1909)</f>
        <v>-8.9999999999999858E-2</v>
      </c>
    </row>
    <row r="1911" spans="1:14">
      <c r="A1911" s="67" t="s">
        <v>3263</v>
      </c>
      <c r="B1911" s="68">
        <v>3.8643242728668699</v>
      </c>
      <c r="C1911" s="69">
        <v>4.4349999999999996</v>
      </c>
      <c r="D1911" s="70">
        <f t="shared" si="203"/>
        <v>7</v>
      </c>
      <c r="E1911" s="70">
        <f t="shared" si="204"/>
        <v>0.2</v>
      </c>
      <c r="F1911" s="70">
        <f t="shared" si="205"/>
        <v>5</v>
      </c>
      <c r="G1911" s="70">
        <f t="shared" si="206"/>
        <v>3.9375104676167085</v>
      </c>
      <c r="H1911" s="70">
        <f t="shared" si="207"/>
        <v>1</v>
      </c>
      <c r="I1911" s="70">
        <f t="shared" si="208"/>
        <v>1</v>
      </c>
      <c r="J1911" s="70">
        <f t="shared" si="209"/>
        <v>3.9375104676167085</v>
      </c>
      <c r="K1911" s="70">
        <f>IF(CurrentMtgRatesDataTable8[[#This Row],[WA CC]]&lt;&gt;0,C1910-CurrentMtgRatesDataTable8[[#This Row],[WA CC]],0)</f>
        <v>0.49748953238329108</v>
      </c>
      <c r="L1911" s="70">
        <f>IF(CurrentMtgRatesDataTable8[[#This Row],[Servicing Spread]]&lt;=0,L1910,CurrentMtgRatesDataTable8[[#This Row],[Servicing Spread]])</f>
        <v>0.49748953238329108</v>
      </c>
      <c r="M1911" s="70">
        <f>CurrentMtgRatesDataTable8[[#This Row],[Servicing Spread Non-Zero]]-L1910</f>
        <v>-6.9639973736519423E-3</v>
      </c>
      <c r="N1911" s="70">
        <f>IF(J1910&lt;&gt;0,CurrentMtgRatesDataTable8[[#This Row],[Rate]]-C1910,N1910)</f>
        <v>-8.9999999999999858E-2</v>
      </c>
    </row>
    <row r="1912" spans="1:14">
      <c r="A1912" s="67" t="s">
        <v>3264</v>
      </c>
      <c r="B1912" s="68">
        <v>3.8985405222991401</v>
      </c>
      <c r="C1912" s="69">
        <v>4.4449999999999994</v>
      </c>
      <c r="D1912" s="70">
        <f t="shared" si="203"/>
        <v>1</v>
      </c>
      <c r="E1912" s="70">
        <f t="shared" si="204"/>
        <v>0.2</v>
      </c>
      <c r="F1912" s="70">
        <f t="shared" si="205"/>
        <v>1</v>
      </c>
      <c r="G1912" s="70">
        <f t="shared" si="206"/>
        <v>0.77970810445982808</v>
      </c>
      <c r="H1912" s="70">
        <f t="shared" si="207"/>
        <v>0.2</v>
      </c>
      <c r="I1912" s="70">
        <f t="shared" si="208"/>
        <v>0</v>
      </c>
      <c r="J1912" s="70">
        <f t="shared" si="209"/>
        <v>0</v>
      </c>
      <c r="K1912" s="70">
        <f>IF(CurrentMtgRatesDataTable8[[#This Row],[WA CC]]&lt;&gt;0,C1911-CurrentMtgRatesDataTable8[[#This Row],[WA CC]],0)</f>
        <v>0</v>
      </c>
      <c r="L1912" s="70">
        <f>IF(CurrentMtgRatesDataTable8[[#This Row],[Servicing Spread]]&lt;=0,L1911,CurrentMtgRatesDataTable8[[#This Row],[Servicing Spread]])</f>
        <v>0.49748953238329108</v>
      </c>
      <c r="M1912" s="70">
        <f>CurrentMtgRatesDataTable8[[#This Row],[Servicing Spread Non-Zero]]-L1911</f>
        <v>0</v>
      </c>
      <c r="N1912" s="70">
        <f>IF(J1911&lt;&gt;0,CurrentMtgRatesDataTable8[[#This Row],[Rate]]-C1911,N1911)</f>
        <v>9.9999999999997868E-3</v>
      </c>
    </row>
    <row r="1913" spans="1:14">
      <c r="A1913" s="67" t="s">
        <v>3265</v>
      </c>
      <c r="B1913" s="68">
        <v>3.8829277036335901</v>
      </c>
      <c r="C1913" s="69">
        <v>4.4449999999999994</v>
      </c>
      <c r="D1913" s="70">
        <f t="shared" si="203"/>
        <v>2</v>
      </c>
      <c r="E1913" s="70">
        <f t="shared" si="204"/>
        <v>0.2</v>
      </c>
      <c r="F1913" s="70">
        <f t="shared" si="205"/>
        <v>2</v>
      </c>
      <c r="G1913" s="70">
        <f t="shared" si="206"/>
        <v>1.5562936451865461</v>
      </c>
      <c r="H1913" s="70">
        <f t="shared" si="207"/>
        <v>0.4</v>
      </c>
      <c r="I1913" s="70">
        <f t="shared" si="208"/>
        <v>0</v>
      </c>
      <c r="J1913" s="70">
        <f t="shared" si="209"/>
        <v>0</v>
      </c>
      <c r="K1913" s="70">
        <f>IF(CurrentMtgRatesDataTable8[[#This Row],[WA CC]]&lt;&gt;0,C1912-CurrentMtgRatesDataTable8[[#This Row],[WA CC]],0)</f>
        <v>0</v>
      </c>
      <c r="L1913" s="70">
        <f>IF(CurrentMtgRatesDataTable8[[#This Row],[Servicing Spread]]&lt;=0,L1912,CurrentMtgRatesDataTable8[[#This Row],[Servicing Spread]])</f>
        <v>0.49748953238329108</v>
      </c>
      <c r="M1913" s="70">
        <f>CurrentMtgRatesDataTable8[[#This Row],[Servicing Spread Non-Zero]]-L1912</f>
        <v>0</v>
      </c>
      <c r="N1913" s="70">
        <f>IF(J1912&lt;&gt;0,CurrentMtgRatesDataTable8[[#This Row],[Rate]]-C1912,N1912)</f>
        <v>9.9999999999997868E-3</v>
      </c>
    </row>
    <row r="1914" spans="1:14">
      <c r="A1914" s="67" t="s">
        <v>3266</v>
      </c>
      <c r="B1914" s="68">
        <v>3.9143080460747499</v>
      </c>
      <c r="C1914" s="69">
        <v>4.4449999999999994</v>
      </c>
      <c r="D1914" s="70">
        <f t="shared" si="203"/>
        <v>5</v>
      </c>
      <c r="E1914" s="70">
        <f t="shared" si="204"/>
        <v>0.2</v>
      </c>
      <c r="F1914" s="70">
        <f t="shared" si="205"/>
        <v>3</v>
      </c>
      <c r="G1914" s="70">
        <f t="shared" si="206"/>
        <v>2.3391552544014962</v>
      </c>
      <c r="H1914" s="70">
        <f t="shared" si="207"/>
        <v>0.60000000000000009</v>
      </c>
      <c r="I1914" s="70">
        <f t="shared" si="208"/>
        <v>0</v>
      </c>
      <c r="J1914" s="70">
        <f t="shared" si="209"/>
        <v>0</v>
      </c>
      <c r="K1914" s="70">
        <f>IF(CurrentMtgRatesDataTable8[[#This Row],[WA CC]]&lt;&gt;0,C1913-CurrentMtgRatesDataTable8[[#This Row],[WA CC]],0)</f>
        <v>0</v>
      </c>
      <c r="L1914" s="70">
        <f>IF(CurrentMtgRatesDataTable8[[#This Row],[Servicing Spread]]&lt;=0,L1913,CurrentMtgRatesDataTable8[[#This Row],[Servicing Spread]])</f>
        <v>0.49748953238329108</v>
      </c>
      <c r="M1914" s="70">
        <f>CurrentMtgRatesDataTable8[[#This Row],[Servicing Spread Non-Zero]]-L1913</f>
        <v>0</v>
      </c>
      <c r="N1914" s="70">
        <f>IF(J1913&lt;&gt;0,CurrentMtgRatesDataTable8[[#This Row],[Rate]]-C1913,N1913)</f>
        <v>9.9999999999997868E-3</v>
      </c>
    </row>
    <row r="1915" spans="1:14">
      <c r="A1915" s="67" t="s">
        <v>3267</v>
      </c>
      <c r="B1915" s="68">
        <v>3.9028989279116901</v>
      </c>
      <c r="C1915" s="69">
        <v>4.4449999999999994</v>
      </c>
      <c r="D1915" s="70">
        <f t="shared" si="203"/>
        <v>6</v>
      </c>
      <c r="E1915" s="70">
        <f t="shared" si="204"/>
        <v>0.2</v>
      </c>
      <c r="F1915" s="70">
        <f t="shared" si="205"/>
        <v>4</v>
      </c>
      <c r="G1915" s="70">
        <f t="shared" si="206"/>
        <v>3.1197350399838344</v>
      </c>
      <c r="H1915" s="70">
        <f t="shared" si="207"/>
        <v>0.8</v>
      </c>
      <c r="I1915" s="70">
        <f t="shared" si="208"/>
        <v>0</v>
      </c>
      <c r="J1915" s="70">
        <f t="shared" si="209"/>
        <v>0</v>
      </c>
      <c r="K1915" s="70">
        <f>IF(CurrentMtgRatesDataTable8[[#This Row],[WA CC]]&lt;&gt;0,C1914-CurrentMtgRatesDataTable8[[#This Row],[WA CC]],0)</f>
        <v>0</v>
      </c>
      <c r="L1915" s="70">
        <f>IF(CurrentMtgRatesDataTable8[[#This Row],[Servicing Spread]]&lt;=0,L1914,CurrentMtgRatesDataTable8[[#This Row],[Servicing Spread]])</f>
        <v>0.49748953238329108</v>
      </c>
      <c r="M1915" s="70">
        <f>CurrentMtgRatesDataTable8[[#This Row],[Servicing Spread Non-Zero]]-L1914</f>
        <v>0</v>
      </c>
      <c r="N1915" s="70">
        <f>IF(J1914&lt;&gt;0,CurrentMtgRatesDataTable8[[#This Row],[Rate]]-C1914,N1914)</f>
        <v>9.9999999999997868E-3</v>
      </c>
    </row>
    <row r="1916" spans="1:14">
      <c r="A1916" s="67" t="s">
        <v>3268</v>
      </c>
      <c r="B1916" s="68">
        <v>3.9147234393454702</v>
      </c>
      <c r="C1916" s="69">
        <v>4.4449999999999994</v>
      </c>
      <c r="D1916" s="70">
        <f t="shared" si="203"/>
        <v>7</v>
      </c>
      <c r="E1916" s="70">
        <f t="shared" si="204"/>
        <v>0.2</v>
      </c>
      <c r="F1916" s="70">
        <f t="shared" si="205"/>
        <v>5</v>
      </c>
      <c r="G1916" s="70">
        <f t="shared" si="206"/>
        <v>3.9026797278529286</v>
      </c>
      <c r="H1916" s="70">
        <f t="shared" si="207"/>
        <v>1</v>
      </c>
      <c r="I1916" s="70">
        <f t="shared" si="208"/>
        <v>1</v>
      </c>
      <c r="J1916" s="70">
        <f t="shared" si="209"/>
        <v>3.9026797278529286</v>
      </c>
      <c r="K1916" s="70">
        <f>IF(CurrentMtgRatesDataTable8[[#This Row],[WA CC]]&lt;&gt;0,C1915-CurrentMtgRatesDataTable8[[#This Row],[WA CC]],0)</f>
        <v>0.54232027214707079</v>
      </c>
      <c r="L1916" s="70">
        <f>IF(CurrentMtgRatesDataTable8[[#This Row],[Servicing Spread]]&lt;=0,L1915,CurrentMtgRatesDataTable8[[#This Row],[Servicing Spread]])</f>
        <v>0.54232027214707079</v>
      </c>
      <c r="M1916" s="70">
        <f>CurrentMtgRatesDataTable8[[#This Row],[Servicing Spread Non-Zero]]-L1915</f>
        <v>4.4830739763779714E-2</v>
      </c>
      <c r="N1916" s="70">
        <f>IF(J1915&lt;&gt;0,CurrentMtgRatesDataTable8[[#This Row],[Rate]]-C1915,N1915)</f>
        <v>9.9999999999997868E-3</v>
      </c>
    </row>
    <row r="1917" spans="1:14">
      <c r="A1917" s="67" t="s">
        <v>3269</v>
      </c>
      <c r="B1917" s="68">
        <v>3.95043209572012</v>
      </c>
      <c r="C1917" s="69">
        <v>4.5</v>
      </c>
      <c r="D1917" s="70">
        <f t="shared" si="203"/>
        <v>1</v>
      </c>
      <c r="E1917" s="70">
        <f t="shared" si="204"/>
        <v>0.2</v>
      </c>
      <c r="F1917" s="70">
        <f t="shared" si="205"/>
        <v>1</v>
      </c>
      <c r="G1917" s="70">
        <f t="shared" si="206"/>
        <v>0.790086419144024</v>
      </c>
      <c r="H1917" s="70">
        <f t="shared" si="207"/>
        <v>0.2</v>
      </c>
      <c r="I1917" s="70">
        <f t="shared" si="208"/>
        <v>0</v>
      </c>
      <c r="J1917" s="70">
        <f t="shared" si="209"/>
        <v>0</v>
      </c>
      <c r="K1917" s="70">
        <f>IF(CurrentMtgRatesDataTable8[[#This Row],[WA CC]]&lt;&gt;0,C1916-CurrentMtgRatesDataTable8[[#This Row],[WA CC]],0)</f>
        <v>0</v>
      </c>
      <c r="L1917" s="70">
        <f>IF(CurrentMtgRatesDataTable8[[#This Row],[Servicing Spread]]&lt;=0,L1916,CurrentMtgRatesDataTable8[[#This Row],[Servicing Spread]])</f>
        <v>0.54232027214707079</v>
      </c>
      <c r="M1917" s="70">
        <f>CurrentMtgRatesDataTable8[[#This Row],[Servicing Spread Non-Zero]]-L1916</f>
        <v>0</v>
      </c>
      <c r="N1917" s="70">
        <f>IF(J1916&lt;&gt;0,CurrentMtgRatesDataTable8[[#This Row],[Rate]]-C1916,N1916)</f>
        <v>5.5000000000000604E-2</v>
      </c>
    </row>
    <row r="1918" spans="1:14">
      <c r="A1918" s="67" t="s">
        <v>3270</v>
      </c>
      <c r="B1918" s="68">
        <v>3.9256648990876601</v>
      </c>
      <c r="C1918" s="69">
        <v>4.5</v>
      </c>
      <c r="D1918" s="70">
        <f t="shared" si="203"/>
        <v>2</v>
      </c>
      <c r="E1918" s="70">
        <f t="shared" si="204"/>
        <v>0.2</v>
      </c>
      <c r="F1918" s="70">
        <f t="shared" si="205"/>
        <v>2</v>
      </c>
      <c r="G1918" s="70">
        <f t="shared" si="206"/>
        <v>1.5752193989615559</v>
      </c>
      <c r="H1918" s="70">
        <f t="shared" si="207"/>
        <v>0.4</v>
      </c>
      <c r="I1918" s="70">
        <f t="shared" si="208"/>
        <v>0</v>
      </c>
      <c r="J1918" s="70">
        <f t="shared" si="209"/>
        <v>0</v>
      </c>
      <c r="K1918" s="70">
        <f>IF(CurrentMtgRatesDataTable8[[#This Row],[WA CC]]&lt;&gt;0,C1917-CurrentMtgRatesDataTable8[[#This Row],[WA CC]],0)</f>
        <v>0</v>
      </c>
      <c r="L1918" s="70">
        <f>IF(CurrentMtgRatesDataTable8[[#This Row],[Servicing Spread]]&lt;=0,L1917,CurrentMtgRatesDataTable8[[#This Row],[Servicing Spread]])</f>
        <v>0.54232027214707079</v>
      </c>
      <c r="M1918" s="70">
        <f>CurrentMtgRatesDataTable8[[#This Row],[Servicing Spread Non-Zero]]-L1917</f>
        <v>0</v>
      </c>
      <c r="N1918" s="70">
        <f>IF(J1917&lt;&gt;0,CurrentMtgRatesDataTable8[[#This Row],[Rate]]-C1917,N1917)</f>
        <v>5.5000000000000604E-2</v>
      </c>
    </row>
    <row r="1919" spans="1:14">
      <c r="A1919" s="67" t="s">
        <v>3271</v>
      </c>
      <c r="B1919" s="68">
        <v>3.9604705885529299</v>
      </c>
      <c r="C1919" s="69">
        <v>4.5</v>
      </c>
      <c r="D1919" s="70">
        <f t="shared" si="203"/>
        <v>5</v>
      </c>
      <c r="E1919" s="70">
        <f t="shared" si="204"/>
        <v>0.2</v>
      </c>
      <c r="F1919" s="70">
        <f t="shared" si="205"/>
        <v>3</v>
      </c>
      <c r="G1919" s="70">
        <f t="shared" si="206"/>
        <v>2.3673135166721417</v>
      </c>
      <c r="H1919" s="70">
        <f t="shared" si="207"/>
        <v>0.60000000000000009</v>
      </c>
      <c r="I1919" s="70">
        <f t="shared" si="208"/>
        <v>0</v>
      </c>
      <c r="J1919" s="70">
        <f t="shared" si="209"/>
        <v>0</v>
      </c>
      <c r="K1919" s="70">
        <f>IF(CurrentMtgRatesDataTable8[[#This Row],[WA CC]]&lt;&gt;0,C1918-CurrentMtgRatesDataTable8[[#This Row],[WA CC]],0)</f>
        <v>0</v>
      </c>
      <c r="L1919" s="70">
        <f>IF(CurrentMtgRatesDataTable8[[#This Row],[Servicing Spread]]&lt;=0,L1918,CurrentMtgRatesDataTable8[[#This Row],[Servicing Spread]])</f>
        <v>0.54232027214707079</v>
      </c>
      <c r="M1919" s="70">
        <f>CurrentMtgRatesDataTable8[[#This Row],[Servicing Spread Non-Zero]]-L1918</f>
        <v>0</v>
      </c>
      <c r="N1919" s="70">
        <f>IF(J1918&lt;&gt;0,CurrentMtgRatesDataTable8[[#This Row],[Rate]]-C1918,N1918)</f>
        <v>5.5000000000000604E-2</v>
      </c>
    </row>
    <row r="1920" spans="1:14">
      <c r="A1920" s="67" t="s">
        <v>3272</v>
      </c>
      <c r="B1920" s="68">
        <v>3.93180055447786</v>
      </c>
      <c r="C1920" s="69">
        <v>4.5</v>
      </c>
      <c r="D1920" s="70">
        <f t="shared" si="203"/>
        <v>6</v>
      </c>
      <c r="E1920" s="70">
        <f t="shared" si="204"/>
        <v>0.2</v>
      </c>
      <c r="F1920" s="70">
        <f t="shared" si="205"/>
        <v>4</v>
      </c>
      <c r="G1920" s="70">
        <f t="shared" si="206"/>
        <v>3.1536736275677137</v>
      </c>
      <c r="H1920" s="70">
        <f t="shared" si="207"/>
        <v>0.8</v>
      </c>
      <c r="I1920" s="70">
        <f t="shared" si="208"/>
        <v>0</v>
      </c>
      <c r="J1920" s="70">
        <f t="shared" si="209"/>
        <v>0</v>
      </c>
      <c r="K1920" s="70">
        <f>IF(CurrentMtgRatesDataTable8[[#This Row],[WA CC]]&lt;&gt;0,C1919-CurrentMtgRatesDataTable8[[#This Row],[WA CC]],0)</f>
        <v>0</v>
      </c>
      <c r="L1920" s="70">
        <f>IF(CurrentMtgRatesDataTable8[[#This Row],[Servicing Spread]]&lt;=0,L1919,CurrentMtgRatesDataTable8[[#This Row],[Servicing Spread]])</f>
        <v>0.54232027214707079</v>
      </c>
      <c r="M1920" s="70">
        <f>CurrentMtgRatesDataTable8[[#This Row],[Servicing Spread Non-Zero]]-L1919</f>
        <v>0</v>
      </c>
      <c r="N1920" s="70">
        <f>IF(J1919&lt;&gt;0,CurrentMtgRatesDataTable8[[#This Row],[Rate]]-C1919,N1919)</f>
        <v>5.5000000000000604E-2</v>
      </c>
    </row>
    <row r="1921" spans="1:14">
      <c r="A1921" s="67" t="s">
        <v>3273</v>
      </c>
      <c r="B1921" s="68">
        <v>3.9740262536050301</v>
      </c>
      <c r="C1921" s="69">
        <v>4.5</v>
      </c>
      <c r="D1921" s="70">
        <f t="shared" si="203"/>
        <v>7</v>
      </c>
      <c r="E1921" s="70">
        <f t="shared" si="204"/>
        <v>0.2</v>
      </c>
      <c r="F1921" s="70">
        <f t="shared" si="205"/>
        <v>5</v>
      </c>
      <c r="G1921" s="70">
        <f t="shared" si="206"/>
        <v>3.9484788782887197</v>
      </c>
      <c r="H1921" s="70">
        <f t="shared" si="207"/>
        <v>1</v>
      </c>
      <c r="I1921" s="70">
        <f t="shared" si="208"/>
        <v>1</v>
      </c>
      <c r="J1921" s="70">
        <f t="shared" si="209"/>
        <v>3.9484788782887197</v>
      </c>
      <c r="K1921" s="70">
        <f>IF(CurrentMtgRatesDataTable8[[#This Row],[WA CC]]&lt;&gt;0,C1920-CurrentMtgRatesDataTable8[[#This Row],[WA CC]],0)</f>
        <v>0.55152112171128032</v>
      </c>
      <c r="L1921" s="70">
        <f>IF(CurrentMtgRatesDataTable8[[#This Row],[Servicing Spread]]&lt;=0,L1920,CurrentMtgRatesDataTable8[[#This Row],[Servicing Spread]])</f>
        <v>0.55152112171128032</v>
      </c>
      <c r="M1921" s="70">
        <f>CurrentMtgRatesDataTable8[[#This Row],[Servicing Spread Non-Zero]]-L1920</f>
        <v>9.2008495642095234E-3</v>
      </c>
      <c r="N1921" s="70">
        <f>IF(J1920&lt;&gt;0,CurrentMtgRatesDataTable8[[#This Row],[Rate]]-C1920,N1920)</f>
        <v>5.5000000000000604E-2</v>
      </c>
    </row>
    <row r="1922" spans="1:14">
      <c r="A1922" s="67" t="s">
        <v>3274</v>
      </c>
      <c r="B1922" s="68">
        <v>3.9324314812140502</v>
      </c>
      <c r="C1922" s="69">
        <v>4.34</v>
      </c>
      <c r="D1922" s="70">
        <f t="shared" si="203"/>
        <v>1</v>
      </c>
      <c r="E1922" s="70">
        <f t="shared" si="204"/>
        <v>0.2</v>
      </c>
      <c r="F1922" s="70">
        <f t="shared" si="205"/>
        <v>1</v>
      </c>
      <c r="G1922" s="70">
        <f t="shared" si="206"/>
        <v>0.78648629624281008</v>
      </c>
      <c r="H1922" s="70">
        <f t="shared" si="207"/>
        <v>0.2</v>
      </c>
      <c r="I1922" s="70">
        <f t="shared" si="208"/>
        <v>0</v>
      </c>
      <c r="J1922" s="70">
        <f t="shared" si="209"/>
        <v>0</v>
      </c>
      <c r="K1922" s="70">
        <f>IF(CurrentMtgRatesDataTable8[[#This Row],[WA CC]]&lt;&gt;0,C1921-CurrentMtgRatesDataTable8[[#This Row],[WA CC]],0)</f>
        <v>0</v>
      </c>
      <c r="L1922" s="70">
        <f>IF(CurrentMtgRatesDataTable8[[#This Row],[Servicing Spread]]&lt;=0,L1921,CurrentMtgRatesDataTable8[[#This Row],[Servicing Spread]])</f>
        <v>0.55152112171128032</v>
      </c>
      <c r="M1922" s="70">
        <f>CurrentMtgRatesDataTable8[[#This Row],[Servicing Spread Non-Zero]]-L1921</f>
        <v>0</v>
      </c>
      <c r="N1922" s="70">
        <f>IF(J1921&lt;&gt;0,CurrentMtgRatesDataTable8[[#This Row],[Rate]]-C1921,N1921)</f>
        <v>-0.16000000000000014</v>
      </c>
    </row>
    <row r="1923" spans="1:14">
      <c r="A1923" s="67" t="s">
        <v>3275</v>
      </c>
      <c r="B1923" s="68">
        <v>3.8088238659156599</v>
      </c>
      <c r="C1923" s="69">
        <v>4.34</v>
      </c>
      <c r="D1923" s="70">
        <f t="shared" si="203"/>
        <v>2</v>
      </c>
      <c r="E1923" s="70">
        <f t="shared" si="204"/>
        <v>0.2</v>
      </c>
      <c r="F1923" s="70">
        <f t="shared" si="205"/>
        <v>2</v>
      </c>
      <c r="G1923" s="70">
        <f t="shared" si="206"/>
        <v>1.5482510694259422</v>
      </c>
      <c r="H1923" s="70">
        <f t="shared" si="207"/>
        <v>0.4</v>
      </c>
      <c r="I1923" s="70">
        <f t="shared" si="208"/>
        <v>0</v>
      </c>
      <c r="J1923" s="70">
        <f t="shared" si="209"/>
        <v>0</v>
      </c>
      <c r="K1923" s="70">
        <f>IF(CurrentMtgRatesDataTable8[[#This Row],[WA CC]]&lt;&gt;0,C1922-CurrentMtgRatesDataTable8[[#This Row],[WA CC]],0)</f>
        <v>0</v>
      </c>
      <c r="L1923" s="70">
        <f>IF(CurrentMtgRatesDataTable8[[#This Row],[Servicing Spread]]&lt;=0,L1922,CurrentMtgRatesDataTable8[[#This Row],[Servicing Spread]])</f>
        <v>0.55152112171128032</v>
      </c>
      <c r="M1923" s="70">
        <f>CurrentMtgRatesDataTable8[[#This Row],[Servicing Spread Non-Zero]]-L1922</f>
        <v>0</v>
      </c>
      <c r="N1923" s="70">
        <f>IF(J1922&lt;&gt;0,CurrentMtgRatesDataTable8[[#This Row],[Rate]]-C1922,N1922)</f>
        <v>-0.16000000000000014</v>
      </c>
    </row>
    <row r="1924" spans="1:14">
      <c r="A1924" s="67" t="s">
        <v>3276</v>
      </c>
      <c r="B1924" s="68">
        <v>3.76446810625648</v>
      </c>
      <c r="C1924" s="69">
        <v>4.34</v>
      </c>
      <c r="D1924" s="70">
        <f t="shared" si="203"/>
        <v>5</v>
      </c>
      <c r="E1924" s="70">
        <f t="shared" si="204"/>
        <v>0.2</v>
      </c>
      <c r="F1924" s="70">
        <f t="shared" si="205"/>
        <v>3</v>
      </c>
      <c r="G1924" s="70">
        <f t="shared" si="206"/>
        <v>2.3011446906772379</v>
      </c>
      <c r="H1924" s="70">
        <f t="shared" si="207"/>
        <v>0.60000000000000009</v>
      </c>
      <c r="I1924" s="70">
        <f t="shared" si="208"/>
        <v>0</v>
      </c>
      <c r="J1924" s="70">
        <f t="shared" si="209"/>
        <v>0</v>
      </c>
      <c r="K1924" s="70">
        <f>IF(CurrentMtgRatesDataTable8[[#This Row],[WA CC]]&lt;&gt;0,C1923-CurrentMtgRatesDataTable8[[#This Row],[WA CC]],0)</f>
        <v>0</v>
      </c>
      <c r="L1924" s="70">
        <f>IF(CurrentMtgRatesDataTable8[[#This Row],[Servicing Spread]]&lt;=0,L1923,CurrentMtgRatesDataTable8[[#This Row],[Servicing Spread]])</f>
        <v>0.55152112171128032</v>
      </c>
      <c r="M1924" s="70">
        <f>CurrentMtgRatesDataTable8[[#This Row],[Servicing Spread Non-Zero]]-L1923</f>
        <v>0</v>
      </c>
      <c r="N1924" s="70">
        <f>IF(J1923&lt;&gt;0,CurrentMtgRatesDataTable8[[#This Row],[Rate]]-C1923,N1923)</f>
        <v>-0.16000000000000014</v>
      </c>
    </row>
    <row r="1925" spans="1:14">
      <c r="A1925" s="67" t="s">
        <v>3277</v>
      </c>
      <c r="B1925" s="68">
        <v>3.6570869761159299</v>
      </c>
      <c r="C1925" s="69">
        <v>4.34</v>
      </c>
      <c r="D1925" s="70">
        <f t="shared" ref="D1925:D1988" si="210">WEEKDAY(A1925,14)</f>
        <v>6</v>
      </c>
      <c r="E1925" s="70">
        <f t="shared" ref="E1925:E1988" si="211">VLOOKUP(D1925,Q$5:R$11,2,FALSE)</f>
        <v>0.2</v>
      </c>
      <c r="F1925" s="70">
        <f t="shared" ref="F1925:F1988" si="212">IF(AND(D1925&gt;D1924,F1924&lt;6),F1924+1,1)</f>
        <v>4</v>
      </c>
      <c r="G1925" s="70">
        <f t="shared" ref="G1925:G1988" si="213">IF(F1925&gt;F1924,G1924+B1925*E1925,B1925*E1925)</f>
        <v>3.0325620859004241</v>
      </c>
      <c r="H1925" s="70">
        <f t="shared" ref="H1925:H1988" si="214">IF(AND(F1925&lt;6,F1925&gt;F1924),E1925+H1924,E1925)</f>
        <v>0.8</v>
      </c>
      <c r="I1925" s="70">
        <f t="shared" ref="I1925:I1988" si="215">IF(F1925&gt;F1926,1,0)</f>
        <v>0</v>
      </c>
      <c r="J1925" s="70">
        <f t="shared" ref="J1925:J1988" si="216">IF(F1925&gt;F1926,G1925/H1925,0)</f>
        <v>0</v>
      </c>
      <c r="K1925" s="70">
        <f>IF(CurrentMtgRatesDataTable8[[#This Row],[WA CC]]&lt;&gt;0,C1924-CurrentMtgRatesDataTable8[[#This Row],[WA CC]],0)</f>
        <v>0</v>
      </c>
      <c r="L1925" s="70">
        <f>IF(CurrentMtgRatesDataTable8[[#This Row],[Servicing Spread]]&lt;=0,L1924,CurrentMtgRatesDataTable8[[#This Row],[Servicing Spread]])</f>
        <v>0.55152112171128032</v>
      </c>
      <c r="M1925" s="70">
        <f>CurrentMtgRatesDataTable8[[#This Row],[Servicing Spread Non-Zero]]-L1924</f>
        <v>0</v>
      </c>
      <c r="N1925" s="70">
        <f>IF(J1924&lt;&gt;0,CurrentMtgRatesDataTable8[[#This Row],[Rate]]-C1924,N1924)</f>
        <v>-0.16000000000000014</v>
      </c>
    </row>
    <row r="1926" spans="1:14">
      <c r="A1926" s="67" t="s">
        <v>3278</v>
      </c>
      <c r="B1926" s="68">
        <v>3.61498902203365</v>
      </c>
      <c r="C1926" s="69">
        <v>4.34</v>
      </c>
      <c r="D1926" s="70">
        <f t="shared" si="210"/>
        <v>7</v>
      </c>
      <c r="E1926" s="70">
        <f t="shared" si="211"/>
        <v>0.2</v>
      </c>
      <c r="F1926" s="70">
        <f t="shared" si="212"/>
        <v>5</v>
      </c>
      <c r="G1926" s="70">
        <f t="shared" si="213"/>
        <v>3.7555598903071541</v>
      </c>
      <c r="H1926" s="70">
        <f t="shared" si="214"/>
        <v>1</v>
      </c>
      <c r="I1926" s="70">
        <f t="shared" si="215"/>
        <v>1</v>
      </c>
      <c r="J1926" s="70">
        <f t="shared" si="216"/>
        <v>3.7555598903071541</v>
      </c>
      <c r="K1926" s="70">
        <f>IF(CurrentMtgRatesDataTable8[[#This Row],[WA CC]]&lt;&gt;0,C1925-CurrentMtgRatesDataTable8[[#This Row],[WA CC]],0)</f>
        <v>0.58444010969284577</v>
      </c>
      <c r="L1926" s="70">
        <f>IF(CurrentMtgRatesDataTable8[[#This Row],[Servicing Spread]]&lt;=0,L1925,CurrentMtgRatesDataTable8[[#This Row],[Servicing Spread]])</f>
        <v>0.58444010969284577</v>
      </c>
      <c r="M1926" s="70">
        <f>CurrentMtgRatesDataTable8[[#This Row],[Servicing Spread Non-Zero]]-L1925</f>
        <v>3.2918987981565451E-2</v>
      </c>
      <c r="N1926" s="70">
        <f>IF(J1925&lt;&gt;0,CurrentMtgRatesDataTable8[[#This Row],[Rate]]-C1925,N1925)</f>
        <v>-0.16000000000000014</v>
      </c>
    </row>
    <row r="1927" spans="1:14">
      <c r="A1927" s="67" t="s">
        <v>3279</v>
      </c>
      <c r="B1927" s="68">
        <v>3.4866024421459598</v>
      </c>
      <c r="C1927" s="69">
        <v>4.2450000000000001</v>
      </c>
      <c r="D1927" s="70">
        <f t="shared" si="210"/>
        <v>1</v>
      </c>
      <c r="E1927" s="70">
        <f t="shared" si="211"/>
        <v>0.2</v>
      </c>
      <c r="F1927" s="70">
        <f t="shared" si="212"/>
        <v>1</v>
      </c>
      <c r="G1927" s="70">
        <f t="shared" si="213"/>
        <v>0.69732048842919203</v>
      </c>
      <c r="H1927" s="70">
        <f t="shared" si="214"/>
        <v>0.2</v>
      </c>
      <c r="I1927" s="70">
        <f t="shared" si="215"/>
        <v>0</v>
      </c>
      <c r="J1927" s="70">
        <f t="shared" si="216"/>
        <v>0</v>
      </c>
      <c r="K1927" s="70">
        <f>IF(CurrentMtgRatesDataTable8[[#This Row],[WA CC]]&lt;&gt;0,C1926-CurrentMtgRatesDataTable8[[#This Row],[WA CC]],0)</f>
        <v>0</v>
      </c>
      <c r="L1927" s="70">
        <f>IF(CurrentMtgRatesDataTable8[[#This Row],[Servicing Spread]]&lt;=0,L1926,CurrentMtgRatesDataTable8[[#This Row],[Servicing Spread]])</f>
        <v>0.58444010969284577</v>
      </c>
      <c r="M1927" s="70">
        <f>CurrentMtgRatesDataTable8[[#This Row],[Servicing Spread Non-Zero]]-L1926</f>
        <v>0</v>
      </c>
      <c r="N1927" s="70">
        <f>IF(J1926&lt;&gt;0,CurrentMtgRatesDataTable8[[#This Row],[Rate]]-C1926,N1926)</f>
        <v>-9.4999999999999751E-2</v>
      </c>
    </row>
    <row r="1928" spans="1:14">
      <c r="A1928" s="67" t="s">
        <v>3280</v>
      </c>
      <c r="B1928" s="68">
        <v>3.6494432992963999</v>
      </c>
      <c r="C1928" s="69">
        <v>4.2450000000000001</v>
      </c>
      <c r="D1928" s="70">
        <f t="shared" si="210"/>
        <v>2</v>
      </c>
      <c r="E1928" s="70">
        <f t="shared" si="211"/>
        <v>0.2</v>
      </c>
      <c r="F1928" s="70">
        <f t="shared" si="212"/>
        <v>2</v>
      </c>
      <c r="G1928" s="70">
        <f t="shared" si="213"/>
        <v>1.4272091482884721</v>
      </c>
      <c r="H1928" s="70">
        <f t="shared" si="214"/>
        <v>0.4</v>
      </c>
      <c r="I1928" s="70">
        <f t="shared" si="215"/>
        <v>0</v>
      </c>
      <c r="J1928" s="70">
        <f t="shared" si="216"/>
        <v>0</v>
      </c>
      <c r="K1928" s="70">
        <f>IF(CurrentMtgRatesDataTable8[[#This Row],[WA CC]]&lt;&gt;0,C1927-CurrentMtgRatesDataTable8[[#This Row],[WA CC]],0)</f>
        <v>0</v>
      </c>
      <c r="L1928" s="70">
        <f>IF(CurrentMtgRatesDataTable8[[#This Row],[Servicing Spread]]&lt;=0,L1927,CurrentMtgRatesDataTable8[[#This Row],[Servicing Spread]])</f>
        <v>0.58444010969284577</v>
      </c>
      <c r="M1928" s="70">
        <f>CurrentMtgRatesDataTable8[[#This Row],[Servicing Spread Non-Zero]]-L1927</f>
        <v>0</v>
      </c>
      <c r="N1928" s="70">
        <f>IF(J1927&lt;&gt;0,CurrentMtgRatesDataTable8[[#This Row],[Rate]]-C1927,N1927)</f>
        <v>-9.4999999999999751E-2</v>
      </c>
    </row>
    <row r="1929" spans="1:14">
      <c r="A1929" s="67" t="s">
        <v>3281</v>
      </c>
      <c r="B1929" s="68">
        <v>3.5272994184639499</v>
      </c>
      <c r="C1929" s="69">
        <v>4.2450000000000001</v>
      </c>
      <c r="D1929" s="70">
        <f t="shared" si="210"/>
        <v>5</v>
      </c>
      <c r="E1929" s="70">
        <f t="shared" si="211"/>
        <v>0.2</v>
      </c>
      <c r="F1929" s="70">
        <f t="shared" si="212"/>
        <v>3</v>
      </c>
      <c r="G1929" s="70">
        <f t="shared" si="213"/>
        <v>2.132669031981262</v>
      </c>
      <c r="H1929" s="70">
        <f t="shared" si="214"/>
        <v>0.60000000000000009</v>
      </c>
      <c r="I1929" s="70">
        <f t="shared" si="215"/>
        <v>0</v>
      </c>
      <c r="J1929" s="70">
        <f t="shared" si="216"/>
        <v>0</v>
      </c>
      <c r="K1929" s="70">
        <f>IF(CurrentMtgRatesDataTable8[[#This Row],[WA CC]]&lt;&gt;0,C1928-CurrentMtgRatesDataTable8[[#This Row],[WA CC]],0)</f>
        <v>0</v>
      </c>
      <c r="L1929" s="70">
        <f>IF(CurrentMtgRatesDataTable8[[#This Row],[Servicing Spread]]&lt;=0,L1928,CurrentMtgRatesDataTable8[[#This Row],[Servicing Spread]])</f>
        <v>0.58444010969284577</v>
      </c>
      <c r="M1929" s="70">
        <f>CurrentMtgRatesDataTable8[[#This Row],[Servicing Spread Non-Zero]]-L1928</f>
        <v>0</v>
      </c>
      <c r="N1929" s="70">
        <f>IF(J1928&lt;&gt;0,CurrentMtgRatesDataTable8[[#This Row],[Rate]]-C1928,N1928)</f>
        <v>-9.4999999999999751E-2</v>
      </c>
    </row>
    <row r="1930" spans="1:14">
      <c r="A1930" s="67" t="s">
        <v>3282</v>
      </c>
      <c r="B1930" s="68">
        <v>3.3615209507412498</v>
      </c>
      <c r="C1930" s="69">
        <v>4.2450000000000001</v>
      </c>
      <c r="D1930" s="70">
        <f t="shared" si="210"/>
        <v>6</v>
      </c>
      <c r="E1930" s="70">
        <f t="shared" si="211"/>
        <v>0.2</v>
      </c>
      <c r="F1930" s="70">
        <f t="shared" si="212"/>
        <v>4</v>
      </c>
      <c r="G1930" s="70">
        <f t="shared" si="213"/>
        <v>2.8049732221295121</v>
      </c>
      <c r="H1930" s="70">
        <f t="shared" si="214"/>
        <v>0.8</v>
      </c>
      <c r="I1930" s="70">
        <f t="shared" si="215"/>
        <v>0</v>
      </c>
      <c r="J1930" s="70">
        <f t="shared" si="216"/>
        <v>0</v>
      </c>
      <c r="K1930" s="70">
        <f>IF(CurrentMtgRatesDataTable8[[#This Row],[WA CC]]&lt;&gt;0,C1929-CurrentMtgRatesDataTable8[[#This Row],[WA CC]],0)</f>
        <v>0</v>
      </c>
      <c r="L1930" s="70">
        <f>IF(CurrentMtgRatesDataTable8[[#This Row],[Servicing Spread]]&lt;=0,L1929,CurrentMtgRatesDataTable8[[#This Row],[Servicing Spread]])</f>
        <v>0.58444010969284577</v>
      </c>
      <c r="M1930" s="70">
        <f>CurrentMtgRatesDataTable8[[#This Row],[Servicing Spread Non-Zero]]-L1929</f>
        <v>0</v>
      </c>
      <c r="N1930" s="70">
        <f>IF(J1929&lt;&gt;0,CurrentMtgRatesDataTable8[[#This Row],[Rate]]-C1929,N1929)</f>
        <v>-9.4999999999999751E-2</v>
      </c>
    </row>
    <row r="1931" spans="1:14">
      <c r="A1931" s="67" t="s">
        <v>3283</v>
      </c>
      <c r="B1931" s="68">
        <v>3.2328090551178201</v>
      </c>
      <c r="C1931" s="69">
        <v>4.2450000000000001</v>
      </c>
      <c r="D1931" s="70">
        <f t="shared" si="210"/>
        <v>7</v>
      </c>
      <c r="E1931" s="70">
        <f t="shared" si="211"/>
        <v>0.2</v>
      </c>
      <c r="F1931" s="70">
        <f t="shared" si="212"/>
        <v>5</v>
      </c>
      <c r="G1931" s="70">
        <f t="shared" si="213"/>
        <v>3.4515350331530761</v>
      </c>
      <c r="H1931" s="70">
        <f t="shared" si="214"/>
        <v>1</v>
      </c>
      <c r="I1931" s="70">
        <f t="shared" si="215"/>
        <v>1</v>
      </c>
      <c r="J1931" s="70">
        <f t="shared" si="216"/>
        <v>3.4515350331530761</v>
      </c>
      <c r="K1931" s="70">
        <f>IF(CurrentMtgRatesDataTable8[[#This Row],[WA CC]]&lt;&gt;0,C1930-CurrentMtgRatesDataTable8[[#This Row],[WA CC]],0)</f>
        <v>0.79346496684692402</v>
      </c>
      <c r="L1931" s="70">
        <f>IF(CurrentMtgRatesDataTable8[[#This Row],[Servicing Spread]]&lt;=0,L1930,CurrentMtgRatesDataTable8[[#This Row],[Servicing Spread]])</f>
        <v>0.79346496684692402</v>
      </c>
      <c r="M1931" s="70">
        <f>CurrentMtgRatesDataTable8[[#This Row],[Servicing Spread Non-Zero]]-L1930</f>
        <v>0.20902485715407826</v>
      </c>
      <c r="N1931" s="70">
        <f>IF(J1930&lt;&gt;0,CurrentMtgRatesDataTable8[[#This Row],[Rate]]-C1930,N1930)</f>
        <v>-9.4999999999999751E-2</v>
      </c>
    </row>
    <row r="1932" spans="1:14">
      <c r="A1932" s="67" t="s">
        <v>3284</v>
      </c>
      <c r="B1932" s="68">
        <v>3.3763418020017699</v>
      </c>
      <c r="C1932" s="69">
        <v>4.0750000000000002</v>
      </c>
      <c r="D1932" s="70">
        <f t="shared" si="210"/>
        <v>1</v>
      </c>
      <c r="E1932" s="70">
        <f t="shared" si="211"/>
        <v>0.2</v>
      </c>
      <c r="F1932" s="70">
        <f t="shared" si="212"/>
        <v>1</v>
      </c>
      <c r="G1932" s="70">
        <f t="shared" si="213"/>
        <v>0.67526836040035398</v>
      </c>
      <c r="H1932" s="70">
        <f t="shared" si="214"/>
        <v>0.2</v>
      </c>
      <c r="I1932" s="70">
        <f t="shared" si="215"/>
        <v>0</v>
      </c>
      <c r="J1932" s="70">
        <f t="shared" si="216"/>
        <v>0</v>
      </c>
      <c r="K1932" s="70">
        <f>IF(CurrentMtgRatesDataTable8[[#This Row],[WA CC]]&lt;&gt;0,C1931-CurrentMtgRatesDataTable8[[#This Row],[WA CC]],0)</f>
        <v>0</v>
      </c>
      <c r="L1932" s="70">
        <f>IF(CurrentMtgRatesDataTable8[[#This Row],[Servicing Spread]]&lt;=0,L1931,CurrentMtgRatesDataTable8[[#This Row],[Servicing Spread]])</f>
        <v>0.79346496684692402</v>
      </c>
      <c r="M1932" s="70">
        <f>CurrentMtgRatesDataTable8[[#This Row],[Servicing Spread Non-Zero]]-L1931</f>
        <v>0</v>
      </c>
      <c r="N1932" s="70">
        <f>IF(J1931&lt;&gt;0,CurrentMtgRatesDataTable8[[#This Row],[Rate]]-C1931,N1931)</f>
        <v>-0.16999999999999993</v>
      </c>
    </row>
    <row r="1933" spans="1:14">
      <c r="A1933" s="67" t="s">
        <v>3285</v>
      </c>
      <c r="B1933" s="68">
        <v>3.31670518615761</v>
      </c>
      <c r="C1933" s="69">
        <v>4.0750000000000002</v>
      </c>
      <c r="D1933" s="70">
        <f t="shared" si="210"/>
        <v>2</v>
      </c>
      <c r="E1933" s="70">
        <f t="shared" si="211"/>
        <v>0.2</v>
      </c>
      <c r="F1933" s="70">
        <f t="shared" si="212"/>
        <v>2</v>
      </c>
      <c r="G1933" s="70">
        <f t="shared" si="213"/>
        <v>1.338609397631876</v>
      </c>
      <c r="H1933" s="70">
        <f t="shared" si="214"/>
        <v>0.4</v>
      </c>
      <c r="I1933" s="70">
        <f t="shared" si="215"/>
        <v>0</v>
      </c>
      <c r="J1933" s="70">
        <f t="shared" si="216"/>
        <v>0</v>
      </c>
      <c r="K1933" s="70">
        <f>IF(CurrentMtgRatesDataTable8[[#This Row],[WA CC]]&lt;&gt;0,C1932-CurrentMtgRatesDataTable8[[#This Row],[WA CC]],0)</f>
        <v>0</v>
      </c>
      <c r="L1933" s="70">
        <f>IF(CurrentMtgRatesDataTable8[[#This Row],[Servicing Spread]]&lt;=0,L1932,CurrentMtgRatesDataTable8[[#This Row],[Servicing Spread]])</f>
        <v>0.79346496684692402</v>
      </c>
      <c r="M1933" s="70">
        <f>CurrentMtgRatesDataTable8[[#This Row],[Servicing Spread Non-Zero]]-L1932</f>
        <v>0</v>
      </c>
      <c r="N1933" s="70">
        <f>IF(J1932&lt;&gt;0,CurrentMtgRatesDataTable8[[#This Row],[Rate]]-C1932,N1932)</f>
        <v>-0.16999999999999993</v>
      </c>
    </row>
    <row r="1934" spans="1:14">
      <c r="A1934" s="67" t="s">
        <v>3286</v>
      </c>
      <c r="B1934" s="68">
        <v>3.3816169312489701</v>
      </c>
      <c r="C1934" s="69">
        <v>4.0750000000000002</v>
      </c>
      <c r="D1934" s="70">
        <f t="shared" si="210"/>
        <v>5</v>
      </c>
      <c r="E1934" s="70">
        <f t="shared" si="211"/>
        <v>0.2</v>
      </c>
      <c r="F1934" s="70">
        <f t="shared" si="212"/>
        <v>3</v>
      </c>
      <c r="G1934" s="70">
        <f t="shared" si="213"/>
        <v>2.0149327838816702</v>
      </c>
      <c r="H1934" s="70">
        <f t="shared" si="214"/>
        <v>0.60000000000000009</v>
      </c>
      <c r="I1934" s="70">
        <f t="shared" si="215"/>
        <v>0</v>
      </c>
      <c r="J1934" s="70">
        <f t="shared" si="216"/>
        <v>0</v>
      </c>
      <c r="K1934" s="70">
        <f>IF(CurrentMtgRatesDataTable8[[#This Row],[WA CC]]&lt;&gt;0,C1933-CurrentMtgRatesDataTable8[[#This Row],[WA CC]],0)</f>
        <v>0</v>
      </c>
      <c r="L1934" s="70">
        <f>IF(CurrentMtgRatesDataTable8[[#This Row],[Servicing Spread]]&lt;=0,L1933,CurrentMtgRatesDataTable8[[#This Row],[Servicing Spread]])</f>
        <v>0.79346496684692402</v>
      </c>
      <c r="M1934" s="70">
        <f>CurrentMtgRatesDataTable8[[#This Row],[Servicing Spread Non-Zero]]-L1933</f>
        <v>0</v>
      </c>
      <c r="N1934" s="70">
        <f>IF(J1933&lt;&gt;0,CurrentMtgRatesDataTable8[[#This Row],[Rate]]-C1933,N1933)</f>
        <v>-0.16999999999999993</v>
      </c>
    </row>
    <row r="1935" spans="1:14">
      <c r="A1935" s="67" t="s">
        <v>3287</v>
      </c>
      <c r="B1935" s="68">
        <v>3.3118241286544898</v>
      </c>
      <c r="C1935" s="69">
        <v>4.0750000000000002</v>
      </c>
      <c r="D1935" s="70">
        <f t="shared" si="210"/>
        <v>6</v>
      </c>
      <c r="E1935" s="70">
        <f t="shared" si="211"/>
        <v>0.2</v>
      </c>
      <c r="F1935" s="70">
        <f t="shared" si="212"/>
        <v>4</v>
      </c>
      <c r="G1935" s="70">
        <f t="shared" si="213"/>
        <v>2.6772976096125682</v>
      </c>
      <c r="H1935" s="70">
        <f t="shared" si="214"/>
        <v>0.8</v>
      </c>
      <c r="I1935" s="70">
        <f t="shared" si="215"/>
        <v>0</v>
      </c>
      <c r="J1935" s="70">
        <f t="shared" si="216"/>
        <v>0</v>
      </c>
      <c r="K1935" s="70">
        <f>IF(CurrentMtgRatesDataTable8[[#This Row],[WA CC]]&lt;&gt;0,C1934-CurrentMtgRatesDataTable8[[#This Row],[WA CC]],0)</f>
        <v>0</v>
      </c>
      <c r="L1935" s="70">
        <f>IF(CurrentMtgRatesDataTable8[[#This Row],[Servicing Spread]]&lt;=0,L1934,CurrentMtgRatesDataTable8[[#This Row],[Servicing Spread]])</f>
        <v>0.79346496684692402</v>
      </c>
      <c r="M1935" s="70">
        <f>CurrentMtgRatesDataTable8[[#This Row],[Servicing Spread Non-Zero]]-L1934</f>
        <v>0</v>
      </c>
      <c r="N1935" s="70">
        <f>IF(J1934&lt;&gt;0,CurrentMtgRatesDataTable8[[#This Row],[Rate]]-C1934,N1934)</f>
        <v>-0.16999999999999993</v>
      </c>
    </row>
    <row r="1936" spans="1:14">
      <c r="A1936" s="67" t="s">
        <v>3288</v>
      </c>
      <c r="B1936" s="68">
        <v>3.26932734313012</v>
      </c>
      <c r="C1936" s="69">
        <v>4.0750000000000002</v>
      </c>
      <c r="D1936" s="70">
        <f t="shared" si="210"/>
        <v>7</v>
      </c>
      <c r="E1936" s="70">
        <f t="shared" si="211"/>
        <v>0.2</v>
      </c>
      <c r="F1936" s="70">
        <f t="shared" si="212"/>
        <v>5</v>
      </c>
      <c r="G1936" s="70">
        <f t="shared" si="213"/>
        <v>3.3311630782385921</v>
      </c>
      <c r="H1936" s="70">
        <f t="shared" si="214"/>
        <v>1</v>
      </c>
      <c r="I1936" s="70">
        <f t="shared" si="215"/>
        <v>1</v>
      </c>
      <c r="J1936" s="70">
        <f t="shared" si="216"/>
        <v>3.3311630782385921</v>
      </c>
      <c r="K1936" s="70">
        <f>IF(CurrentMtgRatesDataTable8[[#This Row],[WA CC]]&lt;&gt;0,C1935-CurrentMtgRatesDataTable8[[#This Row],[WA CC]],0)</f>
        <v>0.74383692176140803</v>
      </c>
      <c r="L1936" s="70">
        <f>IF(CurrentMtgRatesDataTable8[[#This Row],[Servicing Spread]]&lt;=0,L1935,CurrentMtgRatesDataTable8[[#This Row],[Servicing Spread]])</f>
        <v>0.74383692176140803</v>
      </c>
      <c r="M1936" s="70">
        <f>CurrentMtgRatesDataTable8[[#This Row],[Servicing Spread Non-Zero]]-L1935</f>
        <v>-4.9628045085515993E-2</v>
      </c>
      <c r="N1936" s="70">
        <f>IF(J1935&lt;&gt;0,CurrentMtgRatesDataTable8[[#This Row],[Rate]]-C1935,N1935)</f>
        <v>-0.16999999999999993</v>
      </c>
    </row>
    <row r="1937" spans="1:14">
      <c r="A1937" s="67" t="s">
        <v>3289</v>
      </c>
      <c r="B1937" s="68">
        <v>3.2492398871399901</v>
      </c>
      <c r="C1937" s="69">
        <v>4.1449999999999996</v>
      </c>
      <c r="D1937" s="70">
        <f t="shared" si="210"/>
        <v>1</v>
      </c>
      <c r="E1937" s="70">
        <f t="shared" si="211"/>
        <v>0.2</v>
      </c>
      <c r="F1937" s="70">
        <f t="shared" si="212"/>
        <v>1</v>
      </c>
      <c r="G1937" s="70">
        <f t="shared" si="213"/>
        <v>0.64984797742799805</v>
      </c>
      <c r="H1937" s="70">
        <f t="shared" si="214"/>
        <v>0.2</v>
      </c>
      <c r="I1937" s="70">
        <f t="shared" si="215"/>
        <v>0</v>
      </c>
      <c r="J1937" s="70">
        <f t="shared" si="216"/>
        <v>0</v>
      </c>
      <c r="K1937" s="70">
        <f>IF(CurrentMtgRatesDataTable8[[#This Row],[WA CC]]&lt;&gt;0,C1936-CurrentMtgRatesDataTable8[[#This Row],[WA CC]],0)</f>
        <v>0</v>
      </c>
      <c r="L1937" s="70">
        <f>IF(CurrentMtgRatesDataTable8[[#This Row],[Servicing Spread]]&lt;=0,L1936,CurrentMtgRatesDataTable8[[#This Row],[Servicing Spread]])</f>
        <v>0.74383692176140803</v>
      </c>
      <c r="M1937" s="70">
        <f>CurrentMtgRatesDataTable8[[#This Row],[Servicing Spread Non-Zero]]-L1936</f>
        <v>0</v>
      </c>
      <c r="N1937" s="70">
        <f>IF(J1936&lt;&gt;0,CurrentMtgRatesDataTable8[[#This Row],[Rate]]-C1936,N1936)</f>
        <v>6.9999999999999396E-2</v>
      </c>
    </row>
    <row r="1938" spans="1:14">
      <c r="A1938" s="67" t="s">
        <v>3290</v>
      </c>
      <c r="B1938" s="68">
        <v>3.2837852746687299</v>
      </c>
      <c r="C1938" s="69">
        <v>4.1449999999999996</v>
      </c>
      <c r="D1938" s="70">
        <f t="shared" si="210"/>
        <v>2</v>
      </c>
      <c r="E1938" s="70">
        <f t="shared" si="211"/>
        <v>0.2</v>
      </c>
      <c r="F1938" s="70">
        <f t="shared" si="212"/>
        <v>2</v>
      </c>
      <c r="G1938" s="70">
        <f t="shared" si="213"/>
        <v>1.3066050323617442</v>
      </c>
      <c r="H1938" s="70">
        <f t="shared" si="214"/>
        <v>0.4</v>
      </c>
      <c r="I1938" s="70">
        <f t="shared" si="215"/>
        <v>0</v>
      </c>
      <c r="J1938" s="70">
        <f t="shared" si="216"/>
        <v>0</v>
      </c>
      <c r="K1938" s="70">
        <f>IF(CurrentMtgRatesDataTable8[[#This Row],[WA CC]]&lt;&gt;0,C1937-CurrentMtgRatesDataTable8[[#This Row],[WA CC]],0)</f>
        <v>0</v>
      </c>
      <c r="L1938" s="70">
        <f>IF(CurrentMtgRatesDataTable8[[#This Row],[Servicing Spread]]&lt;=0,L1937,CurrentMtgRatesDataTable8[[#This Row],[Servicing Spread]])</f>
        <v>0.74383692176140803</v>
      </c>
      <c r="M1938" s="70">
        <f>CurrentMtgRatesDataTable8[[#This Row],[Servicing Spread Non-Zero]]-L1937</f>
        <v>0</v>
      </c>
      <c r="N1938" s="70">
        <f>IF(J1937&lt;&gt;0,CurrentMtgRatesDataTable8[[#This Row],[Rate]]-C1937,N1937)</f>
        <v>6.9999999999999396E-2</v>
      </c>
    </row>
    <row r="1939" spans="1:14">
      <c r="A1939" s="67" t="s">
        <v>3291</v>
      </c>
      <c r="B1939" s="68">
        <v>3.3037905291021898</v>
      </c>
      <c r="C1939" s="69">
        <v>4.1449999999999996</v>
      </c>
      <c r="D1939" s="70">
        <f t="shared" si="210"/>
        <v>5</v>
      </c>
      <c r="E1939" s="70">
        <f t="shared" si="211"/>
        <v>0.2</v>
      </c>
      <c r="F1939" s="70">
        <f t="shared" si="212"/>
        <v>3</v>
      </c>
      <c r="G1939" s="70">
        <f t="shared" si="213"/>
        <v>1.9673631381821823</v>
      </c>
      <c r="H1939" s="70">
        <f t="shared" si="214"/>
        <v>0.60000000000000009</v>
      </c>
      <c r="I1939" s="70">
        <f t="shared" si="215"/>
        <v>0</v>
      </c>
      <c r="J1939" s="70">
        <f t="shared" si="216"/>
        <v>0</v>
      </c>
      <c r="K1939" s="70">
        <f>IF(CurrentMtgRatesDataTable8[[#This Row],[WA CC]]&lt;&gt;0,C1938-CurrentMtgRatesDataTable8[[#This Row],[WA CC]],0)</f>
        <v>0</v>
      </c>
      <c r="L1939" s="70">
        <f>IF(CurrentMtgRatesDataTable8[[#This Row],[Servicing Spread]]&lt;=0,L1938,CurrentMtgRatesDataTable8[[#This Row],[Servicing Spread]])</f>
        <v>0.74383692176140803</v>
      </c>
      <c r="M1939" s="70">
        <f>CurrentMtgRatesDataTable8[[#This Row],[Servicing Spread Non-Zero]]-L1938</f>
        <v>0</v>
      </c>
      <c r="N1939" s="70">
        <f>IF(J1938&lt;&gt;0,CurrentMtgRatesDataTable8[[#This Row],[Rate]]-C1938,N1938)</f>
        <v>6.9999999999999396E-2</v>
      </c>
    </row>
    <row r="1940" spans="1:14">
      <c r="A1940" s="67" t="s">
        <v>3292</v>
      </c>
      <c r="B1940" s="68">
        <v>3.3649434025508</v>
      </c>
      <c r="C1940" s="69">
        <v>4.1449999999999996</v>
      </c>
      <c r="D1940" s="70">
        <f t="shared" si="210"/>
        <v>6</v>
      </c>
      <c r="E1940" s="70">
        <f t="shared" si="211"/>
        <v>0.2</v>
      </c>
      <c r="F1940" s="70">
        <f t="shared" si="212"/>
        <v>4</v>
      </c>
      <c r="G1940" s="70">
        <f t="shared" si="213"/>
        <v>2.6403518186923423</v>
      </c>
      <c r="H1940" s="70">
        <f t="shared" si="214"/>
        <v>0.8</v>
      </c>
      <c r="I1940" s="70">
        <f t="shared" si="215"/>
        <v>0</v>
      </c>
      <c r="J1940" s="70">
        <f t="shared" si="216"/>
        <v>0</v>
      </c>
      <c r="K1940" s="70">
        <f>IF(CurrentMtgRatesDataTable8[[#This Row],[WA CC]]&lt;&gt;0,C1939-CurrentMtgRatesDataTable8[[#This Row],[WA CC]],0)</f>
        <v>0</v>
      </c>
      <c r="L1940" s="70">
        <f>IF(CurrentMtgRatesDataTable8[[#This Row],[Servicing Spread]]&lt;=0,L1939,CurrentMtgRatesDataTable8[[#This Row],[Servicing Spread]])</f>
        <v>0.74383692176140803</v>
      </c>
      <c r="M1940" s="70">
        <f>CurrentMtgRatesDataTable8[[#This Row],[Servicing Spread Non-Zero]]-L1939</f>
        <v>0</v>
      </c>
      <c r="N1940" s="70">
        <f>IF(J1939&lt;&gt;0,CurrentMtgRatesDataTable8[[#This Row],[Rate]]-C1939,N1939)</f>
        <v>6.9999999999999396E-2</v>
      </c>
    </row>
    <row r="1941" spans="1:14">
      <c r="A1941" s="67" t="s">
        <v>3293</v>
      </c>
      <c r="B1941" s="68">
        <v>3.3081684069465198</v>
      </c>
      <c r="C1941" s="69">
        <v>4.1449999999999996</v>
      </c>
      <c r="D1941" s="70">
        <f t="shared" si="210"/>
        <v>7</v>
      </c>
      <c r="E1941" s="70">
        <f t="shared" si="211"/>
        <v>0.2</v>
      </c>
      <c r="F1941" s="70">
        <f t="shared" si="212"/>
        <v>5</v>
      </c>
      <c r="G1941" s="70">
        <f t="shared" si="213"/>
        <v>3.3019855000816465</v>
      </c>
      <c r="H1941" s="70">
        <f t="shared" si="214"/>
        <v>1</v>
      </c>
      <c r="I1941" s="70">
        <f t="shared" si="215"/>
        <v>1</v>
      </c>
      <c r="J1941" s="70">
        <f t="shared" si="216"/>
        <v>3.3019855000816465</v>
      </c>
      <c r="K1941" s="70">
        <f>IF(CurrentMtgRatesDataTable8[[#This Row],[WA CC]]&lt;&gt;0,C1940-CurrentMtgRatesDataTable8[[#This Row],[WA CC]],0)</f>
        <v>0.84301449991835309</v>
      </c>
      <c r="L1941" s="70">
        <f>IF(CurrentMtgRatesDataTable8[[#This Row],[Servicing Spread]]&lt;=0,L1940,CurrentMtgRatesDataTable8[[#This Row],[Servicing Spread]])</f>
        <v>0.84301449991835309</v>
      </c>
      <c r="M1941" s="70">
        <f>CurrentMtgRatesDataTable8[[#This Row],[Servicing Spread Non-Zero]]-L1940</f>
        <v>9.9177578156945057E-2</v>
      </c>
      <c r="N1941" s="70">
        <f>IF(J1940&lt;&gt;0,CurrentMtgRatesDataTable8[[#This Row],[Rate]]-C1940,N1940)</f>
        <v>6.9999999999999396E-2</v>
      </c>
    </row>
    <row r="1942" spans="1:14">
      <c r="A1942" s="67" t="s">
        <v>3294</v>
      </c>
      <c r="B1942" s="68">
        <v>3.3922014866602601</v>
      </c>
      <c r="C1942" s="69">
        <v>4.1449999999999996</v>
      </c>
      <c r="D1942" s="70">
        <f t="shared" si="210"/>
        <v>1</v>
      </c>
      <c r="E1942" s="70">
        <f t="shared" si="211"/>
        <v>0.2</v>
      </c>
      <c r="F1942" s="70">
        <f t="shared" si="212"/>
        <v>1</v>
      </c>
      <c r="G1942" s="70">
        <f t="shared" si="213"/>
        <v>0.67844029733205202</v>
      </c>
      <c r="H1942" s="70">
        <f t="shared" si="214"/>
        <v>0.2</v>
      </c>
      <c r="I1942" s="70">
        <f t="shared" si="215"/>
        <v>0</v>
      </c>
      <c r="J1942" s="70">
        <f t="shared" si="216"/>
        <v>0</v>
      </c>
      <c r="K1942" s="70">
        <f>IF(CurrentMtgRatesDataTable8[[#This Row],[WA CC]]&lt;&gt;0,C1941-CurrentMtgRatesDataTable8[[#This Row],[WA CC]],0)</f>
        <v>0</v>
      </c>
      <c r="L1942" s="70">
        <f>IF(CurrentMtgRatesDataTable8[[#This Row],[Servicing Spread]]&lt;=0,L1941,CurrentMtgRatesDataTable8[[#This Row],[Servicing Spread]])</f>
        <v>0.84301449991835309</v>
      </c>
      <c r="M1942" s="70">
        <f>CurrentMtgRatesDataTable8[[#This Row],[Servicing Spread Non-Zero]]-L1941</f>
        <v>0</v>
      </c>
      <c r="N1942" s="70">
        <f>IF(J1941&lt;&gt;0,CurrentMtgRatesDataTable8[[#This Row],[Rate]]-C1941,N1941)</f>
        <v>0</v>
      </c>
    </row>
    <row r="1943" spans="1:14">
      <c r="A1943" s="67" t="s">
        <v>3295</v>
      </c>
      <c r="B1943" s="68">
        <v>3.35269320675931</v>
      </c>
      <c r="C1943" s="69">
        <v>4.1449999999999996</v>
      </c>
      <c r="D1943" s="70">
        <f t="shared" si="210"/>
        <v>2</v>
      </c>
      <c r="E1943" s="70">
        <f t="shared" si="211"/>
        <v>0.2</v>
      </c>
      <c r="F1943" s="70">
        <f t="shared" si="212"/>
        <v>2</v>
      </c>
      <c r="G1943" s="70">
        <f t="shared" si="213"/>
        <v>1.3489789386839139</v>
      </c>
      <c r="H1943" s="70">
        <f t="shared" si="214"/>
        <v>0.4</v>
      </c>
      <c r="I1943" s="70">
        <f t="shared" si="215"/>
        <v>0</v>
      </c>
      <c r="J1943" s="70">
        <f t="shared" si="216"/>
        <v>0</v>
      </c>
      <c r="K1943" s="70">
        <f>IF(CurrentMtgRatesDataTable8[[#This Row],[WA CC]]&lt;&gt;0,C1942-CurrentMtgRatesDataTable8[[#This Row],[WA CC]],0)</f>
        <v>0</v>
      </c>
      <c r="L1943" s="70">
        <f>IF(CurrentMtgRatesDataTable8[[#This Row],[Servicing Spread]]&lt;=0,L1942,CurrentMtgRatesDataTable8[[#This Row],[Servicing Spread]])</f>
        <v>0.84301449991835309</v>
      </c>
      <c r="M1943" s="70">
        <f>CurrentMtgRatesDataTable8[[#This Row],[Servicing Spread Non-Zero]]-L1942</f>
        <v>0</v>
      </c>
      <c r="N1943" s="70">
        <f>IF(J1942&lt;&gt;0,CurrentMtgRatesDataTable8[[#This Row],[Rate]]-C1942,N1942)</f>
        <v>0</v>
      </c>
    </row>
    <row r="1944" spans="1:14">
      <c r="A1944" s="67" t="s">
        <v>3296</v>
      </c>
      <c r="B1944" s="68">
        <v>3.44007422057935</v>
      </c>
      <c r="C1944" s="69">
        <v>4.1449999999999996</v>
      </c>
      <c r="D1944" s="70">
        <f t="shared" si="210"/>
        <v>5</v>
      </c>
      <c r="E1944" s="70">
        <f t="shared" si="211"/>
        <v>0.2</v>
      </c>
      <c r="F1944" s="70">
        <f t="shared" si="212"/>
        <v>3</v>
      </c>
      <c r="G1944" s="70">
        <f t="shared" si="213"/>
        <v>2.0369937827997839</v>
      </c>
      <c r="H1944" s="70">
        <f t="shared" si="214"/>
        <v>0.60000000000000009</v>
      </c>
      <c r="I1944" s="70">
        <f t="shared" si="215"/>
        <v>0</v>
      </c>
      <c r="J1944" s="70">
        <f t="shared" si="216"/>
        <v>0</v>
      </c>
      <c r="K1944" s="70">
        <f>IF(CurrentMtgRatesDataTable8[[#This Row],[WA CC]]&lt;&gt;0,C1943-CurrentMtgRatesDataTable8[[#This Row],[WA CC]],0)</f>
        <v>0</v>
      </c>
      <c r="L1944" s="70">
        <f>IF(CurrentMtgRatesDataTable8[[#This Row],[Servicing Spread]]&lt;=0,L1943,CurrentMtgRatesDataTable8[[#This Row],[Servicing Spread]])</f>
        <v>0.84301449991835309</v>
      </c>
      <c r="M1944" s="70">
        <f>CurrentMtgRatesDataTable8[[#This Row],[Servicing Spread Non-Zero]]-L1943</f>
        <v>0</v>
      </c>
      <c r="N1944" s="70">
        <f>IF(J1943&lt;&gt;0,CurrentMtgRatesDataTable8[[#This Row],[Rate]]-C1943,N1943)</f>
        <v>0</v>
      </c>
    </row>
    <row r="1945" spans="1:14">
      <c r="A1945" s="67" t="s">
        <v>3297</v>
      </c>
      <c r="B1945" s="68">
        <v>3.3588973610641801</v>
      </c>
      <c r="C1945" s="69">
        <v>4.1449999999999996</v>
      </c>
      <c r="D1945" s="70">
        <f t="shared" si="210"/>
        <v>6</v>
      </c>
      <c r="E1945" s="70">
        <f t="shared" si="211"/>
        <v>0.2</v>
      </c>
      <c r="F1945" s="70">
        <f t="shared" si="212"/>
        <v>4</v>
      </c>
      <c r="G1945" s="70">
        <f t="shared" si="213"/>
        <v>2.7087732550126198</v>
      </c>
      <c r="H1945" s="70">
        <f t="shared" si="214"/>
        <v>0.8</v>
      </c>
      <c r="I1945" s="70">
        <f t="shared" si="215"/>
        <v>0</v>
      </c>
      <c r="J1945" s="70">
        <f t="shared" si="216"/>
        <v>0</v>
      </c>
      <c r="K1945" s="70">
        <f>IF(CurrentMtgRatesDataTable8[[#This Row],[WA CC]]&lt;&gt;0,C1944-CurrentMtgRatesDataTable8[[#This Row],[WA CC]],0)</f>
        <v>0</v>
      </c>
      <c r="L1945" s="70">
        <f>IF(CurrentMtgRatesDataTable8[[#This Row],[Servicing Spread]]&lt;=0,L1944,CurrentMtgRatesDataTable8[[#This Row],[Servicing Spread]])</f>
        <v>0.84301449991835309</v>
      </c>
      <c r="M1945" s="70">
        <f>CurrentMtgRatesDataTable8[[#This Row],[Servicing Spread Non-Zero]]-L1944</f>
        <v>0</v>
      </c>
      <c r="N1945" s="70">
        <f>IF(J1944&lt;&gt;0,CurrentMtgRatesDataTable8[[#This Row],[Rate]]-C1944,N1944)</f>
        <v>0</v>
      </c>
    </row>
    <row r="1946" spans="1:14">
      <c r="A1946" s="67" t="s">
        <v>3298</v>
      </c>
      <c r="B1946" s="68">
        <v>3.4273948025536498</v>
      </c>
      <c r="C1946" s="69">
        <v>4.1449999999999996</v>
      </c>
      <c r="D1946" s="70">
        <f t="shared" si="210"/>
        <v>7</v>
      </c>
      <c r="E1946" s="70">
        <f t="shared" si="211"/>
        <v>0.2</v>
      </c>
      <c r="F1946" s="70">
        <f t="shared" si="212"/>
        <v>5</v>
      </c>
      <c r="G1946" s="70">
        <f t="shared" si="213"/>
        <v>3.3942522155233497</v>
      </c>
      <c r="H1946" s="70">
        <f t="shared" si="214"/>
        <v>1</v>
      </c>
      <c r="I1946" s="70">
        <f t="shared" si="215"/>
        <v>1</v>
      </c>
      <c r="J1946" s="70">
        <f t="shared" si="216"/>
        <v>3.3942522155233497</v>
      </c>
      <c r="K1946" s="70">
        <f>IF(CurrentMtgRatesDataTable8[[#This Row],[WA CC]]&lt;&gt;0,C1945-CurrentMtgRatesDataTable8[[#This Row],[WA CC]],0)</f>
        <v>0.75074778447664992</v>
      </c>
      <c r="L1946" s="70">
        <f>IF(CurrentMtgRatesDataTable8[[#This Row],[Servicing Spread]]&lt;=0,L1945,CurrentMtgRatesDataTable8[[#This Row],[Servicing Spread]])</f>
        <v>0.75074778447664992</v>
      </c>
      <c r="M1946" s="70">
        <f>CurrentMtgRatesDataTable8[[#This Row],[Servicing Spread Non-Zero]]-L1945</f>
        <v>-9.2266715441703173E-2</v>
      </c>
      <c r="N1946" s="70">
        <f>IF(J1945&lt;&gt;0,CurrentMtgRatesDataTable8[[#This Row],[Rate]]-C1945,N1945)</f>
        <v>0</v>
      </c>
    </row>
    <row r="1947" spans="1:14">
      <c r="A1947" s="67" t="s">
        <v>3299</v>
      </c>
      <c r="B1947" s="68">
        <v>3.3636197658163201</v>
      </c>
      <c r="C1947" s="69">
        <v>4.0449999999999999</v>
      </c>
      <c r="D1947" s="70">
        <f t="shared" si="210"/>
        <v>1</v>
      </c>
      <c r="E1947" s="70">
        <f t="shared" si="211"/>
        <v>0.2</v>
      </c>
      <c r="F1947" s="70">
        <f t="shared" si="212"/>
        <v>1</v>
      </c>
      <c r="G1947" s="70">
        <f t="shared" si="213"/>
        <v>0.67272395316326405</v>
      </c>
      <c r="H1947" s="70">
        <f t="shared" si="214"/>
        <v>0.2</v>
      </c>
      <c r="I1947" s="70">
        <f t="shared" si="215"/>
        <v>0</v>
      </c>
      <c r="J1947" s="70">
        <f t="shared" si="216"/>
        <v>0</v>
      </c>
      <c r="K1947" s="70">
        <f>IF(CurrentMtgRatesDataTable8[[#This Row],[WA CC]]&lt;&gt;0,C1946-CurrentMtgRatesDataTable8[[#This Row],[WA CC]],0)</f>
        <v>0</v>
      </c>
      <c r="L1947" s="70">
        <f>IF(CurrentMtgRatesDataTable8[[#This Row],[Servicing Spread]]&lt;=0,L1946,CurrentMtgRatesDataTable8[[#This Row],[Servicing Spread]])</f>
        <v>0.75074778447664992</v>
      </c>
      <c r="M1947" s="70">
        <f>CurrentMtgRatesDataTable8[[#This Row],[Servicing Spread Non-Zero]]-L1946</f>
        <v>0</v>
      </c>
      <c r="N1947" s="70">
        <f>IF(J1946&lt;&gt;0,CurrentMtgRatesDataTable8[[#This Row],[Rate]]-C1946,N1946)</f>
        <v>-9.9999999999999645E-2</v>
      </c>
    </row>
    <row r="1948" spans="1:14">
      <c r="A1948" s="67" t="s">
        <v>3300</v>
      </c>
      <c r="B1948" s="68">
        <v>3.2634227208320401</v>
      </c>
      <c r="C1948" s="69">
        <v>4.0449999999999999</v>
      </c>
      <c r="D1948" s="70">
        <f t="shared" si="210"/>
        <v>2</v>
      </c>
      <c r="E1948" s="70">
        <f t="shared" si="211"/>
        <v>0.2</v>
      </c>
      <c r="F1948" s="70">
        <f t="shared" si="212"/>
        <v>2</v>
      </c>
      <c r="G1948" s="70">
        <f t="shared" si="213"/>
        <v>1.325408497329672</v>
      </c>
      <c r="H1948" s="70">
        <f t="shared" si="214"/>
        <v>0.4</v>
      </c>
      <c r="I1948" s="70">
        <f t="shared" si="215"/>
        <v>0</v>
      </c>
      <c r="J1948" s="70">
        <f t="shared" si="216"/>
        <v>0</v>
      </c>
      <c r="K1948" s="70">
        <f>IF(CurrentMtgRatesDataTable8[[#This Row],[WA CC]]&lt;&gt;0,C1947-CurrentMtgRatesDataTable8[[#This Row],[WA CC]],0)</f>
        <v>0</v>
      </c>
      <c r="L1948" s="70">
        <f>IF(CurrentMtgRatesDataTable8[[#This Row],[Servicing Spread]]&lt;=0,L1947,CurrentMtgRatesDataTable8[[#This Row],[Servicing Spread]])</f>
        <v>0.75074778447664992</v>
      </c>
      <c r="M1948" s="70">
        <f>CurrentMtgRatesDataTable8[[#This Row],[Servicing Spread Non-Zero]]-L1947</f>
        <v>0</v>
      </c>
      <c r="N1948" s="70">
        <f>IF(J1947&lt;&gt;0,CurrentMtgRatesDataTable8[[#This Row],[Rate]]-C1947,N1947)</f>
        <v>-9.9999999999999645E-2</v>
      </c>
    </row>
    <row r="1949" spans="1:14">
      <c r="A1949" s="67" t="s">
        <v>3301</v>
      </c>
      <c r="B1949" s="68">
        <v>3.2630175220730102</v>
      </c>
      <c r="C1949" s="69">
        <v>4.0449999999999999</v>
      </c>
      <c r="D1949" s="70">
        <f t="shared" si="210"/>
        <v>6</v>
      </c>
      <c r="E1949" s="70">
        <f t="shared" si="211"/>
        <v>0.2</v>
      </c>
      <c r="F1949" s="70">
        <f t="shared" si="212"/>
        <v>3</v>
      </c>
      <c r="G1949" s="70">
        <f t="shared" si="213"/>
        <v>1.9780120017442742</v>
      </c>
      <c r="H1949" s="70">
        <f t="shared" si="214"/>
        <v>0.60000000000000009</v>
      </c>
      <c r="I1949" s="70">
        <f t="shared" si="215"/>
        <v>0</v>
      </c>
      <c r="J1949" s="70">
        <f t="shared" si="216"/>
        <v>0</v>
      </c>
      <c r="K1949" s="70">
        <f>IF(CurrentMtgRatesDataTable8[[#This Row],[WA CC]]&lt;&gt;0,C1948-CurrentMtgRatesDataTable8[[#This Row],[WA CC]],0)</f>
        <v>0</v>
      </c>
      <c r="L1949" s="70">
        <f>IF(CurrentMtgRatesDataTable8[[#This Row],[Servicing Spread]]&lt;=0,L1948,CurrentMtgRatesDataTable8[[#This Row],[Servicing Spread]])</f>
        <v>0.75074778447664992</v>
      </c>
      <c r="M1949" s="70">
        <f>CurrentMtgRatesDataTable8[[#This Row],[Servicing Spread Non-Zero]]-L1948</f>
        <v>0</v>
      </c>
      <c r="N1949" s="70">
        <f>IF(J1948&lt;&gt;0,CurrentMtgRatesDataTable8[[#This Row],[Rate]]-C1948,N1948)</f>
        <v>-9.9999999999999645E-2</v>
      </c>
    </row>
    <row r="1950" spans="1:14">
      <c r="A1950" s="67" t="s">
        <v>3302</v>
      </c>
      <c r="B1950" s="68">
        <v>3.3161398377086599</v>
      </c>
      <c r="C1950" s="69">
        <v>4.0449999999999999</v>
      </c>
      <c r="D1950" s="70">
        <f t="shared" si="210"/>
        <v>7</v>
      </c>
      <c r="E1950" s="70">
        <f t="shared" si="211"/>
        <v>0.2</v>
      </c>
      <c r="F1950" s="70">
        <f t="shared" si="212"/>
        <v>4</v>
      </c>
      <c r="G1950" s="70">
        <f t="shared" si="213"/>
        <v>2.6412399692860062</v>
      </c>
      <c r="H1950" s="70">
        <f t="shared" si="214"/>
        <v>0.8</v>
      </c>
      <c r="I1950" s="70">
        <f t="shared" si="215"/>
        <v>1</v>
      </c>
      <c r="J1950" s="70">
        <f t="shared" si="216"/>
        <v>3.3015499616075075</v>
      </c>
      <c r="K1950" s="70">
        <f>IF(CurrentMtgRatesDataTable8[[#This Row],[WA CC]]&lt;&gt;0,C1949-CurrentMtgRatesDataTable8[[#This Row],[WA CC]],0)</f>
        <v>0.74345003839249246</v>
      </c>
      <c r="L1950" s="70">
        <f>IF(CurrentMtgRatesDataTable8[[#This Row],[Servicing Spread]]&lt;=0,L1949,CurrentMtgRatesDataTable8[[#This Row],[Servicing Spread]])</f>
        <v>0.74345003839249246</v>
      </c>
      <c r="M1950" s="70">
        <f>CurrentMtgRatesDataTable8[[#This Row],[Servicing Spread Non-Zero]]-L1949</f>
        <v>-7.2977460841574526E-3</v>
      </c>
      <c r="N1950" s="70">
        <f>IF(J1949&lt;&gt;0,CurrentMtgRatesDataTable8[[#This Row],[Rate]]-C1949,N1949)</f>
        <v>-9.9999999999999645E-2</v>
      </c>
    </row>
    <row r="1951" spans="1:14">
      <c r="A1951" s="67" t="s">
        <v>3303</v>
      </c>
      <c r="B1951" s="68">
        <v>3.2850540934441099</v>
      </c>
      <c r="C1951" s="69">
        <v>4.0149999999999997</v>
      </c>
      <c r="D1951" s="70">
        <f t="shared" si="210"/>
        <v>1</v>
      </c>
      <c r="E1951" s="70">
        <f t="shared" si="211"/>
        <v>0.2</v>
      </c>
      <c r="F1951" s="70">
        <f t="shared" si="212"/>
        <v>1</v>
      </c>
      <c r="G1951" s="70">
        <f t="shared" si="213"/>
        <v>0.65701081868882205</v>
      </c>
      <c r="H1951" s="70">
        <f t="shared" si="214"/>
        <v>0.2</v>
      </c>
      <c r="I1951" s="70">
        <f t="shared" si="215"/>
        <v>0</v>
      </c>
      <c r="J1951" s="70">
        <f t="shared" si="216"/>
        <v>0</v>
      </c>
      <c r="K1951" s="70">
        <f>IF(CurrentMtgRatesDataTable8[[#This Row],[WA CC]]&lt;&gt;0,C1950-CurrentMtgRatesDataTable8[[#This Row],[WA CC]],0)</f>
        <v>0</v>
      </c>
      <c r="L1951" s="70">
        <f>IF(CurrentMtgRatesDataTable8[[#This Row],[Servicing Spread]]&lt;=0,L1950,CurrentMtgRatesDataTable8[[#This Row],[Servicing Spread]])</f>
        <v>0.74345003839249246</v>
      </c>
      <c r="M1951" s="70">
        <f>CurrentMtgRatesDataTable8[[#This Row],[Servicing Spread Non-Zero]]-L1950</f>
        <v>0</v>
      </c>
      <c r="N1951" s="70">
        <f>IF(J1950&lt;&gt;0,CurrentMtgRatesDataTable8[[#This Row],[Rate]]-C1950,N1950)</f>
        <v>-3.0000000000000249E-2</v>
      </c>
    </row>
    <row r="1952" spans="1:14">
      <c r="A1952" s="67" t="s">
        <v>3304</v>
      </c>
      <c r="B1952" s="68">
        <v>3.2179153943453298</v>
      </c>
      <c r="C1952" s="69">
        <v>4.0149999999999997</v>
      </c>
      <c r="D1952" s="70">
        <f t="shared" si="210"/>
        <v>2</v>
      </c>
      <c r="E1952" s="70">
        <f t="shared" si="211"/>
        <v>0.2</v>
      </c>
      <c r="F1952" s="70">
        <f t="shared" si="212"/>
        <v>2</v>
      </c>
      <c r="G1952" s="70">
        <f t="shared" si="213"/>
        <v>1.3005938975578881</v>
      </c>
      <c r="H1952" s="70">
        <f t="shared" si="214"/>
        <v>0.4</v>
      </c>
      <c r="I1952" s="70">
        <f t="shared" si="215"/>
        <v>0</v>
      </c>
      <c r="J1952" s="70">
        <f t="shared" si="216"/>
        <v>0</v>
      </c>
      <c r="K1952" s="70">
        <f>IF(CurrentMtgRatesDataTable8[[#This Row],[WA CC]]&lt;&gt;0,C1951-CurrentMtgRatesDataTable8[[#This Row],[WA CC]],0)</f>
        <v>0</v>
      </c>
      <c r="L1952" s="70">
        <f>IF(CurrentMtgRatesDataTable8[[#This Row],[Servicing Spread]]&lt;=0,L1951,CurrentMtgRatesDataTable8[[#This Row],[Servicing Spread]])</f>
        <v>0.74345003839249246</v>
      </c>
      <c r="M1952" s="70">
        <f>CurrentMtgRatesDataTable8[[#This Row],[Servicing Spread Non-Zero]]-L1951</f>
        <v>0</v>
      </c>
      <c r="N1952" s="70">
        <f>IF(J1951&lt;&gt;0,CurrentMtgRatesDataTable8[[#This Row],[Rate]]-C1951,N1951)</f>
        <v>-3.0000000000000249E-2</v>
      </c>
    </row>
    <row r="1953" spans="1:14">
      <c r="A1953" s="67" t="s">
        <v>3305</v>
      </c>
      <c r="B1953" s="68">
        <v>3.26610474456754</v>
      </c>
      <c r="C1953" s="69">
        <v>4.0149999999999997</v>
      </c>
      <c r="D1953" s="70">
        <f t="shared" si="210"/>
        <v>5</v>
      </c>
      <c r="E1953" s="70">
        <f t="shared" si="211"/>
        <v>0.2</v>
      </c>
      <c r="F1953" s="70">
        <f t="shared" si="212"/>
        <v>3</v>
      </c>
      <c r="G1953" s="70">
        <f t="shared" si="213"/>
        <v>1.953814846471396</v>
      </c>
      <c r="H1953" s="70">
        <f t="shared" si="214"/>
        <v>0.60000000000000009</v>
      </c>
      <c r="I1953" s="70">
        <f t="shared" si="215"/>
        <v>0</v>
      </c>
      <c r="J1953" s="70">
        <f t="shared" si="216"/>
        <v>0</v>
      </c>
      <c r="K1953" s="70">
        <f>IF(CurrentMtgRatesDataTable8[[#This Row],[WA CC]]&lt;&gt;0,C1952-CurrentMtgRatesDataTable8[[#This Row],[WA CC]],0)</f>
        <v>0</v>
      </c>
      <c r="L1953" s="70">
        <f>IF(CurrentMtgRatesDataTable8[[#This Row],[Servicing Spread]]&lt;=0,L1952,CurrentMtgRatesDataTable8[[#This Row],[Servicing Spread]])</f>
        <v>0.74345003839249246</v>
      </c>
      <c r="M1953" s="70">
        <f>CurrentMtgRatesDataTable8[[#This Row],[Servicing Spread Non-Zero]]-L1952</f>
        <v>0</v>
      </c>
      <c r="N1953" s="70">
        <f>IF(J1952&lt;&gt;0,CurrentMtgRatesDataTable8[[#This Row],[Rate]]-C1952,N1952)</f>
        <v>-3.0000000000000249E-2</v>
      </c>
    </row>
    <row r="1954" spans="1:14">
      <c r="A1954" s="67" t="s">
        <v>3306</v>
      </c>
      <c r="B1954" s="68">
        <v>3.3011183094631602</v>
      </c>
      <c r="C1954" s="69">
        <v>4.0149999999999997</v>
      </c>
      <c r="D1954" s="70">
        <f t="shared" si="210"/>
        <v>6</v>
      </c>
      <c r="E1954" s="70">
        <f t="shared" si="211"/>
        <v>0.2</v>
      </c>
      <c r="F1954" s="70">
        <f t="shared" si="212"/>
        <v>4</v>
      </c>
      <c r="G1954" s="70">
        <f t="shared" si="213"/>
        <v>2.6140385083640281</v>
      </c>
      <c r="H1954" s="70">
        <f t="shared" si="214"/>
        <v>0.8</v>
      </c>
      <c r="I1954" s="70">
        <f t="shared" si="215"/>
        <v>0</v>
      </c>
      <c r="J1954" s="70">
        <f t="shared" si="216"/>
        <v>0</v>
      </c>
      <c r="K1954" s="70">
        <f>IF(CurrentMtgRatesDataTable8[[#This Row],[WA CC]]&lt;&gt;0,C1953-CurrentMtgRatesDataTable8[[#This Row],[WA CC]],0)</f>
        <v>0</v>
      </c>
      <c r="L1954" s="70">
        <f>IF(CurrentMtgRatesDataTable8[[#This Row],[Servicing Spread]]&lt;=0,L1953,CurrentMtgRatesDataTable8[[#This Row],[Servicing Spread]])</f>
        <v>0.74345003839249246</v>
      </c>
      <c r="M1954" s="70">
        <f>CurrentMtgRatesDataTable8[[#This Row],[Servicing Spread Non-Zero]]-L1953</f>
        <v>0</v>
      </c>
      <c r="N1954" s="70">
        <f>IF(J1953&lt;&gt;0,CurrentMtgRatesDataTable8[[#This Row],[Rate]]-C1953,N1953)</f>
        <v>-3.0000000000000249E-2</v>
      </c>
    </row>
    <row r="1955" spans="1:14">
      <c r="A1955" s="67" t="s">
        <v>3307</v>
      </c>
      <c r="B1955" s="68">
        <v>3.3005008889944101</v>
      </c>
      <c r="C1955" s="69">
        <v>4.0149999999999997</v>
      </c>
      <c r="D1955" s="70">
        <f t="shared" si="210"/>
        <v>7</v>
      </c>
      <c r="E1955" s="70">
        <f t="shared" si="211"/>
        <v>0.2</v>
      </c>
      <c r="F1955" s="70">
        <f t="shared" si="212"/>
        <v>5</v>
      </c>
      <c r="G1955" s="70">
        <f t="shared" si="213"/>
        <v>3.2741386861629103</v>
      </c>
      <c r="H1955" s="70">
        <f t="shared" si="214"/>
        <v>1</v>
      </c>
      <c r="I1955" s="70">
        <f t="shared" si="215"/>
        <v>1</v>
      </c>
      <c r="J1955" s="70">
        <f t="shared" si="216"/>
        <v>3.2741386861629103</v>
      </c>
      <c r="K1955" s="70">
        <f>IF(CurrentMtgRatesDataTable8[[#This Row],[WA CC]]&lt;&gt;0,C1954-CurrentMtgRatesDataTable8[[#This Row],[WA CC]],0)</f>
        <v>0.74086131383708942</v>
      </c>
      <c r="L1955" s="70">
        <f>IF(CurrentMtgRatesDataTable8[[#This Row],[Servicing Spread]]&lt;=0,L1954,CurrentMtgRatesDataTable8[[#This Row],[Servicing Spread]])</f>
        <v>0.74086131383708942</v>
      </c>
      <c r="M1955" s="70">
        <f>CurrentMtgRatesDataTable8[[#This Row],[Servicing Spread Non-Zero]]-L1954</f>
        <v>-2.5887245554030436E-3</v>
      </c>
      <c r="N1955" s="70">
        <f>IF(J1954&lt;&gt;0,CurrentMtgRatesDataTable8[[#This Row],[Rate]]-C1954,N1954)</f>
        <v>-3.0000000000000249E-2</v>
      </c>
    </row>
    <row r="1956" spans="1:14">
      <c r="A1956" s="67" t="s">
        <v>3308</v>
      </c>
      <c r="B1956" s="68">
        <v>3.3472561381998802</v>
      </c>
      <c r="C1956" s="69">
        <v>4.0149999999999997</v>
      </c>
      <c r="D1956" s="70">
        <f t="shared" si="210"/>
        <v>1</v>
      </c>
      <c r="E1956" s="70">
        <f t="shared" si="211"/>
        <v>0.2</v>
      </c>
      <c r="F1956" s="70">
        <f t="shared" si="212"/>
        <v>1</v>
      </c>
      <c r="G1956" s="70">
        <f t="shared" si="213"/>
        <v>0.66945122763997611</v>
      </c>
      <c r="H1956" s="70">
        <f t="shared" si="214"/>
        <v>0.2</v>
      </c>
      <c r="I1956" s="70">
        <f t="shared" si="215"/>
        <v>0</v>
      </c>
      <c r="J1956" s="70">
        <f t="shared" si="216"/>
        <v>0</v>
      </c>
      <c r="K1956" s="70">
        <f>IF(CurrentMtgRatesDataTable8[[#This Row],[WA CC]]&lt;&gt;0,C1955-CurrentMtgRatesDataTable8[[#This Row],[WA CC]],0)</f>
        <v>0</v>
      </c>
      <c r="L1956" s="70">
        <f>IF(CurrentMtgRatesDataTable8[[#This Row],[Servicing Spread]]&lt;=0,L1955,CurrentMtgRatesDataTable8[[#This Row],[Servicing Spread]])</f>
        <v>0.74086131383708942</v>
      </c>
      <c r="M1956" s="70">
        <f>CurrentMtgRatesDataTable8[[#This Row],[Servicing Spread Non-Zero]]-L1955</f>
        <v>0</v>
      </c>
      <c r="N1956" s="70">
        <f>IF(J1955&lt;&gt;0,CurrentMtgRatesDataTable8[[#This Row],[Rate]]-C1955,N1955)</f>
        <v>0</v>
      </c>
    </row>
    <row r="1957" spans="1:14">
      <c r="A1957" s="67" t="s">
        <v>3309</v>
      </c>
      <c r="B1957" s="68">
        <v>3.3468903558930401</v>
      </c>
      <c r="C1957" s="69">
        <v>4.0149999999999997</v>
      </c>
      <c r="D1957" s="70">
        <f t="shared" si="210"/>
        <v>2</v>
      </c>
      <c r="E1957" s="70">
        <f t="shared" si="211"/>
        <v>0.2</v>
      </c>
      <c r="F1957" s="70">
        <f t="shared" si="212"/>
        <v>2</v>
      </c>
      <c r="G1957" s="70">
        <f t="shared" si="213"/>
        <v>1.3388292988185841</v>
      </c>
      <c r="H1957" s="70">
        <f t="shared" si="214"/>
        <v>0.4</v>
      </c>
      <c r="I1957" s="70">
        <f t="shared" si="215"/>
        <v>0</v>
      </c>
      <c r="J1957" s="70">
        <f t="shared" si="216"/>
        <v>0</v>
      </c>
      <c r="K1957" s="70">
        <f>IF(CurrentMtgRatesDataTable8[[#This Row],[WA CC]]&lt;&gt;0,C1956-CurrentMtgRatesDataTable8[[#This Row],[WA CC]],0)</f>
        <v>0</v>
      </c>
      <c r="L1957" s="70">
        <f>IF(CurrentMtgRatesDataTable8[[#This Row],[Servicing Spread]]&lt;=0,L1956,CurrentMtgRatesDataTable8[[#This Row],[Servicing Spread]])</f>
        <v>0.74086131383708942</v>
      </c>
      <c r="M1957" s="70">
        <f>CurrentMtgRatesDataTable8[[#This Row],[Servicing Spread Non-Zero]]-L1956</f>
        <v>0</v>
      </c>
      <c r="N1957" s="70">
        <f>IF(J1956&lt;&gt;0,CurrentMtgRatesDataTable8[[#This Row],[Rate]]-C1956,N1956)</f>
        <v>0</v>
      </c>
    </row>
    <row r="1958" spans="1:14">
      <c r="A1958" s="67" t="s">
        <v>3310</v>
      </c>
      <c r="B1958" s="68">
        <v>3.2381411967187499</v>
      </c>
      <c r="C1958" s="69">
        <v>4.0149999999999997</v>
      </c>
      <c r="D1958" s="70">
        <f t="shared" si="210"/>
        <v>5</v>
      </c>
      <c r="E1958" s="70">
        <f t="shared" si="211"/>
        <v>0.2</v>
      </c>
      <c r="F1958" s="70">
        <f t="shared" si="212"/>
        <v>3</v>
      </c>
      <c r="G1958" s="70">
        <f t="shared" si="213"/>
        <v>1.9864575381623342</v>
      </c>
      <c r="H1958" s="70">
        <f t="shared" si="214"/>
        <v>0.60000000000000009</v>
      </c>
      <c r="I1958" s="70">
        <f t="shared" si="215"/>
        <v>0</v>
      </c>
      <c r="J1958" s="70">
        <f t="shared" si="216"/>
        <v>0</v>
      </c>
      <c r="K1958" s="70">
        <f>IF(CurrentMtgRatesDataTable8[[#This Row],[WA CC]]&lt;&gt;0,C1957-CurrentMtgRatesDataTable8[[#This Row],[WA CC]],0)</f>
        <v>0</v>
      </c>
      <c r="L1958" s="70">
        <f>IF(CurrentMtgRatesDataTable8[[#This Row],[Servicing Spread]]&lt;=0,L1957,CurrentMtgRatesDataTable8[[#This Row],[Servicing Spread]])</f>
        <v>0.74086131383708942</v>
      </c>
      <c r="M1958" s="70">
        <f>CurrentMtgRatesDataTable8[[#This Row],[Servicing Spread Non-Zero]]-L1957</f>
        <v>0</v>
      </c>
      <c r="N1958" s="70">
        <f>IF(J1957&lt;&gt;0,CurrentMtgRatesDataTable8[[#This Row],[Rate]]-C1957,N1957)</f>
        <v>0</v>
      </c>
    </row>
    <row r="1959" spans="1:14">
      <c r="A1959" s="67" t="s">
        <v>3311</v>
      </c>
      <c r="B1959" s="68">
        <v>3.25926253404289</v>
      </c>
      <c r="C1959" s="69">
        <v>4.0149999999999997</v>
      </c>
      <c r="D1959" s="70">
        <f t="shared" si="210"/>
        <v>6</v>
      </c>
      <c r="E1959" s="70">
        <f t="shared" si="211"/>
        <v>0.2</v>
      </c>
      <c r="F1959" s="70">
        <f t="shared" si="212"/>
        <v>4</v>
      </c>
      <c r="G1959" s="70">
        <f t="shared" si="213"/>
        <v>2.638310044970912</v>
      </c>
      <c r="H1959" s="70">
        <f t="shared" si="214"/>
        <v>0.8</v>
      </c>
      <c r="I1959" s="70">
        <f t="shared" si="215"/>
        <v>0</v>
      </c>
      <c r="J1959" s="70">
        <f t="shared" si="216"/>
        <v>0</v>
      </c>
      <c r="K1959" s="70">
        <f>IF(CurrentMtgRatesDataTable8[[#This Row],[WA CC]]&lt;&gt;0,C1958-CurrentMtgRatesDataTable8[[#This Row],[WA CC]],0)</f>
        <v>0</v>
      </c>
      <c r="L1959" s="70">
        <f>IF(CurrentMtgRatesDataTable8[[#This Row],[Servicing Spread]]&lt;=0,L1958,CurrentMtgRatesDataTable8[[#This Row],[Servicing Spread]])</f>
        <v>0.74086131383708942</v>
      </c>
      <c r="M1959" s="70">
        <f>CurrentMtgRatesDataTable8[[#This Row],[Servicing Spread Non-Zero]]-L1958</f>
        <v>0</v>
      </c>
      <c r="N1959" s="70">
        <f>IF(J1958&lt;&gt;0,CurrentMtgRatesDataTable8[[#This Row],[Rate]]-C1958,N1958)</f>
        <v>0</v>
      </c>
    </row>
    <row r="1960" spans="1:14">
      <c r="A1960" s="67" t="s">
        <v>3312</v>
      </c>
      <c r="B1960" s="68">
        <v>3.0193449968875199</v>
      </c>
      <c r="C1960" s="69">
        <v>4.0149999999999997</v>
      </c>
      <c r="D1960" s="70">
        <f t="shared" si="210"/>
        <v>7</v>
      </c>
      <c r="E1960" s="70">
        <f t="shared" si="211"/>
        <v>0.2</v>
      </c>
      <c r="F1960" s="70">
        <f t="shared" si="212"/>
        <v>5</v>
      </c>
      <c r="G1960" s="70">
        <f t="shared" si="213"/>
        <v>3.2421790443484162</v>
      </c>
      <c r="H1960" s="70">
        <f t="shared" si="214"/>
        <v>1</v>
      </c>
      <c r="I1960" s="70">
        <f t="shared" si="215"/>
        <v>1</v>
      </c>
      <c r="J1960" s="70">
        <f t="shared" si="216"/>
        <v>3.2421790443484162</v>
      </c>
      <c r="K1960" s="70">
        <f>IF(CurrentMtgRatesDataTable8[[#This Row],[WA CC]]&lt;&gt;0,C1959-CurrentMtgRatesDataTable8[[#This Row],[WA CC]],0)</f>
        <v>0.77282095565158349</v>
      </c>
      <c r="L1960" s="70">
        <f>IF(CurrentMtgRatesDataTable8[[#This Row],[Servicing Spread]]&lt;=0,L1959,CurrentMtgRatesDataTable8[[#This Row],[Servicing Spread]])</f>
        <v>0.77282095565158349</v>
      </c>
      <c r="M1960" s="70">
        <f>CurrentMtgRatesDataTable8[[#This Row],[Servicing Spread Non-Zero]]-L1959</f>
        <v>3.1959641814494066E-2</v>
      </c>
      <c r="N1960" s="70">
        <f>IF(J1959&lt;&gt;0,CurrentMtgRatesDataTable8[[#This Row],[Rate]]-C1959,N1959)</f>
        <v>0</v>
      </c>
    </row>
    <row r="1961" spans="1:14">
      <c r="A1961" s="67" t="s">
        <v>3313</v>
      </c>
      <c r="B1961" s="68">
        <v>2.8513672376672798</v>
      </c>
      <c r="C1961" s="69">
        <v>3.9349999999999996</v>
      </c>
      <c r="D1961" s="70">
        <f t="shared" si="210"/>
        <v>1</v>
      </c>
      <c r="E1961" s="70">
        <f t="shared" si="211"/>
        <v>0.2</v>
      </c>
      <c r="F1961" s="70">
        <f t="shared" si="212"/>
        <v>1</v>
      </c>
      <c r="G1961" s="70">
        <f t="shared" si="213"/>
        <v>0.57027344753345599</v>
      </c>
      <c r="H1961" s="70">
        <f t="shared" si="214"/>
        <v>0.2</v>
      </c>
      <c r="I1961" s="70">
        <f t="shared" si="215"/>
        <v>0</v>
      </c>
      <c r="J1961" s="70">
        <f t="shared" si="216"/>
        <v>0</v>
      </c>
      <c r="K1961" s="70">
        <f>IF(CurrentMtgRatesDataTable8[[#This Row],[WA CC]]&lt;&gt;0,C1960-CurrentMtgRatesDataTable8[[#This Row],[WA CC]],0)</f>
        <v>0</v>
      </c>
      <c r="L1961" s="70">
        <f>IF(CurrentMtgRatesDataTable8[[#This Row],[Servicing Spread]]&lt;=0,L1960,CurrentMtgRatesDataTable8[[#This Row],[Servicing Spread]])</f>
        <v>0.77282095565158349</v>
      </c>
      <c r="M1961" s="70">
        <f>CurrentMtgRatesDataTable8[[#This Row],[Servicing Spread Non-Zero]]-L1960</f>
        <v>0</v>
      </c>
      <c r="N1961" s="70">
        <f>IF(J1960&lt;&gt;0,CurrentMtgRatesDataTable8[[#This Row],[Rate]]-C1960,N1960)</f>
        <v>-8.0000000000000071E-2</v>
      </c>
    </row>
    <row r="1962" spans="1:14">
      <c r="A1962" s="67" t="s">
        <v>3314</v>
      </c>
      <c r="B1962" s="68">
        <v>2.9787961071901798</v>
      </c>
      <c r="C1962" s="69">
        <v>3.9349999999999996</v>
      </c>
      <c r="D1962" s="70">
        <f t="shared" si="210"/>
        <v>2</v>
      </c>
      <c r="E1962" s="70">
        <f t="shared" si="211"/>
        <v>0.2</v>
      </c>
      <c r="F1962" s="70">
        <f t="shared" si="212"/>
        <v>2</v>
      </c>
      <c r="G1962" s="70">
        <f t="shared" si="213"/>
        <v>1.1660326689714919</v>
      </c>
      <c r="H1962" s="70">
        <f t="shared" si="214"/>
        <v>0.4</v>
      </c>
      <c r="I1962" s="70">
        <f t="shared" si="215"/>
        <v>0</v>
      </c>
      <c r="J1962" s="70">
        <f t="shared" si="216"/>
        <v>0</v>
      </c>
      <c r="K1962" s="70">
        <f>IF(CurrentMtgRatesDataTable8[[#This Row],[WA CC]]&lt;&gt;0,C1961-CurrentMtgRatesDataTable8[[#This Row],[WA CC]],0)</f>
        <v>0</v>
      </c>
      <c r="L1962" s="70">
        <f>IF(CurrentMtgRatesDataTable8[[#This Row],[Servicing Spread]]&lt;=0,L1961,CurrentMtgRatesDataTable8[[#This Row],[Servicing Spread]])</f>
        <v>0.77282095565158349</v>
      </c>
      <c r="M1962" s="70">
        <f>CurrentMtgRatesDataTable8[[#This Row],[Servicing Spread Non-Zero]]-L1961</f>
        <v>0</v>
      </c>
      <c r="N1962" s="70">
        <f>IF(J1961&lt;&gt;0,CurrentMtgRatesDataTable8[[#This Row],[Rate]]-C1961,N1961)</f>
        <v>-8.0000000000000071E-2</v>
      </c>
    </row>
    <row r="1963" spans="1:14">
      <c r="A1963" s="67" t="s">
        <v>3315</v>
      </c>
      <c r="B1963" s="68">
        <v>3.0707186110207298</v>
      </c>
      <c r="C1963" s="69">
        <v>3.9349999999999996</v>
      </c>
      <c r="D1963" s="70">
        <f t="shared" si="210"/>
        <v>5</v>
      </c>
      <c r="E1963" s="70">
        <f t="shared" si="211"/>
        <v>0.2</v>
      </c>
      <c r="F1963" s="70">
        <f t="shared" si="212"/>
        <v>3</v>
      </c>
      <c r="G1963" s="70">
        <f t="shared" si="213"/>
        <v>1.7801763911756381</v>
      </c>
      <c r="H1963" s="70">
        <f t="shared" si="214"/>
        <v>0.60000000000000009</v>
      </c>
      <c r="I1963" s="70">
        <f t="shared" si="215"/>
        <v>0</v>
      </c>
      <c r="J1963" s="70">
        <f t="shared" si="216"/>
        <v>0</v>
      </c>
      <c r="K1963" s="70">
        <f>IF(CurrentMtgRatesDataTable8[[#This Row],[WA CC]]&lt;&gt;0,C1962-CurrentMtgRatesDataTable8[[#This Row],[WA CC]],0)</f>
        <v>0</v>
      </c>
      <c r="L1963" s="70">
        <f>IF(CurrentMtgRatesDataTable8[[#This Row],[Servicing Spread]]&lt;=0,L1962,CurrentMtgRatesDataTable8[[#This Row],[Servicing Spread]])</f>
        <v>0.77282095565158349</v>
      </c>
      <c r="M1963" s="70">
        <f>CurrentMtgRatesDataTable8[[#This Row],[Servicing Spread Non-Zero]]-L1962</f>
        <v>0</v>
      </c>
      <c r="N1963" s="70">
        <f>IF(J1962&lt;&gt;0,CurrentMtgRatesDataTable8[[#This Row],[Rate]]-C1962,N1962)</f>
        <v>-8.0000000000000071E-2</v>
      </c>
    </row>
    <row r="1964" spans="1:14">
      <c r="A1964" s="67" t="s">
        <v>3316</v>
      </c>
      <c r="B1964" s="68">
        <v>3.19162579468055</v>
      </c>
      <c r="C1964" s="69">
        <v>3.9349999999999996</v>
      </c>
      <c r="D1964" s="70">
        <f t="shared" si="210"/>
        <v>6</v>
      </c>
      <c r="E1964" s="70">
        <f t="shared" si="211"/>
        <v>0.2</v>
      </c>
      <c r="F1964" s="70">
        <f t="shared" si="212"/>
        <v>4</v>
      </c>
      <c r="G1964" s="70">
        <f t="shared" si="213"/>
        <v>2.4185015501117482</v>
      </c>
      <c r="H1964" s="70">
        <f t="shared" si="214"/>
        <v>0.8</v>
      </c>
      <c r="I1964" s="70">
        <f t="shared" si="215"/>
        <v>0</v>
      </c>
      <c r="J1964" s="70">
        <f t="shared" si="216"/>
        <v>0</v>
      </c>
      <c r="K1964" s="70">
        <f>IF(CurrentMtgRatesDataTable8[[#This Row],[WA CC]]&lt;&gt;0,C1963-CurrentMtgRatesDataTable8[[#This Row],[WA CC]],0)</f>
        <v>0</v>
      </c>
      <c r="L1964" s="70">
        <f>IF(CurrentMtgRatesDataTable8[[#This Row],[Servicing Spread]]&lt;=0,L1963,CurrentMtgRatesDataTable8[[#This Row],[Servicing Spread]])</f>
        <v>0.77282095565158349</v>
      </c>
      <c r="M1964" s="70">
        <f>CurrentMtgRatesDataTable8[[#This Row],[Servicing Spread Non-Zero]]-L1963</f>
        <v>0</v>
      </c>
      <c r="N1964" s="70">
        <f>IF(J1963&lt;&gt;0,CurrentMtgRatesDataTable8[[#This Row],[Rate]]-C1963,N1963)</f>
        <v>-8.0000000000000071E-2</v>
      </c>
    </row>
    <row r="1965" spans="1:14">
      <c r="A1965" s="67" t="s">
        <v>3317</v>
      </c>
      <c r="B1965" s="68">
        <v>3.16373332869864</v>
      </c>
      <c r="C1965" s="69">
        <v>3.9349999999999996</v>
      </c>
      <c r="D1965" s="70">
        <f t="shared" si="210"/>
        <v>7</v>
      </c>
      <c r="E1965" s="70">
        <f t="shared" si="211"/>
        <v>0.2</v>
      </c>
      <c r="F1965" s="70">
        <f t="shared" si="212"/>
        <v>5</v>
      </c>
      <c r="G1965" s="70">
        <f t="shared" si="213"/>
        <v>3.0512482158514764</v>
      </c>
      <c r="H1965" s="70">
        <f t="shared" si="214"/>
        <v>1</v>
      </c>
      <c r="I1965" s="70">
        <f t="shared" si="215"/>
        <v>1</v>
      </c>
      <c r="J1965" s="70">
        <f t="shared" si="216"/>
        <v>3.0512482158514764</v>
      </c>
      <c r="K1965" s="70">
        <f>IF(CurrentMtgRatesDataTable8[[#This Row],[WA CC]]&lt;&gt;0,C1964-CurrentMtgRatesDataTable8[[#This Row],[WA CC]],0)</f>
        <v>0.88375178414852318</v>
      </c>
      <c r="L1965" s="70">
        <f>IF(CurrentMtgRatesDataTable8[[#This Row],[Servicing Spread]]&lt;=0,L1964,CurrentMtgRatesDataTable8[[#This Row],[Servicing Spread]])</f>
        <v>0.88375178414852318</v>
      </c>
      <c r="M1965" s="70">
        <f>CurrentMtgRatesDataTable8[[#This Row],[Servicing Spread Non-Zero]]-L1964</f>
        <v>0.11093082849693969</v>
      </c>
      <c r="N1965" s="70">
        <f>IF(J1964&lt;&gt;0,CurrentMtgRatesDataTable8[[#This Row],[Rate]]-C1964,N1964)</f>
        <v>-8.0000000000000071E-2</v>
      </c>
    </row>
    <row r="1966" spans="1:14">
      <c r="A1966" s="67" t="s">
        <v>3318</v>
      </c>
      <c r="B1966" s="68">
        <v>3.08102846716154</v>
      </c>
      <c r="C1966" s="69">
        <v>3.89</v>
      </c>
      <c r="D1966" s="70">
        <f t="shared" si="210"/>
        <v>1</v>
      </c>
      <c r="E1966" s="70">
        <f t="shared" si="211"/>
        <v>0.2</v>
      </c>
      <c r="F1966" s="70">
        <f t="shared" si="212"/>
        <v>1</v>
      </c>
      <c r="G1966" s="70">
        <f t="shared" si="213"/>
        <v>0.61620569343230802</v>
      </c>
      <c r="H1966" s="70">
        <f t="shared" si="214"/>
        <v>0.2</v>
      </c>
      <c r="I1966" s="70">
        <f t="shared" si="215"/>
        <v>0</v>
      </c>
      <c r="J1966" s="70">
        <f t="shared" si="216"/>
        <v>0</v>
      </c>
      <c r="K1966" s="70">
        <f>IF(CurrentMtgRatesDataTable8[[#This Row],[WA CC]]&lt;&gt;0,C1965-CurrentMtgRatesDataTable8[[#This Row],[WA CC]],0)</f>
        <v>0</v>
      </c>
      <c r="L1966" s="70">
        <f>IF(CurrentMtgRatesDataTable8[[#This Row],[Servicing Spread]]&lt;=0,L1965,CurrentMtgRatesDataTable8[[#This Row],[Servicing Spread]])</f>
        <v>0.88375178414852318</v>
      </c>
      <c r="M1966" s="70">
        <f>CurrentMtgRatesDataTable8[[#This Row],[Servicing Spread Non-Zero]]-L1965</f>
        <v>0</v>
      </c>
      <c r="N1966" s="70">
        <f>IF(J1965&lt;&gt;0,CurrentMtgRatesDataTable8[[#This Row],[Rate]]-C1965,N1965)</f>
        <v>-4.4999999999999485E-2</v>
      </c>
    </row>
    <row r="1967" spans="1:14">
      <c r="A1967" s="67" t="s">
        <v>3319</v>
      </c>
      <c r="B1967" s="68">
        <v>3.0385261527896099</v>
      </c>
      <c r="C1967" s="69">
        <v>3.89</v>
      </c>
      <c r="D1967" s="70">
        <f t="shared" si="210"/>
        <v>2</v>
      </c>
      <c r="E1967" s="70">
        <f t="shared" si="211"/>
        <v>0.2</v>
      </c>
      <c r="F1967" s="70">
        <f t="shared" si="212"/>
        <v>2</v>
      </c>
      <c r="G1967" s="70">
        <f t="shared" si="213"/>
        <v>1.2239109239902302</v>
      </c>
      <c r="H1967" s="70">
        <f t="shared" si="214"/>
        <v>0.4</v>
      </c>
      <c r="I1967" s="70">
        <f t="shared" si="215"/>
        <v>0</v>
      </c>
      <c r="J1967" s="70">
        <f t="shared" si="216"/>
        <v>0</v>
      </c>
      <c r="K1967" s="70">
        <f>IF(CurrentMtgRatesDataTable8[[#This Row],[WA CC]]&lt;&gt;0,C1966-CurrentMtgRatesDataTable8[[#This Row],[WA CC]],0)</f>
        <v>0</v>
      </c>
      <c r="L1967" s="70">
        <f>IF(CurrentMtgRatesDataTable8[[#This Row],[Servicing Spread]]&lt;=0,L1966,CurrentMtgRatesDataTable8[[#This Row],[Servicing Spread]])</f>
        <v>0.88375178414852318</v>
      </c>
      <c r="M1967" s="70">
        <f>CurrentMtgRatesDataTable8[[#This Row],[Servicing Spread Non-Zero]]-L1966</f>
        <v>0</v>
      </c>
      <c r="N1967" s="70">
        <f>IF(J1966&lt;&gt;0,CurrentMtgRatesDataTable8[[#This Row],[Rate]]-C1966,N1966)</f>
        <v>-4.4999999999999485E-2</v>
      </c>
    </row>
    <row r="1968" spans="1:14">
      <c r="A1968" s="67" t="s">
        <v>3320</v>
      </c>
      <c r="B1968" s="68">
        <v>2.9658180500681501</v>
      </c>
      <c r="C1968" s="69">
        <v>3.89</v>
      </c>
      <c r="D1968" s="70">
        <f t="shared" si="210"/>
        <v>5</v>
      </c>
      <c r="E1968" s="70">
        <f t="shared" si="211"/>
        <v>0.2</v>
      </c>
      <c r="F1968" s="70">
        <f t="shared" si="212"/>
        <v>3</v>
      </c>
      <c r="G1968" s="70">
        <f t="shared" si="213"/>
        <v>1.8170745340038601</v>
      </c>
      <c r="H1968" s="70">
        <f t="shared" si="214"/>
        <v>0.60000000000000009</v>
      </c>
      <c r="I1968" s="70">
        <f t="shared" si="215"/>
        <v>0</v>
      </c>
      <c r="J1968" s="70">
        <f t="shared" si="216"/>
        <v>0</v>
      </c>
      <c r="K1968" s="70">
        <f>IF(CurrentMtgRatesDataTable8[[#This Row],[WA CC]]&lt;&gt;0,C1967-CurrentMtgRatesDataTable8[[#This Row],[WA CC]],0)</f>
        <v>0</v>
      </c>
      <c r="L1968" s="70">
        <f>IF(CurrentMtgRatesDataTable8[[#This Row],[Servicing Spread]]&lt;=0,L1967,CurrentMtgRatesDataTable8[[#This Row],[Servicing Spread]])</f>
        <v>0.88375178414852318</v>
      </c>
      <c r="M1968" s="70">
        <f>CurrentMtgRatesDataTable8[[#This Row],[Servicing Spread Non-Zero]]-L1967</f>
        <v>0</v>
      </c>
      <c r="N1968" s="70">
        <f>IF(J1967&lt;&gt;0,CurrentMtgRatesDataTable8[[#This Row],[Rate]]-C1967,N1967)</f>
        <v>-4.4999999999999485E-2</v>
      </c>
    </row>
    <row r="1969" spans="1:14">
      <c r="A1969" s="67" t="s">
        <v>3321</v>
      </c>
      <c r="B1969" s="68">
        <v>3.0428155900438001</v>
      </c>
      <c r="C1969" s="69">
        <v>3.89</v>
      </c>
      <c r="D1969" s="70">
        <f t="shared" si="210"/>
        <v>6</v>
      </c>
      <c r="E1969" s="70">
        <f t="shared" si="211"/>
        <v>0.2</v>
      </c>
      <c r="F1969" s="70">
        <f t="shared" si="212"/>
        <v>4</v>
      </c>
      <c r="G1969" s="70">
        <f t="shared" si="213"/>
        <v>2.4256376520126199</v>
      </c>
      <c r="H1969" s="70">
        <f t="shared" si="214"/>
        <v>0.8</v>
      </c>
      <c r="I1969" s="70">
        <f t="shared" si="215"/>
        <v>0</v>
      </c>
      <c r="J1969" s="70">
        <f t="shared" si="216"/>
        <v>0</v>
      </c>
      <c r="K1969" s="70">
        <f>IF(CurrentMtgRatesDataTable8[[#This Row],[WA CC]]&lt;&gt;0,C1968-CurrentMtgRatesDataTable8[[#This Row],[WA CC]],0)</f>
        <v>0</v>
      </c>
      <c r="L1969" s="70">
        <f>IF(CurrentMtgRatesDataTable8[[#This Row],[Servicing Spread]]&lt;=0,L1968,CurrentMtgRatesDataTable8[[#This Row],[Servicing Spread]])</f>
        <v>0.88375178414852318</v>
      </c>
      <c r="M1969" s="70">
        <f>CurrentMtgRatesDataTable8[[#This Row],[Servicing Spread Non-Zero]]-L1968</f>
        <v>0</v>
      </c>
      <c r="N1969" s="70">
        <f>IF(J1968&lt;&gt;0,CurrentMtgRatesDataTable8[[#This Row],[Rate]]-C1968,N1968)</f>
        <v>-4.4999999999999485E-2</v>
      </c>
    </row>
    <row r="1970" spans="1:14">
      <c r="A1970" s="67" t="s">
        <v>3322</v>
      </c>
      <c r="B1970" s="68">
        <v>3.1183780726897798</v>
      </c>
      <c r="C1970" s="69">
        <v>3.89</v>
      </c>
      <c r="D1970" s="70">
        <f t="shared" si="210"/>
        <v>7</v>
      </c>
      <c r="E1970" s="70">
        <f t="shared" si="211"/>
        <v>0.2</v>
      </c>
      <c r="F1970" s="70">
        <f t="shared" si="212"/>
        <v>5</v>
      </c>
      <c r="G1970" s="70">
        <f t="shared" si="213"/>
        <v>3.049313266550576</v>
      </c>
      <c r="H1970" s="70">
        <f t="shared" si="214"/>
        <v>1</v>
      </c>
      <c r="I1970" s="70">
        <f t="shared" si="215"/>
        <v>1</v>
      </c>
      <c r="J1970" s="70">
        <f t="shared" si="216"/>
        <v>3.049313266550576</v>
      </c>
      <c r="K1970" s="70">
        <f>IF(CurrentMtgRatesDataTable8[[#This Row],[WA CC]]&lt;&gt;0,C1969-CurrentMtgRatesDataTable8[[#This Row],[WA CC]],0)</f>
        <v>0.84068673344942413</v>
      </c>
      <c r="L1970" s="70">
        <f>IF(CurrentMtgRatesDataTable8[[#This Row],[Servicing Spread]]&lt;=0,L1969,CurrentMtgRatesDataTable8[[#This Row],[Servicing Spread]])</f>
        <v>0.84068673344942413</v>
      </c>
      <c r="M1970" s="70">
        <f>CurrentMtgRatesDataTable8[[#This Row],[Servicing Spread Non-Zero]]-L1969</f>
        <v>-4.306505069909905E-2</v>
      </c>
      <c r="N1970" s="70">
        <f>IF(J1969&lt;&gt;0,CurrentMtgRatesDataTable8[[#This Row],[Rate]]-C1969,N1969)</f>
        <v>-4.4999999999999485E-2</v>
      </c>
    </row>
    <row r="1971" spans="1:14">
      <c r="A1971" s="67" t="s">
        <v>3323</v>
      </c>
      <c r="B1971" s="68">
        <v>3.1859593753289501</v>
      </c>
      <c r="C1971" s="69">
        <v>4.07</v>
      </c>
      <c r="D1971" s="70">
        <f t="shared" si="210"/>
        <v>1</v>
      </c>
      <c r="E1971" s="70">
        <f t="shared" si="211"/>
        <v>0.2</v>
      </c>
      <c r="F1971" s="70">
        <f t="shared" si="212"/>
        <v>1</v>
      </c>
      <c r="G1971" s="70">
        <f t="shared" si="213"/>
        <v>0.63719187506579011</v>
      </c>
      <c r="H1971" s="70">
        <f t="shared" si="214"/>
        <v>0.2</v>
      </c>
      <c r="I1971" s="70">
        <f t="shared" si="215"/>
        <v>0</v>
      </c>
      <c r="J1971" s="70">
        <f t="shared" si="216"/>
        <v>0</v>
      </c>
      <c r="K1971" s="70">
        <f>IF(CurrentMtgRatesDataTable8[[#This Row],[WA CC]]&lt;&gt;0,C1970-CurrentMtgRatesDataTable8[[#This Row],[WA CC]],0)</f>
        <v>0</v>
      </c>
      <c r="L1971" s="70">
        <f>IF(CurrentMtgRatesDataTable8[[#This Row],[Servicing Spread]]&lt;=0,L1970,CurrentMtgRatesDataTable8[[#This Row],[Servicing Spread]])</f>
        <v>0.84068673344942413</v>
      </c>
      <c r="M1971" s="70">
        <f>CurrentMtgRatesDataTable8[[#This Row],[Servicing Spread Non-Zero]]-L1970</f>
        <v>0</v>
      </c>
      <c r="N1971" s="70">
        <f>IF(J1970&lt;&gt;0,CurrentMtgRatesDataTable8[[#This Row],[Rate]]-C1970,N1970)</f>
        <v>0.18000000000000016</v>
      </c>
    </row>
    <row r="1972" spans="1:14">
      <c r="A1972" s="67" t="s">
        <v>3324</v>
      </c>
      <c r="B1972" s="68">
        <v>3.2827632035572001</v>
      </c>
      <c r="C1972" s="69">
        <v>4.07</v>
      </c>
      <c r="D1972" s="70">
        <f t="shared" si="210"/>
        <v>2</v>
      </c>
      <c r="E1972" s="70">
        <f t="shared" si="211"/>
        <v>0.2</v>
      </c>
      <c r="F1972" s="70">
        <f t="shared" si="212"/>
        <v>2</v>
      </c>
      <c r="G1972" s="70">
        <f t="shared" si="213"/>
        <v>1.29374451577723</v>
      </c>
      <c r="H1972" s="70">
        <f t="shared" si="214"/>
        <v>0.4</v>
      </c>
      <c r="I1972" s="70">
        <f t="shared" si="215"/>
        <v>0</v>
      </c>
      <c r="J1972" s="70">
        <f t="shared" si="216"/>
        <v>0</v>
      </c>
      <c r="K1972" s="70">
        <f>IF(CurrentMtgRatesDataTable8[[#This Row],[WA CC]]&lt;&gt;0,C1971-CurrentMtgRatesDataTable8[[#This Row],[WA CC]],0)</f>
        <v>0</v>
      </c>
      <c r="L1972" s="70">
        <f>IF(CurrentMtgRatesDataTable8[[#This Row],[Servicing Spread]]&lt;=0,L1971,CurrentMtgRatesDataTable8[[#This Row],[Servicing Spread]])</f>
        <v>0.84068673344942413</v>
      </c>
      <c r="M1972" s="70">
        <f>CurrentMtgRatesDataTable8[[#This Row],[Servicing Spread Non-Zero]]-L1971</f>
        <v>0</v>
      </c>
      <c r="N1972" s="70">
        <f>IF(J1971&lt;&gt;0,CurrentMtgRatesDataTable8[[#This Row],[Rate]]-C1971,N1971)</f>
        <v>0.18000000000000016</v>
      </c>
    </row>
    <row r="1973" spans="1:14">
      <c r="A1973" s="67" t="s">
        <v>3325</v>
      </c>
      <c r="B1973" s="68">
        <v>3.3168034791382999</v>
      </c>
      <c r="C1973" s="69">
        <v>4.07</v>
      </c>
      <c r="D1973" s="70">
        <f t="shared" si="210"/>
        <v>6</v>
      </c>
      <c r="E1973" s="70">
        <f t="shared" si="211"/>
        <v>0.2</v>
      </c>
      <c r="F1973" s="70">
        <f t="shared" si="212"/>
        <v>3</v>
      </c>
      <c r="G1973" s="70">
        <f t="shared" si="213"/>
        <v>1.9571052116048899</v>
      </c>
      <c r="H1973" s="70">
        <f t="shared" si="214"/>
        <v>0.60000000000000009</v>
      </c>
      <c r="I1973" s="70">
        <f t="shared" si="215"/>
        <v>0</v>
      </c>
      <c r="J1973" s="70">
        <f t="shared" si="216"/>
        <v>0</v>
      </c>
      <c r="K1973" s="70">
        <f>IF(CurrentMtgRatesDataTable8[[#This Row],[WA CC]]&lt;&gt;0,C1972-CurrentMtgRatesDataTable8[[#This Row],[WA CC]],0)</f>
        <v>0</v>
      </c>
      <c r="L1973" s="70">
        <f>IF(CurrentMtgRatesDataTable8[[#This Row],[Servicing Spread]]&lt;=0,L1972,CurrentMtgRatesDataTable8[[#This Row],[Servicing Spread]])</f>
        <v>0.84068673344942413</v>
      </c>
      <c r="M1973" s="70">
        <f>CurrentMtgRatesDataTable8[[#This Row],[Servicing Spread Non-Zero]]-L1972</f>
        <v>0</v>
      </c>
      <c r="N1973" s="70">
        <f>IF(J1972&lt;&gt;0,CurrentMtgRatesDataTable8[[#This Row],[Rate]]-C1972,N1972)</f>
        <v>0.18000000000000016</v>
      </c>
    </row>
    <row r="1974" spans="1:14">
      <c r="A1974" s="67" t="s">
        <v>3326</v>
      </c>
      <c r="B1974" s="68">
        <v>3.3378096663708501</v>
      </c>
      <c r="C1974" s="69">
        <v>4.07</v>
      </c>
      <c r="D1974" s="70">
        <f t="shared" si="210"/>
        <v>7</v>
      </c>
      <c r="E1974" s="70">
        <f t="shared" si="211"/>
        <v>0.2</v>
      </c>
      <c r="F1974" s="70">
        <f t="shared" si="212"/>
        <v>4</v>
      </c>
      <c r="G1974" s="70">
        <f t="shared" si="213"/>
        <v>2.6246671448790599</v>
      </c>
      <c r="H1974" s="70">
        <f t="shared" si="214"/>
        <v>0.8</v>
      </c>
      <c r="I1974" s="70">
        <f t="shared" si="215"/>
        <v>1</v>
      </c>
      <c r="J1974" s="70">
        <f t="shared" si="216"/>
        <v>3.2808339310988246</v>
      </c>
      <c r="K1974" s="70">
        <f>IF(CurrentMtgRatesDataTable8[[#This Row],[WA CC]]&lt;&gt;0,C1973-CurrentMtgRatesDataTable8[[#This Row],[WA CC]],0)</f>
        <v>0.78916606890117569</v>
      </c>
      <c r="L1974" s="70">
        <f>IF(CurrentMtgRatesDataTable8[[#This Row],[Servicing Spread]]&lt;=0,L1973,CurrentMtgRatesDataTable8[[#This Row],[Servicing Spread]])</f>
        <v>0.78916606890117569</v>
      </c>
      <c r="M1974" s="70">
        <f>CurrentMtgRatesDataTable8[[#This Row],[Servicing Spread Non-Zero]]-L1973</f>
        <v>-5.152066454824844E-2</v>
      </c>
      <c r="N1974" s="70">
        <f>IF(J1973&lt;&gt;0,CurrentMtgRatesDataTable8[[#This Row],[Rate]]-C1973,N1973)</f>
        <v>0.18000000000000016</v>
      </c>
    </row>
    <row r="1975" spans="1:14">
      <c r="A1975" s="67" t="s">
        <v>3327</v>
      </c>
      <c r="B1975" s="68">
        <v>3.3067216512953301</v>
      </c>
      <c r="C1975" s="69">
        <v>4.0600000000000005</v>
      </c>
      <c r="D1975" s="70">
        <f t="shared" si="210"/>
        <v>1</v>
      </c>
      <c r="E1975" s="70">
        <f t="shared" si="211"/>
        <v>0.2</v>
      </c>
      <c r="F1975" s="70">
        <f t="shared" si="212"/>
        <v>1</v>
      </c>
      <c r="G1975" s="70">
        <f t="shared" si="213"/>
        <v>0.66134433025906603</v>
      </c>
      <c r="H1975" s="70">
        <f t="shared" si="214"/>
        <v>0.2</v>
      </c>
      <c r="I1975" s="70">
        <f t="shared" si="215"/>
        <v>0</v>
      </c>
      <c r="J1975" s="70">
        <f t="shared" si="216"/>
        <v>0</v>
      </c>
      <c r="K1975" s="70">
        <f>IF(CurrentMtgRatesDataTable8[[#This Row],[WA CC]]&lt;&gt;0,C1974-CurrentMtgRatesDataTable8[[#This Row],[WA CC]],0)</f>
        <v>0</v>
      </c>
      <c r="L1975" s="70">
        <f>IF(CurrentMtgRatesDataTable8[[#This Row],[Servicing Spread]]&lt;=0,L1974,CurrentMtgRatesDataTable8[[#This Row],[Servicing Spread]])</f>
        <v>0.78916606890117569</v>
      </c>
      <c r="M1975" s="70">
        <f>CurrentMtgRatesDataTable8[[#This Row],[Servicing Spread Non-Zero]]-L1974</f>
        <v>0</v>
      </c>
      <c r="N1975" s="70">
        <f>IF(J1974&lt;&gt;0,CurrentMtgRatesDataTable8[[#This Row],[Rate]]-C1974,N1974)</f>
        <v>-9.9999999999997868E-3</v>
      </c>
    </row>
    <row r="1976" spans="1:14">
      <c r="A1976" s="67" t="s">
        <v>3328</v>
      </c>
      <c r="B1976" s="68">
        <v>3.3644554409980398</v>
      </c>
      <c r="C1976" s="69">
        <v>4.0600000000000005</v>
      </c>
      <c r="D1976" s="70">
        <f t="shared" si="210"/>
        <v>2</v>
      </c>
      <c r="E1976" s="70">
        <f t="shared" si="211"/>
        <v>0.2</v>
      </c>
      <c r="F1976" s="70">
        <f t="shared" si="212"/>
        <v>2</v>
      </c>
      <c r="G1976" s="70">
        <f t="shared" si="213"/>
        <v>1.334235418458674</v>
      </c>
      <c r="H1976" s="70">
        <f t="shared" si="214"/>
        <v>0.4</v>
      </c>
      <c r="I1976" s="70">
        <f t="shared" si="215"/>
        <v>0</v>
      </c>
      <c r="J1976" s="70">
        <f t="shared" si="216"/>
        <v>0</v>
      </c>
      <c r="K1976" s="70">
        <f>IF(CurrentMtgRatesDataTable8[[#This Row],[WA CC]]&lt;&gt;0,C1975-CurrentMtgRatesDataTable8[[#This Row],[WA CC]],0)</f>
        <v>0</v>
      </c>
      <c r="L1976" s="70">
        <f>IF(CurrentMtgRatesDataTable8[[#This Row],[Servicing Spread]]&lt;=0,L1975,CurrentMtgRatesDataTable8[[#This Row],[Servicing Spread]])</f>
        <v>0.78916606890117569</v>
      </c>
      <c r="M1976" s="70">
        <f>CurrentMtgRatesDataTable8[[#This Row],[Servicing Spread Non-Zero]]-L1975</f>
        <v>0</v>
      </c>
      <c r="N1976" s="70">
        <f>IF(J1975&lt;&gt;0,CurrentMtgRatesDataTable8[[#This Row],[Rate]]-C1975,N1975)</f>
        <v>-9.9999999999997868E-3</v>
      </c>
    </row>
    <row r="1977" spans="1:14">
      <c r="A1977" s="67" t="s">
        <v>3329</v>
      </c>
      <c r="B1977" s="68">
        <v>3.29814365265038</v>
      </c>
      <c r="C1977" s="69">
        <v>4.0600000000000005</v>
      </c>
      <c r="D1977" s="70">
        <f t="shared" si="210"/>
        <v>5</v>
      </c>
      <c r="E1977" s="70">
        <f t="shared" si="211"/>
        <v>0.2</v>
      </c>
      <c r="F1977" s="70">
        <f t="shared" si="212"/>
        <v>3</v>
      </c>
      <c r="G1977" s="70">
        <f t="shared" si="213"/>
        <v>1.9938641489887501</v>
      </c>
      <c r="H1977" s="70">
        <f t="shared" si="214"/>
        <v>0.60000000000000009</v>
      </c>
      <c r="I1977" s="70">
        <f t="shared" si="215"/>
        <v>0</v>
      </c>
      <c r="J1977" s="70">
        <f t="shared" si="216"/>
        <v>0</v>
      </c>
      <c r="K1977" s="70">
        <f>IF(CurrentMtgRatesDataTable8[[#This Row],[WA CC]]&lt;&gt;0,C1976-CurrentMtgRatesDataTable8[[#This Row],[WA CC]],0)</f>
        <v>0</v>
      </c>
      <c r="L1977" s="70">
        <f>IF(CurrentMtgRatesDataTable8[[#This Row],[Servicing Spread]]&lt;=0,L1976,CurrentMtgRatesDataTable8[[#This Row],[Servicing Spread]])</f>
        <v>0.78916606890117569</v>
      </c>
      <c r="M1977" s="70">
        <f>CurrentMtgRatesDataTable8[[#This Row],[Servicing Spread Non-Zero]]-L1976</f>
        <v>0</v>
      </c>
      <c r="N1977" s="70">
        <f>IF(J1976&lt;&gt;0,CurrentMtgRatesDataTable8[[#This Row],[Rate]]-C1976,N1976)</f>
        <v>-9.9999999999997868E-3</v>
      </c>
    </row>
    <row r="1978" spans="1:14">
      <c r="A1978" s="67" t="s">
        <v>3330</v>
      </c>
      <c r="B1978" s="68">
        <v>3.2937414945904302</v>
      </c>
      <c r="C1978" s="69">
        <v>4.0600000000000005</v>
      </c>
      <c r="D1978" s="70">
        <f t="shared" si="210"/>
        <v>6</v>
      </c>
      <c r="E1978" s="70">
        <f t="shared" si="211"/>
        <v>0.2</v>
      </c>
      <c r="F1978" s="70">
        <f t="shared" si="212"/>
        <v>4</v>
      </c>
      <c r="G1978" s="70">
        <f t="shared" si="213"/>
        <v>2.652612447906836</v>
      </c>
      <c r="H1978" s="70">
        <f t="shared" si="214"/>
        <v>0.8</v>
      </c>
      <c r="I1978" s="70">
        <f t="shared" si="215"/>
        <v>0</v>
      </c>
      <c r="J1978" s="70">
        <f t="shared" si="216"/>
        <v>0</v>
      </c>
      <c r="K1978" s="70">
        <f>IF(CurrentMtgRatesDataTable8[[#This Row],[WA CC]]&lt;&gt;0,C1977-CurrentMtgRatesDataTable8[[#This Row],[WA CC]],0)</f>
        <v>0</v>
      </c>
      <c r="L1978" s="70">
        <f>IF(CurrentMtgRatesDataTable8[[#This Row],[Servicing Spread]]&lt;=0,L1977,CurrentMtgRatesDataTable8[[#This Row],[Servicing Spread]])</f>
        <v>0.78916606890117569</v>
      </c>
      <c r="M1978" s="70">
        <f>CurrentMtgRatesDataTable8[[#This Row],[Servicing Spread Non-Zero]]-L1977</f>
        <v>0</v>
      </c>
      <c r="N1978" s="70">
        <f>IF(J1977&lt;&gt;0,CurrentMtgRatesDataTable8[[#This Row],[Rate]]-C1977,N1977)</f>
        <v>-9.9999999999997868E-3</v>
      </c>
    </row>
    <row r="1979" spans="1:14">
      <c r="A1979" s="67" t="s">
        <v>3331</v>
      </c>
      <c r="B1979" s="68">
        <v>3.3017117850831799</v>
      </c>
      <c r="C1979" s="69">
        <v>4.0600000000000005</v>
      </c>
      <c r="D1979" s="70">
        <f t="shared" si="210"/>
        <v>7</v>
      </c>
      <c r="E1979" s="70">
        <f t="shared" si="211"/>
        <v>0.2</v>
      </c>
      <c r="F1979" s="70">
        <f t="shared" si="212"/>
        <v>5</v>
      </c>
      <c r="G1979" s="70">
        <f t="shared" si="213"/>
        <v>3.3129548049234723</v>
      </c>
      <c r="H1979" s="70">
        <f t="shared" si="214"/>
        <v>1</v>
      </c>
      <c r="I1979" s="70">
        <f t="shared" si="215"/>
        <v>1</v>
      </c>
      <c r="J1979" s="70">
        <f t="shared" si="216"/>
        <v>3.3129548049234723</v>
      </c>
      <c r="K1979" s="70">
        <f>IF(CurrentMtgRatesDataTable8[[#This Row],[WA CC]]&lt;&gt;0,C1978-CurrentMtgRatesDataTable8[[#This Row],[WA CC]],0)</f>
        <v>0.74704519507652822</v>
      </c>
      <c r="L1979" s="70">
        <f>IF(CurrentMtgRatesDataTable8[[#This Row],[Servicing Spread]]&lt;=0,L1978,CurrentMtgRatesDataTable8[[#This Row],[Servicing Spread]])</f>
        <v>0.74704519507652822</v>
      </c>
      <c r="M1979" s="70">
        <f>CurrentMtgRatesDataTable8[[#This Row],[Servicing Spread Non-Zero]]-L1978</f>
        <v>-4.2120873824647465E-2</v>
      </c>
      <c r="N1979" s="70">
        <f>IF(J1978&lt;&gt;0,CurrentMtgRatesDataTable8[[#This Row],[Rate]]-C1978,N1978)</f>
        <v>-9.9999999999997868E-3</v>
      </c>
    </row>
    <row r="1980" spans="1:14">
      <c r="A1980" s="67" t="s">
        <v>3332</v>
      </c>
      <c r="B1980" s="68">
        <v>3.3269877497661899</v>
      </c>
      <c r="C1980" s="69">
        <v>4.05</v>
      </c>
      <c r="D1980" s="70">
        <f t="shared" si="210"/>
        <v>1</v>
      </c>
      <c r="E1980" s="70">
        <f t="shared" si="211"/>
        <v>0.2</v>
      </c>
      <c r="F1980" s="70">
        <f t="shared" si="212"/>
        <v>1</v>
      </c>
      <c r="G1980" s="70">
        <f t="shared" si="213"/>
        <v>0.66539754995323808</v>
      </c>
      <c r="H1980" s="70">
        <f t="shared" si="214"/>
        <v>0.2</v>
      </c>
      <c r="I1980" s="70">
        <f t="shared" si="215"/>
        <v>0</v>
      </c>
      <c r="J1980" s="70">
        <f t="shared" si="216"/>
        <v>0</v>
      </c>
      <c r="K1980" s="70">
        <f>IF(CurrentMtgRatesDataTable8[[#This Row],[WA CC]]&lt;&gt;0,C1979-CurrentMtgRatesDataTable8[[#This Row],[WA CC]],0)</f>
        <v>0</v>
      </c>
      <c r="L1980" s="70">
        <f>IF(CurrentMtgRatesDataTable8[[#This Row],[Servicing Spread]]&lt;=0,L1979,CurrentMtgRatesDataTable8[[#This Row],[Servicing Spread]])</f>
        <v>0.74704519507652822</v>
      </c>
      <c r="M1980" s="70">
        <f>CurrentMtgRatesDataTable8[[#This Row],[Servicing Spread Non-Zero]]-L1979</f>
        <v>0</v>
      </c>
      <c r="N1980" s="70">
        <f>IF(J1979&lt;&gt;0,CurrentMtgRatesDataTable8[[#This Row],[Rate]]-C1979,N1979)</f>
        <v>-1.0000000000000675E-2</v>
      </c>
    </row>
    <row r="1981" spans="1:14">
      <c r="A1981" s="67" t="s">
        <v>3333</v>
      </c>
      <c r="B1981" s="68">
        <v>3.3306571574489601</v>
      </c>
      <c r="C1981" s="69">
        <v>4.05</v>
      </c>
      <c r="D1981" s="70">
        <f t="shared" si="210"/>
        <v>2</v>
      </c>
      <c r="E1981" s="70">
        <f t="shared" si="211"/>
        <v>0.2</v>
      </c>
      <c r="F1981" s="70">
        <f t="shared" si="212"/>
        <v>2</v>
      </c>
      <c r="G1981" s="70">
        <f t="shared" si="213"/>
        <v>1.33152898144303</v>
      </c>
      <c r="H1981" s="70">
        <f t="shared" si="214"/>
        <v>0.4</v>
      </c>
      <c r="I1981" s="70">
        <f t="shared" si="215"/>
        <v>0</v>
      </c>
      <c r="J1981" s="70">
        <f t="shared" si="216"/>
        <v>0</v>
      </c>
      <c r="K1981" s="70">
        <f>IF(CurrentMtgRatesDataTable8[[#This Row],[WA CC]]&lt;&gt;0,C1980-CurrentMtgRatesDataTable8[[#This Row],[WA CC]],0)</f>
        <v>0</v>
      </c>
      <c r="L1981" s="70">
        <f>IF(CurrentMtgRatesDataTable8[[#This Row],[Servicing Spread]]&lt;=0,L1980,CurrentMtgRatesDataTable8[[#This Row],[Servicing Spread]])</f>
        <v>0.74704519507652822</v>
      </c>
      <c r="M1981" s="70">
        <f>CurrentMtgRatesDataTable8[[#This Row],[Servicing Spread Non-Zero]]-L1980</f>
        <v>0</v>
      </c>
      <c r="N1981" s="70">
        <f>IF(J1980&lt;&gt;0,CurrentMtgRatesDataTable8[[#This Row],[Rate]]-C1980,N1980)</f>
        <v>-1.0000000000000675E-2</v>
      </c>
    </row>
    <row r="1982" spans="1:14">
      <c r="A1982" s="67" t="s">
        <v>3334</v>
      </c>
      <c r="B1982" s="68">
        <v>3.3634960671290699</v>
      </c>
      <c r="C1982" s="69">
        <v>4.05</v>
      </c>
      <c r="D1982" s="70">
        <f t="shared" si="210"/>
        <v>5</v>
      </c>
      <c r="E1982" s="70">
        <f t="shared" si="211"/>
        <v>0.2</v>
      </c>
      <c r="F1982" s="70">
        <f t="shared" si="212"/>
        <v>3</v>
      </c>
      <c r="G1982" s="70">
        <f t="shared" si="213"/>
        <v>2.0042281948688441</v>
      </c>
      <c r="H1982" s="70">
        <f t="shared" si="214"/>
        <v>0.60000000000000009</v>
      </c>
      <c r="I1982" s="70">
        <f t="shared" si="215"/>
        <v>0</v>
      </c>
      <c r="J1982" s="70">
        <f t="shared" si="216"/>
        <v>0</v>
      </c>
      <c r="K1982" s="70">
        <f>IF(CurrentMtgRatesDataTable8[[#This Row],[WA CC]]&lt;&gt;0,C1981-CurrentMtgRatesDataTable8[[#This Row],[WA CC]],0)</f>
        <v>0</v>
      </c>
      <c r="L1982" s="70">
        <f>IF(CurrentMtgRatesDataTable8[[#This Row],[Servicing Spread]]&lt;=0,L1981,CurrentMtgRatesDataTable8[[#This Row],[Servicing Spread]])</f>
        <v>0.74704519507652822</v>
      </c>
      <c r="M1982" s="70">
        <f>CurrentMtgRatesDataTable8[[#This Row],[Servicing Spread Non-Zero]]-L1981</f>
        <v>0</v>
      </c>
      <c r="N1982" s="70">
        <f>IF(J1981&lt;&gt;0,CurrentMtgRatesDataTable8[[#This Row],[Rate]]-C1981,N1981)</f>
        <v>-1.0000000000000675E-2</v>
      </c>
    </row>
    <row r="1983" spans="1:14">
      <c r="A1983" s="67" t="s">
        <v>3335</v>
      </c>
      <c r="B1983" s="68">
        <v>3.26466509083714</v>
      </c>
      <c r="C1983" s="69">
        <v>4.05</v>
      </c>
      <c r="D1983" s="70">
        <f t="shared" si="210"/>
        <v>6</v>
      </c>
      <c r="E1983" s="70">
        <f t="shared" si="211"/>
        <v>0.2</v>
      </c>
      <c r="F1983" s="70">
        <f t="shared" si="212"/>
        <v>4</v>
      </c>
      <c r="G1983" s="70">
        <f t="shared" si="213"/>
        <v>2.6571612130362721</v>
      </c>
      <c r="H1983" s="70">
        <f t="shared" si="214"/>
        <v>0.8</v>
      </c>
      <c r="I1983" s="70">
        <f t="shared" si="215"/>
        <v>0</v>
      </c>
      <c r="J1983" s="70">
        <f t="shared" si="216"/>
        <v>0</v>
      </c>
      <c r="K1983" s="70">
        <f>IF(CurrentMtgRatesDataTable8[[#This Row],[WA CC]]&lt;&gt;0,C1982-CurrentMtgRatesDataTable8[[#This Row],[WA CC]],0)</f>
        <v>0</v>
      </c>
      <c r="L1983" s="70">
        <f>IF(CurrentMtgRatesDataTable8[[#This Row],[Servicing Spread]]&lt;=0,L1982,CurrentMtgRatesDataTable8[[#This Row],[Servicing Spread]])</f>
        <v>0.74704519507652822</v>
      </c>
      <c r="M1983" s="70">
        <f>CurrentMtgRatesDataTable8[[#This Row],[Servicing Spread Non-Zero]]-L1982</f>
        <v>0</v>
      </c>
      <c r="N1983" s="70">
        <f>IF(J1982&lt;&gt;0,CurrentMtgRatesDataTable8[[#This Row],[Rate]]-C1982,N1982)</f>
        <v>-1.0000000000000675E-2</v>
      </c>
    </row>
    <row r="1984" spans="1:14">
      <c r="A1984" s="67" t="s">
        <v>3336</v>
      </c>
      <c r="B1984" s="68">
        <v>3.3217981772157801</v>
      </c>
      <c r="C1984" s="69">
        <v>4.05</v>
      </c>
      <c r="D1984" s="70">
        <f t="shared" si="210"/>
        <v>7</v>
      </c>
      <c r="E1984" s="70">
        <f t="shared" si="211"/>
        <v>0.2</v>
      </c>
      <c r="F1984" s="70">
        <f t="shared" si="212"/>
        <v>5</v>
      </c>
      <c r="G1984" s="70">
        <f t="shared" si="213"/>
        <v>3.3215208484794281</v>
      </c>
      <c r="H1984" s="70">
        <f t="shared" si="214"/>
        <v>1</v>
      </c>
      <c r="I1984" s="70">
        <f t="shared" si="215"/>
        <v>1</v>
      </c>
      <c r="J1984" s="70">
        <f t="shared" si="216"/>
        <v>3.3215208484794281</v>
      </c>
      <c r="K1984" s="70">
        <f>IF(CurrentMtgRatesDataTable8[[#This Row],[WA CC]]&lt;&gt;0,C1983-CurrentMtgRatesDataTable8[[#This Row],[WA CC]],0)</f>
        <v>0.72847915152057174</v>
      </c>
      <c r="L1984" s="70">
        <f>IF(CurrentMtgRatesDataTable8[[#This Row],[Servicing Spread]]&lt;=0,L1983,CurrentMtgRatesDataTable8[[#This Row],[Servicing Spread]])</f>
        <v>0.72847915152057174</v>
      </c>
      <c r="M1984" s="70">
        <f>CurrentMtgRatesDataTable8[[#This Row],[Servicing Spread Non-Zero]]-L1983</f>
        <v>-1.856604355595648E-2</v>
      </c>
      <c r="N1984" s="70">
        <f>IF(J1983&lt;&gt;0,CurrentMtgRatesDataTable8[[#This Row],[Rate]]-C1983,N1983)</f>
        <v>-1.0000000000000675E-2</v>
      </c>
    </row>
    <row r="1985" spans="1:14">
      <c r="A1985" s="67" t="s">
        <v>3337</v>
      </c>
      <c r="B1985" s="68">
        <v>3.4409162615373701</v>
      </c>
      <c r="C1985" s="69">
        <v>3.9249999999999998</v>
      </c>
      <c r="D1985" s="70">
        <f t="shared" si="210"/>
        <v>1</v>
      </c>
      <c r="E1985" s="70">
        <f t="shared" si="211"/>
        <v>0.2</v>
      </c>
      <c r="F1985" s="70">
        <f t="shared" si="212"/>
        <v>1</v>
      </c>
      <c r="G1985" s="70">
        <f t="shared" si="213"/>
        <v>0.68818325230747401</v>
      </c>
      <c r="H1985" s="70">
        <f t="shared" si="214"/>
        <v>0.2</v>
      </c>
      <c r="I1985" s="70">
        <f t="shared" si="215"/>
        <v>0</v>
      </c>
      <c r="J1985" s="70">
        <f t="shared" si="216"/>
        <v>0</v>
      </c>
      <c r="K1985" s="70">
        <f>IF(CurrentMtgRatesDataTable8[[#This Row],[WA CC]]&lt;&gt;0,C1984-CurrentMtgRatesDataTable8[[#This Row],[WA CC]],0)</f>
        <v>0</v>
      </c>
      <c r="L1985" s="70">
        <f>IF(CurrentMtgRatesDataTable8[[#This Row],[Servicing Spread]]&lt;=0,L1984,CurrentMtgRatesDataTable8[[#This Row],[Servicing Spread]])</f>
        <v>0.72847915152057174</v>
      </c>
      <c r="M1985" s="70">
        <f>CurrentMtgRatesDataTable8[[#This Row],[Servicing Spread Non-Zero]]-L1984</f>
        <v>0</v>
      </c>
      <c r="N1985" s="70">
        <f>IF(J1984&lt;&gt;0,CurrentMtgRatesDataTable8[[#This Row],[Rate]]-C1984,N1984)</f>
        <v>-0.125</v>
      </c>
    </row>
    <row r="1986" spans="1:14">
      <c r="A1986" s="67" t="s">
        <v>3338</v>
      </c>
      <c r="B1986" s="68">
        <v>3.3602109055046498</v>
      </c>
      <c r="C1986" s="69">
        <v>3.9249999999999998</v>
      </c>
      <c r="D1986" s="70">
        <f t="shared" si="210"/>
        <v>2</v>
      </c>
      <c r="E1986" s="70">
        <f t="shared" si="211"/>
        <v>0.2</v>
      </c>
      <c r="F1986" s="70">
        <f t="shared" si="212"/>
        <v>2</v>
      </c>
      <c r="G1986" s="70">
        <f t="shared" si="213"/>
        <v>1.3602254334084041</v>
      </c>
      <c r="H1986" s="70">
        <f t="shared" si="214"/>
        <v>0.4</v>
      </c>
      <c r="I1986" s="70">
        <f t="shared" si="215"/>
        <v>0</v>
      </c>
      <c r="J1986" s="70">
        <f t="shared" si="216"/>
        <v>0</v>
      </c>
      <c r="K1986" s="70">
        <f>IF(CurrentMtgRatesDataTable8[[#This Row],[WA CC]]&lt;&gt;0,C1985-CurrentMtgRatesDataTable8[[#This Row],[WA CC]],0)</f>
        <v>0</v>
      </c>
      <c r="L1986" s="70">
        <f>IF(CurrentMtgRatesDataTable8[[#This Row],[Servicing Spread]]&lt;=0,L1985,CurrentMtgRatesDataTable8[[#This Row],[Servicing Spread]])</f>
        <v>0.72847915152057174</v>
      </c>
      <c r="M1986" s="70">
        <f>CurrentMtgRatesDataTable8[[#This Row],[Servicing Spread Non-Zero]]-L1985</f>
        <v>0</v>
      </c>
      <c r="N1986" s="70">
        <f>IF(J1985&lt;&gt;0,CurrentMtgRatesDataTable8[[#This Row],[Rate]]-C1985,N1985)</f>
        <v>-0.125</v>
      </c>
    </row>
    <row r="1987" spans="1:14">
      <c r="A1987" s="67" t="s">
        <v>3339</v>
      </c>
      <c r="B1987" s="68">
        <v>3.2515769978966</v>
      </c>
      <c r="C1987" s="69">
        <v>3.9249999999999998</v>
      </c>
      <c r="D1987" s="70">
        <f t="shared" si="210"/>
        <v>5</v>
      </c>
      <c r="E1987" s="70">
        <f t="shared" si="211"/>
        <v>0.2</v>
      </c>
      <c r="F1987" s="70">
        <f t="shared" si="212"/>
        <v>3</v>
      </c>
      <c r="G1987" s="70">
        <f t="shared" si="213"/>
        <v>2.0105408329877239</v>
      </c>
      <c r="H1987" s="70">
        <f t="shared" si="214"/>
        <v>0.60000000000000009</v>
      </c>
      <c r="I1987" s="70">
        <f t="shared" si="215"/>
        <v>0</v>
      </c>
      <c r="J1987" s="70">
        <f t="shared" si="216"/>
        <v>0</v>
      </c>
      <c r="K1987" s="70">
        <f>IF(CurrentMtgRatesDataTable8[[#This Row],[WA CC]]&lt;&gt;0,C1986-CurrentMtgRatesDataTable8[[#This Row],[WA CC]],0)</f>
        <v>0</v>
      </c>
      <c r="L1987" s="70">
        <f>IF(CurrentMtgRatesDataTable8[[#This Row],[Servicing Spread]]&lt;=0,L1986,CurrentMtgRatesDataTable8[[#This Row],[Servicing Spread]])</f>
        <v>0.72847915152057174</v>
      </c>
      <c r="M1987" s="70">
        <f>CurrentMtgRatesDataTable8[[#This Row],[Servicing Spread Non-Zero]]-L1986</f>
        <v>0</v>
      </c>
      <c r="N1987" s="70">
        <f>IF(J1986&lt;&gt;0,CurrentMtgRatesDataTable8[[#This Row],[Rate]]-C1986,N1986)</f>
        <v>-0.125</v>
      </c>
    </row>
    <row r="1988" spans="1:14">
      <c r="A1988" s="67" t="s">
        <v>3340</v>
      </c>
      <c r="B1988" s="68">
        <v>3.1279977145133802</v>
      </c>
      <c r="C1988" s="69">
        <v>3.9249999999999998</v>
      </c>
      <c r="D1988" s="70">
        <f t="shared" si="210"/>
        <v>6</v>
      </c>
      <c r="E1988" s="70">
        <f t="shared" si="211"/>
        <v>0.2</v>
      </c>
      <c r="F1988" s="70">
        <f t="shared" si="212"/>
        <v>4</v>
      </c>
      <c r="G1988" s="70">
        <f t="shared" si="213"/>
        <v>2.6361403758903998</v>
      </c>
      <c r="H1988" s="70">
        <f t="shared" si="214"/>
        <v>0.8</v>
      </c>
      <c r="I1988" s="70">
        <f t="shared" si="215"/>
        <v>0</v>
      </c>
      <c r="J1988" s="70">
        <f t="shared" si="216"/>
        <v>0</v>
      </c>
      <c r="K1988" s="70">
        <f>IF(CurrentMtgRatesDataTable8[[#This Row],[WA CC]]&lt;&gt;0,C1987-CurrentMtgRatesDataTable8[[#This Row],[WA CC]],0)</f>
        <v>0</v>
      </c>
      <c r="L1988" s="70">
        <f>IF(CurrentMtgRatesDataTable8[[#This Row],[Servicing Spread]]&lt;=0,L1987,CurrentMtgRatesDataTable8[[#This Row],[Servicing Spread]])</f>
        <v>0.72847915152057174</v>
      </c>
      <c r="M1988" s="70">
        <f>CurrentMtgRatesDataTable8[[#This Row],[Servicing Spread Non-Zero]]-L1987</f>
        <v>0</v>
      </c>
      <c r="N1988" s="70">
        <f>IF(J1987&lt;&gt;0,CurrentMtgRatesDataTable8[[#This Row],[Rate]]-C1987,N1987)</f>
        <v>-0.125</v>
      </c>
    </row>
    <row r="1989" spans="1:14">
      <c r="A1989" s="67" t="s">
        <v>3341</v>
      </c>
      <c r="B1989" s="68">
        <v>3.1403563464711799</v>
      </c>
      <c r="C1989" s="69">
        <v>3.9249999999999998</v>
      </c>
      <c r="D1989" s="70">
        <f t="shared" ref="D1989:D2052" si="217">WEEKDAY(A1989,14)</f>
        <v>7</v>
      </c>
      <c r="E1989" s="70">
        <f t="shared" ref="E1989:E2052" si="218">VLOOKUP(D1989,Q$5:R$11,2,FALSE)</f>
        <v>0.2</v>
      </c>
      <c r="F1989" s="70">
        <f t="shared" ref="F1989:F2052" si="219">IF(AND(D1989&gt;D1988,F1988&lt;6),F1988+1,1)</f>
        <v>5</v>
      </c>
      <c r="G1989" s="70">
        <f t="shared" ref="G1989:G2052" si="220">IF(F1989&gt;F1988,G1988+B1989*E1989,B1989*E1989)</f>
        <v>3.2642116451846359</v>
      </c>
      <c r="H1989" s="70">
        <f t="shared" ref="H1989:H2052" si="221">IF(AND(F1989&lt;6,F1989&gt;F1988),E1989+H1988,E1989)</f>
        <v>1</v>
      </c>
      <c r="I1989" s="70">
        <f t="shared" ref="I1989:I2052" si="222">IF(F1989&gt;F1990,1,0)</f>
        <v>1</v>
      </c>
      <c r="J1989" s="70">
        <f t="shared" ref="J1989:J2052" si="223">IF(F1989&gt;F1990,G1989/H1989,0)</f>
        <v>3.2642116451846359</v>
      </c>
      <c r="K1989" s="70">
        <f>IF(CurrentMtgRatesDataTable8[[#This Row],[WA CC]]&lt;&gt;0,C1988-CurrentMtgRatesDataTable8[[#This Row],[WA CC]],0)</f>
        <v>0.66078835481536391</v>
      </c>
      <c r="L1989" s="70">
        <f>IF(CurrentMtgRatesDataTable8[[#This Row],[Servicing Spread]]&lt;=0,L1988,CurrentMtgRatesDataTable8[[#This Row],[Servicing Spread]])</f>
        <v>0.66078835481536391</v>
      </c>
      <c r="M1989" s="70">
        <f>CurrentMtgRatesDataTable8[[#This Row],[Servicing Spread Non-Zero]]-L1988</f>
        <v>-6.7690796705207834E-2</v>
      </c>
      <c r="N1989" s="70">
        <f>IF(J1988&lt;&gt;0,CurrentMtgRatesDataTable8[[#This Row],[Rate]]-C1988,N1988)</f>
        <v>-0.125</v>
      </c>
    </row>
    <row r="1990" spans="1:14">
      <c r="A1990" s="67" t="s">
        <v>3342</v>
      </c>
      <c r="B1990" s="68">
        <v>3.1865900219174601</v>
      </c>
      <c r="C1990" s="69">
        <v>3.915</v>
      </c>
      <c r="D1990" s="70">
        <f t="shared" si="217"/>
        <v>1</v>
      </c>
      <c r="E1990" s="70">
        <f t="shared" si="218"/>
        <v>0.2</v>
      </c>
      <c r="F1990" s="70">
        <f t="shared" si="219"/>
        <v>1</v>
      </c>
      <c r="G1990" s="70">
        <f t="shared" si="220"/>
        <v>0.63731800438349206</v>
      </c>
      <c r="H1990" s="70">
        <f t="shared" si="221"/>
        <v>0.2</v>
      </c>
      <c r="I1990" s="70">
        <f t="shared" si="222"/>
        <v>0</v>
      </c>
      <c r="J1990" s="70">
        <f t="shared" si="223"/>
        <v>0</v>
      </c>
      <c r="K1990" s="70">
        <f>IF(CurrentMtgRatesDataTable8[[#This Row],[WA CC]]&lt;&gt;0,C1989-CurrentMtgRatesDataTable8[[#This Row],[WA CC]],0)</f>
        <v>0</v>
      </c>
      <c r="L1990" s="70">
        <f>IF(CurrentMtgRatesDataTable8[[#This Row],[Servicing Spread]]&lt;=0,L1989,CurrentMtgRatesDataTable8[[#This Row],[Servicing Spread]])</f>
        <v>0.66078835481536391</v>
      </c>
      <c r="M1990" s="70">
        <f>CurrentMtgRatesDataTable8[[#This Row],[Servicing Spread Non-Zero]]-L1989</f>
        <v>0</v>
      </c>
      <c r="N1990" s="70">
        <f>IF(J1989&lt;&gt;0,CurrentMtgRatesDataTable8[[#This Row],[Rate]]-C1989,N1989)</f>
        <v>-9.9999999999997868E-3</v>
      </c>
    </row>
    <row r="1991" spans="1:14">
      <c r="A1991" s="67" t="s">
        <v>3343</v>
      </c>
      <c r="B1991" s="68">
        <v>3.1459189472432798</v>
      </c>
      <c r="C1991" s="69">
        <v>3.915</v>
      </c>
      <c r="D1991" s="70">
        <f t="shared" si="217"/>
        <v>2</v>
      </c>
      <c r="E1991" s="70">
        <f t="shared" si="218"/>
        <v>0.2</v>
      </c>
      <c r="F1991" s="70">
        <f t="shared" si="219"/>
        <v>2</v>
      </c>
      <c r="G1991" s="70">
        <f t="shared" si="220"/>
        <v>1.2665017938321481</v>
      </c>
      <c r="H1991" s="70">
        <f t="shared" si="221"/>
        <v>0.4</v>
      </c>
      <c r="I1991" s="70">
        <f t="shared" si="222"/>
        <v>0</v>
      </c>
      <c r="J1991" s="70">
        <f t="shared" si="223"/>
        <v>0</v>
      </c>
      <c r="K1991" s="70">
        <f>IF(CurrentMtgRatesDataTable8[[#This Row],[WA CC]]&lt;&gt;0,C1990-CurrentMtgRatesDataTable8[[#This Row],[WA CC]],0)</f>
        <v>0</v>
      </c>
      <c r="L1991" s="70">
        <f>IF(CurrentMtgRatesDataTable8[[#This Row],[Servicing Spread]]&lt;=0,L1990,CurrentMtgRatesDataTable8[[#This Row],[Servicing Spread]])</f>
        <v>0.66078835481536391</v>
      </c>
      <c r="M1991" s="70">
        <f>CurrentMtgRatesDataTable8[[#This Row],[Servicing Spread Non-Zero]]-L1990</f>
        <v>0</v>
      </c>
      <c r="N1991" s="70">
        <f>IF(J1990&lt;&gt;0,CurrentMtgRatesDataTable8[[#This Row],[Rate]]-C1990,N1990)</f>
        <v>-9.9999999999997868E-3</v>
      </c>
    </row>
    <row r="1992" spans="1:14">
      <c r="A1992" s="67" t="s">
        <v>3344</v>
      </c>
      <c r="B1992" s="68">
        <v>3.1153555046375301</v>
      </c>
      <c r="C1992" s="69">
        <v>3.915</v>
      </c>
      <c r="D1992" s="70">
        <f t="shared" si="217"/>
        <v>5</v>
      </c>
      <c r="E1992" s="70">
        <f t="shared" si="218"/>
        <v>0.2</v>
      </c>
      <c r="F1992" s="70">
        <f t="shared" si="219"/>
        <v>3</v>
      </c>
      <c r="G1992" s="70">
        <f t="shared" si="220"/>
        <v>1.8895728947596542</v>
      </c>
      <c r="H1992" s="70">
        <f t="shared" si="221"/>
        <v>0.60000000000000009</v>
      </c>
      <c r="I1992" s="70">
        <f t="shared" si="222"/>
        <v>0</v>
      </c>
      <c r="J1992" s="70">
        <f t="shared" si="223"/>
        <v>0</v>
      </c>
      <c r="K1992" s="70">
        <f>IF(CurrentMtgRatesDataTable8[[#This Row],[WA CC]]&lt;&gt;0,C1991-CurrentMtgRatesDataTable8[[#This Row],[WA CC]],0)</f>
        <v>0</v>
      </c>
      <c r="L1992" s="70">
        <f>IF(CurrentMtgRatesDataTable8[[#This Row],[Servicing Spread]]&lt;=0,L1991,CurrentMtgRatesDataTable8[[#This Row],[Servicing Spread]])</f>
        <v>0.66078835481536391</v>
      </c>
      <c r="M1992" s="70">
        <f>CurrentMtgRatesDataTable8[[#This Row],[Servicing Spread Non-Zero]]-L1991</f>
        <v>0</v>
      </c>
      <c r="N1992" s="70">
        <f>IF(J1991&lt;&gt;0,CurrentMtgRatesDataTable8[[#This Row],[Rate]]-C1991,N1991)</f>
        <v>-9.9999999999997868E-3</v>
      </c>
    </row>
    <row r="1993" spans="1:14">
      <c r="A1993" s="67" t="s">
        <v>3345</v>
      </c>
      <c r="B1993" s="68">
        <v>3.1915310433588799</v>
      </c>
      <c r="C1993" s="69">
        <v>3.915</v>
      </c>
      <c r="D1993" s="70">
        <f t="shared" si="217"/>
        <v>6</v>
      </c>
      <c r="E1993" s="70">
        <f t="shared" si="218"/>
        <v>0.2</v>
      </c>
      <c r="F1993" s="70">
        <f t="shared" si="219"/>
        <v>4</v>
      </c>
      <c r="G1993" s="70">
        <f t="shared" si="220"/>
        <v>2.5278791034314301</v>
      </c>
      <c r="H1993" s="70">
        <f t="shared" si="221"/>
        <v>0.8</v>
      </c>
      <c r="I1993" s="70">
        <f t="shared" si="222"/>
        <v>0</v>
      </c>
      <c r="J1993" s="70">
        <f t="shared" si="223"/>
        <v>0</v>
      </c>
      <c r="K1993" s="70">
        <f>IF(CurrentMtgRatesDataTable8[[#This Row],[WA CC]]&lt;&gt;0,C1992-CurrentMtgRatesDataTable8[[#This Row],[WA CC]],0)</f>
        <v>0</v>
      </c>
      <c r="L1993" s="70">
        <f>IF(CurrentMtgRatesDataTable8[[#This Row],[Servicing Spread]]&lt;=0,L1992,CurrentMtgRatesDataTable8[[#This Row],[Servicing Spread]])</f>
        <v>0.66078835481536391</v>
      </c>
      <c r="M1993" s="70">
        <f>CurrentMtgRatesDataTable8[[#This Row],[Servicing Spread Non-Zero]]-L1992</f>
        <v>0</v>
      </c>
      <c r="N1993" s="70">
        <f>IF(J1992&lt;&gt;0,CurrentMtgRatesDataTable8[[#This Row],[Rate]]-C1992,N1992)</f>
        <v>-9.9999999999997868E-3</v>
      </c>
    </row>
    <row r="1994" spans="1:14">
      <c r="A1994" s="67" t="s">
        <v>3346</v>
      </c>
      <c r="B1994" s="68">
        <v>3.1408308394137698</v>
      </c>
      <c r="C1994" s="69">
        <v>3.915</v>
      </c>
      <c r="D1994" s="70">
        <f t="shared" si="217"/>
        <v>7</v>
      </c>
      <c r="E1994" s="70">
        <f t="shared" si="218"/>
        <v>0.2</v>
      </c>
      <c r="F1994" s="70">
        <f t="shared" si="219"/>
        <v>5</v>
      </c>
      <c r="G1994" s="70">
        <f t="shared" si="220"/>
        <v>3.1560452713141842</v>
      </c>
      <c r="H1994" s="70">
        <f t="shared" si="221"/>
        <v>1</v>
      </c>
      <c r="I1994" s="70">
        <f t="shared" si="222"/>
        <v>1</v>
      </c>
      <c r="J1994" s="70">
        <f t="shared" si="223"/>
        <v>3.1560452713141842</v>
      </c>
      <c r="K1994" s="70">
        <f>IF(CurrentMtgRatesDataTable8[[#This Row],[WA CC]]&lt;&gt;0,C1993-CurrentMtgRatesDataTable8[[#This Row],[WA CC]],0)</f>
        <v>0.75895472868581582</v>
      </c>
      <c r="L1994" s="70">
        <f>IF(CurrentMtgRatesDataTable8[[#This Row],[Servicing Spread]]&lt;=0,L1993,CurrentMtgRatesDataTable8[[#This Row],[Servicing Spread]])</f>
        <v>0.75895472868581582</v>
      </c>
      <c r="M1994" s="70">
        <f>CurrentMtgRatesDataTable8[[#This Row],[Servicing Spread Non-Zero]]-L1993</f>
        <v>9.8166373870451906E-2</v>
      </c>
      <c r="N1994" s="70">
        <f>IF(J1993&lt;&gt;0,CurrentMtgRatesDataTable8[[#This Row],[Rate]]-C1993,N1993)</f>
        <v>-9.9999999999997868E-3</v>
      </c>
    </row>
    <row r="1995" spans="1:14">
      <c r="A1995" s="67" t="s">
        <v>3347</v>
      </c>
      <c r="B1995" s="68">
        <v>3.1968294834055402</v>
      </c>
      <c r="C1995" s="69">
        <v>3.9249999999999998</v>
      </c>
      <c r="D1995" s="70">
        <f t="shared" si="217"/>
        <v>1</v>
      </c>
      <c r="E1995" s="70">
        <f t="shared" si="218"/>
        <v>0.2</v>
      </c>
      <c r="F1995" s="70">
        <f t="shared" si="219"/>
        <v>1</v>
      </c>
      <c r="G1995" s="70">
        <f t="shared" si="220"/>
        <v>0.6393658966811081</v>
      </c>
      <c r="H1995" s="70">
        <f t="shared" si="221"/>
        <v>0.2</v>
      </c>
      <c r="I1995" s="70">
        <f t="shared" si="222"/>
        <v>0</v>
      </c>
      <c r="J1995" s="70">
        <f t="shared" si="223"/>
        <v>0</v>
      </c>
      <c r="K1995" s="70">
        <f>IF(CurrentMtgRatesDataTable8[[#This Row],[WA CC]]&lt;&gt;0,C1994-CurrentMtgRatesDataTable8[[#This Row],[WA CC]],0)</f>
        <v>0</v>
      </c>
      <c r="L1995" s="70">
        <f>IF(CurrentMtgRatesDataTable8[[#This Row],[Servicing Spread]]&lt;=0,L1994,CurrentMtgRatesDataTable8[[#This Row],[Servicing Spread]])</f>
        <v>0.75895472868581582</v>
      </c>
      <c r="M1995" s="70">
        <f>CurrentMtgRatesDataTable8[[#This Row],[Servicing Spread Non-Zero]]-L1994</f>
        <v>0</v>
      </c>
      <c r="N1995" s="70">
        <f>IF(J1994&lt;&gt;0,CurrentMtgRatesDataTable8[[#This Row],[Rate]]-C1994,N1994)</f>
        <v>9.9999999999997868E-3</v>
      </c>
    </row>
    <row r="1996" spans="1:14">
      <c r="A1996" s="67" t="s">
        <v>3348</v>
      </c>
      <c r="B1996" s="68">
        <v>3.1932759720766599</v>
      </c>
      <c r="C1996" s="69">
        <v>3.9249999999999998</v>
      </c>
      <c r="D1996" s="70">
        <f t="shared" si="217"/>
        <v>5</v>
      </c>
      <c r="E1996" s="70">
        <f t="shared" si="218"/>
        <v>0.2</v>
      </c>
      <c r="F1996" s="70">
        <f t="shared" si="219"/>
        <v>2</v>
      </c>
      <c r="G1996" s="70">
        <f t="shared" si="220"/>
        <v>1.27802109109644</v>
      </c>
      <c r="H1996" s="70">
        <f t="shared" si="221"/>
        <v>0.4</v>
      </c>
      <c r="I1996" s="70">
        <f t="shared" si="222"/>
        <v>0</v>
      </c>
      <c r="J1996" s="70">
        <f t="shared" si="223"/>
        <v>0</v>
      </c>
      <c r="K1996" s="70">
        <f>IF(CurrentMtgRatesDataTable8[[#This Row],[WA CC]]&lt;&gt;0,C1995-CurrentMtgRatesDataTable8[[#This Row],[WA CC]],0)</f>
        <v>0</v>
      </c>
      <c r="L1996" s="70">
        <f>IF(CurrentMtgRatesDataTable8[[#This Row],[Servicing Spread]]&lt;=0,L1995,CurrentMtgRatesDataTable8[[#This Row],[Servicing Spread]])</f>
        <v>0.75895472868581582</v>
      </c>
      <c r="M1996" s="70">
        <f>CurrentMtgRatesDataTable8[[#This Row],[Servicing Spread Non-Zero]]-L1995</f>
        <v>0</v>
      </c>
      <c r="N1996" s="70">
        <f>IF(J1995&lt;&gt;0,CurrentMtgRatesDataTable8[[#This Row],[Rate]]-C1995,N1995)</f>
        <v>9.9999999999997868E-3</v>
      </c>
    </row>
    <row r="1997" spans="1:14">
      <c r="A1997" s="67" t="s">
        <v>3349</v>
      </c>
      <c r="B1997" s="68">
        <v>3.21923846967334</v>
      </c>
      <c r="C1997" s="69">
        <v>3.9249999999999998</v>
      </c>
      <c r="D1997" s="70">
        <f t="shared" si="217"/>
        <v>6</v>
      </c>
      <c r="E1997" s="70">
        <f t="shared" si="218"/>
        <v>0.2</v>
      </c>
      <c r="F1997" s="70">
        <f t="shared" si="219"/>
        <v>3</v>
      </c>
      <c r="G1997" s="70">
        <f t="shared" si="220"/>
        <v>1.921868785031108</v>
      </c>
      <c r="H1997" s="70">
        <f t="shared" si="221"/>
        <v>0.60000000000000009</v>
      </c>
      <c r="I1997" s="70">
        <f t="shared" si="222"/>
        <v>0</v>
      </c>
      <c r="J1997" s="70">
        <f t="shared" si="223"/>
        <v>0</v>
      </c>
      <c r="K1997" s="70">
        <f>IF(CurrentMtgRatesDataTable8[[#This Row],[WA CC]]&lt;&gt;0,C1996-CurrentMtgRatesDataTable8[[#This Row],[WA CC]],0)</f>
        <v>0</v>
      </c>
      <c r="L1997" s="70">
        <f>IF(CurrentMtgRatesDataTable8[[#This Row],[Servicing Spread]]&lt;=0,L1996,CurrentMtgRatesDataTable8[[#This Row],[Servicing Spread]])</f>
        <v>0.75895472868581582</v>
      </c>
      <c r="M1997" s="70">
        <f>CurrentMtgRatesDataTable8[[#This Row],[Servicing Spread Non-Zero]]-L1996</f>
        <v>0</v>
      </c>
      <c r="N1997" s="70">
        <f>IF(J1996&lt;&gt;0,CurrentMtgRatesDataTable8[[#This Row],[Rate]]-C1996,N1996)</f>
        <v>9.9999999999997868E-3</v>
      </c>
    </row>
    <row r="1998" spans="1:14">
      <c r="A1998" s="67" t="s">
        <v>3350</v>
      </c>
      <c r="B1998" s="68">
        <v>3.2014386947341</v>
      </c>
      <c r="C1998" s="69">
        <v>3.9249999999999998</v>
      </c>
      <c r="D1998" s="70">
        <f t="shared" si="217"/>
        <v>7</v>
      </c>
      <c r="E1998" s="70">
        <f t="shared" si="218"/>
        <v>0.2</v>
      </c>
      <c r="F1998" s="70">
        <f t="shared" si="219"/>
        <v>4</v>
      </c>
      <c r="G1998" s="70">
        <f t="shared" si="220"/>
        <v>2.562156523977928</v>
      </c>
      <c r="H1998" s="70">
        <f t="shared" si="221"/>
        <v>0.8</v>
      </c>
      <c r="I1998" s="70">
        <f t="shared" si="222"/>
        <v>1</v>
      </c>
      <c r="J1998" s="70">
        <f t="shared" si="223"/>
        <v>3.2026956549724099</v>
      </c>
      <c r="K1998" s="70">
        <f>IF(CurrentMtgRatesDataTable8[[#This Row],[WA CC]]&lt;&gt;0,C1997-CurrentMtgRatesDataTable8[[#This Row],[WA CC]],0)</f>
        <v>0.72230434502758989</v>
      </c>
      <c r="L1998" s="70">
        <f>IF(CurrentMtgRatesDataTable8[[#This Row],[Servicing Spread]]&lt;=0,L1997,CurrentMtgRatesDataTable8[[#This Row],[Servicing Spread]])</f>
        <v>0.72230434502758989</v>
      </c>
      <c r="M1998" s="70">
        <f>CurrentMtgRatesDataTable8[[#This Row],[Servicing Spread Non-Zero]]-L1997</f>
        <v>-3.6650383658225927E-2</v>
      </c>
      <c r="N1998" s="70">
        <f>IF(J1997&lt;&gt;0,CurrentMtgRatesDataTable8[[#This Row],[Rate]]-C1997,N1997)</f>
        <v>9.9999999999997868E-3</v>
      </c>
    </row>
    <row r="1999" spans="1:14">
      <c r="A1999" s="67" t="s">
        <v>3351</v>
      </c>
      <c r="B1999" s="68">
        <v>3.1637028117931498</v>
      </c>
      <c r="C1999" s="69">
        <v>3.9049999999999998</v>
      </c>
      <c r="D1999" s="70">
        <f t="shared" si="217"/>
        <v>1</v>
      </c>
      <c r="E1999" s="70">
        <f t="shared" si="218"/>
        <v>0.2</v>
      </c>
      <c r="F1999" s="70">
        <f t="shared" si="219"/>
        <v>1</v>
      </c>
      <c r="G1999" s="70">
        <f t="shared" si="220"/>
        <v>0.63274056235862997</v>
      </c>
      <c r="H1999" s="70">
        <f t="shared" si="221"/>
        <v>0.2</v>
      </c>
      <c r="I1999" s="70">
        <f t="shared" si="222"/>
        <v>0</v>
      </c>
      <c r="J1999" s="70">
        <f t="shared" si="223"/>
        <v>0</v>
      </c>
      <c r="K1999" s="70">
        <f>IF(CurrentMtgRatesDataTable8[[#This Row],[WA CC]]&lt;&gt;0,C1998-CurrentMtgRatesDataTable8[[#This Row],[WA CC]],0)</f>
        <v>0</v>
      </c>
      <c r="L1999" s="70">
        <f>IF(CurrentMtgRatesDataTable8[[#This Row],[Servicing Spread]]&lt;=0,L1998,CurrentMtgRatesDataTable8[[#This Row],[Servicing Spread]])</f>
        <v>0.72230434502758989</v>
      </c>
      <c r="M1999" s="70">
        <f>CurrentMtgRatesDataTable8[[#This Row],[Servicing Spread Non-Zero]]-L1998</f>
        <v>0</v>
      </c>
      <c r="N1999" s="70">
        <f>IF(J1998&lt;&gt;0,CurrentMtgRatesDataTable8[[#This Row],[Rate]]-C1998,N1998)</f>
        <v>-2.0000000000000018E-2</v>
      </c>
    </row>
    <row r="2000" spans="1:14">
      <c r="A2000" s="67" t="s">
        <v>3352</v>
      </c>
      <c r="B2000" s="68">
        <v>3.2133365381632499</v>
      </c>
      <c r="C2000" s="69">
        <v>3.9049999999999998</v>
      </c>
      <c r="D2000" s="70">
        <f t="shared" si="217"/>
        <v>2</v>
      </c>
      <c r="E2000" s="70">
        <f t="shared" si="218"/>
        <v>0.2</v>
      </c>
      <c r="F2000" s="70">
        <f t="shared" si="219"/>
        <v>2</v>
      </c>
      <c r="G2000" s="70">
        <f t="shared" si="220"/>
        <v>1.2754078699912799</v>
      </c>
      <c r="H2000" s="70">
        <f t="shared" si="221"/>
        <v>0.4</v>
      </c>
      <c r="I2000" s="70">
        <f t="shared" si="222"/>
        <v>0</v>
      </c>
      <c r="J2000" s="70">
        <f t="shared" si="223"/>
        <v>0</v>
      </c>
      <c r="K2000" s="70">
        <f>IF(CurrentMtgRatesDataTable8[[#This Row],[WA CC]]&lt;&gt;0,C1999-CurrentMtgRatesDataTable8[[#This Row],[WA CC]],0)</f>
        <v>0</v>
      </c>
      <c r="L2000" s="70">
        <f>IF(CurrentMtgRatesDataTable8[[#This Row],[Servicing Spread]]&lt;=0,L1999,CurrentMtgRatesDataTable8[[#This Row],[Servicing Spread]])</f>
        <v>0.72230434502758989</v>
      </c>
      <c r="M2000" s="70">
        <f>CurrentMtgRatesDataTable8[[#This Row],[Servicing Spread Non-Zero]]-L1999</f>
        <v>0</v>
      </c>
      <c r="N2000" s="70">
        <f>IF(J1999&lt;&gt;0,CurrentMtgRatesDataTable8[[#This Row],[Rate]]-C1999,N1999)</f>
        <v>-2.0000000000000018E-2</v>
      </c>
    </row>
    <row r="2001" spans="1:14">
      <c r="A2001" s="67" t="s">
        <v>3353</v>
      </c>
      <c r="B2001" s="68">
        <v>3.1766805050266198</v>
      </c>
      <c r="C2001" s="69">
        <v>3.9049999999999998</v>
      </c>
      <c r="D2001" s="70">
        <f t="shared" si="217"/>
        <v>5</v>
      </c>
      <c r="E2001" s="70">
        <f t="shared" si="218"/>
        <v>0.2</v>
      </c>
      <c r="F2001" s="70">
        <f t="shared" si="219"/>
        <v>3</v>
      </c>
      <c r="G2001" s="70">
        <f t="shared" si="220"/>
        <v>1.9107439709966039</v>
      </c>
      <c r="H2001" s="70">
        <f t="shared" si="221"/>
        <v>0.60000000000000009</v>
      </c>
      <c r="I2001" s="70">
        <f t="shared" si="222"/>
        <v>0</v>
      </c>
      <c r="J2001" s="70">
        <f t="shared" si="223"/>
        <v>0</v>
      </c>
      <c r="K2001" s="70">
        <f>IF(CurrentMtgRatesDataTable8[[#This Row],[WA CC]]&lt;&gt;0,C2000-CurrentMtgRatesDataTable8[[#This Row],[WA CC]],0)</f>
        <v>0</v>
      </c>
      <c r="L2001" s="70">
        <f>IF(CurrentMtgRatesDataTable8[[#This Row],[Servicing Spread]]&lt;=0,L2000,CurrentMtgRatesDataTable8[[#This Row],[Servicing Spread]])</f>
        <v>0.72230434502758989</v>
      </c>
      <c r="M2001" s="70">
        <f>CurrentMtgRatesDataTable8[[#This Row],[Servicing Spread Non-Zero]]-L2000</f>
        <v>0</v>
      </c>
      <c r="N2001" s="70">
        <f>IF(J2000&lt;&gt;0,CurrentMtgRatesDataTable8[[#This Row],[Rate]]-C2000,N2000)</f>
        <v>-2.0000000000000018E-2</v>
      </c>
    </row>
    <row r="2002" spans="1:14">
      <c r="A2002" s="67" t="s">
        <v>3354</v>
      </c>
      <c r="B2002" s="68">
        <v>3.1441680368371498</v>
      </c>
      <c r="C2002" s="69">
        <v>3.9049999999999998</v>
      </c>
      <c r="D2002" s="70">
        <f t="shared" si="217"/>
        <v>6</v>
      </c>
      <c r="E2002" s="70">
        <f t="shared" si="218"/>
        <v>0.2</v>
      </c>
      <c r="F2002" s="70">
        <f t="shared" si="219"/>
        <v>4</v>
      </c>
      <c r="G2002" s="70">
        <f t="shared" si="220"/>
        <v>2.539577578364034</v>
      </c>
      <c r="H2002" s="70">
        <f t="shared" si="221"/>
        <v>0.8</v>
      </c>
      <c r="I2002" s="70">
        <f t="shared" si="222"/>
        <v>0</v>
      </c>
      <c r="J2002" s="70">
        <f t="shared" si="223"/>
        <v>0</v>
      </c>
      <c r="K2002" s="70">
        <f>IF(CurrentMtgRatesDataTable8[[#This Row],[WA CC]]&lt;&gt;0,C2001-CurrentMtgRatesDataTable8[[#This Row],[WA CC]],0)</f>
        <v>0</v>
      </c>
      <c r="L2002" s="70">
        <f>IF(CurrentMtgRatesDataTable8[[#This Row],[Servicing Spread]]&lt;=0,L2001,CurrentMtgRatesDataTable8[[#This Row],[Servicing Spread]])</f>
        <v>0.72230434502758989</v>
      </c>
      <c r="M2002" s="70">
        <f>CurrentMtgRatesDataTable8[[#This Row],[Servicing Spread Non-Zero]]-L2001</f>
        <v>0</v>
      </c>
      <c r="N2002" s="70">
        <f>IF(J2001&lt;&gt;0,CurrentMtgRatesDataTable8[[#This Row],[Rate]]-C2001,N2001)</f>
        <v>-2.0000000000000018E-2</v>
      </c>
    </row>
    <row r="2003" spans="1:14">
      <c r="A2003" s="67" t="s">
        <v>3355</v>
      </c>
      <c r="B2003" s="68">
        <v>3.1451663238468299</v>
      </c>
      <c r="C2003" s="69">
        <v>3.9049999999999998</v>
      </c>
      <c r="D2003" s="70">
        <f t="shared" si="217"/>
        <v>7</v>
      </c>
      <c r="E2003" s="70">
        <f t="shared" si="218"/>
        <v>0.2</v>
      </c>
      <c r="F2003" s="70">
        <f t="shared" si="219"/>
        <v>5</v>
      </c>
      <c r="G2003" s="70">
        <f t="shared" si="220"/>
        <v>3.1686108431334001</v>
      </c>
      <c r="H2003" s="70">
        <f t="shared" si="221"/>
        <v>1</v>
      </c>
      <c r="I2003" s="70">
        <f t="shared" si="222"/>
        <v>1</v>
      </c>
      <c r="J2003" s="70">
        <f t="shared" si="223"/>
        <v>3.1686108431334001</v>
      </c>
      <c r="K2003" s="70">
        <f>IF(CurrentMtgRatesDataTable8[[#This Row],[WA CC]]&lt;&gt;0,C2002-CurrentMtgRatesDataTable8[[#This Row],[WA CC]],0)</f>
        <v>0.73638915686659967</v>
      </c>
      <c r="L2003" s="70">
        <f>IF(CurrentMtgRatesDataTable8[[#This Row],[Servicing Spread]]&lt;=0,L2002,CurrentMtgRatesDataTable8[[#This Row],[Servicing Spread]])</f>
        <v>0.73638915686659967</v>
      </c>
      <c r="M2003" s="70">
        <f>CurrentMtgRatesDataTable8[[#This Row],[Servicing Spread Non-Zero]]-L2002</f>
        <v>1.4084811839009781E-2</v>
      </c>
      <c r="N2003" s="70">
        <f>IF(J2002&lt;&gt;0,CurrentMtgRatesDataTable8[[#This Row],[Rate]]-C2002,N2002)</f>
        <v>-2.0000000000000018E-2</v>
      </c>
    </row>
    <row r="2004" spans="1:14">
      <c r="A2004" s="67" t="s">
        <v>3356</v>
      </c>
      <c r="B2004" s="68">
        <v>3.2226255567609399</v>
      </c>
      <c r="C2004" s="69">
        <v>3.9249999999999998</v>
      </c>
      <c r="D2004" s="70">
        <f t="shared" si="217"/>
        <v>2</v>
      </c>
      <c r="E2004" s="70">
        <f t="shared" si="218"/>
        <v>0.2</v>
      </c>
      <c r="F2004" s="70">
        <f t="shared" si="219"/>
        <v>1</v>
      </c>
      <c r="G2004" s="70">
        <f t="shared" si="220"/>
        <v>0.64452511135218804</v>
      </c>
      <c r="H2004" s="70">
        <f t="shared" si="221"/>
        <v>0.2</v>
      </c>
      <c r="I2004" s="70">
        <f t="shared" si="222"/>
        <v>0</v>
      </c>
      <c r="J2004" s="70">
        <f t="shared" si="223"/>
        <v>0</v>
      </c>
      <c r="K2004" s="70">
        <f>IF(CurrentMtgRatesDataTable8[[#This Row],[WA CC]]&lt;&gt;0,C2003-CurrentMtgRatesDataTable8[[#This Row],[WA CC]],0)</f>
        <v>0</v>
      </c>
      <c r="L2004" s="70">
        <f>IF(CurrentMtgRatesDataTable8[[#This Row],[Servicing Spread]]&lt;=0,L2003,CurrentMtgRatesDataTable8[[#This Row],[Servicing Spread]])</f>
        <v>0.73638915686659967</v>
      </c>
      <c r="M2004" s="70">
        <f>CurrentMtgRatesDataTable8[[#This Row],[Servicing Spread Non-Zero]]-L2003</f>
        <v>0</v>
      </c>
      <c r="N2004" s="70">
        <f>IF(J2003&lt;&gt;0,CurrentMtgRatesDataTable8[[#This Row],[Rate]]-C2003,N2003)</f>
        <v>2.0000000000000018E-2</v>
      </c>
    </row>
    <row r="2005" spans="1:14">
      <c r="A2005" s="67" t="s">
        <v>3357</v>
      </c>
      <c r="B2005" s="68">
        <v>3.1879027130286501</v>
      </c>
      <c r="C2005" s="69">
        <v>3.9249999999999998</v>
      </c>
      <c r="D2005" s="70">
        <f t="shared" si="217"/>
        <v>5</v>
      </c>
      <c r="E2005" s="70">
        <f t="shared" si="218"/>
        <v>0.2</v>
      </c>
      <c r="F2005" s="70">
        <f t="shared" si="219"/>
        <v>2</v>
      </c>
      <c r="G2005" s="70">
        <f t="shared" si="220"/>
        <v>1.2821056539579181</v>
      </c>
      <c r="H2005" s="70">
        <f t="shared" si="221"/>
        <v>0.4</v>
      </c>
      <c r="I2005" s="70">
        <f t="shared" si="222"/>
        <v>0</v>
      </c>
      <c r="J2005" s="70">
        <f t="shared" si="223"/>
        <v>0</v>
      </c>
      <c r="K2005" s="70">
        <f>IF(CurrentMtgRatesDataTable8[[#This Row],[WA CC]]&lt;&gt;0,C2004-CurrentMtgRatesDataTable8[[#This Row],[WA CC]],0)</f>
        <v>0</v>
      </c>
      <c r="L2005" s="70">
        <f>IF(CurrentMtgRatesDataTable8[[#This Row],[Servicing Spread]]&lt;=0,L2004,CurrentMtgRatesDataTable8[[#This Row],[Servicing Spread]])</f>
        <v>0.73638915686659967</v>
      </c>
      <c r="M2005" s="70">
        <f>CurrentMtgRatesDataTable8[[#This Row],[Servicing Spread Non-Zero]]-L2004</f>
        <v>0</v>
      </c>
      <c r="N2005" s="70">
        <f>IF(J2004&lt;&gt;0,CurrentMtgRatesDataTable8[[#This Row],[Rate]]-C2004,N2004)</f>
        <v>2.0000000000000018E-2</v>
      </c>
    </row>
    <row r="2006" spans="1:14">
      <c r="A2006" s="67" t="s">
        <v>3358</v>
      </c>
      <c r="B2006" s="68">
        <v>3.18160535509739</v>
      </c>
      <c r="C2006" s="69">
        <v>3.9249999999999998</v>
      </c>
      <c r="D2006" s="70">
        <f t="shared" si="217"/>
        <v>6</v>
      </c>
      <c r="E2006" s="70">
        <f t="shared" si="218"/>
        <v>0.2</v>
      </c>
      <c r="F2006" s="70">
        <f t="shared" si="219"/>
        <v>3</v>
      </c>
      <c r="G2006" s="70">
        <f t="shared" si="220"/>
        <v>1.9184267249773961</v>
      </c>
      <c r="H2006" s="70">
        <f t="shared" si="221"/>
        <v>0.60000000000000009</v>
      </c>
      <c r="I2006" s="70">
        <f t="shared" si="222"/>
        <v>0</v>
      </c>
      <c r="J2006" s="70">
        <f t="shared" si="223"/>
        <v>0</v>
      </c>
      <c r="K2006" s="70">
        <f>IF(CurrentMtgRatesDataTable8[[#This Row],[WA CC]]&lt;&gt;0,C2005-CurrentMtgRatesDataTable8[[#This Row],[WA CC]],0)</f>
        <v>0</v>
      </c>
      <c r="L2006" s="70">
        <f>IF(CurrentMtgRatesDataTable8[[#This Row],[Servicing Spread]]&lt;=0,L2005,CurrentMtgRatesDataTable8[[#This Row],[Servicing Spread]])</f>
        <v>0.73638915686659967</v>
      </c>
      <c r="M2006" s="70">
        <f>CurrentMtgRatesDataTable8[[#This Row],[Servicing Spread Non-Zero]]-L2005</f>
        <v>0</v>
      </c>
      <c r="N2006" s="70">
        <f>IF(J2005&lt;&gt;0,CurrentMtgRatesDataTable8[[#This Row],[Rate]]-C2005,N2005)</f>
        <v>2.0000000000000018E-2</v>
      </c>
    </row>
    <row r="2007" spans="1:14">
      <c r="A2007" s="67" t="s">
        <v>3359</v>
      </c>
      <c r="B2007" s="68">
        <v>3.1770193190764999</v>
      </c>
      <c r="C2007" s="69">
        <v>3.9249999999999998</v>
      </c>
      <c r="D2007" s="70">
        <f t="shared" si="217"/>
        <v>7</v>
      </c>
      <c r="E2007" s="70">
        <f t="shared" si="218"/>
        <v>0.2</v>
      </c>
      <c r="F2007" s="70">
        <f t="shared" si="219"/>
        <v>4</v>
      </c>
      <c r="G2007" s="70">
        <f t="shared" si="220"/>
        <v>2.553830588792696</v>
      </c>
      <c r="H2007" s="70">
        <f t="shared" si="221"/>
        <v>0.8</v>
      </c>
      <c r="I2007" s="70">
        <f t="shared" si="222"/>
        <v>1</v>
      </c>
      <c r="J2007" s="70">
        <f t="shared" si="223"/>
        <v>3.19228823599087</v>
      </c>
      <c r="K2007" s="70">
        <f>IF(CurrentMtgRatesDataTable8[[#This Row],[WA CC]]&lt;&gt;0,C2006-CurrentMtgRatesDataTable8[[#This Row],[WA CC]],0)</f>
        <v>0.73271176400912985</v>
      </c>
      <c r="L2007" s="70">
        <f>IF(CurrentMtgRatesDataTable8[[#This Row],[Servicing Spread]]&lt;=0,L2006,CurrentMtgRatesDataTable8[[#This Row],[Servicing Spread]])</f>
        <v>0.73271176400912985</v>
      </c>
      <c r="M2007" s="70">
        <f>CurrentMtgRatesDataTable8[[#This Row],[Servicing Spread Non-Zero]]-L2006</f>
        <v>-3.6773928574698189E-3</v>
      </c>
      <c r="N2007" s="70">
        <f>IF(J2006&lt;&gt;0,CurrentMtgRatesDataTable8[[#This Row],[Rate]]-C2006,N2006)</f>
        <v>2.0000000000000018E-2</v>
      </c>
    </row>
    <row r="2008" spans="1:14">
      <c r="A2008" s="67" t="s">
        <v>3360</v>
      </c>
      <c r="B2008" s="68">
        <v>3.2092148157425902</v>
      </c>
      <c r="C2008" s="69">
        <v>3.915</v>
      </c>
      <c r="D2008" s="70">
        <f t="shared" si="217"/>
        <v>1</v>
      </c>
      <c r="E2008" s="70">
        <f t="shared" si="218"/>
        <v>0.2</v>
      </c>
      <c r="F2008" s="70">
        <f t="shared" si="219"/>
        <v>1</v>
      </c>
      <c r="G2008" s="70">
        <f t="shared" si="220"/>
        <v>0.64184296314851808</v>
      </c>
      <c r="H2008" s="70">
        <f t="shared" si="221"/>
        <v>0.2</v>
      </c>
      <c r="I2008" s="70">
        <f t="shared" si="222"/>
        <v>0</v>
      </c>
      <c r="J2008" s="70">
        <f t="shared" si="223"/>
        <v>0</v>
      </c>
      <c r="K2008" s="70">
        <f>IF(CurrentMtgRatesDataTable8[[#This Row],[WA CC]]&lt;&gt;0,C2007-CurrentMtgRatesDataTable8[[#This Row],[WA CC]],0)</f>
        <v>0</v>
      </c>
      <c r="L2008" s="70">
        <f>IF(CurrentMtgRatesDataTable8[[#This Row],[Servicing Spread]]&lt;=0,L2007,CurrentMtgRatesDataTable8[[#This Row],[Servicing Spread]])</f>
        <v>0.73271176400912985</v>
      </c>
      <c r="M2008" s="70">
        <f>CurrentMtgRatesDataTable8[[#This Row],[Servicing Spread Non-Zero]]-L2007</f>
        <v>0</v>
      </c>
      <c r="N2008" s="70">
        <f>IF(J2007&lt;&gt;0,CurrentMtgRatesDataTable8[[#This Row],[Rate]]-C2007,N2007)</f>
        <v>-9.9999999999997868E-3</v>
      </c>
    </row>
    <row r="2009" spans="1:14">
      <c r="A2009" s="67" t="s">
        <v>3361</v>
      </c>
      <c r="B2009" s="68">
        <v>3.1429302987422898</v>
      </c>
      <c r="C2009" s="69">
        <v>3.915</v>
      </c>
      <c r="D2009" s="70">
        <f t="shared" si="217"/>
        <v>2</v>
      </c>
      <c r="E2009" s="70">
        <f t="shared" si="218"/>
        <v>0.2</v>
      </c>
      <c r="F2009" s="70">
        <f t="shared" si="219"/>
        <v>2</v>
      </c>
      <c r="G2009" s="70">
        <f t="shared" si="220"/>
        <v>1.2704290228969761</v>
      </c>
      <c r="H2009" s="70">
        <f t="shared" si="221"/>
        <v>0.4</v>
      </c>
      <c r="I2009" s="70">
        <f t="shared" si="222"/>
        <v>0</v>
      </c>
      <c r="J2009" s="70">
        <f t="shared" si="223"/>
        <v>0</v>
      </c>
      <c r="K2009" s="70">
        <f>IF(CurrentMtgRatesDataTable8[[#This Row],[WA CC]]&lt;&gt;0,C2008-CurrentMtgRatesDataTable8[[#This Row],[WA CC]],0)</f>
        <v>0</v>
      </c>
      <c r="L2009" s="70">
        <f>IF(CurrentMtgRatesDataTable8[[#This Row],[Servicing Spread]]&lt;=0,L2008,CurrentMtgRatesDataTable8[[#This Row],[Servicing Spread]])</f>
        <v>0.73271176400912985</v>
      </c>
      <c r="M2009" s="70">
        <f>CurrentMtgRatesDataTable8[[#This Row],[Servicing Spread Non-Zero]]-L2008</f>
        <v>0</v>
      </c>
      <c r="N2009" s="70">
        <f>IF(J2008&lt;&gt;0,CurrentMtgRatesDataTable8[[#This Row],[Rate]]-C2008,N2008)</f>
        <v>-9.9999999999997868E-3</v>
      </c>
    </row>
    <row r="2010" spans="1:14">
      <c r="A2010" s="67" t="s">
        <v>3362</v>
      </c>
      <c r="B2010" s="68">
        <v>3.1564944605964</v>
      </c>
      <c r="C2010" s="69">
        <v>3.915</v>
      </c>
      <c r="D2010" s="70">
        <f t="shared" si="217"/>
        <v>5</v>
      </c>
      <c r="E2010" s="70">
        <f t="shared" si="218"/>
        <v>0.2</v>
      </c>
      <c r="F2010" s="70">
        <f t="shared" si="219"/>
        <v>3</v>
      </c>
      <c r="G2010" s="70">
        <f t="shared" si="220"/>
        <v>1.9017279150162563</v>
      </c>
      <c r="H2010" s="70">
        <f t="shared" si="221"/>
        <v>0.60000000000000009</v>
      </c>
      <c r="I2010" s="70">
        <f t="shared" si="222"/>
        <v>0</v>
      </c>
      <c r="J2010" s="70">
        <f t="shared" si="223"/>
        <v>0</v>
      </c>
      <c r="K2010" s="70">
        <f>IF(CurrentMtgRatesDataTable8[[#This Row],[WA CC]]&lt;&gt;0,C2009-CurrentMtgRatesDataTable8[[#This Row],[WA CC]],0)</f>
        <v>0</v>
      </c>
      <c r="L2010" s="70">
        <f>IF(CurrentMtgRatesDataTable8[[#This Row],[Servicing Spread]]&lt;=0,L2009,CurrentMtgRatesDataTable8[[#This Row],[Servicing Spread]])</f>
        <v>0.73271176400912985</v>
      </c>
      <c r="M2010" s="70">
        <f>CurrentMtgRatesDataTable8[[#This Row],[Servicing Spread Non-Zero]]-L2009</f>
        <v>0</v>
      </c>
      <c r="N2010" s="70">
        <f>IF(J2009&lt;&gt;0,CurrentMtgRatesDataTable8[[#This Row],[Rate]]-C2009,N2009)</f>
        <v>-9.9999999999997868E-3</v>
      </c>
    </row>
    <row r="2011" spans="1:14">
      <c r="A2011" s="67" t="s">
        <v>3363</v>
      </c>
      <c r="B2011" s="68">
        <v>3.1701948375886699</v>
      </c>
      <c r="C2011" s="69">
        <v>3.915</v>
      </c>
      <c r="D2011" s="70">
        <f t="shared" si="217"/>
        <v>6</v>
      </c>
      <c r="E2011" s="70">
        <f t="shared" si="218"/>
        <v>0.2</v>
      </c>
      <c r="F2011" s="70">
        <f t="shared" si="219"/>
        <v>4</v>
      </c>
      <c r="G2011" s="70">
        <f t="shared" si="220"/>
        <v>2.5357668825339905</v>
      </c>
      <c r="H2011" s="70">
        <f t="shared" si="221"/>
        <v>0.8</v>
      </c>
      <c r="I2011" s="70">
        <f t="shared" si="222"/>
        <v>0</v>
      </c>
      <c r="J2011" s="70">
        <f t="shared" si="223"/>
        <v>0</v>
      </c>
      <c r="K2011" s="70">
        <f>IF(CurrentMtgRatesDataTable8[[#This Row],[WA CC]]&lt;&gt;0,C2010-CurrentMtgRatesDataTable8[[#This Row],[WA CC]],0)</f>
        <v>0</v>
      </c>
      <c r="L2011" s="70">
        <f>IF(CurrentMtgRatesDataTable8[[#This Row],[Servicing Spread]]&lt;=0,L2010,CurrentMtgRatesDataTable8[[#This Row],[Servicing Spread]])</f>
        <v>0.73271176400912985</v>
      </c>
      <c r="M2011" s="70">
        <f>CurrentMtgRatesDataTable8[[#This Row],[Servicing Spread Non-Zero]]-L2010</f>
        <v>0</v>
      </c>
      <c r="N2011" s="70">
        <f>IF(J2010&lt;&gt;0,CurrentMtgRatesDataTable8[[#This Row],[Rate]]-C2010,N2010)</f>
        <v>-9.9999999999997868E-3</v>
      </c>
    </row>
    <row r="2012" spans="1:14">
      <c r="A2012" s="67" t="s">
        <v>3364</v>
      </c>
      <c r="B2012" s="68">
        <v>3.0901166558694499</v>
      </c>
      <c r="C2012" s="69">
        <v>3.915</v>
      </c>
      <c r="D2012" s="70">
        <f t="shared" si="217"/>
        <v>7</v>
      </c>
      <c r="E2012" s="70">
        <f t="shared" si="218"/>
        <v>0.2</v>
      </c>
      <c r="F2012" s="70">
        <f t="shared" si="219"/>
        <v>5</v>
      </c>
      <c r="G2012" s="70">
        <f t="shared" si="220"/>
        <v>3.1537902137078806</v>
      </c>
      <c r="H2012" s="70">
        <f t="shared" si="221"/>
        <v>1</v>
      </c>
      <c r="I2012" s="70">
        <f t="shared" si="222"/>
        <v>1</v>
      </c>
      <c r="J2012" s="70">
        <f t="shared" si="223"/>
        <v>3.1537902137078806</v>
      </c>
      <c r="K2012" s="70">
        <f>IF(CurrentMtgRatesDataTable8[[#This Row],[WA CC]]&lt;&gt;0,C2011-CurrentMtgRatesDataTable8[[#This Row],[WA CC]],0)</f>
        <v>0.76120978629211944</v>
      </c>
      <c r="L2012" s="70">
        <f>IF(CurrentMtgRatesDataTable8[[#This Row],[Servicing Spread]]&lt;=0,L2011,CurrentMtgRatesDataTable8[[#This Row],[Servicing Spread]])</f>
        <v>0.76120978629211944</v>
      </c>
      <c r="M2012" s="70">
        <f>CurrentMtgRatesDataTable8[[#This Row],[Servicing Spread Non-Zero]]-L2011</f>
        <v>2.8498022282989588E-2</v>
      </c>
      <c r="N2012" s="70">
        <f>IF(J2011&lt;&gt;0,CurrentMtgRatesDataTable8[[#This Row],[Rate]]-C2011,N2011)</f>
        <v>-9.9999999999997868E-3</v>
      </c>
    </row>
    <row r="2013" spans="1:14">
      <c r="A2013" s="67" t="s">
        <v>3365</v>
      </c>
      <c r="B2013" s="68">
        <v>3.0582086355581701</v>
      </c>
      <c r="C2013" s="69">
        <v>3.89</v>
      </c>
      <c r="D2013" s="70">
        <f t="shared" si="217"/>
        <v>1</v>
      </c>
      <c r="E2013" s="70">
        <f t="shared" si="218"/>
        <v>0.2</v>
      </c>
      <c r="F2013" s="70">
        <f t="shared" si="219"/>
        <v>1</v>
      </c>
      <c r="G2013" s="70">
        <f t="shared" si="220"/>
        <v>0.61164172711163411</v>
      </c>
      <c r="H2013" s="70">
        <f t="shared" si="221"/>
        <v>0.2</v>
      </c>
      <c r="I2013" s="70">
        <f t="shared" si="222"/>
        <v>0</v>
      </c>
      <c r="J2013" s="70">
        <f t="shared" si="223"/>
        <v>0</v>
      </c>
      <c r="K2013" s="70">
        <f>IF(CurrentMtgRatesDataTable8[[#This Row],[WA CC]]&lt;&gt;0,C2012-CurrentMtgRatesDataTable8[[#This Row],[WA CC]],0)</f>
        <v>0</v>
      </c>
      <c r="L2013" s="70">
        <f>IF(CurrentMtgRatesDataTable8[[#This Row],[Servicing Spread]]&lt;=0,L2012,CurrentMtgRatesDataTable8[[#This Row],[Servicing Spread]])</f>
        <v>0.76120978629211944</v>
      </c>
      <c r="M2013" s="70">
        <f>CurrentMtgRatesDataTable8[[#This Row],[Servicing Spread Non-Zero]]-L2012</f>
        <v>0</v>
      </c>
      <c r="N2013" s="70">
        <f>IF(J2012&lt;&gt;0,CurrentMtgRatesDataTable8[[#This Row],[Rate]]-C2012,N2012)</f>
        <v>-2.4999999999999911E-2</v>
      </c>
    </row>
    <row r="2014" spans="1:14">
      <c r="A2014" s="67" t="s">
        <v>3366</v>
      </c>
      <c r="B2014" s="68">
        <v>3.13668507715898</v>
      </c>
      <c r="C2014" s="69">
        <v>3.89</v>
      </c>
      <c r="D2014" s="70">
        <f t="shared" si="217"/>
        <v>2</v>
      </c>
      <c r="E2014" s="70">
        <f t="shared" si="218"/>
        <v>0.2</v>
      </c>
      <c r="F2014" s="70">
        <f t="shared" si="219"/>
        <v>2</v>
      </c>
      <c r="G2014" s="70">
        <f t="shared" si="220"/>
        <v>1.2389787425434302</v>
      </c>
      <c r="H2014" s="70">
        <f t="shared" si="221"/>
        <v>0.4</v>
      </c>
      <c r="I2014" s="70">
        <f t="shared" si="222"/>
        <v>0</v>
      </c>
      <c r="J2014" s="70">
        <f t="shared" si="223"/>
        <v>0</v>
      </c>
      <c r="K2014" s="70">
        <f>IF(CurrentMtgRatesDataTable8[[#This Row],[WA CC]]&lt;&gt;0,C2013-CurrentMtgRatesDataTable8[[#This Row],[WA CC]],0)</f>
        <v>0</v>
      </c>
      <c r="L2014" s="70">
        <f>IF(CurrentMtgRatesDataTable8[[#This Row],[Servicing Spread]]&lt;=0,L2013,CurrentMtgRatesDataTable8[[#This Row],[Servicing Spread]])</f>
        <v>0.76120978629211944</v>
      </c>
      <c r="M2014" s="70">
        <f>CurrentMtgRatesDataTable8[[#This Row],[Servicing Spread Non-Zero]]-L2013</f>
        <v>0</v>
      </c>
      <c r="N2014" s="70">
        <f>IF(J2013&lt;&gt;0,CurrentMtgRatesDataTable8[[#This Row],[Rate]]-C2013,N2013)</f>
        <v>-2.4999999999999911E-2</v>
      </c>
    </row>
    <row r="2015" spans="1:14">
      <c r="A2015" s="67" t="s">
        <v>3367</v>
      </c>
      <c r="B2015" s="68">
        <v>3.12818591225721</v>
      </c>
      <c r="C2015" s="69">
        <v>3.89</v>
      </c>
      <c r="D2015" s="70">
        <f t="shared" si="217"/>
        <v>5</v>
      </c>
      <c r="E2015" s="70">
        <f t="shared" si="218"/>
        <v>0.2</v>
      </c>
      <c r="F2015" s="70">
        <f t="shared" si="219"/>
        <v>3</v>
      </c>
      <c r="G2015" s="70">
        <f t="shared" si="220"/>
        <v>1.8646159249948724</v>
      </c>
      <c r="H2015" s="70">
        <f t="shared" si="221"/>
        <v>0.60000000000000009</v>
      </c>
      <c r="I2015" s="70">
        <f t="shared" si="222"/>
        <v>0</v>
      </c>
      <c r="J2015" s="70">
        <f t="shared" si="223"/>
        <v>0</v>
      </c>
      <c r="K2015" s="70">
        <f>IF(CurrentMtgRatesDataTable8[[#This Row],[WA CC]]&lt;&gt;0,C2014-CurrentMtgRatesDataTable8[[#This Row],[WA CC]],0)</f>
        <v>0</v>
      </c>
      <c r="L2015" s="70">
        <f>IF(CurrentMtgRatesDataTable8[[#This Row],[Servicing Spread]]&lt;=0,L2014,CurrentMtgRatesDataTable8[[#This Row],[Servicing Spread]])</f>
        <v>0.76120978629211944</v>
      </c>
      <c r="M2015" s="70">
        <f>CurrentMtgRatesDataTable8[[#This Row],[Servicing Spread Non-Zero]]-L2014</f>
        <v>0</v>
      </c>
      <c r="N2015" s="70">
        <f>IF(J2014&lt;&gt;0,CurrentMtgRatesDataTable8[[#This Row],[Rate]]-C2014,N2014)</f>
        <v>-2.4999999999999911E-2</v>
      </c>
    </row>
    <row r="2016" spans="1:14">
      <c r="A2016" s="67" t="s">
        <v>3368</v>
      </c>
      <c r="B2016" s="68">
        <v>3.0836009703649698</v>
      </c>
      <c r="C2016" s="69">
        <v>3.89</v>
      </c>
      <c r="D2016" s="70">
        <f t="shared" si="217"/>
        <v>6</v>
      </c>
      <c r="E2016" s="70">
        <f t="shared" si="218"/>
        <v>0.2</v>
      </c>
      <c r="F2016" s="70">
        <f t="shared" si="219"/>
        <v>4</v>
      </c>
      <c r="G2016" s="70">
        <f t="shared" si="220"/>
        <v>2.4813361190678664</v>
      </c>
      <c r="H2016" s="70">
        <f t="shared" si="221"/>
        <v>0.8</v>
      </c>
      <c r="I2016" s="70">
        <f t="shared" si="222"/>
        <v>0</v>
      </c>
      <c r="J2016" s="70">
        <f t="shared" si="223"/>
        <v>0</v>
      </c>
      <c r="K2016" s="70">
        <f>IF(CurrentMtgRatesDataTable8[[#This Row],[WA CC]]&lt;&gt;0,C2015-CurrentMtgRatesDataTable8[[#This Row],[WA CC]],0)</f>
        <v>0</v>
      </c>
      <c r="L2016" s="70">
        <f>IF(CurrentMtgRatesDataTable8[[#This Row],[Servicing Spread]]&lt;=0,L2015,CurrentMtgRatesDataTable8[[#This Row],[Servicing Spread]])</f>
        <v>0.76120978629211944</v>
      </c>
      <c r="M2016" s="70">
        <f>CurrentMtgRatesDataTable8[[#This Row],[Servicing Spread Non-Zero]]-L2015</f>
        <v>0</v>
      </c>
      <c r="N2016" s="70">
        <f>IF(J2015&lt;&gt;0,CurrentMtgRatesDataTable8[[#This Row],[Rate]]-C2015,N2015)</f>
        <v>-2.4999999999999911E-2</v>
      </c>
    </row>
    <row r="2017" spans="1:14">
      <c r="A2017" s="67" t="s">
        <v>3369</v>
      </c>
      <c r="B2017" s="68">
        <v>3.0099010383254599</v>
      </c>
      <c r="C2017" s="69">
        <v>3.89</v>
      </c>
      <c r="D2017" s="70">
        <f t="shared" si="217"/>
        <v>7</v>
      </c>
      <c r="E2017" s="70">
        <f t="shared" si="218"/>
        <v>0.2</v>
      </c>
      <c r="F2017" s="70">
        <f t="shared" si="219"/>
        <v>5</v>
      </c>
      <c r="G2017" s="70">
        <f t="shared" si="220"/>
        <v>3.0833163267329584</v>
      </c>
      <c r="H2017" s="70">
        <f t="shared" si="221"/>
        <v>1</v>
      </c>
      <c r="I2017" s="70">
        <f t="shared" si="222"/>
        <v>1</v>
      </c>
      <c r="J2017" s="70">
        <f t="shared" si="223"/>
        <v>3.0833163267329584</v>
      </c>
      <c r="K2017" s="70">
        <f>IF(CurrentMtgRatesDataTable8[[#This Row],[WA CC]]&lt;&gt;0,C2016-CurrentMtgRatesDataTable8[[#This Row],[WA CC]],0)</f>
        <v>0.80668367326704171</v>
      </c>
      <c r="L2017" s="70">
        <f>IF(CurrentMtgRatesDataTable8[[#This Row],[Servicing Spread]]&lt;=0,L2016,CurrentMtgRatesDataTable8[[#This Row],[Servicing Spread]])</f>
        <v>0.80668367326704171</v>
      </c>
      <c r="M2017" s="70">
        <f>CurrentMtgRatesDataTable8[[#This Row],[Servicing Spread Non-Zero]]-L2016</f>
        <v>4.5473886974922273E-2</v>
      </c>
      <c r="N2017" s="70">
        <f>IF(J2016&lt;&gt;0,CurrentMtgRatesDataTable8[[#This Row],[Rate]]-C2016,N2016)</f>
        <v>-2.4999999999999911E-2</v>
      </c>
    </row>
    <row r="2018" spans="1:14">
      <c r="A2018" s="67" t="s">
        <v>3370</v>
      </c>
      <c r="B2018" s="68">
        <v>3.0512455688630302</v>
      </c>
      <c r="C2018" s="69">
        <v>3.835</v>
      </c>
      <c r="D2018" s="70">
        <f t="shared" si="217"/>
        <v>1</v>
      </c>
      <c r="E2018" s="70">
        <f t="shared" si="218"/>
        <v>0.2</v>
      </c>
      <c r="F2018" s="70">
        <f t="shared" si="219"/>
        <v>1</v>
      </c>
      <c r="G2018" s="70">
        <f t="shared" si="220"/>
        <v>0.61024911377260604</v>
      </c>
      <c r="H2018" s="70">
        <f t="shared" si="221"/>
        <v>0.2</v>
      </c>
      <c r="I2018" s="70">
        <f t="shared" si="222"/>
        <v>0</v>
      </c>
      <c r="J2018" s="70">
        <f t="shared" si="223"/>
        <v>0</v>
      </c>
      <c r="K2018" s="70">
        <f>IF(CurrentMtgRatesDataTable8[[#This Row],[WA CC]]&lt;&gt;0,C2017-CurrentMtgRatesDataTable8[[#This Row],[WA CC]],0)</f>
        <v>0</v>
      </c>
      <c r="L2018" s="70">
        <f>IF(CurrentMtgRatesDataTable8[[#This Row],[Servicing Spread]]&lt;=0,L2017,CurrentMtgRatesDataTable8[[#This Row],[Servicing Spread]])</f>
        <v>0.80668367326704171</v>
      </c>
      <c r="M2018" s="70">
        <f>CurrentMtgRatesDataTable8[[#This Row],[Servicing Spread Non-Zero]]-L2017</f>
        <v>0</v>
      </c>
      <c r="N2018" s="70">
        <f>IF(J2017&lt;&gt;0,CurrentMtgRatesDataTable8[[#This Row],[Rate]]-C2017,N2017)</f>
        <v>-5.500000000000016E-2</v>
      </c>
    </row>
    <row r="2019" spans="1:14">
      <c r="A2019" s="67" t="s">
        <v>3371</v>
      </c>
      <c r="B2019" s="68">
        <v>3.0010367845375399</v>
      </c>
      <c r="C2019" s="69">
        <v>3.835</v>
      </c>
      <c r="D2019" s="70">
        <f t="shared" si="217"/>
        <v>2</v>
      </c>
      <c r="E2019" s="70">
        <f t="shared" si="218"/>
        <v>0.2</v>
      </c>
      <c r="F2019" s="70">
        <f t="shared" si="219"/>
        <v>2</v>
      </c>
      <c r="G2019" s="70">
        <f t="shared" si="220"/>
        <v>1.2104564706801142</v>
      </c>
      <c r="H2019" s="70">
        <f t="shared" si="221"/>
        <v>0.4</v>
      </c>
      <c r="I2019" s="70">
        <f t="shared" si="222"/>
        <v>0</v>
      </c>
      <c r="J2019" s="70">
        <f t="shared" si="223"/>
        <v>0</v>
      </c>
      <c r="K2019" s="70">
        <f>IF(CurrentMtgRatesDataTable8[[#This Row],[WA CC]]&lt;&gt;0,C2018-CurrentMtgRatesDataTable8[[#This Row],[WA CC]],0)</f>
        <v>0</v>
      </c>
      <c r="L2019" s="70">
        <f>IF(CurrentMtgRatesDataTable8[[#This Row],[Servicing Spread]]&lt;=0,L2018,CurrentMtgRatesDataTable8[[#This Row],[Servicing Spread]])</f>
        <v>0.80668367326704171</v>
      </c>
      <c r="M2019" s="70">
        <f>CurrentMtgRatesDataTable8[[#This Row],[Servicing Spread Non-Zero]]-L2018</f>
        <v>0</v>
      </c>
      <c r="N2019" s="70">
        <f>IF(J2018&lt;&gt;0,CurrentMtgRatesDataTable8[[#This Row],[Rate]]-C2018,N2018)</f>
        <v>-5.500000000000016E-2</v>
      </c>
    </row>
    <row r="2020" spans="1:14">
      <c r="A2020" s="67" t="s">
        <v>3372</v>
      </c>
      <c r="B2020" s="68">
        <v>2.9894475753554</v>
      </c>
      <c r="C2020" s="69">
        <v>3.835</v>
      </c>
      <c r="D2020" s="70">
        <f t="shared" si="217"/>
        <v>5</v>
      </c>
      <c r="E2020" s="70">
        <f t="shared" si="218"/>
        <v>0.2</v>
      </c>
      <c r="F2020" s="70">
        <f t="shared" si="219"/>
        <v>3</v>
      </c>
      <c r="G2020" s="70">
        <f t="shared" si="220"/>
        <v>1.8083459857511941</v>
      </c>
      <c r="H2020" s="70">
        <f t="shared" si="221"/>
        <v>0.60000000000000009</v>
      </c>
      <c r="I2020" s="70">
        <f t="shared" si="222"/>
        <v>0</v>
      </c>
      <c r="J2020" s="70">
        <f t="shared" si="223"/>
        <v>0</v>
      </c>
      <c r="K2020" s="70">
        <f>IF(CurrentMtgRatesDataTable8[[#This Row],[WA CC]]&lt;&gt;0,C2019-CurrentMtgRatesDataTable8[[#This Row],[WA CC]],0)</f>
        <v>0</v>
      </c>
      <c r="L2020" s="70">
        <f>IF(CurrentMtgRatesDataTable8[[#This Row],[Servicing Spread]]&lt;=0,L2019,CurrentMtgRatesDataTable8[[#This Row],[Servicing Spread]])</f>
        <v>0.80668367326704171</v>
      </c>
      <c r="M2020" s="70">
        <f>CurrentMtgRatesDataTable8[[#This Row],[Servicing Spread Non-Zero]]-L2019</f>
        <v>0</v>
      </c>
      <c r="N2020" s="70">
        <f>IF(J2019&lt;&gt;0,CurrentMtgRatesDataTable8[[#This Row],[Rate]]-C2019,N2019)</f>
        <v>-5.500000000000016E-2</v>
      </c>
    </row>
    <row r="2021" spans="1:14">
      <c r="A2021" s="67" t="s">
        <v>3373</v>
      </c>
      <c r="B2021" s="68">
        <v>3.0682671271732498</v>
      </c>
      <c r="C2021" s="69">
        <v>3.835</v>
      </c>
      <c r="D2021" s="70">
        <f t="shared" si="217"/>
        <v>6</v>
      </c>
      <c r="E2021" s="70">
        <f t="shared" si="218"/>
        <v>0.2</v>
      </c>
      <c r="F2021" s="70">
        <f t="shared" si="219"/>
        <v>4</v>
      </c>
      <c r="G2021" s="70">
        <f t="shared" si="220"/>
        <v>2.4219994111858441</v>
      </c>
      <c r="H2021" s="70">
        <f t="shared" si="221"/>
        <v>0.8</v>
      </c>
      <c r="I2021" s="70">
        <f t="shared" si="222"/>
        <v>0</v>
      </c>
      <c r="J2021" s="70">
        <f t="shared" si="223"/>
        <v>0</v>
      </c>
      <c r="K2021" s="70">
        <f>IF(CurrentMtgRatesDataTable8[[#This Row],[WA CC]]&lt;&gt;0,C2020-CurrentMtgRatesDataTable8[[#This Row],[WA CC]],0)</f>
        <v>0</v>
      </c>
      <c r="L2021" s="70">
        <f>IF(CurrentMtgRatesDataTable8[[#This Row],[Servicing Spread]]&lt;=0,L2020,CurrentMtgRatesDataTable8[[#This Row],[Servicing Spread]])</f>
        <v>0.80668367326704171</v>
      </c>
      <c r="M2021" s="70">
        <f>CurrentMtgRatesDataTable8[[#This Row],[Servicing Spread Non-Zero]]-L2020</f>
        <v>0</v>
      </c>
      <c r="N2021" s="70">
        <f>IF(J2020&lt;&gt;0,CurrentMtgRatesDataTable8[[#This Row],[Rate]]-C2020,N2020)</f>
        <v>-5.500000000000016E-2</v>
      </c>
    </row>
    <row r="2022" spans="1:14">
      <c r="A2022" s="67" t="s">
        <v>3374</v>
      </c>
      <c r="B2022" s="68">
        <v>3.1062066033086002</v>
      </c>
      <c r="C2022" s="69">
        <v>3.835</v>
      </c>
      <c r="D2022" s="70">
        <f t="shared" si="217"/>
        <v>7</v>
      </c>
      <c r="E2022" s="70">
        <f t="shared" si="218"/>
        <v>0.2</v>
      </c>
      <c r="F2022" s="70">
        <f t="shared" si="219"/>
        <v>5</v>
      </c>
      <c r="G2022" s="70">
        <f t="shared" si="220"/>
        <v>3.0432407318475643</v>
      </c>
      <c r="H2022" s="70">
        <f t="shared" si="221"/>
        <v>1</v>
      </c>
      <c r="I2022" s="70">
        <f t="shared" si="222"/>
        <v>1</v>
      </c>
      <c r="J2022" s="70">
        <f t="shared" si="223"/>
        <v>3.0432407318475643</v>
      </c>
      <c r="K2022" s="70">
        <f>IF(CurrentMtgRatesDataTable8[[#This Row],[WA CC]]&lt;&gt;0,C2021-CurrentMtgRatesDataTable8[[#This Row],[WA CC]],0)</f>
        <v>0.79175926815243569</v>
      </c>
      <c r="L2022" s="70">
        <f>IF(CurrentMtgRatesDataTable8[[#This Row],[Servicing Spread]]&lt;=0,L2021,CurrentMtgRatesDataTable8[[#This Row],[Servicing Spread]])</f>
        <v>0.79175926815243569</v>
      </c>
      <c r="M2022" s="70">
        <f>CurrentMtgRatesDataTable8[[#This Row],[Servicing Spread Non-Zero]]-L2021</f>
        <v>-1.4924405114606021E-2</v>
      </c>
      <c r="N2022" s="70">
        <f>IF(J2021&lt;&gt;0,CurrentMtgRatesDataTable8[[#This Row],[Rate]]-C2021,N2021)</f>
        <v>-5.500000000000016E-2</v>
      </c>
    </row>
    <row r="2023" spans="1:14">
      <c r="A2023" s="67" t="s">
        <v>3375</v>
      </c>
      <c r="B2023" s="68">
        <v>3.0957276012742798</v>
      </c>
      <c r="C2023" s="69">
        <v>3.875</v>
      </c>
      <c r="D2023" s="70">
        <f t="shared" si="217"/>
        <v>1</v>
      </c>
      <c r="E2023" s="70">
        <f t="shared" si="218"/>
        <v>0.2</v>
      </c>
      <c r="F2023" s="70">
        <f t="shared" si="219"/>
        <v>1</v>
      </c>
      <c r="G2023" s="70">
        <f t="shared" si="220"/>
        <v>0.61914552025485603</v>
      </c>
      <c r="H2023" s="70">
        <f t="shared" si="221"/>
        <v>0.2</v>
      </c>
      <c r="I2023" s="70">
        <f t="shared" si="222"/>
        <v>0</v>
      </c>
      <c r="J2023" s="70">
        <f t="shared" si="223"/>
        <v>0</v>
      </c>
      <c r="K2023" s="70">
        <f>IF(CurrentMtgRatesDataTable8[[#This Row],[WA CC]]&lt;&gt;0,C2022-CurrentMtgRatesDataTable8[[#This Row],[WA CC]],0)</f>
        <v>0</v>
      </c>
      <c r="L2023" s="70">
        <f>IF(CurrentMtgRatesDataTable8[[#This Row],[Servicing Spread]]&lt;=0,L2022,CurrentMtgRatesDataTable8[[#This Row],[Servicing Spread]])</f>
        <v>0.79175926815243569</v>
      </c>
      <c r="M2023" s="70">
        <f>CurrentMtgRatesDataTable8[[#This Row],[Servicing Spread Non-Zero]]-L2022</f>
        <v>0</v>
      </c>
      <c r="N2023" s="70">
        <f>IF(J2022&lt;&gt;0,CurrentMtgRatesDataTable8[[#This Row],[Rate]]-C2022,N2022)</f>
        <v>4.0000000000000036E-2</v>
      </c>
    </row>
    <row r="2024" spans="1:14">
      <c r="A2024" s="67" t="s">
        <v>3376</v>
      </c>
      <c r="B2024" s="68">
        <v>3.1705040957732402</v>
      </c>
      <c r="C2024" s="69">
        <v>3.875</v>
      </c>
      <c r="D2024" s="70">
        <f t="shared" si="217"/>
        <v>2</v>
      </c>
      <c r="E2024" s="70">
        <f t="shared" si="218"/>
        <v>0.2</v>
      </c>
      <c r="F2024" s="70">
        <f t="shared" si="219"/>
        <v>2</v>
      </c>
      <c r="G2024" s="70">
        <f t="shared" si="220"/>
        <v>1.2532463394095041</v>
      </c>
      <c r="H2024" s="70">
        <f t="shared" si="221"/>
        <v>0.4</v>
      </c>
      <c r="I2024" s="70">
        <f t="shared" si="222"/>
        <v>0</v>
      </c>
      <c r="J2024" s="70">
        <f t="shared" si="223"/>
        <v>0</v>
      </c>
      <c r="K2024" s="70">
        <f>IF(CurrentMtgRatesDataTable8[[#This Row],[WA CC]]&lt;&gt;0,C2023-CurrentMtgRatesDataTable8[[#This Row],[WA CC]],0)</f>
        <v>0</v>
      </c>
      <c r="L2024" s="70">
        <f>IF(CurrentMtgRatesDataTable8[[#This Row],[Servicing Spread]]&lt;=0,L2023,CurrentMtgRatesDataTable8[[#This Row],[Servicing Spread]])</f>
        <v>0.79175926815243569</v>
      </c>
      <c r="M2024" s="70">
        <f>CurrentMtgRatesDataTable8[[#This Row],[Servicing Spread Non-Zero]]-L2023</f>
        <v>0</v>
      </c>
      <c r="N2024" s="70">
        <f>IF(J2023&lt;&gt;0,CurrentMtgRatesDataTable8[[#This Row],[Rate]]-C2023,N2023)</f>
        <v>4.0000000000000036E-2</v>
      </c>
    </row>
    <row r="2025" spans="1:14">
      <c r="A2025" s="67" t="s">
        <v>3377</v>
      </c>
      <c r="B2025" s="68">
        <v>3.1525411390212401</v>
      </c>
      <c r="C2025" s="69">
        <v>3.875</v>
      </c>
      <c r="D2025" s="70">
        <f t="shared" si="217"/>
        <v>6</v>
      </c>
      <c r="E2025" s="70">
        <f t="shared" si="218"/>
        <v>0.2</v>
      </c>
      <c r="F2025" s="70">
        <f t="shared" si="219"/>
        <v>3</v>
      </c>
      <c r="G2025" s="70">
        <f t="shared" si="220"/>
        <v>1.8837545672137521</v>
      </c>
      <c r="H2025" s="70">
        <f t="shared" si="221"/>
        <v>0.60000000000000009</v>
      </c>
      <c r="I2025" s="70">
        <f t="shared" si="222"/>
        <v>0</v>
      </c>
      <c r="J2025" s="70">
        <f t="shared" si="223"/>
        <v>0</v>
      </c>
      <c r="K2025" s="70">
        <f>IF(CurrentMtgRatesDataTable8[[#This Row],[WA CC]]&lt;&gt;0,C2024-CurrentMtgRatesDataTable8[[#This Row],[WA CC]],0)</f>
        <v>0</v>
      </c>
      <c r="L2025" s="70">
        <f>IF(CurrentMtgRatesDataTable8[[#This Row],[Servicing Spread]]&lt;=0,L2024,CurrentMtgRatesDataTable8[[#This Row],[Servicing Spread]])</f>
        <v>0.79175926815243569</v>
      </c>
      <c r="M2025" s="70">
        <f>CurrentMtgRatesDataTable8[[#This Row],[Servicing Spread Non-Zero]]-L2024</f>
        <v>0</v>
      </c>
      <c r="N2025" s="70">
        <f>IF(J2024&lt;&gt;0,CurrentMtgRatesDataTable8[[#This Row],[Rate]]-C2024,N2024)</f>
        <v>4.0000000000000036E-2</v>
      </c>
    </row>
    <row r="2026" spans="1:14">
      <c r="A2026" s="67" t="s">
        <v>3378</v>
      </c>
      <c r="B2026" s="68">
        <v>3.0482411283834199</v>
      </c>
      <c r="C2026" s="69">
        <v>3.875</v>
      </c>
      <c r="D2026" s="70">
        <f t="shared" si="217"/>
        <v>7</v>
      </c>
      <c r="E2026" s="70">
        <f t="shared" si="218"/>
        <v>0.2</v>
      </c>
      <c r="F2026" s="70">
        <f t="shared" si="219"/>
        <v>4</v>
      </c>
      <c r="G2026" s="70">
        <f t="shared" si="220"/>
        <v>2.4934027928904361</v>
      </c>
      <c r="H2026" s="70">
        <f t="shared" si="221"/>
        <v>0.8</v>
      </c>
      <c r="I2026" s="70">
        <f t="shared" si="222"/>
        <v>1</v>
      </c>
      <c r="J2026" s="70">
        <f t="shared" si="223"/>
        <v>3.116753491113045</v>
      </c>
      <c r="K2026" s="70">
        <f>IF(CurrentMtgRatesDataTable8[[#This Row],[WA CC]]&lt;&gt;0,C2025-CurrentMtgRatesDataTable8[[#This Row],[WA CC]],0)</f>
        <v>0.758246508886955</v>
      </c>
      <c r="L2026" s="70">
        <f>IF(CurrentMtgRatesDataTable8[[#This Row],[Servicing Spread]]&lt;=0,L2025,CurrentMtgRatesDataTable8[[#This Row],[Servicing Spread]])</f>
        <v>0.758246508886955</v>
      </c>
      <c r="M2026" s="70">
        <f>CurrentMtgRatesDataTable8[[#This Row],[Servicing Spread Non-Zero]]-L2025</f>
        <v>-3.3512759265480696E-2</v>
      </c>
      <c r="N2026" s="70">
        <f>IF(J2025&lt;&gt;0,CurrentMtgRatesDataTable8[[#This Row],[Rate]]-C2025,N2025)</f>
        <v>4.0000000000000036E-2</v>
      </c>
    </row>
    <row r="2027" spans="1:14">
      <c r="A2027" s="67" t="s">
        <v>3379</v>
      </c>
      <c r="B2027" s="68">
        <v>3.02888356326996</v>
      </c>
      <c r="C2027" s="69">
        <v>3.8600000000000003</v>
      </c>
      <c r="D2027" s="70">
        <f t="shared" si="217"/>
        <v>1</v>
      </c>
      <c r="E2027" s="70">
        <f t="shared" si="218"/>
        <v>0.2</v>
      </c>
      <c r="F2027" s="70">
        <f t="shared" si="219"/>
        <v>1</v>
      </c>
      <c r="G2027" s="70">
        <f t="shared" si="220"/>
        <v>0.60577671265399202</v>
      </c>
      <c r="H2027" s="70">
        <f t="shared" si="221"/>
        <v>0.2</v>
      </c>
      <c r="I2027" s="70">
        <f t="shared" si="222"/>
        <v>0</v>
      </c>
      <c r="J2027" s="70">
        <f t="shared" si="223"/>
        <v>0</v>
      </c>
      <c r="K2027" s="70">
        <f>IF(CurrentMtgRatesDataTable8[[#This Row],[WA CC]]&lt;&gt;0,C2026-CurrentMtgRatesDataTable8[[#This Row],[WA CC]],0)</f>
        <v>0</v>
      </c>
      <c r="L2027" s="70">
        <f>IF(CurrentMtgRatesDataTable8[[#This Row],[Servicing Spread]]&lt;=0,L2026,CurrentMtgRatesDataTable8[[#This Row],[Servicing Spread]])</f>
        <v>0.758246508886955</v>
      </c>
      <c r="M2027" s="70">
        <f>CurrentMtgRatesDataTable8[[#This Row],[Servicing Spread Non-Zero]]-L2026</f>
        <v>0</v>
      </c>
      <c r="N2027" s="70">
        <f>IF(J2026&lt;&gt;0,CurrentMtgRatesDataTable8[[#This Row],[Rate]]-C2026,N2026)</f>
        <v>-1.499999999999968E-2</v>
      </c>
    </row>
    <row r="2028" spans="1:14">
      <c r="A2028" s="67" t="s">
        <v>3380</v>
      </c>
      <c r="B2028" s="68">
        <v>3.0169008574553802</v>
      </c>
      <c r="C2028" s="69">
        <v>3.8600000000000003</v>
      </c>
      <c r="D2028" s="70">
        <f t="shared" si="217"/>
        <v>2</v>
      </c>
      <c r="E2028" s="70">
        <f t="shared" si="218"/>
        <v>0.2</v>
      </c>
      <c r="F2028" s="70">
        <f t="shared" si="219"/>
        <v>2</v>
      </c>
      <c r="G2028" s="70">
        <f t="shared" si="220"/>
        <v>1.2091568841450679</v>
      </c>
      <c r="H2028" s="70">
        <f t="shared" si="221"/>
        <v>0.4</v>
      </c>
      <c r="I2028" s="70">
        <f t="shared" si="222"/>
        <v>0</v>
      </c>
      <c r="J2028" s="70">
        <f t="shared" si="223"/>
        <v>0</v>
      </c>
      <c r="K2028" s="70">
        <f>IF(CurrentMtgRatesDataTable8[[#This Row],[WA CC]]&lt;&gt;0,C2027-CurrentMtgRatesDataTable8[[#This Row],[WA CC]],0)</f>
        <v>0</v>
      </c>
      <c r="L2028" s="70">
        <f>IF(CurrentMtgRatesDataTable8[[#This Row],[Servicing Spread]]&lt;=0,L2027,CurrentMtgRatesDataTable8[[#This Row],[Servicing Spread]])</f>
        <v>0.758246508886955</v>
      </c>
      <c r="M2028" s="70">
        <f>CurrentMtgRatesDataTable8[[#This Row],[Servicing Spread Non-Zero]]-L2027</f>
        <v>0</v>
      </c>
      <c r="N2028" s="70">
        <f>IF(J2027&lt;&gt;0,CurrentMtgRatesDataTable8[[#This Row],[Rate]]-C2027,N2027)</f>
        <v>-1.499999999999968E-2</v>
      </c>
    </row>
    <row r="2029" spans="1:14">
      <c r="A2029" s="67" t="s">
        <v>3381</v>
      </c>
      <c r="B2029" s="68">
        <v>2.9922052054175601</v>
      </c>
      <c r="C2029" s="69">
        <v>3.8600000000000003</v>
      </c>
      <c r="D2029" s="70">
        <f t="shared" si="217"/>
        <v>6</v>
      </c>
      <c r="E2029" s="70">
        <f t="shared" si="218"/>
        <v>0.2</v>
      </c>
      <c r="F2029" s="70">
        <f t="shared" si="219"/>
        <v>3</v>
      </c>
      <c r="G2029" s="70">
        <f t="shared" si="220"/>
        <v>1.8075979252285799</v>
      </c>
      <c r="H2029" s="70">
        <f t="shared" si="221"/>
        <v>0.60000000000000009</v>
      </c>
      <c r="I2029" s="70">
        <f t="shared" si="222"/>
        <v>0</v>
      </c>
      <c r="J2029" s="70">
        <f t="shared" si="223"/>
        <v>0</v>
      </c>
      <c r="K2029" s="70">
        <f>IF(CurrentMtgRatesDataTable8[[#This Row],[WA CC]]&lt;&gt;0,C2028-CurrentMtgRatesDataTable8[[#This Row],[WA CC]],0)</f>
        <v>0</v>
      </c>
      <c r="L2029" s="70">
        <f>IF(CurrentMtgRatesDataTable8[[#This Row],[Servicing Spread]]&lt;=0,L2028,CurrentMtgRatesDataTable8[[#This Row],[Servicing Spread]])</f>
        <v>0.758246508886955</v>
      </c>
      <c r="M2029" s="70">
        <f>CurrentMtgRatesDataTable8[[#This Row],[Servicing Spread Non-Zero]]-L2028</f>
        <v>0</v>
      </c>
      <c r="N2029" s="70">
        <f>IF(J2028&lt;&gt;0,CurrentMtgRatesDataTable8[[#This Row],[Rate]]-C2028,N2028)</f>
        <v>-1.499999999999968E-2</v>
      </c>
    </row>
    <row r="2030" spans="1:14">
      <c r="A2030" s="67" t="s">
        <v>3382</v>
      </c>
      <c r="B2030" s="68">
        <v>2.99570308668953</v>
      </c>
      <c r="C2030" s="69">
        <v>3.8600000000000003</v>
      </c>
      <c r="D2030" s="70">
        <f t="shared" si="217"/>
        <v>7</v>
      </c>
      <c r="E2030" s="70">
        <f t="shared" si="218"/>
        <v>0.2</v>
      </c>
      <c r="F2030" s="70">
        <f t="shared" si="219"/>
        <v>4</v>
      </c>
      <c r="G2030" s="70">
        <f t="shared" si="220"/>
        <v>2.4067385425664858</v>
      </c>
      <c r="H2030" s="70">
        <f t="shared" si="221"/>
        <v>0.8</v>
      </c>
      <c r="I2030" s="70">
        <f t="shared" si="222"/>
        <v>1</v>
      </c>
      <c r="J2030" s="70">
        <f t="shared" si="223"/>
        <v>3.008423178208107</v>
      </c>
      <c r="K2030" s="70">
        <f>IF(CurrentMtgRatesDataTable8[[#This Row],[WA CC]]&lt;&gt;0,C2029-CurrentMtgRatesDataTable8[[#This Row],[WA CC]],0)</f>
        <v>0.85157682179189331</v>
      </c>
      <c r="L2030" s="70">
        <f>IF(CurrentMtgRatesDataTable8[[#This Row],[Servicing Spread]]&lt;=0,L2029,CurrentMtgRatesDataTable8[[#This Row],[Servicing Spread]])</f>
        <v>0.85157682179189331</v>
      </c>
      <c r="M2030" s="70">
        <f>CurrentMtgRatesDataTable8[[#This Row],[Servicing Spread Non-Zero]]-L2029</f>
        <v>9.3330312904938317E-2</v>
      </c>
      <c r="N2030" s="70">
        <f>IF(J2029&lt;&gt;0,CurrentMtgRatesDataTable8[[#This Row],[Rate]]-C2029,N2029)</f>
        <v>-1.499999999999968E-2</v>
      </c>
    </row>
    <row r="2031" spans="1:14">
      <c r="A2031" s="67" t="s">
        <v>3383</v>
      </c>
      <c r="B2031" s="68">
        <v>2.91011038878244</v>
      </c>
      <c r="C2031" s="69">
        <v>3.8149999999999999</v>
      </c>
      <c r="D2031" s="70">
        <f t="shared" si="217"/>
        <v>1</v>
      </c>
      <c r="E2031" s="70">
        <f t="shared" si="218"/>
        <v>0.2</v>
      </c>
      <c r="F2031" s="70">
        <f t="shared" si="219"/>
        <v>1</v>
      </c>
      <c r="G2031" s="70">
        <f t="shared" si="220"/>
        <v>0.58202207775648807</v>
      </c>
      <c r="H2031" s="70">
        <f t="shared" si="221"/>
        <v>0.2</v>
      </c>
      <c r="I2031" s="70">
        <f t="shared" si="222"/>
        <v>0</v>
      </c>
      <c r="J2031" s="70">
        <f t="shared" si="223"/>
        <v>0</v>
      </c>
      <c r="K2031" s="70">
        <f>IF(CurrentMtgRatesDataTable8[[#This Row],[WA CC]]&lt;&gt;0,C2030-CurrentMtgRatesDataTable8[[#This Row],[WA CC]],0)</f>
        <v>0</v>
      </c>
      <c r="L2031" s="70">
        <f>IF(CurrentMtgRatesDataTable8[[#This Row],[Servicing Spread]]&lt;=0,L2030,CurrentMtgRatesDataTable8[[#This Row],[Servicing Spread]])</f>
        <v>0.85157682179189331</v>
      </c>
      <c r="M2031" s="70">
        <f>CurrentMtgRatesDataTable8[[#This Row],[Servicing Spread Non-Zero]]-L2030</f>
        <v>0</v>
      </c>
      <c r="N2031" s="70">
        <f>IF(J2030&lt;&gt;0,CurrentMtgRatesDataTable8[[#This Row],[Rate]]-C2030,N2030)</f>
        <v>-4.5000000000000373E-2</v>
      </c>
    </row>
    <row r="2032" spans="1:14">
      <c r="A2032" s="67" t="s">
        <v>3384</v>
      </c>
      <c r="B2032" s="68">
        <v>2.85737725851964</v>
      </c>
      <c r="C2032" s="69">
        <v>3.8149999999999999</v>
      </c>
      <c r="D2032" s="70">
        <f t="shared" si="217"/>
        <v>2</v>
      </c>
      <c r="E2032" s="70">
        <f t="shared" si="218"/>
        <v>0.2</v>
      </c>
      <c r="F2032" s="70">
        <f t="shared" si="219"/>
        <v>2</v>
      </c>
      <c r="G2032" s="70">
        <f t="shared" si="220"/>
        <v>1.1534975294604162</v>
      </c>
      <c r="H2032" s="70">
        <f t="shared" si="221"/>
        <v>0.4</v>
      </c>
      <c r="I2032" s="70">
        <f t="shared" si="222"/>
        <v>0</v>
      </c>
      <c r="J2032" s="70">
        <f t="shared" si="223"/>
        <v>0</v>
      </c>
      <c r="K2032" s="70">
        <f>IF(CurrentMtgRatesDataTable8[[#This Row],[WA CC]]&lt;&gt;0,C2031-CurrentMtgRatesDataTable8[[#This Row],[WA CC]],0)</f>
        <v>0</v>
      </c>
      <c r="L2032" s="70">
        <f>IF(CurrentMtgRatesDataTable8[[#This Row],[Servicing Spread]]&lt;=0,L2031,CurrentMtgRatesDataTable8[[#This Row],[Servicing Spread]])</f>
        <v>0.85157682179189331</v>
      </c>
      <c r="M2032" s="70">
        <f>CurrentMtgRatesDataTable8[[#This Row],[Servicing Spread Non-Zero]]-L2031</f>
        <v>0</v>
      </c>
      <c r="N2032" s="70">
        <f>IF(J2031&lt;&gt;0,CurrentMtgRatesDataTable8[[#This Row],[Rate]]-C2031,N2031)</f>
        <v>-4.5000000000000373E-2</v>
      </c>
    </row>
    <row r="2033" spans="1:14">
      <c r="A2033" s="67" t="s">
        <v>3385</v>
      </c>
      <c r="B2033" s="68">
        <v>2.8757178049708001</v>
      </c>
      <c r="C2033" s="69">
        <v>3.8149999999999999</v>
      </c>
      <c r="D2033" s="70">
        <f t="shared" si="217"/>
        <v>5</v>
      </c>
      <c r="E2033" s="70">
        <f t="shared" si="218"/>
        <v>0.2</v>
      </c>
      <c r="F2033" s="70">
        <f t="shared" si="219"/>
        <v>3</v>
      </c>
      <c r="G2033" s="70">
        <f t="shared" si="220"/>
        <v>1.7286410904545764</v>
      </c>
      <c r="H2033" s="70">
        <f t="shared" si="221"/>
        <v>0.60000000000000009</v>
      </c>
      <c r="I2033" s="70">
        <f t="shared" si="222"/>
        <v>0</v>
      </c>
      <c r="J2033" s="70">
        <f t="shared" si="223"/>
        <v>0</v>
      </c>
      <c r="K2033" s="70">
        <f>IF(CurrentMtgRatesDataTable8[[#This Row],[WA CC]]&lt;&gt;0,C2032-CurrentMtgRatesDataTable8[[#This Row],[WA CC]],0)</f>
        <v>0</v>
      </c>
      <c r="L2033" s="70">
        <f>IF(CurrentMtgRatesDataTable8[[#This Row],[Servicing Spread]]&lt;=0,L2032,CurrentMtgRatesDataTable8[[#This Row],[Servicing Spread]])</f>
        <v>0.85157682179189331</v>
      </c>
      <c r="M2033" s="70">
        <f>CurrentMtgRatesDataTable8[[#This Row],[Servicing Spread Non-Zero]]-L2032</f>
        <v>0</v>
      </c>
      <c r="N2033" s="70">
        <f>IF(J2032&lt;&gt;0,CurrentMtgRatesDataTable8[[#This Row],[Rate]]-C2032,N2032)</f>
        <v>-4.5000000000000373E-2</v>
      </c>
    </row>
    <row r="2034" spans="1:14">
      <c r="A2034" s="67" t="s">
        <v>3386</v>
      </c>
      <c r="B2034" s="68">
        <v>2.9177878153619399</v>
      </c>
      <c r="C2034" s="69">
        <v>3.8149999999999999</v>
      </c>
      <c r="D2034" s="70">
        <f t="shared" si="217"/>
        <v>6</v>
      </c>
      <c r="E2034" s="70">
        <f t="shared" si="218"/>
        <v>0.2</v>
      </c>
      <c r="F2034" s="70">
        <f t="shared" si="219"/>
        <v>4</v>
      </c>
      <c r="G2034" s="70">
        <f t="shared" si="220"/>
        <v>2.3121986535269645</v>
      </c>
      <c r="H2034" s="70">
        <f t="shared" si="221"/>
        <v>0.8</v>
      </c>
      <c r="I2034" s="70">
        <f t="shared" si="222"/>
        <v>0</v>
      </c>
      <c r="J2034" s="70">
        <f t="shared" si="223"/>
        <v>0</v>
      </c>
      <c r="K2034" s="70">
        <f>IF(CurrentMtgRatesDataTable8[[#This Row],[WA CC]]&lt;&gt;0,C2033-CurrentMtgRatesDataTable8[[#This Row],[WA CC]],0)</f>
        <v>0</v>
      </c>
      <c r="L2034" s="70">
        <f>IF(CurrentMtgRatesDataTable8[[#This Row],[Servicing Spread]]&lt;=0,L2033,CurrentMtgRatesDataTable8[[#This Row],[Servicing Spread]])</f>
        <v>0.85157682179189331</v>
      </c>
      <c r="M2034" s="70">
        <f>CurrentMtgRatesDataTable8[[#This Row],[Servicing Spread Non-Zero]]-L2033</f>
        <v>0</v>
      </c>
      <c r="N2034" s="70">
        <f>IF(J2033&lt;&gt;0,CurrentMtgRatesDataTable8[[#This Row],[Rate]]-C2033,N2033)</f>
        <v>-4.5000000000000373E-2</v>
      </c>
    </row>
    <row r="2035" spans="1:14">
      <c r="A2035" s="67" t="s">
        <v>3387</v>
      </c>
      <c r="B2035" s="68">
        <v>2.8837720214222302</v>
      </c>
      <c r="C2035" s="69">
        <v>3.8149999999999999</v>
      </c>
      <c r="D2035" s="70">
        <f t="shared" si="217"/>
        <v>7</v>
      </c>
      <c r="E2035" s="70">
        <f t="shared" si="218"/>
        <v>0.2</v>
      </c>
      <c r="F2035" s="70">
        <f t="shared" si="219"/>
        <v>5</v>
      </c>
      <c r="G2035" s="70">
        <f t="shared" si="220"/>
        <v>2.8889530578114107</v>
      </c>
      <c r="H2035" s="70">
        <f t="shared" si="221"/>
        <v>1</v>
      </c>
      <c r="I2035" s="70">
        <f t="shared" si="222"/>
        <v>1</v>
      </c>
      <c r="J2035" s="70">
        <f t="shared" si="223"/>
        <v>2.8889530578114107</v>
      </c>
      <c r="K2035" s="70">
        <f>IF(CurrentMtgRatesDataTable8[[#This Row],[WA CC]]&lt;&gt;0,C2034-CurrentMtgRatesDataTable8[[#This Row],[WA CC]],0)</f>
        <v>0.92604694218858929</v>
      </c>
      <c r="L2035" s="70">
        <f>IF(CurrentMtgRatesDataTable8[[#This Row],[Servicing Spread]]&lt;=0,L2034,CurrentMtgRatesDataTable8[[#This Row],[Servicing Spread]])</f>
        <v>0.92604694218858929</v>
      </c>
      <c r="M2035" s="70">
        <f>CurrentMtgRatesDataTable8[[#This Row],[Servicing Spread Non-Zero]]-L2034</f>
        <v>7.4470120396695982E-2</v>
      </c>
      <c r="N2035" s="70">
        <f>IF(J2034&lt;&gt;0,CurrentMtgRatesDataTable8[[#This Row],[Rate]]-C2034,N2034)</f>
        <v>-4.5000000000000373E-2</v>
      </c>
    </row>
    <row r="2036" spans="1:14">
      <c r="A2036" s="67" t="s">
        <v>3388</v>
      </c>
      <c r="B2036" s="68">
        <v>2.8523399167499401</v>
      </c>
      <c r="C2036" s="69">
        <v>3.83</v>
      </c>
      <c r="D2036" s="70">
        <f t="shared" si="217"/>
        <v>1</v>
      </c>
      <c r="E2036" s="70">
        <f t="shared" si="218"/>
        <v>0.2</v>
      </c>
      <c r="F2036" s="70">
        <f t="shared" si="219"/>
        <v>1</v>
      </c>
      <c r="G2036" s="70">
        <f t="shared" si="220"/>
        <v>0.57046798334998805</v>
      </c>
      <c r="H2036" s="70">
        <f t="shared" si="221"/>
        <v>0.2</v>
      </c>
      <c r="I2036" s="70">
        <f t="shared" si="222"/>
        <v>0</v>
      </c>
      <c r="J2036" s="70">
        <f t="shared" si="223"/>
        <v>0</v>
      </c>
      <c r="K2036" s="70">
        <f>IF(CurrentMtgRatesDataTable8[[#This Row],[WA CC]]&lt;&gt;0,C2035-CurrentMtgRatesDataTable8[[#This Row],[WA CC]],0)</f>
        <v>0</v>
      </c>
      <c r="L2036" s="70">
        <f>IF(CurrentMtgRatesDataTable8[[#This Row],[Servicing Spread]]&lt;=0,L2035,CurrentMtgRatesDataTable8[[#This Row],[Servicing Spread]])</f>
        <v>0.92604694218858929</v>
      </c>
      <c r="M2036" s="70">
        <f>CurrentMtgRatesDataTable8[[#This Row],[Servicing Spread Non-Zero]]-L2035</f>
        <v>0</v>
      </c>
      <c r="N2036" s="70">
        <f>IF(J2035&lt;&gt;0,CurrentMtgRatesDataTable8[[#This Row],[Rate]]-C2035,N2035)</f>
        <v>1.5000000000000124E-2</v>
      </c>
    </row>
    <row r="2037" spans="1:14">
      <c r="A2037" s="67" t="s">
        <v>3389</v>
      </c>
      <c r="B2037" s="68">
        <v>2.81630541701854</v>
      </c>
      <c r="C2037" s="69">
        <v>3.83</v>
      </c>
      <c r="D2037" s="70">
        <f t="shared" si="217"/>
        <v>2</v>
      </c>
      <c r="E2037" s="70">
        <f t="shared" si="218"/>
        <v>0.2</v>
      </c>
      <c r="F2037" s="70">
        <f t="shared" si="219"/>
        <v>2</v>
      </c>
      <c r="G2037" s="70">
        <f t="shared" si="220"/>
        <v>1.1337290667536961</v>
      </c>
      <c r="H2037" s="70">
        <f t="shared" si="221"/>
        <v>0.4</v>
      </c>
      <c r="I2037" s="70">
        <f t="shared" si="222"/>
        <v>0</v>
      </c>
      <c r="J2037" s="70">
        <f t="shared" si="223"/>
        <v>0</v>
      </c>
      <c r="K2037" s="70">
        <f>IF(CurrentMtgRatesDataTable8[[#This Row],[WA CC]]&lt;&gt;0,C2036-CurrentMtgRatesDataTable8[[#This Row],[WA CC]],0)</f>
        <v>0</v>
      </c>
      <c r="L2037" s="70">
        <f>IF(CurrentMtgRatesDataTable8[[#This Row],[Servicing Spread]]&lt;=0,L2036,CurrentMtgRatesDataTable8[[#This Row],[Servicing Spread]])</f>
        <v>0.92604694218858929</v>
      </c>
      <c r="M2037" s="70">
        <f>CurrentMtgRatesDataTable8[[#This Row],[Servicing Spread Non-Zero]]-L2036</f>
        <v>0</v>
      </c>
      <c r="N2037" s="70">
        <f>IF(J2036&lt;&gt;0,CurrentMtgRatesDataTable8[[#This Row],[Rate]]-C2036,N2036)</f>
        <v>1.5000000000000124E-2</v>
      </c>
    </row>
    <row r="2038" spans="1:14">
      <c r="A2038" s="67" t="s">
        <v>3390</v>
      </c>
      <c r="B2038" s="68">
        <v>2.86264141643864</v>
      </c>
      <c r="C2038" s="69">
        <v>3.83</v>
      </c>
      <c r="D2038" s="70">
        <f t="shared" si="217"/>
        <v>6</v>
      </c>
      <c r="E2038" s="70">
        <f t="shared" si="218"/>
        <v>0.2</v>
      </c>
      <c r="F2038" s="70">
        <f t="shared" si="219"/>
        <v>3</v>
      </c>
      <c r="G2038" s="70">
        <f t="shared" si="220"/>
        <v>1.7062573500414242</v>
      </c>
      <c r="H2038" s="70">
        <f t="shared" si="221"/>
        <v>0.60000000000000009</v>
      </c>
      <c r="I2038" s="70">
        <f t="shared" si="222"/>
        <v>0</v>
      </c>
      <c r="J2038" s="70">
        <f t="shared" si="223"/>
        <v>0</v>
      </c>
      <c r="K2038" s="70">
        <f>IF(CurrentMtgRatesDataTable8[[#This Row],[WA CC]]&lt;&gt;0,C2037-CurrentMtgRatesDataTable8[[#This Row],[WA CC]],0)</f>
        <v>0</v>
      </c>
      <c r="L2038" s="70">
        <f>IF(CurrentMtgRatesDataTable8[[#This Row],[Servicing Spread]]&lt;=0,L2037,CurrentMtgRatesDataTable8[[#This Row],[Servicing Spread]])</f>
        <v>0.92604694218858929</v>
      </c>
      <c r="M2038" s="70">
        <f>CurrentMtgRatesDataTable8[[#This Row],[Servicing Spread Non-Zero]]-L2037</f>
        <v>0</v>
      </c>
      <c r="N2038" s="70">
        <f>IF(J2037&lt;&gt;0,CurrentMtgRatesDataTable8[[#This Row],[Rate]]-C2037,N2037)</f>
        <v>1.5000000000000124E-2</v>
      </c>
    </row>
    <row r="2039" spans="1:14">
      <c r="A2039" s="67" t="s">
        <v>3391</v>
      </c>
      <c r="B2039" s="68">
        <v>2.9029521947901298</v>
      </c>
      <c r="C2039" s="69">
        <v>3.83</v>
      </c>
      <c r="D2039" s="70">
        <f t="shared" si="217"/>
        <v>7</v>
      </c>
      <c r="E2039" s="70">
        <f t="shared" si="218"/>
        <v>0.2</v>
      </c>
      <c r="F2039" s="70">
        <f t="shared" si="219"/>
        <v>4</v>
      </c>
      <c r="G2039" s="70">
        <f t="shared" si="220"/>
        <v>2.2868477889994501</v>
      </c>
      <c r="H2039" s="70">
        <f t="shared" si="221"/>
        <v>0.8</v>
      </c>
      <c r="I2039" s="70">
        <f t="shared" si="222"/>
        <v>1</v>
      </c>
      <c r="J2039" s="70">
        <f t="shared" si="223"/>
        <v>2.8585597362493123</v>
      </c>
      <c r="K2039" s="70">
        <f>IF(CurrentMtgRatesDataTable8[[#This Row],[WA CC]]&lt;&gt;0,C2038-CurrentMtgRatesDataTable8[[#This Row],[WA CC]],0)</f>
        <v>0.97144026375068782</v>
      </c>
      <c r="L2039" s="70">
        <f>IF(CurrentMtgRatesDataTable8[[#This Row],[Servicing Spread]]&lt;=0,L2038,CurrentMtgRatesDataTable8[[#This Row],[Servicing Spread]])</f>
        <v>0.97144026375068782</v>
      </c>
      <c r="M2039" s="70">
        <f>CurrentMtgRatesDataTable8[[#This Row],[Servicing Spread Non-Zero]]-L2038</f>
        <v>4.5393321562098521E-2</v>
      </c>
      <c r="N2039" s="70">
        <f>IF(J2038&lt;&gt;0,CurrentMtgRatesDataTable8[[#This Row],[Rate]]-C2038,N2038)</f>
        <v>1.5000000000000124E-2</v>
      </c>
    </row>
    <row r="2040" spans="1:14">
      <c r="A2040" s="67" t="s">
        <v>3392</v>
      </c>
      <c r="B2040" s="68">
        <v>2.96476682464895</v>
      </c>
      <c r="C2040" s="69">
        <v>3.9049999999999998</v>
      </c>
      <c r="D2040" s="70">
        <f t="shared" si="217"/>
        <v>1</v>
      </c>
      <c r="E2040" s="70">
        <f t="shared" si="218"/>
        <v>0.2</v>
      </c>
      <c r="F2040" s="70">
        <f t="shared" si="219"/>
        <v>1</v>
      </c>
      <c r="G2040" s="70">
        <f t="shared" si="220"/>
        <v>0.59295336492979001</v>
      </c>
      <c r="H2040" s="70">
        <f t="shared" si="221"/>
        <v>0.2</v>
      </c>
      <c r="I2040" s="70">
        <f t="shared" si="222"/>
        <v>0</v>
      </c>
      <c r="J2040" s="70">
        <f t="shared" si="223"/>
        <v>0</v>
      </c>
      <c r="K2040" s="70">
        <f>IF(CurrentMtgRatesDataTable8[[#This Row],[WA CC]]&lt;&gt;0,C2039-CurrentMtgRatesDataTable8[[#This Row],[WA CC]],0)</f>
        <v>0</v>
      </c>
      <c r="L2040" s="70">
        <f>IF(CurrentMtgRatesDataTable8[[#This Row],[Servicing Spread]]&lt;=0,L2039,CurrentMtgRatesDataTable8[[#This Row],[Servicing Spread]])</f>
        <v>0.97144026375068782</v>
      </c>
      <c r="M2040" s="70">
        <f>CurrentMtgRatesDataTable8[[#This Row],[Servicing Spread Non-Zero]]-L2039</f>
        <v>0</v>
      </c>
      <c r="N2040" s="70">
        <f>IF(J2039&lt;&gt;0,CurrentMtgRatesDataTable8[[#This Row],[Rate]]-C2039,N2039)</f>
        <v>7.4999999999999734E-2</v>
      </c>
    </row>
    <row r="2041" spans="1:14">
      <c r="A2041" s="67" t="s">
        <v>3393</v>
      </c>
      <c r="B2041" s="68">
        <v>2.9761108761892499</v>
      </c>
      <c r="C2041" s="69">
        <v>3.9049999999999998</v>
      </c>
      <c r="D2041" s="70">
        <f t="shared" si="217"/>
        <v>2</v>
      </c>
      <c r="E2041" s="70">
        <f t="shared" si="218"/>
        <v>0.2</v>
      </c>
      <c r="F2041" s="70">
        <f t="shared" si="219"/>
        <v>2</v>
      </c>
      <c r="G2041" s="70">
        <f t="shared" si="220"/>
        <v>1.1881755401676402</v>
      </c>
      <c r="H2041" s="70">
        <f t="shared" si="221"/>
        <v>0.4</v>
      </c>
      <c r="I2041" s="70">
        <f t="shared" si="222"/>
        <v>0</v>
      </c>
      <c r="J2041" s="70">
        <f t="shared" si="223"/>
        <v>0</v>
      </c>
      <c r="K2041" s="70">
        <f>IF(CurrentMtgRatesDataTable8[[#This Row],[WA CC]]&lt;&gt;0,C2040-CurrentMtgRatesDataTable8[[#This Row],[WA CC]],0)</f>
        <v>0</v>
      </c>
      <c r="L2041" s="70">
        <f>IF(CurrentMtgRatesDataTable8[[#This Row],[Servicing Spread]]&lt;=0,L2040,CurrentMtgRatesDataTable8[[#This Row],[Servicing Spread]])</f>
        <v>0.97144026375068782</v>
      </c>
      <c r="M2041" s="70">
        <f>CurrentMtgRatesDataTable8[[#This Row],[Servicing Spread Non-Zero]]-L2040</f>
        <v>0</v>
      </c>
      <c r="N2041" s="70">
        <f>IF(J2040&lt;&gt;0,CurrentMtgRatesDataTable8[[#This Row],[Rate]]-C2040,N2040)</f>
        <v>7.4999999999999734E-2</v>
      </c>
    </row>
    <row r="2042" spans="1:14">
      <c r="A2042" s="67" t="s">
        <v>3394</v>
      </c>
      <c r="B2042" s="68">
        <v>2.9725641421192601</v>
      </c>
      <c r="C2042" s="69">
        <v>3.9049999999999998</v>
      </c>
      <c r="D2042" s="70">
        <f t="shared" si="217"/>
        <v>5</v>
      </c>
      <c r="E2042" s="70">
        <f t="shared" si="218"/>
        <v>0.2</v>
      </c>
      <c r="F2042" s="70">
        <f t="shared" si="219"/>
        <v>3</v>
      </c>
      <c r="G2042" s="70">
        <f t="shared" si="220"/>
        <v>1.7826883685914923</v>
      </c>
      <c r="H2042" s="70">
        <f t="shared" si="221"/>
        <v>0.60000000000000009</v>
      </c>
      <c r="I2042" s="70">
        <f t="shared" si="222"/>
        <v>0</v>
      </c>
      <c r="J2042" s="70">
        <f t="shared" si="223"/>
        <v>0</v>
      </c>
      <c r="K2042" s="70">
        <f>IF(CurrentMtgRatesDataTable8[[#This Row],[WA CC]]&lt;&gt;0,C2041-CurrentMtgRatesDataTable8[[#This Row],[WA CC]],0)</f>
        <v>0</v>
      </c>
      <c r="L2042" s="70">
        <f>IF(CurrentMtgRatesDataTable8[[#This Row],[Servicing Spread]]&lt;=0,L2041,CurrentMtgRatesDataTable8[[#This Row],[Servicing Spread]])</f>
        <v>0.97144026375068782</v>
      </c>
      <c r="M2042" s="70">
        <f>CurrentMtgRatesDataTable8[[#This Row],[Servicing Spread Non-Zero]]-L2041</f>
        <v>0</v>
      </c>
      <c r="N2042" s="70">
        <f>IF(J2041&lt;&gt;0,CurrentMtgRatesDataTable8[[#This Row],[Rate]]-C2041,N2041)</f>
        <v>7.4999999999999734E-2</v>
      </c>
    </row>
    <row r="2043" spans="1:14">
      <c r="A2043" s="67" t="s">
        <v>3395</v>
      </c>
      <c r="B2043" s="68">
        <v>2.95988088830397</v>
      </c>
      <c r="C2043" s="69">
        <v>3.9049999999999998</v>
      </c>
      <c r="D2043" s="70">
        <f t="shared" si="217"/>
        <v>6</v>
      </c>
      <c r="E2043" s="70">
        <f t="shared" si="218"/>
        <v>0.2</v>
      </c>
      <c r="F2043" s="70">
        <f t="shared" si="219"/>
        <v>4</v>
      </c>
      <c r="G2043" s="70">
        <f t="shared" si="220"/>
        <v>2.3746645462522862</v>
      </c>
      <c r="H2043" s="70">
        <f t="shared" si="221"/>
        <v>0.8</v>
      </c>
      <c r="I2043" s="70">
        <f t="shared" si="222"/>
        <v>0</v>
      </c>
      <c r="J2043" s="70">
        <f t="shared" si="223"/>
        <v>0</v>
      </c>
      <c r="K2043" s="70">
        <f>IF(CurrentMtgRatesDataTable8[[#This Row],[WA CC]]&lt;&gt;0,C2042-CurrentMtgRatesDataTable8[[#This Row],[WA CC]],0)</f>
        <v>0</v>
      </c>
      <c r="L2043" s="70">
        <f>IF(CurrentMtgRatesDataTable8[[#This Row],[Servicing Spread]]&lt;=0,L2042,CurrentMtgRatesDataTable8[[#This Row],[Servicing Spread]])</f>
        <v>0.97144026375068782</v>
      </c>
      <c r="M2043" s="70">
        <f>CurrentMtgRatesDataTable8[[#This Row],[Servicing Spread Non-Zero]]-L2042</f>
        <v>0</v>
      </c>
      <c r="N2043" s="70">
        <f>IF(J2042&lt;&gt;0,CurrentMtgRatesDataTable8[[#This Row],[Rate]]-C2042,N2042)</f>
        <v>7.4999999999999734E-2</v>
      </c>
    </row>
    <row r="2044" spans="1:14">
      <c r="A2044" s="67" t="s">
        <v>3396</v>
      </c>
      <c r="B2044" s="68">
        <v>2.9051562775956401</v>
      </c>
      <c r="C2044" s="69">
        <v>3.9049999999999998</v>
      </c>
      <c r="D2044" s="70">
        <f t="shared" si="217"/>
        <v>7</v>
      </c>
      <c r="E2044" s="70">
        <f t="shared" si="218"/>
        <v>0.2</v>
      </c>
      <c r="F2044" s="70">
        <f t="shared" si="219"/>
        <v>5</v>
      </c>
      <c r="G2044" s="70">
        <f t="shared" si="220"/>
        <v>2.9556958017714141</v>
      </c>
      <c r="H2044" s="70">
        <f t="shared" si="221"/>
        <v>1</v>
      </c>
      <c r="I2044" s="70">
        <f t="shared" si="222"/>
        <v>1</v>
      </c>
      <c r="J2044" s="70">
        <f t="shared" si="223"/>
        <v>2.9556958017714141</v>
      </c>
      <c r="K2044" s="70">
        <f>IF(CurrentMtgRatesDataTable8[[#This Row],[WA CC]]&lt;&gt;0,C2043-CurrentMtgRatesDataTable8[[#This Row],[WA CC]],0)</f>
        <v>0.94930419822858569</v>
      </c>
      <c r="L2044" s="70">
        <f>IF(CurrentMtgRatesDataTable8[[#This Row],[Servicing Spread]]&lt;=0,L2043,CurrentMtgRatesDataTable8[[#This Row],[Servicing Spread]])</f>
        <v>0.94930419822858569</v>
      </c>
      <c r="M2044" s="70">
        <f>CurrentMtgRatesDataTable8[[#This Row],[Servicing Spread Non-Zero]]-L2043</f>
        <v>-2.2136065522102122E-2</v>
      </c>
      <c r="N2044" s="70">
        <f>IF(J2043&lt;&gt;0,CurrentMtgRatesDataTable8[[#This Row],[Rate]]-C2043,N2043)</f>
        <v>7.4999999999999734E-2</v>
      </c>
    </row>
    <row r="2045" spans="1:14">
      <c r="A2045" s="67" t="s">
        <v>3397</v>
      </c>
      <c r="B2045" s="68">
        <v>2.8435838400443298</v>
      </c>
      <c r="C2045" s="69">
        <v>3.8200000000000003</v>
      </c>
      <c r="D2045" s="70">
        <f t="shared" si="217"/>
        <v>1</v>
      </c>
      <c r="E2045" s="70">
        <f t="shared" si="218"/>
        <v>0.2</v>
      </c>
      <c r="F2045" s="70">
        <f t="shared" si="219"/>
        <v>1</v>
      </c>
      <c r="G2045" s="70">
        <f t="shared" si="220"/>
        <v>0.56871676800886595</v>
      </c>
      <c r="H2045" s="70">
        <f t="shared" si="221"/>
        <v>0.2</v>
      </c>
      <c r="I2045" s="70">
        <f t="shared" si="222"/>
        <v>0</v>
      </c>
      <c r="J2045" s="70">
        <f t="shared" si="223"/>
        <v>0</v>
      </c>
      <c r="K2045" s="70">
        <f>IF(CurrentMtgRatesDataTable8[[#This Row],[WA CC]]&lt;&gt;0,C2044-CurrentMtgRatesDataTable8[[#This Row],[WA CC]],0)</f>
        <v>0</v>
      </c>
      <c r="L2045" s="70">
        <f>IF(CurrentMtgRatesDataTable8[[#This Row],[Servicing Spread]]&lt;=0,L2044,CurrentMtgRatesDataTable8[[#This Row],[Servicing Spread]])</f>
        <v>0.94930419822858569</v>
      </c>
      <c r="M2045" s="70">
        <f>CurrentMtgRatesDataTable8[[#This Row],[Servicing Spread Non-Zero]]-L2044</f>
        <v>0</v>
      </c>
      <c r="N2045" s="70">
        <f>IF(J2044&lt;&gt;0,CurrentMtgRatesDataTable8[[#This Row],[Rate]]-C2044,N2044)</f>
        <v>-8.499999999999952E-2</v>
      </c>
    </row>
    <row r="2046" spans="1:14">
      <c r="A2046" s="67" t="s">
        <v>3398</v>
      </c>
      <c r="B2046" s="68">
        <v>2.8082441725420599</v>
      </c>
      <c r="C2046" s="69">
        <v>3.8200000000000003</v>
      </c>
      <c r="D2046" s="70">
        <f t="shared" si="217"/>
        <v>2</v>
      </c>
      <c r="E2046" s="70">
        <f t="shared" si="218"/>
        <v>0.2</v>
      </c>
      <c r="F2046" s="70">
        <f t="shared" si="219"/>
        <v>2</v>
      </c>
      <c r="G2046" s="70">
        <f t="shared" si="220"/>
        <v>1.1303656025172779</v>
      </c>
      <c r="H2046" s="70">
        <f t="shared" si="221"/>
        <v>0.4</v>
      </c>
      <c r="I2046" s="70">
        <f t="shared" si="222"/>
        <v>0</v>
      </c>
      <c r="J2046" s="70">
        <f t="shared" si="223"/>
        <v>0</v>
      </c>
      <c r="K2046" s="70">
        <f>IF(CurrentMtgRatesDataTable8[[#This Row],[WA CC]]&lt;&gt;0,C2045-CurrentMtgRatesDataTable8[[#This Row],[WA CC]],0)</f>
        <v>0</v>
      </c>
      <c r="L2046" s="70">
        <f>IF(CurrentMtgRatesDataTable8[[#This Row],[Servicing Spread]]&lt;=0,L2045,CurrentMtgRatesDataTable8[[#This Row],[Servicing Spread]])</f>
        <v>0.94930419822858569</v>
      </c>
      <c r="M2046" s="70">
        <f>CurrentMtgRatesDataTable8[[#This Row],[Servicing Spread Non-Zero]]-L2045</f>
        <v>0</v>
      </c>
      <c r="N2046" s="70">
        <f>IF(J2045&lt;&gt;0,CurrentMtgRatesDataTable8[[#This Row],[Rate]]-C2045,N2045)</f>
        <v>-8.499999999999952E-2</v>
      </c>
    </row>
    <row r="2047" spans="1:14">
      <c r="A2047" s="67" t="s">
        <v>3399</v>
      </c>
      <c r="B2047" s="68">
        <v>2.8089477142816799</v>
      </c>
      <c r="C2047" s="69">
        <v>3.8200000000000003</v>
      </c>
      <c r="D2047" s="70">
        <f t="shared" si="217"/>
        <v>5</v>
      </c>
      <c r="E2047" s="70">
        <f t="shared" si="218"/>
        <v>0.2</v>
      </c>
      <c r="F2047" s="70">
        <f t="shared" si="219"/>
        <v>3</v>
      </c>
      <c r="G2047" s="70">
        <f t="shared" si="220"/>
        <v>1.6921551453736139</v>
      </c>
      <c r="H2047" s="70">
        <f t="shared" si="221"/>
        <v>0.60000000000000009</v>
      </c>
      <c r="I2047" s="70">
        <f t="shared" si="222"/>
        <v>0</v>
      </c>
      <c r="J2047" s="70">
        <f t="shared" si="223"/>
        <v>0</v>
      </c>
      <c r="K2047" s="70">
        <f>IF(CurrentMtgRatesDataTable8[[#This Row],[WA CC]]&lt;&gt;0,C2046-CurrentMtgRatesDataTable8[[#This Row],[WA CC]],0)</f>
        <v>0</v>
      </c>
      <c r="L2047" s="70">
        <f>IF(CurrentMtgRatesDataTable8[[#This Row],[Servicing Spread]]&lt;=0,L2046,CurrentMtgRatesDataTable8[[#This Row],[Servicing Spread]])</f>
        <v>0.94930419822858569</v>
      </c>
      <c r="M2047" s="70">
        <f>CurrentMtgRatesDataTable8[[#This Row],[Servicing Spread Non-Zero]]-L2046</f>
        <v>0</v>
      </c>
      <c r="N2047" s="70">
        <f>IF(J2046&lt;&gt;0,CurrentMtgRatesDataTable8[[#This Row],[Rate]]-C2046,N2046)</f>
        <v>-8.499999999999952E-2</v>
      </c>
    </row>
    <row r="2048" spans="1:14">
      <c r="A2048" s="67" t="s">
        <v>3400</v>
      </c>
      <c r="B2048" s="68">
        <v>2.7762952709571298</v>
      </c>
      <c r="C2048" s="69">
        <v>3.8200000000000003</v>
      </c>
      <c r="D2048" s="70">
        <f t="shared" si="217"/>
        <v>6</v>
      </c>
      <c r="E2048" s="70">
        <f t="shared" si="218"/>
        <v>0.2</v>
      </c>
      <c r="F2048" s="70">
        <f t="shared" si="219"/>
        <v>4</v>
      </c>
      <c r="G2048" s="70">
        <f t="shared" si="220"/>
        <v>2.2474141995650401</v>
      </c>
      <c r="H2048" s="70">
        <f t="shared" si="221"/>
        <v>0.8</v>
      </c>
      <c r="I2048" s="70">
        <f t="shared" si="222"/>
        <v>0</v>
      </c>
      <c r="J2048" s="70">
        <f t="shared" si="223"/>
        <v>0</v>
      </c>
      <c r="K2048" s="70">
        <f>IF(CurrentMtgRatesDataTable8[[#This Row],[WA CC]]&lt;&gt;0,C2047-CurrentMtgRatesDataTable8[[#This Row],[WA CC]],0)</f>
        <v>0</v>
      </c>
      <c r="L2048" s="70">
        <f>IF(CurrentMtgRatesDataTable8[[#This Row],[Servicing Spread]]&lt;=0,L2047,CurrentMtgRatesDataTable8[[#This Row],[Servicing Spread]])</f>
        <v>0.94930419822858569</v>
      </c>
      <c r="M2048" s="70">
        <f>CurrentMtgRatesDataTable8[[#This Row],[Servicing Spread Non-Zero]]-L2047</f>
        <v>0</v>
      </c>
      <c r="N2048" s="70">
        <f>IF(J2047&lt;&gt;0,CurrentMtgRatesDataTable8[[#This Row],[Rate]]-C2047,N2047)</f>
        <v>-8.499999999999952E-2</v>
      </c>
    </row>
    <row r="2049" spans="1:14">
      <c r="A2049" s="67" t="s">
        <v>3401</v>
      </c>
      <c r="B2049" s="68">
        <v>2.77294304324607</v>
      </c>
      <c r="C2049" s="69">
        <v>3.8200000000000003</v>
      </c>
      <c r="D2049" s="70">
        <f t="shared" si="217"/>
        <v>7</v>
      </c>
      <c r="E2049" s="70">
        <f t="shared" si="218"/>
        <v>0.2</v>
      </c>
      <c r="F2049" s="70">
        <f t="shared" si="219"/>
        <v>5</v>
      </c>
      <c r="G2049" s="70">
        <f t="shared" si="220"/>
        <v>2.8020028082142541</v>
      </c>
      <c r="H2049" s="70">
        <f t="shared" si="221"/>
        <v>1</v>
      </c>
      <c r="I2049" s="70">
        <f t="shared" si="222"/>
        <v>1</v>
      </c>
      <c r="J2049" s="70">
        <f t="shared" si="223"/>
        <v>2.8020028082142541</v>
      </c>
      <c r="K2049" s="70">
        <f>IF(CurrentMtgRatesDataTable8[[#This Row],[WA CC]]&lt;&gt;0,C2048-CurrentMtgRatesDataTable8[[#This Row],[WA CC]],0)</f>
        <v>1.0179971917857462</v>
      </c>
      <c r="L2049" s="70">
        <f>IF(CurrentMtgRatesDataTable8[[#This Row],[Servicing Spread]]&lt;=0,L2048,CurrentMtgRatesDataTable8[[#This Row],[Servicing Spread]])</f>
        <v>1.0179971917857462</v>
      </c>
      <c r="M2049" s="70">
        <f>CurrentMtgRatesDataTable8[[#This Row],[Servicing Spread Non-Zero]]-L2048</f>
        <v>6.869299355716052E-2</v>
      </c>
      <c r="N2049" s="70">
        <f>IF(J2048&lt;&gt;0,CurrentMtgRatesDataTable8[[#This Row],[Rate]]-C2048,N2048)</f>
        <v>-8.499999999999952E-2</v>
      </c>
    </row>
    <row r="2050" spans="1:14">
      <c r="A2050" s="67" t="s">
        <v>3402</v>
      </c>
      <c r="B2050" s="68">
        <v>2.7164025154935398</v>
      </c>
      <c r="C2050" s="69">
        <v>3.8200000000000003</v>
      </c>
      <c r="D2050" s="70">
        <f t="shared" si="217"/>
        <v>1</v>
      </c>
      <c r="E2050" s="70">
        <f t="shared" si="218"/>
        <v>0.2</v>
      </c>
      <c r="F2050" s="70">
        <f t="shared" si="219"/>
        <v>1</v>
      </c>
      <c r="G2050" s="70">
        <f t="shared" si="220"/>
        <v>0.54328050309870801</v>
      </c>
      <c r="H2050" s="70">
        <f t="shared" si="221"/>
        <v>0.2</v>
      </c>
      <c r="I2050" s="70">
        <f t="shared" si="222"/>
        <v>0</v>
      </c>
      <c r="J2050" s="70">
        <f t="shared" si="223"/>
        <v>0</v>
      </c>
      <c r="K2050" s="70">
        <f>IF(CurrentMtgRatesDataTable8[[#This Row],[WA CC]]&lt;&gt;0,C2049-CurrentMtgRatesDataTable8[[#This Row],[WA CC]],0)</f>
        <v>0</v>
      </c>
      <c r="L2050" s="70">
        <f>IF(CurrentMtgRatesDataTable8[[#This Row],[Servicing Spread]]&lt;=0,L2049,CurrentMtgRatesDataTable8[[#This Row],[Servicing Spread]])</f>
        <v>1.0179971917857462</v>
      </c>
      <c r="M2050" s="70">
        <f>CurrentMtgRatesDataTable8[[#This Row],[Servicing Spread Non-Zero]]-L2049</f>
        <v>0</v>
      </c>
      <c r="N2050" s="70">
        <f>IF(J2049&lt;&gt;0,CurrentMtgRatesDataTable8[[#This Row],[Rate]]-C2049,N2049)</f>
        <v>0</v>
      </c>
    </row>
    <row r="2051" spans="1:14">
      <c r="A2051" s="67" t="s">
        <v>3403</v>
      </c>
      <c r="B2051" s="68">
        <v>2.8101423093636502</v>
      </c>
      <c r="C2051" s="69">
        <v>3.8200000000000003</v>
      </c>
      <c r="D2051" s="70">
        <f t="shared" si="217"/>
        <v>2</v>
      </c>
      <c r="E2051" s="70">
        <f t="shared" si="218"/>
        <v>0.2</v>
      </c>
      <c r="F2051" s="70">
        <f t="shared" si="219"/>
        <v>2</v>
      </c>
      <c r="G2051" s="70">
        <f t="shared" si="220"/>
        <v>1.105308964971438</v>
      </c>
      <c r="H2051" s="70">
        <f t="shared" si="221"/>
        <v>0.4</v>
      </c>
      <c r="I2051" s="70">
        <f t="shared" si="222"/>
        <v>0</v>
      </c>
      <c r="J2051" s="70">
        <f t="shared" si="223"/>
        <v>0</v>
      </c>
      <c r="K2051" s="70">
        <f>IF(CurrentMtgRatesDataTable8[[#This Row],[WA CC]]&lt;&gt;0,C2050-CurrentMtgRatesDataTable8[[#This Row],[WA CC]],0)</f>
        <v>0</v>
      </c>
      <c r="L2051" s="70">
        <f>IF(CurrentMtgRatesDataTable8[[#This Row],[Servicing Spread]]&lt;=0,L2050,CurrentMtgRatesDataTable8[[#This Row],[Servicing Spread]])</f>
        <v>1.0179971917857462</v>
      </c>
      <c r="M2051" s="70">
        <f>CurrentMtgRatesDataTable8[[#This Row],[Servicing Spread Non-Zero]]-L2050</f>
        <v>0</v>
      </c>
      <c r="N2051" s="70">
        <f>IF(J2050&lt;&gt;0,CurrentMtgRatesDataTable8[[#This Row],[Rate]]-C2050,N2050)</f>
        <v>0</v>
      </c>
    </row>
    <row r="2052" spans="1:14">
      <c r="A2052" s="67" t="s">
        <v>3404</v>
      </c>
      <c r="B2052" s="68">
        <v>2.7613284335862098</v>
      </c>
      <c r="C2052" s="69">
        <v>3.8200000000000003</v>
      </c>
      <c r="D2052" s="70">
        <f t="shared" si="217"/>
        <v>5</v>
      </c>
      <c r="E2052" s="70">
        <f t="shared" si="218"/>
        <v>0.2</v>
      </c>
      <c r="F2052" s="70">
        <f t="shared" si="219"/>
        <v>3</v>
      </c>
      <c r="G2052" s="70">
        <f t="shared" si="220"/>
        <v>1.65757465168868</v>
      </c>
      <c r="H2052" s="70">
        <f t="shared" si="221"/>
        <v>0.60000000000000009</v>
      </c>
      <c r="I2052" s="70">
        <f t="shared" si="222"/>
        <v>0</v>
      </c>
      <c r="J2052" s="70">
        <f t="shared" si="223"/>
        <v>0</v>
      </c>
      <c r="K2052" s="70">
        <f>IF(CurrentMtgRatesDataTable8[[#This Row],[WA CC]]&lt;&gt;0,C2051-CurrentMtgRatesDataTable8[[#This Row],[WA CC]],0)</f>
        <v>0</v>
      </c>
      <c r="L2052" s="70">
        <f>IF(CurrentMtgRatesDataTable8[[#This Row],[Servicing Spread]]&lt;=0,L2051,CurrentMtgRatesDataTable8[[#This Row],[Servicing Spread]])</f>
        <v>1.0179971917857462</v>
      </c>
      <c r="M2052" s="70">
        <f>CurrentMtgRatesDataTable8[[#This Row],[Servicing Spread Non-Zero]]-L2051</f>
        <v>0</v>
      </c>
      <c r="N2052" s="70">
        <f>IF(J2051&lt;&gt;0,CurrentMtgRatesDataTable8[[#This Row],[Rate]]-C2051,N2051)</f>
        <v>0</v>
      </c>
    </row>
    <row r="2053" spans="1:14">
      <c r="A2053" s="67" t="s">
        <v>3405</v>
      </c>
      <c r="B2053" s="68">
        <v>2.7946021127853302</v>
      </c>
      <c r="C2053" s="69">
        <v>3.8200000000000003</v>
      </c>
      <c r="D2053" s="70">
        <f t="shared" ref="D2053:D2116" si="224">WEEKDAY(A2053,14)</f>
        <v>6</v>
      </c>
      <c r="E2053" s="70">
        <f t="shared" ref="E2053:E2116" si="225">VLOOKUP(D2053,Q$5:R$11,2,FALSE)</f>
        <v>0.2</v>
      </c>
      <c r="F2053" s="70">
        <f t="shared" ref="F2053:F2116" si="226">IF(AND(D2053&gt;D2052,F2052&lt;6),F2052+1,1)</f>
        <v>4</v>
      </c>
      <c r="G2053" s="70">
        <f t="shared" ref="G2053:G2116" si="227">IF(F2053&gt;F2052,G2052+B2053*E2053,B2053*E2053)</f>
        <v>2.2164950742457461</v>
      </c>
      <c r="H2053" s="70">
        <f t="shared" ref="H2053:H2116" si="228">IF(AND(F2053&lt;6,F2053&gt;F2052),E2053+H2052,E2053)</f>
        <v>0.8</v>
      </c>
      <c r="I2053" s="70">
        <f t="shared" ref="I2053:I2116" si="229">IF(F2053&gt;F2054,1,0)</f>
        <v>0</v>
      </c>
      <c r="J2053" s="70">
        <f t="shared" ref="J2053:J2116" si="230">IF(F2053&gt;F2054,G2053/H2053,0)</f>
        <v>0</v>
      </c>
      <c r="K2053" s="70">
        <f>IF(CurrentMtgRatesDataTable8[[#This Row],[WA CC]]&lt;&gt;0,C2052-CurrentMtgRatesDataTable8[[#This Row],[WA CC]],0)</f>
        <v>0</v>
      </c>
      <c r="L2053" s="70">
        <f>IF(CurrentMtgRatesDataTable8[[#This Row],[Servicing Spread]]&lt;=0,L2052,CurrentMtgRatesDataTable8[[#This Row],[Servicing Spread]])</f>
        <v>1.0179971917857462</v>
      </c>
      <c r="M2053" s="70">
        <f>CurrentMtgRatesDataTable8[[#This Row],[Servicing Spread Non-Zero]]-L2052</f>
        <v>0</v>
      </c>
      <c r="N2053" s="70">
        <f>IF(J2052&lt;&gt;0,CurrentMtgRatesDataTable8[[#This Row],[Rate]]-C2052,N2052)</f>
        <v>0</v>
      </c>
    </row>
    <row r="2054" spans="1:14">
      <c r="A2054" s="67" t="s">
        <v>3406</v>
      </c>
      <c r="B2054" s="68">
        <v>2.7670306950221799</v>
      </c>
      <c r="C2054" s="69">
        <v>3.8200000000000003</v>
      </c>
      <c r="D2054" s="70">
        <f t="shared" si="224"/>
        <v>7</v>
      </c>
      <c r="E2054" s="70">
        <f t="shared" si="225"/>
        <v>0.2</v>
      </c>
      <c r="F2054" s="70">
        <f t="shared" si="226"/>
        <v>5</v>
      </c>
      <c r="G2054" s="70">
        <f t="shared" si="227"/>
        <v>2.7699012132501819</v>
      </c>
      <c r="H2054" s="70">
        <f t="shared" si="228"/>
        <v>1</v>
      </c>
      <c r="I2054" s="70">
        <f t="shared" si="229"/>
        <v>1</v>
      </c>
      <c r="J2054" s="70">
        <f t="shared" si="230"/>
        <v>2.7699012132501819</v>
      </c>
      <c r="K2054" s="70">
        <f>IF(CurrentMtgRatesDataTable8[[#This Row],[WA CC]]&lt;&gt;0,C2053-CurrentMtgRatesDataTable8[[#This Row],[WA CC]],0)</f>
        <v>1.0500987867498184</v>
      </c>
      <c r="L2054" s="70">
        <f>IF(CurrentMtgRatesDataTable8[[#This Row],[Servicing Spread]]&lt;=0,L2053,CurrentMtgRatesDataTable8[[#This Row],[Servicing Spread]])</f>
        <v>1.0500987867498184</v>
      </c>
      <c r="M2054" s="70">
        <f>CurrentMtgRatesDataTable8[[#This Row],[Servicing Spread Non-Zero]]-L2053</f>
        <v>3.2101594964072167E-2</v>
      </c>
      <c r="N2054" s="70">
        <f>IF(J2053&lt;&gt;0,CurrentMtgRatesDataTable8[[#This Row],[Rate]]-C2053,N2053)</f>
        <v>0</v>
      </c>
    </row>
    <row r="2055" spans="1:14">
      <c r="A2055" s="67" t="s">
        <v>3407</v>
      </c>
      <c r="B2055" s="68">
        <v>2.8458544397299299</v>
      </c>
      <c r="C2055" s="69">
        <v>3.8200000000000003</v>
      </c>
      <c r="D2055" s="70">
        <f t="shared" si="224"/>
        <v>1</v>
      </c>
      <c r="E2055" s="70">
        <f t="shared" si="225"/>
        <v>0.2</v>
      </c>
      <c r="F2055" s="70">
        <f t="shared" si="226"/>
        <v>1</v>
      </c>
      <c r="G2055" s="70">
        <f t="shared" si="227"/>
        <v>0.56917088794598603</v>
      </c>
      <c r="H2055" s="70">
        <f t="shared" si="228"/>
        <v>0.2</v>
      </c>
      <c r="I2055" s="70">
        <f t="shared" si="229"/>
        <v>0</v>
      </c>
      <c r="J2055" s="70">
        <f t="shared" si="230"/>
        <v>0</v>
      </c>
      <c r="K2055" s="70">
        <f>IF(CurrentMtgRatesDataTable8[[#This Row],[WA CC]]&lt;&gt;0,C2054-CurrentMtgRatesDataTable8[[#This Row],[WA CC]],0)</f>
        <v>0</v>
      </c>
      <c r="L2055" s="70">
        <f>IF(CurrentMtgRatesDataTable8[[#This Row],[Servicing Spread]]&lt;=0,L2054,CurrentMtgRatesDataTable8[[#This Row],[Servicing Spread]])</f>
        <v>1.0500987867498184</v>
      </c>
      <c r="M2055" s="70">
        <f>CurrentMtgRatesDataTable8[[#This Row],[Servicing Spread Non-Zero]]-L2054</f>
        <v>0</v>
      </c>
      <c r="N2055" s="70">
        <f>IF(J2054&lt;&gt;0,CurrentMtgRatesDataTable8[[#This Row],[Rate]]-C2054,N2054)</f>
        <v>0</v>
      </c>
    </row>
    <row r="2056" spans="1:14">
      <c r="A2056" s="67" t="s">
        <v>3408</v>
      </c>
      <c r="B2056" s="68">
        <v>2.8097489693642799</v>
      </c>
      <c r="C2056" s="69">
        <v>3.8200000000000003</v>
      </c>
      <c r="D2056" s="70">
        <f t="shared" si="224"/>
        <v>2</v>
      </c>
      <c r="E2056" s="70">
        <f t="shared" si="225"/>
        <v>0.2</v>
      </c>
      <c r="F2056" s="70">
        <f t="shared" si="226"/>
        <v>2</v>
      </c>
      <c r="G2056" s="70">
        <f t="shared" si="227"/>
        <v>1.131120681818842</v>
      </c>
      <c r="H2056" s="70">
        <f t="shared" si="228"/>
        <v>0.4</v>
      </c>
      <c r="I2056" s="70">
        <f t="shared" si="229"/>
        <v>0</v>
      </c>
      <c r="J2056" s="70">
        <f t="shared" si="230"/>
        <v>0</v>
      </c>
      <c r="K2056" s="70">
        <f>IF(CurrentMtgRatesDataTable8[[#This Row],[WA CC]]&lt;&gt;0,C2055-CurrentMtgRatesDataTable8[[#This Row],[WA CC]],0)</f>
        <v>0</v>
      </c>
      <c r="L2056" s="70">
        <f>IF(CurrentMtgRatesDataTable8[[#This Row],[Servicing Spread]]&lt;=0,L2055,CurrentMtgRatesDataTable8[[#This Row],[Servicing Spread]])</f>
        <v>1.0500987867498184</v>
      </c>
      <c r="M2056" s="70">
        <f>CurrentMtgRatesDataTable8[[#This Row],[Servicing Spread Non-Zero]]-L2055</f>
        <v>0</v>
      </c>
      <c r="N2056" s="70">
        <f>IF(J2055&lt;&gt;0,CurrentMtgRatesDataTable8[[#This Row],[Rate]]-C2055,N2055)</f>
        <v>0</v>
      </c>
    </row>
    <row r="2057" spans="1:14">
      <c r="A2057" s="67" t="s">
        <v>3409</v>
      </c>
      <c r="B2057" s="68">
        <v>2.8174854723691301</v>
      </c>
      <c r="C2057" s="69">
        <v>3.8200000000000003</v>
      </c>
      <c r="D2057" s="70">
        <f t="shared" si="224"/>
        <v>5</v>
      </c>
      <c r="E2057" s="70">
        <f t="shared" si="225"/>
        <v>0.2</v>
      </c>
      <c r="F2057" s="70">
        <f t="shared" si="226"/>
        <v>3</v>
      </c>
      <c r="G2057" s="70">
        <f t="shared" si="227"/>
        <v>1.694617776292668</v>
      </c>
      <c r="H2057" s="70">
        <f t="shared" si="228"/>
        <v>0.60000000000000009</v>
      </c>
      <c r="I2057" s="70">
        <f t="shared" si="229"/>
        <v>0</v>
      </c>
      <c r="J2057" s="70">
        <f t="shared" si="230"/>
        <v>0</v>
      </c>
      <c r="K2057" s="70">
        <f>IF(CurrentMtgRatesDataTable8[[#This Row],[WA CC]]&lt;&gt;0,C2056-CurrentMtgRatesDataTable8[[#This Row],[WA CC]],0)</f>
        <v>0</v>
      </c>
      <c r="L2057" s="70">
        <f>IF(CurrentMtgRatesDataTable8[[#This Row],[Servicing Spread]]&lt;=0,L2056,CurrentMtgRatesDataTable8[[#This Row],[Servicing Spread]])</f>
        <v>1.0500987867498184</v>
      </c>
      <c r="M2057" s="70">
        <f>CurrentMtgRatesDataTable8[[#This Row],[Servicing Spread Non-Zero]]-L2056</f>
        <v>0</v>
      </c>
      <c r="N2057" s="70">
        <f>IF(J2056&lt;&gt;0,CurrentMtgRatesDataTable8[[#This Row],[Rate]]-C2056,N2056)</f>
        <v>0</v>
      </c>
    </row>
    <row r="2058" spans="1:14">
      <c r="A2058" s="67" t="s">
        <v>3410</v>
      </c>
      <c r="B2058" s="68">
        <v>2.7668146373676499</v>
      </c>
      <c r="C2058" s="69">
        <v>3.8200000000000003</v>
      </c>
      <c r="D2058" s="70">
        <f t="shared" si="224"/>
        <v>6</v>
      </c>
      <c r="E2058" s="70">
        <f t="shared" si="225"/>
        <v>0.2</v>
      </c>
      <c r="F2058" s="70">
        <f t="shared" si="226"/>
        <v>4</v>
      </c>
      <c r="G2058" s="70">
        <f t="shared" si="227"/>
        <v>2.2479807037661979</v>
      </c>
      <c r="H2058" s="70">
        <f t="shared" si="228"/>
        <v>0.8</v>
      </c>
      <c r="I2058" s="70">
        <f t="shared" si="229"/>
        <v>0</v>
      </c>
      <c r="J2058" s="70">
        <f t="shared" si="230"/>
        <v>0</v>
      </c>
      <c r="K2058" s="70">
        <f>IF(CurrentMtgRatesDataTable8[[#This Row],[WA CC]]&lt;&gt;0,C2057-CurrentMtgRatesDataTable8[[#This Row],[WA CC]],0)</f>
        <v>0</v>
      </c>
      <c r="L2058" s="70">
        <f>IF(CurrentMtgRatesDataTable8[[#This Row],[Servicing Spread]]&lt;=0,L2057,CurrentMtgRatesDataTable8[[#This Row],[Servicing Spread]])</f>
        <v>1.0500987867498184</v>
      </c>
      <c r="M2058" s="70">
        <f>CurrentMtgRatesDataTable8[[#This Row],[Servicing Spread Non-Zero]]-L2057</f>
        <v>0</v>
      </c>
      <c r="N2058" s="70">
        <f>IF(J2057&lt;&gt;0,CurrentMtgRatesDataTable8[[#This Row],[Rate]]-C2057,N2057)</f>
        <v>0</v>
      </c>
    </row>
    <row r="2059" spans="1:14">
      <c r="A2059" s="67" t="s">
        <v>3411</v>
      </c>
      <c r="B2059" s="68">
        <v>2.78221187240857</v>
      </c>
      <c r="C2059" s="69">
        <v>3.8200000000000003</v>
      </c>
      <c r="D2059" s="70">
        <f t="shared" si="224"/>
        <v>7</v>
      </c>
      <c r="E2059" s="70">
        <f t="shared" si="225"/>
        <v>0.2</v>
      </c>
      <c r="F2059" s="70">
        <f t="shared" si="226"/>
        <v>5</v>
      </c>
      <c r="G2059" s="70">
        <f t="shared" si="227"/>
        <v>2.804423078247912</v>
      </c>
      <c r="H2059" s="70">
        <f t="shared" si="228"/>
        <v>1</v>
      </c>
      <c r="I2059" s="70">
        <f t="shared" si="229"/>
        <v>1</v>
      </c>
      <c r="J2059" s="70">
        <f t="shared" si="230"/>
        <v>2.804423078247912</v>
      </c>
      <c r="K2059" s="70">
        <f>IF(CurrentMtgRatesDataTable8[[#This Row],[WA CC]]&lt;&gt;0,C2058-CurrentMtgRatesDataTable8[[#This Row],[WA CC]],0)</f>
        <v>1.0155769217520882</v>
      </c>
      <c r="L2059" s="70">
        <f>IF(CurrentMtgRatesDataTable8[[#This Row],[Servicing Spread]]&lt;=0,L2058,CurrentMtgRatesDataTable8[[#This Row],[Servicing Spread]])</f>
        <v>1.0155769217520882</v>
      </c>
      <c r="M2059" s="70">
        <f>CurrentMtgRatesDataTable8[[#This Row],[Servicing Spread Non-Zero]]-L2058</f>
        <v>-3.4521864997730134E-2</v>
      </c>
      <c r="N2059" s="70">
        <f>IF(J2058&lt;&gt;0,CurrentMtgRatesDataTable8[[#This Row],[Rate]]-C2058,N2058)</f>
        <v>0</v>
      </c>
    </row>
    <row r="2060" spans="1:14">
      <c r="A2060" s="67" t="s">
        <v>3412</v>
      </c>
      <c r="B2060" s="68">
        <v>2.8316730610652701</v>
      </c>
      <c r="C2060" s="69">
        <v>3.9000000000000004</v>
      </c>
      <c r="D2060" s="70">
        <f t="shared" si="224"/>
        <v>1</v>
      </c>
      <c r="E2060" s="70">
        <f t="shared" si="225"/>
        <v>0.2</v>
      </c>
      <c r="F2060" s="70">
        <f t="shared" si="226"/>
        <v>1</v>
      </c>
      <c r="G2060" s="70">
        <f t="shared" si="227"/>
        <v>0.56633461221305403</v>
      </c>
      <c r="H2060" s="70">
        <f t="shared" si="228"/>
        <v>0.2</v>
      </c>
      <c r="I2060" s="70">
        <f t="shared" si="229"/>
        <v>0</v>
      </c>
      <c r="J2060" s="70">
        <f t="shared" si="230"/>
        <v>0</v>
      </c>
      <c r="K2060" s="70">
        <f>IF(CurrentMtgRatesDataTable8[[#This Row],[WA CC]]&lt;&gt;0,C2059-CurrentMtgRatesDataTable8[[#This Row],[WA CC]],0)</f>
        <v>0</v>
      </c>
      <c r="L2060" s="70">
        <f>IF(CurrentMtgRatesDataTable8[[#This Row],[Servicing Spread]]&lt;=0,L2059,CurrentMtgRatesDataTable8[[#This Row],[Servicing Spread]])</f>
        <v>1.0155769217520882</v>
      </c>
      <c r="M2060" s="70">
        <f>CurrentMtgRatesDataTable8[[#This Row],[Servicing Spread Non-Zero]]-L2059</f>
        <v>0</v>
      </c>
      <c r="N2060" s="70">
        <f>IF(J2059&lt;&gt;0,CurrentMtgRatesDataTable8[[#This Row],[Rate]]-C2059,N2059)</f>
        <v>8.0000000000000071E-2</v>
      </c>
    </row>
    <row r="2061" spans="1:14">
      <c r="A2061" s="67" t="s">
        <v>3413</v>
      </c>
      <c r="B2061" s="68">
        <v>2.8683607059376999</v>
      </c>
      <c r="C2061" s="69">
        <v>3.9000000000000004</v>
      </c>
      <c r="D2061" s="70">
        <f t="shared" si="224"/>
        <v>2</v>
      </c>
      <c r="E2061" s="70">
        <f t="shared" si="225"/>
        <v>0.2</v>
      </c>
      <c r="F2061" s="70">
        <f t="shared" si="226"/>
        <v>2</v>
      </c>
      <c r="G2061" s="70">
        <f t="shared" si="227"/>
        <v>1.140006753400594</v>
      </c>
      <c r="H2061" s="70">
        <f t="shared" si="228"/>
        <v>0.4</v>
      </c>
      <c r="I2061" s="70">
        <f t="shared" si="229"/>
        <v>0</v>
      </c>
      <c r="J2061" s="70">
        <f t="shared" si="230"/>
        <v>0</v>
      </c>
      <c r="K2061" s="70">
        <f>IF(CurrentMtgRatesDataTable8[[#This Row],[WA CC]]&lt;&gt;0,C2060-CurrentMtgRatesDataTable8[[#This Row],[WA CC]],0)</f>
        <v>0</v>
      </c>
      <c r="L2061" s="70">
        <f>IF(CurrentMtgRatesDataTable8[[#This Row],[Servicing Spread]]&lt;=0,L2060,CurrentMtgRatesDataTable8[[#This Row],[Servicing Spread]])</f>
        <v>1.0155769217520882</v>
      </c>
      <c r="M2061" s="70">
        <f>CurrentMtgRatesDataTable8[[#This Row],[Servicing Spread Non-Zero]]-L2060</f>
        <v>0</v>
      </c>
      <c r="N2061" s="70">
        <f>IF(J2060&lt;&gt;0,CurrentMtgRatesDataTable8[[#This Row],[Rate]]-C2060,N2060)</f>
        <v>8.0000000000000071E-2</v>
      </c>
    </row>
    <row r="2062" spans="1:14">
      <c r="A2062" s="67" t="s">
        <v>3414</v>
      </c>
      <c r="B2062" s="68">
        <v>2.9231559987667999</v>
      </c>
      <c r="C2062" s="69">
        <v>3.9000000000000004</v>
      </c>
      <c r="D2062" s="70">
        <f t="shared" si="224"/>
        <v>6</v>
      </c>
      <c r="E2062" s="70">
        <f t="shared" si="225"/>
        <v>0.2</v>
      </c>
      <c r="F2062" s="70">
        <f t="shared" si="226"/>
        <v>3</v>
      </c>
      <c r="G2062" s="70">
        <f t="shared" si="227"/>
        <v>1.724637953153954</v>
      </c>
      <c r="H2062" s="70">
        <f t="shared" si="228"/>
        <v>0.60000000000000009</v>
      </c>
      <c r="I2062" s="70">
        <f t="shared" si="229"/>
        <v>0</v>
      </c>
      <c r="J2062" s="70">
        <f t="shared" si="230"/>
        <v>0</v>
      </c>
      <c r="K2062" s="70">
        <f>IF(CurrentMtgRatesDataTable8[[#This Row],[WA CC]]&lt;&gt;0,C2061-CurrentMtgRatesDataTable8[[#This Row],[WA CC]],0)</f>
        <v>0</v>
      </c>
      <c r="L2062" s="70">
        <f>IF(CurrentMtgRatesDataTable8[[#This Row],[Servicing Spread]]&lt;=0,L2061,CurrentMtgRatesDataTable8[[#This Row],[Servicing Spread]])</f>
        <v>1.0155769217520882</v>
      </c>
      <c r="M2062" s="70">
        <f>CurrentMtgRatesDataTable8[[#This Row],[Servicing Spread Non-Zero]]-L2061</f>
        <v>0</v>
      </c>
      <c r="N2062" s="70">
        <f>IF(J2061&lt;&gt;0,CurrentMtgRatesDataTable8[[#This Row],[Rate]]-C2061,N2061)</f>
        <v>8.0000000000000071E-2</v>
      </c>
    </row>
    <row r="2063" spans="1:14">
      <c r="A2063" s="67" t="s">
        <v>3415</v>
      </c>
      <c r="B2063" s="68">
        <v>2.8731313932433</v>
      </c>
      <c r="C2063" s="69">
        <v>3.9000000000000004</v>
      </c>
      <c r="D2063" s="70">
        <f t="shared" si="224"/>
        <v>7</v>
      </c>
      <c r="E2063" s="70">
        <f t="shared" si="225"/>
        <v>0.2</v>
      </c>
      <c r="F2063" s="70">
        <f t="shared" si="226"/>
        <v>4</v>
      </c>
      <c r="G2063" s="70">
        <f t="shared" si="227"/>
        <v>2.299264231802614</v>
      </c>
      <c r="H2063" s="70">
        <f t="shared" si="228"/>
        <v>0.8</v>
      </c>
      <c r="I2063" s="70">
        <f t="shared" si="229"/>
        <v>1</v>
      </c>
      <c r="J2063" s="70">
        <f t="shared" si="230"/>
        <v>2.8740802897532673</v>
      </c>
      <c r="K2063" s="70">
        <f>IF(CurrentMtgRatesDataTable8[[#This Row],[WA CC]]&lt;&gt;0,C2062-CurrentMtgRatesDataTable8[[#This Row],[WA CC]],0)</f>
        <v>1.025919710246733</v>
      </c>
      <c r="L2063" s="70">
        <f>IF(CurrentMtgRatesDataTable8[[#This Row],[Servicing Spread]]&lt;=0,L2062,CurrentMtgRatesDataTable8[[#This Row],[Servicing Spread]])</f>
        <v>1.025919710246733</v>
      </c>
      <c r="M2063" s="70">
        <f>CurrentMtgRatesDataTable8[[#This Row],[Servicing Spread Non-Zero]]-L2062</f>
        <v>1.0342788494644761E-2</v>
      </c>
      <c r="N2063" s="70">
        <f>IF(J2062&lt;&gt;0,CurrentMtgRatesDataTable8[[#This Row],[Rate]]-C2062,N2062)</f>
        <v>8.0000000000000071E-2</v>
      </c>
    </row>
    <row r="2064" spans="1:14">
      <c r="A2064" s="67" t="s">
        <v>3416</v>
      </c>
      <c r="B2064" s="68">
        <v>2.8348328361096802</v>
      </c>
      <c r="C2064" s="69">
        <v>3.85</v>
      </c>
      <c r="D2064" s="70">
        <f t="shared" si="224"/>
        <v>1</v>
      </c>
      <c r="E2064" s="70">
        <f t="shared" si="225"/>
        <v>0.2</v>
      </c>
      <c r="F2064" s="70">
        <f t="shared" si="226"/>
        <v>1</v>
      </c>
      <c r="G2064" s="70">
        <f t="shared" si="227"/>
        <v>0.56696656722193606</v>
      </c>
      <c r="H2064" s="70">
        <f t="shared" si="228"/>
        <v>0.2</v>
      </c>
      <c r="I2064" s="70">
        <f t="shared" si="229"/>
        <v>0</v>
      </c>
      <c r="J2064" s="70">
        <f t="shared" si="230"/>
        <v>0</v>
      </c>
      <c r="K2064" s="70">
        <f>IF(CurrentMtgRatesDataTable8[[#This Row],[WA CC]]&lt;&gt;0,C2063-CurrentMtgRatesDataTable8[[#This Row],[WA CC]],0)</f>
        <v>0</v>
      </c>
      <c r="L2064" s="70">
        <f>IF(CurrentMtgRatesDataTable8[[#This Row],[Servicing Spread]]&lt;=0,L2063,CurrentMtgRatesDataTable8[[#This Row],[Servicing Spread]])</f>
        <v>1.025919710246733</v>
      </c>
      <c r="M2064" s="70">
        <f>CurrentMtgRatesDataTable8[[#This Row],[Servicing Spread Non-Zero]]-L2063</f>
        <v>0</v>
      </c>
      <c r="N2064" s="70">
        <f>IF(J2063&lt;&gt;0,CurrentMtgRatesDataTable8[[#This Row],[Rate]]-C2063,N2063)</f>
        <v>-5.0000000000000266E-2</v>
      </c>
    </row>
    <row r="2065" spans="1:14">
      <c r="A2065" s="67" t="s">
        <v>3417</v>
      </c>
      <c r="B2065" s="68">
        <v>2.8468470783678899</v>
      </c>
      <c r="C2065" s="69">
        <v>3.85</v>
      </c>
      <c r="D2065" s="70">
        <f t="shared" si="224"/>
        <v>2</v>
      </c>
      <c r="E2065" s="70">
        <f t="shared" si="225"/>
        <v>0.2</v>
      </c>
      <c r="F2065" s="70">
        <f t="shared" si="226"/>
        <v>2</v>
      </c>
      <c r="G2065" s="70">
        <f t="shared" si="227"/>
        <v>1.1363359828955142</v>
      </c>
      <c r="H2065" s="70">
        <f t="shared" si="228"/>
        <v>0.4</v>
      </c>
      <c r="I2065" s="70">
        <f t="shared" si="229"/>
        <v>0</v>
      </c>
      <c r="J2065" s="70">
        <f t="shared" si="230"/>
        <v>0</v>
      </c>
      <c r="K2065" s="70">
        <f>IF(CurrentMtgRatesDataTable8[[#This Row],[WA CC]]&lt;&gt;0,C2064-CurrentMtgRatesDataTable8[[#This Row],[WA CC]],0)</f>
        <v>0</v>
      </c>
      <c r="L2065" s="70">
        <f>IF(CurrentMtgRatesDataTable8[[#This Row],[Servicing Spread]]&lt;=0,L2064,CurrentMtgRatesDataTable8[[#This Row],[Servicing Spread]])</f>
        <v>1.025919710246733</v>
      </c>
      <c r="M2065" s="70">
        <f>CurrentMtgRatesDataTable8[[#This Row],[Servicing Spread Non-Zero]]-L2064</f>
        <v>0</v>
      </c>
      <c r="N2065" s="70">
        <f>IF(J2064&lt;&gt;0,CurrentMtgRatesDataTable8[[#This Row],[Rate]]-C2064,N2064)</f>
        <v>-5.0000000000000266E-2</v>
      </c>
    </row>
    <row r="2066" spans="1:14">
      <c r="A2066" s="67" t="s">
        <v>3418</v>
      </c>
      <c r="B2066" s="68">
        <v>2.8205390519018301</v>
      </c>
      <c r="C2066" s="69">
        <v>3.85</v>
      </c>
      <c r="D2066" s="70">
        <f t="shared" si="224"/>
        <v>5</v>
      </c>
      <c r="E2066" s="70">
        <f t="shared" si="225"/>
        <v>0.2</v>
      </c>
      <c r="F2066" s="70">
        <f t="shared" si="226"/>
        <v>3</v>
      </c>
      <c r="G2066" s="70">
        <f t="shared" si="227"/>
        <v>1.7004437932758802</v>
      </c>
      <c r="H2066" s="70">
        <f t="shared" si="228"/>
        <v>0.60000000000000009</v>
      </c>
      <c r="I2066" s="70">
        <f t="shared" si="229"/>
        <v>0</v>
      </c>
      <c r="J2066" s="70">
        <f t="shared" si="230"/>
        <v>0</v>
      </c>
      <c r="K2066" s="70">
        <f>IF(CurrentMtgRatesDataTable8[[#This Row],[WA CC]]&lt;&gt;0,C2065-CurrentMtgRatesDataTable8[[#This Row],[WA CC]],0)</f>
        <v>0</v>
      </c>
      <c r="L2066" s="70">
        <f>IF(CurrentMtgRatesDataTable8[[#This Row],[Servicing Spread]]&lt;=0,L2065,CurrentMtgRatesDataTable8[[#This Row],[Servicing Spread]])</f>
        <v>1.025919710246733</v>
      </c>
      <c r="M2066" s="70">
        <f>CurrentMtgRatesDataTable8[[#This Row],[Servicing Spread Non-Zero]]-L2065</f>
        <v>0</v>
      </c>
      <c r="N2066" s="70">
        <f>IF(J2065&lt;&gt;0,CurrentMtgRatesDataTable8[[#This Row],[Rate]]-C2065,N2065)</f>
        <v>-5.0000000000000266E-2</v>
      </c>
    </row>
    <row r="2067" spans="1:14">
      <c r="A2067" s="67" t="s">
        <v>3419</v>
      </c>
      <c r="B2067" s="68">
        <v>2.8101961676338898</v>
      </c>
      <c r="C2067" s="69">
        <v>3.85</v>
      </c>
      <c r="D2067" s="70">
        <f t="shared" si="224"/>
        <v>6</v>
      </c>
      <c r="E2067" s="70">
        <f t="shared" si="225"/>
        <v>0.2</v>
      </c>
      <c r="F2067" s="70">
        <f t="shared" si="226"/>
        <v>4</v>
      </c>
      <c r="G2067" s="70">
        <f t="shared" si="227"/>
        <v>2.2624830268026583</v>
      </c>
      <c r="H2067" s="70">
        <f t="shared" si="228"/>
        <v>0.8</v>
      </c>
      <c r="I2067" s="70">
        <f t="shared" si="229"/>
        <v>0</v>
      </c>
      <c r="J2067" s="70">
        <f t="shared" si="230"/>
        <v>0</v>
      </c>
      <c r="K2067" s="70">
        <f>IF(CurrentMtgRatesDataTable8[[#This Row],[WA CC]]&lt;&gt;0,C2066-CurrentMtgRatesDataTable8[[#This Row],[WA CC]],0)</f>
        <v>0</v>
      </c>
      <c r="L2067" s="70">
        <f>IF(CurrentMtgRatesDataTable8[[#This Row],[Servicing Spread]]&lt;=0,L2066,CurrentMtgRatesDataTable8[[#This Row],[Servicing Spread]])</f>
        <v>1.025919710246733</v>
      </c>
      <c r="M2067" s="70">
        <f>CurrentMtgRatesDataTable8[[#This Row],[Servicing Spread Non-Zero]]-L2066</f>
        <v>0</v>
      </c>
      <c r="N2067" s="70">
        <f>IF(J2066&lt;&gt;0,CurrentMtgRatesDataTable8[[#This Row],[Rate]]-C2066,N2066)</f>
        <v>-5.0000000000000266E-2</v>
      </c>
    </row>
    <row r="2068" spans="1:14">
      <c r="A2068" s="67" t="s">
        <v>3420</v>
      </c>
      <c r="B2068" s="68">
        <v>2.8817315463419</v>
      </c>
      <c r="C2068" s="69">
        <v>3.85</v>
      </c>
      <c r="D2068" s="70">
        <f t="shared" si="224"/>
        <v>7</v>
      </c>
      <c r="E2068" s="70">
        <f t="shared" si="225"/>
        <v>0.2</v>
      </c>
      <c r="F2068" s="70">
        <f t="shared" si="226"/>
        <v>5</v>
      </c>
      <c r="G2068" s="70">
        <f t="shared" si="227"/>
        <v>2.8388293360710382</v>
      </c>
      <c r="H2068" s="70">
        <f t="shared" si="228"/>
        <v>1</v>
      </c>
      <c r="I2068" s="70">
        <f t="shared" si="229"/>
        <v>1</v>
      </c>
      <c r="J2068" s="70">
        <f t="shared" si="230"/>
        <v>2.8388293360710382</v>
      </c>
      <c r="K2068" s="70">
        <f>IF(CurrentMtgRatesDataTable8[[#This Row],[WA CC]]&lt;&gt;0,C2067-CurrentMtgRatesDataTable8[[#This Row],[WA CC]],0)</f>
        <v>1.0111706639289619</v>
      </c>
      <c r="L2068" s="70">
        <f>IF(CurrentMtgRatesDataTable8[[#This Row],[Servicing Spread]]&lt;=0,L2067,CurrentMtgRatesDataTable8[[#This Row],[Servicing Spread]])</f>
        <v>1.0111706639289619</v>
      </c>
      <c r="M2068" s="70">
        <f>CurrentMtgRatesDataTable8[[#This Row],[Servicing Spread Non-Zero]]-L2067</f>
        <v>-1.4749046317771075E-2</v>
      </c>
      <c r="N2068" s="70">
        <f>IF(J2067&lt;&gt;0,CurrentMtgRatesDataTable8[[#This Row],[Rate]]-C2067,N2067)</f>
        <v>-5.0000000000000266E-2</v>
      </c>
    </row>
    <row r="2069" spans="1:14">
      <c r="A2069" s="67" t="s">
        <v>3421</v>
      </c>
      <c r="B2069" s="68">
        <v>2.9287236028717998</v>
      </c>
      <c r="C2069" s="69">
        <v>3.83</v>
      </c>
      <c r="D2069" s="70">
        <f t="shared" si="224"/>
        <v>1</v>
      </c>
      <c r="E2069" s="70">
        <f t="shared" si="225"/>
        <v>0.2</v>
      </c>
      <c r="F2069" s="70">
        <f t="shared" si="226"/>
        <v>1</v>
      </c>
      <c r="G2069" s="70">
        <f t="shared" si="227"/>
        <v>0.58574472057436</v>
      </c>
      <c r="H2069" s="70">
        <f t="shared" si="228"/>
        <v>0.2</v>
      </c>
      <c r="I2069" s="70">
        <f t="shared" si="229"/>
        <v>0</v>
      </c>
      <c r="J2069" s="70">
        <f t="shared" si="230"/>
        <v>0</v>
      </c>
      <c r="K2069" s="70">
        <f>IF(CurrentMtgRatesDataTable8[[#This Row],[WA CC]]&lt;&gt;0,C2068-CurrentMtgRatesDataTable8[[#This Row],[WA CC]],0)</f>
        <v>0</v>
      </c>
      <c r="L2069" s="70">
        <f>IF(CurrentMtgRatesDataTable8[[#This Row],[Servicing Spread]]&lt;=0,L2068,CurrentMtgRatesDataTable8[[#This Row],[Servicing Spread]])</f>
        <v>1.0111706639289619</v>
      </c>
      <c r="M2069" s="70">
        <f>CurrentMtgRatesDataTable8[[#This Row],[Servicing Spread Non-Zero]]-L2068</f>
        <v>0</v>
      </c>
      <c r="N2069" s="70">
        <f>IF(J2068&lt;&gt;0,CurrentMtgRatesDataTable8[[#This Row],[Rate]]-C2068,N2068)</f>
        <v>-2.0000000000000018E-2</v>
      </c>
    </row>
    <row r="2070" spans="1:14">
      <c r="A2070" s="67" t="s">
        <v>3422</v>
      </c>
      <c r="B2070" s="68">
        <v>2.89080300621736</v>
      </c>
      <c r="C2070" s="69">
        <v>3.83</v>
      </c>
      <c r="D2070" s="70">
        <f t="shared" si="224"/>
        <v>2</v>
      </c>
      <c r="E2070" s="70">
        <f t="shared" si="225"/>
        <v>0.2</v>
      </c>
      <c r="F2070" s="70">
        <f t="shared" si="226"/>
        <v>2</v>
      </c>
      <c r="G2070" s="70">
        <f t="shared" si="227"/>
        <v>1.1639053218178321</v>
      </c>
      <c r="H2070" s="70">
        <f t="shared" si="228"/>
        <v>0.4</v>
      </c>
      <c r="I2070" s="70">
        <f t="shared" si="229"/>
        <v>0</v>
      </c>
      <c r="J2070" s="70">
        <f t="shared" si="230"/>
        <v>0</v>
      </c>
      <c r="K2070" s="70">
        <f>IF(CurrentMtgRatesDataTable8[[#This Row],[WA CC]]&lt;&gt;0,C2069-CurrentMtgRatesDataTable8[[#This Row],[WA CC]],0)</f>
        <v>0</v>
      </c>
      <c r="L2070" s="70">
        <f>IF(CurrentMtgRatesDataTable8[[#This Row],[Servicing Spread]]&lt;=0,L2069,CurrentMtgRatesDataTable8[[#This Row],[Servicing Spread]])</f>
        <v>1.0111706639289619</v>
      </c>
      <c r="M2070" s="70">
        <f>CurrentMtgRatesDataTable8[[#This Row],[Servicing Spread Non-Zero]]-L2069</f>
        <v>0</v>
      </c>
      <c r="N2070" s="70">
        <f>IF(J2069&lt;&gt;0,CurrentMtgRatesDataTable8[[#This Row],[Rate]]-C2069,N2069)</f>
        <v>-2.0000000000000018E-2</v>
      </c>
    </row>
    <row r="2071" spans="1:14">
      <c r="A2071" s="67" t="s">
        <v>3423</v>
      </c>
      <c r="B2071" s="68">
        <v>2.9007707644806802</v>
      </c>
      <c r="C2071" s="69">
        <v>3.83</v>
      </c>
      <c r="D2071" s="70">
        <f t="shared" si="224"/>
        <v>5</v>
      </c>
      <c r="E2071" s="70">
        <f t="shared" si="225"/>
        <v>0.2</v>
      </c>
      <c r="F2071" s="70">
        <f t="shared" si="226"/>
        <v>3</v>
      </c>
      <c r="G2071" s="70">
        <f t="shared" si="227"/>
        <v>1.7440594747139682</v>
      </c>
      <c r="H2071" s="70">
        <f t="shared" si="228"/>
        <v>0.60000000000000009</v>
      </c>
      <c r="I2071" s="70">
        <f t="shared" si="229"/>
        <v>0</v>
      </c>
      <c r="J2071" s="70">
        <f t="shared" si="230"/>
        <v>0</v>
      </c>
      <c r="K2071" s="70">
        <f>IF(CurrentMtgRatesDataTable8[[#This Row],[WA CC]]&lt;&gt;0,C2070-CurrentMtgRatesDataTable8[[#This Row],[WA CC]],0)</f>
        <v>0</v>
      </c>
      <c r="L2071" s="70">
        <f>IF(CurrentMtgRatesDataTable8[[#This Row],[Servicing Spread]]&lt;=0,L2070,CurrentMtgRatesDataTable8[[#This Row],[Servicing Spread]])</f>
        <v>1.0111706639289619</v>
      </c>
      <c r="M2071" s="70">
        <f>CurrentMtgRatesDataTable8[[#This Row],[Servicing Spread Non-Zero]]-L2070</f>
        <v>0</v>
      </c>
      <c r="N2071" s="70">
        <f>IF(J2070&lt;&gt;0,CurrentMtgRatesDataTable8[[#This Row],[Rate]]-C2070,N2070)</f>
        <v>-2.0000000000000018E-2</v>
      </c>
    </row>
    <row r="2072" spans="1:14">
      <c r="A2072" s="67" t="s">
        <v>3424</v>
      </c>
      <c r="B2072" s="68">
        <v>2.8650613840049299</v>
      </c>
      <c r="C2072" s="69">
        <v>3.83</v>
      </c>
      <c r="D2072" s="70">
        <f t="shared" si="224"/>
        <v>6</v>
      </c>
      <c r="E2072" s="70">
        <f t="shared" si="225"/>
        <v>0.2</v>
      </c>
      <c r="F2072" s="70">
        <f t="shared" si="226"/>
        <v>4</v>
      </c>
      <c r="G2072" s="70">
        <f t="shared" si="227"/>
        <v>2.3170717515149541</v>
      </c>
      <c r="H2072" s="70">
        <f t="shared" si="228"/>
        <v>0.8</v>
      </c>
      <c r="I2072" s="70">
        <f t="shared" si="229"/>
        <v>0</v>
      </c>
      <c r="J2072" s="70">
        <f t="shared" si="230"/>
        <v>0</v>
      </c>
      <c r="K2072" s="70">
        <f>IF(CurrentMtgRatesDataTable8[[#This Row],[WA CC]]&lt;&gt;0,C2071-CurrentMtgRatesDataTable8[[#This Row],[WA CC]],0)</f>
        <v>0</v>
      </c>
      <c r="L2072" s="70">
        <f>IF(CurrentMtgRatesDataTable8[[#This Row],[Servicing Spread]]&lt;=0,L2071,CurrentMtgRatesDataTable8[[#This Row],[Servicing Spread]])</f>
        <v>1.0111706639289619</v>
      </c>
      <c r="M2072" s="70">
        <f>CurrentMtgRatesDataTable8[[#This Row],[Servicing Spread Non-Zero]]-L2071</f>
        <v>0</v>
      </c>
      <c r="N2072" s="70">
        <f>IF(J2071&lt;&gt;0,CurrentMtgRatesDataTable8[[#This Row],[Rate]]-C2071,N2071)</f>
        <v>-2.0000000000000018E-2</v>
      </c>
    </row>
    <row r="2073" spans="1:14">
      <c r="A2073" s="67" t="s">
        <v>3425</v>
      </c>
      <c r="B2073" s="68">
        <v>2.8996218577463</v>
      </c>
      <c r="C2073" s="69">
        <v>3.83</v>
      </c>
      <c r="D2073" s="70">
        <f t="shared" si="224"/>
        <v>7</v>
      </c>
      <c r="E2073" s="70">
        <f t="shared" si="225"/>
        <v>0.2</v>
      </c>
      <c r="F2073" s="70">
        <f t="shared" si="226"/>
        <v>5</v>
      </c>
      <c r="G2073" s="70">
        <f t="shared" si="227"/>
        <v>2.8969961230642141</v>
      </c>
      <c r="H2073" s="70">
        <f t="shared" si="228"/>
        <v>1</v>
      </c>
      <c r="I2073" s="70">
        <f t="shared" si="229"/>
        <v>1</v>
      </c>
      <c r="J2073" s="70">
        <f t="shared" si="230"/>
        <v>2.8969961230642141</v>
      </c>
      <c r="K2073" s="70">
        <f>IF(CurrentMtgRatesDataTable8[[#This Row],[WA CC]]&lt;&gt;0,C2072-CurrentMtgRatesDataTable8[[#This Row],[WA CC]],0)</f>
        <v>0.93300387693578601</v>
      </c>
      <c r="L2073" s="70">
        <f>IF(CurrentMtgRatesDataTable8[[#This Row],[Servicing Spread]]&lt;=0,L2072,CurrentMtgRatesDataTable8[[#This Row],[Servicing Spread]])</f>
        <v>0.93300387693578601</v>
      </c>
      <c r="M2073" s="70">
        <f>CurrentMtgRatesDataTable8[[#This Row],[Servicing Spread Non-Zero]]-L2072</f>
        <v>-7.8166786993175918E-2</v>
      </c>
      <c r="N2073" s="70">
        <f>IF(J2072&lt;&gt;0,CurrentMtgRatesDataTable8[[#This Row],[Rate]]-C2072,N2072)</f>
        <v>-2.0000000000000018E-2</v>
      </c>
    </row>
    <row r="2074" spans="1:14">
      <c r="A2074" s="67" t="s">
        <v>3426</v>
      </c>
      <c r="B2074" s="68">
        <v>2.9336402803405499</v>
      </c>
      <c r="C2074" s="69">
        <v>3.87</v>
      </c>
      <c r="D2074" s="70">
        <f t="shared" si="224"/>
        <v>1</v>
      </c>
      <c r="E2074" s="70">
        <f t="shared" si="225"/>
        <v>0.2</v>
      </c>
      <c r="F2074" s="70">
        <f t="shared" si="226"/>
        <v>1</v>
      </c>
      <c r="G2074" s="70">
        <f t="shared" si="227"/>
        <v>0.58672805606810996</v>
      </c>
      <c r="H2074" s="70">
        <f t="shared" si="228"/>
        <v>0.2</v>
      </c>
      <c r="I2074" s="70">
        <f t="shared" si="229"/>
        <v>0</v>
      </c>
      <c r="J2074" s="70">
        <f t="shared" si="230"/>
        <v>0</v>
      </c>
      <c r="K2074" s="70">
        <f>IF(CurrentMtgRatesDataTable8[[#This Row],[WA CC]]&lt;&gt;0,C2073-CurrentMtgRatesDataTable8[[#This Row],[WA CC]],0)</f>
        <v>0</v>
      </c>
      <c r="L2074" s="70">
        <f>IF(CurrentMtgRatesDataTable8[[#This Row],[Servicing Spread]]&lt;=0,L2073,CurrentMtgRatesDataTable8[[#This Row],[Servicing Spread]])</f>
        <v>0.93300387693578601</v>
      </c>
      <c r="M2074" s="70">
        <f>CurrentMtgRatesDataTable8[[#This Row],[Servicing Spread Non-Zero]]-L2073</f>
        <v>0</v>
      </c>
      <c r="N2074" s="70">
        <f>IF(J2073&lt;&gt;0,CurrentMtgRatesDataTable8[[#This Row],[Rate]]-C2073,N2073)</f>
        <v>4.0000000000000036E-2</v>
      </c>
    </row>
    <row r="2075" spans="1:14">
      <c r="A2075" s="67" t="s">
        <v>3427</v>
      </c>
      <c r="B2075" s="68">
        <v>2.9219507354995198</v>
      </c>
      <c r="C2075" s="69">
        <v>3.87</v>
      </c>
      <c r="D2075" s="70">
        <f t="shared" si="224"/>
        <v>2</v>
      </c>
      <c r="E2075" s="70">
        <f t="shared" si="225"/>
        <v>0.2</v>
      </c>
      <c r="F2075" s="70">
        <f t="shared" si="226"/>
        <v>2</v>
      </c>
      <c r="G2075" s="70">
        <f t="shared" si="227"/>
        <v>1.1711182031680138</v>
      </c>
      <c r="H2075" s="70">
        <f t="shared" si="228"/>
        <v>0.4</v>
      </c>
      <c r="I2075" s="70">
        <f t="shared" si="229"/>
        <v>0</v>
      </c>
      <c r="J2075" s="70">
        <f t="shared" si="230"/>
        <v>0</v>
      </c>
      <c r="K2075" s="70">
        <f>IF(CurrentMtgRatesDataTable8[[#This Row],[WA CC]]&lt;&gt;0,C2074-CurrentMtgRatesDataTable8[[#This Row],[WA CC]],0)</f>
        <v>0</v>
      </c>
      <c r="L2075" s="70">
        <f>IF(CurrentMtgRatesDataTable8[[#This Row],[Servicing Spread]]&lt;=0,L2074,CurrentMtgRatesDataTable8[[#This Row],[Servicing Spread]])</f>
        <v>0.93300387693578601</v>
      </c>
      <c r="M2075" s="70">
        <f>CurrentMtgRatesDataTable8[[#This Row],[Servicing Spread Non-Zero]]-L2074</f>
        <v>0</v>
      </c>
      <c r="N2075" s="70">
        <f>IF(J2074&lt;&gt;0,CurrentMtgRatesDataTable8[[#This Row],[Rate]]-C2074,N2074)</f>
        <v>4.0000000000000036E-2</v>
      </c>
    </row>
    <row r="2076" spans="1:14">
      <c r="A2076" s="67" t="s">
        <v>3428</v>
      </c>
      <c r="B2076" s="68">
        <v>2.9162427900275998</v>
      </c>
      <c r="C2076" s="69">
        <v>3.87</v>
      </c>
      <c r="D2076" s="70">
        <f t="shared" si="224"/>
        <v>5</v>
      </c>
      <c r="E2076" s="70">
        <f t="shared" si="225"/>
        <v>0.2</v>
      </c>
      <c r="F2076" s="70">
        <f t="shared" si="226"/>
        <v>3</v>
      </c>
      <c r="G2076" s="70">
        <f t="shared" si="227"/>
        <v>1.7543667611735339</v>
      </c>
      <c r="H2076" s="70">
        <f t="shared" si="228"/>
        <v>0.60000000000000009</v>
      </c>
      <c r="I2076" s="70">
        <f t="shared" si="229"/>
        <v>0</v>
      </c>
      <c r="J2076" s="70">
        <f t="shared" si="230"/>
        <v>0</v>
      </c>
      <c r="K2076" s="70">
        <f>IF(CurrentMtgRatesDataTable8[[#This Row],[WA CC]]&lt;&gt;0,C2075-CurrentMtgRatesDataTable8[[#This Row],[WA CC]],0)</f>
        <v>0</v>
      </c>
      <c r="L2076" s="70">
        <f>IF(CurrentMtgRatesDataTable8[[#This Row],[Servicing Spread]]&lt;=0,L2075,CurrentMtgRatesDataTable8[[#This Row],[Servicing Spread]])</f>
        <v>0.93300387693578601</v>
      </c>
      <c r="M2076" s="70">
        <f>CurrentMtgRatesDataTable8[[#This Row],[Servicing Spread Non-Zero]]-L2075</f>
        <v>0</v>
      </c>
      <c r="N2076" s="70">
        <f>IF(J2075&lt;&gt;0,CurrentMtgRatesDataTable8[[#This Row],[Rate]]-C2075,N2075)</f>
        <v>4.0000000000000036E-2</v>
      </c>
    </row>
    <row r="2077" spans="1:14">
      <c r="A2077" s="67" t="s">
        <v>3429</v>
      </c>
      <c r="B2077" s="68">
        <v>2.99140124187609</v>
      </c>
      <c r="C2077" s="69">
        <v>3.87</v>
      </c>
      <c r="D2077" s="70">
        <f t="shared" si="224"/>
        <v>6</v>
      </c>
      <c r="E2077" s="70">
        <f t="shared" si="225"/>
        <v>0.2</v>
      </c>
      <c r="F2077" s="70">
        <f t="shared" si="226"/>
        <v>4</v>
      </c>
      <c r="G2077" s="70">
        <f t="shared" si="227"/>
        <v>2.3526470095487517</v>
      </c>
      <c r="H2077" s="70">
        <f t="shared" si="228"/>
        <v>0.8</v>
      </c>
      <c r="I2077" s="70">
        <f t="shared" si="229"/>
        <v>0</v>
      </c>
      <c r="J2077" s="70">
        <f t="shared" si="230"/>
        <v>0</v>
      </c>
      <c r="K2077" s="70">
        <f>IF(CurrentMtgRatesDataTable8[[#This Row],[WA CC]]&lt;&gt;0,C2076-CurrentMtgRatesDataTable8[[#This Row],[WA CC]],0)</f>
        <v>0</v>
      </c>
      <c r="L2077" s="70">
        <f>IF(CurrentMtgRatesDataTable8[[#This Row],[Servicing Spread]]&lt;=0,L2076,CurrentMtgRatesDataTable8[[#This Row],[Servicing Spread]])</f>
        <v>0.93300387693578601</v>
      </c>
      <c r="M2077" s="70">
        <f>CurrentMtgRatesDataTable8[[#This Row],[Servicing Spread Non-Zero]]-L2076</f>
        <v>0</v>
      </c>
      <c r="N2077" s="70">
        <f>IF(J2076&lt;&gt;0,CurrentMtgRatesDataTable8[[#This Row],[Rate]]-C2076,N2076)</f>
        <v>4.0000000000000036E-2</v>
      </c>
    </row>
    <row r="2078" spans="1:14">
      <c r="A2078" s="67" t="s">
        <v>3430</v>
      </c>
      <c r="B2078" s="68">
        <v>3.1695853606328299</v>
      </c>
      <c r="C2078" s="69">
        <v>3.87</v>
      </c>
      <c r="D2078" s="70">
        <f t="shared" si="224"/>
        <v>7</v>
      </c>
      <c r="E2078" s="70">
        <f t="shared" si="225"/>
        <v>0.2</v>
      </c>
      <c r="F2078" s="70">
        <f t="shared" si="226"/>
        <v>5</v>
      </c>
      <c r="G2078" s="70">
        <f t="shared" si="227"/>
        <v>2.9865640816753176</v>
      </c>
      <c r="H2078" s="70">
        <f t="shared" si="228"/>
        <v>1</v>
      </c>
      <c r="I2078" s="70">
        <f t="shared" si="229"/>
        <v>1</v>
      </c>
      <c r="J2078" s="70">
        <f t="shared" si="230"/>
        <v>2.9865640816753176</v>
      </c>
      <c r="K2078" s="70">
        <f>IF(CurrentMtgRatesDataTable8[[#This Row],[WA CC]]&lt;&gt;0,C2077-CurrentMtgRatesDataTable8[[#This Row],[WA CC]],0)</f>
        <v>0.88343591832468249</v>
      </c>
      <c r="L2078" s="70">
        <f>IF(CurrentMtgRatesDataTable8[[#This Row],[Servicing Spread]]&lt;=0,L2077,CurrentMtgRatesDataTable8[[#This Row],[Servicing Spread]])</f>
        <v>0.88343591832468249</v>
      </c>
      <c r="M2078" s="70">
        <f>CurrentMtgRatesDataTable8[[#This Row],[Servicing Spread Non-Zero]]-L2077</f>
        <v>-4.9567958611103524E-2</v>
      </c>
      <c r="N2078" s="70">
        <f>IF(J2077&lt;&gt;0,CurrentMtgRatesDataTable8[[#This Row],[Rate]]-C2077,N2077)</f>
        <v>4.0000000000000036E-2</v>
      </c>
    </row>
    <row r="2079" spans="1:14">
      <c r="A2079" s="67" t="s">
        <v>3431</v>
      </c>
      <c r="B2079" s="68">
        <v>3.1589558563859499</v>
      </c>
      <c r="C2079" s="69">
        <v>4.03</v>
      </c>
      <c r="D2079" s="70">
        <f t="shared" si="224"/>
        <v>1</v>
      </c>
      <c r="E2079" s="70">
        <f t="shared" si="225"/>
        <v>0.2</v>
      </c>
      <c r="F2079" s="70">
        <f t="shared" si="226"/>
        <v>1</v>
      </c>
      <c r="G2079" s="70">
        <f t="shared" si="227"/>
        <v>0.63179117127718998</v>
      </c>
      <c r="H2079" s="70">
        <f t="shared" si="228"/>
        <v>0.2</v>
      </c>
      <c r="I2079" s="70">
        <f t="shared" si="229"/>
        <v>0</v>
      </c>
      <c r="J2079" s="70">
        <f t="shared" si="230"/>
        <v>0</v>
      </c>
      <c r="K2079" s="70">
        <f>IF(CurrentMtgRatesDataTable8[[#This Row],[WA CC]]&lt;&gt;0,C2078-CurrentMtgRatesDataTable8[[#This Row],[WA CC]],0)</f>
        <v>0</v>
      </c>
      <c r="L2079" s="70">
        <f>IF(CurrentMtgRatesDataTable8[[#This Row],[Servicing Spread]]&lt;=0,L2078,CurrentMtgRatesDataTable8[[#This Row],[Servicing Spread]])</f>
        <v>0.88343591832468249</v>
      </c>
      <c r="M2079" s="70">
        <f>CurrentMtgRatesDataTable8[[#This Row],[Servicing Spread Non-Zero]]-L2078</f>
        <v>0</v>
      </c>
      <c r="N2079" s="70">
        <f>IF(J2078&lt;&gt;0,CurrentMtgRatesDataTable8[[#This Row],[Rate]]-C2078,N2078)</f>
        <v>0.16000000000000014</v>
      </c>
    </row>
    <row r="2080" spans="1:14">
      <c r="A2080" s="67" t="s">
        <v>3432</v>
      </c>
      <c r="B2080" s="68">
        <v>3.13095195050672</v>
      </c>
      <c r="C2080" s="69">
        <v>4.03</v>
      </c>
      <c r="D2080" s="70">
        <f t="shared" si="224"/>
        <v>2</v>
      </c>
      <c r="E2080" s="70">
        <f t="shared" si="225"/>
        <v>0.2</v>
      </c>
      <c r="F2080" s="70">
        <f t="shared" si="226"/>
        <v>2</v>
      </c>
      <c r="G2080" s="70">
        <f t="shared" si="227"/>
        <v>1.2579815613785339</v>
      </c>
      <c r="H2080" s="70">
        <f t="shared" si="228"/>
        <v>0.4</v>
      </c>
      <c r="I2080" s="70">
        <f t="shared" si="229"/>
        <v>0</v>
      </c>
      <c r="J2080" s="70">
        <f t="shared" si="230"/>
        <v>0</v>
      </c>
      <c r="K2080" s="70">
        <f>IF(CurrentMtgRatesDataTable8[[#This Row],[WA CC]]&lt;&gt;0,C2079-CurrentMtgRatesDataTable8[[#This Row],[WA CC]],0)</f>
        <v>0</v>
      </c>
      <c r="L2080" s="70">
        <f>IF(CurrentMtgRatesDataTable8[[#This Row],[Servicing Spread]]&lt;=0,L2079,CurrentMtgRatesDataTable8[[#This Row],[Servicing Spread]])</f>
        <v>0.88343591832468249</v>
      </c>
      <c r="M2080" s="70">
        <f>CurrentMtgRatesDataTable8[[#This Row],[Servicing Spread Non-Zero]]-L2079</f>
        <v>0</v>
      </c>
      <c r="N2080" s="70">
        <f>IF(J2079&lt;&gt;0,CurrentMtgRatesDataTable8[[#This Row],[Rate]]-C2079,N2079)</f>
        <v>0.16000000000000014</v>
      </c>
    </row>
    <row r="2081" spans="1:14">
      <c r="A2081" s="67" t="s">
        <v>3433</v>
      </c>
      <c r="B2081" s="68">
        <v>3.2363757673390801</v>
      </c>
      <c r="C2081" s="69">
        <v>4.03</v>
      </c>
      <c r="D2081" s="70">
        <f t="shared" si="224"/>
        <v>5</v>
      </c>
      <c r="E2081" s="70">
        <f t="shared" si="225"/>
        <v>0.2</v>
      </c>
      <c r="F2081" s="70">
        <f t="shared" si="226"/>
        <v>3</v>
      </c>
      <c r="G2081" s="70">
        <f t="shared" si="227"/>
        <v>1.90525671484635</v>
      </c>
      <c r="H2081" s="70">
        <f t="shared" si="228"/>
        <v>0.60000000000000009</v>
      </c>
      <c r="I2081" s="70">
        <f t="shared" si="229"/>
        <v>0</v>
      </c>
      <c r="J2081" s="70">
        <f t="shared" si="230"/>
        <v>0</v>
      </c>
      <c r="K2081" s="70">
        <f>IF(CurrentMtgRatesDataTable8[[#This Row],[WA CC]]&lt;&gt;0,C2080-CurrentMtgRatesDataTable8[[#This Row],[WA CC]],0)</f>
        <v>0</v>
      </c>
      <c r="L2081" s="70">
        <f>IF(CurrentMtgRatesDataTable8[[#This Row],[Servicing Spread]]&lt;=0,L2080,CurrentMtgRatesDataTable8[[#This Row],[Servicing Spread]])</f>
        <v>0.88343591832468249</v>
      </c>
      <c r="M2081" s="70">
        <f>CurrentMtgRatesDataTable8[[#This Row],[Servicing Spread Non-Zero]]-L2080</f>
        <v>0</v>
      </c>
      <c r="N2081" s="70">
        <f>IF(J2080&lt;&gt;0,CurrentMtgRatesDataTable8[[#This Row],[Rate]]-C2080,N2080)</f>
        <v>0.16000000000000014</v>
      </c>
    </row>
    <row r="2082" spans="1:14">
      <c r="A2082" s="67" t="s">
        <v>3434</v>
      </c>
      <c r="B2082" s="68">
        <v>3.24144029220705</v>
      </c>
      <c r="C2082" s="69">
        <v>4.03</v>
      </c>
      <c r="D2082" s="70">
        <f t="shared" si="224"/>
        <v>6</v>
      </c>
      <c r="E2082" s="70">
        <f t="shared" si="225"/>
        <v>0.2</v>
      </c>
      <c r="F2082" s="70">
        <f t="shared" si="226"/>
        <v>4</v>
      </c>
      <c r="G2082" s="70">
        <f t="shared" si="227"/>
        <v>2.5535447732877601</v>
      </c>
      <c r="H2082" s="70">
        <f t="shared" si="228"/>
        <v>0.8</v>
      </c>
      <c r="I2082" s="70">
        <f t="shared" si="229"/>
        <v>0</v>
      </c>
      <c r="J2082" s="70">
        <f t="shared" si="230"/>
        <v>0</v>
      </c>
      <c r="K2082" s="70">
        <f>IF(CurrentMtgRatesDataTable8[[#This Row],[WA CC]]&lt;&gt;0,C2081-CurrentMtgRatesDataTable8[[#This Row],[WA CC]],0)</f>
        <v>0</v>
      </c>
      <c r="L2082" s="70">
        <f>IF(CurrentMtgRatesDataTable8[[#This Row],[Servicing Spread]]&lt;=0,L2081,CurrentMtgRatesDataTable8[[#This Row],[Servicing Spread]])</f>
        <v>0.88343591832468249</v>
      </c>
      <c r="M2082" s="70">
        <f>CurrentMtgRatesDataTable8[[#This Row],[Servicing Spread Non-Zero]]-L2081</f>
        <v>0</v>
      </c>
      <c r="N2082" s="70">
        <f>IF(J2081&lt;&gt;0,CurrentMtgRatesDataTable8[[#This Row],[Rate]]-C2081,N2081)</f>
        <v>0.16000000000000014</v>
      </c>
    </row>
    <row r="2083" spans="1:14">
      <c r="A2083" s="67" t="s">
        <v>3435</v>
      </c>
      <c r="B2083" s="68">
        <v>3.15731967015545</v>
      </c>
      <c r="C2083" s="69">
        <v>4.03</v>
      </c>
      <c r="D2083" s="70">
        <f t="shared" si="224"/>
        <v>7</v>
      </c>
      <c r="E2083" s="70">
        <f t="shared" si="225"/>
        <v>0.2</v>
      </c>
      <c r="F2083" s="70">
        <f t="shared" si="226"/>
        <v>5</v>
      </c>
      <c r="G2083" s="70">
        <f t="shared" si="227"/>
        <v>3.18500870731885</v>
      </c>
      <c r="H2083" s="70">
        <f t="shared" si="228"/>
        <v>1</v>
      </c>
      <c r="I2083" s="70">
        <f t="shared" si="229"/>
        <v>1</v>
      </c>
      <c r="J2083" s="70">
        <f t="shared" si="230"/>
        <v>3.18500870731885</v>
      </c>
      <c r="K2083" s="70">
        <f>IF(CurrentMtgRatesDataTable8[[#This Row],[WA CC]]&lt;&gt;0,C2082-CurrentMtgRatesDataTable8[[#This Row],[WA CC]],0)</f>
        <v>0.84499129268115025</v>
      </c>
      <c r="L2083" s="70">
        <f>IF(CurrentMtgRatesDataTable8[[#This Row],[Servicing Spread]]&lt;=0,L2082,CurrentMtgRatesDataTable8[[#This Row],[Servicing Spread]])</f>
        <v>0.84499129268115025</v>
      </c>
      <c r="M2083" s="70">
        <f>CurrentMtgRatesDataTable8[[#This Row],[Servicing Spread Non-Zero]]-L2082</f>
        <v>-3.8444625643532238E-2</v>
      </c>
      <c r="N2083" s="70">
        <f>IF(J2082&lt;&gt;0,CurrentMtgRatesDataTable8[[#This Row],[Rate]]-C2082,N2082)</f>
        <v>0.16000000000000014</v>
      </c>
    </row>
    <row r="2084" spans="1:14">
      <c r="A2084" s="67" t="s">
        <v>3436</v>
      </c>
      <c r="B2084" s="68">
        <v>3.1570833298388399</v>
      </c>
      <c r="C2084" s="69">
        <v>3.915</v>
      </c>
      <c r="D2084" s="70">
        <f t="shared" si="224"/>
        <v>1</v>
      </c>
      <c r="E2084" s="70">
        <f t="shared" si="225"/>
        <v>0.2</v>
      </c>
      <c r="F2084" s="70">
        <f t="shared" si="226"/>
        <v>1</v>
      </c>
      <c r="G2084" s="70">
        <f t="shared" si="227"/>
        <v>0.63141666596776802</v>
      </c>
      <c r="H2084" s="70">
        <f t="shared" si="228"/>
        <v>0.2</v>
      </c>
      <c r="I2084" s="70">
        <f t="shared" si="229"/>
        <v>0</v>
      </c>
      <c r="J2084" s="70">
        <f t="shared" si="230"/>
        <v>0</v>
      </c>
      <c r="K2084" s="70">
        <f>IF(CurrentMtgRatesDataTable8[[#This Row],[WA CC]]&lt;&gt;0,C2083-CurrentMtgRatesDataTable8[[#This Row],[WA CC]],0)</f>
        <v>0</v>
      </c>
      <c r="L2084" s="70">
        <f>IF(CurrentMtgRatesDataTable8[[#This Row],[Servicing Spread]]&lt;=0,L2083,CurrentMtgRatesDataTable8[[#This Row],[Servicing Spread]])</f>
        <v>0.84499129268115025</v>
      </c>
      <c r="M2084" s="70">
        <f>CurrentMtgRatesDataTable8[[#This Row],[Servicing Spread Non-Zero]]-L2083</f>
        <v>0</v>
      </c>
      <c r="N2084" s="70">
        <f>IF(J2083&lt;&gt;0,CurrentMtgRatesDataTable8[[#This Row],[Rate]]-C2083,N2083)</f>
        <v>-0.11500000000000021</v>
      </c>
    </row>
    <row r="2085" spans="1:14">
      <c r="A2085" s="67" t="s">
        <v>3437</v>
      </c>
      <c r="B2085" s="68">
        <v>3.1324491901767901</v>
      </c>
      <c r="C2085" s="69">
        <v>3.915</v>
      </c>
      <c r="D2085" s="70">
        <f t="shared" si="224"/>
        <v>2</v>
      </c>
      <c r="E2085" s="70">
        <f t="shared" si="225"/>
        <v>0.2</v>
      </c>
      <c r="F2085" s="70">
        <f t="shared" si="226"/>
        <v>2</v>
      </c>
      <c r="G2085" s="70">
        <f t="shared" si="227"/>
        <v>1.2579065040031261</v>
      </c>
      <c r="H2085" s="70">
        <f t="shared" si="228"/>
        <v>0.4</v>
      </c>
      <c r="I2085" s="70">
        <f t="shared" si="229"/>
        <v>0</v>
      </c>
      <c r="J2085" s="70">
        <f t="shared" si="230"/>
        <v>0</v>
      </c>
      <c r="K2085" s="70">
        <f>IF(CurrentMtgRatesDataTable8[[#This Row],[WA CC]]&lt;&gt;0,C2084-CurrentMtgRatesDataTable8[[#This Row],[WA CC]],0)</f>
        <v>0</v>
      </c>
      <c r="L2085" s="70">
        <f>IF(CurrentMtgRatesDataTable8[[#This Row],[Servicing Spread]]&lt;=0,L2084,CurrentMtgRatesDataTable8[[#This Row],[Servicing Spread]])</f>
        <v>0.84499129268115025</v>
      </c>
      <c r="M2085" s="70">
        <f>CurrentMtgRatesDataTable8[[#This Row],[Servicing Spread Non-Zero]]-L2084</f>
        <v>0</v>
      </c>
      <c r="N2085" s="70">
        <f>IF(J2084&lt;&gt;0,CurrentMtgRatesDataTable8[[#This Row],[Rate]]-C2084,N2084)</f>
        <v>-0.11500000000000021</v>
      </c>
    </row>
    <row r="2086" spans="1:14">
      <c r="A2086" s="67" t="s">
        <v>3438</v>
      </c>
      <c r="B2086" s="68">
        <v>3.1182772307865498</v>
      </c>
      <c r="C2086" s="69">
        <v>3.915</v>
      </c>
      <c r="D2086" s="70">
        <f t="shared" si="224"/>
        <v>5</v>
      </c>
      <c r="E2086" s="70">
        <f t="shared" si="225"/>
        <v>0.2</v>
      </c>
      <c r="F2086" s="70">
        <f t="shared" si="226"/>
        <v>3</v>
      </c>
      <c r="G2086" s="70">
        <f t="shared" si="227"/>
        <v>1.8815619501604361</v>
      </c>
      <c r="H2086" s="70">
        <f t="shared" si="228"/>
        <v>0.60000000000000009</v>
      </c>
      <c r="I2086" s="70">
        <f t="shared" si="229"/>
        <v>0</v>
      </c>
      <c r="J2086" s="70">
        <f t="shared" si="230"/>
        <v>0</v>
      </c>
      <c r="K2086" s="70">
        <f>IF(CurrentMtgRatesDataTable8[[#This Row],[WA CC]]&lt;&gt;0,C2085-CurrentMtgRatesDataTable8[[#This Row],[WA CC]],0)</f>
        <v>0</v>
      </c>
      <c r="L2086" s="70">
        <f>IF(CurrentMtgRatesDataTable8[[#This Row],[Servicing Spread]]&lt;=0,L2085,CurrentMtgRatesDataTable8[[#This Row],[Servicing Spread]])</f>
        <v>0.84499129268115025</v>
      </c>
      <c r="M2086" s="70">
        <f>CurrentMtgRatesDataTable8[[#This Row],[Servicing Spread Non-Zero]]-L2085</f>
        <v>0</v>
      </c>
      <c r="N2086" s="70">
        <f>IF(J2085&lt;&gt;0,CurrentMtgRatesDataTable8[[#This Row],[Rate]]-C2085,N2085)</f>
        <v>-0.11500000000000021</v>
      </c>
    </row>
    <row r="2087" spans="1:14">
      <c r="A2087" s="67" t="s">
        <v>3439</v>
      </c>
      <c r="B2087" s="68">
        <v>3.0399029769438499</v>
      </c>
      <c r="C2087" s="69">
        <v>3.915</v>
      </c>
      <c r="D2087" s="70">
        <f t="shared" si="224"/>
        <v>6</v>
      </c>
      <c r="E2087" s="70">
        <f t="shared" si="225"/>
        <v>0.2</v>
      </c>
      <c r="F2087" s="70">
        <f t="shared" si="226"/>
        <v>4</v>
      </c>
      <c r="G2087" s="70">
        <f t="shared" si="227"/>
        <v>2.489542545549206</v>
      </c>
      <c r="H2087" s="70">
        <f t="shared" si="228"/>
        <v>0.8</v>
      </c>
      <c r="I2087" s="70">
        <f t="shared" si="229"/>
        <v>0</v>
      </c>
      <c r="J2087" s="70">
        <f t="shared" si="230"/>
        <v>0</v>
      </c>
      <c r="K2087" s="70">
        <f>IF(CurrentMtgRatesDataTable8[[#This Row],[WA CC]]&lt;&gt;0,C2086-CurrentMtgRatesDataTable8[[#This Row],[WA CC]],0)</f>
        <v>0</v>
      </c>
      <c r="L2087" s="70">
        <f>IF(CurrentMtgRatesDataTable8[[#This Row],[Servicing Spread]]&lt;=0,L2086,CurrentMtgRatesDataTable8[[#This Row],[Servicing Spread]])</f>
        <v>0.84499129268115025</v>
      </c>
      <c r="M2087" s="70">
        <f>CurrentMtgRatesDataTable8[[#This Row],[Servicing Spread Non-Zero]]-L2086</f>
        <v>0</v>
      </c>
      <c r="N2087" s="70">
        <f>IF(J2086&lt;&gt;0,CurrentMtgRatesDataTable8[[#This Row],[Rate]]-C2086,N2086)</f>
        <v>-0.11500000000000021</v>
      </c>
    </row>
    <row r="2088" spans="1:14">
      <c r="A2088" s="67" t="s">
        <v>3440</v>
      </c>
      <c r="B2088" s="68">
        <v>3.0568438879801101</v>
      </c>
      <c r="C2088" s="69">
        <v>3.915</v>
      </c>
      <c r="D2088" s="70">
        <f t="shared" si="224"/>
        <v>7</v>
      </c>
      <c r="E2088" s="70">
        <f t="shared" si="225"/>
        <v>0.2</v>
      </c>
      <c r="F2088" s="70">
        <f t="shared" si="226"/>
        <v>5</v>
      </c>
      <c r="G2088" s="70">
        <f t="shared" si="227"/>
        <v>3.1009113231452279</v>
      </c>
      <c r="H2088" s="70">
        <f t="shared" si="228"/>
        <v>1</v>
      </c>
      <c r="I2088" s="70">
        <f t="shared" si="229"/>
        <v>1</v>
      </c>
      <c r="J2088" s="70">
        <f t="shared" si="230"/>
        <v>3.1009113231452279</v>
      </c>
      <c r="K2088" s="70">
        <f>IF(CurrentMtgRatesDataTable8[[#This Row],[WA CC]]&lt;&gt;0,C2087-CurrentMtgRatesDataTable8[[#This Row],[WA CC]],0)</f>
        <v>0.81408867685477215</v>
      </c>
      <c r="L2088" s="70">
        <f>IF(CurrentMtgRatesDataTable8[[#This Row],[Servicing Spread]]&lt;=0,L2087,CurrentMtgRatesDataTable8[[#This Row],[Servicing Spread]])</f>
        <v>0.81408867685477215</v>
      </c>
      <c r="M2088" s="70">
        <f>CurrentMtgRatesDataTable8[[#This Row],[Servicing Spread Non-Zero]]-L2087</f>
        <v>-3.0902615826378099E-2</v>
      </c>
      <c r="N2088" s="70">
        <f>IF(J2087&lt;&gt;0,CurrentMtgRatesDataTable8[[#This Row],[Rate]]-C2087,N2087)</f>
        <v>-0.11500000000000021</v>
      </c>
    </row>
    <row r="2089" spans="1:14">
      <c r="A2089" s="67" t="s">
        <v>3441</v>
      </c>
      <c r="B2089" s="68">
        <v>3.0219603652996301</v>
      </c>
      <c r="C2089" s="69">
        <v>3.9049999999999998</v>
      </c>
      <c r="D2089" s="70">
        <f t="shared" si="224"/>
        <v>1</v>
      </c>
      <c r="E2089" s="70">
        <f t="shared" si="225"/>
        <v>0.2</v>
      </c>
      <c r="F2089" s="70">
        <f t="shared" si="226"/>
        <v>1</v>
      </c>
      <c r="G2089" s="70">
        <f t="shared" si="227"/>
        <v>0.60439207305992604</v>
      </c>
      <c r="H2089" s="70">
        <f t="shared" si="228"/>
        <v>0.2</v>
      </c>
      <c r="I2089" s="70">
        <f t="shared" si="229"/>
        <v>0</v>
      </c>
      <c r="J2089" s="70">
        <f t="shared" si="230"/>
        <v>0</v>
      </c>
      <c r="K2089" s="70">
        <f>IF(CurrentMtgRatesDataTable8[[#This Row],[WA CC]]&lt;&gt;0,C2088-CurrentMtgRatesDataTable8[[#This Row],[WA CC]],0)</f>
        <v>0</v>
      </c>
      <c r="L2089" s="70">
        <f>IF(CurrentMtgRatesDataTable8[[#This Row],[Servicing Spread]]&lt;=0,L2088,CurrentMtgRatesDataTable8[[#This Row],[Servicing Spread]])</f>
        <v>0.81408867685477215</v>
      </c>
      <c r="M2089" s="70">
        <f>CurrentMtgRatesDataTable8[[#This Row],[Servicing Spread Non-Zero]]-L2088</f>
        <v>0</v>
      </c>
      <c r="N2089" s="70">
        <f>IF(J2088&lt;&gt;0,CurrentMtgRatesDataTable8[[#This Row],[Rate]]-C2088,N2088)</f>
        <v>-1.0000000000000231E-2</v>
      </c>
    </row>
    <row r="2090" spans="1:14">
      <c r="A2090" s="67" t="s">
        <v>3442</v>
      </c>
      <c r="B2090" s="68">
        <v>3.0669215754139501</v>
      </c>
      <c r="C2090" s="69">
        <v>3.9049999999999998</v>
      </c>
      <c r="D2090" s="70">
        <f t="shared" si="224"/>
        <v>2</v>
      </c>
      <c r="E2090" s="70">
        <f t="shared" si="225"/>
        <v>0.2</v>
      </c>
      <c r="F2090" s="70">
        <f t="shared" si="226"/>
        <v>2</v>
      </c>
      <c r="G2090" s="70">
        <f t="shared" si="227"/>
        <v>1.2177763881427159</v>
      </c>
      <c r="H2090" s="70">
        <f t="shared" si="228"/>
        <v>0.4</v>
      </c>
      <c r="I2090" s="70">
        <f t="shared" si="229"/>
        <v>0</v>
      </c>
      <c r="J2090" s="70">
        <f t="shared" si="230"/>
        <v>0</v>
      </c>
      <c r="K2090" s="70">
        <f>IF(CurrentMtgRatesDataTable8[[#This Row],[WA CC]]&lt;&gt;0,C2089-CurrentMtgRatesDataTable8[[#This Row],[WA CC]],0)</f>
        <v>0</v>
      </c>
      <c r="L2090" s="70">
        <f>IF(CurrentMtgRatesDataTable8[[#This Row],[Servicing Spread]]&lt;=0,L2089,CurrentMtgRatesDataTable8[[#This Row],[Servicing Spread]])</f>
        <v>0.81408867685477215</v>
      </c>
      <c r="M2090" s="70">
        <f>CurrentMtgRatesDataTable8[[#This Row],[Servicing Spread Non-Zero]]-L2089</f>
        <v>0</v>
      </c>
      <c r="N2090" s="70">
        <f>IF(J2089&lt;&gt;0,CurrentMtgRatesDataTable8[[#This Row],[Rate]]-C2089,N2089)</f>
        <v>-1.0000000000000231E-2</v>
      </c>
    </row>
    <row r="2091" spans="1:14">
      <c r="A2091" s="67" t="s">
        <v>3443</v>
      </c>
      <c r="B2091" s="68">
        <v>3.0449639552276002</v>
      </c>
      <c r="C2091" s="69">
        <v>3.9049999999999998</v>
      </c>
      <c r="D2091" s="70">
        <f t="shared" si="224"/>
        <v>5</v>
      </c>
      <c r="E2091" s="70">
        <f t="shared" si="225"/>
        <v>0.2</v>
      </c>
      <c r="F2091" s="70">
        <f t="shared" si="226"/>
        <v>3</v>
      </c>
      <c r="G2091" s="70">
        <f t="shared" si="227"/>
        <v>1.8267691791882359</v>
      </c>
      <c r="H2091" s="70">
        <f t="shared" si="228"/>
        <v>0.60000000000000009</v>
      </c>
      <c r="I2091" s="70">
        <f t="shared" si="229"/>
        <v>0</v>
      </c>
      <c r="J2091" s="70">
        <f t="shared" si="230"/>
        <v>0</v>
      </c>
      <c r="K2091" s="70">
        <f>IF(CurrentMtgRatesDataTable8[[#This Row],[WA CC]]&lt;&gt;0,C2090-CurrentMtgRatesDataTable8[[#This Row],[WA CC]],0)</f>
        <v>0</v>
      </c>
      <c r="L2091" s="70">
        <f>IF(CurrentMtgRatesDataTable8[[#This Row],[Servicing Spread]]&lt;=0,L2090,CurrentMtgRatesDataTable8[[#This Row],[Servicing Spread]])</f>
        <v>0.81408867685477215</v>
      </c>
      <c r="M2091" s="70">
        <f>CurrentMtgRatesDataTable8[[#This Row],[Servicing Spread Non-Zero]]-L2090</f>
        <v>0</v>
      </c>
      <c r="N2091" s="70">
        <f>IF(J2090&lt;&gt;0,CurrentMtgRatesDataTable8[[#This Row],[Rate]]-C2090,N2090)</f>
        <v>-1.0000000000000231E-2</v>
      </c>
    </row>
    <row r="2092" spans="1:14">
      <c r="A2092" s="67" t="s">
        <v>3444</v>
      </c>
      <c r="B2092" s="68">
        <v>3.1649158455545399</v>
      </c>
      <c r="C2092" s="69">
        <v>3.9049999999999998</v>
      </c>
      <c r="D2092" s="70">
        <f t="shared" si="224"/>
        <v>6</v>
      </c>
      <c r="E2092" s="70">
        <f t="shared" si="225"/>
        <v>0.2</v>
      </c>
      <c r="F2092" s="70">
        <f t="shared" si="226"/>
        <v>4</v>
      </c>
      <c r="G2092" s="70">
        <f t="shared" si="227"/>
        <v>2.4597523482991441</v>
      </c>
      <c r="H2092" s="70">
        <f t="shared" si="228"/>
        <v>0.8</v>
      </c>
      <c r="I2092" s="70">
        <f t="shared" si="229"/>
        <v>0</v>
      </c>
      <c r="J2092" s="70">
        <f t="shared" si="230"/>
        <v>0</v>
      </c>
      <c r="K2092" s="70">
        <f>IF(CurrentMtgRatesDataTable8[[#This Row],[WA CC]]&lt;&gt;0,C2091-CurrentMtgRatesDataTable8[[#This Row],[WA CC]],0)</f>
        <v>0</v>
      </c>
      <c r="L2092" s="70">
        <f>IF(CurrentMtgRatesDataTable8[[#This Row],[Servicing Spread]]&lt;=0,L2091,CurrentMtgRatesDataTable8[[#This Row],[Servicing Spread]])</f>
        <v>0.81408867685477215</v>
      </c>
      <c r="M2092" s="70">
        <f>CurrentMtgRatesDataTable8[[#This Row],[Servicing Spread Non-Zero]]-L2091</f>
        <v>0</v>
      </c>
      <c r="N2092" s="70">
        <f>IF(J2091&lt;&gt;0,CurrentMtgRatesDataTable8[[#This Row],[Rate]]-C2091,N2091)</f>
        <v>-1.0000000000000231E-2</v>
      </c>
    </row>
    <row r="2093" spans="1:14">
      <c r="A2093" s="67" t="s">
        <v>19</v>
      </c>
      <c r="B2093" s="68">
        <v>3.10879854950432</v>
      </c>
      <c r="C2093" s="69">
        <v>3.9049999999999998</v>
      </c>
      <c r="D2093" s="70">
        <f t="shared" si="224"/>
        <v>7</v>
      </c>
      <c r="E2093" s="70">
        <f t="shared" si="225"/>
        <v>0.2</v>
      </c>
      <c r="F2093" s="70">
        <f t="shared" si="226"/>
        <v>5</v>
      </c>
      <c r="G2093" s="70">
        <f t="shared" si="227"/>
        <v>3.0815120582000084</v>
      </c>
      <c r="H2093" s="70">
        <f t="shared" si="228"/>
        <v>1</v>
      </c>
      <c r="I2093" s="70">
        <f t="shared" si="229"/>
        <v>1</v>
      </c>
      <c r="J2093" s="70">
        <f t="shared" si="230"/>
        <v>3.0815120582000084</v>
      </c>
      <c r="K2093" s="70">
        <f>IF(CurrentMtgRatesDataTable8[[#This Row],[WA CC]]&lt;&gt;0,C2092-CurrentMtgRatesDataTable8[[#This Row],[WA CC]],0)</f>
        <v>0.82348794179999141</v>
      </c>
      <c r="L2093" s="70">
        <f>IF(CurrentMtgRatesDataTable8[[#This Row],[Servicing Spread]]&lt;=0,L2092,CurrentMtgRatesDataTable8[[#This Row],[Servicing Spread]])</f>
        <v>0.82348794179999141</v>
      </c>
      <c r="M2093" s="70">
        <f>CurrentMtgRatesDataTable8[[#This Row],[Servicing Spread Non-Zero]]-L2092</f>
        <v>9.3992649452192545E-3</v>
      </c>
      <c r="N2093" s="70">
        <f>IF(J2092&lt;&gt;0,CurrentMtgRatesDataTable8[[#This Row],[Rate]]-C2092,N2092)</f>
        <v>-1.0000000000000231E-2</v>
      </c>
    </row>
    <row r="2094" spans="1:14">
      <c r="A2094" s="67" t="s">
        <v>586</v>
      </c>
      <c r="B2094" s="68">
        <v>3.0539631363774702</v>
      </c>
      <c r="C2094" s="69">
        <v>3.8049999999999997</v>
      </c>
      <c r="D2094" s="70">
        <f t="shared" si="224"/>
        <v>1</v>
      </c>
      <c r="E2094" s="70">
        <f t="shared" si="225"/>
        <v>0.2</v>
      </c>
      <c r="F2094" s="70">
        <f t="shared" si="226"/>
        <v>1</v>
      </c>
      <c r="G2094" s="70">
        <f t="shared" si="227"/>
        <v>0.6107926272754941</v>
      </c>
      <c r="H2094" s="70">
        <f t="shared" si="228"/>
        <v>0.2</v>
      </c>
      <c r="I2094" s="70">
        <f t="shared" si="229"/>
        <v>0</v>
      </c>
      <c r="J2094" s="70">
        <f t="shared" si="230"/>
        <v>0</v>
      </c>
      <c r="K2094" s="70">
        <f>IF(CurrentMtgRatesDataTable8[[#This Row],[WA CC]]&lt;&gt;0,C2093-CurrentMtgRatesDataTable8[[#This Row],[WA CC]],0)</f>
        <v>0</v>
      </c>
      <c r="L2094" s="70">
        <f>IF(CurrentMtgRatesDataTable8[[#This Row],[Servicing Spread]]&lt;=0,L2093,CurrentMtgRatesDataTable8[[#This Row],[Servicing Spread]])</f>
        <v>0.82348794179999141</v>
      </c>
      <c r="M2094" s="70">
        <f>CurrentMtgRatesDataTable8[[#This Row],[Servicing Spread Non-Zero]]-L2093</f>
        <v>0</v>
      </c>
      <c r="N2094" s="70">
        <f>IF(J2093&lt;&gt;0,CurrentMtgRatesDataTable8[[#This Row],[Rate]]-C2093,N2093)</f>
        <v>-0.10000000000000009</v>
      </c>
    </row>
    <row r="2095" spans="1:14">
      <c r="A2095" s="67" t="s">
        <v>441</v>
      </c>
      <c r="B2095" s="68">
        <v>2.93072207475555</v>
      </c>
      <c r="C2095" s="69">
        <v>3.8049999999999997</v>
      </c>
      <c r="D2095" s="70">
        <f t="shared" si="224"/>
        <v>2</v>
      </c>
      <c r="E2095" s="70">
        <f t="shared" si="225"/>
        <v>0.2</v>
      </c>
      <c r="F2095" s="70">
        <f t="shared" si="226"/>
        <v>2</v>
      </c>
      <c r="G2095" s="70">
        <f t="shared" si="227"/>
        <v>1.1969370422266041</v>
      </c>
      <c r="H2095" s="70">
        <f t="shared" si="228"/>
        <v>0.4</v>
      </c>
      <c r="I2095" s="70">
        <f t="shared" si="229"/>
        <v>0</v>
      </c>
      <c r="J2095" s="70">
        <f t="shared" si="230"/>
        <v>0</v>
      </c>
      <c r="K2095" s="70">
        <f>IF(CurrentMtgRatesDataTable8[[#This Row],[WA CC]]&lt;&gt;0,C2094-CurrentMtgRatesDataTable8[[#This Row],[WA CC]],0)</f>
        <v>0</v>
      </c>
      <c r="L2095" s="70">
        <f>IF(CurrentMtgRatesDataTable8[[#This Row],[Servicing Spread]]&lt;=0,L2094,CurrentMtgRatesDataTable8[[#This Row],[Servicing Spread]])</f>
        <v>0.82348794179999141</v>
      </c>
      <c r="M2095" s="70">
        <f>CurrentMtgRatesDataTable8[[#This Row],[Servicing Spread Non-Zero]]-L2094</f>
        <v>0</v>
      </c>
      <c r="N2095" s="70">
        <f>IF(J2094&lt;&gt;0,CurrentMtgRatesDataTable8[[#This Row],[Rate]]-C2094,N2094)</f>
        <v>-0.10000000000000009</v>
      </c>
    </row>
    <row r="2096" spans="1:14">
      <c r="A2096" s="67" t="s">
        <v>309</v>
      </c>
      <c r="B2096" s="68">
        <v>2.9115161148392898</v>
      </c>
      <c r="C2096" s="69">
        <v>3.8049999999999997</v>
      </c>
      <c r="D2096" s="70">
        <f t="shared" si="224"/>
        <v>5</v>
      </c>
      <c r="E2096" s="70">
        <f t="shared" si="225"/>
        <v>0.2</v>
      </c>
      <c r="F2096" s="70">
        <f t="shared" si="226"/>
        <v>3</v>
      </c>
      <c r="G2096" s="70">
        <f t="shared" si="227"/>
        <v>1.7792402651944621</v>
      </c>
      <c r="H2096" s="70">
        <f t="shared" si="228"/>
        <v>0.60000000000000009</v>
      </c>
      <c r="I2096" s="70">
        <f t="shared" si="229"/>
        <v>0</v>
      </c>
      <c r="J2096" s="70">
        <f t="shared" si="230"/>
        <v>0</v>
      </c>
      <c r="K2096" s="70">
        <f>IF(CurrentMtgRatesDataTable8[[#This Row],[WA CC]]&lt;&gt;0,C2095-CurrentMtgRatesDataTable8[[#This Row],[WA CC]],0)</f>
        <v>0</v>
      </c>
      <c r="L2096" s="70">
        <f>IF(CurrentMtgRatesDataTable8[[#This Row],[Servicing Spread]]&lt;=0,L2095,CurrentMtgRatesDataTable8[[#This Row],[Servicing Spread]])</f>
        <v>0.82348794179999141</v>
      </c>
      <c r="M2096" s="70">
        <f>CurrentMtgRatesDataTable8[[#This Row],[Servicing Spread Non-Zero]]-L2095</f>
        <v>0</v>
      </c>
      <c r="N2096" s="70">
        <f>IF(J2095&lt;&gt;0,CurrentMtgRatesDataTable8[[#This Row],[Rate]]-C2095,N2095)</f>
        <v>-0.10000000000000009</v>
      </c>
    </row>
    <row r="2097" spans="1:14">
      <c r="A2097" s="67" t="s">
        <v>165</v>
      </c>
      <c r="B2097" s="68">
        <v>2.9109852395687899</v>
      </c>
      <c r="C2097" s="69">
        <v>3.8049999999999997</v>
      </c>
      <c r="D2097" s="70">
        <f t="shared" si="224"/>
        <v>6</v>
      </c>
      <c r="E2097" s="70">
        <f t="shared" si="225"/>
        <v>0.2</v>
      </c>
      <c r="F2097" s="70">
        <f t="shared" si="226"/>
        <v>4</v>
      </c>
      <c r="G2097" s="70">
        <f t="shared" si="227"/>
        <v>2.3614373131082202</v>
      </c>
      <c r="H2097" s="70">
        <f t="shared" si="228"/>
        <v>0.8</v>
      </c>
      <c r="I2097" s="70">
        <f t="shared" si="229"/>
        <v>0</v>
      </c>
      <c r="J2097" s="70">
        <f t="shared" si="230"/>
        <v>0</v>
      </c>
      <c r="K2097" s="70">
        <f>IF(CurrentMtgRatesDataTable8[[#This Row],[WA CC]]&lt;&gt;0,C2096-CurrentMtgRatesDataTable8[[#This Row],[WA CC]],0)</f>
        <v>0</v>
      </c>
      <c r="L2097" s="70">
        <f>IF(CurrentMtgRatesDataTable8[[#This Row],[Servicing Spread]]&lt;=0,L2096,CurrentMtgRatesDataTable8[[#This Row],[Servicing Spread]])</f>
        <v>0.82348794179999141</v>
      </c>
      <c r="M2097" s="70">
        <f>CurrentMtgRatesDataTable8[[#This Row],[Servicing Spread Non-Zero]]-L2096</f>
        <v>0</v>
      </c>
      <c r="N2097" s="70">
        <f>IF(J2096&lt;&gt;0,CurrentMtgRatesDataTable8[[#This Row],[Rate]]-C2096,N2096)</f>
        <v>-0.10000000000000009</v>
      </c>
    </row>
    <row r="2098" spans="1:14">
      <c r="A2098" s="67" t="s">
        <v>20</v>
      </c>
      <c r="B2098" s="68">
        <v>2.9307831448374801</v>
      </c>
      <c r="C2098" s="69">
        <v>3.8049999999999997</v>
      </c>
      <c r="D2098" s="70">
        <f t="shared" si="224"/>
        <v>7</v>
      </c>
      <c r="E2098" s="70">
        <f t="shared" si="225"/>
        <v>0.2</v>
      </c>
      <c r="F2098" s="70">
        <f t="shared" si="226"/>
        <v>5</v>
      </c>
      <c r="G2098" s="70">
        <f t="shared" si="227"/>
        <v>2.9475939420757165</v>
      </c>
      <c r="H2098" s="70">
        <f t="shared" si="228"/>
        <v>1</v>
      </c>
      <c r="I2098" s="70">
        <f t="shared" si="229"/>
        <v>1</v>
      </c>
      <c r="J2098" s="70">
        <f t="shared" si="230"/>
        <v>2.9475939420757165</v>
      </c>
      <c r="K2098" s="70">
        <f>IF(CurrentMtgRatesDataTable8[[#This Row],[WA CC]]&lt;&gt;0,C2097-CurrentMtgRatesDataTable8[[#This Row],[WA CC]],0)</f>
        <v>0.85740605792428326</v>
      </c>
      <c r="L2098" s="70">
        <f>IF(CurrentMtgRatesDataTable8[[#This Row],[Servicing Spread]]&lt;=0,L2097,CurrentMtgRatesDataTable8[[#This Row],[Servicing Spread]])</f>
        <v>0.85740605792428326</v>
      </c>
      <c r="M2098" s="70">
        <f>CurrentMtgRatesDataTable8[[#This Row],[Servicing Spread Non-Zero]]-L2097</f>
        <v>3.3918116124291853E-2</v>
      </c>
      <c r="N2098" s="70">
        <f>IF(J2097&lt;&gt;0,CurrentMtgRatesDataTable8[[#This Row],[Rate]]-C2097,N2097)</f>
        <v>-0.10000000000000009</v>
      </c>
    </row>
    <row r="2099" spans="1:14">
      <c r="A2099" s="67" t="s">
        <v>587</v>
      </c>
      <c r="B2099" s="68">
        <v>2.9674500244903301</v>
      </c>
      <c r="C2099" s="69">
        <v>3.85</v>
      </c>
      <c r="D2099" s="70">
        <f t="shared" si="224"/>
        <v>1</v>
      </c>
      <c r="E2099" s="70">
        <f t="shared" si="225"/>
        <v>0.2</v>
      </c>
      <c r="F2099" s="70">
        <f t="shared" si="226"/>
        <v>1</v>
      </c>
      <c r="G2099" s="70">
        <f t="shared" si="227"/>
        <v>0.59349000489806603</v>
      </c>
      <c r="H2099" s="70">
        <f t="shared" si="228"/>
        <v>0.2</v>
      </c>
      <c r="I2099" s="70">
        <f t="shared" si="229"/>
        <v>0</v>
      </c>
      <c r="J2099" s="70">
        <f t="shared" si="230"/>
        <v>0</v>
      </c>
      <c r="K2099" s="70">
        <f>IF(CurrentMtgRatesDataTable8[[#This Row],[WA CC]]&lt;&gt;0,C2098-CurrentMtgRatesDataTable8[[#This Row],[WA CC]],0)</f>
        <v>0</v>
      </c>
      <c r="L2099" s="70">
        <f>IF(CurrentMtgRatesDataTable8[[#This Row],[Servicing Spread]]&lt;=0,L2098,CurrentMtgRatesDataTable8[[#This Row],[Servicing Spread]])</f>
        <v>0.85740605792428326</v>
      </c>
      <c r="M2099" s="70">
        <f>CurrentMtgRatesDataTable8[[#This Row],[Servicing Spread Non-Zero]]-L2098</f>
        <v>0</v>
      </c>
      <c r="N2099" s="70">
        <f>IF(J2098&lt;&gt;0,CurrentMtgRatesDataTable8[[#This Row],[Rate]]-C2098,N2098)</f>
        <v>4.5000000000000373E-2</v>
      </c>
    </row>
    <row r="2100" spans="1:14">
      <c r="A2100" s="67" t="s">
        <v>442</v>
      </c>
      <c r="B2100" s="68">
        <v>2.93226575052006</v>
      </c>
      <c r="C2100" s="69">
        <v>3.85</v>
      </c>
      <c r="D2100" s="70">
        <f t="shared" si="224"/>
        <v>2</v>
      </c>
      <c r="E2100" s="70">
        <f t="shared" si="225"/>
        <v>0.2</v>
      </c>
      <c r="F2100" s="70">
        <f t="shared" si="226"/>
        <v>2</v>
      </c>
      <c r="G2100" s="70">
        <f t="shared" si="227"/>
        <v>1.179943155002078</v>
      </c>
      <c r="H2100" s="70">
        <f t="shared" si="228"/>
        <v>0.4</v>
      </c>
      <c r="I2100" s="70">
        <f t="shared" si="229"/>
        <v>0</v>
      </c>
      <c r="J2100" s="70">
        <f t="shared" si="230"/>
        <v>0</v>
      </c>
      <c r="K2100" s="70">
        <f>IF(CurrentMtgRatesDataTable8[[#This Row],[WA CC]]&lt;&gt;0,C2099-CurrentMtgRatesDataTable8[[#This Row],[WA CC]],0)</f>
        <v>0</v>
      </c>
      <c r="L2100" s="70">
        <f>IF(CurrentMtgRatesDataTable8[[#This Row],[Servicing Spread]]&lt;=0,L2099,CurrentMtgRatesDataTable8[[#This Row],[Servicing Spread]])</f>
        <v>0.85740605792428326</v>
      </c>
      <c r="M2100" s="70">
        <f>CurrentMtgRatesDataTable8[[#This Row],[Servicing Spread Non-Zero]]-L2099</f>
        <v>0</v>
      </c>
      <c r="N2100" s="70">
        <f>IF(J2099&lt;&gt;0,CurrentMtgRatesDataTable8[[#This Row],[Rate]]-C2099,N2099)</f>
        <v>4.5000000000000373E-2</v>
      </c>
    </row>
    <row r="2101" spans="1:14">
      <c r="A2101" s="67" t="s">
        <v>310</v>
      </c>
      <c r="B2101" s="68">
        <v>2.91808321555345</v>
      </c>
      <c r="C2101" s="69">
        <v>3.85</v>
      </c>
      <c r="D2101" s="70">
        <f t="shared" si="224"/>
        <v>5</v>
      </c>
      <c r="E2101" s="70">
        <f t="shared" si="225"/>
        <v>0.2</v>
      </c>
      <c r="F2101" s="70">
        <f t="shared" si="226"/>
        <v>3</v>
      </c>
      <c r="G2101" s="70">
        <f t="shared" si="227"/>
        <v>1.7635597981127682</v>
      </c>
      <c r="H2101" s="70">
        <f t="shared" si="228"/>
        <v>0.60000000000000009</v>
      </c>
      <c r="I2101" s="70">
        <f t="shared" si="229"/>
        <v>0</v>
      </c>
      <c r="J2101" s="70">
        <f t="shared" si="230"/>
        <v>0</v>
      </c>
      <c r="K2101" s="70">
        <f>IF(CurrentMtgRatesDataTable8[[#This Row],[WA CC]]&lt;&gt;0,C2100-CurrentMtgRatesDataTable8[[#This Row],[WA CC]],0)</f>
        <v>0</v>
      </c>
      <c r="L2101" s="70">
        <f>IF(CurrentMtgRatesDataTable8[[#This Row],[Servicing Spread]]&lt;=0,L2100,CurrentMtgRatesDataTable8[[#This Row],[Servicing Spread]])</f>
        <v>0.85740605792428326</v>
      </c>
      <c r="M2101" s="70">
        <f>CurrentMtgRatesDataTable8[[#This Row],[Servicing Spread Non-Zero]]-L2100</f>
        <v>0</v>
      </c>
      <c r="N2101" s="70">
        <f>IF(J2100&lt;&gt;0,CurrentMtgRatesDataTable8[[#This Row],[Rate]]-C2100,N2100)</f>
        <v>4.5000000000000373E-2</v>
      </c>
    </row>
    <row r="2102" spans="1:14">
      <c r="A2102" s="67" t="s">
        <v>166</v>
      </c>
      <c r="B2102" s="68">
        <v>2.9570995386029302</v>
      </c>
      <c r="C2102" s="69">
        <v>3.85</v>
      </c>
      <c r="D2102" s="70">
        <f t="shared" si="224"/>
        <v>6</v>
      </c>
      <c r="E2102" s="70">
        <f t="shared" si="225"/>
        <v>0.2</v>
      </c>
      <c r="F2102" s="70">
        <f t="shared" si="226"/>
        <v>4</v>
      </c>
      <c r="G2102" s="70">
        <f t="shared" si="227"/>
        <v>2.3549797058333541</v>
      </c>
      <c r="H2102" s="70">
        <f t="shared" si="228"/>
        <v>0.8</v>
      </c>
      <c r="I2102" s="70">
        <f t="shared" si="229"/>
        <v>0</v>
      </c>
      <c r="J2102" s="70">
        <f t="shared" si="230"/>
        <v>0</v>
      </c>
      <c r="K2102" s="70">
        <f>IF(CurrentMtgRatesDataTable8[[#This Row],[WA CC]]&lt;&gt;0,C2101-CurrentMtgRatesDataTable8[[#This Row],[WA CC]],0)</f>
        <v>0</v>
      </c>
      <c r="L2102" s="70">
        <f>IF(CurrentMtgRatesDataTable8[[#This Row],[Servicing Spread]]&lt;=0,L2101,CurrentMtgRatesDataTable8[[#This Row],[Servicing Spread]])</f>
        <v>0.85740605792428326</v>
      </c>
      <c r="M2102" s="70">
        <f>CurrentMtgRatesDataTable8[[#This Row],[Servicing Spread Non-Zero]]-L2101</f>
        <v>0</v>
      </c>
      <c r="N2102" s="70">
        <f>IF(J2101&lt;&gt;0,CurrentMtgRatesDataTable8[[#This Row],[Rate]]-C2101,N2101)</f>
        <v>4.5000000000000373E-2</v>
      </c>
    </row>
    <row r="2103" spans="1:14">
      <c r="A2103" s="67" t="s">
        <v>21</v>
      </c>
      <c r="B2103" s="68">
        <v>2.9304565344863098</v>
      </c>
      <c r="C2103" s="69">
        <v>3.85</v>
      </c>
      <c r="D2103" s="70">
        <f t="shared" si="224"/>
        <v>7</v>
      </c>
      <c r="E2103" s="70">
        <f t="shared" si="225"/>
        <v>0.2</v>
      </c>
      <c r="F2103" s="70">
        <f t="shared" si="226"/>
        <v>5</v>
      </c>
      <c r="G2103" s="70">
        <f t="shared" si="227"/>
        <v>2.9410710127306161</v>
      </c>
      <c r="H2103" s="70">
        <f t="shared" si="228"/>
        <v>1</v>
      </c>
      <c r="I2103" s="70">
        <f t="shared" si="229"/>
        <v>1</v>
      </c>
      <c r="J2103" s="70">
        <f t="shared" si="230"/>
        <v>2.9410710127306161</v>
      </c>
      <c r="K2103" s="70">
        <f>IF(CurrentMtgRatesDataTable8[[#This Row],[WA CC]]&lt;&gt;0,C2102-CurrentMtgRatesDataTable8[[#This Row],[WA CC]],0)</f>
        <v>0.90892898726938398</v>
      </c>
      <c r="L2103" s="70">
        <f>IF(CurrentMtgRatesDataTable8[[#This Row],[Servicing Spread]]&lt;=0,L2102,CurrentMtgRatesDataTable8[[#This Row],[Servicing Spread]])</f>
        <v>0.90892898726938398</v>
      </c>
      <c r="M2103" s="70">
        <f>CurrentMtgRatesDataTable8[[#This Row],[Servicing Spread Non-Zero]]-L2102</f>
        <v>5.1522929345100721E-2</v>
      </c>
      <c r="N2103" s="70">
        <f>IF(J2102&lt;&gt;0,CurrentMtgRatesDataTable8[[#This Row],[Rate]]-C2102,N2102)</f>
        <v>4.5000000000000373E-2</v>
      </c>
    </row>
    <row r="2104" spans="1:14">
      <c r="A2104" s="67" t="s">
        <v>588</v>
      </c>
      <c r="B2104" s="68">
        <v>2.8874390264499499</v>
      </c>
      <c r="C2104" s="69">
        <v>3.8049999999999997</v>
      </c>
      <c r="D2104" s="70">
        <f t="shared" si="224"/>
        <v>1</v>
      </c>
      <c r="E2104" s="70">
        <f t="shared" si="225"/>
        <v>0.2</v>
      </c>
      <c r="F2104" s="70">
        <f t="shared" si="226"/>
        <v>1</v>
      </c>
      <c r="G2104" s="70">
        <f t="shared" si="227"/>
        <v>0.57748780528999</v>
      </c>
      <c r="H2104" s="70">
        <f t="shared" si="228"/>
        <v>0.2</v>
      </c>
      <c r="I2104" s="70">
        <f t="shared" si="229"/>
        <v>0</v>
      </c>
      <c r="J2104" s="70">
        <f t="shared" si="230"/>
        <v>0</v>
      </c>
      <c r="K2104" s="70">
        <f>IF(CurrentMtgRatesDataTable8[[#This Row],[WA CC]]&lt;&gt;0,C2103-CurrentMtgRatesDataTable8[[#This Row],[WA CC]],0)</f>
        <v>0</v>
      </c>
      <c r="L2104" s="70">
        <f>IF(CurrentMtgRatesDataTable8[[#This Row],[Servicing Spread]]&lt;=0,L2103,CurrentMtgRatesDataTable8[[#This Row],[Servicing Spread]])</f>
        <v>0.90892898726938398</v>
      </c>
      <c r="M2104" s="70">
        <f>CurrentMtgRatesDataTable8[[#This Row],[Servicing Spread Non-Zero]]-L2103</f>
        <v>0</v>
      </c>
      <c r="N2104" s="70">
        <f>IF(J2103&lt;&gt;0,CurrentMtgRatesDataTable8[[#This Row],[Rate]]-C2103,N2103)</f>
        <v>-4.5000000000000373E-2</v>
      </c>
    </row>
    <row r="2105" spans="1:14">
      <c r="A2105" s="67" t="s">
        <v>443</v>
      </c>
      <c r="B2105" s="68">
        <v>2.90335136163185</v>
      </c>
      <c r="C2105" s="69">
        <v>3.8049999999999997</v>
      </c>
      <c r="D2105" s="70">
        <f t="shared" si="224"/>
        <v>2</v>
      </c>
      <c r="E2105" s="70">
        <f t="shared" si="225"/>
        <v>0.2</v>
      </c>
      <c r="F2105" s="70">
        <f t="shared" si="226"/>
        <v>2</v>
      </c>
      <c r="G2105" s="70">
        <f t="shared" si="227"/>
        <v>1.15815807761636</v>
      </c>
      <c r="H2105" s="70">
        <f t="shared" si="228"/>
        <v>0.4</v>
      </c>
      <c r="I2105" s="70">
        <f t="shared" si="229"/>
        <v>0</v>
      </c>
      <c r="J2105" s="70">
        <f t="shared" si="230"/>
        <v>0</v>
      </c>
      <c r="K2105" s="70">
        <f>IF(CurrentMtgRatesDataTable8[[#This Row],[WA CC]]&lt;&gt;0,C2104-CurrentMtgRatesDataTable8[[#This Row],[WA CC]],0)</f>
        <v>0</v>
      </c>
      <c r="L2105" s="70">
        <f>IF(CurrentMtgRatesDataTable8[[#This Row],[Servicing Spread]]&lt;=0,L2104,CurrentMtgRatesDataTable8[[#This Row],[Servicing Spread]])</f>
        <v>0.90892898726938398</v>
      </c>
      <c r="M2105" s="70">
        <f>CurrentMtgRatesDataTable8[[#This Row],[Servicing Spread Non-Zero]]-L2104</f>
        <v>0</v>
      </c>
      <c r="N2105" s="70">
        <f>IF(J2104&lt;&gt;0,CurrentMtgRatesDataTable8[[#This Row],[Rate]]-C2104,N2104)</f>
        <v>-4.5000000000000373E-2</v>
      </c>
    </row>
    <row r="2106" spans="1:14">
      <c r="A2106" s="67" t="s">
        <v>311</v>
      </c>
      <c r="B2106" s="68">
        <v>2.8708141508909</v>
      </c>
      <c r="C2106" s="69">
        <v>3.8049999999999997</v>
      </c>
      <c r="D2106" s="70">
        <f t="shared" si="224"/>
        <v>5</v>
      </c>
      <c r="E2106" s="70">
        <f t="shared" si="225"/>
        <v>0.2</v>
      </c>
      <c r="F2106" s="70">
        <f t="shared" si="226"/>
        <v>3</v>
      </c>
      <c r="G2106" s="70">
        <f t="shared" si="227"/>
        <v>1.7323209077945401</v>
      </c>
      <c r="H2106" s="70">
        <f t="shared" si="228"/>
        <v>0.60000000000000009</v>
      </c>
      <c r="I2106" s="70">
        <f t="shared" si="229"/>
        <v>0</v>
      </c>
      <c r="J2106" s="70">
        <f t="shared" si="230"/>
        <v>0</v>
      </c>
      <c r="K2106" s="70">
        <f>IF(CurrentMtgRatesDataTable8[[#This Row],[WA CC]]&lt;&gt;0,C2105-CurrentMtgRatesDataTable8[[#This Row],[WA CC]],0)</f>
        <v>0</v>
      </c>
      <c r="L2106" s="70">
        <f>IF(CurrentMtgRatesDataTable8[[#This Row],[Servicing Spread]]&lt;=0,L2105,CurrentMtgRatesDataTable8[[#This Row],[Servicing Spread]])</f>
        <v>0.90892898726938398</v>
      </c>
      <c r="M2106" s="70">
        <f>CurrentMtgRatesDataTable8[[#This Row],[Servicing Spread Non-Zero]]-L2105</f>
        <v>0</v>
      </c>
      <c r="N2106" s="70">
        <f>IF(J2105&lt;&gt;0,CurrentMtgRatesDataTable8[[#This Row],[Rate]]-C2105,N2105)</f>
        <v>-4.5000000000000373E-2</v>
      </c>
    </row>
    <row r="2107" spans="1:14">
      <c r="A2107" s="67" t="s">
        <v>167</v>
      </c>
      <c r="B2107" s="68">
        <v>2.9009701197976399</v>
      </c>
      <c r="C2107" s="69">
        <v>3.8049999999999997</v>
      </c>
      <c r="D2107" s="70">
        <f t="shared" si="224"/>
        <v>6</v>
      </c>
      <c r="E2107" s="70">
        <f t="shared" si="225"/>
        <v>0.2</v>
      </c>
      <c r="F2107" s="70">
        <f t="shared" si="226"/>
        <v>4</v>
      </c>
      <c r="G2107" s="70">
        <f t="shared" si="227"/>
        <v>2.3125149317540679</v>
      </c>
      <c r="H2107" s="70">
        <f t="shared" si="228"/>
        <v>0.8</v>
      </c>
      <c r="I2107" s="70">
        <f t="shared" si="229"/>
        <v>0</v>
      </c>
      <c r="J2107" s="70">
        <f t="shared" si="230"/>
        <v>0</v>
      </c>
      <c r="K2107" s="70">
        <f>IF(CurrentMtgRatesDataTable8[[#This Row],[WA CC]]&lt;&gt;0,C2106-CurrentMtgRatesDataTable8[[#This Row],[WA CC]],0)</f>
        <v>0</v>
      </c>
      <c r="L2107" s="70">
        <f>IF(CurrentMtgRatesDataTable8[[#This Row],[Servicing Spread]]&lt;=0,L2106,CurrentMtgRatesDataTable8[[#This Row],[Servicing Spread]])</f>
        <v>0.90892898726938398</v>
      </c>
      <c r="M2107" s="70">
        <f>CurrentMtgRatesDataTable8[[#This Row],[Servicing Spread Non-Zero]]-L2106</f>
        <v>0</v>
      </c>
      <c r="N2107" s="70">
        <f>IF(J2106&lt;&gt;0,CurrentMtgRatesDataTable8[[#This Row],[Rate]]-C2106,N2106)</f>
        <v>-4.5000000000000373E-2</v>
      </c>
    </row>
    <row r="2108" spans="1:14">
      <c r="A2108" s="67" t="s">
        <v>22</v>
      </c>
      <c r="B2108" s="68">
        <v>2.9224114614009999</v>
      </c>
      <c r="C2108" s="69">
        <v>3.8049999999999997</v>
      </c>
      <c r="D2108" s="70">
        <f t="shared" si="224"/>
        <v>7</v>
      </c>
      <c r="E2108" s="70">
        <f t="shared" si="225"/>
        <v>0.2</v>
      </c>
      <c r="F2108" s="70">
        <f t="shared" si="226"/>
        <v>5</v>
      </c>
      <c r="G2108" s="70">
        <f t="shared" si="227"/>
        <v>2.8969972240342678</v>
      </c>
      <c r="H2108" s="70">
        <f t="shared" si="228"/>
        <v>1</v>
      </c>
      <c r="I2108" s="70">
        <f t="shared" si="229"/>
        <v>1</v>
      </c>
      <c r="J2108" s="70">
        <f t="shared" si="230"/>
        <v>2.8969972240342678</v>
      </c>
      <c r="K2108" s="70">
        <f>IF(CurrentMtgRatesDataTable8[[#This Row],[WA CC]]&lt;&gt;0,C2107-CurrentMtgRatesDataTable8[[#This Row],[WA CC]],0)</f>
        <v>0.90800277596573187</v>
      </c>
      <c r="L2108" s="70">
        <f>IF(CurrentMtgRatesDataTable8[[#This Row],[Servicing Spread]]&lt;=0,L2107,CurrentMtgRatesDataTable8[[#This Row],[Servicing Spread]])</f>
        <v>0.90800277596573187</v>
      </c>
      <c r="M2108" s="70">
        <f>CurrentMtgRatesDataTable8[[#This Row],[Servicing Spread Non-Zero]]-L2107</f>
        <v>-9.2621130365211357E-4</v>
      </c>
      <c r="N2108" s="70">
        <f>IF(J2107&lt;&gt;0,CurrentMtgRatesDataTable8[[#This Row],[Rate]]-C2107,N2107)</f>
        <v>-4.5000000000000373E-2</v>
      </c>
    </row>
    <row r="2109" spans="1:14">
      <c r="A2109" s="67" t="s">
        <v>589</v>
      </c>
      <c r="B2109" s="68">
        <v>2.8924009736045302</v>
      </c>
      <c r="C2109" s="69">
        <v>3.79</v>
      </c>
      <c r="D2109" s="70">
        <f t="shared" si="224"/>
        <v>1</v>
      </c>
      <c r="E2109" s="70">
        <f t="shared" si="225"/>
        <v>0.2</v>
      </c>
      <c r="F2109" s="70">
        <f t="shared" si="226"/>
        <v>1</v>
      </c>
      <c r="G2109" s="70">
        <f t="shared" si="227"/>
        <v>0.57848019472090606</v>
      </c>
      <c r="H2109" s="70">
        <f t="shared" si="228"/>
        <v>0.2</v>
      </c>
      <c r="I2109" s="70">
        <f t="shared" si="229"/>
        <v>0</v>
      </c>
      <c r="J2109" s="70">
        <f t="shared" si="230"/>
        <v>0</v>
      </c>
      <c r="K2109" s="70">
        <f>IF(CurrentMtgRatesDataTable8[[#This Row],[WA CC]]&lt;&gt;0,C2108-CurrentMtgRatesDataTable8[[#This Row],[WA CC]],0)</f>
        <v>0</v>
      </c>
      <c r="L2109" s="70">
        <f>IF(CurrentMtgRatesDataTable8[[#This Row],[Servicing Spread]]&lt;=0,L2108,CurrentMtgRatesDataTable8[[#This Row],[Servicing Spread]])</f>
        <v>0.90800277596573187</v>
      </c>
      <c r="M2109" s="70">
        <f>CurrentMtgRatesDataTable8[[#This Row],[Servicing Spread Non-Zero]]-L2108</f>
        <v>0</v>
      </c>
      <c r="N2109" s="70">
        <f>IF(J2108&lt;&gt;0,CurrentMtgRatesDataTable8[[#This Row],[Rate]]-C2108,N2108)</f>
        <v>-1.499999999999968E-2</v>
      </c>
    </row>
    <row r="2110" spans="1:14">
      <c r="A2110" s="67" t="s">
        <v>444</v>
      </c>
      <c r="B2110" s="68">
        <v>2.8716721168117001</v>
      </c>
      <c r="C2110" s="69">
        <v>3.79</v>
      </c>
      <c r="D2110" s="70">
        <f t="shared" si="224"/>
        <v>2</v>
      </c>
      <c r="E2110" s="70">
        <f t="shared" si="225"/>
        <v>0.2</v>
      </c>
      <c r="F2110" s="70">
        <f t="shared" si="226"/>
        <v>2</v>
      </c>
      <c r="G2110" s="70">
        <f t="shared" si="227"/>
        <v>1.1528146180832461</v>
      </c>
      <c r="H2110" s="70">
        <f t="shared" si="228"/>
        <v>0.4</v>
      </c>
      <c r="I2110" s="70">
        <f t="shared" si="229"/>
        <v>0</v>
      </c>
      <c r="J2110" s="70">
        <f t="shared" si="230"/>
        <v>0</v>
      </c>
      <c r="K2110" s="70">
        <f>IF(CurrentMtgRatesDataTable8[[#This Row],[WA CC]]&lt;&gt;0,C2109-CurrentMtgRatesDataTable8[[#This Row],[WA CC]],0)</f>
        <v>0</v>
      </c>
      <c r="L2110" s="70">
        <f>IF(CurrentMtgRatesDataTable8[[#This Row],[Servicing Spread]]&lt;=0,L2109,CurrentMtgRatesDataTable8[[#This Row],[Servicing Spread]])</f>
        <v>0.90800277596573187</v>
      </c>
      <c r="M2110" s="70">
        <f>CurrentMtgRatesDataTable8[[#This Row],[Servicing Spread Non-Zero]]-L2109</f>
        <v>0</v>
      </c>
      <c r="N2110" s="70">
        <f>IF(J2109&lt;&gt;0,CurrentMtgRatesDataTable8[[#This Row],[Rate]]-C2109,N2109)</f>
        <v>-1.499999999999968E-2</v>
      </c>
    </row>
    <row r="2111" spans="1:14">
      <c r="A2111" s="67" t="s">
        <v>312</v>
      </c>
      <c r="B2111" s="68">
        <v>2.8585941716778001</v>
      </c>
      <c r="C2111" s="69">
        <v>3.79</v>
      </c>
      <c r="D2111" s="70">
        <f t="shared" si="224"/>
        <v>5</v>
      </c>
      <c r="E2111" s="70">
        <f t="shared" si="225"/>
        <v>0.2</v>
      </c>
      <c r="F2111" s="70">
        <f t="shared" si="226"/>
        <v>3</v>
      </c>
      <c r="G2111" s="70">
        <f t="shared" si="227"/>
        <v>1.7245334524188061</v>
      </c>
      <c r="H2111" s="70">
        <f t="shared" si="228"/>
        <v>0.60000000000000009</v>
      </c>
      <c r="I2111" s="70">
        <f t="shared" si="229"/>
        <v>0</v>
      </c>
      <c r="J2111" s="70">
        <f t="shared" si="230"/>
        <v>0</v>
      </c>
      <c r="K2111" s="70">
        <f>IF(CurrentMtgRatesDataTable8[[#This Row],[WA CC]]&lt;&gt;0,C2110-CurrentMtgRatesDataTable8[[#This Row],[WA CC]],0)</f>
        <v>0</v>
      </c>
      <c r="L2111" s="70">
        <f>IF(CurrentMtgRatesDataTable8[[#This Row],[Servicing Spread]]&lt;=0,L2110,CurrentMtgRatesDataTable8[[#This Row],[Servicing Spread]])</f>
        <v>0.90800277596573187</v>
      </c>
      <c r="M2111" s="70">
        <f>CurrentMtgRatesDataTable8[[#This Row],[Servicing Spread Non-Zero]]-L2110</f>
        <v>0</v>
      </c>
      <c r="N2111" s="70">
        <f>IF(J2110&lt;&gt;0,CurrentMtgRatesDataTable8[[#This Row],[Rate]]-C2110,N2110)</f>
        <v>-1.499999999999968E-2</v>
      </c>
    </row>
    <row r="2112" spans="1:14">
      <c r="A2112" s="67" t="s">
        <v>168</v>
      </c>
      <c r="B2112" s="68">
        <v>2.8908484323394701</v>
      </c>
      <c r="C2112" s="69">
        <v>3.79</v>
      </c>
      <c r="D2112" s="70">
        <f t="shared" si="224"/>
        <v>6</v>
      </c>
      <c r="E2112" s="70">
        <f t="shared" si="225"/>
        <v>0.2</v>
      </c>
      <c r="F2112" s="70">
        <f t="shared" si="226"/>
        <v>4</v>
      </c>
      <c r="G2112" s="70">
        <f t="shared" si="227"/>
        <v>2.3027031388867001</v>
      </c>
      <c r="H2112" s="70">
        <f t="shared" si="228"/>
        <v>0.8</v>
      </c>
      <c r="I2112" s="70">
        <f t="shared" si="229"/>
        <v>0</v>
      </c>
      <c r="J2112" s="70">
        <f t="shared" si="230"/>
        <v>0</v>
      </c>
      <c r="K2112" s="70">
        <f>IF(CurrentMtgRatesDataTable8[[#This Row],[WA CC]]&lt;&gt;0,C2111-CurrentMtgRatesDataTable8[[#This Row],[WA CC]],0)</f>
        <v>0</v>
      </c>
      <c r="L2112" s="70">
        <f>IF(CurrentMtgRatesDataTable8[[#This Row],[Servicing Spread]]&lt;=0,L2111,CurrentMtgRatesDataTable8[[#This Row],[Servicing Spread]])</f>
        <v>0.90800277596573187</v>
      </c>
      <c r="M2112" s="70">
        <f>CurrentMtgRatesDataTable8[[#This Row],[Servicing Spread Non-Zero]]-L2111</f>
        <v>0</v>
      </c>
      <c r="N2112" s="70">
        <f>IF(J2111&lt;&gt;0,CurrentMtgRatesDataTable8[[#This Row],[Rate]]-C2111,N2111)</f>
        <v>-1.499999999999968E-2</v>
      </c>
    </row>
    <row r="2113" spans="1:14">
      <c r="A2113" s="67" t="s">
        <v>23</v>
      </c>
      <c r="B2113" s="68">
        <v>2.8733809550088201</v>
      </c>
      <c r="C2113" s="69">
        <v>3.79</v>
      </c>
      <c r="D2113" s="70">
        <f t="shared" si="224"/>
        <v>7</v>
      </c>
      <c r="E2113" s="70">
        <f t="shared" si="225"/>
        <v>0.2</v>
      </c>
      <c r="F2113" s="70">
        <f t="shared" si="226"/>
        <v>5</v>
      </c>
      <c r="G2113" s="70">
        <f t="shared" si="227"/>
        <v>2.877379329888464</v>
      </c>
      <c r="H2113" s="70">
        <f t="shared" si="228"/>
        <v>1</v>
      </c>
      <c r="I2113" s="70">
        <f t="shared" si="229"/>
        <v>1</v>
      </c>
      <c r="J2113" s="70">
        <f t="shared" si="230"/>
        <v>2.877379329888464</v>
      </c>
      <c r="K2113" s="70">
        <f>IF(CurrentMtgRatesDataTable8[[#This Row],[WA CC]]&lt;&gt;0,C2112-CurrentMtgRatesDataTable8[[#This Row],[WA CC]],0)</f>
        <v>0.91262067011153603</v>
      </c>
      <c r="L2113" s="70">
        <f>IF(CurrentMtgRatesDataTable8[[#This Row],[Servicing Spread]]&lt;=0,L2112,CurrentMtgRatesDataTable8[[#This Row],[Servicing Spread]])</f>
        <v>0.91262067011153603</v>
      </c>
      <c r="M2113" s="70">
        <f>CurrentMtgRatesDataTable8[[#This Row],[Servicing Spread Non-Zero]]-L2112</f>
        <v>4.6178941458041578E-3</v>
      </c>
      <c r="N2113" s="70">
        <f>IF(J2112&lt;&gt;0,CurrentMtgRatesDataTable8[[#This Row],[Rate]]-C2112,N2112)</f>
        <v>-1.499999999999968E-2</v>
      </c>
    </row>
    <row r="2114" spans="1:14">
      <c r="A2114" s="67" t="s">
        <v>590</v>
      </c>
      <c r="B2114" s="68">
        <v>2.88233463781564</v>
      </c>
      <c r="C2114" s="69">
        <v>3.7549999999999999</v>
      </c>
      <c r="D2114" s="70">
        <f t="shared" si="224"/>
        <v>1</v>
      </c>
      <c r="E2114" s="70">
        <f t="shared" si="225"/>
        <v>0.2</v>
      </c>
      <c r="F2114" s="70">
        <f t="shared" si="226"/>
        <v>1</v>
      </c>
      <c r="G2114" s="70">
        <f t="shared" si="227"/>
        <v>0.57646692756312801</v>
      </c>
      <c r="H2114" s="70">
        <f t="shared" si="228"/>
        <v>0.2</v>
      </c>
      <c r="I2114" s="70">
        <f t="shared" si="229"/>
        <v>0</v>
      </c>
      <c r="J2114" s="70">
        <f t="shared" si="230"/>
        <v>0</v>
      </c>
      <c r="K2114" s="70">
        <f>IF(CurrentMtgRatesDataTable8[[#This Row],[WA CC]]&lt;&gt;0,C2113-CurrentMtgRatesDataTable8[[#This Row],[WA CC]],0)</f>
        <v>0</v>
      </c>
      <c r="L2114" s="70">
        <f>IF(CurrentMtgRatesDataTable8[[#This Row],[Servicing Spread]]&lt;=0,L2113,CurrentMtgRatesDataTable8[[#This Row],[Servicing Spread]])</f>
        <v>0.91262067011153603</v>
      </c>
      <c r="M2114" s="70">
        <f>CurrentMtgRatesDataTable8[[#This Row],[Servicing Spread Non-Zero]]-L2113</f>
        <v>0</v>
      </c>
      <c r="N2114" s="70">
        <f>IF(J2113&lt;&gt;0,CurrentMtgRatesDataTable8[[#This Row],[Rate]]-C2113,N2113)</f>
        <v>-3.5000000000000142E-2</v>
      </c>
    </row>
    <row r="2115" spans="1:14">
      <c r="A2115" s="67" t="s">
        <v>445</v>
      </c>
      <c r="B2115" s="68">
        <v>2.8508681241779898</v>
      </c>
      <c r="C2115" s="69">
        <v>3.7549999999999999</v>
      </c>
      <c r="D2115" s="70">
        <f t="shared" si="224"/>
        <v>2</v>
      </c>
      <c r="E2115" s="70">
        <f t="shared" si="225"/>
        <v>0.2</v>
      </c>
      <c r="F2115" s="70">
        <f t="shared" si="226"/>
        <v>2</v>
      </c>
      <c r="G2115" s="70">
        <f t="shared" si="227"/>
        <v>1.146640552398726</v>
      </c>
      <c r="H2115" s="70">
        <f t="shared" si="228"/>
        <v>0.4</v>
      </c>
      <c r="I2115" s="70">
        <f t="shared" si="229"/>
        <v>0</v>
      </c>
      <c r="J2115" s="70">
        <f t="shared" si="230"/>
        <v>0</v>
      </c>
      <c r="K2115" s="70">
        <f>IF(CurrentMtgRatesDataTable8[[#This Row],[WA CC]]&lt;&gt;0,C2114-CurrentMtgRatesDataTable8[[#This Row],[WA CC]],0)</f>
        <v>0</v>
      </c>
      <c r="L2115" s="70">
        <f>IF(CurrentMtgRatesDataTable8[[#This Row],[Servicing Spread]]&lt;=0,L2114,CurrentMtgRatesDataTable8[[#This Row],[Servicing Spread]])</f>
        <v>0.91262067011153603</v>
      </c>
      <c r="M2115" s="70">
        <f>CurrentMtgRatesDataTable8[[#This Row],[Servicing Spread Non-Zero]]-L2114</f>
        <v>0</v>
      </c>
      <c r="N2115" s="70">
        <f>IF(J2114&lt;&gt;0,CurrentMtgRatesDataTable8[[#This Row],[Rate]]-C2114,N2114)</f>
        <v>-3.5000000000000142E-2</v>
      </c>
    </row>
    <row r="2116" spans="1:14">
      <c r="A2116" s="67" t="s">
        <v>313</v>
      </c>
      <c r="B2116" s="68">
        <v>2.85847369417964</v>
      </c>
      <c r="C2116" s="69">
        <v>3.7549999999999999</v>
      </c>
      <c r="D2116" s="70">
        <f t="shared" si="224"/>
        <v>5</v>
      </c>
      <c r="E2116" s="70">
        <f t="shared" si="225"/>
        <v>0.2</v>
      </c>
      <c r="F2116" s="70">
        <f t="shared" si="226"/>
        <v>3</v>
      </c>
      <c r="G2116" s="70">
        <f t="shared" si="227"/>
        <v>1.7183352912346539</v>
      </c>
      <c r="H2116" s="70">
        <f t="shared" si="228"/>
        <v>0.60000000000000009</v>
      </c>
      <c r="I2116" s="70">
        <f t="shared" si="229"/>
        <v>0</v>
      </c>
      <c r="J2116" s="70">
        <f t="shared" si="230"/>
        <v>0</v>
      </c>
      <c r="K2116" s="70">
        <f>IF(CurrentMtgRatesDataTable8[[#This Row],[WA CC]]&lt;&gt;0,C2115-CurrentMtgRatesDataTable8[[#This Row],[WA CC]],0)</f>
        <v>0</v>
      </c>
      <c r="L2116" s="70">
        <f>IF(CurrentMtgRatesDataTable8[[#This Row],[Servicing Spread]]&lt;=0,L2115,CurrentMtgRatesDataTable8[[#This Row],[Servicing Spread]])</f>
        <v>0.91262067011153603</v>
      </c>
      <c r="M2116" s="70">
        <f>CurrentMtgRatesDataTable8[[#This Row],[Servicing Spread Non-Zero]]-L2115</f>
        <v>0</v>
      </c>
      <c r="N2116" s="70">
        <f>IF(J2115&lt;&gt;0,CurrentMtgRatesDataTable8[[#This Row],[Rate]]-C2115,N2115)</f>
        <v>-3.5000000000000142E-2</v>
      </c>
    </row>
    <row r="2117" spans="1:14">
      <c r="A2117" s="67" t="s">
        <v>169</v>
      </c>
      <c r="B2117" s="68">
        <v>2.8457023219339699</v>
      </c>
      <c r="C2117" s="69">
        <v>3.7549999999999999</v>
      </c>
      <c r="D2117" s="70">
        <f t="shared" ref="D2117:D2180" si="231">WEEKDAY(A2117,14)</f>
        <v>6</v>
      </c>
      <c r="E2117" s="70">
        <f t="shared" ref="E2117:E2180" si="232">VLOOKUP(D2117,Q$5:R$11,2,FALSE)</f>
        <v>0.2</v>
      </c>
      <c r="F2117" s="70">
        <f t="shared" ref="F2117:F2180" si="233">IF(AND(D2117&gt;D2116,F2116&lt;6),F2116+1,1)</f>
        <v>4</v>
      </c>
      <c r="G2117" s="70">
        <f t="shared" ref="G2117:G2180" si="234">IF(F2117&gt;F2116,G2116+B2117*E2117,B2117*E2117)</f>
        <v>2.2874757556214478</v>
      </c>
      <c r="H2117" s="70">
        <f t="shared" ref="H2117:H2180" si="235">IF(AND(F2117&lt;6,F2117&gt;F2116),E2117+H2116,E2117)</f>
        <v>0.8</v>
      </c>
      <c r="I2117" s="70">
        <f t="shared" ref="I2117:I2180" si="236">IF(F2117&gt;F2118,1,0)</f>
        <v>0</v>
      </c>
      <c r="J2117" s="70">
        <f t="shared" ref="J2117:J2180" si="237">IF(F2117&gt;F2118,G2117/H2117,0)</f>
        <v>0</v>
      </c>
      <c r="K2117" s="70">
        <f>IF(CurrentMtgRatesDataTable8[[#This Row],[WA CC]]&lt;&gt;0,C2116-CurrentMtgRatesDataTable8[[#This Row],[WA CC]],0)</f>
        <v>0</v>
      </c>
      <c r="L2117" s="70">
        <f>IF(CurrentMtgRatesDataTable8[[#This Row],[Servicing Spread]]&lt;=0,L2116,CurrentMtgRatesDataTable8[[#This Row],[Servicing Spread]])</f>
        <v>0.91262067011153603</v>
      </c>
      <c r="M2117" s="70">
        <f>CurrentMtgRatesDataTable8[[#This Row],[Servicing Spread Non-Zero]]-L2116</f>
        <v>0</v>
      </c>
      <c r="N2117" s="70">
        <f>IF(J2116&lt;&gt;0,CurrentMtgRatesDataTable8[[#This Row],[Rate]]-C2116,N2116)</f>
        <v>-3.5000000000000142E-2</v>
      </c>
    </row>
    <row r="2118" spans="1:14">
      <c r="A2118" s="67" t="s">
        <v>24</v>
      </c>
      <c r="B2118" s="68">
        <v>2.8327642978398999</v>
      </c>
      <c r="C2118" s="69">
        <v>3.7549999999999999</v>
      </c>
      <c r="D2118" s="70">
        <f t="shared" si="231"/>
        <v>7</v>
      </c>
      <c r="E2118" s="70">
        <f t="shared" si="232"/>
        <v>0.2</v>
      </c>
      <c r="F2118" s="70">
        <f t="shared" si="233"/>
        <v>5</v>
      </c>
      <c r="G2118" s="70">
        <f t="shared" si="234"/>
        <v>2.8540286151894279</v>
      </c>
      <c r="H2118" s="70">
        <f t="shared" si="235"/>
        <v>1</v>
      </c>
      <c r="I2118" s="70">
        <f t="shared" si="236"/>
        <v>1</v>
      </c>
      <c r="J2118" s="70">
        <f t="shared" si="237"/>
        <v>2.8540286151894279</v>
      </c>
      <c r="K2118" s="70">
        <f>IF(CurrentMtgRatesDataTable8[[#This Row],[WA CC]]&lt;&gt;0,C2117-CurrentMtgRatesDataTable8[[#This Row],[WA CC]],0)</f>
        <v>0.90097138481057204</v>
      </c>
      <c r="L2118" s="70">
        <f>IF(CurrentMtgRatesDataTable8[[#This Row],[Servicing Spread]]&lt;=0,L2117,CurrentMtgRatesDataTable8[[#This Row],[Servicing Spread]])</f>
        <v>0.90097138481057204</v>
      </c>
      <c r="M2118" s="70">
        <f>CurrentMtgRatesDataTable8[[#This Row],[Servicing Spread Non-Zero]]-L2117</f>
        <v>-1.1649285300963985E-2</v>
      </c>
      <c r="N2118" s="70">
        <f>IF(J2117&lt;&gt;0,CurrentMtgRatesDataTable8[[#This Row],[Rate]]-C2117,N2117)</f>
        <v>-3.5000000000000142E-2</v>
      </c>
    </row>
    <row r="2119" spans="1:14">
      <c r="A2119" s="67" t="s">
        <v>591</v>
      </c>
      <c r="B2119" s="68">
        <v>2.8246078637178802</v>
      </c>
      <c r="C2119" s="69">
        <v>3.7149999999999999</v>
      </c>
      <c r="D2119" s="70">
        <f t="shared" si="231"/>
        <v>1</v>
      </c>
      <c r="E2119" s="70">
        <f t="shared" si="232"/>
        <v>0.2</v>
      </c>
      <c r="F2119" s="70">
        <f t="shared" si="233"/>
        <v>1</v>
      </c>
      <c r="G2119" s="70">
        <f t="shared" si="234"/>
        <v>0.56492157274357602</v>
      </c>
      <c r="H2119" s="70">
        <f t="shared" si="235"/>
        <v>0.2</v>
      </c>
      <c r="I2119" s="70">
        <f t="shared" si="236"/>
        <v>0</v>
      </c>
      <c r="J2119" s="70">
        <f t="shared" si="237"/>
        <v>0</v>
      </c>
      <c r="K2119" s="70">
        <f>IF(CurrentMtgRatesDataTable8[[#This Row],[WA CC]]&lt;&gt;0,C2118-CurrentMtgRatesDataTable8[[#This Row],[WA CC]],0)</f>
        <v>0</v>
      </c>
      <c r="L2119" s="70">
        <f>IF(CurrentMtgRatesDataTable8[[#This Row],[Servicing Spread]]&lt;=0,L2118,CurrentMtgRatesDataTable8[[#This Row],[Servicing Spread]])</f>
        <v>0.90097138481057204</v>
      </c>
      <c r="M2119" s="70">
        <f>CurrentMtgRatesDataTable8[[#This Row],[Servicing Spread Non-Zero]]-L2118</f>
        <v>0</v>
      </c>
      <c r="N2119" s="70">
        <f>IF(J2118&lt;&gt;0,CurrentMtgRatesDataTable8[[#This Row],[Rate]]-C2118,N2118)</f>
        <v>-4.0000000000000036E-2</v>
      </c>
    </row>
    <row r="2120" spans="1:14">
      <c r="A2120" s="67" t="s">
        <v>446</v>
      </c>
      <c r="B2120" s="68">
        <v>2.8052772077153998</v>
      </c>
      <c r="C2120" s="69">
        <v>3.7149999999999999</v>
      </c>
      <c r="D2120" s="70">
        <f t="shared" si="231"/>
        <v>2</v>
      </c>
      <c r="E2120" s="70">
        <f t="shared" si="232"/>
        <v>0.2</v>
      </c>
      <c r="F2120" s="70">
        <f t="shared" si="233"/>
        <v>2</v>
      </c>
      <c r="G2120" s="70">
        <f t="shared" si="234"/>
        <v>1.1259770142866561</v>
      </c>
      <c r="H2120" s="70">
        <f t="shared" si="235"/>
        <v>0.4</v>
      </c>
      <c r="I2120" s="70">
        <f t="shared" si="236"/>
        <v>0</v>
      </c>
      <c r="J2120" s="70">
        <f t="shared" si="237"/>
        <v>0</v>
      </c>
      <c r="K2120" s="70">
        <f>IF(CurrentMtgRatesDataTable8[[#This Row],[WA CC]]&lt;&gt;0,C2119-CurrentMtgRatesDataTable8[[#This Row],[WA CC]],0)</f>
        <v>0</v>
      </c>
      <c r="L2120" s="70">
        <f>IF(CurrentMtgRatesDataTable8[[#This Row],[Servicing Spread]]&lt;=0,L2119,CurrentMtgRatesDataTable8[[#This Row],[Servicing Spread]])</f>
        <v>0.90097138481057204</v>
      </c>
      <c r="M2120" s="70">
        <f>CurrentMtgRatesDataTable8[[#This Row],[Servicing Spread Non-Zero]]-L2119</f>
        <v>0</v>
      </c>
      <c r="N2120" s="70">
        <f>IF(J2119&lt;&gt;0,CurrentMtgRatesDataTable8[[#This Row],[Rate]]-C2119,N2119)</f>
        <v>-4.0000000000000036E-2</v>
      </c>
    </row>
    <row r="2121" spans="1:14">
      <c r="A2121" s="67" t="s">
        <v>314</v>
      </c>
      <c r="B2121" s="68">
        <v>2.7739749118365999</v>
      </c>
      <c r="C2121" s="69">
        <v>3.7149999999999999</v>
      </c>
      <c r="D2121" s="70">
        <f t="shared" si="231"/>
        <v>5</v>
      </c>
      <c r="E2121" s="70">
        <f t="shared" si="232"/>
        <v>0.2</v>
      </c>
      <c r="F2121" s="70">
        <f t="shared" si="233"/>
        <v>3</v>
      </c>
      <c r="G2121" s="70">
        <f t="shared" si="234"/>
        <v>1.6807719966539763</v>
      </c>
      <c r="H2121" s="70">
        <f t="shared" si="235"/>
        <v>0.60000000000000009</v>
      </c>
      <c r="I2121" s="70">
        <f t="shared" si="236"/>
        <v>0</v>
      </c>
      <c r="J2121" s="70">
        <f t="shared" si="237"/>
        <v>0</v>
      </c>
      <c r="K2121" s="70">
        <f>IF(CurrentMtgRatesDataTable8[[#This Row],[WA CC]]&lt;&gt;0,C2120-CurrentMtgRatesDataTable8[[#This Row],[WA CC]],0)</f>
        <v>0</v>
      </c>
      <c r="L2121" s="70">
        <f>IF(CurrentMtgRatesDataTable8[[#This Row],[Servicing Spread]]&lt;=0,L2120,CurrentMtgRatesDataTable8[[#This Row],[Servicing Spread]])</f>
        <v>0.90097138481057204</v>
      </c>
      <c r="M2121" s="70">
        <f>CurrentMtgRatesDataTable8[[#This Row],[Servicing Spread Non-Zero]]-L2120</f>
        <v>0</v>
      </c>
      <c r="N2121" s="70">
        <f>IF(J2120&lt;&gt;0,CurrentMtgRatesDataTable8[[#This Row],[Rate]]-C2120,N2120)</f>
        <v>-4.0000000000000036E-2</v>
      </c>
    </row>
    <row r="2122" spans="1:14">
      <c r="A2122" s="67" t="s">
        <v>170</v>
      </c>
      <c r="B2122" s="68">
        <v>2.7697091879875599</v>
      </c>
      <c r="C2122" s="69">
        <v>3.7149999999999999</v>
      </c>
      <c r="D2122" s="70">
        <f t="shared" si="231"/>
        <v>6</v>
      </c>
      <c r="E2122" s="70">
        <f t="shared" si="232"/>
        <v>0.2</v>
      </c>
      <c r="F2122" s="70">
        <f t="shared" si="233"/>
        <v>4</v>
      </c>
      <c r="G2122" s="70">
        <f t="shared" si="234"/>
        <v>2.2347138342514885</v>
      </c>
      <c r="H2122" s="70">
        <f t="shared" si="235"/>
        <v>0.8</v>
      </c>
      <c r="I2122" s="70">
        <f t="shared" si="236"/>
        <v>0</v>
      </c>
      <c r="J2122" s="70">
        <f t="shared" si="237"/>
        <v>0</v>
      </c>
      <c r="K2122" s="70">
        <f>IF(CurrentMtgRatesDataTable8[[#This Row],[WA CC]]&lt;&gt;0,C2121-CurrentMtgRatesDataTable8[[#This Row],[WA CC]],0)</f>
        <v>0</v>
      </c>
      <c r="L2122" s="70">
        <f>IF(CurrentMtgRatesDataTable8[[#This Row],[Servicing Spread]]&lt;=0,L2121,CurrentMtgRatesDataTable8[[#This Row],[Servicing Spread]])</f>
        <v>0.90097138481057204</v>
      </c>
      <c r="M2122" s="70">
        <f>CurrentMtgRatesDataTable8[[#This Row],[Servicing Spread Non-Zero]]-L2121</f>
        <v>0</v>
      </c>
      <c r="N2122" s="70">
        <f>IF(J2121&lt;&gt;0,CurrentMtgRatesDataTable8[[#This Row],[Rate]]-C2121,N2121)</f>
        <v>-4.0000000000000036E-2</v>
      </c>
    </row>
    <row r="2123" spans="1:14">
      <c r="A2123" s="67" t="s">
        <v>25</v>
      </c>
      <c r="B2123" s="68">
        <v>2.7401286983352402</v>
      </c>
      <c r="C2123" s="69">
        <v>3.7149999999999999</v>
      </c>
      <c r="D2123" s="70">
        <f t="shared" si="231"/>
        <v>7</v>
      </c>
      <c r="E2123" s="70">
        <f t="shared" si="232"/>
        <v>0.2</v>
      </c>
      <c r="F2123" s="70">
        <f t="shared" si="233"/>
        <v>5</v>
      </c>
      <c r="G2123" s="70">
        <f t="shared" si="234"/>
        <v>2.7827395739185365</v>
      </c>
      <c r="H2123" s="70">
        <f t="shared" si="235"/>
        <v>1</v>
      </c>
      <c r="I2123" s="70">
        <f t="shared" si="236"/>
        <v>1</v>
      </c>
      <c r="J2123" s="70">
        <f t="shared" si="237"/>
        <v>2.7827395739185365</v>
      </c>
      <c r="K2123" s="70">
        <f>IF(CurrentMtgRatesDataTable8[[#This Row],[WA CC]]&lt;&gt;0,C2122-CurrentMtgRatesDataTable8[[#This Row],[WA CC]],0)</f>
        <v>0.93226042608146331</v>
      </c>
      <c r="L2123" s="70">
        <f>IF(CurrentMtgRatesDataTable8[[#This Row],[Servicing Spread]]&lt;=0,L2122,CurrentMtgRatesDataTable8[[#This Row],[Servicing Spread]])</f>
        <v>0.93226042608146331</v>
      </c>
      <c r="M2123" s="70">
        <f>CurrentMtgRatesDataTable8[[#This Row],[Servicing Spread Non-Zero]]-L2122</f>
        <v>3.1289041270891271E-2</v>
      </c>
      <c r="N2123" s="70">
        <f>IF(J2122&lt;&gt;0,CurrentMtgRatesDataTable8[[#This Row],[Rate]]-C2122,N2122)</f>
        <v>-4.0000000000000036E-2</v>
      </c>
    </row>
    <row r="2124" spans="1:14">
      <c r="A2124" s="67" t="s">
        <v>592</v>
      </c>
      <c r="B2124" s="68">
        <v>2.6718406862121098</v>
      </c>
      <c r="C2124" s="69">
        <v>3.73</v>
      </c>
      <c r="D2124" s="70">
        <f t="shared" si="231"/>
        <v>1</v>
      </c>
      <c r="E2124" s="70">
        <f t="shared" si="232"/>
        <v>0.2</v>
      </c>
      <c r="F2124" s="70">
        <f t="shared" si="233"/>
        <v>1</v>
      </c>
      <c r="G2124" s="70">
        <f t="shared" si="234"/>
        <v>0.53436813724242194</v>
      </c>
      <c r="H2124" s="70">
        <f t="shared" si="235"/>
        <v>0.2</v>
      </c>
      <c r="I2124" s="70">
        <f t="shared" si="236"/>
        <v>0</v>
      </c>
      <c r="J2124" s="70">
        <f t="shared" si="237"/>
        <v>0</v>
      </c>
      <c r="K2124" s="70">
        <f>IF(CurrentMtgRatesDataTable8[[#This Row],[WA CC]]&lt;&gt;0,C2123-CurrentMtgRatesDataTable8[[#This Row],[WA CC]],0)</f>
        <v>0</v>
      </c>
      <c r="L2124" s="70">
        <f>IF(CurrentMtgRatesDataTable8[[#This Row],[Servicing Spread]]&lt;=0,L2123,CurrentMtgRatesDataTable8[[#This Row],[Servicing Spread]])</f>
        <v>0.93226042608146331</v>
      </c>
      <c r="M2124" s="70">
        <f>CurrentMtgRatesDataTable8[[#This Row],[Servicing Spread Non-Zero]]-L2123</f>
        <v>0</v>
      </c>
      <c r="N2124" s="70">
        <f>IF(J2123&lt;&gt;0,CurrentMtgRatesDataTable8[[#This Row],[Rate]]-C2123,N2123)</f>
        <v>1.5000000000000124E-2</v>
      </c>
    </row>
    <row r="2125" spans="1:14">
      <c r="A2125" s="67" t="s">
        <v>447</v>
      </c>
      <c r="B2125" s="68">
        <v>2.67797206633489</v>
      </c>
      <c r="C2125" s="69">
        <v>3.73</v>
      </c>
      <c r="D2125" s="70">
        <f t="shared" si="231"/>
        <v>2</v>
      </c>
      <c r="E2125" s="70">
        <f t="shared" si="232"/>
        <v>0.2</v>
      </c>
      <c r="F2125" s="70">
        <f t="shared" si="233"/>
        <v>2</v>
      </c>
      <c r="G2125" s="70">
        <f t="shared" si="234"/>
        <v>1.0699625505093999</v>
      </c>
      <c r="H2125" s="70">
        <f t="shared" si="235"/>
        <v>0.4</v>
      </c>
      <c r="I2125" s="70">
        <f t="shared" si="236"/>
        <v>0</v>
      </c>
      <c r="J2125" s="70">
        <f t="shared" si="237"/>
        <v>0</v>
      </c>
      <c r="K2125" s="70">
        <f>IF(CurrentMtgRatesDataTable8[[#This Row],[WA CC]]&lt;&gt;0,C2124-CurrentMtgRatesDataTable8[[#This Row],[WA CC]],0)</f>
        <v>0</v>
      </c>
      <c r="L2125" s="70">
        <f>IF(CurrentMtgRatesDataTable8[[#This Row],[Servicing Spread]]&lt;=0,L2124,CurrentMtgRatesDataTable8[[#This Row],[Servicing Spread]])</f>
        <v>0.93226042608146331</v>
      </c>
      <c r="M2125" s="70">
        <f>CurrentMtgRatesDataTable8[[#This Row],[Servicing Spread Non-Zero]]-L2124</f>
        <v>0</v>
      </c>
      <c r="N2125" s="70">
        <f>IF(J2124&lt;&gt;0,CurrentMtgRatesDataTable8[[#This Row],[Rate]]-C2124,N2124)</f>
        <v>1.5000000000000124E-2</v>
      </c>
    </row>
    <row r="2126" spans="1:14">
      <c r="A2126" s="67" t="s">
        <v>315</v>
      </c>
      <c r="B2126" s="68">
        <v>2.73357010628694</v>
      </c>
      <c r="C2126" s="69">
        <v>3.73</v>
      </c>
      <c r="D2126" s="70">
        <f t="shared" si="231"/>
        <v>5</v>
      </c>
      <c r="E2126" s="70">
        <f t="shared" si="232"/>
        <v>0.2</v>
      </c>
      <c r="F2126" s="70">
        <f t="shared" si="233"/>
        <v>3</v>
      </c>
      <c r="G2126" s="70">
        <f t="shared" si="234"/>
        <v>1.6166765717667879</v>
      </c>
      <c r="H2126" s="70">
        <f t="shared" si="235"/>
        <v>0.60000000000000009</v>
      </c>
      <c r="I2126" s="70">
        <f t="shared" si="236"/>
        <v>0</v>
      </c>
      <c r="J2126" s="70">
        <f t="shared" si="237"/>
        <v>0</v>
      </c>
      <c r="K2126" s="70">
        <f>IF(CurrentMtgRatesDataTable8[[#This Row],[WA CC]]&lt;&gt;0,C2125-CurrentMtgRatesDataTable8[[#This Row],[WA CC]],0)</f>
        <v>0</v>
      </c>
      <c r="L2126" s="70">
        <f>IF(CurrentMtgRatesDataTable8[[#This Row],[Servicing Spread]]&lt;=0,L2125,CurrentMtgRatesDataTable8[[#This Row],[Servicing Spread]])</f>
        <v>0.93226042608146331</v>
      </c>
      <c r="M2126" s="70">
        <f>CurrentMtgRatesDataTable8[[#This Row],[Servicing Spread Non-Zero]]-L2125</f>
        <v>0</v>
      </c>
      <c r="N2126" s="70">
        <f>IF(J2125&lt;&gt;0,CurrentMtgRatesDataTable8[[#This Row],[Rate]]-C2125,N2125)</f>
        <v>1.5000000000000124E-2</v>
      </c>
    </row>
    <row r="2127" spans="1:14">
      <c r="A2127" s="67" t="s">
        <v>171</v>
      </c>
      <c r="B2127" s="68">
        <v>2.76969358536605</v>
      </c>
      <c r="C2127" s="69">
        <v>3.73</v>
      </c>
      <c r="D2127" s="70">
        <f t="shared" si="231"/>
        <v>6</v>
      </c>
      <c r="E2127" s="70">
        <f t="shared" si="232"/>
        <v>0.2</v>
      </c>
      <c r="F2127" s="70">
        <f t="shared" si="233"/>
        <v>4</v>
      </c>
      <c r="G2127" s="70">
        <f t="shared" si="234"/>
        <v>2.1706152888399979</v>
      </c>
      <c r="H2127" s="70">
        <f t="shared" si="235"/>
        <v>0.8</v>
      </c>
      <c r="I2127" s="70">
        <f t="shared" si="236"/>
        <v>0</v>
      </c>
      <c r="J2127" s="70">
        <f t="shared" si="237"/>
        <v>0</v>
      </c>
      <c r="K2127" s="70">
        <f>IF(CurrentMtgRatesDataTable8[[#This Row],[WA CC]]&lt;&gt;0,C2126-CurrentMtgRatesDataTable8[[#This Row],[WA CC]],0)</f>
        <v>0</v>
      </c>
      <c r="L2127" s="70">
        <f>IF(CurrentMtgRatesDataTable8[[#This Row],[Servicing Spread]]&lt;=0,L2126,CurrentMtgRatesDataTable8[[#This Row],[Servicing Spread]])</f>
        <v>0.93226042608146331</v>
      </c>
      <c r="M2127" s="70">
        <f>CurrentMtgRatesDataTable8[[#This Row],[Servicing Spread Non-Zero]]-L2126</f>
        <v>0</v>
      </c>
      <c r="N2127" s="70">
        <f>IF(J2126&lt;&gt;0,CurrentMtgRatesDataTable8[[#This Row],[Rate]]-C2126,N2126)</f>
        <v>1.5000000000000124E-2</v>
      </c>
    </row>
    <row r="2128" spans="1:14">
      <c r="A2128" s="67" t="s">
        <v>26</v>
      </c>
      <c r="B2128" s="68">
        <v>2.7350812469927099</v>
      </c>
      <c r="C2128" s="69">
        <v>3.73</v>
      </c>
      <c r="D2128" s="70">
        <f t="shared" si="231"/>
        <v>7</v>
      </c>
      <c r="E2128" s="70">
        <f t="shared" si="232"/>
        <v>0.2</v>
      </c>
      <c r="F2128" s="70">
        <f t="shared" si="233"/>
        <v>5</v>
      </c>
      <c r="G2128" s="70">
        <f t="shared" si="234"/>
        <v>2.7176315382385399</v>
      </c>
      <c r="H2128" s="70">
        <f t="shared" si="235"/>
        <v>1</v>
      </c>
      <c r="I2128" s="70">
        <f t="shared" si="236"/>
        <v>1</v>
      </c>
      <c r="J2128" s="70">
        <f t="shared" si="237"/>
        <v>2.7176315382385399</v>
      </c>
      <c r="K2128" s="70">
        <f>IF(CurrentMtgRatesDataTable8[[#This Row],[WA CC]]&lt;&gt;0,C2127-CurrentMtgRatesDataTable8[[#This Row],[WA CC]],0)</f>
        <v>1.0123684617614601</v>
      </c>
      <c r="L2128" s="70">
        <f>IF(CurrentMtgRatesDataTable8[[#This Row],[Servicing Spread]]&lt;=0,L2127,CurrentMtgRatesDataTable8[[#This Row],[Servicing Spread]])</f>
        <v>1.0123684617614601</v>
      </c>
      <c r="M2128" s="70">
        <f>CurrentMtgRatesDataTable8[[#This Row],[Servicing Spread Non-Zero]]-L2127</f>
        <v>8.0108035679996803E-2</v>
      </c>
      <c r="N2128" s="70">
        <f>IF(J2127&lt;&gt;0,CurrentMtgRatesDataTable8[[#This Row],[Rate]]-C2127,N2127)</f>
        <v>1.5000000000000124E-2</v>
      </c>
    </row>
    <row r="2129" spans="1:14">
      <c r="A2129" s="67" t="s">
        <v>593</v>
      </c>
      <c r="B2129" s="68">
        <v>2.7605421873144298</v>
      </c>
      <c r="C2129" s="69">
        <v>3.7</v>
      </c>
      <c r="D2129" s="70">
        <f t="shared" si="231"/>
        <v>1</v>
      </c>
      <c r="E2129" s="70">
        <f t="shared" si="232"/>
        <v>0.2</v>
      </c>
      <c r="F2129" s="70">
        <f t="shared" si="233"/>
        <v>1</v>
      </c>
      <c r="G2129" s="70">
        <f t="shared" si="234"/>
        <v>0.55210843746288596</v>
      </c>
      <c r="H2129" s="70">
        <f t="shared" si="235"/>
        <v>0.2</v>
      </c>
      <c r="I2129" s="70">
        <f t="shared" si="236"/>
        <v>0</v>
      </c>
      <c r="J2129" s="70">
        <f t="shared" si="237"/>
        <v>0</v>
      </c>
      <c r="K2129" s="70">
        <f>IF(CurrentMtgRatesDataTable8[[#This Row],[WA CC]]&lt;&gt;0,C2128-CurrentMtgRatesDataTable8[[#This Row],[WA CC]],0)</f>
        <v>0</v>
      </c>
      <c r="L2129" s="70">
        <f>IF(CurrentMtgRatesDataTable8[[#This Row],[Servicing Spread]]&lt;=0,L2128,CurrentMtgRatesDataTable8[[#This Row],[Servicing Spread]])</f>
        <v>1.0123684617614601</v>
      </c>
      <c r="M2129" s="70">
        <f>CurrentMtgRatesDataTable8[[#This Row],[Servicing Spread Non-Zero]]-L2128</f>
        <v>0</v>
      </c>
      <c r="N2129" s="70">
        <f>IF(J2128&lt;&gt;0,CurrentMtgRatesDataTable8[[#This Row],[Rate]]-C2128,N2128)</f>
        <v>-2.9999999999999805E-2</v>
      </c>
    </row>
    <row r="2130" spans="1:14">
      <c r="A2130" s="67" t="s">
        <v>448</v>
      </c>
      <c r="B2130" s="68">
        <v>2.7634534959262198</v>
      </c>
      <c r="C2130" s="69">
        <v>3.7</v>
      </c>
      <c r="D2130" s="70">
        <f t="shared" si="231"/>
        <v>2</v>
      </c>
      <c r="E2130" s="70">
        <f t="shared" si="232"/>
        <v>0.2</v>
      </c>
      <c r="F2130" s="70">
        <f t="shared" si="233"/>
        <v>2</v>
      </c>
      <c r="G2130" s="70">
        <f t="shared" si="234"/>
        <v>1.10479913664813</v>
      </c>
      <c r="H2130" s="70">
        <f t="shared" si="235"/>
        <v>0.4</v>
      </c>
      <c r="I2130" s="70">
        <f t="shared" si="236"/>
        <v>0</v>
      </c>
      <c r="J2130" s="70">
        <f t="shared" si="237"/>
        <v>0</v>
      </c>
      <c r="K2130" s="70">
        <f>IF(CurrentMtgRatesDataTable8[[#This Row],[WA CC]]&lt;&gt;0,C2129-CurrentMtgRatesDataTable8[[#This Row],[WA CC]],0)</f>
        <v>0</v>
      </c>
      <c r="L2130" s="70">
        <f>IF(CurrentMtgRatesDataTable8[[#This Row],[Servicing Spread]]&lt;=0,L2129,CurrentMtgRatesDataTable8[[#This Row],[Servicing Spread]])</f>
        <v>1.0123684617614601</v>
      </c>
      <c r="M2130" s="70">
        <f>CurrentMtgRatesDataTable8[[#This Row],[Servicing Spread Non-Zero]]-L2129</f>
        <v>0</v>
      </c>
      <c r="N2130" s="70">
        <f>IF(J2129&lt;&gt;0,CurrentMtgRatesDataTable8[[#This Row],[Rate]]-C2129,N2129)</f>
        <v>-2.9999999999999805E-2</v>
      </c>
    </row>
    <row r="2131" spans="1:14">
      <c r="A2131" s="67" t="s">
        <v>172</v>
      </c>
      <c r="B2131" s="68">
        <v>2.77148784579206</v>
      </c>
      <c r="C2131" s="69">
        <v>3.7</v>
      </c>
      <c r="D2131" s="70">
        <f t="shared" si="231"/>
        <v>6</v>
      </c>
      <c r="E2131" s="70">
        <f t="shared" si="232"/>
        <v>0.2</v>
      </c>
      <c r="F2131" s="70">
        <f t="shared" si="233"/>
        <v>3</v>
      </c>
      <c r="G2131" s="70">
        <f t="shared" si="234"/>
        <v>1.659096705806542</v>
      </c>
      <c r="H2131" s="70">
        <f t="shared" si="235"/>
        <v>0.60000000000000009</v>
      </c>
      <c r="I2131" s="70">
        <f t="shared" si="236"/>
        <v>0</v>
      </c>
      <c r="J2131" s="70">
        <f t="shared" si="237"/>
        <v>0</v>
      </c>
      <c r="K2131" s="70">
        <f>IF(CurrentMtgRatesDataTable8[[#This Row],[WA CC]]&lt;&gt;0,C2130-CurrentMtgRatesDataTable8[[#This Row],[WA CC]],0)</f>
        <v>0</v>
      </c>
      <c r="L2131" s="70">
        <f>IF(CurrentMtgRatesDataTable8[[#This Row],[Servicing Spread]]&lt;=0,L2130,CurrentMtgRatesDataTable8[[#This Row],[Servicing Spread]])</f>
        <v>1.0123684617614601</v>
      </c>
      <c r="M2131" s="70">
        <f>CurrentMtgRatesDataTable8[[#This Row],[Servicing Spread Non-Zero]]-L2130</f>
        <v>0</v>
      </c>
      <c r="N2131" s="70">
        <f>IF(J2130&lt;&gt;0,CurrentMtgRatesDataTable8[[#This Row],[Rate]]-C2130,N2130)</f>
        <v>-2.9999999999999805E-2</v>
      </c>
    </row>
    <row r="2132" spans="1:14">
      <c r="A2132" s="67" t="s">
        <v>27</v>
      </c>
      <c r="B2132" s="68">
        <v>2.6848642616862599</v>
      </c>
      <c r="C2132" s="69">
        <v>3.7</v>
      </c>
      <c r="D2132" s="70">
        <f t="shared" si="231"/>
        <v>7</v>
      </c>
      <c r="E2132" s="70">
        <f t="shared" si="232"/>
        <v>0.2</v>
      </c>
      <c r="F2132" s="70">
        <f t="shared" si="233"/>
        <v>4</v>
      </c>
      <c r="G2132" s="70">
        <f t="shared" si="234"/>
        <v>2.1960695581437939</v>
      </c>
      <c r="H2132" s="70">
        <f t="shared" si="235"/>
        <v>0.8</v>
      </c>
      <c r="I2132" s="70">
        <f t="shared" si="236"/>
        <v>1</v>
      </c>
      <c r="J2132" s="70">
        <f t="shared" si="237"/>
        <v>2.7450869476797424</v>
      </c>
      <c r="K2132" s="70">
        <f>IF(CurrentMtgRatesDataTable8[[#This Row],[WA CC]]&lt;&gt;0,C2131-CurrentMtgRatesDataTable8[[#This Row],[WA CC]],0)</f>
        <v>0.9549130523202578</v>
      </c>
      <c r="L2132" s="70">
        <f>IF(CurrentMtgRatesDataTable8[[#This Row],[Servicing Spread]]&lt;=0,L2131,CurrentMtgRatesDataTable8[[#This Row],[Servicing Spread]])</f>
        <v>0.9549130523202578</v>
      </c>
      <c r="M2132" s="70">
        <f>CurrentMtgRatesDataTable8[[#This Row],[Servicing Spread Non-Zero]]-L2131</f>
        <v>-5.745540944120231E-2</v>
      </c>
      <c r="N2132" s="70">
        <f>IF(J2131&lt;&gt;0,CurrentMtgRatesDataTable8[[#This Row],[Rate]]-C2131,N2131)</f>
        <v>-2.9999999999999805E-2</v>
      </c>
    </row>
    <row r="2133" spans="1:14">
      <c r="A2133" s="67" t="s">
        <v>594</v>
      </c>
      <c r="B2133" s="68">
        <v>2.6463905286345102</v>
      </c>
      <c r="C2133" s="69">
        <v>3.5949999999999998</v>
      </c>
      <c r="D2133" s="70">
        <f t="shared" si="231"/>
        <v>1</v>
      </c>
      <c r="E2133" s="70">
        <f t="shared" si="232"/>
        <v>0.2</v>
      </c>
      <c r="F2133" s="70">
        <f t="shared" si="233"/>
        <v>1</v>
      </c>
      <c r="G2133" s="70">
        <f t="shared" si="234"/>
        <v>0.52927810572690204</v>
      </c>
      <c r="H2133" s="70">
        <f t="shared" si="235"/>
        <v>0.2</v>
      </c>
      <c r="I2133" s="70">
        <f t="shared" si="236"/>
        <v>0</v>
      </c>
      <c r="J2133" s="70">
        <f t="shared" si="237"/>
        <v>0</v>
      </c>
      <c r="K2133" s="70">
        <f>IF(CurrentMtgRatesDataTable8[[#This Row],[WA CC]]&lt;&gt;0,C2132-CurrentMtgRatesDataTable8[[#This Row],[WA CC]],0)</f>
        <v>0</v>
      </c>
      <c r="L2133" s="70">
        <f>IF(CurrentMtgRatesDataTable8[[#This Row],[Servicing Spread]]&lt;=0,L2132,CurrentMtgRatesDataTable8[[#This Row],[Servicing Spread]])</f>
        <v>0.9549130523202578</v>
      </c>
      <c r="M2133" s="70">
        <f>CurrentMtgRatesDataTable8[[#This Row],[Servicing Spread Non-Zero]]-L2132</f>
        <v>0</v>
      </c>
      <c r="N2133" s="70">
        <f>IF(J2132&lt;&gt;0,CurrentMtgRatesDataTable8[[#This Row],[Rate]]-C2132,N2132)</f>
        <v>-0.10500000000000043</v>
      </c>
    </row>
    <row r="2134" spans="1:14">
      <c r="A2134" s="67" t="s">
        <v>449</v>
      </c>
      <c r="B2134" s="68">
        <v>2.5315862032348999</v>
      </c>
      <c r="C2134" s="69">
        <v>3.5949999999999998</v>
      </c>
      <c r="D2134" s="70">
        <f t="shared" si="231"/>
        <v>2</v>
      </c>
      <c r="E2134" s="70">
        <f t="shared" si="232"/>
        <v>0.2</v>
      </c>
      <c r="F2134" s="70">
        <f t="shared" si="233"/>
        <v>2</v>
      </c>
      <c r="G2134" s="70">
        <f t="shared" si="234"/>
        <v>1.0355953463738821</v>
      </c>
      <c r="H2134" s="70">
        <f t="shared" si="235"/>
        <v>0.4</v>
      </c>
      <c r="I2134" s="70">
        <f t="shared" si="236"/>
        <v>0</v>
      </c>
      <c r="J2134" s="70">
        <f t="shared" si="237"/>
        <v>0</v>
      </c>
      <c r="K2134" s="70">
        <f>IF(CurrentMtgRatesDataTable8[[#This Row],[WA CC]]&lt;&gt;0,C2133-CurrentMtgRatesDataTable8[[#This Row],[WA CC]],0)</f>
        <v>0</v>
      </c>
      <c r="L2134" s="70">
        <f>IF(CurrentMtgRatesDataTable8[[#This Row],[Servicing Spread]]&lt;=0,L2133,CurrentMtgRatesDataTable8[[#This Row],[Servicing Spread]])</f>
        <v>0.9549130523202578</v>
      </c>
      <c r="M2134" s="70">
        <f>CurrentMtgRatesDataTable8[[#This Row],[Servicing Spread Non-Zero]]-L2133</f>
        <v>0</v>
      </c>
      <c r="N2134" s="70">
        <f>IF(J2133&lt;&gt;0,CurrentMtgRatesDataTable8[[#This Row],[Rate]]-C2133,N2133)</f>
        <v>-0.10500000000000043</v>
      </c>
    </row>
    <row r="2135" spans="1:14">
      <c r="A2135" s="67" t="s">
        <v>316</v>
      </c>
      <c r="B2135" s="68">
        <v>2.62225605452167</v>
      </c>
      <c r="C2135" s="69">
        <v>3.5949999999999998</v>
      </c>
      <c r="D2135" s="70">
        <f t="shared" si="231"/>
        <v>5</v>
      </c>
      <c r="E2135" s="70">
        <f t="shared" si="232"/>
        <v>0.2</v>
      </c>
      <c r="F2135" s="70">
        <f t="shared" si="233"/>
        <v>3</v>
      </c>
      <c r="G2135" s="70">
        <f t="shared" si="234"/>
        <v>1.5600465572782161</v>
      </c>
      <c r="H2135" s="70">
        <f t="shared" si="235"/>
        <v>0.60000000000000009</v>
      </c>
      <c r="I2135" s="70">
        <f t="shared" si="236"/>
        <v>0</v>
      </c>
      <c r="J2135" s="70">
        <f t="shared" si="237"/>
        <v>0</v>
      </c>
      <c r="K2135" s="70">
        <f>IF(CurrentMtgRatesDataTable8[[#This Row],[WA CC]]&lt;&gt;0,C2134-CurrentMtgRatesDataTable8[[#This Row],[WA CC]],0)</f>
        <v>0</v>
      </c>
      <c r="L2135" s="70">
        <f>IF(CurrentMtgRatesDataTable8[[#This Row],[Servicing Spread]]&lt;=0,L2134,CurrentMtgRatesDataTable8[[#This Row],[Servicing Spread]])</f>
        <v>0.9549130523202578</v>
      </c>
      <c r="M2135" s="70">
        <f>CurrentMtgRatesDataTable8[[#This Row],[Servicing Spread Non-Zero]]-L2134</f>
        <v>0</v>
      </c>
      <c r="N2135" s="70">
        <f>IF(J2134&lt;&gt;0,CurrentMtgRatesDataTable8[[#This Row],[Rate]]-C2134,N2134)</f>
        <v>-0.10500000000000043</v>
      </c>
    </row>
    <row r="2136" spans="1:14">
      <c r="A2136" s="67" t="s">
        <v>173</v>
      </c>
      <c r="B2136" s="68">
        <v>2.67215902179854</v>
      </c>
      <c r="C2136" s="69">
        <v>3.5949999999999998</v>
      </c>
      <c r="D2136" s="70">
        <f t="shared" si="231"/>
        <v>6</v>
      </c>
      <c r="E2136" s="70">
        <f t="shared" si="232"/>
        <v>0.2</v>
      </c>
      <c r="F2136" s="70">
        <f t="shared" si="233"/>
        <v>4</v>
      </c>
      <c r="G2136" s="70">
        <f t="shared" si="234"/>
        <v>2.0944783616379241</v>
      </c>
      <c r="H2136" s="70">
        <f t="shared" si="235"/>
        <v>0.8</v>
      </c>
      <c r="I2136" s="70">
        <f t="shared" si="236"/>
        <v>0</v>
      </c>
      <c r="J2136" s="70">
        <f t="shared" si="237"/>
        <v>0</v>
      </c>
      <c r="K2136" s="70">
        <f>IF(CurrentMtgRatesDataTable8[[#This Row],[WA CC]]&lt;&gt;0,C2135-CurrentMtgRatesDataTable8[[#This Row],[WA CC]],0)</f>
        <v>0</v>
      </c>
      <c r="L2136" s="70">
        <f>IF(CurrentMtgRatesDataTable8[[#This Row],[Servicing Spread]]&lt;=0,L2135,CurrentMtgRatesDataTable8[[#This Row],[Servicing Spread]])</f>
        <v>0.9549130523202578</v>
      </c>
      <c r="M2136" s="70">
        <f>CurrentMtgRatesDataTable8[[#This Row],[Servicing Spread Non-Zero]]-L2135</f>
        <v>0</v>
      </c>
      <c r="N2136" s="70">
        <f>IF(J2135&lt;&gt;0,CurrentMtgRatesDataTable8[[#This Row],[Rate]]-C2135,N2135)</f>
        <v>-0.10500000000000043</v>
      </c>
    </row>
    <row r="2137" spans="1:14">
      <c r="A2137" s="67" t="s">
        <v>28</v>
      </c>
      <c r="B2137" s="68">
        <v>2.7069899299945201</v>
      </c>
      <c r="C2137" s="69">
        <v>3.5949999999999998</v>
      </c>
      <c r="D2137" s="70">
        <f t="shared" si="231"/>
        <v>7</v>
      </c>
      <c r="E2137" s="70">
        <f t="shared" si="232"/>
        <v>0.2</v>
      </c>
      <c r="F2137" s="70">
        <f t="shared" si="233"/>
        <v>5</v>
      </c>
      <c r="G2137" s="70">
        <f t="shared" si="234"/>
        <v>2.6358763476368283</v>
      </c>
      <c r="H2137" s="70">
        <f t="shared" si="235"/>
        <v>1</v>
      </c>
      <c r="I2137" s="70">
        <f t="shared" si="236"/>
        <v>1</v>
      </c>
      <c r="J2137" s="70">
        <f t="shared" si="237"/>
        <v>2.6358763476368283</v>
      </c>
      <c r="K2137" s="70">
        <f>IF(CurrentMtgRatesDataTable8[[#This Row],[WA CC]]&lt;&gt;0,C2136-CurrentMtgRatesDataTable8[[#This Row],[WA CC]],0)</f>
        <v>0.95912365236317143</v>
      </c>
      <c r="L2137" s="70">
        <f>IF(CurrentMtgRatesDataTable8[[#This Row],[Servicing Spread]]&lt;=0,L2136,CurrentMtgRatesDataTable8[[#This Row],[Servicing Spread]])</f>
        <v>0.95912365236317143</v>
      </c>
      <c r="M2137" s="70">
        <f>CurrentMtgRatesDataTable8[[#This Row],[Servicing Spread Non-Zero]]-L2136</f>
        <v>4.2106000429136259E-3</v>
      </c>
      <c r="N2137" s="70">
        <f>IF(J2136&lt;&gt;0,CurrentMtgRatesDataTable8[[#This Row],[Rate]]-C2136,N2136)</f>
        <v>-0.10500000000000043</v>
      </c>
    </row>
    <row r="2138" spans="1:14">
      <c r="A2138" s="67" t="s">
        <v>595</v>
      </c>
      <c r="B2138" s="68">
        <v>2.6775785563630401</v>
      </c>
      <c r="C2138" s="69">
        <v>3.6349999999999998</v>
      </c>
      <c r="D2138" s="70">
        <f t="shared" si="231"/>
        <v>1</v>
      </c>
      <c r="E2138" s="70">
        <f t="shared" si="232"/>
        <v>0.2</v>
      </c>
      <c r="F2138" s="70">
        <f t="shared" si="233"/>
        <v>1</v>
      </c>
      <c r="G2138" s="70">
        <f t="shared" si="234"/>
        <v>0.535515711272608</v>
      </c>
      <c r="H2138" s="70">
        <f t="shared" si="235"/>
        <v>0.2</v>
      </c>
      <c r="I2138" s="70">
        <f t="shared" si="236"/>
        <v>0</v>
      </c>
      <c r="J2138" s="70">
        <f t="shared" si="237"/>
        <v>0</v>
      </c>
      <c r="K2138" s="70">
        <f>IF(CurrentMtgRatesDataTable8[[#This Row],[WA CC]]&lt;&gt;0,C2137-CurrentMtgRatesDataTable8[[#This Row],[WA CC]],0)</f>
        <v>0</v>
      </c>
      <c r="L2138" s="70">
        <f>IF(CurrentMtgRatesDataTable8[[#This Row],[Servicing Spread]]&lt;=0,L2137,CurrentMtgRatesDataTable8[[#This Row],[Servicing Spread]])</f>
        <v>0.95912365236317143</v>
      </c>
      <c r="M2138" s="70">
        <f>CurrentMtgRatesDataTable8[[#This Row],[Servicing Spread Non-Zero]]-L2137</f>
        <v>0</v>
      </c>
      <c r="N2138" s="70">
        <f>IF(J2137&lt;&gt;0,CurrentMtgRatesDataTable8[[#This Row],[Rate]]-C2137,N2137)</f>
        <v>4.0000000000000036E-2</v>
      </c>
    </row>
    <row r="2139" spans="1:14">
      <c r="A2139" s="67" t="s">
        <v>450</v>
      </c>
      <c r="B2139" s="68">
        <v>2.6791053539735099</v>
      </c>
      <c r="C2139" s="69">
        <v>3.6349999999999998</v>
      </c>
      <c r="D2139" s="70">
        <f t="shared" si="231"/>
        <v>2</v>
      </c>
      <c r="E2139" s="70">
        <f t="shared" si="232"/>
        <v>0.2</v>
      </c>
      <c r="F2139" s="70">
        <f t="shared" si="233"/>
        <v>2</v>
      </c>
      <c r="G2139" s="70">
        <f t="shared" si="234"/>
        <v>1.0713367820673101</v>
      </c>
      <c r="H2139" s="70">
        <f t="shared" si="235"/>
        <v>0.4</v>
      </c>
      <c r="I2139" s="70">
        <f t="shared" si="236"/>
        <v>0</v>
      </c>
      <c r="J2139" s="70">
        <f t="shared" si="237"/>
        <v>0</v>
      </c>
      <c r="K2139" s="70">
        <f>IF(CurrentMtgRatesDataTable8[[#This Row],[WA CC]]&lt;&gt;0,C2138-CurrentMtgRatesDataTable8[[#This Row],[WA CC]],0)</f>
        <v>0</v>
      </c>
      <c r="L2139" s="70">
        <f>IF(CurrentMtgRatesDataTable8[[#This Row],[Servicing Spread]]&lt;=0,L2138,CurrentMtgRatesDataTable8[[#This Row],[Servicing Spread]])</f>
        <v>0.95912365236317143</v>
      </c>
      <c r="M2139" s="70">
        <f>CurrentMtgRatesDataTable8[[#This Row],[Servicing Spread Non-Zero]]-L2138</f>
        <v>0</v>
      </c>
      <c r="N2139" s="70">
        <f>IF(J2138&lt;&gt;0,CurrentMtgRatesDataTable8[[#This Row],[Rate]]-C2138,N2138)</f>
        <v>4.0000000000000036E-2</v>
      </c>
    </row>
    <row r="2140" spans="1:14">
      <c r="A2140" s="67" t="s">
        <v>317</v>
      </c>
      <c r="B2140" s="68">
        <v>2.6398968961248501</v>
      </c>
      <c r="C2140" s="69">
        <v>3.6349999999999998</v>
      </c>
      <c r="D2140" s="70">
        <f t="shared" si="231"/>
        <v>5</v>
      </c>
      <c r="E2140" s="70">
        <f t="shared" si="232"/>
        <v>0.2</v>
      </c>
      <c r="F2140" s="70">
        <f t="shared" si="233"/>
        <v>3</v>
      </c>
      <c r="G2140" s="70">
        <f t="shared" si="234"/>
        <v>1.5993161612922802</v>
      </c>
      <c r="H2140" s="70">
        <f t="shared" si="235"/>
        <v>0.60000000000000009</v>
      </c>
      <c r="I2140" s="70">
        <f t="shared" si="236"/>
        <v>0</v>
      </c>
      <c r="J2140" s="70">
        <f t="shared" si="237"/>
        <v>0</v>
      </c>
      <c r="K2140" s="70">
        <f>IF(CurrentMtgRatesDataTable8[[#This Row],[WA CC]]&lt;&gt;0,C2139-CurrentMtgRatesDataTable8[[#This Row],[WA CC]],0)</f>
        <v>0</v>
      </c>
      <c r="L2140" s="70">
        <f>IF(CurrentMtgRatesDataTable8[[#This Row],[Servicing Spread]]&lt;=0,L2139,CurrentMtgRatesDataTable8[[#This Row],[Servicing Spread]])</f>
        <v>0.95912365236317143</v>
      </c>
      <c r="M2140" s="70">
        <f>CurrentMtgRatesDataTable8[[#This Row],[Servicing Spread Non-Zero]]-L2139</f>
        <v>0</v>
      </c>
      <c r="N2140" s="70">
        <f>IF(J2139&lt;&gt;0,CurrentMtgRatesDataTable8[[#This Row],[Rate]]-C2139,N2139)</f>
        <v>4.0000000000000036E-2</v>
      </c>
    </row>
    <row r="2141" spans="1:14">
      <c r="A2141" s="67" t="s">
        <v>174</v>
      </c>
      <c r="B2141" s="68">
        <v>2.6959588926221301</v>
      </c>
      <c r="C2141" s="69">
        <v>3.6349999999999998</v>
      </c>
      <c r="D2141" s="70">
        <f t="shared" si="231"/>
        <v>6</v>
      </c>
      <c r="E2141" s="70">
        <f t="shared" si="232"/>
        <v>0.2</v>
      </c>
      <c r="F2141" s="70">
        <f t="shared" si="233"/>
        <v>4</v>
      </c>
      <c r="G2141" s="70">
        <f t="shared" si="234"/>
        <v>2.1385079398167059</v>
      </c>
      <c r="H2141" s="70">
        <f t="shared" si="235"/>
        <v>0.8</v>
      </c>
      <c r="I2141" s="70">
        <f t="shared" si="236"/>
        <v>0</v>
      </c>
      <c r="J2141" s="70">
        <f t="shared" si="237"/>
        <v>0</v>
      </c>
      <c r="K2141" s="70">
        <f>IF(CurrentMtgRatesDataTable8[[#This Row],[WA CC]]&lt;&gt;0,C2140-CurrentMtgRatesDataTable8[[#This Row],[WA CC]],0)</f>
        <v>0</v>
      </c>
      <c r="L2141" s="70">
        <f>IF(CurrentMtgRatesDataTable8[[#This Row],[Servicing Spread]]&lt;=0,L2140,CurrentMtgRatesDataTable8[[#This Row],[Servicing Spread]])</f>
        <v>0.95912365236317143</v>
      </c>
      <c r="M2141" s="70">
        <f>CurrentMtgRatesDataTable8[[#This Row],[Servicing Spread Non-Zero]]-L2140</f>
        <v>0</v>
      </c>
      <c r="N2141" s="70">
        <f>IF(J2140&lt;&gt;0,CurrentMtgRatesDataTable8[[#This Row],[Rate]]-C2140,N2140)</f>
        <v>4.0000000000000036E-2</v>
      </c>
    </row>
    <row r="2142" spans="1:14">
      <c r="A2142" s="67" t="s">
        <v>29</v>
      </c>
      <c r="B2142" s="68">
        <v>2.6525646200106201</v>
      </c>
      <c r="C2142" s="69">
        <v>3.6349999999999998</v>
      </c>
      <c r="D2142" s="70">
        <f t="shared" si="231"/>
        <v>7</v>
      </c>
      <c r="E2142" s="70">
        <f t="shared" si="232"/>
        <v>0.2</v>
      </c>
      <c r="F2142" s="70">
        <f t="shared" si="233"/>
        <v>5</v>
      </c>
      <c r="G2142" s="70">
        <f t="shared" si="234"/>
        <v>2.66902086381883</v>
      </c>
      <c r="H2142" s="70">
        <f t="shared" si="235"/>
        <v>1</v>
      </c>
      <c r="I2142" s="70">
        <f t="shared" si="236"/>
        <v>1</v>
      </c>
      <c r="J2142" s="70">
        <f t="shared" si="237"/>
        <v>2.66902086381883</v>
      </c>
      <c r="K2142" s="70">
        <f>IF(CurrentMtgRatesDataTable8[[#This Row],[WA CC]]&lt;&gt;0,C2141-CurrentMtgRatesDataTable8[[#This Row],[WA CC]],0)</f>
        <v>0.96597913618116982</v>
      </c>
      <c r="L2142" s="70">
        <f>IF(CurrentMtgRatesDataTable8[[#This Row],[Servicing Spread]]&lt;=0,L2141,CurrentMtgRatesDataTable8[[#This Row],[Servicing Spread]])</f>
        <v>0.96597913618116982</v>
      </c>
      <c r="M2142" s="70">
        <f>CurrentMtgRatesDataTable8[[#This Row],[Servicing Spread Non-Zero]]-L2141</f>
        <v>6.8554838179983868E-3</v>
      </c>
      <c r="N2142" s="70">
        <f>IF(J2141&lt;&gt;0,CurrentMtgRatesDataTable8[[#This Row],[Rate]]-C2141,N2141)</f>
        <v>4.0000000000000036E-2</v>
      </c>
    </row>
    <row r="2143" spans="1:14">
      <c r="A2143" s="67" t="s">
        <v>596</v>
      </c>
      <c r="B2143" s="68">
        <v>2.63093877997242</v>
      </c>
      <c r="C2143" s="69">
        <v>3.585</v>
      </c>
      <c r="D2143" s="70">
        <f t="shared" si="231"/>
        <v>1</v>
      </c>
      <c r="E2143" s="70">
        <f t="shared" si="232"/>
        <v>0.2</v>
      </c>
      <c r="F2143" s="70">
        <f t="shared" si="233"/>
        <v>1</v>
      </c>
      <c r="G2143" s="70">
        <f t="shared" si="234"/>
        <v>0.52618775599448397</v>
      </c>
      <c r="H2143" s="70">
        <f t="shared" si="235"/>
        <v>0.2</v>
      </c>
      <c r="I2143" s="70">
        <f t="shared" si="236"/>
        <v>0</v>
      </c>
      <c r="J2143" s="70">
        <f t="shared" si="237"/>
        <v>0</v>
      </c>
      <c r="K2143" s="70">
        <f>IF(CurrentMtgRatesDataTable8[[#This Row],[WA CC]]&lt;&gt;0,C2142-CurrentMtgRatesDataTable8[[#This Row],[WA CC]],0)</f>
        <v>0</v>
      </c>
      <c r="L2143" s="70">
        <f>IF(CurrentMtgRatesDataTable8[[#This Row],[Servicing Spread]]&lt;=0,L2142,CurrentMtgRatesDataTable8[[#This Row],[Servicing Spread]])</f>
        <v>0.96597913618116982</v>
      </c>
      <c r="M2143" s="70">
        <f>CurrentMtgRatesDataTable8[[#This Row],[Servicing Spread Non-Zero]]-L2142</f>
        <v>0</v>
      </c>
      <c r="N2143" s="70">
        <f>IF(J2142&lt;&gt;0,CurrentMtgRatesDataTable8[[#This Row],[Rate]]-C2142,N2142)</f>
        <v>-4.9999999999999822E-2</v>
      </c>
    </row>
    <row r="2144" spans="1:14">
      <c r="A2144" s="67" t="s">
        <v>451</v>
      </c>
      <c r="B2144" s="68">
        <v>2.6135481549442598</v>
      </c>
      <c r="C2144" s="69">
        <v>3.585</v>
      </c>
      <c r="D2144" s="70">
        <f t="shared" si="231"/>
        <v>2</v>
      </c>
      <c r="E2144" s="70">
        <f t="shared" si="232"/>
        <v>0.2</v>
      </c>
      <c r="F2144" s="70">
        <f t="shared" si="233"/>
        <v>2</v>
      </c>
      <c r="G2144" s="70">
        <f t="shared" si="234"/>
        <v>1.048897386983336</v>
      </c>
      <c r="H2144" s="70">
        <f t="shared" si="235"/>
        <v>0.4</v>
      </c>
      <c r="I2144" s="70">
        <f t="shared" si="236"/>
        <v>0</v>
      </c>
      <c r="J2144" s="70">
        <f t="shared" si="237"/>
        <v>0</v>
      </c>
      <c r="K2144" s="70">
        <f>IF(CurrentMtgRatesDataTable8[[#This Row],[WA CC]]&lt;&gt;0,C2143-CurrentMtgRatesDataTable8[[#This Row],[WA CC]],0)</f>
        <v>0</v>
      </c>
      <c r="L2144" s="70">
        <f>IF(CurrentMtgRatesDataTable8[[#This Row],[Servicing Spread]]&lt;=0,L2143,CurrentMtgRatesDataTable8[[#This Row],[Servicing Spread]])</f>
        <v>0.96597913618116982</v>
      </c>
      <c r="M2144" s="70">
        <f>CurrentMtgRatesDataTable8[[#This Row],[Servicing Spread Non-Zero]]-L2143</f>
        <v>0</v>
      </c>
      <c r="N2144" s="70">
        <f>IF(J2143&lt;&gt;0,CurrentMtgRatesDataTable8[[#This Row],[Rate]]-C2143,N2143)</f>
        <v>-4.9999999999999822E-2</v>
      </c>
    </row>
    <row r="2145" spans="1:14">
      <c r="A2145" s="67" t="s">
        <v>318</v>
      </c>
      <c r="B2145" s="68">
        <v>2.5951502868946998</v>
      </c>
      <c r="C2145" s="69">
        <v>3.585</v>
      </c>
      <c r="D2145" s="70">
        <f t="shared" si="231"/>
        <v>5</v>
      </c>
      <c r="E2145" s="70">
        <f t="shared" si="232"/>
        <v>0.2</v>
      </c>
      <c r="F2145" s="70">
        <f t="shared" si="233"/>
        <v>3</v>
      </c>
      <c r="G2145" s="70">
        <f t="shared" si="234"/>
        <v>1.5679274443622759</v>
      </c>
      <c r="H2145" s="70">
        <f t="shared" si="235"/>
        <v>0.60000000000000009</v>
      </c>
      <c r="I2145" s="70">
        <f t="shared" si="236"/>
        <v>0</v>
      </c>
      <c r="J2145" s="70">
        <f t="shared" si="237"/>
        <v>0</v>
      </c>
      <c r="K2145" s="70">
        <f>IF(CurrentMtgRatesDataTable8[[#This Row],[WA CC]]&lt;&gt;0,C2144-CurrentMtgRatesDataTable8[[#This Row],[WA CC]],0)</f>
        <v>0</v>
      </c>
      <c r="L2145" s="70">
        <f>IF(CurrentMtgRatesDataTable8[[#This Row],[Servicing Spread]]&lt;=0,L2144,CurrentMtgRatesDataTable8[[#This Row],[Servicing Spread]])</f>
        <v>0.96597913618116982</v>
      </c>
      <c r="M2145" s="70">
        <f>CurrentMtgRatesDataTable8[[#This Row],[Servicing Spread Non-Zero]]-L2144</f>
        <v>0</v>
      </c>
      <c r="N2145" s="70">
        <f>IF(J2144&lt;&gt;0,CurrentMtgRatesDataTable8[[#This Row],[Rate]]-C2144,N2144)</f>
        <v>-4.9999999999999822E-2</v>
      </c>
    </row>
    <row r="2146" spans="1:14">
      <c r="A2146" s="67" t="s">
        <v>175</v>
      </c>
      <c r="B2146" s="68">
        <v>2.5989008122860202</v>
      </c>
      <c r="C2146" s="69">
        <v>3.585</v>
      </c>
      <c r="D2146" s="70">
        <f t="shared" si="231"/>
        <v>6</v>
      </c>
      <c r="E2146" s="70">
        <f t="shared" si="232"/>
        <v>0.2</v>
      </c>
      <c r="F2146" s="70">
        <f t="shared" si="233"/>
        <v>4</v>
      </c>
      <c r="G2146" s="70">
        <f t="shared" si="234"/>
        <v>2.08770760681948</v>
      </c>
      <c r="H2146" s="70">
        <f t="shared" si="235"/>
        <v>0.8</v>
      </c>
      <c r="I2146" s="70">
        <f t="shared" si="236"/>
        <v>0</v>
      </c>
      <c r="J2146" s="70">
        <f t="shared" si="237"/>
        <v>0</v>
      </c>
      <c r="K2146" s="70">
        <f>IF(CurrentMtgRatesDataTable8[[#This Row],[WA CC]]&lt;&gt;0,C2145-CurrentMtgRatesDataTable8[[#This Row],[WA CC]],0)</f>
        <v>0</v>
      </c>
      <c r="L2146" s="70">
        <f>IF(CurrentMtgRatesDataTable8[[#This Row],[Servicing Spread]]&lt;=0,L2145,CurrentMtgRatesDataTable8[[#This Row],[Servicing Spread]])</f>
        <v>0.96597913618116982</v>
      </c>
      <c r="M2146" s="70">
        <f>CurrentMtgRatesDataTable8[[#This Row],[Servicing Spread Non-Zero]]-L2145</f>
        <v>0</v>
      </c>
      <c r="N2146" s="70">
        <f>IF(J2145&lt;&gt;0,CurrentMtgRatesDataTable8[[#This Row],[Rate]]-C2145,N2145)</f>
        <v>-4.9999999999999822E-2</v>
      </c>
    </row>
    <row r="2147" spans="1:14">
      <c r="A2147" s="67" t="s">
        <v>30</v>
      </c>
      <c r="B2147" s="68">
        <v>2.6422120111570599</v>
      </c>
      <c r="C2147" s="69">
        <v>3.585</v>
      </c>
      <c r="D2147" s="70">
        <f t="shared" si="231"/>
        <v>7</v>
      </c>
      <c r="E2147" s="70">
        <f t="shared" si="232"/>
        <v>0.2</v>
      </c>
      <c r="F2147" s="70">
        <f t="shared" si="233"/>
        <v>5</v>
      </c>
      <c r="G2147" s="70">
        <f t="shared" si="234"/>
        <v>2.6161500090508918</v>
      </c>
      <c r="H2147" s="70">
        <f t="shared" si="235"/>
        <v>1</v>
      </c>
      <c r="I2147" s="70">
        <f t="shared" si="236"/>
        <v>1</v>
      </c>
      <c r="J2147" s="70">
        <f t="shared" si="237"/>
        <v>2.6161500090508918</v>
      </c>
      <c r="K2147" s="70">
        <f>IF(CurrentMtgRatesDataTable8[[#This Row],[WA CC]]&lt;&gt;0,C2146-CurrentMtgRatesDataTable8[[#This Row],[WA CC]],0)</f>
        <v>0.96884999094910818</v>
      </c>
      <c r="L2147" s="70">
        <f>IF(CurrentMtgRatesDataTable8[[#This Row],[Servicing Spread]]&lt;=0,L2146,CurrentMtgRatesDataTable8[[#This Row],[Servicing Spread]])</f>
        <v>0.96884999094910818</v>
      </c>
      <c r="M2147" s="70">
        <f>CurrentMtgRatesDataTable8[[#This Row],[Servicing Spread Non-Zero]]-L2146</f>
        <v>2.8708547679383578E-3</v>
      </c>
      <c r="N2147" s="70">
        <f>IF(J2146&lt;&gt;0,CurrentMtgRatesDataTable8[[#This Row],[Rate]]-C2146,N2146)</f>
        <v>-4.9999999999999822E-2</v>
      </c>
    </row>
    <row r="2148" spans="1:14">
      <c r="A2148" s="67" t="s">
        <v>597</v>
      </c>
      <c r="B2148" s="68">
        <v>2.61404533663225</v>
      </c>
      <c r="C2148" s="69">
        <v>3.585</v>
      </c>
      <c r="D2148" s="70">
        <f t="shared" si="231"/>
        <v>1</v>
      </c>
      <c r="E2148" s="70">
        <f t="shared" si="232"/>
        <v>0.2</v>
      </c>
      <c r="F2148" s="70">
        <f t="shared" si="233"/>
        <v>1</v>
      </c>
      <c r="G2148" s="70">
        <f t="shared" si="234"/>
        <v>0.52280906732645005</v>
      </c>
      <c r="H2148" s="70">
        <f t="shared" si="235"/>
        <v>0.2</v>
      </c>
      <c r="I2148" s="70">
        <f t="shared" si="236"/>
        <v>0</v>
      </c>
      <c r="J2148" s="70">
        <f t="shared" si="237"/>
        <v>0</v>
      </c>
      <c r="K2148" s="70">
        <f>IF(CurrentMtgRatesDataTable8[[#This Row],[WA CC]]&lt;&gt;0,C2147-CurrentMtgRatesDataTable8[[#This Row],[WA CC]],0)</f>
        <v>0</v>
      </c>
      <c r="L2148" s="70">
        <f>IF(CurrentMtgRatesDataTable8[[#This Row],[Servicing Spread]]&lt;=0,L2147,CurrentMtgRatesDataTable8[[#This Row],[Servicing Spread]])</f>
        <v>0.96884999094910818</v>
      </c>
      <c r="M2148" s="70">
        <f>CurrentMtgRatesDataTable8[[#This Row],[Servicing Spread Non-Zero]]-L2147</f>
        <v>0</v>
      </c>
      <c r="N2148" s="70">
        <f>IF(J2147&lt;&gt;0,CurrentMtgRatesDataTable8[[#This Row],[Rate]]-C2147,N2147)</f>
        <v>0</v>
      </c>
    </row>
    <row r="2149" spans="1:14">
      <c r="A2149" s="67" t="s">
        <v>452</v>
      </c>
      <c r="B2149" s="68">
        <v>2.6681925280418901</v>
      </c>
      <c r="C2149" s="69">
        <v>3.585</v>
      </c>
      <c r="D2149" s="70">
        <f t="shared" si="231"/>
        <v>2</v>
      </c>
      <c r="E2149" s="70">
        <f t="shared" si="232"/>
        <v>0.2</v>
      </c>
      <c r="F2149" s="70">
        <f t="shared" si="233"/>
        <v>2</v>
      </c>
      <c r="G2149" s="70">
        <f t="shared" si="234"/>
        <v>1.0564475729348279</v>
      </c>
      <c r="H2149" s="70">
        <f t="shared" si="235"/>
        <v>0.4</v>
      </c>
      <c r="I2149" s="70">
        <f t="shared" si="236"/>
        <v>0</v>
      </c>
      <c r="J2149" s="70">
        <f t="shared" si="237"/>
        <v>0</v>
      </c>
      <c r="K2149" s="70">
        <f>IF(CurrentMtgRatesDataTable8[[#This Row],[WA CC]]&lt;&gt;0,C2148-CurrentMtgRatesDataTable8[[#This Row],[WA CC]],0)</f>
        <v>0</v>
      </c>
      <c r="L2149" s="70">
        <f>IF(CurrentMtgRatesDataTable8[[#This Row],[Servicing Spread]]&lt;=0,L2148,CurrentMtgRatesDataTable8[[#This Row],[Servicing Spread]])</f>
        <v>0.96884999094910818</v>
      </c>
      <c r="M2149" s="70">
        <f>CurrentMtgRatesDataTable8[[#This Row],[Servicing Spread Non-Zero]]-L2148</f>
        <v>0</v>
      </c>
      <c r="N2149" s="70">
        <f>IF(J2148&lt;&gt;0,CurrentMtgRatesDataTable8[[#This Row],[Rate]]-C2148,N2148)</f>
        <v>0</v>
      </c>
    </row>
    <row r="2150" spans="1:14">
      <c r="A2150" s="67" t="s">
        <v>319</v>
      </c>
      <c r="B2150" s="68">
        <v>2.57850061271707</v>
      </c>
      <c r="C2150" s="69">
        <v>3.585</v>
      </c>
      <c r="D2150" s="70">
        <f t="shared" si="231"/>
        <v>5</v>
      </c>
      <c r="E2150" s="70">
        <f t="shared" si="232"/>
        <v>0.2</v>
      </c>
      <c r="F2150" s="70">
        <f t="shared" si="233"/>
        <v>3</v>
      </c>
      <c r="G2150" s="70">
        <f t="shared" si="234"/>
        <v>1.5721476954782418</v>
      </c>
      <c r="H2150" s="70">
        <f t="shared" si="235"/>
        <v>0.60000000000000009</v>
      </c>
      <c r="I2150" s="70">
        <f t="shared" si="236"/>
        <v>0</v>
      </c>
      <c r="J2150" s="70">
        <f t="shared" si="237"/>
        <v>0</v>
      </c>
      <c r="K2150" s="70">
        <f>IF(CurrentMtgRatesDataTable8[[#This Row],[WA CC]]&lt;&gt;0,C2149-CurrentMtgRatesDataTable8[[#This Row],[WA CC]],0)</f>
        <v>0</v>
      </c>
      <c r="L2150" s="70">
        <f>IF(CurrentMtgRatesDataTable8[[#This Row],[Servicing Spread]]&lt;=0,L2149,CurrentMtgRatesDataTable8[[#This Row],[Servicing Spread]])</f>
        <v>0.96884999094910818</v>
      </c>
      <c r="M2150" s="70">
        <f>CurrentMtgRatesDataTable8[[#This Row],[Servicing Spread Non-Zero]]-L2149</f>
        <v>0</v>
      </c>
      <c r="N2150" s="70">
        <f>IF(J2149&lt;&gt;0,CurrentMtgRatesDataTable8[[#This Row],[Rate]]-C2149,N2149)</f>
        <v>0</v>
      </c>
    </row>
    <row r="2151" spans="1:14">
      <c r="A2151" s="67" t="s">
        <v>176</v>
      </c>
      <c r="B2151" s="68">
        <v>2.6163872152587899</v>
      </c>
      <c r="C2151" s="69">
        <v>3.585</v>
      </c>
      <c r="D2151" s="70">
        <f t="shared" si="231"/>
        <v>6</v>
      </c>
      <c r="E2151" s="70">
        <f t="shared" si="232"/>
        <v>0.2</v>
      </c>
      <c r="F2151" s="70">
        <f t="shared" si="233"/>
        <v>4</v>
      </c>
      <c r="G2151" s="70">
        <f t="shared" si="234"/>
        <v>2.09542513853</v>
      </c>
      <c r="H2151" s="70">
        <f t="shared" si="235"/>
        <v>0.8</v>
      </c>
      <c r="I2151" s="70">
        <f t="shared" si="236"/>
        <v>0</v>
      </c>
      <c r="J2151" s="70">
        <f t="shared" si="237"/>
        <v>0</v>
      </c>
      <c r="K2151" s="70">
        <f>IF(CurrentMtgRatesDataTable8[[#This Row],[WA CC]]&lt;&gt;0,C2150-CurrentMtgRatesDataTable8[[#This Row],[WA CC]],0)</f>
        <v>0</v>
      </c>
      <c r="L2151" s="70">
        <f>IF(CurrentMtgRatesDataTable8[[#This Row],[Servicing Spread]]&lt;=0,L2150,CurrentMtgRatesDataTable8[[#This Row],[Servicing Spread]])</f>
        <v>0.96884999094910818</v>
      </c>
      <c r="M2151" s="70">
        <f>CurrentMtgRatesDataTable8[[#This Row],[Servicing Spread Non-Zero]]-L2150</f>
        <v>0</v>
      </c>
      <c r="N2151" s="70">
        <f>IF(J2150&lt;&gt;0,CurrentMtgRatesDataTable8[[#This Row],[Rate]]-C2150,N2150)</f>
        <v>0</v>
      </c>
    </row>
    <row r="2152" spans="1:14">
      <c r="A2152" s="67" t="s">
        <v>31</v>
      </c>
      <c r="B2152" s="68">
        <v>2.5886723749410501</v>
      </c>
      <c r="C2152" s="69">
        <v>3.585</v>
      </c>
      <c r="D2152" s="70">
        <f t="shared" si="231"/>
        <v>7</v>
      </c>
      <c r="E2152" s="70">
        <f t="shared" si="232"/>
        <v>0.2</v>
      </c>
      <c r="F2152" s="70">
        <f t="shared" si="233"/>
        <v>5</v>
      </c>
      <c r="G2152" s="70">
        <f t="shared" si="234"/>
        <v>2.61315961351821</v>
      </c>
      <c r="H2152" s="70">
        <f t="shared" si="235"/>
        <v>1</v>
      </c>
      <c r="I2152" s="70">
        <f t="shared" si="236"/>
        <v>1</v>
      </c>
      <c r="J2152" s="70">
        <f t="shared" si="237"/>
        <v>2.61315961351821</v>
      </c>
      <c r="K2152" s="70">
        <f>IF(CurrentMtgRatesDataTable8[[#This Row],[WA CC]]&lt;&gt;0,C2151-CurrentMtgRatesDataTable8[[#This Row],[WA CC]],0)</f>
        <v>0.97184038648178994</v>
      </c>
      <c r="L2152" s="70">
        <f>IF(CurrentMtgRatesDataTable8[[#This Row],[Servicing Spread]]&lt;=0,L2151,CurrentMtgRatesDataTable8[[#This Row],[Servicing Spread]])</f>
        <v>0.97184038648178994</v>
      </c>
      <c r="M2152" s="70">
        <f>CurrentMtgRatesDataTable8[[#This Row],[Servicing Spread Non-Zero]]-L2151</f>
        <v>2.9903955326817666E-3</v>
      </c>
      <c r="N2152" s="70">
        <f>IF(J2151&lt;&gt;0,CurrentMtgRatesDataTable8[[#This Row],[Rate]]-C2151,N2151)</f>
        <v>0</v>
      </c>
    </row>
    <row r="2153" spans="1:14">
      <c r="A2153" s="67" t="s">
        <v>598</v>
      </c>
      <c r="B2153" s="68">
        <v>2.5509636037861898</v>
      </c>
      <c r="C2153" s="69">
        <v>3.5700000000000003</v>
      </c>
      <c r="D2153" s="70">
        <f t="shared" si="231"/>
        <v>1</v>
      </c>
      <c r="E2153" s="70">
        <f t="shared" si="232"/>
        <v>0.2</v>
      </c>
      <c r="F2153" s="70">
        <f t="shared" si="233"/>
        <v>1</v>
      </c>
      <c r="G2153" s="70">
        <f t="shared" si="234"/>
        <v>0.51019272075723798</v>
      </c>
      <c r="H2153" s="70">
        <f t="shared" si="235"/>
        <v>0.2</v>
      </c>
      <c r="I2153" s="70">
        <f t="shared" si="236"/>
        <v>0</v>
      </c>
      <c r="J2153" s="70">
        <f t="shared" si="237"/>
        <v>0</v>
      </c>
      <c r="K2153" s="70">
        <f>IF(CurrentMtgRatesDataTable8[[#This Row],[WA CC]]&lt;&gt;0,C2152-CurrentMtgRatesDataTable8[[#This Row],[WA CC]],0)</f>
        <v>0</v>
      </c>
      <c r="L2153" s="70">
        <f>IF(CurrentMtgRatesDataTable8[[#This Row],[Servicing Spread]]&lt;=0,L2152,CurrentMtgRatesDataTable8[[#This Row],[Servicing Spread]])</f>
        <v>0.97184038648178994</v>
      </c>
      <c r="M2153" s="70">
        <f>CurrentMtgRatesDataTable8[[#This Row],[Servicing Spread Non-Zero]]-L2152</f>
        <v>0</v>
      </c>
      <c r="N2153" s="70">
        <f>IF(J2152&lt;&gt;0,CurrentMtgRatesDataTable8[[#This Row],[Rate]]-C2152,N2152)</f>
        <v>-1.499999999999968E-2</v>
      </c>
    </row>
    <row r="2154" spans="1:14">
      <c r="A2154" s="67" t="s">
        <v>453</v>
      </c>
      <c r="B2154" s="68">
        <v>2.6237188553228199</v>
      </c>
      <c r="C2154" s="69">
        <v>3.5700000000000003</v>
      </c>
      <c r="D2154" s="70">
        <f t="shared" si="231"/>
        <v>2</v>
      </c>
      <c r="E2154" s="70">
        <f t="shared" si="232"/>
        <v>0.2</v>
      </c>
      <c r="F2154" s="70">
        <f t="shared" si="233"/>
        <v>2</v>
      </c>
      <c r="G2154" s="70">
        <f t="shared" si="234"/>
        <v>1.034936491821802</v>
      </c>
      <c r="H2154" s="70">
        <f t="shared" si="235"/>
        <v>0.4</v>
      </c>
      <c r="I2154" s="70">
        <f t="shared" si="236"/>
        <v>0</v>
      </c>
      <c r="J2154" s="70">
        <f t="shared" si="237"/>
        <v>0</v>
      </c>
      <c r="K2154" s="70">
        <f>IF(CurrentMtgRatesDataTable8[[#This Row],[WA CC]]&lt;&gt;0,C2153-CurrentMtgRatesDataTable8[[#This Row],[WA CC]],0)</f>
        <v>0</v>
      </c>
      <c r="L2154" s="70">
        <f>IF(CurrentMtgRatesDataTable8[[#This Row],[Servicing Spread]]&lt;=0,L2153,CurrentMtgRatesDataTable8[[#This Row],[Servicing Spread]])</f>
        <v>0.97184038648178994</v>
      </c>
      <c r="M2154" s="70">
        <f>CurrentMtgRatesDataTable8[[#This Row],[Servicing Spread Non-Zero]]-L2153</f>
        <v>0</v>
      </c>
      <c r="N2154" s="70">
        <f>IF(J2153&lt;&gt;0,CurrentMtgRatesDataTable8[[#This Row],[Rate]]-C2153,N2153)</f>
        <v>-1.499999999999968E-2</v>
      </c>
    </row>
    <row r="2155" spans="1:14">
      <c r="A2155" s="67" t="s">
        <v>320</v>
      </c>
      <c r="B2155" s="68">
        <v>2.54531844167705</v>
      </c>
      <c r="C2155" s="69">
        <v>3.5700000000000003</v>
      </c>
      <c r="D2155" s="70">
        <f t="shared" si="231"/>
        <v>5</v>
      </c>
      <c r="E2155" s="70">
        <f t="shared" si="232"/>
        <v>0.2</v>
      </c>
      <c r="F2155" s="70">
        <f t="shared" si="233"/>
        <v>3</v>
      </c>
      <c r="G2155" s="70">
        <f t="shared" si="234"/>
        <v>1.5440001801572121</v>
      </c>
      <c r="H2155" s="70">
        <f t="shared" si="235"/>
        <v>0.60000000000000009</v>
      </c>
      <c r="I2155" s="70">
        <f t="shared" si="236"/>
        <v>0</v>
      </c>
      <c r="J2155" s="70">
        <f t="shared" si="237"/>
        <v>0</v>
      </c>
      <c r="K2155" s="70">
        <f>IF(CurrentMtgRatesDataTable8[[#This Row],[WA CC]]&lt;&gt;0,C2154-CurrentMtgRatesDataTable8[[#This Row],[WA CC]],0)</f>
        <v>0</v>
      </c>
      <c r="L2155" s="70">
        <f>IF(CurrentMtgRatesDataTable8[[#This Row],[Servicing Spread]]&lt;=0,L2154,CurrentMtgRatesDataTable8[[#This Row],[Servicing Spread]])</f>
        <v>0.97184038648178994</v>
      </c>
      <c r="M2155" s="70">
        <f>CurrentMtgRatesDataTable8[[#This Row],[Servicing Spread Non-Zero]]-L2154</f>
        <v>0</v>
      </c>
      <c r="N2155" s="70">
        <f>IF(J2154&lt;&gt;0,CurrentMtgRatesDataTable8[[#This Row],[Rate]]-C2154,N2154)</f>
        <v>-1.499999999999968E-2</v>
      </c>
    </row>
    <row r="2156" spans="1:14">
      <c r="A2156" s="67" t="s">
        <v>177</v>
      </c>
      <c r="B2156" s="68">
        <v>2.58328220354782</v>
      </c>
      <c r="C2156" s="69">
        <v>3.5700000000000003</v>
      </c>
      <c r="D2156" s="70">
        <f t="shared" si="231"/>
        <v>6</v>
      </c>
      <c r="E2156" s="70">
        <f t="shared" si="232"/>
        <v>0.2</v>
      </c>
      <c r="F2156" s="70">
        <f t="shared" si="233"/>
        <v>4</v>
      </c>
      <c r="G2156" s="70">
        <f t="shared" si="234"/>
        <v>2.060656620866776</v>
      </c>
      <c r="H2156" s="70">
        <f t="shared" si="235"/>
        <v>0.8</v>
      </c>
      <c r="I2156" s="70">
        <f t="shared" si="236"/>
        <v>1</v>
      </c>
      <c r="J2156" s="70">
        <f t="shared" si="237"/>
        <v>2.5758207760834697</v>
      </c>
      <c r="K2156" s="70">
        <f>IF(CurrentMtgRatesDataTable8[[#This Row],[WA CC]]&lt;&gt;0,C2155-CurrentMtgRatesDataTable8[[#This Row],[WA CC]],0)</f>
        <v>0.99417922391653057</v>
      </c>
      <c r="L2156" s="70">
        <f>IF(CurrentMtgRatesDataTable8[[#This Row],[Servicing Spread]]&lt;=0,L2155,CurrentMtgRatesDataTable8[[#This Row],[Servicing Spread]])</f>
        <v>0.99417922391653057</v>
      </c>
      <c r="M2156" s="70">
        <f>CurrentMtgRatesDataTable8[[#This Row],[Servicing Spread Non-Zero]]-L2155</f>
        <v>2.2338837434740633E-2</v>
      </c>
      <c r="N2156" s="70">
        <f>IF(J2155&lt;&gt;0,CurrentMtgRatesDataTable8[[#This Row],[Rate]]-C2155,N2155)</f>
        <v>-1.499999999999968E-2</v>
      </c>
    </row>
    <row r="2157" spans="1:14">
      <c r="A2157" s="67" t="s">
        <v>599</v>
      </c>
      <c r="B2157" s="68">
        <v>2.5563795134905498</v>
      </c>
      <c r="C2157" s="69">
        <v>3.4849999999999999</v>
      </c>
      <c r="D2157" s="70">
        <f t="shared" si="231"/>
        <v>1</v>
      </c>
      <c r="E2157" s="70">
        <f t="shared" si="232"/>
        <v>0.2</v>
      </c>
      <c r="F2157" s="70">
        <f t="shared" si="233"/>
        <v>1</v>
      </c>
      <c r="G2157" s="70">
        <f t="shared" si="234"/>
        <v>0.51127590269810996</v>
      </c>
      <c r="H2157" s="70">
        <f t="shared" si="235"/>
        <v>0.2</v>
      </c>
      <c r="I2157" s="70">
        <f t="shared" si="236"/>
        <v>0</v>
      </c>
      <c r="J2157" s="70">
        <f t="shared" si="237"/>
        <v>0</v>
      </c>
      <c r="K2157" s="70">
        <f>IF(CurrentMtgRatesDataTable8[[#This Row],[WA CC]]&lt;&gt;0,C2156-CurrentMtgRatesDataTable8[[#This Row],[WA CC]],0)</f>
        <v>0</v>
      </c>
      <c r="L2157" s="70">
        <f>IF(CurrentMtgRatesDataTable8[[#This Row],[Servicing Spread]]&lt;=0,L2156,CurrentMtgRatesDataTable8[[#This Row],[Servicing Spread]])</f>
        <v>0.99417922391653057</v>
      </c>
      <c r="M2157" s="70">
        <f>CurrentMtgRatesDataTable8[[#This Row],[Servicing Spread Non-Zero]]-L2156</f>
        <v>0</v>
      </c>
      <c r="N2157" s="70">
        <f>IF(J2156&lt;&gt;0,CurrentMtgRatesDataTable8[[#This Row],[Rate]]-C2156,N2156)</f>
        <v>-8.5000000000000409E-2</v>
      </c>
    </row>
    <row r="2158" spans="1:14">
      <c r="A2158" s="67" t="s">
        <v>454</v>
      </c>
      <c r="B2158" s="68">
        <v>2.4766480457309101</v>
      </c>
      <c r="C2158" s="69">
        <v>3.4849999999999999</v>
      </c>
      <c r="D2158" s="70">
        <f t="shared" si="231"/>
        <v>2</v>
      </c>
      <c r="E2158" s="70">
        <f t="shared" si="232"/>
        <v>0.2</v>
      </c>
      <c r="F2158" s="70">
        <f t="shared" si="233"/>
        <v>2</v>
      </c>
      <c r="G2158" s="70">
        <f t="shared" si="234"/>
        <v>1.006605511844292</v>
      </c>
      <c r="H2158" s="70">
        <f t="shared" si="235"/>
        <v>0.4</v>
      </c>
      <c r="I2158" s="70">
        <f t="shared" si="236"/>
        <v>0</v>
      </c>
      <c r="J2158" s="70">
        <f t="shared" si="237"/>
        <v>0</v>
      </c>
      <c r="K2158" s="70">
        <f>IF(CurrentMtgRatesDataTable8[[#This Row],[WA CC]]&lt;&gt;0,C2157-CurrentMtgRatesDataTable8[[#This Row],[WA CC]],0)</f>
        <v>0</v>
      </c>
      <c r="L2158" s="70">
        <f>IF(CurrentMtgRatesDataTable8[[#This Row],[Servicing Spread]]&lt;=0,L2157,CurrentMtgRatesDataTable8[[#This Row],[Servicing Spread]])</f>
        <v>0.99417922391653057</v>
      </c>
      <c r="M2158" s="70">
        <f>CurrentMtgRatesDataTable8[[#This Row],[Servicing Spread Non-Zero]]-L2157</f>
        <v>0</v>
      </c>
      <c r="N2158" s="70">
        <f>IF(J2157&lt;&gt;0,CurrentMtgRatesDataTable8[[#This Row],[Rate]]-C2157,N2157)</f>
        <v>-8.5000000000000409E-2</v>
      </c>
    </row>
    <row r="2159" spans="1:14">
      <c r="A2159" s="67" t="s">
        <v>321</v>
      </c>
      <c r="B2159" s="68">
        <v>2.4491972100580299</v>
      </c>
      <c r="C2159" s="69">
        <v>3.4849999999999999</v>
      </c>
      <c r="D2159" s="70">
        <f t="shared" si="231"/>
        <v>5</v>
      </c>
      <c r="E2159" s="70">
        <f t="shared" si="232"/>
        <v>0.2</v>
      </c>
      <c r="F2159" s="70">
        <f t="shared" si="233"/>
        <v>3</v>
      </c>
      <c r="G2159" s="70">
        <f t="shared" si="234"/>
        <v>1.4964449538558982</v>
      </c>
      <c r="H2159" s="70">
        <f t="shared" si="235"/>
        <v>0.60000000000000009</v>
      </c>
      <c r="I2159" s="70">
        <f t="shared" si="236"/>
        <v>0</v>
      </c>
      <c r="J2159" s="70">
        <f t="shared" si="237"/>
        <v>0</v>
      </c>
      <c r="K2159" s="70">
        <f>IF(CurrentMtgRatesDataTable8[[#This Row],[WA CC]]&lt;&gt;0,C2158-CurrentMtgRatesDataTable8[[#This Row],[WA CC]],0)</f>
        <v>0</v>
      </c>
      <c r="L2159" s="70">
        <f>IF(CurrentMtgRatesDataTable8[[#This Row],[Servicing Spread]]&lt;=0,L2158,CurrentMtgRatesDataTable8[[#This Row],[Servicing Spread]])</f>
        <v>0.99417922391653057</v>
      </c>
      <c r="M2159" s="70">
        <f>CurrentMtgRatesDataTable8[[#This Row],[Servicing Spread Non-Zero]]-L2158</f>
        <v>0</v>
      </c>
      <c r="N2159" s="70">
        <f>IF(J2158&lt;&gt;0,CurrentMtgRatesDataTable8[[#This Row],[Rate]]-C2158,N2158)</f>
        <v>-8.5000000000000409E-2</v>
      </c>
    </row>
    <row r="2160" spans="1:14">
      <c r="A2160" s="67" t="s">
        <v>178</v>
      </c>
      <c r="B2160" s="68">
        <v>2.42302981927218</v>
      </c>
      <c r="C2160" s="69">
        <v>3.4849999999999999</v>
      </c>
      <c r="D2160" s="70">
        <f t="shared" si="231"/>
        <v>6</v>
      </c>
      <c r="E2160" s="70">
        <f t="shared" si="232"/>
        <v>0.2</v>
      </c>
      <c r="F2160" s="70">
        <f t="shared" si="233"/>
        <v>4</v>
      </c>
      <c r="G2160" s="70">
        <f t="shared" si="234"/>
        <v>1.9810509177103341</v>
      </c>
      <c r="H2160" s="70">
        <f t="shared" si="235"/>
        <v>0.8</v>
      </c>
      <c r="I2160" s="70">
        <f t="shared" si="236"/>
        <v>0</v>
      </c>
      <c r="J2160" s="70">
        <f t="shared" si="237"/>
        <v>0</v>
      </c>
      <c r="K2160" s="70">
        <f>IF(CurrentMtgRatesDataTable8[[#This Row],[WA CC]]&lt;&gt;0,C2159-CurrentMtgRatesDataTable8[[#This Row],[WA CC]],0)</f>
        <v>0</v>
      </c>
      <c r="L2160" s="70">
        <f>IF(CurrentMtgRatesDataTable8[[#This Row],[Servicing Spread]]&lt;=0,L2159,CurrentMtgRatesDataTable8[[#This Row],[Servicing Spread]])</f>
        <v>0.99417922391653057</v>
      </c>
      <c r="M2160" s="70">
        <f>CurrentMtgRatesDataTable8[[#This Row],[Servicing Spread Non-Zero]]-L2159</f>
        <v>0</v>
      </c>
      <c r="N2160" s="70">
        <f>IF(J2159&lt;&gt;0,CurrentMtgRatesDataTable8[[#This Row],[Rate]]-C2159,N2159)</f>
        <v>-8.5000000000000409E-2</v>
      </c>
    </row>
    <row r="2161" spans="1:14">
      <c r="A2161" s="67" t="s">
        <v>32</v>
      </c>
      <c r="B2161" s="68">
        <v>2.4116172706611501</v>
      </c>
      <c r="C2161" s="69">
        <v>3.4849999999999999</v>
      </c>
      <c r="D2161" s="70">
        <f t="shared" si="231"/>
        <v>7</v>
      </c>
      <c r="E2161" s="70">
        <f t="shared" si="232"/>
        <v>0.2</v>
      </c>
      <c r="F2161" s="70">
        <f t="shared" si="233"/>
        <v>5</v>
      </c>
      <c r="G2161" s="70">
        <f t="shared" si="234"/>
        <v>2.4633743718425642</v>
      </c>
      <c r="H2161" s="70">
        <f t="shared" si="235"/>
        <v>1</v>
      </c>
      <c r="I2161" s="70">
        <f t="shared" si="236"/>
        <v>1</v>
      </c>
      <c r="J2161" s="70">
        <f t="shared" si="237"/>
        <v>2.4633743718425642</v>
      </c>
      <c r="K2161" s="70">
        <f>IF(CurrentMtgRatesDataTable8[[#This Row],[WA CC]]&lt;&gt;0,C2160-CurrentMtgRatesDataTable8[[#This Row],[WA CC]],0)</f>
        <v>1.0216256281574356</v>
      </c>
      <c r="L2161" s="70">
        <f>IF(CurrentMtgRatesDataTable8[[#This Row],[Servicing Spread]]&lt;=0,L2160,CurrentMtgRatesDataTable8[[#This Row],[Servicing Spread]])</f>
        <v>1.0216256281574356</v>
      </c>
      <c r="M2161" s="70">
        <f>CurrentMtgRatesDataTable8[[#This Row],[Servicing Spread Non-Zero]]-L2160</f>
        <v>2.7446404240905053E-2</v>
      </c>
      <c r="N2161" s="70">
        <f>IF(J2160&lt;&gt;0,CurrentMtgRatesDataTable8[[#This Row],[Rate]]-C2160,N2160)</f>
        <v>-8.5000000000000409E-2</v>
      </c>
    </row>
    <row r="2162" spans="1:14">
      <c r="A2162" s="67" t="s">
        <v>600</v>
      </c>
      <c r="B2162" s="68">
        <v>2.4034266466938199</v>
      </c>
      <c r="C2162" s="69">
        <v>3.4549999999999996</v>
      </c>
      <c r="D2162" s="70">
        <f t="shared" si="231"/>
        <v>1</v>
      </c>
      <c r="E2162" s="70">
        <f t="shared" si="232"/>
        <v>0.2</v>
      </c>
      <c r="F2162" s="70">
        <f t="shared" si="233"/>
        <v>1</v>
      </c>
      <c r="G2162" s="70">
        <f t="shared" si="234"/>
        <v>0.48068532933876401</v>
      </c>
      <c r="H2162" s="70">
        <f t="shared" si="235"/>
        <v>0.2</v>
      </c>
      <c r="I2162" s="70">
        <f t="shared" si="236"/>
        <v>0</v>
      </c>
      <c r="J2162" s="70">
        <f t="shared" si="237"/>
        <v>0</v>
      </c>
      <c r="K2162" s="70">
        <f>IF(CurrentMtgRatesDataTable8[[#This Row],[WA CC]]&lt;&gt;0,C2161-CurrentMtgRatesDataTable8[[#This Row],[WA CC]],0)</f>
        <v>0</v>
      </c>
      <c r="L2162" s="70">
        <f>IF(CurrentMtgRatesDataTable8[[#This Row],[Servicing Spread]]&lt;=0,L2161,CurrentMtgRatesDataTable8[[#This Row],[Servicing Spread]])</f>
        <v>1.0216256281574356</v>
      </c>
      <c r="M2162" s="70">
        <f>CurrentMtgRatesDataTable8[[#This Row],[Servicing Spread Non-Zero]]-L2161</f>
        <v>0</v>
      </c>
      <c r="N2162" s="70">
        <f>IF(J2161&lt;&gt;0,CurrentMtgRatesDataTable8[[#This Row],[Rate]]-C2161,N2161)</f>
        <v>-3.0000000000000249E-2</v>
      </c>
    </row>
    <row r="2163" spans="1:14">
      <c r="A2163" s="67" t="s">
        <v>455</v>
      </c>
      <c r="B2163" s="68">
        <v>2.45850252986091</v>
      </c>
      <c r="C2163" s="69">
        <v>3.4549999999999996</v>
      </c>
      <c r="D2163" s="70">
        <f t="shared" si="231"/>
        <v>2</v>
      </c>
      <c r="E2163" s="70">
        <f t="shared" si="232"/>
        <v>0.2</v>
      </c>
      <c r="F2163" s="70">
        <f t="shared" si="233"/>
        <v>2</v>
      </c>
      <c r="G2163" s="70">
        <f t="shared" si="234"/>
        <v>0.97238583531094602</v>
      </c>
      <c r="H2163" s="70">
        <f t="shared" si="235"/>
        <v>0.4</v>
      </c>
      <c r="I2163" s="70">
        <f t="shared" si="236"/>
        <v>0</v>
      </c>
      <c r="J2163" s="70">
        <f t="shared" si="237"/>
        <v>0</v>
      </c>
      <c r="K2163" s="70">
        <f>IF(CurrentMtgRatesDataTable8[[#This Row],[WA CC]]&lt;&gt;0,C2162-CurrentMtgRatesDataTable8[[#This Row],[WA CC]],0)</f>
        <v>0</v>
      </c>
      <c r="L2163" s="70">
        <f>IF(CurrentMtgRatesDataTable8[[#This Row],[Servicing Spread]]&lt;=0,L2162,CurrentMtgRatesDataTable8[[#This Row],[Servicing Spread]])</f>
        <v>1.0216256281574356</v>
      </c>
      <c r="M2163" s="70">
        <f>CurrentMtgRatesDataTable8[[#This Row],[Servicing Spread Non-Zero]]-L2162</f>
        <v>0</v>
      </c>
      <c r="N2163" s="70">
        <f>IF(J2162&lt;&gt;0,CurrentMtgRatesDataTable8[[#This Row],[Rate]]-C2162,N2162)</f>
        <v>-3.0000000000000249E-2</v>
      </c>
    </row>
    <row r="2164" spans="1:14">
      <c r="A2164" s="67" t="s">
        <v>322</v>
      </c>
      <c r="B2164" s="68">
        <v>2.3968423718228902</v>
      </c>
      <c r="C2164" s="69">
        <v>3.4549999999999996</v>
      </c>
      <c r="D2164" s="70">
        <f t="shared" si="231"/>
        <v>5</v>
      </c>
      <c r="E2164" s="70">
        <f t="shared" si="232"/>
        <v>0.2</v>
      </c>
      <c r="F2164" s="70">
        <f t="shared" si="233"/>
        <v>3</v>
      </c>
      <c r="G2164" s="70">
        <f t="shared" si="234"/>
        <v>1.4517543096755241</v>
      </c>
      <c r="H2164" s="70">
        <f t="shared" si="235"/>
        <v>0.60000000000000009</v>
      </c>
      <c r="I2164" s="70">
        <f t="shared" si="236"/>
        <v>0</v>
      </c>
      <c r="J2164" s="70">
        <f t="shared" si="237"/>
        <v>0</v>
      </c>
      <c r="K2164" s="70">
        <f>IF(CurrentMtgRatesDataTable8[[#This Row],[WA CC]]&lt;&gt;0,C2163-CurrentMtgRatesDataTable8[[#This Row],[WA CC]],0)</f>
        <v>0</v>
      </c>
      <c r="L2164" s="70">
        <f>IF(CurrentMtgRatesDataTable8[[#This Row],[Servicing Spread]]&lt;=0,L2163,CurrentMtgRatesDataTable8[[#This Row],[Servicing Spread]])</f>
        <v>1.0216256281574356</v>
      </c>
      <c r="M2164" s="70">
        <f>CurrentMtgRatesDataTable8[[#This Row],[Servicing Spread Non-Zero]]-L2163</f>
        <v>0</v>
      </c>
      <c r="N2164" s="70">
        <f>IF(J2163&lt;&gt;0,CurrentMtgRatesDataTable8[[#This Row],[Rate]]-C2163,N2163)</f>
        <v>-3.0000000000000249E-2</v>
      </c>
    </row>
    <row r="2165" spans="1:14">
      <c r="A2165" s="67" t="s">
        <v>179</v>
      </c>
      <c r="B2165" s="68">
        <v>2.4360959184987601</v>
      </c>
      <c r="C2165" s="69">
        <v>3.4549999999999996</v>
      </c>
      <c r="D2165" s="70">
        <f t="shared" si="231"/>
        <v>6</v>
      </c>
      <c r="E2165" s="70">
        <f t="shared" si="232"/>
        <v>0.2</v>
      </c>
      <c r="F2165" s="70">
        <f t="shared" si="233"/>
        <v>4</v>
      </c>
      <c r="G2165" s="70">
        <f t="shared" si="234"/>
        <v>1.938973493375276</v>
      </c>
      <c r="H2165" s="70">
        <f t="shared" si="235"/>
        <v>0.8</v>
      </c>
      <c r="I2165" s="70">
        <f t="shared" si="236"/>
        <v>0</v>
      </c>
      <c r="J2165" s="70">
        <f t="shared" si="237"/>
        <v>0</v>
      </c>
      <c r="K2165" s="70">
        <f>IF(CurrentMtgRatesDataTable8[[#This Row],[WA CC]]&lt;&gt;0,C2164-CurrentMtgRatesDataTable8[[#This Row],[WA CC]],0)</f>
        <v>0</v>
      </c>
      <c r="L2165" s="70">
        <f>IF(CurrentMtgRatesDataTable8[[#This Row],[Servicing Spread]]&lt;=0,L2164,CurrentMtgRatesDataTable8[[#This Row],[Servicing Spread]])</f>
        <v>1.0216256281574356</v>
      </c>
      <c r="M2165" s="70">
        <f>CurrentMtgRatesDataTable8[[#This Row],[Servicing Spread Non-Zero]]-L2164</f>
        <v>0</v>
      </c>
      <c r="N2165" s="70">
        <f>IF(J2164&lt;&gt;0,CurrentMtgRatesDataTable8[[#This Row],[Rate]]-C2164,N2164)</f>
        <v>-3.0000000000000249E-2</v>
      </c>
    </row>
    <row r="2166" spans="1:14">
      <c r="A2166" s="67" t="s">
        <v>33</v>
      </c>
      <c r="B2166" s="68">
        <v>2.3758504228028601</v>
      </c>
      <c r="C2166" s="69">
        <v>3.4549999999999996</v>
      </c>
      <c r="D2166" s="70">
        <f t="shared" si="231"/>
        <v>7</v>
      </c>
      <c r="E2166" s="70">
        <f t="shared" si="232"/>
        <v>0.2</v>
      </c>
      <c r="F2166" s="70">
        <f t="shared" si="233"/>
        <v>5</v>
      </c>
      <c r="G2166" s="70">
        <f t="shared" si="234"/>
        <v>2.4141435779358482</v>
      </c>
      <c r="H2166" s="70">
        <f t="shared" si="235"/>
        <v>1</v>
      </c>
      <c r="I2166" s="70">
        <f t="shared" si="236"/>
        <v>1</v>
      </c>
      <c r="J2166" s="70">
        <f t="shared" si="237"/>
        <v>2.4141435779358482</v>
      </c>
      <c r="K2166" s="70">
        <f>IF(CurrentMtgRatesDataTable8[[#This Row],[WA CC]]&lt;&gt;0,C2165-CurrentMtgRatesDataTable8[[#This Row],[WA CC]],0)</f>
        <v>1.0408564220641514</v>
      </c>
      <c r="L2166" s="70">
        <f>IF(CurrentMtgRatesDataTable8[[#This Row],[Servicing Spread]]&lt;=0,L2165,CurrentMtgRatesDataTable8[[#This Row],[Servicing Spread]])</f>
        <v>1.0408564220641514</v>
      </c>
      <c r="M2166" s="70">
        <f>CurrentMtgRatesDataTable8[[#This Row],[Servicing Spread Non-Zero]]-L2165</f>
        <v>1.9230793906715782E-2</v>
      </c>
      <c r="N2166" s="70">
        <f>IF(J2165&lt;&gt;0,CurrentMtgRatesDataTable8[[#This Row],[Rate]]-C2165,N2165)</f>
        <v>-3.0000000000000249E-2</v>
      </c>
    </row>
    <row r="2167" spans="1:14">
      <c r="A2167" s="67" t="s">
        <v>601</v>
      </c>
      <c r="B2167" s="68">
        <v>2.3931217438343899</v>
      </c>
      <c r="C2167" s="69">
        <v>3.415</v>
      </c>
      <c r="D2167" s="70">
        <f t="shared" si="231"/>
        <v>1</v>
      </c>
      <c r="E2167" s="70">
        <f t="shared" si="232"/>
        <v>0.2</v>
      </c>
      <c r="F2167" s="70">
        <f t="shared" si="233"/>
        <v>1</v>
      </c>
      <c r="G2167" s="70">
        <f t="shared" si="234"/>
        <v>0.47862434876687798</v>
      </c>
      <c r="H2167" s="70">
        <f t="shared" si="235"/>
        <v>0.2</v>
      </c>
      <c r="I2167" s="70">
        <f t="shared" si="236"/>
        <v>0</v>
      </c>
      <c r="J2167" s="70">
        <f t="shared" si="237"/>
        <v>0</v>
      </c>
      <c r="K2167" s="70">
        <f>IF(CurrentMtgRatesDataTable8[[#This Row],[WA CC]]&lt;&gt;0,C2166-CurrentMtgRatesDataTable8[[#This Row],[WA CC]],0)</f>
        <v>0</v>
      </c>
      <c r="L2167" s="70">
        <f>IF(CurrentMtgRatesDataTable8[[#This Row],[Servicing Spread]]&lt;=0,L2166,CurrentMtgRatesDataTable8[[#This Row],[Servicing Spread]])</f>
        <v>1.0408564220641514</v>
      </c>
      <c r="M2167" s="70">
        <f>CurrentMtgRatesDataTable8[[#This Row],[Servicing Spread Non-Zero]]-L2166</f>
        <v>0</v>
      </c>
      <c r="N2167" s="70">
        <f>IF(J2166&lt;&gt;0,CurrentMtgRatesDataTable8[[#This Row],[Rate]]-C2166,N2166)</f>
        <v>-3.9999999999999591E-2</v>
      </c>
    </row>
    <row r="2168" spans="1:14">
      <c r="A2168" s="67" t="s">
        <v>456</v>
      </c>
      <c r="B2168" s="68">
        <v>2.32496037866738</v>
      </c>
      <c r="C2168" s="69">
        <v>3.415</v>
      </c>
      <c r="D2168" s="70">
        <f t="shared" si="231"/>
        <v>2</v>
      </c>
      <c r="E2168" s="70">
        <f t="shared" si="232"/>
        <v>0.2</v>
      </c>
      <c r="F2168" s="70">
        <f t="shared" si="233"/>
        <v>2</v>
      </c>
      <c r="G2168" s="70">
        <f t="shared" si="234"/>
        <v>0.94361642450035399</v>
      </c>
      <c r="H2168" s="70">
        <f t="shared" si="235"/>
        <v>0.4</v>
      </c>
      <c r="I2168" s="70">
        <f t="shared" si="236"/>
        <v>0</v>
      </c>
      <c r="J2168" s="70">
        <f t="shared" si="237"/>
        <v>0</v>
      </c>
      <c r="K2168" s="70">
        <f>IF(CurrentMtgRatesDataTable8[[#This Row],[WA CC]]&lt;&gt;0,C2167-CurrentMtgRatesDataTable8[[#This Row],[WA CC]],0)</f>
        <v>0</v>
      </c>
      <c r="L2168" s="70">
        <f>IF(CurrentMtgRatesDataTable8[[#This Row],[Servicing Spread]]&lt;=0,L2167,CurrentMtgRatesDataTable8[[#This Row],[Servicing Spread]])</f>
        <v>1.0408564220641514</v>
      </c>
      <c r="M2168" s="70">
        <f>CurrentMtgRatesDataTable8[[#This Row],[Servicing Spread Non-Zero]]-L2167</f>
        <v>0</v>
      </c>
      <c r="N2168" s="70">
        <f>IF(J2167&lt;&gt;0,CurrentMtgRatesDataTable8[[#This Row],[Rate]]-C2167,N2167)</f>
        <v>-3.9999999999999591E-2</v>
      </c>
    </row>
    <row r="2169" spans="1:14">
      <c r="A2169" s="67" t="s">
        <v>323</v>
      </c>
      <c r="B2169" s="68">
        <v>2.27723185682542</v>
      </c>
      <c r="C2169" s="69">
        <v>3.415</v>
      </c>
      <c r="D2169" s="70">
        <f t="shared" si="231"/>
        <v>5</v>
      </c>
      <c r="E2169" s="70">
        <f t="shared" si="232"/>
        <v>0.2</v>
      </c>
      <c r="F2169" s="70">
        <f t="shared" si="233"/>
        <v>3</v>
      </c>
      <c r="G2169" s="70">
        <f t="shared" si="234"/>
        <v>1.399062795865438</v>
      </c>
      <c r="H2169" s="70">
        <f t="shared" si="235"/>
        <v>0.60000000000000009</v>
      </c>
      <c r="I2169" s="70">
        <f t="shared" si="236"/>
        <v>0</v>
      </c>
      <c r="J2169" s="70">
        <f t="shared" si="237"/>
        <v>0</v>
      </c>
      <c r="K2169" s="70">
        <f>IF(CurrentMtgRatesDataTable8[[#This Row],[WA CC]]&lt;&gt;0,C2168-CurrentMtgRatesDataTable8[[#This Row],[WA CC]],0)</f>
        <v>0</v>
      </c>
      <c r="L2169" s="70">
        <f>IF(CurrentMtgRatesDataTable8[[#This Row],[Servicing Spread]]&lt;=0,L2168,CurrentMtgRatesDataTable8[[#This Row],[Servicing Spread]])</f>
        <v>1.0408564220641514</v>
      </c>
      <c r="M2169" s="70">
        <f>CurrentMtgRatesDataTable8[[#This Row],[Servicing Spread Non-Zero]]-L2168</f>
        <v>0</v>
      </c>
      <c r="N2169" s="70">
        <f>IF(J2168&lt;&gt;0,CurrentMtgRatesDataTable8[[#This Row],[Rate]]-C2168,N2168)</f>
        <v>-3.9999999999999591E-2</v>
      </c>
    </row>
    <row r="2170" spans="1:14">
      <c r="A2170" s="67" t="s">
        <v>180</v>
      </c>
      <c r="B2170" s="68">
        <v>2.2471779895370898</v>
      </c>
      <c r="C2170" s="69">
        <v>3.415</v>
      </c>
      <c r="D2170" s="70">
        <f t="shared" si="231"/>
        <v>6</v>
      </c>
      <c r="E2170" s="70">
        <f t="shared" si="232"/>
        <v>0.2</v>
      </c>
      <c r="F2170" s="70">
        <f t="shared" si="233"/>
        <v>4</v>
      </c>
      <c r="G2170" s="70">
        <f t="shared" si="234"/>
        <v>1.8484983937728561</v>
      </c>
      <c r="H2170" s="70">
        <f t="shared" si="235"/>
        <v>0.8</v>
      </c>
      <c r="I2170" s="70">
        <f t="shared" si="236"/>
        <v>0</v>
      </c>
      <c r="J2170" s="70">
        <f t="shared" si="237"/>
        <v>0</v>
      </c>
      <c r="K2170" s="70">
        <f>IF(CurrentMtgRatesDataTable8[[#This Row],[WA CC]]&lt;&gt;0,C2169-CurrentMtgRatesDataTable8[[#This Row],[WA CC]],0)</f>
        <v>0</v>
      </c>
      <c r="L2170" s="70">
        <f>IF(CurrentMtgRatesDataTable8[[#This Row],[Servicing Spread]]&lt;=0,L2169,CurrentMtgRatesDataTable8[[#This Row],[Servicing Spread]])</f>
        <v>1.0408564220641514</v>
      </c>
      <c r="M2170" s="70">
        <f>CurrentMtgRatesDataTable8[[#This Row],[Servicing Spread Non-Zero]]-L2169</f>
        <v>0</v>
      </c>
      <c r="N2170" s="70">
        <f>IF(J2169&lt;&gt;0,CurrentMtgRatesDataTable8[[#This Row],[Rate]]-C2169,N2169)</f>
        <v>-3.9999999999999591E-2</v>
      </c>
    </row>
    <row r="2171" spans="1:14">
      <c r="A2171" s="67" t="s">
        <v>34</v>
      </c>
      <c r="B2171" s="68">
        <v>2.2633680242154099</v>
      </c>
      <c r="C2171" s="69">
        <v>3.415</v>
      </c>
      <c r="D2171" s="70">
        <f t="shared" si="231"/>
        <v>7</v>
      </c>
      <c r="E2171" s="70">
        <f t="shared" si="232"/>
        <v>0.2</v>
      </c>
      <c r="F2171" s="70">
        <f t="shared" si="233"/>
        <v>5</v>
      </c>
      <c r="G2171" s="70">
        <f t="shared" si="234"/>
        <v>2.301171998615938</v>
      </c>
      <c r="H2171" s="70">
        <f t="shared" si="235"/>
        <v>1</v>
      </c>
      <c r="I2171" s="70">
        <f t="shared" si="236"/>
        <v>1</v>
      </c>
      <c r="J2171" s="70">
        <f t="shared" si="237"/>
        <v>2.301171998615938</v>
      </c>
      <c r="K2171" s="70">
        <f>IF(CurrentMtgRatesDataTable8[[#This Row],[WA CC]]&lt;&gt;0,C2170-CurrentMtgRatesDataTable8[[#This Row],[WA CC]],0)</f>
        <v>1.113828001384062</v>
      </c>
      <c r="L2171" s="70">
        <f>IF(CurrentMtgRatesDataTable8[[#This Row],[Servicing Spread]]&lt;=0,L2170,CurrentMtgRatesDataTable8[[#This Row],[Servicing Spread]])</f>
        <v>1.113828001384062</v>
      </c>
      <c r="M2171" s="70">
        <f>CurrentMtgRatesDataTable8[[#This Row],[Servicing Spread Non-Zero]]-L2170</f>
        <v>7.2971579319910607E-2</v>
      </c>
      <c r="N2171" s="70">
        <f>IF(J2170&lt;&gt;0,CurrentMtgRatesDataTable8[[#This Row],[Rate]]-C2170,N2170)</f>
        <v>-3.9999999999999591E-2</v>
      </c>
    </row>
    <row r="2172" spans="1:14">
      <c r="A2172" s="67" t="s">
        <v>602</v>
      </c>
      <c r="B2172" s="68">
        <v>2.2877898548229898</v>
      </c>
      <c r="C2172" s="69">
        <v>3.4749999999999996</v>
      </c>
      <c r="D2172" s="70">
        <f t="shared" si="231"/>
        <v>1</v>
      </c>
      <c r="E2172" s="70">
        <f t="shared" si="232"/>
        <v>0.2</v>
      </c>
      <c r="F2172" s="70">
        <f t="shared" si="233"/>
        <v>1</v>
      </c>
      <c r="G2172" s="70">
        <f t="shared" si="234"/>
        <v>0.45755797096459799</v>
      </c>
      <c r="H2172" s="70">
        <f t="shared" si="235"/>
        <v>0.2</v>
      </c>
      <c r="I2172" s="70">
        <f t="shared" si="236"/>
        <v>0</v>
      </c>
      <c r="J2172" s="70">
        <f t="shared" si="237"/>
        <v>0</v>
      </c>
      <c r="K2172" s="70">
        <f>IF(CurrentMtgRatesDataTable8[[#This Row],[WA CC]]&lt;&gt;0,C2171-CurrentMtgRatesDataTable8[[#This Row],[WA CC]],0)</f>
        <v>0</v>
      </c>
      <c r="L2172" s="70">
        <f>IF(CurrentMtgRatesDataTable8[[#This Row],[Servicing Spread]]&lt;=0,L2171,CurrentMtgRatesDataTable8[[#This Row],[Servicing Spread]])</f>
        <v>1.113828001384062</v>
      </c>
      <c r="M2172" s="70">
        <f>CurrentMtgRatesDataTable8[[#This Row],[Servicing Spread Non-Zero]]-L2171</f>
        <v>0</v>
      </c>
      <c r="N2172" s="70">
        <f>IF(J2171&lt;&gt;0,CurrentMtgRatesDataTable8[[#This Row],[Rate]]-C2171,N2171)</f>
        <v>5.9999999999999609E-2</v>
      </c>
    </row>
    <row r="2173" spans="1:14">
      <c r="A2173" s="67" t="s">
        <v>457</v>
      </c>
      <c r="B2173" s="68">
        <v>2.4685368274640398</v>
      </c>
      <c r="C2173" s="69">
        <v>3.4749999999999996</v>
      </c>
      <c r="D2173" s="70">
        <f t="shared" si="231"/>
        <v>2</v>
      </c>
      <c r="E2173" s="70">
        <f t="shared" si="232"/>
        <v>0.2</v>
      </c>
      <c r="F2173" s="70">
        <f t="shared" si="233"/>
        <v>2</v>
      </c>
      <c r="G2173" s="70">
        <f t="shared" si="234"/>
        <v>0.95126533645740596</v>
      </c>
      <c r="H2173" s="70">
        <f t="shared" si="235"/>
        <v>0.4</v>
      </c>
      <c r="I2173" s="70">
        <f t="shared" si="236"/>
        <v>0</v>
      </c>
      <c r="J2173" s="70">
        <f t="shared" si="237"/>
        <v>0</v>
      </c>
      <c r="K2173" s="70">
        <f>IF(CurrentMtgRatesDataTable8[[#This Row],[WA CC]]&lt;&gt;0,C2172-CurrentMtgRatesDataTable8[[#This Row],[WA CC]],0)</f>
        <v>0</v>
      </c>
      <c r="L2173" s="70">
        <f>IF(CurrentMtgRatesDataTable8[[#This Row],[Servicing Spread]]&lt;=0,L2172,CurrentMtgRatesDataTable8[[#This Row],[Servicing Spread]])</f>
        <v>1.113828001384062</v>
      </c>
      <c r="M2173" s="70">
        <f>CurrentMtgRatesDataTable8[[#This Row],[Servicing Spread Non-Zero]]-L2172</f>
        <v>0</v>
      </c>
      <c r="N2173" s="70">
        <f>IF(J2172&lt;&gt;0,CurrentMtgRatesDataTable8[[#This Row],[Rate]]-C2172,N2172)</f>
        <v>5.9999999999999609E-2</v>
      </c>
    </row>
    <row r="2174" spans="1:14">
      <c r="A2174" s="67" t="s">
        <v>324</v>
      </c>
      <c r="B2174" s="68">
        <v>2.3365107534465399</v>
      </c>
      <c r="C2174" s="69">
        <v>3.4749999999999996</v>
      </c>
      <c r="D2174" s="70">
        <f t="shared" si="231"/>
        <v>5</v>
      </c>
      <c r="E2174" s="70">
        <f t="shared" si="232"/>
        <v>0.2</v>
      </c>
      <c r="F2174" s="70">
        <f t="shared" si="233"/>
        <v>3</v>
      </c>
      <c r="G2174" s="70">
        <f t="shared" si="234"/>
        <v>1.418567487146714</v>
      </c>
      <c r="H2174" s="70">
        <f t="shared" si="235"/>
        <v>0.60000000000000009</v>
      </c>
      <c r="I2174" s="70">
        <f t="shared" si="236"/>
        <v>0</v>
      </c>
      <c r="J2174" s="70">
        <f t="shared" si="237"/>
        <v>0</v>
      </c>
      <c r="K2174" s="70">
        <f>IF(CurrentMtgRatesDataTable8[[#This Row],[WA CC]]&lt;&gt;0,C2173-CurrentMtgRatesDataTable8[[#This Row],[WA CC]],0)</f>
        <v>0</v>
      </c>
      <c r="L2174" s="70">
        <f>IF(CurrentMtgRatesDataTable8[[#This Row],[Servicing Spread]]&lt;=0,L2173,CurrentMtgRatesDataTable8[[#This Row],[Servicing Spread]])</f>
        <v>1.113828001384062</v>
      </c>
      <c r="M2174" s="70">
        <f>CurrentMtgRatesDataTable8[[#This Row],[Servicing Spread Non-Zero]]-L2173</f>
        <v>0</v>
      </c>
      <c r="N2174" s="70">
        <f>IF(J2173&lt;&gt;0,CurrentMtgRatesDataTable8[[#This Row],[Rate]]-C2173,N2173)</f>
        <v>5.9999999999999609E-2</v>
      </c>
    </row>
    <row r="2175" spans="1:14">
      <c r="A2175" s="67" t="s">
        <v>181</v>
      </c>
      <c r="B2175" s="68">
        <v>2.3145960727619199</v>
      </c>
      <c r="C2175" s="69">
        <v>3.4749999999999996</v>
      </c>
      <c r="D2175" s="70">
        <f t="shared" si="231"/>
        <v>6</v>
      </c>
      <c r="E2175" s="70">
        <f t="shared" si="232"/>
        <v>0.2</v>
      </c>
      <c r="F2175" s="70">
        <f t="shared" si="233"/>
        <v>4</v>
      </c>
      <c r="G2175" s="70">
        <f t="shared" si="234"/>
        <v>1.8814867016990979</v>
      </c>
      <c r="H2175" s="70">
        <f t="shared" si="235"/>
        <v>0.8</v>
      </c>
      <c r="I2175" s="70">
        <f t="shared" si="236"/>
        <v>0</v>
      </c>
      <c r="J2175" s="70">
        <f t="shared" si="237"/>
        <v>0</v>
      </c>
      <c r="K2175" s="70">
        <f>IF(CurrentMtgRatesDataTable8[[#This Row],[WA CC]]&lt;&gt;0,C2174-CurrentMtgRatesDataTable8[[#This Row],[WA CC]],0)</f>
        <v>0</v>
      </c>
      <c r="L2175" s="70">
        <f>IF(CurrentMtgRatesDataTable8[[#This Row],[Servicing Spread]]&lt;=0,L2174,CurrentMtgRatesDataTable8[[#This Row],[Servicing Spread]])</f>
        <v>1.113828001384062</v>
      </c>
      <c r="M2175" s="70">
        <f>CurrentMtgRatesDataTable8[[#This Row],[Servicing Spread Non-Zero]]-L2174</f>
        <v>0</v>
      </c>
      <c r="N2175" s="70">
        <f>IF(J2174&lt;&gt;0,CurrentMtgRatesDataTable8[[#This Row],[Rate]]-C2174,N2174)</f>
        <v>5.9999999999999609E-2</v>
      </c>
    </row>
    <row r="2176" spans="1:14">
      <c r="A2176" s="67" t="s">
        <v>35</v>
      </c>
      <c r="B2176" s="68">
        <v>2.3658814096234999</v>
      </c>
      <c r="C2176" s="69">
        <v>3.4749999999999996</v>
      </c>
      <c r="D2176" s="70">
        <f t="shared" si="231"/>
        <v>7</v>
      </c>
      <c r="E2176" s="70">
        <f t="shared" si="232"/>
        <v>0.2</v>
      </c>
      <c r="F2176" s="70">
        <f t="shared" si="233"/>
        <v>5</v>
      </c>
      <c r="G2176" s="70">
        <f t="shared" si="234"/>
        <v>2.3546629836237978</v>
      </c>
      <c r="H2176" s="70">
        <f t="shared" si="235"/>
        <v>1</v>
      </c>
      <c r="I2176" s="70">
        <f t="shared" si="236"/>
        <v>1</v>
      </c>
      <c r="J2176" s="70">
        <f t="shared" si="237"/>
        <v>2.3546629836237978</v>
      </c>
      <c r="K2176" s="70">
        <f>IF(CurrentMtgRatesDataTable8[[#This Row],[WA CC]]&lt;&gt;0,C2175-CurrentMtgRatesDataTable8[[#This Row],[WA CC]],0)</f>
        <v>1.1203370163762019</v>
      </c>
      <c r="L2176" s="70">
        <f>IF(CurrentMtgRatesDataTable8[[#This Row],[Servicing Spread]]&lt;=0,L2175,CurrentMtgRatesDataTable8[[#This Row],[Servicing Spread]])</f>
        <v>1.1203370163762019</v>
      </c>
      <c r="M2176" s="70">
        <f>CurrentMtgRatesDataTable8[[#This Row],[Servicing Spread Non-Zero]]-L2175</f>
        <v>6.5090149921398499E-3</v>
      </c>
      <c r="N2176" s="70">
        <f>IF(J2175&lt;&gt;0,CurrentMtgRatesDataTable8[[#This Row],[Rate]]-C2175,N2175)</f>
        <v>5.9999999999999609E-2</v>
      </c>
    </row>
    <row r="2177" spans="1:14">
      <c r="A2177" s="67" t="s">
        <v>603</v>
      </c>
      <c r="B2177" s="68">
        <v>2.33657189118883</v>
      </c>
      <c r="C2177" s="69">
        <v>3.4899999999999998</v>
      </c>
      <c r="D2177" s="70">
        <f t="shared" si="231"/>
        <v>1</v>
      </c>
      <c r="E2177" s="70">
        <f t="shared" si="232"/>
        <v>0.2</v>
      </c>
      <c r="F2177" s="70">
        <f t="shared" si="233"/>
        <v>1</v>
      </c>
      <c r="G2177" s="70">
        <f t="shared" si="234"/>
        <v>0.467314378237766</v>
      </c>
      <c r="H2177" s="70">
        <f t="shared" si="235"/>
        <v>0.2</v>
      </c>
      <c r="I2177" s="70">
        <f t="shared" si="236"/>
        <v>0</v>
      </c>
      <c r="J2177" s="70">
        <f t="shared" si="237"/>
        <v>0</v>
      </c>
      <c r="K2177" s="70">
        <f>IF(CurrentMtgRatesDataTable8[[#This Row],[WA CC]]&lt;&gt;0,C2176-CurrentMtgRatesDataTable8[[#This Row],[WA CC]],0)</f>
        <v>0</v>
      </c>
      <c r="L2177" s="70">
        <f>IF(CurrentMtgRatesDataTable8[[#This Row],[Servicing Spread]]&lt;=0,L2176,CurrentMtgRatesDataTable8[[#This Row],[Servicing Spread]])</f>
        <v>1.1203370163762019</v>
      </c>
      <c r="M2177" s="70">
        <f>CurrentMtgRatesDataTable8[[#This Row],[Servicing Spread Non-Zero]]-L2176</f>
        <v>0</v>
      </c>
      <c r="N2177" s="70">
        <f>IF(J2176&lt;&gt;0,CurrentMtgRatesDataTable8[[#This Row],[Rate]]-C2176,N2176)</f>
        <v>1.5000000000000124E-2</v>
      </c>
    </row>
    <row r="2178" spans="1:14">
      <c r="A2178" s="67" t="s">
        <v>458</v>
      </c>
      <c r="B2178" s="68">
        <v>2.42675409444622</v>
      </c>
      <c r="C2178" s="69">
        <v>3.4899999999999998</v>
      </c>
      <c r="D2178" s="70">
        <f t="shared" si="231"/>
        <v>2</v>
      </c>
      <c r="E2178" s="70">
        <f t="shared" si="232"/>
        <v>0.2</v>
      </c>
      <c r="F2178" s="70">
        <f t="shared" si="233"/>
        <v>2</v>
      </c>
      <c r="G2178" s="70">
        <f t="shared" si="234"/>
        <v>0.95266519712701003</v>
      </c>
      <c r="H2178" s="70">
        <f t="shared" si="235"/>
        <v>0.4</v>
      </c>
      <c r="I2178" s="70">
        <f t="shared" si="236"/>
        <v>0</v>
      </c>
      <c r="J2178" s="70">
        <f t="shared" si="237"/>
        <v>0</v>
      </c>
      <c r="K2178" s="70">
        <f>IF(CurrentMtgRatesDataTable8[[#This Row],[WA CC]]&lt;&gt;0,C2177-CurrentMtgRatesDataTable8[[#This Row],[WA CC]],0)</f>
        <v>0</v>
      </c>
      <c r="L2178" s="70">
        <f>IF(CurrentMtgRatesDataTable8[[#This Row],[Servicing Spread]]&lt;=0,L2177,CurrentMtgRatesDataTable8[[#This Row],[Servicing Spread]])</f>
        <v>1.1203370163762019</v>
      </c>
      <c r="M2178" s="70">
        <f>CurrentMtgRatesDataTable8[[#This Row],[Servicing Spread Non-Zero]]-L2177</f>
        <v>0</v>
      </c>
      <c r="N2178" s="70">
        <f>IF(J2177&lt;&gt;0,CurrentMtgRatesDataTable8[[#This Row],[Rate]]-C2177,N2177)</f>
        <v>1.5000000000000124E-2</v>
      </c>
    </row>
    <row r="2179" spans="1:14">
      <c r="A2179" s="67" t="s">
        <v>325</v>
      </c>
      <c r="B2179" s="68">
        <v>2.4102554462908099</v>
      </c>
      <c r="C2179" s="69">
        <v>3.4899999999999998</v>
      </c>
      <c r="D2179" s="70">
        <f t="shared" si="231"/>
        <v>5</v>
      </c>
      <c r="E2179" s="70">
        <f t="shared" si="232"/>
        <v>0.2</v>
      </c>
      <c r="F2179" s="70">
        <f t="shared" si="233"/>
        <v>3</v>
      </c>
      <c r="G2179" s="70">
        <f t="shared" si="234"/>
        <v>1.4347162863851719</v>
      </c>
      <c r="H2179" s="70">
        <f t="shared" si="235"/>
        <v>0.60000000000000009</v>
      </c>
      <c r="I2179" s="70">
        <f t="shared" si="236"/>
        <v>0</v>
      </c>
      <c r="J2179" s="70">
        <f t="shared" si="237"/>
        <v>0</v>
      </c>
      <c r="K2179" s="70">
        <f>IF(CurrentMtgRatesDataTable8[[#This Row],[WA CC]]&lt;&gt;0,C2178-CurrentMtgRatesDataTable8[[#This Row],[WA CC]],0)</f>
        <v>0</v>
      </c>
      <c r="L2179" s="70">
        <f>IF(CurrentMtgRatesDataTable8[[#This Row],[Servicing Spread]]&lt;=0,L2178,CurrentMtgRatesDataTable8[[#This Row],[Servicing Spread]])</f>
        <v>1.1203370163762019</v>
      </c>
      <c r="M2179" s="70">
        <f>CurrentMtgRatesDataTable8[[#This Row],[Servicing Spread Non-Zero]]-L2178</f>
        <v>0</v>
      </c>
      <c r="N2179" s="70">
        <f>IF(J2178&lt;&gt;0,CurrentMtgRatesDataTable8[[#This Row],[Rate]]-C2178,N2178)</f>
        <v>1.5000000000000124E-2</v>
      </c>
    </row>
    <row r="2180" spans="1:14">
      <c r="A2180" s="67" t="s">
        <v>182</v>
      </c>
      <c r="B2180" s="68">
        <v>2.4648279812140101</v>
      </c>
      <c r="C2180" s="69">
        <v>3.4899999999999998</v>
      </c>
      <c r="D2180" s="70">
        <f t="shared" si="231"/>
        <v>6</v>
      </c>
      <c r="E2180" s="70">
        <f t="shared" si="232"/>
        <v>0.2</v>
      </c>
      <c r="F2180" s="70">
        <f t="shared" si="233"/>
        <v>4</v>
      </c>
      <c r="G2180" s="70">
        <f t="shared" si="234"/>
        <v>1.927681882627974</v>
      </c>
      <c r="H2180" s="70">
        <f t="shared" si="235"/>
        <v>0.8</v>
      </c>
      <c r="I2180" s="70">
        <f t="shared" si="236"/>
        <v>0</v>
      </c>
      <c r="J2180" s="70">
        <f t="shared" si="237"/>
        <v>0</v>
      </c>
      <c r="K2180" s="70">
        <f>IF(CurrentMtgRatesDataTable8[[#This Row],[WA CC]]&lt;&gt;0,C2179-CurrentMtgRatesDataTable8[[#This Row],[WA CC]],0)</f>
        <v>0</v>
      </c>
      <c r="L2180" s="70">
        <f>IF(CurrentMtgRatesDataTable8[[#This Row],[Servicing Spread]]&lt;=0,L2179,CurrentMtgRatesDataTable8[[#This Row],[Servicing Spread]])</f>
        <v>1.1203370163762019</v>
      </c>
      <c r="M2180" s="70">
        <f>CurrentMtgRatesDataTable8[[#This Row],[Servicing Spread Non-Zero]]-L2179</f>
        <v>0</v>
      </c>
      <c r="N2180" s="70">
        <f>IF(J2179&lt;&gt;0,CurrentMtgRatesDataTable8[[#This Row],[Rate]]-C2179,N2179)</f>
        <v>1.5000000000000124E-2</v>
      </c>
    </row>
    <row r="2181" spans="1:14">
      <c r="A2181" s="67" t="s">
        <v>36</v>
      </c>
      <c r="B2181" s="68">
        <v>2.45387778372179</v>
      </c>
      <c r="C2181" s="69">
        <v>3.4899999999999998</v>
      </c>
      <c r="D2181" s="70">
        <f t="shared" ref="D2181:D2244" si="238">WEEKDAY(A2181,14)</f>
        <v>7</v>
      </c>
      <c r="E2181" s="70">
        <f t="shared" ref="E2181:E2244" si="239">VLOOKUP(D2181,Q$5:R$11,2,FALSE)</f>
        <v>0.2</v>
      </c>
      <c r="F2181" s="70">
        <f t="shared" ref="F2181:F2244" si="240">IF(AND(D2181&gt;D2180,F2180&lt;6),F2180+1,1)</f>
        <v>5</v>
      </c>
      <c r="G2181" s="70">
        <f t="shared" ref="G2181:G2244" si="241">IF(F2181&gt;F2180,G2180+B2181*E2181,B2181*E2181)</f>
        <v>2.4184574393723319</v>
      </c>
      <c r="H2181" s="70">
        <f t="shared" ref="H2181:H2244" si="242">IF(AND(F2181&lt;6,F2181&gt;F2180),E2181+H2180,E2181)</f>
        <v>1</v>
      </c>
      <c r="I2181" s="70">
        <f t="shared" ref="I2181:I2244" si="243">IF(F2181&gt;F2182,1,0)</f>
        <v>1</v>
      </c>
      <c r="J2181" s="70">
        <f t="shared" ref="J2181:J2244" si="244">IF(F2181&gt;F2182,G2181/H2181,0)</f>
        <v>2.4184574393723319</v>
      </c>
      <c r="K2181" s="70">
        <f>IF(CurrentMtgRatesDataTable8[[#This Row],[WA CC]]&lt;&gt;0,C2180-CurrentMtgRatesDataTable8[[#This Row],[WA CC]],0)</f>
        <v>1.0715425606276678</v>
      </c>
      <c r="L2181" s="70">
        <f>IF(CurrentMtgRatesDataTable8[[#This Row],[Servicing Spread]]&lt;=0,L2180,CurrentMtgRatesDataTable8[[#This Row],[Servicing Spread]])</f>
        <v>1.0715425606276678</v>
      </c>
      <c r="M2181" s="70">
        <f>CurrentMtgRatesDataTable8[[#This Row],[Servicing Spread Non-Zero]]-L2180</f>
        <v>-4.8794455748534027E-2</v>
      </c>
      <c r="N2181" s="70">
        <f>IF(J2180&lt;&gt;0,CurrentMtgRatesDataTable8[[#This Row],[Rate]]-C2180,N2180)</f>
        <v>1.5000000000000124E-2</v>
      </c>
    </row>
    <row r="2182" spans="1:14">
      <c r="A2182" s="67" t="s">
        <v>604</v>
      </c>
      <c r="B2182" s="68">
        <v>2.45717074132124</v>
      </c>
      <c r="C2182" s="69">
        <v>3.52</v>
      </c>
      <c r="D2182" s="70">
        <f t="shared" si="238"/>
        <v>1</v>
      </c>
      <c r="E2182" s="70">
        <f t="shared" si="239"/>
        <v>0.2</v>
      </c>
      <c r="F2182" s="70">
        <f t="shared" si="240"/>
        <v>1</v>
      </c>
      <c r="G2182" s="70">
        <f t="shared" si="241"/>
        <v>0.49143414826424803</v>
      </c>
      <c r="H2182" s="70">
        <f t="shared" si="242"/>
        <v>0.2</v>
      </c>
      <c r="I2182" s="70">
        <f t="shared" si="243"/>
        <v>0</v>
      </c>
      <c r="J2182" s="70">
        <f t="shared" si="244"/>
        <v>0</v>
      </c>
      <c r="K2182" s="70">
        <f>IF(CurrentMtgRatesDataTable8[[#This Row],[WA CC]]&lt;&gt;0,C2181-CurrentMtgRatesDataTable8[[#This Row],[WA CC]],0)</f>
        <v>0</v>
      </c>
      <c r="L2182" s="70">
        <f>IF(CurrentMtgRatesDataTable8[[#This Row],[Servicing Spread]]&lt;=0,L2181,CurrentMtgRatesDataTable8[[#This Row],[Servicing Spread]])</f>
        <v>1.0715425606276678</v>
      </c>
      <c r="M2182" s="70">
        <f>CurrentMtgRatesDataTable8[[#This Row],[Servicing Spread Non-Zero]]-L2181</f>
        <v>0</v>
      </c>
      <c r="N2182" s="70">
        <f>IF(J2181&lt;&gt;0,CurrentMtgRatesDataTable8[[#This Row],[Rate]]-C2181,N2181)</f>
        <v>3.0000000000000249E-2</v>
      </c>
    </row>
    <row r="2183" spans="1:14">
      <c r="A2183" s="67" t="s">
        <v>459</v>
      </c>
      <c r="B2183" s="68">
        <v>2.43734688080974</v>
      </c>
      <c r="C2183" s="69">
        <v>3.52</v>
      </c>
      <c r="D2183" s="70">
        <f t="shared" si="238"/>
        <v>2</v>
      </c>
      <c r="E2183" s="70">
        <f t="shared" si="239"/>
        <v>0.2</v>
      </c>
      <c r="F2183" s="70">
        <f t="shared" si="240"/>
        <v>2</v>
      </c>
      <c r="G2183" s="70">
        <f t="shared" si="241"/>
        <v>0.9789035244261961</v>
      </c>
      <c r="H2183" s="70">
        <f t="shared" si="242"/>
        <v>0.4</v>
      </c>
      <c r="I2183" s="70">
        <f t="shared" si="243"/>
        <v>0</v>
      </c>
      <c r="J2183" s="70">
        <f t="shared" si="244"/>
        <v>0</v>
      </c>
      <c r="K2183" s="70">
        <f>IF(CurrentMtgRatesDataTable8[[#This Row],[WA CC]]&lt;&gt;0,C2182-CurrentMtgRatesDataTable8[[#This Row],[WA CC]],0)</f>
        <v>0</v>
      </c>
      <c r="L2183" s="70">
        <f>IF(CurrentMtgRatesDataTable8[[#This Row],[Servicing Spread]]&lt;=0,L2182,CurrentMtgRatesDataTable8[[#This Row],[Servicing Spread]])</f>
        <v>1.0715425606276678</v>
      </c>
      <c r="M2183" s="70">
        <f>CurrentMtgRatesDataTable8[[#This Row],[Servicing Spread Non-Zero]]-L2182</f>
        <v>0</v>
      </c>
      <c r="N2183" s="70">
        <f>IF(J2182&lt;&gt;0,CurrentMtgRatesDataTable8[[#This Row],[Rate]]-C2182,N2182)</f>
        <v>3.0000000000000249E-2</v>
      </c>
    </row>
    <row r="2184" spans="1:14">
      <c r="A2184" s="67" t="s">
        <v>326</v>
      </c>
      <c r="B2184" s="68">
        <v>2.4326197879338101</v>
      </c>
      <c r="C2184" s="69">
        <v>3.52</v>
      </c>
      <c r="D2184" s="70">
        <f t="shared" si="238"/>
        <v>5</v>
      </c>
      <c r="E2184" s="70">
        <f t="shared" si="239"/>
        <v>0.2</v>
      </c>
      <c r="F2184" s="70">
        <f t="shared" si="240"/>
        <v>3</v>
      </c>
      <c r="G2184" s="70">
        <f t="shared" si="241"/>
        <v>1.465427482012958</v>
      </c>
      <c r="H2184" s="70">
        <f t="shared" si="242"/>
        <v>0.60000000000000009</v>
      </c>
      <c r="I2184" s="70">
        <f t="shared" si="243"/>
        <v>0</v>
      </c>
      <c r="J2184" s="70">
        <f t="shared" si="244"/>
        <v>0</v>
      </c>
      <c r="K2184" s="70">
        <f>IF(CurrentMtgRatesDataTable8[[#This Row],[WA CC]]&lt;&gt;0,C2183-CurrentMtgRatesDataTable8[[#This Row],[WA CC]],0)</f>
        <v>0</v>
      </c>
      <c r="L2184" s="70">
        <f>IF(CurrentMtgRatesDataTable8[[#This Row],[Servicing Spread]]&lt;=0,L2183,CurrentMtgRatesDataTable8[[#This Row],[Servicing Spread]])</f>
        <v>1.0715425606276678</v>
      </c>
      <c r="M2184" s="70">
        <f>CurrentMtgRatesDataTable8[[#This Row],[Servicing Spread Non-Zero]]-L2183</f>
        <v>0</v>
      </c>
      <c r="N2184" s="70">
        <f>IF(J2183&lt;&gt;0,CurrentMtgRatesDataTable8[[#This Row],[Rate]]-C2183,N2183)</f>
        <v>3.0000000000000249E-2</v>
      </c>
    </row>
    <row r="2185" spans="1:14">
      <c r="A2185" s="67" t="s">
        <v>183</v>
      </c>
      <c r="B2185" s="68">
        <v>2.5032104637526098</v>
      </c>
      <c r="C2185" s="69">
        <v>3.52</v>
      </c>
      <c r="D2185" s="70">
        <f t="shared" si="238"/>
        <v>6</v>
      </c>
      <c r="E2185" s="70">
        <f t="shared" si="239"/>
        <v>0.2</v>
      </c>
      <c r="F2185" s="70">
        <f t="shared" si="240"/>
        <v>4</v>
      </c>
      <c r="G2185" s="70">
        <f t="shared" si="241"/>
        <v>1.96606957476348</v>
      </c>
      <c r="H2185" s="70">
        <f t="shared" si="242"/>
        <v>0.8</v>
      </c>
      <c r="I2185" s="70">
        <f t="shared" si="243"/>
        <v>0</v>
      </c>
      <c r="J2185" s="70">
        <f t="shared" si="244"/>
        <v>0</v>
      </c>
      <c r="K2185" s="70">
        <f>IF(CurrentMtgRatesDataTable8[[#This Row],[WA CC]]&lt;&gt;0,C2184-CurrentMtgRatesDataTable8[[#This Row],[WA CC]],0)</f>
        <v>0</v>
      </c>
      <c r="L2185" s="70">
        <f>IF(CurrentMtgRatesDataTable8[[#This Row],[Servicing Spread]]&lt;=0,L2184,CurrentMtgRatesDataTable8[[#This Row],[Servicing Spread]])</f>
        <v>1.0715425606276678</v>
      </c>
      <c r="M2185" s="70">
        <f>CurrentMtgRatesDataTable8[[#This Row],[Servicing Spread Non-Zero]]-L2184</f>
        <v>0</v>
      </c>
      <c r="N2185" s="70">
        <f>IF(J2184&lt;&gt;0,CurrentMtgRatesDataTable8[[#This Row],[Rate]]-C2184,N2184)</f>
        <v>3.0000000000000249E-2</v>
      </c>
    </row>
    <row r="2186" spans="1:14">
      <c r="A2186" s="67" t="s">
        <v>37</v>
      </c>
      <c r="B2186" s="68">
        <v>2.6381335660023502</v>
      </c>
      <c r="C2186" s="69">
        <v>3.52</v>
      </c>
      <c r="D2186" s="70">
        <f t="shared" si="238"/>
        <v>7</v>
      </c>
      <c r="E2186" s="70">
        <f t="shared" si="239"/>
        <v>0.2</v>
      </c>
      <c r="F2186" s="70">
        <f t="shared" si="240"/>
        <v>5</v>
      </c>
      <c r="G2186" s="70">
        <f t="shared" si="241"/>
        <v>2.4936962879639499</v>
      </c>
      <c r="H2186" s="70">
        <f t="shared" si="242"/>
        <v>1</v>
      </c>
      <c r="I2186" s="70">
        <f t="shared" si="243"/>
        <v>1</v>
      </c>
      <c r="J2186" s="70">
        <f t="shared" si="244"/>
        <v>2.4936962879639499</v>
      </c>
      <c r="K2186" s="70">
        <f>IF(CurrentMtgRatesDataTable8[[#This Row],[WA CC]]&lt;&gt;0,C2185-CurrentMtgRatesDataTable8[[#This Row],[WA CC]],0)</f>
        <v>1.0263037120360501</v>
      </c>
      <c r="L2186" s="70">
        <f>IF(CurrentMtgRatesDataTable8[[#This Row],[Servicing Spread]]&lt;=0,L2185,CurrentMtgRatesDataTable8[[#This Row],[Servicing Spread]])</f>
        <v>1.0263037120360501</v>
      </c>
      <c r="M2186" s="70">
        <f>CurrentMtgRatesDataTable8[[#This Row],[Servicing Spread Non-Zero]]-L2185</f>
        <v>-4.5238848591617753E-2</v>
      </c>
      <c r="N2186" s="70">
        <f>IF(J2185&lt;&gt;0,CurrentMtgRatesDataTable8[[#This Row],[Rate]]-C2185,N2185)</f>
        <v>3.0000000000000249E-2</v>
      </c>
    </row>
    <row r="2187" spans="1:14">
      <c r="A2187" s="67" t="s">
        <v>605</v>
      </c>
      <c r="B2187" s="68">
        <v>2.67019432510418</v>
      </c>
      <c r="C2187" s="69">
        <v>3.585</v>
      </c>
      <c r="D2187" s="70">
        <f t="shared" si="238"/>
        <v>1</v>
      </c>
      <c r="E2187" s="70">
        <f t="shared" si="239"/>
        <v>0.2</v>
      </c>
      <c r="F2187" s="70">
        <f t="shared" si="240"/>
        <v>1</v>
      </c>
      <c r="G2187" s="70">
        <f t="shared" si="241"/>
        <v>0.53403886502083597</v>
      </c>
      <c r="H2187" s="70">
        <f t="shared" si="242"/>
        <v>0.2</v>
      </c>
      <c r="I2187" s="70">
        <f t="shared" si="243"/>
        <v>0</v>
      </c>
      <c r="J2187" s="70">
        <f t="shared" si="244"/>
        <v>0</v>
      </c>
      <c r="K2187" s="70">
        <f>IF(CurrentMtgRatesDataTable8[[#This Row],[WA CC]]&lt;&gt;0,C2186-CurrentMtgRatesDataTable8[[#This Row],[WA CC]],0)</f>
        <v>0</v>
      </c>
      <c r="L2187" s="70">
        <f>IF(CurrentMtgRatesDataTable8[[#This Row],[Servicing Spread]]&lt;=0,L2186,CurrentMtgRatesDataTable8[[#This Row],[Servicing Spread]])</f>
        <v>1.0263037120360501</v>
      </c>
      <c r="M2187" s="70">
        <f>CurrentMtgRatesDataTable8[[#This Row],[Servicing Spread Non-Zero]]-L2186</f>
        <v>0</v>
      </c>
      <c r="N2187" s="70">
        <f>IF(J2186&lt;&gt;0,CurrentMtgRatesDataTable8[[#This Row],[Rate]]-C2186,N2186)</f>
        <v>6.4999999999999947E-2</v>
      </c>
    </row>
    <row r="2188" spans="1:14">
      <c r="A2188" s="67" t="s">
        <v>460</v>
      </c>
      <c r="B2188" s="68">
        <v>2.6390371038052001</v>
      </c>
      <c r="C2188" s="69">
        <v>3.585</v>
      </c>
      <c r="D2188" s="70">
        <f t="shared" si="238"/>
        <v>2</v>
      </c>
      <c r="E2188" s="70">
        <f t="shared" si="239"/>
        <v>0.2</v>
      </c>
      <c r="F2188" s="70">
        <f t="shared" si="240"/>
        <v>2</v>
      </c>
      <c r="G2188" s="70">
        <f t="shared" si="241"/>
        <v>1.061846285781876</v>
      </c>
      <c r="H2188" s="70">
        <f t="shared" si="242"/>
        <v>0.4</v>
      </c>
      <c r="I2188" s="70">
        <f t="shared" si="243"/>
        <v>0</v>
      </c>
      <c r="J2188" s="70">
        <f t="shared" si="244"/>
        <v>0</v>
      </c>
      <c r="K2188" s="70">
        <f>IF(CurrentMtgRatesDataTable8[[#This Row],[WA CC]]&lt;&gt;0,C2187-CurrentMtgRatesDataTable8[[#This Row],[WA CC]],0)</f>
        <v>0</v>
      </c>
      <c r="L2188" s="70">
        <f>IF(CurrentMtgRatesDataTable8[[#This Row],[Servicing Spread]]&lt;=0,L2187,CurrentMtgRatesDataTable8[[#This Row],[Servicing Spread]])</f>
        <v>1.0263037120360501</v>
      </c>
      <c r="M2188" s="70">
        <f>CurrentMtgRatesDataTable8[[#This Row],[Servicing Spread Non-Zero]]-L2187</f>
        <v>0</v>
      </c>
      <c r="N2188" s="70">
        <f>IF(J2187&lt;&gt;0,CurrentMtgRatesDataTable8[[#This Row],[Rate]]-C2187,N2187)</f>
        <v>6.4999999999999947E-2</v>
      </c>
    </row>
    <row r="2189" spans="1:14">
      <c r="A2189" s="67" t="s">
        <v>327</v>
      </c>
      <c r="B2189" s="68">
        <v>2.6186769861639401</v>
      </c>
      <c r="C2189" s="69">
        <v>3.585</v>
      </c>
      <c r="D2189" s="70">
        <f t="shared" si="238"/>
        <v>5</v>
      </c>
      <c r="E2189" s="70">
        <f t="shared" si="239"/>
        <v>0.2</v>
      </c>
      <c r="F2189" s="70">
        <f t="shared" si="240"/>
        <v>3</v>
      </c>
      <c r="G2189" s="70">
        <f t="shared" si="241"/>
        <v>1.5855816830146641</v>
      </c>
      <c r="H2189" s="70">
        <f t="shared" si="242"/>
        <v>0.60000000000000009</v>
      </c>
      <c r="I2189" s="70">
        <f t="shared" si="243"/>
        <v>0</v>
      </c>
      <c r="J2189" s="70">
        <f t="shared" si="244"/>
        <v>0</v>
      </c>
      <c r="K2189" s="70">
        <f>IF(CurrentMtgRatesDataTable8[[#This Row],[WA CC]]&lt;&gt;0,C2188-CurrentMtgRatesDataTable8[[#This Row],[WA CC]],0)</f>
        <v>0</v>
      </c>
      <c r="L2189" s="70">
        <f>IF(CurrentMtgRatesDataTable8[[#This Row],[Servicing Spread]]&lt;=0,L2188,CurrentMtgRatesDataTable8[[#This Row],[Servicing Spread]])</f>
        <v>1.0263037120360501</v>
      </c>
      <c r="M2189" s="70">
        <f>CurrentMtgRatesDataTable8[[#This Row],[Servicing Spread Non-Zero]]-L2188</f>
        <v>0</v>
      </c>
      <c r="N2189" s="70">
        <f>IF(J2188&lt;&gt;0,CurrentMtgRatesDataTable8[[#This Row],[Rate]]-C2188,N2188)</f>
        <v>6.4999999999999947E-2</v>
      </c>
    </row>
    <row r="2190" spans="1:14">
      <c r="A2190" s="67" t="s">
        <v>184</v>
      </c>
      <c r="B2190" s="68">
        <v>2.6258914158610902</v>
      </c>
      <c r="C2190" s="69">
        <v>3.585</v>
      </c>
      <c r="D2190" s="70">
        <f t="shared" si="238"/>
        <v>6</v>
      </c>
      <c r="E2190" s="70">
        <f t="shared" si="239"/>
        <v>0.2</v>
      </c>
      <c r="F2190" s="70">
        <f t="shared" si="240"/>
        <v>4</v>
      </c>
      <c r="G2190" s="70">
        <f t="shared" si="241"/>
        <v>2.1107599661868823</v>
      </c>
      <c r="H2190" s="70">
        <f t="shared" si="242"/>
        <v>0.8</v>
      </c>
      <c r="I2190" s="70">
        <f t="shared" si="243"/>
        <v>0</v>
      </c>
      <c r="J2190" s="70">
        <f t="shared" si="244"/>
        <v>0</v>
      </c>
      <c r="K2190" s="70">
        <f>IF(CurrentMtgRatesDataTable8[[#This Row],[WA CC]]&lt;&gt;0,C2189-CurrentMtgRatesDataTable8[[#This Row],[WA CC]],0)</f>
        <v>0</v>
      </c>
      <c r="L2190" s="70">
        <f>IF(CurrentMtgRatesDataTable8[[#This Row],[Servicing Spread]]&lt;=0,L2189,CurrentMtgRatesDataTable8[[#This Row],[Servicing Spread]])</f>
        <v>1.0263037120360501</v>
      </c>
      <c r="M2190" s="70">
        <f>CurrentMtgRatesDataTable8[[#This Row],[Servicing Spread Non-Zero]]-L2189</f>
        <v>0</v>
      </c>
      <c r="N2190" s="70">
        <f>IF(J2189&lt;&gt;0,CurrentMtgRatesDataTable8[[#This Row],[Rate]]-C2189,N2189)</f>
        <v>6.4999999999999947E-2</v>
      </c>
    </row>
    <row r="2191" spans="1:14">
      <c r="A2191" s="67" t="s">
        <v>38</v>
      </c>
      <c r="B2191" s="68">
        <v>2.5120707644049798</v>
      </c>
      <c r="C2191" s="69">
        <v>3.585</v>
      </c>
      <c r="D2191" s="70">
        <f t="shared" si="238"/>
        <v>7</v>
      </c>
      <c r="E2191" s="70">
        <f t="shared" si="239"/>
        <v>0.2</v>
      </c>
      <c r="F2191" s="70">
        <f t="shared" si="240"/>
        <v>5</v>
      </c>
      <c r="G2191" s="70">
        <f t="shared" si="241"/>
        <v>2.6131741190678781</v>
      </c>
      <c r="H2191" s="70">
        <f t="shared" si="242"/>
        <v>1</v>
      </c>
      <c r="I2191" s="70">
        <f t="shared" si="243"/>
        <v>1</v>
      </c>
      <c r="J2191" s="70">
        <f t="shared" si="244"/>
        <v>2.6131741190678781</v>
      </c>
      <c r="K2191" s="70">
        <f>IF(CurrentMtgRatesDataTable8[[#This Row],[WA CC]]&lt;&gt;0,C2190-CurrentMtgRatesDataTable8[[#This Row],[WA CC]],0)</f>
        <v>0.97182588093212185</v>
      </c>
      <c r="L2191" s="70">
        <f>IF(CurrentMtgRatesDataTable8[[#This Row],[Servicing Spread]]&lt;=0,L2190,CurrentMtgRatesDataTable8[[#This Row],[Servicing Spread]])</f>
        <v>0.97182588093212185</v>
      </c>
      <c r="M2191" s="70">
        <f>CurrentMtgRatesDataTable8[[#This Row],[Servicing Spread Non-Zero]]-L2190</f>
        <v>-5.4477831103928231E-2</v>
      </c>
      <c r="N2191" s="70">
        <f>IF(J2190&lt;&gt;0,CurrentMtgRatesDataTable8[[#This Row],[Rate]]-C2190,N2190)</f>
        <v>6.4999999999999947E-2</v>
      </c>
    </row>
    <row r="2192" spans="1:14">
      <c r="A2192" s="67" t="s">
        <v>606</v>
      </c>
      <c r="B2192" s="68">
        <v>2.4447051610431401</v>
      </c>
      <c r="C2192" s="69">
        <v>3.4899999999999998</v>
      </c>
      <c r="D2192" s="70">
        <f t="shared" si="238"/>
        <v>1</v>
      </c>
      <c r="E2192" s="70">
        <f t="shared" si="239"/>
        <v>0.2</v>
      </c>
      <c r="F2192" s="70">
        <f t="shared" si="240"/>
        <v>1</v>
      </c>
      <c r="G2192" s="70">
        <f t="shared" si="241"/>
        <v>0.48894103220862806</v>
      </c>
      <c r="H2192" s="70">
        <f t="shared" si="242"/>
        <v>0.2</v>
      </c>
      <c r="I2192" s="70">
        <f t="shared" si="243"/>
        <v>0</v>
      </c>
      <c r="J2192" s="70">
        <f t="shared" si="244"/>
        <v>0</v>
      </c>
      <c r="K2192" s="70">
        <f>IF(CurrentMtgRatesDataTable8[[#This Row],[WA CC]]&lt;&gt;0,C2191-CurrentMtgRatesDataTable8[[#This Row],[WA CC]],0)</f>
        <v>0</v>
      </c>
      <c r="L2192" s="70">
        <f>IF(CurrentMtgRatesDataTable8[[#This Row],[Servicing Spread]]&lt;=0,L2191,CurrentMtgRatesDataTable8[[#This Row],[Servicing Spread]])</f>
        <v>0.97182588093212185</v>
      </c>
      <c r="M2192" s="70">
        <f>CurrentMtgRatesDataTable8[[#This Row],[Servicing Spread Non-Zero]]-L2191</f>
        <v>0</v>
      </c>
      <c r="N2192" s="70">
        <f>IF(J2191&lt;&gt;0,CurrentMtgRatesDataTable8[[#This Row],[Rate]]-C2191,N2191)</f>
        <v>-9.5000000000000195E-2</v>
      </c>
    </row>
    <row r="2193" spans="1:14">
      <c r="A2193" s="67" t="s">
        <v>461</v>
      </c>
      <c r="B2193" s="68">
        <v>2.4760934642707801</v>
      </c>
      <c r="C2193" s="69">
        <v>3.4899999999999998</v>
      </c>
      <c r="D2193" s="70">
        <f t="shared" si="238"/>
        <v>2</v>
      </c>
      <c r="E2193" s="70">
        <f t="shared" si="239"/>
        <v>0.2</v>
      </c>
      <c r="F2193" s="70">
        <f t="shared" si="240"/>
        <v>2</v>
      </c>
      <c r="G2193" s="70">
        <f t="shared" si="241"/>
        <v>0.98415972506278404</v>
      </c>
      <c r="H2193" s="70">
        <f t="shared" si="242"/>
        <v>0.4</v>
      </c>
      <c r="I2193" s="70">
        <f t="shared" si="243"/>
        <v>0</v>
      </c>
      <c r="J2193" s="70">
        <f t="shared" si="244"/>
        <v>0</v>
      </c>
      <c r="K2193" s="70">
        <f>IF(CurrentMtgRatesDataTable8[[#This Row],[WA CC]]&lt;&gt;0,C2192-CurrentMtgRatesDataTable8[[#This Row],[WA CC]],0)</f>
        <v>0</v>
      </c>
      <c r="L2193" s="70">
        <f>IF(CurrentMtgRatesDataTable8[[#This Row],[Servicing Spread]]&lt;=0,L2192,CurrentMtgRatesDataTable8[[#This Row],[Servicing Spread]])</f>
        <v>0.97182588093212185</v>
      </c>
      <c r="M2193" s="70">
        <f>CurrentMtgRatesDataTable8[[#This Row],[Servicing Spread Non-Zero]]-L2192</f>
        <v>0</v>
      </c>
      <c r="N2193" s="70">
        <f>IF(J2192&lt;&gt;0,CurrentMtgRatesDataTable8[[#This Row],[Rate]]-C2192,N2192)</f>
        <v>-9.5000000000000195E-2</v>
      </c>
    </row>
    <row r="2194" spans="1:14">
      <c r="A2194" s="67" t="s">
        <v>328</v>
      </c>
      <c r="B2194" s="68">
        <v>2.4407526300903402</v>
      </c>
      <c r="C2194" s="69">
        <v>3.4899999999999998</v>
      </c>
      <c r="D2194" s="70">
        <f t="shared" si="238"/>
        <v>5</v>
      </c>
      <c r="E2194" s="70">
        <f t="shared" si="239"/>
        <v>0.2</v>
      </c>
      <c r="F2194" s="70">
        <f t="shared" si="240"/>
        <v>3</v>
      </c>
      <c r="G2194" s="70">
        <f t="shared" si="241"/>
        <v>1.4723102510808521</v>
      </c>
      <c r="H2194" s="70">
        <f t="shared" si="242"/>
        <v>0.60000000000000009</v>
      </c>
      <c r="I2194" s="70">
        <f t="shared" si="243"/>
        <v>0</v>
      </c>
      <c r="J2194" s="70">
        <f t="shared" si="244"/>
        <v>0</v>
      </c>
      <c r="K2194" s="70">
        <f>IF(CurrentMtgRatesDataTable8[[#This Row],[WA CC]]&lt;&gt;0,C2193-CurrentMtgRatesDataTable8[[#This Row],[WA CC]],0)</f>
        <v>0</v>
      </c>
      <c r="L2194" s="70">
        <f>IF(CurrentMtgRatesDataTable8[[#This Row],[Servicing Spread]]&lt;=0,L2193,CurrentMtgRatesDataTable8[[#This Row],[Servicing Spread]])</f>
        <v>0.97182588093212185</v>
      </c>
      <c r="M2194" s="70">
        <f>CurrentMtgRatesDataTable8[[#This Row],[Servicing Spread Non-Zero]]-L2193</f>
        <v>0</v>
      </c>
      <c r="N2194" s="70">
        <f>IF(J2193&lt;&gt;0,CurrentMtgRatesDataTable8[[#This Row],[Rate]]-C2193,N2193)</f>
        <v>-9.5000000000000195E-2</v>
      </c>
    </row>
    <row r="2195" spans="1:14">
      <c r="A2195" s="67" t="s">
        <v>185</v>
      </c>
      <c r="B2195" s="68">
        <v>2.4110384199427202</v>
      </c>
      <c r="C2195" s="69">
        <v>3.4899999999999998</v>
      </c>
      <c r="D2195" s="70">
        <f t="shared" si="238"/>
        <v>6</v>
      </c>
      <c r="E2195" s="70">
        <f t="shared" si="239"/>
        <v>0.2</v>
      </c>
      <c r="F2195" s="70">
        <f t="shared" si="240"/>
        <v>4</v>
      </c>
      <c r="G2195" s="70">
        <f t="shared" si="241"/>
        <v>1.9545179350693962</v>
      </c>
      <c r="H2195" s="70">
        <f t="shared" si="242"/>
        <v>0.8</v>
      </c>
      <c r="I2195" s="70">
        <f t="shared" si="243"/>
        <v>0</v>
      </c>
      <c r="J2195" s="70">
        <f t="shared" si="244"/>
        <v>0</v>
      </c>
      <c r="K2195" s="70">
        <f>IF(CurrentMtgRatesDataTable8[[#This Row],[WA CC]]&lt;&gt;0,C2194-CurrentMtgRatesDataTable8[[#This Row],[WA CC]],0)</f>
        <v>0</v>
      </c>
      <c r="L2195" s="70">
        <f>IF(CurrentMtgRatesDataTable8[[#This Row],[Servicing Spread]]&lt;=0,L2194,CurrentMtgRatesDataTable8[[#This Row],[Servicing Spread]])</f>
        <v>0.97182588093212185</v>
      </c>
      <c r="M2195" s="70">
        <f>CurrentMtgRatesDataTable8[[#This Row],[Servicing Spread Non-Zero]]-L2194</f>
        <v>0</v>
      </c>
      <c r="N2195" s="70">
        <f>IF(J2194&lt;&gt;0,CurrentMtgRatesDataTable8[[#This Row],[Rate]]-C2194,N2194)</f>
        <v>-9.5000000000000195E-2</v>
      </c>
    </row>
    <row r="2196" spans="1:14">
      <c r="A2196" s="67" t="s">
        <v>39</v>
      </c>
      <c r="B2196" s="68">
        <v>2.4687840450515499</v>
      </c>
      <c r="C2196" s="69">
        <v>3.4899999999999998</v>
      </c>
      <c r="D2196" s="70">
        <f t="shared" si="238"/>
        <v>7</v>
      </c>
      <c r="E2196" s="70">
        <f t="shared" si="239"/>
        <v>0.2</v>
      </c>
      <c r="F2196" s="70">
        <f t="shared" si="240"/>
        <v>5</v>
      </c>
      <c r="G2196" s="70">
        <f t="shared" si="241"/>
        <v>2.4482747440797064</v>
      </c>
      <c r="H2196" s="70">
        <f t="shared" si="242"/>
        <v>1</v>
      </c>
      <c r="I2196" s="70">
        <f t="shared" si="243"/>
        <v>1</v>
      </c>
      <c r="J2196" s="70">
        <f t="shared" si="244"/>
        <v>2.4482747440797064</v>
      </c>
      <c r="K2196" s="70">
        <f>IF(CurrentMtgRatesDataTable8[[#This Row],[WA CC]]&lt;&gt;0,C2195-CurrentMtgRatesDataTable8[[#This Row],[WA CC]],0)</f>
        <v>1.0417252559202934</v>
      </c>
      <c r="L2196" s="70">
        <f>IF(CurrentMtgRatesDataTable8[[#This Row],[Servicing Spread]]&lt;=0,L2195,CurrentMtgRatesDataTable8[[#This Row],[Servicing Spread]])</f>
        <v>1.0417252559202934</v>
      </c>
      <c r="M2196" s="70">
        <f>CurrentMtgRatesDataTable8[[#This Row],[Servicing Spread Non-Zero]]-L2195</f>
        <v>6.9899374988171559E-2</v>
      </c>
      <c r="N2196" s="70">
        <f>IF(J2195&lt;&gt;0,CurrentMtgRatesDataTable8[[#This Row],[Rate]]-C2195,N2195)</f>
        <v>-9.5000000000000195E-2</v>
      </c>
    </row>
    <row r="2197" spans="1:14">
      <c r="A2197" s="67" t="s">
        <v>607</v>
      </c>
      <c r="B2197" s="68">
        <v>2.4337082726962702</v>
      </c>
      <c r="C2197" s="69">
        <v>3.4749999999999996</v>
      </c>
      <c r="D2197" s="70">
        <f t="shared" si="238"/>
        <v>1</v>
      </c>
      <c r="E2197" s="70">
        <f t="shared" si="239"/>
        <v>0.2</v>
      </c>
      <c r="F2197" s="70">
        <f t="shared" si="240"/>
        <v>1</v>
      </c>
      <c r="G2197" s="70">
        <f t="shared" si="241"/>
        <v>0.48674165453925405</v>
      </c>
      <c r="H2197" s="70">
        <f t="shared" si="242"/>
        <v>0.2</v>
      </c>
      <c r="I2197" s="70">
        <f t="shared" si="243"/>
        <v>0</v>
      </c>
      <c r="J2197" s="70">
        <f t="shared" si="244"/>
        <v>0</v>
      </c>
      <c r="K2197" s="70">
        <f>IF(CurrentMtgRatesDataTable8[[#This Row],[WA CC]]&lt;&gt;0,C2196-CurrentMtgRatesDataTable8[[#This Row],[WA CC]],0)</f>
        <v>0</v>
      </c>
      <c r="L2197" s="70">
        <f>IF(CurrentMtgRatesDataTable8[[#This Row],[Servicing Spread]]&lt;=0,L2196,CurrentMtgRatesDataTable8[[#This Row],[Servicing Spread]])</f>
        <v>1.0417252559202934</v>
      </c>
      <c r="M2197" s="70">
        <f>CurrentMtgRatesDataTable8[[#This Row],[Servicing Spread Non-Zero]]-L2196</f>
        <v>0</v>
      </c>
      <c r="N2197" s="70">
        <f>IF(J2196&lt;&gt;0,CurrentMtgRatesDataTable8[[#This Row],[Rate]]-C2196,N2196)</f>
        <v>-1.5000000000000124E-2</v>
      </c>
    </row>
    <row r="2198" spans="1:14">
      <c r="A2198" s="67" t="s">
        <v>462</v>
      </c>
      <c r="B2198" s="68">
        <v>2.3689486742097801</v>
      </c>
      <c r="C2198" s="69">
        <v>3.4749999999999996</v>
      </c>
      <c r="D2198" s="70">
        <f t="shared" si="238"/>
        <v>2</v>
      </c>
      <c r="E2198" s="70">
        <f t="shared" si="239"/>
        <v>0.2</v>
      </c>
      <c r="F2198" s="70">
        <f t="shared" si="240"/>
        <v>2</v>
      </c>
      <c r="G2198" s="70">
        <f t="shared" si="241"/>
        <v>0.96053138938121008</v>
      </c>
      <c r="H2198" s="70">
        <f t="shared" si="242"/>
        <v>0.4</v>
      </c>
      <c r="I2198" s="70">
        <f t="shared" si="243"/>
        <v>0</v>
      </c>
      <c r="J2198" s="70">
        <f t="shared" si="244"/>
        <v>0</v>
      </c>
      <c r="K2198" s="70">
        <f>IF(CurrentMtgRatesDataTable8[[#This Row],[WA CC]]&lt;&gt;0,C2197-CurrentMtgRatesDataTable8[[#This Row],[WA CC]],0)</f>
        <v>0</v>
      </c>
      <c r="L2198" s="70">
        <f>IF(CurrentMtgRatesDataTable8[[#This Row],[Servicing Spread]]&lt;=0,L2197,CurrentMtgRatesDataTable8[[#This Row],[Servicing Spread]])</f>
        <v>1.0417252559202934</v>
      </c>
      <c r="M2198" s="70">
        <f>CurrentMtgRatesDataTable8[[#This Row],[Servicing Spread Non-Zero]]-L2197</f>
        <v>0</v>
      </c>
      <c r="N2198" s="70">
        <f>IF(J2197&lt;&gt;0,CurrentMtgRatesDataTable8[[#This Row],[Rate]]-C2197,N2197)</f>
        <v>-1.5000000000000124E-2</v>
      </c>
    </row>
    <row r="2199" spans="1:14">
      <c r="A2199" s="67" t="s">
        <v>186</v>
      </c>
      <c r="B2199" s="68">
        <v>2.3841669341916099</v>
      </c>
      <c r="C2199" s="69">
        <v>3.4749999999999996</v>
      </c>
      <c r="D2199" s="70">
        <f t="shared" si="238"/>
        <v>6</v>
      </c>
      <c r="E2199" s="70">
        <f t="shared" si="239"/>
        <v>0.2</v>
      </c>
      <c r="F2199" s="70">
        <f t="shared" si="240"/>
        <v>3</v>
      </c>
      <c r="G2199" s="70">
        <f t="shared" si="241"/>
        <v>1.4373647762195321</v>
      </c>
      <c r="H2199" s="70">
        <f t="shared" si="242"/>
        <v>0.60000000000000009</v>
      </c>
      <c r="I2199" s="70">
        <f t="shared" si="243"/>
        <v>0</v>
      </c>
      <c r="J2199" s="70">
        <f t="shared" si="244"/>
        <v>0</v>
      </c>
      <c r="K2199" s="70">
        <f>IF(CurrentMtgRatesDataTable8[[#This Row],[WA CC]]&lt;&gt;0,C2198-CurrentMtgRatesDataTable8[[#This Row],[WA CC]],0)</f>
        <v>0</v>
      </c>
      <c r="L2199" s="70">
        <f>IF(CurrentMtgRatesDataTable8[[#This Row],[Servicing Spread]]&lt;=0,L2198,CurrentMtgRatesDataTable8[[#This Row],[Servicing Spread]])</f>
        <v>1.0417252559202934</v>
      </c>
      <c r="M2199" s="70">
        <f>CurrentMtgRatesDataTable8[[#This Row],[Servicing Spread Non-Zero]]-L2198</f>
        <v>0</v>
      </c>
      <c r="N2199" s="70">
        <f>IF(J2198&lt;&gt;0,CurrentMtgRatesDataTable8[[#This Row],[Rate]]-C2198,N2198)</f>
        <v>-1.5000000000000124E-2</v>
      </c>
    </row>
    <row r="2200" spans="1:14">
      <c r="A2200" s="67" t="s">
        <v>40</v>
      </c>
      <c r="B2200" s="68">
        <v>2.39527607095176</v>
      </c>
      <c r="C2200" s="69">
        <v>3.4749999999999996</v>
      </c>
      <c r="D2200" s="70">
        <f t="shared" si="238"/>
        <v>7</v>
      </c>
      <c r="E2200" s="70">
        <f t="shared" si="239"/>
        <v>0.2</v>
      </c>
      <c r="F2200" s="70">
        <f t="shared" si="240"/>
        <v>4</v>
      </c>
      <c r="G2200" s="70">
        <f t="shared" si="241"/>
        <v>1.9164199904098842</v>
      </c>
      <c r="H2200" s="70">
        <f t="shared" si="242"/>
        <v>0.8</v>
      </c>
      <c r="I2200" s="70">
        <f t="shared" si="243"/>
        <v>1</v>
      </c>
      <c r="J2200" s="70">
        <f t="shared" si="244"/>
        <v>2.395524988012355</v>
      </c>
      <c r="K2200" s="70">
        <f>IF(CurrentMtgRatesDataTable8[[#This Row],[WA CC]]&lt;&gt;0,C2199-CurrentMtgRatesDataTable8[[#This Row],[WA CC]],0)</f>
        <v>1.0794750119876446</v>
      </c>
      <c r="L2200" s="70">
        <f>IF(CurrentMtgRatesDataTable8[[#This Row],[Servicing Spread]]&lt;=0,L2199,CurrentMtgRatesDataTable8[[#This Row],[Servicing Spread]])</f>
        <v>1.0794750119876446</v>
      </c>
      <c r="M2200" s="70">
        <f>CurrentMtgRatesDataTable8[[#This Row],[Servicing Spread Non-Zero]]-L2199</f>
        <v>3.7749756067351203E-2</v>
      </c>
      <c r="N2200" s="70">
        <f>IF(J2199&lt;&gt;0,CurrentMtgRatesDataTable8[[#This Row],[Rate]]-C2199,N2199)</f>
        <v>-1.5000000000000124E-2</v>
      </c>
    </row>
    <row r="2201" spans="1:14">
      <c r="A2201" s="67" t="s">
        <v>608</v>
      </c>
      <c r="B2201" s="68">
        <v>2.4560721347491201</v>
      </c>
      <c r="C2201" s="69">
        <v>3.4499999999999997</v>
      </c>
      <c r="D2201" s="70">
        <f t="shared" si="238"/>
        <v>1</v>
      </c>
      <c r="E2201" s="70">
        <f t="shared" si="239"/>
        <v>0.2</v>
      </c>
      <c r="F2201" s="70">
        <f t="shared" si="240"/>
        <v>1</v>
      </c>
      <c r="G2201" s="70">
        <f t="shared" si="241"/>
        <v>0.49121442694982403</v>
      </c>
      <c r="H2201" s="70">
        <f t="shared" si="242"/>
        <v>0.2</v>
      </c>
      <c r="I2201" s="70">
        <f t="shared" si="243"/>
        <v>0</v>
      </c>
      <c r="J2201" s="70">
        <f t="shared" si="244"/>
        <v>0</v>
      </c>
      <c r="K2201" s="70">
        <f>IF(CurrentMtgRatesDataTable8[[#This Row],[WA CC]]&lt;&gt;0,C2200-CurrentMtgRatesDataTable8[[#This Row],[WA CC]],0)</f>
        <v>0</v>
      </c>
      <c r="L2201" s="70">
        <f>IF(CurrentMtgRatesDataTable8[[#This Row],[Servicing Spread]]&lt;=0,L2200,CurrentMtgRatesDataTable8[[#This Row],[Servicing Spread]])</f>
        <v>1.0794750119876446</v>
      </c>
      <c r="M2201" s="70">
        <f>CurrentMtgRatesDataTable8[[#This Row],[Servicing Spread Non-Zero]]-L2200</f>
        <v>0</v>
      </c>
      <c r="N2201" s="70">
        <f>IF(J2200&lt;&gt;0,CurrentMtgRatesDataTable8[[#This Row],[Rate]]-C2200,N2200)</f>
        <v>-2.4999999999999911E-2</v>
      </c>
    </row>
    <row r="2202" spans="1:14">
      <c r="A2202" s="67" t="s">
        <v>463</v>
      </c>
      <c r="B2202" s="68">
        <v>2.3738371878590399</v>
      </c>
      <c r="C2202" s="69">
        <v>3.4499999999999997</v>
      </c>
      <c r="D2202" s="70">
        <f t="shared" si="238"/>
        <v>2</v>
      </c>
      <c r="E2202" s="70">
        <f t="shared" si="239"/>
        <v>0.2</v>
      </c>
      <c r="F2202" s="70">
        <f t="shared" si="240"/>
        <v>2</v>
      </c>
      <c r="G2202" s="70">
        <f t="shared" si="241"/>
        <v>0.96598186452163204</v>
      </c>
      <c r="H2202" s="70">
        <f t="shared" si="242"/>
        <v>0.4</v>
      </c>
      <c r="I2202" s="70">
        <f t="shared" si="243"/>
        <v>0</v>
      </c>
      <c r="J2202" s="70">
        <f t="shared" si="244"/>
        <v>0</v>
      </c>
      <c r="K2202" s="70">
        <f>IF(CurrentMtgRatesDataTable8[[#This Row],[WA CC]]&lt;&gt;0,C2201-CurrentMtgRatesDataTable8[[#This Row],[WA CC]],0)</f>
        <v>0</v>
      </c>
      <c r="L2202" s="70">
        <f>IF(CurrentMtgRatesDataTable8[[#This Row],[Servicing Spread]]&lt;=0,L2201,CurrentMtgRatesDataTable8[[#This Row],[Servicing Spread]])</f>
        <v>1.0794750119876446</v>
      </c>
      <c r="M2202" s="70">
        <f>CurrentMtgRatesDataTable8[[#This Row],[Servicing Spread Non-Zero]]-L2201</f>
        <v>0</v>
      </c>
      <c r="N2202" s="70">
        <f>IF(J2201&lt;&gt;0,CurrentMtgRatesDataTable8[[#This Row],[Rate]]-C2201,N2201)</f>
        <v>-2.4999999999999911E-2</v>
      </c>
    </row>
    <row r="2203" spans="1:14">
      <c r="A2203" s="67" t="s">
        <v>329</v>
      </c>
      <c r="B2203" s="68">
        <v>2.3778465565534201</v>
      </c>
      <c r="C2203" s="69">
        <v>3.4499999999999997</v>
      </c>
      <c r="D2203" s="70">
        <f t="shared" si="238"/>
        <v>5</v>
      </c>
      <c r="E2203" s="70">
        <f t="shared" si="239"/>
        <v>0.2</v>
      </c>
      <c r="F2203" s="70">
        <f t="shared" si="240"/>
        <v>3</v>
      </c>
      <c r="G2203" s="70">
        <f t="shared" si="241"/>
        <v>1.4415511758323161</v>
      </c>
      <c r="H2203" s="70">
        <f t="shared" si="242"/>
        <v>0.60000000000000009</v>
      </c>
      <c r="I2203" s="70">
        <f t="shared" si="243"/>
        <v>0</v>
      </c>
      <c r="J2203" s="70">
        <f t="shared" si="244"/>
        <v>0</v>
      </c>
      <c r="K2203" s="70">
        <f>IF(CurrentMtgRatesDataTable8[[#This Row],[WA CC]]&lt;&gt;0,C2202-CurrentMtgRatesDataTable8[[#This Row],[WA CC]],0)</f>
        <v>0</v>
      </c>
      <c r="L2203" s="70">
        <f>IF(CurrentMtgRatesDataTable8[[#This Row],[Servicing Spread]]&lt;=0,L2202,CurrentMtgRatesDataTable8[[#This Row],[Servicing Spread]])</f>
        <v>1.0794750119876446</v>
      </c>
      <c r="M2203" s="70">
        <f>CurrentMtgRatesDataTable8[[#This Row],[Servicing Spread Non-Zero]]-L2202</f>
        <v>0</v>
      </c>
      <c r="N2203" s="70">
        <f>IF(J2202&lt;&gt;0,CurrentMtgRatesDataTable8[[#This Row],[Rate]]-C2202,N2202)</f>
        <v>-2.4999999999999911E-2</v>
      </c>
    </row>
    <row r="2204" spans="1:14">
      <c r="A2204" s="67" t="s">
        <v>187</v>
      </c>
      <c r="B2204" s="68">
        <v>2.3937114953982901</v>
      </c>
      <c r="C2204" s="69">
        <v>3.4499999999999997</v>
      </c>
      <c r="D2204" s="70">
        <f t="shared" si="238"/>
        <v>6</v>
      </c>
      <c r="E2204" s="70">
        <f t="shared" si="239"/>
        <v>0.2</v>
      </c>
      <c r="F2204" s="70">
        <f t="shared" si="240"/>
        <v>4</v>
      </c>
      <c r="G2204" s="70">
        <f t="shared" si="241"/>
        <v>1.9202934749119742</v>
      </c>
      <c r="H2204" s="70">
        <f t="shared" si="242"/>
        <v>0.8</v>
      </c>
      <c r="I2204" s="70">
        <f t="shared" si="243"/>
        <v>0</v>
      </c>
      <c r="J2204" s="70">
        <f t="shared" si="244"/>
        <v>0</v>
      </c>
      <c r="K2204" s="70">
        <f>IF(CurrentMtgRatesDataTable8[[#This Row],[WA CC]]&lt;&gt;0,C2203-CurrentMtgRatesDataTable8[[#This Row],[WA CC]],0)</f>
        <v>0</v>
      </c>
      <c r="L2204" s="70">
        <f>IF(CurrentMtgRatesDataTable8[[#This Row],[Servicing Spread]]&lt;=0,L2203,CurrentMtgRatesDataTable8[[#This Row],[Servicing Spread]])</f>
        <v>1.0794750119876446</v>
      </c>
      <c r="M2204" s="70">
        <f>CurrentMtgRatesDataTable8[[#This Row],[Servicing Spread Non-Zero]]-L2203</f>
        <v>0</v>
      </c>
      <c r="N2204" s="70">
        <f>IF(J2203&lt;&gt;0,CurrentMtgRatesDataTable8[[#This Row],[Rate]]-C2203,N2203)</f>
        <v>-2.4999999999999911E-2</v>
      </c>
    </row>
    <row r="2205" spans="1:14">
      <c r="A2205" s="67" t="s">
        <v>41</v>
      </c>
      <c r="B2205" s="68">
        <v>2.4292166245487601</v>
      </c>
      <c r="C2205" s="69">
        <v>3.4499999999999997</v>
      </c>
      <c r="D2205" s="70">
        <f t="shared" si="238"/>
        <v>7</v>
      </c>
      <c r="E2205" s="70">
        <f t="shared" si="239"/>
        <v>0.2</v>
      </c>
      <c r="F2205" s="70">
        <f t="shared" si="240"/>
        <v>5</v>
      </c>
      <c r="G2205" s="70">
        <f t="shared" si="241"/>
        <v>2.4061367998217262</v>
      </c>
      <c r="H2205" s="70">
        <f t="shared" si="242"/>
        <v>1</v>
      </c>
      <c r="I2205" s="70">
        <f t="shared" si="243"/>
        <v>1</v>
      </c>
      <c r="J2205" s="70">
        <f t="shared" si="244"/>
        <v>2.4061367998217262</v>
      </c>
      <c r="K2205" s="70">
        <f>IF(CurrentMtgRatesDataTable8[[#This Row],[WA CC]]&lt;&gt;0,C2204-CurrentMtgRatesDataTable8[[#This Row],[WA CC]],0)</f>
        <v>1.0438632001782735</v>
      </c>
      <c r="L2205" s="70">
        <f>IF(CurrentMtgRatesDataTable8[[#This Row],[Servicing Spread]]&lt;=0,L2204,CurrentMtgRatesDataTable8[[#This Row],[Servicing Spread]])</f>
        <v>1.0438632001782735</v>
      </c>
      <c r="M2205" s="70">
        <f>CurrentMtgRatesDataTable8[[#This Row],[Servicing Spread Non-Zero]]-L2204</f>
        <v>-3.5611811809371119E-2</v>
      </c>
      <c r="N2205" s="70">
        <f>IF(J2204&lt;&gt;0,CurrentMtgRatesDataTable8[[#This Row],[Rate]]-C2204,N2204)</f>
        <v>-2.4999999999999911E-2</v>
      </c>
    </row>
    <row r="2206" spans="1:14">
      <c r="A2206" s="67" t="s">
        <v>609</v>
      </c>
      <c r="B2206" s="68">
        <v>2.2060134697218898</v>
      </c>
      <c r="C2206" s="69">
        <v>3.39</v>
      </c>
      <c r="D2206" s="70">
        <f t="shared" si="238"/>
        <v>1</v>
      </c>
      <c r="E2206" s="70">
        <f t="shared" si="239"/>
        <v>0.2</v>
      </c>
      <c r="F2206" s="70">
        <f t="shared" si="240"/>
        <v>1</v>
      </c>
      <c r="G2206" s="70">
        <f t="shared" si="241"/>
        <v>0.441202693944378</v>
      </c>
      <c r="H2206" s="70">
        <f t="shared" si="242"/>
        <v>0.2</v>
      </c>
      <c r="I2206" s="70">
        <f t="shared" si="243"/>
        <v>0</v>
      </c>
      <c r="J2206" s="70">
        <f t="shared" si="244"/>
        <v>0</v>
      </c>
      <c r="K2206" s="70">
        <f>IF(CurrentMtgRatesDataTable8[[#This Row],[WA CC]]&lt;&gt;0,C2205-CurrentMtgRatesDataTable8[[#This Row],[WA CC]],0)</f>
        <v>0</v>
      </c>
      <c r="L2206" s="70">
        <f>IF(CurrentMtgRatesDataTable8[[#This Row],[Servicing Spread]]&lt;=0,L2205,CurrentMtgRatesDataTable8[[#This Row],[Servicing Spread]])</f>
        <v>1.0438632001782735</v>
      </c>
      <c r="M2206" s="70">
        <f>CurrentMtgRatesDataTable8[[#This Row],[Servicing Spread Non-Zero]]-L2205</f>
        <v>0</v>
      </c>
      <c r="N2206" s="70">
        <f>IF(J2205&lt;&gt;0,CurrentMtgRatesDataTable8[[#This Row],[Rate]]-C2205,N2205)</f>
        <v>-5.9999999999999609E-2</v>
      </c>
    </row>
    <row r="2207" spans="1:14">
      <c r="A2207" s="67" t="s">
        <v>464</v>
      </c>
      <c r="B2207" s="68">
        <v>2.2680491660278101</v>
      </c>
      <c r="C2207" s="69">
        <v>3.39</v>
      </c>
      <c r="D2207" s="70">
        <f t="shared" si="238"/>
        <v>2</v>
      </c>
      <c r="E2207" s="70">
        <f t="shared" si="239"/>
        <v>0.2</v>
      </c>
      <c r="F2207" s="70">
        <f t="shared" si="240"/>
        <v>2</v>
      </c>
      <c r="G2207" s="70">
        <f t="shared" si="241"/>
        <v>0.89481252714994008</v>
      </c>
      <c r="H2207" s="70">
        <f t="shared" si="242"/>
        <v>0.4</v>
      </c>
      <c r="I2207" s="70">
        <f t="shared" si="243"/>
        <v>0</v>
      </c>
      <c r="J2207" s="70">
        <f t="shared" si="244"/>
        <v>0</v>
      </c>
      <c r="K2207" s="70">
        <f>IF(CurrentMtgRatesDataTable8[[#This Row],[WA CC]]&lt;&gt;0,C2206-CurrentMtgRatesDataTable8[[#This Row],[WA CC]],0)</f>
        <v>0</v>
      </c>
      <c r="L2207" s="70">
        <f>IF(CurrentMtgRatesDataTable8[[#This Row],[Servicing Spread]]&lt;=0,L2206,CurrentMtgRatesDataTable8[[#This Row],[Servicing Spread]])</f>
        <v>1.0438632001782735</v>
      </c>
      <c r="M2207" s="70">
        <f>CurrentMtgRatesDataTable8[[#This Row],[Servicing Spread Non-Zero]]-L2206</f>
        <v>0</v>
      </c>
      <c r="N2207" s="70">
        <f>IF(J2206&lt;&gt;0,CurrentMtgRatesDataTable8[[#This Row],[Rate]]-C2206,N2206)</f>
        <v>-5.9999999999999609E-2</v>
      </c>
    </row>
    <row r="2208" spans="1:14">
      <c r="A2208" s="67" t="s">
        <v>330</v>
      </c>
      <c r="B2208" s="68">
        <v>2.2811650726171102</v>
      </c>
      <c r="C2208" s="69">
        <v>3.39</v>
      </c>
      <c r="D2208" s="70">
        <f t="shared" si="238"/>
        <v>5</v>
      </c>
      <c r="E2208" s="70">
        <f t="shared" si="239"/>
        <v>0.2</v>
      </c>
      <c r="F2208" s="70">
        <f t="shared" si="240"/>
        <v>3</v>
      </c>
      <c r="G2208" s="70">
        <f t="shared" si="241"/>
        <v>1.3510455416733622</v>
      </c>
      <c r="H2208" s="70">
        <f t="shared" si="242"/>
        <v>0.60000000000000009</v>
      </c>
      <c r="I2208" s="70">
        <f t="shared" si="243"/>
        <v>0</v>
      </c>
      <c r="J2208" s="70">
        <f t="shared" si="244"/>
        <v>0</v>
      </c>
      <c r="K2208" s="70">
        <f>IF(CurrentMtgRatesDataTable8[[#This Row],[WA CC]]&lt;&gt;0,C2207-CurrentMtgRatesDataTable8[[#This Row],[WA CC]],0)</f>
        <v>0</v>
      </c>
      <c r="L2208" s="70">
        <f>IF(CurrentMtgRatesDataTable8[[#This Row],[Servicing Spread]]&lt;=0,L2207,CurrentMtgRatesDataTable8[[#This Row],[Servicing Spread]])</f>
        <v>1.0438632001782735</v>
      </c>
      <c r="M2208" s="70">
        <f>CurrentMtgRatesDataTable8[[#This Row],[Servicing Spread Non-Zero]]-L2207</f>
        <v>0</v>
      </c>
      <c r="N2208" s="70">
        <f>IF(J2207&lt;&gt;0,CurrentMtgRatesDataTable8[[#This Row],[Rate]]-C2207,N2207)</f>
        <v>-5.9999999999999609E-2</v>
      </c>
    </row>
    <row r="2209" spans="1:14">
      <c r="A2209" s="67" t="s">
        <v>188</v>
      </c>
      <c r="B2209" s="68">
        <v>2.2693986193058602</v>
      </c>
      <c r="C2209" s="69">
        <v>3.39</v>
      </c>
      <c r="D2209" s="70">
        <f t="shared" si="238"/>
        <v>6</v>
      </c>
      <c r="E2209" s="70">
        <f t="shared" si="239"/>
        <v>0.2</v>
      </c>
      <c r="F2209" s="70">
        <f t="shared" si="240"/>
        <v>4</v>
      </c>
      <c r="G2209" s="70">
        <f t="shared" si="241"/>
        <v>1.8049252655345343</v>
      </c>
      <c r="H2209" s="70">
        <f t="shared" si="242"/>
        <v>0.8</v>
      </c>
      <c r="I2209" s="70">
        <f t="shared" si="243"/>
        <v>0</v>
      </c>
      <c r="J2209" s="70">
        <f t="shared" si="244"/>
        <v>0</v>
      </c>
      <c r="K2209" s="70">
        <f>IF(CurrentMtgRatesDataTable8[[#This Row],[WA CC]]&lt;&gt;0,C2208-CurrentMtgRatesDataTable8[[#This Row],[WA CC]],0)</f>
        <v>0</v>
      </c>
      <c r="L2209" s="70">
        <f>IF(CurrentMtgRatesDataTable8[[#This Row],[Servicing Spread]]&lt;=0,L2208,CurrentMtgRatesDataTable8[[#This Row],[Servicing Spread]])</f>
        <v>1.0438632001782735</v>
      </c>
      <c r="M2209" s="70">
        <f>CurrentMtgRatesDataTable8[[#This Row],[Servicing Spread Non-Zero]]-L2208</f>
        <v>0</v>
      </c>
      <c r="N2209" s="70">
        <f>IF(J2208&lt;&gt;0,CurrentMtgRatesDataTable8[[#This Row],[Rate]]-C2208,N2208)</f>
        <v>-5.9999999999999609E-2</v>
      </c>
    </row>
    <row r="2210" spans="1:14">
      <c r="A2210" s="67" t="s">
        <v>42</v>
      </c>
      <c r="B2210" s="68">
        <v>2.2108565855724298</v>
      </c>
      <c r="C2210" s="69">
        <v>3.39</v>
      </c>
      <c r="D2210" s="70">
        <f t="shared" si="238"/>
        <v>7</v>
      </c>
      <c r="E2210" s="70">
        <f t="shared" si="239"/>
        <v>0.2</v>
      </c>
      <c r="F2210" s="70">
        <f t="shared" si="240"/>
        <v>5</v>
      </c>
      <c r="G2210" s="70">
        <f t="shared" si="241"/>
        <v>2.2470965826490201</v>
      </c>
      <c r="H2210" s="70">
        <f t="shared" si="242"/>
        <v>1</v>
      </c>
      <c r="I2210" s="70">
        <f t="shared" si="243"/>
        <v>1</v>
      </c>
      <c r="J2210" s="70">
        <f t="shared" si="244"/>
        <v>2.2470965826490201</v>
      </c>
      <c r="K2210" s="70">
        <f>IF(CurrentMtgRatesDataTable8[[#This Row],[WA CC]]&lt;&gt;0,C2209-CurrentMtgRatesDataTable8[[#This Row],[WA CC]],0)</f>
        <v>1.14290341735098</v>
      </c>
      <c r="L2210" s="70">
        <f>IF(CurrentMtgRatesDataTable8[[#This Row],[Servicing Spread]]&lt;=0,L2209,CurrentMtgRatesDataTable8[[#This Row],[Servicing Spread]])</f>
        <v>1.14290341735098</v>
      </c>
      <c r="M2210" s="70">
        <f>CurrentMtgRatesDataTable8[[#This Row],[Servicing Spread Non-Zero]]-L2209</f>
        <v>9.9040217172706502E-2</v>
      </c>
      <c r="N2210" s="70">
        <f>IF(J2209&lt;&gt;0,CurrentMtgRatesDataTable8[[#This Row],[Rate]]-C2209,N2209)</f>
        <v>-5.9999999999999609E-2</v>
      </c>
    </row>
    <row r="2211" spans="1:14">
      <c r="A2211" s="67" t="s">
        <v>610</v>
      </c>
      <c r="B2211" s="68">
        <v>2.1699341948075102</v>
      </c>
      <c r="C2211" s="69">
        <v>3.3</v>
      </c>
      <c r="D2211" s="70">
        <f t="shared" si="238"/>
        <v>1</v>
      </c>
      <c r="E2211" s="70">
        <f t="shared" si="239"/>
        <v>0.2</v>
      </c>
      <c r="F2211" s="70">
        <f t="shared" si="240"/>
        <v>1</v>
      </c>
      <c r="G2211" s="70">
        <f t="shared" si="241"/>
        <v>0.43398683896150203</v>
      </c>
      <c r="H2211" s="70">
        <f t="shared" si="242"/>
        <v>0.2</v>
      </c>
      <c r="I2211" s="70">
        <f t="shared" si="243"/>
        <v>0</v>
      </c>
      <c r="J2211" s="70">
        <f t="shared" si="244"/>
        <v>0</v>
      </c>
      <c r="K2211" s="70">
        <f>IF(CurrentMtgRatesDataTable8[[#This Row],[WA CC]]&lt;&gt;0,C2210-CurrentMtgRatesDataTable8[[#This Row],[WA CC]],0)</f>
        <v>0</v>
      </c>
      <c r="L2211" s="70">
        <f>IF(CurrentMtgRatesDataTable8[[#This Row],[Servicing Spread]]&lt;=0,L2210,CurrentMtgRatesDataTable8[[#This Row],[Servicing Spread]])</f>
        <v>1.14290341735098</v>
      </c>
      <c r="M2211" s="70">
        <f>CurrentMtgRatesDataTable8[[#This Row],[Servicing Spread Non-Zero]]-L2210</f>
        <v>0</v>
      </c>
      <c r="N2211" s="70">
        <f>IF(J2210&lt;&gt;0,CurrentMtgRatesDataTable8[[#This Row],[Rate]]-C2210,N2210)</f>
        <v>-9.0000000000000302E-2</v>
      </c>
    </row>
    <row r="2212" spans="1:14">
      <c r="A2212" s="67" t="s">
        <v>465</v>
      </c>
      <c r="B2212" s="68">
        <v>2.0967004826224001</v>
      </c>
      <c r="C2212" s="69">
        <v>3.3</v>
      </c>
      <c r="D2212" s="70">
        <f t="shared" si="238"/>
        <v>2</v>
      </c>
      <c r="E2212" s="70">
        <f t="shared" si="239"/>
        <v>0.2</v>
      </c>
      <c r="F2212" s="70">
        <f t="shared" si="240"/>
        <v>2</v>
      </c>
      <c r="G2212" s="70">
        <f t="shared" si="241"/>
        <v>0.85332693548598204</v>
      </c>
      <c r="H2212" s="70">
        <f t="shared" si="242"/>
        <v>0.4</v>
      </c>
      <c r="I2212" s="70">
        <f t="shared" si="243"/>
        <v>0</v>
      </c>
      <c r="J2212" s="70">
        <f t="shared" si="244"/>
        <v>0</v>
      </c>
      <c r="K2212" s="70">
        <f>IF(CurrentMtgRatesDataTable8[[#This Row],[WA CC]]&lt;&gt;0,C2211-CurrentMtgRatesDataTable8[[#This Row],[WA CC]],0)</f>
        <v>0</v>
      </c>
      <c r="L2212" s="70">
        <f>IF(CurrentMtgRatesDataTable8[[#This Row],[Servicing Spread]]&lt;=0,L2211,CurrentMtgRatesDataTable8[[#This Row],[Servicing Spread]])</f>
        <v>1.14290341735098</v>
      </c>
      <c r="M2212" s="70">
        <f>CurrentMtgRatesDataTable8[[#This Row],[Servicing Spread Non-Zero]]-L2211</f>
        <v>0</v>
      </c>
      <c r="N2212" s="70">
        <f>IF(J2211&lt;&gt;0,CurrentMtgRatesDataTable8[[#This Row],[Rate]]-C2211,N2211)</f>
        <v>-9.0000000000000302E-2</v>
      </c>
    </row>
    <row r="2213" spans="1:14">
      <c r="A2213" s="67" t="s">
        <v>331</v>
      </c>
      <c r="B2213" s="68">
        <v>2.0433470771670201</v>
      </c>
      <c r="C2213" s="69">
        <v>3.3</v>
      </c>
      <c r="D2213" s="70">
        <f t="shared" si="238"/>
        <v>5</v>
      </c>
      <c r="E2213" s="70">
        <f t="shared" si="239"/>
        <v>0.2</v>
      </c>
      <c r="F2213" s="70">
        <f t="shared" si="240"/>
        <v>3</v>
      </c>
      <c r="G2213" s="70">
        <f t="shared" si="241"/>
        <v>1.2619963509193861</v>
      </c>
      <c r="H2213" s="70">
        <f t="shared" si="242"/>
        <v>0.60000000000000009</v>
      </c>
      <c r="I2213" s="70">
        <f t="shared" si="243"/>
        <v>0</v>
      </c>
      <c r="J2213" s="70">
        <f t="shared" si="244"/>
        <v>0</v>
      </c>
      <c r="K2213" s="70">
        <f>IF(CurrentMtgRatesDataTable8[[#This Row],[WA CC]]&lt;&gt;0,C2212-CurrentMtgRatesDataTable8[[#This Row],[WA CC]],0)</f>
        <v>0</v>
      </c>
      <c r="L2213" s="70">
        <f>IF(CurrentMtgRatesDataTable8[[#This Row],[Servicing Spread]]&lt;=0,L2212,CurrentMtgRatesDataTable8[[#This Row],[Servicing Spread]])</f>
        <v>1.14290341735098</v>
      </c>
      <c r="M2213" s="70">
        <f>CurrentMtgRatesDataTable8[[#This Row],[Servicing Spread Non-Zero]]-L2212</f>
        <v>0</v>
      </c>
      <c r="N2213" s="70">
        <f>IF(J2212&lt;&gt;0,CurrentMtgRatesDataTable8[[#This Row],[Rate]]-C2212,N2212)</f>
        <v>-9.0000000000000302E-2</v>
      </c>
    </row>
    <row r="2214" spans="1:14">
      <c r="A2214" s="67" t="s">
        <v>189</v>
      </c>
      <c r="B2214" s="68">
        <v>1.9795562323798399</v>
      </c>
      <c r="C2214" s="69">
        <v>3.3</v>
      </c>
      <c r="D2214" s="70">
        <f t="shared" si="238"/>
        <v>6</v>
      </c>
      <c r="E2214" s="70">
        <f t="shared" si="239"/>
        <v>0.2</v>
      </c>
      <c r="F2214" s="70">
        <f t="shared" si="240"/>
        <v>4</v>
      </c>
      <c r="G2214" s="70">
        <f t="shared" si="241"/>
        <v>1.6579075973953541</v>
      </c>
      <c r="H2214" s="70">
        <f t="shared" si="242"/>
        <v>0.8</v>
      </c>
      <c r="I2214" s="70">
        <f t="shared" si="243"/>
        <v>0</v>
      </c>
      <c r="J2214" s="70">
        <f t="shared" si="244"/>
        <v>0</v>
      </c>
      <c r="K2214" s="70">
        <f>IF(CurrentMtgRatesDataTable8[[#This Row],[WA CC]]&lt;&gt;0,C2213-CurrentMtgRatesDataTable8[[#This Row],[WA CC]],0)</f>
        <v>0</v>
      </c>
      <c r="L2214" s="70">
        <f>IF(CurrentMtgRatesDataTable8[[#This Row],[Servicing Spread]]&lt;=0,L2213,CurrentMtgRatesDataTable8[[#This Row],[Servicing Spread]])</f>
        <v>1.14290341735098</v>
      </c>
      <c r="M2214" s="70">
        <f>CurrentMtgRatesDataTable8[[#This Row],[Servicing Spread Non-Zero]]-L2213</f>
        <v>0</v>
      </c>
      <c r="N2214" s="70">
        <f>IF(J2213&lt;&gt;0,CurrentMtgRatesDataTable8[[#This Row],[Rate]]-C2213,N2213)</f>
        <v>-9.0000000000000302E-2</v>
      </c>
    </row>
    <row r="2215" spans="1:14">
      <c r="A2215" s="67" t="s">
        <v>43</v>
      </c>
      <c r="B2215" s="68">
        <v>1.9736635579989501</v>
      </c>
      <c r="C2215" s="69">
        <v>3.3</v>
      </c>
      <c r="D2215" s="70">
        <f t="shared" si="238"/>
        <v>7</v>
      </c>
      <c r="E2215" s="70">
        <f t="shared" si="239"/>
        <v>0.2</v>
      </c>
      <c r="F2215" s="70">
        <f t="shared" si="240"/>
        <v>5</v>
      </c>
      <c r="G2215" s="70">
        <f t="shared" si="241"/>
        <v>2.0526403089951444</v>
      </c>
      <c r="H2215" s="70">
        <f t="shared" si="242"/>
        <v>1</v>
      </c>
      <c r="I2215" s="70">
        <f t="shared" si="243"/>
        <v>1</v>
      </c>
      <c r="J2215" s="70">
        <f t="shared" si="244"/>
        <v>2.0526403089951444</v>
      </c>
      <c r="K2215" s="70">
        <f>IF(CurrentMtgRatesDataTable8[[#This Row],[WA CC]]&lt;&gt;0,C2214-CurrentMtgRatesDataTable8[[#This Row],[WA CC]],0)</f>
        <v>1.2473596910048554</v>
      </c>
      <c r="L2215" s="70">
        <f>IF(CurrentMtgRatesDataTable8[[#This Row],[Servicing Spread]]&lt;=0,L2214,CurrentMtgRatesDataTable8[[#This Row],[Servicing Spread]])</f>
        <v>1.2473596910048554</v>
      </c>
      <c r="M2215" s="70">
        <f>CurrentMtgRatesDataTable8[[#This Row],[Servicing Spread Non-Zero]]-L2214</f>
        <v>0.10445627365387544</v>
      </c>
      <c r="N2215" s="70">
        <f>IF(J2214&lt;&gt;0,CurrentMtgRatesDataTable8[[#This Row],[Rate]]-C2214,N2214)</f>
        <v>-9.0000000000000302E-2</v>
      </c>
    </row>
    <row r="2216" spans="1:14">
      <c r="A2216" s="67" t="s">
        <v>611</v>
      </c>
      <c r="B2216" s="68">
        <v>2.0509749333657501</v>
      </c>
      <c r="C2216" s="69">
        <v>3.26</v>
      </c>
      <c r="D2216" s="70">
        <f t="shared" si="238"/>
        <v>1</v>
      </c>
      <c r="E2216" s="70">
        <f t="shared" si="239"/>
        <v>0.2</v>
      </c>
      <c r="F2216" s="70">
        <f t="shared" si="240"/>
        <v>1</v>
      </c>
      <c r="G2216" s="70">
        <f t="shared" si="241"/>
        <v>0.41019498667315002</v>
      </c>
      <c r="H2216" s="70">
        <f t="shared" si="242"/>
        <v>0.2</v>
      </c>
      <c r="I2216" s="70">
        <f t="shared" si="243"/>
        <v>0</v>
      </c>
      <c r="J2216" s="70">
        <f t="shared" si="244"/>
        <v>0</v>
      </c>
      <c r="K2216" s="70">
        <f>IF(CurrentMtgRatesDataTable8[[#This Row],[WA CC]]&lt;&gt;0,C2215-CurrentMtgRatesDataTable8[[#This Row],[WA CC]],0)</f>
        <v>0</v>
      </c>
      <c r="L2216" s="70">
        <f>IF(CurrentMtgRatesDataTable8[[#This Row],[Servicing Spread]]&lt;=0,L2215,CurrentMtgRatesDataTable8[[#This Row],[Servicing Spread]])</f>
        <v>1.2473596910048554</v>
      </c>
      <c r="M2216" s="70">
        <f>CurrentMtgRatesDataTable8[[#This Row],[Servicing Spread Non-Zero]]-L2215</f>
        <v>0</v>
      </c>
      <c r="N2216" s="70">
        <f>IF(J2215&lt;&gt;0,CurrentMtgRatesDataTable8[[#This Row],[Rate]]-C2215,N2215)</f>
        <v>-4.0000000000000036E-2</v>
      </c>
    </row>
    <row r="2217" spans="1:14">
      <c r="A2217" s="67" t="s">
        <v>466</v>
      </c>
      <c r="B2217" s="68">
        <v>2.0399140401394802</v>
      </c>
      <c r="C2217" s="69">
        <v>3.26</v>
      </c>
      <c r="D2217" s="70">
        <f t="shared" si="238"/>
        <v>2</v>
      </c>
      <c r="E2217" s="70">
        <f t="shared" si="239"/>
        <v>0.2</v>
      </c>
      <c r="F2217" s="70">
        <f t="shared" si="240"/>
        <v>2</v>
      </c>
      <c r="G2217" s="70">
        <f t="shared" si="241"/>
        <v>0.81817779470104601</v>
      </c>
      <c r="H2217" s="70">
        <f t="shared" si="242"/>
        <v>0.4</v>
      </c>
      <c r="I2217" s="70">
        <f t="shared" si="243"/>
        <v>0</v>
      </c>
      <c r="J2217" s="70">
        <f t="shared" si="244"/>
        <v>0</v>
      </c>
      <c r="K2217" s="70">
        <f>IF(CurrentMtgRatesDataTable8[[#This Row],[WA CC]]&lt;&gt;0,C2216-CurrentMtgRatesDataTable8[[#This Row],[WA CC]],0)</f>
        <v>0</v>
      </c>
      <c r="L2217" s="70">
        <f>IF(CurrentMtgRatesDataTable8[[#This Row],[Servicing Spread]]&lt;=0,L2216,CurrentMtgRatesDataTable8[[#This Row],[Servicing Spread]])</f>
        <v>1.2473596910048554</v>
      </c>
      <c r="M2217" s="70">
        <f>CurrentMtgRatesDataTable8[[#This Row],[Servicing Spread Non-Zero]]-L2216</f>
        <v>0</v>
      </c>
      <c r="N2217" s="70">
        <f>IF(J2216&lt;&gt;0,CurrentMtgRatesDataTable8[[#This Row],[Rate]]-C2216,N2216)</f>
        <v>-4.0000000000000036E-2</v>
      </c>
    </row>
    <row r="2218" spans="1:14">
      <c r="A2218" s="67" t="s">
        <v>332</v>
      </c>
      <c r="B2218" s="68">
        <v>1.9791061697796299</v>
      </c>
      <c r="C2218" s="69">
        <v>3.26</v>
      </c>
      <c r="D2218" s="70">
        <f t="shared" si="238"/>
        <v>5</v>
      </c>
      <c r="E2218" s="70">
        <f t="shared" si="239"/>
        <v>0.2</v>
      </c>
      <c r="F2218" s="70">
        <f t="shared" si="240"/>
        <v>3</v>
      </c>
      <c r="G2218" s="70">
        <f t="shared" si="241"/>
        <v>1.213999028656972</v>
      </c>
      <c r="H2218" s="70">
        <f t="shared" si="242"/>
        <v>0.60000000000000009</v>
      </c>
      <c r="I2218" s="70">
        <f t="shared" si="243"/>
        <v>0</v>
      </c>
      <c r="J2218" s="70">
        <f t="shared" si="244"/>
        <v>0</v>
      </c>
      <c r="K2218" s="70">
        <f>IF(CurrentMtgRatesDataTable8[[#This Row],[WA CC]]&lt;&gt;0,C2217-CurrentMtgRatesDataTable8[[#This Row],[WA CC]],0)</f>
        <v>0</v>
      </c>
      <c r="L2218" s="70">
        <f>IF(CurrentMtgRatesDataTable8[[#This Row],[Servicing Spread]]&lt;=0,L2217,CurrentMtgRatesDataTable8[[#This Row],[Servicing Spread]])</f>
        <v>1.2473596910048554</v>
      </c>
      <c r="M2218" s="70">
        <f>CurrentMtgRatesDataTable8[[#This Row],[Servicing Spread Non-Zero]]-L2217</f>
        <v>0</v>
      </c>
      <c r="N2218" s="70">
        <f>IF(J2217&lt;&gt;0,CurrentMtgRatesDataTable8[[#This Row],[Rate]]-C2217,N2217)</f>
        <v>-4.0000000000000036E-2</v>
      </c>
    </row>
    <row r="2219" spans="1:14">
      <c r="A2219" s="67" t="s">
        <v>190</v>
      </c>
      <c r="B2219" s="68">
        <v>1.89926870046304</v>
      </c>
      <c r="C2219" s="69">
        <v>3.26</v>
      </c>
      <c r="D2219" s="70">
        <f t="shared" si="238"/>
        <v>6</v>
      </c>
      <c r="E2219" s="70">
        <f t="shared" si="239"/>
        <v>0.2</v>
      </c>
      <c r="F2219" s="70">
        <f t="shared" si="240"/>
        <v>4</v>
      </c>
      <c r="G2219" s="70">
        <f t="shared" si="241"/>
        <v>1.59385276874958</v>
      </c>
      <c r="H2219" s="70">
        <f t="shared" si="242"/>
        <v>0.8</v>
      </c>
      <c r="I2219" s="70">
        <f t="shared" si="243"/>
        <v>0</v>
      </c>
      <c r="J2219" s="70">
        <f t="shared" si="244"/>
        <v>0</v>
      </c>
      <c r="K2219" s="70">
        <f>IF(CurrentMtgRatesDataTable8[[#This Row],[WA CC]]&lt;&gt;0,C2218-CurrentMtgRatesDataTable8[[#This Row],[WA CC]],0)</f>
        <v>0</v>
      </c>
      <c r="L2219" s="70">
        <f>IF(CurrentMtgRatesDataTable8[[#This Row],[Servicing Spread]]&lt;=0,L2218,CurrentMtgRatesDataTable8[[#This Row],[Servicing Spread]])</f>
        <v>1.2473596910048554</v>
      </c>
      <c r="M2219" s="70">
        <f>CurrentMtgRatesDataTable8[[#This Row],[Servicing Spread Non-Zero]]-L2218</f>
        <v>0</v>
      </c>
      <c r="N2219" s="70">
        <f>IF(J2218&lt;&gt;0,CurrentMtgRatesDataTable8[[#This Row],[Rate]]-C2218,N2218)</f>
        <v>-4.0000000000000036E-2</v>
      </c>
    </row>
    <row r="2220" spans="1:14">
      <c r="A2220" s="67" t="s">
        <v>44</v>
      </c>
      <c r="B2220" s="68">
        <v>1.9744446236261499</v>
      </c>
      <c r="C2220" s="69">
        <v>3.26</v>
      </c>
      <c r="D2220" s="70">
        <f t="shared" si="238"/>
        <v>7</v>
      </c>
      <c r="E2220" s="70">
        <f t="shared" si="239"/>
        <v>0.2</v>
      </c>
      <c r="F2220" s="70">
        <f t="shared" si="240"/>
        <v>5</v>
      </c>
      <c r="G2220" s="70">
        <f t="shared" si="241"/>
        <v>1.9887416934748101</v>
      </c>
      <c r="H2220" s="70">
        <f t="shared" si="242"/>
        <v>1</v>
      </c>
      <c r="I2220" s="70">
        <f t="shared" si="243"/>
        <v>1</v>
      </c>
      <c r="J2220" s="70">
        <f t="shared" si="244"/>
        <v>1.9887416934748101</v>
      </c>
      <c r="K2220" s="70">
        <f>IF(CurrentMtgRatesDataTable8[[#This Row],[WA CC]]&lt;&gt;0,C2219-CurrentMtgRatesDataTable8[[#This Row],[WA CC]],0)</f>
        <v>1.2712583065251897</v>
      </c>
      <c r="L2220" s="70">
        <f>IF(CurrentMtgRatesDataTable8[[#This Row],[Servicing Spread]]&lt;=0,L2219,CurrentMtgRatesDataTable8[[#This Row],[Servicing Spread]])</f>
        <v>1.2712583065251897</v>
      </c>
      <c r="M2220" s="70">
        <f>CurrentMtgRatesDataTable8[[#This Row],[Servicing Spread Non-Zero]]-L2219</f>
        <v>2.3898615520334232E-2</v>
      </c>
      <c r="N2220" s="70">
        <f>IF(J2219&lt;&gt;0,CurrentMtgRatesDataTable8[[#This Row],[Rate]]-C2219,N2219)</f>
        <v>-4.0000000000000036E-2</v>
      </c>
    </row>
    <row r="2221" spans="1:14">
      <c r="A2221" s="67" t="s">
        <v>612</v>
      </c>
      <c r="B2221" s="68">
        <v>2.0658821659188802</v>
      </c>
      <c r="C2221" s="69">
        <v>3.3149999999999999</v>
      </c>
      <c r="D2221" s="70">
        <f t="shared" si="238"/>
        <v>1</v>
      </c>
      <c r="E2221" s="70">
        <f t="shared" si="239"/>
        <v>0.2</v>
      </c>
      <c r="F2221" s="70">
        <f t="shared" si="240"/>
        <v>1</v>
      </c>
      <c r="G2221" s="70">
        <f t="shared" si="241"/>
        <v>0.41317643318377606</v>
      </c>
      <c r="H2221" s="70">
        <f t="shared" si="242"/>
        <v>0.2</v>
      </c>
      <c r="I2221" s="70">
        <f t="shared" si="243"/>
        <v>0</v>
      </c>
      <c r="J2221" s="70">
        <f t="shared" si="244"/>
        <v>0</v>
      </c>
      <c r="K2221" s="70">
        <f>IF(CurrentMtgRatesDataTable8[[#This Row],[WA CC]]&lt;&gt;0,C2220-CurrentMtgRatesDataTable8[[#This Row],[WA CC]],0)</f>
        <v>0</v>
      </c>
      <c r="L2221" s="70">
        <f>IF(CurrentMtgRatesDataTable8[[#This Row],[Servicing Spread]]&lt;=0,L2220,CurrentMtgRatesDataTable8[[#This Row],[Servicing Spread]])</f>
        <v>1.2712583065251897</v>
      </c>
      <c r="M2221" s="70">
        <f>CurrentMtgRatesDataTable8[[#This Row],[Servicing Spread Non-Zero]]-L2220</f>
        <v>0</v>
      </c>
      <c r="N2221" s="70">
        <f>IF(J2220&lt;&gt;0,CurrentMtgRatesDataTable8[[#This Row],[Rate]]-C2220,N2220)</f>
        <v>5.500000000000016E-2</v>
      </c>
    </row>
    <row r="2222" spans="1:14">
      <c r="A2222" s="67" t="s">
        <v>467</v>
      </c>
      <c r="B2222" s="68">
        <v>2.0999165140206202</v>
      </c>
      <c r="C2222" s="69">
        <v>3.3149999999999999</v>
      </c>
      <c r="D2222" s="70">
        <f t="shared" si="238"/>
        <v>2</v>
      </c>
      <c r="E2222" s="70">
        <f t="shared" si="239"/>
        <v>0.2</v>
      </c>
      <c r="F2222" s="70">
        <f t="shared" si="240"/>
        <v>2</v>
      </c>
      <c r="G2222" s="70">
        <f t="shared" si="241"/>
        <v>0.83315973598790016</v>
      </c>
      <c r="H2222" s="70">
        <f t="shared" si="242"/>
        <v>0.4</v>
      </c>
      <c r="I2222" s="70">
        <f t="shared" si="243"/>
        <v>0</v>
      </c>
      <c r="J2222" s="70">
        <f t="shared" si="244"/>
        <v>0</v>
      </c>
      <c r="K2222" s="70">
        <f>IF(CurrentMtgRatesDataTable8[[#This Row],[WA CC]]&lt;&gt;0,C2221-CurrentMtgRatesDataTable8[[#This Row],[WA CC]],0)</f>
        <v>0</v>
      </c>
      <c r="L2222" s="70">
        <f>IF(CurrentMtgRatesDataTable8[[#This Row],[Servicing Spread]]&lt;=0,L2221,CurrentMtgRatesDataTable8[[#This Row],[Servicing Spread]])</f>
        <v>1.2712583065251897</v>
      </c>
      <c r="M2222" s="70">
        <f>CurrentMtgRatesDataTable8[[#This Row],[Servicing Spread Non-Zero]]-L2221</f>
        <v>0</v>
      </c>
      <c r="N2222" s="70">
        <f>IF(J2221&lt;&gt;0,CurrentMtgRatesDataTable8[[#This Row],[Rate]]-C2221,N2221)</f>
        <v>5.500000000000016E-2</v>
      </c>
    </row>
    <row r="2223" spans="1:14">
      <c r="A2223" s="67" t="s">
        <v>191</v>
      </c>
      <c r="B2223" s="68">
        <v>2.1121992044017102</v>
      </c>
      <c r="C2223" s="69">
        <v>3.3149999999999999</v>
      </c>
      <c r="D2223" s="70">
        <f t="shared" si="238"/>
        <v>6</v>
      </c>
      <c r="E2223" s="70">
        <f t="shared" si="239"/>
        <v>0.2</v>
      </c>
      <c r="F2223" s="70">
        <f t="shared" si="240"/>
        <v>3</v>
      </c>
      <c r="G2223" s="70">
        <f t="shared" si="241"/>
        <v>1.2555995768682422</v>
      </c>
      <c r="H2223" s="70">
        <f t="shared" si="242"/>
        <v>0.60000000000000009</v>
      </c>
      <c r="I2223" s="70">
        <f t="shared" si="243"/>
        <v>0</v>
      </c>
      <c r="J2223" s="70">
        <f t="shared" si="244"/>
        <v>0</v>
      </c>
      <c r="K2223" s="70">
        <f>IF(CurrentMtgRatesDataTable8[[#This Row],[WA CC]]&lt;&gt;0,C2222-CurrentMtgRatesDataTable8[[#This Row],[WA CC]],0)</f>
        <v>0</v>
      </c>
      <c r="L2223" s="70">
        <f>IF(CurrentMtgRatesDataTable8[[#This Row],[Servicing Spread]]&lt;=0,L2222,CurrentMtgRatesDataTable8[[#This Row],[Servicing Spread]])</f>
        <v>1.2712583065251897</v>
      </c>
      <c r="M2223" s="70">
        <f>CurrentMtgRatesDataTable8[[#This Row],[Servicing Spread Non-Zero]]-L2222</f>
        <v>0</v>
      </c>
      <c r="N2223" s="70">
        <f>IF(J2222&lt;&gt;0,CurrentMtgRatesDataTable8[[#This Row],[Rate]]-C2222,N2222)</f>
        <v>5.500000000000016E-2</v>
      </c>
    </row>
    <row r="2224" spans="1:14">
      <c r="A2224" s="67" t="s">
        <v>45</v>
      </c>
      <c r="B2224" s="68">
        <v>2.0566984028863402</v>
      </c>
      <c r="C2224" s="69">
        <v>3.3149999999999999</v>
      </c>
      <c r="D2224" s="70">
        <f t="shared" si="238"/>
        <v>7</v>
      </c>
      <c r="E2224" s="70">
        <f t="shared" si="239"/>
        <v>0.2</v>
      </c>
      <c r="F2224" s="70">
        <f t="shared" si="240"/>
        <v>4</v>
      </c>
      <c r="G2224" s="70">
        <f t="shared" si="241"/>
        <v>1.6669392574455102</v>
      </c>
      <c r="H2224" s="70">
        <f t="shared" si="242"/>
        <v>0.8</v>
      </c>
      <c r="I2224" s="70">
        <f t="shared" si="243"/>
        <v>1</v>
      </c>
      <c r="J2224" s="70">
        <f t="shared" si="244"/>
        <v>2.0836740718068878</v>
      </c>
      <c r="K2224" s="70">
        <f>IF(CurrentMtgRatesDataTable8[[#This Row],[WA CC]]&lt;&gt;0,C2223-CurrentMtgRatesDataTable8[[#This Row],[WA CC]],0)</f>
        <v>1.2313259281931122</v>
      </c>
      <c r="L2224" s="70">
        <f>IF(CurrentMtgRatesDataTable8[[#This Row],[Servicing Spread]]&lt;=0,L2223,CurrentMtgRatesDataTable8[[#This Row],[Servicing Spread]])</f>
        <v>1.2313259281931122</v>
      </c>
      <c r="M2224" s="70">
        <f>CurrentMtgRatesDataTable8[[#This Row],[Servicing Spread Non-Zero]]-L2223</f>
        <v>-3.9932378332077523E-2</v>
      </c>
      <c r="N2224" s="70">
        <f>IF(J2223&lt;&gt;0,CurrentMtgRatesDataTable8[[#This Row],[Rate]]-C2223,N2223)</f>
        <v>5.500000000000016E-2</v>
      </c>
    </row>
    <row r="2225" spans="1:14">
      <c r="A2225" s="67" t="s">
        <v>613</v>
      </c>
      <c r="B2225" s="68">
        <v>2.0188150642087299</v>
      </c>
      <c r="C2225" s="69">
        <v>3.2949999999999999</v>
      </c>
      <c r="D2225" s="70">
        <f t="shared" si="238"/>
        <v>1</v>
      </c>
      <c r="E2225" s="70">
        <f t="shared" si="239"/>
        <v>0.2</v>
      </c>
      <c r="F2225" s="70">
        <f t="shared" si="240"/>
        <v>1</v>
      </c>
      <c r="G2225" s="70">
        <f t="shared" si="241"/>
        <v>0.40376301284174598</v>
      </c>
      <c r="H2225" s="70">
        <f t="shared" si="242"/>
        <v>0.2</v>
      </c>
      <c r="I2225" s="70">
        <f t="shared" si="243"/>
        <v>0</v>
      </c>
      <c r="J2225" s="70">
        <f t="shared" si="244"/>
        <v>0</v>
      </c>
      <c r="K2225" s="70">
        <f>IF(CurrentMtgRatesDataTable8[[#This Row],[WA CC]]&lt;&gt;0,C2224-CurrentMtgRatesDataTable8[[#This Row],[WA CC]],0)</f>
        <v>0</v>
      </c>
      <c r="L2225" s="70">
        <f>IF(CurrentMtgRatesDataTable8[[#This Row],[Servicing Spread]]&lt;=0,L2224,CurrentMtgRatesDataTable8[[#This Row],[Servicing Spread]])</f>
        <v>1.2313259281931122</v>
      </c>
      <c r="M2225" s="70">
        <f>CurrentMtgRatesDataTable8[[#This Row],[Servicing Spread Non-Zero]]-L2224</f>
        <v>0</v>
      </c>
      <c r="N2225" s="70">
        <f>IF(J2224&lt;&gt;0,CurrentMtgRatesDataTable8[[#This Row],[Rate]]-C2224,N2224)</f>
        <v>-2.0000000000000018E-2</v>
      </c>
    </row>
    <row r="2226" spans="1:14">
      <c r="A2226" s="67" t="s">
        <v>468</v>
      </c>
      <c r="B2226" s="68">
        <v>2.0148705784973</v>
      </c>
      <c r="C2226" s="69">
        <v>3.2949999999999999</v>
      </c>
      <c r="D2226" s="70">
        <f t="shared" si="238"/>
        <v>2</v>
      </c>
      <c r="E2226" s="70">
        <f t="shared" si="239"/>
        <v>0.2</v>
      </c>
      <c r="F2226" s="70">
        <f t="shared" si="240"/>
        <v>2</v>
      </c>
      <c r="G2226" s="70">
        <f t="shared" si="241"/>
        <v>0.80673712854120594</v>
      </c>
      <c r="H2226" s="70">
        <f t="shared" si="242"/>
        <v>0.4</v>
      </c>
      <c r="I2226" s="70">
        <f t="shared" si="243"/>
        <v>0</v>
      </c>
      <c r="J2226" s="70">
        <f t="shared" si="244"/>
        <v>0</v>
      </c>
      <c r="K2226" s="70">
        <f>IF(CurrentMtgRatesDataTable8[[#This Row],[WA CC]]&lt;&gt;0,C2225-CurrentMtgRatesDataTable8[[#This Row],[WA CC]],0)</f>
        <v>0</v>
      </c>
      <c r="L2226" s="70">
        <f>IF(CurrentMtgRatesDataTable8[[#This Row],[Servicing Spread]]&lt;=0,L2225,CurrentMtgRatesDataTable8[[#This Row],[Servicing Spread]])</f>
        <v>1.2313259281931122</v>
      </c>
      <c r="M2226" s="70">
        <f>CurrentMtgRatesDataTable8[[#This Row],[Servicing Spread Non-Zero]]-L2225</f>
        <v>0</v>
      </c>
      <c r="N2226" s="70">
        <f>IF(J2225&lt;&gt;0,CurrentMtgRatesDataTable8[[#This Row],[Rate]]-C2225,N2225)</f>
        <v>-2.0000000000000018E-2</v>
      </c>
    </row>
    <row r="2227" spans="1:14">
      <c r="A2227" s="67" t="s">
        <v>333</v>
      </c>
      <c r="B2227" s="68">
        <v>2.0433983497425001</v>
      </c>
      <c r="C2227" s="69">
        <v>3.2949999999999999</v>
      </c>
      <c r="D2227" s="70">
        <f t="shared" si="238"/>
        <v>5</v>
      </c>
      <c r="E2227" s="70">
        <f t="shared" si="239"/>
        <v>0.2</v>
      </c>
      <c r="F2227" s="70">
        <f t="shared" si="240"/>
        <v>3</v>
      </c>
      <c r="G2227" s="70">
        <f t="shared" si="241"/>
        <v>1.215416798489706</v>
      </c>
      <c r="H2227" s="70">
        <f t="shared" si="242"/>
        <v>0.60000000000000009</v>
      </c>
      <c r="I2227" s="70">
        <f t="shared" si="243"/>
        <v>0</v>
      </c>
      <c r="J2227" s="70">
        <f t="shared" si="244"/>
        <v>0</v>
      </c>
      <c r="K2227" s="70">
        <f>IF(CurrentMtgRatesDataTable8[[#This Row],[WA CC]]&lt;&gt;0,C2226-CurrentMtgRatesDataTable8[[#This Row],[WA CC]],0)</f>
        <v>0</v>
      </c>
      <c r="L2227" s="70">
        <f>IF(CurrentMtgRatesDataTable8[[#This Row],[Servicing Spread]]&lt;=0,L2226,CurrentMtgRatesDataTable8[[#This Row],[Servicing Spread]])</f>
        <v>1.2313259281931122</v>
      </c>
      <c r="M2227" s="70">
        <f>CurrentMtgRatesDataTable8[[#This Row],[Servicing Spread Non-Zero]]-L2226</f>
        <v>0</v>
      </c>
      <c r="N2227" s="70">
        <f>IF(J2226&lt;&gt;0,CurrentMtgRatesDataTable8[[#This Row],[Rate]]-C2226,N2226)</f>
        <v>-2.0000000000000018E-2</v>
      </c>
    </row>
    <row r="2228" spans="1:14">
      <c r="A2228" s="67" t="s">
        <v>192</v>
      </c>
      <c r="B2228" s="68">
        <v>2.0903131154582399</v>
      </c>
      <c r="C2228" s="69">
        <v>3.2949999999999999</v>
      </c>
      <c r="D2228" s="70">
        <f t="shared" si="238"/>
        <v>6</v>
      </c>
      <c r="E2228" s="70">
        <f t="shared" si="239"/>
        <v>0.2</v>
      </c>
      <c r="F2228" s="70">
        <f t="shared" si="240"/>
        <v>4</v>
      </c>
      <c r="G2228" s="70">
        <f t="shared" si="241"/>
        <v>1.633479421581354</v>
      </c>
      <c r="H2228" s="70">
        <f t="shared" si="242"/>
        <v>0.8</v>
      </c>
      <c r="I2228" s="70">
        <f t="shared" si="243"/>
        <v>0</v>
      </c>
      <c r="J2228" s="70">
        <f t="shared" si="244"/>
        <v>0</v>
      </c>
      <c r="K2228" s="70">
        <f>IF(CurrentMtgRatesDataTable8[[#This Row],[WA CC]]&lt;&gt;0,C2227-CurrentMtgRatesDataTable8[[#This Row],[WA CC]],0)</f>
        <v>0</v>
      </c>
      <c r="L2228" s="70">
        <f>IF(CurrentMtgRatesDataTable8[[#This Row],[Servicing Spread]]&lt;=0,L2227,CurrentMtgRatesDataTable8[[#This Row],[Servicing Spread]])</f>
        <v>1.2313259281931122</v>
      </c>
      <c r="M2228" s="70">
        <f>CurrentMtgRatesDataTable8[[#This Row],[Servicing Spread Non-Zero]]-L2227</f>
        <v>0</v>
      </c>
      <c r="N2228" s="70">
        <f>IF(J2227&lt;&gt;0,CurrentMtgRatesDataTable8[[#This Row],[Rate]]-C2227,N2227)</f>
        <v>-2.0000000000000018E-2</v>
      </c>
    </row>
    <row r="2229" spans="1:14">
      <c r="A2229" s="67" t="s">
        <v>46</v>
      </c>
      <c r="B2229" s="68">
        <v>2.1999397264302898</v>
      </c>
      <c r="C2229" s="69">
        <v>3.2949999999999999</v>
      </c>
      <c r="D2229" s="70">
        <f t="shared" si="238"/>
        <v>7</v>
      </c>
      <c r="E2229" s="70">
        <f t="shared" si="239"/>
        <v>0.2</v>
      </c>
      <c r="F2229" s="70">
        <f t="shared" si="240"/>
        <v>5</v>
      </c>
      <c r="G2229" s="70">
        <f t="shared" si="241"/>
        <v>2.073467366867412</v>
      </c>
      <c r="H2229" s="70">
        <f t="shared" si="242"/>
        <v>1</v>
      </c>
      <c r="I2229" s="70">
        <f t="shared" si="243"/>
        <v>1</v>
      </c>
      <c r="J2229" s="70">
        <f t="shared" si="244"/>
        <v>2.073467366867412</v>
      </c>
      <c r="K2229" s="70">
        <f>IF(CurrentMtgRatesDataTable8[[#This Row],[WA CC]]&lt;&gt;0,C2228-CurrentMtgRatesDataTable8[[#This Row],[WA CC]],0)</f>
        <v>1.221532633132588</v>
      </c>
      <c r="L2229" s="70">
        <f>IF(CurrentMtgRatesDataTable8[[#This Row],[Servicing Spread]]&lt;=0,L2228,CurrentMtgRatesDataTable8[[#This Row],[Servicing Spread]])</f>
        <v>1.221532633132588</v>
      </c>
      <c r="M2229" s="70">
        <f>CurrentMtgRatesDataTable8[[#This Row],[Servicing Spread Non-Zero]]-L2228</f>
        <v>-9.7932950605241764E-3</v>
      </c>
      <c r="N2229" s="70">
        <f>IF(J2228&lt;&gt;0,CurrentMtgRatesDataTable8[[#This Row],[Rate]]-C2228,N2228)</f>
        <v>-2.0000000000000018E-2</v>
      </c>
    </row>
    <row r="2230" spans="1:14">
      <c r="A2230" s="67" t="s">
        <v>614</v>
      </c>
      <c r="B2230" s="68">
        <v>2.23804060063864</v>
      </c>
      <c r="C2230" s="69">
        <v>3.335</v>
      </c>
      <c r="D2230" s="70">
        <f t="shared" si="238"/>
        <v>1</v>
      </c>
      <c r="E2230" s="70">
        <f t="shared" si="239"/>
        <v>0.2</v>
      </c>
      <c r="F2230" s="70">
        <f t="shared" si="240"/>
        <v>1</v>
      </c>
      <c r="G2230" s="70">
        <f t="shared" si="241"/>
        <v>0.44760812012772799</v>
      </c>
      <c r="H2230" s="70">
        <f t="shared" si="242"/>
        <v>0.2</v>
      </c>
      <c r="I2230" s="70">
        <f t="shared" si="243"/>
        <v>0</v>
      </c>
      <c r="J2230" s="70">
        <f t="shared" si="244"/>
        <v>0</v>
      </c>
      <c r="K2230" s="70">
        <f>IF(CurrentMtgRatesDataTable8[[#This Row],[WA CC]]&lt;&gt;0,C2229-CurrentMtgRatesDataTable8[[#This Row],[WA CC]],0)</f>
        <v>0</v>
      </c>
      <c r="L2230" s="70">
        <f>IF(CurrentMtgRatesDataTable8[[#This Row],[Servicing Spread]]&lt;=0,L2229,CurrentMtgRatesDataTable8[[#This Row],[Servicing Spread]])</f>
        <v>1.221532633132588</v>
      </c>
      <c r="M2230" s="70">
        <f>CurrentMtgRatesDataTable8[[#This Row],[Servicing Spread Non-Zero]]-L2229</f>
        <v>0</v>
      </c>
      <c r="N2230" s="70">
        <f>IF(J2229&lt;&gt;0,CurrentMtgRatesDataTable8[[#This Row],[Rate]]-C2229,N2229)</f>
        <v>4.0000000000000036E-2</v>
      </c>
    </row>
    <row r="2231" spans="1:14">
      <c r="A2231" s="67" t="s">
        <v>469</v>
      </c>
      <c r="B2231" s="68">
        <v>2.17149064090427</v>
      </c>
      <c r="C2231" s="69">
        <v>3.335</v>
      </c>
      <c r="D2231" s="70">
        <f t="shared" si="238"/>
        <v>2</v>
      </c>
      <c r="E2231" s="70">
        <f t="shared" si="239"/>
        <v>0.2</v>
      </c>
      <c r="F2231" s="70">
        <f t="shared" si="240"/>
        <v>2</v>
      </c>
      <c r="G2231" s="70">
        <f t="shared" si="241"/>
        <v>0.881906248308582</v>
      </c>
      <c r="H2231" s="70">
        <f t="shared" si="242"/>
        <v>0.4</v>
      </c>
      <c r="I2231" s="70">
        <f t="shared" si="243"/>
        <v>0</v>
      </c>
      <c r="J2231" s="70">
        <f t="shared" si="244"/>
        <v>0</v>
      </c>
      <c r="K2231" s="70">
        <f>IF(CurrentMtgRatesDataTable8[[#This Row],[WA CC]]&lt;&gt;0,C2230-CurrentMtgRatesDataTable8[[#This Row],[WA CC]],0)</f>
        <v>0</v>
      </c>
      <c r="L2231" s="70">
        <f>IF(CurrentMtgRatesDataTable8[[#This Row],[Servicing Spread]]&lt;=0,L2230,CurrentMtgRatesDataTable8[[#This Row],[Servicing Spread]])</f>
        <v>1.221532633132588</v>
      </c>
      <c r="M2231" s="70">
        <f>CurrentMtgRatesDataTable8[[#This Row],[Servicing Spread Non-Zero]]-L2230</f>
        <v>0</v>
      </c>
      <c r="N2231" s="70">
        <f>IF(J2230&lt;&gt;0,CurrentMtgRatesDataTable8[[#This Row],[Rate]]-C2230,N2230)</f>
        <v>4.0000000000000036E-2</v>
      </c>
    </row>
    <row r="2232" spans="1:14">
      <c r="A2232" s="67" t="s">
        <v>334</v>
      </c>
      <c r="B2232" s="68">
        <v>2.2048003727510999</v>
      </c>
      <c r="C2232" s="69">
        <v>3.335</v>
      </c>
      <c r="D2232" s="70">
        <f t="shared" si="238"/>
        <v>5</v>
      </c>
      <c r="E2232" s="70">
        <f t="shared" si="239"/>
        <v>0.2</v>
      </c>
      <c r="F2232" s="70">
        <f t="shared" si="240"/>
        <v>3</v>
      </c>
      <c r="G2232" s="70">
        <f t="shared" si="241"/>
        <v>1.322866322858802</v>
      </c>
      <c r="H2232" s="70">
        <f t="shared" si="242"/>
        <v>0.60000000000000009</v>
      </c>
      <c r="I2232" s="70">
        <f t="shared" si="243"/>
        <v>0</v>
      </c>
      <c r="J2232" s="70">
        <f t="shared" si="244"/>
        <v>0</v>
      </c>
      <c r="K2232" s="70">
        <f>IF(CurrentMtgRatesDataTable8[[#This Row],[WA CC]]&lt;&gt;0,C2231-CurrentMtgRatesDataTable8[[#This Row],[WA CC]],0)</f>
        <v>0</v>
      </c>
      <c r="L2232" s="70">
        <f>IF(CurrentMtgRatesDataTable8[[#This Row],[Servicing Spread]]&lt;=0,L2231,CurrentMtgRatesDataTable8[[#This Row],[Servicing Spread]])</f>
        <v>1.221532633132588</v>
      </c>
      <c r="M2232" s="70">
        <f>CurrentMtgRatesDataTable8[[#This Row],[Servicing Spread Non-Zero]]-L2231</f>
        <v>0</v>
      </c>
      <c r="N2232" s="70">
        <f>IF(J2231&lt;&gt;0,CurrentMtgRatesDataTable8[[#This Row],[Rate]]-C2231,N2231)</f>
        <v>4.0000000000000036E-2</v>
      </c>
    </row>
    <row r="2233" spans="1:14">
      <c r="A2233" s="67" t="s">
        <v>193</v>
      </c>
      <c r="B2233" s="68">
        <v>2.1883122196514102</v>
      </c>
      <c r="C2233" s="69">
        <v>3.335</v>
      </c>
      <c r="D2233" s="70">
        <f t="shared" si="238"/>
        <v>6</v>
      </c>
      <c r="E2233" s="70">
        <f t="shared" si="239"/>
        <v>0.2</v>
      </c>
      <c r="F2233" s="70">
        <f t="shared" si="240"/>
        <v>4</v>
      </c>
      <c r="G2233" s="70">
        <f t="shared" si="241"/>
        <v>1.7605287667890841</v>
      </c>
      <c r="H2233" s="70">
        <f t="shared" si="242"/>
        <v>0.8</v>
      </c>
      <c r="I2233" s="70">
        <f t="shared" si="243"/>
        <v>0</v>
      </c>
      <c r="J2233" s="70">
        <f t="shared" si="244"/>
        <v>0</v>
      </c>
      <c r="K2233" s="70">
        <f>IF(CurrentMtgRatesDataTable8[[#This Row],[WA CC]]&lt;&gt;0,C2232-CurrentMtgRatesDataTable8[[#This Row],[WA CC]],0)</f>
        <v>0</v>
      </c>
      <c r="L2233" s="70">
        <f>IF(CurrentMtgRatesDataTable8[[#This Row],[Servicing Spread]]&lt;=0,L2232,CurrentMtgRatesDataTable8[[#This Row],[Servicing Spread]])</f>
        <v>1.221532633132588</v>
      </c>
      <c r="M2233" s="70">
        <f>CurrentMtgRatesDataTable8[[#This Row],[Servicing Spread Non-Zero]]-L2232</f>
        <v>0</v>
      </c>
      <c r="N2233" s="70">
        <f>IF(J2232&lt;&gt;0,CurrentMtgRatesDataTable8[[#This Row],[Rate]]-C2232,N2232)</f>
        <v>4.0000000000000036E-2</v>
      </c>
    </row>
    <row r="2234" spans="1:14">
      <c r="A2234" s="67" t="s">
        <v>47</v>
      </c>
      <c r="B2234" s="68">
        <v>2.2250151290701798</v>
      </c>
      <c r="C2234" s="69">
        <v>3.335</v>
      </c>
      <c r="D2234" s="70">
        <f t="shared" si="238"/>
        <v>7</v>
      </c>
      <c r="E2234" s="70">
        <f t="shared" si="239"/>
        <v>0.2</v>
      </c>
      <c r="F2234" s="70">
        <f t="shared" si="240"/>
        <v>5</v>
      </c>
      <c r="G2234" s="70">
        <f t="shared" si="241"/>
        <v>2.2055317926031202</v>
      </c>
      <c r="H2234" s="70">
        <f t="shared" si="242"/>
        <v>1</v>
      </c>
      <c r="I2234" s="70">
        <f t="shared" si="243"/>
        <v>1</v>
      </c>
      <c r="J2234" s="70">
        <f t="shared" si="244"/>
        <v>2.2055317926031202</v>
      </c>
      <c r="K2234" s="70">
        <f>IF(CurrentMtgRatesDataTable8[[#This Row],[WA CC]]&lt;&gt;0,C2233-CurrentMtgRatesDataTable8[[#This Row],[WA CC]],0)</f>
        <v>1.1294682073968798</v>
      </c>
      <c r="L2234" s="70">
        <f>IF(CurrentMtgRatesDataTable8[[#This Row],[Servicing Spread]]&lt;=0,L2233,CurrentMtgRatesDataTable8[[#This Row],[Servicing Spread]])</f>
        <v>1.1294682073968798</v>
      </c>
      <c r="M2234" s="70">
        <f>CurrentMtgRatesDataTable8[[#This Row],[Servicing Spread Non-Zero]]-L2233</f>
        <v>-9.2064425735708166E-2</v>
      </c>
      <c r="N2234" s="70">
        <f>IF(J2233&lt;&gt;0,CurrentMtgRatesDataTable8[[#This Row],[Rate]]-C2233,N2233)</f>
        <v>4.0000000000000036E-2</v>
      </c>
    </row>
    <row r="2235" spans="1:14">
      <c r="A2235" s="67" t="s">
        <v>615</v>
      </c>
      <c r="B2235" s="68">
        <v>2.2775343256732099</v>
      </c>
      <c r="C2235" s="69">
        <v>3.3149999999999999</v>
      </c>
      <c r="D2235" s="70">
        <f t="shared" si="238"/>
        <v>1</v>
      </c>
      <c r="E2235" s="70">
        <f t="shared" si="239"/>
        <v>0.2</v>
      </c>
      <c r="F2235" s="70">
        <f t="shared" si="240"/>
        <v>1</v>
      </c>
      <c r="G2235" s="70">
        <f t="shared" si="241"/>
        <v>0.455506865134642</v>
      </c>
      <c r="H2235" s="70">
        <f t="shared" si="242"/>
        <v>0.2</v>
      </c>
      <c r="I2235" s="70">
        <f t="shared" si="243"/>
        <v>0</v>
      </c>
      <c r="J2235" s="70">
        <f t="shared" si="244"/>
        <v>0</v>
      </c>
      <c r="K2235" s="70">
        <f>IF(CurrentMtgRatesDataTable8[[#This Row],[WA CC]]&lt;&gt;0,C2234-CurrentMtgRatesDataTable8[[#This Row],[WA CC]],0)</f>
        <v>0</v>
      </c>
      <c r="L2235" s="70">
        <f>IF(CurrentMtgRatesDataTable8[[#This Row],[Servicing Spread]]&lt;=0,L2234,CurrentMtgRatesDataTable8[[#This Row],[Servicing Spread]])</f>
        <v>1.1294682073968798</v>
      </c>
      <c r="M2235" s="70">
        <f>CurrentMtgRatesDataTable8[[#This Row],[Servicing Spread Non-Zero]]-L2234</f>
        <v>0</v>
      </c>
      <c r="N2235" s="70">
        <f>IF(J2234&lt;&gt;0,CurrentMtgRatesDataTable8[[#This Row],[Rate]]-C2234,N2234)</f>
        <v>-2.0000000000000018E-2</v>
      </c>
    </row>
    <row r="2236" spans="1:14">
      <c r="A2236" s="67" t="s">
        <v>470</v>
      </c>
      <c r="B2236" s="68">
        <v>2.2062412812927401</v>
      </c>
      <c r="C2236" s="69">
        <v>3.3149999999999999</v>
      </c>
      <c r="D2236" s="70">
        <f t="shared" si="238"/>
        <v>2</v>
      </c>
      <c r="E2236" s="70">
        <f t="shared" si="239"/>
        <v>0.2</v>
      </c>
      <c r="F2236" s="70">
        <f t="shared" si="240"/>
        <v>2</v>
      </c>
      <c r="G2236" s="70">
        <f t="shared" si="241"/>
        <v>0.89675512139319002</v>
      </c>
      <c r="H2236" s="70">
        <f t="shared" si="242"/>
        <v>0.4</v>
      </c>
      <c r="I2236" s="70">
        <f t="shared" si="243"/>
        <v>0</v>
      </c>
      <c r="J2236" s="70">
        <f t="shared" si="244"/>
        <v>0</v>
      </c>
      <c r="K2236" s="70">
        <f>IF(CurrentMtgRatesDataTable8[[#This Row],[WA CC]]&lt;&gt;0,C2235-CurrentMtgRatesDataTable8[[#This Row],[WA CC]],0)</f>
        <v>0</v>
      </c>
      <c r="L2236" s="70">
        <f>IF(CurrentMtgRatesDataTable8[[#This Row],[Servicing Spread]]&lt;=0,L2235,CurrentMtgRatesDataTable8[[#This Row],[Servicing Spread]])</f>
        <v>1.1294682073968798</v>
      </c>
      <c r="M2236" s="70">
        <f>CurrentMtgRatesDataTable8[[#This Row],[Servicing Spread Non-Zero]]-L2235</f>
        <v>0</v>
      </c>
      <c r="N2236" s="70">
        <f>IF(J2235&lt;&gt;0,CurrentMtgRatesDataTable8[[#This Row],[Rate]]-C2235,N2235)</f>
        <v>-2.0000000000000018E-2</v>
      </c>
    </row>
    <row r="2237" spans="1:14">
      <c r="A2237" s="67" t="s">
        <v>335</v>
      </c>
      <c r="B2237" s="68">
        <v>2.1758632003490601</v>
      </c>
      <c r="C2237" s="69">
        <v>3.3149999999999999</v>
      </c>
      <c r="D2237" s="70">
        <f t="shared" si="238"/>
        <v>5</v>
      </c>
      <c r="E2237" s="70">
        <f t="shared" si="239"/>
        <v>0.2</v>
      </c>
      <c r="F2237" s="70">
        <f t="shared" si="240"/>
        <v>3</v>
      </c>
      <c r="G2237" s="70">
        <f t="shared" si="241"/>
        <v>1.3319277614630021</v>
      </c>
      <c r="H2237" s="70">
        <f t="shared" si="242"/>
        <v>0.60000000000000009</v>
      </c>
      <c r="I2237" s="70">
        <f t="shared" si="243"/>
        <v>0</v>
      </c>
      <c r="J2237" s="70">
        <f t="shared" si="244"/>
        <v>0</v>
      </c>
      <c r="K2237" s="70">
        <f>IF(CurrentMtgRatesDataTable8[[#This Row],[WA CC]]&lt;&gt;0,C2236-CurrentMtgRatesDataTable8[[#This Row],[WA CC]],0)</f>
        <v>0</v>
      </c>
      <c r="L2237" s="70">
        <f>IF(CurrentMtgRatesDataTable8[[#This Row],[Servicing Spread]]&lt;=0,L2236,CurrentMtgRatesDataTable8[[#This Row],[Servicing Spread]])</f>
        <v>1.1294682073968798</v>
      </c>
      <c r="M2237" s="70">
        <f>CurrentMtgRatesDataTable8[[#This Row],[Servicing Spread Non-Zero]]-L2236</f>
        <v>0</v>
      </c>
      <c r="N2237" s="70">
        <f>IF(J2236&lt;&gt;0,CurrentMtgRatesDataTable8[[#This Row],[Rate]]-C2236,N2236)</f>
        <v>-2.0000000000000018E-2</v>
      </c>
    </row>
    <row r="2238" spans="1:14">
      <c r="A2238" s="67" t="s">
        <v>48</v>
      </c>
      <c r="B2238" s="68">
        <v>2.1423497452898399</v>
      </c>
      <c r="C2238" s="69">
        <v>3.3149999999999999</v>
      </c>
      <c r="D2238" s="70">
        <f t="shared" si="238"/>
        <v>7</v>
      </c>
      <c r="E2238" s="70">
        <f t="shared" si="239"/>
        <v>0.2</v>
      </c>
      <c r="F2238" s="70">
        <f t="shared" si="240"/>
        <v>4</v>
      </c>
      <c r="G2238" s="70">
        <f t="shared" si="241"/>
        <v>1.76039771052097</v>
      </c>
      <c r="H2238" s="70">
        <f t="shared" si="242"/>
        <v>0.8</v>
      </c>
      <c r="I2238" s="70">
        <f t="shared" si="243"/>
        <v>1</v>
      </c>
      <c r="J2238" s="70">
        <f t="shared" si="244"/>
        <v>2.2004971381512126</v>
      </c>
      <c r="K2238" s="70">
        <f>IF(CurrentMtgRatesDataTable8[[#This Row],[WA CC]]&lt;&gt;0,C2237-CurrentMtgRatesDataTable8[[#This Row],[WA CC]],0)</f>
        <v>1.1145028618487873</v>
      </c>
      <c r="L2238" s="70">
        <f>IF(CurrentMtgRatesDataTable8[[#This Row],[Servicing Spread]]&lt;=0,L2237,CurrentMtgRatesDataTable8[[#This Row],[Servicing Spread]])</f>
        <v>1.1145028618487873</v>
      </c>
      <c r="M2238" s="70">
        <f>CurrentMtgRatesDataTable8[[#This Row],[Servicing Spread Non-Zero]]-L2237</f>
        <v>-1.4965345548092479E-2</v>
      </c>
      <c r="N2238" s="70">
        <f>IF(J2237&lt;&gt;0,CurrentMtgRatesDataTable8[[#This Row],[Rate]]-C2237,N2237)</f>
        <v>-2.0000000000000018E-2</v>
      </c>
    </row>
    <row r="2239" spans="1:14">
      <c r="A2239" s="67" t="s">
        <v>616</v>
      </c>
      <c r="B2239" s="68">
        <v>2.2324289694544102</v>
      </c>
      <c r="C2239" s="69">
        <v>3.3249999999999997</v>
      </c>
      <c r="D2239" s="70">
        <f t="shared" si="238"/>
        <v>1</v>
      </c>
      <c r="E2239" s="70">
        <f t="shared" si="239"/>
        <v>0.2</v>
      </c>
      <c r="F2239" s="70">
        <f t="shared" si="240"/>
        <v>1</v>
      </c>
      <c r="G2239" s="70">
        <f t="shared" si="241"/>
        <v>0.44648579389088205</v>
      </c>
      <c r="H2239" s="70">
        <f t="shared" si="242"/>
        <v>0.2</v>
      </c>
      <c r="I2239" s="70">
        <f t="shared" si="243"/>
        <v>0</v>
      </c>
      <c r="J2239" s="70">
        <f t="shared" si="244"/>
        <v>0</v>
      </c>
      <c r="K2239" s="70">
        <f>IF(CurrentMtgRatesDataTable8[[#This Row],[WA CC]]&lt;&gt;0,C2238-CurrentMtgRatesDataTable8[[#This Row],[WA CC]],0)</f>
        <v>0</v>
      </c>
      <c r="L2239" s="70">
        <f>IF(CurrentMtgRatesDataTable8[[#This Row],[Servicing Spread]]&lt;=0,L2238,CurrentMtgRatesDataTable8[[#This Row],[Servicing Spread]])</f>
        <v>1.1145028618487873</v>
      </c>
      <c r="M2239" s="70">
        <f>CurrentMtgRatesDataTable8[[#This Row],[Servicing Spread Non-Zero]]-L2238</f>
        <v>0</v>
      </c>
      <c r="N2239" s="70">
        <f>IF(J2238&lt;&gt;0,CurrentMtgRatesDataTable8[[#This Row],[Rate]]-C2238,N2238)</f>
        <v>9.9999999999997868E-3</v>
      </c>
    </row>
    <row r="2240" spans="1:14">
      <c r="A2240" s="67" t="s">
        <v>471</v>
      </c>
      <c r="B2240" s="68">
        <v>2.1949310629738199</v>
      </c>
      <c r="C2240" s="69">
        <v>3.3249999999999997</v>
      </c>
      <c r="D2240" s="70">
        <f t="shared" si="238"/>
        <v>2</v>
      </c>
      <c r="E2240" s="70">
        <f t="shared" si="239"/>
        <v>0.2</v>
      </c>
      <c r="F2240" s="70">
        <f t="shared" si="240"/>
        <v>2</v>
      </c>
      <c r="G2240" s="70">
        <f t="shared" si="241"/>
        <v>0.88547200648564606</v>
      </c>
      <c r="H2240" s="70">
        <f t="shared" si="242"/>
        <v>0.4</v>
      </c>
      <c r="I2240" s="70">
        <f t="shared" si="243"/>
        <v>0</v>
      </c>
      <c r="J2240" s="70">
        <f t="shared" si="244"/>
        <v>0</v>
      </c>
      <c r="K2240" s="70">
        <f>IF(CurrentMtgRatesDataTable8[[#This Row],[WA CC]]&lt;&gt;0,C2239-CurrentMtgRatesDataTable8[[#This Row],[WA CC]],0)</f>
        <v>0</v>
      </c>
      <c r="L2240" s="70">
        <f>IF(CurrentMtgRatesDataTable8[[#This Row],[Servicing Spread]]&lt;=0,L2239,CurrentMtgRatesDataTable8[[#This Row],[Servicing Spread]])</f>
        <v>1.1145028618487873</v>
      </c>
      <c r="M2240" s="70">
        <f>CurrentMtgRatesDataTable8[[#This Row],[Servicing Spread Non-Zero]]-L2239</f>
        <v>0</v>
      </c>
      <c r="N2240" s="70">
        <f>IF(J2239&lt;&gt;0,CurrentMtgRatesDataTable8[[#This Row],[Rate]]-C2239,N2239)</f>
        <v>9.9999999999997868E-3</v>
      </c>
    </row>
    <row r="2241" spans="1:14">
      <c r="A2241" s="67" t="s">
        <v>336</v>
      </c>
      <c r="B2241" s="68">
        <v>2.1479421519661601</v>
      </c>
      <c r="C2241" s="69">
        <v>3.3249999999999997</v>
      </c>
      <c r="D2241" s="70">
        <f t="shared" si="238"/>
        <v>5</v>
      </c>
      <c r="E2241" s="70">
        <f t="shared" si="239"/>
        <v>0.2</v>
      </c>
      <c r="F2241" s="70">
        <f t="shared" si="240"/>
        <v>3</v>
      </c>
      <c r="G2241" s="70">
        <f t="shared" si="241"/>
        <v>1.3150604368788781</v>
      </c>
      <c r="H2241" s="70">
        <f t="shared" si="242"/>
        <v>0.60000000000000009</v>
      </c>
      <c r="I2241" s="70">
        <f t="shared" si="243"/>
        <v>0</v>
      </c>
      <c r="J2241" s="70">
        <f t="shared" si="244"/>
        <v>0</v>
      </c>
      <c r="K2241" s="70">
        <f>IF(CurrentMtgRatesDataTable8[[#This Row],[WA CC]]&lt;&gt;0,C2240-CurrentMtgRatesDataTable8[[#This Row],[WA CC]],0)</f>
        <v>0</v>
      </c>
      <c r="L2241" s="70">
        <f>IF(CurrentMtgRatesDataTable8[[#This Row],[Servicing Spread]]&lt;=0,L2240,CurrentMtgRatesDataTable8[[#This Row],[Servicing Spread]])</f>
        <v>1.1145028618487873</v>
      </c>
      <c r="M2241" s="70">
        <f>CurrentMtgRatesDataTable8[[#This Row],[Servicing Spread Non-Zero]]-L2240</f>
        <v>0</v>
      </c>
      <c r="N2241" s="70">
        <f>IF(J2240&lt;&gt;0,CurrentMtgRatesDataTable8[[#This Row],[Rate]]-C2240,N2240)</f>
        <v>9.9999999999997868E-3</v>
      </c>
    </row>
    <row r="2242" spans="1:14">
      <c r="A2242" s="67" t="s">
        <v>194</v>
      </c>
      <c r="B2242" s="68">
        <v>2.2488911274377399</v>
      </c>
      <c r="C2242" s="69">
        <v>3.3249999999999997</v>
      </c>
      <c r="D2242" s="70">
        <f t="shared" si="238"/>
        <v>6</v>
      </c>
      <c r="E2242" s="70">
        <f t="shared" si="239"/>
        <v>0.2</v>
      </c>
      <c r="F2242" s="70">
        <f t="shared" si="240"/>
        <v>4</v>
      </c>
      <c r="G2242" s="70">
        <f t="shared" si="241"/>
        <v>1.7648386623664261</v>
      </c>
      <c r="H2242" s="70">
        <f t="shared" si="242"/>
        <v>0.8</v>
      </c>
      <c r="I2242" s="70">
        <f t="shared" si="243"/>
        <v>0</v>
      </c>
      <c r="J2242" s="70">
        <f t="shared" si="244"/>
        <v>0</v>
      </c>
      <c r="K2242" s="70">
        <f>IF(CurrentMtgRatesDataTable8[[#This Row],[WA CC]]&lt;&gt;0,C2241-CurrentMtgRatesDataTable8[[#This Row],[WA CC]],0)</f>
        <v>0</v>
      </c>
      <c r="L2242" s="70">
        <f>IF(CurrentMtgRatesDataTable8[[#This Row],[Servicing Spread]]&lt;=0,L2241,CurrentMtgRatesDataTable8[[#This Row],[Servicing Spread]])</f>
        <v>1.1145028618487873</v>
      </c>
      <c r="M2242" s="70">
        <f>CurrentMtgRatesDataTable8[[#This Row],[Servicing Spread Non-Zero]]-L2241</f>
        <v>0</v>
      </c>
      <c r="N2242" s="70">
        <f>IF(J2241&lt;&gt;0,CurrentMtgRatesDataTable8[[#This Row],[Rate]]-C2241,N2241)</f>
        <v>9.9999999999997868E-3</v>
      </c>
    </row>
    <row r="2243" spans="1:14">
      <c r="A2243" s="67" t="s">
        <v>49</v>
      </c>
      <c r="B2243" s="68">
        <v>2.0919724577728598</v>
      </c>
      <c r="C2243" s="69">
        <v>3.3249999999999997</v>
      </c>
      <c r="D2243" s="70">
        <f t="shared" si="238"/>
        <v>7</v>
      </c>
      <c r="E2243" s="70">
        <f t="shared" si="239"/>
        <v>0.2</v>
      </c>
      <c r="F2243" s="70">
        <f t="shared" si="240"/>
        <v>5</v>
      </c>
      <c r="G2243" s="70">
        <f t="shared" si="241"/>
        <v>2.1832331539209981</v>
      </c>
      <c r="H2243" s="70">
        <f t="shared" si="242"/>
        <v>1</v>
      </c>
      <c r="I2243" s="70">
        <f t="shared" si="243"/>
        <v>1</v>
      </c>
      <c r="J2243" s="70">
        <f t="shared" si="244"/>
        <v>2.1832331539209981</v>
      </c>
      <c r="K2243" s="70">
        <f>IF(CurrentMtgRatesDataTable8[[#This Row],[WA CC]]&lt;&gt;0,C2242-CurrentMtgRatesDataTable8[[#This Row],[WA CC]],0)</f>
        <v>1.1417668460790016</v>
      </c>
      <c r="L2243" s="70">
        <f>IF(CurrentMtgRatesDataTable8[[#This Row],[Servicing Spread]]&lt;=0,L2242,CurrentMtgRatesDataTable8[[#This Row],[Servicing Spread]])</f>
        <v>1.1417668460790016</v>
      </c>
      <c r="M2243" s="70">
        <f>CurrentMtgRatesDataTable8[[#This Row],[Servicing Spread Non-Zero]]-L2242</f>
        <v>2.7263984230214255E-2</v>
      </c>
      <c r="N2243" s="70">
        <f>IF(J2242&lt;&gt;0,CurrentMtgRatesDataTable8[[#This Row],[Rate]]-C2242,N2242)</f>
        <v>9.9999999999997868E-3</v>
      </c>
    </row>
    <row r="2244" spans="1:14">
      <c r="A2244" s="67" t="s">
        <v>617</v>
      </c>
      <c r="B2244" s="68">
        <v>2.04956432037537</v>
      </c>
      <c r="C2244" s="69">
        <v>3.2649999999999997</v>
      </c>
      <c r="D2244" s="70">
        <f t="shared" si="238"/>
        <v>1</v>
      </c>
      <c r="E2244" s="70">
        <f t="shared" si="239"/>
        <v>0.2</v>
      </c>
      <c r="F2244" s="70">
        <f t="shared" si="240"/>
        <v>1</v>
      </c>
      <c r="G2244" s="70">
        <f t="shared" si="241"/>
        <v>0.40991286407507399</v>
      </c>
      <c r="H2244" s="70">
        <f t="shared" si="242"/>
        <v>0.2</v>
      </c>
      <c r="I2244" s="70">
        <f t="shared" si="243"/>
        <v>0</v>
      </c>
      <c r="J2244" s="70">
        <f t="shared" si="244"/>
        <v>0</v>
      </c>
      <c r="K2244" s="70">
        <f>IF(CurrentMtgRatesDataTable8[[#This Row],[WA CC]]&lt;&gt;0,C2243-CurrentMtgRatesDataTable8[[#This Row],[WA CC]],0)</f>
        <v>0</v>
      </c>
      <c r="L2244" s="70">
        <f>IF(CurrentMtgRatesDataTable8[[#This Row],[Servicing Spread]]&lt;=0,L2243,CurrentMtgRatesDataTable8[[#This Row],[Servicing Spread]])</f>
        <v>1.1417668460790016</v>
      </c>
      <c r="M2244" s="70">
        <f>CurrentMtgRatesDataTable8[[#This Row],[Servicing Spread Non-Zero]]-L2243</f>
        <v>0</v>
      </c>
      <c r="N2244" s="70">
        <f>IF(J2243&lt;&gt;0,CurrentMtgRatesDataTable8[[#This Row],[Rate]]-C2243,N2243)</f>
        <v>-6.0000000000000053E-2</v>
      </c>
    </row>
    <row r="2245" spans="1:14">
      <c r="A2245" s="67" t="s">
        <v>472</v>
      </c>
      <c r="B2245" s="68">
        <v>2.0595956654124499</v>
      </c>
      <c r="C2245" s="69">
        <v>3.2649999999999997</v>
      </c>
      <c r="D2245" s="70">
        <f t="shared" ref="D2245:D2308" si="245">WEEKDAY(A2245,14)</f>
        <v>2</v>
      </c>
      <c r="E2245" s="70">
        <f t="shared" ref="E2245:E2308" si="246">VLOOKUP(D2245,Q$5:R$11,2,FALSE)</f>
        <v>0.2</v>
      </c>
      <c r="F2245" s="70">
        <f t="shared" ref="F2245:F2308" si="247">IF(AND(D2245&gt;D2244,F2244&lt;6),F2244+1,1)</f>
        <v>2</v>
      </c>
      <c r="G2245" s="70">
        <f t="shared" ref="G2245:G2308" si="248">IF(F2245&gt;F2244,G2244+B2245*E2245,B2245*E2245)</f>
        <v>0.82183199715756405</v>
      </c>
      <c r="H2245" s="70">
        <f t="shared" ref="H2245:H2308" si="249">IF(AND(F2245&lt;6,F2245&gt;F2244),E2245+H2244,E2245)</f>
        <v>0.4</v>
      </c>
      <c r="I2245" s="70">
        <f t="shared" ref="I2245:I2308" si="250">IF(F2245&gt;F2246,1,0)</f>
        <v>0</v>
      </c>
      <c r="J2245" s="70">
        <f t="shared" ref="J2245:J2308" si="251">IF(F2245&gt;F2246,G2245/H2245,0)</f>
        <v>0</v>
      </c>
      <c r="K2245" s="70">
        <f>IF(CurrentMtgRatesDataTable8[[#This Row],[WA CC]]&lt;&gt;0,C2244-CurrentMtgRatesDataTable8[[#This Row],[WA CC]],0)</f>
        <v>0</v>
      </c>
      <c r="L2245" s="70">
        <f>IF(CurrentMtgRatesDataTable8[[#This Row],[Servicing Spread]]&lt;=0,L2244,CurrentMtgRatesDataTable8[[#This Row],[Servicing Spread]])</f>
        <v>1.1417668460790016</v>
      </c>
      <c r="M2245" s="70">
        <f>CurrentMtgRatesDataTable8[[#This Row],[Servicing Spread Non-Zero]]-L2244</f>
        <v>0</v>
      </c>
      <c r="N2245" s="70">
        <f>IF(J2244&lt;&gt;0,CurrentMtgRatesDataTable8[[#This Row],[Rate]]-C2244,N2244)</f>
        <v>-6.0000000000000053E-2</v>
      </c>
    </row>
    <row r="2246" spans="1:14">
      <c r="A2246" s="67" t="s">
        <v>195</v>
      </c>
      <c r="B2246" s="68">
        <v>2.0829778986268401</v>
      </c>
      <c r="C2246" s="69">
        <v>3.2649999999999997</v>
      </c>
      <c r="D2246" s="70">
        <f t="shared" si="245"/>
        <v>6</v>
      </c>
      <c r="E2246" s="70">
        <f t="shared" si="246"/>
        <v>0.2</v>
      </c>
      <c r="F2246" s="70">
        <f t="shared" si="247"/>
        <v>3</v>
      </c>
      <c r="G2246" s="70">
        <f t="shared" si="248"/>
        <v>1.238427576882932</v>
      </c>
      <c r="H2246" s="70">
        <f t="shared" si="249"/>
        <v>0.60000000000000009</v>
      </c>
      <c r="I2246" s="70">
        <f t="shared" si="250"/>
        <v>0</v>
      </c>
      <c r="J2246" s="70">
        <f t="shared" si="251"/>
        <v>0</v>
      </c>
      <c r="K2246" s="70">
        <f>IF(CurrentMtgRatesDataTable8[[#This Row],[WA CC]]&lt;&gt;0,C2245-CurrentMtgRatesDataTable8[[#This Row],[WA CC]],0)</f>
        <v>0</v>
      </c>
      <c r="L2246" s="70">
        <f>IF(CurrentMtgRatesDataTable8[[#This Row],[Servicing Spread]]&lt;=0,L2245,CurrentMtgRatesDataTable8[[#This Row],[Servicing Spread]])</f>
        <v>1.1417668460790016</v>
      </c>
      <c r="M2246" s="70">
        <f>CurrentMtgRatesDataTable8[[#This Row],[Servicing Spread Non-Zero]]-L2245</f>
        <v>0</v>
      </c>
      <c r="N2246" s="70">
        <f>IF(J2245&lt;&gt;0,CurrentMtgRatesDataTable8[[#This Row],[Rate]]-C2245,N2245)</f>
        <v>-6.0000000000000053E-2</v>
      </c>
    </row>
    <row r="2247" spans="1:14">
      <c r="A2247" s="67" t="s">
        <v>50</v>
      </c>
      <c r="B2247" s="68">
        <v>2.1343540804519301</v>
      </c>
      <c r="C2247" s="69">
        <v>3.2649999999999997</v>
      </c>
      <c r="D2247" s="70">
        <f t="shared" si="245"/>
        <v>7</v>
      </c>
      <c r="E2247" s="70">
        <f t="shared" si="246"/>
        <v>0.2</v>
      </c>
      <c r="F2247" s="70">
        <f t="shared" si="247"/>
        <v>4</v>
      </c>
      <c r="G2247" s="70">
        <f t="shared" si="248"/>
        <v>1.6652983929733181</v>
      </c>
      <c r="H2247" s="70">
        <f t="shared" si="249"/>
        <v>0.8</v>
      </c>
      <c r="I2247" s="70">
        <f t="shared" si="250"/>
        <v>1</v>
      </c>
      <c r="J2247" s="70">
        <f t="shared" si="251"/>
        <v>2.0816229912166473</v>
      </c>
      <c r="K2247" s="70">
        <f>IF(CurrentMtgRatesDataTable8[[#This Row],[WA CC]]&lt;&gt;0,C2246-CurrentMtgRatesDataTable8[[#This Row],[WA CC]],0)</f>
        <v>1.1833770087833524</v>
      </c>
      <c r="L2247" s="70">
        <f>IF(CurrentMtgRatesDataTable8[[#This Row],[Servicing Spread]]&lt;=0,L2246,CurrentMtgRatesDataTable8[[#This Row],[Servicing Spread]])</f>
        <v>1.1833770087833524</v>
      </c>
      <c r="M2247" s="70">
        <f>CurrentMtgRatesDataTable8[[#This Row],[Servicing Spread Non-Zero]]-L2246</f>
        <v>4.1610162704350806E-2</v>
      </c>
      <c r="N2247" s="70">
        <f>IF(J2246&lt;&gt;0,CurrentMtgRatesDataTable8[[#This Row],[Rate]]-C2246,N2246)</f>
        <v>-6.0000000000000053E-2</v>
      </c>
    </row>
    <row r="2248" spans="1:14">
      <c r="A2248" s="67" t="s">
        <v>473</v>
      </c>
      <c r="B2248" s="68">
        <v>2.0923386430292501</v>
      </c>
      <c r="C2248" s="69">
        <v>3.2349999999999999</v>
      </c>
      <c r="D2248" s="70">
        <f t="shared" si="245"/>
        <v>1</v>
      </c>
      <c r="E2248" s="70">
        <f t="shared" si="246"/>
        <v>0.2</v>
      </c>
      <c r="F2248" s="70">
        <f t="shared" si="247"/>
        <v>1</v>
      </c>
      <c r="G2248" s="70">
        <f t="shared" si="248"/>
        <v>0.41846772860585002</v>
      </c>
      <c r="H2248" s="70">
        <f t="shared" si="249"/>
        <v>0.2</v>
      </c>
      <c r="I2248" s="70">
        <f t="shared" si="250"/>
        <v>0</v>
      </c>
      <c r="J2248" s="70">
        <f t="shared" si="251"/>
        <v>0</v>
      </c>
      <c r="K2248" s="70">
        <f>IF(CurrentMtgRatesDataTable8[[#This Row],[WA CC]]&lt;&gt;0,C2247-CurrentMtgRatesDataTable8[[#This Row],[WA CC]],0)</f>
        <v>0</v>
      </c>
      <c r="L2248" s="70">
        <f>IF(CurrentMtgRatesDataTable8[[#This Row],[Servicing Spread]]&lt;=0,L2247,CurrentMtgRatesDataTable8[[#This Row],[Servicing Spread]])</f>
        <v>1.1833770087833524</v>
      </c>
      <c r="M2248" s="70">
        <f>CurrentMtgRatesDataTable8[[#This Row],[Servicing Spread Non-Zero]]-L2247</f>
        <v>0</v>
      </c>
      <c r="N2248" s="70">
        <f>IF(J2247&lt;&gt;0,CurrentMtgRatesDataTable8[[#This Row],[Rate]]-C2247,N2247)</f>
        <v>-2.9999999999999805E-2</v>
      </c>
    </row>
    <row r="2249" spans="1:14">
      <c r="A2249" s="67" t="s">
        <v>435</v>
      </c>
      <c r="B2249" s="68">
        <v>2.0361071292777302</v>
      </c>
      <c r="C2249" s="69">
        <v>3.2349999999999999</v>
      </c>
      <c r="D2249" s="70">
        <f t="shared" si="245"/>
        <v>2</v>
      </c>
      <c r="E2249" s="70">
        <f t="shared" si="246"/>
        <v>0.2</v>
      </c>
      <c r="F2249" s="70">
        <f t="shared" si="247"/>
        <v>2</v>
      </c>
      <c r="G2249" s="70">
        <f t="shared" si="248"/>
        <v>0.82568915446139601</v>
      </c>
      <c r="H2249" s="70">
        <f t="shared" si="249"/>
        <v>0.4</v>
      </c>
      <c r="I2249" s="70">
        <f t="shared" si="250"/>
        <v>0</v>
      </c>
      <c r="J2249" s="70">
        <f t="shared" si="251"/>
        <v>0</v>
      </c>
      <c r="K2249" s="70">
        <f>IF(CurrentMtgRatesDataTable8[[#This Row],[WA CC]]&lt;&gt;0,C2248-CurrentMtgRatesDataTable8[[#This Row],[WA CC]],0)</f>
        <v>0</v>
      </c>
      <c r="L2249" s="70">
        <f>IF(CurrentMtgRatesDataTable8[[#This Row],[Servicing Spread]]&lt;=0,L2248,CurrentMtgRatesDataTable8[[#This Row],[Servicing Spread]])</f>
        <v>1.1833770087833524</v>
      </c>
      <c r="M2249" s="70">
        <f>CurrentMtgRatesDataTable8[[#This Row],[Servicing Spread Non-Zero]]-L2248</f>
        <v>0</v>
      </c>
      <c r="N2249" s="70">
        <f>IF(J2248&lt;&gt;0,CurrentMtgRatesDataTable8[[#This Row],[Rate]]-C2248,N2248)</f>
        <v>-2.9999999999999805E-2</v>
      </c>
    </row>
    <row r="2250" spans="1:14">
      <c r="A2250" s="67" t="s">
        <v>196</v>
      </c>
      <c r="B2250" s="68">
        <v>2.0699676944682599</v>
      </c>
      <c r="C2250" s="69">
        <v>3.2349999999999999</v>
      </c>
      <c r="D2250" s="70">
        <f t="shared" si="245"/>
        <v>5</v>
      </c>
      <c r="E2250" s="70">
        <f t="shared" si="246"/>
        <v>0.2</v>
      </c>
      <c r="F2250" s="70">
        <f t="shared" si="247"/>
        <v>3</v>
      </c>
      <c r="G2250" s="70">
        <f t="shared" si="248"/>
        <v>1.239682693355048</v>
      </c>
      <c r="H2250" s="70">
        <f t="shared" si="249"/>
        <v>0.60000000000000009</v>
      </c>
      <c r="I2250" s="70">
        <f t="shared" si="250"/>
        <v>0</v>
      </c>
      <c r="J2250" s="70">
        <f t="shared" si="251"/>
        <v>0</v>
      </c>
      <c r="K2250" s="70">
        <f>IF(CurrentMtgRatesDataTable8[[#This Row],[WA CC]]&lt;&gt;0,C2249-CurrentMtgRatesDataTable8[[#This Row],[WA CC]],0)</f>
        <v>0</v>
      </c>
      <c r="L2250" s="70">
        <f>IF(CurrentMtgRatesDataTable8[[#This Row],[Servicing Spread]]&lt;=0,L2249,CurrentMtgRatesDataTable8[[#This Row],[Servicing Spread]])</f>
        <v>1.1833770087833524</v>
      </c>
      <c r="M2250" s="70">
        <f>CurrentMtgRatesDataTable8[[#This Row],[Servicing Spread Non-Zero]]-L2249</f>
        <v>0</v>
      </c>
      <c r="N2250" s="70">
        <f>IF(J2249&lt;&gt;0,CurrentMtgRatesDataTable8[[#This Row],[Rate]]-C2249,N2249)</f>
        <v>-2.9999999999999805E-2</v>
      </c>
    </row>
    <row r="2251" spans="1:14">
      <c r="A2251" s="67" t="s">
        <v>51</v>
      </c>
      <c r="B2251" s="68">
        <v>2.1420411801194499</v>
      </c>
      <c r="C2251" s="69">
        <v>3.2349999999999999</v>
      </c>
      <c r="D2251" s="70">
        <f t="shared" si="245"/>
        <v>6</v>
      </c>
      <c r="E2251" s="70">
        <f t="shared" si="246"/>
        <v>0.2</v>
      </c>
      <c r="F2251" s="70">
        <f t="shared" si="247"/>
        <v>4</v>
      </c>
      <c r="G2251" s="70">
        <f t="shared" si="248"/>
        <v>1.6680909293789381</v>
      </c>
      <c r="H2251" s="70">
        <f t="shared" si="249"/>
        <v>0.8</v>
      </c>
      <c r="I2251" s="70">
        <f t="shared" si="250"/>
        <v>0</v>
      </c>
      <c r="J2251" s="70">
        <f t="shared" si="251"/>
        <v>0</v>
      </c>
      <c r="K2251" s="70">
        <f>IF(CurrentMtgRatesDataTable8[[#This Row],[WA CC]]&lt;&gt;0,C2250-CurrentMtgRatesDataTable8[[#This Row],[WA CC]],0)</f>
        <v>0</v>
      </c>
      <c r="L2251" s="70">
        <f>IF(CurrentMtgRatesDataTable8[[#This Row],[Servicing Spread]]&lt;=0,L2250,CurrentMtgRatesDataTable8[[#This Row],[Servicing Spread]])</f>
        <v>1.1833770087833524</v>
      </c>
      <c r="M2251" s="70">
        <f>CurrentMtgRatesDataTable8[[#This Row],[Servicing Spread Non-Zero]]-L2250</f>
        <v>0</v>
      </c>
      <c r="N2251" s="70">
        <f>IF(J2250&lt;&gt;0,CurrentMtgRatesDataTable8[[#This Row],[Rate]]-C2250,N2250)</f>
        <v>-2.9999999999999805E-2</v>
      </c>
    </row>
    <row r="2252" spans="1:14">
      <c r="A2252" s="67" t="s">
        <v>981</v>
      </c>
      <c r="B2252" s="68">
        <v>2.1925425327534098</v>
      </c>
      <c r="C2252" s="69">
        <v>3.2349999999999999</v>
      </c>
      <c r="D2252" s="70">
        <f t="shared" si="245"/>
        <v>7</v>
      </c>
      <c r="E2252" s="70">
        <f t="shared" si="246"/>
        <v>0.2</v>
      </c>
      <c r="F2252" s="70">
        <f t="shared" si="247"/>
        <v>5</v>
      </c>
      <c r="G2252" s="70">
        <f t="shared" si="248"/>
        <v>2.1065994359296201</v>
      </c>
      <c r="H2252" s="70">
        <f t="shared" si="249"/>
        <v>1</v>
      </c>
      <c r="I2252" s="70">
        <f t="shared" si="250"/>
        <v>1</v>
      </c>
      <c r="J2252" s="70">
        <f t="shared" si="251"/>
        <v>2.1065994359296201</v>
      </c>
      <c r="K2252" s="70">
        <f>IF(CurrentMtgRatesDataTable8[[#This Row],[WA CC]]&lt;&gt;0,C2251-CurrentMtgRatesDataTable8[[#This Row],[WA CC]],0)</f>
        <v>1.1284005640703798</v>
      </c>
      <c r="L2252" s="70">
        <f>IF(CurrentMtgRatesDataTable8[[#This Row],[Servicing Spread]]&lt;=0,L2251,CurrentMtgRatesDataTable8[[#This Row],[Servicing Spread]])</f>
        <v>1.1284005640703798</v>
      </c>
      <c r="M2252" s="70">
        <f>CurrentMtgRatesDataTable8[[#This Row],[Servicing Spread Non-Zero]]-L2251</f>
        <v>-5.4976444712972583E-2</v>
      </c>
      <c r="N2252" s="70">
        <f>IF(J2251&lt;&gt;0,CurrentMtgRatesDataTable8[[#This Row],[Rate]]-C2251,N2251)</f>
        <v>-2.9999999999999805E-2</v>
      </c>
    </row>
    <row r="2253" spans="1:14">
      <c r="A2253" s="67" t="s">
        <v>474</v>
      </c>
      <c r="B2253" s="68">
        <v>2.2012643194611901</v>
      </c>
      <c r="C2253" s="69">
        <v>3.27</v>
      </c>
      <c r="D2253" s="70">
        <f t="shared" si="245"/>
        <v>2</v>
      </c>
      <c r="E2253" s="70">
        <f t="shared" si="246"/>
        <v>0.2</v>
      </c>
      <c r="F2253" s="70">
        <f t="shared" si="247"/>
        <v>1</v>
      </c>
      <c r="G2253" s="70">
        <f t="shared" si="248"/>
        <v>0.44025286389223806</v>
      </c>
      <c r="H2253" s="70">
        <f t="shared" si="249"/>
        <v>0.2</v>
      </c>
      <c r="I2253" s="70">
        <f t="shared" si="250"/>
        <v>0</v>
      </c>
      <c r="J2253" s="70">
        <f t="shared" si="251"/>
        <v>0</v>
      </c>
      <c r="K2253" s="70">
        <f>IF(CurrentMtgRatesDataTable8[[#This Row],[WA CC]]&lt;&gt;0,C2252-CurrentMtgRatesDataTable8[[#This Row],[WA CC]],0)</f>
        <v>0</v>
      </c>
      <c r="L2253" s="70">
        <f>IF(CurrentMtgRatesDataTable8[[#This Row],[Servicing Spread]]&lt;=0,L2252,CurrentMtgRatesDataTable8[[#This Row],[Servicing Spread]])</f>
        <v>1.1284005640703798</v>
      </c>
      <c r="M2253" s="70">
        <f>CurrentMtgRatesDataTable8[[#This Row],[Servicing Spread Non-Zero]]-L2252</f>
        <v>0</v>
      </c>
      <c r="N2253" s="70">
        <f>IF(J2252&lt;&gt;0,CurrentMtgRatesDataTable8[[#This Row],[Rate]]-C2252,N2252)</f>
        <v>3.5000000000000142E-2</v>
      </c>
    </row>
    <row r="2254" spans="1:14">
      <c r="A2254" s="67" t="s">
        <v>337</v>
      </c>
      <c r="B2254" s="68">
        <v>2.1328988734204701</v>
      </c>
      <c r="C2254" s="69">
        <v>3.27</v>
      </c>
      <c r="D2254" s="70">
        <f t="shared" si="245"/>
        <v>5</v>
      </c>
      <c r="E2254" s="70">
        <f t="shared" si="246"/>
        <v>0.2</v>
      </c>
      <c r="F2254" s="70">
        <f t="shared" si="247"/>
        <v>2</v>
      </c>
      <c r="G2254" s="70">
        <f t="shared" si="248"/>
        <v>0.86683263857633208</v>
      </c>
      <c r="H2254" s="70">
        <f t="shared" si="249"/>
        <v>0.4</v>
      </c>
      <c r="I2254" s="70">
        <f t="shared" si="250"/>
        <v>0</v>
      </c>
      <c r="J2254" s="70">
        <f t="shared" si="251"/>
        <v>0</v>
      </c>
      <c r="K2254" s="70">
        <f>IF(CurrentMtgRatesDataTable8[[#This Row],[WA CC]]&lt;&gt;0,C2253-CurrentMtgRatesDataTable8[[#This Row],[WA CC]],0)</f>
        <v>0</v>
      </c>
      <c r="L2254" s="70">
        <f>IF(CurrentMtgRatesDataTable8[[#This Row],[Servicing Spread]]&lt;=0,L2253,CurrentMtgRatesDataTable8[[#This Row],[Servicing Spread]])</f>
        <v>1.1284005640703798</v>
      </c>
      <c r="M2254" s="70">
        <f>CurrentMtgRatesDataTable8[[#This Row],[Servicing Spread Non-Zero]]-L2253</f>
        <v>0</v>
      </c>
      <c r="N2254" s="70">
        <f>IF(J2253&lt;&gt;0,CurrentMtgRatesDataTable8[[#This Row],[Rate]]-C2253,N2253)</f>
        <v>3.5000000000000142E-2</v>
      </c>
    </row>
    <row r="2255" spans="1:14">
      <c r="A2255" s="67" t="s">
        <v>197</v>
      </c>
      <c r="B2255" s="68">
        <v>2.0440489527996202</v>
      </c>
      <c r="C2255" s="69">
        <v>3.27</v>
      </c>
      <c r="D2255" s="70">
        <f t="shared" si="245"/>
        <v>6</v>
      </c>
      <c r="E2255" s="70">
        <f t="shared" si="246"/>
        <v>0.2</v>
      </c>
      <c r="F2255" s="70">
        <f t="shared" si="247"/>
        <v>3</v>
      </c>
      <c r="G2255" s="70">
        <f t="shared" si="248"/>
        <v>1.2756424291362563</v>
      </c>
      <c r="H2255" s="70">
        <f t="shared" si="249"/>
        <v>0.60000000000000009</v>
      </c>
      <c r="I2255" s="70">
        <f t="shared" si="250"/>
        <v>0</v>
      </c>
      <c r="J2255" s="70">
        <f t="shared" si="251"/>
        <v>0</v>
      </c>
      <c r="K2255" s="70">
        <f>IF(CurrentMtgRatesDataTable8[[#This Row],[WA CC]]&lt;&gt;0,C2254-CurrentMtgRatesDataTable8[[#This Row],[WA CC]],0)</f>
        <v>0</v>
      </c>
      <c r="L2255" s="70">
        <f>IF(CurrentMtgRatesDataTable8[[#This Row],[Servicing Spread]]&lt;=0,L2254,CurrentMtgRatesDataTable8[[#This Row],[Servicing Spread]])</f>
        <v>1.1284005640703798</v>
      </c>
      <c r="M2255" s="70">
        <f>CurrentMtgRatesDataTable8[[#This Row],[Servicing Spread Non-Zero]]-L2254</f>
        <v>0</v>
      </c>
      <c r="N2255" s="70">
        <f>IF(J2254&lt;&gt;0,CurrentMtgRatesDataTable8[[#This Row],[Rate]]-C2254,N2254)</f>
        <v>3.5000000000000142E-2</v>
      </c>
    </row>
    <row r="2256" spans="1:14">
      <c r="A2256" s="67" t="s">
        <v>52</v>
      </c>
      <c r="B2256" s="68">
        <v>2.0509742576327699</v>
      </c>
      <c r="C2256" s="69">
        <v>3.27</v>
      </c>
      <c r="D2256" s="70">
        <f t="shared" si="245"/>
        <v>7</v>
      </c>
      <c r="E2256" s="70">
        <f t="shared" si="246"/>
        <v>0.2</v>
      </c>
      <c r="F2256" s="70">
        <f t="shared" si="247"/>
        <v>4</v>
      </c>
      <c r="G2256" s="70">
        <f t="shared" si="248"/>
        <v>1.6858372806628101</v>
      </c>
      <c r="H2256" s="70">
        <f t="shared" si="249"/>
        <v>0.8</v>
      </c>
      <c r="I2256" s="70">
        <f t="shared" si="250"/>
        <v>1</v>
      </c>
      <c r="J2256" s="70">
        <f t="shared" si="251"/>
        <v>2.1072966008285126</v>
      </c>
      <c r="K2256" s="70">
        <f>IF(CurrentMtgRatesDataTable8[[#This Row],[WA CC]]&lt;&gt;0,C2255-CurrentMtgRatesDataTable8[[#This Row],[WA CC]],0)</f>
        <v>1.1627033991714875</v>
      </c>
      <c r="L2256" s="70">
        <f>IF(CurrentMtgRatesDataTable8[[#This Row],[Servicing Spread]]&lt;=0,L2255,CurrentMtgRatesDataTable8[[#This Row],[Servicing Spread]])</f>
        <v>1.1627033991714875</v>
      </c>
      <c r="M2256" s="70">
        <f>CurrentMtgRatesDataTable8[[#This Row],[Servicing Spread Non-Zero]]-L2255</f>
        <v>3.4302835101107654E-2</v>
      </c>
      <c r="N2256" s="70">
        <f>IF(J2255&lt;&gt;0,CurrentMtgRatesDataTable8[[#This Row],[Rate]]-C2255,N2255)</f>
        <v>3.5000000000000142E-2</v>
      </c>
    </row>
    <row r="2257" spans="1:14">
      <c r="A2257" s="67" t="s">
        <v>618</v>
      </c>
      <c r="B2257" s="68">
        <v>2.0724438614292899</v>
      </c>
      <c r="C2257" s="69">
        <v>3.2649999999999997</v>
      </c>
      <c r="D2257" s="70">
        <f t="shared" si="245"/>
        <v>1</v>
      </c>
      <c r="E2257" s="70">
        <f t="shared" si="246"/>
        <v>0.2</v>
      </c>
      <c r="F2257" s="70">
        <f t="shared" si="247"/>
        <v>1</v>
      </c>
      <c r="G2257" s="70">
        <f t="shared" si="248"/>
        <v>0.41448877228585801</v>
      </c>
      <c r="H2257" s="70">
        <f t="shared" si="249"/>
        <v>0.2</v>
      </c>
      <c r="I2257" s="70">
        <f t="shared" si="250"/>
        <v>0</v>
      </c>
      <c r="J2257" s="70">
        <f t="shared" si="251"/>
        <v>0</v>
      </c>
      <c r="K2257" s="70">
        <f>IF(CurrentMtgRatesDataTable8[[#This Row],[WA CC]]&lt;&gt;0,C2256-CurrentMtgRatesDataTable8[[#This Row],[WA CC]],0)</f>
        <v>0</v>
      </c>
      <c r="L2257" s="70">
        <f>IF(CurrentMtgRatesDataTable8[[#This Row],[Servicing Spread]]&lt;=0,L2256,CurrentMtgRatesDataTable8[[#This Row],[Servicing Spread]])</f>
        <v>1.1627033991714875</v>
      </c>
      <c r="M2257" s="70">
        <f>CurrentMtgRatesDataTable8[[#This Row],[Servicing Spread Non-Zero]]-L2256</f>
        <v>0</v>
      </c>
      <c r="N2257" s="70">
        <f>IF(J2256&lt;&gt;0,CurrentMtgRatesDataTable8[[#This Row],[Rate]]-C2256,N2256)</f>
        <v>-5.0000000000003375E-3</v>
      </c>
    </row>
    <row r="2258" spans="1:14">
      <c r="A2258" s="67" t="s">
        <v>475</v>
      </c>
      <c r="B2258" s="68">
        <v>2.0725335490580301</v>
      </c>
      <c r="C2258" s="69">
        <v>3.2649999999999997</v>
      </c>
      <c r="D2258" s="70">
        <f t="shared" si="245"/>
        <v>2</v>
      </c>
      <c r="E2258" s="70">
        <f t="shared" si="246"/>
        <v>0.2</v>
      </c>
      <c r="F2258" s="70">
        <f t="shared" si="247"/>
        <v>2</v>
      </c>
      <c r="G2258" s="70">
        <f t="shared" si="248"/>
        <v>0.8289954820974641</v>
      </c>
      <c r="H2258" s="70">
        <f t="shared" si="249"/>
        <v>0.4</v>
      </c>
      <c r="I2258" s="70">
        <f t="shared" si="250"/>
        <v>0</v>
      </c>
      <c r="J2258" s="70">
        <f t="shared" si="251"/>
        <v>0</v>
      </c>
      <c r="K2258" s="70">
        <f>IF(CurrentMtgRatesDataTable8[[#This Row],[WA CC]]&lt;&gt;0,C2257-CurrentMtgRatesDataTable8[[#This Row],[WA CC]],0)</f>
        <v>0</v>
      </c>
      <c r="L2258" s="70">
        <f>IF(CurrentMtgRatesDataTable8[[#This Row],[Servicing Spread]]&lt;=0,L2257,CurrentMtgRatesDataTable8[[#This Row],[Servicing Spread]])</f>
        <v>1.1627033991714875</v>
      </c>
      <c r="M2258" s="70">
        <f>CurrentMtgRatesDataTable8[[#This Row],[Servicing Spread Non-Zero]]-L2257</f>
        <v>0</v>
      </c>
      <c r="N2258" s="70">
        <f>IF(J2257&lt;&gt;0,CurrentMtgRatesDataTable8[[#This Row],[Rate]]-C2257,N2257)</f>
        <v>-5.0000000000003375E-3</v>
      </c>
    </row>
    <row r="2259" spans="1:14">
      <c r="A2259" s="67" t="s">
        <v>338</v>
      </c>
      <c r="B2259" s="68">
        <v>2.0862225711456399</v>
      </c>
      <c r="C2259" s="69">
        <v>3.2649999999999997</v>
      </c>
      <c r="D2259" s="70">
        <f t="shared" si="245"/>
        <v>5</v>
      </c>
      <c r="E2259" s="70">
        <f t="shared" si="246"/>
        <v>0.2</v>
      </c>
      <c r="F2259" s="70">
        <f t="shared" si="247"/>
        <v>3</v>
      </c>
      <c r="G2259" s="70">
        <f t="shared" si="248"/>
        <v>1.246239996326592</v>
      </c>
      <c r="H2259" s="70">
        <f t="shared" si="249"/>
        <v>0.60000000000000009</v>
      </c>
      <c r="I2259" s="70">
        <f t="shared" si="250"/>
        <v>0</v>
      </c>
      <c r="J2259" s="70">
        <f t="shared" si="251"/>
        <v>0</v>
      </c>
      <c r="K2259" s="70">
        <f>IF(CurrentMtgRatesDataTable8[[#This Row],[WA CC]]&lt;&gt;0,C2258-CurrentMtgRatesDataTable8[[#This Row],[WA CC]],0)</f>
        <v>0</v>
      </c>
      <c r="L2259" s="70">
        <f>IF(CurrentMtgRatesDataTable8[[#This Row],[Servicing Spread]]&lt;=0,L2258,CurrentMtgRatesDataTable8[[#This Row],[Servicing Spread]])</f>
        <v>1.1627033991714875</v>
      </c>
      <c r="M2259" s="70">
        <f>CurrentMtgRatesDataTable8[[#This Row],[Servicing Spread Non-Zero]]-L2258</f>
        <v>0</v>
      </c>
      <c r="N2259" s="70">
        <f>IF(J2258&lt;&gt;0,CurrentMtgRatesDataTable8[[#This Row],[Rate]]-C2258,N2258)</f>
        <v>-5.0000000000003375E-3</v>
      </c>
    </row>
    <row r="2260" spans="1:14">
      <c r="A2260" s="67" t="s">
        <v>198</v>
      </c>
      <c r="B2260" s="68">
        <v>2.0678302367394399</v>
      </c>
      <c r="C2260" s="69">
        <v>3.2649999999999997</v>
      </c>
      <c r="D2260" s="70">
        <f t="shared" si="245"/>
        <v>6</v>
      </c>
      <c r="E2260" s="70">
        <f t="shared" si="246"/>
        <v>0.2</v>
      </c>
      <c r="F2260" s="70">
        <f t="shared" si="247"/>
        <v>4</v>
      </c>
      <c r="G2260" s="70">
        <f t="shared" si="248"/>
        <v>1.6598060436744799</v>
      </c>
      <c r="H2260" s="70">
        <f t="shared" si="249"/>
        <v>0.8</v>
      </c>
      <c r="I2260" s="70">
        <f t="shared" si="250"/>
        <v>0</v>
      </c>
      <c r="J2260" s="70">
        <f t="shared" si="251"/>
        <v>0</v>
      </c>
      <c r="K2260" s="70">
        <f>IF(CurrentMtgRatesDataTable8[[#This Row],[WA CC]]&lt;&gt;0,C2259-CurrentMtgRatesDataTable8[[#This Row],[WA CC]],0)</f>
        <v>0</v>
      </c>
      <c r="L2260" s="70">
        <f>IF(CurrentMtgRatesDataTable8[[#This Row],[Servicing Spread]]&lt;=0,L2259,CurrentMtgRatesDataTable8[[#This Row],[Servicing Spread]])</f>
        <v>1.1627033991714875</v>
      </c>
      <c r="M2260" s="70">
        <f>CurrentMtgRatesDataTable8[[#This Row],[Servicing Spread Non-Zero]]-L2259</f>
        <v>0</v>
      </c>
      <c r="N2260" s="70">
        <f>IF(J2259&lt;&gt;0,CurrentMtgRatesDataTable8[[#This Row],[Rate]]-C2259,N2259)</f>
        <v>-5.0000000000003375E-3</v>
      </c>
    </row>
    <row r="2261" spans="1:14">
      <c r="A2261" s="67" t="s">
        <v>53</v>
      </c>
      <c r="B2261" s="68">
        <v>2.0799414922025399</v>
      </c>
      <c r="C2261" s="69">
        <v>3.2649999999999997</v>
      </c>
      <c r="D2261" s="70">
        <f t="shared" si="245"/>
        <v>7</v>
      </c>
      <c r="E2261" s="70">
        <f t="shared" si="246"/>
        <v>0.2</v>
      </c>
      <c r="F2261" s="70">
        <f t="shared" si="247"/>
        <v>5</v>
      </c>
      <c r="G2261" s="70">
        <f t="shared" si="248"/>
        <v>2.075794342114988</v>
      </c>
      <c r="H2261" s="70">
        <f t="shared" si="249"/>
        <v>1</v>
      </c>
      <c r="I2261" s="70">
        <f t="shared" si="250"/>
        <v>1</v>
      </c>
      <c r="J2261" s="70">
        <f t="shared" si="251"/>
        <v>2.075794342114988</v>
      </c>
      <c r="K2261" s="70">
        <f>IF(CurrentMtgRatesDataTable8[[#This Row],[WA CC]]&lt;&gt;0,C2260-CurrentMtgRatesDataTable8[[#This Row],[WA CC]],0)</f>
        <v>1.1892056578850116</v>
      </c>
      <c r="L2261" s="70">
        <f>IF(CurrentMtgRatesDataTable8[[#This Row],[Servicing Spread]]&lt;=0,L2260,CurrentMtgRatesDataTable8[[#This Row],[Servicing Spread]])</f>
        <v>1.1892056578850116</v>
      </c>
      <c r="M2261" s="70">
        <f>CurrentMtgRatesDataTable8[[#This Row],[Servicing Spread Non-Zero]]-L2260</f>
        <v>2.6502258713524185E-2</v>
      </c>
      <c r="N2261" s="70">
        <f>IF(J2260&lt;&gt;0,CurrentMtgRatesDataTable8[[#This Row],[Rate]]-C2260,N2260)</f>
        <v>-5.0000000000003375E-3</v>
      </c>
    </row>
    <row r="2262" spans="1:14">
      <c r="A2262" s="67" t="s">
        <v>619</v>
      </c>
      <c r="B2262" s="68">
        <v>2.1082736282319798</v>
      </c>
      <c r="C2262" s="69">
        <v>3.2449999999999997</v>
      </c>
      <c r="D2262" s="70">
        <f t="shared" si="245"/>
        <v>1</v>
      </c>
      <c r="E2262" s="70">
        <f t="shared" si="246"/>
        <v>0.2</v>
      </c>
      <c r="F2262" s="70">
        <f t="shared" si="247"/>
        <v>1</v>
      </c>
      <c r="G2262" s="70">
        <f t="shared" si="248"/>
        <v>0.421654725646396</v>
      </c>
      <c r="H2262" s="70">
        <f t="shared" si="249"/>
        <v>0.2</v>
      </c>
      <c r="I2262" s="70">
        <f t="shared" si="250"/>
        <v>0</v>
      </c>
      <c r="J2262" s="70">
        <f t="shared" si="251"/>
        <v>0</v>
      </c>
      <c r="K2262" s="70">
        <f>IF(CurrentMtgRatesDataTable8[[#This Row],[WA CC]]&lt;&gt;0,C2261-CurrentMtgRatesDataTable8[[#This Row],[WA CC]],0)</f>
        <v>0</v>
      </c>
      <c r="L2262" s="70">
        <f>IF(CurrentMtgRatesDataTable8[[#This Row],[Servicing Spread]]&lt;=0,L2261,CurrentMtgRatesDataTable8[[#This Row],[Servicing Spread]])</f>
        <v>1.1892056578850116</v>
      </c>
      <c r="M2262" s="70">
        <f>CurrentMtgRatesDataTable8[[#This Row],[Servicing Spread Non-Zero]]-L2261</f>
        <v>0</v>
      </c>
      <c r="N2262" s="70">
        <f>IF(J2261&lt;&gt;0,CurrentMtgRatesDataTable8[[#This Row],[Rate]]-C2261,N2261)</f>
        <v>-2.0000000000000018E-2</v>
      </c>
    </row>
    <row r="2263" spans="1:14">
      <c r="A2263" s="67" t="s">
        <v>476</v>
      </c>
      <c r="B2263" s="68">
        <v>2.1663327490122799</v>
      </c>
      <c r="C2263" s="69">
        <v>3.2449999999999997</v>
      </c>
      <c r="D2263" s="70">
        <f t="shared" si="245"/>
        <v>2</v>
      </c>
      <c r="E2263" s="70">
        <f t="shared" si="246"/>
        <v>0.2</v>
      </c>
      <c r="F2263" s="70">
        <f t="shared" si="247"/>
        <v>2</v>
      </c>
      <c r="G2263" s="70">
        <f t="shared" si="248"/>
        <v>0.85492127544885199</v>
      </c>
      <c r="H2263" s="70">
        <f t="shared" si="249"/>
        <v>0.4</v>
      </c>
      <c r="I2263" s="70">
        <f t="shared" si="250"/>
        <v>0</v>
      </c>
      <c r="J2263" s="70">
        <f t="shared" si="251"/>
        <v>0</v>
      </c>
      <c r="K2263" s="70">
        <f>IF(CurrentMtgRatesDataTable8[[#This Row],[WA CC]]&lt;&gt;0,C2262-CurrentMtgRatesDataTable8[[#This Row],[WA CC]],0)</f>
        <v>0</v>
      </c>
      <c r="L2263" s="70">
        <f>IF(CurrentMtgRatesDataTable8[[#This Row],[Servicing Spread]]&lt;=0,L2262,CurrentMtgRatesDataTable8[[#This Row],[Servicing Spread]])</f>
        <v>1.1892056578850116</v>
      </c>
      <c r="M2263" s="70">
        <f>CurrentMtgRatesDataTable8[[#This Row],[Servicing Spread Non-Zero]]-L2262</f>
        <v>0</v>
      </c>
      <c r="N2263" s="70">
        <f>IF(J2262&lt;&gt;0,CurrentMtgRatesDataTable8[[#This Row],[Rate]]-C2262,N2262)</f>
        <v>-2.0000000000000018E-2</v>
      </c>
    </row>
    <row r="2264" spans="1:14">
      <c r="A2264" s="67" t="s">
        <v>339</v>
      </c>
      <c r="B2264" s="68">
        <v>2.1263199579473602</v>
      </c>
      <c r="C2264" s="69">
        <v>3.2449999999999997</v>
      </c>
      <c r="D2264" s="70">
        <f t="shared" si="245"/>
        <v>5</v>
      </c>
      <c r="E2264" s="70">
        <f t="shared" si="246"/>
        <v>0.2</v>
      </c>
      <c r="F2264" s="70">
        <f t="shared" si="247"/>
        <v>3</v>
      </c>
      <c r="G2264" s="70">
        <f t="shared" si="248"/>
        <v>1.280185267038324</v>
      </c>
      <c r="H2264" s="70">
        <f t="shared" si="249"/>
        <v>0.60000000000000009</v>
      </c>
      <c r="I2264" s="70">
        <f t="shared" si="250"/>
        <v>0</v>
      </c>
      <c r="J2264" s="70">
        <f t="shared" si="251"/>
        <v>0</v>
      </c>
      <c r="K2264" s="70">
        <f>IF(CurrentMtgRatesDataTable8[[#This Row],[WA CC]]&lt;&gt;0,C2263-CurrentMtgRatesDataTable8[[#This Row],[WA CC]],0)</f>
        <v>0</v>
      </c>
      <c r="L2264" s="70">
        <f>IF(CurrentMtgRatesDataTable8[[#This Row],[Servicing Spread]]&lt;=0,L2263,CurrentMtgRatesDataTable8[[#This Row],[Servicing Spread]])</f>
        <v>1.1892056578850116</v>
      </c>
      <c r="M2264" s="70">
        <f>CurrentMtgRatesDataTable8[[#This Row],[Servicing Spread Non-Zero]]-L2263</f>
        <v>0</v>
      </c>
      <c r="N2264" s="70">
        <f>IF(J2263&lt;&gt;0,CurrentMtgRatesDataTable8[[#This Row],[Rate]]-C2263,N2263)</f>
        <v>-2.0000000000000018E-2</v>
      </c>
    </row>
    <row r="2265" spans="1:14">
      <c r="A2265" s="67" t="s">
        <v>199</v>
      </c>
      <c r="B2265" s="68">
        <v>2.1257047070821802</v>
      </c>
      <c r="C2265" s="69">
        <v>3.2449999999999997</v>
      </c>
      <c r="D2265" s="70">
        <f t="shared" si="245"/>
        <v>6</v>
      </c>
      <c r="E2265" s="70">
        <f t="shared" si="246"/>
        <v>0.2</v>
      </c>
      <c r="F2265" s="70">
        <f t="shared" si="247"/>
        <v>4</v>
      </c>
      <c r="G2265" s="70">
        <f t="shared" si="248"/>
        <v>1.70532620845476</v>
      </c>
      <c r="H2265" s="70">
        <f t="shared" si="249"/>
        <v>0.8</v>
      </c>
      <c r="I2265" s="70">
        <f t="shared" si="250"/>
        <v>0</v>
      </c>
      <c r="J2265" s="70">
        <f t="shared" si="251"/>
        <v>0</v>
      </c>
      <c r="K2265" s="70">
        <f>IF(CurrentMtgRatesDataTable8[[#This Row],[WA CC]]&lt;&gt;0,C2264-CurrentMtgRatesDataTable8[[#This Row],[WA CC]],0)</f>
        <v>0</v>
      </c>
      <c r="L2265" s="70">
        <f>IF(CurrentMtgRatesDataTable8[[#This Row],[Servicing Spread]]&lt;=0,L2264,CurrentMtgRatesDataTable8[[#This Row],[Servicing Spread]])</f>
        <v>1.1892056578850116</v>
      </c>
      <c r="M2265" s="70">
        <f>CurrentMtgRatesDataTable8[[#This Row],[Servicing Spread Non-Zero]]-L2264</f>
        <v>0</v>
      </c>
      <c r="N2265" s="70">
        <f>IF(J2264&lt;&gt;0,CurrentMtgRatesDataTable8[[#This Row],[Rate]]-C2264,N2264)</f>
        <v>-2.0000000000000018E-2</v>
      </c>
    </row>
    <row r="2266" spans="1:14">
      <c r="A2266" s="67" t="s">
        <v>54</v>
      </c>
      <c r="B2266" s="68">
        <v>2.1698452448822598</v>
      </c>
      <c r="C2266" s="69">
        <v>3.2449999999999997</v>
      </c>
      <c r="D2266" s="70">
        <f t="shared" si="245"/>
        <v>7</v>
      </c>
      <c r="E2266" s="70">
        <f t="shared" si="246"/>
        <v>0.2</v>
      </c>
      <c r="F2266" s="70">
        <f t="shared" si="247"/>
        <v>5</v>
      </c>
      <c r="G2266" s="70">
        <f t="shared" si="248"/>
        <v>2.1392952574312121</v>
      </c>
      <c r="H2266" s="70">
        <f t="shared" si="249"/>
        <v>1</v>
      </c>
      <c r="I2266" s="70">
        <f t="shared" si="250"/>
        <v>1</v>
      </c>
      <c r="J2266" s="70">
        <f t="shared" si="251"/>
        <v>2.1392952574312121</v>
      </c>
      <c r="K2266" s="70">
        <f>IF(CurrentMtgRatesDataTable8[[#This Row],[WA CC]]&lt;&gt;0,C2265-CurrentMtgRatesDataTable8[[#This Row],[WA CC]],0)</f>
        <v>1.1057047425687876</v>
      </c>
      <c r="L2266" s="70">
        <f>IF(CurrentMtgRatesDataTable8[[#This Row],[Servicing Spread]]&lt;=0,L2265,CurrentMtgRatesDataTable8[[#This Row],[Servicing Spread]])</f>
        <v>1.1057047425687876</v>
      </c>
      <c r="M2266" s="70">
        <f>CurrentMtgRatesDataTable8[[#This Row],[Servicing Spread Non-Zero]]-L2265</f>
        <v>-8.3500915316224056E-2</v>
      </c>
      <c r="N2266" s="70">
        <f>IF(J2265&lt;&gt;0,CurrentMtgRatesDataTable8[[#This Row],[Rate]]-C2265,N2265)</f>
        <v>-2.0000000000000018E-2</v>
      </c>
    </row>
    <row r="2267" spans="1:14">
      <c r="A2267" s="67" t="s">
        <v>620</v>
      </c>
      <c r="B2267" s="68">
        <v>2.17954329599754</v>
      </c>
      <c r="C2267" s="69">
        <v>3.2949999999999999</v>
      </c>
      <c r="D2267" s="70">
        <f t="shared" si="245"/>
        <v>1</v>
      </c>
      <c r="E2267" s="70">
        <f t="shared" si="246"/>
        <v>0.2</v>
      </c>
      <c r="F2267" s="70">
        <f t="shared" si="247"/>
        <v>1</v>
      </c>
      <c r="G2267" s="70">
        <f t="shared" si="248"/>
        <v>0.43590865919950805</v>
      </c>
      <c r="H2267" s="70">
        <f t="shared" si="249"/>
        <v>0.2</v>
      </c>
      <c r="I2267" s="70">
        <f t="shared" si="250"/>
        <v>0</v>
      </c>
      <c r="J2267" s="70">
        <f t="shared" si="251"/>
        <v>0</v>
      </c>
      <c r="K2267" s="70">
        <f>IF(CurrentMtgRatesDataTable8[[#This Row],[WA CC]]&lt;&gt;0,C2266-CurrentMtgRatesDataTable8[[#This Row],[WA CC]],0)</f>
        <v>0</v>
      </c>
      <c r="L2267" s="70">
        <f>IF(CurrentMtgRatesDataTable8[[#This Row],[Servicing Spread]]&lt;=0,L2266,CurrentMtgRatesDataTable8[[#This Row],[Servicing Spread]])</f>
        <v>1.1057047425687876</v>
      </c>
      <c r="M2267" s="70">
        <f>CurrentMtgRatesDataTable8[[#This Row],[Servicing Spread Non-Zero]]-L2266</f>
        <v>0</v>
      </c>
      <c r="N2267" s="70">
        <f>IF(J2266&lt;&gt;0,CurrentMtgRatesDataTable8[[#This Row],[Rate]]-C2266,N2266)</f>
        <v>5.0000000000000266E-2</v>
      </c>
    </row>
    <row r="2268" spans="1:14">
      <c r="A2268" s="67" t="s">
        <v>477</v>
      </c>
      <c r="B2268" s="68">
        <v>2.1747058079367898</v>
      </c>
      <c r="C2268" s="69">
        <v>3.2949999999999999</v>
      </c>
      <c r="D2268" s="70">
        <f t="shared" si="245"/>
        <v>2</v>
      </c>
      <c r="E2268" s="70">
        <f t="shared" si="246"/>
        <v>0.2</v>
      </c>
      <c r="F2268" s="70">
        <f t="shared" si="247"/>
        <v>2</v>
      </c>
      <c r="G2268" s="70">
        <f t="shared" si="248"/>
        <v>0.87084982078686601</v>
      </c>
      <c r="H2268" s="70">
        <f t="shared" si="249"/>
        <v>0.4</v>
      </c>
      <c r="I2268" s="70">
        <f t="shared" si="250"/>
        <v>0</v>
      </c>
      <c r="J2268" s="70">
        <f t="shared" si="251"/>
        <v>0</v>
      </c>
      <c r="K2268" s="70">
        <f>IF(CurrentMtgRatesDataTable8[[#This Row],[WA CC]]&lt;&gt;0,C2267-CurrentMtgRatesDataTable8[[#This Row],[WA CC]],0)</f>
        <v>0</v>
      </c>
      <c r="L2268" s="70">
        <f>IF(CurrentMtgRatesDataTable8[[#This Row],[Servicing Spread]]&lt;=0,L2267,CurrentMtgRatesDataTable8[[#This Row],[Servicing Spread]])</f>
        <v>1.1057047425687876</v>
      </c>
      <c r="M2268" s="70">
        <f>CurrentMtgRatesDataTable8[[#This Row],[Servicing Spread Non-Zero]]-L2267</f>
        <v>0</v>
      </c>
      <c r="N2268" s="70">
        <f>IF(J2267&lt;&gt;0,CurrentMtgRatesDataTable8[[#This Row],[Rate]]-C2267,N2267)</f>
        <v>5.0000000000000266E-2</v>
      </c>
    </row>
    <row r="2269" spans="1:14">
      <c r="A2269" s="67" t="s">
        <v>340</v>
      </c>
      <c r="B2269" s="68">
        <v>2.1860869431888501</v>
      </c>
      <c r="C2269" s="69">
        <v>3.2949999999999999</v>
      </c>
      <c r="D2269" s="70">
        <f t="shared" si="245"/>
        <v>5</v>
      </c>
      <c r="E2269" s="70">
        <f t="shared" si="246"/>
        <v>0.2</v>
      </c>
      <c r="F2269" s="70">
        <f t="shared" si="247"/>
        <v>3</v>
      </c>
      <c r="G2269" s="70">
        <f t="shared" si="248"/>
        <v>1.3080672094246362</v>
      </c>
      <c r="H2269" s="70">
        <f t="shared" si="249"/>
        <v>0.60000000000000009</v>
      </c>
      <c r="I2269" s="70">
        <f t="shared" si="250"/>
        <v>0</v>
      </c>
      <c r="J2269" s="70">
        <f t="shared" si="251"/>
        <v>0</v>
      </c>
      <c r="K2269" s="70">
        <f>IF(CurrentMtgRatesDataTable8[[#This Row],[WA CC]]&lt;&gt;0,C2268-CurrentMtgRatesDataTable8[[#This Row],[WA CC]],0)</f>
        <v>0</v>
      </c>
      <c r="L2269" s="70">
        <f>IF(CurrentMtgRatesDataTable8[[#This Row],[Servicing Spread]]&lt;=0,L2268,CurrentMtgRatesDataTable8[[#This Row],[Servicing Spread]])</f>
        <v>1.1057047425687876</v>
      </c>
      <c r="M2269" s="70">
        <f>CurrentMtgRatesDataTable8[[#This Row],[Servicing Spread Non-Zero]]-L2268</f>
        <v>0</v>
      </c>
      <c r="N2269" s="70">
        <f>IF(J2268&lt;&gt;0,CurrentMtgRatesDataTable8[[#This Row],[Rate]]-C2268,N2268)</f>
        <v>5.0000000000000266E-2</v>
      </c>
    </row>
    <row r="2270" spans="1:14">
      <c r="A2270" s="67" t="s">
        <v>200</v>
      </c>
      <c r="B2270" s="68">
        <v>2.2549632116225702</v>
      </c>
      <c r="C2270" s="69">
        <v>3.2949999999999999</v>
      </c>
      <c r="D2270" s="70">
        <f t="shared" si="245"/>
        <v>6</v>
      </c>
      <c r="E2270" s="70">
        <f t="shared" si="246"/>
        <v>0.2</v>
      </c>
      <c r="F2270" s="70">
        <f t="shared" si="247"/>
        <v>4</v>
      </c>
      <c r="G2270" s="70">
        <f t="shared" si="248"/>
        <v>1.7590598517491502</v>
      </c>
      <c r="H2270" s="70">
        <f t="shared" si="249"/>
        <v>0.8</v>
      </c>
      <c r="I2270" s="70">
        <f t="shared" si="250"/>
        <v>0</v>
      </c>
      <c r="J2270" s="70">
        <f t="shared" si="251"/>
        <v>0</v>
      </c>
      <c r="K2270" s="70">
        <f>IF(CurrentMtgRatesDataTable8[[#This Row],[WA CC]]&lt;&gt;0,C2269-CurrentMtgRatesDataTable8[[#This Row],[WA CC]],0)</f>
        <v>0</v>
      </c>
      <c r="L2270" s="70">
        <f>IF(CurrentMtgRatesDataTable8[[#This Row],[Servicing Spread]]&lt;=0,L2269,CurrentMtgRatesDataTable8[[#This Row],[Servicing Spread]])</f>
        <v>1.1057047425687876</v>
      </c>
      <c r="M2270" s="70">
        <f>CurrentMtgRatesDataTable8[[#This Row],[Servicing Spread Non-Zero]]-L2269</f>
        <v>0</v>
      </c>
      <c r="N2270" s="70">
        <f>IF(J2269&lt;&gt;0,CurrentMtgRatesDataTable8[[#This Row],[Rate]]-C2269,N2269)</f>
        <v>5.0000000000000266E-2</v>
      </c>
    </row>
    <row r="2271" spans="1:14">
      <c r="A2271" s="67" t="s">
        <v>55</v>
      </c>
      <c r="B2271" s="68">
        <v>2.20825796099597</v>
      </c>
      <c r="C2271" s="69">
        <v>3.2949999999999999</v>
      </c>
      <c r="D2271" s="70">
        <f t="shared" si="245"/>
        <v>7</v>
      </c>
      <c r="E2271" s="70">
        <f t="shared" si="246"/>
        <v>0.2</v>
      </c>
      <c r="F2271" s="70">
        <f t="shared" si="247"/>
        <v>5</v>
      </c>
      <c r="G2271" s="70">
        <f t="shared" si="248"/>
        <v>2.2007114439483444</v>
      </c>
      <c r="H2271" s="70">
        <f t="shared" si="249"/>
        <v>1</v>
      </c>
      <c r="I2271" s="70">
        <f t="shared" si="250"/>
        <v>1</v>
      </c>
      <c r="J2271" s="70">
        <f t="shared" si="251"/>
        <v>2.2007114439483444</v>
      </c>
      <c r="K2271" s="70">
        <f>IF(CurrentMtgRatesDataTable8[[#This Row],[WA CC]]&lt;&gt;0,C2270-CurrentMtgRatesDataTable8[[#This Row],[WA CC]],0)</f>
        <v>1.0942885560516555</v>
      </c>
      <c r="L2271" s="70">
        <f>IF(CurrentMtgRatesDataTable8[[#This Row],[Servicing Spread]]&lt;=0,L2270,CurrentMtgRatesDataTable8[[#This Row],[Servicing Spread]])</f>
        <v>1.0942885560516555</v>
      </c>
      <c r="M2271" s="70">
        <f>CurrentMtgRatesDataTable8[[#This Row],[Servicing Spread Non-Zero]]-L2270</f>
        <v>-1.1416186517132054E-2</v>
      </c>
      <c r="N2271" s="70">
        <f>IF(J2270&lt;&gt;0,CurrentMtgRatesDataTable8[[#This Row],[Rate]]-C2270,N2270)</f>
        <v>5.0000000000000266E-2</v>
      </c>
    </row>
    <row r="2272" spans="1:14">
      <c r="A2272" s="67" t="s">
        <v>621</v>
      </c>
      <c r="B2272" s="68">
        <v>2.18927927513684</v>
      </c>
      <c r="C2272" s="69">
        <v>3.2749999999999999</v>
      </c>
      <c r="D2272" s="70">
        <f t="shared" si="245"/>
        <v>1</v>
      </c>
      <c r="E2272" s="70">
        <f t="shared" si="246"/>
        <v>0.2</v>
      </c>
      <c r="F2272" s="70">
        <f t="shared" si="247"/>
        <v>1</v>
      </c>
      <c r="G2272" s="70">
        <f t="shared" si="248"/>
        <v>0.43785585502736801</v>
      </c>
      <c r="H2272" s="70">
        <f t="shared" si="249"/>
        <v>0.2</v>
      </c>
      <c r="I2272" s="70">
        <f t="shared" si="250"/>
        <v>0</v>
      </c>
      <c r="J2272" s="70">
        <f t="shared" si="251"/>
        <v>0</v>
      </c>
      <c r="K2272" s="70">
        <f>IF(CurrentMtgRatesDataTable8[[#This Row],[WA CC]]&lt;&gt;0,C2271-CurrentMtgRatesDataTable8[[#This Row],[WA CC]],0)</f>
        <v>0</v>
      </c>
      <c r="L2272" s="70">
        <f>IF(CurrentMtgRatesDataTable8[[#This Row],[Servicing Spread]]&lt;=0,L2271,CurrentMtgRatesDataTable8[[#This Row],[Servicing Spread]])</f>
        <v>1.0942885560516555</v>
      </c>
      <c r="M2272" s="70">
        <f>CurrentMtgRatesDataTable8[[#This Row],[Servicing Spread Non-Zero]]-L2271</f>
        <v>0</v>
      </c>
      <c r="N2272" s="70">
        <f>IF(J2271&lt;&gt;0,CurrentMtgRatesDataTable8[[#This Row],[Rate]]-C2271,N2271)</f>
        <v>-2.0000000000000018E-2</v>
      </c>
    </row>
    <row r="2273" spans="1:14">
      <c r="A2273" s="67" t="s">
        <v>478</v>
      </c>
      <c r="B2273" s="68">
        <v>2.14957407921754</v>
      </c>
      <c r="C2273" s="69">
        <v>3.2749999999999999</v>
      </c>
      <c r="D2273" s="70">
        <f t="shared" si="245"/>
        <v>2</v>
      </c>
      <c r="E2273" s="70">
        <f t="shared" si="246"/>
        <v>0.2</v>
      </c>
      <c r="F2273" s="70">
        <f t="shared" si="247"/>
        <v>2</v>
      </c>
      <c r="G2273" s="70">
        <f t="shared" si="248"/>
        <v>0.867770670870876</v>
      </c>
      <c r="H2273" s="70">
        <f t="shared" si="249"/>
        <v>0.4</v>
      </c>
      <c r="I2273" s="70">
        <f t="shared" si="250"/>
        <v>0</v>
      </c>
      <c r="J2273" s="70">
        <f t="shared" si="251"/>
        <v>0</v>
      </c>
      <c r="K2273" s="70">
        <f>IF(CurrentMtgRatesDataTable8[[#This Row],[WA CC]]&lt;&gt;0,C2272-CurrentMtgRatesDataTable8[[#This Row],[WA CC]],0)</f>
        <v>0</v>
      </c>
      <c r="L2273" s="70">
        <f>IF(CurrentMtgRatesDataTable8[[#This Row],[Servicing Spread]]&lt;=0,L2272,CurrentMtgRatesDataTable8[[#This Row],[Servicing Spread]])</f>
        <v>1.0942885560516555</v>
      </c>
      <c r="M2273" s="70">
        <f>CurrentMtgRatesDataTable8[[#This Row],[Servicing Spread Non-Zero]]-L2272</f>
        <v>0</v>
      </c>
      <c r="N2273" s="70">
        <f>IF(J2272&lt;&gt;0,CurrentMtgRatesDataTable8[[#This Row],[Rate]]-C2272,N2272)</f>
        <v>-2.0000000000000018E-2</v>
      </c>
    </row>
    <row r="2274" spans="1:14">
      <c r="A2274" s="67" t="s">
        <v>341</v>
      </c>
      <c r="B2274" s="68">
        <v>2.1781660184228402</v>
      </c>
      <c r="C2274" s="69">
        <v>3.2749999999999999</v>
      </c>
      <c r="D2274" s="70">
        <f t="shared" si="245"/>
        <v>5</v>
      </c>
      <c r="E2274" s="70">
        <f t="shared" si="246"/>
        <v>0.2</v>
      </c>
      <c r="F2274" s="70">
        <f t="shared" si="247"/>
        <v>3</v>
      </c>
      <c r="G2274" s="70">
        <f t="shared" si="248"/>
        <v>1.3034038745554439</v>
      </c>
      <c r="H2274" s="70">
        <f t="shared" si="249"/>
        <v>0.60000000000000009</v>
      </c>
      <c r="I2274" s="70">
        <f t="shared" si="250"/>
        <v>0</v>
      </c>
      <c r="J2274" s="70">
        <f t="shared" si="251"/>
        <v>0</v>
      </c>
      <c r="K2274" s="70">
        <f>IF(CurrentMtgRatesDataTable8[[#This Row],[WA CC]]&lt;&gt;0,C2273-CurrentMtgRatesDataTable8[[#This Row],[WA CC]],0)</f>
        <v>0</v>
      </c>
      <c r="L2274" s="70">
        <f>IF(CurrentMtgRatesDataTable8[[#This Row],[Servicing Spread]]&lt;=0,L2273,CurrentMtgRatesDataTable8[[#This Row],[Servicing Spread]])</f>
        <v>1.0942885560516555</v>
      </c>
      <c r="M2274" s="70">
        <f>CurrentMtgRatesDataTable8[[#This Row],[Servicing Spread Non-Zero]]-L2273</f>
        <v>0</v>
      </c>
      <c r="N2274" s="70">
        <f>IF(J2273&lt;&gt;0,CurrentMtgRatesDataTable8[[#This Row],[Rate]]-C2273,N2273)</f>
        <v>-2.0000000000000018E-2</v>
      </c>
    </row>
    <row r="2275" spans="1:14">
      <c r="A2275" s="67" t="s">
        <v>56</v>
      </c>
      <c r="B2275" s="68">
        <v>2.1575085514306598</v>
      </c>
      <c r="C2275" s="69">
        <v>3.2749999999999999</v>
      </c>
      <c r="D2275" s="70">
        <f t="shared" si="245"/>
        <v>7</v>
      </c>
      <c r="E2275" s="70">
        <f t="shared" si="246"/>
        <v>0.2</v>
      </c>
      <c r="F2275" s="70">
        <f t="shared" si="247"/>
        <v>4</v>
      </c>
      <c r="G2275" s="70">
        <f t="shared" si="248"/>
        <v>1.734905584841576</v>
      </c>
      <c r="H2275" s="70">
        <f t="shared" si="249"/>
        <v>0.8</v>
      </c>
      <c r="I2275" s="70">
        <f t="shared" si="250"/>
        <v>1</v>
      </c>
      <c r="J2275" s="70">
        <f t="shared" si="251"/>
        <v>2.1686319810519699</v>
      </c>
      <c r="K2275" s="70">
        <f>IF(CurrentMtgRatesDataTable8[[#This Row],[WA CC]]&lt;&gt;0,C2274-CurrentMtgRatesDataTable8[[#This Row],[WA CC]],0)</f>
        <v>1.1063680189480301</v>
      </c>
      <c r="L2275" s="70">
        <f>IF(CurrentMtgRatesDataTable8[[#This Row],[Servicing Spread]]&lt;=0,L2274,CurrentMtgRatesDataTable8[[#This Row],[Servicing Spread]])</f>
        <v>1.1063680189480301</v>
      </c>
      <c r="M2275" s="70">
        <f>CurrentMtgRatesDataTable8[[#This Row],[Servicing Spread Non-Zero]]-L2274</f>
        <v>1.2079462896374515E-2</v>
      </c>
      <c r="N2275" s="70">
        <f>IF(J2274&lt;&gt;0,CurrentMtgRatesDataTable8[[#This Row],[Rate]]-C2274,N2274)</f>
        <v>-2.0000000000000018E-2</v>
      </c>
    </row>
    <row r="2276" spans="1:14">
      <c r="A2276" s="67" t="s">
        <v>622</v>
      </c>
      <c r="B2276" s="68">
        <v>2.12227766952706</v>
      </c>
      <c r="C2276" s="69">
        <v>3.2649999999999997</v>
      </c>
      <c r="D2276" s="70">
        <f t="shared" si="245"/>
        <v>1</v>
      </c>
      <c r="E2276" s="70">
        <f t="shared" si="246"/>
        <v>0.2</v>
      </c>
      <c r="F2276" s="70">
        <f t="shared" si="247"/>
        <v>1</v>
      </c>
      <c r="G2276" s="70">
        <f t="shared" si="248"/>
        <v>0.42445553390541202</v>
      </c>
      <c r="H2276" s="70">
        <f t="shared" si="249"/>
        <v>0.2</v>
      </c>
      <c r="I2276" s="70">
        <f t="shared" si="250"/>
        <v>0</v>
      </c>
      <c r="J2276" s="70">
        <f t="shared" si="251"/>
        <v>0</v>
      </c>
      <c r="K2276" s="70">
        <f>IF(CurrentMtgRatesDataTable8[[#This Row],[WA CC]]&lt;&gt;0,C2275-CurrentMtgRatesDataTable8[[#This Row],[WA CC]],0)</f>
        <v>0</v>
      </c>
      <c r="L2276" s="70">
        <f>IF(CurrentMtgRatesDataTable8[[#This Row],[Servicing Spread]]&lt;=0,L2275,CurrentMtgRatesDataTable8[[#This Row],[Servicing Spread]])</f>
        <v>1.1063680189480301</v>
      </c>
      <c r="M2276" s="70">
        <f>CurrentMtgRatesDataTable8[[#This Row],[Servicing Spread Non-Zero]]-L2275</f>
        <v>0</v>
      </c>
      <c r="N2276" s="70">
        <f>IF(J2275&lt;&gt;0,CurrentMtgRatesDataTable8[[#This Row],[Rate]]-C2275,N2275)</f>
        <v>-1.0000000000000231E-2</v>
      </c>
    </row>
    <row r="2277" spans="1:14">
      <c r="A2277" s="67" t="s">
        <v>479</v>
      </c>
      <c r="B2277" s="68">
        <v>2.1401763219910399</v>
      </c>
      <c r="C2277" s="69">
        <v>3.2649999999999997</v>
      </c>
      <c r="D2277" s="70">
        <f t="shared" si="245"/>
        <v>2</v>
      </c>
      <c r="E2277" s="70">
        <f t="shared" si="246"/>
        <v>0.2</v>
      </c>
      <c r="F2277" s="70">
        <f t="shared" si="247"/>
        <v>2</v>
      </c>
      <c r="G2277" s="70">
        <f t="shared" si="248"/>
        <v>0.85249079830362007</v>
      </c>
      <c r="H2277" s="70">
        <f t="shared" si="249"/>
        <v>0.4</v>
      </c>
      <c r="I2277" s="70">
        <f t="shared" si="250"/>
        <v>0</v>
      </c>
      <c r="J2277" s="70">
        <f t="shared" si="251"/>
        <v>0</v>
      </c>
      <c r="K2277" s="70">
        <f>IF(CurrentMtgRatesDataTable8[[#This Row],[WA CC]]&lt;&gt;0,C2276-CurrentMtgRatesDataTable8[[#This Row],[WA CC]],0)</f>
        <v>0</v>
      </c>
      <c r="L2277" s="70">
        <f>IF(CurrentMtgRatesDataTable8[[#This Row],[Servicing Spread]]&lt;=0,L2276,CurrentMtgRatesDataTable8[[#This Row],[Servicing Spread]])</f>
        <v>1.1063680189480301</v>
      </c>
      <c r="M2277" s="70">
        <f>CurrentMtgRatesDataTable8[[#This Row],[Servicing Spread Non-Zero]]-L2276</f>
        <v>0</v>
      </c>
      <c r="N2277" s="70">
        <f>IF(J2276&lt;&gt;0,CurrentMtgRatesDataTable8[[#This Row],[Rate]]-C2276,N2276)</f>
        <v>-1.0000000000000231E-2</v>
      </c>
    </row>
    <row r="2278" spans="1:14">
      <c r="A2278" s="67" t="s">
        <v>342</v>
      </c>
      <c r="B2278" s="68">
        <v>2.1517307112587098</v>
      </c>
      <c r="C2278" s="69">
        <v>3.2649999999999997</v>
      </c>
      <c r="D2278" s="70">
        <f t="shared" si="245"/>
        <v>5</v>
      </c>
      <c r="E2278" s="70">
        <f t="shared" si="246"/>
        <v>0.2</v>
      </c>
      <c r="F2278" s="70">
        <f t="shared" si="247"/>
        <v>3</v>
      </c>
      <c r="G2278" s="70">
        <f t="shared" si="248"/>
        <v>1.2828369405553621</v>
      </c>
      <c r="H2278" s="70">
        <f t="shared" si="249"/>
        <v>0.60000000000000009</v>
      </c>
      <c r="I2278" s="70">
        <f t="shared" si="250"/>
        <v>0</v>
      </c>
      <c r="J2278" s="70">
        <f t="shared" si="251"/>
        <v>0</v>
      </c>
      <c r="K2278" s="70">
        <f>IF(CurrentMtgRatesDataTable8[[#This Row],[WA CC]]&lt;&gt;0,C2277-CurrentMtgRatesDataTable8[[#This Row],[WA CC]],0)</f>
        <v>0</v>
      </c>
      <c r="L2278" s="70">
        <f>IF(CurrentMtgRatesDataTable8[[#This Row],[Servicing Spread]]&lt;=0,L2277,CurrentMtgRatesDataTable8[[#This Row],[Servicing Spread]])</f>
        <v>1.1063680189480301</v>
      </c>
      <c r="M2278" s="70">
        <f>CurrentMtgRatesDataTable8[[#This Row],[Servicing Spread Non-Zero]]-L2277</f>
        <v>0</v>
      </c>
      <c r="N2278" s="70">
        <f>IF(J2277&lt;&gt;0,CurrentMtgRatesDataTable8[[#This Row],[Rate]]-C2277,N2277)</f>
        <v>-1.0000000000000231E-2</v>
      </c>
    </row>
    <row r="2279" spans="1:14">
      <c r="A2279" s="67" t="s">
        <v>57</v>
      </c>
      <c r="B2279" s="68">
        <v>2.2179772298988301</v>
      </c>
      <c r="C2279" s="69">
        <v>3.2649999999999997</v>
      </c>
      <c r="D2279" s="70">
        <f t="shared" si="245"/>
        <v>7</v>
      </c>
      <c r="E2279" s="70">
        <f t="shared" si="246"/>
        <v>0.2</v>
      </c>
      <c r="F2279" s="70">
        <f t="shared" si="247"/>
        <v>4</v>
      </c>
      <c r="G2279" s="70">
        <f t="shared" si="248"/>
        <v>1.7264323865351281</v>
      </c>
      <c r="H2279" s="70">
        <f t="shared" si="249"/>
        <v>0.8</v>
      </c>
      <c r="I2279" s="70">
        <f t="shared" si="250"/>
        <v>1</v>
      </c>
      <c r="J2279" s="70">
        <f t="shared" si="251"/>
        <v>2.15804048316891</v>
      </c>
      <c r="K2279" s="70">
        <f>IF(CurrentMtgRatesDataTable8[[#This Row],[WA CC]]&lt;&gt;0,C2278-CurrentMtgRatesDataTable8[[#This Row],[WA CC]],0)</f>
        <v>1.1069595168310897</v>
      </c>
      <c r="L2279" s="70">
        <f>IF(CurrentMtgRatesDataTable8[[#This Row],[Servicing Spread]]&lt;=0,L2278,CurrentMtgRatesDataTable8[[#This Row],[Servicing Spread]])</f>
        <v>1.1069595168310897</v>
      </c>
      <c r="M2279" s="70">
        <f>CurrentMtgRatesDataTable8[[#This Row],[Servicing Spread Non-Zero]]-L2278</f>
        <v>5.9149788305967732E-4</v>
      </c>
      <c r="N2279" s="70">
        <f>IF(J2278&lt;&gt;0,CurrentMtgRatesDataTable8[[#This Row],[Rate]]-C2278,N2278)</f>
        <v>-1.0000000000000231E-2</v>
      </c>
    </row>
    <row r="2280" spans="1:14">
      <c r="A2280" s="67" t="s">
        <v>623</v>
      </c>
      <c r="B2280" s="68">
        <v>2.33893527316877</v>
      </c>
      <c r="C2280" s="69">
        <v>3.3249999999999997</v>
      </c>
      <c r="D2280" s="70">
        <f t="shared" si="245"/>
        <v>1</v>
      </c>
      <c r="E2280" s="70">
        <f t="shared" si="246"/>
        <v>0.2</v>
      </c>
      <c r="F2280" s="70">
        <f t="shared" si="247"/>
        <v>1</v>
      </c>
      <c r="G2280" s="70">
        <f t="shared" si="248"/>
        <v>0.46778705463375403</v>
      </c>
      <c r="H2280" s="70">
        <f t="shared" si="249"/>
        <v>0.2</v>
      </c>
      <c r="I2280" s="70">
        <f t="shared" si="250"/>
        <v>0</v>
      </c>
      <c r="J2280" s="70">
        <f t="shared" si="251"/>
        <v>0</v>
      </c>
      <c r="K2280" s="70">
        <f>IF(CurrentMtgRatesDataTable8[[#This Row],[WA CC]]&lt;&gt;0,C2279-CurrentMtgRatesDataTable8[[#This Row],[WA CC]],0)</f>
        <v>0</v>
      </c>
      <c r="L2280" s="70">
        <f>IF(CurrentMtgRatesDataTable8[[#This Row],[Servicing Spread]]&lt;=0,L2279,CurrentMtgRatesDataTable8[[#This Row],[Servicing Spread]])</f>
        <v>1.1069595168310897</v>
      </c>
      <c r="M2280" s="70">
        <f>CurrentMtgRatesDataTable8[[#This Row],[Servicing Spread Non-Zero]]-L2279</f>
        <v>0</v>
      </c>
      <c r="N2280" s="70">
        <f>IF(J2279&lt;&gt;0,CurrentMtgRatesDataTable8[[#This Row],[Rate]]-C2279,N2279)</f>
        <v>6.0000000000000053E-2</v>
      </c>
    </row>
    <row r="2281" spans="1:14">
      <c r="A2281" s="67" t="s">
        <v>480</v>
      </c>
      <c r="B2281" s="68">
        <v>2.3583903097049501</v>
      </c>
      <c r="C2281" s="69">
        <v>3.3249999999999997</v>
      </c>
      <c r="D2281" s="70">
        <f t="shared" si="245"/>
        <v>2</v>
      </c>
      <c r="E2281" s="70">
        <f t="shared" si="246"/>
        <v>0.2</v>
      </c>
      <c r="F2281" s="70">
        <f t="shared" si="247"/>
        <v>2</v>
      </c>
      <c r="G2281" s="70">
        <f t="shared" si="248"/>
        <v>0.93946511657474407</v>
      </c>
      <c r="H2281" s="70">
        <f t="shared" si="249"/>
        <v>0.4</v>
      </c>
      <c r="I2281" s="70">
        <f t="shared" si="250"/>
        <v>0</v>
      </c>
      <c r="J2281" s="70">
        <f t="shared" si="251"/>
        <v>0</v>
      </c>
      <c r="K2281" s="70">
        <f>IF(CurrentMtgRatesDataTable8[[#This Row],[WA CC]]&lt;&gt;0,C2280-CurrentMtgRatesDataTable8[[#This Row],[WA CC]],0)</f>
        <v>0</v>
      </c>
      <c r="L2281" s="70">
        <f>IF(CurrentMtgRatesDataTable8[[#This Row],[Servicing Spread]]&lt;=0,L2280,CurrentMtgRatesDataTable8[[#This Row],[Servicing Spread]])</f>
        <v>1.1069595168310897</v>
      </c>
      <c r="M2281" s="70">
        <f>CurrentMtgRatesDataTable8[[#This Row],[Servicing Spread Non-Zero]]-L2280</f>
        <v>0</v>
      </c>
      <c r="N2281" s="70">
        <f>IF(J2280&lt;&gt;0,CurrentMtgRatesDataTable8[[#This Row],[Rate]]-C2280,N2280)</f>
        <v>6.0000000000000053E-2</v>
      </c>
    </row>
    <row r="2282" spans="1:14">
      <c r="A2282" s="67" t="s">
        <v>343</v>
      </c>
      <c r="B2282" s="68">
        <v>2.3132421541265802</v>
      </c>
      <c r="C2282" s="69">
        <v>3.3249999999999997</v>
      </c>
      <c r="D2282" s="70">
        <f t="shared" si="245"/>
        <v>5</v>
      </c>
      <c r="E2282" s="70">
        <f t="shared" si="246"/>
        <v>0.2</v>
      </c>
      <c r="F2282" s="70">
        <f t="shared" si="247"/>
        <v>3</v>
      </c>
      <c r="G2282" s="70">
        <f t="shared" si="248"/>
        <v>1.4021135474000601</v>
      </c>
      <c r="H2282" s="70">
        <f t="shared" si="249"/>
        <v>0.60000000000000009</v>
      </c>
      <c r="I2282" s="70">
        <f t="shared" si="250"/>
        <v>0</v>
      </c>
      <c r="J2282" s="70">
        <f t="shared" si="251"/>
        <v>0</v>
      </c>
      <c r="K2282" s="70">
        <f>IF(CurrentMtgRatesDataTable8[[#This Row],[WA CC]]&lt;&gt;0,C2281-CurrentMtgRatesDataTable8[[#This Row],[WA CC]],0)</f>
        <v>0</v>
      </c>
      <c r="L2282" s="70">
        <f>IF(CurrentMtgRatesDataTable8[[#This Row],[Servicing Spread]]&lt;=0,L2281,CurrentMtgRatesDataTable8[[#This Row],[Servicing Spread]])</f>
        <v>1.1069595168310897</v>
      </c>
      <c r="M2282" s="70">
        <f>CurrentMtgRatesDataTable8[[#This Row],[Servicing Spread Non-Zero]]-L2281</f>
        <v>0</v>
      </c>
      <c r="N2282" s="70">
        <f>IF(J2281&lt;&gt;0,CurrentMtgRatesDataTable8[[#This Row],[Rate]]-C2281,N2281)</f>
        <v>6.0000000000000053E-2</v>
      </c>
    </row>
    <row r="2283" spans="1:14">
      <c r="A2283" s="67" t="s">
        <v>201</v>
      </c>
      <c r="B2283" s="68">
        <v>2.2872202205924901</v>
      </c>
      <c r="C2283" s="69">
        <v>3.3249999999999997</v>
      </c>
      <c r="D2283" s="70">
        <f t="shared" si="245"/>
        <v>6</v>
      </c>
      <c r="E2283" s="70">
        <f t="shared" si="246"/>
        <v>0.2</v>
      </c>
      <c r="F2283" s="70">
        <f t="shared" si="247"/>
        <v>4</v>
      </c>
      <c r="G2283" s="70">
        <f t="shared" si="248"/>
        <v>1.8595575915185583</v>
      </c>
      <c r="H2283" s="70">
        <f t="shared" si="249"/>
        <v>0.8</v>
      </c>
      <c r="I2283" s="70">
        <f t="shared" si="250"/>
        <v>0</v>
      </c>
      <c r="J2283" s="70">
        <f t="shared" si="251"/>
        <v>0</v>
      </c>
      <c r="K2283" s="70">
        <f>IF(CurrentMtgRatesDataTable8[[#This Row],[WA CC]]&lt;&gt;0,C2282-CurrentMtgRatesDataTable8[[#This Row],[WA CC]],0)</f>
        <v>0</v>
      </c>
      <c r="L2283" s="70">
        <f>IF(CurrentMtgRatesDataTable8[[#This Row],[Servicing Spread]]&lt;=0,L2282,CurrentMtgRatesDataTable8[[#This Row],[Servicing Spread]])</f>
        <v>1.1069595168310897</v>
      </c>
      <c r="M2283" s="70">
        <f>CurrentMtgRatesDataTable8[[#This Row],[Servicing Spread Non-Zero]]-L2282</f>
        <v>0</v>
      </c>
      <c r="N2283" s="70">
        <f>IF(J2282&lt;&gt;0,CurrentMtgRatesDataTable8[[#This Row],[Rate]]-C2282,N2282)</f>
        <v>6.0000000000000053E-2</v>
      </c>
    </row>
    <row r="2284" spans="1:14">
      <c r="A2284" s="67" t="s">
        <v>58</v>
      </c>
      <c r="B2284" s="68">
        <v>2.2542377381479901</v>
      </c>
      <c r="C2284" s="69">
        <v>3.3249999999999997</v>
      </c>
      <c r="D2284" s="70">
        <f t="shared" si="245"/>
        <v>7</v>
      </c>
      <c r="E2284" s="70">
        <f t="shared" si="246"/>
        <v>0.2</v>
      </c>
      <c r="F2284" s="70">
        <f t="shared" si="247"/>
        <v>5</v>
      </c>
      <c r="G2284" s="70">
        <f t="shared" si="248"/>
        <v>2.3104051391481564</v>
      </c>
      <c r="H2284" s="70">
        <f t="shared" si="249"/>
        <v>1</v>
      </c>
      <c r="I2284" s="70">
        <f t="shared" si="250"/>
        <v>1</v>
      </c>
      <c r="J2284" s="70">
        <f t="shared" si="251"/>
        <v>2.3104051391481564</v>
      </c>
      <c r="K2284" s="70">
        <f>IF(CurrentMtgRatesDataTable8[[#This Row],[WA CC]]&lt;&gt;0,C2283-CurrentMtgRatesDataTable8[[#This Row],[WA CC]],0)</f>
        <v>1.0145948608518434</v>
      </c>
      <c r="L2284" s="70">
        <f>IF(CurrentMtgRatesDataTable8[[#This Row],[Servicing Spread]]&lt;=0,L2283,CurrentMtgRatesDataTable8[[#This Row],[Servicing Spread]])</f>
        <v>1.0145948608518434</v>
      </c>
      <c r="M2284" s="70">
        <f>CurrentMtgRatesDataTable8[[#This Row],[Servicing Spread Non-Zero]]-L2283</f>
        <v>-9.2364655979246368E-2</v>
      </c>
      <c r="N2284" s="70">
        <f>IF(J2283&lt;&gt;0,CurrentMtgRatesDataTable8[[#This Row],[Rate]]-C2283,N2283)</f>
        <v>6.0000000000000053E-2</v>
      </c>
    </row>
    <row r="2285" spans="1:14">
      <c r="A2285" s="67" t="s">
        <v>624</v>
      </c>
      <c r="B2285" s="68">
        <v>2.3058062237430601</v>
      </c>
      <c r="C2285" s="69">
        <v>3.3049999999999997</v>
      </c>
      <c r="D2285" s="70">
        <f t="shared" si="245"/>
        <v>1</v>
      </c>
      <c r="E2285" s="70">
        <f t="shared" si="246"/>
        <v>0.2</v>
      </c>
      <c r="F2285" s="70">
        <f t="shared" si="247"/>
        <v>1</v>
      </c>
      <c r="G2285" s="70">
        <f t="shared" si="248"/>
        <v>0.46116124474861203</v>
      </c>
      <c r="H2285" s="70">
        <f t="shared" si="249"/>
        <v>0.2</v>
      </c>
      <c r="I2285" s="70">
        <f t="shared" si="250"/>
        <v>0</v>
      </c>
      <c r="J2285" s="70">
        <f t="shared" si="251"/>
        <v>0</v>
      </c>
      <c r="K2285" s="70">
        <f>IF(CurrentMtgRatesDataTable8[[#This Row],[WA CC]]&lt;&gt;0,C2284-CurrentMtgRatesDataTable8[[#This Row],[WA CC]],0)</f>
        <v>0</v>
      </c>
      <c r="L2285" s="70">
        <f>IF(CurrentMtgRatesDataTable8[[#This Row],[Servicing Spread]]&lt;=0,L2284,CurrentMtgRatesDataTable8[[#This Row],[Servicing Spread]])</f>
        <v>1.0145948608518434</v>
      </c>
      <c r="M2285" s="70">
        <f>CurrentMtgRatesDataTable8[[#This Row],[Servicing Spread Non-Zero]]-L2284</f>
        <v>0</v>
      </c>
      <c r="N2285" s="70">
        <f>IF(J2284&lt;&gt;0,CurrentMtgRatesDataTable8[[#This Row],[Rate]]-C2284,N2284)</f>
        <v>-2.0000000000000018E-2</v>
      </c>
    </row>
    <row r="2286" spans="1:14">
      <c r="A2286" s="67" t="s">
        <v>481</v>
      </c>
      <c r="B2286" s="68">
        <v>2.2816853967186499</v>
      </c>
      <c r="C2286" s="69">
        <v>3.3049999999999997</v>
      </c>
      <c r="D2286" s="70">
        <f t="shared" si="245"/>
        <v>2</v>
      </c>
      <c r="E2286" s="70">
        <f t="shared" si="246"/>
        <v>0.2</v>
      </c>
      <c r="F2286" s="70">
        <f t="shared" si="247"/>
        <v>2</v>
      </c>
      <c r="G2286" s="70">
        <f t="shared" si="248"/>
        <v>0.917498324092342</v>
      </c>
      <c r="H2286" s="70">
        <f t="shared" si="249"/>
        <v>0.4</v>
      </c>
      <c r="I2286" s="70">
        <f t="shared" si="250"/>
        <v>0</v>
      </c>
      <c r="J2286" s="70">
        <f t="shared" si="251"/>
        <v>0</v>
      </c>
      <c r="K2286" s="70">
        <f>IF(CurrentMtgRatesDataTable8[[#This Row],[WA CC]]&lt;&gt;0,C2285-CurrentMtgRatesDataTable8[[#This Row],[WA CC]],0)</f>
        <v>0</v>
      </c>
      <c r="L2286" s="70">
        <f>IF(CurrentMtgRatesDataTable8[[#This Row],[Servicing Spread]]&lt;=0,L2285,CurrentMtgRatesDataTable8[[#This Row],[Servicing Spread]])</f>
        <v>1.0145948608518434</v>
      </c>
      <c r="M2286" s="70">
        <f>CurrentMtgRatesDataTable8[[#This Row],[Servicing Spread Non-Zero]]-L2285</f>
        <v>0</v>
      </c>
      <c r="N2286" s="70">
        <f>IF(J2285&lt;&gt;0,CurrentMtgRatesDataTable8[[#This Row],[Rate]]-C2285,N2285)</f>
        <v>-2.0000000000000018E-2</v>
      </c>
    </row>
    <row r="2287" spans="1:14">
      <c r="A2287" s="67" t="s">
        <v>344</v>
      </c>
      <c r="B2287" s="68">
        <v>2.2784009909774001</v>
      </c>
      <c r="C2287" s="69">
        <v>3.3049999999999997</v>
      </c>
      <c r="D2287" s="70">
        <f t="shared" si="245"/>
        <v>5</v>
      </c>
      <c r="E2287" s="70">
        <f t="shared" si="246"/>
        <v>0.2</v>
      </c>
      <c r="F2287" s="70">
        <f t="shared" si="247"/>
        <v>3</v>
      </c>
      <c r="G2287" s="70">
        <f t="shared" si="248"/>
        <v>1.3731785222878221</v>
      </c>
      <c r="H2287" s="70">
        <f t="shared" si="249"/>
        <v>0.60000000000000009</v>
      </c>
      <c r="I2287" s="70">
        <f t="shared" si="250"/>
        <v>0</v>
      </c>
      <c r="J2287" s="70">
        <f t="shared" si="251"/>
        <v>0</v>
      </c>
      <c r="K2287" s="70">
        <f>IF(CurrentMtgRatesDataTable8[[#This Row],[WA CC]]&lt;&gt;0,C2286-CurrentMtgRatesDataTable8[[#This Row],[WA CC]],0)</f>
        <v>0</v>
      </c>
      <c r="L2287" s="70">
        <f>IF(CurrentMtgRatesDataTable8[[#This Row],[Servicing Spread]]&lt;=0,L2286,CurrentMtgRatesDataTable8[[#This Row],[Servicing Spread]])</f>
        <v>1.0145948608518434</v>
      </c>
      <c r="M2287" s="70">
        <f>CurrentMtgRatesDataTable8[[#This Row],[Servicing Spread Non-Zero]]-L2286</f>
        <v>0</v>
      </c>
      <c r="N2287" s="70">
        <f>IF(J2286&lt;&gt;0,CurrentMtgRatesDataTable8[[#This Row],[Rate]]-C2286,N2286)</f>
        <v>-2.0000000000000018E-2</v>
      </c>
    </row>
    <row r="2288" spans="1:14">
      <c r="A2288" s="67" t="s">
        <v>202</v>
      </c>
      <c r="B2288" s="68">
        <v>2.2938425272831502</v>
      </c>
      <c r="C2288" s="69">
        <v>3.3049999999999997</v>
      </c>
      <c r="D2288" s="70">
        <f t="shared" si="245"/>
        <v>6</v>
      </c>
      <c r="E2288" s="70">
        <f t="shared" si="246"/>
        <v>0.2</v>
      </c>
      <c r="F2288" s="70">
        <f t="shared" si="247"/>
        <v>4</v>
      </c>
      <c r="G2288" s="70">
        <f t="shared" si="248"/>
        <v>1.8319470277444521</v>
      </c>
      <c r="H2288" s="70">
        <f t="shared" si="249"/>
        <v>0.8</v>
      </c>
      <c r="I2288" s="70">
        <f t="shared" si="250"/>
        <v>0</v>
      </c>
      <c r="J2288" s="70">
        <f t="shared" si="251"/>
        <v>0</v>
      </c>
      <c r="K2288" s="70">
        <f>IF(CurrentMtgRatesDataTable8[[#This Row],[WA CC]]&lt;&gt;0,C2287-CurrentMtgRatesDataTable8[[#This Row],[WA CC]],0)</f>
        <v>0</v>
      </c>
      <c r="L2288" s="70">
        <f>IF(CurrentMtgRatesDataTable8[[#This Row],[Servicing Spread]]&lt;=0,L2287,CurrentMtgRatesDataTable8[[#This Row],[Servicing Spread]])</f>
        <v>1.0145948608518434</v>
      </c>
      <c r="M2288" s="70">
        <f>CurrentMtgRatesDataTable8[[#This Row],[Servicing Spread Non-Zero]]-L2287</f>
        <v>0</v>
      </c>
      <c r="N2288" s="70">
        <f>IF(J2287&lt;&gt;0,CurrentMtgRatesDataTable8[[#This Row],[Rate]]-C2287,N2287)</f>
        <v>-2.0000000000000018E-2</v>
      </c>
    </row>
    <row r="2289" spans="1:14">
      <c r="A2289" s="67" t="s">
        <v>59</v>
      </c>
      <c r="B2289" s="68">
        <v>2.2944098288443899</v>
      </c>
      <c r="C2289" s="69">
        <v>3.3049999999999997</v>
      </c>
      <c r="D2289" s="70">
        <f t="shared" si="245"/>
        <v>7</v>
      </c>
      <c r="E2289" s="70">
        <f t="shared" si="246"/>
        <v>0.2</v>
      </c>
      <c r="F2289" s="70">
        <f t="shared" si="247"/>
        <v>5</v>
      </c>
      <c r="G2289" s="70">
        <f t="shared" si="248"/>
        <v>2.2908289935133301</v>
      </c>
      <c r="H2289" s="70">
        <f t="shared" si="249"/>
        <v>1</v>
      </c>
      <c r="I2289" s="70">
        <f t="shared" si="250"/>
        <v>1</v>
      </c>
      <c r="J2289" s="70">
        <f t="shared" si="251"/>
        <v>2.2908289935133301</v>
      </c>
      <c r="K2289" s="70">
        <f>IF(CurrentMtgRatesDataTable8[[#This Row],[WA CC]]&lt;&gt;0,C2288-CurrentMtgRatesDataTable8[[#This Row],[WA CC]],0)</f>
        <v>1.0141710064866696</v>
      </c>
      <c r="L2289" s="70">
        <f>IF(CurrentMtgRatesDataTable8[[#This Row],[Servicing Spread]]&lt;=0,L2288,CurrentMtgRatesDataTable8[[#This Row],[Servicing Spread]])</f>
        <v>1.0141710064866696</v>
      </c>
      <c r="M2289" s="70">
        <f>CurrentMtgRatesDataTable8[[#This Row],[Servicing Spread Non-Zero]]-L2288</f>
        <v>-4.2385436517378139E-4</v>
      </c>
      <c r="N2289" s="70">
        <f>IF(J2288&lt;&gt;0,CurrentMtgRatesDataTable8[[#This Row],[Rate]]-C2288,N2288)</f>
        <v>-2.0000000000000018E-2</v>
      </c>
    </row>
    <row r="2290" spans="1:14">
      <c r="A2290" s="67" t="s">
        <v>625</v>
      </c>
      <c r="B2290" s="68">
        <v>2.3689111618910199</v>
      </c>
      <c r="C2290" s="69">
        <v>3.3449999999999998</v>
      </c>
      <c r="D2290" s="70">
        <f t="shared" si="245"/>
        <v>1</v>
      </c>
      <c r="E2290" s="70">
        <f t="shared" si="246"/>
        <v>0.2</v>
      </c>
      <c r="F2290" s="70">
        <f t="shared" si="247"/>
        <v>1</v>
      </c>
      <c r="G2290" s="70">
        <f t="shared" si="248"/>
        <v>0.47378223237820399</v>
      </c>
      <c r="H2290" s="70">
        <f t="shared" si="249"/>
        <v>0.2</v>
      </c>
      <c r="I2290" s="70">
        <f t="shared" si="250"/>
        <v>0</v>
      </c>
      <c r="J2290" s="70">
        <f t="shared" si="251"/>
        <v>0</v>
      </c>
      <c r="K2290" s="70">
        <f>IF(CurrentMtgRatesDataTable8[[#This Row],[WA CC]]&lt;&gt;0,C2289-CurrentMtgRatesDataTable8[[#This Row],[WA CC]],0)</f>
        <v>0</v>
      </c>
      <c r="L2290" s="70">
        <f>IF(CurrentMtgRatesDataTable8[[#This Row],[Servicing Spread]]&lt;=0,L2289,CurrentMtgRatesDataTable8[[#This Row],[Servicing Spread]])</f>
        <v>1.0141710064866696</v>
      </c>
      <c r="M2290" s="70">
        <f>CurrentMtgRatesDataTable8[[#This Row],[Servicing Spread Non-Zero]]-L2289</f>
        <v>0</v>
      </c>
      <c r="N2290" s="70">
        <f>IF(J2289&lt;&gt;0,CurrentMtgRatesDataTable8[[#This Row],[Rate]]-C2289,N2289)</f>
        <v>4.0000000000000036E-2</v>
      </c>
    </row>
    <row r="2291" spans="1:14">
      <c r="A2291" s="67" t="s">
        <v>482</v>
      </c>
      <c r="B2291" s="68">
        <v>2.3502791672529901</v>
      </c>
      <c r="C2291" s="69">
        <v>3.3449999999999998</v>
      </c>
      <c r="D2291" s="70">
        <f t="shared" si="245"/>
        <v>2</v>
      </c>
      <c r="E2291" s="70">
        <f t="shared" si="246"/>
        <v>0.2</v>
      </c>
      <c r="F2291" s="70">
        <f t="shared" si="247"/>
        <v>2</v>
      </c>
      <c r="G2291" s="70">
        <f t="shared" si="248"/>
        <v>0.94383806582880203</v>
      </c>
      <c r="H2291" s="70">
        <f t="shared" si="249"/>
        <v>0.4</v>
      </c>
      <c r="I2291" s="70">
        <f t="shared" si="250"/>
        <v>0</v>
      </c>
      <c r="J2291" s="70">
        <f t="shared" si="251"/>
        <v>0</v>
      </c>
      <c r="K2291" s="70">
        <f>IF(CurrentMtgRatesDataTable8[[#This Row],[WA CC]]&lt;&gt;0,C2290-CurrentMtgRatesDataTable8[[#This Row],[WA CC]],0)</f>
        <v>0</v>
      </c>
      <c r="L2291" s="70">
        <f>IF(CurrentMtgRatesDataTable8[[#This Row],[Servicing Spread]]&lt;=0,L2290,CurrentMtgRatesDataTable8[[#This Row],[Servicing Spread]])</f>
        <v>1.0141710064866696</v>
      </c>
      <c r="M2291" s="70">
        <f>CurrentMtgRatesDataTable8[[#This Row],[Servicing Spread Non-Zero]]-L2290</f>
        <v>0</v>
      </c>
      <c r="N2291" s="70">
        <f>IF(J2290&lt;&gt;0,CurrentMtgRatesDataTable8[[#This Row],[Rate]]-C2290,N2290)</f>
        <v>4.0000000000000036E-2</v>
      </c>
    </row>
    <row r="2292" spans="1:14">
      <c r="A2292" s="67" t="s">
        <v>203</v>
      </c>
      <c r="B2292" s="68">
        <v>2.35220774246172</v>
      </c>
      <c r="C2292" s="69">
        <v>3.3449999999999998</v>
      </c>
      <c r="D2292" s="70">
        <f t="shared" si="245"/>
        <v>6</v>
      </c>
      <c r="E2292" s="70">
        <f t="shared" si="246"/>
        <v>0.2</v>
      </c>
      <c r="F2292" s="70">
        <f t="shared" si="247"/>
        <v>3</v>
      </c>
      <c r="G2292" s="70">
        <f t="shared" si="248"/>
        <v>1.414279614321146</v>
      </c>
      <c r="H2292" s="70">
        <f t="shared" si="249"/>
        <v>0.60000000000000009</v>
      </c>
      <c r="I2292" s="70">
        <f t="shared" si="250"/>
        <v>0</v>
      </c>
      <c r="J2292" s="70">
        <f t="shared" si="251"/>
        <v>0</v>
      </c>
      <c r="K2292" s="70">
        <f>IF(CurrentMtgRatesDataTable8[[#This Row],[WA CC]]&lt;&gt;0,C2291-CurrentMtgRatesDataTable8[[#This Row],[WA CC]],0)</f>
        <v>0</v>
      </c>
      <c r="L2292" s="70">
        <f>IF(CurrentMtgRatesDataTable8[[#This Row],[Servicing Spread]]&lt;=0,L2291,CurrentMtgRatesDataTable8[[#This Row],[Servicing Spread]])</f>
        <v>1.0141710064866696</v>
      </c>
      <c r="M2292" s="70">
        <f>CurrentMtgRatesDataTable8[[#This Row],[Servicing Spread Non-Zero]]-L2291</f>
        <v>0</v>
      </c>
      <c r="N2292" s="70">
        <f>IF(J2291&lt;&gt;0,CurrentMtgRatesDataTable8[[#This Row],[Rate]]-C2291,N2291)</f>
        <v>4.0000000000000036E-2</v>
      </c>
    </row>
    <row r="2293" spans="1:14">
      <c r="A2293" s="67" t="s">
        <v>60</v>
      </c>
      <c r="B2293" s="68">
        <v>2.3433125325998301</v>
      </c>
      <c r="C2293" s="69">
        <v>3.3449999999999998</v>
      </c>
      <c r="D2293" s="70">
        <f t="shared" si="245"/>
        <v>7</v>
      </c>
      <c r="E2293" s="70">
        <f t="shared" si="246"/>
        <v>0.2</v>
      </c>
      <c r="F2293" s="70">
        <f t="shared" si="247"/>
        <v>4</v>
      </c>
      <c r="G2293" s="70">
        <f t="shared" si="248"/>
        <v>1.8829421208411121</v>
      </c>
      <c r="H2293" s="70">
        <f t="shared" si="249"/>
        <v>0.8</v>
      </c>
      <c r="I2293" s="70">
        <f t="shared" si="250"/>
        <v>1</v>
      </c>
      <c r="J2293" s="70">
        <f t="shared" si="251"/>
        <v>2.3536776510513899</v>
      </c>
      <c r="K2293" s="70">
        <f>IF(CurrentMtgRatesDataTable8[[#This Row],[WA CC]]&lt;&gt;0,C2292-CurrentMtgRatesDataTable8[[#This Row],[WA CC]],0)</f>
        <v>0.99132234894860982</v>
      </c>
      <c r="L2293" s="70">
        <f>IF(CurrentMtgRatesDataTable8[[#This Row],[Servicing Spread]]&lt;=0,L2292,CurrentMtgRatesDataTable8[[#This Row],[Servicing Spread]])</f>
        <v>0.99132234894860982</v>
      </c>
      <c r="M2293" s="70">
        <f>CurrentMtgRatesDataTable8[[#This Row],[Servicing Spread Non-Zero]]-L2292</f>
        <v>-2.2848657538059758E-2</v>
      </c>
      <c r="N2293" s="70">
        <f>IF(J2292&lt;&gt;0,CurrentMtgRatesDataTable8[[#This Row],[Rate]]-C2292,N2292)</f>
        <v>4.0000000000000036E-2</v>
      </c>
    </row>
    <row r="2294" spans="1:14">
      <c r="A2294" s="67" t="s">
        <v>626</v>
      </c>
      <c r="B2294" s="68">
        <v>2.3674188938348699</v>
      </c>
      <c r="C2294" s="69">
        <v>3.4549999999999996</v>
      </c>
      <c r="D2294" s="70">
        <f t="shared" si="245"/>
        <v>1</v>
      </c>
      <c r="E2294" s="70">
        <f t="shared" si="246"/>
        <v>0.2</v>
      </c>
      <c r="F2294" s="70">
        <f t="shared" si="247"/>
        <v>1</v>
      </c>
      <c r="G2294" s="70">
        <f t="shared" si="248"/>
        <v>0.47348377876697401</v>
      </c>
      <c r="H2294" s="70">
        <f t="shared" si="249"/>
        <v>0.2</v>
      </c>
      <c r="I2294" s="70">
        <f t="shared" si="250"/>
        <v>0</v>
      </c>
      <c r="J2294" s="70">
        <f t="shared" si="251"/>
        <v>0</v>
      </c>
      <c r="K2294" s="70">
        <f>IF(CurrentMtgRatesDataTable8[[#This Row],[WA CC]]&lt;&gt;0,C2293-CurrentMtgRatesDataTable8[[#This Row],[WA CC]],0)</f>
        <v>0</v>
      </c>
      <c r="L2294" s="70">
        <f>IF(CurrentMtgRatesDataTable8[[#This Row],[Servicing Spread]]&lt;=0,L2293,CurrentMtgRatesDataTable8[[#This Row],[Servicing Spread]])</f>
        <v>0.99132234894860982</v>
      </c>
      <c r="M2294" s="70">
        <f>CurrentMtgRatesDataTable8[[#This Row],[Servicing Spread Non-Zero]]-L2293</f>
        <v>0</v>
      </c>
      <c r="N2294" s="70">
        <f>IF(J2293&lt;&gt;0,CurrentMtgRatesDataTable8[[#This Row],[Rate]]-C2293,N2293)</f>
        <v>0.10999999999999988</v>
      </c>
    </row>
    <row r="2295" spans="1:14">
      <c r="A2295" s="67" t="s">
        <v>483</v>
      </c>
      <c r="B2295" s="68">
        <v>2.50531849536197</v>
      </c>
      <c r="C2295" s="69">
        <v>3.4549999999999996</v>
      </c>
      <c r="D2295" s="70">
        <f t="shared" si="245"/>
        <v>2</v>
      </c>
      <c r="E2295" s="70">
        <f t="shared" si="246"/>
        <v>0.2</v>
      </c>
      <c r="F2295" s="70">
        <f t="shared" si="247"/>
        <v>2</v>
      </c>
      <c r="G2295" s="70">
        <f t="shared" si="248"/>
        <v>0.97454747783936801</v>
      </c>
      <c r="H2295" s="70">
        <f t="shared" si="249"/>
        <v>0.4</v>
      </c>
      <c r="I2295" s="70">
        <f t="shared" si="250"/>
        <v>0</v>
      </c>
      <c r="J2295" s="70">
        <f t="shared" si="251"/>
        <v>0</v>
      </c>
      <c r="K2295" s="70">
        <f>IF(CurrentMtgRatesDataTable8[[#This Row],[WA CC]]&lt;&gt;0,C2294-CurrentMtgRatesDataTable8[[#This Row],[WA CC]],0)</f>
        <v>0</v>
      </c>
      <c r="L2295" s="70">
        <f>IF(CurrentMtgRatesDataTable8[[#This Row],[Servicing Spread]]&lt;=0,L2294,CurrentMtgRatesDataTable8[[#This Row],[Servicing Spread]])</f>
        <v>0.99132234894860982</v>
      </c>
      <c r="M2295" s="70">
        <f>CurrentMtgRatesDataTable8[[#This Row],[Servicing Spread Non-Zero]]-L2294</f>
        <v>0</v>
      </c>
      <c r="N2295" s="70">
        <f>IF(J2294&lt;&gt;0,CurrentMtgRatesDataTable8[[#This Row],[Rate]]-C2294,N2294)</f>
        <v>0.10999999999999988</v>
      </c>
    </row>
    <row r="2296" spans="1:14">
      <c r="A2296" s="67" t="s">
        <v>345</v>
      </c>
      <c r="B2296" s="68">
        <v>2.5393282304868099</v>
      </c>
      <c r="C2296" s="69">
        <v>3.4549999999999996</v>
      </c>
      <c r="D2296" s="70">
        <f t="shared" si="245"/>
        <v>5</v>
      </c>
      <c r="E2296" s="70">
        <f t="shared" si="246"/>
        <v>0.2</v>
      </c>
      <c r="F2296" s="70">
        <f t="shared" si="247"/>
        <v>3</v>
      </c>
      <c r="G2296" s="70">
        <f t="shared" si="248"/>
        <v>1.48241312393673</v>
      </c>
      <c r="H2296" s="70">
        <f t="shared" si="249"/>
        <v>0.60000000000000009</v>
      </c>
      <c r="I2296" s="70">
        <f t="shared" si="250"/>
        <v>0</v>
      </c>
      <c r="J2296" s="70">
        <f t="shared" si="251"/>
        <v>0</v>
      </c>
      <c r="K2296" s="70">
        <f>IF(CurrentMtgRatesDataTable8[[#This Row],[WA CC]]&lt;&gt;0,C2295-CurrentMtgRatesDataTable8[[#This Row],[WA CC]],0)</f>
        <v>0</v>
      </c>
      <c r="L2296" s="70">
        <f>IF(CurrentMtgRatesDataTable8[[#This Row],[Servicing Spread]]&lt;=0,L2295,CurrentMtgRatesDataTable8[[#This Row],[Servicing Spread]])</f>
        <v>0.99132234894860982</v>
      </c>
      <c r="M2296" s="70">
        <f>CurrentMtgRatesDataTable8[[#This Row],[Servicing Spread Non-Zero]]-L2295</f>
        <v>0</v>
      </c>
      <c r="N2296" s="70">
        <f>IF(J2295&lt;&gt;0,CurrentMtgRatesDataTable8[[#This Row],[Rate]]-C2295,N2295)</f>
        <v>0.10999999999999988</v>
      </c>
    </row>
    <row r="2297" spans="1:14">
      <c r="A2297" s="67" t="s">
        <v>204</v>
      </c>
      <c r="B2297" s="68">
        <v>2.5598092537420398</v>
      </c>
      <c r="C2297" s="69">
        <v>3.4549999999999996</v>
      </c>
      <c r="D2297" s="70">
        <f t="shared" si="245"/>
        <v>6</v>
      </c>
      <c r="E2297" s="70">
        <f t="shared" si="246"/>
        <v>0.2</v>
      </c>
      <c r="F2297" s="70">
        <f t="shared" si="247"/>
        <v>4</v>
      </c>
      <c r="G2297" s="70">
        <f t="shared" si="248"/>
        <v>1.994374974685138</v>
      </c>
      <c r="H2297" s="70">
        <f t="shared" si="249"/>
        <v>0.8</v>
      </c>
      <c r="I2297" s="70">
        <f t="shared" si="250"/>
        <v>0</v>
      </c>
      <c r="J2297" s="70">
        <f t="shared" si="251"/>
        <v>0</v>
      </c>
      <c r="K2297" s="70">
        <f>IF(CurrentMtgRatesDataTable8[[#This Row],[WA CC]]&lt;&gt;0,C2296-CurrentMtgRatesDataTable8[[#This Row],[WA CC]],0)</f>
        <v>0</v>
      </c>
      <c r="L2297" s="70">
        <f>IF(CurrentMtgRatesDataTable8[[#This Row],[Servicing Spread]]&lt;=0,L2296,CurrentMtgRatesDataTable8[[#This Row],[Servicing Spread]])</f>
        <v>0.99132234894860982</v>
      </c>
      <c r="M2297" s="70">
        <f>CurrentMtgRatesDataTable8[[#This Row],[Servicing Spread Non-Zero]]-L2296</f>
        <v>0</v>
      </c>
      <c r="N2297" s="70">
        <f>IF(J2296&lt;&gt;0,CurrentMtgRatesDataTable8[[#This Row],[Rate]]-C2296,N2296)</f>
        <v>0.10999999999999988</v>
      </c>
    </row>
    <row r="2298" spans="1:14">
      <c r="A2298" s="67" t="s">
        <v>61</v>
      </c>
      <c r="B2298" s="68">
        <v>2.5772925233697599</v>
      </c>
      <c r="C2298" s="69">
        <v>3.4549999999999996</v>
      </c>
      <c r="D2298" s="70">
        <f t="shared" si="245"/>
        <v>7</v>
      </c>
      <c r="E2298" s="70">
        <f t="shared" si="246"/>
        <v>0.2</v>
      </c>
      <c r="F2298" s="70">
        <f t="shared" si="247"/>
        <v>5</v>
      </c>
      <c r="G2298" s="70">
        <f t="shared" si="248"/>
        <v>2.5098334793590902</v>
      </c>
      <c r="H2298" s="70">
        <f t="shared" si="249"/>
        <v>1</v>
      </c>
      <c r="I2298" s="70">
        <f t="shared" si="250"/>
        <v>1</v>
      </c>
      <c r="J2298" s="70">
        <f t="shared" si="251"/>
        <v>2.5098334793590902</v>
      </c>
      <c r="K2298" s="70">
        <f>IF(CurrentMtgRatesDataTable8[[#This Row],[WA CC]]&lt;&gt;0,C2297-CurrentMtgRatesDataTable8[[#This Row],[WA CC]],0)</f>
        <v>0.94516652064090945</v>
      </c>
      <c r="L2298" s="70">
        <f>IF(CurrentMtgRatesDataTable8[[#This Row],[Servicing Spread]]&lt;=0,L2297,CurrentMtgRatesDataTable8[[#This Row],[Servicing Spread]])</f>
        <v>0.94516652064090945</v>
      </c>
      <c r="M2298" s="70">
        <f>CurrentMtgRatesDataTable8[[#This Row],[Servicing Spread Non-Zero]]-L2297</f>
        <v>-4.6155828307700375E-2</v>
      </c>
      <c r="N2298" s="70">
        <f>IF(J2297&lt;&gt;0,CurrentMtgRatesDataTable8[[#This Row],[Rate]]-C2297,N2297)</f>
        <v>0.10999999999999988</v>
      </c>
    </row>
    <row r="2299" spans="1:14">
      <c r="A2299" s="67" t="s">
        <v>627</v>
      </c>
      <c r="B2299" s="68">
        <v>2.57376759097352</v>
      </c>
      <c r="C2299" s="69">
        <v>3.48</v>
      </c>
      <c r="D2299" s="70">
        <f t="shared" si="245"/>
        <v>1</v>
      </c>
      <c r="E2299" s="70">
        <f t="shared" si="246"/>
        <v>0.2</v>
      </c>
      <c r="F2299" s="70">
        <f t="shared" si="247"/>
        <v>1</v>
      </c>
      <c r="G2299" s="70">
        <f t="shared" si="248"/>
        <v>0.51475351819470405</v>
      </c>
      <c r="H2299" s="70">
        <f t="shared" si="249"/>
        <v>0.2</v>
      </c>
      <c r="I2299" s="70">
        <f t="shared" si="250"/>
        <v>0</v>
      </c>
      <c r="J2299" s="70">
        <f t="shared" si="251"/>
        <v>0</v>
      </c>
      <c r="K2299" s="70">
        <f>IF(CurrentMtgRatesDataTable8[[#This Row],[WA CC]]&lt;&gt;0,C2298-CurrentMtgRatesDataTable8[[#This Row],[WA CC]],0)</f>
        <v>0</v>
      </c>
      <c r="L2299" s="70">
        <f>IF(CurrentMtgRatesDataTable8[[#This Row],[Servicing Spread]]&lt;=0,L2298,CurrentMtgRatesDataTable8[[#This Row],[Servicing Spread]])</f>
        <v>0.94516652064090945</v>
      </c>
      <c r="M2299" s="70">
        <f>CurrentMtgRatesDataTable8[[#This Row],[Servicing Spread Non-Zero]]-L2298</f>
        <v>0</v>
      </c>
      <c r="N2299" s="70">
        <f>IF(J2298&lt;&gt;0,CurrentMtgRatesDataTable8[[#This Row],[Rate]]-C2298,N2298)</f>
        <v>2.5000000000000355E-2</v>
      </c>
    </row>
    <row r="2300" spans="1:14">
      <c r="A2300" s="67" t="s">
        <v>484</v>
      </c>
      <c r="B2300" s="68">
        <v>2.5914055356862402</v>
      </c>
      <c r="C2300" s="69">
        <v>3.48</v>
      </c>
      <c r="D2300" s="70">
        <f t="shared" si="245"/>
        <v>2</v>
      </c>
      <c r="E2300" s="70">
        <f t="shared" si="246"/>
        <v>0.2</v>
      </c>
      <c r="F2300" s="70">
        <f t="shared" si="247"/>
        <v>2</v>
      </c>
      <c r="G2300" s="70">
        <f t="shared" si="248"/>
        <v>1.0330346253319522</v>
      </c>
      <c r="H2300" s="70">
        <f t="shared" si="249"/>
        <v>0.4</v>
      </c>
      <c r="I2300" s="70">
        <f t="shared" si="250"/>
        <v>0</v>
      </c>
      <c r="J2300" s="70">
        <f t="shared" si="251"/>
        <v>0</v>
      </c>
      <c r="K2300" s="70">
        <f>IF(CurrentMtgRatesDataTable8[[#This Row],[WA CC]]&lt;&gt;0,C2299-CurrentMtgRatesDataTable8[[#This Row],[WA CC]],0)</f>
        <v>0</v>
      </c>
      <c r="L2300" s="70">
        <f>IF(CurrentMtgRatesDataTable8[[#This Row],[Servicing Spread]]&lt;=0,L2299,CurrentMtgRatesDataTable8[[#This Row],[Servicing Spread]])</f>
        <v>0.94516652064090945</v>
      </c>
      <c r="M2300" s="70">
        <f>CurrentMtgRatesDataTable8[[#This Row],[Servicing Spread Non-Zero]]-L2299</f>
        <v>0</v>
      </c>
      <c r="N2300" s="70">
        <f>IF(J2299&lt;&gt;0,CurrentMtgRatesDataTable8[[#This Row],[Rate]]-C2299,N2299)</f>
        <v>2.5000000000000355E-2</v>
      </c>
    </row>
    <row r="2301" spans="1:14">
      <c r="A2301" s="67" t="s">
        <v>346</v>
      </c>
      <c r="B2301" s="68">
        <v>2.5556270132589098</v>
      </c>
      <c r="C2301" s="69">
        <v>3.48</v>
      </c>
      <c r="D2301" s="70">
        <f t="shared" si="245"/>
        <v>5</v>
      </c>
      <c r="E2301" s="70">
        <f t="shared" si="246"/>
        <v>0.2</v>
      </c>
      <c r="F2301" s="70">
        <f t="shared" si="247"/>
        <v>3</v>
      </c>
      <c r="G2301" s="70">
        <f t="shared" si="248"/>
        <v>1.5441600279837342</v>
      </c>
      <c r="H2301" s="70">
        <f t="shared" si="249"/>
        <v>0.60000000000000009</v>
      </c>
      <c r="I2301" s="70">
        <f t="shared" si="250"/>
        <v>0</v>
      </c>
      <c r="J2301" s="70">
        <f t="shared" si="251"/>
        <v>0</v>
      </c>
      <c r="K2301" s="70">
        <f>IF(CurrentMtgRatesDataTable8[[#This Row],[WA CC]]&lt;&gt;0,C2300-CurrentMtgRatesDataTable8[[#This Row],[WA CC]],0)</f>
        <v>0</v>
      </c>
      <c r="L2301" s="70">
        <f>IF(CurrentMtgRatesDataTable8[[#This Row],[Servicing Spread]]&lt;=0,L2300,CurrentMtgRatesDataTable8[[#This Row],[Servicing Spread]])</f>
        <v>0.94516652064090945</v>
      </c>
      <c r="M2301" s="70">
        <f>CurrentMtgRatesDataTable8[[#This Row],[Servicing Spread Non-Zero]]-L2300</f>
        <v>0</v>
      </c>
      <c r="N2301" s="70">
        <f>IF(J2300&lt;&gt;0,CurrentMtgRatesDataTable8[[#This Row],[Rate]]-C2300,N2300)</f>
        <v>2.5000000000000355E-2</v>
      </c>
    </row>
    <row r="2302" spans="1:14">
      <c r="A2302" s="67" t="s">
        <v>205</v>
      </c>
      <c r="B2302" s="68">
        <v>2.6005196496782901</v>
      </c>
      <c r="C2302" s="69">
        <v>3.48</v>
      </c>
      <c r="D2302" s="70">
        <f t="shared" si="245"/>
        <v>6</v>
      </c>
      <c r="E2302" s="70">
        <f t="shared" si="246"/>
        <v>0.2</v>
      </c>
      <c r="F2302" s="70">
        <f t="shared" si="247"/>
        <v>4</v>
      </c>
      <c r="G2302" s="70">
        <f t="shared" si="248"/>
        <v>2.0642639579193922</v>
      </c>
      <c r="H2302" s="70">
        <f t="shared" si="249"/>
        <v>0.8</v>
      </c>
      <c r="I2302" s="70">
        <f t="shared" si="250"/>
        <v>0</v>
      </c>
      <c r="J2302" s="70">
        <f t="shared" si="251"/>
        <v>0</v>
      </c>
      <c r="K2302" s="70">
        <f>IF(CurrentMtgRatesDataTable8[[#This Row],[WA CC]]&lt;&gt;0,C2301-CurrentMtgRatesDataTable8[[#This Row],[WA CC]],0)</f>
        <v>0</v>
      </c>
      <c r="L2302" s="70">
        <f>IF(CurrentMtgRatesDataTable8[[#This Row],[Servicing Spread]]&lt;=0,L2301,CurrentMtgRatesDataTable8[[#This Row],[Servicing Spread]])</f>
        <v>0.94516652064090945</v>
      </c>
      <c r="M2302" s="70">
        <f>CurrentMtgRatesDataTable8[[#This Row],[Servicing Spread Non-Zero]]-L2301</f>
        <v>0</v>
      </c>
      <c r="N2302" s="70">
        <f>IF(J2301&lt;&gt;0,CurrentMtgRatesDataTable8[[#This Row],[Rate]]-C2301,N2301)</f>
        <v>2.5000000000000355E-2</v>
      </c>
    </row>
    <row r="2303" spans="1:14">
      <c r="A2303" s="67" t="s">
        <v>62</v>
      </c>
      <c r="B2303" s="68">
        <v>2.55943207517402</v>
      </c>
      <c r="C2303" s="69">
        <v>3.48</v>
      </c>
      <c r="D2303" s="70">
        <f t="shared" si="245"/>
        <v>7</v>
      </c>
      <c r="E2303" s="70">
        <f t="shared" si="246"/>
        <v>0.2</v>
      </c>
      <c r="F2303" s="70">
        <f t="shared" si="247"/>
        <v>5</v>
      </c>
      <c r="G2303" s="70">
        <f t="shared" si="248"/>
        <v>2.5761503729541961</v>
      </c>
      <c r="H2303" s="70">
        <f t="shared" si="249"/>
        <v>1</v>
      </c>
      <c r="I2303" s="70">
        <f t="shared" si="250"/>
        <v>1</v>
      </c>
      <c r="J2303" s="70">
        <f t="shared" si="251"/>
        <v>2.5761503729541961</v>
      </c>
      <c r="K2303" s="70">
        <f>IF(CurrentMtgRatesDataTable8[[#This Row],[WA CC]]&lt;&gt;0,C2302-CurrentMtgRatesDataTable8[[#This Row],[WA CC]],0)</f>
        <v>0.90384962704580385</v>
      </c>
      <c r="L2303" s="70">
        <f>IF(CurrentMtgRatesDataTable8[[#This Row],[Servicing Spread]]&lt;=0,L2302,CurrentMtgRatesDataTable8[[#This Row],[Servicing Spread]])</f>
        <v>0.90384962704580385</v>
      </c>
      <c r="M2303" s="70">
        <f>CurrentMtgRatesDataTable8[[#This Row],[Servicing Spread Non-Zero]]-L2302</f>
        <v>-4.1316893595105597E-2</v>
      </c>
      <c r="N2303" s="70">
        <f>IF(J2302&lt;&gt;0,CurrentMtgRatesDataTable8[[#This Row],[Rate]]-C2302,N2302)</f>
        <v>2.5000000000000355E-2</v>
      </c>
    </row>
    <row r="2304" spans="1:14">
      <c r="A2304" s="67" t="s">
        <v>628</v>
      </c>
      <c r="B2304" s="68">
        <v>2.5513624904448799</v>
      </c>
      <c r="C2304" s="69">
        <v>3.48</v>
      </c>
      <c r="D2304" s="70">
        <f t="shared" si="245"/>
        <v>1</v>
      </c>
      <c r="E2304" s="70">
        <f t="shared" si="246"/>
        <v>0.2</v>
      </c>
      <c r="F2304" s="70">
        <f t="shared" si="247"/>
        <v>1</v>
      </c>
      <c r="G2304" s="70">
        <f t="shared" si="248"/>
        <v>0.51027249808897601</v>
      </c>
      <c r="H2304" s="70">
        <f t="shared" si="249"/>
        <v>0.2</v>
      </c>
      <c r="I2304" s="70">
        <f t="shared" si="250"/>
        <v>0</v>
      </c>
      <c r="J2304" s="70">
        <f t="shared" si="251"/>
        <v>0</v>
      </c>
      <c r="K2304" s="70">
        <f>IF(CurrentMtgRatesDataTable8[[#This Row],[WA CC]]&lt;&gt;0,C2303-CurrentMtgRatesDataTable8[[#This Row],[WA CC]],0)</f>
        <v>0</v>
      </c>
      <c r="L2304" s="70">
        <f>IF(CurrentMtgRatesDataTable8[[#This Row],[Servicing Spread]]&lt;=0,L2303,CurrentMtgRatesDataTable8[[#This Row],[Servicing Spread]])</f>
        <v>0.90384962704580385</v>
      </c>
      <c r="M2304" s="70">
        <f>CurrentMtgRatesDataTable8[[#This Row],[Servicing Spread Non-Zero]]-L2303</f>
        <v>0</v>
      </c>
      <c r="N2304" s="70">
        <f>IF(J2303&lt;&gt;0,CurrentMtgRatesDataTable8[[#This Row],[Rate]]-C2303,N2303)</f>
        <v>0</v>
      </c>
    </row>
    <row r="2305" spans="1:14">
      <c r="A2305" s="67" t="s">
        <v>485</v>
      </c>
      <c r="B2305" s="68">
        <v>2.5731755488249699</v>
      </c>
      <c r="C2305" s="69">
        <v>3.48</v>
      </c>
      <c r="D2305" s="70">
        <f t="shared" si="245"/>
        <v>2</v>
      </c>
      <c r="E2305" s="70">
        <f t="shared" si="246"/>
        <v>0.2</v>
      </c>
      <c r="F2305" s="70">
        <f t="shared" si="247"/>
        <v>2</v>
      </c>
      <c r="G2305" s="70">
        <f t="shared" si="248"/>
        <v>1.0249076078539701</v>
      </c>
      <c r="H2305" s="70">
        <f t="shared" si="249"/>
        <v>0.4</v>
      </c>
      <c r="I2305" s="70">
        <f t="shared" si="250"/>
        <v>0</v>
      </c>
      <c r="J2305" s="70">
        <f t="shared" si="251"/>
        <v>0</v>
      </c>
      <c r="K2305" s="70">
        <f>IF(CurrentMtgRatesDataTable8[[#This Row],[WA CC]]&lt;&gt;0,C2304-CurrentMtgRatesDataTable8[[#This Row],[WA CC]],0)</f>
        <v>0</v>
      </c>
      <c r="L2305" s="70">
        <f>IF(CurrentMtgRatesDataTable8[[#This Row],[Servicing Spread]]&lt;=0,L2304,CurrentMtgRatesDataTable8[[#This Row],[Servicing Spread]])</f>
        <v>0.90384962704580385</v>
      </c>
      <c r="M2305" s="70">
        <f>CurrentMtgRatesDataTable8[[#This Row],[Servicing Spread Non-Zero]]-L2304</f>
        <v>0</v>
      </c>
      <c r="N2305" s="70">
        <f>IF(J2304&lt;&gt;0,CurrentMtgRatesDataTable8[[#This Row],[Rate]]-C2304,N2304)</f>
        <v>0</v>
      </c>
    </row>
    <row r="2306" spans="1:14">
      <c r="A2306" s="67" t="s">
        <v>347</v>
      </c>
      <c r="B2306" s="68">
        <v>2.56530846465939</v>
      </c>
      <c r="C2306" s="69">
        <v>3.48</v>
      </c>
      <c r="D2306" s="70">
        <f t="shared" si="245"/>
        <v>5</v>
      </c>
      <c r="E2306" s="70">
        <f t="shared" si="246"/>
        <v>0.2</v>
      </c>
      <c r="F2306" s="70">
        <f t="shared" si="247"/>
        <v>3</v>
      </c>
      <c r="G2306" s="70">
        <f t="shared" si="248"/>
        <v>1.5379693007858481</v>
      </c>
      <c r="H2306" s="70">
        <f t="shared" si="249"/>
        <v>0.60000000000000009</v>
      </c>
      <c r="I2306" s="70">
        <f t="shared" si="250"/>
        <v>0</v>
      </c>
      <c r="J2306" s="70">
        <f t="shared" si="251"/>
        <v>0</v>
      </c>
      <c r="K2306" s="70">
        <f>IF(CurrentMtgRatesDataTable8[[#This Row],[WA CC]]&lt;&gt;0,C2305-CurrentMtgRatesDataTable8[[#This Row],[WA CC]],0)</f>
        <v>0</v>
      </c>
      <c r="L2306" s="70">
        <f>IF(CurrentMtgRatesDataTable8[[#This Row],[Servicing Spread]]&lt;=0,L2305,CurrentMtgRatesDataTable8[[#This Row],[Servicing Spread]])</f>
        <v>0.90384962704580385</v>
      </c>
      <c r="M2306" s="70">
        <f>CurrentMtgRatesDataTable8[[#This Row],[Servicing Spread Non-Zero]]-L2305</f>
        <v>0</v>
      </c>
      <c r="N2306" s="70">
        <f>IF(J2305&lt;&gt;0,CurrentMtgRatesDataTable8[[#This Row],[Rate]]-C2305,N2305)</f>
        <v>0</v>
      </c>
    </row>
    <row r="2307" spans="1:14">
      <c r="A2307" s="67" t="s">
        <v>206</v>
      </c>
      <c r="B2307" s="68">
        <v>2.6070118411689598</v>
      </c>
      <c r="C2307" s="69">
        <v>3.48</v>
      </c>
      <c r="D2307" s="70">
        <f t="shared" si="245"/>
        <v>6</v>
      </c>
      <c r="E2307" s="70">
        <f t="shared" si="246"/>
        <v>0.2</v>
      </c>
      <c r="F2307" s="70">
        <f t="shared" si="247"/>
        <v>4</v>
      </c>
      <c r="G2307" s="70">
        <f t="shared" si="248"/>
        <v>2.0593716690196402</v>
      </c>
      <c r="H2307" s="70">
        <f t="shared" si="249"/>
        <v>0.8</v>
      </c>
      <c r="I2307" s="70">
        <f t="shared" si="250"/>
        <v>0</v>
      </c>
      <c r="J2307" s="70">
        <f t="shared" si="251"/>
        <v>0</v>
      </c>
      <c r="K2307" s="70">
        <f>IF(CurrentMtgRatesDataTable8[[#This Row],[WA CC]]&lt;&gt;0,C2306-CurrentMtgRatesDataTable8[[#This Row],[WA CC]],0)</f>
        <v>0</v>
      </c>
      <c r="L2307" s="70">
        <f>IF(CurrentMtgRatesDataTable8[[#This Row],[Servicing Spread]]&lt;=0,L2306,CurrentMtgRatesDataTable8[[#This Row],[Servicing Spread]])</f>
        <v>0.90384962704580385</v>
      </c>
      <c r="M2307" s="70">
        <f>CurrentMtgRatesDataTable8[[#This Row],[Servicing Spread Non-Zero]]-L2306</f>
        <v>0</v>
      </c>
      <c r="N2307" s="70">
        <f>IF(J2306&lt;&gt;0,CurrentMtgRatesDataTable8[[#This Row],[Rate]]-C2306,N2306)</f>
        <v>0</v>
      </c>
    </row>
    <row r="2308" spans="1:14">
      <c r="A2308" s="67" t="s">
        <v>63</v>
      </c>
      <c r="B2308" s="68">
        <v>2.6537197373142098</v>
      </c>
      <c r="C2308" s="69">
        <v>3.48</v>
      </c>
      <c r="D2308" s="70">
        <f t="shared" si="245"/>
        <v>7</v>
      </c>
      <c r="E2308" s="70">
        <f t="shared" si="246"/>
        <v>0.2</v>
      </c>
      <c r="F2308" s="70">
        <f t="shared" si="247"/>
        <v>5</v>
      </c>
      <c r="G2308" s="70">
        <f t="shared" si="248"/>
        <v>2.5901156164824823</v>
      </c>
      <c r="H2308" s="70">
        <f t="shared" si="249"/>
        <v>1</v>
      </c>
      <c r="I2308" s="70">
        <f t="shared" si="250"/>
        <v>1</v>
      </c>
      <c r="J2308" s="70">
        <f t="shared" si="251"/>
        <v>2.5901156164824823</v>
      </c>
      <c r="K2308" s="70">
        <f>IF(CurrentMtgRatesDataTable8[[#This Row],[WA CC]]&lt;&gt;0,C2307-CurrentMtgRatesDataTable8[[#This Row],[WA CC]],0)</f>
        <v>0.88988438351751764</v>
      </c>
      <c r="L2308" s="70">
        <f>IF(CurrentMtgRatesDataTable8[[#This Row],[Servicing Spread]]&lt;=0,L2307,CurrentMtgRatesDataTable8[[#This Row],[Servicing Spread]])</f>
        <v>0.88988438351751764</v>
      </c>
      <c r="M2308" s="70">
        <f>CurrentMtgRatesDataTable8[[#This Row],[Servicing Spread Non-Zero]]-L2307</f>
        <v>-1.3965243528286209E-2</v>
      </c>
      <c r="N2308" s="70">
        <f>IF(J2307&lt;&gt;0,CurrentMtgRatesDataTable8[[#This Row],[Rate]]-C2307,N2307)</f>
        <v>0</v>
      </c>
    </row>
    <row r="2309" spans="1:14">
      <c r="A2309" s="67" t="s">
        <v>629</v>
      </c>
      <c r="B2309" s="68">
        <v>2.6085491789438602</v>
      </c>
      <c r="C2309" s="69">
        <v>3.5100000000000002</v>
      </c>
      <c r="D2309" s="70">
        <f t="shared" ref="D2309:D2372" si="252">WEEKDAY(A2309,14)</f>
        <v>1</v>
      </c>
      <c r="E2309" s="70">
        <f t="shared" ref="E2309:E2372" si="253">VLOOKUP(D2309,Q$5:R$11,2,FALSE)</f>
        <v>0.2</v>
      </c>
      <c r="F2309" s="70">
        <f t="shared" ref="F2309:F2372" si="254">IF(AND(D2309&gt;D2308,F2308&lt;6),F2308+1,1)</f>
        <v>1</v>
      </c>
      <c r="G2309" s="70">
        <f t="shared" ref="G2309:G2372" si="255">IF(F2309&gt;F2308,G2308+B2309*E2309,B2309*E2309)</f>
        <v>0.52170983578877206</v>
      </c>
      <c r="H2309" s="70">
        <f t="shared" ref="H2309:H2372" si="256">IF(AND(F2309&lt;6,F2309&gt;F2308),E2309+H2308,E2309)</f>
        <v>0.2</v>
      </c>
      <c r="I2309" s="70">
        <f t="shared" ref="I2309:I2372" si="257">IF(F2309&gt;F2310,1,0)</f>
        <v>0</v>
      </c>
      <c r="J2309" s="70">
        <f t="shared" ref="J2309:J2372" si="258">IF(F2309&gt;F2310,G2309/H2309,0)</f>
        <v>0</v>
      </c>
      <c r="K2309" s="70">
        <f>IF(CurrentMtgRatesDataTable8[[#This Row],[WA CC]]&lt;&gt;0,C2308-CurrentMtgRatesDataTable8[[#This Row],[WA CC]],0)</f>
        <v>0</v>
      </c>
      <c r="L2309" s="70">
        <f>IF(CurrentMtgRatesDataTable8[[#This Row],[Servicing Spread]]&lt;=0,L2308,CurrentMtgRatesDataTable8[[#This Row],[Servicing Spread]])</f>
        <v>0.88988438351751764</v>
      </c>
      <c r="M2309" s="70">
        <f>CurrentMtgRatesDataTable8[[#This Row],[Servicing Spread Non-Zero]]-L2308</f>
        <v>0</v>
      </c>
      <c r="N2309" s="70">
        <f>IF(J2308&lt;&gt;0,CurrentMtgRatesDataTable8[[#This Row],[Rate]]-C2308,N2308)</f>
        <v>3.0000000000000249E-2</v>
      </c>
    </row>
    <row r="2310" spans="1:14">
      <c r="A2310" s="67" t="s">
        <v>486</v>
      </c>
      <c r="B2310" s="68">
        <v>2.6207856725732901</v>
      </c>
      <c r="C2310" s="69">
        <v>3.5100000000000002</v>
      </c>
      <c r="D2310" s="70">
        <f t="shared" si="252"/>
        <v>2</v>
      </c>
      <c r="E2310" s="70">
        <f t="shared" si="253"/>
        <v>0.2</v>
      </c>
      <c r="F2310" s="70">
        <f t="shared" si="254"/>
        <v>2</v>
      </c>
      <c r="G2310" s="70">
        <f t="shared" si="255"/>
        <v>1.0458669703034302</v>
      </c>
      <c r="H2310" s="70">
        <f t="shared" si="256"/>
        <v>0.4</v>
      </c>
      <c r="I2310" s="70">
        <f t="shared" si="257"/>
        <v>0</v>
      </c>
      <c r="J2310" s="70">
        <f t="shared" si="258"/>
        <v>0</v>
      </c>
      <c r="K2310" s="70">
        <f>IF(CurrentMtgRatesDataTable8[[#This Row],[WA CC]]&lt;&gt;0,C2309-CurrentMtgRatesDataTable8[[#This Row],[WA CC]],0)</f>
        <v>0</v>
      </c>
      <c r="L2310" s="70">
        <f>IF(CurrentMtgRatesDataTable8[[#This Row],[Servicing Spread]]&lt;=0,L2309,CurrentMtgRatesDataTable8[[#This Row],[Servicing Spread]])</f>
        <v>0.88988438351751764</v>
      </c>
      <c r="M2310" s="70">
        <f>CurrentMtgRatesDataTable8[[#This Row],[Servicing Spread Non-Zero]]-L2309</f>
        <v>0</v>
      </c>
      <c r="N2310" s="70">
        <f>IF(J2309&lt;&gt;0,CurrentMtgRatesDataTable8[[#This Row],[Rate]]-C2309,N2309)</f>
        <v>3.0000000000000249E-2</v>
      </c>
    </row>
    <row r="2311" spans="1:14">
      <c r="A2311" s="67" t="s">
        <v>207</v>
      </c>
      <c r="B2311" s="68">
        <v>2.6380211947179002</v>
      </c>
      <c r="C2311" s="69">
        <v>3.5100000000000002</v>
      </c>
      <c r="D2311" s="70">
        <f t="shared" si="252"/>
        <v>6</v>
      </c>
      <c r="E2311" s="70">
        <f t="shared" si="253"/>
        <v>0.2</v>
      </c>
      <c r="F2311" s="70">
        <f t="shared" si="254"/>
        <v>3</v>
      </c>
      <c r="G2311" s="70">
        <f t="shared" si="255"/>
        <v>1.5734712092470104</v>
      </c>
      <c r="H2311" s="70">
        <f t="shared" si="256"/>
        <v>0.60000000000000009</v>
      </c>
      <c r="I2311" s="70">
        <f t="shared" si="257"/>
        <v>0</v>
      </c>
      <c r="J2311" s="70">
        <f t="shared" si="258"/>
        <v>0</v>
      </c>
      <c r="K2311" s="70">
        <f>IF(CurrentMtgRatesDataTable8[[#This Row],[WA CC]]&lt;&gt;0,C2310-CurrentMtgRatesDataTable8[[#This Row],[WA CC]],0)</f>
        <v>0</v>
      </c>
      <c r="L2311" s="70">
        <f>IF(CurrentMtgRatesDataTable8[[#This Row],[Servicing Spread]]&lt;=0,L2310,CurrentMtgRatesDataTable8[[#This Row],[Servicing Spread]])</f>
        <v>0.88988438351751764</v>
      </c>
      <c r="M2311" s="70">
        <f>CurrentMtgRatesDataTable8[[#This Row],[Servicing Spread Non-Zero]]-L2310</f>
        <v>0</v>
      </c>
      <c r="N2311" s="70">
        <f>IF(J2310&lt;&gt;0,CurrentMtgRatesDataTable8[[#This Row],[Rate]]-C2310,N2310)</f>
        <v>3.0000000000000249E-2</v>
      </c>
    </row>
    <row r="2312" spans="1:14">
      <c r="A2312" s="67" t="s">
        <v>64</v>
      </c>
      <c r="B2312" s="68">
        <v>2.63796949913782</v>
      </c>
      <c r="C2312" s="69">
        <v>3.5100000000000002</v>
      </c>
      <c r="D2312" s="70">
        <f t="shared" si="252"/>
        <v>7</v>
      </c>
      <c r="E2312" s="70">
        <f t="shared" si="253"/>
        <v>0.2</v>
      </c>
      <c r="F2312" s="70">
        <f t="shared" si="254"/>
        <v>4</v>
      </c>
      <c r="G2312" s="70">
        <f t="shared" si="255"/>
        <v>2.1010651090745744</v>
      </c>
      <c r="H2312" s="70">
        <f t="shared" si="256"/>
        <v>0.8</v>
      </c>
      <c r="I2312" s="70">
        <f t="shared" si="257"/>
        <v>1</v>
      </c>
      <c r="J2312" s="70">
        <f t="shared" si="258"/>
        <v>2.6263313863432178</v>
      </c>
      <c r="K2312" s="70">
        <f>IF(CurrentMtgRatesDataTable8[[#This Row],[WA CC]]&lt;&gt;0,C2311-CurrentMtgRatesDataTable8[[#This Row],[WA CC]],0)</f>
        <v>0.8836686136567824</v>
      </c>
      <c r="L2312" s="70">
        <f>IF(CurrentMtgRatesDataTable8[[#This Row],[Servicing Spread]]&lt;=0,L2311,CurrentMtgRatesDataTable8[[#This Row],[Servicing Spread]])</f>
        <v>0.8836686136567824</v>
      </c>
      <c r="M2312" s="70">
        <f>CurrentMtgRatesDataTable8[[#This Row],[Servicing Spread Non-Zero]]-L2311</f>
        <v>-6.215769860735243E-3</v>
      </c>
      <c r="N2312" s="70">
        <f>IF(J2311&lt;&gt;0,CurrentMtgRatesDataTable8[[#This Row],[Rate]]-C2311,N2311)</f>
        <v>3.0000000000000249E-2</v>
      </c>
    </row>
    <row r="2313" spans="1:14">
      <c r="A2313" s="67" t="s">
        <v>630</v>
      </c>
      <c r="B2313" s="68">
        <v>2.6257405351132901</v>
      </c>
      <c r="C2313" s="69">
        <v>3.46</v>
      </c>
      <c r="D2313" s="70">
        <f t="shared" si="252"/>
        <v>1</v>
      </c>
      <c r="E2313" s="70">
        <f t="shared" si="253"/>
        <v>0.2</v>
      </c>
      <c r="F2313" s="70">
        <f t="shared" si="254"/>
        <v>1</v>
      </c>
      <c r="G2313" s="70">
        <f t="shared" si="255"/>
        <v>0.52514810702265802</v>
      </c>
      <c r="H2313" s="70">
        <f t="shared" si="256"/>
        <v>0.2</v>
      </c>
      <c r="I2313" s="70">
        <f t="shared" si="257"/>
        <v>0</v>
      </c>
      <c r="J2313" s="70">
        <f t="shared" si="258"/>
        <v>0</v>
      </c>
      <c r="K2313" s="70">
        <f>IF(CurrentMtgRatesDataTable8[[#This Row],[WA CC]]&lt;&gt;0,C2312-CurrentMtgRatesDataTable8[[#This Row],[WA CC]],0)</f>
        <v>0</v>
      </c>
      <c r="L2313" s="70">
        <f>IF(CurrentMtgRatesDataTable8[[#This Row],[Servicing Spread]]&lt;=0,L2312,CurrentMtgRatesDataTable8[[#This Row],[Servicing Spread]])</f>
        <v>0.8836686136567824</v>
      </c>
      <c r="M2313" s="70">
        <f>CurrentMtgRatesDataTable8[[#This Row],[Servicing Spread Non-Zero]]-L2312</f>
        <v>0</v>
      </c>
      <c r="N2313" s="70">
        <f>IF(J2312&lt;&gt;0,CurrentMtgRatesDataTable8[[#This Row],[Rate]]-C2312,N2312)</f>
        <v>-5.0000000000000266E-2</v>
      </c>
    </row>
    <row r="2314" spans="1:14">
      <c r="A2314" s="67" t="s">
        <v>487</v>
      </c>
      <c r="B2314" s="68">
        <v>2.6251399034844098</v>
      </c>
      <c r="C2314" s="69">
        <v>3.46</v>
      </c>
      <c r="D2314" s="70">
        <f t="shared" si="252"/>
        <v>2</v>
      </c>
      <c r="E2314" s="70">
        <f t="shared" si="253"/>
        <v>0.2</v>
      </c>
      <c r="F2314" s="70">
        <f t="shared" si="254"/>
        <v>2</v>
      </c>
      <c r="G2314" s="70">
        <f t="shared" si="255"/>
        <v>1.0501760877195401</v>
      </c>
      <c r="H2314" s="70">
        <f t="shared" si="256"/>
        <v>0.4</v>
      </c>
      <c r="I2314" s="70">
        <f t="shared" si="257"/>
        <v>0</v>
      </c>
      <c r="J2314" s="70">
        <f t="shared" si="258"/>
        <v>0</v>
      </c>
      <c r="K2314" s="70">
        <f>IF(CurrentMtgRatesDataTable8[[#This Row],[WA CC]]&lt;&gt;0,C2313-CurrentMtgRatesDataTable8[[#This Row],[WA CC]],0)</f>
        <v>0</v>
      </c>
      <c r="L2314" s="70">
        <f>IF(CurrentMtgRatesDataTable8[[#This Row],[Servicing Spread]]&lt;=0,L2313,CurrentMtgRatesDataTable8[[#This Row],[Servicing Spread]])</f>
        <v>0.8836686136567824</v>
      </c>
      <c r="M2314" s="70">
        <f>CurrentMtgRatesDataTable8[[#This Row],[Servicing Spread Non-Zero]]-L2313</f>
        <v>0</v>
      </c>
      <c r="N2314" s="70">
        <f>IF(J2313&lt;&gt;0,CurrentMtgRatesDataTable8[[#This Row],[Rate]]-C2313,N2313)</f>
        <v>-5.0000000000000266E-2</v>
      </c>
    </row>
    <row r="2315" spans="1:14">
      <c r="A2315" s="67" t="s">
        <v>348</v>
      </c>
      <c r="B2315" s="68">
        <v>2.5578588429933502</v>
      </c>
      <c r="C2315" s="69">
        <v>3.46</v>
      </c>
      <c r="D2315" s="70">
        <f t="shared" si="252"/>
        <v>5</v>
      </c>
      <c r="E2315" s="70">
        <f t="shared" si="253"/>
        <v>0.2</v>
      </c>
      <c r="F2315" s="70">
        <f t="shared" si="254"/>
        <v>3</v>
      </c>
      <c r="G2315" s="70">
        <f t="shared" si="255"/>
        <v>1.5617478563182101</v>
      </c>
      <c r="H2315" s="70">
        <f t="shared" si="256"/>
        <v>0.60000000000000009</v>
      </c>
      <c r="I2315" s="70">
        <f t="shared" si="257"/>
        <v>0</v>
      </c>
      <c r="J2315" s="70">
        <f t="shared" si="258"/>
        <v>0</v>
      </c>
      <c r="K2315" s="70">
        <f>IF(CurrentMtgRatesDataTable8[[#This Row],[WA CC]]&lt;&gt;0,C2314-CurrentMtgRatesDataTable8[[#This Row],[WA CC]],0)</f>
        <v>0</v>
      </c>
      <c r="L2315" s="70">
        <f>IF(CurrentMtgRatesDataTable8[[#This Row],[Servicing Spread]]&lt;=0,L2314,CurrentMtgRatesDataTable8[[#This Row],[Servicing Spread]])</f>
        <v>0.8836686136567824</v>
      </c>
      <c r="M2315" s="70">
        <f>CurrentMtgRatesDataTable8[[#This Row],[Servicing Spread Non-Zero]]-L2314</f>
        <v>0</v>
      </c>
      <c r="N2315" s="70">
        <f>IF(J2314&lt;&gt;0,CurrentMtgRatesDataTable8[[#This Row],[Rate]]-C2314,N2314)</f>
        <v>-5.0000000000000266E-2</v>
      </c>
    </row>
    <row r="2316" spans="1:14">
      <c r="A2316" s="67" t="s">
        <v>208</v>
      </c>
      <c r="B2316" s="68">
        <v>2.5389569445759999</v>
      </c>
      <c r="C2316" s="69">
        <v>3.46</v>
      </c>
      <c r="D2316" s="70">
        <f t="shared" si="252"/>
        <v>6</v>
      </c>
      <c r="E2316" s="70">
        <f t="shared" si="253"/>
        <v>0.2</v>
      </c>
      <c r="F2316" s="70">
        <f t="shared" si="254"/>
        <v>4</v>
      </c>
      <c r="G2316" s="70">
        <f t="shared" si="255"/>
        <v>2.0695392452334103</v>
      </c>
      <c r="H2316" s="70">
        <f t="shared" si="256"/>
        <v>0.8</v>
      </c>
      <c r="I2316" s="70">
        <f t="shared" si="257"/>
        <v>0</v>
      </c>
      <c r="J2316" s="70">
        <f t="shared" si="258"/>
        <v>0</v>
      </c>
      <c r="K2316" s="70">
        <f>IF(CurrentMtgRatesDataTable8[[#This Row],[WA CC]]&lt;&gt;0,C2315-CurrentMtgRatesDataTable8[[#This Row],[WA CC]],0)</f>
        <v>0</v>
      </c>
      <c r="L2316" s="70">
        <f>IF(CurrentMtgRatesDataTable8[[#This Row],[Servicing Spread]]&lt;=0,L2315,CurrentMtgRatesDataTable8[[#This Row],[Servicing Spread]])</f>
        <v>0.8836686136567824</v>
      </c>
      <c r="M2316" s="70">
        <f>CurrentMtgRatesDataTable8[[#This Row],[Servicing Spread Non-Zero]]-L2315</f>
        <v>0</v>
      </c>
      <c r="N2316" s="70">
        <f>IF(J2315&lt;&gt;0,CurrentMtgRatesDataTable8[[#This Row],[Rate]]-C2315,N2315)</f>
        <v>-5.0000000000000266E-2</v>
      </c>
    </row>
    <row r="2317" spans="1:14">
      <c r="A2317" s="67" t="s">
        <v>65</v>
      </c>
      <c r="B2317" s="68">
        <v>2.5732198821136101</v>
      </c>
      <c r="C2317" s="69">
        <v>3.46</v>
      </c>
      <c r="D2317" s="70">
        <f t="shared" si="252"/>
        <v>7</v>
      </c>
      <c r="E2317" s="70">
        <f t="shared" si="253"/>
        <v>0.2</v>
      </c>
      <c r="F2317" s="70">
        <f t="shared" si="254"/>
        <v>5</v>
      </c>
      <c r="G2317" s="70">
        <f t="shared" si="255"/>
        <v>2.5841832216561325</v>
      </c>
      <c r="H2317" s="70">
        <f t="shared" si="256"/>
        <v>1</v>
      </c>
      <c r="I2317" s="70">
        <f t="shared" si="257"/>
        <v>1</v>
      </c>
      <c r="J2317" s="70">
        <f t="shared" si="258"/>
        <v>2.5841832216561325</v>
      </c>
      <c r="K2317" s="70">
        <f>IF(CurrentMtgRatesDataTable8[[#This Row],[WA CC]]&lt;&gt;0,C2316-CurrentMtgRatesDataTable8[[#This Row],[WA CC]],0)</f>
        <v>0.87581677834386751</v>
      </c>
      <c r="L2317" s="70">
        <f>IF(CurrentMtgRatesDataTable8[[#This Row],[Servicing Spread]]&lt;=0,L2316,CurrentMtgRatesDataTable8[[#This Row],[Servicing Spread]])</f>
        <v>0.87581677834386751</v>
      </c>
      <c r="M2317" s="70">
        <f>CurrentMtgRatesDataTable8[[#This Row],[Servicing Spread Non-Zero]]-L2316</f>
        <v>-7.8518353129148899E-3</v>
      </c>
      <c r="N2317" s="70">
        <f>IF(J2316&lt;&gt;0,CurrentMtgRatesDataTable8[[#This Row],[Rate]]-C2316,N2316)</f>
        <v>-5.0000000000000266E-2</v>
      </c>
    </row>
    <row r="2318" spans="1:14">
      <c r="A2318" s="67" t="s">
        <v>631</v>
      </c>
      <c r="B2318" s="68">
        <v>2.5448374323223399</v>
      </c>
      <c r="C2318" s="69">
        <v>3.4449999999999998</v>
      </c>
      <c r="D2318" s="70">
        <f t="shared" si="252"/>
        <v>1</v>
      </c>
      <c r="E2318" s="70">
        <f t="shared" si="253"/>
        <v>0.2</v>
      </c>
      <c r="F2318" s="70">
        <f t="shared" si="254"/>
        <v>1</v>
      </c>
      <c r="G2318" s="70">
        <f t="shared" si="255"/>
        <v>0.50896748646446799</v>
      </c>
      <c r="H2318" s="70">
        <f t="shared" si="256"/>
        <v>0.2</v>
      </c>
      <c r="I2318" s="70">
        <f t="shared" si="257"/>
        <v>0</v>
      </c>
      <c r="J2318" s="70">
        <f t="shared" si="258"/>
        <v>0</v>
      </c>
      <c r="K2318" s="70">
        <f>IF(CurrentMtgRatesDataTable8[[#This Row],[WA CC]]&lt;&gt;0,C2317-CurrentMtgRatesDataTable8[[#This Row],[WA CC]],0)</f>
        <v>0</v>
      </c>
      <c r="L2318" s="70">
        <f>IF(CurrentMtgRatesDataTable8[[#This Row],[Servicing Spread]]&lt;=0,L2317,CurrentMtgRatesDataTable8[[#This Row],[Servicing Spread]])</f>
        <v>0.87581677834386751</v>
      </c>
      <c r="M2318" s="70">
        <f>CurrentMtgRatesDataTable8[[#This Row],[Servicing Spread Non-Zero]]-L2317</f>
        <v>0</v>
      </c>
      <c r="N2318" s="70">
        <f>IF(J2317&lt;&gt;0,CurrentMtgRatesDataTable8[[#This Row],[Rate]]-C2317,N2317)</f>
        <v>-1.5000000000000124E-2</v>
      </c>
    </row>
    <row r="2319" spans="1:14">
      <c r="A2319" s="67" t="s">
        <v>488</v>
      </c>
      <c r="B2319" s="68">
        <v>2.5299300395983999</v>
      </c>
      <c r="C2319" s="69">
        <v>3.4449999999999998</v>
      </c>
      <c r="D2319" s="70">
        <f t="shared" si="252"/>
        <v>2</v>
      </c>
      <c r="E2319" s="70">
        <f t="shared" si="253"/>
        <v>0.2</v>
      </c>
      <c r="F2319" s="70">
        <f t="shared" si="254"/>
        <v>2</v>
      </c>
      <c r="G2319" s="70">
        <f t="shared" si="255"/>
        <v>1.0149534943841481</v>
      </c>
      <c r="H2319" s="70">
        <f t="shared" si="256"/>
        <v>0.4</v>
      </c>
      <c r="I2319" s="70">
        <f t="shared" si="257"/>
        <v>0</v>
      </c>
      <c r="J2319" s="70">
        <f t="shared" si="258"/>
        <v>0</v>
      </c>
      <c r="K2319" s="70">
        <f>IF(CurrentMtgRatesDataTable8[[#This Row],[WA CC]]&lt;&gt;0,C2318-CurrentMtgRatesDataTable8[[#This Row],[WA CC]],0)</f>
        <v>0</v>
      </c>
      <c r="L2319" s="70">
        <f>IF(CurrentMtgRatesDataTable8[[#This Row],[Servicing Spread]]&lt;=0,L2318,CurrentMtgRatesDataTable8[[#This Row],[Servicing Spread]])</f>
        <v>0.87581677834386751</v>
      </c>
      <c r="M2319" s="70">
        <f>CurrentMtgRatesDataTable8[[#This Row],[Servicing Spread Non-Zero]]-L2318</f>
        <v>0</v>
      </c>
      <c r="N2319" s="70">
        <f>IF(J2318&lt;&gt;0,CurrentMtgRatesDataTable8[[#This Row],[Rate]]-C2318,N2318)</f>
        <v>-1.5000000000000124E-2</v>
      </c>
    </row>
    <row r="2320" spans="1:14">
      <c r="A2320" s="67" t="s">
        <v>349</v>
      </c>
      <c r="B2320" s="68">
        <v>2.5457760046441602</v>
      </c>
      <c r="C2320" s="69">
        <v>3.4449999999999998</v>
      </c>
      <c r="D2320" s="70">
        <f t="shared" si="252"/>
        <v>5</v>
      </c>
      <c r="E2320" s="70">
        <f t="shared" si="253"/>
        <v>0.2</v>
      </c>
      <c r="F2320" s="70">
        <f t="shared" si="254"/>
        <v>3</v>
      </c>
      <c r="G2320" s="70">
        <f t="shared" si="255"/>
        <v>1.5241086953129801</v>
      </c>
      <c r="H2320" s="70">
        <f t="shared" si="256"/>
        <v>0.60000000000000009</v>
      </c>
      <c r="I2320" s="70">
        <f t="shared" si="257"/>
        <v>0</v>
      </c>
      <c r="J2320" s="70">
        <f t="shared" si="258"/>
        <v>0</v>
      </c>
      <c r="K2320" s="70">
        <f>IF(CurrentMtgRatesDataTable8[[#This Row],[WA CC]]&lt;&gt;0,C2319-CurrentMtgRatesDataTable8[[#This Row],[WA CC]],0)</f>
        <v>0</v>
      </c>
      <c r="L2320" s="70">
        <f>IF(CurrentMtgRatesDataTable8[[#This Row],[Servicing Spread]]&lt;=0,L2319,CurrentMtgRatesDataTable8[[#This Row],[Servicing Spread]])</f>
        <v>0.87581677834386751</v>
      </c>
      <c r="M2320" s="70">
        <f>CurrentMtgRatesDataTable8[[#This Row],[Servicing Spread Non-Zero]]-L2319</f>
        <v>0</v>
      </c>
      <c r="N2320" s="70">
        <f>IF(J2319&lt;&gt;0,CurrentMtgRatesDataTable8[[#This Row],[Rate]]-C2319,N2319)</f>
        <v>-1.5000000000000124E-2</v>
      </c>
    </row>
    <row r="2321" spans="1:14">
      <c r="A2321" s="67" t="s">
        <v>209</v>
      </c>
      <c r="B2321" s="68">
        <v>2.56075645776348</v>
      </c>
      <c r="C2321" s="69">
        <v>3.4449999999999998</v>
      </c>
      <c r="D2321" s="70">
        <f t="shared" si="252"/>
        <v>6</v>
      </c>
      <c r="E2321" s="70">
        <f t="shared" si="253"/>
        <v>0.2</v>
      </c>
      <c r="F2321" s="70">
        <f t="shared" si="254"/>
        <v>4</v>
      </c>
      <c r="G2321" s="70">
        <f t="shared" si="255"/>
        <v>2.0362599868656761</v>
      </c>
      <c r="H2321" s="70">
        <f t="shared" si="256"/>
        <v>0.8</v>
      </c>
      <c r="I2321" s="70">
        <f t="shared" si="257"/>
        <v>0</v>
      </c>
      <c r="J2321" s="70">
        <f t="shared" si="258"/>
        <v>0</v>
      </c>
      <c r="K2321" s="70">
        <f>IF(CurrentMtgRatesDataTable8[[#This Row],[WA CC]]&lt;&gt;0,C2320-CurrentMtgRatesDataTable8[[#This Row],[WA CC]],0)</f>
        <v>0</v>
      </c>
      <c r="L2321" s="70">
        <f>IF(CurrentMtgRatesDataTable8[[#This Row],[Servicing Spread]]&lt;=0,L2320,CurrentMtgRatesDataTable8[[#This Row],[Servicing Spread]])</f>
        <v>0.87581677834386751</v>
      </c>
      <c r="M2321" s="70">
        <f>CurrentMtgRatesDataTable8[[#This Row],[Servicing Spread Non-Zero]]-L2320</f>
        <v>0</v>
      </c>
      <c r="N2321" s="70">
        <f>IF(J2320&lt;&gt;0,CurrentMtgRatesDataTable8[[#This Row],[Rate]]-C2320,N2320)</f>
        <v>-1.5000000000000124E-2</v>
      </c>
    </row>
    <row r="2322" spans="1:14">
      <c r="A2322" s="67" t="s">
        <v>66</v>
      </c>
      <c r="B2322" s="68">
        <v>2.6125524232747801</v>
      </c>
      <c r="C2322" s="69">
        <v>3.4449999999999998</v>
      </c>
      <c r="D2322" s="70">
        <f t="shared" si="252"/>
        <v>7</v>
      </c>
      <c r="E2322" s="70">
        <f t="shared" si="253"/>
        <v>0.2</v>
      </c>
      <c r="F2322" s="70">
        <f t="shared" si="254"/>
        <v>5</v>
      </c>
      <c r="G2322" s="70">
        <f t="shared" si="255"/>
        <v>2.5587704715206323</v>
      </c>
      <c r="H2322" s="70">
        <f t="shared" si="256"/>
        <v>1</v>
      </c>
      <c r="I2322" s="70">
        <f t="shared" si="257"/>
        <v>1</v>
      </c>
      <c r="J2322" s="70">
        <f t="shared" si="258"/>
        <v>2.5587704715206323</v>
      </c>
      <c r="K2322" s="70">
        <f>IF(CurrentMtgRatesDataTable8[[#This Row],[WA CC]]&lt;&gt;0,C2321-CurrentMtgRatesDataTable8[[#This Row],[WA CC]],0)</f>
        <v>0.88622952847936753</v>
      </c>
      <c r="L2322" s="70">
        <f>IF(CurrentMtgRatesDataTable8[[#This Row],[Servicing Spread]]&lt;=0,L2321,CurrentMtgRatesDataTable8[[#This Row],[Servicing Spread]])</f>
        <v>0.88622952847936753</v>
      </c>
      <c r="M2322" s="70">
        <f>CurrentMtgRatesDataTable8[[#This Row],[Servicing Spread Non-Zero]]-L2321</f>
        <v>1.0412750135500026E-2</v>
      </c>
      <c r="N2322" s="70">
        <f>IF(J2321&lt;&gt;0,CurrentMtgRatesDataTable8[[#This Row],[Rate]]-C2321,N2321)</f>
        <v>-1.5000000000000124E-2</v>
      </c>
    </row>
    <row r="2323" spans="1:14">
      <c r="A2323" s="67" t="s">
        <v>632</v>
      </c>
      <c r="B2323" s="68">
        <v>2.6733074908689098</v>
      </c>
      <c r="C2323" s="69">
        <v>3.58</v>
      </c>
      <c r="D2323" s="70">
        <f t="shared" si="252"/>
        <v>1</v>
      </c>
      <c r="E2323" s="70">
        <f t="shared" si="253"/>
        <v>0.2</v>
      </c>
      <c r="F2323" s="70">
        <f t="shared" si="254"/>
        <v>1</v>
      </c>
      <c r="G2323" s="70">
        <f t="shared" si="255"/>
        <v>0.53466149817378195</v>
      </c>
      <c r="H2323" s="70">
        <f t="shared" si="256"/>
        <v>0.2</v>
      </c>
      <c r="I2323" s="70">
        <f t="shared" si="257"/>
        <v>0</v>
      </c>
      <c r="J2323" s="70">
        <f t="shared" si="258"/>
        <v>0</v>
      </c>
      <c r="K2323" s="70">
        <f>IF(CurrentMtgRatesDataTable8[[#This Row],[WA CC]]&lt;&gt;0,C2322-CurrentMtgRatesDataTable8[[#This Row],[WA CC]],0)</f>
        <v>0</v>
      </c>
      <c r="L2323" s="70">
        <f>IF(CurrentMtgRatesDataTable8[[#This Row],[Servicing Spread]]&lt;=0,L2322,CurrentMtgRatesDataTable8[[#This Row],[Servicing Spread]])</f>
        <v>0.88622952847936753</v>
      </c>
      <c r="M2323" s="70">
        <f>CurrentMtgRatesDataTable8[[#This Row],[Servicing Spread Non-Zero]]-L2322</f>
        <v>0</v>
      </c>
      <c r="N2323" s="70">
        <f>IF(J2322&lt;&gt;0,CurrentMtgRatesDataTable8[[#This Row],[Rate]]-C2322,N2322)</f>
        <v>0.13500000000000023</v>
      </c>
    </row>
    <row r="2324" spans="1:14">
      <c r="A2324" s="67" t="s">
        <v>489</v>
      </c>
      <c r="B2324" s="68">
        <v>2.7519155244705402</v>
      </c>
      <c r="C2324" s="69">
        <v>3.58</v>
      </c>
      <c r="D2324" s="70">
        <f t="shared" si="252"/>
        <v>2</v>
      </c>
      <c r="E2324" s="70">
        <f t="shared" si="253"/>
        <v>0.2</v>
      </c>
      <c r="F2324" s="70">
        <f t="shared" si="254"/>
        <v>2</v>
      </c>
      <c r="G2324" s="70">
        <f t="shared" si="255"/>
        <v>1.08504460306789</v>
      </c>
      <c r="H2324" s="70">
        <f t="shared" si="256"/>
        <v>0.4</v>
      </c>
      <c r="I2324" s="70">
        <f t="shared" si="257"/>
        <v>0</v>
      </c>
      <c r="J2324" s="70">
        <f t="shared" si="258"/>
        <v>0</v>
      </c>
      <c r="K2324" s="70">
        <f>IF(CurrentMtgRatesDataTable8[[#This Row],[WA CC]]&lt;&gt;0,C2323-CurrentMtgRatesDataTable8[[#This Row],[WA CC]],0)</f>
        <v>0</v>
      </c>
      <c r="L2324" s="70">
        <f>IF(CurrentMtgRatesDataTable8[[#This Row],[Servicing Spread]]&lt;=0,L2323,CurrentMtgRatesDataTable8[[#This Row],[Servicing Spread]])</f>
        <v>0.88622952847936753</v>
      </c>
      <c r="M2324" s="70">
        <f>CurrentMtgRatesDataTable8[[#This Row],[Servicing Spread Non-Zero]]-L2323</f>
        <v>0</v>
      </c>
      <c r="N2324" s="70">
        <f>IF(J2323&lt;&gt;0,CurrentMtgRatesDataTable8[[#This Row],[Rate]]-C2323,N2323)</f>
        <v>0.13500000000000023</v>
      </c>
    </row>
    <row r="2325" spans="1:14">
      <c r="A2325" s="67" t="s">
        <v>350</v>
      </c>
      <c r="B2325" s="68">
        <v>2.7399845789483299</v>
      </c>
      <c r="C2325" s="69">
        <v>3.58</v>
      </c>
      <c r="D2325" s="70">
        <f t="shared" si="252"/>
        <v>5</v>
      </c>
      <c r="E2325" s="70">
        <f t="shared" si="253"/>
        <v>0.2</v>
      </c>
      <c r="F2325" s="70">
        <f t="shared" si="254"/>
        <v>3</v>
      </c>
      <c r="G2325" s="70">
        <f t="shared" si="255"/>
        <v>1.633041518857556</v>
      </c>
      <c r="H2325" s="70">
        <f t="shared" si="256"/>
        <v>0.60000000000000009</v>
      </c>
      <c r="I2325" s="70">
        <f t="shared" si="257"/>
        <v>0</v>
      </c>
      <c r="J2325" s="70">
        <f t="shared" si="258"/>
        <v>0</v>
      </c>
      <c r="K2325" s="70">
        <f>IF(CurrentMtgRatesDataTable8[[#This Row],[WA CC]]&lt;&gt;0,C2324-CurrentMtgRatesDataTable8[[#This Row],[WA CC]],0)</f>
        <v>0</v>
      </c>
      <c r="L2325" s="70">
        <f>IF(CurrentMtgRatesDataTable8[[#This Row],[Servicing Spread]]&lt;=0,L2324,CurrentMtgRatesDataTable8[[#This Row],[Servicing Spread]])</f>
        <v>0.88622952847936753</v>
      </c>
      <c r="M2325" s="70">
        <f>CurrentMtgRatesDataTable8[[#This Row],[Servicing Spread Non-Zero]]-L2324</f>
        <v>0</v>
      </c>
      <c r="N2325" s="70">
        <f>IF(J2324&lt;&gt;0,CurrentMtgRatesDataTable8[[#This Row],[Rate]]-C2324,N2324)</f>
        <v>0.13500000000000023</v>
      </c>
    </row>
    <row r="2326" spans="1:14">
      <c r="A2326" s="67" t="s">
        <v>210</v>
      </c>
      <c r="B2326" s="68">
        <v>2.7064552884836801</v>
      </c>
      <c r="C2326" s="69">
        <v>3.58</v>
      </c>
      <c r="D2326" s="70">
        <f t="shared" si="252"/>
        <v>6</v>
      </c>
      <c r="E2326" s="70">
        <f t="shared" si="253"/>
        <v>0.2</v>
      </c>
      <c r="F2326" s="70">
        <f t="shared" si="254"/>
        <v>4</v>
      </c>
      <c r="G2326" s="70">
        <f t="shared" si="255"/>
        <v>2.174332576554292</v>
      </c>
      <c r="H2326" s="70">
        <f t="shared" si="256"/>
        <v>0.8</v>
      </c>
      <c r="I2326" s="70">
        <f t="shared" si="257"/>
        <v>0</v>
      </c>
      <c r="J2326" s="70">
        <f t="shared" si="258"/>
        <v>0</v>
      </c>
      <c r="K2326" s="70">
        <f>IF(CurrentMtgRatesDataTable8[[#This Row],[WA CC]]&lt;&gt;0,C2325-CurrentMtgRatesDataTable8[[#This Row],[WA CC]],0)</f>
        <v>0</v>
      </c>
      <c r="L2326" s="70">
        <f>IF(CurrentMtgRatesDataTable8[[#This Row],[Servicing Spread]]&lt;=0,L2325,CurrentMtgRatesDataTable8[[#This Row],[Servicing Spread]])</f>
        <v>0.88622952847936753</v>
      </c>
      <c r="M2326" s="70">
        <f>CurrentMtgRatesDataTable8[[#This Row],[Servicing Spread Non-Zero]]-L2325</f>
        <v>0</v>
      </c>
      <c r="N2326" s="70">
        <f>IF(J2325&lt;&gt;0,CurrentMtgRatesDataTable8[[#This Row],[Rate]]-C2325,N2325)</f>
        <v>0.13500000000000023</v>
      </c>
    </row>
    <row r="2327" spans="1:14">
      <c r="A2327" s="67" t="s">
        <v>67</v>
      </c>
      <c r="B2327" s="68">
        <v>2.70043867478531</v>
      </c>
      <c r="C2327" s="69">
        <v>3.58</v>
      </c>
      <c r="D2327" s="70">
        <f t="shared" si="252"/>
        <v>7</v>
      </c>
      <c r="E2327" s="70">
        <f t="shared" si="253"/>
        <v>0.2</v>
      </c>
      <c r="F2327" s="70">
        <f t="shared" si="254"/>
        <v>5</v>
      </c>
      <c r="G2327" s="70">
        <f t="shared" si="255"/>
        <v>2.7144203115113541</v>
      </c>
      <c r="H2327" s="70">
        <f t="shared" si="256"/>
        <v>1</v>
      </c>
      <c r="I2327" s="70">
        <f t="shared" si="257"/>
        <v>1</v>
      </c>
      <c r="J2327" s="70">
        <f t="shared" si="258"/>
        <v>2.7144203115113541</v>
      </c>
      <c r="K2327" s="70">
        <f>IF(CurrentMtgRatesDataTable8[[#This Row],[WA CC]]&lt;&gt;0,C2326-CurrentMtgRatesDataTable8[[#This Row],[WA CC]],0)</f>
        <v>0.86557968848864597</v>
      </c>
      <c r="L2327" s="70">
        <f>IF(CurrentMtgRatesDataTable8[[#This Row],[Servicing Spread]]&lt;=0,L2326,CurrentMtgRatesDataTable8[[#This Row],[Servicing Spread]])</f>
        <v>0.86557968848864597</v>
      </c>
      <c r="M2327" s="70">
        <f>CurrentMtgRatesDataTable8[[#This Row],[Servicing Spread Non-Zero]]-L2326</f>
        <v>-2.0649839990721564E-2</v>
      </c>
      <c r="N2327" s="70">
        <f>IF(J2326&lt;&gt;0,CurrentMtgRatesDataTable8[[#This Row],[Rate]]-C2326,N2326)</f>
        <v>0.13500000000000023</v>
      </c>
    </row>
    <row r="2328" spans="1:14">
      <c r="A2328" s="67" t="s">
        <v>633</v>
      </c>
      <c r="B2328" s="68">
        <v>2.7054585787984</v>
      </c>
      <c r="C2328" s="69">
        <v>3.49</v>
      </c>
      <c r="D2328" s="70">
        <f t="shared" si="252"/>
        <v>1</v>
      </c>
      <c r="E2328" s="70">
        <f t="shared" si="253"/>
        <v>0.2</v>
      </c>
      <c r="F2328" s="70">
        <f t="shared" si="254"/>
        <v>1</v>
      </c>
      <c r="G2328" s="70">
        <f t="shared" si="255"/>
        <v>0.54109171575968007</v>
      </c>
      <c r="H2328" s="70">
        <f t="shared" si="256"/>
        <v>0.2</v>
      </c>
      <c r="I2328" s="70">
        <f t="shared" si="257"/>
        <v>0</v>
      </c>
      <c r="J2328" s="70">
        <f t="shared" si="258"/>
        <v>0</v>
      </c>
      <c r="K2328" s="70">
        <f>IF(CurrentMtgRatesDataTable8[[#This Row],[WA CC]]&lt;&gt;0,C2327-CurrentMtgRatesDataTable8[[#This Row],[WA CC]],0)</f>
        <v>0</v>
      </c>
      <c r="L2328" s="70">
        <f>IF(CurrentMtgRatesDataTable8[[#This Row],[Servicing Spread]]&lt;=0,L2327,CurrentMtgRatesDataTable8[[#This Row],[Servicing Spread]])</f>
        <v>0.86557968848864597</v>
      </c>
      <c r="M2328" s="70">
        <f>CurrentMtgRatesDataTable8[[#This Row],[Servicing Spread Non-Zero]]-L2327</f>
        <v>0</v>
      </c>
      <c r="N2328" s="70">
        <f>IF(J2327&lt;&gt;0,CurrentMtgRatesDataTable8[[#This Row],[Rate]]-C2327,N2327)</f>
        <v>-8.9999999999999858E-2</v>
      </c>
    </row>
    <row r="2329" spans="1:14">
      <c r="A2329" s="67" t="s">
        <v>490</v>
      </c>
      <c r="B2329" s="68">
        <v>2.6643363272696798</v>
      </c>
      <c r="C2329" s="69">
        <v>3.49</v>
      </c>
      <c r="D2329" s="70">
        <f t="shared" si="252"/>
        <v>2</v>
      </c>
      <c r="E2329" s="70">
        <f t="shared" si="253"/>
        <v>0.2</v>
      </c>
      <c r="F2329" s="70">
        <f t="shared" si="254"/>
        <v>2</v>
      </c>
      <c r="G2329" s="70">
        <f t="shared" si="255"/>
        <v>1.0739589812136161</v>
      </c>
      <c r="H2329" s="70">
        <f t="shared" si="256"/>
        <v>0.4</v>
      </c>
      <c r="I2329" s="70">
        <f t="shared" si="257"/>
        <v>0</v>
      </c>
      <c r="J2329" s="70">
        <f t="shared" si="258"/>
        <v>0</v>
      </c>
      <c r="K2329" s="70">
        <f>IF(CurrentMtgRatesDataTable8[[#This Row],[WA CC]]&lt;&gt;0,C2328-CurrentMtgRatesDataTable8[[#This Row],[WA CC]],0)</f>
        <v>0</v>
      </c>
      <c r="L2329" s="70">
        <f>IF(CurrentMtgRatesDataTable8[[#This Row],[Servicing Spread]]&lt;=0,L2328,CurrentMtgRatesDataTable8[[#This Row],[Servicing Spread]])</f>
        <v>0.86557968848864597</v>
      </c>
      <c r="M2329" s="70">
        <f>CurrentMtgRatesDataTable8[[#This Row],[Servicing Spread Non-Zero]]-L2328</f>
        <v>0</v>
      </c>
      <c r="N2329" s="70">
        <f>IF(J2328&lt;&gt;0,CurrentMtgRatesDataTable8[[#This Row],[Rate]]-C2328,N2328)</f>
        <v>-8.9999999999999858E-2</v>
      </c>
    </row>
    <row r="2330" spans="1:14">
      <c r="A2330" s="67" t="s">
        <v>351</v>
      </c>
      <c r="B2330" s="68">
        <v>2.6296268135310301</v>
      </c>
      <c r="C2330" s="69">
        <v>3.49</v>
      </c>
      <c r="D2330" s="70">
        <f t="shared" si="252"/>
        <v>5</v>
      </c>
      <c r="E2330" s="70">
        <f t="shared" si="253"/>
        <v>0.2</v>
      </c>
      <c r="F2330" s="70">
        <f t="shared" si="254"/>
        <v>3</v>
      </c>
      <c r="G2330" s="70">
        <f t="shared" si="255"/>
        <v>1.5998843439198223</v>
      </c>
      <c r="H2330" s="70">
        <f t="shared" si="256"/>
        <v>0.60000000000000009</v>
      </c>
      <c r="I2330" s="70">
        <f t="shared" si="257"/>
        <v>0</v>
      </c>
      <c r="J2330" s="70">
        <f t="shared" si="258"/>
        <v>0</v>
      </c>
      <c r="K2330" s="70">
        <f>IF(CurrentMtgRatesDataTable8[[#This Row],[WA CC]]&lt;&gt;0,C2329-CurrentMtgRatesDataTable8[[#This Row],[WA CC]],0)</f>
        <v>0</v>
      </c>
      <c r="L2330" s="70">
        <f>IF(CurrentMtgRatesDataTable8[[#This Row],[Servicing Spread]]&lt;=0,L2329,CurrentMtgRatesDataTable8[[#This Row],[Servicing Spread]])</f>
        <v>0.86557968848864597</v>
      </c>
      <c r="M2330" s="70">
        <f>CurrentMtgRatesDataTable8[[#This Row],[Servicing Spread Non-Zero]]-L2329</f>
        <v>0</v>
      </c>
      <c r="N2330" s="70">
        <f>IF(J2329&lt;&gt;0,CurrentMtgRatesDataTable8[[#This Row],[Rate]]-C2329,N2329)</f>
        <v>-8.9999999999999858E-2</v>
      </c>
    </row>
    <row r="2331" spans="1:14">
      <c r="A2331" s="67" t="s">
        <v>211</v>
      </c>
      <c r="B2331" s="68">
        <v>2.6068633017671599</v>
      </c>
      <c r="C2331" s="69">
        <v>3.49</v>
      </c>
      <c r="D2331" s="70">
        <f t="shared" si="252"/>
        <v>6</v>
      </c>
      <c r="E2331" s="70">
        <f t="shared" si="253"/>
        <v>0.2</v>
      </c>
      <c r="F2331" s="70">
        <f t="shared" si="254"/>
        <v>4</v>
      </c>
      <c r="G2331" s="70">
        <f t="shared" si="255"/>
        <v>2.1212570042732541</v>
      </c>
      <c r="H2331" s="70">
        <f t="shared" si="256"/>
        <v>0.8</v>
      </c>
      <c r="I2331" s="70">
        <f t="shared" si="257"/>
        <v>0</v>
      </c>
      <c r="J2331" s="70">
        <f t="shared" si="258"/>
        <v>0</v>
      </c>
      <c r="K2331" s="70">
        <f>IF(CurrentMtgRatesDataTable8[[#This Row],[WA CC]]&lt;&gt;0,C2330-CurrentMtgRatesDataTable8[[#This Row],[WA CC]],0)</f>
        <v>0</v>
      </c>
      <c r="L2331" s="70">
        <f>IF(CurrentMtgRatesDataTable8[[#This Row],[Servicing Spread]]&lt;=0,L2330,CurrentMtgRatesDataTable8[[#This Row],[Servicing Spread]])</f>
        <v>0.86557968848864597</v>
      </c>
      <c r="M2331" s="70">
        <f>CurrentMtgRatesDataTable8[[#This Row],[Servicing Spread Non-Zero]]-L2330</f>
        <v>0</v>
      </c>
      <c r="N2331" s="70">
        <f>IF(J2330&lt;&gt;0,CurrentMtgRatesDataTable8[[#This Row],[Rate]]-C2330,N2330)</f>
        <v>-8.9999999999999858E-2</v>
      </c>
    </row>
    <row r="2332" spans="1:14">
      <c r="A2332" s="67" t="s">
        <v>68</v>
      </c>
      <c r="B2332" s="68">
        <v>2.6469827013594598</v>
      </c>
      <c r="C2332" s="69">
        <v>3.49</v>
      </c>
      <c r="D2332" s="70">
        <f t="shared" si="252"/>
        <v>7</v>
      </c>
      <c r="E2332" s="70">
        <f t="shared" si="253"/>
        <v>0.2</v>
      </c>
      <c r="F2332" s="70">
        <f t="shared" si="254"/>
        <v>5</v>
      </c>
      <c r="G2332" s="70">
        <f t="shared" si="255"/>
        <v>2.650653544545146</v>
      </c>
      <c r="H2332" s="70">
        <f t="shared" si="256"/>
        <v>1</v>
      </c>
      <c r="I2332" s="70">
        <f t="shared" si="257"/>
        <v>1</v>
      </c>
      <c r="J2332" s="70">
        <f t="shared" si="258"/>
        <v>2.650653544545146</v>
      </c>
      <c r="K2332" s="70">
        <f>IF(CurrentMtgRatesDataTable8[[#This Row],[WA CC]]&lt;&gt;0,C2331-CurrentMtgRatesDataTable8[[#This Row],[WA CC]],0)</f>
        <v>0.8393464554548542</v>
      </c>
      <c r="L2332" s="70">
        <f>IF(CurrentMtgRatesDataTable8[[#This Row],[Servicing Spread]]&lt;=0,L2331,CurrentMtgRatesDataTable8[[#This Row],[Servicing Spread]])</f>
        <v>0.8393464554548542</v>
      </c>
      <c r="M2332" s="70">
        <f>CurrentMtgRatesDataTable8[[#This Row],[Servicing Spread Non-Zero]]-L2331</f>
        <v>-2.623323303379177E-2</v>
      </c>
      <c r="N2332" s="70">
        <f>IF(J2331&lt;&gt;0,CurrentMtgRatesDataTable8[[#This Row],[Rate]]-C2331,N2331)</f>
        <v>-8.9999999999999858E-2</v>
      </c>
    </row>
    <row r="2333" spans="1:14">
      <c r="A2333" s="67" t="s">
        <v>634</v>
      </c>
      <c r="B2333" s="68">
        <v>2.6762749111600002</v>
      </c>
      <c r="C2333" s="69">
        <v>3.52</v>
      </c>
      <c r="D2333" s="70">
        <f t="shared" si="252"/>
        <v>1</v>
      </c>
      <c r="E2333" s="70">
        <f t="shared" si="253"/>
        <v>0.2</v>
      </c>
      <c r="F2333" s="70">
        <f t="shared" si="254"/>
        <v>1</v>
      </c>
      <c r="G2333" s="70">
        <f t="shared" si="255"/>
        <v>0.53525498223200008</v>
      </c>
      <c r="H2333" s="70">
        <f t="shared" si="256"/>
        <v>0.2</v>
      </c>
      <c r="I2333" s="70">
        <f t="shared" si="257"/>
        <v>0</v>
      </c>
      <c r="J2333" s="70">
        <f t="shared" si="258"/>
        <v>0</v>
      </c>
      <c r="K2333" s="70">
        <f>IF(CurrentMtgRatesDataTable8[[#This Row],[WA CC]]&lt;&gt;0,C2332-CurrentMtgRatesDataTable8[[#This Row],[WA CC]],0)</f>
        <v>0</v>
      </c>
      <c r="L2333" s="70">
        <f>IF(CurrentMtgRatesDataTable8[[#This Row],[Servicing Spread]]&lt;=0,L2332,CurrentMtgRatesDataTable8[[#This Row],[Servicing Spread]])</f>
        <v>0.8393464554548542</v>
      </c>
      <c r="M2333" s="70">
        <f>CurrentMtgRatesDataTable8[[#This Row],[Servicing Spread Non-Zero]]-L2332</f>
        <v>0</v>
      </c>
      <c r="N2333" s="70">
        <f>IF(J2332&lt;&gt;0,CurrentMtgRatesDataTable8[[#This Row],[Rate]]-C2332,N2332)</f>
        <v>2.9999999999999805E-2</v>
      </c>
    </row>
    <row r="2334" spans="1:14">
      <c r="A2334" s="67" t="s">
        <v>491</v>
      </c>
      <c r="B2334" s="68">
        <v>2.6414844586182298</v>
      </c>
      <c r="C2334" s="69">
        <v>3.52</v>
      </c>
      <c r="D2334" s="70">
        <f t="shared" si="252"/>
        <v>2</v>
      </c>
      <c r="E2334" s="70">
        <f t="shared" si="253"/>
        <v>0.2</v>
      </c>
      <c r="F2334" s="70">
        <f t="shared" si="254"/>
        <v>2</v>
      </c>
      <c r="G2334" s="70">
        <f t="shared" si="255"/>
        <v>1.063551873955646</v>
      </c>
      <c r="H2334" s="70">
        <f t="shared" si="256"/>
        <v>0.4</v>
      </c>
      <c r="I2334" s="70">
        <f t="shared" si="257"/>
        <v>0</v>
      </c>
      <c r="J2334" s="70">
        <f t="shared" si="258"/>
        <v>0</v>
      </c>
      <c r="K2334" s="70">
        <f>IF(CurrentMtgRatesDataTable8[[#This Row],[WA CC]]&lt;&gt;0,C2333-CurrentMtgRatesDataTable8[[#This Row],[WA CC]],0)</f>
        <v>0</v>
      </c>
      <c r="L2334" s="70">
        <f>IF(CurrentMtgRatesDataTable8[[#This Row],[Servicing Spread]]&lt;=0,L2333,CurrentMtgRatesDataTable8[[#This Row],[Servicing Spread]])</f>
        <v>0.8393464554548542</v>
      </c>
      <c r="M2334" s="70">
        <f>CurrentMtgRatesDataTable8[[#This Row],[Servicing Spread Non-Zero]]-L2333</f>
        <v>0</v>
      </c>
      <c r="N2334" s="70">
        <f>IF(J2333&lt;&gt;0,CurrentMtgRatesDataTable8[[#This Row],[Rate]]-C2333,N2333)</f>
        <v>2.9999999999999805E-2</v>
      </c>
    </row>
    <row r="2335" spans="1:14">
      <c r="A2335" s="67" t="s">
        <v>352</v>
      </c>
      <c r="B2335" s="68">
        <v>2.6394759315969498</v>
      </c>
      <c r="C2335" s="69">
        <v>3.52</v>
      </c>
      <c r="D2335" s="70">
        <f t="shared" si="252"/>
        <v>5</v>
      </c>
      <c r="E2335" s="70">
        <f t="shared" si="253"/>
        <v>0.2</v>
      </c>
      <c r="F2335" s="70">
        <f t="shared" si="254"/>
        <v>3</v>
      </c>
      <c r="G2335" s="70">
        <f t="shared" si="255"/>
        <v>1.5914470602750361</v>
      </c>
      <c r="H2335" s="70">
        <f t="shared" si="256"/>
        <v>0.60000000000000009</v>
      </c>
      <c r="I2335" s="70">
        <f t="shared" si="257"/>
        <v>0</v>
      </c>
      <c r="J2335" s="70">
        <f t="shared" si="258"/>
        <v>0</v>
      </c>
      <c r="K2335" s="70">
        <f>IF(CurrentMtgRatesDataTable8[[#This Row],[WA CC]]&lt;&gt;0,C2334-CurrentMtgRatesDataTable8[[#This Row],[WA CC]],0)</f>
        <v>0</v>
      </c>
      <c r="L2335" s="70">
        <f>IF(CurrentMtgRatesDataTable8[[#This Row],[Servicing Spread]]&lt;=0,L2334,CurrentMtgRatesDataTable8[[#This Row],[Servicing Spread]])</f>
        <v>0.8393464554548542</v>
      </c>
      <c r="M2335" s="70">
        <f>CurrentMtgRatesDataTable8[[#This Row],[Servicing Spread Non-Zero]]-L2334</f>
        <v>0</v>
      </c>
      <c r="N2335" s="70">
        <f>IF(J2334&lt;&gt;0,CurrentMtgRatesDataTable8[[#This Row],[Rate]]-C2334,N2334)</f>
        <v>2.9999999999999805E-2</v>
      </c>
    </row>
    <row r="2336" spans="1:14">
      <c r="A2336" s="67" t="s">
        <v>212</v>
      </c>
      <c r="B2336" s="68">
        <v>2.6425583507311501</v>
      </c>
      <c r="C2336" s="69">
        <v>3.52</v>
      </c>
      <c r="D2336" s="70">
        <f t="shared" si="252"/>
        <v>6</v>
      </c>
      <c r="E2336" s="70">
        <f t="shared" si="253"/>
        <v>0.2</v>
      </c>
      <c r="F2336" s="70">
        <f t="shared" si="254"/>
        <v>4</v>
      </c>
      <c r="G2336" s="70">
        <f t="shared" si="255"/>
        <v>2.1199587304212661</v>
      </c>
      <c r="H2336" s="70">
        <f t="shared" si="256"/>
        <v>0.8</v>
      </c>
      <c r="I2336" s="70">
        <f t="shared" si="257"/>
        <v>0</v>
      </c>
      <c r="J2336" s="70">
        <f t="shared" si="258"/>
        <v>0</v>
      </c>
      <c r="K2336" s="70">
        <f>IF(CurrentMtgRatesDataTable8[[#This Row],[WA CC]]&lt;&gt;0,C2335-CurrentMtgRatesDataTable8[[#This Row],[WA CC]],0)</f>
        <v>0</v>
      </c>
      <c r="L2336" s="70">
        <f>IF(CurrentMtgRatesDataTable8[[#This Row],[Servicing Spread]]&lt;=0,L2335,CurrentMtgRatesDataTable8[[#This Row],[Servicing Spread]])</f>
        <v>0.8393464554548542</v>
      </c>
      <c r="M2336" s="70">
        <f>CurrentMtgRatesDataTable8[[#This Row],[Servicing Spread Non-Zero]]-L2335</f>
        <v>0</v>
      </c>
      <c r="N2336" s="70">
        <f>IF(J2335&lt;&gt;0,CurrentMtgRatesDataTable8[[#This Row],[Rate]]-C2335,N2335)</f>
        <v>2.9999999999999805E-2</v>
      </c>
    </row>
    <row r="2337" spans="1:14">
      <c r="A2337" s="67" t="s">
        <v>69</v>
      </c>
      <c r="B2337" s="68">
        <v>2.6080685310037901</v>
      </c>
      <c r="C2337" s="69">
        <v>3.52</v>
      </c>
      <c r="D2337" s="70">
        <f t="shared" si="252"/>
        <v>7</v>
      </c>
      <c r="E2337" s="70">
        <f t="shared" si="253"/>
        <v>0.2</v>
      </c>
      <c r="F2337" s="70">
        <f t="shared" si="254"/>
        <v>5</v>
      </c>
      <c r="G2337" s="70">
        <f t="shared" si="255"/>
        <v>2.6415724366220243</v>
      </c>
      <c r="H2337" s="70">
        <f t="shared" si="256"/>
        <v>1</v>
      </c>
      <c r="I2337" s="70">
        <f t="shared" si="257"/>
        <v>1</v>
      </c>
      <c r="J2337" s="70">
        <f t="shared" si="258"/>
        <v>2.6415724366220243</v>
      </c>
      <c r="K2337" s="70">
        <f>IF(CurrentMtgRatesDataTable8[[#This Row],[WA CC]]&lt;&gt;0,C2336-CurrentMtgRatesDataTable8[[#This Row],[WA CC]],0)</f>
        <v>0.87842756337797567</v>
      </c>
      <c r="L2337" s="70">
        <f>IF(CurrentMtgRatesDataTable8[[#This Row],[Servicing Spread]]&lt;=0,L2336,CurrentMtgRatesDataTable8[[#This Row],[Servicing Spread]])</f>
        <v>0.87842756337797567</v>
      </c>
      <c r="M2337" s="70">
        <f>CurrentMtgRatesDataTable8[[#This Row],[Servicing Spread Non-Zero]]-L2336</f>
        <v>3.9081107923121472E-2</v>
      </c>
      <c r="N2337" s="70">
        <f>IF(J2336&lt;&gt;0,CurrentMtgRatesDataTable8[[#This Row],[Rate]]-C2336,N2336)</f>
        <v>2.9999999999999805E-2</v>
      </c>
    </row>
    <row r="2338" spans="1:14">
      <c r="A2338" s="67" t="s">
        <v>635</v>
      </c>
      <c r="B2338" s="68">
        <v>2.6143335780898398</v>
      </c>
      <c r="C2338" s="69">
        <v>3.49</v>
      </c>
      <c r="D2338" s="70">
        <f t="shared" si="252"/>
        <v>1</v>
      </c>
      <c r="E2338" s="70">
        <f t="shared" si="253"/>
        <v>0.2</v>
      </c>
      <c r="F2338" s="70">
        <f t="shared" si="254"/>
        <v>1</v>
      </c>
      <c r="G2338" s="70">
        <f t="shared" si="255"/>
        <v>0.52286671561796794</v>
      </c>
      <c r="H2338" s="70">
        <f t="shared" si="256"/>
        <v>0.2</v>
      </c>
      <c r="I2338" s="70">
        <f t="shared" si="257"/>
        <v>0</v>
      </c>
      <c r="J2338" s="70">
        <f t="shared" si="258"/>
        <v>0</v>
      </c>
      <c r="K2338" s="70">
        <f>IF(CurrentMtgRatesDataTable8[[#This Row],[WA CC]]&lt;&gt;0,C2337-CurrentMtgRatesDataTable8[[#This Row],[WA CC]],0)</f>
        <v>0</v>
      </c>
      <c r="L2338" s="70">
        <f>IF(CurrentMtgRatesDataTable8[[#This Row],[Servicing Spread]]&lt;=0,L2337,CurrentMtgRatesDataTable8[[#This Row],[Servicing Spread]])</f>
        <v>0.87842756337797567</v>
      </c>
      <c r="M2338" s="70">
        <f>CurrentMtgRatesDataTable8[[#This Row],[Servicing Spread Non-Zero]]-L2337</f>
        <v>0</v>
      </c>
      <c r="N2338" s="70">
        <f>IF(J2337&lt;&gt;0,CurrentMtgRatesDataTable8[[#This Row],[Rate]]-C2337,N2337)</f>
        <v>-2.9999999999999805E-2</v>
      </c>
    </row>
    <row r="2339" spans="1:14">
      <c r="A2339" s="67" t="s">
        <v>353</v>
      </c>
      <c r="B2339" s="68">
        <v>2.5951295555522802</v>
      </c>
      <c r="C2339" s="69">
        <v>3.49</v>
      </c>
      <c r="D2339" s="70">
        <f t="shared" si="252"/>
        <v>5</v>
      </c>
      <c r="E2339" s="70">
        <f t="shared" si="253"/>
        <v>0.2</v>
      </c>
      <c r="F2339" s="70">
        <f t="shared" si="254"/>
        <v>2</v>
      </c>
      <c r="G2339" s="70">
        <f t="shared" si="255"/>
        <v>1.0418926267284241</v>
      </c>
      <c r="H2339" s="70">
        <f t="shared" si="256"/>
        <v>0.4</v>
      </c>
      <c r="I2339" s="70">
        <f t="shared" si="257"/>
        <v>0</v>
      </c>
      <c r="J2339" s="70">
        <f t="shared" si="258"/>
        <v>0</v>
      </c>
      <c r="K2339" s="70">
        <f>IF(CurrentMtgRatesDataTable8[[#This Row],[WA CC]]&lt;&gt;0,C2338-CurrentMtgRatesDataTable8[[#This Row],[WA CC]],0)</f>
        <v>0</v>
      </c>
      <c r="L2339" s="70">
        <f>IF(CurrentMtgRatesDataTable8[[#This Row],[Servicing Spread]]&lt;=0,L2338,CurrentMtgRatesDataTable8[[#This Row],[Servicing Spread]])</f>
        <v>0.87842756337797567</v>
      </c>
      <c r="M2339" s="70">
        <f>CurrentMtgRatesDataTable8[[#This Row],[Servicing Spread Non-Zero]]-L2338</f>
        <v>0</v>
      </c>
      <c r="N2339" s="70">
        <f>IF(J2338&lt;&gt;0,CurrentMtgRatesDataTable8[[#This Row],[Rate]]-C2338,N2338)</f>
        <v>-2.9999999999999805E-2</v>
      </c>
    </row>
    <row r="2340" spans="1:14">
      <c r="A2340" s="67" t="s">
        <v>213</v>
      </c>
      <c r="B2340" s="68">
        <v>2.6101991222676499</v>
      </c>
      <c r="C2340" s="69">
        <v>3.49</v>
      </c>
      <c r="D2340" s="70">
        <f t="shared" si="252"/>
        <v>6</v>
      </c>
      <c r="E2340" s="70">
        <f t="shared" si="253"/>
        <v>0.2</v>
      </c>
      <c r="F2340" s="70">
        <f t="shared" si="254"/>
        <v>3</v>
      </c>
      <c r="G2340" s="70">
        <f t="shared" si="255"/>
        <v>1.5639324511819541</v>
      </c>
      <c r="H2340" s="70">
        <f t="shared" si="256"/>
        <v>0.60000000000000009</v>
      </c>
      <c r="I2340" s="70">
        <f t="shared" si="257"/>
        <v>0</v>
      </c>
      <c r="J2340" s="70">
        <f t="shared" si="258"/>
        <v>0</v>
      </c>
      <c r="K2340" s="70">
        <f>IF(CurrentMtgRatesDataTable8[[#This Row],[WA CC]]&lt;&gt;0,C2339-CurrentMtgRatesDataTable8[[#This Row],[WA CC]],0)</f>
        <v>0</v>
      </c>
      <c r="L2340" s="70">
        <f>IF(CurrentMtgRatesDataTable8[[#This Row],[Servicing Spread]]&lt;=0,L2339,CurrentMtgRatesDataTable8[[#This Row],[Servicing Spread]])</f>
        <v>0.87842756337797567</v>
      </c>
      <c r="M2340" s="70">
        <f>CurrentMtgRatesDataTable8[[#This Row],[Servicing Spread Non-Zero]]-L2339</f>
        <v>0</v>
      </c>
      <c r="N2340" s="70">
        <f>IF(J2339&lt;&gt;0,CurrentMtgRatesDataTable8[[#This Row],[Rate]]-C2339,N2339)</f>
        <v>-2.9999999999999805E-2</v>
      </c>
    </row>
    <row r="2341" spans="1:14">
      <c r="A2341" s="67" t="s">
        <v>70</v>
      </c>
      <c r="B2341" s="68">
        <v>2.5647186741288901</v>
      </c>
      <c r="C2341" s="69">
        <v>3.49</v>
      </c>
      <c r="D2341" s="70">
        <f t="shared" si="252"/>
        <v>7</v>
      </c>
      <c r="E2341" s="70">
        <f t="shared" si="253"/>
        <v>0.2</v>
      </c>
      <c r="F2341" s="70">
        <f t="shared" si="254"/>
        <v>4</v>
      </c>
      <c r="G2341" s="70">
        <f t="shared" si="255"/>
        <v>2.0768761860077323</v>
      </c>
      <c r="H2341" s="70">
        <f t="shared" si="256"/>
        <v>0.8</v>
      </c>
      <c r="I2341" s="70">
        <f t="shared" si="257"/>
        <v>1</v>
      </c>
      <c r="J2341" s="70">
        <f t="shared" si="258"/>
        <v>2.5960952325096653</v>
      </c>
      <c r="K2341" s="70">
        <f>IF(CurrentMtgRatesDataTable8[[#This Row],[WA CC]]&lt;&gt;0,C2340-CurrentMtgRatesDataTable8[[#This Row],[WA CC]],0)</f>
        <v>0.89390476749033487</v>
      </c>
      <c r="L2341" s="70">
        <f>IF(CurrentMtgRatesDataTable8[[#This Row],[Servicing Spread]]&lt;=0,L2340,CurrentMtgRatesDataTable8[[#This Row],[Servicing Spread]])</f>
        <v>0.89390476749033487</v>
      </c>
      <c r="M2341" s="70">
        <f>CurrentMtgRatesDataTable8[[#This Row],[Servicing Spread Non-Zero]]-L2340</f>
        <v>1.54772041123592E-2</v>
      </c>
      <c r="N2341" s="70">
        <f>IF(J2340&lt;&gt;0,CurrentMtgRatesDataTable8[[#This Row],[Rate]]-C2340,N2340)</f>
        <v>-2.9999999999999805E-2</v>
      </c>
    </row>
    <row r="2342" spans="1:14">
      <c r="A2342" s="67" t="s">
        <v>636</v>
      </c>
      <c r="B2342" s="68">
        <v>2.4858730996264899</v>
      </c>
      <c r="C2342" s="69">
        <v>3.3800000000000003</v>
      </c>
      <c r="D2342" s="70">
        <f t="shared" si="252"/>
        <v>1</v>
      </c>
      <c r="E2342" s="70">
        <f t="shared" si="253"/>
        <v>0.2</v>
      </c>
      <c r="F2342" s="70">
        <f t="shared" si="254"/>
        <v>1</v>
      </c>
      <c r="G2342" s="70">
        <f t="shared" si="255"/>
        <v>0.49717461992529799</v>
      </c>
      <c r="H2342" s="70">
        <f t="shared" si="256"/>
        <v>0.2</v>
      </c>
      <c r="I2342" s="70">
        <f t="shared" si="257"/>
        <v>0</v>
      </c>
      <c r="J2342" s="70">
        <f t="shared" si="258"/>
        <v>0</v>
      </c>
      <c r="K2342" s="70">
        <f>IF(CurrentMtgRatesDataTable8[[#This Row],[WA CC]]&lt;&gt;0,C2341-CurrentMtgRatesDataTable8[[#This Row],[WA CC]],0)</f>
        <v>0</v>
      </c>
      <c r="L2342" s="70">
        <f>IF(CurrentMtgRatesDataTable8[[#This Row],[Servicing Spread]]&lt;=0,L2341,CurrentMtgRatesDataTable8[[#This Row],[Servicing Spread]])</f>
        <v>0.89390476749033487</v>
      </c>
      <c r="M2342" s="70">
        <f>CurrentMtgRatesDataTable8[[#This Row],[Servicing Spread Non-Zero]]-L2341</f>
        <v>0</v>
      </c>
      <c r="N2342" s="70">
        <f>IF(J2341&lt;&gt;0,CurrentMtgRatesDataTable8[[#This Row],[Rate]]-C2341,N2341)</f>
        <v>-0.10999999999999988</v>
      </c>
    </row>
    <row r="2343" spans="1:14">
      <c r="A2343" s="67" t="s">
        <v>492</v>
      </c>
      <c r="B2343" s="68">
        <v>2.4173832768427301</v>
      </c>
      <c r="C2343" s="69">
        <v>3.3800000000000003</v>
      </c>
      <c r="D2343" s="70">
        <f t="shared" si="252"/>
        <v>2</v>
      </c>
      <c r="E2343" s="70">
        <f t="shared" si="253"/>
        <v>0.2</v>
      </c>
      <c r="F2343" s="70">
        <f t="shared" si="254"/>
        <v>2</v>
      </c>
      <c r="G2343" s="70">
        <f t="shared" si="255"/>
        <v>0.9806512752938441</v>
      </c>
      <c r="H2343" s="70">
        <f t="shared" si="256"/>
        <v>0.4</v>
      </c>
      <c r="I2343" s="70">
        <f t="shared" si="257"/>
        <v>0</v>
      </c>
      <c r="J2343" s="70">
        <f t="shared" si="258"/>
        <v>0</v>
      </c>
      <c r="K2343" s="70">
        <f>IF(CurrentMtgRatesDataTable8[[#This Row],[WA CC]]&lt;&gt;0,C2342-CurrentMtgRatesDataTable8[[#This Row],[WA CC]],0)</f>
        <v>0</v>
      </c>
      <c r="L2343" s="70">
        <f>IF(CurrentMtgRatesDataTable8[[#This Row],[Servicing Spread]]&lt;=0,L2342,CurrentMtgRatesDataTable8[[#This Row],[Servicing Spread]])</f>
        <v>0.89390476749033487</v>
      </c>
      <c r="M2343" s="70">
        <f>CurrentMtgRatesDataTable8[[#This Row],[Servicing Spread Non-Zero]]-L2342</f>
        <v>0</v>
      </c>
      <c r="N2343" s="70">
        <f>IF(J2342&lt;&gt;0,CurrentMtgRatesDataTable8[[#This Row],[Rate]]-C2342,N2342)</f>
        <v>-0.10999999999999988</v>
      </c>
    </row>
    <row r="2344" spans="1:14">
      <c r="A2344" s="67" t="s">
        <v>354</v>
      </c>
      <c r="B2344" s="68">
        <v>2.4769497822755899</v>
      </c>
      <c r="C2344" s="69">
        <v>3.3800000000000003</v>
      </c>
      <c r="D2344" s="70">
        <f t="shared" si="252"/>
        <v>5</v>
      </c>
      <c r="E2344" s="70">
        <f t="shared" si="253"/>
        <v>0.2</v>
      </c>
      <c r="F2344" s="70">
        <f t="shared" si="254"/>
        <v>3</v>
      </c>
      <c r="G2344" s="70">
        <f t="shared" si="255"/>
        <v>1.4760412317489622</v>
      </c>
      <c r="H2344" s="70">
        <f t="shared" si="256"/>
        <v>0.60000000000000009</v>
      </c>
      <c r="I2344" s="70">
        <f t="shared" si="257"/>
        <v>0</v>
      </c>
      <c r="J2344" s="70">
        <f t="shared" si="258"/>
        <v>0</v>
      </c>
      <c r="K2344" s="70">
        <f>IF(CurrentMtgRatesDataTable8[[#This Row],[WA CC]]&lt;&gt;0,C2343-CurrentMtgRatesDataTable8[[#This Row],[WA CC]],0)</f>
        <v>0</v>
      </c>
      <c r="L2344" s="70">
        <f>IF(CurrentMtgRatesDataTable8[[#This Row],[Servicing Spread]]&lt;=0,L2343,CurrentMtgRatesDataTable8[[#This Row],[Servicing Spread]])</f>
        <v>0.89390476749033487</v>
      </c>
      <c r="M2344" s="70">
        <f>CurrentMtgRatesDataTable8[[#This Row],[Servicing Spread Non-Zero]]-L2343</f>
        <v>0</v>
      </c>
      <c r="N2344" s="70">
        <f>IF(J2343&lt;&gt;0,CurrentMtgRatesDataTable8[[#This Row],[Rate]]-C2343,N2343)</f>
        <v>-0.10999999999999988</v>
      </c>
    </row>
    <row r="2345" spans="1:14">
      <c r="A2345" s="67" t="s">
        <v>214</v>
      </c>
      <c r="B2345" s="68">
        <v>2.4893778182677</v>
      </c>
      <c r="C2345" s="69">
        <v>3.3800000000000003</v>
      </c>
      <c r="D2345" s="70">
        <f t="shared" si="252"/>
        <v>6</v>
      </c>
      <c r="E2345" s="70">
        <f t="shared" si="253"/>
        <v>0.2</v>
      </c>
      <c r="F2345" s="70">
        <f t="shared" si="254"/>
        <v>4</v>
      </c>
      <c r="G2345" s="70">
        <f t="shared" si="255"/>
        <v>1.9739167954025021</v>
      </c>
      <c r="H2345" s="70">
        <f t="shared" si="256"/>
        <v>0.8</v>
      </c>
      <c r="I2345" s="70">
        <f t="shared" si="257"/>
        <v>0</v>
      </c>
      <c r="J2345" s="70">
        <f t="shared" si="258"/>
        <v>0</v>
      </c>
      <c r="K2345" s="70">
        <f>IF(CurrentMtgRatesDataTable8[[#This Row],[WA CC]]&lt;&gt;0,C2344-CurrentMtgRatesDataTable8[[#This Row],[WA CC]],0)</f>
        <v>0</v>
      </c>
      <c r="L2345" s="70">
        <f>IF(CurrentMtgRatesDataTable8[[#This Row],[Servicing Spread]]&lt;=0,L2344,CurrentMtgRatesDataTable8[[#This Row],[Servicing Spread]])</f>
        <v>0.89390476749033487</v>
      </c>
      <c r="M2345" s="70">
        <f>CurrentMtgRatesDataTable8[[#This Row],[Servicing Spread Non-Zero]]-L2344</f>
        <v>0</v>
      </c>
      <c r="N2345" s="70">
        <f>IF(J2344&lt;&gt;0,CurrentMtgRatesDataTable8[[#This Row],[Rate]]-C2344,N2344)</f>
        <v>-0.10999999999999988</v>
      </c>
    </row>
    <row r="2346" spans="1:14">
      <c r="A2346" s="67" t="s">
        <v>71</v>
      </c>
      <c r="B2346" s="68">
        <v>2.54479183649527</v>
      </c>
      <c r="C2346" s="69">
        <v>3.3800000000000003</v>
      </c>
      <c r="D2346" s="70">
        <f t="shared" si="252"/>
        <v>7</v>
      </c>
      <c r="E2346" s="70">
        <f t="shared" si="253"/>
        <v>0.2</v>
      </c>
      <c r="F2346" s="70">
        <f t="shared" si="254"/>
        <v>5</v>
      </c>
      <c r="G2346" s="70">
        <f t="shared" si="255"/>
        <v>2.4828751627015562</v>
      </c>
      <c r="H2346" s="70">
        <f t="shared" si="256"/>
        <v>1</v>
      </c>
      <c r="I2346" s="70">
        <f t="shared" si="257"/>
        <v>1</v>
      </c>
      <c r="J2346" s="70">
        <f t="shared" si="258"/>
        <v>2.4828751627015562</v>
      </c>
      <c r="K2346" s="70">
        <f>IF(CurrentMtgRatesDataTable8[[#This Row],[WA CC]]&lt;&gt;0,C2345-CurrentMtgRatesDataTable8[[#This Row],[WA CC]],0)</f>
        <v>0.89712483729844417</v>
      </c>
      <c r="L2346" s="70">
        <f>IF(CurrentMtgRatesDataTable8[[#This Row],[Servicing Spread]]&lt;=0,L2345,CurrentMtgRatesDataTable8[[#This Row],[Servicing Spread]])</f>
        <v>0.89712483729844417</v>
      </c>
      <c r="M2346" s="70">
        <f>CurrentMtgRatesDataTable8[[#This Row],[Servicing Spread Non-Zero]]-L2345</f>
        <v>3.2200698081092938E-3</v>
      </c>
      <c r="N2346" s="70">
        <f>IF(J2345&lt;&gt;0,CurrentMtgRatesDataTable8[[#This Row],[Rate]]-C2345,N2345)</f>
        <v>-0.10999999999999988</v>
      </c>
    </row>
    <row r="2347" spans="1:14">
      <c r="A2347" s="67" t="s">
        <v>637</v>
      </c>
      <c r="B2347" s="68">
        <v>2.5180760618821498</v>
      </c>
      <c r="C2347" s="69">
        <v>3.335</v>
      </c>
      <c r="D2347" s="70">
        <f t="shared" si="252"/>
        <v>1</v>
      </c>
      <c r="E2347" s="70">
        <f t="shared" si="253"/>
        <v>0.2</v>
      </c>
      <c r="F2347" s="70">
        <f t="shared" si="254"/>
        <v>1</v>
      </c>
      <c r="G2347" s="70">
        <f t="shared" si="255"/>
        <v>0.50361521237643003</v>
      </c>
      <c r="H2347" s="70">
        <f t="shared" si="256"/>
        <v>0.2</v>
      </c>
      <c r="I2347" s="70">
        <f t="shared" si="257"/>
        <v>0</v>
      </c>
      <c r="J2347" s="70">
        <f t="shared" si="258"/>
        <v>0</v>
      </c>
      <c r="K2347" s="70">
        <f>IF(CurrentMtgRatesDataTable8[[#This Row],[WA CC]]&lt;&gt;0,C2346-CurrentMtgRatesDataTable8[[#This Row],[WA CC]],0)</f>
        <v>0</v>
      </c>
      <c r="L2347" s="70">
        <f>IF(CurrentMtgRatesDataTable8[[#This Row],[Servicing Spread]]&lt;=0,L2346,CurrentMtgRatesDataTable8[[#This Row],[Servicing Spread]])</f>
        <v>0.89712483729844417</v>
      </c>
      <c r="M2347" s="70">
        <f>CurrentMtgRatesDataTable8[[#This Row],[Servicing Spread Non-Zero]]-L2346</f>
        <v>0</v>
      </c>
      <c r="N2347" s="70">
        <f>IF(J2346&lt;&gt;0,CurrentMtgRatesDataTable8[[#This Row],[Rate]]-C2346,N2346)</f>
        <v>-4.5000000000000373E-2</v>
      </c>
    </row>
    <row r="2348" spans="1:14">
      <c r="A2348" s="67" t="s">
        <v>493</v>
      </c>
      <c r="B2348" s="68">
        <v>2.4532379481842601</v>
      </c>
      <c r="C2348" s="69">
        <v>3.335</v>
      </c>
      <c r="D2348" s="70">
        <f t="shared" si="252"/>
        <v>2</v>
      </c>
      <c r="E2348" s="70">
        <f t="shared" si="253"/>
        <v>0.2</v>
      </c>
      <c r="F2348" s="70">
        <f t="shared" si="254"/>
        <v>2</v>
      </c>
      <c r="G2348" s="70">
        <f t="shared" si="255"/>
        <v>0.9942628020132821</v>
      </c>
      <c r="H2348" s="70">
        <f t="shared" si="256"/>
        <v>0.4</v>
      </c>
      <c r="I2348" s="70">
        <f t="shared" si="257"/>
        <v>0</v>
      </c>
      <c r="J2348" s="70">
        <f t="shared" si="258"/>
        <v>0</v>
      </c>
      <c r="K2348" s="70">
        <f>IF(CurrentMtgRatesDataTable8[[#This Row],[WA CC]]&lt;&gt;0,C2347-CurrentMtgRatesDataTable8[[#This Row],[WA CC]],0)</f>
        <v>0</v>
      </c>
      <c r="L2348" s="70">
        <f>IF(CurrentMtgRatesDataTable8[[#This Row],[Servicing Spread]]&lt;=0,L2347,CurrentMtgRatesDataTable8[[#This Row],[Servicing Spread]])</f>
        <v>0.89712483729844417</v>
      </c>
      <c r="M2348" s="70">
        <f>CurrentMtgRatesDataTable8[[#This Row],[Servicing Spread Non-Zero]]-L2347</f>
        <v>0</v>
      </c>
      <c r="N2348" s="70">
        <f>IF(J2347&lt;&gt;0,CurrentMtgRatesDataTable8[[#This Row],[Rate]]-C2347,N2347)</f>
        <v>-4.5000000000000373E-2</v>
      </c>
    </row>
    <row r="2349" spans="1:14">
      <c r="A2349" s="67" t="s">
        <v>355</v>
      </c>
      <c r="B2349" s="68">
        <v>2.4306597894947899</v>
      </c>
      <c r="C2349" s="69">
        <v>3.335</v>
      </c>
      <c r="D2349" s="70">
        <f t="shared" si="252"/>
        <v>5</v>
      </c>
      <c r="E2349" s="70">
        <f t="shared" si="253"/>
        <v>0.2</v>
      </c>
      <c r="F2349" s="70">
        <f t="shared" si="254"/>
        <v>3</v>
      </c>
      <c r="G2349" s="70">
        <f t="shared" si="255"/>
        <v>1.4803947599122402</v>
      </c>
      <c r="H2349" s="70">
        <f t="shared" si="256"/>
        <v>0.60000000000000009</v>
      </c>
      <c r="I2349" s="70">
        <f t="shared" si="257"/>
        <v>0</v>
      </c>
      <c r="J2349" s="70">
        <f t="shared" si="258"/>
        <v>0</v>
      </c>
      <c r="K2349" s="70">
        <f>IF(CurrentMtgRatesDataTable8[[#This Row],[WA CC]]&lt;&gt;0,C2348-CurrentMtgRatesDataTable8[[#This Row],[WA CC]],0)</f>
        <v>0</v>
      </c>
      <c r="L2349" s="70">
        <f>IF(CurrentMtgRatesDataTable8[[#This Row],[Servicing Spread]]&lt;=0,L2348,CurrentMtgRatesDataTable8[[#This Row],[Servicing Spread]])</f>
        <v>0.89712483729844417</v>
      </c>
      <c r="M2349" s="70">
        <f>CurrentMtgRatesDataTable8[[#This Row],[Servicing Spread Non-Zero]]-L2348</f>
        <v>0</v>
      </c>
      <c r="N2349" s="70">
        <f>IF(J2348&lt;&gt;0,CurrentMtgRatesDataTable8[[#This Row],[Rate]]-C2348,N2348)</f>
        <v>-4.5000000000000373E-2</v>
      </c>
    </row>
    <row r="2350" spans="1:14">
      <c r="A2350" s="67" t="s">
        <v>215</v>
      </c>
      <c r="B2350" s="68">
        <v>2.45465029105896</v>
      </c>
      <c r="C2350" s="69">
        <v>3.335</v>
      </c>
      <c r="D2350" s="70">
        <f t="shared" si="252"/>
        <v>6</v>
      </c>
      <c r="E2350" s="70">
        <f t="shared" si="253"/>
        <v>0.2</v>
      </c>
      <c r="F2350" s="70">
        <f t="shared" si="254"/>
        <v>4</v>
      </c>
      <c r="G2350" s="70">
        <f t="shared" si="255"/>
        <v>1.9713248181240322</v>
      </c>
      <c r="H2350" s="70">
        <f t="shared" si="256"/>
        <v>0.8</v>
      </c>
      <c r="I2350" s="70">
        <f t="shared" si="257"/>
        <v>0</v>
      </c>
      <c r="J2350" s="70">
        <f t="shared" si="258"/>
        <v>0</v>
      </c>
      <c r="K2350" s="70">
        <f>IF(CurrentMtgRatesDataTable8[[#This Row],[WA CC]]&lt;&gt;0,C2349-CurrentMtgRatesDataTable8[[#This Row],[WA CC]],0)</f>
        <v>0</v>
      </c>
      <c r="L2350" s="70">
        <f>IF(CurrentMtgRatesDataTable8[[#This Row],[Servicing Spread]]&lt;=0,L2349,CurrentMtgRatesDataTable8[[#This Row],[Servicing Spread]])</f>
        <v>0.89712483729844417</v>
      </c>
      <c r="M2350" s="70">
        <f>CurrentMtgRatesDataTable8[[#This Row],[Servicing Spread Non-Zero]]-L2349</f>
        <v>0</v>
      </c>
      <c r="N2350" s="70">
        <f>IF(J2349&lt;&gt;0,CurrentMtgRatesDataTable8[[#This Row],[Rate]]-C2349,N2349)</f>
        <v>-4.5000000000000373E-2</v>
      </c>
    </row>
    <row r="2351" spans="1:14">
      <c r="A2351" s="67" t="s">
        <v>72</v>
      </c>
      <c r="B2351" s="68">
        <v>2.4500518771238999</v>
      </c>
      <c r="C2351" s="69">
        <v>3.335</v>
      </c>
      <c r="D2351" s="70">
        <f t="shared" si="252"/>
        <v>7</v>
      </c>
      <c r="E2351" s="70">
        <f t="shared" si="253"/>
        <v>0.2</v>
      </c>
      <c r="F2351" s="70">
        <f t="shared" si="254"/>
        <v>5</v>
      </c>
      <c r="G2351" s="70">
        <f t="shared" si="255"/>
        <v>2.4613351935488121</v>
      </c>
      <c r="H2351" s="70">
        <f t="shared" si="256"/>
        <v>1</v>
      </c>
      <c r="I2351" s="70">
        <f t="shared" si="257"/>
        <v>1</v>
      </c>
      <c r="J2351" s="70">
        <f t="shared" si="258"/>
        <v>2.4613351935488121</v>
      </c>
      <c r="K2351" s="70">
        <f>IF(CurrentMtgRatesDataTable8[[#This Row],[WA CC]]&lt;&gt;0,C2350-CurrentMtgRatesDataTable8[[#This Row],[WA CC]],0)</f>
        <v>0.87366480645118783</v>
      </c>
      <c r="L2351" s="70">
        <f>IF(CurrentMtgRatesDataTable8[[#This Row],[Servicing Spread]]&lt;=0,L2350,CurrentMtgRatesDataTable8[[#This Row],[Servicing Spread]])</f>
        <v>0.87366480645118783</v>
      </c>
      <c r="M2351" s="70">
        <f>CurrentMtgRatesDataTable8[[#This Row],[Servicing Spread Non-Zero]]-L2350</f>
        <v>-2.3460030847256341E-2</v>
      </c>
      <c r="N2351" s="70">
        <f>IF(J2350&lt;&gt;0,CurrentMtgRatesDataTable8[[#This Row],[Rate]]-C2350,N2350)</f>
        <v>-4.5000000000000373E-2</v>
      </c>
    </row>
    <row r="2352" spans="1:14">
      <c r="A2352" s="67" t="s">
        <v>638</v>
      </c>
      <c r="B2352" s="68">
        <v>2.43192110209089</v>
      </c>
      <c r="C2352" s="69">
        <v>3.35</v>
      </c>
      <c r="D2352" s="70">
        <f t="shared" si="252"/>
        <v>1</v>
      </c>
      <c r="E2352" s="70">
        <f t="shared" si="253"/>
        <v>0.2</v>
      </c>
      <c r="F2352" s="70">
        <f t="shared" si="254"/>
        <v>1</v>
      </c>
      <c r="G2352" s="70">
        <f t="shared" si="255"/>
        <v>0.48638422041817803</v>
      </c>
      <c r="H2352" s="70">
        <f t="shared" si="256"/>
        <v>0.2</v>
      </c>
      <c r="I2352" s="70">
        <f t="shared" si="257"/>
        <v>0</v>
      </c>
      <c r="J2352" s="70">
        <f t="shared" si="258"/>
        <v>0</v>
      </c>
      <c r="K2352" s="70">
        <f>IF(CurrentMtgRatesDataTable8[[#This Row],[WA CC]]&lt;&gt;0,C2351-CurrentMtgRatesDataTable8[[#This Row],[WA CC]],0)</f>
        <v>0</v>
      </c>
      <c r="L2352" s="70">
        <f>IF(CurrentMtgRatesDataTable8[[#This Row],[Servicing Spread]]&lt;=0,L2351,CurrentMtgRatesDataTable8[[#This Row],[Servicing Spread]])</f>
        <v>0.87366480645118783</v>
      </c>
      <c r="M2352" s="70">
        <f>CurrentMtgRatesDataTable8[[#This Row],[Servicing Spread Non-Zero]]-L2351</f>
        <v>0</v>
      </c>
      <c r="N2352" s="70">
        <f>IF(J2351&lt;&gt;0,CurrentMtgRatesDataTable8[[#This Row],[Rate]]-C2351,N2351)</f>
        <v>1.5000000000000124E-2</v>
      </c>
    </row>
    <row r="2353" spans="1:14">
      <c r="A2353" s="67" t="s">
        <v>494</v>
      </c>
      <c r="B2353" s="68">
        <v>2.4478292625910401</v>
      </c>
      <c r="C2353" s="69">
        <v>3.35</v>
      </c>
      <c r="D2353" s="70">
        <f t="shared" si="252"/>
        <v>2</v>
      </c>
      <c r="E2353" s="70">
        <f t="shared" si="253"/>
        <v>0.2</v>
      </c>
      <c r="F2353" s="70">
        <f t="shared" si="254"/>
        <v>2</v>
      </c>
      <c r="G2353" s="70">
        <f t="shared" si="255"/>
        <v>0.97595007293638614</v>
      </c>
      <c r="H2353" s="70">
        <f t="shared" si="256"/>
        <v>0.4</v>
      </c>
      <c r="I2353" s="70">
        <f t="shared" si="257"/>
        <v>0</v>
      </c>
      <c r="J2353" s="70">
        <f t="shared" si="258"/>
        <v>0</v>
      </c>
      <c r="K2353" s="70">
        <f>IF(CurrentMtgRatesDataTable8[[#This Row],[WA CC]]&lt;&gt;0,C2352-CurrentMtgRatesDataTable8[[#This Row],[WA CC]],0)</f>
        <v>0</v>
      </c>
      <c r="L2353" s="70">
        <f>IF(CurrentMtgRatesDataTable8[[#This Row],[Servicing Spread]]&lt;=0,L2352,CurrentMtgRatesDataTable8[[#This Row],[Servicing Spread]])</f>
        <v>0.87366480645118783</v>
      </c>
      <c r="M2353" s="70">
        <f>CurrentMtgRatesDataTable8[[#This Row],[Servicing Spread Non-Zero]]-L2352</f>
        <v>0</v>
      </c>
      <c r="N2353" s="70">
        <f>IF(J2352&lt;&gt;0,CurrentMtgRatesDataTable8[[#This Row],[Rate]]-C2352,N2352)</f>
        <v>1.5000000000000124E-2</v>
      </c>
    </row>
    <row r="2354" spans="1:14">
      <c r="A2354" s="67" t="s">
        <v>356</v>
      </c>
      <c r="B2354" s="68">
        <v>2.4460987781161698</v>
      </c>
      <c r="C2354" s="69">
        <v>3.35</v>
      </c>
      <c r="D2354" s="70">
        <f t="shared" si="252"/>
        <v>5</v>
      </c>
      <c r="E2354" s="70">
        <f t="shared" si="253"/>
        <v>0.2</v>
      </c>
      <c r="F2354" s="70">
        <f t="shared" si="254"/>
        <v>3</v>
      </c>
      <c r="G2354" s="70">
        <f t="shared" si="255"/>
        <v>1.4651698285596202</v>
      </c>
      <c r="H2354" s="70">
        <f t="shared" si="256"/>
        <v>0.60000000000000009</v>
      </c>
      <c r="I2354" s="70">
        <f t="shared" si="257"/>
        <v>0</v>
      </c>
      <c r="J2354" s="70">
        <f t="shared" si="258"/>
        <v>0</v>
      </c>
      <c r="K2354" s="70">
        <f>IF(CurrentMtgRatesDataTable8[[#This Row],[WA CC]]&lt;&gt;0,C2353-CurrentMtgRatesDataTable8[[#This Row],[WA CC]],0)</f>
        <v>0</v>
      </c>
      <c r="L2354" s="70">
        <f>IF(CurrentMtgRatesDataTable8[[#This Row],[Servicing Spread]]&lt;=0,L2353,CurrentMtgRatesDataTable8[[#This Row],[Servicing Spread]])</f>
        <v>0.87366480645118783</v>
      </c>
      <c r="M2354" s="70">
        <f>CurrentMtgRatesDataTable8[[#This Row],[Servicing Spread Non-Zero]]-L2353</f>
        <v>0</v>
      </c>
      <c r="N2354" s="70">
        <f>IF(J2353&lt;&gt;0,CurrentMtgRatesDataTable8[[#This Row],[Rate]]-C2353,N2353)</f>
        <v>1.5000000000000124E-2</v>
      </c>
    </row>
    <row r="2355" spans="1:14">
      <c r="A2355" s="67" t="s">
        <v>216</v>
      </c>
      <c r="B2355" s="68">
        <v>2.4375323431689502</v>
      </c>
      <c r="C2355" s="69">
        <v>3.35</v>
      </c>
      <c r="D2355" s="70">
        <f t="shared" si="252"/>
        <v>6</v>
      </c>
      <c r="E2355" s="70">
        <f t="shared" si="253"/>
        <v>0.2</v>
      </c>
      <c r="F2355" s="70">
        <f t="shared" si="254"/>
        <v>4</v>
      </c>
      <c r="G2355" s="70">
        <f t="shared" si="255"/>
        <v>1.9526762971934102</v>
      </c>
      <c r="H2355" s="70">
        <f t="shared" si="256"/>
        <v>0.8</v>
      </c>
      <c r="I2355" s="70">
        <f t="shared" si="257"/>
        <v>0</v>
      </c>
      <c r="J2355" s="70">
        <f t="shared" si="258"/>
        <v>0</v>
      </c>
      <c r="K2355" s="70">
        <f>IF(CurrentMtgRatesDataTable8[[#This Row],[WA CC]]&lt;&gt;0,C2354-CurrentMtgRatesDataTable8[[#This Row],[WA CC]],0)</f>
        <v>0</v>
      </c>
      <c r="L2355" s="70">
        <f>IF(CurrentMtgRatesDataTable8[[#This Row],[Servicing Spread]]&lt;=0,L2354,CurrentMtgRatesDataTable8[[#This Row],[Servicing Spread]])</f>
        <v>0.87366480645118783</v>
      </c>
      <c r="M2355" s="70">
        <f>CurrentMtgRatesDataTable8[[#This Row],[Servicing Spread Non-Zero]]-L2354</f>
        <v>0</v>
      </c>
      <c r="N2355" s="70">
        <f>IF(J2354&lt;&gt;0,CurrentMtgRatesDataTable8[[#This Row],[Rate]]-C2354,N2354)</f>
        <v>1.5000000000000124E-2</v>
      </c>
    </row>
    <row r="2356" spans="1:14">
      <c r="A2356" s="67" t="s">
        <v>73</v>
      </c>
      <c r="B2356" s="68">
        <v>2.4323883653727401</v>
      </c>
      <c r="C2356" s="69">
        <v>3.35</v>
      </c>
      <c r="D2356" s="70">
        <f t="shared" si="252"/>
        <v>7</v>
      </c>
      <c r="E2356" s="70">
        <f t="shared" si="253"/>
        <v>0.2</v>
      </c>
      <c r="F2356" s="70">
        <f t="shared" si="254"/>
        <v>5</v>
      </c>
      <c r="G2356" s="70">
        <f t="shared" si="255"/>
        <v>2.4391539702679581</v>
      </c>
      <c r="H2356" s="70">
        <f t="shared" si="256"/>
        <v>1</v>
      </c>
      <c r="I2356" s="70">
        <f t="shared" si="257"/>
        <v>1</v>
      </c>
      <c r="J2356" s="70">
        <f t="shared" si="258"/>
        <v>2.4391539702679581</v>
      </c>
      <c r="K2356" s="70">
        <f>IF(CurrentMtgRatesDataTable8[[#This Row],[WA CC]]&lt;&gt;0,C2355-CurrentMtgRatesDataTable8[[#This Row],[WA CC]],0)</f>
        <v>0.91084602973204198</v>
      </c>
      <c r="L2356" s="70">
        <f>IF(CurrentMtgRatesDataTable8[[#This Row],[Servicing Spread]]&lt;=0,L2355,CurrentMtgRatesDataTable8[[#This Row],[Servicing Spread]])</f>
        <v>0.91084602973204198</v>
      </c>
      <c r="M2356" s="70">
        <f>CurrentMtgRatesDataTable8[[#This Row],[Servicing Spread Non-Zero]]-L2355</f>
        <v>3.7181223280854159E-2</v>
      </c>
      <c r="N2356" s="70">
        <f>IF(J2355&lt;&gt;0,CurrentMtgRatesDataTable8[[#This Row],[Rate]]-C2355,N2355)</f>
        <v>1.5000000000000124E-2</v>
      </c>
    </row>
    <row r="2357" spans="1:14">
      <c r="A2357" s="67" t="s">
        <v>639</v>
      </c>
      <c r="B2357" s="68">
        <v>2.4323453281375</v>
      </c>
      <c r="C2357" s="69">
        <v>3.2749999999999999</v>
      </c>
      <c r="D2357" s="70">
        <f t="shared" si="252"/>
        <v>1</v>
      </c>
      <c r="E2357" s="70">
        <f t="shared" si="253"/>
        <v>0.2</v>
      </c>
      <c r="F2357" s="70">
        <f t="shared" si="254"/>
        <v>1</v>
      </c>
      <c r="G2357" s="70">
        <f t="shared" si="255"/>
        <v>0.48646906562750003</v>
      </c>
      <c r="H2357" s="70">
        <f t="shared" si="256"/>
        <v>0.2</v>
      </c>
      <c r="I2357" s="70">
        <f t="shared" si="257"/>
        <v>0</v>
      </c>
      <c r="J2357" s="70">
        <f t="shared" si="258"/>
        <v>0</v>
      </c>
      <c r="K2357" s="70">
        <f>IF(CurrentMtgRatesDataTable8[[#This Row],[WA CC]]&lt;&gt;0,C2356-CurrentMtgRatesDataTable8[[#This Row],[WA CC]],0)</f>
        <v>0</v>
      </c>
      <c r="L2357" s="70">
        <f>IF(CurrentMtgRatesDataTable8[[#This Row],[Servicing Spread]]&lt;=0,L2356,CurrentMtgRatesDataTable8[[#This Row],[Servicing Spread]])</f>
        <v>0.91084602973204198</v>
      </c>
      <c r="M2357" s="70">
        <f>CurrentMtgRatesDataTable8[[#This Row],[Servicing Spread Non-Zero]]-L2356</f>
        <v>0</v>
      </c>
      <c r="N2357" s="70">
        <f>IF(J2356&lt;&gt;0,CurrentMtgRatesDataTable8[[#This Row],[Rate]]-C2356,N2356)</f>
        <v>-7.5000000000000178E-2</v>
      </c>
    </row>
    <row r="2358" spans="1:14">
      <c r="A2358" s="67" t="s">
        <v>495</v>
      </c>
      <c r="B2358" s="68">
        <v>2.3795080679074299</v>
      </c>
      <c r="C2358" s="69">
        <v>3.2749999999999999</v>
      </c>
      <c r="D2358" s="70">
        <f t="shared" si="252"/>
        <v>2</v>
      </c>
      <c r="E2358" s="70">
        <f t="shared" si="253"/>
        <v>0.2</v>
      </c>
      <c r="F2358" s="70">
        <f t="shared" si="254"/>
        <v>2</v>
      </c>
      <c r="G2358" s="70">
        <f t="shared" si="255"/>
        <v>0.962370679208986</v>
      </c>
      <c r="H2358" s="70">
        <f t="shared" si="256"/>
        <v>0.4</v>
      </c>
      <c r="I2358" s="70">
        <f t="shared" si="257"/>
        <v>0</v>
      </c>
      <c r="J2358" s="70">
        <f t="shared" si="258"/>
        <v>0</v>
      </c>
      <c r="K2358" s="70">
        <f>IF(CurrentMtgRatesDataTable8[[#This Row],[WA CC]]&lt;&gt;0,C2357-CurrentMtgRatesDataTable8[[#This Row],[WA CC]],0)</f>
        <v>0</v>
      </c>
      <c r="L2358" s="70">
        <f>IF(CurrentMtgRatesDataTable8[[#This Row],[Servicing Spread]]&lt;=0,L2357,CurrentMtgRatesDataTable8[[#This Row],[Servicing Spread]])</f>
        <v>0.91084602973204198</v>
      </c>
      <c r="M2358" s="70">
        <f>CurrentMtgRatesDataTable8[[#This Row],[Servicing Spread Non-Zero]]-L2357</f>
        <v>0</v>
      </c>
      <c r="N2358" s="70">
        <f>IF(J2357&lt;&gt;0,CurrentMtgRatesDataTable8[[#This Row],[Rate]]-C2357,N2357)</f>
        <v>-7.5000000000000178E-2</v>
      </c>
    </row>
    <row r="2359" spans="1:14">
      <c r="A2359" s="67" t="s">
        <v>357</v>
      </c>
      <c r="B2359" s="68">
        <v>2.37447920783596</v>
      </c>
      <c r="C2359" s="69">
        <v>3.2749999999999999</v>
      </c>
      <c r="D2359" s="70">
        <f t="shared" si="252"/>
        <v>5</v>
      </c>
      <c r="E2359" s="70">
        <f t="shared" si="253"/>
        <v>0.2</v>
      </c>
      <c r="F2359" s="70">
        <f t="shared" si="254"/>
        <v>3</v>
      </c>
      <c r="G2359" s="70">
        <f t="shared" si="255"/>
        <v>1.4372665207761779</v>
      </c>
      <c r="H2359" s="70">
        <f t="shared" si="256"/>
        <v>0.60000000000000009</v>
      </c>
      <c r="I2359" s="70">
        <f t="shared" si="257"/>
        <v>0</v>
      </c>
      <c r="J2359" s="70">
        <f t="shared" si="258"/>
        <v>0</v>
      </c>
      <c r="K2359" s="70">
        <f>IF(CurrentMtgRatesDataTable8[[#This Row],[WA CC]]&lt;&gt;0,C2358-CurrentMtgRatesDataTable8[[#This Row],[WA CC]],0)</f>
        <v>0</v>
      </c>
      <c r="L2359" s="70">
        <f>IF(CurrentMtgRatesDataTable8[[#This Row],[Servicing Spread]]&lt;=0,L2358,CurrentMtgRatesDataTable8[[#This Row],[Servicing Spread]])</f>
        <v>0.91084602973204198</v>
      </c>
      <c r="M2359" s="70">
        <f>CurrentMtgRatesDataTable8[[#This Row],[Servicing Spread Non-Zero]]-L2358</f>
        <v>0</v>
      </c>
      <c r="N2359" s="70">
        <f>IF(J2358&lt;&gt;0,CurrentMtgRatesDataTable8[[#This Row],[Rate]]-C2358,N2358)</f>
        <v>-7.5000000000000178E-2</v>
      </c>
    </row>
    <row r="2360" spans="1:14">
      <c r="A2360" s="67" t="s">
        <v>217</v>
      </c>
      <c r="B2360" s="68">
        <v>2.3535373905486399</v>
      </c>
      <c r="C2360" s="69">
        <v>3.2749999999999999</v>
      </c>
      <c r="D2360" s="70">
        <f t="shared" si="252"/>
        <v>6</v>
      </c>
      <c r="E2360" s="70">
        <f t="shared" si="253"/>
        <v>0.2</v>
      </c>
      <c r="F2360" s="70">
        <f t="shared" si="254"/>
        <v>4</v>
      </c>
      <c r="G2360" s="70">
        <f t="shared" si="255"/>
        <v>1.9079739988859059</v>
      </c>
      <c r="H2360" s="70">
        <f t="shared" si="256"/>
        <v>0.8</v>
      </c>
      <c r="I2360" s="70">
        <f t="shared" si="257"/>
        <v>0</v>
      </c>
      <c r="J2360" s="70">
        <f t="shared" si="258"/>
        <v>0</v>
      </c>
      <c r="K2360" s="70">
        <f>IF(CurrentMtgRatesDataTable8[[#This Row],[WA CC]]&lt;&gt;0,C2359-CurrentMtgRatesDataTable8[[#This Row],[WA CC]],0)</f>
        <v>0</v>
      </c>
      <c r="L2360" s="70">
        <f>IF(CurrentMtgRatesDataTable8[[#This Row],[Servicing Spread]]&lt;=0,L2359,CurrentMtgRatesDataTable8[[#This Row],[Servicing Spread]])</f>
        <v>0.91084602973204198</v>
      </c>
      <c r="M2360" s="70">
        <f>CurrentMtgRatesDataTable8[[#This Row],[Servicing Spread Non-Zero]]-L2359</f>
        <v>0</v>
      </c>
      <c r="N2360" s="70">
        <f>IF(J2359&lt;&gt;0,CurrentMtgRatesDataTable8[[#This Row],[Rate]]-C2359,N2359)</f>
        <v>-7.5000000000000178E-2</v>
      </c>
    </row>
    <row r="2361" spans="1:14">
      <c r="A2361" s="67" t="s">
        <v>74</v>
      </c>
      <c r="B2361" s="68">
        <v>2.31035596660836</v>
      </c>
      <c r="C2361" s="69">
        <v>3.2749999999999999</v>
      </c>
      <c r="D2361" s="70">
        <f t="shared" si="252"/>
        <v>7</v>
      </c>
      <c r="E2361" s="70">
        <f t="shared" si="253"/>
        <v>0.2</v>
      </c>
      <c r="F2361" s="70">
        <f t="shared" si="254"/>
        <v>5</v>
      </c>
      <c r="G2361" s="70">
        <f t="shared" si="255"/>
        <v>2.370045192207578</v>
      </c>
      <c r="H2361" s="70">
        <f t="shared" si="256"/>
        <v>1</v>
      </c>
      <c r="I2361" s="70">
        <f t="shared" si="257"/>
        <v>1</v>
      </c>
      <c r="J2361" s="70">
        <f t="shared" si="258"/>
        <v>2.370045192207578</v>
      </c>
      <c r="K2361" s="70">
        <f>IF(CurrentMtgRatesDataTable8[[#This Row],[WA CC]]&lt;&gt;0,C2360-CurrentMtgRatesDataTable8[[#This Row],[WA CC]],0)</f>
        <v>0.90495480779242188</v>
      </c>
      <c r="L2361" s="70">
        <f>IF(CurrentMtgRatesDataTable8[[#This Row],[Servicing Spread]]&lt;=0,L2360,CurrentMtgRatesDataTable8[[#This Row],[Servicing Spread]])</f>
        <v>0.90495480779242188</v>
      </c>
      <c r="M2361" s="70">
        <f>CurrentMtgRatesDataTable8[[#This Row],[Servicing Spread Non-Zero]]-L2360</f>
        <v>-5.891221939620106E-3</v>
      </c>
      <c r="N2361" s="70">
        <f>IF(J2360&lt;&gt;0,CurrentMtgRatesDataTable8[[#This Row],[Rate]]-C2360,N2360)</f>
        <v>-7.5000000000000178E-2</v>
      </c>
    </row>
    <row r="2362" spans="1:14">
      <c r="A2362" s="67" t="s">
        <v>640</v>
      </c>
      <c r="B2362" s="68">
        <v>2.3421036791460899</v>
      </c>
      <c r="C2362" s="69">
        <v>3.3449999999999998</v>
      </c>
      <c r="D2362" s="70">
        <f t="shared" si="252"/>
        <v>1</v>
      </c>
      <c r="E2362" s="70">
        <f t="shared" si="253"/>
        <v>0.2</v>
      </c>
      <c r="F2362" s="70">
        <f t="shared" si="254"/>
        <v>1</v>
      </c>
      <c r="G2362" s="70">
        <f t="shared" si="255"/>
        <v>0.468420735829218</v>
      </c>
      <c r="H2362" s="70">
        <f t="shared" si="256"/>
        <v>0.2</v>
      </c>
      <c r="I2362" s="70">
        <f t="shared" si="257"/>
        <v>0</v>
      </c>
      <c r="J2362" s="70">
        <f t="shared" si="258"/>
        <v>0</v>
      </c>
      <c r="K2362" s="70">
        <f>IF(CurrentMtgRatesDataTable8[[#This Row],[WA CC]]&lt;&gt;0,C2361-CurrentMtgRatesDataTable8[[#This Row],[WA CC]],0)</f>
        <v>0</v>
      </c>
      <c r="L2362" s="70">
        <f>IF(CurrentMtgRatesDataTable8[[#This Row],[Servicing Spread]]&lt;=0,L2361,CurrentMtgRatesDataTable8[[#This Row],[Servicing Spread]])</f>
        <v>0.90495480779242188</v>
      </c>
      <c r="M2362" s="70">
        <f>CurrentMtgRatesDataTable8[[#This Row],[Servicing Spread Non-Zero]]-L2361</f>
        <v>0</v>
      </c>
      <c r="N2362" s="70">
        <f>IF(J2361&lt;&gt;0,CurrentMtgRatesDataTable8[[#This Row],[Rate]]-C2361,N2361)</f>
        <v>6.999999999999984E-2</v>
      </c>
    </row>
    <row r="2363" spans="1:14">
      <c r="A2363" s="67" t="s">
        <v>496</v>
      </c>
      <c r="B2363" s="68">
        <v>2.4561501214153099</v>
      </c>
      <c r="C2363" s="69">
        <v>3.3449999999999998</v>
      </c>
      <c r="D2363" s="70">
        <f t="shared" si="252"/>
        <v>2</v>
      </c>
      <c r="E2363" s="70">
        <f t="shared" si="253"/>
        <v>0.2</v>
      </c>
      <c r="F2363" s="70">
        <f t="shared" si="254"/>
        <v>2</v>
      </c>
      <c r="G2363" s="70">
        <f t="shared" si="255"/>
        <v>0.95965076011228001</v>
      </c>
      <c r="H2363" s="70">
        <f t="shared" si="256"/>
        <v>0.4</v>
      </c>
      <c r="I2363" s="70">
        <f t="shared" si="257"/>
        <v>0</v>
      </c>
      <c r="J2363" s="70">
        <f t="shared" si="258"/>
        <v>0</v>
      </c>
      <c r="K2363" s="70">
        <f>IF(CurrentMtgRatesDataTable8[[#This Row],[WA CC]]&lt;&gt;0,C2362-CurrentMtgRatesDataTable8[[#This Row],[WA CC]],0)</f>
        <v>0</v>
      </c>
      <c r="L2363" s="70">
        <f>IF(CurrentMtgRatesDataTable8[[#This Row],[Servicing Spread]]&lt;=0,L2362,CurrentMtgRatesDataTable8[[#This Row],[Servicing Spread]])</f>
        <v>0.90495480779242188</v>
      </c>
      <c r="M2363" s="70">
        <f>CurrentMtgRatesDataTable8[[#This Row],[Servicing Spread Non-Zero]]-L2362</f>
        <v>0</v>
      </c>
      <c r="N2363" s="70">
        <f>IF(J2362&lt;&gt;0,CurrentMtgRatesDataTable8[[#This Row],[Rate]]-C2362,N2362)</f>
        <v>6.999999999999984E-2</v>
      </c>
    </row>
    <row r="2364" spans="1:14">
      <c r="A2364" s="67" t="s">
        <v>358</v>
      </c>
      <c r="B2364" s="68">
        <v>2.4724031733010898</v>
      </c>
      <c r="C2364" s="69">
        <v>3.3449999999999998</v>
      </c>
      <c r="D2364" s="70">
        <f t="shared" si="252"/>
        <v>5</v>
      </c>
      <c r="E2364" s="70">
        <f t="shared" si="253"/>
        <v>0.2</v>
      </c>
      <c r="F2364" s="70">
        <f t="shared" si="254"/>
        <v>3</v>
      </c>
      <c r="G2364" s="70">
        <f t="shared" si="255"/>
        <v>1.4541313947724981</v>
      </c>
      <c r="H2364" s="70">
        <f t="shared" si="256"/>
        <v>0.60000000000000009</v>
      </c>
      <c r="I2364" s="70">
        <f t="shared" si="257"/>
        <v>0</v>
      </c>
      <c r="J2364" s="70">
        <f t="shared" si="258"/>
        <v>0</v>
      </c>
      <c r="K2364" s="70">
        <f>IF(CurrentMtgRatesDataTable8[[#This Row],[WA CC]]&lt;&gt;0,C2363-CurrentMtgRatesDataTable8[[#This Row],[WA CC]],0)</f>
        <v>0</v>
      </c>
      <c r="L2364" s="70">
        <f>IF(CurrentMtgRatesDataTable8[[#This Row],[Servicing Spread]]&lt;=0,L2363,CurrentMtgRatesDataTable8[[#This Row],[Servicing Spread]])</f>
        <v>0.90495480779242188</v>
      </c>
      <c r="M2364" s="70">
        <f>CurrentMtgRatesDataTable8[[#This Row],[Servicing Spread Non-Zero]]-L2363</f>
        <v>0</v>
      </c>
      <c r="N2364" s="70">
        <f>IF(J2363&lt;&gt;0,CurrentMtgRatesDataTable8[[#This Row],[Rate]]-C2363,N2363)</f>
        <v>6.999999999999984E-2</v>
      </c>
    </row>
    <row r="2365" spans="1:14">
      <c r="A2365" s="67" t="s">
        <v>218</v>
      </c>
      <c r="B2365" s="68">
        <v>2.48894298716524</v>
      </c>
      <c r="C2365" s="69">
        <v>3.3449999999999998</v>
      </c>
      <c r="D2365" s="70">
        <f t="shared" si="252"/>
        <v>6</v>
      </c>
      <c r="E2365" s="70">
        <f t="shared" si="253"/>
        <v>0.2</v>
      </c>
      <c r="F2365" s="70">
        <f t="shared" si="254"/>
        <v>4</v>
      </c>
      <c r="G2365" s="70">
        <f t="shared" si="255"/>
        <v>1.9519199922055461</v>
      </c>
      <c r="H2365" s="70">
        <f t="shared" si="256"/>
        <v>0.8</v>
      </c>
      <c r="I2365" s="70">
        <f t="shared" si="257"/>
        <v>0</v>
      </c>
      <c r="J2365" s="70">
        <f t="shared" si="258"/>
        <v>0</v>
      </c>
      <c r="K2365" s="70">
        <f>IF(CurrentMtgRatesDataTable8[[#This Row],[WA CC]]&lt;&gt;0,C2364-CurrentMtgRatesDataTable8[[#This Row],[WA CC]],0)</f>
        <v>0</v>
      </c>
      <c r="L2365" s="70">
        <f>IF(CurrentMtgRatesDataTable8[[#This Row],[Servicing Spread]]&lt;=0,L2364,CurrentMtgRatesDataTable8[[#This Row],[Servicing Spread]])</f>
        <v>0.90495480779242188</v>
      </c>
      <c r="M2365" s="70">
        <f>CurrentMtgRatesDataTable8[[#This Row],[Servicing Spread Non-Zero]]-L2364</f>
        <v>0</v>
      </c>
      <c r="N2365" s="70">
        <f>IF(J2364&lt;&gt;0,CurrentMtgRatesDataTable8[[#This Row],[Rate]]-C2364,N2364)</f>
        <v>6.999999999999984E-2</v>
      </c>
    </row>
    <row r="2366" spans="1:14">
      <c r="A2366" s="67" t="s">
        <v>75</v>
      </c>
      <c r="B2366" s="68">
        <v>2.4724453435903899</v>
      </c>
      <c r="C2366" s="69">
        <v>3.3449999999999998</v>
      </c>
      <c r="D2366" s="70">
        <f t="shared" si="252"/>
        <v>7</v>
      </c>
      <c r="E2366" s="70">
        <f t="shared" si="253"/>
        <v>0.2</v>
      </c>
      <c r="F2366" s="70">
        <f t="shared" si="254"/>
        <v>5</v>
      </c>
      <c r="G2366" s="70">
        <f t="shared" si="255"/>
        <v>2.446409060923624</v>
      </c>
      <c r="H2366" s="70">
        <f t="shared" si="256"/>
        <v>1</v>
      </c>
      <c r="I2366" s="70">
        <f t="shared" si="257"/>
        <v>1</v>
      </c>
      <c r="J2366" s="70">
        <f t="shared" si="258"/>
        <v>2.446409060923624</v>
      </c>
      <c r="K2366" s="70">
        <f>IF(CurrentMtgRatesDataTable8[[#This Row],[WA CC]]&lt;&gt;0,C2365-CurrentMtgRatesDataTable8[[#This Row],[WA CC]],0)</f>
        <v>0.89859093907637577</v>
      </c>
      <c r="L2366" s="70">
        <f>IF(CurrentMtgRatesDataTable8[[#This Row],[Servicing Spread]]&lt;=0,L2365,CurrentMtgRatesDataTable8[[#This Row],[Servicing Spread]])</f>
        <v>0.89859093907637577</v>
      </c>
      <c r="M2366" s="70">
        <f>CurrentMtgRatesDataTable8[[#This Row],[Servicing Spread Non-Zero]]-L2365</f>
        <v>-6.363868716046106E-3</v>
      </c>
      <c r="N2366" s="70">
        <f>IF(J2365&lt;&gt;0,CurrentMtgRatesDataTable8[[#This Row],[Rate]]-C2365,N2365)</f>
        <v>6.999999999999984E-2</v>
      </c>
    </row>
    <row r="2367" spans="1:14">
      <c r="A2367" s="67" t="s">
        <v>641</v>
      </c>
      <c r="B2367" s="68">
        <v>2.49665490312618</v>
      </c>
      <c r="C2367" s="69">
        <v>3.4349999999999996</v>
      </c>
      <c r="D2367" s="70">
        <f t="shared" si="252"/>
        <v>1</v>
      </c>
      <c r="E2367" s="70">
        <f t="shared" si="253"/>
        <v>0.2</v>
      </c>
      <c r="F2367" s="70">
        <f t="shared" si="254"/>
        <v>1</v>
      </c>
      <c r="G2367" s="70">
        <f t="shared" si="255"/>
        <v>0.49933098062523601</v>
      </c>
      <c r="H2367" s="70">
        <f t="shared" si="256"/>
        <v>0.2</v>
      </c>
      <c r="I2367" s="70">
        <f t="shared" si="257"/>
        <v>0</v>
      </c>
      <c r="J2367" s="70">
        <f t="shared" si="258"/>
        <v>0</v>
      </c>
      <c r="K2367" s="70">
        <f>IF(CurrentMtgRatesDataTable8[[#This Row],[WA CC]]&lt;&gt;0,C2366-CurrentMtgRatesDataTable8[[#This Row],[WA CC]],0)</f>
        <v>0</v>
      </c>
      <c r="L2367" s="70">
        <f>IF(CurrentMtgRatesDataTable8[[#This Row],[Servicing Spread]]&lt;=0,L2366,CurrentMtgRatesDataTable8[[#This Row],[Servicing Spread]])</f>
        <v>0.89859093907637577</v>
      </c>
      <c r="M2367" s="70">
        <f>CurrentMtgRatesDataTable8[[#This Row],[Servicing Spread Non-Zero]]-L2366</f>
        <v>0</v>
      </c>
      <c r="N2367" s="70">
        <f>IF(J2366&lt;&gt;0,CurrentMtgRatesDataTable8[[#This Row],[Rate]]-C2366,N2366)</f>
        <v>8.9999999999999858E-2</v>
      </c>
    </row>
    <row r="2368" spans="1:14">
      <c r="A2368" s="67" t="s">
        <v>497</v>
      </c>
      <c r="B2368" s="68">
        <v>2.5868571182044802</v>
      </c>
      <c r="C2368" s="69">
        <v>3.4349999999999996</v>
      </c>
      <c r="D2368" s="70">
        <f t="shared" si="252"/>
        <v>2</v>
      </c>
      <c r="E2368" s="70">
        <f t="shared" si="253"/>
        <v>0.2</v>
      </c>
      <c r="F2368" s="70">
        <f t="shared" si="254"/>
        <v>2</v>
      </c>
      <c r="G2368" s="70">
        <f t="shared" si="255"/>
        <v>1.0167024042661321</v>
      </c>
      <c r="H2368" s="70">
        <f t="shared" si="256"/>
        <v>0.4</v>
      </c>
      <c r="I2368" s="70">
        <f t="shared" si="257"/>
        <v>0</v>
      </c>
      <c r="J2368" s="70">
        <f t="shared" si="258"/>
        <v>0</v>
      </c>
      <c r="K2368" s="70">
        <f>IF(CurrentMtgRatesDataTable8[[#This Row],[WA CC]]&lt;&gt;0,C2367-CurrentMtgRatesDataTable8[[#This Row],[WA CC]],0)</f>
        <v>0</v>
      </c>
      <c r="L2368" s="70">
        <f>IF(CurrentMtgRatesDataTable8[[#This Row],[Servicing Spread]]&lt;=0,L2367,CurrentMtgRatesDataTable8[[#This Row],[Servicing Spread]])</f>
        <v>0.89859093907637577</v>
      </c>
      <c r="M2368" s="70">
        <f>CurrentMtgRatesDataTable8[[#This Row],[Servicing Spread Non-Zero]]-L2367</f>
        <v>0</v>
      </c>
      <c r="N2368" s="70">
        <f>IF(J2367&lt;&gt;0,CurrentMtgRatesDataTable8[[#This Row],[Rate]]-C2367,N2367)</f>
        <v>8.9999999999999858E-2</v>
      </c>
    </row>
    <row r="2369" spans="1:14">
      <c r="A2369" s="67" t="s">
        <v>359</v>
      </c>
      <c r="B2369" s="68">
        <v>2.6209995675214</v>
      </c>
      <c r="C2369" s="69">
        <v>3.4349999999999996</v>
      </c>
      <c r="D2369" s="70">
        <f t="shared" si="252"/>
        <v>5</v>
      </c>
      <c r="E2369" s="70">
        <f t="shared" si="253"/>
        <v>0.2</v>
      </c>
      <c r="F2369" s="70">
        <f t="shared" si="254"/>
        <v>3</v>
      </c>
      <c r="G2369" s="70">
        <f t="shared" si="255"/>
        <v>1.5409023177704122</v>
      </c>
      <c r="H2369" s="70">
        <f t="shared" si="256"/>
        <v>0.60000000000000009</v>
      </c>
      <c r="I2369" s="70">
        <f t="shared" si="257"/>
        <v>0</v>
      </c>
      <c r="J2369" s="70">
        <f t="shared" si="258"/>
        <v>0</v>
      </c>
      <c r="K2369" s="70">
        <f>IF(CurrentMtgRatesDataTable8[[#This Row],[WA CC]]&lt;&gt;0,C2368-CurrentMtgRatesDataTable8[[#This Row],[WA CC]],0)</f>
        <v>0</v>
      </c>
      <c r="L2369" s="70">
        <f>IF(CurrentMtgRatesDataTable8[[#This Row],[Servicing Spread]]&lt;=0,L2368,CurrentMtgRatesDataTable8[[#This Row],[Servicing Spread]])</f>
        <v>0.89859093907637577</v>
      </c>
      <c r="M2369" s="70">
        <f>CurrentMtgRatesDataTable8[[#This Row],[Servicing Spread Non-Zero]]-L2368</f>
        <v>0</v>
      </c>
      <c r="N2369" s="70">
        <f>IF(J2368&lt;&gt;0,CurrentMtgRatesDataTable8[[#This Row],[Rate]]-C2368,N2368)</f>
        <v>8.9999999999999858E-2</v>
      </c>
    </row>
    <row r="2370" spans="1:14">
      <c r="A2370" s="67" t="s">
        <v>219</v>
      </c>
      <c r="B2370" s="68">
        <v>2.6627244928863401</v>
      </c>
      <c r="C2370" s="69">
        <v>3.4349999999999996</v>
      </c>
      <c r="D2370" s="70">
        <f t="shared" si="252"/>
        <v>6</v>
      </c>
      <c r="E2370" s="70">
        <f t="shared" si="253"/>
        <v>0.2</v>
      </c>
      <c r="F2370" s="70">
        <f t="shared" si="254"/>
        <v>4</v>
      </c>
      <c r="G2370" s="70">
        <f t="shared" si="255"/>
        <v>2.07344721634768</v>
      </c>
      <c r="H2370" s="70">
        <f t="shared" si="256"/>
        <v>0.8</v>
      </c>
      <c r="I2370" s="70">
        <f t="shared" si="257"/>
        <v>0</v>
      </c>
      <c r="J2370" s="70">
        <f t="shared" si="258"/>
        <v>0</v>
      </c>
      <c r="K2370" s="70">
        <f>IF(CurrentMtgRatesDataTable8[[#This Row],[WA CC]]&lt;&gt;0,C2369-CurrentMtgRatesDataTable8[[#This Row],[WA CC]],0)</f>
        <v>0</v>
      </c>
      <c r="L2370" s="70">
        <f>IF(CurrentMtgRatesDataTable8[[#This Row],[Servicing Spread]]&lt;=0,L2369,CurrentMtgRatesDataTable8[[#This Row],[Servicing Spread]])</f>
        <v>0.89859093907637577</v>
      </c>
      <c r="M2370" s="70">
        <f>CurrentMtgRatesDataTable8[[#This Row],[Servicing Spread Non-Zero]]-L2369</f>
        <v>0</v>
      </c>
      <c r="N2370" s="70">
        <f>IF(J2369&lt;&gt;0,CurrentMtgRatesDataTable8[[#This Row],[Rate]]-C2369,N2369)</f>
        <v>8.9999999999999858E-2</v>
      </c>
    </row>
    <row r="2371" spans="1:14">
      <c r="A2371" s="67" t="s">
        <v>76</v>
      </c>
      <c r="B2371" s="68">
        <v>2.6618664133932302</v>
      </c>
      <c r="C2371" s="69">
        <v>3.4349999999999996</v>
      </c>
      <c r="D2371" s="70">
        <f t="shared" si="252"/>
        <v>7</v>
      </c>
      <c r="E2371" s="70">
        <f t="shared" si="253"/>
        <v>0.2</v>
      </c>
      <c r="F2371" s="70">
        <f t="shared" si="254"/>
        <v>5</v>
      </c>
      <c r="G2371" s="70">
        <f t="shared" si="255"/>
        <v>2.6058204990263261</v>
      </c>
      <c r="H2371" s="70">
        <f t="shared" si="256"/>
        <v>1</v>
      </c>
      <c r="I2371" s="70">
        <f t="shared" si="257"/>
        <v>1</v>
      </c>
      <c r="J2371" s="70">
        <f t="shared" si="258"/>
        <v>2.6058204990263261</v>
      </c>
      <c r="K2371" s="70">
        <f>IF(CurrentMtgRatesDataTable8[[#This Row],[WA CC]]&lt;&gt;0,C2370-CurrentMtgRatesDataTable8[[#This Row],[WA CC]],0)</f>
        <v>0.82917950097367354</v>
      </c>
      <c r="L2371" s="70">
        <f>IF(CurrentMtgRatesDataTable8[[#This Row],[Servicing Spread]]&lt;=0,L2370,CurrentMtgRatesDataTable8[[#This Row],[Servicing Spread]])</f>
        <v>0.82917950097367354</v>
      </c>
      <c r="M2371" s="70">
        <f>CurrentMtgRatesDataTable8[[#This Row],[Servicing Spread Non-Zero]]-L2370</f>
        <v>-6.9411438102702228E-2</v>
      </c>
      <c r="N2371" s="70">
        <f>IF(J2370&lt;&gt;0,CurrentMtgRatesDataTable8[[#This Row],[Rate]]-C2370,N2370)</f>
        <v>8.9999999999999858E-2</v>
      </c>
    </row>
    <row r="2372" spans="1:14">
      <c r="A2372" s="67" t="s">
        <v>642</v>
      </c>
      <c r="B2372" s="68">
        <v>2.5638774739999999</v>
      </c>
      <c r="C2372" s="69">
        <v>3.5149999999999997</v>
      </c>
      <c r="D2372" s="70">
        <f t="shared" si="252"/>
        <v>1</v>
      </c>
      <c r="E2372" s="70">
        <f t="shared" si="253"/>
        <v>0.2</v>
      </c>
      <c r="F2372" s="70">
        <f t="shared" si="254"/>
        <v>1</v>
      </c>
      <c r="G2372" s="70">
        <f t="shared" si="255"/>
        <v>0.51277549479999995</v>
      </c>
      <c r="H2372" s="70">
        <f t="shared" si="256"/>
        <v>0.2</v>
      </c>
      <c r="I2372" s="70">
        <f t="shared" si="257"/>
        <v>0</v>
      </c>
      <c r="J2372" s="70">
        <f t="shared" si="258"/>
        <v>0</v>
      </c>
      <c r="K2372" s="70">
        <f>IF(CurrentMtgRatesDataTable8[[#This Row],[WA CC]]&lt;&gt;0,C2371-CurrentMtgRatesDataTable8[[#This Row],[WA CC]],0)</f>
        <v>0</v>
      </c>
      <c r="L2372" s="70">
        <f>IF(CurrentMtgRatesDataTable8[[#This Row],[Servicing Spread]]&lt;=0,L2371,CurrentMtgRatesDataTable8[[#This Row],[Servicing Spread]])</f>
        <v>0.82917950097367354</v>
      </c>
      <c r="M2372" s="70">
        <f>CurrentMtgRatesDataTable8[[#This Row],[Servicing Spread Non-Zero]]-L2371</f>
        <v>0</v>
      </c>
      <c r="N2372" s="70">
        <f>IF(J2371&lt;&gt;0,CurrentMtgRatesDataTable8[[#This Row],[Rate]]-C2371,N2371)</f>
        <v>8.0000000000000071E-2</v>
      </c>
    </row>
    <row r="2373" spans="1:14">
      <c r="A2373" s="67" t="s">
        <v>498</v>
      </c>
      <c r="B2373" s="68">
        <v>2.6858134280305799</v>
      </c>
      <c r="C2373" s="69">
        <v>3.5149999999999997</v>
      </c>
      <c r="D2373" s="70">
        <f t="shared" ref="D2373:D2436" si="259">WEEKDAY(A2373,14)</f>
        <v>2</v>
      </c>
      <c r="E2373" s="70">
        <f t="shared" ref="E2373:E2436" si="260">VLOOKUP(D2373,Q$5:R$11,2,FALSE)</f>
        <v>0.2</v>
      </c>
      <c r="F2373" s="70">
        <f t="shared" ref="F2373:F2436" si="261">IF(AND(D2373&gt;D2372,F2372&lt;6),F2372+1,1)</f>
        <v>2</v>
      </c>
      <c r="G2373" s="70">
        <f t="shared" ref="G2373:G2436" si="262">IF(F2373&gt;F2372,G2372+B2373*E2373,B2373*E2373)</f>
        <v>1.0499381804061159</v>
      </c>
      <c r="H2373" s="70">
        <f t="shared" ref="H2373:H2436" si="263">IF(AND(F2373&lt;6,F2373&gt;F2372),E2373+H2372,E2373)</f>
        <v>0.4</v>
      </c>
      <c r="I2373" s="70">
        <f t="shared" ref="I2373:I2436" si="264">IF(F2373&gt;F2374,1,0)</f>
        <v>0</v>
      </c>
      <c r="J2373" s="70">
        <f t="shared" ref="J2373:J2436" si="265">IF(F2373&gt;F2374,G2373/H2373,0)</f>
        <v>0</v>
      </c>
      <c r="K2373" s="70">
        <f>IF(CurrentMtgRatesDataTable8[[#This Row],[WA CC]]&lt;&gt;0,C2372-CurrentMtgRatesDataTable8[[#This Row],[WA CC]],0)</f>
        <v>0</v>
      </c>
      <c r="L2373" s="70">
        <f>IF(CurrentMtgRatesDataTable8[[#This Row],[Servicing Spread]]&lt;=0,L2372,CurrentMtgRatesDataTable8[[#This Row],[Servicing Spread]])</f>
        <v>0.82917950097367354</v>
      </c>
      <c r="M2373" s="70">
        <f>CurrentMtgRatesDataTable8[[#This Row],[Servicing Spread Non-Zero]]-L2372</f>
        <v>0</v>
      </c>
      <c r="N2373" s="70">
        <f>IF(J2372&lt;&gt;0,CurrentMtgRatesDataTable8[[#This Row],[Rate]]-C2372,N2372)</f>
        <v>8.0000000000000071E-2</v>
      </c>
    </row>
    <row r="2374" spans="1:14">
      <c r="A2374" s="67" t="s">
        <v>360</v>
      </c>
      <c r="B2374" s="68">
        <v>2.7128835423314301</v>
      </c>
      <c r="C2374" s="69">
        <v>3.5149999999999997</v>
      </c>
      <c r="D2374" s="70">
        <f t="shared" si="259"/>
        <v>5</v>
      </c>
      <c r="E2374" s="70">
        <f t="shared" si="260"/>
        <v>0.2</v>
      </c>
      <c r="F2374" s="70">
        <f t="shared" si="261"/>
        <v>3</v>
      </c>
      <c r="G2374" s="70">
        <f t="shared" si="262"/>
        <v>1.5925148888724019</v>
      </c>
      <c r="H2374" s="70">
        <f t="shared" si="263"/>
        <v>0.60000000000000009</v>
      </c>
      <c r="I2374" s="70">
        <f t="shared" si="264"/>
        <v>0</v>
      </c>
      <c r="J2374" s="70">
        <f t="shared" si="265"/>
        <v>0</v>
      </c>
      <c r="K2374" s="70">
        <f>IF(CurrentMtgRatesDataTable8[[#This Row],[WA CC]]&lt;&gt;0,C2373-CurrentMtgRatesDataTable8[[#This Row],[WA CC]],0)</f>
        <v>0</v>
      </c>
      <c r="L2374" s="70">
        <f>IF(CurrentMtgRatesDataTable8[[#This Row],[Servicing Spread]]&lt;=0,L2373,CurrentMtgRatesDataTable8[[#This Row],[Servicing Spread]])</f>
        <v>0.82917950097367354</v>
      </c>
      <c r="M2374" s="70">
        <f>CurrentMtgRatesDataTable8[[#This Row],[Servicing Spread Non-Zero]]-L2373</f>
        <v>0</v>
      </c>
      <c r="N2374" s="70">
        <f>IF(J2373&lt;&gt;0,CurrentMtgRatesDataTable8[[#This Row],[Rate]]-C2373,N2373)</f>
        <v>8.0000000000000071E-2</v>
      </c>
    </row>
    <row r="2375" spans="1:14">
      <c r="A2375" s="67" t="s">
        <v>220</v>
      </c>
      <c r="B2375" s="68">
        <v>2.6645260639550199</v>
      </c>
      <c r="C2375" s="69">
        <v>3.5149999999999997</v>
      </c>
      <c r="D2375" s="70">
        <f t="shared" si="259"/>
        <v>6</v>
      </c>
      <c r="E2375" s="70">
        <f t="shared" si="260"/>
        <v>0.2</v>
      </c>
      <c r="F2375" s="70">
        <f t="shared" si="261"/>
        <v>4</v>
      </c>
      <c r="G2375" s="70">
        <f t="shared" si="262"/>
        <v>2.1254201016634058</v>
      </c>
      <c r="H2375" s="70">
        <f t="shared" si="263"/>
        <v>0.8</v>
      </c>
      <c r="I2375" s="70">
        <f t="shared" si="264"/>
        <v>0</v>
      </c>
      <c r="J2375" s="70">
        <f t="shared" si="265"/>
        <v>0</v>
      </c>
      <c r="K2375" s="70">
        <f>IF(CurrentMtgRatesDataTable8[[#This Row],[WA CC]]&lt;&gt;0,C2374-CurrentMtgRatesDataTable8[[#This Row],[WA CC]],0)</f>
        <v>0</v>
      </c>
      <c r="L2375" s="70">
        <f>IF(CurrentMtgRatesDataTable8[[#This Row],[Servicing Spread]]&lt;=0,L2374,CurrentMtgRatesDataTable8[[#This Row],[Servicing Spread]])</f>
        <v>0.82917950097367354</v>
      </c>
      <c r="M2375" s="70">
        <f>CurrentMtgRatesDataTable8[[#This Row],[Servicing Spread Non-Zero]]-L2374</f>
        <v>0</v>
      </c>
      <c r="N2375" s="70">
        <f>IF(J2374&lt;&gt;0,CurrentMtgRatesDataTable8[[#This Row],[Rate]]-C2374,N2374)</f>
        <v>8.0000000000000071E-2</v>
      </c>
    </row>
    <row r="2376" spans="1:14">
      <c r="A2376" s="67" t="s">
        <v>77</v>
      </c>
      <c r="B2376" s="68">
        <v>2.78843998218461</v>
      </c>
      <c r="C2376" s="69">
        <v>3.5149999999999997</v>
      </c>
      <c r="D2376" s="70">
        <f t="shared" si="259"/>
        <v>7</v>
      </c>
      <c r="E2376" s="70">
        <f t="shared" si="260"/>
        <v>0.2</v>
      </c>
      <c r="F2376" s="70">
        <f t="shared" si="261"/>
        <v>5</v>
      </c>
      <c r="G2376" s="70">
        <f t="shared" si="262"/>
        <v>2.6831080981003277</v>
      </c>
      <c r="H2376" s="70">
        <f t="shared" si="263"/>
        <v>1</v>
      </c>
      <c r="I2376" s="70">
        <f t="shared" si="264"/>
        <v>1</v>
      </c>
      <c r="J2376" s="70">
        <f t="shared" si="265"/>
        <v>2.6831080981003277</v>
      </c>
      <c r="K2376" s="70">
        <f>IF(CurrentMtgRatesDataTable8[[#This Row],[WA CC]]&lt;&gt;0,C2375-CurrentMtgRatesDataTable8[[#This Row],[WA CC]],0)</f>
        <v>0.83189190189967199</v>
      </c>
      <c r="L2376" s="70">
        <f>IF(CurrentMtgRatesDataTable8[[#This Row],[Servicing Spread]]&lt;=0,L2375,CurrentMtgRatesDataTable8[[#This Row],[Servicing Spread]])</f>
        <v>0.83189190189967199</v>
      </c>
      <c r="M2376" s="70">
        <f>CurrentMtgRatesDataTable8[[#This Row],[Servicing Spread Non-Zero]]-L2375</f>
        <v>2.7124009259984483E-3</v>
      </c>
      <c r="N2376" s="70">
        <f>IF(J2375&lt;&gt;0,CurrentMtgRatesDataTable8[[#This Row],[Rate]]-C2375,N2375)</f>
        <v>8.0000000000000071E-2</v>
      </c>
    </row>
    <row r="2377" spans="1:14">
      <c r="A2377" s="67" t="s">
        <v>643</v>
      </c>
      <c r="B2377" s="68">
        <v>2.8219074459123799</v>
      </c>
      <c r="C2377" s="69">
        <v>3.7600000000000002</v>
      </c>
      <c r="D2377" s="70">
        <f t="shared" si="259"/>
        <v>1</v>
      </c>
      <c r="E2377" s="70">
        <f t="shared" si="260"/>
        <v>0.2</v>
      </c>
      <c r="F2377" s="70">
        <f t="shared" si="261"/>
        <v>1</v>
      </c>
      <c r="G2377" s="70">
        <f t="shared" si="262"/>
        <v>0.56438148918247599</v>
      </c>
      <c r="H2377" s="70">
        <f t="shared" si="263"/>
        <v>0.2</v>
      </c>
      <c r="I2377" s="70">
        <f t="shared" si="264"/>
        <v>0</v>
      </c>
      <c r="J2377" s="70">
        <f t="shared" si="265"/>
        <v>0</v>
      </c>
      <c r="K2377" s="70">
        <f>IF(CurrentMtgRatesDataTable8[[#This Row],[WA CC]]&lt;&gt;0,C2376-CurrentMtgRatesDataTable8[[#This Row],[WA CC]],0)</f>
        <v>0</v>
      </c>
      <c r="L2377" s="70">
        <f>IF(CurrentMtgRatesDataTable8[[#This Row],[Servicing Spread]]&lt;=0,L2376,CurrentMtgRatesDataTable8[[#This Row],[Servicing Spread]])</f>
        <v>0.83189190189967199</v>
      </c>
      <c r="M2377" s="70">
        <f>CurrentMtgRatesDataTable8[[#This Row],[Servicing Spread Non-Zero]]-L2376</f>
        <v>0</v>
      </c>
      <c r="N2377" s="70">
        <f>IF(J2376&lt;&gt;0,CurrentMtgRatesDataTable8[[#This Row],[Rate]]-C2376,N2376)</f>
        <v>0.24500000000000055</v>
      </c>
    </row>
    <row r="2378" spans="1:14">
      <c r="A2378" s="67" t="s">
        <v>499</v>
      </c>
      <c r="B2378" s="68">
        <v>2.8149731764108399</v>
      </c>
      <c r="C2378" s="69">
        <v>3.7600000000000002</v>
      </c>
      <c r="D2378" s="70">
        <f t="shared" si="259"/>
        <v>2</v>
      </c>
      <c r="E2378" s="70">
        <f t="shared" si="260"/>
        <v>0.2</v>
      </c>
      <c r="F2378" s="70">
        <f t="shared" si="261"/>
        <v>2</v>
      </c>
      <c r="G2378" s="70">
        <f t="shared" si="262"/>
        <v>1.1273761244646439</v>
      </c>
      <c r="H2378" s="70">
        <f t="shared" si="263"/>
        <v>0.4</v>
      </c>
      <c r="I2378" s="70">
        <f t="shared" si="264"/>
        <v>0</v>
      </c>
      <c r="J2378" s="70">
        <f t="shared" si="265"/>
        <v>0</v>
      </c>
      <c r="K2378" s="70">
        <f>IF(CurrentMtgRatesDataTable8[[#This Row],[WA CC]]&lt;&gt;0,C2377-CurrentMtgRatesDataTable8[[#This Row],[WA CC]],0)</f>
        <v>0</v>
      </c>
      <c r="L2378" s="70">
        <f>IF(CurrentMtgRatesDataTable8[[#This Row],[Servicing Spread]]&lt;=0,L2377,CurrentMtgRatesDataTable8[[#This Row],[Servicing Spread]])</f>
        <v>0.83189190189967199</v>
      </c>
      <c r="M2378" s="70">
        <f>CurrentMtgRatesDataTable8[[#This Row],[Servicing Spread Non-Zero]]-L2377</f>
        <v>0</v>
      </c>
      <c r="N2378" s="70">
        <f>IF(J2377&lt;&gt;0,CurrentMtgRatesDataTable8[[#This Row],[Rate]]-C2377,N2377)</f>
        <v>0.24500000000000055</v>
      </c>
    </row>
    <row r="2379" spans="1:14">
      <c r="A2379" s="67" t="s">
        <v>221</v>
      </c>
      <c r="B2379" s="68">
        <v>2.9439593784478002</v>
      </c>
      <c r="C2379" s="69">
        <v>3.7600000000000002</v>
      </c>
      <c r="D2379" s="70">
        <f t="shared" si="259"/>
        <v>6</v>
      </c>
      <c r="E2379" s="70">
        <f t="shared" si="260"/>
        <v>0.2</v>
      </c>
      <c r="F2379" s="70">
        <f t="shared" si="261"/>
        <v>3</v>
      </c>
      <c r="G2379" s="70">
        <f t="shared" si="262"/>
        <v>1.7161680001542039</v>
      </c>
      <c r="H2379" s="70">
        <f t="shared" si="263"/>
        <v>0.60000000000000009</v>
      </c>
      <c r="I2379" s="70">
        <f t="shared" si="264"/>
        <v>0</v>
      </c>
      <c r="J2379" s="70">
        <f t="shared" si="265"/>
        <v>0</v>
      </c>
      <c r="K2379" s="70">
        <f>IF(CurrentMtgRatesDataTable8[[#This Row],[WA CC]]&lt;&gt;0,C2378-CurrentMtgRatesDataTable8[[#This Row],[WA CC]],0)</f>
        <v>0</v>
      </c>
      <c r="L2379" s="70">
        <f>IF(CurrentMtgRatesDataTable8[[#This Row],[Servicing Spread]]&lt;=0,L2378,CurrentMtgRatesDataTable8[[#This Row],[Servicing Spread]])</f>
        <v>0.83189190189967199</v>
      </c>
      <c r="M2379" s="70">
        <f>CurrentMtgRatesDataTable8[[#This Row],[Servicing Spread Non-Zero]]-L2378</f>
        <v>0</v>
      </c>
      <c r="N2379" s="70">
        <f>IF(J2378&lt;&gt;0,CurrentMtgRatesDataTable8[[#This Row],[Rate]]-C2378,N2378)</f>
        <v>0.24500000000000055</v>
      </c>
    </row>
    <row r="2380" spans="1:14">
      <c r="A2380" s="67" t="s">
        <v>78</v>
      </c>
      <c r="B2380" s="68">
        <v>2.9196928046626902</v>
      </c>
      <c r="C2380" s="69">
        <v>3.7600000000000002</v>
      </c>
      <c r="D2380" s="70">
        <f t="shared" si="259"/>
        <v>7</v>
      </c>
      <c r="E2380" s="70">
        <f t="shared" si="260"/>
        <v>0.2</v>
      </c>
      <c r="F2380" s="70">
        <f t="shared" si="261"/>
        <v>4</v>
      </c>
      <c r="G2380" s="70">
        <f t="shared" si="262"/>
        <v>2.3001065610867419</v>
      </c>
      <c r="H2380" s="70">
        <f t="shared" si="263"/>
        <v>0.8</v>
      </c>
      <c r="I2380" s="70">
        <f t="shared" si="264"/>
        <v>1</v>
      </c>
      <c r="J2380" s="70">
        <f t="shared" si="265"/>
        <v>2.8751332013584272</v>
      </c>
      <c r="K2380" s="70">
        <f>IF(CurrentMtgRatesDataTable8[[#This Row],[WA CC]]&lt;&gt;0,C2379-CurrentMtgRatesDataTable8[[#This Row],[WA CC]],0)</f>
        <v>0.88486679864157303</v>
      </c>
      <c r="L2380" s="70">
        <f>IF(CurrentMtgRatesDataTable8[[#This Row],[Servicing Spread]]&lt;=0,L2379,CurrentMtgRatesDataTable8[[#This Row],[Servicing Spread]])</f>
        <v>0.88486679864157303</v>
      </c>
      <c r="M2380" s="70">
        <f>CurrentMtgRatesDataTable8[[#This Row],[Servicing Spread Non-Zero]]-L2379</f>
        <v>5.2974896741901034E-2</v>
      </c>
      <c r="N2380" s="70">
        <f>IF(J2379&lt;&gt;0,CurrentMtgRatesDataTable8[[#This Row],[Rate]]-C2379,N2379)</f>
        <v>0.24500000000000055</v>
      </c>
    </row>
    <row r="2381" spans="1:14">
      <c r="A2381" s="67" t="s">
        <v>644</v>
      </c>
      <c r="B2381" s="68">
        <v>2.9046454407398898</v>
      </c>
      <c r="C2381" s="69">
        <v>3.835</v>
      </c>
      <c r="D2381" s="70">
        <f t="shared" si="259"/>
        <v>1</v>
      </c>
      <c r="E2381" s="70">
        <f t="shared" si="260"/>
        <v>0.2</v>
      </c>
      <c r="F2381" s="70">
        <f t="shared" si="261"/>
        <v>1</v>
      </c>
      <c r="G2381" s="70">
        <f t="shared" si="262"/>
        <v>0.58092908814797795</v>
      </c>
      <c r="H2381" s="70">
        <f t="shared" si="263"/>
        <v>0.2</v>
      </c>
      <c r="I2381" s="70">
        <f t="shared" si="264"/>
        <v>0</v>
      </c>
      <c r="J2381" s="70">
        <f t="shared" si="265"/>
        <v>0</v>
      </c>
      <c r="K2381" s="70">
        <f>IF(CurrentMtgRatesDataTable8[[#This Row],[WA CC]]&lt;&gt;0,C2380-CurrentMtgRatesDataTable8[[#This Row],[WA CC]],0)</f>
        <v>0</v>
      </c>
      <c r="L2381" s="70">
        <f>IF(CurrentMtgRatesDataTable8[[#This Row],[Servicing Spread]]&lt;=0,L2380,CurrentMtgRatesDataTable8[[#This Row],[Servicing Spread]])</f>
        <v>0.88486679864157303</v>
      </c>
      <c r="M2381" s="70">
        <f>CurrentMtgRatesDataTable8[[#This Row],[Servicing Spread Non-Zero]]-L2380</f>
        <v>0</v>
      </c>
      <c r="N2381" s="70">
        <f>IF(J2380&lt;&gt;0,CurrentMtgRatesDataTable8[[#This Row],[Rate]]-C2380,N2380)</f>
        <v>7.4999999999999734E-2</v>
      </c>
    </row>
    <row r="2382" spans="1:14">
      <c r="A2382" s="67" t="s">
        <v>500</v>
      </c>
      <c r="B2382" s="68">
        <v>2.95731349620652</v>
      </c>
      <c r="C2382" s="69">
        <v>3.835</v>
      </c>
      <c r="D2382" s="70">
        <f t="shared" si="259"/>
        <v>2</v>
      </c>
      <c r="E2382" s="70">
        <f t="shared" si="260"/>
        <v>0.2</v>
      </c>
      <c r="F2382" s="70">
        <f t="shared" si="261"/>
        <v>2</v>
      </c>
      <c r="G2382" s="70">
        <f t="shared" si="262"/>
        <v>1.172391787389282</v>
      </c>
      <c r="H2382" s="70">
        <f t="shared" si="263"/>
        <v>0.4</v>
      </c>
      <c r="I2382" s="70">
        <f t="shared" si="264"/>
        <v>0</v>
      </c>
      <c r="J2382" s="70">
        <f t="shared" si="265"/>
        <v>0</v>
      </c>
      <c r="K2382" s="70">
        <f>IF(CurrentMtgRatesDataTable8[[#This Row],[WA CC]]&lt;&gt;0,C2381-CurrentMtgRatesDataTable8[[#This Row],[WA CC]],0)</f>
        <v>0</v>
      </c>
      <c r="L2382" s="70">
        <f>IF(CurrentMtgRatesDataTable8[[#This Row],[Servicing Spread]]&lt;=0,L2381,CurrentMtgRatesDataTable8[[#This Row],[Servicing Spread]])</f>
        <v>0.88486679864157303</v>
      </c>
      <c r="M2382" s="70">
        <f>CurrentMtgRatesDataTable8[[#This Row],[Servicing Spread Non-Zero]]-L2381</f>
        <v>0</v>
      </c>
      <c r="N2382" s="70">
        <f>IF(J2381&lt;&gt;0,CurrentMtgRatesDataTable8[[#This Row],[Rate]]-C2381,N2381)</f>
        <v>7.4999999999999734E-2</v>
      </c>
    </row>
    <row r="2383" spans="1:14">
      <c r="A2383" s="67" t="s">
        <v>361</v>
      </c>
      <c r="B2383" s="68">
        <v>2.9603245306419401</v>
      </c>
      <c r="C2383" s="69">
        <v>3.835</v>
      </c>
      <c r="D2383" s="70">
        <f t="shared" si="259"/>
        <v>5</v>
      </c>
      <c r="E2383" s="70">
        <f t="shared" si="260"/>
        <v>0.2</v>
      </c>
      <c r="F2383" s="70">
        <f t="shared" si="261"/>
        <v>3</v>
      </c>
      <c r="G2383" s="70">
        <f t="shared" si="262"/>
        <v>1.76445669351767</v>
      </c>
      <c r="H2383" s="70">
        <f t="shared" si="263"/>
        <v>0.60000000000000009</v>
      </c>
      <c r="I2383" s="70">
        <f t="shared" si="264"/>
        <v>0</v>
      </c>
      <c r="J2383" s="70">
        <f t="shared" si="265"/>
        <v>0</v>
      </c>
      <c r="K2383" s="70">
        <f>IF(CurrentMtgRatesDataTable8[[#This Row],[WA CC]]&lt;&gt;0,C2382-CurrentMtgRatesDataTable8[[#This Row],[WA CC]],0)</f>
        <v>0</v>
      </c>
      <c r="L2383" s="70">
        <f>IF(CurrentMtgRatesDataTable8[[#This Row],[Servicing Spread]]&lt;=0,L2382,CurrentMtgRatesDataTable8[[#This Row],[Servicing Spread]])</f>
        <v>0.88486679864157303</v>
      </c>
      <c r="M2383" s="70">
        <f>CurrentMtgRatesDataTable8[[#This Row],[Servicing Spread Non-Zero]]-L2382</f>
        <v>0</v>
      </c>
      <c r="N2383" s="70">
        <f>IF(J2382&lt;&gt;0,CurrentMtgRatesDataTable8[[#This Row],[Rate]]-C2382,N2382)</f>
        <v>7.4999999999999734E-2</v>
      </c>
    </row>
    <row r="2384" spans="1:14">
      <c r="A2384" s="67" t="s">
        <v>222</v>
      </c>
      <c r="B2384" s="68">
        <v>2.9897357672895799</v>
      </c>
      <c r="C2384" s="69">
        <v>3.835</v>
      </c>
      <c r="D2384" s="70">
        <f t="shared" si="259"/>
        <v>6</v>
      </c>
      <c r="E2384" s="70">
        <f t="shared" si="260"/>
        <v>0.2</v>
      </c>
      <c r="F2384" s="70">
        <f t="shared" si="261"/>
        <v>4</v>
      </c>
      <c r="G2384" s="70">
        <f t="shared" si="262"/>
        <v>2.3624038469755861</v>
      </c>
      <c r="H2384" s="70">
        <f t="shared" si="263"/>
        <v>0.8</v>
      </c>
      <c r="I2384" s="70">
        <f t="shared" si="264"/>
        <v>0</v>
      </c>
      <c r="J2384" s="70">
        <f t="shared" si="265"/>
        <v>0</v>
      </c>
      <c r="K2384" s="70">
        <f>IF(CurrentMtgRatesDataTable8[[#This Row],[WA CC]]&lt;&gt;0,C2383-CurrentMtgRatesDataTable8[[#This Row],[WA CC]],0)</f>
        <v>0</v>
      </c>
      <c r="L2384" s="70">
        <f>IF(CurrentMtgRatesDataTable8[[#This Row],[Servicing Spread]]&lt;=0,L2383,CurrentMtgRatesDataTable8[[#This Row],[Servicing Spread]])</f>
        <v>0.88486679864157303</v>
      </c>
      <c r="M2384" s="70">
        <f>CurrentMtgRatesDataTable8[[#This Row],[Servicing Spread Non-Zero]]-L2383</f>
        <v>0</v>
      </c>
      <c r="N2384" s="70">
        <f>IF(J2383&lt;&gt;0,CurrentMtgRatesDataTable8[[#This Row],[Rate]]-C2383,N2383)</f>
        <v>7.4999999999999734E-2</v>
      </c>
    </row>
    <row r="2385" spans="1:14">
      <c r="A2385" s="67" t="s">
        <v>79</v>
      </c>
      <c r="B2385" s="68">
        <v>2.9737219853978498</v>
      </c>
      <c r="C2385" s="69">
        <v>3.835</v>
      </c>
      <c r="D2385" s="70">
        <f t="shared" si="259"/>
        <v>7</v>
      </c>
      <c r="E2385" s="70">
        <f t="shared" si="260"/>
        <v>0.2</v>
      </c>
      <c r="F2385" s="70">
        <f t="shared" si="261"/>
        <v>5</v>
      </c>
      <c r="G2385" s="70">
        <f t="shared" si="262"/>
        <v>2.9571482440551562</v>
      </c>
      <c r="H2385" s="70">
        <f t="shared" si="263"/>
        <v>1</v>
      </c>
      <c r="I2385" s="70">
        <f t="shared" si="264"/>
        <v>1</v>
      </c>
      <c r="J2385" s="70">
        <f t="shared" si="265"/>
        <v>2.9571482440551562</v>
      </c>
      <c r="K2385" s="70">
        <f>IF(CurrentMtgRatesDataTable8[[#This Row],[WA CC]]&lt;&gt;0,C2384-CurrentMtgRatesDataTable8[[#This Row],[WA CC]],0)</f>
        <v>0.87785175594484377</v>
      </c>
      <c r="L2385" s="70">
        <f>IF(CurrentMtgRatesDataTable8[[#This Row],[Servicing Spread]]&lt;=0,L2384,CurrentMtgRatesDataTable8[[#This Row],[Servicing Spread]])</f>
        <v>0.87785175594484377</v>
      </c>
      <c r="M2385" s="70">
        <f>CurrentMtgRatesDataTable8[[#This Row],[Servicing Spread Non-Zero]]-L2384</f>
        <v>-7.0150426967292567E-3</v>
      </c>
      <c r="N2385" s="70">
        <f>IF(J2384&lt;&gt;0,CurrentMtgRatesDataTable8[[#This Row],[Rate]]-C2384,N2384)</f>
        <v>7.4999999999999734E-2</v>
      </c>
    </row>
    <row r="2386" spans="1:14">
      <c r="A2386" s="67" t="s">
        <v>645</v>
      </c>
      <c r="B2386" s="68">
        <v>2.9363931746100702</v>
      </c>
      <c r="C2386" s="69">
        <v>3.9049999999999998</v>
      </c>
      <c r="D2386" s="70">
        <f t="shared" si="259"/>
        <v>1</v>
      </c>
      <c r="E2386" s="70">
        <f t="shared" si="260"/>
        <v>0.2</v>
      </c>
      <c r="F2386" s="70">
        <f t="shared" si="261"/>
        <v>1</v>
      </c>
      <c r="G2386" s="70">
        <f t="shared" si="262"/>
        <v>0.58727863492201404</v>
      </c>
      <c r="H2386" s="70">
        <f t="shared" si="263"/>
        <v>0.2</v>
      </c>
      <c r="I2386" s="70">
        <f t="shared" si="264"/>
        <v>0</v>
      </c>
      <c r="J2386" s="70">
        <f t="shared" si="265"/>
        <v>0</v>
      </c>
      <c r="K2386" s="70">
        <f>IF(CurrentMtgRatesDataTable8[[#This Row],[WA CC]]&lt;&gt;0,C2385-CurrentMtgRatesDataTable8[[#This Row],[WA CC]],0)</f>
        <v>0</v>
      </c>
      <c r="L2386" s="70">
        <f>IF(CurrentMtgRatesDataTable8[[#This Row],[Servicing Spread]]&lt;=0,L2385,CurrentMtgRatesDataTable8[[#This Row],[Servicing Spread]])</f>
        <v>0.87785175594484377</v>
      </c>
      <c r="M2386" s="70">
        <f>CurrentMtgRatesDataTable8[[#This Row],[Servicing Spread Non-Zero]]-L2385</f>
        <v>0</v>
      </c>
      <c r="N2386" s="70">
        <f>IF(J2385&lt;&gt;0,CurrentMtgRatesDataTable8[[#This Row],[Rate]]-C2385,N2385)</f>
        <v>6.999999999999984E-2</v>
      </c>
    </row>
    <row r="2387" spans="1:14">
      <c r="A2387" s="67" t="s">
        <v>501</v>
      </c>
      <c r="B2387" s="68">
        <v>2.9931159990094902</v>
      </c>
      <c r="C2387" s="69">
        <v>3.9049999999999998</v>
      </c>
      <c r="D2387" s="70">
        <f t="shared" si="259"/>
        <v>2</v>
      </c>
      <c r="E2387" s="70">
        <f t="shared" si="260"/>
        <v>0.2</v>
      </c>
      <c r="F2387" s="70">
        <f t="shared" si="261"/>
        <v>2</v>
      </c>
      <c r="G2387" s="70">
        <f t="shared" si="262"/>
        <v>1.1859018347239121</v>
      </c>
      <c r="H2387" s="70">
        <f t="shared" si="263"/>
        <v>0.4</v>
      </c>
      <c r="I2387" s="70">
        <f t="shared" si="264"/>
        <v>0</v>
      </c>
      <c r="J2387" s="70">
        <f t="shared" si="265"/>
        <v>0</v>
      </c>
      <c r="K2387" s="70">
        <f>IF(CurrentMtgRatesDataTable8[[#This Row],[WA CC]]&lt;&gt;0,C2386-CurrentMtgRatesDataTable8[[#This Row],[WA CC]],0)</f>
        <v>0</v>
      </c>
      <c r="L2387" s="70">
        <f>IF(CurrentMtgRatesDataTable8[[#This Row],[Servicing Spread]]&lt;=0,L2386,CurrentMtgRatesDataTable8[[#This Row],[Servicing Spread]])</f>
        <v>0.87785175594484377</v>
      </c>
      <c r="M2387" s="70">
        <f>CurrentMtgRatesDataTable8[[#This Row],[Servicing Spread Non-Zero]]-L2386</f>
        <v>0</v>
      </c>
      <c r="N2387" s="70">
        <f>IF(J2386&lt;&gt;0,CurrentMtgRatesDataTable8[[#This Row],[Rate]]-C2386,N2386)</f>
        <v>6.999999999999984E-2</v>
      </c>
    </row>
    <row r="2388" spans="1:14">
      <c r="A2388" s="67" t="s">
        <v>362</v>
      </c>
      <c r="B2388" s="68">
        <v>3.0187503286824402</v>
      </c>
      <c r="C2388" s="69">
        <v>3.9049999999999998</v>
      </c>
      <c r="D2388" s="70">
        <f t="shared" si="259"/>
        <v>5</v>
      </c>
      <c r="E2388" s="70">
        <f t="shared" si="260"/>
        <v>0.2</v>
      </c>
      <c r="F2388" s="70">
        <f t="shared" si="261"/>
        <v>3</v>
      </c>
      <c r="G2388" s="70">
        <f t="shared" si="262"/>
        <v>1.7896519004604001</v>
      </c>
      <c r="H2388" s="70">
        <f t="shared" si="263"/>
        <v>0.60000000000000009</v>
      </c>
      <c r="I2388" s="70">
        <f t="shared" si="264"/>
        <v>0</v>
      </c>
      <c r="J2388" s="70">
        <f t="shared" si="265"/>
        <v>0</v>
      </c>
      <c r="K2388" s="70">
        <f>IF(CurrentMtgRatesDataTable8[[#This Row],[WA CC]]&lt;&gt;0,C2387-CurrentMtgRatesDataTable8[[#This Row],[WA CC]],0)</f>
        <v>0</v>
      </c>
      <c r="L2388" s="70">
        <f>IF(CurrentMtgRatesDataTable8[[#This Row],[Servicing Spread]]&lt;=0,L2387,CurrentMtgRatesDataTable8[[#This Row],[Servicing Spread]])</f>
        <v>0.87785175594484377</v>
      </c>
      <c r="M2388" s="70">
        <f>CurrentMtgRatesDataTable8[[#This Row],[Servicing Spread Non-Zero]]-L2387</f>
        <v>0</v>
      </c>
      <c r="N2388" s="70">
        <f>IF(J2387&lt;&gt;0,CurrentMtgRatesDataTable8[[#This Row],[Rate]]-C2387,N2387)</f>
        <v>6.999999999999984E-2</v>
      </c>
    </row>
    <row r="2389" spans="1:14">
      <c r="A2389" s="67" t="s">
        <v>223</v>
      </c>
      <c r="B2389" s="68">
        <v>2.9886237940572</v>
      </c>
      <c r="C2389" s="69">
        <v>3.9049999999999998</v>
      </c>
      <c r="D2389" s="70">
        <f t="shared" si="259"/>
        <v>6</v>
      </c>
      <c r="E2389" s="70">
        <f t="shared" si="260"/>
        <v>0.2</v>
      </c>
      <c r="F2389" s="70">
        <f t="shared" si="261"/>
        <v>4</v>
      </c>
      <c r="G2389" s="70">
        <f t="shared" si="262"/>
        <v>2.3873766592718404</v>
      </c>
      <c r="H2389" s="70">
        <f t="shared" si="263"/>
        <v>0.8</v>
      </c>
      <c r="I2389" s="70">
        <f t="shared" si="264"/>
        <v>0</v>
      </c>
      <c r="J2389" s="70">
        <f t="shared" si="265"/>
        <v>0</v>
      </c>
      <c r="K2389" s="70">
        <f>IF(CurrentMtgRatesDataTable8[[#This Row],[WA CC]]&lt;&gt;0,C2388-CurrentMtgRatesDataTable8[[#This Row],[WA CC]],0)</f>
        <v>0</v>
      </c>
      <c r="L2389" s="70">
        <f>IF(CurrentMtgRatesDataTable8[[#This Row],[Servicing Spread]]&lt;=0,L2388,CurrentMtgRatesDataTable8[[#This Row],[Servicing Spread]])</f>
        <v>0.87785175594484377</v>
      </c>
      <c r="M2389" s="70">
        <f>CurrentMtgRatesDataTable8[[#This Row],[Servicing Spread Non-Zero]]-L2388</f>
        <v>0</v>
      </c>
      <c r="N2389" s="70">
        <f>IF(J2388&lt;&gt;0,CurrentMtgRatesDataTable8[[#This Row],[Rate]]-C2388,N2388)</f>
        <v>6.999999999999984E-2</v>
      </c>
    </row>
    <row r="2390" spans="1:14">
      <c r="A2390" s="67" t="s">
        <v>80</v>
      </c>
      <c r="B2390" s="68">
        <v>3.0172986003180302</v>
      </c>
      <c r="C2390" s="69">
        <v>3.9049999999999998</v>
      </c>
      <c r="D2390" s="70">
        <f t="shared" si="259"/>
        <v>7</v>
      </c>
      <c r="E2390" s="70">
        <f t="shared" si="260"/>
        <v>0.2</v>
      </c>
      <c r="F2390" s="70">
        <f t="shared" si="261"/>
        <v>5</v>
      </c>
      <c r="G2390" s="70">
        <f t="shared" si="262"/>
        <v>2.9908363793354464</v>
      </c>
      <c r="H2390" s="70">
        <f t="shared" si="263"/>
        <v>1</v>
      </c>
      <c r="I2390" s="70">
        <f t="shared" si="264"/>
        <v>1</v>
      </c>
      <c r="J2390" s="70">
        <f t="shared" si="265"/>
        <v>2.9908363793354464</v>
      </c>
      <c r="K2390" s="70">
        <f>IF(CurrentMtgRatesDataTable8[[#This Row],[WA CC]]&lt;&gt;0,C2389-CurrentMtgRatesDataTable8[[#This Row],[WA CC]],0)</f>
        <v>0.91416362066455337</v>
      </c>
      <c r="L2390" s="70">
        <f>IF(CurrentMtgRatesDataTable8[[#This Row],[Servicing Spread]]&lt;=0,L2389,CurrentMtgRatesDataTable8[[#This Row],[Servicing Spread]])</f>
        <v>0.91416362066455337</v>
      </c>
      <c r="M2390" s="70">
        <f>CurrentMtgRatesDataTable8[[#This Row],[Servicing Spread Non-Zero]]-L2389</f>
        <v>3.6311864719709597E-2</v>
      </c>
      <c r="N2390" s="70">
        <f>IF(J2389&lt;&gt;0,CurrentMtgRatesDataTable8[[#This Row],[Rate]]-C2389,N2389)</f>
        <v>6.999999999999984E-2</v>
      </c>
    </row>
    <row r="2391" spans="1:14">
      <c r="A2391" s="67" t="s">
        <v>646</v>
      </c>
      <c r="B2391" s="68">
        <v>2.97051771574304</v>
      </c>
      <c r="C2391" s="69">
        <v>3.8800000000000003</v>
      </c>
      <c r="D2391" s="70">
        <f t="shared" si="259"/>
        <v>1</v>
      </c>
      <c r="E2391" s="70">
        <f t="shared" si="260"/>
        <v>0.2</v>
      </c>
      <c r="F2391" s="70">
        <f t="shared" si="261"/>
        <v>1</v>
      </c>
      <c r="G2391" s="70">
        <f t="shared" si="262"/>
        <v>0.59410354314860803</v>
      </c>
      <c r="H2391" s="70">
        <f t="shared" si="263"/>
        <v>0.2</v>
      </c>
      <c r="I2391" s="70">
        <f t="shared" si="264"/>
        <v>0</v>
      </c>
      <c r="J2391" s="70">
        <f t="shared" si="265"/>
        <v>0</v>
      </c>
      <c r="K2391" s="70">
        <f>IF(CurrentMtgRatesDataTable8[[#This Row],[WA CC]]&lt;&gt;0,C2390-CurrentMtgRatesDataTable8[[#This Row],[WA CC]],0)</f>
        <v>0</v>
      </c>
      <c r="L2391" s="70">
        <f>IF(CurrentMtgRatesDataTable8[[#This Row],[Servicing Spread]]&lt;=0,L2390,CurrentMtgRatesDataTable8[[#This Row],[Servicing Spread]])</f>
        <v>0.91416362066455337</v>
      </c>
      <c r="M2391" s="70">
        <f>CurrentMtgRatesDataTable8[[#This Row],[Servicing Spread Non-Zero]]-L2390</f>
        <v>0</v>
      </c>
      <c r="N2391" s="70">
        <f>IF(J2390&lt;&gt;0,CurrentMtgRatesDataTable8[[#This Row],[Rate]]-C2390,N2390)</f>
        <v>-2.4999999999999467E-2</v>
      </c>
    </row>
    <row r="2392" spans="1:14">
      <c r="A2392" s="67" t="s">
        <v>502</v>
      </c>
      <c r="B2392" s="68">
        <v>2.93282407442446</v>
      </c>
      <c r="C2392" s="69">
        <v>3.8800000000000003</v>
      </c>
      <c r="D2392" s="70">
        <f t="shared" si="259"/>
        <v>2</v>
      </c>
      <c r="E2392" s="70">
        <f t="shared" si="260"/>
        <v>0.2</v>
      </c>
      <c r="F2392" s="70">
        <f t="shared" si="261"/>
        <v>2</v>
      </c>
      <c r="G2392" s="70">
        <f t="shared" si="262"/>
        <v>1.1806683580335</v>
      </c>
      <c r="H2392" s="70">
        <f t="shared" si="263"/>
        <v>0.4</v>
      </c>
      <c r="I2392" s="70">
        <f t="shared" si="264"/>
        <v>0</v>
      </c>
      <c r="J2392" s="70">
        <f t="shared" si="265"/>
        <v>0</v>
      </c>
      <c r="K2392" s="70">
        <f>IF(CurrentMtgRatesDataTable8[[#This Row],[WA CC]]&lt;&gt;0,C2391-CurrentMtgRatesDataTable8[[#This Row],[WA CC]],0)</f>
        <v>0</v>
      </c>
      <c r="L2392" s="70">
        <f>IF(CurrentMtgRatesDataTable8[[#This Row],[Servicing Spread]]&lt;=0,L2391,CurrentMtgRatesDataTable8[[#This Row],[Servicing Spread]])</f>
        <v>0.91416362066455337</v>
      </c>
      <c r="M2392" s="70">
        <f>CurrentMtgRatesDataTable8[[#This Row],[Servicing Spread Non-Zero]]-L2391</f>
        <v>0</v>
      </c>
      <c r="N2392" s="70">
        <f>IF(J2391&lt;&gt;0,CurrentMtgRatesDataTable8[[#This Row],[Rate]]-C2391,N2391)</f>
        <v>-2.4999999999999467E-2</v>
      </c>
    </row>
    <row r="2393" spans="1:14">
      <c r="A2393" s="67" t="s">
        <v>363</v>
      </c>
      <c r="B2393" s="68">
        <v>2.9838518305616502</v>
      </c>
      <c r="C2393" s="69">
        <v>3.8800000000000003</v>
      </c>
      <c r="D2393" s="70">
        <f t="shared" si="259"/>
        <v>5</v>
      </c>
      <c r="E2393" s="70">
        <f t="shared" si="260"/>
        <v>0.2</v>
      </c>
      <c r="F2393" s="70">
        <f t="shared" si="261"/>
        <v>3</v>
      </c>
      <c r="G2393" s="70">
        <f t="shared" si="262"/>
        <v>1.77743872414583</v>
      </c>
      <c r="H2393" s="70">
        <f t="shared" si="263"/>
        <v>0.60000000000000009</v>
      </c>
      <c r="I2393" s="70">
        <f t="shared" si="264"/>
        <v>0</v>
      </c>
      <c r="J2393" s="70">
        <f t="shared" si="265"/>
        <v>0</v>
      </c>
      <c r="K2393" s="70">
        <f>IF(CurrentMtgRatesDataTable8[[#This Row],[WA CC]]&lt;&gt;0,C2392-CurrentMtgRatesDataTable8[[#This Row],[WA CC]],0)</f>
        <v>0</v>
      </c>
      <c r="L2393" s="70">
        <f>IF(CurrentMtgRatesDataTable8[[#This Row],[Servicing Spread]]&lt;=0,L2392,CurrentMtgRatesDataTable8[[#This Row],[Servicing Spread]])</f>
        <v>0.91416362066455337</v>
      </c>
      <c r="M2393" s="70">
        <f>CurrentMtgRatesDataTable8[[#This Row],[Servicing Spread Non-Zero]]-L2392</f>
        <v>0</v>
      </c>
      <c r="N2393" s="70">
        <f>IF(J2392&lt;&gt;0,CurrentMtgRatesDataTable8[[#This Row],[Rate]]-C2392,N2392)</f>
        <v>-2.4999999999999467E-2</v>
      </c>
    </row>
    <row r="2394" spans="1:14">
      <c r="A2394" s="67" t="s">
        <v>224</v>
      </c>
      <c r="B2394" s="68">
        <v>2.9821306488123902</v>
      </c>
      <c r="C2394" s="69">
        <v>3.8800000000000003</v>
      </c>
      <c r="D2394" s="70">
        <f t="shared" si="259"/>
        <v>6</v>
      </c>
      <c r="E2394" s="70">
        <f t="shared" si="260"/>
        <v>0.2</v>
      </c>
      <c r="F2394" s="70">
        <f t="shared" si="261"/>
        <v>4</v>
      </c>
      <c r="G2394" s="70">
        <f t="shared" si="262"/>
        <v>2.3738648539083083</v>
      </c>
      <c r="H2394" s="70">
        <f t="shared" si="263"/>
        <v>0.8</v>
      </c>
      <c r="I2394" s="70">
        <f t="shared" si="264"/>
        <v>0</v>
      </c>
      <c r="J2394" s="70">
        <f t="shared" si="265"/>
        <v>0</v>
      </c>
      <c r="K2394" s="70">
        <f>IF(CurrentMtgRatesDataTable8[[#This Row],[WA CC]]&lt;&gt;0,C2393-CurrentMtgRatesDataTable8[[#This Row],[WA CC]],0)</f>
        <v>0</v>
      </c>
      <c r="L2394" s="70">
        <f>IF(CurrentMtgRatesDataTable8[[#This Row],[Servicing Spread]]&lt;=0,L2393,CurrentMtgRatesDataTable8[[#This Row],[Servicing Spread]])</f>
        <v>0.91416362066455337</v>
      </c>
      <c r="M2394" s="70">
        <f>CurrentMtgRatesDataTable8[[#This Row],[Servicing Spread Non-Zero]]-L2393</f>
        <v>0</v>
      </c>
      <c r="N2394" s="70">
        <f>IF(J2393&lt;&gt;0,CurrentMtgRatesDataTable8[[#This Row],[Rate]]-C2393,N2393)</f>
        <v>-2.4999999999999467E-2</v>
      </c>
    </row>
    <row r="2395" spans="1:14">
      <c r="A2395" s="67" t="s">
        <v>81</v>
      </c>
      <c r="B2395" s="68">
        <v>3.1273804098375502</v>
      </c>
      <c r="C2395" s="69">
        <v>3.8800000000000003</v>
      </c>
      <c r="D2395" s="70">
        <f t="shared" si="259"/>
        <v>7</v>
      </c>
      <c r="E2395" s="70">
        <f t="shared" si="260"/>
        <v>0.2</v>
      </c>
      <c r="F2395" s="70">
        <f t="shared" si="261"/>
        <v>5</v>
      </c>
      <c r="G2395" s="70">
        <f t="shared" si="262"/>
        <v>2.9993409358758183</v>
      </c>
      <c r="H2395" s="70">
        <f t="shared" si="263"/>
        <v>1</v>
      </c>
      <c r="I2395" s="70">
        <f t="shared" si="264"/>
        <v>1</v>
      </c>
      <c r="J2395" s="70">
        <f t="shared" si="265"/>
        <v>2.9993409358758183</v>
      </c>
      <c r="K2395" s="70">
        <f>IF(CurrentMtgRatesDataTable8[[#This Row],[WA CC]]&lt;&gt;0,C2394-CurrentMtgRatesDataTable8[[#This Row],[WA CC]],0)</f>
        <v>0.88065906412418204</v>
      </c>
      <c r="L2395" s="70">
        <f>IF(CurrentMtgRatesDataTable8[[#This Row],[Servicing Spread]]&lt;=0,L2394,CurrentMtgRatesDataTable8[[#This Row],[Servicing Spread]])</f>
        <v>0.88065906412418204</v>
      </c>
      <c r="M2395" s="70">
        <f>CurrentMtgRatesDataTable8[[#This Row],[Servicing Spread Non-Zero]]-L2394</f>
        <v>-3.3504556540371322E-2</v>
      </c>
      <c r="N2395" s="70">
        <f>IF(J2394&lt;&gt;0,CurrentMtgRatesDataTable8[[#This Row],[Rate]]-C2394,N2394)</f>
        <v>-2.4999999999999467E-2</v>
      </c>
    </row>
    <row r="2396" spans="1:14">
      <c r="A2396" s="67" t="s">
        <v>647</v>
      </c>
      <c r="B2396" s="68">
        <v>3.2731873242540099</v>
      </c>
      <c r="C2396" s="69">
        <v>4.41</v>
      </c>
      <c r="D2396" s="70">
        <f t="shared" si="259"/>
        <v>1</v>
      </c>
      <c r="E2396" s="70">
        <f t="shared" si="260"/>
        <v>0.2</v>
      </c>
      <c r="F2396" s="70">
        <f t="shared" si="261"/>
        <v>1</v>
      </c>
      <c r="G2396" s="70">
        <f t="shared" si="262"/>
        <v>0.65463746485080199</v>
      </c>
      <c r="H2396" s="70">
        <f t="shared" si="263"/>
        <v>0.2</v>
      </c>
      <c r="I2396" s="70">
        <f t="shared" si="264"/>
        <v>0</v>
      </c>
      <c r="J2396" s="70">
        <f t="shared" si="265"/>
        <v>0</v>
      </c>
      <c r="K2396" s="70">
        <f>IF(CurrentMtgRatesDataTable8[[#This Row],[WA CC]]&lt;&gt;0,C2395-CurrentMtgRatesDataTable8[[#This Row],[WA CC]],0)</f>
        <v>0</v>
      </c>
      <c r="L2396" s="70">
        <f>IF(CurrentMtgRatesDataTable8[[#This Row],[Servicing Spread]]&lt;=0,L2395,CurrentMtgRatesDataTable8[[#This Row],[Servicing Spread]])</f>
        <v>0.88065906412418204</v>
      </c>
      <c r="M2396" s="70">
        <f>CurrentMtgRatesDataTable8[[#This Row],[Servicing Spread Non-Zero]]-L2395</f>
        <v>0</v>
      </c>
      <c r="N2396" s="70">
        <f>IF(J2395&lt;&gt;0,CurrentMtgRatesDataTable8[[#This Row],[Rate]]-C2395,N2395)</f>
        <v>0.5299999999999998</v>
      </c>
    </row>
    <row r="2397" spans="1:14">
      <c r="A2397" s="67" t="s">
        <v>503</v>
      </c>
      <c r="B2397" s="68">
        <v>3.4290560333253501</v>
      </c>
      <c r="C2397" s="69">
        <v>4.41</v>
      </c>
      <c r="D2397" s="70">
        <f t="shared" si="259"/>
        <v>2</v>
      </c>
      <c r="E2397" s="70">
        <f t="shared" si="260"/>
        <v>0.2</v>
      </c>
      <c r="F2397" s="70">
        <f t="shared" si="261"/>
        <v>2</v>
      </c>
      <c r="G2397" s="70">
        <f t="shared" si="262"/>
        <v>1.3404486715158721</v>
      </c>
      <c r="H2397" s="70">
        <f t="shared" si="263"/>
        <v>0.4</v>
      </c>
      <c r="I2397" s="70">
        <f t="shared" si="264"/>
        <v>0</v>
      </c>
      <c r="J2397" s="70">
        <f t="shared" si="265"/>
        <v>0</v>
      </c>
      <c r="K2397" s="70">
        <f>IF(CurrentMtgRatesDataTable8[[#This Row],[WA CC]]&lt;&gt;0,C2396-CurrentMtgRatesDataTable8[[#This Row],[WA CC]],0)</f>
        <v>0</v>
      </c>
      <c r="L2397" s="70">
        <f>IF(CurrentMtgRatesDataTable8[[#This Row],[Servicing Spread]]&lt;=0,L2396,CurrentMtgRatesDataTable8[[#This Row],[Servicing Spread]])</f>
        <v>0.88065906412418204</v>
      </c>
      <c r="M2397" s="70">
        <f>CurrentMtgRatesDataTable8[[#This Row],[Servicing Spread Non-Zero]]-L2396</f>
        <v>0</v>
      </c>
      <c r="N2397" s="70">
        <f>IF(J2396&lt;&gt;0,CurrentMtgRatesDataTable8[[#This Row],[Rate]]-C2396,N2396)</f>
        <v>0.5299999999999998</v>
      </c>
    </row>
    <row r="2398" spans="1:14">
      <c r="A2398" s="67" t="s">
        <v>364</v>
      </c>
      <c r="B2398" s="68">
        <v>3.4842821250923999</v>
      </c>
      <c r="C2398" s="69">
        <v>4.41</v>
      </c>
      <c r="D2398" s="70">
        <f t="shared" si="259"/>
        <v>5</v>
      </c>
      <c r="E2398" s="70">
        <f t="shared" si="260"/>
        <v>0.2</v>
      </c>
      <c r="F2398" s="70">
        <f t="shared" si="261"/>
        <v>3</v>
      </c>
      <c r="G2398" s="70">
        <f t="shared" si="262"/>
        <v>2.037305096534352</v>
      </c>
      <c r="H2398" s="70">
        <f t="shared" si="263"/>
        <v>0.60000000000000009</v>
      </c>
      <c r="I2398" s="70">
        <f t="shared" si="264"/>
        <v>0</v>
      </c>
      <c r="J2398" s="70">
        <f t="shared" si="265"/>
        <v>0</v>
      </c>
      <c r="K2398" s="70">
        <f>IF(CurrentMtgRatesDataTable8[[#This Row],[WA CC]]&lt;&gt;0,C2397-CurrentMtgRatesDataTable8[[#This Row],[WA CC]],0)</f>
        <v>0</v>
      </c>
      <c r="L2398" s="70">
        <f>IF(CurrentMtgRatesDataTable8[[#This Row],[Servicing Spread]]&lt;=0,L2397,CurrentMtgRatesDataTable8[[#This Row],[Servicing Spread]])</f>
        <v>0.88065906412418204</v>
      </c>
      <c r="M2398" s="70">
        <f>CurrentMtgRatesDataTable8[[#This Row],[Servicing Spread Non-Zero]]-L2397</f>
        <v>0</v>
      </c>
      <c r="N2398" s="70">
        <f>IF(J2397&lt;&gt;0,CurrentMtgRatesDataTable8[[#This Row],[Rate]]-C2397,N2397)</f>
        <v>0.5299999999999998</v>
      </c>
    </row>
    <row r="2399" spans="1:14">
      <c r="A2399" s="67" t="s">
        <v>225</v>
      </c>
      <c r="B2399" s="68">
        <v>3.4979073592115801</v>
      </c>
      <c r="C2399" s="69">
        <v>4.41</v>
      </c>
      <c r="D2399" s="70">
        <f t="shared" si="259"/>
        <v>6</v>
      </c>
      <c r="E2399" s="70">
        <f t="shared" si="260"/>
        <v>0.2</v>
      </c>
      <c r="F2399" s="70">
        <f t="shared" si="261"/>
        <v>4</v>
      </c>
      <c r="G2399" s="70">
        <f t="shared" si="262"/>
        <v>2.7368865683766681</v>
      </c>
      <c r="H2399" s="70">
        <f t="shared" si="263"/>
        <v>0.8</v>
      </c>
      <c r="I2399" s="70">
        <f t="shared" si="264"/>
        <v>0</v>
      </c>
      <c r="J2399" s="70">
        <f t="shared" si="265"/>
        <v>0</v>
      </c>
      <c r="K2399" s="70">
        <f>IF(CurrentMtgRatesDataTable8[[#This Row],[WA CC]]&lt;&gt;0,C2398-CurrentMtgRatesDataTable8[[#This Row],[WA CC]],0)</f>
        <v>0</v>
      </c>
      <c r="L2399" s="70">
        <f>IF(CurrentMtgRatesDataTable8[[#This Row],[Servicing Spread]]&lt;=0,L2398,CurrentMtgRatesDataTable8[[#This Row],[Servicing Spread]])</f>
        <v>0.88065906412418204</v>
      </c>
      <c r="M2399" s="70">
        <f>CurrentMtgRatesDataTable8[[#This Row],[Servicing Spread Non-Zero]]-L2398</f>
        <v>0</v>
      </c>
      <c r="N2399" s="70">
        <f>IF(J2398&lt;&gt;0,CurrentMtgRatesDataTable8[[#This Row],[Rate]]-C2398,N2398)</f>
        <v>0.5299999999999998</v>
      </c>
    </row>
    <row r="2400" spans="1:14">
      <c r="A2400" s="67" t="s">
        <v>82</v>
      </c>
      <c r="B2400" s="68">
        <v>3.44274839511578</v>
      </c>
      <c r="C2400" s="69">
        <v>4.41</v>
      </c>
      <c r="D2400" s="70">
        <f t="shared" si="259"/>
        <v>7</v>
      </c>
      <c r="E2400" s="70">
        <f t="shared" si="260"/>
        <v>0.2</v>
      </c>
      <c r="F2400" s="70">
        <f t="shared" si="261"/>
        <v>5</v>
      </c>
      <c r="G2400" s="70">
        <f t="shared" si="262"/>
        <v>3.4254362473998241</v>
      </c>
      <c r="H2400" s="70">
        <f t="shared" si="263"/>
        <v>1</v>
      </c>
      <c r="I2400" s="70">
        <f t="shared" si="264"/>
        <v>1</v>
      </c>
      <c r="J2400" s="70">
        <f t="shared" si="265"/>
        <v>3.4254362473998241</v>
      </c>
      <c r="K2400" s="70">
        <f>IF(CurrentMtgRatesDataTable8[[#This Row],[WA CC]]&lt;&gt;0,C2399-CurrentMtgRatesDataTable8[[#This Row],[WA CC]],0)</f>
        <v>0.98456375260017603</v>
      </c>
      <c r="L2400" s="70">
        <f>IF(CurrentMtgRatesDataTable8[[#This Row],[Servicing Spread]]&lt;=0,L2399,CurrentMtgRatesDataTable8[[#This Row],[Servicing Spread]])</f>
        <v>0.98456375260017603</v>
      </c>
      <c r="M2400" s="70">
        <f>CurrentMtgRatesDataTable8[[#This Row],[Servicing Spread Non-Zero]]-L2399</f>
        <v>0.10390468847599399</v>
      </c>
      <c r="N2400" s="70">
        <f>IF(J2399&lt;&gt;0,CurrentMtgRatesDataTable8[[#This Row],[Rate]]-C2399,N2399)</f>
        <v>0.5299999999999998</v>
      </c>
    </row>
    <row r="2401" spans="1:14">
      <c r="A2401" s="67" t="s">
        <v>504</v>
      </c>
      <c r="B2401" s="68">
        <v>3.3206581307608101</v>
      </c>
      <c r="C2401" s="69">
        <v>4.2149999999999999</v>
      </c>
      <c r="D2401" s="70">
        <f t="shared" si="259"/>
        <v>1</v>
      </c>
      <c r="E2401" s="70">
        <f t="shared" si="260"/>
        <v>0.2</v>
      </c>
      <c r="F2401" s="70">
        <f t="shared" si="261"/>
        <v>1</v>
      </c>
      <c r="G2401" s="70">
        <f t="shared" si="262"/>
        <v>0.66413162615216204</v>
      </c>
      <c r="H2401" s="70">
        <f t="shared" si="263"/>
        <v>0.2</v>
      </c>
      <c r="I2401" s="70">
        <f t="shared" si="264"/>
        <v>0</v>
      </c>
      <c r="J2401" s="70">
        <f t="shared" si="265"/>
        <v>0</v>
      </c>
      <c r="K2401" s="70">
        <f>IF(CurrentMtgRatesDataTable8[[#This Row],[WA CC]]&lt;&gt;0,C2400-CurrentMtgRatesDataTable8[[#This Row],[WA CC]],0)</f>
        <v>0</v>
      </c>
      <c r="L2401" s="70">
        <f>IF(CurrentMtgRatesDataTable8[[#This Row],[Servicing Spread]]&lt;=0,L2400,CurrentMtgRatesDataTable8[[#This Row],[Servicing Spread]])</f>
        <v>0.98456375260017603</v>
      </c>
      <c r="M2401" s="70">
        <f>CurrentMtgRatesDataTable8[[#This Row],[Servicing Spread Non-Zero]]-L2400</f>
        <v>0</v>
      </c>
      <c r="N2401" s="70">
        <f>IF(J2400&lt;&gt;0,CurrentMtgRatesDataTable8[[#This Row],[Rate]]-C2400,N2400)</f>
        <v>-0.19500000000000028</v>
      </c>
    </row>
    <row r="2402" spans="1:14">
      <c r="A2402" s="67" t="s">
        <v>436</v>
      </c>
      <c r="B2402" s="68">
        <v>3.3094496735702101</v>
      </c>
      <c r="C2402" s="69">
        <v>4.2149999999999999</v>
      </c>
      <c r="D2402" s="70">
        <f t="shared" si="259"/>
        <v>2</v>
      </c>
      <c r="E2402" s="70">
        <f t="shared" si="260"/>
        <v>0.2</v>
      </c>
      <c r="F2402" s="70">
        <f t="shared" si="261"/>
        <v>2</v>
      </c>
      <c r="G2402" s="70">
        <f t="shared" si="262"/>
        <v>1.326021560866204</v>
      </c>
      <c r="H2402" s="70">
        <f t="shared" si="263"/>
        <v>0.4</v>
      </c>
      <c r="I2402" s="70">
        <f t="shared" si="264"/>
        <v>0</v>
      </c>
      <c r="J2402" s="70">
        <f t="shared" si="265"/>
        <v>0</v>
      </c>
      <c r="K2402" s="70">
        <f>IF(CurrentMtgRatesDataTable8[[#This Row],[WA CC]]&lt;&gt;0,C2401-CurrentMtgRatesDataTable8[[#This Row],[WA CC]],0)</f>
        <v>0</v>
      </c>
      <c r="L2402" s="70">
        <f>IF(CurrentMtgRatesDataTable8[[#This Row],[Servicing Spread]]&lt;=0,L2401,CurrentMtgRatesDataTable8[[#This Row],[Servicing Spread]])</f>
        <v>0.98456375260017603</v>
      </c>
      <c r="M2402" s="70">
        <f>CurrentMtgRatesDataTable8[[#This Row],[Servicing Spread Non-Zero]]-L2401</f>
        <v>0</v>
      </c>
      <c r="N2402" s="70">
        <f>IF(J2401&lt;&gt;0,CurrentMtgRatesDataTable8[[#This Row],[Rate]]-C2401,N2401)</f>
        <v>-0.19500000000000028</v>
      </c>
    </row>
    <row r="2403" spans="1:14">
      <c r="A2403" s="67" t="s">
        <v>226</v>
      </c>
      <c r="B2403" s="68">
        <v>3.2979461773808199</v>
      </c>
      <c r="C2403" s="69">
        <v>4.2149999999999999</v>
      </c>
      <c r="D2403" s="70">
        <f t="shared" si="259"/>
        <v>5</v>
      </c>
      <c r="E2403" s="70">
        <f t="shared" si="260"/>
        <v>0.2</v>
      </c>
      <c r="F2403" s="70">
        <f t="shared" si="261"/>
        <v>3</v>
      </c>
      <c r="G2403" s="70">
        <f t="shared" si="262"/>
        <v>1.9856107963423679</v>
      </c>
      <c r="H2403" s="70">
        <f t="shared" si="263"/>
        <v>0.60000000000000009</v>
      </c>
      <c r="I2403" s="70">
        <f t="shared" si="264"/>
        <v>0</v>
      </c>
      <c r="J2403" s="70">
        <f t="shared" si="265"/>
        <v>0</v>
      </c>
      <c r="K2403" s="70">
        <f>IF(CurrentMtgRatesDataTable8[[#This Row],[WA CC]]&lt;&gt;0,C2402-CurrentMtgRatesDataTable8[[#This Row],[WA CC]],0)</f>
        <v>0</v>
      </c>
      <c r="L2403" s="70">
        <f>IF(CurrentMtgRatesDataTable8[[#This Row],[Servicing Spread]]&lt;=0,L2402,CurrentMtgRatesDataTable8[[#This Row],[Servicing Spread]])</f>
        <v>0.98456375260017603</v>
      </c>
      <c r="M2403" s="70">
        <f>CurrentMtgRatesDataTable8[[#This Row],[Servicing Spread Non-Zero]]-L2402</f>
        <v>0</v>
      </c>
      <c r="N2403" s="70">
        <f>IF(J2402&lt;&gt;0,CurrentMtgRatesDataTable8[[#This Row],[Rate]]-C2402,N2402)</f>
        <v>-0.19500000000000028</v>
      </c>
    </row>
    <row r="2404" spans="1:14">
      <c r="A2404" s="67" t="s">
        <v>83</v>
      </c>
      <c r="B2404" s="68">
        <v>3.3118182496923301</v>
      </c>
      <c r="C2404" s="69">
        <v>4.2149999999999999</v>
      </c>
      <c r="D2404" s="70">
        <f t="shared" si="259"/>
        <v>6</v>
      </c>
      <c r="E2404" s="70">
        <f t="shared" si="260"/>
        <v>0.2</v>
      </c>
      <c r="F2404" s="70">
        <f t="shared" si="261"/>
        <v>4</v>
      </c>
      <c r="G2404" s="70">
        <f t="shared" si="262"/>
        <v>2.6479744462808341</v>
      </c>
      <c r="H2404" s="70">
        <f t="shared" si="263"/>
        <v>0.8</v>
      </c>
      <c r="I2404" s="70">
        <f t="shared" si="264"/>
        <v>0</v>
      </c>
      <c r="J2404" s="70">
        <f t="shared" si="265"/>
        <v>0</v>
      </c>
      <c r="K2404" s="70">
        <f>IF(CurrentMtgRatesDataTable8[[#This Row],[WA CC]]&lt;&gt;0,C2403-CurrentMtgRatesDataTable8[[#This Row],[WA CC]],0)</f>
        <v>0</v>
      </c>
      <c r="L2404" s="70">
        <f>IF(CurrentMtgRatesDataTable8[[#This Row],[Servicing Spread]]&lt;=0,L2403,CurrentMtgRatesDataTable8[[#This Row],[Servicing Spread]])</f>
        <v>0.98456375260017603</v>
      </c>
      <c r="M2404" s="70">
        <f>CurrentMtgRatesDataTable8[[#This Row],[Servicing Spread Non-Zero]]-L2403</f>
        <v>0</v>
      </c>
      <c r="N2404" s="70">
        <f>IF(J2403&lt;&gt;0,CurrentMtgRatesDataTable8[[#This Row],[Rate]]-C2403,N2403)</f>
        <v>-0.19500000000000028</v>
      </c>
    </row>
    <row r="2405" spans="1:14">
      <c r="A2405" s="67" t="s">
        <v>982</v>
      </c>
      <c r="B2405" s="68">
        <v>3.3689245044101299</v>
      </c>
      <c r="C2405" s="69">
        <v>4.2149999999999999</v>
      </c>
      <c r="D2405" s="70">
        <f t="shared" si="259"/>
        <v>7</v>
      </c>
      <c r="E2405" s="70">
        <f t="shared" si="260"/>
        <v>0.2</v>
      </c>
      <c r="F2405" s="70">
        <f t="shared" si="261"/>
        <v>5</v>
      </c>
      <c r="G2405" s="70">
        <f t="shared" si="262"/>
        <v>3.3217593471628604</v>
      </c>
      <c r="H2405" s="70">
        <f t="shared" si="263"/>
        <v>1</v>
      </c>
      <c r="I2405" s="70">
        <f t="shared" si="264"/>
        <v>1</v>
      </c>
      <c r="J2405" s="70">
        <f t="shared" si="265"/>
        <v>3.3217593471628604</v>
      </c>
      <c r="K2405" s="70">
        <f>IF(CurrentMtgRatesDataTable8[[#This Row],[WA CC]]&lt;&gt;0,C2404-CurrentMtgRatesDataTable8[[#This Row],[WA CC]],0)</f>
        <v>0.89324065283713949</v>
      </c>
      <c r="L2405" s="70">
        <f>IF(CurrentMtgRatesDataTable8[[#This Row],[Servicing Spread]]&lt;=0,L2404,CurrentMtgRatesDataTable8[[#This Row],[Servicing Spread]])</f>
        <v>0.89324065283713949</v>
      </c>
      <c r="M2405" s="70">
        <f>CurrentMtgRatesDataTable8[[#This Row],[Servicing Spread Non-Zero]]-L2404</f>
        <v>-9.1323099763036542E-2</v>
      </c>
      <c r="N2405" s="70">
        <f>IF(J2404&lt;&gt;0,CurrentMtgRatesDataTable8[[#This Row],[Rate]]-C2404,N2404)</f>
        <v>-0.19500000000000028</v>
      </c>
    </row>
    <row r="2406" spans="1:14">
      <c r="A2406" s="67" t="s">
        <v>505</v>
      </c>
      <c r="B2406" s="68">
        <v>3.6732513531495798</v>
      </c>
      <c r="C2406" s="69">
        <v>4.46</v>
      </c>
      <c r="D2406" s="70">
        <f t="shared" si="259"/>
        <v>2</v>
      </c>
      <c r="E2406" s="70">
        <f t="shared" si="260"/>
        <v>0.2</v>
      </c>
      <c r="F2406" s="70">
        <f t="shared" si="261"/>
        <v>1</v>
      </c>
      <c r="G2406" s="70">
        <f t="shared" si="262"/>
        <v>0.73465027062991606</v>
      </c>
      <c r="H2406" s="70">
        <f t="shared" si="263"/>
        <v>0.2</v>
      </c>
      <c r="I2406" s="70">
        <f t="shared" si="264"/>
        <v>0</v>
      </c>
      <c r="J2406" s="70">
        <f t="shared" si="265"/>
        <v>0</v>
      </c>
      <c r="K2406" s="70">
        <f>IF(CurrentMtgRatesDataTable8[[#This Row],[WA CC]]&lt;&gt;0,C2405-CurrentMtgRatesDataTable8[[#This Row],[WA CC]],0)</f>
        <v>0</v>
      </c>
      <c r="L2406" s="70">
        <f>IF(CurrentMtgRatesDataTable8[[#This Row],[Servicing Spread]]&lt;=0,L2405,CurrentMtgRatesDataTable8[[#This Row],[Servicing Spread]])</f>
        <v>0.89324065283713949</v>
      </c>
      <c r="M2406" s="70">
        <f>CurrentMtgRatesDataTable8[[#This Row],[Servicing Spread Non-Zero]]-L2405</f>
        <v>0</v>
      </c>
      <c r="N2406" s="70">
        <f>IF(J2405&lt;&gt;0,CurrentMtgRatesDataTable8[[#This Row],[Rate]]-C2405,N2405)</f>
        <v>0.24500000000000011</v>
      </c>
    </row>
    <row r="2407" spans="1:14">
      <c r="A2407" s="67" t="s">
        <v>365</v>
      </c>
      <c r="B2407" s="68">
        <v>3.5446391609564598</v>
      </c>
      <c r="C2407" s="69">
        <v>4.46</v>
      </c>
      <c r="D2407" s="70">
        <f t="shared" si="259"/>
        <v>5</v>
      </c>
      <c r="E2407" s="70">
        <f t="shared" si="260"/>
        <v>0.2</v>
      </c>
      <c r="F2407" s="70">
        <f t="shared" si="261"/>
        <v>2</v>
      </c>
      <c r="G2407" s="70">
        <f t="shared" si="262"/>
        <v>1.443578102821208</v>
      </c>
      <c r="H2407" s="70">
        <f t="shared" si="263"/>
        <v>0.4</v>
      </c>
      <c r="I2407" s="70">
        <f t="shared" si="264"/>
        <v>0</v>
      </c>
      <c r="J2407" s="70">
        <f t="shared" si="265"/>
        <v>0</v>
      </c>
      <c r="K2407" s="70">
        <f>IF(CurrentMtgRatesDataTable8[[#This Row],[WA CC]]&lt;&gt;0,C2406-CurrentMtgRatesDataTable8[[#This Row],[WA CC]],0)</f>
        <v>0</v>
      </c>
      <c r="L2407" s="70">
        <f>IF(CurrentMtgRatesDataTable8[[#This Row],[Servicing Spread]]&lt;=0,L2406,CurrentMtgRatesDataTable8[[#This Row],[Servicing Spread]])</f>
        <v>0.89324065283713949</v>
      </c>
      <c r="M2407" s="70">
        <f>CurrentMtgRatesDataTable8[[#This Row],[Servicing Spread Non-Zero]]-L2406</f>
        <v>0</v>
      </c>
      <c r="N2407" s="70">
        <f>IF(J2406&lt;&gt;0,CurrentMtgRatesDataTable8[[#This Row],[Rate]]-C2406,N2406)</f>
        <v>0.24500000000000011</v>
      </c>
    </row>
    <row r="2408" spans="1:14">
      <c r="A2408" s="67" t="s">
        <v>227</v>
      </c>
      <c r="B2408" s="68">
        <v>3.4880159980232399</v>
      </c>
      <c r="C2408" s="69">
        <v>4.46</v>
      </c>
      <c r="D2408" s="70">
        <f t="shared" si="259"/>
        <v>6</v>
      </c>
      <c r="E2408" s="70">
        <f t="shared" si="260"/>
        <v>0.2</v>
      </c>
      <c r="F2408" s="70">
        <f t="shared" si="261"/>
        <v>3</v>
      </c>
      <c r="G2408" s="70">
        <f t="shared" si="262"/>
        <v>2.1411813024258559</v>
      </c>
      <c r="H2408" s="70">
        <f t="shared" si="263"/>
        <v>0.60000000000000009</v>
      </c>
      <c r="I2408" s="70">
        <f t="shared" si="264"/>
        <v>0</v>
      </c>
      <c r="J2408" s="70">
        <f t="shared" si="265"/>
        <v>0</v>
      </c>
      <c r="K2408" s="70">
        <f>IF(CurrentMtgRatesDataTable8[[#This Row],[WA CC]]&lt;&gt;0,C2407-CurrentMtgRatesDataTable8[[#This Row],[WA CC]],0)</f>
        <v>0</v>
      </c>
      <c r="L2408" s="70">
        <f>IF(CurrentMtgRatesDataTable8[[#This Row],[Servicing Spread]]&lt;=0,L2407,CurrentMtgRatesDataTable8[[#This Row],[Servicing Spread]])</f>
        <v>0.89324065283713949</v>
      </c>
      <c r="M2408" s="70">
        <f>CurrentMtgRatesDataTable8[[#This Row],[Servicing Spread Non-Zero]]-L2407</f>
        <v>0</v>
      </c>
      <c r="N2408" s="70">
        <f>IF(J2407&lt;&gt;0,CurrentMtgRatesDataTable8[[#This Row],[Rate]]-C2407,N2407)</f>
        <v>0.24500000000000011</v>
      </c>
    </row>
    <row r="2409" spans="1:14">
      <c r="A2409" s="67" t="s">
        <v>84</v>
      </c>
      <c r="B2409" s="68">
        <v>3.58537205832996</v>
      </c>
      <c r="C2409" s="69">
        <v>4.46</v>
      </c>
      <c r="D2409" s="70">
        <f t="shared" si="259"/>
        <v>7</v>
      </c>
      <c r="E2409" s="70">
        <f t="shared" si="260"/>
        <v>0.2</v>
      </c>
      <c r="F2409" s="70">
        <f t="shared" si="261"/>
        <v>4</v>
      </c>
      <c r="G2409" s="70">
        <f t="shared" si="262"/>
        <v>2.8582557140918481</v>
      </c>
      <c r="H2409" s="70">
        <f t="shared" si="263"/>
        <v>0.8</v>
      </c>
      <c r="I2409" s="70">
        <f t="shared" si="264"/>
        <v>1</v>
      </c>
      <c r="J2409" s="70">
        <f t="shared" si="265"/>
        <v>3.5728196426148098</v>
      </c>
      <c r="K2409" s="70">
        <f>IF(CurrentMtgRatesDataTable8[[#This Row],[WA CC]]&lt;&gt;0,C2408-CurrentMtgRatesDataTable8[[#This Row],[WA CC]],0)</f>
        <v>0.88718035738519019</v>
      </c>
      <c r="L2409" s="70">
        <f>IF(CurrentMtgRatesDataTable8[[#This Row],[Servicing Spread]]&lt;=0,L2408,CurrentMtgRatesDataTable8[[#This Row],[Servicing Spread]])</f>
        <v>0.88718035738519019</v>
      </c>
      <c r="M2409" s="70">
        <f>CurrentMtgRatesDataTable8[[#This Row],[Servicing Spread Non-Zero]]-L2408</f>
        <v>-6.0602954519493046E-3</v>
      </c>
      <c r="N2409" s="70">
        <f>IF(J2408&lt;&gt;0,CurrentMtgRatesDataTable8[[#This Row],[Rate]]-C2408,N2408)</f>
        <v>0.24500000000000011</v>
      </c>
    </row>
    <row r="2410" spans="1:14">
      <c r="A2410" s="67" t="s">
        <v>648</v>
      </c>
      <c r="B2410" s="68">
        <v>3.4679725505405199</v>
      </c>
      <c r="C2410" s="69">
        <v>4.2949999999999999</v>
      </c>
      <c r="D2410" s="70">
        <f t="shared" si="259"/>
        <v>1</v>
      </c>
      <c r="E2410" s="70">
        <f t="shared" si="260"/>
        <v>0.2</v>
      </c>
      <c r="F2410" s="70">
        <f t="shared" si="261"/>
        <v>1</v>
      </c>
      <c r="G2410" s="70">
        <f t="shared" si="262"/>
        <v>0.69359451010810402</v>
      </c>
      <c r="H2410" s="70">
        <f t="shared" si="263"/>
        <v>0.2</v>
      </c>
      <c r="I2410" s="70">
        <f t="shared" si="264"/>
        <v>0</v>
      </c>
      <c r="J2410" s="70">
        <f t="shared" si="265"/>
        <v>0</v>
      </c>
      <c r="K2410" s="70">
        <f>IF(CurrentMtgRatesDataTable8[[#This Row],[WA CC]]&lt;&gt;0,C2409-CurrentMtgRatesDataTable8[[#This Row],[WA CC]],0)</f>
        <v>0</v>
      </c>
      <c r="L2410" s="70">
        <f>IF(CurrentMtgRatesDataTable8[[#This Row],[Servicing Spread]]&lt;=0,L2409,CurrentMtgRatesDataTable8[[#This Row],[Servicing Spread]])</f>
        <v>0.88718035738519019</v>
      </c>
      <c r="M2410" s="70">
        <f>CurrentMtgRatesDataTable8[[#This Row],[Servicing Spread Non-Zero]]-L2409</f>
        <v>0</v>
      </c>
      <c r="N2410" s="70">
        <f>IF(J2409&lt;&gt;0,CurrentMtgRatesDataTable8[[#This Row],[Rate]]-C2409,N2409)</f>
        <v>-0.16500000000000004</v>
      </c>
    </row>
    <row r="2411" spans="1:14">
      <c r="A2411" s="67" t="s">
        <v>506</v>
      </c>
      <c r="B2411" s="68">
        <v>3.4748173662638</v>
      </c>
      <c r="C2411" s="69">
        <v>4.2949999999999999</v>
      </c>
      <c r="D2411" s="70">
        <f t="shared" si="259"/>
        <v>2</v>
      </c>
      <c r="E2411" s="70">
        <f t="shared" si="260"/>
        <v>0.2</v>
      </c>
      <c r="F2411" s="70">
        <f t="shared" si="261"/>
        <v>2</v>
      </c>
      <c r="G2411" s="70">
        <f t="shared" si="262"/>
        <v>1.3885579833608641</v>
      </c>
      <c r="H2411" s="70">
        <f t="shared" si="263"/>
        <v>0.4</v>
      </c>
      <c r="I2411" s="70">
        <f t="shared" si="264"/>
        <v>0</v>
      </c>
      <c r="J2411" s="70">
        <f t="shared" si="265"/>
        <v>0</v>
      </c>
      <c r="K2411" s="70">
        <f>IF(CurrentMtgRatesDataTable8[[#This Row],[WA CC]]&lt;&gt;0,C2410-CurrentMtgRatesDataTable8[[#This Row],[WA CC]],0)</f>
        <v>0</v>
      </c>
      <c r="L2411" s="70">
        <f>IF(CurrentMtgRatesDataTable8[[#This Row],[Servicing Spread]]&lt;=0,L2410,CurrentMtgRatesDataTable8[[#This Row],[Servicing Spread]])</f>
        <v>0.88718035738519019</v>
      </c>
      <c r="M2411" s="70">
        <f>CurrentMtgRatesDataTable8[[#This Row],[Servicing Spread Non-Zero]]-L2410</f>
        <v>0</v>
      </c>
      <c r="N2411" s="70">
        <f>IF(J2410&lt;&gt;0,CurrentMtgRatesDataTable8[[#This Row],[Rate]]-C2410,N2410)</f>
        <v>-0.16500000000000004</v>
      </c>
    </row>
    <row r="2412" spans="1:14">
      <c r="A2412" s="67" t="s">
        <v>366</v>
      </c>
      <c r="B2412" s="68">
        <v>3.40503285889704</v>
      </c>
      <c r="C2412" s="69">
        <v>4.2949999999999999</v>
      </c>
      <c r="D2412" s="70">
        <f t="shared" si="259"/>
        <v>5</v>
      </c>
      <c r="E2412" s="70">
        <f t="shared" si="260"/>
        <v>0.2</v>
      </c>
      <c r="F2412" s="70">
        <f t="shared" si="261"/>
        <v>3</v>
      </c>
      <c r="G2412" s="70">
        <f t="shared" si="262"/>
        <v>2.0695645551402722</v>
      </c>
      <c r="H2412" s="70">
        <f t="shared" si="263"/>
        <v>0.60000000000000009</v>
      </c>
      <c r="I2412" s="70">
        <f t="shared" si="264"/>
        <v>0</v>
      </c>
      <c r="J2412" s="70">
        <f t="shared" si="265"/>
        <v>0</v>
      </c>
      <c r="K2412" s="70">
        <f>IF(CurrentMtgRatesDataTable8[[#This Row],[WA CC]]&lt;&gt;0,C2411-CurrentMtgRatesDataTable8[[#This Row],[WA CC]],0)</f>
        <v>0</v>
      </c>
      <c r="L2412" s="70">
        <f>IF(CurrentMtgRatesDataTable8[[#This Row],[Servicing Spread]]&lt;=0,L2411,CurrentMtgRatesDataTable8[[#This Row],[Servicing Spread]])</f>
        <v>0.88718035738519019</v>
      </c>
      <c r="M2412" s="70">
        <f>CurrentMtgRatesDataTable8[[#This Row],[Servicing Spread Non-Zero]]-L2411</f>
        <v>0</v>
      </c>
      <c r="N2412" s="70">
        <f>IF(J2411&lt;&gt;0,CurrentMtgRatesDataTable8[[#This Row],[Rate]]-C2411,N2411)</f>
        <v>-0.16500000000000004</v>
      </c>
    </row>
    <row r="2413" spans="1:14">
      <c r="A2413" s="67" t="s">
        <v>228</v>
      </c>
      <c r="B2413" s="68">
        <v>3.3914708524147601</v>
      </c>
      <c r="C2413" s="69">
        <v>4.2949999999999999</v>
      </c>
      <c r="D2413" s="70">
        <f t="shared" si="259"/>
        <v>6</v>
      </c>
      <c r="E2413" s="70">
        <f t="shared" si="260"/>
        <v>0.2</v>
      </c>
      <c r="F2413" s="70">
        <f t="shared" si="261"/>
        <v>4</v>
      </c>
      <c r="G2413" s="70">
        <f t="shared" si="262"/>
        <v>2.7478587256232241</v>
      </c>
      <c r="H2413" s="70">
        <f t="shared" si="263"/>
        <v>0.8</v>
      </c>
      <c r="I2413" s="70">
        <f t="shared" si="264"/>
        <v>0</v>
      </c>
      <c r="J2413" s="70">
        <f t="shared" si="265"/>
        <v>0</v>
      </c>
      <c r="K2413" s="70">
        <f>IF(CurrentMtgRatesDataTable8[[#This Row],[WA CC]]&lt;&gt;0,C2412-CurrentMtgRatesDataTable8[[#This Row],[WA CC]],0)</f>
        <v>0</v>
      </c>
      <c r="L2413" s="70">
        <f>IF(CurrentMtgRatesDataTable8[[#This Row],[Servicing Spread]]&lt;=0,L2412,CurrentMtgRatesDataTable8[[#This Row],[Servicing Spread]])</f>
        <v>0.88718035738519019</v>
      </c>
      <c r="M2413" s="70">
        <f>CurrentMtgRatesDataTable8[[#This Row],[Servicing Spread Non-Zero]]-L2412</f>
        <v>0</v>
      </c>
      <c r="N2413" s="70">
        <f>IF(J2412&lt;&gt;0,CurrentMtgRatesDataTable8[[#This Row],[Rate]]-C2412,N2412)</f>
        <v>-0.16500000000000004</v>
      </c>
    </row>
    <row r="2414" spans="1:14">
      <c r="A2414" s="67" t="s">
        <v>85</v>
      </c>
      <c r="B2414" s="68">
        <v>3.34386583598301</v>
      </c>
      <c r="C2414" s="69">
        <v>4.2949999999999999</v>
      </c>
      <c r="D2414" s="70">
        <f t="shared" si="259"/>
        <v>7</v>
      </c>
      <c r="E2414" s="70">
        <f t="shared" si="260"/>
        <v>0.2</v>
      </c>
      <c r="F2414" s="70">
        <f t="shared" si="261"/>
        <v>5</v>
      </c>
      <c r="G2414" s="70">
        <f t="shared" si="262"/>
        <v>3.4166318928198263</v>
      </c>
      <c r="H2414" s="70">
        <f t="shared" si="263"/>
        <v>1</v>
      </c>
      <c r="I2414" s="70">
        <f t="shared" si="264"/>
        <v>1</v>
      </c>
      <c r="J2414" s="70">
        <f t="shared" si="265"/>
        <v>3.4166318928198263</v>
      </c>
      <c r="K2414" s="70">
        <f>IF(CurrentMtgRatesDataTable8[[#This Row],[WA CC]]&lt;&gt;0,C2413-CurrentMtgRatesDataTable8[[#This Row],[WA CC]],0)</f>
        <v>0.87836810718017366</v>
      </c>
      <c r="L2414" s="70">
        <f>IF(CurrentMtgRatesDataTable8[[#This Row],[Servicing Spread]]&lt;=0,L2413,CurrentMtgRatesDataTable8[[#This Row],[Servicing Spread]])</f>
        <v>0.87836810718017366</v>
      </c>
      <c r="M2414" s="70">
        <f>CurrentMtgRatesDataTable8[[#This Row],[Servicing Spread Non-Zero]]-L2413</f>
        <v>-8.8122502050165252E-3</v>
      </c>
      <c r="N2414" s="70">
        <f>IF(J2413&lt;&gt;0,CurrentMtgRatesDataTable8[[#This Row],[Rate]]-C2413,N2413)</f>
        <v>-0.16500000000000004</v>
      </c>
    </row>
    <row r="2415" spans="1:14">
      <c r="A2415" s="67" t="s">
        <v>649</v>
      </c>
      <c r="B2415" s="68">
        <v>3.38884755763491</v>
      </c>
      <c r="C2415" s="69">
        <v>4.26</v>
      </c>
      <c r="D2415" s="70">
        <f t="shared" si="259"/>
        <v>1</v>
      </c>
      <c r="E2415" s="70">
        <f t="shared" si="260"/>
        <v>0.2</v>
      </c>
      <c r="F2415" s="70">
        <f t="shared" si="261"/>
        <v>1</v>
      </c>
      <c r="G2415" s="70">
        <f t="shared" si="262"/>
        <v>0.67776951152698206</v>
      </c>
      <c r="H2415" s="70">
        <f t="shared" si="263"/>
        <v>0.2</v>
      </c>
      <c r="I2415" s="70">
        <f t="shared" si="264"/>
        <v>0</v>
      </c>
      <c r="J2415" s="70">
        <f t="shared" si="265"/>
        <v>0</v>
      </c>
      <c r="K2415" s="70">
        <f>IF(CurrentMtgRatesDataTable8[[#This Row],[WA CC]]&lt;&gt;0,C2414-CurrentMtgRatesDataTable8[[#This Row],[WA CC]],0)</f>
        <v>0</v>
      </c>
      <c r="L2415" s="70">
        <f>IF(CurrentMtgRatesDataTable8[[#This Row],[Servicing Spread]]&lt;=0,L2414,CurrentMtgRatesDataTable8[[#This Row],[Servicing Spread]])</f>
        <v>0.87836810718017366</v>
      </c>
      <c r="M2415" s="70">
        <f>CurrentMtgRatesDataTable8[[#This Row],[Servicing Spread Non-Zero]]-L2414</f>
        <v>0</v>
      </c>
      <c r="N2415" s="70">
        <f>IF(J2414&lt;&gt;0,CurrentMtgRatesDataTable8[[#This Row],[Rate]]-C2414,N2414)</f>
        <v>-3.5000000000000142E-2</v>
      </c>
    </row>
    <row r="2416" spans="1:14">
      <c r="A2416" s="67" t="s">
        <v>507</v>
      </c>
      <c r="B2416" s="68">
        <v>3.3313912756576198</v>
      </c>
      <c r="C2416" s="69">
        <v>4.26</v>
      </c>
      <c r="D2416" s="70">
        <f t="shared" si="259"/>
        <v>2</v>
      </c>
      <c r="E2416" s="70">
        <f t="shared" si="260"/>
        <v>0.2</v>
      </c>
      <c r="F2416" s="70">
        <f t="shared" si="261"/>
        <v>2</v>
      </c>
      <c r="G2416" s="70">
        <f t="shared" si="262"/>
        <v>1.3440477666585062</v>
      </c>
      <c r="H2416" s="70">
        <f t="shared" si="263"/>
        <v>0.4</v>
      </c>
      <c r="I2416" s="70">
        <f t="shared" si="264"/>
        <v>0</v>
      </c>
      <c r="J2416" s="70">
        <f t="shared" si="265"/>
        <v>0</v>
      </c>
      <c r="K2416" s="70">
        <f>IF(CurrentMtgRatesDataTable8[[#This Row],[WA CC]]&lt;&gt;0,C2415-CurrentMtgRatesDataTable8[[#This Row],[WA CC]],0)</f>
        <v>0</v>
      </c>
      <c r="L2416" s="70">
        <f>IF(CurrentMtgRatesDataTable8[[#This Row],[Servicing Spread]]&lt;=0,L2415,CurrentMtgRatesDataTable8[[#This Row],[Servicing Spread]])</f>
        <v>0.87836810718017366</v>
      </c>
      <c r="M2416" s="70">
        <f>CurrentMtgRatesDataTable8[[#This Row],[Servicing Spread Non-Zero]]-L2415</f>
        <v>0</v>
      </c>
      <c r="N2416" s="70">
        <f>IF(J2415&lt;&gt;0,CurrentMtgRatesDataTable8[[#This Row],[Rate]]-C2415,N2415)</f>
        <v>-3.5000000000000142E-2</v>
      </c>
    </row>
    <row r="2417" spans="1:14">
      <c r="A2417" s="67" t="s">
        <v>367</v>
      </c>
      <c r="B2417" s="68">
        <v>3.3220828709767098</v>
      </c>
      <c r="C2417" s="69">
        <v>4.26</v>
      </c>
      <c r="D2417" s="70">
        <f t="shared" si="259"/>
        <v>5</v>
      </c>
      <c r="E2417" s="70">
        <f t="shared" si="260"/>
        <v>0.2</v>
      </c>
      <c r="F2417" s="70">
        <f t="shared" si="261"/>
        <v>3</v>
      </c>
      <c r="G2417" s="70">
        <f t="shared" si="262"/>
        <v>2.0084643408538483</v>
      </c>
      <c r="H2417" s="70">
        <f t="shared" si="263"/>
        <v>0.60000000000000009</v>
      </c>
      <c r="I2417" s="70">
        <f t="shared" si="264"/>
        <v>0</v>
      </c>
      <c r="J2417" s="70">
        <f t="shared" si="265"/>
        <v>0</v>
      </c>
      <c r="K2417" s="70">
        <f>IF(CurrentMtgRatesDataTable8[[#This Row],[WA CC]]&lt;&gt;0,C2416-CurrentMtgRatesDataTable8[[#This Row],[WA CC]],0)</f>
        <v>0</v>
      </c>
      <c r="L2417" s="70">
        <f>IF(CurrentMtgRatesDataTable8[[#This Row],[Servicing Spread]]&lt;=0,L2416,CurrentMtgRatesDataTable8[[#This Row],[Servicing Spread]])</f>
        <v>0.87836810718017366</v>
      </c>
      <c r="M2417" s="70">
        <f>CurrentMtgRatesDataTable8[[#This Row],[Servicing Spread Non-Zero]]-L2416</f>
        <v>0</v>
      </c>
      <c r="N2417" s="70">
        <f>IF(J2416&lt;&gt;0,CurrentMtgRatesDataTable8[[#This Row],[Rate]]-C2416,N2416)</f>
        <v>-3.5000000000000142E-2</v>
      </c>
    </row>
    <row r="2418" spans="1:14">
      <c r="A2418" s="67" t="s">
        <v>229</v>
      </c>
      <c r="B2418" s="68">
        <v>3.3639050543487601</v>
      </c>
      <c r="C2418" s="69">
        <v>4.26</v>
      </c>
      <c r="D2418" s="70">
        <f t="shared" si="259"/>
        <v>6</v>
      </c>
      <c r="E2418" s="70">
        <f t="shared" si="260"/>
        <v>0.2</v>
      </c>
      <c r="F2418" s="70">
        <f t="shared" si="261"/>
        <v>4</v>
      </c>
      <c r="G2418" s="70">
        <f t="shared" si="262"/>
        <v>2.6812453517236001</v>
      </c>
      <c r="H2418" s="70">
        <f t="shared" si="263"/>
        <v>0.8</v>
      </c>
      <c r="I2418" s="70">
        <f t="shared" si="264"/>
        <v>0</v>
      </c>
      <c r="J2418" s="70">
        <f t="shared" si="265"/>
        <v>0</v>
      </c>
      <c r="K2418" s="70">
        <f>IF(CurrentMtgRatesDataTable8[[#This Row],[WA CC]]&lt;&gt;0,C2417-CurrentMtgRatesDataTable8[[#This Row],[WA CC]],0)</f>
        <v>0</v>
      </c>
      <c r="L2418" s="70">
        <f>IF(CurrentMtgRatesDataTable8[[#This Row],[Servicing Spread]]&lt;=0,L2417,CurrentMtgRatesDataTable8[[#This Row],[Servicing Spread]])</f>
        <v>0.87836810718017366</v>
      </c>
      <c r="M2418" s="70">
        <f>CurrentMtgRatesDataTable8[[#This Row],[Servicing Spread Non-Zero]]-L2417</f>
        <v>0</v>
      </c>
      <c r="N2418" s="70">
        <f>IF(J2417&lt;&gt;0,CurrentMtgRatesDataTable8[[#This Row],[Rate]]-C2417,N2417)</f>
        <v>-3.5000000000000142E-2</v>
      </c>
    </row>
    <row r="2419" spans="1:14">
      <c r="A2419" s="67" t="s">
        <v>86</v>
      </c>
      <c r="B2419" s="68">
        <v>3.4296755954575699</v>
      </c>
      <c r="C2419" s="69">
        <v>4.26</v>
      </c>
      <c r="D2419" s="70">
        <f t="shared" si="259"/>
        <v>7</v>
      </c>
      <c r="E2419" s="70">
        <f t="shared" si="260"/>
        <v>0.2</v>
      </c>
      <c r="F2419" s="70">
        <f t="shared" si="261"/>
        <v>5</v>
      </c>
      <c r="G2419" s="70">
        <f t="shared" si="262"/>
        <v>3.3671804708151143</v>
      </c>
      <c r="H2419" s="70">
        <f t="shared" si="263"/>
        <v>1</v>
      </c>
      <c r="I2419" s="70">
        <f t="shared" si="264"/>
        <v>1</v>
      </c>
      <c r="J2419" s="70">
        <f t="shared" si="265"/>
        <v>3.3671804708151143</v>
      </c>
      <c r="K2419" s="70">
        <f>IF(CurrentMtgRatesDataTable8[[#This Row],[WA CC]]&lt;&gt;0,C2418-CurrentMtgRatesDataTable8[[#This Row],[WA CC]],0)</f>
        <v>0.8928195291848855</v>
      </c>
      <c r="L2419" s="70">
        <f>IF(CurrentMtgRatesDataTable8[[#This Row],[Servicing Spread]]&lt;=0,L2418,CurrentMtgRatesDataTable8[[#This Row],[Servicing Spread]])</f>
        <v>0.8928195291848855</v>
      </c>
      <c r="M2419" s="70">
        <f>CurrentMtgRatesDataTable8[[#This Row],[Servicing Spread Non-Zero]]-L2418</f>
        <v>1.4451422004711834E-2</v>
      </c>
      <c r="N2419" s="70">
        <f>IF(J2418&lt;&gt;0,CurrentMtgRatesDataTable8[[#This Row],[Rate]]-C2418,N2418)</f>
        <v>-3.5000000000000142E-2</v>
      </c>
    </row>
    <row r="2420" spans="1:14">
      <c r="A2420" s="67" t="s">
        <v>650</v>
      </c>
      <c r="B2420" s="68">
        <v>3.4407863915877401</v>
      </c>
      <c r="C2420" s="69">
        <v>4.3149999999999995</v>
      </c>
      <c r="D2420" s="70">
        <f t="shared" si="259"/>
        <v>1</v>
      </c>
      <c r="E2420" s="70">
        <f t="shared" si="260"/>
        <v>0.2</v>
      </c>
      <c r="F2420" s="70">
        <f t="shared" si="261"/>
        <v>1</v>
      </c>
      <c r="G2420" s="70">
        <f t="shared" si="262"/>
        <v>0.68815727831754803</v>
      </c>
      <c r="H2420" s="70">
        <f t="shared" si="263"/>
        <v>0.2</v>
      </c>
      <c r="I2420" s="70">
        <f t="shared" si="264"/>
        <v>0</v>
      </c>
      <c r="J2420" s="70">
        <f t="shared" si="265"/>
        <v>0</v>
      </c>
      <c r="K2420" s="70">
        <f>IF(CurrentMtgRatesDataTable8[[#This Row],[WA CC]]&lt;&gt;0,C2419-CurrentMtgRatesDataTable8[[#This Row],[WA CC]],0)</f>
        <v>0</v>
      </c>
      <c r="L2420" s="70">
        <f>IF(CurrentMtgRatesDataTable8[[#This Row],[Servicing Spread]]&lt;=0,L2419,CurrentMtgRatesDataTable8[[#This Row],[Servicing Spread]])</f>
        <v>0.8928195291848855</v>
      </c>
      <c r="M2420" s="70">
        <f>CurrentMtgRatesDataTable8[[#This Row],[Servicing Spread Non-Zero]]-L2419</f>
        <v>0</v>
      </c>
      <c r="N2420" s="70">
        <f>IF(J2419&lt;&gt;0,CurrentMtgRatesDataTable8[[#This Row],[Rate]]-C2419,N2419)</f>
        <v>5.4999999999999716E-2</v>
      </c>
    </row>
    <row r="2421" spans="1:14">
      <c r="A2421" s="67" t="s">
        <v>508</v>
      </c>
      <c r="B2421" s="68">
        <v>3.3953206082541598</v>
      </c>
      <c r="C2421" s="69">
        <v>4.3149999999999995</v>
      </c>
      <c r="D2421" s="70">
        <f t="shared" si="259"/>
        <v>2</v>
      </c>
      <c r="E2421" s="70">
        <f t="shared" si="260"/>
        <v>0.2</v>
      </c>
      <c r="F2421" s="70">
        <f t="shared" si="261"/>
        <v>2</v>
      </c>
      <c r="G2421" s="70">
        <f t="shared" si="262"/>
        <v>1.36722139996838</v>
      </c>
      <c r="H2421" s="70">
        <f t="shared" si="263"/>
        <v>0.4</v>
      </c>
      <c r="I2421" s="70">
        <f t="shared" si="264"/>
        <v>0</v>
      </c>
      <c r="J2421" s="70">
        <f t="shared" si="265"/>
        <v>0</v>
      </c>
      <c r="K2421" s="70">
        <f>IF(CurrentMtgRatesDataTable8[[#This Row],[WA CC]]&lt;&gt;0,C2420-CurrentMtgRatesDataTable8[[#This Row],[WA CC]],0)</f>
        <v>0</v>
      </c>
      <c r="L2421" s="70">
        <f>IF(CurrentMtgRatesDataTable8[[#This Row],[Servicing Spread]]&lt;=0,L2420,CurrentMtgRatesDataTable8[[#This Row],[Servicing Spread]])</f>
        <v>0.8928195291848855</v>
      </c>
      <c r="M2421" s="70">
        <f>CurrentMtgRatesDataTable8[[#This Row],[Servicing Spread Non-Zero]]-L2420</f>
        <v>0</v>
      </c>
      <c r="N2421" s="70">
        <f>IF(J2420&lt;&gt;0,CurrentMtgRatesDataTable8[[#This Row],[Rate]]-C2420,N2420)</f>
        <v>5.4999999999999716E-2</v>
      </c>
    </row>
    <row r="2422" spans="1:14">
      <c r="A2422" s="67" t="s">
        <v>368</v>
      </c>
      <c r="B2422" s="68">
        <v>3.4061464314062202</v>
      </c>
      <c r="C2422" s="69">
        <v>4.3149999999999995</v>
      </c>
      <c r="D2422" s="70">
        <f t="shared" si="259"/>
        <v>5</v>
      </c>
      <c r="E2422" s="70">
        <f t="shared" si="260"/>
        <v>0.2</v>
      </c>
      <c r="F2422" s="70">
        <f t="shared" si="261"/>
        <v>3</v>
      </c>
      <c r="G2422" s="70">
        <f t="shared" si="262"/>
        <v>2.0484506862496241</v>
      </c>
      <c r="H2422" s="70">
        <f t="shared" si="263"/>
        <v>0.60000000000000009</v>
      </c>
      <c r="I2422" s="70">
        <f t="shared" si="264"/>
        <v>0</v>
      </c>
      <c r="J2422" s="70">
        <f t="shared" si="265"/>
        <v>0</v>
      </c>
      <c r="K2422" s="70">
        <f>IF(CurrentMtgRatesDataTable8[[#This Row],[WA CC]]&lt;&gt;0,C2421-CurrentMtgRatesDataTable8[[#This Row],[WA CC]],0)</f>
        <v>0</v>
      </c>
      <c r="L2422" s="70">
        <f>IF(CurrentMtgRatesDataTable8[[#This Row],[Servicing Spread]]&lt;=0,L2421,CurrentMtgRatesDataTable8[[#This Row],[Servicing Spread]])</f>
        <v>0.8928195291848855</v>
      </c>
      <c r="M2422" s="70">
        <f>CurrentMtgRatesDataTable8[[#This Row],[Servicing Spread Non-Zero]]-L2421</f>
        <v>0</v>
      </c>
      <c r="N2422" s="70">
        <f>IF(J2421&lt;&gt;0,CurrentMtgRatesDataTable8[[#This Row],[Rate]]-C2421,N2421)</f>
        <v>5.4999999999999716E-2</v>
      </c>
    </row>
    <row r="2423" spans="1:14">
      <c r="A2423" s="67" t="s">
        <v>230</v>
      </c>
      <c r="B2423" s="68">
        <v>3.4285967572115399</v>
      </c>
      <c r="C2423" s="69">
        <v>4.3149999999999995</v>
      </c>
      <c r="D2423" s="70">
        <f t="shared" si="259"/>
        <v>6</v>
      </c>
      <c r="E2423" s="70">
        <f t="shared" si="260"/>
        <v>0.2</v>
      </c>
      <c r="F2423" s="70">
        <f t="shared" si="261"/>
        <v>4</v>
      </c>
      <c r="G2423" s="70">
        <f t="shared" si="262"/>
        <v>2.734170037691932</v>
      </c>
      <c r="H2423" s="70">
        <f t="shared" si="263"/>
        <v>0.8</v>
      </c>
      <c r="I2423" s="70">
        <f t="shared" si="264"/>
        <v>0</v>
      </c>
      <c r="J2423" s="70">
        <f t="shared" si="265"/>
        <v>0</v>
      </c>
      <c r="K2423" s="70">
        <f>IF(CurrentMtgRatesDataTable8[[#This Row],[WA CC]]&lt;&gt;0,C2422-CurrentMtgRatesDataTable8[[#This Row],[WA CC]],0)</f>
        <v>0</v>
      </c>
      <c r="L2423" s="70">
        <f>IF(CurrentMtgRatesDataTable8[[#This Row],[Servicing Spread]]&lt;=0,L2422,CurrentMtgRatesDataTable8[[#This Row],[Servicing Spread]])</f>
        <v>0.8928195291848855</v>
      </c>
      <c r="M2423" s="70">
        <f>CurrentMtgRatesDataTable8[[#This Row],[Servicing Spread Non-Zero]]-L2422</f>
        <v>0</v>
      </c>
      <c r="N2423" s="70">
        <f>IF(J2422&lt;&gt;0,CurrentMtgRatesDataTable8[[#This Row],[Rate]]-C2422,N2422)</f>
        <v>5.4999999999999716E-2</v>
      </c>
    </row>
    <row r="2424" spans="1:14">
      <c r="A2424" s="67" t="s">
        <v>87</v>
      </c>
      <c r="B2424" s="68">
        <v>3.4095392657433901</v>
      </c>
      <c r="C2424" s="69">
        <v>4.3149999999999995</v>
      </c>
      <c r="D2424" s="70">
        <f t="shared" si="259"/>
        <v>7</v>
      </c>
      <c r="E2424" s="70">
        <f t="shared" si="260"/>
        <v>0.2</v>
      </c>
      <c r="F2424" s="70">
        <f t="shared" si="261"/>
        <v>5</v>
      </c>
      <c r="G2424" s="70">
        <f t="shared" si="262"/>
        <v>3.4160778908406102</v>
      </c>
      <c r="H2424" s="70">
        <f t="shared" si="263"/>
        <v>1</v>
      </c>
      <c r="I2424" s="70">
        <f t="shared" si="264"/>
        <v>1</v>
      </c>
      <c r="J2424" s="70">
        <f t="shared" si="265"/>
        <v>3.4160778908406102</v>
      </c>
      <c r="K2424" s="70">
        <f>IF(CurrentMtgRatesDataTable8[[#This Row],[WA CC]]&lt;&gt;0,C2423-CurrentMtgRatesDataTable8[[#This Row],[WA CC]],0)</f>
        <v>0.8989221091593893</v>
      </c>
      <c r="L2424" s="70">
        <f>IF(CurrentMtgRatesDataTable8[[#This Row],[Servicing Spread]]&lt;=0,L2423,CurrentMtgRatesDataTable8[[#This Row],[Servicing Spread]])</f>
        <v>0.8989221091593893</v>
      </c>
      <c r="M2424" s="70">
        <f>CurrentMtgRatesDataTable8[[#This Row],[Servicing Spread Non-Zero]]-L2423</f>
        <v>6.1025799745038078E-3</v>
      </c>
      <c r="N2424" s="70">
        <f>IF(J2423&lt;&gt;0,CurrentMtgRatesDataTable8[[#This Row],[Rate]]-C2423,N2423)</f>
        <v>5.4999999999999716E-2</v>
      </c>
    </row>
    <row r="2425" spans="1:14">
      <c r="A2425" s="67" t="s">
        <v>651</v>
      </c>
      <c r="B2425" s="68">
        <v>3.5328707550914098</v>
      </c>
      <c r="C2425" s="69">
        <v>4.3250000000000002</v>
      </c>
      <c r="D2425" s="70">
        <f t="shared" si="259"/>
        <v>1</v>
      </c>
      <c r="E2425" s="70">
        <f t="shared" si="260"/>
        <v>0.2</v>
      </c>
      <c r="F2425" s="70">
        <f t="shared" si="261"/>
        <v>1</v>
      </c>
      <c r="G2425" s="70">
        <f t="shared" si="262"/>
        <v>0.70657415101828203</v>
      </c>
      <c r="H2425" s="70">
        <f t="shared" si="263"/>
        <v>0.2</v>
      </c>
      <c r="I2425" s="70">
        <f t="shared" si="264"/>
        <v>0</v>
      </c>
      <c r="J2425" s="70">
        <f t="shared" si="265"/>
        <v>0</v>
      </c>
      <c r="K2425" s="70">
        <f>IF(CurrentMtgRatesDataTable8[[#This Row],[WA CC]]&lt;&gt;0,C2424-CurrentMtgRatesDataTable8[[#This Row],[WA CC]],0)</f>
        <v>0</v>
      </c>
      <c r="L2425" s="70">
        <f>IF(CurrentMtgRatesDataTable8[[#This Row],[Servicing Spread]]&lt;=0,L2424,CurrentMtgRatesDataTable8[[#This Row],[Servicing Spread]])</f>
        <v>0.8989221091593893</v>
      </c>
      <c r="M2425" s="70">
        <f>CurrentMtgRatesDataTable8[[#This Row],[Servicing Spread Non-Zero]]-L2424</f>
        <v>0</v>
      </c>
      <c r="N2425" s="70">
        <f>IF(J2424&lt;&gt;0,CurrentMtgRatesDataTable8[[#This Row],[Rate]]-C2424,N2424)</f>
        <v>1.0000000000000675E-2</v>
      </c>
    </row>
    <row r="2426" spans="1:14">
      <c r="A2426" s="67" t="s">
        <v>509</v>
      </c>
      <c r="B2426" s="68">
        <v>3.4035662511479701</v>
      </c>
      <c r="C2426" s="69">
        <v>4.3250000000000002</v>
      </c>
      <c r="D2426" s="70">
        <f t="shared" si="259"/>
        <v>2</v>
      </c>
      <c r="E2426" s="70">
        <f t="shared" si="260"/>
        <v>0.2</v>
      </c>
      <c r="F2426" s="70">
        <f t="shared" si="261"/>
        <v>2</v>
      </c>
      <c r="G2426" s="70">
        <f t="shared" si="262"/>
        <v>1.387287401247876</v>
      </c>
      <c r="H2426" s="70">
        <f t="shared" si="263"/>
        <v>0.4</v>
      </c>
      <c r="I2426" s="70">
        <f t="shared" si="264"/>
        <v>0</v>
      </c>
      <c r="J2426" s="70">
        <f t="shared" si="265"/>
        <v>0</v>
      </c>
      <c r="K2426" s="70">
        <f>IF(CurrentMtgRatesDataTable8[[#This Row],[WA CC]]&lt;&gt;0,C2425-CurrentMtgRatesDataTable8[[#This Row],[WA CC]],0)</f>
        <v>0</v>
      </c>
      <c r="L2426" s="70">
        <f>IF(CurrentMtgRatesDataTable8[[#This Row],[Servicing Spread]]&lt;=0,L2425,CurrentMtgRatesDataTable8[[#This Row],[Servicing Spread]])</f>
        <v>0.8989221091593893</v>
      </c>
      <c r="M2426" s="70">
        <f>CurrentMtgRatesDataTable8[[#This Row],[Servicing Spread Non-Zero]]-L2425</f>
        <v>0</v>
      </c>
      <c r="N2426" s="70">
        <f>IF(J2425&lt;&gt;0,CurrentMtgRatesDataTable8[[#This Row],[Rate]]-C2425,N2425)</f>
        <v>1.0000000000000675E-2</v>
      </c>
    </row>
    <row r="2427" spans="1:14">
      <c r="A2427" s="67" t="s">
        <v>369</v>
      </c>
      <c r="B2427" s="68">
        <v>3.4178117990662802</v>
      </c>
      <c r="C2427" s="69">
        <v>4.3250000000000002</v>
      </c>
      <c r="D2427" s="70">
        <f t="shared" si="259"/>
        <v>5</v>
      </c>
      <c r="E2427" s="70">
        <f t="shared" si="260"/>
        <v>0.2</v>
      </c>
      <c r="F2427" s="70">
        <f t="shared" si="261"/>
        <v>3</v>
      </c>
      <c r="G2427" s="70">
        <f t="shared" si="262"/>
        <v>2.0708497610611323</v>
      </c>
      <c r="H2427" s="70">
        <f t="shared" si="263"/>
        <v>0.60000000000000009</v>
      </c>
      <c r="I2427" s="70">
        <f t="shared" si="264"/>
        <v>0</v>
      </c>
      <c r="J2427" s="70">
        <f t="shared" si="265"/>
        <v>0</v>
      </c>
      <c r="K2427" s="70">
        <f>IF(CurrentMtgRatesDataTable8[[#This Row],[WA CC]]&lt;&gt;0,C2426-CurrentMtgRatesDataTable8[[#This Row],[WA CC]],0)</f>
        <v>0</v>
      </c>
      <c r="L2427" s="70">
        <f>IF(CurrentMtgRatesDataTable8[[#This Row],[Servicing Spread]]&lt;=0,L2426,CurrentMtgRatesDataTable8[[#This Row],[Servicing Spread]])</f>
        <v>0.8989221091593893</v>
      </c>
      <c r="M2427" s="70">
        <f>CurrentMtgRatesDataTable8[[#This Row],[Servicing Spread Non-Zero]]-L2426</f>
        <v>0</v>
      </c>
      <c r="N2427" s="70">
        <f>IF(J2426&lt;&gt;0,CurrentMtgRatesDataTable8[[#This Row],[Rate]]-C2426,N2426)</f>
        <v>1.0000000000000675E-2</v>
      </c>
    </row>
    <row r="2428" spans="1:14">
      <c r="A2428" s="67" t="s">
        <v>231</v>
      </c>
      <c r="B2428" s="68">
        <v>3.44308693748463</v>
      </c>
      <c r="C2428" s="69">
        <v>4.3250000000000002</v>
      </c>
      <c r="D2428" s="70">
        <f t="shared" si="259"/>
        <v>6</v>
      </c>
      <c r="E2428" s="70">
        <f t="shared" si="260"/>
        <v>0.2</v>
      </c>
      <c r="F2428" s="70">
        <f t="shared" si="261"/>
        <v>4</v>
      </c>
      <c r="G2428" s="70">
        <f t="shared" si="262"/>
        <v>2.7594671485580582</v>
      </c>
      <c r="H2428" s="70">
        <f t="shared" si="263"/>
        <v>0.8</v>
      </c>
      <c r="I2428" s="70">
        <f t="shared" si="264"/>
        <v>0</v>
      </c>
      <c r="J2428" s="70">
        <f t="shared" si="265"/>
        <v>0</v>
      </c>
      <c r="K2428" s="70">
        <f>IF(CurrentMtgRatesDataTable8[[#This Row],[WA CC]]&lt;&gt;0,C2427-CurrentMtgRatesDataTable8[[#This Row],[WA CC]],0)</f>
        <v>0</v>
      </c>
      <c r="L2428" s="70">
        <f>IF(CurrentMtgRatesDataTable8[[#This Row],[Servicing Spread]]&lt;=0,L2427,CurrentMtgRatesDataTable8[[#This Row],[Servicing Spread]])</f>
        <v>0.8989221091593893</v>
      </c>
      <c r="M2428" s="70">
        <f>CurrentMtgRatesDataTable8[[#This Row],[Servicing Spread Non-Zero]]-L2427</f>
        <v>0</v>
      </c>
      <c r="N2428" s="70">
        <f>IF(J2427&lt;&gt;0,CurrentMtgRatesDataTable8[[#This Row],[Rate]]-C2427,N2427)</f>
        <v>1.0000000000000675E-2</v>
      </c>
    </row>
    <row r="2429" spans="1:14">
      <c r="A2429" s="67" t="s">
        <v>88</v>
      </c>
      <c r="B2429" s="68">
        <v>3.40952934683791</v>
      </c>
      <c r="C2429" s="69">
        <v>4.3250000000000002</v>
      </c>
      <c r="D2429" s="70">
        <f t="shared" si="259"/>
        <v>7</v>
      </c>
      <c r="E2429" s="70">
        <f t="shared" si="260"/>
        <v>0.2</v>
      </c>
      <c r="F2429" s="70">
        <f t="shared" si="261"/>
        <v>5</v>
      </c>
      <c r="G2429" s="70">
        <f t="shared" si="262"/>
        <v>3.4413730179256401</v>
      </c>
      <c r="H2429" s="70">
        <f t="shared" si="263"/>
        <v>1</v>
      </c>
      <c r="I2429" s="70">
        <f t="shared" si="264"/>
        <v>1</v>
      </c>
      <c r="J2429" s="70">
        <f t="shared" si="265"/>
        <v>3.4413730179256401</v>
      </c>
      <c r="K2429" s="70">
        <f>IF(CurrentMtgRatesDataTable8[[#This Row],[WA CC]]&lt;&gt;0,C2428-CurrentMtgRatesDataTable8[[#This Row],[WA CC]],0)</f>
        <v>0.88362698207436008</v>
      </c>
      <c r="L2429" s="70">
        <f>IF(CurrentMtgRatesDataTable8[[#This Row],[Servicing Spread]]&lt;=0,L2428,CurrentMtgRatesDataTable8[[#This Row],[Servicing Spread]])</f>
        <v>0.88362698207436008</v>
      </c>
      <c r="M2429" s="70">
        <f>CurrentMtgRatesDataTable8[[#This Row],[Servicing Spread Non-Zero]]-L2428</f>
        <v>-1.5295127085029225E-2</v>
      </c>
      <c r="N2429" s="70">
        <f>IF(J2428&lt;&gt;0,CurrentMtgRatesDataTable8[[#This Row],[Rate]]-C2428,N2428)</f>
        <v>1.0000000000000675E-2</v>
      </c>
    </row>
    <row r="2430" spans="1:14">
      <c r="A2430" s="67" t="s">
        <v>652</v>
      </c>
      <c r="B2430" s="68">
        <v>3.3814879030485301</v>
      </c>
      <c r="C2430" s="69">
        <v>4.3250000000000002</v>
      </c>
      <c r="D2430" s="70">
        <f t="shared" si="259"/>
        <v>1</v>
      </c>
      <c r="E2430" s="70">
        <f t="shared" si="260"/>
        <v>0.2</v>
      </c>
      <c r="F2430" s="70">
        <f t="shared" si="261"/>
        <v>1</v>
      </c>
      <c r="G2430" s="70">
        <f t="shared" si="262"/>
        <v>0.67629758060970602</v>
      </c>
      <c r="H2430" s="70">
        <f t="shared" si="263"/>
        <v>0.2</v>
      </c>
      <c r="I2430" s="70">
        <f t="shared" si="264"/>
        <v>0</v>
      </c>
      <c r="J2430" s="70">
        <f t="shared" si="265"/>
        <v>0</v>
      </c>
      <c r="K2430" s="70">
        <f>IF(CurrentMtgRatesDataTable8[[#This Row],[WA CC]]&lt;&gt;0,C2429-CurrentMtgRatesDataTable8[[#This Row],[WA CC]],0)</f>
        <v>0</v>
      </c>
      <c r="L2430" s="70">
        <f>IF(CurrentMtgRatesDataTable8[[#This Row],[Servicing Spread]]&lt;=0,L2429,CurrentMtgRatesDataTable8[[#This Row],[Servicing Spread]])</f>
        <v>0.88362698207436008</v>
      </c>
      <c r="M2430" s="70">
        <f>CurrentMtgRatesDataTable8[[#This Row],[Servicing Spread Non-Zero]]-L2429</f>
        <v>0</v>
      </c>
      <c r="N2430" s="70">
        <f>IF(J2429&lt;&gt;0,CurrentMtgRatesDataTable8[[#This Row],[Rate]]-C2429,N2429)</f>
        <v>0</v>
      </c>
    </row>
    <row r="2431" spans="1:14">
      <c r="A2431" s="67" t="s">
        <v>510</v>
      </c>
      <c r="B2431" s="68">
        <v>3.3639509131930398</v>
      </c>
      <c r="C2431" s="69">
        <v>4.3250000000000002</v>
      </c>
      <c r="D2431" s="70">
        <f t="shared" si="259"/>
        <v>2</v>
      </c>
      <c r="E2431" s="70">
        <f t="shared" si="260"/>
        <v>0.2</v>
      </c>
      <c r="F2431" s="70">
        <f t="shared" si="261"/>
        <v>2</v>
      </c>
      <c r="G2431" s="70">
        <f t="shared" si="262"/>
        <v>1.349087763248314</v>
      </c>
      <c r="H2431" s="70">
        <f t="shared" si="263"/>
        <v>0.4</v>
      </c>
      <c r="I2431" s="70">
        <f t="shared" si="264"/>
        <v>0</v>
      </c>
      <c r="J2431" s="70">
        <f t="shared" si="265"/>
        <v>0</v>
      </c>
      <c r="K2431" s="70">
        <f>IF(CurrentMtgRatesDataTable8[[#This Row],[WA CC]]&lt;&gt;0,C2430-CurrentMtgRatesDataTable8[[#This Row],[WA CC]],0)</f>
        <v>0</v>
      </c>
      <c r="L2431" s="70">
        <f>IF(CurrentMtgRatesDataTable8[[#This Row],[Servicing Spread]]&lt;=0,L2430,CurrentMtgRatesDataTable8[[#This Row],[Servicing Spread]])</f>
        <v>0.88362698207436008</v>
      </c>
      <c r="M2431" s="70">
        <f>CurrentMtgRatesDataTable8[[#This Row],[Servicing Spread Non-Zero]]-L2430</f>
        <v>0</v>
      </c>
      <c r="N2431" s="70">
        <f>IF(J2430&lt;&gt;0,CurrentMtgRatesDataTable8[[#This Row],[Rate]]-C2430,N2430)</f>
        <v>0</v>
      </c>
    </row>
    <row r="2432" spans="1:14">
      <c r="A2432" s="67" t="s">
        <v>370</v>
      </c>
      <c r="B2432" s="68">
        <v>3.38388390000057</v>
      </c>
      <c r="C2432" s="69">
        <v>4.3250000000000002</v>
      </c>
      <c r="D2432" s="70">
        <f t="shared" si="259"/>
        <v>5</v>
      </c>
      <c r="E2432" s="70">
        <f t="shared" si="260"/>
        <v>0.2</v>
      </c>
      <c r="F2432" s="70">
        <f t="shared" si="261"/>
        <v>3</v>
      </c>
      <c r="G2432" s="70">
        <f t="shared" si="262"/>
        <v>2.0258645432484279</v>
      </c>
      <c r="H2432" s="70">
        <f t="shared" si="263"/>
        <v>0.60000000000000009</v>
      </c>
      <c r="I2432" s="70">
        <f t="shared" si="264"/>
        <v>0</v>
      </c>
      <c r="J2432" s="70">
        <f t="shared" si="265"/>
        <v>0</v>
      </c>
      <c r="K2432" s="70">
        <f>IF(CurrentMtgRatesDataTable8[[#This Row],[WA CC]]&lt;&gt;0,C2431-CurrentMtgRatesDataTable8[[#This Row],[WA CC]],0)</f>
        <v>0</v>
      </c>
      <c r="L2432" s="70">
        <f>IF(CurrentMtgRatesDataTable8[[#This Row],[Servicing Spread]]&lt;=0,L2431,CurrentMtgRatesDataTable8[[#This Row],[Servicing Spread]])</f>
        <v>0.88362698207436008</v>
      </c>
      <c r="M2432" s="70">
        <f>CurrentMtgRatesDataTable8[[#This Row],[Servicing Spread Non-Zero]]-L2431</f>
        <v>0</v>
      </c>
      <c r="N2432" s="70">
        <f>IF(J2431&lt;&gt;0,CurrentMtgRatesDataTable8[[#This Row],[Rate]]-C2431,N2431)</f>
        <v>0</v>
      </c>
    </row>
    <row r="2433" spans="1:14">
      <c r="A2433" s="67" t="s">
        <v>232</v>
      </c>
      <c r="B2433" s="68">
        <v>3.48659769885389</v>
      </c>
      <c r="C2433" s="69">
        <v>4.3250000000000002</v>
      </c>
      <c r="D2433" s="70">
        <f t="shared" si="259"/>
        <v>6</v>
      </c>
      <c r="E2433" s="70">
        <f t="shared" si="260"/>
        <v>0.2</v>
      </c>
      <c r="F2433" s="70">
        <f t="shared" si="261"/>
        <v>4</v>
      </c>
      <c r="G2433" s="70">
        <f t="shared" si="262"/>
        <v>2.723184083019206</v>
      </c>
      <c r="H2433" s="70">
        <f t="shared" si="263"/>
        <v>0.8</v>
      </c>
      <c r="I2433" s="70">
        <f t="shared" si="264"/>
        <v>0</v>
      </c>
      <c r="J2433" s="70">
        <f t="shared" si="265"/>
        <v>0</v>
      </c>
      <c r="K2433" s="70">
        <f>IF(CurrentMtgRatesDataTable8[[#This Row],[WA CC]]&lt;&gt;0,C2432-CurrentMtgRatesDataTable8[[#This Row],[WA CC]],0)</f>
        <v>0</v>
      </c>
      <c r="L2433" s="70">
        <f>IF(CurrentMtgRatesDataTable8[[#This Row],[Servicing Spread]]&lt;=0,L2432,CurrentMtgRatesDataTable8[[#This Row],[Servicing Spread]])</f>
        <v>0.88362698207436008</v>
      </c>
      <c r="M2433" s="70">
        <f>CurrentMtgRatesDataTable8[[#This Row],[Servicing Spread Non-Zero]]-L2432</f>
        <v>0</v>
      </c>
      <c r="N2433" s="70">
        <f>IF(J2432&lt;&gt;0,CurrentMtgRatesDataTable8[[#This Row],[Rate]]-C2432,N2432)</f>
        <v>0</v>
      </c>
    </row>
    <row r="2434" spans="1:14">
      <c r="A2434" s="67" t="s">
        <v>89</v>
      </c>
      <c r="B2434" s="68">
        <v>3.48408848788866</v>
      </c>
      <c r="C2434" s="69">
        <v>4.3250000000000002</v>
      </c>
      <c r="D2434" s="70">
        <f t="shared" si="259"/>
        <v>7</v>
      </c>
      <c r="E2434" s="70">
        <f t="shared" si="260"/>
        <v>0.2</v>
      </c>
      <c r="F2434" s="70">
        <f t="shared" si="261"/>
        <v>5</v>
      </c>
      <c r="G2434" s="70">
        <f t="shared" si="262"/>
        <v>3.4200017805969383</v>
      </c>
      <c r="H2434" s="70">
        <f t="shared" si="263"/>
        <v>1</v>
      </c>
      <c r="I2434" s="70">
        <f t="shared" si="264"/>
        <v>1</v>
      </c>
      <c r="J2434" s="70">
        <f t="shared" si="265"/>
        <v>3.4200017805969383</v>
      </c>
      <c r="K2434" s="70">
        <f>IF(CurrentMtgRatesDataTable8[[#This Row],[WA CC]]&lt;&gt;0,C2433-CurrentMtgRatesDataTable8[[#This Row],[WA CC]],0)</f>
        <v>0.90499821940306191</v>
      </c>
      <c r="L2434" s="70">
        <f>IF(CurrentMtgRatesDataTable8[[#This Row],[Servicing Spread]]&lt;=0,L2433,CurrentMtgRatesDataTable8[[#This Row],[Servicing Spread]])</f>
        <v>0.90499821940306191</v>
      </c>
      <c r="M2434" s="70">
        <f>CurrentMtgRatesDataTable8[[#This Row],[Servicing Spread Non-Zero]]-L2433</f>
        <v>2.1371237328701831E-2</v>
      </c>
      <c r="N2434" s="70">
        <f>IF(J2433&lt;&gt;0,CurrentMtgRatesDataTable8[[#This Row],[Rate]]-C2433,N2433)</f>
        <v>0</v>
      </c>
    </row>
    <row r="2435" spans="1:14">
      <c r="A2435" s="67" t="s">
        <v>653</v>
      </c>
      <c r="B2435" s="68">
        <v>3.5424603238556802</v>
      </c>
      <c r="C2435" s="69">
        <v>4.53</v>
      </c>
      <c r="D2435" s="70">
        <f t="shared" si="259"/>
        <v>1</v>
      </c>
      <c r="E2435" s="70">
        <f t="shared" si="260"/>
        <v>0.2</v>
      </c>
      <c r="F2435" s="70">
        <f t="shared" si="261"/>
        <v>1</v>
      </c>
      <c r="G2435" s="70">
        <f t="shared" si="262"/>
        <v>0.70849206477113613</v>
      </c>
      <c r="H2435" s="70">
        <f t="shared" si="263"/>
        <v>0.2</v>
      </c>
      <c r="I2435" s="70">
        <f t="shared" si="264"/>
        <v>0</v>
      </c>
      <c r="J2435" s="70">
        <f t="shared" si="265"/>
        <v>0</v>
      </c>
      <c r="K2435" s="70">
        <f>IF(CurrentMtgRatesDataTable8[[#This Row],[WA CC]]&lt;&gt;0,C2434-CurrentMtgRatesDataTable8[[#This Row],[WA CC]],0)</f>
        <v>0</v>
      </c>
      <c r="L2435" s="70">
        <f>IF(CurrentMtgRatesDataTable8[[#This Row],[Servicing Spread]]&lt;=0,L2434,CurrentMtgRatesDataTable8[[#This Row],[Servicing Spread]])</f>
        <v>0.90499821940306191</v>
      </c>
      <c r="M2435" s="70">
        <f>CurrentMtgRatesDataTable8[[#This Row],[Servicing Spread Non-Zero]]-L2434</f>
        <v>0</v>
      </c>
      <c r="N2435" s="70">
        <f>IF(J2434&lt;&gt;0,CurrentMtgRatesDataTable8[[#This Row],[Rate]]-C2434,N2434)</f>
        <v>0.20500000000000007</v>
      </c>
    </row>
    <row r="2436" spans="1:14">
      <c r="A2436" s="67" t="s">
        <v>511</v>
      </c>
      <c r="B2436" s="68">
        <v>3.63422852757154</v>
      </c>
      <c r="C2436" s="69">
        <v>4.53</v>
      </c>
      <c r="D2436" s="70">
        <f t="shared" si="259"/>
        <v>2</v>
      </c>
      <c r="E2436" s="70">
        <f t="shared" si="260"/>
        <v>0.2</v>
      </c>
      <c r="F2436" s="70">
        <f t="shared" si="261"/>
        <v>2</v>
      </c>
      <c r="G2436" s="70">
        <f t="shared" si="262"/>
        <v>1.4353377702854442</v>
      </c>
      <c r="H2436" s="70">
        <f t="shared" si="263"/>
        <v>0.4</v>
      </c>
      <c r="I2436" s="70">
        <f t="shared" si="264"/>
        <v>0</v>
      </c>
      <c r="J2436" s="70">
        <f t="shared" si="265"/>
        <v>0</v>
      </c>
      <c r="K2436" s="70">
        <f>IF(CurrentMtgRatesDataTable8[[#This Row],[WA CC]]&lt;&gt;0,C2435-CurrentMtgRatesDataTable8[[#This Row],[WA CC]],0)</f>
        <v>0</v>
      </c>
      <c r="L2436" s="70">
        <f>IF(CurrentMtgRatesDataTable8[[#This Row],[Servicing Spread]]&lt;=0,L2435,CurrentMtgRatesDataTable8[[#This Row],[Servicing Spread]])</f>
        <v>0.90499821940306191</v>
      </c>
      <c r="M2436" s="70">
        <f>CurrentMtgRatesDataTable8[[#This Row],[Servicing Spread Non-Zero]]-L2435</f>
        <v>0</v>
      </c>
      <c r="N2436" s="70">
        <f>IF(J2435&lt;&gt;0,CurrentMtgRatesDataTable8[[#This Row],[Rate]]-C2435,N2435)</f>
        <v>0.20500000000000007</v>
      </c>
    </row>
    <row r="2437" spans="1:14">
      <c r="A2437" s="67" t="s">
        <v>371</v>
      </c>
      <c r="B2437" s="68">
        <v>3.71104784086622</v>
      </c>
      <c r="C2437" s="69">
        <v>4.53</v>
      </c>
      <c r="D2437" s="70">
        <f t="shared" ref="D2437:D2500" si="266">WEEKDAY(A2437,14)</f>
        <v>5</v>
      </c>
      <c r="E2437" s="70">
        <f t="shared" ref="E2437:E2500" si="267">VLOOKUP(D2437,Q$5:R$11,2,FALSE)</f>
        <v>0.2</v>
      </c>
      <c r="F2437" s="70">
        <f t="shared" ref="F2437:F2500" si="268">IF(AND(D2437&gt;D2436,F2436&lt;6),F2436+1,1)</f>
        <v>3</v>
      </c>
      <c r="G2437" s="70">
        <f t="shared" ref="G2437:G2500" si="269">IF(F2437&gt;F2436,G2436+B2437*E2437,B2437*E2437)</f>
        <v>2.1775473384586883</v>
      </c>
      <c r="H2437" s="70">
        <f t="shared" ref="H2437:H2500" si="270">IF(AND(F2437&lt;6,F2437&gt;F2436),E2437+H2436,E2437)</f>
        <v>0.60000000000000009</v>
      </c>
      <c r="I2437" s="70">
        <f t="shared" ref="I2437:I2500" si="271">IF(F2437&gt;F2438,1,0)</f>
        <v>0</v>
      </c>
      <c r="J2437" s="70">
        <f t="shared" ref="J2437:J2500" si="272">IF(F2437&gt;F2438,G2437/H2437,0)</f>
        <v>0</v>
      </c>
      <c r="K2437" s="70">
        <f>IF(CurrentMtgRatesDataTable8[[#This Row],[WA CC]]&lt;&gt;0,C2436-CurrentMtgRatesDataTable8[[#This Row],[WA CC]],0)</f>
        <v>0</v>
      </c>
      <c r="L2437" s="70">
        <f>IF(CurrentMtgRatesDataTable8[[#This Row],[Servicing Spread]]&lt;=0,L2436,CurrentMtgRatesDataTable8[[#This Row],[Servicing Spread]])</f>
        <v>0.90499821940306191</v>
      </c>
      <c r="M2437" s="70">
        <f>CurrentMtgRatesDataTable8[[#This Row],[Servicing Spread Non-Zero]]-L2436</f>
        <v>0</v>
      </c>
      <c r="N2437" s="70">
        <f>IF(J2436&lt;&gt;0,CurrentMtgRatesDataTable8[[#This Row],[Rate]]-C2436,N2436)</f>
        <v>0.20500000000000007</v>
      </c>
    </row>
    <row r="2438" spans="1:14">
      <c r="A2438" s="67" t="s">
        <v>233</v>
      </c>
      <c r="B2438" s="68">
        <v>3.63068303363114</v>
      </c>
      <c r="C2438" s="69">
        <v>4.53</v>
      </c>
      <c r="D2438" s="70">
        <f t="shared" si="266"/>
        <v>6</v>
      </c>
      <c r="E2438" s="70">
        <f t="shared" si="267"/>
        <v>0.2</v>
      </c>
      <c r="F2438" s="70">
        <f t="shared" si="268"/>
        <v>4</v>
      </c>
      <c r="G2438" s="70">
        <f t="shared" si="269"/>
        <v>2.9036839451849161</v>
      </c>
      <c r="H2438" s="70">
        <f t="shared" si="270"/>
        <v>0.8</v>
      </c>
      <c r="I2438" s="70">
        <f t="shared" si="271"/>
        <v>0</v>
      </c>
      <c r="J2438" s="70">
        <f t="shared" si="272"/>
        <v>0</v>
      </c>
      <c r="K2438" s="70">
        <f>IF(CurrentMtgRatesDataTable8[[#This Row],[WA CC]]&lt;&gt;0,C2437-CurrentMtgRatesDataTable8[[#This Row],[WA CC]],0)</f>
        <v>0</v>
      </c>
      <c r="L2438" s="70">
        <f>IF(CurrentMtgRatesDataTable8[[#This Row],[Servicing Spread]]&lt;=0,L2437,CurrentMtgRatesDataTable8[[#This Row],[Servicing Spread]])</f>
        <v>0.90499821940306191</v>
      </c>
      <c r="M2438" s="70">
        <f>CurrentMtgRatesDataTable8[[#This Row],[Servicing Spread Non-Zero]]-L2437</f>
        <v>0</v>
      </c>
      <c r="N2438" s="70">
        <f>IF(J2437&lt;&gt;0,CurrentMtgRatesDataTable8[[#This Row],[Rate]]-C2437,N2437)</f>
        <v>0.20500000000000007</v>
      </c>
    </row>
    <row r="2439" spans="1:14">
      <c r="A2439" s="67" t="s">
        <v>90</v>
      </c>
      <c r="B2439" s="68">
        <v>3.6746442970123199</v>
      </c>
      <c r="C2439" s="69">
        <v>4.53</v>
      </c>
      <c r="D2439" s="70">
        <f t="shared" si="266"/>
        <v>7</v>
      </c>
      <c r="E2439" s="70">
        <f t="shared" si="267"/>
        <v>0.2</v>
      </c>
      <c r="F2439" s="70">
        <f t="shared" si="268"/>
        <v>5</v>
      </c>
      <c r="G2439" s="70">
        <f t="shared" si="269"/>
        <v>3.63861280458738</v>
      </c>
      <c r="H2439" s="70">
        <f t="shared" si="270"/>
        <v>1</v>
      </c>
      <c r="I2439" s="70">
        <f t="shared" si="271"/>
        <v>1</v>
      </c>
      <c r="J2439" s="70">
        <f t="shared" si="272"/>
        <v>3.63861280458738</v>
      </c>
      <c r="K2439" s="70">
        <f>IF(CurrentMtgRatesDataTable8[[#This Row],[WA CC]]&lt;&gt;0,C2438-CurrentMtgRatesDataTable8[[#This Row],[WA CC]],0)</f>
        <v>0.89138719541262024</v>
      </c>
      <c r="L2439" s="70">
        <f>IF(CurrentMtgRatesDataTable8[[#This Row],[Servicing Spread]]&lt;=0,L2438,CurrentMtgRatesDataTable8[[#This Row],[Servicing Spread]])</f>
        <v>0.89138719541262024</v>
      </c>
      <c r="M2439" s="70">
        <f>CurrentMtgRatesDataTable8[[#This Row],[Servicing Spread Non-Zero]]-L2438</f>
        <v>-1.3611023990441673E-2</v>
      </c>
      <c r="N2439" s="70">
        <f>IF(J2438&lt;&gt;0,CurrentMtgRatesDataTable8[[#This Row],[Rate]]-C2438,N2438)</f>
        <v>0.20500000000000007</v>
      </c>
    </row>
    <row r="2440" spans="1:14">
      <c r="A2440" s="67" t="s">
        <v>654</v>
      </c>
      <c r="B2440" s="68">
        <v>3.7101937917241501</v>
      </c>
      <c r="C2440" s="69">
        <v>4.4349999999999996</v>
      </c>
      <c r="D2440" s="70">
        <f t="shared" si="266"/>
        <v>1</v>
      </c>
      <c r="E2440" s="70">
        <f t="shared" si="267"/>
        <v>0.2</v>
      </c>
      <c r="F2440" s="70">
        <f t="shared" si="268"/>
        <v>1</v>
      </c>
      <c r="G2440" s="70">
        <f t="shared" si="269"/>
        <v>0.74203875834483002</v>
      </c>
      <c r="H2440" s="70">
        <f t="shared" si="270"/>
        <v>0.2</v>
      </c>
      <c r="I2440" s="70">
        <f t="shared" si="271"/>
        <v>0</v>
      </c>
      <c r="J2440" s="70">
        <f t="shared" si="272"/>
        <v>0</v>
      </c>
      <c r="K2440" s="70">
        <f>IF(CurrentMtgRatesDataTable8[[#This Row],[WA CC]]&lt;&gt;0,C2439-CurrentMtgRatesDataTable8[[#This Row],[WA CC]],0)</f>
        <v>0</v>
      </c>
      <c r="L2440" s="70">
        <f>IF(CurrentMtgRatesDataTable8[[#This Row],[Servicing Spread]]&lt;=0,L2439,CurrentMtgRatesDataTable8[[#This Row],[Servicing Spread]])</f>
        <v>0.89138719541262024</v>
      </c>
      <c r="M2440" s="70">
        <f>CurrentMtgRatesDataTable8[[#This Row],[Servicing Spread Non-Zero]]-L2439</f>
        <v>0</v>
      </c>
      <c r="N2440" s="70">
        <f>IF(J2439&lt;&gt;0,CurrentMtgRatesDataTable8[[#This Row],[Rate]]-C2439,N2439)</f>
        <v>-9.5000000000000639E-2</v>
      </c>
    </row>
    <row r="2441" spans="1:14">
      <c r="A2441" s="67" t="s">
        <v>512</v>
      </c>
      <c r="B2441" s="68">
        <v>3.6014591745782401</v>
      </c>
      <c r="C2441" s="69">
        <v>4.4349999999999996</v>
      </c>
      <c r="D2441" s="70">
        <f t="shared" si="266"/>
        <v>2</v>
      </c>
      <c r="E2441" s="70">
        <f t="shared" si="267"/>
        <v>0.2</v>
      </c>
      <c r="F2441" s="70">
        <f t="shared" si="268"/>
        <v>2</v>
      </c>
      <c r="G2441" s="70">
        <f t="shared" si="269"/>
        <v>1.4623305932604782</v>
      </c>
      <c r="H2441" s="70">
        <f t="shared" si="270"/>
        <v>0.4</v>
      </c>
      <c r="I2441" s="70">
        <f t="shared" si="271"/>
        <v>0</v>
      </c>
      <c r="J2441" s="70">
        <f t="shared" si="272"/>
        <v>0</v>
      </c>
      <c r="K2441" s="70">
        <f>IF(CurrentMtgRatesDataTable8[[#This Row],[WA CC]]&lt;&gt;0,C2440-CurrentMtgRatesDataTable8[[#This Row],[WA CC]],0)</f>
        <v>0</v>
      </c>
      <c r="L2441" s="70">
        <f>IF(CurrentMtgRatesDataTable8[[#This Row],[Servicing Spread]]&lt;=0,L2440,CurrentMtgRatesDataTable8[[#This Row],[Servicing Spread]])</f>
        <v>0.89138719541262024</v>
      </c>
      <c r="M2441" s="70">
        <f>CurrentMtgRatesDataTable8[[#This Row],[Servicing Spread Non-Zero]]-L2440</f>
        <v>0</v>
      </c>
      <c r="N2441" s="70">
        <f>IF(J2440&lt;&gt;0,CurrentMtgRatesDataTable8[[#This Row],[Rate]]-C2440,N2440)</f>
        <v>-9.5000000000000639E-2</v>
      </c>
    </row>
    <row r="2442" spans="1:14">
      <c r="A2442" s="67" t="s">
        <v>372</v>
      </c>
      <c r="B2442" s="68">
        <v>3.5649427405180001</v>
      </c>
      <c r="C2442" s="69">
        <v>4.4349999999999996</v>
      </c>
      <c r="D2442" s="70">
        <f t="shared" si="266"/>
        <v>5</v>
      </c>
      <c r="E2442" s="70">
        <f t="shared" si="267"/>
        <v>0.2</v>
      </c>
      <c r="F2442" s="70">
        <f t="shared" si="268"/>
        <v>3</v>
      </c>
      <c r="G2442" s="70">
        <f t="shared" si="269"/>
        <v>2.1753191413640782</v>
      </c>
      <c r="H2442" s="70">
        <f t="shared" si="270"/>
        <v>0.60000000000000009</v>
      </c>
      <c r="I2442" s="70">
        <f t="shared" si="271"/>
        <v>0</v>
      </c>
      <c r="J2442" s="70">
        <f t="shared" si="272"/>
        <v>0</v>
      </c>
      <c r="K2442" s="70">
        <f>IF(CurrentMtgRatesDataTable8[[#This Row],[WA CC]]&lt;&gt;0,C2441-CurrentMtgRatesDataTable8[[#This Row],[WA CC]],0)</f>
        <v>0</v>
      </c>
      <c r="L2442" s="70">
        <f>IF(CurrentMtgRatesDataTable8[[#This Row],[Servicing Spread]]&lt;=0,L2441,CurrentMtgRatesDataTable8[[#This Row],[Servicing Spread]])</f>
        <v>0.89138719541262024</v>
      </c>
      <c r="M2442" s="70">
        <f>CurrentMtgRatesDataTable8[[#This Row],[Servicing Spread Non-Zero]]-L2441</f>
        <v>0</v>
      </c>
      <c r="N2442" s="70">
        <f>IF(J2441&lt;&gt;0,CurrentMtgRatesDataTable8[[#This Row],[Rate]]-C2441,N2441)</f>
        <v>-9.5000000000000639E-2</v>
      </c>
    </row>
    <row r="2443" spans="1:14">
      <c r="A2443" s="67" t="s">
        <v>234</v>
      </c>
      <c r="B2443" s="68">
        <v>3.4950120682199999</v>
      </c>
      <c r="C2443" s="69">
        <v>4.4349999999999996</v>
      </c>
      <c r="D2443" s="70">
        <f t="shared" si="266"/>
        <v>6</v>
      </c>
      <c r="E2443" s="70">
        <f t="shared" si="267"/>
        <v>0.2</v>
      </c>
      <c r="F2443" s="70">
        <f t="shared" si="268"/>
        <v>4</v>
      </c>
      <c r="G2443" s="70">
        <f t="shared" si="269"/>
        <v>2.8743215550080783</v>
      </c>
      <c r="H2443" s="70">
        <f t="shared" si="270"/>
        <v>0.8</v>
      </c>
      <c r="I2443" s="70">
        <f t="shared" si="271"/>
        <v>0</v>
      </c>
      <c r="J2443" s="70">
        <f t="shared" si="272"/>
        <v>0</v>
      </c>
      <c r="K2443" s="70">
        <f>IF(CurrentMtgRatesDataTable8[[#This Row],[WA CC]]&lt;&gt;0,C2442-CurrentMtgRatesDataTable8[[#This Row],[WA CC]],0)</f>
        <v>0</v>
      </c>
      <c r="L2443" s="70">
        <f>IF(CurrentMtgRatesDataTable8[[#This Row],[Servicing Spread]]&lt;=0,L2442,CurrentMtgRatesDataTable8[[#This Row],[Servicing Spread]])</f>
        <v>0.89138719541262024</v>
      </c>
      <c r="M2443" s="70">
        <f>CurrentMtgRatesDataTable8[[#This Row],[Servicing Spread Non-Zero]]-L2442</f>
        <v>0</v>
      </c>
      <c r="N2443" s="70">
        <f>IF(J2442&lt;&gt;0,CurrentMtgRatesDataTable8[[#This Row],[Rate]]-C2442,N2442)</f>
        <v>-9.5000000000000639E-2</v>
      </c>
    </row>
    <row r="2444" spans="1:14">
      <c r="A2444" s="67" t="s">
        <v>91</v>
      </c>
      <c r="B2444" s="68">
        <v>3.5645215625566</v>
      </c>
      <c r="C2444" s="69">
        <v>4.4349999999999996</v>
      </c>
      <c r="D2444" s="70">
        <f t="shared" si="266"/>
        <v>7</v>
      </c>
      <c r="E2444" s="70">
        <f t="shared" si="267"/>
        <v>0.2</v>
      </c>
      <c r="F2444" s="70">
        <f t="shared" si="268"/>
        <v>5</v>
      </c>
      <c r="G2444" s="70">
        <f t="shared" si="269"/>
        <v>3.5872258675193982</v>
      </c>
      <c r="H2444" s="70">
        <f t="shared" si="270"/>
        <v>1</v>
      </c>
      <c r="I2444" s="70">
        <f t="shared" si="271"/>
        <v>1</v>
      </c>
      <c r="J2444" s="70">
        <f t="shared" si="272"/>
        <v>3.5872258675193982</v>
      </c>
      <c r="K2444" s="70">
        <f>IF(CurrentMtgRatesDataTable8[[#This Row],[WA CC]]&lt;&gt;0,C2443-CurrentMtgRatesDataTable8[[#This Row],[WA CC]],0)</f>
        <v>0.84777413248060141</v>
      </c>
      <c r="L2444" s="70">
        <f>IF(CurrentMtgRatesDataTable8[[#This Row],[Servicing Spread]]&lt;=0,L2443,CurrentMtgRatesDataTable8[[#This Row],[Servicing Spread]])</f>
        <v>0.84777413248060141</v>
      </c>
      <c r="M2444" s="70">
        <f>CurrentMtgRatesDataTable8[[#This Row],[Servicing Spread Non-Zero]]-L2443</f>
        <v>-4.3613062932018831E-2</v>
      </c>
      <c r="N2444" s="70">
        <f>IF(J2443&lt;&gt;0,CurrentMtgRatesDataTable8[[#This Row],[Rate]]-C2443,N2443)</f>
        <v>-9.5000000000000639E-2</v>
      </c>
    </row>
    <row r="2445" spans="1:14">
      <c r="A2445" s="67" t="s">
        <v>655</v>
      </c>
      <c r="B2445" s="68">
        <v>3.5163998212649701</v>
      </c>
      <c r="C2445" s="69">
        <v>4.4950000000000001</v>
      </c>
      <c r="D2445" s="70">
        <f t="shared" si="266"/>
        <v>1</v>
      </c>
      <c r="E2445" s="70">
        <f t="shared" si="267"/>
        <v>0.2</v>
      </c>
      <c r="F2445" s="70">
        <f t="shared" si="268"/>
        <v>1</v>
      </c>
      <c r="G2445" s="70">
        <f t="shared" si="269"/>
        <v>0.70327996425299411</v>
      </c>
      <c r="H2445" s="70">
        <f t="shared" si="270"/>
        <v>0.2</v>
      </c>
      <c r="I2445" s="70">
        <f t="shared" si="271"/>
        <v>0</v>
      </c>
      <c r="J2445" s="70">
        <f t="shared" si="272"/>
        <v>0</v>
      </c>
      <c r="K2445" s="70">
        <f>IF(CurrentMtgRatesDataTable8[[#This Row],[WA CC]]&lt;&gt;0,C2444-CurrentMtgRatesDataTable8[[#This Row],[WA CC]],0)</f>
        <v>0</v>
      </c>
      <c r="L2445" s="70">
        <f>IF(CurrentMtgRatesDataTable8[[#This Row],[Servicing Spread]]&lt;=0,L2444,CurrentMtgRatesDataTable8[[#This Row],[Servicing Spread]])</f>
        <v>0.84777413248060141</v>
      </c>
      <c r="M2445" s="70">
        <f>CurrentMtgRatesDataTable8[[#This Row],[Servicing Spread Non-Zero]]-L2444</f>
        <v>0</v>
      </c>
      <c r="N2445" s="70">
        <f>IF(J2444&lt;&gt;0,CurrentMtgRatesDataTable8[[#This Row],[Rate]]-C2444,N2444)</f>
        <v>6.0000000000000497E-2</v>
      </c>
    </row>
    <row r="2446" spans="1:14">
      <c r="A2446" s="67" t="s">
        <v>513</v>
      </c>
      <c r="B2446" s="68">
        <v>3.5181082868119602</v>
      </c>
      <c r="C2446" s="69">
        <v>4.4950000000000001</v>
      </c>
      <c r="D2446" s="70">
        <f t="shared" si="266"/>
        <v>2</v>
      </c>
      <c r="E2446" s="70">
        <f t="shared" si="267"/>
        <v>0.2</v>
      </c>
      <c r="F2446" s="70">
        <f t="shared" si="268"/>
        <v>2</v>
      </c>
      <c r="G2446" s="70">
        <f t="shared" si="269"/>
        <v>1.4069016216153862</v>
      </c>
      <c r="H2446" s="70">
        <f t="shared" si="270"/>
        <v>0.4</v>
      </c>
      <c r="I2446" s="70">
        <f t="shared" si="271"/>
        <v>0</v>
      </c>
      <c r="J2446" s="70">
        <f t="shared" si="272"/>
        <v>0</v>
      </c>
      <c r="K2446" s="70">
        <f>IF(CurrentMtgRatesDataTable8[[#This Row],[WA CC]]&lt;&gt;0,C2445-CurrentMtgRatesDataTable8[[#This Row],[WA CC]],0)</f>
        <v>0</v>
      </c>
      <c r="L2446" s="70">
        <f>IF(CurrentMtgRatesDataTable8[[#This Row],[Servicing Spread]]&lt;=0,L2445,CurrentMtgRatesDataTable8[[#This Row],[Servicing Spread]])</f>
        <v>0.84777413248060141</v>
      </c>
      <c r="M2446" s="70">
        <f>CurrentMtgRatesDataTable8[[#This Row],[Servicing Spread Non-Zero]]-L2445</f>
        <v>0</v>
      </c>
      <c r="N2446" s="70">
        <f>IF(J2445&lt;&gt;0,CurrentMtgRatesDataTable8[[#This Row],[Rate]]-C2445,N2445)</f>
        <v>6.0000000000000497E-2</v>
      </c>
    </row>
    <row r="2447" spans="1:14">
      <c r="A2447" s="67" t="s">
        <v>235</v>
      </c>
      <c r="B2447" s="68">
        <v>3.6230343632850399</v>
      </c>
      <c r="C2447" s="69">
        <v>4.4950000000000001</v>
      </c>
      <c r="D2447" s="70">
        <f t="shared" si="266"/>
        <v>6</v>
      </c>
      <c r="E2447" s="70">
        <f t="shared" si="267"/>
        <v>0.2</v>
      </c>
      <c r="F2447" s="70">
        <f t="shared" si="268"/>
        <v>3</v>
      </c>
      <c r="G2447" s="70">
        <f t="shared" si="269"/>
        <v>2.1315084942723943</v>
      </c>
      <c r="H2447" s="70">
        <f t="shared" si="270"/>
        <v>0.60000000000000009</v>
      </c>
      <c r="I2447" s="70">
        <f t="shared" si="271"/>
        <v>0</v>
      </c>
      <c r="J2447" s="70">
        <f t="shared" si="272"/>
        <v>0</v>
      </c>
      <c r="K2447" s="70">
        <f>IF(CurrentMtgRatesDataTable8[[#This Row],[WA CC]]&lt;&gt;0,C2446-CurrentMtgRatesDataTable8[[#This Row],[WA CC]],0)</f>
        <v>0</v>
      </c>
      <c r="L2447" s="70">
        <f>IF(CurrentMtgRatesDataTable8[[#This Row],[Servicing Spread]]&lt;=0,L2446,CurrentMtgRatesDataTable8[[#This Row],[Servicing Spread]])</f>
        <v>0.84777413248060141</v>
      </c>
      <c r="M2447" s="70">
        <f>CurrentMtgRatesDataTable8[[#This Row],[Servicing Spread Non-Zero]]-L2446</f>
        <v>0</v>
      </c>
      <c r="N2447" s="70">
        <f>IF(J2446&lt;&gt;0,CurrentMtgRatesDataTable8[[#This Row],[Rate]]-C2446,N2446)</f>
        <v>6.0000000000000497E-2</v>
      </c>
    </row>
    <row r="2448" spans="1:14">
      <c r="A2448" s="67" t="s">
        <v>92</v>
      </c>
      <c r="B2448" s="68">
        <v>3.6795741616596702</v>
      </c>
      <c r="C2448" s="69">
        <v>4.4950000000000001</v>
      </c>
      <c r="D2448" s="70">
        <f t="shared" si="266"/>
        <v>7</v>
      </c>
      <c r="E2448" s="70">
        <f t="shared" si="267"/>
        <v>0.2</v>
      </c>
      <c r="F2448" s="70">
        <f t="shared" si="268"/>
        <v>4</v>
      </c>
      <c r="G2448" s="70">
        <f t="shared" si="269"/>
        <v>2.8674233266043285</v>
      </c>
      <c r="H2448" s="70">
        <f t="shared" si="270"/>
        <v>0.8</v>
      </c>
      <c r="I2448" s="70">
        <f t="shared" si="271"/>
        <v>1</v>
      </c>
      <c r="J2448" s="70">
        <f t="shared" si="272"/>
        <v>3.5842791582554105</v>
      </c>
      <c r="K2448" s="70">
        <f>IF(CurrentMtgRatesDataTable8[[#This Row],[WA CC]]&lt;&gt;0,C2447-CurrentMtgRatesDataTable8[[#This Row],[WA CC]],0)</f>
        <v>0.91072084174458956</v>
      </c>
      <c r="L2448" s="70">
        <f>IF(CurrentMtgRatesDataTable8[[#This Row],[Servicing Spread]]&lt;=0,L2447,CurrentMtgRatesDataTable8[[#This Row],[Servicing Spread]])</f>
        <v>0.91072084174458956</v>
      </c>
      <c r="M2448" s="70">
        <f>CurrentMtgRatesDataTable8[[#This Row],[Servicing Spread Non-Zero]]-L2447</f>
        <v>6.2946709263988154E-2</v>
      </c>
      <c r="N2448" s="70">
        <f>IF(J2447&lt;&gt;0,CurrentMtgRatesDataTable8[[#This Row],[Rate]]-C2447,N2447)</f>
        <v>6.0000000000000497E-2</v>
      </c>
    </row>
    <row r="2449" spans="1:14">
      <c r="A2449" s="67" t="s">
        <v>656</v>
      </c>
      <c r="B2449" s="68">
        <v>3.7866951063074699</v>
      </c>
      <c r="C2449" s="69">
        <v>4.5200000000000005</v>
      </c>
      <c r="D2449" s="70">
        <f t="shared" si="266"/>
        <v>1</v>
      </c>
      <c r="E2449" s="70">
        <f t="shared" si="267"/>
        <v>0.2</v>
      </c>
      <c r="F2449" s="70">
        <f t="shared" si="268"/>
        <v>1</v>
      </c>
      <c r="G2449" s="70">
        <f t="shared" si="269"/>
        <v>0.75733902126149399</v>
      </c>
      <c r="H2449" s="70">
        <f t="shared" si="270"/>
        <v>0.2</v>
      </c>
      <c r="I2449" s="70">
        <f t="shared" si="271"/>
        <v>0</v>
      </c>
      <c r="J2449" s="70">
        <f t="shared" si="272"/>
        <v>0</v>
      </c>
      <c r="K2449" s="70">
        <f>IF(CurrentMtgRatesDataTable8[[#This Row],[WA CC]]&lt;&gt;0,C2448-CurrentMtgRatesDataTable8[[#This Row],[WA CC]],0)</f>
        <v>0</v>
      </c>
      <c r="L2449" s="70">
        <f>IF(CurrentMtgRatesDataTable8[[#This Row],[Servicing Spread]]&lt;=0,L2448,CurrentMtgRatesDataTable8[[#This Row],[Servicing Spread]])</f>
        <v>0.91072084174458956</v>
      </c>
      <c r="M2449" s="70">
        <f>CurrentMtgRatesDataTable8[[#This Row],[Servicing Spread Non-Zero]]-L2448</f>
        <v>0</v>
      </c>
      <c r="N2449" s="70">
        <f>IF(J2448&lt;&gt;0,CurrentMtgRatesDataTable8[[#This Row],[Rate]]-C2448,N2448)</f>
        <v>2.5000000000000355E-2</v>
      </c>
    </row>
    <row r="2450" spans="1:14">
      <c r="A2450" s="67" t="s">
        <v>514</v>
      </c>
      <c r="B2450" s="68">
        <v>3.7212376856688798</v>
      </c>
      <c r="C2450" s="69">
        <v>4.5200000000000005</v>
      </c>
      <c r="D2450" s="70">
        <f t="shared" si="266"/>
        <v>2</v>
      </c>
      <c r="E2450" s="70">
        <f t="shared" si="267"/>
        <v>0.2</v>
      </c>
      <c r="F2450" s="70">
        <f t="shared" si="268"/>
        <v>2</v>
      </c>
      <c r="G2450" s="70">
        <f t="shared" si="269"/>
        <v>1.5015865583952701</v>
      </c>
      <c r="H2450" s="70">
        <f t="shared" si="270"/>
        <v>0.4</v>
      </c>
      <c r="I2450" s="70">
        <f t="shared" si="271"/>
        <v>0</v>
      </c>
      <c r="J2450" s="70">
        <f t="shared" si="272"/>
        <v>0</v>
      </c>
      <c r="K2450" s="70">
        <f>IF(CurrentMtgRatesDataTable8[[#This Row],[WA CC]]&lt;&gt;0,C2449-CurrentMtgRatesDataTable8[[#This Row],[WA CC]],0)</f>
        <v>0</v>
      </c>
      <c r="L2450" s="70">
        <f>IF(CurrentMtgRatesDataTable8[[#This Row],[Servicing Spread]]&lt;=0,L2449,CurrentMtgRatesDataTable8[[#This Row],[Servicing Spread]])</f>
        <v>0.91072084174458956</v>
      </c>
      <c r="M2450" s="70">
        <f>CurrentMtgRatesDataTable8[[#This Row],[Servicing Spread Non-Zero]]-L2449</f>
        <v>0</v>
      </c>
      <c r="N2450" s="70">
        <f>IF(J2449&lt;&gt;0,CurrentMtgRatesDataTable8[[#This Row],[Rate]]-C2449,N2449)</f>
        <v>2.5000000000000355E-2</v>
      </c>
    </row>
    <row r="2451" spans="1:14">
      <c r="A2451" s="67" t="s">
        <v>373</v>
      </c>
      <c r="B2451" s="68">
        <v>3.6494917316156599</v>
      </c>
      <c r="C2451" s="69">
        <v>4.5200000000000005</v>
      </c>
      <c r="D2451" s="70">
        <f t="shared" si="266"/>
        <v>5</v>
      </c>
      <c r="E2451" s="70">
        <f t="shared" si="267"/>
        <v>0.2</v>
      </c>
      <c r="F2451" s="70">
        <f t="shared" si="268"/>
        <v>3</v>
      </c>
      <c r="G2451" s="70">
        <f t="shared" si="269"/>
        <v>2.231484904718402</v>
      </c>
      <c r="H2451" s="70">
        <f t="shared" si="270"/>
        <v>0.60000000000000009</v>
      </c>
      <c r="I2451" s="70">
        <f t="shared" si="271"/>
        <v>0</v>
      </c>
      <c r="J2451" s="70">
        <f t="shared" si="272"/>
        <v>0</v>
      </c>
      <c r="K2451" s="70">
        <f>IF(CurrentMtgRatesDataTable8[[#This Row],[WA CC]]&lt;&gt;0,C2450-CurrentMtgRatesDataTable8[[#This Row],[WA CC]],0)</f>
        <v>0</v>
      </c>
      <c r="L2451" s="70">
        <f>IF(CurrentMtgRatesDataTable8[[#This Row],[Servicing Spread]]&lt;=0,L2450,CurrentMtgRatesDataTable8[[#This Row],[Servicing Spread]])</f>
        <v>0.91072084174458956</v>
      </c>
      <c r="M2451" s="70">
        <f>CurrentMtgRatesDataTable8[[#This Row],[Servicing Spread Non-Zero]]-L2450</f>
        <v>0</v>
      </c>
      <c r="N2451" s="70">
        <f>IF(J2450&lt;&gt;0,CurrentMtgRatesDataTable8[[#This Row],[Rate]]-C2450,N2450)</f>
        <v>2.5000000000000355E-2</v>
      </c>
    </row>
    <row r="2452" spans="1:14">
      <c r="A2452" s="67" t="s">
        <v>236</v>
      </c>
      <c r="B2452" s="68">
        <v>3.70255706458429</v>
      </c>
      <c r="C2452" s="69">
        <v>4.5200000000000005</v>
      </c>
      <c r="D2452" s="70">
        <f t="shared" si="266"/>
        <v>6</v>
      </c>
      <c r="E2452" s="70">
        <f t="shared" si="267"/>
        <v>0.2</v>
      </c>
      <c r="F2452" s="70">
        <f t="shared" si="268"/>
        <v>4</v>
      </c>
      <c r="G2452" s="70">
        <f t="shared" si="269"/>
        <v>2.9719963176352602</v>
      </c>
      <c r="H2452" s="70">
        <f t="shared" si="270"/>
        <v>0.8</v>
      </c>
      <c r="I2452" s="70">
        <f t="shared" si="271"/>
        <v>0</v>
      </c>
      <c r="J2452" s="70">
        <f t="shared" si="272"/>
        <v>0</v>
      </c>
      <c r="K2452" s="70">
        <f>IF(CurrentMtgRatesDataTable8[[#This Row],[WA CC]]&lt;&gt;0,C2451-CurrentMtgRatesDataTable8[[#This Row],[WA CC]],0)</f>
        <v>0</v>
      </c>
      <c r="L2452" s="70">
        <f>IF(CurrentMtgRatesDataTable8[[#This Row],[Servicing Spread]]&lt;=0,L2451,CurrentMtgRatesDataTable8[[#This Row],[Servicing Spread]])</f>
        <v>0.91072084174458956</v>
      </c>
      <c r="M2452" s="70">
        <f>CurrentMtgRatesDataTable8[[#This Row],[Servicing Spread Non-Zero]]-L2451</f>
        <v>0</v>
      </c>
      <c r="N2452" s="70">
        <f>IF(J2451&lt;&gt;0,CurrentMtgRatesDataTable8[[#This Row],[Rate]]-C2451,N2451)</f>
        <v>2.5000000000000355E-2</v>
      </c>
    </row>
    <row r="2453" spans="1:14">
      <c r="A2453" s="67" t="s">
        <v>93</v>
      </c>
      <c r="B2453" s="68">
        <v>3.66717920569566</v>
      </c>
      <c r="C2453" s="69">
        <v>4.5200000000000005</v>
      </c>
      <c r="D2453" s="70">
        <f t="shared" si="266"/>
        <v>7</v>
      </c>
      <c r="E2453" s="70">
        <f t="shared" si="267"/>
        <v>0.2</v>
      </c>
      <c r="F2453" s="70">
        <f t="shared" si="268"/>
        <v>5</v>
      </c>
      <c r="G2453" s="70">
        <f t="shared" si="269"/>
        <v>3.7054321587743924</v>
      </c>
      <c r="H2453" s="70">
        <f t="shared" si="270"/>
        <v>1</v>
      </c>
      <c r="I2453" s="70">
        <f t="shared" si="271"/>
        <v>1</v>
      </c>
      <c r="J2453" s="70">
        <f t="shared" si="272"/>
        <v>3.7054321587743924</v>
      </c>
      <c r="K2453" s="70">
        <f>IF(CurrentMtgRatesDataTable8[[#This Row],[WA CC]]&lt;&gt;0,C2452-CurrentMtgRatesDataTable8[[#This Row],[WA CC]],0)</f>
        <v>0.8145678412256081</v>
      </c>
      <c r="L2453" s="70">
        <f>IF(CurrentMtgRatesDataTable8[[#This Row],[Servicing Spread]]&lt;=0,L2452,CurrentMtgRatesDataTable8[[#This Row],[Servicing Spread]])</f>
        <v>0.8145678412256081</v>
      </c>
      <c r="M2453" s="70">
        <f>CurrentMtgRatesDataTable8[[#This Row],[Servicing Spread Non-Zero]]-L2452</f>
        <v>-9.6153000518981457E-2</v>
      </c>
      <c r="N2453" s="70">
        <f>IF(J2452&lt;&gt;0,CurrentMtgRatesDataTable8[[#This Row],[Rate]]-C2452,N2452)</f>
        <v>2.5000000000000355E-2</v>
      </c>
    </row>
    <row r="2454" spans="1:14">
      <c r="A2454" s="67" t="s">
        <v>657</v>
      </c>
      <c r="B2454" s="68">
        <v>3.6662950351399499</v>
      </c>
      <c r="C2454" s="69">
        <v>4.4249999999999998</v>
      </c>
      <c r="D2454" s="70">
        <f t="shared" si="266"/>
        <v>1</v>
      </c>
      <c r="E2454" s="70">
        <f t="shared" si="267"/>
        <v>0.2</v>
      </c>
      <c r="F2454" s="70">
        <f t="shared" si="268"/>
        <v>1</v>
      </c>
      <c r="G2454" s="70">
        <f t="shared" si="269"/>
        <v>0.73325900702799007</v>
      </c>
      <c r="H2454" s="70">
        <f t="shared" si="270"/>
        <v>0.2</v>
      </c>
      <c r="I2454" s="70">
        <f t="shared" si="271"/>
        <v>0</v>
      </c>
      <c r="J2454" s="70">
        <f t="shared" si="272"/>
        <v>0</v>
      </c>
      <c r="K2454" s="70">
        <f>IF(CurrentMtgRatesDataTable8[[#This Row],[WA CC]]&lt;&gt;0,C2453-CurrentMtgRatesDataTable8[[#This Row],[WA CC]],0)</f>
        <v>0</v>
      </c>
      <c r="L2454" s="70">
        <f>IF(CurrentMtgRatesDataTable8[[#This Row],[Servicing Spread]]&lt;=0,L2453,CurrentMtgRatesDataTable8[[#This Row],[Servicing Spread]])</f>
        <v>0.8145678412256081</v>
      </c>
      <c r="M2454" s="70">
        <f>CurrentMtgRatesDataTable8[[#This Row],[Servicing Spread Non-Zero]]-L2453</f>
        <v>0</v>
      </c>
      <c r="N2454" s="70">
        <f>IF(J2453&lt;&gt;0,CurrentMtgRatesDataTable8[[#This Row],[Rate]]-C2453,N2453)</f>
        <v>-9.5000000000000639E-2</v>
      </c>
    </row>
    <row r="2455" spans="1:14">
      <c r="A2455" s="67" t="s">
        <v>515</v>
      </c>
      <c r="B2455" s="68">
        <v>3.65073359446493</v>
      </c>
      <c r="C2455" s="69">
        <v>4.4249999999999998</v>
      </c>
      <c r="D2455" s="70">
        <f t="shared" si="266"/>
        <v>2</v>
      </c>
      <c r="E2455" s="70">
        <f t="shared" si="267"/>
        <v>0.2</v>
      </c>
      <c r="F2455" s="70">
        <f t="shared" si="268"/>
        <v>2</v>
      </c>
      <c r="G2455" s="70">
        <f t="shared" si="269"/>
        <v>1.4634057259209761</v>
      </c>
      <c r="H2455" s="70">
        <f t="shared" si="270"/>
        <v>0.4</v>
      </c>
      <c r="I2455" s="70">
        <f t="shared" si="271"/>
        <v>0</v>
      </c>
      <c r="J2455" s="70">
        <f t="shared" si="272"/>
        <v>0</v>
      </c>
      <c r="K2455" s="70">
        <f>IF(CurrentMtgRatesDataTable8[[#This Row],[WA CC]]&lt;&gt;0,C2454-CurrentMtgRatesDataTable8[[#This Row],[WA CC]],0)</f>
        <v>0</v>
      </c>
      <c r="L2455" s="70">
        <f>IF(CurrentMtgRatesDataTable8[[#This Row],[Servicing Spread]]&lt;=0,L2454,CurrentMtgRatesDataTable8[[#This Row],[Servicing Spread]])</f>
        <v>0.8145678412256081</v>
      </c>
      <c r="M2455" s="70">
        <f>CurrentMtgRatesDataTable8[[#This Row],[Servicing Spread Non-Zero]]-L2454</f>
        <v>0</v>
      </c>
      <c r="N2455" s="70">
        <f>IF(J2454&lt;&gt;0,CurrentMtgRatesDataTable8[[#This Row],[Rate]]-C2454,N2454)</f>
        <v>-9.5000000000000639E-2</v>
      </c>
    </row>
    <row r="2456" spans="1:14">
      <c r="A2456" s="67" t="s">
        <v>374</v>
      </c>
      <c r="B2456" s="68">
        <v>3.6050291044242799</v>
      </c>
      <c r="C2456" s="69">
        <v>4.4249999999999998</v>
      </c>
      <c r="D2456" s="70">
        <f t="shared" si="266"/>
        <v>5</v>
      </c>
      <c r="E2456" s="70">
        <f t="shared" si="267"/>
        <v>0.2</v>
      </c>
      <c r="F2456" s="70">
        <f t="shared" si="268"/>
        <v>3</v>
      </c>
      <c r="G2456" s="70">
        <f t="shared" si="269"/>
        <v>2.184411546805832</v>
      </c>
      <c r="H2456" s="70">
        <f t="shared" si="270"/>
        <v>0.60000000000000009</v>
      </c>
      <c r="I2456" s="70">
        <f t="shared" si="271"/>
        <v>0</v>
      </c>
      <c r="J2456" s="70">
        <f t="shared" si="272"/>
        <v>0</v>
      </c>
      <c r="K2456" s="70">
        <f>IF(CurrentMtgRatesDataTable8[[#This Row],[WA CC]]&lt;&gt;0,C2455-CurrentMtgRatesDataTable8[[#This Row],[WA CC]],0)</f>
        <v>0</v>
      </c>
      <c r="L2456" s="70">
        <f>IF(CurrentMtgRatesDataTable8[[#This Row],[Servicing Spread]]&lt;=0,L2455,CurrentMtgRatesDataTable8[[#This Row],[Servicing Spread]])</f>
        <v>0.8145678412256081</v>
      </c>
      <c r="M2456" s="70">
        <f>CurrentMtgRatesDataTable8[[#This Row],[Servicing Spread Non-Zero]]-L2455</f>
        <v>0</v>
      </c>
      <c r="N2456" s="70">
        <f>IF(J2455&lt;&gt;0,CurrentMtgRatesDataTable8[[#This Row],[Rate]]-C2455,N2455)</f>
        <v>-9.5000000000000639E-2</v>
      </c>
    </row>
    <row r="2457" spans="1:14">
      <c r="A2457" s="67" t="s">
        <v>237</v>
      </c>
      <c r="B2457" s="68">
        <v>3.5862960100393702</v>
      </c>
      <c r="C2457" s="69">
        <v>4.4249999999999998</v>
      </c>
      <c r="D2457" s="70">
        <f t="shared" si="266"/>
        <v>6</v>
      </c>
      <c r="E2457" s="70">
        <f t="shared" si="267"/>
        <v>0.2</v>
      </c>
      <c r="F2457" s="70">
        <f t="shared" si="268"/>
        <v>4</v>
      </c>
      <c r="G2457" s="70">
        <f t="shared" si="269"/>
        <v>2.9016707488137063</v>
      </c>
      <c r="H2457" s="70">
        <f t="shared" si="270"/>
        <v>0.8</v>
      </c>
      <c r="I2457" s="70">
        <f t="shared" si="271"/>
        <v>0</v>
      </c>
      <c r="J2457" s="70">
        <f t="shared" si="272"/>
        <v>0</v>
      </c>
      <c r="K2457" s="70">
        <f>IF(CurrentMtgRatesDataTable8[[#This Row],[WA CC]]&lt;&gt;0,C2456-CurrentMtgRatesDataTable8[[#This Row],[WA CC]],0)</f>
        <v>0</v>
      </c>
      <c r="L2457" s="70">
        <f>IF(CurrentMtgRatesDataTable8[[#This Row],[Servicing Spread]]&lt;=0,L2456,CurrentMtgRatesDataTable8[[#This Row],[Servicing Spread]])</f>
        <v>0.8145678412256081</v>
      </c>
      <c r="M2457" s="70">
        <f>CurrentMtgRatesDataTable8[[#This Row],[Servicing Spread Non-Zero]]-L2456</f>
        <v>0</v>
      </c>
      <c r="N2457" s="70">
        <f>IF(J2456&lt;&gt;0,CurrentMtgRatesDataTable8[[#This Row],[Rate]]-C2456,N2456)</f>
        <v>-9.5000000000000639E-2</v>
      </c>
    </row>
    <row r="2458" spans="1:14">
      <c r="A2458" s="67" t="s">
        <v>94</v>
      </c>
      <c r="B2458" s="68">
        <v>3.4041075181539902</v>
      </c>
      <c r="C2458" s="69">
        <v>4.4249999999999998</v>
      </c>
      <c r="D2458" s="70">
        <f t="shared" si="266"/>
        <v>7</v>
      </c>
      <c r="E2458" s="70">
        <f t="shared" si="267"/>
        <v>0.2</v>
      </c>
      <c r="F2458" s="70">
        <f t="shared" si="268"/>
        <v>5</v>
      </c>
      <c r="G2458" s="70">
        <f t="shared" si="269"/>
        <v>3.5824922524445046</v>
      </c>
      <c r="H2458" s="70">
        <f t="shared" si="270"/>
        <v>1</v>
      </c>
      <c r="I2458" s="70">
        <f t="shared" si="271"/>
        <v>1</v>
      </c>
      <c r="J2458" s="70">
        <f t="shared" si="272"/>
        <v>3.5824922524445046</v>
      </c>
      <c r="K2458" s="70">
        <f>IF(CurrentMtgRatesDataTable8[[#This Row],[WA CC]]&lt;&gt;0,C2457-CurrentMtgRatesDataTable8[[#This Row],[WA CC]],0)</f>
        <v>0.84250774755549518</v>
      </c>
      <c r="L2458" s="70">
        <f>IF(CurrentMtgRatesDataTable8[[#This Row],[Servicing Spread]]&lt;=0,L2457,CurrentMtgRatesDataTable8[[#This Row],[Servicing Spread]])</f>
        <v>0.84250774755549518</v>
      </c>
      <c r="M2458" s="70">
        <f>CurrentMtgRatesDataTable8[[#This Row],[Servicing Spread Non-Zero]]-L2457</f>
        <v>2.7939906329887076E-2</v>
      </c>
      <c r="N2458" s="70">
        <f>IF(J2457&lt;&gt;0,CurrentMtgRatesDataTable8[[#This Row],[Rate]]-C2457,N2457)</f>
        <v>-9.5000000000000639E-2</v>
      </c>
    </row>
    <row r="2459" spans="1:14">
      <c r="A2459" s="67" t="s">
        <v>658</v>
      </c>
      <c r="B2459" s="68">
        <v>3.4234814698257399</v>
      </c>
      <c r="C2459" s="69">
        <v>4.2450000000000001</v>
      </c>
      <c r="D2459" s="70">
        <f t="shared" si="266"/>
        <v>1</v>
      </c>
      <c r="E2459" s="70">
        <f t="shared" si="267"/>
        <v>0.2</v>
      </c>
      <c r="F2459" s="70">
        <f t="shared" si="268"/>
        <v>1</v>
      </c>
      <c r="G2459" s="70">
        <f t="shared" si="269"/>
        <v>0.68469629396514797</v>
      </c>
      <c r="H2459" s="70">
        <f t="shared" si="270"/>
        <v>0.2</v>
      </c>
      <c r="I2459" s="70">
        <f t="shared" si="271"/>
        <v>0</v>
      </c>
      <c r="J2459" s="70">
        <f t="shared" si="272"/>
        <v>0</v>
      </c>
      <c r="K2459" s="70">
        <f>IF(CurrentMtgRatesDataTable8[[#This Row],[WA CC]]&lt;&gt;0,C2458-CurrentMtgRatesDataTable8[[#This Row],[WA CC]],0)</f>
        <v>0</v>
      </c>
      <c r="L2459" s="70">
        <f>IF(CurrentMtgRatesDataTable8[[#This Row],[Servicing Spread]]&lt;=0,L2458,CurrentMtgRatesDataTable8[[#This Row],[Servicing Spread]])</f>
        <v>0.84250774755549518</v>
      </c>
      <c r="M2459" s="70">
        <f>CurrentMtgRatesDataTable8[[#This Row],[Servicing Spread Non-Zero]]-L2458</f>
        <v>0</v>
      </c>
      <c r="N2459" s="70">
        <f>IF(J2458&lt;&gt;0,CurrentMtgRatesDataTable8[[#This Row],[Rate]]-C2458,N2458)</f>
        <v>-0.17999999999999972</v>
      </c>
    </row>
    <row r="2460" spans="1:14">
      <c r="A2460" s="67" t="s">
        <v>516</v>
      </c>
      <c r="B2460" s="68">
        <v>3.43160773905766</v>
      </c>
      <c r="C2460" s="69">
        <v>4.2450000000000001</v>
      </c>
      <c r="D2460" s="70">
        <f t="shared" si="266"/>
        <v>2</v>
      </c>
      <c r="E2460" s="70">
        <f t="shared" si="267"/>
        <v>0.2</v>
      </c>
      <c r="F2460" s="70">
        <f t="shared" si="268"/>
        <v>2</v>
      </c>
      <c r="G2460" s="70">
        <f t="shared" si="269"/>
        <v>1.3710178417766801</v>
      </c>
      <c r="H2460" s="70">
        <f t="shared" si="270"/>
        <v>0.4</v>
      </c>
      <c r="I2460" s="70">
        <f t="shared" si="271"/>
        <v>0</v>
      </c>
      <c r="J2460" s="70">
        <f t="shared" si="272"/>
        <v>0</v>
      </c>
      <c r="K2460" s="70">
        <f>IF(CurrentMtgRatesDataTable8[[#This Row],[WA CC]]&lt;&gt;0,C2459-CurrentMtgRatesDataTable8[[#This Row],[WA CC]],0)</f>
        <v>0</v>
      </c>
      <c r="L2460" s="70">
        <f>IF(CurrentMtgRatesDataTable8[[#This Row],[Servicing Spread]]&lt;=0,L2459,CurrentMtgRatesDataTable8[[#This Row],[Servicing Spread]])</f>
        <v>0.84250774755549518</v>
      </c>
      <c r="M2460" s="70">
        <f>CurrentMtgRatesDataTable8[[#This Row],[Servicing Spread Non-Zero]]-L2459</f>
        <v>0</v>
      </c>
      <c r="N2460" s="70">
        <f>IF(J2459&lt;&gt;0,CurrentMtgRatesDataTable8[[#This Row],[Rate]]-C2459,N2459)</f>
        <v>-0.17999999999999972</v>
      </c>
    </row>
    <row r="2461" spans="1:14">
      <c r="A2461" s="67" t="s">
        <v>375</v>
      </c>
      <c r="B2461" s="68">
        <v>3.4029034600998802</v>
      </c>
      <c r="C2461" s="69">
        <v>4.2450000000000001</v>
      </c>
      <c r="D2461" s="70">
        <f t="shared" si="266"/>
        <v>5</v>
      </c>
      <c r="E2461" s="70">
        <f t="shared" si="267"/>
        <v>0.2</v>
      </c>
      <c r="F2461" s="70">
        <f t="shared" si="268"/>
        <v>3</v>
      </c>
      <c r="G2461" s="70">
        <f t="shared" si="269"/>
        <v>2.051598533796656</v>
      </c>
      <c r="H2461" s="70">
        <f t="shared" si="270"/>
        <v>0.60000000000000009</v>
      </c>
      <c r="I2461" s="70">
        <f t="shared" si="271"/>
        <v>0</v>
      </c>
      <c r="J2461" s="70">
        <f t="shared" si="272"/>
        <v>0</v>
      </c>
      <c r="K2461" s="70">
        <f>IF(CurrentMtgRatesDataTable8[[#This Row],[WA CC]]&lt;&gt;0,C2460-CurrentMtgRatesDataTable8[[#This Row],[WA CC]],0)</f>
        <v>0</v>
      </c>
      <c r="L2461" s="70">
        <f>IF(CurrentMtgRatesDataTable8[[#This Row],[Servicing Spread]]&lt;=0,L2460,CurrentMtgRatesDataTable8[[#This Row],[Servicing Spread]])</f>
        <v>0.84250774755549518</v>
      </c>
      <c r="M2461" s="70">
        <f>CurrentMtgRatesDataTable8[[#This Row],[Servicing Spread Non-Zero]]-L2460</f>
        <v>0</v>
      </c>
      <c r="N2461" s="70">
        <f>IF(J2460&lt;&gt;0,CurrentMtgRatesDataTable8[[#This Row],[Rate]]-C2460,N2460)</f>
        <v>-0.17999999999999972</v>
      </c>
    </row>
    <row r="2462" spans="1:14">
      <c r="A2462" s="67" t="s">
        <v>238</v>
      </c>
      <c r="B2462" s="68">
        <v>3.34069195374131</v>
      </c>
      <c r="C2462" s="69">
        <v>4.2450000000000001</v>
      </c>
      <c r="D2462" s="70">
        <f t="shared" si="266"/>
        <v>6</v>
      </c>
      <c r="E2462" s="70">
        <f t="shared" si="267"/>
        <v>0.2</v>
      </c>
      <c r="F2462" s="70">
        <f t="shared" si="268"/>
        <v>4</v>
      </c>
      <c r="G2462" s="70">
        <f t="shared" si="269"/>
        <v>2.7197369245449181</v>
      </c>
      <c r="H2462" s="70">
        <f t="shared" si="270"/>
        <v>0.8</v>
      </c>
      <c r="I2462" s="70">
        <f t="shared" si="271"/>
        <v>0</v>
      </c>
      <c r="J2462" s="70">
        <f t="shared" si="272"/>
        <v>0</v>
      </c>
      <c r="K2462" s="70">
        <f>IF(CurrentMtgRatesDataTable8[[#This Row],[WA CC]]&lt;&gt;0,C2461-CurrentMtgRatesDataTable8[[#This Row],[WA CC]],0)</f>
        <v>0</v>
      </c>
      <c r="L2462" s="70">
        <f>IF(CurrentMtgRatesDataTable8[[#This Row],[Servicing Spread]]&lt;=0,L2461,CurrentMtgRatesDataTable8[[#This Row],[Servicing Spread]])</f>
        <v>0.84250774755549518</v>
      </c>
      <c r="M2462" s="70">
        <f>CurrentMtgRatesDataTable8[[#This Row],[Servicing Spread Non-Zero]]-L2461</f>
        <v>0</v>
      </c>
      <c r="N2462" s="70">
        <f>IF(J2461&lt;&gt;0,CurrentMtgRatesDataTable8[[#This Row],[Rate]]-C2461,N2461)</f>
        <v>-0.17999999999999972</v>
      </c>
    </row>
    <row r="2463" spans="1:14">
      <c r="A2463" s="67" t="s">
        <v>95</v>
      </c>
      <c r="B2463" s="68">
        <v>3.2961562018547901</v>
      </c>
      <c r="C2463" s="69">
        <v>4.2450000000000001</v>
      </c>
      <c r="D2463" s="70">
        <f t="shared" si="266"/>
        <v>7</v>
      </c>
      <c r="E2463" s="70">
        <f t="shared" si="267"/>
        <v>0.2</v>
      </c>
      <c r="F2463" s="70">
        <f t="shared" si="268"/>
        <v>5</v>
      </c>
      <c r="G2463" s="70">
        <f t="shared" si="269"/>
        <v>3.378968164915876</v>
      </c>
      <c r="H2463" s="70">
        <f t="shared" si="270"/>
        <v>1</v>
      </c>
      <c r="I2463" s="70">
        <f t="shared" si="271"/>
        <v>1</v>
      </c>
      <c r="J2463" s="70">
        <f t="shared" si="272"/>
        <v>3.378968164915876</v>
      </c>
      <c r="K2463" s="70">
        <f>IF(CurrentMtgRatesDataTable8[[#This Row],[WA CC]]&lt;&gt;0,C2462-CurrentMtgRatesDataTable8[[#This Row],[WA CC]],0)</f>
        <v>0.86603183508412407</v>
      </c>
      <c r="L2463" s="70">
        <f>IF(CurrentMtgRatesDataTable8[[#This Row],[Servicing Spread]]&lt;=0,L2462,CurrentMtgRatesDataTable8[[#This Row],[Servicing Spread]])</f>
        <v>0.86603183508412407</v>
      </c>
      <c r="M2463" s="70">
        <f>CurrentMtgRatesDataTable8[[#This Row],[Servicing Spread Non-Zero]]-L2462</f>
        <v>2.352408752862889E-2</v>
      </c>
      <c r="N2463" s="70">
        <f>IF(J2462&lt;&gt;0,CurrentMtgRatesDataTable8[[#This Row],[Rate]]-C2462,N2462)</f>
        <v>-0.17999999999999972</v>
      </c>
    </row>
    <row r="2464" spans="1:14">
      <c r="A2464" s="67" t="s">
        <v>659</v>
      </c>
      <c r="B2464" s="68">
        <v>3.3233487722912298</v>
      </c>
      <c r="C2464" s="69">
        <v>4.1449999999999996</v>
      </c>
      <c r="D2464" s="70">
        <f t="shared" si="266"/>
        <v>1</v>
      </c>
      <c r="E2464" s="70">
        <f t="shared" si="267"/>
        <v>0.2</v>
      </c>
      <c r="F2464" s="70">
        <f t="shared" si="268"/>
        <v>1</v>
      </c>
      <c r="G2464" s="70">
        <f t="shared" si="269"/>
        <v>0.66466975445824605</v>
      </c>
      <c r="H2464" s="70">
        <f t="shared" si="270"/>
        <v>0.2</v>
      </c>
      <c r="I2464" s="70">
        <f t="shared" si="271"/>
        <v>0</v>
      </c>
      <c r="J2464" s="70">
        <f t="shared" si="272"/>
        <v>0</v>
      </c>
      <c r="K2464" s="70">
        <f>IF(CurrentMtgRatesDataTable8[[#This Row],[WA CC]]&lt;&gt;0,C2463-CurrentMtgRatesDataTable8[[#This Row],[WA CC]],0)</f>
        <v>0</v>
      </c>
      <c r="L2464" s="70">
        <f>IF(CurrentMtgRatesDataTable8[[#This Row],[Servicing Spread]]&lt;=0,L2463,CurrentMtgRatesDataTable8[[#This Row],[Servicing Spread]])</f>
        <v>0.86603183508412407</v>
      </c>
      <c r="M2464" s="70">
        <f>CurrentMtgRatesDataTable8[[#This Row],[Servicing Spread Non-Zero]]-L2463</f>
        <v>0</v>
      </c>
      <c r="N2464" s="70">
        <f>IF(J2463&lt;&gt;0,CurrentMtgRatesDataTable8[[#This Row],[Rate]]-C2463,N2463)</f>
        <v>-0.10000000000000053</v>
      </c>
    </row>
    <row r="2465" spans="1:14">
      <c r="A2465" s="67" t="s">
        <v>517</v>
      </c>
      <c r="B2465" s="68">
        <v>3.2948871217977098</v>
      </c>
      <c r="C2465" s="69">
        <v>4.1449999999999996</v>
      </c>
      <c r="D2465" s="70">
        <f t="shared" si="266"/>
        <v>2</v>
      </c>
      <c r="E2465" s="70">
        <f t="shared" si="267"/>
        <v>0.2</v>
      </c>
      <c r="F2465" s="70">
        <f t="shared" si="268"/>
        <v>2</v>
      </c>
      <c r="G2465" s="70">
        <f t="shared" si="269"/>
        <v>1.3236471788177879</v>
      </c>
      <c r="H2465" s="70">
        <f t="shared" si="270"/>
        <v>0.4</v>
      </c>
      <c r="I2465" s="70">
        <f t="shared" si="271"/>
        <v>0</v>
      </c>
      <c r="J2465" s="70">
        <f t="shared" si="272"/>
        <v>0</v>
      </c>
      <c r="K2465" s="70">
        <f>IF(CurrentMtgRatesDataTable8[[#This Row],[WA CC]]&lt;&gt;0,C2464-CurrentMtgRatesDataTable8[[#This Row],[WA CC]],0)</f>
        <v>0</v>
      </c>
      <c r="L2465" s="70">
        <f>IF(CurrentMtgRatesDataTable8[[#This Row],[Servicing Spread]]&lt;=0,L2464,CurrentMtgRatesDataTable8[[#This Row],[Servicing Spread]])</f>
        <v>0.86603183508412407</v>
      </c>
      <c r="M2465" s="70">
        <f>CurrentMtgRatesDataTable8[[#This Row],[Servicing Spread Non-Zero]]-L2464</f>
        <v>0</v>
      </c>
      <c r="N2465" s="70">
        <f>IF(J2464&lt;&gt;0,CurrentMtgRatesDataTable8[[#This Row],[Rate]]-C2464,N2464)</f>
        <v>-0.10000000000000053</v>
      </c>
    </row>
    <row r="2466" spans="1:14">
      <c r="A2466" s="67" t="s">
        <v>376</v>
      </c>
      <c r="B2466" s="68">
        <v>3.2952489842634298</v>
      </c>
      <c r="C2466" s="69">
        <v>4.1449999999999996</v>
      </c>
      <c r="D2466" s="70">
        <f t="shared" si="266"/>
        <v>5</v>
      </c>
      <c r="E2466" s="70">
        <f t="shared" si="267"/>
        <v>0.2</v>
      </c>
      <c r="F2466" s="70">
        <f t="shared" si="268"/>
        <v>3</v>
      </c>
      <c r="G2466" s="70">
        <f t="shared" si="269"/>
        <v>1.982696975670474</v>
      </c>
      <c r="H2466" s="70">
        <f t="shared" si="270"/>
        <v>0.60000000000000009</v>
      </c>
      <c r="I2466" s="70">
        <f t="shared" si="271"/>
        <v>0</v>
      </c>
      <c r="J2466" s="70">
        <f t="shared" si="272"/>
        <v>0</v>
      </c>
      <c r="K2466" s="70">
        <f>IF(CurrentMtgRatesDataTable8[[#This Row],[WA CC]]&lt;&gt;0,C2465-CurrentMtgRatesDataTable8[[#This Row],[WA CC]],0)</f>
        <v>0</v>
      </c>
      <c r="L2466" s="70">
        <f>IF(CurrentMtgRatesDataTable8[[#This Row],[Servicing Spread]]&lt;=0,L2465,CurrentMtgRatesDataTable8[[#This Row],[Servicing Spread]])</f>
        <v>0.86603183508412407</v>
      </c>
      <c r="M2466" s="70">
        <f>CurrentMtgRatesDataTable8[[#This Row],[Servicing Spread Non-Zero]]-L2465</f>
        <v>0</v>
      </c>
      <c r="N2466" s="70">
        <f>IF(J2465&lt;&gt;0,CurrentMtgRatesDataTable8[[#This Row],[Rate]]-C2465,N2465)</f>
        <v>-0.10000000000000053</v>
      </c>
    </row>
    <row r="2467" spans="1:14">
      <c r="A2467" s="67" t="s">
        <v>239</v>
      </c>
      <c r="B2467" s="68">
        <v>3.31544213268957</v>
      </c>
      <c r="C2467" s="69">
        <v>4.1449999999999996</v>
      </c>
      <c r="D2467" s="70">
        <f t="shared" si="266"/>
        <v>6</v>
      </c>
      <c r="E2467" s="70">
        <f t="shared" si="267"/>
        <v>0.2</v>
      </c>
      <c r="F2467" s="70">
        <f t="shared" si="268"/>
        <v>4</v>
      </c>
      <c r="G2467" s="70">
        <f t="shared" si="269"/>
        <v>2.645785402208388</v>
      </c>
      <c r="H2467" s="70">
        <f t="shared" si="270"/>
        <v>0.8</v>
      </c>
      <c r="I2467" s="70">
        <f t="shared" si="271"/>
        <v>0</v>
      </c>
      <c r="J2467" s="70">
        <f t="shared" si="272"/>
        <v>0</v>
      </c>
      <c r="K2467" s="70">
        <f>IF(CurrentMtgRatesDataTable8[[#This Row],[WA CC]]&lt;&gt;0,C2466-CurrentMtgRatesDataTable8[[#This Row],[WA CC]],0)</f>
        <v>0</v>
      </c>
      <c r="L2467" s="70">
        <f>IF(CurrentMtgRatesDataTable8[[#This Row],[Servicing Spread]]&lt;=0,L2466,CurrentMtgRatesDataTable8[[#This Row],[Servicing Spread]])</f>
        <v>0.86603183508412407</v>
      </c>
      <c r="M2467" s="70">
        <f>CurrentMtgRatesDataTable8[[#This Row],[Servicing Spread Non-Zero]]-L2466</f>
        <v>0</v>
      </c>
      <c r="N2467" s="70">
        <f>IF(J2466&lt;&gt;0,CurrentMtgRatesDataTable8[[#This Row],[Rate]]-C2466,N2466)</f>
        <v>-0.10000000000000053</v>
      </c>
    </row>
    <row r="2468" spans="1:14">
      <c r="A2468" s="67" t="s">
        <v>96</v>
      </c>
      <c r="B2468" s="68">
        <v>3.3078730296866699</v>
      </c>
      <c r="C2468" s="69">
        <v>4.1449999999999996</v>
      </c>
      <c r="D2468" s="70">
        <f t="shared" si="266"/>
        <v>7</v>
      </c>
      <c r="E2468" s="70">
        <f t="shared" si="267"/>
        <v>0.2</v>
      </c>
      <c r="F2468" s="70">
        <f t="shared" si="268"/>
        <v>5</v>
      </c>
      <c r="G2468" s="70">
        <f t="shared" si="269"/>
        <v>3.307360008145722</v>
      </c>
      <c r="H2468" s="70">
        <f t="shared" si="270"/>
        <v>1</v>
      </c>
      <c r="I2468" s="70">
        <f t="shared" si="271"/>
        <v>1</v>
      </c>
      <c r="J2468" s="70">
        <f t="shared" si="272"/>
        <v>3.307360008145722</v>
      </c>
      <c r="K2468" s="70">
        <f>IF(CurrentMtgRatesDataTable8[[#This Row],[WA CC]]&lt;&gt;0,C2467-CurrentMtgRatesDataTable8[[#This Row],[WA CC]],0)</f>
        <v>0.83763999185427762</v>
      </c>
      <c r="L2468" s="70">
        <f>IF(CurrentMtgRatesDataTable8[[#This Row],[Servicing Spread]]&lt;=0,L2467,CurrentMtgRatesDataTable8[[#This Row],[Servicing Spread]])</f>
        <v>0.83763999185427762</v>
      </c>
      <c r="M2468" s="70">
        <f>CurrentMtgRatesDataTable8[[#This Row],[Servicing Spread Non-Zero]]-L2467</f>
        <v>-2.8391843229846447E-2</v>
      </c>
      <c r="N2468" s="70">
        <f>IF(J2467&lt;&gt;0,CurrentMtgRatesDataTable8[[#This Row],[Rate]]-C2467,N2467)</f>
        <v>-0.10000000000000053</v>
      </c>
    </row>
    <row r="2469" spans="1:14">
      <c r="A2469" s="67" t="s">
        <v>660</v>
      </c>
      <c r="B2469" s="68">
        <v>3.2850779326666601</v>
      </c>
      <c r="C2469" s="69">
        <v>4.1550000000000002</v>
      </c>
      <c r="D2469" s="70">
        <f t="shared" si="266"/>
        <v>1</v>
      </c>
      <c r="E2469" s="70">
        <f t="shared" si="267"/>
        <v>0.2</v>
      </c>
      <c r="F2469" s="70">
        <f t="shared" si="268"/>
        <v>1</v>
      </c>
      <c r="G2469" s="70">
        <f t="shared" si="269"/>
        <v>0.65701558653333203</v>
      </c>
      <c r="H2469" s="70">
        <f t="shared" si="270"/>
        <v>0.2</v>
      </c>
      <c r="I2469" s="70">
        <f t="shared" si="271"/>
        <v>0</v>
      </c>
      <c r="J2469" s="70">
        <f t="shared" si="272"/>
        <v>0</v>
      </c>
      <c r="K2469" s="70">
        <f>IF(CurrentMtgRatesDataTable8[[#This Row],[WA CC]]&lt;&gt;0,C2468-CurrentMtgRatesDataTable8[[#This Row],[WA CC]],0)</f>
        <v>0</v>
      </c>
      <c r="L2469" s="70">
        <f>IF(CurrentMtgRatesDataTable8[[#This Row],[Servicing Spread]]&lt;=0,L2468,CurrentMtgRatesDataTable8[[#This Row],[Servicing Spread]])</f>
        <v>0.83763999185427762</v>
      </c>
      <c r="M2469" s="70">
        <f>CurrentMtgRatesDataTable8[[#This Row],[Servicing Spread Non-Zero]]-L2468</f>
        <v>0</v>
      </c>
      <c r="N2469" s="70">
        <f>IF(J2468&lt;&gt;0,CurrentMtgRatesDataTable8[[#This Row],[Rate]]-C2468,N2468)</f>
        <v>1.0000000000000675E-2</v>
      </c>
    </row>
    <row r="2470" spans="1:14">
      <c r="A2470" s="67" t="s">
        <v>518</v>
      </c>
      <c r="B2470" s="68">
        <v>3.3143904621736602</v>
      </c>
      <c r="C2470" s="69">
        <v>4.1550000000000002</v>
      </c>
      <c r="D2470" s="70">
        <f t="shared" si="266"/>
        <v>2</v>
      </c>
      <c r="E2470" s="70">
        <f t="shared" si="267"/>
        <v>0.2</v>
      </c>
      <c r="F2470" s="70">
        <f t="shared" si="268"/>
        <v>2</v>
      </c>
      <c r="G2470" s="70">
        <f t="shared" si="269"/>
        <v>1.319893678968064</v>
      </c>
      <c r="H2470" s="70">
        <f t="shared" si="270"/>
        <v>0.4</v>
      </c>
      <c r="I2470" s="70">
        <f t="shared" si="271"/>
        <v>0</v>
      </c>
      <c r="J2470" s="70">
        <f t="shared" si="272"/>
        <v>0</v>
      </c>
      <c r="K2470" s="70">
        <f>IF(CurrentMtgRatesDataTable8[[#This Row],[WA CC]]&lt;&gt;0,C2469-CurrentMtgRatesDataTable8[[#This Row],[WA CC]],0)</f>
        <v>0</v>
      </c>
      <c r="L2470" s="70">
        <f>IF(CurrentMtgRatesDataTable8[[#This Row],[Servicing Spread]]&lt;=0,L2469,CurrentMtgRatesDataTable8[[#This Row],[Servicing Spread]])</f>
        <v>0.83763999185427762</v>
      </c>
      <c r="M2470" s="70">
        <f>CurrentMtgRatesDataTable8[[#This Row],[Servicing Spread Non-Zero]]-L2469</f>
        <v>0</v>
      </c>
      <c r="N2470" s="70">
        <f>IF(J2469&lt;&gt;0,CurrentMtgRatesDataTable8[[#This Row],[Rate]]-C2469,N2469)</f>
        <v>1.0000000000000675E-2</v>
      </c>
    </row>
    <row r="2471" spans="1:14">
      <c r="A2471" s="67" t="s">
        <v>377</v>
      </c>
      <c r="B2471" s="68">
        <v>3.3152163432269299</v>
      </c>
      <c r="C2471" s="69">
        <v>4.1550000000000002</v>
      </c>
      <c r="D2471" s="70">
        <f t="shared" si="266"/>
        <v>5</v>
      </c>
      <c r="E2471" s="70">
        <f t="shared" si="267"/>
        <v>0.2</v>
      </c>
      <c r="F2471" s="70">
        <f t="shared" si="268"/>
        <v>3</v>
      </c>
      <c r="G2471" s="70">
        <f t="shared" si="269"/>
        <v>1.98293694761345</v>
      </c>
      <c r="H2471" s="70">
        <f t="shared" si="270"/>
        <v>0.60000000000000009</v>
      </c>
      <c r="I2471" s="70">
        <f t="shared" si="271"/>
        <v>0</v>
      </c>
      <c r="J2471" s="70">
        <f t="shared" si="272"/>
        <v>0</v>
      </c>
      <c r="K2471" s="70">
        <f>IF(CurrentMtgRatesDataTable8[[#This Row],[WA CC]]&lt;&gt;0,C2470-CurrentMtgRatesDataTable8[[#This Row],[WA CC]],0)</f>
        <v>0</v>
      </c>
      <c r="L2471" s="70">
        <f>IF(CurrentMtgRatesDataTable8[[#This Row],[Servicing Spread]]&lt;=0,L2470,CurrentMtgRatesDataTable8[[#This Row],[Servicing Spread]])</f>
        <v>0.83763999185427762</v>
      </c>
      <c r="M2471" s="70">
        <f>CurrentMtgRatesDataTable8[[#This Row],[Servicing Spread Non-Zero]]-L2470</f>
        <v>0</v>
      </c>
      <c r="N2471" s="70">
        <f>IF(J2470&lt;&gt;0,CurrentMtgRatesDataTable8[[#This Row],[Rate]]-C2470,N2470)</f>
        <v>1.0000000000000675E-2</v>
      </c>
    </row>
    <row r="2472" spans="1:14">
      <c r="A2472" s="67" t="s">
        <v>240</v>
      </c>
      <c r="B2472" s="68">
        <v>3.32900541071837</v>
      </c>
      <c r="C2472" s="69">
        <v>4.1550000000000002</v>
      </c>
      <c r="D2472" s="70">
        <f t="shared" si="266"/>
        <v>6</v>
      </c>
      <c r="E2472" s="70">
        <f t="shared" si="267"/>
        <v>0.2</v>
      </c>
      <c r="F2472" s="70">
        <f t="shared" si="268"/>
        <v>4</v>
      </c>
      <c r="G2472" s="70">
        <f t="shared" si="269"/>
        <v>2.6487380297571241</v>
      </c>
      <c r="H2472" s="70">
        <f t="shared" si="270"/>
        <v>0.8</v>
      </c>
      <c r="I2472" s="70">
        <f t="shared" si="271"/>
        <v>0</v>
      </c>
      <c r="J2472" s="70">
        <f t="shared" si="272"/>
        <v>0</v>
      </c>
      <c r="K2472" s="70">
        <f>IF(CurrentMtgRatesDataTable8[[#This Row],[WA CC]]&lt;&gt;0,C2471-CurrentMtgRatesDataTable8[[#This Row],[WA CC]],0)</f>
        <v>0</v>
      </c>
      <c r="L2472" s="70">
        <f>IF(CurrentMtgRatesDataTable8[[#This Row],[Servicing Spread]]&lt;=0,L2471,CurrentMtgRatesDataTable8[[#This Row],[Servicing Spread]])</f>
        <v>0.83763999185427762</v>
      </c>
      <c r="M2472" s="70">
        <f>CurrentMtgRatesDataTable8[[#This Row],[Servicing Spread Non-Zero]]-L2471</f>
        <v>0</v>
      </c>
      <c r="N2472" s="70">
        <f>IF(J2471&lt;&gt;0,CurrentMtgRatesDataTable8[[#This Row],[Rate]]-C2471,N2471)</f>
        <v>1.0000000000000675E-2</v>
      </c>
    </row>
    <row r="2473" spans="1:14">
      <c r="A2473" s="67" t="s">
        <v>97</v>
      </c>
      <c r="B2473" s="68">
        <v>3.3312145702916398</v>
      </c>
      <c r="C2473" s="69">
        <v>4.1550000000000002</v>
      </c>
      <c r="D2473" s="70">
        <f t="shared" si="266"/>
        <v>7</v>
      </c>
      <c r="E2473" s="70">
        <f t="shared" si="267"/>
        <v>0.2</v>
      </c>
      <c r="F2473" s="70">
        <f t="shared" si="268"/>
        <v>5</v>
      </c>
      <c r="G2473" s="70">
        <f t="shared" si="269"/>
        <v>3.3149809438154523</v>
      </c>
      <c r="H2473" s="70">
        <f t="shared" si="270"/>
        <v>1</v>
      </c>
      <c r="I2473" s="70">
        <f t="shared" si="271"/>
        <v>1</v>
      </c>
      <c r="J2473" s="70">
        <f t="shared" si="272"/>
        <v>3.3149809438154523</v>
      </c>
      <c r="K2473" s="70">
        <f>IF(CurrentMtgRatesDataTable8[[#This Row],[WA CC]]&lt;&gt;0,C2472-CurrentMtgRatesDataTable8[[#This Row],[WA CC]],0)</f>
        <v>0.84001905618454797</v>
      </c>
      <c r="L2473" s="70">
        <f>IF(CurrentMtgRatesDataTable8[[#This Row],[Servicing Spread]]&lt;=0,L2472,CurrentMtgRatesDataTable8[[#This Row],[Servicing Spread]])</f>
        <v>0.84001905618454797</v>
      </c>
      <c r="M2473" s="70">
        <f>CurrentMtgRatesDataTable8[[#This Row],[Servicing Spread Non-Zero]]-L2472</f>
        <v>2.3790643302703529E-3</v>
      </c>
      <c r="N2473" s="70">
        <f>IF(J2472&lt;&gt;0,CurrentMtgRatesDataTable8[[#This Row],[Rate]]-C2472,N2472)</f>
        <v>1.0000000000000675E-2</v>
      </c>
    </row>
    <row r="2474" spans="1:14">
      <c r="A2474" s="67" t="s">
        <v>661</v>
      </c>
      <c r="B2474" s="68">
        <v>3.3459270723169801</v>
      </c>
      <c r="C2474" s="69">
        <v>4.2050000000000001</v>
      </c>
      <c r="D2474" s="70">
        <f t="shared" si="266"/>
        <v>1</v>
      </c>
      <c r="E2474" s="70">
        <f t="shared" si="267"/>
        <v>0.2</v>
      </c>
      <c r="F2474" s="70">
        <f t="shared" si="268"/>
        <v>1</v>
      </c>
      <c r="G2474" s="70">
        <f t="shared" si="269"/>
        <v>0.66918541446339608</v>
      </c>
      <c r="H2474" s="70">
        <f t="shared" si="270"/>
        <v>0.2</v>
      </c>
      <c r="I2474" s="70">
        <f t="shared" si="271"/>
        <v>0</v>
      </c>
      <c r="J2474" s="70">
        <f t="shared" si="272"/>
        <v>0</v>
      </c>
      <c r="K2474" s="70">
        <f>IF(CurrentMtgRatesDataTable8[[#This Row],[WA CC]]&lt;&gt;0,C2473-CurrentMtgRatesDataTable8[[#This Row],[WA CC]],0)</f>
        <v>0</v>
      </c>
      <c r="L2474" s="70">
        <f>IF(CurrentMtgRatesDataTable8[[#This Row],[Servicing Spread]]&lt;=0,L2473,CurrentMtgRatesDataTable8[[#This Row],[Servicing Spread]])</f>
        <v>0.84001905618454797</v>
      </c>
      <c r="M2474" s="70">
        <f>CurrentMtgRatesDataTable8[[#This Row],[Servicing Spread Non-Zero]]-L2473</f>
        <v>0</v>
      </c>
      <c r="N2474" s="70">
        <f>IF(J2473&lt;&gt;0,CurrentMtgRatesDataTable8[[#This Row],[Rate]]-C2473,N2473)</f>
        <v>4.9999999999999822E-2</v>
      </c>
    </row>
    <row r="2475" spans="1:14">
      <c r="A2475" s="67" t="s">
        <v>519</v>
      </c>
      <c r="B2475" s="68">
        <v>3.3488826952464001</v>
      </c>
      <c r="C2475" s="69">
        <v>4.2050000000000001</v>
      </c>
      <c r="D2475" s="70">
        <f t="shared" si="266"/>
        <v>2</v>
      </c>
      <c r="E2475" s="70">
        <f t="shared" si="267"/>
        <v>0.2</v>
      </c>
      <c r="F2475" s="70">
        <f t="shared" si="268"/>
        <v>2</v>
      </c>
      <c r="G2475" s="70">
        <f t="shared" si="269"/>
        <v>1.3389619535126762</v>
      </c>
      <c r="H2475" s="70">
        <f t="shared" si="270"/>
        <v>0.4</v>
      </c>
      <c r="I2475" s="70">
        <f t="shared" si="271"/>
        <v>0</v>
      </c>
      <c r="J2475" s="70">
        <f t="shared" si="272"/>
        <v>0</v>
      </c>
      <c r="K2475" s="70">
        <f>IF(CurrentMtgRatesDataTable8[[#This Row],[WA CC]]&lt;&gt;0,C2474-CurrentMtgRatesDataTable8[[#This Row],[WA CC]],0)</f>
        <v>0</v>
      </c>
      <c r="L2475" s="70">
        <f>IF(CurrentMtgRatesDataTable8[[#This Row],[Servicing Spread]]&lt;=0,L2474,CurrentMtgRatesDataTable8[[#This Row],[Servicing Spread]])</f>
        <v>0.84001905618454797</v>
      </c>
      <c r="M2475" s="70">
        <f>CurrentMtgRatesDataTable8[[#This Row],[Servicing Spread Non-Zero]]-L2474</f>
        <v>0</v>
      </c>
      <c r="N2475" s="70">
        <f>IF(J2474&lt;&gt;0,CurrentMtgRatesDataTable8[[#This Row],[Rate]]-C2474,N2474)</f>
        <v>4.9999999999999822E-2</v>
      </c>
    </row>
    <row r="2476" spans="1:14">
      <c r="A2476" s="67" t="s">
        <v>241</v>
      </c>
      <c r="B2476" s="68">
        <v>3.3897329963191098</v>
      </c>
      <c r="C2476" s="69">
        <v>4.2050000000000001</v>
      </c>
      <c r="D2476" s="70">
        <f t="shared" si="266"/>
        <v>6</v>
      </c>
      <c r="E2476" s="70">
        <f t="shared" si="267"/>
        <v>0.2</v>
      </c>
      <c r="F2476" s="70">
        <f t="shared" si="268"/>
        <v>3</v>
      </c>
      <c r="G2476" s="70">
        <f t="shared" si="269"/>
        <v>2.0169085527764983</v>
      </c>
      <c r="H2476" s="70">
        <f t="shared" si="270"/>
        <v>0.60000000000000009</v>
      </c>
      <c r="I2476" s="70">
        <f t="shared" si="271"/>
        <v>0</v>
      </c>
      <c r="J2476" s="70">
        <f t="shared" si="272"/>
        <v>0</v>
      </c>
      <c r="K2476" s="70">
        <f>IF(CurrentMtgRatesDataTable8[[#This Row],[WA CC]]&lt;&gt;0,C2475-CurrentMtgRatesDataTable8[[#This Row],[WA CC]],0)</f>
        <v>0</v>
      </c>
      <c r="L2476" s="70">
        <f>IF(CurrentMtgRatesDataTable8[[#This Row],[Servicing Spread]]&lt;=0,L2475,CurrentMtgRatesDataTable8[[#This Row],[Servicing Spread]])</f>
        <v>0.84001905618454797</v>
      </c>
      <c r="M2476" s="70">
        <f>CurrentMtgRatesDataTable8[[#This Row],[Servicing Spread Non-Zero]]-L2475</f>
        <v>0</v>
      </c>
      <c r="N2476" s="70">
        <f>IF(J2475&lt;&gt;0,CurrentMtgRatesDataTable8[[#This Row],[Rate]]-C2475,N2475)</f>
        <v>4.9999999999999822E-2</v>
      </c>
    </row>
    <row r="2477" spans="1:14">
      <c r="A2477" s="67" t="s">
        <v>98</v>
      </c>
      <c r="B2477" s="68">
        <v>3.34533036324394</v>
      </c>
      <c r="C2477" s="69">
        <v>4.2050000000000001</v>
      </c>
      <c r="D2477" s="70">
        <f t="shared" si="266"/>
        <v>7</v>
      </c>
      <c r="E2477" s="70">
        <f t="shared" si="267"/>
        <v>0.2</v>
      </c>
      <c r="F2477" s="70">
        <f t="shared" si="268"/>
        <v>4</v>
      </c>
      <c r="G2477" s="70">
        <f t="shared" si="269"/>
        <v>2.6859746254252865</v>
      </c>
      <c r="H2477" s="70">
        <f t="shared" si="270"/>
        <v>0.8</v>
      </c>
      <c r="I2477" s="70">
        <f t="shared" si="271"/>
        <v>1</v>
      </c>
      <c r="J2477" s="70">
        <f t="shared" si="272"/>
        <v>3.3574682817816082</v>
      </c>
      <c r="K2477" s="70">
        <f>IF(CurrentMtgRatesDataTable8[[#This Row],[WA CC]]&lt;&gt;0,C2476-CurrentMtgRatesDataTable8[[#This Row],[WA CC]],0)</f>
        <v>0.84753171821839191</v>
      </c>
      <c r="L2477" s="70">
        <f>IF(CurrentMtgRatesDataTable8[[#This Row],[Servicing Spread]]&lt;=0,L2476,CurrentMtgRatesDataTable8[[#This Row],[Servicing Spread]])</f>
        <v>0.84753171821839191</v>
      </c>
      <c r="M2477" s="70">
        <f>CurrentMtgRatesDataTable8[[#This Row],[Servicing Spread Non-Zero]]-L2476</f>
        <v>7.5126620338439309E-3</v>
      </c>
      <c r="N2477" s="70">
        <f>IF(J2476&lt;&gt;0,CurrentMtgRatesDataTable8[[#This Row],[Rate]]-C2476,N2476)</f>
        <v>4.9999999999999822E-2</v>
      </c>
    </row>
    <row r="2478" spans="1:14">
      <c r="A2478" s="67" t="s">
        <v>662</v>
      </c>
      <c r="B2478" s="68">
        <v>3.2546149111271299</v>
      </c>
      <c r="C2478" s="69">
        <v>4.08</v>
      </c>
      <c r="D2478" s="70">
        <f t="shared" si="266"/>
        <v>1</v>
      </c>
      <c r="E2478" s="70">
        <f t="shared" si="267"/>
        <v>0.2</v>
      </c>
      <c r="F2478" s="70">
        <f t="shared" si="268"/>
        <v>1</v>
      </c>
      <c r="G2478" s="70">
        <f t="shared" si="269"/>
        <v>0.65092298222542599</v>
      </c>
      <c r="H2478" s="70">
        <f t="shared" si="270"/>
        <v>0.2</v>
      </c>
      <c r="I2478" s="70">
        <f t="shared" si="271"/>
        <v>0</v>
      </c>
      <c r="J2478" s="70">
        <f t="shared" si="272"/>
        <v>0</v>
      </c>
      <c r="K2478" s="70">
        <f>IF(CurrentMtgRatesDataTable8[[#This Row],[WA CC]]&lt;&gt;0,C2477-CurrentMtgRatesDataTable8[[#This Row],[WA CC]],0)</f>
        <v>0</v>
      </c>
      <c r="L2478" s="70">
        <f>IF(CurrentMtgRatesDataTable8[[#This Row],[Servicing Spread]]&lt;=0,L2477,CurrentMtgRatesDataTable8[[#This Row],[Servicing Spread]])</f>
        <v>0.84753171821839191</v>
      </c>
      <c r="M2478" s="70">
        <f>CurrentMtgRatesDataTable8[[#This Row],[Servicing Spread Non-Zero]]-L2477</f>
        <v>0</v>
      </c>
      <c r="N2478" s="70">
        <f>IF(J2477&lt;&gt;0,CurrentMtgRatesDataTable8[[#This Row],[Rate]]-C2477,N2477)</f>
        <v>-0.125</v>
      </c>
    </row>
    <row r="2479" spans="1:14">
      <c r="A2479" s="67" t="s">
        <v>520</v>
      </c>
      <c r="B2479" s="68">
        <v>3.2585675716606302</v>
      </c>
      <c r="C2479" s="69">
        <v>4.08</v>
      </c>
      <c r="D2479" s="70">
        <f t="shared" si="266"/>
        <v>2</v>
      </c>
      <c r="E2479" s="70">
        <f t="shared" si="267"/>
        <v>0.2</v>
      </c>
      <c r="F2479" s="70">
        <f t="shared" si="268"/>
        <v>2</v>
      </c>
      <c r="G2479" s="70">
        <f t="shared" si="269"/>
        <v>1.3026364965575521</v>
      </c>
      <c r="H2479" s="70">
        <f t="shared" si="270"/>
        <v>0.4</v>
      </c>
      <c r="I2479" s="70">
        <f t="shared" si="271"/>
        <v>0</v>
      </c>
      <c r="J2479" s="70">
        <f t="shared" si="272"/>
        <v>0</v>
      </c>
      <c r="K2479" s="70">
        <f>IF(CurrentMtgRatesDataTable8[[#This Row],[WA CC]]&lt;&gt;0,C2478-CurrentMtgRatesDataTable8[[#This Row],[WA CC]],0)</f>
        <v>0</v>
      </c>
      <c r="L2479" s="70">
        <f>IF(CurrentMtgRatesDataTable8[[#This Row],[Servicing Spread]]&lt;=0,L2478,CurrentMtgRatesDataTable8[[#This Row],[Servicing Spread]])</f>
        <v>0.84753171821839191</v>
      </c>
      <c r="M2479" s="70">
        <f>CurrentMtgRatesDataTable8[[#This Row],[Servicing Spread Non-Zero]]-L2478</f>
        <v>0</v>
      </c>
      <c r="N2479" s="70">
        <f>IF(J2478&lt;&gt;0,CurrentMtgRatesDataTable8[[#This Row],[Rate]]-C2478,N2478)</f>
        <v>-0.125</v>
      </c>
    </row>
    <row r="2480" spans="1:14">
      <c r="A2480" s="67" t="s">
        <v>378</v>
      </c>
      <c r="B2480" s="68">
        <v>3.2809533512237801</v>
      </c>
      <c r="C2480" s="69">
        <v>4.08</v>
      </c>
      <c r="D2480" s="70">
        <f t="shared" si="266"/>
        <v>5</v>
      </c>
      <c r="E2480" s="70">
        <f t="shared" si="267"/>
        <v>0.2</v>
      </c>
      <c r="F2480" s="70">
        <f t="shared" si="268"/>
        <v>3</v>
      </c>
      <c r="G2480" s="70">
        <f t="shared" si="269"/>
        <v>1.9588271668023083</v>
      </c>
      <c r="H2480" s="70">
        <f t="shared" si="270"/>
        <v>0.60000000000000009</v>
      </c>
      <c r="I2480" s="70">
        <f t="shared" si="271"/>
        <v>0</v>
      </c>
      <c r="J2480" s="70">
        <f t="shared" si="272"/>
        <v>0</v>
      </c>
      <c r="K2480" s="70">
        <f>IF(CurrentMtgRatesDataTable8[[#This Row],[WA CC]]&lt;&gt;0,C2479-CurrentMtgRatesDataTable8[[#This Row],[WA CC]],0)</f>
        <v>0</v>
      </c>
      <c r="L2480" s="70">
        <f>IF(CurrentMtgRatesDataTable8[[#This Row],[Servicing Spread]]&lt;=0,L2479,CurrentMtgRatesDataTable8[[#This Row],[Servicing Spread]])</f>
        <v>0.84753171821839191</v>
      </c>
      <c r="M2480" s="70">
        <f>CurrentMtgRatesDataTable8[[#This Row],[Servicing Spread Non-Zero]]-L2479</f>
        <v>0</v>
      </c>
      <c r="N2480" s="70">
        <f>IF(J2479&lt;&gt;0,CurrentMtgRatesDataTable8[[#This Row],[Rate]]-C2479,N2479)</f>
        <v>-0.125</v>
      </c>
    </row>
    <row r="2481" spans="1:14">
      <c r="A2481" s="67" t="s">
        <v>242</v>
      </c>
      <c r="B2481" s="68">
        <v>3.18365964576661</v>
      </c>
      <c r="C2481" s="69">
        <v>4.08</v>
      </c>
      <c r="D2481" s="70">
        <f t="shared" si="266"/>
        <v>6</v>
      </c>
      <c r="E2481" s="70">
        <f t="shared" si="267"/>
        <v>0.2</v>
      </c>
      <c r="F2481" s="70">
        <f t="shared" si="268"/>
        <v>4</v>
      </c>
      <c r="G2481" s="70">
        <f t="shared" si="269"/>
        <v>2.5955590959556303</v>
      </c>
      <c r="H2481" s="70">
        <f t="shared" si="270"/>
        <v>0.8</v>
      </c>
      <c r="I2481" s="70">
        <f t="shared" si="271"/>
        <v>0</v>
      </c>
      <c r="J2481" s="70">
        <f t="shared" si="272"/>
        <v>0</v>
      </c>
      <c r="K2481" s="70">
        <f>IF(CurrentMtgRatesDataTable8[[#This Row],[WA CC]]&lt;&gt;0,C2480-CurrentMtgRatesDataTable8[[#This Row],[WA CC]],0)</f>
        <v>0</v>
      </c>
      <c r="L2481" s="70">
        <f>IF(CurrentMtgRatesDataTable8[[#This Row],[Servicing Spread]]&lt;=0,L2480,CurrentMtgRatesDataTable8[[#This Row],[Servicing Spread]])</f>
        <v>0.84753171821839191</v>
      </c>
      <c r="M2481" s="70">
        <f>CurrentMtgRatesDataTable8[[#This Row],[Servicing Spread Non-Zero]]-L2480</f>
        <v>0</v>
      </c>
      <c r="N2481" s="70">
        <f>IF(J2480&lt;&gt;0,CurrentMtgRatesDataTable8[[#This Row],[Rate]]-C2480,N2480)</f>
        <v>-0.125</v>
      </c>
    </row>
    <row r="2482" spans="1:14">
      <c r="A2482" s="67" t="s">
        <v>99</v>
      </c>
      <c r="B2482" s="68">
        <v>3.1541714940092298</v>
      </c>
      <c r="C2482" s="69">
        <v>4.08</v>
      </c>
      <c r="D2482" s="70">
        <f t="shared" si="266"/>
        <v>7</v>
      </c>
      <c r="E2482" s="70">
        <f t="shared" si="267"/>
        <v>0.2</v>
      </c>
      <c r="F2482" s="70">
        <f t="shared" si="268"/>
        <v>5</v>
      </c>
      <c r="G2482" s="70">
        <f t="shared" si="269"/>
        <v>3.2263933947574763</v>
      </c>
      <c r="H2482" s="70">
        <f t="shared" si="270"/>
        <v>1</v>
      </c>
      <c r="I2482" s="70">
        <f t="shared" si="271"/>
        <v>1</v>
      </c>
      <c r="J2482" s="70">
        <f t="shared" si="272"/>
        <v>3.2263933947574763</v>
      </c>
      <c r="K2482" s="70">
        <f>IF(CurrentMtgRatesDataTable8[[#This Row],[WA CC]]&lt;&gt;0,C2481-CurrentMtgRatesDataTable8[[#This Row],[WA CC]],0)</f>
        <v>0.85360660524252374</v>
      </c>
      <c r="L2482" s="70">
        <f>IF(CurrentMtgRatesDataTable8[[#This Row],[Servicing Spread]]&lt;=0,L2481,CurrentMtgRatesDataTable8[[#This Row],[Servicing Spread]])</f>
        <v>0.85360660524252374</v>
      </c>
      <c r="M2482" s="70">
        <f>CurrentMtgRatesDataTable8[[#This Row],[Servicing Spread Non-Zero]]-L2481</f>
        <v>6.0748870241318365E-3</v>
      </c>
      <c r="N2482" s="70">
        <f>IF(J2481&lt;&gt;0,CurrentMtgRatesDataTable8[[#This Row],[Rate]]-C2481,N2481)</f>
        <v>-0.125</v>
      </c>
    </row>
    <row r="2483" spans="1:14">
      <c r="A2483" s="67" t="s">
        <v>663</v>
      </c>
      <c r="B2483" s="68">
        <v>3.1772287212477002</v>
      </c>
      <c r="C2483" s="69">
        <v>4.0249999999999995</v>
      </c>
      <c r="D2483" s="70">
        <f t="shared" si="266"/>
        <v>1</v>
      </c>
      <c r="E2483" s="70">
        <f t="shared" si="267"/>
        <v>0.2</v>
      </c>
      <c r="F2483" s="70">
        <f t="shared" si="268"/>
        <v>1</v>
      </c>
      <c r="G2483" s="70">
        <f t="shared" si="269"/>
        <v>0.63544574424954003</v>
      </c>
      <c r="H2483" s="70">
        <f t="shared" si="270"/>
        <v>0.2</v>
      </c>
      <c r="I2483" s="70">
        <f t="shared" si="271"/>
        <v>0</v>
      </c>
      <c r="J2483" s="70">
        <f t="shared" si="272"/>
        <v>0</v>
      </c>
      <c r="K2483" s="70">
        <f>IF(CurrentMtgRatesDataTable8[[#This Row],[WA CC]]&lt;&gt;0,C2482-CurrentMtgRatesDataTable8[[#This Row],[WA CC]],0)</f>
        <v>0</v>
      </c>
      <c r="L2483" s="70">
        <f>IF(CurrentMtgRatesDataTable8[[#This Row],[Servicing Spread]]&lt;=0,L2482,CurrentMtgRatesDataTable8[[#This Row],[Servicing Spread]])</f>
        <v>0.85360660524252374</v>
      </c>
      <c r="M2483" s="70">
        <f>CurrentMtgRatesDataTable8[[#This Row],[Servicing Spread Non-Zero]]-L2482</f>
        <v>0</v>
      </c>
      <c r="N2483" s="70">
        <f>IF(J2482&lt;&gt;0,CurrentMtgRatesDataTable8[[#This Row],[Rate]]-C2482,N2482)</f>
        <v>-5.5000000000000604E-2</v>
      </c>
    </row>
    <row r="2484" spans="1:14">
      <c r="A2484" s="67" t="s">
        <v>521</v>
      </c>
      <c r="B2484" s="68">
        <v>3.1521212861919801</v>
      </c>
      <c r="C2484" s="69">
        <v>4.0249999999999995</v>
      </c>
      <c r="D2484" s="70">
        <f t="shared" si="266"/>
        <v>2</v>
      </c>
      <c r="E2484" s="70">
        <f t="shared" si="267"/>
        <v>0.2</v>
      </c>
      <c r="F2484" s="70">
        <f t="shared" si="268"/>
        <v>2</v>
      </c>
      <c r="G2484" s="70">
        <f t="shared" si="269"/>
        <v>1.265870001487936</v>
      </c>
      <c r="H2484" s="70">
        <f t="shared" si="270"/>
        <v>0.4</v>
      </c>
      <c r="I2484" s="70">
        <f t="shared" si="271"/>
        <v>0</v>
      </c>
      <c r="J2484" s="70">
        <f t="shared" si="272"/>
        <v>0</v>
      </c>
      <c r="K2484" s="70">
        <f>IF(CurrentMtgRatesDataTable8[[#This Row],[WA CC]]&lt;&gt;0,C2483-CurrentMtgRatesDataTable8[[#This Row],[WA CC]],0)</f>
        <v>0</v>
      </c>
      <c r="L2484" s="70">
        <f>IF(CurrentMtgRatesDataTable8[[#This Row],[Servicing Spread]]&lt;=0,L2483,CurrentMtgRatesDataTable8[[#This Row],[Servicing Spread]])</f>
        <v>0.85360660524252374</v>
      </c>
      <c r="M2484" s="70">
        <f>CurrentMtgRatesDataTable8[[#This Row],[Servicing Spread Non-Zero]]-L2483</f>
        <v>0</v>
      </c>
      <c r="N2484" s="70">
        <f>IF(J2483&lt;&gt;0,CurrentMtgRatesDataTable8[[#This Row],[Rate]]-C2483,N2483)</f>
        <v>-5.5000000000000604E-2</v>
      </c>
    </row>
    <row r="2485" spans="1:14">
      <c r="A2485" s="67" t="s">
        <v>379</v>
      </c>
      <c r="B2485" s="68">
        <v>3.1593236616906499</v>
      </c>
      <c r="C2485" s="69">
        <v>4.0249999999999995</v>
      </c>
      <c r="D2485" s="70">
        <f t="shared" si="266"/>
        <v>5</v>
      </c>
      <c r="E2485" s="70">
        <f t="shared" si="267"/>
        <v>0.2</v>
      </c>
      <c r="F2485" s="70">
        <f t="shared" si="268"/>
        <v>3</v>
      </c>
      <c r="G2485" s="70">
        <f t="shared" si="269"/>
        <v>1.8977347338260659</v>
      </c>
      <c r="H2485" s="70">
        <f t="shared" si="270"/>
        <v>0.60000000000000009</v>
      </c>
      <c r="I2485" s="70">
        <f t="shared" si="271"/>
        <v>0</v>
      </c>
      <c r="J2485" s="70">
        <f t="shared" si="272"/>
        <v>0</v>
      </c>
      <c r="K2485" s="70">
        <f>IF(CurrentMtgRatesDataTable8[[#This Row],[WA CC]]&lt;&gt;0,C2484-CurrentMtgRatesDataTable8[[#This Row],[WA CC]],0)</f>
        <v>0</v>
      </c>
      <c r="L2485" s="70">
        <f>IF(CurrentMtgRatesDataTable8[[#This Row],[Servicing Spread]]&lt;=0,L2484,CurrentMtgRatesDataTable8[[#This Row],[Servicing Spread]])</f>
        <v>0.85360660524252374</v>
      </c>
      <c r="M2485" s="70">
        <f>CurrentMtgRatesDataTable8[[#This Row],[Servicing Spread Non-Zero]]-L2484</f>
        <v>0</v>
      </c>
      <c r="N2485" s="70">
        <f>IF(J2484&lt;&gt;0,CurrentMtgRatesDataTable8[[#This Row],[Rate]]-C2484,N2484)</f>
        <v>-5.5000000000000604E-2</v>
      </c>
    </row>
    <row r="2486" spans="1:14">
      <c r="A2486" s="67" t="s">
        <v>243</v>
      </c>
      <c r="B2486" s="68">
        <v>3.1543237441163701</v>
      </c>
      <c r="C2486" s="69">
        <v>4.0249999999999995</v>
      </c>
      <c r="D2486" s="70">
        <f t="shared" si="266"/>
        <v>6</v>
      </c>
      <c r="E2486" s="70">
        <f t="shared" si="267"/>
        <v>0.2</v>
      </c>
      <c r="F2486" s="70">
        <f t="shared" si="268"/>
        <v>4</v>
      </c>
      <c r="G2486" s="70">
        <f t="shared" si="269"/>
        <v>2.5285994826493399</v>
      </c>
      <c r="H2486" s="70">
        <f t="shared" si="270"/>
        <v>0.8</v>
      </c>
      <c r="I2486" s="70">
        <f t="shared" si="271"/>
        <v>0</v>
      </c>
      <c r="J2486" s="70">
        <f t="shared" si="272"/>
        <v>0</v>
      </c>
      <c r="K2486" s="70">
        <f>IF(CurrentMtgRatesDataTable8[[#This Row],[WA CC]]&lt;&gt;0,C2485-CurrentMtgRatesDataTable8[[#This Row],[WA CC]],0)</f>
        <v>0</v>
      </c>
      <c r="L2486" s="70">
        <f>IF(CurrentMtgRatesDataTable8[[#This Row],[Servicing Spread]]&lt;=0,L2485,CurrentMtgRatesDataTable8[[#This Row],[Servicing Spread]])</f>
        <v>0.85360660524252374</v>
      </c>
      <c r="M2486" s="70">
        <f>CurrentMtgRatesDataTable8[[#This Row],[Servicing Spread Non-Zero]]-L2485</f>
        <v>0</v>
      </c>
      <c r="N2486" s="70">
        <f>IF(J2485&lt;&gt;0,CurrentMtgRatesDataTable8[[#This Row],[Rate]]-C2485,N2485)</f>
        <v>-5.5000000000000604E-2</v>
      </c>
    </row>
    <row r="2487" spans="1:14">
      <c r="A2487" s="67" t="s">
        <v>100</v>
      </c>
      <c r="B2487" s="68">
        <v>3.1611386444386498</v>
      </c>
      <c r="C2487" s="69">
        <v>4.0249999999999995</v>
      </c>
      <c r="D2487" s="70">
        <f t="shared" si="266"/>
        <v>7</v>
      </c>
      <c r="E2487" s="70">
        <f t="shared" si="267"/>
        <v>0.2</v>
      </c>
      <c r="F2487" s="70">
        <f t="shared" si="268"/>
        <v>5</v>
      </c>
      <c r="G2487" s="70">
        <f t="shared" si="269"/>
        <v>3.1608272115370699</v>
      </c>
      <c r="H2487" s="70">
        <f t="shared" si="270"/>
        <v>1</v>
      </c>
      <c r="I2487" s="70">
        <f t="shared" si="271"/>
        <v>1</v>
      </c>
      <c r="J2487" s="70">
        <f t="shared" si="272"/>
        <v>3.1608272115370699</v>
      </c>
      <c r="K2487" s="70">
        <f>IF(CurrentMtgRatesDataTable8[[#This Row],[WA CC]]&lt;&gt;0,C2486-CurrentMtgRatesDataTable8[[#This Row],[WA CC]],0)</f>
        <v>0.86417278846292955</v>
      </c>
      <c r="L2487" s="70">
        <f>IF(CurrentMtgRatesDataTable8[[#This Row],[Servicing Spread]]&lt;=0,L2486,CurrentMtgRatesDataTable8[[#This Row],[Servicing Spread]])</f>
        <v>0.86417278846292955</v>
      </c>
      <c r="M2487" s="70">
        <f>CurrentMtgRatesDataTable8[[#This Row],[Servicing Spread Non-Zero]]-L2486</f>
        <v>1.0566183220405811E-2</v>
      </c>
      <c r="N2487" s="70">
        <f>IF(J2486&lt;&gt;0,CurrentMtgRatesDataTable8[[#This Row],[Rate]]-C2486,N2486)</f>
        <v>-5.5000000000000604E-2</v>
      </c>
    </row>
    <row r="2488" spans="1:14">
      <c r="A2488" s="67" t="s">
        <v>664</v>
      </c>
      <c r="B2488" s="68">
        <v>3.1803565883984102</v>
      </c>
      <c r="C2488" s="69">
        <v>4.1100000000000003</v>
      </c>
      <c r="D2488" s="70">
        <f t="shared" si="266"/>
        <v>1</v>
      </c>
      <c r="E2488" s="70">
        <f t="shared" si="267"/>
        <v>0.2</v>
      </c>
      <c r="F2488" s="70">
        <f t="shared" si="268"/>
        <v>1</v>
      </c>
      <c r="G2488" s="70">
        <f t="shared" si="269"/>
        <v>0.63607131767968206</v>
      </c>
      <c r="H2488" s="70">
        <f t="shared" si="270"/>
        <v>0.2</v>
      </c>
      <c r="I2488" s="70">
        <f t="shared" si="271"/>
        <v>0</v>
      </c>
      <c r="J2488" s="70">
        <f t="shared" si="272"/>
        <v>0</v>
      </c>
      <c r="K2488" s="70">
        <f>IF(CurrentMtgRatesDataTable8[[#This Row],[WA CC]]&lt;&gt;0,C2487-CurrentMtgRatesDataTable8[[#This Row],[WA CC]],0)</f>
        <v>0</v>
      </c>
      <c r="L2488" s="70">
        <f>IF(CurrentMtgRatesDataTable8[[#This Row],[Servicing Spread]]&lt;=0,L2487,CurrentMtgRatesDataTable8[[#This Row],[Servicing Spread]])</f>
        <v>0.86417278846292955</v>
      </c>
      <c r="M2488" s="70">
        <f>CurrentMtgRatesDataTable8[[#This Row],[Servicing Spread Non-Zero]]-L2487</f>
        <v>0</v>
      </c>
      <c r="N2488" s="70">
        <f>IF(J2487&lt;&gt;0,CurrentMtgRatesDataTable8[[#This Row],[Rate]]-C2487,N2487)</f>
        <v>8.5000000000000853E-2</v>
      </c>
    </row>
    <row r="2489" spans="1:14">
      <c r="A2489" s="67" t="s">
        <v>522</v>
      </c>
      <c r="B2489" s="68">
        <v>3.25928309164834</v>
      </c>
      <c r="C2489" s="69">
        <v>4.1100000000000003</v>
      </c>
      <c r="D2489" s="70">
        <f t="shared" si="266"/>
        <v>2</v>
      </c>
      <c r="E2489" s="70">
        <f t="shared" si="267"/>
        <v>0.2</v>
      </c>
      <c r="F2489" s="70">
        <f t="shared" si="268"/>
        <v>2</v>
      </c>
      <c r="G2489" s="70">
        <f t="shared" si="269"/>
        <v>1.2879279360093501</v>
      </c>
      <c r="H2489" s="70">
        <f t="shared" si="270"/>
        <v>0.4</v>
      </c>
      <c r="I2489" s="70">
        <f t="shared" si="271"/>
        <v>0</v>
      </c>
      <c r="J2489" s="70">
        <f t="shared" si="272"/>
        <v>0</v>
      </c>
      <c r="K2489" s="70">
        <f>IF(CurrentMtgRatesDataTable8[[#This Row],[WA CC]]&lt;&gt;0,C2488-CurrentMtgRatesDataTable8[[#This Row],[WA CC]],0)</f>
        <v>0</v>
      </c>
      <c r="L2489" s="70">
        <f>IF(CurrentMtgRatesDataTable8[[#This Row],[Servicing Spread]]&lt;=0,L2488,CurrentMtgRatesDataTable8[[#This Row],[Servicing Spread]])</f>
        <v>0.86417278846292955</v>
      </c>
      <c r="M2489" s="70">
        <f>CurrentMtgRatesDataTable8[[#This Row],[Servicing Spread Non-Zero]]-L2488</f>
        <v>0</v>
      </c>
      <c r="N2489" s="70">
        <f>IF(J2488&lt;&gt;0,CurrentMtgRatesDataTable8[[#This Row],[Rate]]-C2488,N2488)</f>
        <v>8.5000000000000853E-2</v>
      </c>
    </row>
    <row r="2490" spans="1:14">
      <c r="A2490" s="67" t="s">
        <v>380</v>
      </c>
      <c r="B2490" s="68">
        <v>3.2387584524434998</v>
      </c>
      <c r="C2490" s="69">
        <v>4.1100000000000003</v>
      </c>
      <c r="D2490" s="70">
        <f t="shared" si="266"/>
        <v>5</v>
      </c>
      <c r="E2490" s="70">
        <f t="shared" si="267"/>
        <v>0.2</v>
      </c>
      <c r="F2490" s="70">
        <f t="shared" si="268"/>
        <v>3</v>
      </c>
      <c r="G2490" s="70">
        <f t="shared" si="269"/>
        <v>1.93567962649805</v>
      </c>
      <c r="H2490" s="70">
        <f t="shared" si="270"/>
        <v>0.60000000000000009</v>
      </c>
      <c r="I2490" s="70">
        <f t="shared" si="271"/>
        <v>0</v>
      </c>
      <c r="J2490" s="70">
        <f t="shared" si="272"/>
        <v>0</v>
      </c>
      <c r="K2490" s="70">
        <f>IF(CurrentMtgRatesDataTable8[[#This Row],[WA CC]]&lt;&gt;0,C2489-CurrentMtgRatesDataTable8[[#This Row],[WA CC]],0)</f>
        <v>0</v>
      </c>
      <c r="L2490" s="70">
        <f>IF(CurrentMtgRatesDataTable8[[#This Row],[Servicing Spread]]&lt;=0,L2489,CurrentMtgRatesDataTable8[[#This Row],[Servicing Spread]])</f>
        <v>0.86417278846292955</v>
      </c>
      <c r="M2490" s="70">
        <f>CurrentMtgRatesDataTable8[[#This Row],[Servicing Spread Non-Zero]]-L2489</f>
        <v>0</v>
      </c>
      <c r="N2490" s="70">
        <f>IF(J2489&lt;&gt;0,CurrentMtgRatesDataTable8[[#This Row],[Rate]]-C2489,N2489)</f>
        <v>8.5000000000000853E-2</v>
      </c>
    </row>
    <row r="2491" spans="1:14">
      <c r="A2491" s="67" t="s">
        <v>244</v>
      </c>
      <c r="B2491" s="68">
        <v>3.31200880777374</v>
      </c>
      <c r="C2491" s="69">
        <v>4.1100000000000003</v>
      </c>
      <c r="D2491" s="70">
        <f t="shared" si="266"/>
        <v>6</v>
      </c>
      <c r="E2491" s="70">
        <f t="shared" si="267"/>
        <v>0.2</v>
      </c>
      <c r="F2491" s="70">
        <f t="shared" si="268"/>
        <v>4</v>
      </c>
      <c r="G2491" s="70">
        <f t="shared" si="269"/>
        <v>2.598081388052798</v>
      </c>
      <c r="H2491" s="70">
        <f t="shared" si="270"/>
        <v>0.8</v>
      </c>
      <c r="I2491" s="70">
        <f t="shared" si="271"/>
        <v>0</v>
      </c>
      <c r="J2491" s="70">
        <f t="shared" si="272"/>
        <v>0</v>
      </c>
      <c r="K2491" s="70">
        <f>IF(CurrentMtgRatesDataTable8[[#This Row],[WA CC]]&lt;&gt;0,C2490-CurrentMtgRatesDataTable8[[#This Row],[WA CC]],0)</f>
        <v>0</v>
      </c>
      <c r="L2491" s="70">
        <f>IF(CurrentMtgRatesDataTable8[[#This Row],[Servicing Spread]]&lt;=0,L2490,CurrentMtgRatesDataTable8[[#This Row],[Servicing Spread]])</f>
        <v>0.86417278846292955</v>
      </c>
      <c r="M2491" s="70">
        <f>CurrentMtgRatesDataTable8[[#This Row],[Servicing Spread Non-Zero]]-L2490</f>
        <v>0</v>
      </c>
      <c r="N2491" s="70">
        <f>IF(J2490&lt;&gt;0,CurrentMtgRatesDataTable8[[#This Row],[Rate]]-C2490,N2490)</f>
        <v>8.5000000000000853E-2</v>
      </c>
    </row>
    <row r="2492" spans="1:14">
      <c r="A2492" s="67" t="s">
        <v>101</v>
      </c>
      <c r="B2492" s="68">
        <v>3.2997347907142101</v>
      </c>
      <c r="C2492" s="69">
        <v>4.1100000000000003</v>
      </c>
      <c r="D2492" s="70">
        <f t="shared" si="266"/>
        <v>7</v>
      </c>
      <c r="E2492" s="70">
        <f t="shared" si="267"/>
        <v>0.2</v>
      </c>
      <c r="F2492" s="70">
        <f t="shared" si="268"/>
        <v>5</v>
      </c>
      <c r="G2492" s="70">
        <f t="shared" si="269"/>
        <v>3.2580283461956401</v>
      </c>
      <c r="H2492" s="70">
        <f t="shared" si="270"/>
        <v>1</v>
      </c>
      <c r="I2492" s="70">
        <f t="shared" si="271"/>
        <v>1</v>
      </c>
      <c r="J2492" s="70">
        <f t="shared" si="272"/>
        <v>3.2580283461956401</v>
      </c>
      <c r="K2492" s="70">
        <f>IF(CurrentMtgRatesDataTable8[[#This Row],[WA CC]]&lt;&gt;0,C2491-CurrentMtgRatesDataTable8[[#This Row],[WA CC]],0)</f>
        <v>0.85197165380436024</v>
      </c>
      <c r="L2492" s="70">
        <f>IF(CurrentMtgRatesDataTable8[[#This Row],[Servicing Spread]]&lt;=0,L2491,CurrentMtgRatesDataTable8[[#This Row],[Servicing Spread]])</f>
        <v>0.85197165380436024</v>
      </c>
      <c r="M2492" s="70">
        <f>CurrentMtgRatesDataTable8[[#This Row],[Servicing Spread Non-Zero]]-L2491</f>
        <v>-1.2201134658569313E-2</v>
      </c>
      <c r="N2492" s="70">
        <f>IF(J2491&lt;&gt;0,CurrentMtgRatesDataTable8[[#This Row],[Rate]]-C2491,N2491)</f>
        <v>8.5000000000000853E-2</v>
      </c>
    </row>
    <row r="2493" spans="1:14">
      <c r="A2493" s="67" t="s">
        <v>665</v>
      </c>
      <c r="B2493" s="68">
        <v>3.2915305734964</v>
      </c>
      <c r="C2493" s="69">
        <v>4.2749999999999995</v>
      </c>
      <c r="D2493" s="70">
        <f t="shared" si="266"/>
        <v>1</v>
      </c>
      <c r="E2493" s="70">
        <f t="shared" si="267"/>
        <v>0.2</v>
      </c>
      <c r="F2493" s="70">
        <f t="shared" si="268"/>
        <v>1</v>
      </c>
      <c r="G2493" s="70">
        <f t="shared" si="269"/>
        <v>0.65830611469928002</v>
      </c>
      <c r="H2493" s="70">
        <f t="shared" si="270"/>
        <v>0.2</v>
      </c>
      <c r="I2493" s="70">
        <f t="shared" si="271"/>
        <v>0</v>
      </c>
      <c r="J2493" s="70">
        <f t="shared" si="272"/>
        <v>0</v>
      </c>
      <c r="K2493" s="70">
        <f>IF(CurrentMtgRatesDataTable8[[#This Row],[WA CC]]&lt;&gt;0,C2492-CurrentMtgRatesDataTable8[[#This Row],[WA CC]],0)</f>
        <v>0</v>
      </c>
      <c r="L2493" s="70">
        <f>IF(CurrentMtgRatesDataTable8[[#This Row],[Servicing Spread]]&lt;=0,L2492,CurrentMtgRatesDataTable8[[#This Row],[Servicing Spread]])</f>
        <v>0.85197165380436024</v>
      </c>
      <c r="M2493" s="70">
        <f>CurrentMtgRatesDataTable8[[#This Row],[Servicing Spread Non-Zero]]-L2492</f>
        <v>0</v>
      </c>
      <c r="N2493" s="70">
        <f>IF(J2492&lt;&gt;0,CurrentMtgRatesDataTable8[[#This Row],[Rate]]-C2492,N2492)</f>
        <v>0.16499999999999915</v>
      </c>
    </row>
    <row r="2494" spans="1:14">
      <c r="A2494" s="67" t="s">
        <v>523</v>
      </c>
      <c r="B2494" s="68">
        <v>3.4185329478981301</v>
      </c>
      <c r="C2494" s="69">
        <v>4.2749999999999995</v>
      </c>
      <c r="D2494" s="70">
        <f t="shared" si="266"/>
        <v>2</v>
      </c>
      <c r="E2494" s="70">
        <f t="shared" si="267"/>
        <v>0.2</v>
      </c>
      <c r="F2494" s="70">
        <f t="shared" si="268"/>
        <v>2</v>
      </c>
      <c r="G2494" s="70">
        <f t="shared" si="269"/>
        <v>1.3420127042789061</v>
      </c>
      <c r="H2494" s="70">
        <f t="shared" si="270"/>
        <v>0.4</v>
      </c>
      <c r="I2494" s="70">
        <f t="shared" si="271"/>
        <v>0</v>
      </c>
      <c r="J2494" s="70">
        <f t="shared" si="272"/>
        <v>0</v>
      </c>
      <c r="K2494" s="70">
        <f>IF(CurrentMtgRatesDataTable8[[#This Row],[WA CC]]&lt;&gt;0,C2493-CurrentMtgRatesDataTable8[[#This Row],[WA CC]],0)</f>
        <v>0</v>
      </c>
      <c r="L2494" s="70">
        <f>IF(CurrentMtgRatesDataTable8[[#This Row],[Servicing Spread]]&lt;=0,L2493,CurrentMtgRatesDataTable8[[#This Row],[Servicing Spread]])</f>
        <v>0.85197165380436024</v>
      </c>
      <c r="M2494" s="70">
        <f>CurrentMtgRatesDataTable8[[#This Row],[Servicing Spread Non-Zero]]-L2493</f>
        <v>0</v>
      </c>
      <c r="N2494" s="70">
        <f>IF(J2493&lt;&gt;0,CurrentMtgRatesDataTable8[[#This Row],[Rate]]-C2493,N2493)</f>
        <v>0.16499999999999915</v>
      </c>
    </row>
    <row r="2495" spans="1:14">
      <c r="A2495" s="67" t="s">
        <v>245</v>
      </c>
      <c r="B2495" s="68">
        <v>3.42394236396553</v>
      </c>
      <c r="C2495" s="69">
        <v>4.2749999999999995</v>
      </c>
      <c r="D2495" s="70">
        <f t="shared" si="266"/>
        <v>6</v>
      </c>
      <c r="E2495" s="70">
        <f t="shared" si="267"/>
        <v>0.2</v>
      </c>
      <c r="F2495" s="70">
        <f t="shared" si="268"/>
        <v>3</v>
      </c>
      <c r="G2495" s="70">
        <f t="shared" si="269"/>
        <v>2.026801177072012</v>
      </c>
      <c r="H2495" s="70">
        <f t="shared" si="270"/>
        <v>0.60000000000000009</v>
      </c>
      <c r="I2495" s="70">
        <f t="shared" si="271"/>
        <v>0</v>
      </c>
      <c r="J2495" s="70">
        <f t="shared" si="272"/>
        <v>0</v>
      </c>
      <c r="K2495" s="70">
        <f>IF(CurrentMtgRatesDataTable8[[#This Row],[WA CC]]&lt;&gt;0,C2494-CurrentMtgRatesDataTable8[[#This Row],[WA CC]],0)</f>
        <v>0</v>
      </c>
      <c r="L2495" s="70">
        <f>IF(CurrentMtgRatesDataTable8[[#This Row],[Servicing Spread]]&lt;=0,L2494,CurrentMtgRatesDataTable8[[#This Row],[Servicing Spread]])</f>
        <v>0.85197165380436024</v>
      </c>
      <c r="M2495" s="70">
        <f>CurrentMtgRatesDataTable8[[#This Row],[Servicing Spread Non-Zero]]-L2494</f>
        <v>0</v>
      </c>
      <c r="N2495" s="70">
        <f>IF(J2494&lt;&gt;0,CurrentMtgRatesDataTable8[[#This Row],[Rate]]-C2494,N2494)</f>
        <v>0.16499999999999915</v>
      </c>
    </row>
    <row r="2496" spans="1:14">
      <c r="A2496" s="67" t="s">
        <v>102</v>
      </c>
      <c r="B2496" s="68">
        <v>3.3863287913399098</v>
      </c>
      <c r="C2496" s="69">
        <v>4.2749999999999995</v>
      </c>
      <c r="D2496" s="70">
        <f t="shared" si="266"/>
        <v>7</v>
      </c>
      <c r="E2496" s="70">
        <f t="shared" si="267"/>
        <v>0.2</v>
      </c>
      <c r="F2496" s="70">
        <f t="shared" si="268"/>
        <v>4</v>
      </c>
      <c r="G2496" s="70">
        <f t="shared" si="269"/>
        <v>2.704066935339994</v>
      </c>
      <c r="H2496" s="70">
        <f t="shared" si="270"/>
        <v>0.8</v>
      </c>
      <c r="I2496" s="70">
        <f t="shared" si="271"/>
        <v>1</v>
      </c>
      <c r="J2496" s="70">
        <f t="shared" si="272"/>
        <v>3.3800836691749923</v>
      </c>
      <c r="K2496" s="70">
        <f>IF(CurrentMtgRatesDataTable8[[#This Row],[WA CC]]&lt;&gt;0,C2495-CurrentMtgRatesDataTable8[[#This Row],[WA CC]],0)</f>
        <v>0.89491633082500721</v>
      </c>
      <c r="L2496" s="70">
        <f>IF(CurrentMtgRatesDataTable8[[#This Row],[Servicing Spread]]&lt;=0,L2495,CurrentMtgRatesDataTable8[[#This Row],[Servicing Spread]])</f>
        <v>0.89491633082500721</v>
      </c>
      <c r="M2496" s="70">
        <f>CurrentMtgRatesDataTable8[[#This Row],[Servicing Spread Non-Zero]]-L2495</f>
        <v>4.2944677020646971E-2</v>
      </c>
      <c r="N2496" s="70">
        <f>IF(J2495&lt;&gt;0,CurrentMtgRatesDataTable8[[#This Row],[Rate]]-C2495,N2495)</f>
        <v>0.16499999999999915</v>
      </c>
    </row>
    <row r="2497" spans="1:14">
      <c r="A2497" s="67" t="s">
        <v>666</v>
      </c>
      <c r="B2497" s="68">
        <v>3.33440232330382</v>
      </c>
      <c r="C2497" s="69">
        <v>4.1449999999999996</v>
      </c>
      <c r="D2497" s="70">
        <f t="shared" si="266"/>
        <v>1</v>
      </c>
      <c r="E2497" s="70">
        <f t="shared" si="267"/>
        <v>0.2</v>
      </c>
      <c r="F2497" s="70">
        <f t="shared" si="268"/>
        <v>1</v>
      </c>
      <c r="G2497" s="70">
        <f t="shared" si="269"/>
        <v>0.66688046466076401</v>
      </c>
      <c r="H2497" s="70">
        <f t="shared" si="270"/>
        <v>0.2</v>
      </c>
      <c r="I2497" s="70">
        <f t="shared" si="271"/>
        <v>0</v>
      </c>
      <c r="J2497" s="70">
        <f t="shared" si="272"/>
        <v>0</v>
      </c>
      <c r="K2497" s="70">
        <f>IF(CurrentMtgRatesDataTable8[[#This Row],[WA CC]]&lt;&gt;0,C2496-CurrentMtgRatesDataTable8[[#This Row],[WA CC]],0)</f>
        <v>0</v>
      </c>
      <c r="L2497" s="70">
        <f>IF(CurrentMtgRatesDataTable8[[#This Row],[Servicing Spread]]&lt;=0,L2496,CurrentMtgRatesDataTable8[[#This Row],[Servicing Spread]])</f>
        <v>0.89491633082500721</v>
      </c>
      <c r="M2497" s="70">
        <f>CurrentMtgRatesDataTable8[[#This Row],[Servicing Spread Non-Zero]]-L2496</f>
        <v>0</v>
      </c>
      <c r="N2497" s="70">
        <f>IF(J2496&lt;&gt;0,CurrentMtgRatesDataTable8[[#This Row],[Rate]]-C2496,N2496)</f>
        <v>-0.12999999999999989</v>
      </c>
    </row>
    <row r="2498" spans="1:14">
      <c r="A2498" s="67" t="s">
        <v>524</v>
      </c>
      <c r="B2498" s="68">
        <v>3.3274975263328299</v>
      </c>
      <c r="C2498" s="69">
        <v>4.1449999999999996</v>
      </c>
      <c r="D2498" s="70">
        <f t="shared" si="266"/>
        <v>2</v>
      </c>
      <c r="E2498" s="70">
        <f t="shared" si="267"/>
        <v>0.2</v>
      </c>
      <c r="F2498" s="70">
        <f t="shared" si="268"/>
        <v>2</v>
      </c>
      <c r="G2498" s="70">
        <f t="shared" si="269"/>
        <v>1.33237996992733</v>
      </c>
      <c r="H2498" s="70">
        <f t="shared" si="270"/>
        <v>0.4</v>
      </c>
      <c r="I2498" s="70">
        <f t="shared" si="271"/>
        <v>0</v>
      </c>
      <c r="J2498" s="70">
        <f t="shared" si="272"/>
        <v>0</v>
      </c>
      <c r="K2498" s="70">
        <f>IF(CurrentMtgRatesDataTable8[[#This Row],[WA CC]]&lt;&gt;0,C2497-CurrentMtgRatesDataTable8[[#This Row],[WA CC]],0)</f>
        <v>0</v>
      </c>
      <c r="L2498" s="70">
        <f>IF(CurrentMtgRatesDataTable8[[#This Row],[Servicing Spread]]&lt;=0,L2497,CurrentMtgRatesDataTable8[[#This Row],[Servicing Spread]])</f>
        <v>0.89491633082500721</v>
      </c>
      <c r="M2498" s="70">
        <f>CurrentMtgRatesDataTable8[[#This Row],[Servicing Spread Non-Zero]]-L2497</f>
        <v>0</v>
      </c>
      <c r="N2498" s="70">
        <f>IF(J2497&lt;&gt;0,CurrentMtgRatesDataTable8[[#This Row],[Rate]]-C2497,N2497)</f>
        <v>-0.12999999999999989</v>
      </c>
    </row>
    <row r="2499" spans="1:14">
      <c r="A2499" s="67" t="s">
        <v>381</v>
      </c>
      <c r="B2499" s="68">
        <v>3.2892170945558501</v>
      </c>
      <c r="C2499" s="69">
        <v>4.1449999999999996</v>
      </c>
      <c r="D2499" s="70">
        <f t="shared" si="266"/>
        <v>5</v>
      </c>
      <c r="E2499" s="70">
        <f t="shared" si="267"/>
        <v>0.2</v>
      </c>
      <c r="F2499" s="70">
        <f t="shared" si="268"/>
        <v>3</v>
      </c>
      <c r="G2499" s="70">
        <f t="shared" si="269"/>
        <v>1.9902233888384999</v>
      </c>
      <c r="H2499" s="70">
        <f t="shared" si="270"/>
        <v>0.60000000000000009</v>
      </c>
      <c r="I2499" s="70">
        <f t="shared" si="271"/>
        <v>0</v>
      </c>
      <c r="J2499" s="70">
        <f t="shared" si="272"/>
        <v>0</v>
      </c>
      <c r="K2499" s="70">
        <f>IF(CurrentMtgRatesDataTable8[[#This Row],[WA CC]]&lt;&gt;0,C2498-CurrentMtgRatesDataTable8[[#This Row],[WA CC]],0)</f>
        <v>0</v>
      </c>
      <c r="L2499" s="70">
        <f>IF(CurrentMtgRatesDataTable8[[#This Row],[Servicing Spread]]&lt;=0,L2498,CurrentMtgRatesDataTable8[[#This Row],[Servicing Spread]])</f>
        <v>0.89491633082500721</v>
      </c>
      <c r="M2499" s="70">
        <f>CurrentMtgRatesDataTable8[[#This Row],[Servicing Spread Non-Zero]]-L2498</f>
        <v>0</v>
      </c>
      <c r="N2499" s="70">
        <f>IF(J2498&lt;&gt;0,CurrentMtgRatesDataTable8[[#This Row],[Rate]]-C2498,N2498)</f>
        <v>-0.12999999999999989</v>
      </c>
    </row>
    <row r="2500" spans="1:14">
      <c r="A2500" s="67" t="s">
        <v>246</v>
      </c>
      <c r="B2500" s="68">
        <v>3.3249162804545902</v>
      </c>
      <c r="C2500" s="69">
        <v>4.1449999999999996</v>
      </c>
      <c r="D2500" s="70">
        <f t="shared" si="266"/>
        <v>6</v>
      </c>
      <c r="E2500" s="70">
        <f t="shared" si="267"/>
        <v>0.2</v>
      </c>
      <c r="F2500" s="70">
        <f t="shared" si="268"/>
        <v>4</v>
      </c>
      <c r="G2500" s="70">
        <f t="shared" si="269"/>
        <v>2.655206644929418</v>
      </c>
      <c r="H2500" s="70">
        <f t="shared" si="270"/>
        <v>0.8</v>
      </c>
      <c r="I2500" s="70">
        <f t="shared" si="271"/>
        <v>0</v>
      </c>
      <c r="J2500" s="70">
        <f t="shared" si="272"/>
        <v>0</v>
      </c>
      <c r="K2500" s="70">
        <f>IF(CurrentMtgRatesDataTable8[[#This Row],[WA CC]]&lt;&gt;0,C2499-CurrentMtgRatesDataTable8[[#This Row],[WA CC]],0)</f>
        <v>0</v>
      </c>
      <c r="L2500" s="70">
        <f>IF(CurrentMtgRatesDataTable8[[#This Row],[Servicing Spread]]&lt;=0,L2499,CurrentMtgRatesDataTable8[[#This Row],[Servicing Spread]])</f>
        <v>0.89491633082500721</v>
      </c>
      <c r="M2500" s="70">
        <f>CurrentMtgRatesDataTable8[[#This Row],[Servicing Spread Non-Zero]]-L2499</f>
        <v>0</v>
      </c>
      <c r="N2500" s="70">
        <f>IF(J2499&lt;&gt;0,CurrentMtgRatesDataTable8[[#This Row],[Rate]]-C2499,N2499)</f>
        <v>-0.12999999999999989</v>
      </c>
    </row>
    <row r="2501" spans="1:14">
      <c r="A2501" s="67" t="s">
        <v>103</v>
      </c>
      <c r="B2501" s="68">
        <v>3.3953888640544201</v>
      </c>
      <c r="C2501" s="69">
        <v>4.1449999999999996</v>
      </c>
      <c r="D2501" s="70">
        <f t="shared" ref="D2501:D2564" si="273">WEEKDAY(A2501,14)</f>
        <v>7</v>
      </c>
      <c r="E2501" s="70">
        <f t="shared" ref="E2501:E2564" si="274">VLOOKUP(D2501,Q$5:R$11,2,FALSE)</f>
        <v>0.2</v>
      </c>
      <c r="F2501" s="70">
        <f t="shared" ref="F2501:F2564" si="275">IF(AND(D2501&gt;D2500,F2500&lt;6),F2500+1,1)</f>
        <v>5</v>
      </c>
      <c r="G2501" s="70">
        <f t="shared" ref="G2501:G2564" si="276">IF(F2501&gt;F2500,G2500+B2501*E2501,B2501*E2501)</f>
        <v>3.3342844177403022</v>
      </c>
      <c r="H2501" s="70">
        <f t="shared" ref="H2501:H2564" si="277">IF(AND(F2501&lt;6,F2501&gt;F2500),E2501+H2500,E2501)</f>
        <v>1</v>
      </c>
      <c r="I2501" s="70">
        <f t="shared" ref="I2501:I2564" si="278">IF(F2501&gt;F2502,1,0)</f>
        <v>1</v>
      </c>
      <c r="J2501" s="70">
        <f t="shared" ref="J2501:J2564" si="279">IF(F2501&gt;F2502,G2501/H2501,0)</f>
        <v>3.3342844177403022</v>
      </c>
      <c r="K2501" s="70">
        <f>IF(CurrentMtgRatesDataTable8[[#This Row],[WA CC]]&lt;&gt;0,C2500-CurrentMtgRatesDataTable8[[#This Row],[WA CC]],0)</f>
        <v>0.81071558225969742</v>
      </c>
      <c r="L2501" s="70">
        <f>IF(CurrentMtgRatesDataTable8[[#This Row],[Servicing Spread]]&lt;=0,L2500,CurrentMtgRatesDataTable8[[#This Row],[Servicing Spread]])</f>
        <v>0.81071558225969742</v>
      </c>
      <c r="M2501" s="70">
        <f>CurrentMtgRatesDataTable8[[#This Row],[Servicing Spread Non-Zero]]-L2500</f>
        <v>-8.4200748565309791E-2</v>
      </c>
      <c r="N2501" s="70">
        <f>IF(J2500&lt;&gt;0,CurrentMtgRatesDataTable8[[#This Row],[Rate]]-C2500,N2500)</f>
        <v>-0.12999999999999989</v>
      </c>
    </row>
    <row r="2502" spans="1:14">
      <c r="A2502" s="67" t="s">
        <v>525</v>
      </c>
      <c r="B2502" s="68">
        <v>3.3902241574747198</v>
      </c>
      <c r="C2502" s="69">
        <v>4.2149999999999999</v>
      </c>
      <c r="D2502" s="70">
        <f t="shared" si="273"/>
        <v>1</v>
      </c>
      <c r="E2502" s="70">
        <f t="shared" si="274"/>
        <v>0.2</v>
      </c>
      <c r="F2502" s="70">
        <f t="shared" si="275"/>
        <v>1</v>
      </c>
      <c r="G2502" s="70">
        <f t="shared" si="276"/>
        <v>0.67804483149494399</v>
      </c>
      <c r="H2502" s="70">
        <f t="shared" si="277"/>
        <v>0.2</v>
      </c>
      <c r="I2502" s="70">
        <f t="shared" si="278"/>
        <v>0</v>
      </c>
      <c r="J2502" s="70">
        <f t="shared" si="279"/>
        <v>0</v>
      </c>
      <c r="K2502" s="70">
        <f>IF(CurrentMtgRatesDataTable8[[#This Row],[WA CC]]&lt;&gt;0,C2501-CurrentMtgRatesDataTable8[[#This Row],[WA CC]],0)</f>
        <v>0</v>
      </c>
      <c r="L2502" s="70">
        <f>IF(CurrentMtgRatesDataTable8[[#This Row],[Servicing Spread]]&lt;=0,L2501,CurrentMtgRatesDataTable8[[#This Row],[Servicing Spread]])</f>
        <v>0.81071558225969742</v>
      </c>
      <c r="M2502" s="70">
        <f>CurrentMtgRatesDataTable8[[#This Row],[Servicing Spread Non-Zero]]-L2501</f>
        <v>0</v>
      </c>
      <c r="N2502" s="70">
        <f>IF(J2501&lt;&gt;0,CurrentMtgRatesDataTable8[[#This Row],[Rate]]-C2501,N2501)</f>
        <v>7.0000000000000284E-2</v>
      </c>
    </row>
    <row r="2503" spans="1:14">
      <c r="A2503" s="67" t="s">
        <v>437</v>
      </c>
      <c r="B2503" s="68">
        <v>3.3765717476056198</v>
      </c>
      <c r="C2503" s="69">
        <v>4.2149999999999999</v>
      </c>
      <c r="D2503" s="70">
        <f t="shared" si="273"/>
        <v>2</v>
      </c>
      <c r="E2503" s="70">
        <f t="shared" si="274"/>
        <v>0.2</v>
      </c>
      <c r="F2503" s="70">
        <f t="shared" si="275"/>
        <v>2</v>
      </c>
      <c r="G2503" s="70">
        <f t="shared" si="276"/>
        <v>1.3533591810160681</v>
      </c>
      <c r="H2503" s="70">
        <f t="shared" si="277"/>
        <v>0.4</v>
      </c>
      <c r="I2503" s="70">
        <f t="shared" si="278"/>
        <v>0</v>
      </c>
      <c r="J2503" s="70">
        <f t="shared" si="279"/>
        <v>0</v>
      </c>
      <c r="K2503" s="70">
        <f>IF(CurrentMtgRatesDataTable8[[#This Row],[WA CC]]&lt;&gt;0,C2502-CurrentMtgRatesDataTable8[[#This Row],[WA CC]],0)</f>
        <v>0</v>
      </c>
      <c r="L2503" s="70">
        <f>IF(CurrentMtgRatesDataTable8[[#This Row],[Servicing Spread]]&lt;=0,L2502,CurrentMtgRatesDataTable8[[#This Row],[Servicing Spread]])</f>
        <v>0.81071558225969742</v>
      </c>
      <c r="M2503" s="70">
        <f>CurrentMtgRatesDataTable8[[#This Row],[Servicing Spread Non-Zero]]-L2502</f>
        <v>0</v>
      </c>
      <c r="N2503" s="70">
        <f>IF(J2502&lt;&gt;0,CurrentMtgRatesDataTable8[[#This Row],[Rate]]-C2502,N2502)</f>
        <v>7.0000000000000284E-2</v>
      </c>
    </row>
    <row r="2504" spans="1:14">
      <c r="A2504" s="67" t="s">
        <v>247</v>
      </c>
      <c r="B2504" s="68">
        <v>3.3786024673164099</v>
      </c>
      <c r="C2504" s="69">
        <v>4.2149999999999999</v>
      </c>
      <c r="D2504" s="70">
        <f t="shared" si="273"/>
        <v>5</v>
      </c>
      <c r="E2504" s="70">
        <f t="shared" si="274"/>
        <v>0.2</v>
      </c>
      <c r="F2504" s="70">
        <f t="shared" si="275"/>
        <v>3</v>
      </c>
      <c r="G2504" s="70">
        <f t="shared" si="276"/>
        <v>2.02907967447935</v>
      </c>
      <c r="H2504" s="70">
        <f t="shared" si="277"/>
        <v>0.60000000000000009</v>
      </c>
      <c r="I2504" s="70">
        <f t="shared" si="278"/>
        <v>0</v>
      </c>
      <c r="J2504" s="70">
        <f t="shared" si="279"/>
        <v>0</v>
      </c>
      <c r="K2504" s="70">
        <f>IF(CurrentMtgRatesDataTable8[[#This Row],[WA CC]]&lt;&gt;0,C2503-CurrentMtgRatesDataTable8[[#This Row],[WA CC]],0)</f>
        <v>0</v>
      </c>
      <c r="L2504" s="70">
        <f>IF(CurrentMtgRatesDataTable8[[#This Row],[Servicing Spread]]&lt;=0,L2503,CurrentMtgRatesDataTable8[[#This Row],[Servicing Spread]])</f>
        <v>0.81071558225969742</v>
      </c>
      <c r="M2504" s="70">
        <f>CurrentMtgRatesDataTable8[[#This Row],[Servicing Spread Non-Zero]]-L2503</f>
        <v>0</v>
      </c>
      <c r="N2504" s="70">
        <f>IF(J2503&lt;&gt;0,CurrentMtgRatesDataTable8[[#This Row],[Rate]]-C2503,N2503)</f>
        <v>7.0000000000000284E-2</v>
      </c>
    </row>
    <row r="2505" spans="1:14">
      <c r="A2505" s="67" t="s">
        <v>104</v>
      </c>
      <c r="B2505" s="68">
        <v>3.36567559686896</v>
      </c>
      <c r="C2505" s="69">
        <v>4.2149999999999999</v>
      </c>
      <c r="D2505" s="70">
        <f t="shared" si="273"/>
        <v>6</v>
      </c>
      <c r="E2505" s="70">
        <f t="shared" si="274"/>
        <v>0.2</v>
      </c>
      <c r="F2505" s="70">
        <f t="shared" si="275"/>
        <v>4</v>
      </c>
      <c r="G2505" s="70">
        <f t="shared" si="276"/>
        <v>2.702214793853142</v>
      </c>
      <c r="H2505" s="70">
        <f t="shared" si="277"/>
        <v>0.8</v>
      </c>
      <c r="I2505" s="70">
        <f t="shared" si="278"/>
        <v>0</v>
      </c>
      <c r="J2505" s="70">
        <f t="shared" si="279"/>
        <v>0</v>
      </c>
      <c r="K2505" s="70">
        <f>IF(CurrentMtgRatesDataTable8[[#This Row],[WA CC]]&lt;&gt;0,C2504-CurrentMtgRatesDataTable8[[#This Row],[WA CC]],0)</f>
        <v>0</v>
      </c>
      <c r="L2505" s="70">
        <f>IF(CurrentMtgRatesDataTable8[[#This Row],[Servicing Spread]]&lt;=0,L2504,CurrentMtgRatesDataTable8[[#This Row],[Servicing Spread]])</f>
        <v>0.81071558225969742</v>
      </c>
      <c r="M2505" s="70">
        <f>CurrentMtgRatesDataTable8[[#This Row],[Servicing Spread Non-Zero]]-L2504</f>
        <v>0</v>
      </c>
      <c r="N2505" s="70">
        <f>IF(J2504&lt;&gt;0,CurrentMtgRatesDataTable8[[#This Row],[Rate]]-C2504,N2504)</f>
        <v>7.0000000000000284E-2</v>
      </c>
    </row>
    <row r="2506" spans="1:14">
      <c r="A2506" s="67" t="s">
        <v>983</v>
      </c>
      <c r="B2506" s="68">
        <v>3.41186502861204</v>
      </c>
      <c r="C2506" s="69">
        <v>4.2149999999999999</v>
      </c>
      <c r="D2506" s="70">
        <f t="shared" si="273"/>
        <v>7</v>
      </c>
      <c r="E2506" s="70">
        <f t="shared" si="274"/>
        <v>0.2</v>
      </c>
      <c r="F2506" s="70">
        <f t="shared" si="275"/>
        <v>5</v>
      </c>
      <c r="G2506" s="70">
        <f t="shared" si="276"/>
        <v>3.38458779957555</v>
      </c>
      <c r="H2506" s="70">
        <f t="shared" si="277"/>
        <v>1</v>
      </c>
      <c r="I2506" s="70">
        <f t="shared" si="278"/>
        <v>1</v>
      </c>
      <c r="J2506" s="70">
        <f t="shared" si="279"/>
        <v>3.38458779957555</v>
      </c>
      <c r="K2506" s="70">
        <f>IF(CurrentMtgRatesDataTable8[[#This Row],[WA CC]]&lt;&gt;0,C2505-CurrentMtgRatesDataTable8[[#This Row],[WA CC]],0)</f>
        <v>0.83041220042444985</v>
      </c>
      <c r="L2506" s="70">
        <f>IF(CurrentMtgRatesDataTable8[[#This Row],[Servicing Spread]]&lt;=0,L2505,CurrentMtgRatesDataTable8[[#This Row],[Servicing Spread]])</f>
        <v>0.83041220042444985</v>
      </c>
      <c r="M2506" s="70">
        <f>CurrentMtgRatesDataTable8[[#This Row],[Servicing Spread Non-Zero]]-L2505</f>
        <v>1.9696618164752433E-2</v>
      </c>
      <c r="N2506" s="70">
        <f>IF(J2505&lt;&gt;0,CurrentMtgRatesDataTable8[[#This Row],[Rate]]-C2505,N2505)</f>
        <v>7.0000000000000284E-2</v>
      </c>
    </row>
    <row r="2507" spans="1:14">
      <c r="A2507" s="67" t="s">
        <v>526</v>
      </c>
      <c r="B2507" s="68">
        <v>3.4152065149267101</v>
      </c>
      <c r="C2507" s="69">
        <v>4.335</v>
      </c>
      <c r="D2507" s="70">
        <f t="shared" si="273"/>
        <v>2</v>
      </c>
      <c r="E2507" s="70">
        <f t="shared" si="274"/>
        <v>0.2</v>
      </c>
      <c r="F2507" s="70">
        <f t="shared" si="275"/>
        <v>1</v>
      </c>
      <c r="G2507" s="70">
        <f t="shared" si="276"/>
        <v>0.68304130298534205</v>
      </c>
      <c r="H2507" s="70">
        <f t="shared" si="277"/>
        <v>0.2</v>
      </c>
      <c r="I2507" s="70">
        <f t="shared" si="278"/>
        <v>0</v>
      </c>
      <c r="J2507" s="70">
        <f t="shared" si="279"/>
        <v>0</v>
      </c>
      <c r="K2507" s="70">
        <f>IF(CurrentMtgRatesDataTable8[[#This Row],[WA CC]]&lt;&gt;0,C2506-CurrentMtgRatesDataTable8[[#This Row],[WA CC]],0)</f>
        <v>0</v>
      </c>
      <c r="L2507" s="70">
        <f>IF(CurrentMtgRatesDataTable8[[#This Row],[Servicing Spread]]&lt;=0,L2506,CurrentMtgRatesDataTable8[[#This Row],[Servicing Spread]])</f>
        <v>0.83041220042444985</v>
      </c>
      <c r="M2507" s="70">
        <f>CurrentMtgRatesDataTable8[[#This Row],[Servicing Spread Non-Zero]]-L2506</f>
        <v>0</v>
      </c>
      <c r="N2507" s="70">
        <f>IF(J2506&lt;&gt;0,CurrentMtgRatesDataTable8[[#This Row],[Rate]]-C2506,N2506)</f>
        <v>0.12000000000000011</v>
      </c>
    </row>
    <row r="2508" spans="1:14">
      <c r="A2508" s="67" t="s">
        <v>382</v>
      </c>
      <c r="B2508" s="68">
        <v>3.48278493540972</v>
      </c>
      <c r="C2508" s="69">
        <v>4.335</v>
      </c>
      <c r="D2508" s="70">
        <f t="shared" si="273"/>
        <v>5</v>
      </c>
      <c r="E2508" s="70">
        <f t="shared" si="274"/>
        <v>0.2</v>
      </c>
      <c r="F2508" s="70">
        <f t="shared" si="275"/>
        <v>2</v>
      </c>
      <c r="G2508" s="70">
        <f t="shared" si="276"/>
        <v>1.3795982900672861</v>
      </c>
      <c r="H2508" s="70">
        <f t="shared" si="277"/>
        <v>0.4</v>
      </c>
      <c r="I2508" s="70">
        <f t="shared" si="278"/>
        <v>0</v>
      </c>
      <c r="J2508" s="70">
        <f t="shared" si="279"/>
        <v>0</v>
      </c>
      <c r="K2508" s="70">
        <f>IF(CurrentMtgRatesDataTable8[[#This Row],[WA CC]]&lt;&gt;0,C2507-CurrentMtgRatesDataTable8[[#This Row],[WA CC]],0)</f>
        <v>0</v>
      </c>
      <c r="L2508" s="70">
        <f>IF(CurrentMtgRatesDataTable8[[#This Row],[Servicing Spread]]&lt;=0,L2507,CurrentMtgRatesDataTable8[[#This Row],[Servicing Spread]])</f>
        <v>0.83041220042444985</v>
      </c>
      <c r="M2508" s="70">
        <f>CurrentMtgRatesDataTable8[[#This Row],[Servicing Spread Non-Zero]]-L2507</f>
        <v>0</v>
      </c>
      <c r="N2508" s="70">
        <f>IF(J2507&lt;&gt;0,CurrentMtgRatesDataTable8[[#This Row],[Rate]]-C2507,N2507)</f>
        <v>0.12000000000000011</v>
      </c>
    </row>
    <row r="2509" spans="1:14">
      <c r="A2509" s="67" t="s">
        <v>248</v>
      </c>
      <c r="B2509" s="68">
        <v>3.4820134464127701</v>
      </c>
      <c r="C2509" s="69">
        <v>4.335</v>
      </c>
      <c r="D2509" s="70">
        <f t="shared" si="273"/>
        <v>6</v>
      </c>
      <c r="E2509" s="70">
        <f t="shared" si="274"/>
        <v>0.2</v>
      </c>
      <c r="F2509" s="70">
        <f t="shared" si="275"/>
        <v>3</v>
      </c>
      <c r="G2509" s="70">
        <f t="shared" si="276"/>
        <v>2.07600097934984</v>
      </c>
      <c r="H2509" s="70">
        <f t="shared" si="277"/>
        <v>0.60000000000000009</v>
      </c>
      <c r="I2509" s="70">
        <f t="shared" si="278"/>
        <v>0</v>
      </c>
      <c r="J2509" s="70">
        <f t="shared" si="279"/>
        <v>0</v>
      </c>
      <c r="K2509" s="70">
        <f>IF(CurrentMtgRatesDataTable8[[#This Row],[WA CC]]&lt;&gt;0,C2508-CurrentMtgRatesDataTable8[[#This Row],[WA CC]],0)</f>
        <v>0</v>
      </c>
      <c r="L2509" s="70">
        <f>IF(CurrentMtgRatesDataTable8[[#This Row],[Servicing Spread]]&lt;=0,L2508,CurrentMtgRatesDataTable8[[#This Row],[Servicing Spread]])</f>
        <v>0.83041220042444985</v>
      </c>
      <c r="M2509" s="70">
        <f>CurrentMtgRatesDataTable8[[#This Row],[Servicing Spread Non-Zero]]-L2508</f>
        <v>0</v>
      </c>
      <c r="N2509" s="70">
        <f>IF(J2508&lt;&gt;0,CurrentMtgRatesDataTable8[[#This Row],[Rate]]-C2508,N2508)</f>
        <v>0.12000000000000011</v>
      </c>
    </row>
    <row r="2510" spans="1:14">
      <c r="A2510" s="67" t="s">
        <v>105</v>
      </c>
      <c r="B2510" s="68">
        <v>3.53796119815684</v>
      </c>
      <c r="C2510" s="69">
        <v>4.335</v>
      </c>
      <c r="D2510" s="70">
        <f t="shared" si="273"/>
        <v>7</v>
      </c>
      <c r="E2510" s="70">
        <f t="shared" si="274"/>
        <v>0.2</v>
      </c>
      <c r="F2510" s="70">
        <f t="shared" si="275"/>
        <v>4</v>
      </c>
      <c r="G2510" s="70">
        <f t="shared" si="276"/>
        <v>2.783593218981208</v>
      </c>
      <c r="H2510" s="70">
        <f t="shared" si="277"/>
        <v>0.8</v>
      </c>
      <c r="I2510" s="70">
        <f t="shared" si="278"/>
        <v>1</v>
      </c>
      <c r="J2510" s="70">
        <f t="shared" si="279"/>
        <v>3.47949152372651</v>
      </c>
      <c r="K2510" s="70">
        <f>IF(CurrentMtgRatesDataTable8[[#This Row],[WA CC]]&lt;&gt;0,C2509-CurrentMtgRatesDataTable8[[#This Row],[WA CC]],0)</f>
        <v>0.85550847627348992</v>
      </c>
      <c r="L2510" s="70">
        <f>IF(CurrentMtgRatesDataTable8[[#This Row],[Servicing Spread]]&lt;=0,L2509,CurrentMtgRatesDataTable8[[#This Row],[Servicing Spread]])</f>
        <v>0.85550847627348992</v>
      </c>
      <c r="M2510" s="70">
        <f>CurrentMtgRatesDataTable8[[#This Row],[Servicing Spread Non-Zero]]-L2509</f>
        <v>2.5096275849040062E-2</v>
      </c>
      <c r="N2510" s="70">
        <f>IF(J2509&lt;&gt;0,CurrentMtgRatesDataTable8[[#This Row],[Rate]]-C2509,N2509)</f>
        <v>0.12000000000000011</v>
      </c>
    </row>
    <row r="2511" spans="1:14">
      <c r="A2511" s="67" t="s">
        <v>667</v>
      </c>
      <c r="B2511" s="68">
        <v>3.5521293611692002</v>
      </c>
      <c r="C2511" s="69">
        <v>4.3449999999999998</v>
      </c>
      <c r="D2511" s="70">
        <f t="shared" si="273"/>
        <v>1</v>
      </c>
      <c r="E2511" s="70">
        <f t="shared" si="274"/>
        <v>0.2</v>
      </c>
      <c r="F2511" s="70">
        <f t="shared" si="275"/>
        <v>1</v>
      </c>
      <c r="G2511" s="70">
        <f t="shared" si="276"/>
        <v>0.71042587223384013</v>
      </c>
      <c r="H2511" s="70">
        <f t="shared" si="277"/>
        <v>0.2</v>
      </c>
      <c r="I2511" s="70">
        <f t="shared" si="278"/>
        <v>0</v>
      </c>
      <c r="J2511" s="70">
        <f t="shared" si="279"/>
        <v>0</v>
      </c>
      <c r="K2511" s="70">
        <f>IF(CurrentMtgRatesDataTable8[[#This Row],[WA CC]]&lt;&gt;0,C2510-CurrentMtgRatesDataTable8[[#This Row],[WA CC]],0)</f>
        <v>0</v>
      </c>
      <c r="L2511" s="70">
        <f>IF(CurrentMtgRatesDataTable8[[#This Row],[Servicing Spread]]&lt;=0,L2510,CurrentMtgRatesDataTable8[[#This Row],[Servicing Spread]])</f>
        <v>0.85550847627348992</v>
      </c>
      <c r="M2511" s="70">
        <f>CurrentMtgRatesDataTable8[[#This Row],[Servicing Spread Non-Zero]]-L2510</f>
        <v>0</v>
      </c>
      <c r="N2511" s="70">
        <f>IF(J2510&lt;&gt;0,CurrentMtgRatesDataTable8[[#This Row],[Rate]]-C2510,N2510)</f>
        <v>9.9999999999997868E-3</v>
      </c>
    </row>
    <row r="2512" spans="1:14">
      <c r="A2512" s="67" t="s">
        <v>527</v>
      </c>
      <c r="B2512" s="68">
        <v>3.5357721713068302</v>
      </c>
      <c r="C2512" s="69">
        <v>4.3449999999999998</v>
      </c>
      <c r="D2512" s="70">
        <f t="shared" si="273"/>
        <v>2</v>
      </c>
      <c r="E2512" s="70">
        <f t="shared" si="274"/>
        <v>0.2</v>
      </c>
      <c r="F2512" s="70">
        <f t="shared" si="275"/>
        <v>2</v>
      </c>
      <c r="G2512" s="70">
        <f t="shared" si="276"/>
        <v>1.4175803064952062</v>
      </c>
      <c r="H2512" s="70">
        <f t="shared" si="277"/>
        <v>0.4</v>
      </c>
      <c r="I2512" s="70">
        <f t="shared" si="278"/>
        <v>0</v>
      </c>
      <c r="J2512" s="70">
        <f t="shared" si="279"/>
        <v>0</v>
      </c>
      <c r="K2512" s="70">
        <f>IF(CurrentMtgRatesDataTable8[[#This Row],[WA CC]]&lt;&gt;0,C2511-CurrentMtgRatesDataTable8[[#This Row],[WA CC]],0)</f>
        <v>0</v>
      </c>
      <c r="L2512" s="70">
        <f>IF(CurrentMtgRatesDataTable8[[#This Row],[Servicing Spread]]&lt;=0,L2511,CurrentMtgRatesDataTable8[[#This Row],[Servicing Spread]])</f>
        <v>0.85550847627348992</v>
      </c>
      <c r="M2512" s="70">
        <f>CurrentMtgRatesDataTable8[[#This Row],[Servicing Spread Non-Zero]]-L2511</f>
        <v>0</v>
      </c>
      <c r="N2512" s="70">
        <f>IF(J2511&lt;&gt;0,CurrentMtgRatesDataTable8[[#This Row],[Rate]]-C2511,N2511)</f>
        <v>9.9999999999997868E-3</v>
      </c>
    </row>
    <row r="2513" spans="1:14">
      <c r="A2513" s="67" t="s">
        <v>383</v>
      </c>
      <c r="B2513" s="68">
        <v>3.5044888951704301</v>
      </c>
      <c r="C2513" s="69">
        <v>4.3449999999999998</v>
      </c>
      <c r="D2513" s="70">
        <f t="shared" si="273"/>
        <v>5</v>
      </c>
      <c r="E2513" s="70">
        <f t="shared" si="274"/>
        <v>0.2</v>
      </c>
      <c r="F2513" s="70">
        <f t="shared" si="275"/>
        <v>3</v>
      </c>
      <c r="G2513" s="70">
        <f t="shared" si="276"/>
        <v>2.1184780855292922</v>
      </c>
      <c r="H2513" s="70">
        <f t="shared" si="277"/>
        <v>0.60000000000000009</v>
      </c>
      <c r="I2513" s="70">
        <f t="shared" si="278"/>
        <v>0</v>
      </c>
      <c r="J2513" s="70">
        <f t="shared" si="279"/>
        <v>0</v>
      </c>
      <c r="K2513" s="70">
        <f>IF(CurrentMtgRatesDataTable8[[#This Row],[WA CC]]&lt;&gt;0,C2512-CurrentMtgRatesDataTable8[[#This Row],[WA CC]],0)</f>
        <v>0</v>
      </c>
      <c r="L2513" s="70">
        <f>IF(CurrentMtgRatesDataTable8[[#This Row],[Servicing Spread]]&lt;=0,L2512,CurrentMtgRatesDataTable8[[#This Row],[Servicing Spread]])</f>
        <v>0.85550847627348992</v>
      </c>
      <c r="M2513" s="70">
        <f>CurrentMtgRatesDataTable8[[#This Row],[Servicing Spread Non-Zero]]-L2512</f>
        <v>0</v>
      </c>
      <c r="N2513" s="70">
        <f>IF(J2512&lt;&gt;0,CurrentMtgRatesDataTable8[[#This Row],[Rate]]-C2512,N2512)</f>
        <v>9.9999999999997868E-3</v>
      </c>
    </row>
    <row r="2514" spans="1:14">
      <c r="A2514" s="67" t="s">
        <v>249</v>
      </c>
      <c r="B2514" s="68">
        <v>3.46476327795386</v>
      </c>
      <c r="C2514" s="69">
        <v>4.3449999999999998</v>
      </c>
      <c r="D2514" s="70">
        <f t="shared" si="273"/>
        <v>6</v>
      </c>
      <c r="E2514" s="70">
        <f t="shared" si="274"/>
        <v>0.2</v>
      </c>
      <c r="F2514" s="70">
        <f t="shared" si="275"/>
        <v>4</v>
      </c>
      <c r="G2514" s="70">
        <f t="shared" si="276"/>
        <v>2.8114307411200641</v>
      </c>
      <c r="H2514" s="70">
        <f t="shared" si="277"/>
        <v>0.8</v>
      </c>
      <c r="I2514" s="70">
        <f t="shared" si="278"/>
        <v>0</v>
      </c>
      <c r="J2514" s="70">
        <f t="shared" si="279"/>
        <v>0</v>
      </c>
      <c r="K2514" s="70">
        <f>IF(CurrentMtgRatesDataTable8[[#This Row],[WA CC]]&lt;&gt;0,C2513-CurrentMtgRatesDataTable8[[#This Row],[WA CC]],0)</f>
        <v>0</v>
      </c>
      <c r="L2514" s="70">
        <f>IF(CurrentMtgRatesDataTable8[[#This Row],[Servicing Spread]]&lt;=0,L2513,CurrentMtgRatesDataTable8[[#This Row],[Servicing Spread]])</f>
        <v>0.85550847627348992</v>
      </c>
      <c r="M2514" s="70">
        <f>CurrentMtgRatesDataTable8[[#This Row],[Servicing Spread Non-Zero]]-L2513</f>
        <v>0</v>
      </c>
      <c r="N2514" s="70">
        <f>IF(J2513&lt;&gt;0,CurrentMtgRatesDataTable8[[#This Row],[Rate]]-C2513,N2513)</f>
        <v>9.9999999999997868E-3</v>
      </c>
    </row>
    <row r="2515" spans="1:14">
      <c r="A2515" s="67" t="s">
        <v>106</v>
      </c>
      <c r="B2515" s="68">
        <v>3.5156873221910101</v>
      </c>
      <c r="C2515" s="69">
        <v>4.3449999999999998</v>
      </c>
      <c r="D2515" s="70">
        <f t="shared" si="273"/>
        <v>7</v>
      </c>
      <c r="E2515" s="70">
        <f t="shared" si="274"/>
        <v>0.2</v>
      </c>
      <c r="F2515" s="70">
        <f t="shared" si="275"/>
        <v>5</v>
      </c>
      <c r="G2515" s="70">
        <f t="shared" si="276"/>
        <v>3.5145682055582661</v>
      </c>
      <c r="H2515" s="70">
        <f t="shared" si="277"/>
        <v>1</v>
      </c>
      <c r="I2515" s="70">
        <f t="shared" si="278"/>
        <v>1</v>
      </c>
      <c r="J2515" s="70">
        <f t="shared" si="279"/>
        <v>3.5145682055582661</v>
      </c>
      <c r="K2515" s="70">
        <f>IF(CurrentMtgRatesDataTable8[[#This Row],[WA CC]]&lt;&gt;0,C2514-CurrentMtgRatesDataTable8[[#This Row],[WA CC]],0)</f>
        <v>0.83043179444173365</v>
      </c>
      <c r="L2515" s="70">
        <f>IF(CurrentMtgRatesDataTable8[[#This Row],[Servicing Spread]]&lt;=0,L2514,CurrentMtgRatesDataTable8[[#This Row],[Servicing Spread]])</f>
        <v>0.83043179444173365</v>
      </c>
      <c r="M2515" s="70">
        <f>CurrentMtgRatesDataTable8[[#This Row],[Servicing Spread Non-Zero]]-L2514</f>
        <v>-2.5076681831756265E-2</v>
      </c>
      <c r="N2515" s="70">
        <f>IF(J2514&lt;&gt;0,CurrentMtgRatesDataTable8[[#This Row],[Rate]]-C2514,N2514)</f>
        <v>9.9999999999997868E-3</v>
      </c>
    </row>
    <row r="2516" spans="1:14">
      <c r="A2516" s="67" t="s">
        <v>668</v>
      </c>
      <c r="B2516" s="68">
        <v>3.5427546786903199</v>
      </c>
      <c r="C2516" s="69">
        <v>4.3949999999999996</v>
      </c>
      <c r="D2516" s="70">
        <f t="shared" si="273"/>
        <v>1</v>
      </c>
      <c r="E2516" s="70">
        <f t="shared" si="274"/>
        <v>0.2</v>
      </c>
      <c r="F2516" s="70">
        <f t="shared" si="275"/>
        <v>1</v>
      </c>
      <c r="G2516" s="70">
        <f t="shared" si="276"/>
        <v>0.70855093573806405</v>
      </c>
      <c r="H2516" s="70">
        <f t="shared" si="277"/>
        <v>0.2</v>
      </c>
      <c r="I2516" s="70">
        <f t="shared" si="278"/>
        <v>0</v>
      </c>
      <c r="J2516" s="70">
        <f t="shared" si="279"/>
        <v>0</v>
      </c>
      <c r="K2516" s="70">
        <f>IF(CurrentMtgRatesDataTable8[[#This Row],[WA CC]]&lt;&gt;0,C2515-CurrentMtgRatesDataTable8[[#This Row],[WA CC]],0)</f>
        <v>0</v>
      </c>
      <c r="L2516" s="70">
        <f>IF(CurrentMtgRatesDataTable8[[#This Row],[Servicing Spread]]&lt;=0,L2515,CurrentMtgRatesDataTable8[[#This Row],[Servicing Spread]])</f>
        <v>0.83043179444173365</v>
      </c>
      <c r="M2516" s="70">
        <f>CurrentMtgRatesDataTable8[[#This Row],[Servicing Spread Non-Zero]]-L2515</f>
        <v>0</v>
      </c>
      <c r="N2516" s="70">
        <f>IF(J2515&lt;&gt;0,CurrentMtgRatesDataTable8[[#This Row],[Rate]]-C2515,N2515)</f>
        <v>4.9999999999999822E-2</v>
      </c>
    </row>
    <row r="2517" spans="1:14">
      <c r="A2517" s="67" t="s">
        <v>528</v>
      </c>
      <c r="B2517" s="68">
        <v>3.5290996894050202</v>
      </c>
      <c r="C2517" s="69">
        <v>4.3949999999999996</v>
      </c>
      <c r="D2517" s="70">
        <f t="shared" si="273"/>
        <v>2</v>
      </c>
      <c r="E2517" s="70">
        <f t="shared" si="274"/>
        <v>0.2</v>
      </c>
      <c r="F2517" s="70">
        <f t="shared" si="275"/>
        <v>2</v>
      </c>
      <c r="G2517" s="70">
        <f t="shared" si="276"/>
        <v>1.4143708736190681</v>
      </c>
      <c r="H2517" s="70">
        <f t="shared" si="277"/>
        <v>0.4</v>
      </c>
      <c r="I2517" s="70">
        <f t="shared" si="278"/>
        <v>0</v>
      </c>
      <c r="J2517" s="70">
        <f t="shared" si="279"/>
        <v>0</v>
      </c>
      <c r="K2517" s="70">
        <f>IF(CurrentMtgRatesDataTable8[[#This Row],[WA CC]]&lt;&gt;0,C2516-CurrentMtgRatesDataTable8[[#This Row],[WA CC]],0)</f>
        <v>0</v>
      </c>
      <c r="L2517" s="70">
        <f>IF(CurrentMtgRatesDataTable8[[#This Row],[Servicing Spread]]&lt;=0,L2516,CurrentMtgRatesDataTable8[[#This Row],[Servicing Spread]])</f>
        <v>0.83043179444173365</v>
      </c>
      <c r="M2517" s="70">
        <f>CurrentMtgRatesDataTable8[[#This Row],[Servicing Spread Non-Zero]]-L2516</f>
        <v>0</v>
      </c>
      <c r="N2517" s="70">
        <f>IF(J2516&lt;&gt;0,CurrentMtgRatesDataTable8[[#This Row],[Rate]]-C2516,N2516)</f>
        <v>4.9999999999999822E-2</v>
      </c>
    </row>
    <row r="2518" spans="1:14">
      <c r="A2518" s="67" t="s">
        <v>384</v>
      </c>
      <c r="B2518" s="68">
        <v>3.5307245323139602</v>
      </c>
      <c r="C2518" s="69">
        <v>4.3949999999999996</v>
      </c>
      <c r="D2518" s="70">
        <f t="shared" si="273"/>
        <v>5</v>
      </c>
      <c r="E2518" s="70">
        <f t="shared" si="274"/>
        <v>0.2</v>
      </c>
      <c r="F2518" s="70">
        <f t="shared" si="275"/>
        <v>3</v>
      </c>
      <c r="G2518" s="70">
        <f t="shared" si="276"/>
        <v>2.1205157800818601</v>
      </c>
      <c r="H2518" s="70">
        <f t="shared" si="277"/>
        <v>0.60000000000000009</v>
      </c>
      <c r="I2518" s="70">
        <f t="shared" si="278"/>
        <v>0</v>
      </c>
      <c r="J2518" s="70">
        <f t="shared" si="279"/>
        <v>0</v>
      </c>
      <c r="K2518" s="70">
        <f>IF(CurrentMtgRatesDataTable8[[#This Row],[WA CC]]&lt;&gt;0,C2517-CurrentMtgRatesDataTable8[[#This Row],[WA CC]],0)</f>
        <v>0</v>
      </c>
      <c r="L2518" s="70">
        <f>IF(CurrentMtgRatesDataTable8[[#This Row],[Servicing Spread]]&lt;=0,L2517,CurrentMtgRatesDataTable8[[#This Row],[Servicing Spread]])</f>
        <v>0.83043179444173365</v>
      </c>
      <c r="M2518" s="70">
        <f>CurrentMtgRatesDataTable8[[#This Row],[Servicing Spread Non-Zero]]-L2517</f>
        <v>0</v>
      </c>
      <c r="N2518" s="70">
        <f>IF(J2517&lt;&gt;0,CurrentMtgRatesDataTable8[[#This Row],[Rate]]-C2517,N2517)</f>
        <v>4.9999999999999822E-2</v>
      </c>
    </row>
    <row r="2519" spans="1:14">
      <c r="A2519" s="67" t="s">
        <v>250</v>
      </c>
      <c r="B2519" s="68">
        <v>3.4998898139893</v>
      </c>
      <c r="C2519" s="69">
        <v>4.3949999999999996</v>
      </c>
      <c r="D2519" s="70">
        <f t="shared" si="273"/>
        <v>6</v>
      </c>
      <c r="E2519" s="70">
        <f t="shared" si="274"/>
        <v>0.2</v>
      </c>
      <c r="F2519" s="70">
        <f t="shared" si="275"/>
        <v>4</v>
      </c>
      <c r="G2519" s="70">
        <f t="shared" si="276"/>
        <v>2.8204937428797203</v>
      </c>
      <c r="H2519" s="70">
        <f t="shared" si="277"/>
        <v>0.8</v>
      </c>
      <c r="I2519" s="70">
        <f t="shared" si="278"/>
        <v>0</v>
      </c>
      <c r="J2519" s="70">
        <f t="shared" si="279"/>
        <v>0</v>
      </c>
      <c r="K2519" s="70">
        <f>IF(CurrentMtgRatesDataTable8[[#This Row],[WA CC]]&lt;&gt;0,C2518-CurrentMtgRatesDataTable8[[#This Row],[WA CC]],0)</f>
        <v>0</v>
      </c>
      <c r="L2519" s="70">
        <f>IF(CurrentMtgRatesDataTable8[[#This Row],[Servicing Spread]]&lt;=0,L2518,CurrentMtgRatesDataTable8[[#This Row],[Servicing Spread]])</f>
        <v>0.83043179444173365</v>
      </c>
      <c r="M2519" s="70">
        <f>CurrentMtgRatesDataTable8[[#This Row],[Servicing Spread Non-Zero]]-L2518</f>
        <v>0</v>
      </c>
      <c r="N2519" s="70">
        <f>IF(J2518&lt;&gt;0,CurrentMtgRatesDataTable8[[#This Row],[Rate]]-C2518,N2518)</f>
        <v>4.9999999999999822E-2</v>
      </c>
    </row>
    <row r="2520" spans="1:14">
      <c r="A2520" s="67" t="s">
        <v>107</v>
      </c>
      <c r="B2520" s="68">
        <v>3.5422755368494498</v>
      </c>
      <c r="C2520" s="69">
        <v>4.3949999999999996</v>
      </c>
      <c r="D2520" s="70">
        <f t="shared" si="273"/>
        <v>7</v>
      </c>
      <c r="E2520" s="70">
        <f t="shared" si="274"/>
        <v>0.2</v>
      </c>
      <c r="F2520" s="70">
        <f t="shared" si="275"/>
        <v>5</v>
      </c>
      <c r="G2520" s="70">
        <f t="shared" si="276"/>
        <v>3.5289488502496105</v>
      </c>
      <c r="H2520" s="70">
        <f t="shared" si="277"/>
        <v>1</v>
      </c>
      <c r="I2520" s="70">
        <f t="shared" si="278"/>
        <v>1</v>
      </c>
      <c r="J2520" s="70">
        <f t="shared" si="279"/>
        <v>3.5289488502496105</v>
      </c>
      <c r="K2520" s="70">
        <f>IF(CurrentMtgRatesDataTable8[[#This Row],[WA CC]]&lt;&gt;0,C2519-CurrentMtgRatesDataTable8[[#This Row],[WA CC]],0)</f>
        <v>0.8660511497503891</v>
      </c>
      <c r="L2520" s="70">
        <f>IF(CurrentMtgRatesDataTable8[[#This Row],[Servicing Spread]]&lt;=0,L2519,CurrentMtgRatesDataTable8[[#This Row],[Servicing Spread]])</f>
        <v>0.8660511497503891</v>
      </c>
      <c r="M2520" s="70">
        <f>CurrentMtgRatesDataTable8[[#This Row],[Servicing Spread Non-Zero]]-L2519</f>
        <v>3.5619355308655454E-2</v>
      </c>
      <c r="N2520" s="70">
        <f>IF(J2519&lt;&gt;0,CurrentMtgRatesDataTable8[[#This Row],[Rate]]-C2519,N2519)</f>
        <v>4.9999999999999822E-2</v>
      </c>
    </row>
    <row r="2521" spans="1:14">
      <c r="A2521" s="67" t="s">
        <v>669</v>
      </c>
      <c r="B2521" s="68">
        <v>3.5894558660793101</v>
      </c>
      <c r="C2521" s="69">
        <v>4.4050000000000002</v>
      </c>
      <c r="D2521" s="70">
        <f t="shared" si="273"/>
        <v>1</v>
      </c>
      <c r="E2521" s="70">
        <f t="shared" si="274"/>
        <v>0.2</v>
      </c>
      <c r="F2521" s="70">
        <f t="shared" si="275"/>
        <v>1</v>
      </c>
      <c r="G2521" s="70">
        <f t="shared" si="276"/>
        <v>0.71789117321586204</v>
      </c>
      <c r="H2521" s="70">
        <f t="shared" si="277"/>
        <v>0.2</v>
      </c>
      <c r="I2521" s="70">
        <f t="shared" si="278"/>
        <v>0</v>
      </c>
      <c r="J2521" s="70">
        <f t="shared" si="279"/>
        <v>0</v>
      </c>
      <c r="K2521" s="70">
        <f>IF(CurrentMtgRatesDataTable8[[#This Row],[WA CC]]&lt;&gt;0,C2520-CurrentMtgRatesDataTable8[[#This Row],[WA CC]],0)</f>
        <v>0</v>
      </c>
      <c r="L2521" s="70">
        <f>IF(CurrentMtgRatesDataTable8[[#This Row],[Servicing Spread]]&lt;=0,L2520,CurrentMtgRatesDataTable8[[#This Row],[Servicing Spread]])</f>
        <v>0.8660511497503891</v>
      </c>
      <c r="M2521" s="70">
        <f>CurrentMtgRatesDataTable8[[#This Row],[Servicing Spread Non-Zero]]-L2520</f>
        <v>0</v>
      </c>
      <c r="N2521" s="70">
        <f>IF(J2520&lt;&gt;0,CurrentMtgRatesDataTable8[[#This Row],[Rate]]-C2520,N2520)</f>
        <v>1.0000000000000675E-2</v>
      </c>
    </row>
    <row r="2522" spans="1:14">
      <c r="A2522" s="67" t="s">
        <v>529</v>
      </c>
      <c r="B2522" s="68">
        <v>3.5207189291483099</v>
      </c>
      <c r="C2522" s="69">
        <v>4.4050000000000002</v>
      </c>
      <c r="D2522" s="70">
        <f t="shared" si="273"/>
        <v>2</v>
      </c>
      <c r="E2522" s="70">
        <f t="shared" si="274"/>
        <v>0.2</v>
      </c>
      <c r="F2522" s="70">
        <f t="shared" si="275"/>
        <v>2</v>
      </c>
      <c r="G2522" s="70">
        <f t="shared" si="276"/>
        <v>1.4220349590455239</v>
      </c>
      <c r="H2522" s="70">
        <f t="shared" si="277"/>
        <v>0.4</v>
      </c>
      <c r="I2522" s="70">
        <f t="shared" si="278"/>
        <v>0</v>
      </c>
      <c r="J2522" s="70">
        <f t="shared" si="279"/>
        <v>0</v>
      </c>
      <c r="K2522" s="70">
        <f>IF(CurrentMtgRatesDataTable8[[#This Row],[WA CC]]&lt;&gt;0,C2521-CurrentMtgRatesDataTable8[[#This Row],[WA CC]],0)</f>
        <v>0</v>
      </c>
      <c r="L2522" s="70">
        <f>IF(CurrentMtgRatesDataTable8[[#This Row],[Servicing Spread]]&lt;=0,L2521,CurrentMtgRatesDataTable8[[#This Row],[Servicing Spread]])</f>
        <v>0.8660511497503891</v>
      </c>
      <c r="M2522" s="70">
        <f>CurrentMtgRatesDataTable8[[#This Row],[Servicing Spread Non-Zero]]-L2521</f>
        <v>0</v>
      </c>
      <c r="N2522" s="70">
        <f>IF(J2521&lt;&gt;0,CurrentMtgRatesDataTable8[[#This Row],[Rate]]-C2521,N2521)</f>
        <v>1.0000000000000675E-2</v>
      </c>
    </row>
    <row r="2523" spans="1:14">
      <c r="A2523" s="67" t="s">
        <v>385</v>
      </c>
      <c r="B2523" s="68">
        <v>3.5422520494722902</v>
      </c>
      <c r="C2523" s="69">
        <v>4.4050000000000002</v>
      </c>
      <c r="D2523" s="70">
        <f t="shared" si="273"/>
        <v>5</v>
      </c>
      <c r="E2523" s="70">
        <f t="shared" si="274"/>
        <v>0.2</v>
      </c>
      <c r="F2523" s="70">
        <f t="shared" si="275"/>
        <v>3</v>
      </c>
      <c r="G2523" s="70">
        <f t="shared" si="276"/>
        <v>2.1304853689399819</v>
      </c>
      <c r="H2523" s="70">
        <f t="shared" si="277"/>
        <v>0.60000000000000009</v>
      </c>
      <c r="I2523" s="70">
        <f t="shared" si="278"/>
        <v>0</v>
      </c>
      <c r="J2523" s="70">
        <f t="shared" si="279"/>
        <v>0</v>
      </c>
      <c r="K2523" s="70">
        <f>IF(CurrentMtgRatesDataTable8[[#This Row],[WA CC]]&lt;&gt;0,C2522-CurrentMtgRatesDataTable8[[#This Row],[WA CC]],0)</f>
        <v>0</v>
      </c>
      <c r="L2523" s="70">
        <f>IF(CurrentMtgRatesDataTable8[[#This Row],[Servicing Spread]]&lt;=0,L2522,CurrentMtgRatesDataTable8[[#This Row],[Servicing Spread]])</f>
        <v>0.8660511497503891</v>
      </c>
      <c r="M2523" s="70">
        <f>CurrentMtgRatesDataTable8[[#This Row],[Servicing Spread Non-Zero]]-L2522</f>
        <v>0</v>
      </c>
      <c r="N2523" s="70">
        <f>IF(J2522&lt;&gt;0,CurrentMtgRatesDataTable8[[#This Row],[Rate]]-C2522,N2522)</f>
        <v>1.0000000000000675E-2</v>
      </c>
    </row>
    <row r="2524" spans="1:14">
      <c r="A2524" s="67" t="s">
        <v>251</v>
      </c>
      <c r="B2524" s="68">
        <v>3.6100621369380201</v>
      </c>
      <c r="C2524" s="69">
        <v>4.4050000000000002</v>
      </c>
      <c r="D2524" s="70">
        <f t="shared" si="273"/>
        <v>6</v>
      </c>
      <c r="E2524" s="70">
        <f t="shared" si="274"/>
        <v>0.2</v>
      </c>
      <c r="F2524" s="70">
        <f t="shared" si="275"/>
        <v>4</v>
      </c>
      <c r="G2524" s="70">
        <f t="shared" si="276"/>
        <v>2.8524977963275857</v>
      </c>
      <c r="H2524" s="70">
        <f t="shared" si="277"/>
        <v>0.8</v>
      </c>
      <c r="I2524" s="70">
        <f t="shared" si="278"/>
        <v>1</v>
      </c>
      <c r="J2524" s="70">
        <f t="shared" si="279"/>
        <v>3.5656222454094819</v>
      </c>
      <c r="K2524" s="70">
        <f>IF(CurrentMtgRatesDataTable8[[#This Row],[WA CC]]&lt;&gt;0,C2523-CurrentMtgRatesDataTable8[[#This Row],[WA CC]],0)</f>
        <v>0.83937775459051833</v>
      </c>
      <c r="L2524" s="70">
        <f>IF(CurrentMtgRatesDataTable8[[#This Row],[Servicing Spread]]&lt;=0,L2523,CurrentMtgRatesDataTable8[[#This Row],[Servicing Spread]])</f>
        <v>0.83937775459051833</v>
      </c>
      <c r="M2524" s="70">
        <f>CurrentMtgRatesDataTable8[[#This Row],[Servicing Spread Non-Zero]]-L2523</f>
        <v>-2.6673395159870772E-2</v>
      </c>
      <c r="N2524" s="70">
        <f>IF(J2523&lt;&gt;0,CurrentMtgRatesDataTable8[[#This Row],[Rate]]-C2523,N2523)</f>
        <v>1.0000000000000675E-2</v>
      </c>
    </row>
    <row r="2525" spans="1:14">
      <c r="A2525" s="67" t="s">
        <v>670</v>
      </c>
      <c r="B2525" s="68">
        <v>3.6110841836329799</v>
      </c>
      <c r="C2525" s="69">
        <v>4.4800000000000004</v>
      </c>
      <c r="D2525" s="70">
        <f t="shared" si="273"/>
        <v>1</v>
      </c>
      <c r="E2525" s="70">
        <f t="shared" si="274"/>
        <v>0.2</v>
      </c>
      <c r="F2525" s="70">
        <f t="shared" si="275"/>
        <v>1</v>
      </c>
      <c r="G2525" s="70">
        <f t="shared" si="276"/>
        <v>0.72221683672659598</v>
      </c>
      <c r="H2525" s="70">
        <f t="shared" si="277"/>
        <v>0.2</v>
      </c>
      <c r="I2525" s="70">
        <f t="shared" si="278"/>
        <v>0</v>
      </c>
      <c r="J2525" s="70">
        <f t="shared" si="279"/>
        <v>0</v>
      </c>
      <c r="K2525" s="70">
        <f>IF(CurrentMtgRatesDataTable8[[#This Row],[WA CC]]&lt;&gt;0,C2524-CurrentMtgRatesDataTable8[[#This Row],[WA CC]],0)</f>
        <v>0</v>
      </c>
      <c r="L2525" s="70">
        <f>IF(CurrentMtgRatesDataTable8[[#This Row],[Servicing Spread]]&lt;=0,L2524,CurrentMtgRatesDataTable8[[#This Row],[Servicing Spread]])</f>
        <v>0.83937775459051833</v>
      </c>
      <c r="M2525" s="70">
        <f>CurrentMtgRatesDataTable8[[#This Row],[Servicing Spread Non-Zero]]-L2524</f>
        <v>0</v>
      </c>
      <c r="N2525" s="70">
        <f>IF(J2524&lt;&gt;0,CurrentMtgRatesDataTable8[[#This Row],[Rate]]-C2524,N2524)</f>
        <v>7.5000000000000178E-2</v>
      </c>
    </row>
    <row r="2526" spans="1:14">
      <c r="A2526" s="67" t="s">
        <v>530</v>
      </c>
      <c r="B2526" s="68">
        <v>3.60938046615082</v>
      </c>
      <c r="C2526" s="69">
        <v>4.4800000000000004</v>
      </c>
      <c r="D2526" s="70">
        <f t="shared" si="273"/>
        <v>2</v>
      </c>
      <c r="E2526" s="70">
        <f t="shared" si="274"/>
        <v>0.2</v>
      </c>
      <c r="F2526" s="70">
        <f t="shared" si="275"/>
        <v>2</v>
      </c>
      <c r="G2526" s="70">
        <f t="shared" si="276"/>
        <v>1.44409292995676</v>
      </c>
      <c r="H2526" s="70">
        <f t="shared" si="277"/>
        <v>0.4</v>
      </c>
      <c r="I2526" s="70">
        <f t="shared" si="278"/>
        <v>0</v>
      </c>
      <c r="J2526" s="70">
        <f t="shared" si="279"/>
        <v>0</v>
      </c>
      <c r="K2526" s="70">
        <f>IF(CurrentMtgRatesDataTable8[[#This Row],[WA CC]]&lt;&gt;0,C2525-CurrentMtgRatesDataTable8[[#This Row],[WA CC]],0)</f>
        <v>0</v>
      </c>
      <c r="L2526" s="70">
        <f>IF(CurrentMtgRatesDataTable8[[#This Row],[Servicing Spread]]&lt;=0,L2525,CurrentMtgRatesDataTable8[[#This Row],[Servicing Spread]])</f>
        <v>0.83937775459051833</v>
      </c>
      <c r="M2526" s="70">
        <f>CurrentMtgRatesDataTable8[[#This Row],[Servicing Spread Non-Zero]]-L2525</f>
        <v>0</v>
      </c>
      <c r="N2526" s="70">
        <f>IF(J2525&lt;&gt;0,CurrentMtgRatesDataTable8[[#This Row],[Rate]]-C2525,N2525)</f>
        <v>7.5000000000000178E-2</v>
      </c>
    </row>
    <row r="2527" spans="1:14">
      <c r="A2527" s="67" t="s">
        <v>386</v>
      </c>
      <c r="B2527" s="68">
        <v>3.5746743392906399</v>
      </c>
      <c r="C2527" s="69">
        <v>4.4800000000000004</v>
      </c>
      <c r="D2527" s="70">
        <f t="shared" si="273"/>
        <v>5</v>
      </c>
      <c r="E2527" s="70">
        <f t="shared" si="274"/>
        <v>0.2</v>
      </c>
      <c r="F2527" s="70">
        <f t="shared" si="275"/>
        <v>3</v>
      </c>
      <c r="G2527" s="70">
        <f t="shared" si="276"/>
        <v>2.159027797814888</v>
      </c>
      <c r="H2527" s="70">
        <f t="shared" si="277"/>
        <v>0.60000000000000009</v>
      </c>
      <c r="I2527" s="70">
        <f t="shared" si="278"/>
        <v>0</v>
      </c>
      <c r="J2527" s="70">
        <f t="shared" si="279"/>
        <v>0</v>
      </c>
      <c r="K2527" s="70">
        <f>IF(CurrentMtgRatesDataTable8[[#This Row],[WA CC]]&lt;&gt;0,C2526-CurrentMtgRatesDataTable8[[#This Row],[WA CC]],0)</f>
        <v>0</v>
      </c>
      <c r="L2527" s="70">
        <f>IF(CurrentMtgRatesDataTable8[[#This Row],[Servicing Spread]]&lt;=0,L2526,CurrentMtgRatesDataTable8[[#This Row],[Servicing Spread]])</f>
        <v>0.83937775459051833</v>
      </c>
      <c r="M2527" s="70">
        <f>CurrentMtgRatesDataTable8[[#This Row],[Servicing Spread Non-Zero]]-L2526</f>
        <v>0</v>
      </c>
      <c r="N2527" s="70">
        <f>IF(J2526&lt;&gt;0,CurrentMtgRatesDataTable8[[#This Row],[Rate]]-C2526,N2526)</f>
        <v>7.5000000000000178E-2</v>
      </c>
    </row>
    <row r="2528" spans="1:14">
      <c r="A2528" s="67" t="s">
        <v>252</v>
      </c>
      <c r="B2528" s="68">
        <v>3.5930254960618</v>
      </c>
      <c r="C2528" s="69">
        <v>4.4800000000000004</v>
      </c>
      <c r="D2528" s="70">
        <f t="shared" si="273"/>
        <v>6</v>
      </c>
      <c r="E2528" s="70">
        <f t="shared" si="274"/>
        <v>0.2</v>
      </c>
      <c r="F2528" s="70">
        <f t="shared" si="275"/>
        <v>4</v>
      </c>
      <c r="G2528" s="70">
        <f t="shared" si="276"/>
        <v>2.8776328970272482</v>
      </c>
      <c r="H2528" s="70">
        <f t="shared" si="277"/>
        <v>0.8</v>
      </c>
      <c r="I2528" s="70">
        <f t="shared" si="278"/>
        <v>1</v>
      </c>
      <c r="J2528" s="70">
        <f t="shared" si="279"/>
        <v>3.5970411212840601</v>
      </c>
      <c r="K2528" s="70">
        <f>IF(CurrentMtgRatesDataTable8[[#This Row],[WA CC]]&lt;&gt;0,C2527-CurrentMtgRatesDataTable8[[#This Row],[WA CC]],0)</f>
        <v>0.88295887871594037</v>
      </c>
      <c r="L2528" s="70">
        <f>IF(CurrentMtgRatesDataTable8[[#This Row],[Servicing Spread]]&lt;=0,L2527,CurrentMtgRatesDataTable8[[#This Row],[Servicing Spread]])</f>
        <v>0.88295887871594037</v>
      </c>
      <c r="M2528" s="70">
        <f>CurrentMtgRatesDataTable8[[#This Row],[Servicing Spread Non-Zero]]-L2527</f>
        <v>4.3581124125422033E-2</v>
      </c>
      <c r="N2528" s="70">
        <f>IF(J2527&lt;&gt;0,CurrentMtgRatesDataTable8[[#This Row],[Rate]]-C2527,N2527)</f>
        <v>7.5000000000000178E-2</v>
      </c>
    </row>
    <row r="2529" spans="1:14">
      <c r="A2529" s="67" t="s">
        <v>671</v>
      </c>
      <c r="B2529" s="68">
        <v>3.5996964231875999</v>
      </c>
      <c r="C2529" s="69">
        <v>4.4349999999999996</v>
      </c>
      <c r="D2529" s="70">
        <f t="shared" si="273"/>
        <v>1</v>
      </c>
      <c r="E2529" s="70">
        <f t="shared" si="274"/>
        <v>0.2</v>
      </c>
      <c r="F2529" s="70">
        <f t="shared" si="275"/>
        <v>1</v>
      </c>
      <c r="G2529" s="70">
        <f t="shared" si="276"/>
        <v>0.71993928463751999</v>
      </c>
      <c r="H2529" s="70">
        <f t="shared" si="277"/>
        <v>0.2</v>
      </c>
      <c r="I2529" s="70">
        <f t="shared" si="278"/>
        <v>0</v>
      </c>
      <c r="J2529" s="70">
        <f t="shared" si="279"/>
        <v>0</v>
      </c>
      <c r="K2529" s="70">
        <f>IF(CurrentMtgRatesDataTable8[[#This Row],[WA CC]]&lt;&gt;0,C2528-CurrentMtgRatesDataTable8[[#This Row],[WA CC]],0)</f>
        <v>0</v>
      </c>
      <c r="L2529" s="70">
        <f>IF(CurrentMtgRatesDataTable8[[#This Row],[Servicing Spread]]&lt;=0,L2528,CurrentMtgRatesDataTable8[[#This Row],[Servicing Spread]])</f>
        <v>0.88295887871594037</v>
      </c>
      <c r="M2529" s="70">
        <f>CurrentMtgRatesDataTable8[[#This Row],[Servicing Spread Non-Zero]]-L2528</f>
        <v>0</v>
      </c>
      <c r="N2529" s="70">
        <f>IF(J2528&lt;&gt;0,CurrentMtgRatesDataTable8[[#This Row],[Rate]]-C2528,N2528)</f>
        <v>-4.5000000000000817E-2</v>
      </c>
    </row>
    <row r="2530" spans="1:14">
      <c r="A2530" s="67" t="s">
        <v>531</v>
      </c>
      <c r="B2530" s="68">
        <v>3.6032550852643102</v>
      </c>
      <c r="C2530" s="69">
        <v>4.4349999999999996</v>
      </c>
      <c r="D2530" s="70">
        <f t="shared" si="273"/>
        <v>2</v>
      </c>
      <c r="E2530" s="70">
        <f t="shared" si="274"/>
        <v>0.2</v>
      </c>
      <c r="F2530" s="70">
        <f t="shared" si="275"/>
        <v>2</v>
      </c>
      <c r="G2530" s="70">
        <f t="shared" si="276"/>
        <v>1.440590301690382</v>
      </c>
      <c r="H2530" s="70">
        <f t="shared" si="277"/>
        <v>0.4</v>
      </c>
      <c r="I2530" s="70">
        <f t="shared" si="278"/>
        <v>0</v>
      </c>
      <c r="J2530" s="70">
        <f t="shared" si="279"/>
        <v>0</v>
      </c>
      <c r="K2530" s="70">
        <f>IF(CurrentMtgRatesDataTable8[[#This Row],[WA CC]]&lt;&gt;0,C2529-CurrentMtgRatesDataTable8[[#This Row],[WA CC]],0)</f>
        <v>0</v>
      </c>
      <c r="L2530" s="70">
        <f>IF(CurrentMtgRatesDataTable8[[#This Row],[Servicing Spread]]&lt;=0,L2529,CurrentMtgRatesDataTable8[[#This Row],[Servicing Spread]])</f>
        <v>0.88295887871594037</v>
      </c>
      <c r="M2530" s="70">
        <f>CurrentMtgRatesDataTable8[[#This Row],[Servicing Spread Non-Zero]]-L2529</f>
        <v>0</v>
      </c>
      <c r="N2530" s="70">
        <f>IF(J2529&lt;&gt;0,CurrentMtgRatesDataTable8[[#This Row],[Rate]]-C2529,N2529)</f>
        <v>-4.5000000000000817E-2</v>
      </c>
    </row>
    <row r="2531" spans="1:14">
      <c r="A2531" s="67" t="s">
        <v>387</v>
      </c>
      <c r="B2531" s="68">
        <v>3.5763485946615199</v>
      </c>
      <c r="C2531" s="69">
        <v>4.4349999999999996</v>
      </c>
      <c r="D2531" s="70">
        <f t="shared" si="273"/>
        <v>5</v>
      </c>
      <c r="E2531" s="70">
        <f t="shared" si="274"/>
        <v>0.2</v>
      </c>
      <c r="F2531" s="70">
        <f t="shared" si="275"/>
        <v>3</v>
      </c>
      <c r="G2531" s="70">
        <f t="shared" si="276"/>
        <v>2.1558600206226863</v>
      </c>
      <c r="H2531" s="70">
        <f t="shared" si="277"/>
        <v>0.60000000000000009</v>
      </c>
      <c r="I2531" s="70">
        <f t="shared" si="278"/>
        <v>0</v>
      </c>
      <c r="J2531" s="70">
        <f t="shared" si="279"/>
        <v>0</v>
      </c>
      <c r="K2531" s="70">
        <f>IF(CurrentMtgRatesDataTable8[[#This Row],[WA CC]]&lt;&gt;0,C2530-CurrentMtgRatesDataTable8[[#This Row],[WA CC]],0)</f>
        <v>0</v>
      </c>
      <c r="L2531" s="70">
        <f>IF(CurrentMtgRatesDataTable8[[#This Row],[Servicing Spread]]&lt;=0,L2530,CurrentMtgRatesDataTable8[[#This Row],[Servicing Spread]])</f>
        <v>0.88295887871594037</v>
      </c>
      <c r="M2531" s="70">
        <f>CurrentMtgRatesDataTable8[[#This Row],[Servicing Spread Non-Zero]]-L2530</f>
        <v>0</v>
      </c>
      <c r="N2531" s="70">
        <f>IF(J2530&lt;&gt;0,CurrentMtgRatesDataTable8[[#This Row],[Rate]]-C2530,N2530)</f>
        <v>-4.5000000000000817E-2</v>
      </c>
    </row>
    <row r="2532" spans="1:14">
      <c r="A2532" s="67" t="s">
        <v>253</v>
      </c>
      <c r="B2532" s="68">
        <v>3.5428500405358099</v>
      </c>
      <c r="C2532" s="69">
        <v>4.4349999999999996</v>
      </c>
      <c r="D2532" s="70">
        <f t="shared" si="273"/>
        <v>6</v>
      </c>
      <c r="E2532" s="70">
        <f t="shared" si="274"/>
        <v>0.2</v>
      </c>
      <c r="F2532" s="70">
        <f t="shared" si="275"/>
        <v>4</v>
      </c>
      <c r="G2532" s="70">
        <f t="shared" si="276"/>
        <v>2.8644300287298483</v>
      </c>
      <c r="H2532" s="70">
        <f t="shared" si="277"/>
        <v>0.8</v>
      </c>
      <c r="I2532" s="70">
        <f t="shared" si="278"/>
        <v>0</v>
      </c>
      <c r="J2532" s="70">
        <f t="shared" si="279"/>
        <v>0</v>
      </c>
      <c r="K2532" s="70">
        <f>IF(CurrentMtgRatesDataTable8[[#This Row],[WA CC]]&lt;&gt;0,C2531-CurrentMtgRatesDataTable8[[#This Row],[WA CC]],0)</f>
        <v>0</v>
      </c>
      <c r="L2532" s="70">
        <f>IF(CurrentMtgRatesDataTable8[[#This Row],[Servicing Spread]]&lt;=0,L2531,CurrentMtgRatesDataTable8[[#This Row],[Servicing Spread]])</f>
        <v>0.88295887871594037</v>
      </c>
      <c r="M2532" s="70">
        <f>CurrentMtgRatesDataTable8[[#This Row],[Servicing Spread Non-Zero]]-L2531</f>
        <v>0</v>
      </c>
      <c r="N2532" s="70">
        <f>IF(J2531&lt;&gt;0,CurrentMtgRatesDataTable8[[#This Row],[Rate]]-C2531,N2531)</f>
        <v>-4.5000000000000817E-2</v>
      </c>
    </row>
    <row r="2533" spans="1:14">
      <c r="A2533" s="67" t="s">
        <v>108</v>
      </c>
      <c r="B2533" s="68">
        <v>3.5963712535882499</v>
      </c>
      <c r="C2533" s="69">
        <v>4.4349999999999996</v>
      </c>
      <c r="D2533" s="70">
        <f t="shared" si="273"/>
        <v>7</v>
      </c>
      <c r="E2533" s="70">
        <f t="shared" si="274"/>
        <v>0.2</v>
      </c>
      <c r="F2533" s="70">
        <f t="shared" si="275"/>
        <v>5</v>
      </c>
      <c r="G2533" s="70">
        <f t="shared" si="276"/>
        <v>3.5837042794474985</v>
      </c>
      <c r="H2533" s="70">
        <f t="shared" si="277"/>
        <v>1</v>
      </c>
      <c r="I2533" s="70">
        <f t="shared" si="278"/>
        <v>1</v>
      </c>
      <c r="J2533" s="70">
        <f t="shared" si="279"/>
        <v>3.5837042794474985</v>
      </c>
      <c r="K2533" s="70">
        <f>IF(CurrentMtgRatesDataTable8[[#This Row],[WA CC]]&lt;&gt;0,C2532-CurrentMtgRatesDataTable8[[#This Row],[WA CC]],0)</f>
        <v>0.85129572055250113</v>
      </c>
      <c r="L2533" s="70">
        <f>IF(CurrentMtgRatesDataTable8[[#This Row],[Servicing Spread]]&lt;=0,L2532,CurrentMtgRatesDataTable8[[#This Row],[Servicing Spread]])</f>
        <v>0.85129572055250113</v>
      </c>
      <c r="M2533" s="70">
        <f>CurrentMtgRatesDataTable8[[#This Row],[Servicing Spread Non-Zero]]-L2532</f>
        <v>-3.1663158163439231E-2</v>
      </c>
      <c r="N2533" s="70">
        <f>IF(J2532&lt;&gt;0,CurrentMtgRatesDataTable8[[#This Row],[Rate]]-C2532,N2532)</f>
        <v>-4.5000000000000817E-2</v>
      </c>
    </row>
    <row r="2534" spans="1:14">
      <c r="A2534" s="67" t="s">
        <v>672</v>
      </c>
      <c r="B2534" s="68">
        <v>3.5749416796778899</v>
      </c>
      <c r="C2534" s="69">
        <v>4.335</v>
      </c>
      <c r="D2534" s="70">
        <f t="shared" si="273"/>
        <v>1</v>
      </c>
      <c r="E2534" s="70">
        <f t="shared" si="274"/>
        <v>0.2</v>
      </c>
      <c r="F2534" s="70">
        <f t="shared" si="275"/>
        <v>1</v>
      </c>
      <c r="G2534" s="70">
        <f t="shared" si="276"/>
        <v>0.71498833593557798</v>
      </c>
      <c r="H2534" s="70">
        <f t="shared" si="277"/>
        <v>0.2</v>
      </c>
      <c r="I2534" s="70">
        <f t="shared" si="278"/>
        <v>0</v>
      </c>
      <c r="J2534" s="70">
        <f t="shared" si="279"/>
        <v>0</v>
      </c>
      <c r="K2534" s="70">
        <f>IF(CurrentMtgRatesDataTable8[[#This Row],[WA CC]]&lt;&gt;0,C2533-CurrentMtgRatesDataTable8[[#This Row],[WA CC]],0)</f>
        <v>0</v>
      </c>
      <c r="L2534" s="70">
        <f>IF(CurrentMtgRatesDataTable8[[#This Row],[Servicing Spread]]&lt;=0,L2533,CurrentMtgRatesDataTable8[[#This Row],[Servicing Spread]])</f>
        <v>0.85129572055250113</v>
      </c>
      <c r="M2534" s="70">
        <f>CurrentMtgRatesDataTable8[[#This Row],[Servicing Spread Non-Zero]]-L2533</f>
        <v>0</v>
      </c>
      <c r="N2534" s="70">
        <f>IF(J2533&lt;&gt;0,CurrentMtgRatesDataTable8[[#This Row],[Rate]]-C2533,N2533)</f>
        <v>-9.9999999999999645E-2</v>
      </c>
    </row>
    <row r="2535" spans="1:14">
      <c r="A2535" s="67" t="s">
        <v>532</v>
      </c>
      <c r="B2535" s="68">
        <v>3.4718387266108799</v>
      </c>
      <c r="C2535" s="69">
        <v>4.335</v>
      </c>
      <c r="D2535" s="70">
        <f t="shared" si="273"/>
        <v>2</v>
      </c>
      <c r="E2535" s="70">
        <f t="shared" si="274"/>
        <v>0.2</v>
      </c>
      <c r="F2535" s="70">
        <f t="shared" si="275"/>
        <v>2</v>
      </c>
      <c r="G2535" s="70">
        <f t="shared" si="276"/>
        <v>1.4093560812577541</v>
      </c>
      <c r="H2535" s="70">
        <f t="shared" si="277"/>
        <v>0.4</v>
      </c>
      <c r="I2535" s="70">
        <f t="shared" si="278"/>
        <v>0</v>
      </c>
      <c r="J2535" s="70">
        <f t="shared" si="279"/>
        <v>0</v>
      </c>
      <c r="K2535" s="70">
        <f>IF(CurrentMtgRatesDataTable8[[#This Row],[WA CC]]&lt;&gt;0,C2534-CurrentMtgRatesDataTable8[[#This Row],[WA CC]],0)</f>
        <v>0</v>
      </c>
      <c r="L2535" s="70">
        <f>IF(CurrentMtgRatesDataTable8[[#This Row],[Servicing Spread]]&lt;=0,L2534,CurrentMtgRatesDataTable8[[#This Row],[Servicing Spread]])</f>
        <v>0.85129572055250113</v>
      </c>
      <c r="M2535" s="70">
        <f>CurrentMtgRatesDataTable8[[#This Row],[Servicing Spread Non-Zero]]-L2534</f>
        <v>0</v>
      </c>
      <c r="N2535" s="70">
        <f>IF(J2534&lt;&gt;0,CurrentMtgRatesDataTable8[[#This Row],[Rate]]-C2534,N2534)</f>
        <v>-9.9999999999999645E-2</v>
      </c>
    </row>
    <row r="2536" spans="1:14">
      <c r="A2536" s="67" t="s">
        <v>388</v>
      </c>
      <c r="B2536" s="68">
        <v>3.4264575978101499</v>
      </c>
      <c r="C2536" s="69">
        <v>4.335</v>
      </c>
      <c r="D2536" s="70">
        <f t="shared" si="273"/>
        <v>5</v>
      </c>
      <c r="E2536" s="70">
        <f t="shared" si="274"/>
        <v>0.2</v>
      </c>
      <c r="F2536" s="70">
        <f t="shared" si="275"/>
        <v>3</v>
      </c>
      <c r="G2536" s="70">
        <f t="shared" si="276"/>
        <v>2.0946476008197843</v>
      </c>
      <c r="H2536" s="70">
        <f t="shared" si="277"/>
        <v>0.60000000000000009</v>
      </c>
      <c r="I2536" s="70">
        <f t="shared" si="278"/>
        <v>0</v>
      </c>
      <c r="J2536" s="70">
        <f t="shared" si="279"/>
        <v>0</v>
      </c>
      <c r="K2536" s="70">
        <f>IF(CurrentMtgRatesDataTable8[[#This Row],[WA CC]]&lt;&gt;0,C2535-CurrentMtgRatesDataTable8[[#This Row],[WA CC]],0)</f>
        <v>0</v>
      </c>
      <c r="L2536" s="70">
        <f>IF(CurrentMtgRatesDataTable8[[#This Row],[Servicing Spread]]&lt;=0,L2535,CurrentMtgRatesDataTable8[[#This Row],[Servicing Spread]])</f>
        <v>0.85129572055250113</v>
      </c>
      <c r="M2536" s="70">
        <f>CurrentMtgRatesDataTable8[[#This Row],[Servicing Spread Non-Zero]]-L2535</f>
        <v>0</v>
      </c>
      <c r="N2536" s="70">
        <f>IF(J2535&lt;&gt;0,CurrentMtgRatesDataTable8[[#This Row],[Rate]]-C2535,N2535)</f>
        <v>-9.9999999999999645E-2</v>
      </c>
    </row>
    <row r="2537" spans="1:14">
      <c r="A2537" s="67" t="s">
        <v>254</v>
      </c>
      <c r="B2537" s="68">
        <v>3.4834111891672799</v>
      </c>
      <c r="C2537" s="69">
        <v>4.335</v>
      </c>
      <c r="D2537" s="70">
        <f t="shared" si="273"/>
        <v>6</v>
      </c>
      <c r="E2537" s="70">
        <f t="shared" si="274"/>
        <v>0.2</v>
      </c>
      <c r="F2537" s="70">
        <f t="shared" si="275"/>
        <v>4</v>
      </c>
      <c r="G2537" s="70">
        <f t="shared" si="276"/>
        <v>2.7913298386532404</v>
      </c>
      <c r="H2537" s="70">
        <f t="shared" si="277"/>
        <v>0.8</v>
      </c>
      <c r="I2537" s="70">
        <f t="shared" si="278"/>
        <v>0</v>
      </c>
      <c r="J2537" s="70">
        <f t="shared" si="279"/>
        <v>0</v>
      </c>
      <c r="K2537" s="70">
        <f>IF(CurrentMtgRatesDataTable8[[#This Row],[WA CC]]&lt;&gt;0,C2536-CurrentMtgRatesDataTable8[[#This Row],[WA CC]],0)</f>
        <v>0</v>
      </c>
      <c r="L2537" s="70">
        <f>IF(CurrentMtgRatesDataTable8[[#This Row],[Servicing Spread]]&lt;=0,L2536,CurrentMtgRatesDataTable8[[#This Row],[Servicing Spread]])</f>
        <v>0.85129572055250113</v>
      </c>
      <c r="M2537" s="70">
        <f>CurrentMtgRatesDataTable8[[#This Row],[Servicing Spread Non-Zero]]-L2536</f>
        <v>0</v>
      </c>
      <c r="N2537" s="70">
        <f>IF(J2536&lt;&gt;0,CurrentMtgRatesDataTable8[[#This Row],[Rate]]-C2536,N2536)</f>
        <v>-9.9999999999999645E-2</v>
      </c>
    </row>
    <row r="2538" spans="1:14">
      <c r="A2538" s="67" t="s">
        <v>109</v>
      </c>
      <c r="B2538" s="68">
        <v>3.4947799465752998</v>
      </c>
      <c r="C2538" s="69">
        <v>4.335</v>
      </c>
      <c r="D2538" s="70">
        <f t="shared" si="273"/>
        <v>7</v>
      </c>
      <c r="E2538" s="70">
        <f t="shared" si="274"/>
        <v>0.2</v>
      </c>
      <c r="F2538" s="70">
        <f t="shared" si="275"/>
        <v>5</v>
      </c>
      <c r="G2538" s="70">
        <f t="shared" si="276"/>
        <v>3.4902858279683002</v>
      </c>
      <c r="H2538" s="70">
        <f t="shared" si="277"/>
        <v>1</v>
      </c>
      <c r="I2538" s="70">
        <f t="shared" si="278"/>
        <v>1</v>
      </c>
      <c r="J2538" s="70">
        <f t="shared" si="279"/>
        <v>3.4902858279683002</v>
      </c>
      <c r="K2538" s="70">
        <f>IF(CurrentMtgRatesDataTable8[[#This Row],[WA CC]]&lt;&gt;0,C2537-CurrentMtgRatesDataTable8[[#This Row],[WA CC]],0)</f>
        <v>0.84471417203169974</v>
      </c>
      <c r="L2538" s="70">
        <f>IF(CurrentMtgRatesDataTable8[[#This Row],[Servicing Spread]]&lt;=0,L2537,CurrentMtgRatesDataTable8[[#This Row],[Servicing Spread]])</f>
        <v>0.84471417203169974</v>
      </c>
      <c r="M2538" s="70">
        <f>CurrentMtgRatesDataTable8[[#This Row],[Servicing Spread Non-Zero]]-L2537</f>
        <v>-6.5815485208013946E-3</v>
      </c>
      <c r="N2538" s="70">
        <f>IF(J2537&lt;&gt;0,CurrentMtgRatesDataTable8[[#This Row],[Rate]]-C2537,N2537)</f>
        <v>-9.9999999999999645E-2</v>
      </c>
    </row>
    <row r="2539" spans="1:14">
      <c r="A2539" s="67" t="s">
        <v>673</v>
      </c>
      <c r="B2539" s="68">
        <v>3.4570560243786002</v>
      </c>
      <c r="C2539" s="69">
        <v>4.3149999999999995</v>
      </c>
      <c r="D2539" s="70">
        <f t="shared" si="273"/>
        <v>1</v>
      </c>
      <c r="E2539" s="70">
        <f t="shared" si="274"/>
        <v>0.2</v>
      </c>
      <c r="F2539" s="70">
        <f t="shared" si="275"/>
        <v>1</v>
      </c>
      <c r="G2539" s="70">
        <f t="shared" si="276"/>
        <v>0.69141120487572005</v>
      </c>
      <c r="H2539" s="70">
        <f t="shared" si="277"/>
        <v>0.2</v>
      </c>
      <c r="I2539" s="70">
        <f t="shared" si="278"/>
        <v>0</v>
      </c>
      <c r="J2539" s="70">
        <f t="shared" si="279"/>
        <v>0</v>
      </c>
      <c r="K2539" s="70">
        <f>IF(CurrentMtgRatesDataTable8[[#This Row],[WA CC]]&lt;&gt;0,C2538-CurrentMtgRatesDataTable8[[#This Row],[WA CC]],0)</f>
        <v>0</v>
      </c>
      <c r="L2539" s="70">
        <f>IF(CurrentMtgRatesDataTable8[[#This Row],[Servicing Spread]]&lt;=0,L2538,CurrentMtgRatesDataTable8[[#This Row],[Servicing Spread]])</f>
        <v>0.84471417203169974</v>
      </c>
      <c r="M2539" s="70">
        <f>CurrentMtgRatesDataTable8[[#This Row],[Servicing Spread Non-Zero]]-L2538</f>
        <v>0</v>
      </c>
      <c r="N2539" s="70">
        <f>IF(J2538&lt;&gt;0,CurrentMtgRatesDataTable8[[#This Row],[Rate]]-C2538,N2538)</f>
        <v>-2.0000000000000462E-2</v>
      </c>
    </row>
    <row r="2540" spans="1:14">
      <c r="A2540" s="67" t="s">
        <v>533</v>
      </c>
      <c r="B2540" s="68">
        <v>3.4370844050238198</v>
      </c>
      <c r="C2540" s="69">
        <v>4.3149999999999995</v>
      </c>
      <c r="D2540" s="70">
        <f t="shared" si="273"/>
        <v>2</v>
      </c>
      <c r="E2540" s="70">
        <f t="shared" si="274"/>
        <v>0.2</v>
      </c>
      <c r="F2540" s="70">
        <f t="shared" si="275"/>
        <v>2</v>
      </c>
      <c r="G2540" s="70">
        <f t="shared" si="276"/>
        <v>1.378828085880484</v>
      </c>
      <c r="H2540" s="70">
        <f t="shared" si="277"/>
        <v>0.4</v>
      </c>
      <c r="I2540" s="70">
        <f t="shared" si="278"/>
        <v>0</v>
      </c>
      <c r="J2540" s="70">
        <f t="shared" si="279"/>
        <v>0</v>
      </c>
      <c r="K2540" s="70">
        <f>IF(CurrentMtgRatesDataTable8[[#This Row],[WA CC]]&lt;&gt;0,C2539-CurrentMtgRatesDataTable8[[#This Row],[WA CC]],0)</f>
        <v>0</v>
      </c>
      <c r="L2540" s="70">
        <f>IF(CurrentMtgRatesDataTable8[[#This Row],[Servicing Spread]]&lt;=0,L2539,CurrentMtgRatesDataTable8[[#This Row],[Servicing Spread]])</f>
        <v>0.84471417203169974</v>
      </c>
      <c r="M2540" s="70">
        <f>CurrentMtgRatesDataTable8[[#This Row],[Servicing Spread Non-Zero]]-L2539</f>
        <v>0</v>
      </c>
      <c r="N2540" s="70">
        <f>IF(J2539&lt;&gt;0,CurrentMtgRatesDataTable8[[#This Row],[Rate]]-C2539,N2539)</f>
        <v>-2.0000000000000462E-2</v>
      </c>
    </row>
    <row r="2541" spans="1:14">
      <c r="A2541" s="67" t="s">
        <v>255</v>
      </c>
      <c r="B2541" s="68">
        <v>3.4306167460721202</v>
      </c>
      <c r="C2541" s="69">
        <v>4.3149999999999995</v>
      </c>
      <c r="D2541" s="70">
        <f t="shared" si="273"/>
        <v>6</v>
      </c>
      <c r="E2541" s="70">
        <f t="shared" si="274"/>
        <v>0.2</v>
      </c>
      <c r="F2541" s="70">
        <f t="shared" si="275"/>
        <v>3</v>
      </c>
      <c r="G2541" s="70">
        <f t="shared" si="276"/>
        <v>2.0649514350949083</v>
      </c>
      <c r="H2541" s="70">
        <f t="shared" si="277"/>
        <v>0.60000000000000009</v>
      </c>
      <c r="I2541" s="70">
        <f t="shared" si="278"/>
        <v>0</v>
      </c>
      <c r="J2541" s="70">
        <f t="shared" si="279"/>
        <v>0</v>
      </c>
      <c r="K2541" s="70">
        <f>IF(CurrentMtgRatesDataTable8[[#This Row],[WA CC]]&lt;&gt;0,C2540-CurrentMtgRatesDataTable8[[#This Row],[WA CC]],0)</f>
        <v>0</v>
      </c>
      <c r="L2541" s="70">
        <f>IF(CurrentMtgRatesDataTable8[[#This Row],[Servicing Spread]]&lt;=0,L2540,CurrentMtgRatesDataTable8[[#This Row],[Servicing Spread]])</f>
        <v>0.84471417203169974</v>
      </c>
      <c r="M2541" s="70">
        <f>CurrentMtgRatesDataTable8[[#This Row],[Servicing Spread Non-Zero]]-L2540</f>
        <v>0</v>
      </c>
      <c r="N2541" s="70">
        <f>IF(J2540&lt;&gt;0,CurrentMtgRatesDataTable8[[#This Row],[Rate]]-C2540,N2540)</f>
        <v>-2.0000000000000462E-2</v>
      </c>
    </row>
    <row r="2542" spans="1:14">
      <c r="A2542" s="67" t="s">
        <v>110</v>
      </c>
      <c r="B2542" s="68">
        <v>3.4813003413665098</v>
      </c>
      <c r="C2542" s="69">
        <v>4.3149999999999995</v>
      </c>
      <c r="D2542" s="70">
        <f t="shared" si="273"/>
        <v>7</v>
      </c>
      <c r="E2542" s="70">
        <f t="shared" si="274"/>
        <v>0.2</v>
      </c>
      <c r="F2542" s="70">
        <f t="shared" si="275"/>
        <v>4</v>
      </c>
      <c r="G2542" s="70">
        <f t="shared" si="276"/>
        <v>2.7612115033682105</v>
      </c>
      <c r="H2542" s="70">
        <f t="shared" si="277"/>
        <v>0.8</v>
      </c>
      <c r="I2542" s="70">
        <f t="shared" si="278"/>
        <v>1</v>
      </c>
      <c r="J2542" s="70">
        <f t="shared" si="279"/>
        <v>3.4515143792102632</v>
      </c>
      <c r="K2542" s="70">
        <f>IF(CurrentMtgRatesDataTable8[[#This Row],[WA CC]]&lt;&gt;0,C2541-CurrentMtgRatesDataTable8[[#This Row],[WA CC]],0)</f>
        <v>0.86348562078973634</v>
      </c>
      <c r="L2542" s="70">
        <f>IF(CurrentMtgRatesDataTable8[[#This Row],[Servicing Spread]]&lt;=0,L2541,CurrentMtgRatesDataTable8[[#This Row],[Servicing Spread]])</f>
        <v>0.86348562078973634</v>
      </c>
      <c r="M2542" s="70">
        <f>CurrentMtgRatesDataTable8[[#This Row],[Servicing Spread Non-Zero]]-L2541</f>
        <v>1.8771448758036602E-2</v>
      </c>
      <c r="N2542" s="70">
        <f>IF(J2541&lt;&gt;0,CurrentMtgRatesDataTable8[[#This Row],[Rate]]-C2541,N2541)</f>
        <v>-2.0000000000000462E-2</v>
      </c>
    </row>
    <row r="2543" spans="1:14">
      <c r="A2543" s="67" t="s">
        <v>674</v>
      </c>
      <c r="B2543" s="68">
        <v>3.42598487814407</v>
      </c>
      <c r="C2543" s="69">
        <v>4.2450000000000001</v>
      </c>
      <c r="D2543" s="70">
        <f t="shared" si="273"/>
        <v>1</v>
      </c>
      <c r="E2543" s="70">
        <f t="shared" si="274"/>
        <v>0.2</v>
      </c>
      <c r="F2543" s="70">
        <f t="shared" si="275"/>
        <v>1</v>
      </c>
      <c r="G2543" s="70">
        <f t="shared" si="276"/>
        <v>0.6851969756288141</v>
      </c>
      <c r="H2543" s="70">
        <f t="shared" si="277"/>
        <v>0.2</v>
      </c>
      <c r="I2543" s="70">
        <f t="shared" si="278"/>
        <v>0</v>
      </c>
      <c r="J2543" s="70">
        <f t="shared" si="279"/>
        <v>0</v>
      </c>
      <c r="K2543" s="70">
        <f>IF(CurrentMtgRatesDataTable8[[#This Row],[WA CC]]&lt;&gt;0,C2542-CurrentMtgRatesDataTable8[[#This Row],[WA CC]],0)</f>
        <v>0</v>
      </c>
      <c r="L2543" s="70">
        <f>IF(CurrentMtgRatesDataTable8[[#This Row],[Servicing Spread]]&lt;=0,L2542,CurrentMtgRatesDataTable8[[#This Row],[Servicing Spread]])</f>
        <v>0.86348562078973634</v>
      </c>
      <c r="M2543" s="70">
        <f>CurrentMtgRatesDataTable8[[#This Row],[Servicing Spread Non-Zero]]-L2542</f>
        <v>0</v>
      </c>
      <c r="N2543" s="70">
        <f>IF(J2542&lt;&gt;0,CurrentMtgRatesDataTable8[[#This Row],[Rate]]-C2542,N2542)</f>
        <v>-6.9999999999999396E-2</v>
      </c>
    </row>
    <row r="2544" spans="1:14">
      <c r="A2544" s="67" t="s">
        <v>534</v>
      </c>
      <c r="B2544" s="68">
        <v>3.3821795348389898</v>
      </c>
      <c r="C2544" s="69">
        <v>4.2450000000000001</v>
      </c>
      <c r="D2544" s="70">
        <f t="shared" si="273"/>
        <v>2</v>
      </c>
      <c r="E2544" s="70">
        <f t="shared" si="274"/>
        <v>0.2</v>
      </c>
      <c r="F2544" s="70">
        <f t="shared" si="275"/>
        <v>2</v>
      </c>
      <c r="G2544" s="70">
        <f t="shared" si="276"/>
        <v>1.361632882596612</v>
      </c>
      <c r="H2544" s="70">
        <f t="shared" si="277"/>
        <v>0.4</v>
      </c>
      <c r="I2544" s="70">
        <f t="shared" si="278"/>
        <v>0</v>
      </c>
      <c r="J2544" s="70">
        <f t="shared" si="279"/>
        <v>0</v>
      </c>
      <c r="K2544" s="70">
        <f>IF(CurrentMtgRatesDataTable8[[#This Row],[WA CC]]&lt;&gt;0,C2543-CurrentMtgRatesDataTable8[[#This Row],[WA CC]],0)</f>
        <v>0</v>
      </c>
      <c r="L2544" s="70">
        <f>IF(CurrentMtgRatesDataTable8[[#This Row],[Servicing Spread]]&lt;=0,L2543,CurrentMtgRatesDataTable8[[#This Row],[Servicing Spread]])</f>
        <v>0.86348562078973634</v>
      </c>
      <c r="M2544" s="70">
        <f>CurrentMtgRatesDataTable8[[#This Row],[Servicing Spread Non-Zero]]-L2543</f>
        <v>0</v>
      </c>
      <c r="N2544" s="70">
        <f>IF(J2543&lt;&gt;0,CurrentMtgRatesDataTable8[[#This Row],[Rate]]-C2543,N2543)</f>
        <v>-6.9999999999999396E-2</v>
      </c>
    </row>
    <row r="2545" spans="1:14">
      <c r="A2545" s="67" t="s">
        <v>389</v>
      </c>
      <c r="B2545" s="68">
        <v>3.4248929817112499</v>
      </c>
      <c r="C2545" s="69">
        <v>4.2450000000000001</v>
      </c>
      <c r="D2545" s="70">
        <f t="shared" si="273"/>
        <v>5</v>
      </c>
      <c r="E2545" s="70">
        <f t="shared" si="274"/>
        <v>0.2</v>
      </c>
      <c r="F2545" s="70">
        <f t="shared" si="275"/>
        <v>3</v>
      </c>
      <c r="G2545" s="70">
        <f t="shared" si="276"/>
        <v>2.0466114789388619</v>
      </c>
      <c r="H2545" s="70">
        <f t="shared" si="277"/>
        <v>0.60000000000000009</v>
      </c>
      <c r="I2545" s="70">
        <f t="shared" si="278"/>
        <v>0</v>
      </c>
      <c r="J2545" s="70">
        <f t="shared" si="279"/>
        <v>0</v>
      </c>
      <c r="K2545" s="70">
        <f>IF(CurrentMtgRatesDataTable8[[#This Row],[WA CC]]&lt;&gt;0,C2544-CurrentMtgRatesDataTable8[[#This Row],[WA CC]],0)</f>
        <v>0</v>
      </c>
      <c r="L2545" s="70">
        <f>IF(CurrentMtgRatesDataTable8[[#This Row],[Servicing Spread]]&lt;=0,L2544,CurrentMtgRatesDataTable8[[#This Row],[Servicing Spread]])</f>
        <v>0.86348562078973634</v>
      </c>
      <c r="M2545" s="70">
        <f>CurrentMtgRatesDataTable8[[#This Row],[Servicing Spread Non-Zero]]-L2544</f>
        <v>0</v>
      </c>
      <c r="N2545" s="70">
        <f>IF(J2544&lt;&gt;0,CurrentMtgRatesDataTable8[[#This Row],[Rate]]-C2544,N2544)</f>
        <v>-6.9999999999999396E-2</v>
      </c>
    </row>
    <row r="2546" spans="1:14">
      <c r="A2546" s="67" t="s">
        <v>256</v>
      </c>
      <c r="B2546" s="68">
        <v>3.4146699129436402</v>
      </c>
      <c r="C2546" s="69">
        <v>4.2450000000000001</v>
      </c>
      <c r="D2546" s="70">
        <f t="shared" si="273"/>
        <v>6</v>
      </c>
      <c r="E2546" s="70">
        <f t="shared" si="274"/>
        <v>0.2</v>
      </c>
      <c r="F2546" s="70">
        <f t="shared" si="275"/>
        <v>4</v>
      </c>
      <c r="G2546" s="70">
        <f t="shared" si="276"/>
        <v>2.7295454615275898</v>
      </c>
      <c r="H2546" s="70">
        <f t="shared" si="277"/>
        <v>0.8</v>
      </c>
      <c r="I2546" s="70">
        <f t="shared" si="278"/>
        <v>0</v>
      </c>
      <c r="J2546" s="70">
        <f t="shared" si="279"/>
        <v>0</v>
      </c>
      <c r="K2546" s="70">
        <f>IF(CurrentMtgRatesDataTable8[[#This Row],[WA CC]]&lt;&gt;0,C2545-CurrentMtgRatesDataTable8[[#This Row],[WA CC]],0)</f>
        <v>0</v>
      </c>
      <c r="L2546" s="70">
        <f>IF(CurrentMtgRatesDataTable8[[#This Row],[Servicing Spread]]&lt;=0,L2545,CurrentMtgRatesDataTable8[[#This Row],[Servicing Spread]])</f>
        <v>0.86348562078973634</v>
      </c>
      <c r="M2546" s="70">
        <f>CurrentMtgRatesDataTable8[[#This Row],[Servicing Spread Non-Zero]]-L2545</f>
        <v>0</v>
      </c>
      <c r="N2546" s="70">
        <f>IF(J2545&lt;&gt;0,CurrentMtgRatesDataTable8[[#This Row],[Rate]]-C2545,N2545)</f>
        <v>-6.9999999999999396E-2</v>
      </c>
    </row>
    <row r="2547" spans="1:14">
      <c r="A2547" s="67" t="s">
        <v>111</v>
      </c>
      <c r="B2547" s="68">
        <v>3.3611475085431901</v>
      </c>
      <c r="C2547" s="69">
        <v>4.2450000000000001</v>
      </c>
      <c r="D2547" s="70">
        <f t="shared" si="273"/>
        <v>7</v>
      </c>
      <c r="E2547" s="70">
        <f t="shared" si="274"/>
        <v>0.2</v>
      </c>
      <c r="F2547" s="70">
        <f t="shared" si="275"/>
        <v>5</v>
      </c>
      <c r="G2547" s="70">
        <f t="shared" si="276"/>
        <v>3.4017749632362277</v>
      </c>
      <c r="H2547" s="70">
        <f t="shared" si="277"/>
        <v>1</v>
      </c>
      <c r="I2547" s="70">
        <f t="shared" si="278"/>
        <v>1</v>
      </c>
      <c r="J2547" s="70">
        <f t="shared" si="279"/>
        <v>3.4017749632362277</v>
      </c>
      <c r="K2547" s="70">
        <f>IF(CurrentMtgRatesDataTable8[[#This Row],[WA CC]]&lt;&gt;0,C2546-CurrentMtgRatesDataTable8[[#This Row],[WA CC]],0)</f>
        <v>0.84322503676377236</v>
      </c>
      <c r="L2547" s="70">
        <f>IF(CurrentMtgRatesDataTable8[[#This Row],[Servicing Spread]]&lt;=0,L2546,CurrentMtgRatesDataTable8[[#This Row],[Servicing Spread]])</f>
        <v>0.84322503676377236</v>
      </c>
      <c r="M2547" s="70">
        <f>CurrentMtgRatesDataTable8[[#This Row],[Servicing Spread Non-Zero]]-L2546</f>
        <v>-2.0260584025963979E-2</v>
      </c>
      <c r="N2547" s="70">
        <f>IF(J2546&lt;&gt;0,CurrentMtgRatesDataTable8[[#This Row],[Rate]]-C2546,N2546)</f>
        <v>-6.9999999999999396E-2</v>
      </c>
    </row>
    <row r="2548" spans="1:14">
      <c r="A2548" s="67" t="s">
        <v>675</v>
      </c>
      <c r="B2548" s="68">
        <v>3.3710250871978902</v>
      </c>
      <c r="C2548" s="69">
        <v>4.1550000000000002</v>
      </c>
      <c r="D2548" s="70">
        <f t="shared" si="273"/>
        <v>1</v>
      </c>
      <c r="E2548" s="70">
        <f t="shared" si="274"/>
        <v>0.2</v>
      </c>
      <c r="F2548" s="70">
        <f t="shared" si="275"/>
        <v>1</v>
      </c>
      <c r="G2548" s="70">
        <f t="shared" si="276"/>
        <v>0.67420501743957806</v>
      </c>
      <c r="H2548" s="70">
        <f t="shared" si="277"/>
        <v>0.2</v>
      </c>
      <c r="I2548" s="70">
        <f t="shared" si="278"/>
        <v>0</v>
      </c>
      <c r="J2548" s="70">
        <f t="shared" si="279"/>
        <v>0</v>
      </c>
      <c r="K2548" s="70">
        <f>IF(CurrentMtgRatesDataTable8[[#This Row],[WA CC]]&lt;&gt;0,C2547-CurrentMtgRatesDataTable8[[#This Row],[WA CC]],0)</f>
        <v>0</v>
      </c>
      <c r="L2548" s="70">
        <f>IF(CurrentMtgRatesDataTable8[[#This Row],[Servicing Spread]]&lt;=0,L2547,CurrentMtgRatesDataTable8[[#This Row],[Servicing Spread]])</f>
        <v>0.84322503676377236</v>
      </c>
      <c r="M2548" s="70">
        <f>CurrentMtgRatesDataTable8[[#This Row],[Servicing Spread Non-Zero]]-L2547</f>
        <v>0</v>
      </c>
      <c r="N2548" s="70">
        <f>IF(J2547&lt;&gt;0,CurrentMtgRatesDataTable8[[#This Row],[Rate]]-C2547,N2547)</f>
        <v>-8.9999999999999858E-2</v>
      </c>
    </row>
    <row r="2549" spans="1:14">
      <c r="A2549" s="67" t="s">
        <v>535</v>
      </c>
      <c r="B2549" s="68">
        <v>3.3406752567006799</v>
      </c>
      <c r="C2549" s="69">
        <v>4.1550000000000002</v>
      </c>
      <c r="D2549" s="70">
        <f t="shared" si="273"/>
        <v>2</v>
      </c>
      <c r="E2549" s="70">
        <f t="shared" si="274"/>
        <v>0.2</v>
      </c>
      <c r="F2549" s="70">
        <f t="shared" si="275"/>
        <v>2</v>
      </c>
      <c r="G2549" s="70">
        <f t="shared" si="276"/>
        <v>1.342340068779714</v>
      </c>
      <c r="H2549" s="70">
        <f t="shared" si="277"/>
        <v>0.4</v>
      </c>
      <c r="I2549" s="70">
        <f t="shared" si="278"/>
        <v>0</v>
      </c>
      <c r="J2549" s="70">
        <f t="shared" si="279"/>
        <v>0</v>
      </c>
      <c r="K2549" s="70">
        <f>IF(CurrentMtgRatesDataTable8[[#This Row],[WA CC]]&lt;&gt;0,C2548-CurrentMtgRatesDataTable8[[#This Row],[WA CC]],0)</f>
        <v>0</v>
      </c>
      <c r="L2549" s="70">
        <f>IF(CurrentMtgRatesDataTable8[[#This Row],[Servicing Spread]]&lt;=0,L2548,CurrentMtgRatesDataTable8[[#This Row],[Servicing Spread]])</f>
        <v>0.84322503676377236</v>
      </c>
      <c r="M2549" s="70">
        <f>CurrentMtgRatesDataTable8[[#This Row],[Servicing Spread Non-Zero]]-L2548</f>
        <v>0</v>
      </c>
      <c r="N2549" s="70">
        <f>IF(J2548&lt;&gt;0,CurrentMtgRatesDataTable8[[#This Row],[Rate]]-C2548,N2548)</f>
        <v>-8.9999999999999858E-2</v>
      </c>
    </row>
    <row r="2550" spans="1:14">
      <c r="A2550" s="67" t="s">
        <v>390</v>
      </c>
      <c r="B2550" s="68">
        <v>3.2710992042590501</v>
      </c>
      <c r="C2550" s="69">
        <v>4.1550000000000002</v>
      </c>
      <c r="D2550" s="70">
        <f t="shared" si="273"/>
        <v>5</v>
      </c>
      <c r="E2550" s="70">
        <f t="shared" si="274"/>
        <v>0.2</v>
      </c>
      <c r="F2550" s="70">
        <f t="shared" si="275"/>
        <v>3</v>
      </c>
      <c r="G2550" s="70">
        <f t="shared" si="276"/>
        <v>1.9965599096315241</v>
      </c>
      <c r="H2550" s="70">
        <f t="shared" si="277"/>
        <v>0.60000000000000009</v>
      </c>
      <c r="I2550" s="70">
        <f t="shared" si="278"/>
        <v>0</v>
      </c>
      <c r="J2550" s="70">
        <f t="shared" si="279"/>
        <v>0</v>
      </c>
      <c r="K2550" s="70">
        <f>IF(CurrentMtgRatesDataTable8[[#This Row],[WA CC]]&lt;&gt;0,C2549-CurrentMtgRatesDataTable8[[#This Row],[WA CC]],0)</f>
        <v>0</v>
      </c>
      <c r="L2550" s="70">
        <f>IF(CurrentMtgRatesDataTable8[[#This Row],[Servicing Spread]]&lt;=0,L2549,CurrentMtgRatesDataTable8[[#This Row],[Servicing Spread]])</f>
        <v>0.84322503676377236</v>
      </c>
      <c r="M2550" s="70">
        <f>CurrentMtgRatesDataTable8[[#This Row],[Servicing Spread Non-Zero]]-L2549</f>
        <v>0</v>
      </c>
      <c r="N2550" s="70">
        <f>IF(J2549&lt;&gt;0,CurrentMtgRatesDataTable8[[#This Row],[Rate]]-C2549,N2549)</f>
        <v>-8.9999999999999858E-2</v>
      </c>
    </row>
    <row r="2551" spans="1:14">
      <c r="A2551" s="67" t="s">
        <v>257</v>
      </c>
      <c r="B2551" s="68">
        <v>3.3111616483337998</v>
      </c>
      <c r="C2551" s="69">
        <v>4.1550000000000002</v>
      </c>
      <c r="D2551" s="70">
        <f t="shared" si="273"/>
        <v>6</v>
      </c>
      <c r="E2551" s="70">
        <f t="shared" si="274"/>
        <v>0.2</v>
      </c>
      <c r="F2551" s="70">
        <f t="shared" si="275"/>
        <v>4</v>
      </c>
      <c r="G2551" s="70">
        <f t="shared" si="276"/>
        <v>2.6587922392982843</v>
      </c>
      <c r="H2551" s="70">
        <f t="shared" si="277"/>
        <v>0.8</v>
      </c>
      <c r="I2551" s="70">
        <f t="shared" si="278"/>
        <v>0</v>
      </c>
      <c r="J2551" s="70">
        <f t="shared" si="279"/>
        <v>0</v>
      </c>
      <c r="K2551" s="70">
        <f>IF(CurrentMtgRatesDataTable8[[#This Row],[WA CC]]&lt;&gt;0,C2550-CurrentMtgRatesDataTable8[[#This Row],[WA CC]],0)</f>
        <v>0</v>
      </c>
      <c r="L2551" s="70">
        <f>IF(CurrentMtgRatesDataTable8[[#This Row],[Servicing Spread]]&lt;=0,L2550,CurrentMtgRatesDataTable8[[#This Row],[Servicing Spread]])</f>
        <v>0.84322503676377236</v>
      </c>
      <c r="M2551" s="70">
        <f>CurrentMtgRatesDataTable8[[#This Row],[Servicing Spread Non-Zero]]-L2550</f>
        <v>0</v>
      </c>
      <c r="N2551" s="70">
        <f>IF(J2550&lt;&gt;0,CurrentMtgRatesDataTable8[[#This Row],[Rate]]-C2550,N2550)</f>
        <v>-8.9999999999999858E-2</v>
      </c>
    </row>
    <row r="2552" spans="1:14">
      <c r="A2552" s="67" t="s">
        <v>112</v>
      </c>
      <c r="B2552" s="68">
        <v>3.3584090078904199</v>
      </c>
      <c r="C2552" s="69">
        <v>4.1550000000000002</v>
      </c>
      <c r="D2552" s="70">
        <f t="shared" si="273"/>
        <v>7</v>
      </c>
      <c r="E2552" s="70">
        <f t="shared" si="274"/>
        <v>0.2</v>
      </c>
      <c r="F2552" s="70">
        <f t="shared" si="275"/>
        <v>5</v>
      </c>
      <c r="G2552" s="70">
        <f t="shared" si="276"/>
        <v>3.3304740408763682</v>
      </c>
      <c r="H2552" s="70">
        <f t="shared" si="277"/>
        <v>1</v>
      </c>
      <c r="I2552" s="70">
        <f t="shared" si="278"/>
        <v>1</v>
      </c>
      <c r="J2552" s="70">
        <f t="shared" si="279"/>
        <v>3.3304740408763682</v>
      </c>
      <c r="K2552" s="70">
        <f>IF(CurrentMtgRatesDataTable8[[#This Row],[WA CC]]&lt;&gt;0,C2551-CurrentMtgRatesDataTable8[[#This Row],[WA CC]],0)</f>
        <v>0.82452595912363202</v>
      </c>
      <c r="L2552" s="70">
        <f>IF(CurrentMtgRatesDataTable8[[#This Row],[Servicing Spread]]&lt;=0,L2551,CurrentMtgRatesDataTable8[[#This Row],[Servicing Spread]])</f>
        <v>0.82452595912363202</v>
      </c>
      <c r="M2552" s="70">
        <f>CurrentMtgRatesDataTable8[[#This Row],[Servicing Spread Non-Zero]]-L2551</f>
        <v>-1.8699077640140338E-2</v>
      </c>
      <c r="N2552" s="70">
        <f>IF(J2551&lt;&gt;0,CurrentMtgRatesDataTable8[[#This Row],[Rate]]-C2551,N2551)</f>
        <v>-8.9999999999999858E-2</v>
      </c>
    </row>
    <row r="2553" spans="1:14">
      <c r="A2553" s="67" t="s">
        <v>676</v>
      </c>
      <c r="B2553" s="68">
        <v>3.3799296471468399</v>
      </c>
      <c r="C2553" s="69">
        <v>4.2050000000000001</v>
      </c>
      <c r="D2553" s="70">
        <f t="shared" si="273"/>
        <v>1</v>
      </c>
      <c r="E2553" s="70">
        <f t="shared" si="274"/>
        <v>0.2</v>
      </c>
      <c r="F2553" s="70">
        <f t="shared" si="275"/>
        <v>1</v>
      </c>
      <c r="G2553" s="70">
        <f t="shared" si="276"/>
        <v>0.67598592942936797</v>
      </c>
      <c r="H2553" s="70">
        <f t="shared" si="277"/>
        <v>0.2</v>
      </c>
      <c r="I2553" s="70">
        <f t="shared" si="278"/>
        <v>0</v>
      </c>
      <c r="J2553" s="70">
        <f t="shared" si="279"/>
        <v>0</v>
      </c>
      <c r="K2553" s="70">
        <f>IF(CurrentMtgRatesDataTable8[[#This Row],[WA CC]]&lt;&gt;0,C2552-CurrentMtgRatesDataTable8[[#This Row],[WA CC]],0)</f>
        <v>0</v>
      </c>
      <c r="L2553" s="70">
        <f>IF(CurrentMtgRatesDataTable8[[#This Row],[Servicing Spread]]&lt;=0,L2552,CurrentMtgRatesDataTable8[[#This Row],[Servicing Spread]])</f>
        <v>0.82452595912363202</v>
      </c>
      <c r="M2553" s="70">
        <f>CurrentMtgRatesDataTable8[[#This Row],[Servicing Spread Non-Zero]]-L2552</f>
        <v>0</v>
      </c>
      <c r="N2553" s="70">
        <f>IF(J2552&lt;&gt;0,CurrentMtgRatesDataTable8[[#This Row],[Rate]]-C2552,N2552)</f>
        <v>4.9999999999999822E-2</v>
      </c>
    </row>
    <row r="2554" spans="1:14">
      <c r="A2554" s="67" t="s">
        <v>536</v>
      </c>
      <c r="B2554" s="68">
        <v>3.34300170180666</v>
      </c>
      <c r="C2554" s="69">
        <v>4.2050000000000001</v>
      </c>
      <c r="D2554" s="70">
        <f t="shared" si="273"/>
        <v>2</v>
      </c>
      <c r="E2554" s="70">
        <f t="shared" si="274"/>
        <v>0.2</v>
      </c>
      <c r="F2554" s="70">
        <f t="shared" si="275"/>
        <v>2</v>
      </c>
      <c r="G2554" s="70">
        <f t="shared" si="276"/>
        <v>1.3445862697907001</v>
      </c>
      <c r="H2554" s="70">
        <f t="shared" si="277"/>
        <v>0.4</v>
      </c>
      <c r="I2554" s="70">
        <f t="shared" si="278"/>
        <v>0</v>
      </c>
      <c r="J2554" s="70">
        <f t="shared" si="279"/>
        <v>0</v>
      </c>
      <c r="K2554" s="70">
        <f>IF(CurrentMtgRatesDataTable8[[#This Row],[WA CC]]&lt;&gt;0,C2553-CurrentMtgRatesDataTable8[[#This Row],[WA CC]],0)</f>
        <v>0</v>
      </c>
      <c r="L2554" s="70">
        <f>IF(CurrentMtgRatesDataTable8[[#This Row],[Servicing Spread]]&lt;=0,L2553,CurrentMtgRatesDataTable8[[#This Row],[Servicing Spread]])</f>
        <v>0.82452595912363202</v>
      </c>
      <c r="M2554" s="70">
        <f>CurrentMtgRatesDataTable8[[#This Row],[Servicing Spread Non-Zero]]-L2553</f>
        <v>0</v>
      </c>
      <c r="N2554" s="70">
        <f>IF(J2553&lt;&gt;0,CurrentMtgRatesDataTable8[[#This Row],[Rate]]-C2553,N2553)</f>
        <v>4.9999999999999822E-2</v>
      </c>
    </row>
    <row r="2555" spans="1:14">
      <c r="A2555" s="67" t="s">
        <v>391</v>
      </c>
      <c r="B2555" s="68">
        <v>3.34761054294983</v>
      </c>
      <c r="C2555" s="69">
        <v>4.2050000000000001</v>
      </c>
      <c r="D2555" s="70">
        <f t="shared" si="273"/>
        <v>5</v>
      </c>
      <c r="E2555" s="70">
        <f t="shared" si="274"/>
        <v>0.2</v>
      </c>
      <c r="F2555" s="70">
        <f t="shared" si="275"/>
        <v>3</v>
      </c>
      <c r="G2555" s="70">
        <f t="shared" si="276"/>
        <v>2.0141083783806661</v>
      </c>
      <c r="H2555" s="70">
        <f t="shared" si="277"/>
        <v>0.60000000000000009</v>
      </c>
      <c r="I2555" s="70">
        <f t="shared" si="278"/>
        <v>0</v>
      </c>
      <c r="J2555" s="70">
        <f t="shared" si="279"/>
        <v>0</v>
      </c>
      <c r="K2555" s="70">
        <f>IF(CurrentMtgRatesDataTable8[[#This Row],[WA CC]]&lt;&gt;0,C2554-CurrentMtgRatesDataTable8[[#This Row],[WA CC]],0)</f>
        <v>0</v>
      </c>
      <c r="L2555" s="70">
        <f>IF(CurrentMtgRatesDataTable8[[#This Row],[Servicing Spread]]&lt;=0,L2554,CurrentMtgRatesDataTable8[[#This Row],[Servicing Spread]])</f>
        <v>0.82452595912363202</v>
      </c>
      <c r="M2555" s="70">
        <f>CurrentMtgRatesDataTable8[[#This Row],[Servicing Spread Non-Zero]]-L2554</f>
        <v>0</v>
      </c>
      <c r="N2555" s="70">
        <f>IF(J2554&lt;&gt;0,CurrentMtgRatesDataTable8[[#This Row],[Rate]]-C2554,N2554)</f>
        <v>4.9999999999999822E-2</v>
      </c>
    </row>
    <row r="2556" spans="1:14">
      <c r="A2556" s="67" t="s">
        <v>258</v>
      </c>
      <c r="B2556" s="68">
        <v>3.3874003692749199</v>
      </c>
      <c r="C2556" s="69">
        <v>4.2050000000000001</v>
      </c>
      <c r="D2556" s="70">
        <f t="shared" si="273"/>
        <v>6</v>
      </c>
      <c r="E2556" s="70">
        <f t="shared" si="274"/>
        <v>0.2</v>
      </c>
      <c r="F2556" s="70">
        <f t="shared" si="275"/>
        <v>4</v>
      </c>
      <c r="G2556" s="70">
        <f t="shared" si="276"/>
        <v>2.6915884522356501</v>
      </c>
      <c r="H2556" s="70">
        <f t="shared" si="277"/>
        <v>0.8</v>
      </c>
      <c r="I2556" s="70">
        <f t="shared" si="278"/>
        <v>0</v>
      </c>
      <c r="J2556" s="70">
        <f t="shared" si="279"/>
        <v>0</v>
      </c>
      <c r="K2556" s="70">
        <f>IF(CurrentMtgRatesDataTable8[[#This Row],[WA CC]]&lt;&gt;0,C2555-CurrentMtgRatesDataTable8[[#This Row],[WA CC]],0)</f>
        <v>0</v>
      </c>
      <c r="L2556" s="70">
        <f>IF(CurrentMtgRatesDataTable8[[#This Row],[Servicing Spread]]&lt;=0,L2555,CurrentMtgRatesDataTable8[[#This Row],[Servicing Spread]])</f>
        <v>0.82452595912363202</v>
      </c>
      <c r="M2556" s="70">
        <f>CurrentMtgRatesDataTable8[[#This Row],[Servicing Spread Non-Zero]]-L2555</f>
        <v>0</v>
      </c>
      <c r="N2556" s="70">
        <f>IF(J2555&lt;&gt;0,CurrentMtgRatesDataTable8[[#This Row],[Rate]]-C2555,N2555)</f>
        <v>4.9999999999999822E-2</v>
      </c>
    </row>
    <row r="2557" spans="1:14">
      <c r="A2557" s="67" t="s">
        <v>113</v>
      </c>
      <c r="B2557" s="68">
        <v>3.4367814236357002</v>
      </c>
      <c r="C2557" s="69">
        <v>4.2050000000000001</v>
      </c>
      <c r="D2557" s="70">
        <f t="shared" si="273"/>
        <v>7</v>
      </c>
      <c r="E2557" s="70">
        <f t="shared" si="274"/>
        <v>0.2</v>
      </c>
      <c r="F2557" s="70">
        <f t="shared" si="275"/>
        <v>5</v>
      </c>
      <c r="G2557" s="70">
        <f t="shared" si="276"/>
        <v>3.3789447369627901</v>
      </c>
      <c r="H2557" s="70">
        <f t="shared" si="277"/>
        <v>1</v>
      </c>
      <c r="I2557" s="70">
        <f t="shared" si="278"/>
        <v>1</v>
      </c>
      <c r="J2557" s="70">
        <f t="shared" si="279"/>
        <v>3.3789447369627901</v>
      </c>
      <c r="K2557" s="70">
        <f>IF(CurrentMtgRatesDataTable8[[#This Row],[WA CC]]&lt;&gt;0,C2556-CurrentMtgRatesDataTable8[[#This Row],[WA CC]],0)</f>
        <v>0.82605526303721</v>
      </c>
      <c r="L2557" s="70">
        <f>IF(CurrentMtgRatesDataTable8[[#This Row],[Servicing Spread]]&lt;=0,L2556,CurrentMtgRatesDataTable8[[#This Row],[Servicing Spread]])</f>
        <v>0.82605526303721</v>
      </c>
      <c r="M2557" s="70">
        <f>CurrentMtgRatesDataTable8[[#This Row],[Servicing Spread Non-Zero]]-L2556</f>
        <v>1.5293039135779729E-3</v>
      </c>
      <c r="N2557" s="70">
        <f>IF(J2556&lt;&gt;0,CurrentMtgRatesDataTable8[[#This Row],[Rate]]-C2556,N2556)</f>
        <v>4.9999999999999822E-2</v>
      </c>
    </row>
    <row r="2558" spans="1:14">
      <c r="A2558" s="67" t="s">
        <v>677</v>
      </c>
      <c r="B2558" s="68">
        <v>3.3963820586764299</v>
      </c>
      <c r="C2558" s="69">
        <v>4.2549999999999999</v>
      </c>
      <c r="D2558" s="70">
        <f t="shared" si="273"/>
        <v>1</v>
      </c>
      <c r="E2558" s="70">
        <f t="shared" si="274"/>
        <v>0.2</v>
      </c>
      <c r="F2558" s="70">
        <f t="shared" si="275"/>
        <v>1</v>
      </c>
      <c r="G2558" s="70">
        <f t="shared" si="276"/>
        <v>0.67927641173528608</v>
      </c>
      <c r="H2558" s="70">
        <f t="shared" si="277"/>
        <v>0.2</v>
      </c>
      <c r="I2558" s="70">
        <f t="shared" si="278"/>
        <v>0</v>
      </c>
      <c r="J2558" s="70">
        <f t="shared" si="279"/>
        <v>0</v>
      </c>
      <c r="K2558" s="70">
        <f>IF(CurrentMtgRatesDataTable8[[#This Row],[WA CC]]&lt;&gt;0,C2557-CurrentMtgRatesDataTable8[[#This Row],[WA CC]],0)</f>
        <v>0</v>
      </c>
      <c r="L2558" s="70">
        <f>IF(CurrentMtgRatesDataTable8[[#This Row],[Servicing Spread]]&lt;=0,L2557,CurrentMtgRatesDataTable8[[#This Row],[Servicing Spread]])</f>
        <v>0.82605526303721</v>
      </c>
      <c r="M2558" s="70">
        <f>CurrentMtgRatesDataTable8[[#This Row],[Servicing Spread Non-Zero]]-L2557</f>
        <v>0</v>
      </c>
      <c r="N2558" s="70">
        <f>IF(J2557&lt;&gt;0,CurrentMtgRatesDataTable8[[#This Row],[Rate]]-C2557,N2557)</f>
        <v>4.9999999999999822E-2</v>
      </c>
    </row>
    <row r="2559" spans="1:14">
      <c r="A2559" s="67" t="s">
        <v>537</v>
      </c>
      <c r="B2559" s="68">
        <v>3.42404687499962</v>
      </c>
      <c r="C2559" s="69">
        <v>4.2549999999999999</v>
      </c>
      <c r="D2559" s="70">
        <f t="shared" si="273"/>
        <v>2</v>
      </c>
      <c r="E2559" s="70">
        <f t="shared" si="274"/>
        <v>0.2</v>
      </c>
      <c r="F2559" s="70">
        <f t="shared" si="275"/>
        <v>2</v>
      </c>
      <c r="G2559" s="70">
        <f t="shared" si="276"/>
        <v>1.3640857867352101</v>
      </c>
      <c r="H2559" s="70">
        <f t="shared" si="277"/>
        <v>0.4</v>
      </c>
      <c r="I2559" s="70">
        <f t="shared" si="278"/>
        <v>0</v>
      </c>
      <c r="J2559" s="70">
        <f t="shared" si="279"/>
        <v>0</v>
      </c>
      <c r="K2559" s="70">
        <f>IF(CurrentMtgRatesDataTable8[[#This Row],[WA CC]]&lt;&gt;0,C2558-CurrentMtgRatesDataTable8[[#This Row],[WA CC]],0)</f>
        <v>0</v>
      </c>
      <c r="L2559" s="70">
        <f>IF(CurrentMtgRatesDataTable8[[#This Row],[Servicing Spread]]&lt;=0,L2558,CurrentMtgRatesDataTable8[[#This Row],[Servicing Spread]])</f>
        <v>0.82605526303721</v>
      </c>
      <c r="M2559" s="70">
        <f>CurrentMtgRatesDataTable8[[#This Row],[Servicing Spread Non-Zero]]-L2558</f>
        <v>0</v>
      </c>
      <c r="N2559" s="70">
        <f>IF(J2558&lt;&gt;0,CurrentMtgRatesDataTable8[[#This Row],[Rate]]-C2558,N2558)</f>
        <v>4.9999999999999822E-2</v>
      </c>
    </row>
    <row r="2560" spans="1:14">
      <c r="A2560" s="67" t="s">
        <v>259</v>
      </c>
      <c r="B2560" s="68">
        <v>3.4022510541238402</v>
      </c>
      <c r="C2560" s="69">
        <v>4.2549999999999999</v>
      </c>
      <c r="D2560" s="70">
        <f t="shared" si="273"/>
        <v>6</v>
      </c>
      <c r="E2560" s="70">
        <f t="shared" si="274"/>
        <v>0.2</v>
      </c>
      <c r="F2560" s="70">
        <f t="shared" si="275"/>
        <v>3</v>
      </c>
      <c r="G2560" s="70">
        <f t="shared" si="276"/>
        <v>2.0445359975599784</v>
      </c>
      <c r="H2560" s="70">
        <f t="shared" si="277"/>
        <v>0.60000000000000009</v>
      </c>
      <c r="I2560" s="70">
        <f t="shared" si="278"/>
        <v>0</v>
      </c>
      <c r="J2560" s="70">
        <f t="shared" si="279"/>
        <v>0</v>
      </c>
      <c r="K2560" s="70">
        <f>IF(CurrentMtgRatesDataTable8[[#This Row],[WA CC]]&lt;&gt;0,C2559-CurrentMtgRatesDataTable8[[#This Row],[WA CC]],0)</f>
        <v>0</v>
      </c>
      <c r="L2560" s="70">
        <f>IF(CurrentMtgRatesDataTable8[[#This Row],[Servicing Spread]]&lt;=0,L2559,CurrentMtgRatesDataTable8[[#This Row],[Servicing Spread]])</f>
        <v>0.82605526303721</v>
      </c>
      <c r="M2560" s="70">
        <f>CurrentMtgRatesDataTable8[[#This Row],[Servicing Spread Non-Zero]]-L2559</f>
        <v>0</v>
      </c>
      <c r="N2560" s="70">
        <f>IF(J2559&lt;&gt;0,CurrentMtgRatesDataTable8[[#This Row],[Rate]]-C2559,N2559)</f>
        <v>4.9999999999999822E-2</v>
      </c>
    </row>
    <row r="2561" spans="1:14">
      <c r="A2561" s="67" t="s">
        <v>114</v>
      </c>
      <c r="B2561" s="68">
        <v>3.4208462339079002</v>
      </c>
      <c r="C2561" s="69">
        <v>4.2549999999999999</v>
      </c>
      <c r="D2561" s="70">
        <f t="shared" si="273"/>
        <v>7</v>
      </c>
      <c r="E2561" s="70">
        <f t="shared" si="274"/>
        <v>0.2</v>
      </c>
      <c r="F2561" s="70">
        <f t="shared" si="275"/>
        <v>4</v>
      </c>
      <c r="G2561" s="70">
        <f t="shared" si="276"/>
        <v>2.7287052443415583</v>
      </c>
      <c r="H2561" s="70">
        <f t="shared" si="277"/>
        <v>0.8</v>
      </c>
      <c r="I2561" s="70">
        <f t="shared" si="278"/>
        <v>1</v>
      </c>
      <c r="J2561" s="70">
        <f t="shared" si="279"/>
        <v>3.4108815554269478</v>
      </c>
      <c r="K2561" s="70">
        <f>IF(CurrentMtgRatesDataTable8[[#This Row],[WA CC]]&lt;&gt;0,C2560-CurrentMtgRatesDataTable8[[#This Row],[WA CC]],0)</f>
        <v>0.84411844457305207</v>
      </c>
      <c r="L2561" s="70">
        <f>IF(CurrentMtgRatesDataTable8[[#This Row],[Servicing Spread]]&lt;=0,L2560,CurrentMtgRatesDataTable8[[#This Row],[Servicing Spread]])</f>
        <v>0.84411844457305207</v>
      </c>
      <c r="M2561" s="70">
        <f>CurrentMtgRatesDataTable8[[#This Row],[Servicing Spread Non-Zero]]-L2560</f>
        <v>1.8063181535842077E-2</v>
      </c>
      <c r="N2561" s="70">
        <f>IF(J2560&lt;&gt;0,CurrentMtgRatesDataTable8[[#This Row],[Rate]]-C2560,N2560)</f>
        <v>4.9999999999999822E-2</v>
      </c>
    </row>
    <row r="2562" spans="1:14">
      <c r="A2562" s="67" t="s">
        <v>678</v>
      </c>
      <c r="B2562" s="68">
        <v>3.4409874974018302</v>
      </c>
      <c r="C2562" s="69">
        <v>4.2949999999999999</v>
      </c>
      <c r="D2562" s="70">
        <f t="shared" si="273"/>
        <v>1</v>
      </c>
      <c r="E2562" s="70">
        <f t="shared" si="274"/>
        <v>0.2</v>
      </c>
      <c r="F2562" s="70">
        <f t="shared" si="275"/>
        <v>1</v>
      </c>
      <c r="G2562" s="70">
        <f t="shared" si="276"/>
        <v>0.68819749948036613</v>
      </c>
      <c r="H2562" s="70">
        <f t="shared" si="277"/>
        <v>0.2</v>
      </c>
      <c r="I2562" s="70">
        <f t="shared" si="278"/>
        <v>0</v>
      </c>
      <c r="J2562" s="70">
        <f t="shared" si="279"/>
        <v>0</v>
      </c>
      <c r="K2562" s="70">
        <f>IF(CurrentMtgRatesDataTable8[[#This Row],[WA CC]]&lt;&gt;0,C2561-CurrentMtgRatesDataTable8[[#This Row],[WA CC]],0)</f>
        <v>0</v>
      </c>
      <c r="L2562" s="70">
        <f>IF(CurrentMtgRatesDataTable8[[#This Row],[Servicing Spread]]&lt;=0,L2561,CurrentMtgRatesDataTable8[[#This Row],[Servicing Spread]])</f>
        <v>0.84411844457305207</v>
      </c>
      <c r="M2562" s="70">
        <f>CurrentMtgRatesDataTable8[[#This Row],[Servicing Spread Non-Zero]]-L2561</f>
        <v>0</v>
      </c>
      <c r="N2562" s="70">
        <f>IF(J2561&lt;&gt;0,CurrentMtgRatesDataTable8[[#This Row],[Rate]]-C2561,N2561)</f>
        <v>4.0000000000000036E-2</v>
      </c>
    </row>
    <row r="2563" spans="1:14">
      <c r="A2563" s="67" t="s">
        <v>538</v>
      </c>
      <c r="B2563" s="68">
        <v>3.4238152467223899</v>
      </c>
      <c r="C2563" s="69">
        <v>4.2949999999999999</v>
      </c>
      <c r="D2563" s="70">
        <f t="shared" si="273"/>
        <v>2</v>
      </c>
      <c r="E2563" s="70">
        <f t="shared" si="274"/>
        <v>0.2</v>
      </c>
      <c r="F2563" s="70">
        <f t="shared" si="275"/>
        <v>2</v>
      </c>
      <c r="G2563" s="70">
        <f t="shared" si="276"/>
        <v>1.3729605488248442</v>
      </c>
      <c r="H2563" s="70">
        <f t="shared" si="277"/>
        <v>0.4</v>
      </c>
      <c r="I2563" s="70">
        <f t="shared" si="278"/>
        <v>0</v>
      </c>
      <c r="J2563" s="70">
        <f t="shared" si="279"/>
        <v>0</v>
      </c>
      <c r="K2563" s="70">
        <f>IF(CurrentMtgRatesDataTable8[[#This Row],[WA CC]]&lt;&gt;0,C2562-CurrentMtgRatesDataTable8[[#This Row],[WA CC]],0)</f>
        <v>0</v>
      </c>
      <c r="L2563" s="70">
        <f>IF(CurrentMtgRatesDataTable8[[#This Row],[Servicing Spread]]&lt;=0,L2562,CurrentMtgRatesDataTable8[[#This Row],[Servicing Spread]])</f>
        <v>0.84411844457305207</v>
      </c>
      <c r="M2563" s="70">
        <f>CurrentMtgRatesDataTable8[[#This Row],[Servicing Spread Non-Zero]]-L2562</f>
        <v>0</v>
      </c>
      <c r="N2563" s="70">
        <f>IF(J2562&lt;&gt;0,CurrentMtgRatesDataTable8[[#This Row],[Rate]]-C2562,N2562)</f>
        <v>4.0000000000000036E-2</v>
      </c>
    </row>
    <row r="2564" spans="1:14">
      <c r="A2564" s="67" t="s">
        <v>392</v>
      </c>
      <c r="B2564" s="68">
        <v>3.4298763218774999</v>
      </c>
      <c r="C2564" s="69">
        <v>4.2949999999999999</v>
      </c>
      <c r="D2564" s="70">
        <f t="shared" si="273"/>
        <v>5</v>
      </c>
      <c r="E2564" s="70">
        <f t="shared" si="274"/>
        <v>0.2</v>
      </c>
      <c r="F2564" s="70">
        <f t="shared" si="275"/>
        <v>3</v>
      </c>
      <c r="G2564" s="70">
        <f t="shared" si="276"/>
        <v>2.0589358132003444</v>
      </c>
      <c r="H2564" s="70">
        <f t="shared" si="277"/>
        <v>0.60000000000000009</v>
      </c>
      <c r="I2564" s="70">
        <f t="shared" si="278"/>
        <v>0</v>
      </c>
      <c r="J2564" s="70">
        <f t="shared" si="279"/>
        <v>0</v>
      </c>
      <c r="K2564" s="70">
        <f>IF(CurrentMtgRatesDataTable8[[#This Row],[WA CC]]&lt;&gt;0,C2563-CurrentMtgRatesDataTable8[[#This Row],[WA CC]],0)</f>
        <v>0</v>
      </c>
      <c r="L2564" s="70">
        <f>IF(CurrentMtgRatesDataTable8[[#This Row],[Servicing Spread]]&lt;=0,L2563,CurrentMtgRatesDataTable8[[#This Row],[Servicing Spread]])</f>
        <v>0.84411844457305207</v>
      </c>
      <c r="M2564" s="70">
        <f>CurrentMtgRatesDataTable8[[#This Row],[Servicing Spread Non-Zero]]-L2563</f>
        <v>0</v>
      </c>
      <c r="N2564" s="70">
        <f>IF(J2563&lt;&gt;0,CurrentMtgRatesDataTable8[[#This Row],[Rate]]-C2563,N2563)</f>
        <v>4.0000000000000036E-2</v>
      </c>
    </row>
    <row r="2565" spans="1:14">
      <c r="A2565" s="67" t="s">
        <v>260</v>
      </c>
      <c r="B2565" s="68">
        <v>3.3762483730993802</v>
      </c>
      <c r="C2565" s="69">
        <v>4.2949999999999999</v>
      </c>
      <c r="D2565" s="70">
        <f t="shared" ref="D2565:D2628" si="280">WEEKDAY(A2565,14)</f>
        <v>6</v>
      </c>
      <c r="E2565" s="70">
        <f t="shared" ref="E2565:E2628" si="281">VLOOKUP(D2565,Q$5:R$11,2,FALSE)</f>
        <v>0.2</v>
      </c>
      <c r="F2565" s="70">
        <f t="shared" ref="F2565:F2628" si="282">IF(AND(D2565&gt;D2564,F2564&lt;6),F2564+1,1)</f>
        <v>4</v>
      </c>
      <c r="G2565" s="70">
        <f t="shared" ref="G2565:G2628" si="283">IF(F2565&gt;F2564,G2564+B2565*E2565,B2565*E2565)</f>
        <v>2.7341854878202203</v>
      </c>
      <c r="H2565" s="70">
        <f t="shared" ref="H2565:H2628" si="284">IF(AND(F2565&lt;6,F2565&gt;F2564),E2565+H2564,E2565)</f>
        <v>0.8</v>
      </c>
      <c r="I2565" s="70">
        <f t="shared" ref="I2565:I2628" si="285">IF(F2565&gt;F2566,1,0)</f>
        <v>0</v>
      </c>
      <c r="J2565" s="70">
        <f t="shared" ref="J2565:J2628" si="286">IF(F2565&gt;F2566,G2565/H2565,0)</f>
        <v>0</v>
      </c>
      <c r="K2565" s="70">
        <f>IF(CurrentMtgRatesDataTable8[[#This Row],[WA CC]]&lt;&gt;0,C2564-CurrentMtgRatesDataTable8[[#This Row],[WA CC]],0)</f>
        <v>0</v>
      </c>
      <c r="L2565" s="70">
        <f>IF(CurrentMtgRatesDataTable8[[#This Row],[Servicing Spread]]&lt;=0,L2564,CurrentMtgRatesDataTable8[[#This Row],[Servicing Spread]])</f>
        <v>0.84411844457305207</v>
      </c>
      <c r="M2565" s="70">
        <f>CurrentMtgRatesDataTable8[[#This Row],[Servicing Spread Non-Zero]]-L2564</f>
        <v>0</v>
      </c>
      <c r="N2565" s="70">
        <f>IF(J2564&lt;&gt;0,CurrentMtgRatesDataTable8[[#This Row],[Rate]]-C2564,N2564)</f>
        <v>4.0000000000000036E-2</v>
      </c>
    </row>
    <row r="2566" spans="1:14">
      <c r="A2566" s="67" t="s">
        <v>115</v>
      </c>
      <c r="B2566" s="68">
        <v>3.36185561650391</v>
      </c>
      <c r="C2566" s="69">
        <v>4.2949999999999999</v>
      </c>
      <c r="D2566" s="70">
        <f t="shared" si="280"/>
        <v>7</v>
      </c>
      <c r="E2566" s="70">
        <f t="shared" si="281"/>
        <v>0.2</v>
      </c>
      <c r="F2566" s="70">
        <f t="shared" si="282"/>
        <v>5</v>
      </c>
      <c r="G2566" s="70">
        <f t="shared" si="283"/>
        <v>3.4065566111210024</v>
      </c>
      <c r="H2566" s="70">
        <f t="shared" si="284"/>
        <v>1</v>
      </c>
      <c r="I2566" s="70">
        <f t="shared" si="285"/>
        <v>1</v>
      </c>
      <c r="J2566" s="70">
        <f t="shared" si="286"/>
        <v>3.4065566111210024</v>
      </c>
      <c r="K2566" s="70">
        <f>IF(CurrentMtgRatesDataTable8[[#This Row],[WA CC]]&lt;&gt;0,C2565-CurrentMtgRatesDataTable8[[#This Row],[WA CC]],0)</f>
        <v>0.88844338887899754</v>
      </c>
      <c r="L2566" s="70">
        <f>IF(CurrentMtgRatesDataTable8[[#This Row],[Servicing Spread]]&lt;=0,L2565,CurrentMtgRatesDataTable8[[#This Row],[Servicing Spread]])</f>
        <v>0.88844338887899754</v>
      </c>
      <c r="M2566" s="70">
        <f>CurrentMtgRatesDataTable8[[#This Row],[Servicing Spread Non-Zero]]-L2565</f>
        <v>4.4324944305945468E-2</v>
      </c>
      <c r="N2566" s="70">
        <f>IF(J2565&lt;&gt;0,CurrentMtgRatesDataTable8[[#This Row],[Rate]]-C2565,N2565)</f>
        <v>4.0000000000000036E-2</v>
      </c>
    </row>
    <row r="2567" spans="1:14">
      <c r="A2567" s="67" t="s">
        <v>679</v>
      </c>
      <c r="B2567" s="68">
        <v>3.3370205659412702</v>
      </c>
      <c r="C2567" s="69">
        <v>4.2050000000000001</v>
      </c>
      <c r="D2567" s="70">
        <f t="shared" si="280"/>
        <v>1</v>
      </c>
      <c r="E2567" s="70">
        <f t="shared" si="281"/>
        <v>0.2</v>
      </c>
      <c r="F2567" s="70">
        <f t="shared" si="282"/>
        <v>1</v>
      </c>
      <c r="G2567" s="70">
        <f t="shared" si="283"/>
        <v>0.6674041131882541</v>
      </c>
      <c r="H2567" s="70">
        <f t="shared" si="284"/>
        <v>0.2</v>
      </c>
      <c r="I2567" s="70">
        <f t="shared" si="285"/>
        <v>0</v>
      </c>
      <c r="J2567" s="70">
        <f t="shared" si="286"/>
        <v>0</v>
      </c>
      <c r="K2567" s="70">
        <f>IF(CurrentMtgRatesDataTable8[[#This Row],[WA CC]]&lt;&gt;0,C2566-CurrentMtgRatesDataTable8[[#This Row],[WA CC]],0)</f>
        <v>0</v>
      </c>
      <c r="L2567" s="70">
        <f>IF(CurrentMtgRatesDataTable8[[#This Row],[Servicing Spread]]&lt;=0,L2566,CurrentMtgRatesDataTable8[[#This Row],[Servicing Spread]])</f>
        <v>0.88844338887899754</v>
      </c>
      <c r="M2567" s="70">
        <f>CurrentMtgRatesDataTable8[[#This Row],[Servicing Spread Non-Zero]]-L2566</f>
        <v>0</v>
      </c>
      <c r="N2567" s="70">
        <f>IF(J2566&lt;&gt;0,CurrentMtgRatesDataTable8[[#This Row],[Rate]]-C2566,N2566)</f>
        <v>-8.9999999999999858E-2</v>
      </c>
    </row>
    <row r="2568" spans="1:14">
      <c r="A2568" s="67" t="s">
        <v>539</v>
      </c>
      <c r="B2568" s="68">
        <v>3.3514861848067001</v>
      </c>
      <c r="C2568" s="69">
        <v>4.2050000000000001</v>
      </c>
      <c r="D2568" s="70">
        <f t="shared" si="280"/>
        <v>2</v>
      </c>
      <c r="E2568" s="70">
        <f t="shared" si="281"/>
        <v>0.2</v>
      </c>
      <c r="F2568" s="70">
        <f t="shared" si="282"/>
        <v>2</v>
      </c>
      <c r="G2568" s="70">
        <f t="shared" si="283"/>
        <v>1.3377013501495942</v>
      </c>
      <c r="H2568" s="70">
        <f t="shared" si="284"/>
        <v>0.4</v>
      </c>
      <c r="I2568" s="70">
        <f t="shared" si="285"/>
        <v>0</v>
      </c>
      <c r="J2568" s="70">
        <f t="shared" si="286"/>
        <v>0</v>
      </c>
      <c r="K2568" s="70">
        <f>IF(CurrentMtgRatesDataTable8[[#This Row],[WA CC]]&lt;&gt;0,C2567-CurrentMtgRatesDataTable8[[#This Row],[WA CC]],0)</f>
        <v>0</v>
      </c>
      <c r="L2568" s="70">
        <f>IF(CurrentMtgRatesDataTable8[[#This Row],[Servicing Spread]]&lt;=0,L2567,CurrentMtgRatesDataTable8[[#This Row],[Servicing Spread]])</f>
        <v>0.88844338887899754</v>
      </c>
      <c r="M2568" s="70">
        <f>CurrentMtgRatesDataTable8[[#This Row],[Servicing Spread Non-Zero]]-L2567</f>
        <v>0</v>
      </c>
      <c r="N2568" s="70">
        <f>IF(J2567&lt;&gt;0,CurrentMtgRatesDataTable8[[#This Row],[Rate]]-C2567,N2567)</f>
        <v>-8.9999999999999858E-2</v>
      </c>
    </row>
    <row r="2569" spans="1:14">
      <c r="A2569" s="67" t="s">
        <v>393</v>
      </c>
      <c r="B2569" s="68">
        <v>3.32529881785555</v>
      </c>
      <c r="C2569" s="69">
        <v>4.2050000000000001</v>
      </c>
      <c r="D2569" s="70">
        <f t="shared" si="280"/>
        <v>5</v>
      </c>
      <c r="E2569" s="70">
        <f t="shared" si="281"/>
        <v>0.2</v>
      </c>
      <c r="F2569" s="70">
        <f t="shared" si="282"/>
        <v>3</v>
      </c>
      <c r="G2569" s="70">
        <f t="shared" si="283"/>
        <v>2.0027611137207044</v>
      </c>
      <c r="H2569" s="70">
        <f t="shared" si="284"/>
        <v>0.60000000000000009</v>
      </c>
      <c r="I2569" s="70">
        <f t="shared" si="285"/>
        <v>0</v>
      </c>
      <c r="J2569" s="70">
        <f t="shared" si="286"/>
        <v>0</v>
      </c>
      <c r="K2569" s="70">
        <f>IF(CurrentMtgRatesDataTable8[[#This Row],[WA CC]]&lt;&gt;0,C2568-CurrentMtgRatesDataTable8[[#This Row],[WA CC]],0)</f>
        <v>0</v>
      </c>
      <c r="L2569" s="70">
        <f>IF(CurrentMtgRatesDataTable8[[#This Row],[Servicing Spread]]&lt;=0,L2568,CurrentMtgRatesDataTable8[[#This Row],[Servicing Spread]])</f>
        <v>0.88844338887899754</v>
      </c>
      <c r="M2569" s="70">
        <f>CurrentMtgRatesDataTable8[[#This Row],[Servicing Spread Non-Zero]]-L2568</f>
        <v>0</v>
      </c>
      <c r="N2569" s="70">
        <f>IF(J2568&lt;&gt;0,CurrentMtgRatesDataTable8[[#This Row],[Rate]]-C2568,N2568)</f>
        <v>-8.9999999999999858E-2</v>
      </c>
    </row>
    <row r="2570" spans="1:14">
      <c r="A2570" s="67" t="s">
        <v>261</v>
      </c>
      <c r="B2570" s="68">
        <v>3.3983132593490502</v>
      </c>
      <c r="C2570" s="69">
        <v>4.2050000000000001</v>
      </c>
      <c r="D2570" s="70">
        <f t="shared" si="280"/>
        <v>6</v>
      </c>
      <c r="E2570" s="70">
        <f t="shared" si="281"/>
        <v>0.2</v>
      </c>
      <c r="F2570" s="70">
        <f t="shared" si="282"/>
        <v>4</v>
      </c>
      <c r="G2570" s="70">
        <f t="shared" si="283"/>
        <v>2.6824237655905145</v>
      </c>
      <c r="H2570" s="70">
        <f t="shared" si="284"/>
        <v>0.8</v>
      </c>
      <c r="I2570" s="70">
        <f t="shared" si="285"/>
        <v>0</v>
      </c>
      <c r="J2570" s="70">
        <f t="shared" si="286"/>
        <v>0</v>
      </c>
      <c r="K2570" s="70">
        <f>IF(CurrentMtgRatesDataTable8[[#This Row],[WA CC]]&lt;&gt;0,C2569-CurrentMtgRatesDataTable8[[#This Row],[WA CC]],0)</f>
        <v>0</v>
      </c>
      <c r="L2570" s="70">
        <f>IF(CurrentMtgRatesDataTable8[[#This Row],[Servicing Spread]]&lt;=0,L2569,CurrentMtgRatesDataTable8[[#This Row],[Servicing Spread]])</f>
        <v>0.88844338887899754</v>
      </c>
      <c r="M2570" s="70">
        <f>CurrentMtgRatesDataTable8[[#This Row],[Servicing Spread Non-Zero]]-L2569</f>
        <v>0</v>
      </c>
      <c r="N2570" s="70">
        <f>IF(J2569&lt;&gt;0,CurrentMtgRatesDataTable8[[#This Row],[Rate]]-C2569,N2569)</f>
        <v>-8.9999999999999858E-2</v>
      </c>
    </row>
    <row r="2571" spans="1:14">
      <c r="A2571" s="67" t="s">
        <v>116</v>
      </c>
      <c r="B2571" s="68">
        <v>3.40151851180392</v>
      </c>
      <c r="C2571" s="69">
        <v>4.2050000000000001</v>
      </c>
      <c r="D2571" s="70">
        <f t="shared" si="280"/>
        <v>7</v>
      </c>
      <c r="E2571" s="70">
        <f t="shared" si="281"/>
        <v>0.2</v>
      </c>
      <c r="F2571" s="70">
        <f t="shared" si="282"/>
        <v>5</v>
      </c>
      <c r="G2571" s="70">
        <f t="shared" si="283"/>
        <v>3.3627274679512986</v>
      </c>
      <c r="H2571" s="70">
        <f t="shared" si="284"/>
        <v>1</v>
      </c>
      <c r="I2571" s="70">
        <f t="shared" si="285"/>
        <v>1</v>
      </c>
      <c r="J2571" s="70">
        <f t="shared" si="286"/>
        <v>3.3627274679512986</v>
      </c>
      <c r="K2571" s="70">
        <f>IF(CurrentMtgRatesDataTable8[[#This Row],[WA CC]]&lt;&gt;0,C2570-CurrentMtgRatesDataTable8[[#This Row],[WA CC]],0)</f>
        <v>0.84227253204870145</v>
      </c>
      <c r="L2571" s="70">
        <f>IF(CurrentMtgRatesDataTable8[[#This Row],[Servicing Spread]]&lt;=0,L2570,CurrentMtgRatesDataTable8[[#This Row],[Servicing Spread]])</f>
        <v>0.84227253204870145</v>
      </c>
      <c r="M2571" s="70">
        <f>CurrentMtgRatesDataTable8[[#This Row],[Servicing Spread Non-Zero]]-L2570</f>
        <v>-4.6170856830296092E-2</v>
      </c>
      <c r="N2571" s="70">
        <f>IF(J2570&lt;&gt;0,CurrentMtgRatesDataTable8[[#This Row],[Rate]]-C2570,N2570)</f>
        <v>-8.9999999999999858E-2</v>
      </c>
    </row>
    <row r="2572" spans="1:14">
      <c r="A2572" s="67" t="s">
        <v>680</v>
      </c>
      <c r="B2572" s="68">
        <v>3.4237035729301399</v>
      </c>
      <c r="C2572" s="69">
        <v>4.2700000000000005</v>
      </c>
      <c r="D2572" s="70">
        <f t="shared" si="280"/>
        <v>1</v>
      </c>
      <c r="E2572" s="70">
        <f t="shared" si="281"/>
        <v>0.2</v>
      </c>
      <c r="F2572" s="70">
        <f t="shared" si="282"/>
        <v>1</v>
      </c>
      <c r="G2572" s="70">
        <f t="shared" si="283"/>
        <v>0.68474071458602803</v>
      </c>
      <c r="H2572" s="70">
        <f t="shared" si="284"/>
        <v>0.2</v>
      </c>
      <c r="I2572" s="70">
        <f t="shared" si="285"/>
        <v>0</v>
      </c>
      <c r="J2572" s="70">
        <f t="shared" si="286"/>
        <v>0</v>
      </c>
      <c r="K2572" s="70">
        <f>IF(CurrentMtgRatesDataTable8[[#This Row],[WA CC]]&lt;&gt;0,C2571-CurrentMtgRatesDataTable8[[#This Row],[WA CC]],0)</f>
        <v>0</v>
      </c>
      <c r="L2572" s="70">
        <f>IF(CurrentMtgRatesDataTable8[[#This Row],[Servicing Spread]]&lt;=0,L2571,CurrentMtgRatesDataTable8[[#This Row],[Servicing Spread]])</f>
        <v>0.84227253204870145</v>
      </c>
      <c r="M2572" s="70">
        <f>CurrentMtgRatesDataTable8[[#This Row],[Servicing Spread Non-Zero]]-L2571</f>
        <v>0</v>
      </c>
      <c r="N2572" s="70">
        <f>IF(J2571&lt;&gt;0,CurrentMtgRatesDataTable8[[#This Row],[Rate]]-C2571,N2571)</f>
        <v>6.5000000000000391E-2</v>
      </c>
    </row>
    <row r="2573" spans="1:14">
      <c r="A2573" s="67" t="s">
        <v>540</v>
      </c>
      <c r="B2573" s="68">
        <v>3.4613667705973898</v>
      </c>
      <c r="C2573" s="69">
        <v>4.2700000000000005</v>
      </c>
      <c r="D2573" s="70">
        <f t="shared" si="280"/>
        <v>2</v>
      </c>
      <c r="E2573" s="70">
        <f t="shared" si="281"/>
        <v>0.2</v>
      </c>
      <c r="F2573" s="70">
        <f t="shared" si="282"/>
        <v>2</v>
      </c>
      <c r="G2573" s="70">
        <f t="shared" si="283"/>
        <v>1.3770140687055061</v>
      </c>
      <c r="H2573" s="70">
        <f t="shared" si="284"/>
        <v>0.4</v>
      </c>
      <c r="I2573" s="70">
        <f t="shared" si="285"/>
        <v>0</v>
      </c>
      <c r="J2573" s="70">
        <f t="shared" si="286"/>
        <v>0</v>
      </c>
      <c r="K2573" s="70">
        <f>IF(CurrentMtgRatesDataTable8[[#This Row],[WA CC]]&lt;&gt;0,C2572-CurrentMtgRatesDataTable8[[#This Row],[WA CC]],0)</f>
        <v>0</v>
      </c>
      <c r="L2573" s="70">
        <f>IF(CurrentMtgRatesDataTable8[[#This Row],[Servicing Spread]]&lt;=0,L2572,CurrentMtgRatesDataTable8[[#This Row],[Servicing Spread]])</f>
        <v>0.84227253204870145</v>
      </c>
      <c r="M2573" s="70">
        <f>CurrentMtgRatesDataTable8[[#This Row],[Servicing Spread Non-Zero]]-L2572</f>
        <v>0</v>
      </c>
      <c r="N2573" s="70">
        <f>IF(J2572&lt;&gt;0,CurrentMtgRatesDataTable8[[#This Row],[Rate]]-C2572,N2572)</f>
        <v>6.5000000000000391E-2</v>
      </c>
    </row>
    <row r="2574" spans="1:14">
      <c r="A2574" s="67" t="s">
        <v>394</v>
      </c>
      <c r="B2574" s="68">
        <v>3.4465671397565498</v>
      </c>
      <c r="C2574" s="69">
        <v>4.2700000000000005</v>
      </c>
      <c r="D2574" s="70">
        <f t="shared" si="280"/>
        <v>5</v>
      </c>
      <c r="E2574" s="70">
        <f t="shared" si="281"/>
        <v>0.2</v>
      </c>
      <c r="F2574" s="70">
        <f t="shared" si="282"/>
        <v>3</v>
      </c>
      <c r="G2574" s="70">
        <f t="shared" si="283"/>
        <v>2.0663274966568164</v>
      </c>
      <c r="H2574" s="70">
        <f t="shared" si="284"/>
        <v>0.60000000000000009</v>
      </c>
      <c r="I2574" s="70">
        <f t="shared" si="285"/>
        <v>0</v>
      </c>
      <c r="J2574" s="70">
        <f t="shared" si="286"/>
        <v>0</v>
      </c>
      <c r="K2574" s="70">
        <f>IF(CurrentMtgRatesDataTable8[[#This Row],[WA CC]]&lt;&gt;0,C2573-CurrentMtgRatesDataTable8[[#This Row],[WA CC]],0)</f>
        <v>0</v>
      </c>
      <c r="L2574" s="70">
        <f>IF(CurrentMtgRatesDataTable8[[#This Row],[Servicing Spread]]&lt;=0,L2573,CurrentMtgRatesDataTable8[[#This Row],[Servicing Spread]])</f>
        <v>0.84227253204870145</v>
      </c>
      <c r="M2574" s="70">
        <f>CurrentMtgRatesDataTable8[[#This Row],[Servicing Spread Non-Zero]]-L2573</f>
        <v>0</v>
      </c>
      <c r="N2574" s="70">
        <f>IF(J2573&lt;&gt;0,CurrentMtgRatesDataTable8[[#This Row],[Rate]]-C2573,N2573)</f>
        <v>6.5000000000000391E-2</v>
      </c>
    </row>
    <row r="2575" spans="1:14">
      <c r="A2575" s="67" t="s">
        <v>262</v>
      </c>
      <c r="B2575" s="68">
        <v>3.4438493655509599</v>
      </c>
      <c r="C2575" s="69">
        <v>4.2700000000000005</v>
      </c>
      <c r="D2575" s="70">
        <f t="shared" si="280"/>
        <v>6</v>
      </c>
      <c r="E2575" s="70">
        <f t="shared" si="281"/>
        <v>0.2</v>
      </c>
      <c r="F2575" s="70">
        <f t="shared" si="282"/>
        <v>4</v>
      </c>
      <c r="G2575" s="70">
        <f t="shared" si="283"/>
        <v>2.7550973697670083</v>
      </c>
      <c r="H2575" s="70">
        <f t="shared" si="284"/>
        <v>0.8</v>
      </c>
      <c r="I2575" s="70">
        <f t="shared" si="285"/>
        <v>0</v>
      </c>
      <c r="J2575" s="70">
        <f t="shared" si="286"/>
        <v>0</v>
      </c>
      <c r="K2575" s="70">
        <f>IF(CurrentMtgRatesDataTable8[[#This Row],[WA CC]]&lt;&gt;0,C2574-CurrentMtgRatesDataTable8[[#This Row],[WA CC]],0)</f>
        <v>0</v>
      </c>
      <c r="L2575" s="70">
        <f>IF(CurrentMtgRatesDataTable8[[#This Row],[Servicing Spread]]&lt;=0,L2574,CurrentMtgRatesDataTable8[[#This Row],[Servicing Spread]])</f>
        <v>0.84227253204870145</v>
      </c>
      <c r="M2575" s="70">
        <f>CurrentMtgRatesDataTable8[[#This Row],[Servicing Spread Non-Zero]]-L2574</f>
        <v>0</v>
      </c>
      <c r="N2575" s="70">
        <f>IF(J2574&lt;&gt;0,CurrentMtgRatesDataTable8[[#This Row],[Rate]]-C2574,N2574)</f>
        <v>6.5000000000000391E-2</v>
      </c>
    </row>
    <row r="2576" spans="1:14">
      <c r="A2576" s="67" t="s">
        <v>117</v>
      </c>
      <c r="B2576" s="68">
        <v>3.4085893370598099</v>
      </c>
      <c r="C2576" s="69">
        <v>4.2700000000000005</v>
      </c>
      <c r="D2576" s="70">
        <f t="shared" si="280"/>
        <v>7</v>
      </c>
      <c r="E2576" s="70">
        <f t="shared" si="281"/>
        <v>0.2</v>
      </c>
      <c r="F2576" s="70">
        <f t="shared" si="282"/>
        <v>5</v>
      </c>
      <c r="G2576" s="70">
        <f t="shared" si="283"/>
        <v>3.4368152371789704</v>
      </c>
      <c r="H2576" s="70">
        <f t="shared" si="284"/>
        <v>1</v>
      </c>
      <c r="I2576" s="70">
        <f t="shared" si="285"/>
        <v>1</v>
      </c>
      <c r="J2576" s="70">
        <f t="shared" si="286"/>
        <v>3.4368152371789704</v>
      </c>
      <c r="K2576" s="70">
        <f>IF(CurrentMtgRatesDataTable8[[#This Row],[WA CC]]&lt;&gt;0,C2575-CurrentMtgRatesDataTable8[[#This Row],[WA CC]],0)</f>
        <v>0.83318476282103004</v>
      </c>
      <c r="L2576" s="70">
        <f>IF(CurrentMtgRatesDataTable8[[#This Row],[Servicing Spread]]&lt;=0,L2575,CurrentMtgRatesDataTable8[[#This Row],[Servicing Spread]])</f>
        <v>0.83318476282103004</v>
      </c>
      <c r="M2576" s="70">
        <f>CurrentMtgRatesDataTable8[[#This Row],[Servicing Spread Non-Zero]]-L2575</f>
        <v>-9.087769227671405E-3</v>
      </c>
      <c r="N2576" s="70">
        <f>IF(J2575&lt;&gt;0,CurrentMtgRatesDataTable8[[#This Row],[Rate]]-C2575,N2575)</f>
        <v>6.5000000000000391E-2</v>
      </c>
    </row>
    <row r="2577" spans="1:14">
      <c r="A2577" s="67" t="s">
        <v>681</v>
      </c>
      <c r="B2577" s="68">
        <v>3.34843875975199</v>
      </c>
      <c r="C2577" s="69">
        <v>4.2200000000000006</v>
      </c>
      <c r="D2577" s="70">
        <f t="shared" si="280"/>
        <v>1</v>
      </c>
      <c r="E2577" s="70">
        <f t="shared" si="281"/>
        <v>0.2</v>
      </c>
      <c r="F2577" s="70">
        <f t="shared" si="282"/>
        <v>1</v>
      </c>
      <c r="G2577" s="70">
        <f t="shared" si="283"/>
        <v>0.66968775195039809</v>
      </c>
      <c r="H2577" s="70">
        <f t="shared" si="284"/>
        <v>0.2</v>
      </c>
      <c r="I2577" s="70">
        <f t="shared" si="285"/>
        <v>0</v>
      </c>
      <c r="J2577" s="70">
        <f t="shared" si="286"/>
        <v>0</v>
      </c>
      <c r="K2577" s="70">
        <f>IF(CurrentMtgRatesDataTable8[[#This Row],[WA CC]]&lt;&gt;0,C2576-CurrentMtgRatesDataTable8[[#This Row],[WA CC]],0)</f>
        <v>0</v>
      </c>
      <c r="L2577" s="70">
        <f>IF(CurrentMtgRatesDataTable8[[#This Row],[Servicing Spread]]&lt;=0,L2576,CurrentMtgRatesDataTable8[[#This Row],[Servicing Spread]])</f>
        <v>0.83318476282103004</v>
      </c>
      <c r="M2577" s="70">
        <f>CurrentMtgRatesDataTable8[[#This Row],[Servicing Spread Non-Zero]]-L2576</f>
        <v>0</v>
      </c>
      <c r="N2577" s="70">
        <f>IF(J2576&lt;&gt;0,CurrentMtgRatesDataTable8[[#This Row],[Rate]]-C2576,N2576)</f>
        <v>-4.9999999999999822E-2</v>
      </c>
    </row>
    <row r="2578" spans="1:14">
      <c r="A2578" s="67" t="s">
        <v>541</v>
      </c>
      <c r="B2578" s="68">
        <v>3.3634875299273701</v>
      </c>
      <c r="C2578" s="69">
        <v>4.2200000000000006</v>
      </c>
      <c r="D2578" s="70">
        <f t="shared" si="280"/>
        <v>2</v>
      </c>
      <c r="E2578" s="70">
        <f t="shared" si="281"/>
        <v>0.2</v>
      </c>
      <c r="F2578" s="70">
        <f t="shared" si="282"/>
        <v>2</v>
      </c>
      <c r="G2578" s="70">
        <f t="shared" si="283"/>
        <v>1.3423852579358722</v>
      </c>
      <c r="H2578" s="70">
        <f t="shared" si="284"/>
        <v>0.4</v>
      </c>
      <c r="I2578" s="70">
        <f t="shared" si="285"/>
        <v>0</v>
      </c>
      <c r="J2578" s="70">
        <f t="shared" si="286"/>
        <v>0</v>
      </c>
      <c r="K2578" s="70">
        <f>IF(CurrentMtgRatesDataTable8[[#This Row],[WA CC]]&lt;&gt;0,C2577-CurrentMtgRatesDataTable8[[#This Row],[WA CC]],0)</f>
        <v>0</v>
      </c>
      <c r="L2578" s="70">
        <f>IF(CurrentMtgRatesDataTable8[[#This Row],[Servicing Spread]]&lt;=0,L2577,CurrentMtgRatesDataTable8[[#This Row],[Servicing Spread]])</f>
        <v>0.83318476282103004</v>
      </c>
      <c r="M2578" s="70">
        <f>CurrentMtgRatesDataTable8[[#This Row],[Servicing Spread Non-Zero]]-L2577</f>
        <v>0</v>
      </c>
      <c r="N2578" s="70">
        <f>IF(J2577&lt;&gt;0,CurrentMtgRatesDataTable8[[#This Row],[Rate]]-C2577,N2577)</f>
        <v>-4.9999999999999822E-2</v>
      </c>
    </row>
    <row r="2579" spans="1:14">
      <c r="A2579" s="67" t="s">
        <v>395</v>
      </c>
      <c r="B2579" s="68">
        <v>3.4174617229589801</v>
      </c>
      <c r="C2579" s="69">
        <v>4.2200000000000006</v>
      </c>
      <c r="D2579" s="70">
        <f t="shared" si="280"/>
        <v>5</v>
      </c>
      <c r="E2579" s="70">
        <f t="shared" si="281"/>
        <v>0.2</v>
      </c>
      <c r="F2579" s="70">
        <f t="shared" si="282"/>
        <v>3</v>
      </c>
      <c r="G2579" s="70">
        <f t="shared" si="283"/>
        <v>2.0258776025276681</v>
      </c>
      <c r="H2579" s="70">
        <f t="shared" si="284"/>
        <v>0.60000000000000009</v>
      </c>
      <c r="I2579" s="70">
        <f t="shared" si="285"/>
        <v>0</v>
      </c>
      <c r="J2579" s="70">
        <f t="shared" si="286"/>
        <v>0</v>
      </c>
      <c r="K2579" s="70">
        <f>IF(CurrentMtgRatesDataTable8[[#This Row],[WA CC]]&lt;&gt;0,C2578-CurrentMtgRatesDataTable8[[#This Row],[WA CC]],0)</f>
        <v>0</v>
      </c>
      <c r="L2579" s="70">
        <f>IF(CurrentMtgRatesDataTable8[[#This Row],[Servicing Spread]]&lt;=0,L2578,CurrentMtgRatesDataTable8[[#This Row],[Servicing Spread]])</f>
        <v>0.83318476282103004</v>
      </c>
      <c r="M2579" s="70">
        <f>CurrentMtgRatesDataTable8[[#This Row],[Servicing Spread Non-Zero]]-L2578</f>
        <v>0</v>
      </c>
      <c r="N2579" s="70">
        <f>IF(J2578&lt;&gt;0,CurrentMtgRatesDataTable8[[#This Row],[Rate]]-C2578,N2578)</f>
        <v>-4.9999999999999822E-2</v>
      </c>
    </row>
    <row r="2580" spans="1:14">
      <c r="A2580" s="67" t="s">
        <v>263</v>
      </c>
      <c r="B2580" s="68">
        <v>3.3942283451593398</v>
      </c>
      <c r="C2580" s="69">
        <v>4.2200000000000006</v>
      </c>
      <c r="D2580" s="70">
        <f t="shared" si="280"/>
        <v>6</v>
      </c>
      <c r="E2580" s="70">
        <f t="shared" si="281"/>
        <v>0.2</v>
      </c>
      <c r="F2580" s="70">
        <f t="shared" si="282"/>
        <v>4</v>
      </c>
      <c r="G2580" s="70">
        <f t="shared" si="283"/>
        <v>2.7047232715595362</v>
      </c>
      <c r="H2580" s="70">
        <f t="shared" si="284"/>
        <v>0.8</v>
      </c>
      <c r="I2580" s="70">
        <f t="shared" si="285"/>
        <v>0</v>
      </c>
      <c r="J2580" s="70">
        <f t="shared" si="286"/>
        <v>0</v>
      </c>
      <c r="K2580" s="70">
        <f>IF(CurrentMtgRatesDataTable8[[#This Row],[WA CC]]&lt;&gt;0,C2579-CurrentMtgRatesDataTable8[[#This Row],[WA CC]],0)</f>
        <v>0</v>
      </c>
      <c r="L2580" s="70">
        <f>IF(CurrentMtgRatesDataTable8[[#This Row],[Servicing Spread]]&lt;=0,L2579,CurrentMtgRatesDataTable8[[#This Row],[Servicing Spread]])</f>
        <v>0.83318476282103004</v>
      </c>
      <c r="M2580" s="70">
        <f>CurrentMtgRatesDataTable8[[#This Row],[Servicing Spread Non-Zero]]-L2579</f>
        <v>0</v>
      </c>
      <c r="N2580" s="70">
        <f>IF(J2579&lt;&gt;0,CurrentMtgRatesDataTable8[[#This Row],[Rate]]-C2579,N2579)</f>
        <v>-4.9999999999999822E-2</v>
      </c>
    </row>
    <row r="2581" spans="1:14">
      <c r="A2581" s="67" t="s">
        <v>118</v>
      </c>
      <c r="B2581" s="68">
        <v>3.4724096295378999</v>
      </c>
      <c r="C2581" s="69">
        <v>4.2200000000000006</v>
      </c>
      <c r="D2581" s="70">
        <f t="shared" si="280"/>
        <v>7</v>
      </c>
      <c r="E2581" s="70">
        <f t="shared" si="281"/>
        <v>0.2</v>
      </c>
      <c r="F2581" s="70">
        <f t="shared" si="282"/>
        <v>5</v>
      </c>
      <c r="G2581" s="70">
        <f t="shared" si="283"/>
        <v>3.3992051974671162</v>
      </c>
      <c r="H2581" s="70">
        <f t="shared" si="284"/>
        <v>1</v>
      </c>
      <c r="I2581" s="70">
        <f t="shared" si="285"/>
        <v>1</v>
      </c>
      <c r="J2581" s="70">
        <f t="shared" si="286"/>
        <v>3.3992051974671162</v>
      </c>
      <c r="K2581" s="70">
        <f>IF(CurrentMtgRatesDataTable8[[#This Row],[WA CC]]&lt;&gt;0,C2580-CurrentMtgRatesDataTable8[[#This Row],[WA CC]],0)</f>
        <v>0.82079480253288439</v>
      </c>
      <c r="L2581" s="70">
        <f>IF(CurrentMtgRatesDataTable8[[#This Row],[Servicing Spread]]&lt;=0,L2580,CurrentMtgRatesDataTable8[[#This Row],[Servicing Spread]])</f>
        <v>0.82079480253288439</v>
      </c>
      <c r="M2581" s="70">
        <f>CurrentMtgRatesDataTable8[[#This Row],[Servicing Spread Non-Zero]]-L2580</f>
        <v>-1.2389960288145652E-2</v>
      </c>
      <c r="N2581" s="70">
        <f>IF(J2580&lt;&gt;0,CurrentMtgRatesDataTable8[[#This Row],[Rate]]-C2580,N2580)</f>
        <v>-4.9999999999999822E-2</v>
      </c>
    </row>
    <row r="2582" spans="1:14">
      <c r="A2582" s="67" t="s">
        <v>682</v>
      </c>
      <c r="B2582" s="68">
        <v>3.4858096996422701</v>
      </c>
      <c r="C2582" s="69">
        <v>4.3000000000000007</v>
      </c>
      <c r="D2582" s="70">
        <f t="shared" si="280"/>
        <v>1</v>
      </c>
      <c r="E2582" s="70">
        <f t="shared" si="281"/>
        <v>0.2</v>
      </c>
      <c r="F2582" s="70">
        <f t="shared" si="282"/>
        <v>1</v>
      </c>
      <c r="G2582" s="70">
        <f t="shared" si="283"/>
        <v>0.6971619399284541</v>
      </c>
      <c r="H2582" s="70">
        <f t="shared" si="284"/>
        <v>0.2</v>
      </c>
      <c r="I2582" s="70">
        <f t="shared" si="285"/>
        <v>0</v>
      </c>
      <c r="J2582" s="70">
        <f t="shared" si="286"/>
        <v>0</v>
      </c>
      <c r="K2582" s="70">
        <f>IF(CurrentMtgRatesDataTable8[[#This Row],[WA CC]]&lt;&gt;0,C2581-CurrentMtgRatesDataTable8[[#This Row],[WA CC]],0)</f>
        <v>0</v>
      </c>
      <c r="L2582" s="70">
        <f>IF(CurrentMtgRatesDataTable8[[#This Row],[Servicing Spread]]&lt;=0,L2581,CurrentMtgRatesDataTable8[[#This Row],[Servicing Spread]])</f>
        <v>0.82079480253288439</v>
      </c>
      <c r="M2582" s="70">
        <f>CurrentMtgRatesDataTable8[[#This Row],[Servicing Spread Non-Zero]]-L2581</f>
        <v>0</v>
      </c>
      <c r="N2582" s="70">
        <f>IF(J2581&lt;&gt;0,CurrentMtgRatesDataTable8[[#This Row],[Rate]]-C2581,N2581)</f>
        <v>8.0000000000000071E-2</v>
      </c>
    </row>
    <row r="2583" spans="1:14">
      <c r="A2583" s="67" t="s">
        <v>542</v>
      </c>
      <c r="B2583" s="68">
        <v>3.4523536219729101</v>
      </c>
      <c r="C2583" s="69">
        <v>4.3000000000000007</v>
      </c>
      <c r="D2583" s="70">
        <f t="shared" si="280"/>
        <v>2</v>
      </c>
      <c r="E2583" s="70">
        <f t="shared" si="281"/>
        <v>0.2</v>
      </c>
      <c r="F2583" s="70">
        <f t="shared" si="282"/>
        <v>2</v>
      </c>
      <c r="G2583" s="70">
        <f t="shared" si="283"/>
        <v>1.3876326643230361</v>
      </c>
      <c r="H2583" s="70">
        <f t="shared" si="284"/>
        <v>0.4</v>
      </c>
      <c r="I2583" s="70">
        <f t="shared" si="285"/>
        <v>0</v>
      </c>
      <c r="J2583" s="70">
        <f t="shared" si="286"/>
        <v>0</v>
      </c>
      <c r="K2583" s="70">
        <f>IF(CurrentMtgRatesDataTable8[[#This Row],[WA CC]]&lt;&gt;0,C2582-CurrentMtgRatesDataTable8[[#This Row],[WA CC]],0)</f>
        <v>0</v>
      </c>
      <c r="L2583" s="70">
        <f>IF(CurrentMtgRatesDataTable8[[#This Row],[Servicing Spread]]&lt;=0,L2582,CurrentMtgRatesDataTable8[[#This Row],[Servicing Spread]])</f>
        <v>0.82079480253288439</v>
      </c>
      <c r="M2583" s="70">
        <f>CurrentMtgRatesDataTable8[[#This Row],[Servicing Spread Non-Zero]]-L2582</f>
        <v>0</v>
      </c>
      <c r="N2583" s="70">
        <f>IF(J2582&lt;&gt;0,CurrentMtgRatesDataTable8[[#This Row],[Rate]]-C2582,N2582)</f>
        <v>8.0000000000000071E-2</v>
      </c>
    </row>
    <row r="2584" spans="1:14">
      <c r="A2584" s="67" t="s">
        <v>396</v>
      </c>
      <c r="B2584" s="68">
        <v>3.45266754883475</v>
      </c>
      <c r="C2584" s="69">
        <v>4.3000000000000007</v>
      </c>
      <c r="D2584" s="70">
        <f t="shared" si="280"/>
        <v>5</v>
      </c>
      <c r="E2584" s="70">
        <f t="shared" si="281"/>
        <v>0.2</v>
      </c>
      <c r="F2584" s="70">
        <f t="shared" si="282"/>
        <v>3</v>
      </c>
      <c r="G2584" s="70">
        <f t="shared" si="283"/>
        <v>2.0781661740899864</v>
      </c>
      <c r="H2584" s="70">
        <f t="shared" si="284"/>
        <v>0.60000000000000009</v>
      </c>
      <c r="I2584" s="70">
        <f t="shared" si="285"/>
        <v>0</v>
      </c>
      <c r="J2584" s="70">
        <f t="shared" si="286"/>
        <v>0</v>
      </c>
      <c r="K2584" s="70">
        <f>IF(CurrentMtgRatesDataTable8[[#This Row],[WA CC]]&lt;&gt;0,C2583-CurrentMtgRatesDataTable8[[#This Row],[WA CC]],0)</f>
        <v>0</v>
      </c>
      <c r="L2584" s="70">
        <f>IF(CurrentMtgRatesDataTable8[[#This Row],[Servicing Spread]]&lt;=0,L2583,CurrentMtgRatesDataTable8[[#This Row],[Servicing Spread]])</f>
        <v>0.82079480253288439</v>
      </c>
      <c r="M2584" s="70">
        <f>CurrentMtgRatesDataTable8[[#This Row],[Servicing Spread Non-Zero]]-L2583</f>
        <v>0</v>
      </c>
      <c r="N2584" s="70">
        <f>IF(J2583&lt;&gt;0,CurrentMtgRatesDataTable8[[#This Row],[Rate]]-C2583,N2583)</f>
        <v>8.0000000000000071E-2</v>
      </c>
    </row>
    <row r="2585" spans="1:14">
      <c r="A2585" s="67" t="s">
        <v>264</v>
      </c>
      <c r="B2585" s="68">
        <v>3.4519694257459901</v>
      </c>
      <c r="C2585" s="69">
        <v>4.3000000000000007</v>
      </c>
      <c r="D2585" s="70">
        <f t="shared" si="280"/>
        <v>6</v>
      </c>
      <c r="E2585" s="70">
        <f t="shared" si="281"/>
        <v>0.2</v>
      </c>
      <c r="F2585" s="70">
        <f t="shared" si="282"/>
        <v>4</v>
      </c>
      <c r="G2585" s="70">
        <f t="shared" si="283"/>
        <v>2.7685600592391846</v>
      </c>
      <c r="H2585" s="70">
        <f t="shared" si="284"/>
        <v>0.8</v>
      </c>
      <c r="I2585" s="70">
        <f t="shared" si="285"/>
        <v>0</v>
      </c>
      <c r="J2585" s="70">
        <f t="shared" si="286"/>
        <v>0</v>
      </c>
      <c r="K2585" s="70">
        <f>IF(CurrentMtgRatesDataTable8[[#This Row],[WA CC]]&lt;&gt;0,C2584-CurrentMtgRatesDataTable8[[#This Row],[WA CC]],0)</f>
        <v>0</v>
      </c>
      <c r="L2585" s="70">
        <f>IF(CurrentMtgRatesDataTable8[[#This Row],[Servicing Spread]]&lt;=0,L2584,CurrentMtgRatesDataTable8[[#This Row],[Servicing Spread]])</f>
        <v>0.82079480253288439</v>
      </c>
      <c r="M2585" s="70">
        <f>CurrentMtgRatesDataTable8[[#This Row],[Servicing Spread Non-Zero]]-L2584</f>
        <v>0</v>
      </c>
      <c r="N2585" s="70">
        <f>IF(J2584&lt;&gt;0,CurrentMtgRatesDataTable8[[#This Row],[Rate]]-C2584,N2584)</f>
        <v>8.0000000000000071E-2</v>
      </c>
    </row>
    <row r="2586" spans="1:14">
      <c r="A2586" s="67" t="s">
        <v>119</v>
      </c>
      <c r="B2586" s="68">
        <v>3.4217405544715098</v>
      </c>
      <c r="C2586" s="69">
        <v>4.3000000000000007</v>
      </c>
      <c r="D2586" s="70">
        <f t="shared" si="280"/>
        <v>7</v>
      </c>
      <c r="E2586" s="70">
        <f t="shared" si="281"/>
        <v>0.2</v>
      </c>
      <c r="F2586" s="70">
        <f t="shared" si="282"/>
        <v>5</v>
      </c>
      <c r="G2586" s="70">
        <f t="shared" si="283"/>
        <v>3.4529081701334867</v>
      </c>
      <c r="H2586" s="70">
        <f t="shared" si="284"/>
        <v>1</v>
      </c>
      <c r="I2586" s="70">
        <f t="shared" si="285"/>
        <v>1</v>
      </c>
      <c r="J2586" s="70">
        <f t="shared" si="286"/>
        <v>3.4529081701334867</v>
      </c>
      <c r="K2586" s="70">
        <f>IF(CurrentMtgRatesDataTable8[[#This Row],[WA CC]]&lt;&gt;0,C2585-CurrentMtgRatesDataTable8[[#This Row],[WA CC]],0)</f>
        <v>0.84709182986651399</v>
      </c>
      <c r="L2586" s="70">
        <f>IF(CurrentMtgRatesDataTable8[[#This Row],[Servicing Spread]]&lt;=0,L2585,CurrentMtgRatesDataTable8[[#This Row],[Servicing Spread]])</f>
        <v>0.84709182986651399</v>
      </c>
      <c r="M2586" s="70">
        <f>CurrentMtgRatesDataTable8[[#This Row],[Servicing Spread Non-Zero]]-L2585</f>
        <v>2.6297027333629597E-2</v>
      </c>
      <c r="N2586" s="70">
        <f>IF(J2585&lt;&gt;0,CurrentMtgRatesDataTable8[[#This Row],[Rate]]-C2585,N2585)</f>
        <v>8.0000000000000071E-2</v>
      </c>
    </row>
    <row r="2587" spans="1:14">
      <c r="A2587" s="67" t="s">
        <v>683</v>
      </c>
      <c r="B2587" s="68">
        <v>3.4052671978447102</v>
      </c>
      <c r="C2587" s="69">
        <v>4.335</v>
      </c>
      <c r="D2587" s="70">
        <f t="shared" si="280"/>
        <v>1</v>
      </c>
      <c r="E2587" s="70">
        <f t="shared" si="281"/>
        <v>0.2</v>
      </c>
      <c r="F2587" s="70">
        <f t="shared" si="282"/>
        <v>1</v>
      </c>
      <c r="G2587" s="70">
        <f t="shared" si="283"/>
        <v>0.68105343956894204</v>
      </c>
      <c r="H2587" s="70">
        <f t="shared" si="284"/>
        <v>0.2</v>
      </c>
      <c r="I2587" s="70">
        <f t="shared" si="285"/>
        <v>0</v>
      </c>
      <c r="J2587" s="70">
        <f t="shared" si="286"/>
        <v>0</v>
      </c>
      <c r="K2587" s="70">
        <f>IF(CurrentMtgRatesDataTable8[[#This Row],[WA CC]]&lt;&gt;0,C2586-CurrentMtgRatesDataTable8[[#This Row],[WA CC]],0)</f>
        <v>0</v>
      </c>
      <c r="L2587" s="70">
        <f>IF(CurrentMtgRatesDataTable8[[#This Row],[Servicing Spread]]&lt;=0,L2586,CurrentMtgRatesDataTable8[[#This Row],[Servicing Spread]])</f>
        <v>0.84709182986651399</v>
      </c>
      <c r="M2587" s="70">
        <f>CurrentMtgRatesDataTable8[[#This Row],[Servicing Spread Non-Zero]]-L2586</f>
        <v>0</v>
      </c>
      <c r="N2587" s="70">
        <f>IF(J2586&lt;&gt;0,CurrentMtgRatesDataTable8[[#This Row],[Rate]]-C2586,N2586)</f>
        <v>3.4999999999999254E-2</v>
      </c>
    </row>
    <row r="2588" spans="1:14">
      <c r="A2588" s="67" t="s">
        <v>543</v>
      </c>
      <c r="B2588" s="68">
        <v>3.4306094277170498</v>
      </c>
      <c r="C2588" s="69">
        <v>4.335</v>
      </c>
      <c r="D2588" s="70">
        <f t="shared" si="280"/>
        <v>2</v>
      </c>
      <c r="E2588" s="70">
        <f t="shared" si="281"/>
        <v>0.2</v>
      </c>
      <c r="F2588" s="70">
        <f t="shared" si="282"/>
        <v>2</v>
      </c>
      <c r="G2588" s="70">
        <f t="shared" si="283"/>
        <v>1.3671753251123522</v>
      </c>
      <c r="H2588" s="70">
        <f t="shared" si="284"/>
        <v>0.4</v>
      </c>
      <c r="I2588" s="70">
        <f t="shared" si="285"/>
        <v>0</v>
      </c>
      <c r="J2588" s="70">
        <f t="shared" si="286"/>
        <v>0</v>
      </c>
      <c r="K2588" s="70">
        <f>IF(CurrentMtgRatesDataTable8[[#This Row],[WA CC]]&lt;&gt;0,C2587-CurrentMtgRatesDataTable8[[#This Row],[WA CC]],0)</f>
        <v>0</v>
      </c>
      <c r="L2588" s="70">
        <f>IF(CurrentMtgRatesDataTable8[[#This Row],[Servicing Spread]]&lt;=0,L2587,CurrentMtgRatesDataTable8[[#This Row],[Servicing Spread]])</f>
        <v>0.84709182986651399</v>
      </c>
      <c r="M2588" s="70">
        <f>CurrentMtgRatesDataTable8[[#This Row],[Servicing Spread Non-Zero]]-L2587</f>
        <v>0</v>
      </c>
      <c r="N2588" s="70">
        <f>IF(J2587&lt;&gt;0,CurrentMtgRatesDataTable8[[#This Row],[Rate]]-C2587,N2587)</f>
        <v>3.4999999999999254E-2</v>
      </c>
    </row>
    <row r="2589" spans="1:14">
      <c r="A2589" s="67" t="s">
        <v>397</v>
      </c>
      <c r="B2589" s="68">
        <v>3.44685935064701</v>
      </c>
      <c r="C2589" s="69">
        <v>4.335</v>
      </c>
      <c r="D2589" s="70">
        <f t="shared" si="280"/>
        <v>5</v>
      </c>
      <c r="E2589" s="70">
        <f t="shared" si="281"/>
        <v>0.2</v>
      </c>
      <c r="F2589" s="70">
        <f t="shared" si="282"/>
        <v>3</v>
      </c>
      <c r="G2589" s="70">
        <f t="shared" si="283"/>
        <v>2.0565471952417544</v>
      </c>
      <c r="H2589" s="70">
        <f t="shared" si="284"/>
        <v>0.60000000000000009</v>
      </c>
      <c r="I2589" s="70">
        <f t="shared" si="285"/>
        <v>0</v>
      </c>
      <c r="J2589" s="70">
        <f t="shared" si="286"/>
        <v>0</v>
      </c>
      <c r="K2589" s="70">
        <f>IF(CurrentMtgRatesDataTable8[[#This Row],[WA CC]]&lt;&gt;0,C2588-CurrentMtgRatesDataTable8[[#This Row],[WA CC]],0)</f>
        <v>0</v>
      </c>
      <c r="L2589" s="70">
        <f>IF(CurrentMtgRatesDataTable8[[#This Row],[Servicing Spread]]&lt;=0,L2588,CurrentMtgRatesDataTable8[[#This Row],[Servicing Spread]])</f>
        <v>0.84709182986651399</v>
      </c>
      <c r="M2589" s="70">
        <f>CurrentMtgRatesDataTable8[[#This Row],[Servicing Spread Non-Zero]]-L2588</f>
        <v>0</v>
      </c>
      <c r="N2589" s="70">
        <f>IF(J2588&lt;&gt;0,CurrentMtgRatesDataTable8[[#This Row],[Rate]]-C2588,N2588)</f>
        <v>3.4999999999999254E-2</v>
      </c>
    </row>
    <row r="2590" spans="1:14">
      <c r="A2590" s="67" t="s">
        <v>265</v>
      </c>
      <c r="B2590" s="68">
        <v>3.4727016332033198</v>
      </c>
      <c r="C2590" s="69">
        <v>4.335</v>
      </c>
      <c r="D2590" s="70">
        <f t="shared" si="280"/>
        <v>6</v>
      </c>
      <c r="E2590" s="70">
        <f t="shared" si="281"/>
        <v>0.2</v>
      </c>
      <c r="F2590" s="70">
        <f t="shared" si="282"/>
        <v>4</v>
      </c>
      <c r="G2590" s="70">
        <f t="shared" si="283"/>
        <v>2.7510875218824182</v>
      </c>
      <c r="H2590" s="70">
        <f t="shared" si="284"/>
        <v>0.8</v>
      </c>
      <c r="I2590" s="70">
        <f t="shared" si="285"/>
        <v>0</v>
      </c>
      <c r="J2590" s="70">
        <f t="shared" si="286"/>
        <v>0</v>
      </c>
      <c r="K2590" s="70">
        <f>IF(CurrentMtgRatesDataTable8[[#This Row],[WA CC]]&lt;&gt;0,C2589-CurrentMtgRatesDataTable8[[#This Row],[WA CC]],0)</f>
        <v>0</v>
      </c>
      <c r="L2590" s="70">
        <f>IF(CurrentMtgRatesDataTable8[[#This Row],[Servicing Spread]]&lt;=0,L2589,CurrentMtgRatesDataTable8[[#This Row],[Servicing Spread]])</f>
        <v>0.84709182986651399</v>
      </c>
      <c r="M2590" s="70">
        <f>CurrentMtgRatesDataTable8[[#This Row],[Servicing Spread Non-Zero]]-L2589</f>
        <v>0</v>
      </c>
      <c r="N2590" s="70">
        <f>IF(J2589&lt;&gt;0,CurrentMtgRatesDataTable8[[#This Row],[Rate]]-C2589,N2589)</f>
        <v>3.4999999999999254E-2</v>
      </c>
    </row>
    <row r="2591" spans="1:14">
      <c r="A2591" s="67" t="s">
        <v>120</v>
      </c>
      <c r="B2591" s="68">
        <v>3.5066269417846301</v>
      </c>
      <c r="C2591" s="69">
        <v>4.335</v>
      </c>
      <c r="D2591" s="70">
        <f t="shared" si="280"/>
        <v>7</v>
      </c>
      <c r="E2591" s="70">
        <f t="shared" si="281"/>
        <v>0.2</v>
      </c>
      <c r="F2591" s="70">
        <f t="shared" si="282"/>
        <v>5</v>
      </c>
      <c r="G2591" s="70">
        <f t="shared" si="283"/>
        <v>3.4524129102393442</v>
      </c>
      <c r="H2591" s="70">
        <f t="shared" si="284"/>
        <v>1</v>
      </c>
      <c r="I2591" s="70">
        <f t="shared" si="285"/>
        <v>1</v>
      </c>
      <c r="J2591" s="70">
        <f t="shared" si="286"/>
        <v>3.4524129102393442</v>
      </c>
      <c r="K2591" s="70">
        <f>IF(CurrentMtgRatesDataTable8[[#This Row],[WA CC]]&lt;&gt;0,C2590-CurrentMtgRatesDataTable8[[#This Row],[WA CC]],0)</f>
        <v>0.88258708976065581</v>
      </c>
      <c r="L2591" s="70">
        <f>IF(CurrentMtgRatesDataTable8[[#This Row],[Servicing Spread]]&lt;=0,L2590,CurrentMtgRatesDataTable8[[#This Row],[Servicing Spread]])</f>
        <v>0.88258708976065581</v>
      </c>
      <c r="M2591" s="70">
        <f>CurrentMtgRatesDataTable8[[#This Row],[Servicing Spread Non-Zero]]-L2590</f>
        <v>3.5495259894141817E-2</v>
      </c>
      <c r="N2591" s="70">
        <f>IF(J2590&lt;&gt;0,CurrentMtgRatesDataTable8[[#This Row],[Rate]]-C2590,N2590)</f>
        <v>3.4999999999999254E-2</v>
      </c>
    </row>
    <row r="2592" spans="1:14">
      <c r="A2592" s="67" t="s">
        <v>684</v>
      </c>
      <c r="B2592" s="68">
        <v>3.4840318134841599</v>
      </c>
      <c r="C2592" s="69">
        <v>4.2649999999999997</v>
      </c>
      <c r="D2592" s="70">
        <f t="shared" si="280"/>
        <v>1</v>
      </c>
      <c r="E2592" s="70">
        <f t="shared" si="281"/>
        <v>0.2</v>
      </c>
      <c r="F2592" s="70">
        <f t="shared" si="282"/>
        <v>1</v>
      </c>
      <c r="G2592" s="70">
        <f t="shared" si="283"/>
        <v>0.69680636269683205</v>
      </c>
      <c r="H2592" s="70">
        <f t="shared" si="284"/>
        <v>0.2</v>
      </c>
      <c r="I2592" s="70">
        <f t="shared" si="285"/>
        <v>0</v>
      </c>
      <c r="J2592" s="70">
        <f t="shared" si="286"/>
        <v>0</v>
      </c>
      <c r="K2592" s="70">
        <f>IF(CurrentMtgRatesDataTable8[[#This Row],[WA CC]]&lt;&gt;0,C2591-CurrentMtgRatesDataTable8[[#This Row],[WA CC]],0)</f>
        <v>0</v>
      </c>
      <c r="L2592" s="70">
        <f>IF(CurrentMtgRatesDataTable8[[#This Row],[Servicing Spread]]&lt;=0,L2591,CurrentMtgRatesDataTable8[[#This Row],[Servicing Spread]])</f>
        <v>0.88258708976065581</v>
      </c>
      <c r="M2592" s="70">
        <f>CurrentMtgRatesDataTable8[[#This Row],[Servicing Spread Non-Zero]]-L2591</f>
        <v>0</v>
      </c>
      <c r="N2592" s="70">
        <f>IF(J2591&lt;&gt;0,CurrentMtgRatesDataTable8[[#This Row],[Rate]]-C2591,N2591)</f>
        <v>-7.0000000000000284E-2</v>
      </c>
    </row>
    <row r="2593" spans="1:14">
      <c r="A2593" s="67" t="s">
        <v>544</v>
      </c>
      <c r="B2593" s="68">
        <v>3.4295560527023699</v>
      </c>
      <c r="C2593" s="69">
        <v>4.2649999999999997</v>
      </c>
      <c r="D2593" s="70">
        <f t="shared" si="280"/>
        <v>2</v>
      </c>
      <c r="E2593" s="70">
        <f t="shared" si="281"/>
        <v>0.2</v>
      </c>
      <c r="F2593" s="70">
        <f t="shared" si="282"/>
        <v>2</v>
      </c>
      <c r="G2593" s="70">
        <f t="shared" si="283"/>
        <v>1.382717573237306</v>
      </c>
      <c r="H2593" s="70">
        <f t="shared" si="284"/>
        <v>0.4</v>
      </c>
      <c r="I2593" s="70">
        <f t="shared" si="285"/>
        <v>0</v>
      </c>
      <c r="J2593" s="70">
        <f t="shared" si="286"/>
        <v>0</v>
      </c>
      <c r="K2593" s="70">
        <f>IF(CurrentMtgRatesDataTable8[[#This Row],[WA CC]]&lt;&gt;0,C2592-CurrentMtgRatesDataTable8[[#This Row],[WA CC]],0)</f>
        <v>0</v>
      </c>
      <c r="L2593" s="70">
        <f>IF(CurrentMtgRatesDataTable8[[#This Row],[Servicing Spread]]&lt;=0,L2592,CurrentMtgRatesDataTable8[[#This Row],[Servicing Spread]])</f>
        <v>0.88258708976065581</v>
      </c>
      <c r="M2593" s="70">
        <f>CurrentMtgRatesDataTable8[[#This Row],[Servicing Spread Non-Zero]]-L2592</f>
        <v>0</v>
      </c>
      <c r="N2593" s="70">
        <f>IF(J2592&lt;&gt;0,CurrentMtgRatesDataTable8[[#This Row],[Rate]]-C2592,N2592)</f>
        <v>-7.0000000000000284E-2</v>
      </c>
    </row>
    <row r="2594" spans="1:14">
      <c r="A2594" s="67" t="s">
        <v>398</v>
      </c>
      <c r="B2594" s="68">
        <v>3.39509627944707</v>
      </c>
      <c r="C2594" s="69">
        <v>4.2649999999999997</v>
      </c>
      <c r="D2594" s="70">
        <f t="shared" si="280"/>
        <v>5</v>
      </c>
      <c r="E2594" s="70">
        <f t="shared" si="281"/>
        <v>0.2</v>
      </c>
      <c r="F2594" s="70">
        <f t="shared" si="282"/>
        <v>3</v>
      </c>
      <c r="G2594" s="70">
        <f t="shared" si="283"/>
        <v>2.06173682912672</v>
      </c>
      <c r="H2594" s="70">
        <f t="shared" si="284"/>
        <v>0.60000000000000009</v>
      </c>
      <c r="I2594" s="70">
        <f t="shared" si="285"/>
        <v>0</v>
      </c>
      <c r="J2594" s="70">
        <f t="shared" si="286"/>
        <v>0</v>
      </c>
      <c r="K2594" s="70">
        <f>IF(CurrentMtgRatesDataTable8[[#This Row],[WA CC]]&lt;&gt;0,C2593-CurrentMtgRatesDataTable8[[#This Row],[WA CC]],0)</f>
        <v>0</v>
      </c>
      <c r="L2594" s="70">
        <f>IF(CurrentMtgRatesDataTable8[[#This Row],[Servicing Spread]]&lt;=0,L2593,CurrentMtgRatesDataTable8[[#This Row],[Servicing Spread]])</f>
        <v>0.88258708976065581</v>
      </c>
      <c r="M2594" s="70">
        <f>CurrentMtgRatesDataTable8[[#This Row],[Servicing Spread Non-Zero]]-L2593</f>
        <v>0</v>
      </c>
      <c r="N2594" s="70">
        <f>IF(J2593&lt;&gt;0,CurrentMtgRatesDataTable8[[#This Row],[Rate]]-C2593,N2593)</f>
        <v>-7.0000000000000284E-2</v>
      </c>
    </row>
    <row r="2595" spans="1:14">
      <c r="A2595" s="67" t="s">
        <v>266</v>
      </c>
      <c r="B2595" s="68">
        <v>3.3731827621311399</v>
      </c>
      <c r="C2595" s="69">
        <v>4.2649999999999997</v>
      </c>
      <c r="D2595" s="70">
        <f t="shared" si="280"/>
        <v>6</v>
      </c>
      <c r="E2595" s="70">
        <f t="shared" si="281"/>
        <v>0.2</v>
      </c>
      <c r="F2595" s="70">
        <f t="shared" si="282"/>
        <v>4</v>
      </c>
      <c r="G2595" s="70">
        <f t="shared" si="283"/>
        <v>2.7363733815529478</v>
      </c>
      <c r="H2595" s="70">
        <f t="shared" si="284"/>
        <v>0.8</v>
      </c>
      <c r="I2595" s="70">
        <f t="shared" si="285"/>
        <v>0</v>
      </c>
      <c r="J2595" s="70">
        <f t="shared" si="286"/>
        <v>0</v>
      </c>
      <c r="K2595" s="70">
        <f>IF(CurrentMtgRatesDataTable8[[#This Row],[WA CC]]&lt;&gt;0,C2594-CurrentMtgRatesDataTable8[[#This Row],[WA CC]],0)</f>
        <v>0</v>
      </c>
      <c r="L2595" s="70">
        <f>IF(CurrentMtgRatesDataTable8[[#This Row],[Servicing Spread]]&lt;=0,L2594,CurrentMtgRatesDataTable8[[#This Row],[Servicing Spread]])</f>
        <v>0.88258708976065581</v>
      </c>
      <c r="M2595" s="70">
        <f>CurrentMtgRatesDataTable8[[#This Row],[Servicing Spread Non-Zero]]-L2594</f>
        <v>0</v>
      </c>
      <c r="N2595" s="70">
        <f>IF(J2594&lt;&gt;0,CurrentMtgRatesDataTable8[[#This Row],[Rate]]-C2594,N2594)</f>
        <v>-7.0000000000000284E-2</v>
      </c>
    </row>
    <row r="2596" spans="1:14">
      <c r="A2596" s="67" t="s">
        <v>121</v>
      </c>
      <c r="B2596" s="68">
        <v>3.3750941774744798</v>
      </c>
      <c r="C2596" s="69">
        <v>4.2649999999999997</v>
      </c>
      <c r="D2596" s="70">
        <f t="shared" si="280"/>
        <v>7</v>
      </c>
      <c r="E2596" s="70">
        <f t="shared" si="281"/>
        <v>0.2</v>
      </c>
      <c r="F2596" s="70">
        <f t="shared" si="282"/>
        <v>5</v>
      </c>
      <c r="G2596" s="70">
        <f t="shared" si="283"/>
        <v>3.4113922170478439</v>
      </c>
      <c r="H2596" s="70">
        <f t="shared" si="284"/>
        <v>1</v>
      </c>
      <c r="I2596" s="70">
        <f t="shared" si="285"/>
        <v>1</v>
      </c>
      <c r="J2596" s="70">
        <f t="shared" si="286"/>
        <v>3.4113922170478439</v>
      </c>
      <c r="K2596" s="70">
        <f>IF(CurrentMtgRatesDataTable8[[#This Row],[WA CC]]&lt;&gt;0,C2595-CurrentMtgRatesDataTable8[[#This Row],[WA CC]],0)</f>
        <v>0.85360778295215578</v>
      </c>
      <c r="L2596" s="70">
        <f>IF(CurrentMtgRatesDataTable8[[#This Row],[Servicing Spread]]&lt;=0,L2595,CurrentMtgRatesDataTable8[[#This Row],[Servicing Spread]])</f>
        <v>0.85360778295215578</v>
      </c>
      <c r="M2596" s="70">
        <f>CurrentMtgRatesDataTable8[[#This Row],[Servicing Spread Non-Zero]]-L2595</f>
        <v>-2.8979306808500027E-2</v>
      </c>
      <c r="N2596" s="70">
        <f>IF(J2595&lt;&gt;0,CurrentMtgRatesDataTable8[[#This Row],[Rate]]-C2595,N2595)</f>
        <v>-7.0000000000000284E-2</v>
      </c>
    </row>
    <row r="2597" spans="1:14">
      <c r="A2597" s="67" t="s">
        <v>685</v>
      </c>
      <c r="B2597" s="68">
        <v>3.3155243251593798</v>
      </c>
      <c r="C2597" s="69">
        <v>4.1949999999999994</v>
      </c>
      <c r="D2597" s="70">
        <f t="shared" si="280"/>
        <v>1</v>
      </c>
      <c r="E2597" s="70">
        <f t="shared" si="281"/>
        <v>0.2</v>
      </c>
      <c r="F2597" s="70">
        <f t="shared" si="282"/>
        <v>1</v>
      </c>
      <c r="G2597" s="70">
        <f t="shared" si="283"/>
        <v>0.66310486503187605</v>
      </c>
      <c r="H2597" s="70">
        <f t="shared" si="284"/>
        <v>0.2</v>
      </c>
      <c r="I2597" s="70">
        <f t="shared" si="285"/>
        <v>0</v>
      </c>
      <c r="J2597" s="70">
        <f t="shared" si="286"/>
        <v>0</v>
      </c>
      <c r="K2597" s="70">
        <f>IF(CurrentMtgRatesDataTable8[[#This Row],[WA CC]]&lt;&gt;0,C2596-CurrentMtgRatesDataTable8[[#This Row],[WA CC]],0)</f>
        <v>0</v>
      </c>
      <c r="L2597" s="70">
        <f>IF(CurrentMtgRatesDataTable8[[#This Row],[Servicing Spread]]&lt;=0,L2596,CurrentMtgRatesDataTable8[[#This Row],[Servicing Spread]])</f>
        <v>0.85360778295215578</v>
      </c>
      <c r="M2597" s="70">
        <f>CurrentMtgRatesDataTable8[[#This Row],[Servicing Spread Non-Zero]]-L2596</f>
        <v>0</v>
      </c>
      <c r="N2597" s="70">
        <f>IF(J2596&lt;&gt;0,CurrentMtgRatesDataTable8[[#This Row],[Rate]]-C2596,N2596)</f>
        <v>-7.0000000000000284E-2</v>
      </c>
    </row>
    <row r="2598" spans="1:14">
      <c r="A2598" s="67" t="s">
        <v>545</v>
      </c>
      <c r="B2598" s="68">
        <v>3.31617276522991</v>
      </c>
      <c r="C2598" s="69">
        <v>4.1949999999999994</v>
      </c>
      <c r="D2598" s="70">
        <f t="shared" si="280"/>
        <v>2</v>
      </c>
      <c r="E2598" s="70">
        <f t="shared" si="281"/>
        <v>0.2</v>
      </c>
      <c r="F2598" s="70">
        <f t="shared" si="282"/>
        <v>2</v>
      </c>
      <c r="G2598" s="70">
        <f t="shared" si="283"/>
        <v>1.326339418077858</v>
      </c>
      <c r="H2598" s="70">
        <f t="shared" si="284"/>
        <v>0.4</v>
      </c>
      <c r="I2598" s="70">
        <f t="shared" si="285"/>
        <v>0</v>
      </c>
      <c r="J2598" s="70">
        <f t="shared" si="286"/>
        <v>0</v>
      </c>
      <c r="K2598" s="70">
        <f>IF(CurrentMtgRatesDataTable8[[#This Row],[WA CC]]&lt;&gt;0,C2597-CurrentMtgRatesDataTable8[[#This Row],[WA CC]],0)</f>
        <v>0</v>
      </c>
      <c r="L2598" s="70">
        <f>IF(CurrentMtgRatesDataTable8[[#This Row],[Servicing Spread]]&lt;=0,L2597,CurrentMtgRatesDataTable8[[#This Row],[Servicing Spread]])</f>
        <v>0.85360778295215578</v>
      </c>
      <c r="M2598" s="70">
        <f>CurrentMtgRatesDataTable8[[#This Row],[Servicing Spread Non-Zero]]-L2597</f>
        <v>0</v>
      </c>
      <c r="N2598" s="70">
        <f>IF(J2597&lt;&gt;0,CurrentMtgRatesDataTable8[[#This Row],[Rate]]-C2597,N2597)</f>
        <v>-7.0000000000000284E-2</v>
      </c>
    </row>
    <row r="2599" spans="1:14">
      <c r="A2599" s="67" t="s">
        <v>399</v>
      </c>
      <c r="B2599" s="68">
        <v>3.3408272423510099</v>
      </c>
      <c r="C2599" s="69">
        <v>4.1949999999999994</v>
      </c>
      <c r="D2599" s="70">
        <f t="shared" si="280"/>
        <v>5</v>
      </c>
      <c r="E2599" s="70">
        <f t="shared" si="281"/>
        <v>0.2</v>
      </c>
      <c r="F2599" s="70">
        <f t="shared" si="282"/>
        <v>3</v>
      </c>
      <c r="G2599" s="70">
        <f t="shared" si="283"/>
        <v>1.99450486654806</v>
      </c>
      <c r="H2599" s="70">
        <f t="shared" si="284"/>
        <v>0.60000000000000009</v>
      </c>
      <c r="I2599" s="70">
        <f t="shared" si="285"/>
        <v>0</v>
      </c>
      <c r="J2599" s="70">
        <f t="shared" si="286"/>
        <v>0</v>
      </c>
      <c r="K2599" s="70">
        <f>IF(CurrentMtgRatesDataTable8[[#This Row],[WA CC]]&lt;&gt;0,C2598-CurrentMtgRatesDataTable8[[#This Row],[WA CC]],0)</f>
        <v>0</v>
      </c>
      <c r="L2599" s="70">
        <f>IF(CurrentMtgRatesDataTable8[[#This Row],[Servicing Spread]]&lt;=0,L2598,CurrentMtgRatesDataTable8[[#This Row],[Servicing Spread]])</f>
        <v>0.85360778295215578</v>
      </c>
      <c r="M2599" s="70">
        <f>CurrentMtgRatesDataTable8[[#This Row],[Servicing Spread Non-Zero]]-L2598</f>
        <v>0</v>
      </c>
      <c r="N2599" s="70">
        <f>IF(J2598&lt;&gt;0,CurrentMtgRatesDataTable8[[#This Row],[Rate]]-C2598,N2598)</f>
        <v>-7.0000000000000284E-2</v>
      </c>
    </row>
    <row r="2600" spans="1:14">
      <c r="A2600" s="67" t="s">
        <v>267</v>
      </c>
      <c r="B2600" s="68">
        <v>3.33793129587505</v>
      </c>
      <c r="C2600" s="69">
        <v>4.1949999999999994</v>
      </c>
      <c r="D2600" s="70">
        <f t="shared" si="280"/>
        <v>6</v>
      </c>
      <c r="E2600" s="70">
        <f t="shared" si="281"/>
        <v>0.2</v>
      </c>
      <c r="F2600" s="70">
        <f t="shared" si="282"/>
        <v>4</v>
      </c>
      <c r="G2600" s="70">
        <f t="shared" si="283"/>
        <v>2.6620911257230699</v>
      </c>
      <c r="H2600" s="70">
        <f t="shared" si="284"/>
        <v>0.8</v>
      </c>
      <c r="I2600" s="70">
        <f t="shared" si="285"/>
        <v>0</v>
      </c>
      <c r="J2600" s="70">
        <f t="shared" si="286"/>
        <v>0</v>
      </c>
      <c r="K2600" s="70">
        <f>IF(CurrentMtgRatesDataTable8[[#This Row],[WA CC]]&lt;&gt;0,C2599-CurrentMtgRatesDataTable8[[#This Row],[WA CC]],0)</f>
        <v>0</v>
      </c>
      <c r="L2600" s="70">
        <f>IF(CurrentMtgRatesDataTable8[[#This Row],[Servicing Spread]]&lt;=0,L2599,CurrentMtgRatesDataTable8[[#This Row],[Servicing Spread]])</f>
        <v>0.85360778295215578</v>
      </c>
      <c r="M2600" s="70">
        <f>CurrentMtgRatesDataTable8[[#This Row],[Servicing Spread Non-Zero]]-L2599</f>
        <v>0</v>
      </c>
      <c r="N2600" s="70">
        <f>IF(J2599&lt;&gt;0,CurrentMtgRatesDataTable8[[#This Row],[Rate]]-C2599,N2599)</f>
        <v>-7.0000000000000284E-2</v>
      </c>
    </row>
    <row r="2601" spans="1:14">
      <c r="A2601" s="67" t="s">
        <v>122</v>
      </c>
      <c r="B2601" s="68">
        <v>3.35080102179215</v>
      </c>
      <c r="C2601" s="69">
        <v>4.1949999999999994</v>
      </c>
      <c r="D2601" s="70">
        <f t="shared" si="280"/>
        <v>7</v>
      </c>
      <c r="E2601" s="70">
        <f t="shared" si="281"/>
        <v>0.2</v>
      </c>
      <c r="F2601" s="70">
        <f t="shared" si="282"/>
        <v>5</v>
      </c>
      <c r="G2601" s="70">
        <f t="shared" si="283"/>
        <v>3.3322513300815002</v>
      </c>
      <c r="H2601" s="70">
        <f t="shared" si="284"/>
        <v>1</v>
      </c>
      <c r="I2601" s="70">
        <f t="shared" si="285"/>
        <v>1</v>
      </c>
      <c r="J2601" s="70">
        <f t="shared" si="286"/>
        <v>3.3322513300815002</v>
      </c>
      <c r="K2601" s="70">
        <f>IF(CurrentMtgRatesDataTable8[[#This Row],[WA CC]]&lt;&gt;0,C2600-CurrentMtgRatesDataTable8[[#This Row],[WA CC]],0)</f>
        <v>0.86274866991849919</v>
      </c>
      <c r="L2601" s="70">
        <f>IF(CurrentMtgRatesDataTable8[[#This Row],[Servicing Spread]]&lt;=0,L2600,CurrentMtgRatesDataTable8[[#This Row],[Servicing Spread]])</f>
        <v>0.86274866991849919</v>
      </c>
      <c r="M2601" s="70">
        <f>CurrentMtgRatesDataTable8[[#This Row],[Servicing Spread Non-Zero]]-L2600</f>
        <v>9.1408869663434089E-3</v>
      </c>
      <c r="N2601" s="70">
        <f>IF(J2600&lt;&gt;0,CurrentMtgRatesDataTable8[[#This Row],[Rate]]-C2600,N2600)</f>
        <v>-7.0000000000000284E-2</v>
      </c>
    </row>
    <row r="2602" spans="1:14">
      <c r="A2602" s="67" t="s">
        <v>686</v>
      </c>
      <c r="B2602" s="68">
        <v>3.40802093158428</v>
      </c>
      <c r="C2602" s="69">
        <v>4.2300000000000004</v>
      </c>
      <c r="D2602" s="70">
        <f t="shared" si="280"/>
        <v>1</v>
      </c>
      <c r="E2602" s="70">
        <f t="shared" si="281"/>
        <v>0.2</v>
      </c>
      <c r="F2602" s="70">
        <f t="shared" si="282"/>
        <v>1</v>
      </c>
      <c r="G2602" s="70">
        <f t="shared" si="283"/>
        <v>0.68160418631685604</v>
      </c>
      <c r="H2602" s="70">
        <f t="shared" si="284"/>
        <v>0.2</v>
      </c>
      <c r="I2602" s="70">
        <f t="shared" si="285"/>
        <v>0</v>
      </c>
      <c r="J2602" s="70">
        <f t="shared" si="286"/>
        <v>0</v>
      </c>
      <c r="K2602" s="70">
        <f>IF(CurrentMtgRatesDataTable8[[#This Row],[WA CC]]&lt;&gt;0,C2601-CurrentMtgRatesDataTable8[[#This Row],[WA CC]],0)</f>
        <v>0</v>
      </c>
      <c r="L2602" s="70">
        <f>IF(CurrentMtgRatesDataTable8[[#This Row],[Servicing Spread]]&lt;=0,L2601,CurrentMtgRatesDataTable8[[#This Row],[Servicing Spread]])</f>
        <v>0.86274866991849919</v>
      </c>
      <c r="M2602" s="70">
        <f>CurrentMtgRatesDataTable8[[#This Row],[Servicing Spread Non-Zero]]-L2601</f>
        <v>0</v>
      </c>
      <c r="N2602" s="70">
        <f>IF(J2601&lt;&gt;0,CurrentMtgRatesDataTable8[[#This Row],[Rate]]-C2601,N2601)</f>
        <v>3.500000000000103E-2</v>
      </c>
    </row>
    <row r="2603" spans="1:14">
      <c r="A2603" s="67" t="s">
        <v>400</v>
      </c>
      <c r="B2603" s="68">
        <v>3.4214944697037502</v>
      </c>
      <c r="C2603" s="69">
        <v>4.2300000000000004</v>
      </c>
      <c r="D2603" s="70">
        <f t="shared" si="280"/>
        <v>5</v>
      </c>
      <c r="E2603" s="70">
        <f t="shared" si="281"/>
        <v>0.2</v>
      </c>
      <c r="F2603" s="70">
        <f t="shared" si="282"/>
        <v>2</v>
      </c>
      <c r="G2603" s="70">
        <f t="shared" si="283"/>
        <v>1.3659030802576062</v>
      </c>
      <c r="H2603" s="70">
        <f t="shared" si="284"/>
        <v>0.4</v>
      </c>
      <c r="I2603" s="70">
        <f t="shared" si="285"/>
        <v>0</v>
      </c>
      <c r="J2603" s="70">
        <f t="shared" si="286"/>
        <v>0</v>
      </c>
      <c r="K2603" s="70">
        <f>IF(CurrentMtgRatesDataTable8[[#This Row],[WA CC]]&lt;&gt;0,C2602-CurrentMtgRatesDataTable8[[#This Row],[WA CC]],0)</f>
        <v>0</v>
      </c>
      <c r="L2603" s="70">
        <f>IF(CurrentMtgRatesDataTable8[[#This Row],[Servicing Spread]]&lt;=0,L2602,CurrentMtgRatesDataTable8[[#This Row],[Servicing Spread]])</f>
        <v>0.86274866991849919</v>
      </c>
      <c r="M2603" s="70">
        <f>CurrentMtgRatesDataTable8[[#This Row],[Servicing Spread Non-Zero]]-L2602</f>
        <v>0</v>
      </c>
      <c r="N2603" s="70">
        <f>IF(J2602&lt;&gt;0,CurrentMtgRatesDataTable8[[#This Row],[Rate]]-C2602,N2602)</f>
        <v>3.500000000000103E-2</v>
      </c>
    </row>
    <row r="2604" spans="1:14">
      <c r="A2604" s="67" t="s">
        <v>268</v>
      </c>
      <c r="B2604" s="68">
        <v>3.41581155049382</v>
      </c>
      <c r="C2604" s="69">
        <v>4.2300000000000004</v>
      </c>
      <c r="D2604" s="70">
        <f t="shared" si="280"/>
        <v>6</v>
      </c>
      <c r="E2604" s="70">
        <f t="shared" si="281"/>
        <v>0.2</v>
      </c>
      <c r="F2604" s="70">
        <f t="shared" si="282"/>
        <v>3</v>
      </c>
      <c r="G2604" s="70">
        <f t="shared" si="283"/>
        <v>2.04906539035637</v>
      </c>
      <c r="H2604" s="70">
        <f t="shared" si="284"/>
        <v>0.60000000000000009</v>
      </c>
      <c r="I2604" s="70">
        <f t="shared" si="285"/>
        <v>0</v>
      </c>
      <c r="J2604" s="70">
        <f t="shared" si="286"/>
        <v>0</v>
      </c>
      <c r="K2604" s="70">
        <f>IF(CurrentMtgRatesDataTable8[[#This Row],[WA CC]]&lt;&gt;0,C2603-CurrentMtgRatesDataTable8[[#This Row],[WA CC]],0)</f>
        <v>0</v>
      </c>
      <c r="L2604" s="70">
        <f>IF(CurrentMtgRatesDataTable8[[#This Row],[Servicing Spread]]&lt;=0,L2603,CurrentMtgRatesDataTable8[[#This Row],[Servicing Spread]])</f>
        <v>0.86274866991849919</v>
      </c>
      <c r="M2604" s="70">
        <f>CurrentMtgRatesDataTable8[[#This Row],[Servicing Spread Non-Zero]]-L2603</f>
        <v>0</v>
      </c>
      <c r="N2604" s="70">
        <f>IF(J2603&lt;&gt;0,CurrentMtgRatesDataTable8[[#This Row],[Rate]]-C2603,N2603)</f>
        <v>3.500000000000103E-2</v>
      </c>
    </row>
    <row r="2605" spans="1:14">
      <c r="A2605" s="67" t="s">
        <v>123</v>
      </c>
      <c r="B2605" s="68">
        <v>3.3712594555921802</v>
      </c>
      <c r="C2605" s="69">
        <v>4.2300000000000004</v>
      </c>
      <c r="D2605" s="70">
        <f t="shared" si="280"/>
        <v>7</v>
      </c>
      <c r="E2605" s="70">
        <f t="shared" si="281"/>
        <v>0.2</v>
      </c>
      <c r="F2605" s="70">
        <f t="shared" si="282"/>
        <v>4</v>
      </c>
      <c r="G2605" s="70">
        <f t="shared" si="283"/>
        <v>2.7233172814748059</v>
      </c>
      <c r="H2605" s="70">
        <f t="shared" si="284"/>
        <v>0.8</v>
      </c>
      <c r="I2605" s="70">
        <f t="shared" si="285"/>
        <v>1</v>
      </c>
      <c r="J2605" s="70">
        <f t="shared" si="286"/>
        <v>3.4041466018435074</v>
      </c>
      <c r="K2605" s="70">
        <f>IF(CurrentMtgRatesDataTable8[[#This Row],[WA CC]]&lt;&gt;0,C2604-CurrentMtgRatesDataTable8[[#This Row],[WA CC]],0)</f>
        <v>0.82585339815649306</v>
      </c>
      <c r="L2605" s="70">
        <f>IF(CurrentMtgRatesDataTable8[[#This Row],[Servicing Spread]]&lt;=0,L2604,CurrentMtgRatesDataTable8[[#This Row],[Servicing Spread]])</f>
        <v>0.82585339815649306</v>
      </c>
      <c r="M2605" s="70">
        <f>CurrentMtgRatesDataTable8[[#This Row],[Servicing Spread Non-Zero]]-L2604</f>
        <v>-3.6895271762006132E-2</v>
      </c>
      <c r="N2605" s="70">
        <f>IF(J2604&lt;&gt;0,CurrentMtgRatesDataTable8[[#This Row],[Rate]]-C2604,N2604)</f>
        <v>3.500000000000103E-2</v>
      </c>
    </row>
    <row r="2606" spans="1:14">
      <c r="A2606" s="67" t="s">
        <v>687</v>
      </c>
      <c r="B2606" s="68">
        <v>3.3653149178353798</v>
      </c>
      <c r="C2606" s="69">
        <v>4.2149999999999999</v>
      </c>
      <c r="D2606" s="70">
        <f t="shared" si="280"/>
        <v>1</v>
      </c>
      <c r="E2606" s="70">
        <f t="shared" si="281"/>
        <v>0.2</v>
      </c>
      <c r="F2606" s="70">
        <f t="shared" si="282"/>
        <v>1</v>
      </c>
      <c r="G2606" s="70">
        <f t="shared" si="283"/>
        <v>0.67306298356707606</v>
      </c>
      <c r="H2606" s="70">
        <f t="shared" si="284"/>
        <v>0.2</v>
      </c>
      <c r="I2606" s="70">
        <f t="shared" si="285"/>
        <v>0</v>
      </c>
      <c r="J2606" s="70">
        <f t="shared" si="286"/>
        <v>0</v>
      </c>
      <c r="K2606" s="70">
        <f>IF(CurrentMtgRatesDataTable8[[#This Row],[WA CC]]&lt;&gt;0,C2605-CurrentMtgRatesDataTable8[[#This Row],[WA CC]],0)</f>
        <v>0</v>
      </c>
      <c r="L2606" s="70">
        <f>IF(CurrentMtgRatesDataTable8[[#This Row],[Servicing Spread]]&lt;=0,L2605,CurrentMtgRatesDataTable8[[#This Row],[Servicing Spread]])</f>
        <v>0.82585339815649306</v>
      </c>
      <c r="M2606" s="70">
        <f>CurrentMtgRatesDataTable8[[#This Row],[Servicing Spread Non-Zero]]-L2605</f>
        <v>0</v>
      </c>
      <c r="N2606" s="70">
        <f>IF(J2605&lt;&gt;0,CurrentMtgRatesDataTable8[[#This Row],[Rate]]-C2605,N2605)</f>
        <v>-1.5000000000000568E-2</v>
      </c>
    </row>
    <row r="2607" spans="1:14">
      <c r="A2607" s="67" t="s">
        <v>546</v>
      </c>
      <c r="B2607" s="68">
        <v>3.34407232938596</v>
      </c>
      <c r="C2607" s="69">
        <v>4.2149999999999999</v>
      </c>
      <c r="D2607" s="70">
        <f t="shared" si="280"/>
        <v>2</v>
      </c>
      <c r="E2607" s="70">
        <f t="shared" si="281"/>
        <v>0.2</v>
      </c>
      <c r="F2607" s="70">
        <f t="shared" si="282"/>
        <v>2</v>
      </c>
      <c r="G2607" s="70">
        <f t="shared" si="283"/>
        <v>1.3418774494442682</v>
      </c>
      <c r="H2607" s="70">
        <f t="shared" si="284"/>
        <v>0.4</v>
      </c>
      <c r="I2607" s="70">
        <f t="shared" si="285"/>
        <v>0</v>
      </c>
      <c r="J2607" s="70">
        <f t="shared" si="286"/>
        <v>0</v>
      </c>
      <c r="K2607" s="70">
        <f>IF(CurrentMtgRatesDataTable8[[#This Row],[WA CC]]&lt;&gt;0,C2606-CurrentMtgRatesDataTable8[[#This Row],[WA CC]],0)</f>
        <v>0</v>
      </c>
      <c r="L2607" s="70">
        <f>IF(CurrentMtgRatesDataTable8[[#This Row],[Servicing Spread]]&lt;=0,L2606,CurrentMtgRatesDataTable8[[#This Row],[Servicing Spread]])</f>
        <v>0.82585339815649306</v>
      </c>
      <c r="M2607" s="70">
        <f>CurrentMtgRatesDataTable8[[#This Row],[Servicing Spread Non-Zero]]-L2606</f>
        <v>0</v>
      </c>
      <c r="N2607" s="70">
        <f>IF(J2606&lt;&gt;0,CurrentMtgRatesDataTable8[[#This Row],[Rate]]-C2606,N2606)</f>
        <v>-1.5000000000000568E-2</v>
      </c>
    </row>
    <row r="2608" spans="1:14">
      <c r="A2608" s="67" t="s">
        <v>401</v>
      </c>
      <c r="B2608" s="68">
        <v>3.3514611406408399</v>
      </c>
      <c r="C2608" s="69">
        <v>4.2149999999999999</v>
      </c>
      <c r="D2608" s="70">
        <f t="shared" si="280"/>
        <v>5</v>
      </c>
      <c r="E2608" s="70">
        <f t="shared" si="281"/>
        <v>0.2</v>
      </c>
      <c r="F2608" s="70">
        <f t="shared" si="282"/>
        <v>3</v>
      </c>
      <c r="G2608" s="70">
        <f t="shared" si="283"/>
        <v>2.0121696775724365</v>
      </c>
      <c r="H2608" s="70">
        <f t="shared" si="284"/>
        <v>0.60000000000000009</v>
      </c>
      <c r="I2608" s="70">
        <f t="shared" si="285"/>
        <v>0</v>
      </c>
      <c r="J2608" s="70">
        <f t="shared" si="286"/>
        <v>0</v>
      </c>
      <c r="K2608" s="70">
        <f>IF(CurrentMtgRatesDataTable8[[#This Row],[WA CC]]&lt;&gt;0,C2607-CurrentMtgRatesDataTable8[[#This Row],[WA CC]],0)</f>
        <v>0</v>
      </c>
      <c r="L2608" s="70">
        <f>IF(CurrentMtgRatesDataTable8[[#This Row],[Servicing Spread]]&lt;=0,L2607,CurrentMtgRatesDataTable8[[#This Row],[Servicing Spread]])</f>
        <v>0.82585339815649306</v>
      </c>
      <c r="M2608" s="70">
        <f>CurrentMtgRatesDataTable8[[#This Row],[Servicing Spread Non-Zero]]-L2607</f>
        <v>0</v>
      </c>
      <c r="N2608" s="70">
        <f>IF(J2607&lt;&gt;0,CurrentMtgRatesDataTable8[[#This Row],[Rate]]-C2607,N2607)</f>
        <v>-1.5000000000000568E-2</v>
      </c>
    </row>
    <row r="2609" spans="1:14">
      <c r="A2609" s="67" t="s">
        <v>269</v>
      </c>
      <c r="B2609" s="68">
        <v>3.3733743387763999</v>
      </c>
      <c r="C2609" s="69">
        <v>4.2149999999999999</v>
      </c>
      <c r="D2609" s="70">
        <f t="shared" si="280"/>
        <v>6</v>
      </c>
      <c r="E2609" s="70">
        <f t="shared" si="281"/>
        <v>0.2</v>
      </c>
      <c r="F2609" s="70">
        <f t="shared" si="282"/>
        <v>4</v>
      </c>
      <c r="G2609" s="70">
        <f t="shared" si="283"/>
        <v>2.6868445453277165</v>
      </c>
      <c r="H2609" s="70">
        <f t="shared" si="284"/>
        <v>0.8</v>
      </c>
      <c r="I2609" s="70">
        <f t="shared" si="285"/>
        <v>0</v>
      </c>
      <c r="J2609" s="70">
        <f t="shared" si="286"/>
        <v>0</v>
      </c>
      <c r="K2609" s="70">
        <f>IF(CurrentMtgRatesDataTable8[[#This Row],[WA CC]]&lt;&gt;0,C2608-CurrentMtgRatesDataTable8[[#This Row],[WA CC]],0)</f>
        <v>0</v>
      </c>
      <c r="L2609" s="70">
        <f>IF(CurrentMtgRatesDataTable8[[#This Row],[Servicing Spread]]&lt;=0,L2608,CurrentMtgRatesDataTable8[[#This Row],[Servicing Spread]])</f>
        <v>0.82585339815649306</v>
      </c>
      <c r="M2609" s="70">
        <f>CurrentMtgRatesDataTable8[[#This Row],[Servicing Spread Non-Zero]]-L2608</f>
        <v>0</v>
      </c>
      <c r="N2609" s="70">
        <f>IF(J2608&lt;&gt;0,CurrentMtgRatesDataTable8[[#This Row],[Rate]]-C2608,N2608)</f>
        <v>-1.5000000000000568E-2</v>
      </c>
    </row>
    <row r="2610" spans="1:14">
      <c r="A2610" s="67" t="s">
        <v>124</v>
      </c>
      <c r="B2610" s="68">
        <v>3.3274269650204</v>
      </c>
      <c r="C2610" s="69">
        <v>4.2149999999999999</v>
      </c>
      <c r="D2610" s="70">
        <f t="shared" si="280"/>
        <v>7</v>
      </c>
      <c r="E2610" s="70">
        <f t="shared" si="281"/>
        <v>0.2</v>
      </c>
      <c r="F2610" s="70">
        <f t="shared" si="282"/>
        <v>5</v>
      </c>
      <c r="G2610" s="70">
        <f t="shared" si="283"/>
        <v>3.3523299383317964</v>
      </c>
      <c r="H2610" s="70">
        <f t="shared" si="284"/>
        <v>1</v>
      </c>
      <c r="I2610" s="70">
        <f t="shared" si="285"/>
        <v>1</v>
      </c>
      <c r="J2610" s="70">
        <f t="shared" si="286"/>
        <v>3.3523299383317964</v>
      </c>
      <c r="K2610" s="70">
        <f>IF(CurrentMtgRatesDataTable8[[#This Row],[WA CC]]&lt;&gt;0,C2609-CurrentMtgRatesDataTable8[[#This Row],[WA CC]],0)</f>
        <v>0.86267006166820348</v>
      </c>
      <c r="L2610" s="70">
        <f>IF(CurrentMtgRatesDataTable8[[#This Row],[Servicing Spread]]&lt;=0,L2609,CurrentMtgRatesDataTable8[[#This Row],[Servicing Spread]])</f>
        <v>0.86267006166820348</v>
      </c>
      <c r="M2610" s="70">
        <f>CurrentMtgRatesDataTable8[[#This Row],[Servicing Spread Non-Zero]]-L2609</f>
        <v>3.6816663511710424E-2</v>
      </c>
      <c r="N2610" s="70">
        <f>IF(J2609&lt;&gt;0,CurrentMtgRatesDataTable8[[#This Row],[Rate]]-C2609,N2609)</f>
        <v>-1.5000000000000568E-2</v>
      </c>
    </row>
    <row r="2611" spans="1:14">
      <c r="A2611" s="67" t="s">
        <v>688</v>
      </c>
      <c r="B2611" s="68">
        <v>3.2875255326595201</v>
      </c>
      <c r="C2611" s="69">
        <v>4.1100000000000003</v>
      </c>
      <c r="D2611" s="70">
        <f t="shared" si="280"/>
        <v>1</v>
      </c>
      <c r="E2611" s="70">
        <f t="shared" si="281"/>
        <v>0.2</v>
      </c>
      <c r="F2611" s="70">
        <f t="shared" si="282"/>
        <v>1</v>
      </c>
      <c r="G2611" s="70">
        <f t="shared" si="283"/>
        <v>0.65750510653190408</v>
      </c>
      <c r="H2611" s="70">
        <f t="shared" si="284"/>
        <v>0.2</v>
      </c>
      <c r="I2611" s="70">
        <f t="shared" si="285"/>
        <v>0</v>
      </c>
      <c r="J2611" s="70">
        <f t="shared" si="286"/>
        <v>0</v>
      </c>
      <c r="K2611" s="70">
        <f>IF(CurrentMtgRatesDataTable8[[#This Row],[WA CC]]&lt;&gt;0,C2610-CurrentMtgRatesDataTable8[[#This Row],[WA CC]],0)</f>
        <v>0</v>
      </c>
      <c r="L2611" s="70">
        <f>IF(CurrentMtgRatesDataTable8[[#This Row],[Servicing Spread]]&lt;=0,L2610,CurrentMtgRatesDataTable8[[#This Row],[Servicing Spread]])</f>
        <v>0.86267006166820348</v>
      </c>
      <c r="M2611" s="70">
        <f>CurrentMtgRatesDataTable8[[#This Row],[Servicing Spread Non-Zero]]-L2610</f>
        <v>0</v>
      </c>
      <c r="N2611" s="70">
        <f>IF(J2610&lt;&gt;0,CurrentMtgRatesDataTable8[[#This Row],[Rate]]-C2610,N2610)</f>
        <v>-0.10499999999999954</v>
      </c>
    </row>
    <row r="2612" spans="1:14">
      <c r="A2612" s="67" t="s">
        <v>547</v>
      </c>
      <c r="B2612" s="68">
        <v>3.27582122809376</v>
      </c>
      <c r="C2612" s="69">
        <v>4.1100000000000003</v>
      </c>
      <c r="D2612" s="70">
        <f t="shared" si="280"/>
        <v>2</v>
      </c>
      <c r="E2612" s="70">
        <f t="shared" si="281"/>
        <v>0.2</v>
      </c>
      <c r="F2612" s="70">
        <f t="shared" si="282"/>
        <v>2</v>
      </c>
      <c r="G2612" s="70">
        <f t="shared" si="283"/>
        <v>1.3126693521506563</v>
      </c>
      <c r="H2612" s="70">
        <f t="shared" si="284"/>
        <v>0.4</v>
      </c>
      <c r="I2612" s="70">
        <f t="shared" si="285"/>
        <v>0</v>
      </c>
      <c r="J2612" s="70">
        <f t="shared" si="286"/>
        <v>0</v>
      </c>
      <c r="K2612" s="70">
        <f>IF(CurrentMtgRatesDataTable8[[#This Row],[WA CC]]&lt;&gt;0,C2611-CurrentMtgRatesDataTable8[[#This Row],[WA CC]],0)</f>
        <v>0</v>
      </c>
      <c r="L2612" s="70">
        <f>IF(CurrentMtgRatesDataTable8[[#This Row],[Servicing Spread]]&lt;=0,L2611,CurrentMtgRatesDataTable8[[#This Row],[Servicing Spread]])</f>
        <v>0.86267006166820348</v>
      </c>
      <c r="M2612" s="70">
        <f>CurrentMtgRatesDataTable8[[#This Row],[Servicing Spread Non-Zero]]-L2611</f>
        <v>0</v>
      </c>
      <c r="N2612" s="70">
        <f>IF(J2611&lt;&gt;0,CurrentMtgRatesDataTable8[[#This Row],[Rate]]-C2611,N2611)</f>
        <v>-0.10499999999999954</v>
      </c>
    </row>
    <row r="2613" spans="1:14">
      <c r="A2613" s="67" t="s">
        <v>402</v>
      </c>
      <c r="B2613" s="68">
        <v>3.28849941945206</v>
      </c>
      <c r="C2613" s="69">
        <v>4.1100000000000003</v>
      </c>
      <c r="D2613" s="70">
        <f t="shared" si="280"/>
        <v>5</v>
      </c>
      <c r="E2613" s="70">
        <f t="shared" si="281"/>
        <v>0.2</v>
      </c>
      <c r="F2613" s="70">
        <f t="shared" si="282"/>
        <v>3</v>
      </c>
      <c r="G2613" s="70">
        <f t="shared" si="283"/>
        <v>1.9703692360410683</v>
      </c>
      <c r="H2613" s="70">
        <f t="shared" si="284"/>
        <v>0.60000000000000009</v>
      </c>
      <c r="I2613" s="70">
        <f t="shared" si="285"/>
        <v>0</v>
      </c>
      <c r="J2613" s="70">
        <f t="shared" si="286"/>
        <v>0</v>
      </c>
      <c r="K2613" s="70">
        <f>IF(CurrentMtgRatesDataTable8[[#This Row],[WA CC]]&lt;&gt;0,C2612-CurrentMtgRatesDataTable8[[#This Row],[WA CC]],0)</f>
        <v>0</v>
      </c>
      <c r="L2613" s="70">
        <f>IF(CurrentMtgRatesDataTable8[[#This Row],[Servicing Spread]]&lt;=0,L2612,CurrentMtgRatesDataTable8[[#This Row],[Servicing Spread]])</f>
        <v>0.86267006166820348</v>
      </c>
      <c r="M2613" s="70">
        <f>CurrentMtgRatesDataTable8[[#This Row],[Servicing Spread Non-Zero]]-L2612</f>
        <v>0</v>
      </c>
      <c r="N2613" s="70">
        <f>IF(J2612&lt;&gt;0,CurrentMtgRatesDataTable8[[#This Row],[Rate]]-C2612,N2612)</f>
        <v>-0.10499999999999954</v>
      </c>
    </row>
    <row r="2614" spans="1:14">
      <c r="A2614" s="67" t="s">
        <v>270</v>
      </c>
      <c r="B2614" s="68">
        <v>3.2676928756403698</v>
      </c>
      <c r="C2614" s="69">
        <v>4.1100000000000003</v>
      </c>
      <c r="D2614" s="70">
        <f t="shared" si="280"/>
        <v>6</v>
      </c>
      <c r="E2614" s="70">
        <f t="shared" si="281"/>
        <v>0.2</v>
      </c>
      <c r="F2614" s="70">
        <f t="shared" si="282"/>
        <v>4</v>
      </c>
      <c r="G2614" s="70">
        <f t="shared" si="283"/>
        <v>2.6239078111691425</v>
      </c>
      <c r="H2614" s="70">
        <f t="shared" si="284"/>
        <v>0.8</v>
      </c>
      <c r="I2614" s="70">
        <f t="shared" si="285"/>
        <v>0</v>
      </c>
      <c r="J2614" s="70">
        <f t="shared" si="286"/>
        <v>0</v>
      </c>
      <c r="K2614" s="70">
        <f>IF(CurrentMtgRatesDataTable8[[#This Row],[WA CC]]&lt;&gt;0,C2613-CurrentMtgRatesDataTable8[[#This Row],[WA CC]],0)</f>
        <v>0</v>
      </c>
      <c r="L2614" s="70">
        <f>IF(CurrentMtgRatesDataTable8[[#This Row],[Servicing Spread]]&lt;=0,L2613,CurrentMtgRatesDataTable8[[#This Row],[Servicing Spread]])</f>
        <v>0.86267006166820348</v>
      </c>
      <c r="M2614" s="70">
        <f>CurrentMtgRatesDataTable8[[#This Row],[Servicing Spread Non-Zero]]-L2613</f>
        <v>0</v>
      </c>
      <c r="N2614" s="70">
        <f>IF(J2613&lt;&gt;0,CurrentMtgRatesDataTable8[[#This Row],[Rate]]-C2613,N2613)</f>
        <v>-0.10499999999999954</v>
      </c>
    </row>
    <row r="2615" spans="1:14">
      <c r="A2615" s="67" t="s">
        <v>125</v>
      </c>
      <c r="B2615" s="68">
        <v>3.2365593112173601</v>
      </c>
      <c r="C2615" s="69">
        <v>4.1100000000000003</v>
      </c>
      <c r="D2615" s="70">
        <f t="shared" si="280"/>
        <v>7</v>
      </c>
      <c r="E2615" s="70">
        <f t="shared" si="281"/>
        <v>0.2</v>
      </c>
      <c r="F2615" s="70">
        <f t="shared" si="282"/>
        <v>5</v>
      </c>
      <c r="G2615" s="70">
        <f t="shared" si="283"/>
        <v>3.2712196734126144</v>
      </c>
      <c r="H2615" s="70">
        <f t="shared" si="284"/>
        <v>1</v>
      </c>
      <c r="I2615" s="70">
        <f t="shared" si="285"/>
        <v>1</v>
      </c>
      <c r="J2615" s="70">
        <f t="shared" si="286"/>
        <v>3.2712196734126144</v>
      </c>
      <c r="K2615" s="70">
        <f>IF(CurrentMtgRatesDataTable8[[#This Row],[WA CC]]&lt;&gt;0,C2614-CurrentMtgRatesDataTable8[[#This Row],[WA CC]],0)</f>
        <v>0.83878032658738588</v>
      </c>
      <c r="L2615" s="70">
        <f>IF(CurrentMtgRatesDataTable8[[#This Row],[Servicing Spread]]&lt;=0,L2614,CurrentMtgRatesDataTable8[[#This Row],[Servicing Spread]])</f>
        <v>0.83878032658738588</v>
      </c>
      <c r="M2615" s="70">
        <f>CurrentMtgRatesDataTable8[[#This Row],[Servicing Spread Non-Zero]]-L2614</f>
        <v>-2.3889735080817598E-2</v>
      </c>
      <c r="N2615" s="70">
        <f>IF(J2614&lt;&gt;0,CurrentMtgRatesDataTable8[[#This Row],[Rate]]-C2614,N2614)</f>
        <v>-0.10499999999999954</v>
      </c>
    </row>
    <row r="2616" spans="1:14">
      <c r="A2616" s="67" t="s">
        <v>689</v>
      </c>
      <c r="B2616" s="68">
        <v>3.2302009300383201</v>
      </c>
      <c r="C2616" s="69">
        <v>4.1000000000000005</v>
      </c>
      <c r="D2616" s="70">
        <f t="shared" si="280"/>
        <v>1</v>
      </c>
      <c r="E2616" s="70">
        <f t="shared" si="281"/>
        <v>0.2</v>
      </c>
      <c r="F2616" s="70">
        <f t="shared" si="282"/>
        <v>1</v>
      </c>
      <c r="G2616" s="70">
        <f t="shared" si="283"/>
        <v>0.64604018600766411</v>
      </c>
      <c r="H2616" s="70">
        <f t="shared" si="284"/>
        <v>0.2</v>
      </c>
      <c r="I2616" s="70">
        <f t="shared" si="285"/>
        <v>0</v>
      </c>
      <c r="J2616" s="70">
        <f t="shared" si="286"/>
        <v>0</v>
      </c>
      <c r="K2616" s="70">
        <f>IF(CurrentMtgRatesDataTable8[[#This Row],[WA CC]]&lt;&gt;0,C2615-CurrentMtgRatesDataTable8[[#This Row],[WA CC]],0)</f>
        <v>0</v>
      </c>
      <c r="L2616" s="70">
        <f>IF(CurrentMtgRatesDataTable8[[#This Row],[Servicing Spread]]&lt;=0,L2615,CurrentMtgRatesDataTable8[[#This Row],[Servicing Spread]])</f>
        <v>0.83878032658738588</v>
      </c>
      <c r="M2616" s="70">
        <f>CurrentMtgRatesDataTable8[[#This Row],[Servicing Spread Non-Zero]]-L2615</f>
        <v>0</v>
      </c>
      <c r="N2616" s="70">
        <f>IF(J2615&lt;&gt;0,CurrentMtgRatesDataTable8[[#This Row],[Rate]]-C2615,N2615)</f>
        <v>-9.9999999999997868E-3</v>
      </c>
    </row>
    <row r="2617" spans="1:14">
      <c r="A2617" s="67" t="s">
        <v>548</v>
      </c>
      <c r="B2617" s="68">
        <v>3.26793441628852</v>
      </c>
      <c r="C2617" s="69">
        <v>4.1000000000000005</v>
      </c>
      <c r="D2617" s="70">
        <f t="shared" si="280"/>
        <v>2</v>
      </c>
      <c r="E2617" s="70">
        <f t="shared" si="281"/>
        <v>0.2</v>
      </c>
      <c r="F2617" s="70">
        <f t="shared" si="282"/>
        <v>2</v>
      </c>
      <c r="G2617" s="70">
        <f t="shared" si="283"/>
        <v>1.2996270692653682</v>
      </c>
      <c r="H2617" s="70">
        <f t="shared" si="284"/>
        <v>0.4</v>
      </c>
      <c r="I2617" s="70">
        <f t="shared" si="285"/>
        <v>0</v>
      </c>
      <c r="J2617" s="70">
        <f t="shared" si="286"/>
        <v>0</v>
      </c>
      <c r="K2617" s="70">
        <f>IF(CurrentMtgRatesDataTable8[[#This Row],[WA CC]]&lt;&gt;0,C2616-CurrentMtgRatesDataTable8[[#This Row],[WA CC]],0)</f>
        <v>0</v>
      </c>
      <c r="L2617" s="70">
        <f>IF(CurrentMtgRatesDataTable8[[#This Row],[Servicing Spread]]&lt;=0,L2616,CurrentMtgRatesDataTable8[[#This Row],[Servicing Spread]])</f>
        <v>0.83878032658738588</v>
      </c>
      <c r="M2617" s="70">
        <f>CurrentMtgRatesDataTable8[[#This Row],[Servicing Spread Non-Zero]]-L2616</f>
        <v>0</v>
      </c>
      <c r="N2617" s="70">
        <f>IF(J2616&lt;&gt;0,CurrentMtgRatesDataTable8[[#This Row],[Rate]]-C2616,N2616)</f>
        <v>-9.9999999999997868E-3</v>
      </c>
    </row>
    <row r="2618" spans="1:14">
      <c r="A2618" s="67" t="s">
        <v>403</v>
      </c>
      <c r="B2618" s="68">
        <v>3.2957313796738501</v>
      </c>
      <c r="C2618" s="69">
        <v>4.1000000000000005</v>
      </c>
      <c r="D2618" s="70">
        <f t="shared" si="280"/>
        <v>5</v>
      </c>
      <c r="E2618" s="70">
        <f t="shared" si="281"/>
        <v>0.2</v>
      </c>
      <c r="F2618" s="70">
        <f t="shared" si="282"/>
        <v>3</v>
      </c>
      <c r="G2618" s="70">
        <f t="shared" si="283"/>
        <v>1.9587733452001381</v>
      </c>
      <c r="H2618" s="70">
        <f t="shared" si="284"/>
        <v>0.60000000000000009</v>
      </c>
      <c r="I2618" s="70">
        <f t="shared" si="285"/>
        <v>0</v>
      </c>
      <c r="J2618" s="70">
        <f t="shared" si="286"/>
        <v>0</v>
      </c>
      <c r="K2618" s="70">
        <f>IF(CurrentMtgRatesDataTable8[[#This Row],[WA CC]]&lt;&gt;0,C2617-CurrentMtgRatesDataTable8[[#This Row],[WA CC]],0)</f>
        <v>0</v>
      </c>
      <c r="L2618" s="70">
        <f>IF(CurrentMtgRatesDataTable8[[#This Row],[Servicing Spread]]&lt;=0,L2617,CurrentMtgRatesDataTable8[[#This Row],[Servicing Spread]])</f>
        <v>0.83878032658738588</v>
      </c>
      <c r="M2618" s="70">
        <f>CurrentMtgRatesDataTable8[[#This Row],[Servicing Spread Non-Zero]]-L2617</f>
        <v>0</v>
      </c>
      <c r="N2618" s="70">
        <f>IF(J2617&lt;&gt;0,CurrentMtgRatesDataTable8[[#This Row],[Rate]]-C2617,N2617)</f>
        <v>-9.9999999999997868E-3</v>
      </c>
    </row>
    <row r="2619" spans="1:14">
      <c r="A2619" s="67" t="s">
        <v>271</v>
      </c>
      <c r="B2619" s="68">
        <v>3.2728026621506001</v>
      </c>
      <c r="C2619" s="69">
        <v>4.1000000000000005</v>
      </c>
      <c r="D2619" s="70">
        <f t="shared" si="280"/>
        <v>6</v>
      </c>
      <c r="E2619" s="70">
        <f t="shared" si="281"/>
        <v>0.2</v>
      </c>
      <c r="F2619" s="70">
        <f t="shared" si="282"/>
        <v>4</v>
      </c>
      <c r="G2619" s="70">
        <f t="shared" si="283"/>
        <v>2.6133338776302582</v>
      </c>
      <c r="H2619" s="70">
        <f t="shared" si="284"/>
        <v>0.8</v>
      </c>
      <c r="I2619" s="70">
        <f t="shared" si="285"/>
        <v>0</v>
      </c>
      <c r="J2619" s="70">
        <f t="shared" si="286"/>
        <v>0</v>
      </c>
      <c r="K2619" s="70">
        <f>IF(CurrentMtgRatesDataTable8[[#This Row],[WA CC]]&lt;&gt;0,C2618-CurrentMtgRatesDataTable8[[#This Row],[WA CC]],0)</f>
        <v>0</v>
      </c>
      <c r="L2619" s="70">
        <f>IF(CurrentMtgRatesDataTable8[[#This Row],[Servicing Spread]]&lt;=0,L2618,CurrentMtgRatesDataTable8[[#This Row],[Servicing Spread]])</f>
        <v>0.83878032658738588</v>
      </c>
      <c r="M2619" s="70">
        <f>CurrentMtgRatesDataTable8[[#This Row],[Servicing Spread Non-Zero]]-L2618</f>
        <v>0</v>
      </c>
      <c r="N2619" s="70">
        <f>IF(J2618&lt;&gt;0,CurrentMtgRatesDataTable8[[#This Row],[Rate]]-C2618,N2618)</f>
        <v>-9.9999999999997868E-3</v>
      </c>
    </row>
    <row r="2620" spans="1:14">
      <c r="A2620" s="67" t="s">
        <v>126</v>
      </c>
      <c r="B2620" s="68">
        <v>3.1970892272743101</v>
      </c>
      <c r="C2620" s="69">
        <v>4.1000000000000005</v>
      </c>
      <c r="D2620" s="70">
        <f t="shared" si="280"/>
        <v>7</v>
      </c>
      <c r="E2620" s="70">
        <f t="shared" si="281"/>
        <v>0.2</v>
      </c>
      <c r="F2620" s="70">
        <f t="shared" si="282"/>
        <v>5</v>
      </c>
      <c r="G2620" s="70">
        <f t="shared" si="283"/>
        <v>3.2527517230851202</v>
      </c>
      <c r="H2620" s="70">
        <f t="shared" si="284"/>
        <v>1</v>
      </c>
      <c r="I2620" s="70">
        <f t="shared" si="285"/>
        <v>1</v>
      </c>
      <c r="J2620" s="70">
        <f t="shared" si="286"/>
        <v>3.2527517230851202</v>
      </c>
      <c r="K2620" s="70">
        <f>IF(CurrentMtgRatesDataTable8[[#This Row],[WA CC]]&lt;&gt;0,C2619-CurrentMtgRatesDataTable8[[#This Row],[WA CC]],0)</f>
        <v>0.84724827691488036</v>
      </c>
      <c r="L2620" s="70">
        <f>IF(CurrentMtgRatesDataTable8[[#This Row],[Servicing Spread]]&lt;=0,L2619,CurrentMtgRatesDataTable8[[#This Row],[Servicing Spread]])</f>
        <v>0.84724827691488036</v>
      </c>
      <c r="M2620" s="70">
        <f>CurrentMtgRatesDataTable8[[#This Row],[Servicing Spread Non-Zero]]-L2619</f>
        <v>8.4679503274944778E-3</v>
      </c>
      <c r="N2620" s="70">
        <f>IF(J2619&lt;&gt;0,CurrentMtgRatesDataTable8[[#This Row],[Rate]]-C2619,N2619)</f>
        <v>-9.9999999999997868E-3</v>
      </c>
    </row>
    <row r="2621" spans="1:14">
      <c r="A2621" s="67" t="s">
        <v>690</v>
      </c>
      <c r="B2621" s="68">
        <v>3.1795097734540301</v>
      </c>
      <c r="C2621" s="69">
        <v>4.04</v>
      </c>
      <c r="D2621" s="70">
        <f t="shared" si="280"/>
        <v>1</v>
      </c>
      <c r="E2621" s="70">
        <f t="shared" si="281"/>
        <v>0.2</v>
      </c>
      <c r="F2621" s="70">
        <f t="shared" si="282"/>
        <v>1</v>
      </c>
      <c r="G2621" s="70">
        <f t="shared" si="283"/>
        <v>0.63590195469080601</v>
      </c>
      <c r="H2621" s="70">
        <f t="shared" si="284"/>
        <v>0.2</v>
      </c>
      <c r="I2621" s="70">
        <f t="shared" si="285"/>
        <v>0</v>
      </c>
      <c r="J2621" s="70">
        <f t="shared" si="286"/>
        <v>0</v>
      </c>
      <c r="K2621" s="70">
        <f>IF(CurrentMtgRatesDataTable8[[#This Row],[WA CC]]&lt;&gt;0,C2620-CurrentMtgRatesDataTable8[[#This Row],[WA CC]],0)</f>
        <v>0</v>
      </c>
      <c r="L2621" s="70">
        <f>IF(CurrentMtgRatesDataTable8[[#This Row],[Servicing Spread]]&lt;=0,L2620,CurrentMtgRatesDataTable8[[#This Row],[Servicing Spread]])</f>
        <v>0.84724827691488036</v>
      </c>
      <c r="M2621" s="70">
        <f>CurrentMtgRatesDataTable8[[#This Row],[Servicing Spread Non-Zero]]-L2620</f>
        <v>0</v>
      </c>
      <c r="N2621" s="70">
        <f>IF(J2620&lt;&gt;0,CurrentMtgRatesDataTable8[[#This Row],[Rate]]-C2620,N2620)</f>
        <v>-6.0000000000000497E-2</v>
      </c>
    </row>
    <row r="2622" spans="1:14">
      <c r="A2622" s="67" t="s">
        <v>549</v>
      </c>
      <c r="B2622" s="68">
        <v>3.2071722937792901</v>
      </c>
      <c r="C2622" s="69">
        <v>4.04</v>
      </c>
      <c r="D2622" s="70">
        <f t="shared" si="280"/>
        <v>2</v>
      </c>
      <c r="E2622" s="70">
        <f t="shared" si="281"/>
        <v>0.2</v>
      </c>
      <c r="F2622" s="70">
        <f t="shared" si="282"/>
        <v>2</v>
      </c>
      <c r="G2622" s="70">
        <f t="shared" si="283"/>
        <v>1.277336413446664</v>
      </c>
      <c r="H2622" s="70">
        <f t="shared" si="284"/>
        <v>0.4</v>
      </c>
      <c r="I2622" s="70">
        <f t="shared" si="285"/>
        <v>0</v>
      </c>
      <c r="J2622" s="70">
        <f t="shared" si="286"/>
        <v>0</v>
      </c>
      <c r="K2622" s="70">
        <f>IF(CurrentMtgRatesDataTable8[[#This Row],[WA CC]]&lt;&gt;0,C2621-CurrentMtgRatesDataTable8[[#This Row],[WA CC]],0)</f>
        <v>0</v>
      </c>
      <c r="L2622" s="70">
        <f>IF(CurrentMtgRatesDataTable8[[#This Row],[Servicing Spread]]&lt;=0,L2621,CurrentMtgRatesDataTable8[[#This Row],[Servicing Spread]])</f>
        <v>0.84724827691488036</v>
      </c>
      <c r="M2622" s="70">
        <f>CurrentMtgRatesDataTable8[[#This Row],[Servicing Spread Non-Zero]]-L2621</f>
        <v>0</v>
      </c>
      <c r="N2622" s="70">
        <f>IF(J2621&lt;&gt;0,CurrentMtgRatesDataTable8[[#This Row],[Rate]]-C2621,N2621)</f>
        <v>-6.0000000000000497E-2</v>
      </c>
    </row>
    <row r="2623" spans="1:14">
      <c r="A2623" s="67" t="s">
        <v>404</v>
      </c>
      <c r="B2623" s="68">
        <v>3.2249711814966302</v>
      </c>
      <c r="C2623" s="69">
        <v>4.04</v>
      </c>
      <c r="D2623" s="70">
        <f t="shared" si="280"/>
        <v>5</v>
      </c>
      <c r="E2623" s="70">
        <f t="shared" si="281"/>
        <v>0.2</v>
      </c>
      <c r="F2623" s="70">
        <f t="shared" si="282"/>
        <v>3</v>
      </c>
      <c r="G2623" s="70">
        <f t="shared" si="283"/>
        <v>1.92233064974599</v>
      </c>
      <c r="H2623" s="70">
        <f t="shared" si="284"/>
        <v>0.60000000000000009</v>
      </c>
      <c r="I2623" s="70">
        <f t="shared" si="285"/>
        <v>0</v>
      </c>
      <c r="J2623" s="70">
        <f t="shared" si="286"/>
        <v>0</v>
      </c>
      <c r="K2623" s="70">
        <f>IF(CurrentMtgRatesDataTable8[[#This Row],[WA CC]]&lt;&gt;0,C2622-CurrentMtgRatesDataTable8[[#This Row],[WA CC]],0)</f>
        <v>0</v>
      </c>
      <c r="L2623" s="70">
        <f>IF(CurrentMtgRatesDataTable8[[#This Row],[Servicing Spread]]&lt;=0,L2622,CurrentMtgRatesDataTable8[[#This Row],[Servicing Spread]])</f>
        <v>0.84724827691488036</v>
      </c>
      <c r="M2623" s="70">
        <f>CurrentMtgRatesDataTable8[[#This Row],[Servicing Spread Non-Zero]]-L2622</f>
        <v>0</v>
      </c>
      <c r="N2623" s="70">
        <f>IF(J2622&lt;&gt;0,CurrentMtgRatesDataTable8[[#This Row],[Rate]]-C2622,N2622)</f>
        <v>-6.0000000000000497E-2</v>
      </c>
    </row>
    <row r="2624" spans="1:14">
      <c r="A2624" s="67" t="s">
        <v>272</v>
      </c>
      <c r="B2624" s="68">
        <v>3.1906249352690699</v>
      </c>
      <c r="C2624" s="69">
        <v>4.04</v>
      </c>
      <c r="D2624" s="70">
        <f t="shared" si="280"/>
        <v>6</v>
      </c>
      <c r="E2624" s="70">
        <f t="shared" si="281"/>
        <v>0.2</v>
      </c>
      <c r="F2624" s="70">
        <f t="shared" si="282"/>
        <v>4</v>
      </c>
      <c r="G2624" s="70">
        <f t="shared" si="283"/>
        <v>2.5604556367998041</v>
      </c>
      <c r="H2624" s="70">
        <f t="shared" si="284"/>
        <v>0.8</v>
      </c>
      <c r="I2624" s="70">
        <f t="shared" si="285"/>
        <v>0</v>
      </c>
      <c r="J2624" s="70">
        <f t="shared" si="286"/>
        <v>0</v>
      </c>
      <c r="K2624" s="70">
        <f>IF(CurrentMtgRatesDataTable8[[#This Row],[WA CC]]&lt;&gt;0,C2623-CurrentMtgRatesDataTable8[[#This Row],[WA CC]],0)</f>
        <v>0</v>
      </c>
      <c r="L2624" s="70">
        <f>IF(CurrentMtgRatesDataTable8[[#This Row],[Servicing Spread]]&lt;=0,L2623,CurrentMtgRatesDataTable8[[#This Row],[Servicing Spread]])</f>
        <v>0.84724827691488036</v>
      </c>
      <c r="M2624" s="70">
        <f>CurrentMtgRatesDataTable8[[#This Row],[Servicing Spread Non-Zero]]-L2623</f>
        <v>0</v>
      </c>
      <c r="N2624" s="70">
        <f>IF(J2623&lt;&gt;0,CurrentMtgRatesDataTable8[[#This Row],[Rate]]-C2623,N2623)</f>
        <v>-6.0000000000000497E-2</v>
      </c>
    </row>
    <row r="2625" spans="1:14">
      <c r="A2625" s="67" t="s">
        <v>127</v>
      </c>
      <c r="B2625" s="68">
        <v>3.2003729321605299</v>
      </c>
      <c r="C2625" s="69">
        <v>4.04</v>
      </c>
      <c r="D2625" s="70">
        <f t="shared" si="280"/>
        <v>7</v>
      </c>
      <c r="E2625" s="70">
        <f t="shared" si="281"/>
        <v>0.2</v>
      </c>
      <c r="F2625" s="70">
        <f t="shared" si="282"/>
        <v>5</v>
      </c>
      <c r="G2625" s="70">
        <f t="shared" si="283"/>
        <v>3.2005302232319099</v>
      </c>
      <c r="H2625" s="70">
        <f t="shared" si="284"/>
        <v>1</v>
      </c>
      <c r="I2625" s="70">
        <f t="shared" si="285"/>
        <v>1</v>
      </c>
      <c r="J2625" s="70">
        <f t="shared" si="286"/>
        <v>3.2005302232319099</v>
      </c>
      <c r="K2625" s="70">
        <f>IF(CurrentMtgRatesDataTable8[[#This Row],[WA CC]]&lt;&gt;0,C2624-CurrentMtgRatesDataTable8[[#This Row],[WA CC]],0)</f>
        <v>0.83946977676809009</v>
      </c>
      <c r="L2625" s="70">
        <f>IF(CurrentMtgRatesDataTable8[[#This Row],[Servicing Spread]]&lt;=0,L2624,CurrentMtgRatesDataTable8[[#This Row],[Servicing Spread]])</f>
        <v>0.83946977676809009</v>
      </c>
      <c r="M2625" s="70">
        <f>CurrentMtgRatesDataTable8[[#This Row],[Servicing Spread Non-Zero]]-L2624</f>
        <v>-7.7785001467902681E-3</v>
      </c>
      <c r="N2625" s="70">
        <f>IF(J2624&lt;&gt;0,CurrentMtgRatesDataTable8[[#This Row],[Rate]]-C2624,N2624)</f>
        <v>-6.0000000000000497E-2</v>
      </c>
    </row>
    <row r="2626" spans="1:14">
      <c r="A2626" s="67" t="s">
        <v>691</v>
      </c>
      <c r="B2626" s="68">
        <v>3.2144312113226099</v>
      </c>
      <c r="C2626" s="69">
        <v>4.0200000000000005</v>
      </c>
      <c r="D2626" s="70">
        <f t="shared" si="280"/>
        <v>1</v>
      </c>
      <c r="E2626" s="70">
        <f t="shared" si="281"/>
        <v>0.2</v>
      </c>
      <c r="F2626" s="70">
        <f t="shared" si="282"/>
        <v>1</v>
      </c>
      <c r="G2626" s="70">
        <f t="shared" si="283"/>
        <v>0.64288624226452207</v>
      </c>
      <c r="H2626" s="70">
        <f t="shared" si="284"/>
        <v>0.2</v>
      </c>
      <c r="I2626" s="70">
        <f t="shared" si="285"/>
        <v>0</v>
      </c>
      <c r="J2626" s="70">
        <f t="shared" si="286"/>
        <v>0</v>
      </c>
      <c r="K2626" s="70">
        <f>IF(CurrentMtgRatesDataTable8[[#This Row],[WA CC]]&lt;&gt;0,C2625-CurrentMtgRatesDataTable8[[#This Row],[WA CC]],0)</f>
        <v>0</v>
      </c>
      <c r="L2626" s="70">
        <f>IF(CurrentMtgRatesDataTable8[[#This Row],[Servicing Spread]]&lt;=0,L2625,CurrentMtgRatesDataTable8[[#This Row],[Servicing Spread]])</f>
        <v>0.83946977676809009</v>
      </c>
      <c r="M2626" s="70">
        <f>CurrentMtgRatesDataTable8[[#This Row],[Servicing Spread Non-Zero]]-L2625</f>
        <v>0</v>
      </c>
      <c r="N2626" s="70">
        <f>IF(J2625&lt;&gt;0,CurrentMtgRatesDataTable8[[#This Row],[Rate]]-C2625,N2625)</f>
        <v>-1.9999999999999574E-2</v>
      </c>
    </row>
    <row r="2627" spans="1:14">
      <c r="A2627" s="67" t="s">
        <v>550</v>
      </c>
      <c r="B2627" s="68">
        <v>3.2062850314999101</v>
      </c>
      <c r="C2627" s="69">
        <v>4.0200000000000005</v>
      </c>
      <c r="D2627" s="70">
        <f t="shared" si="280"/>
        <v>2</v>
      </c>
      <c r="E2627" s="70">
        <f t="shared" si="281"/>
        <v>0.2</v>
      </c>
      <c r="F2627" s="70">
        <f t="shared" si="282"/>
        <v>2</v>
      </c>
      <c r="G2627" s="70">
        <f t="shared" si="283"/>
        <v>1.2841432485645041</v>
      </c>
      <c r="H2627" s="70">
        <f t="shared" si="284"/>
        <v>0.4</v>
      </c>
      <c r="I2627" s="70">
        <f t="shared" si="285"/>
        <v>0</v>
      </c>
      <c r="J2627" s="70">
        <f t="shared" si="286"/>
        <v>0</v>
      </c>
      <c r="K2627" s="70">
        <f>IF(CurrentMtgRatesDataTable8[[#This Row],[WA CC]]&lt;&gt;0,C2626-CurrentMtgRatesDataTable8[[#This Row],[WA CC]],0)</f>
        <v>0</v>
      </c>
      <c r="L2627" s="70">
        <f>IF(CurrentMtgRatesDataTable8[[#This Row],[Servicing Spread]]&lt;=0,L2626,CurrentMtgRatesDataTable8[[#This Row],[Servicing Spread]])</f>
        <v>0.83946977676809009</v>
      </c>
      <c r="M2627" s="70">
        <f>CurrentMtgRatesDataTable8[[#This Row],[Servicing Spread Non-Zero]]-L2626</f>
        <v>0</v>
      </c>
      <c r="N2627" s="70">
        <f>IF(J2626&lt;&gt;0,CurrentMtgRatesDataTable8[[#This Row],[Rate]]-C2626,N2626)</f>
        <v>-1.9999999999999574E-2</v>
      </c>
    </row>
    <row r="2628" spans="1:14">
      <c r="A2628" s="67" t="s">
        <v>273</v>
      </c>
      <c r="B2628" s="68">
        <v>3.1863361498629699</v>
      </c>
      <c r="C2628" s="69">
        <v>4.0200000000000005</v>
      </c>
      <c r="D2628" s="70">
        <f t="shared" si="280"/>
        <v>6</v>
      </c>
      <c r="E2628" s="70">
        <f t="shared" si="281"/>
        <v>0.2</v>
      </c>
      <c r="F2628" s="70">
        <f t="shared" si="282"/>
        <v>3</v>
      </c>
      <c r="G2628" s="70">
        <f t="shared" si="283"/>
        <v>1.9214104785370982</v>
      </c>
      <c r="H2628" s="70">
        <f t="shared" si="284"/>
        <v>0.60000000000000009</v>
      </c>
      <c r="I2628" s="70">
        <f t="shared" si="285"/>
        <v>0</v>
      </c>
      <c r="J2628" s="70">
        <f t="shared" si="286"/>
        <v>0</v>
      </c>
      <c r="K2628" s="70">
        <f>IF(CurrentMtgRatesDataTable8[[#This Row],[WA CC]]&lt;&gt;0,C2627-CurrentMtgRatesDataTable8[[#This Row],[WA CC]],0)</f>
        <v>0</v>
      </c>
      <c r="L2628" s="70">
        <f>IF(CurrentMtgRatesDataTable8[[#This Row],[Servicing Spread]]&lt;=0,L2627,CurrentMtgRatesDataTable8[[#This Row],[Servicing Spread]])</f>
        <v>0.83946977676809009</v>
      </c>
      <c r="M2628" s="70">
        <f>CurrentMtgRatesDataTable8[[#This Row],[Servicing Spread Non-Zero]]-L2627</f>
        <v>0</v>
      </c>
      <c r="N2628" s="70">
        <f>IF(J2627&lt;&gt;0,CurrentMtgRatesDataTable8[[#This Row],[Rate]]-C2627,N2627)</f>
        <v>-1.9999999999999574E-2</v>
      </c>
    </row>
    <row r="2629" spans="1:14">
      <c r="A2629" s="67" t="s">
        <v>128</v>
      </c>
      <c r="B2629" s="68">
        <v>3.0965824543668101</v>
      </c>
      <c r="C2629" s="69">
        <v>4.0200000000000005</v>
      </c>
      <c r="D2629" s="70">
        <f t="shared" ref="D2629:D2692" si="287">WEEKDAY(A2629,14)</f>
        <v>7</v>
      </c>
      <c r="E2629" s="70">
        <f t="shared" ref="E2629:E2692" si="288">VLOOKUP(D2629,Q$5:R$11,2,FALSE)</f>
        <v>0.2</v>
      </c>
      <c r="F2629" s="70">
        <f t="shared" ref="F2629:F2692" si="289">IF(AND(D2629&gt;D2628,F2628&lt;6),F2628+1,1)</f>
        <v>4</v>
      </c>
      <c r="G2629" s="70">
        <f t="shared" ref="G2629:G2692" si="290">IF(F2629&gt;F2628,G2628+B2629*E2629,B2629*E2629)</f>
        <v>2.5407269694104602</v>
      </c>
      <c r="H2629" s="70">
        <f t="shared" ref="H2629:H2692" si="291">IF(AND(F2629&lt;6,F2629&gt;F2628),E2629+H2628,E2629)</f>
        <v>0.8</v>
      </c>
      <c r="I2629" s="70">
        <f t="shared" ref="I2629:I2692" si="292">IF(F2629&gt;F2630,1,0)</f>
        <v>1</v>
      </c>
      <c r="J2629" s="70">
        <f t="shared" ref="J2629:J2692" si="293">IF(F2629&gt;F2630,G2629/H2629,0)</f>
        <v>3.1759087117630749</v>
      </c>
      <c r="K2629" s="70">
        <f>IF(CurrentMtgRatesDataTable8[[#This Row],[WA CC]]&lt;&gt;0,C2628-CurrentMtgRatesDataTable8[[#This Row],[WA CC]],0)</f>
        <v>0.84409128823692559</v>
      </c>
      <c r="L2629" s="70">
        <f>IF(CurrentMtgRatesDataTable8[[#This Row],[Servicing Spread]]&lt;=0,L2628,CurrentMtgRatesDataTable8[[#This Row],[Servicing Spread]])</f>
        <v>0.84409128823692559</v>
      </c>
      <c r="M2629" s="70">
        <f>CurrentMtgRatesDataTable8[[#This Row],[Servicing Spread Non-Zero]]-L2628</f>
        <v>4.621511468835493E-3</v>
      </c>
      <c r="N2629" s="70">
        <f>IF(J2628&lt;&gt;0,CurrentMtgRatesDataTable8[[#This Row],[Rate]]-C2628,N2628)</f>
        <v>-1.9999999999999574E-2</v>
      </c>
    </row>
    <row r="2630" spans="1:14">
      <c r="A2630" s="67" t="s">
        <v>692</v>
      </c>
      <c r="B2630" s="68">
        <v>3.12360003836893</v>
      </c>
      <c r="C2630" s="69">
        <v>4.0149999999999997</v>
      </c>
      <c r="D2630" s="70">
        <f t="shared" si="287"/>
        <v>1</v>
      </c>
      <c r="E2630" s="70">
        <f t="shared" si="288"/>
        <v>0.2</v>
      </c>
      <c r="F2630" s="70">
        <f t="shared" si="289"/>
        <v>1</v>
      </c>
      <c r="G2630" s="70">
        <f t="shared" si="290"/>
        <v>0.62472000767378599</v>
      </c>
      <c r="H2630" s="70">
        <f t="shared" si="291"/>
        <v>0.2</v>
      </c>
      <c r="I2630" s="70">
        <f t="shared" si="292"/>
        <v>0</v>
      </c>
      <c r="J2630" s="70">
        <f t="shared" si="293"/>
        <v>0</v>
      </c>
      <c r="K2630" s="70">
        <f>IF(CurrentMtgRatesDataTable8[[#This Row],[WA CC]]&lt;&gt;0,C2629-CurrentMtgRatesDataTable8[[#This Row],[WA CC]],0)</f>
        <v>0</v>
      </c>
      <c r="L2630" s="70">
        <f>IF(CurrentMtgRatesDataTable8[[#This Row],[Servicing Spread]]&lt;=0,L2629,CurrentMtgRatesDataTable8[[#This Row],[Servicing Spread]])</f>
        <v>0.84409128823692559</v>
      </c>
      <c r="M2630" s="70">
        <f>CurrentMtgRatesDataTable8[[#This Row],[Servicing Spread Non-Zero]]-L2629</f>
        <v>0</v>
      </c>
      <c r="N2630" s="70">
        <f>IF(J2629&lt;&gt;0,CurrentMtgRatesDataTable8[[#This Row],[Rate]]-C2629,N2629)</f>
        <v>-5.0000000000007816E-3</v>
      </c>
    </row>
    <row r="2631" spans="1:14">
      <c r="A2631" s="67" t="s">
        <v>551</v>
      </c>
      <c r="B2631" s="68">
        <v>3.1327170492887499</v>
      </c>
      <c r="C2631" s="69">
        <v>4.0149999999999997</v>
      </c>
      <c r="D2631" s="70">
        <f t="shared" si="287"/>
        <v>2</v>
      </c>
      <c r="E2631" s="70">
        <f t="shared" si="288"/>
        <v>0.2</v>
      </c>
      <c r="F2631" s="70">
        <f t="shared" si="289"/>
        <v>2</v>
      </c>
      <c r="G2631" s="70">
        <f t="shared" si="290"/>
        <v>1.251263417531536</v>
      </c>
      <c r="H2631" s="70">
        <f t="shared" si="291"/>
        <v>0.4</v>
      </c>
      <c r="I2631" s="70">
        <f t="shared" si="292"/>
        <v>0</v>
      </c>
      <c r="J2631" s="70">
        <f t="shared" si="293"/>
        <v>0</v>
      </c>
      <c r="K2631" s="70">
        <f>IF(CurrentMtgRatesDataTable8[[#This Row],[WA CC]]&lt;&gt;0,C2630-CurrentMtgRatesDataTable8[[#This Row],[WA CC]],0)</f>
        <v>0</v>
      </c>
      <c r="L2631" s="70">
        <f>IF(CurrentMtgRatesDataTable8[[#This Row],[Servicing Spread]]&lt;=0,L2630,CurrentMtgRatesDataTable8[[#This Row],[Servicing Spread]])</f>
        <v>0.84409128823692559</v>
      </c>
      <c r="M2631" s="70">
        <f>CurrentMtgRatesDataTable8[[#This Row],[Servicing Spread Non-Zero]]-L2630</f>
        <v>0</v>
      </c>
      <c r="N2631" s="70">
        <f>IF(J2630&lt;&gt;0,CurrentMtgRatesDataTable8[[#This Row],[Rate]]-C2630,N2630)</f>
        <v>-5.0000000000007816E-3</v>
      </c>
    </row>
    <row r="2632" spans="1:14">
      <c r="A2632" s="67" t="s">
        <v>405</v>
      </c>
      <c r="B2632" s="68">
        <v>3.2077358231055602</v>
      </c>
      <c r="C2632" s="69">
        <v>4.0149999999999997</v>
      </c>
      <c r="D2632" s="70">
        <f t="shared" si="287"/>
        <v>5</v>
      </c>
      <c r="E2632" s="70">
        <f t="shared" si="288"/>
        <v>0.2</v>
      </c>
      <c r="F2632" s="70">
        <f t="shared" si="289"/>
        <v>3</v>
      </c>
      <c r="G2632" s="70">
        <f t="shared" si="290"/>
        <v>1.8928105821526482</v>
      </c>
      <c r="H2632" s="70">
        <f t="shared" si="291"/>
        <v>0.60000000000000009</v>
      </c>
      <c r="I2632" s="70">
        <f t="shared" si="292"/>
        <v>0</v>
      </c>
      <c r="J2632" s="70">
        <f t="shared" si="293"/>
        <v>0</v>
      </c>
      <c r="K2632" s="70">
        <f>IF(CurrentMtgRatesDataTable8[[#This Row],[WA CC]]&lt;&gt;0,C2631-CurrentMtgRatesDataTable8[[#This Row],[WA CC]],0)</f>
        <v>0</v>
      </c>
      <c r="L2632" s="70">
        <f>IF(CurrentMtgRatesDataTable8[[#This Row],[Servicing Spread]]&lt;=0,L2631,CurrentMtgRatesDataTable8[[#This Row],[Servicing Spread]])</f>
        <v>0.84409128823692559</v>
      </c>
      <c r="M2632" s="70">
        <f>CurrentMtgRatesDataTable8[[#This Row],[Servicing Spread Non-Zero]]-L2631</f>
        <v>0</v>
      </c>
      <c r="N2632" s="70">
        <f>IF(J2631&lt;&gt;0,CurrentMtgRatesDataTable8[[#This Row],[Rate]]-C2631,N2631)</f>
        <v>-5.0000000000007816E-3</v>
      </c>
    </row>
    <row r="2633" spans="1:14">
      <c r="A2633" s="67" t="s">
        <v>274</v>
      </c>
      <c r="B2633" s="68">
        <v>3.2594551208520199</v>
      </c>
      <c r="C2633" s="69">
        <v>4.0149999999999997</v>
      </c>
      <c r="D2633" s="70">
        <f t="shared" si="287"/>
        <v>6</v>
      </c>
      <c r="E2633" s="70">
        <f t="shared" si="288"/>
        <v>0.2</v>
      </c>
      <c r="F2633" s="70">
        <f t="shared" si="289"/>
        <v>4</v>
      </c>
      <c r="G2633" s="70">
        <f t="shared" si="290"/>
        <v>2.5447016063230521</v>
      </c>
      <c r="H2633" s="70">
        <f t="shared" si="291"/>
        <v>0.8</v>
      </c>
      <c r="I2633" s="70">
        <f t="shared" si="292"/>
        <v>0</v>
      </c>
      <c r="J2633" s="70">
        <f t="shared" si="293"/>
        <v>0</v>
      </c>
      <c r="K2633" s="70">
        <f>IF(CurrentMtgRatesDataTable8[[#This Row],[WA CC]]&lt;&gt;0,C2632-CurrentMtgRatesDataTable8[[#This Row],[WA CC]],0)</f>
        <v>0</v>
      </c>
      <c r="L2633" s="70">
        <f>IF(CurrentMtgRatesDataTable8[[#This Row],[Servicing Spread]]&lt;=0,L2632,CurrentMtgRatesDataTable8[[#This Row],[Servicing Spread]])</f>
        <v>0.84409128823692559</v>
      </c>
      <c r="M2633" s="70">
        <f>CurrentMtgRatesDataTable8[[#This Row],[Servicing Spread Non-Zero]]-L2632</f>
        <v>0</v>
      </c>
      <c r="N2633" s="70">
        <f>IF(J2632&lt;&gt;0,CurrentMtgRatesDataTable8[[#This Row],[Rate]]-C2632,N2632)</f>
        <v>-5.0000000000007816E-3</v>
      </c>
    </row>
    <row r="2634" spans="1:14">
      <c r="A2634" s="67" t="s">
        <v>129</v>
      </c>
      <c r="B2634" s="68">
        <v>3.2635254657079802</v>
      </c>
      <c r="C2634" s="69">
        <v>4.0149999999999997</v>
      </c>
      <c r="D2634" s="70">
        <f t="shared" si="287"/>
        <v>7</v>
      </c>
      <c r="E2634" s="70">
        <f t="shared" si="288"/>
        <v>0.2</v>
      </c>
      <c r="F2634" s="70">
        <f t="shared" si="289"/>
        <v>5</v>
      </c>
      <c r="G2634" s="70">
        <f t="shared" si="290"/>
        <v>3.197406699464648</v>
      </c>
      <c r="H2634" s="70">
        <f t="shared" si="291"/>
        <v>1</v>
      </c>
      <c r="I2634" s="70">
        <f t="shared" si="292"/>
        <v>1</v>
      </c>
      <c r="J2634" s="70">
        <f t="shared" si="293"/>
        <v>3.197406699464648</v>
      </c>
      <c r="K2634" s="70">
        <f>IF(CurrentMtgRatesDataTable8[[#This Row],[WA CC]]&lt;&gt;0,C2633-CurrentMtgRatesDataTable8[[#This Row],[WA CC]],0)</f>
        <v>0.81759330053535173</v>
      </c>
      <c r="L2634" s="70">
        <f>IF(CurrentMtgRatesDataTable8[[#This Row],[Servicing Spread]]&lt;=0,L2633,CurrentMtgRatesDataTable8[[#This Row],[Servicing Spread]])</f>
        <v>0.81759330053535173</v>
      </c>
      <c r="M2634" s="70">
        <f>CurrentMtgRatesDataTable8[[#This Row],[Servicing Spread Non-Zero]]-L2633</f>
        <v>-2.6497987701573855E-2</v>
      </c>
      <c r="N2634" s="70">
        <f>IF(J2633&lt;&gt;0,CurrentMtgRatesDataTable8[[#This Row],[Rate]]-C2633,N2633)</f>
        <v>-5.0000000000007816E-3</v>
      </c>
    </row>
    <row r="2635" spans="1:14">
      <c r="A2635" s="67" t="s">
        <v>693</v>
      </c>
      <c r="B2635" s="68">
        <v>3.2377628105001701</v>
      </c>
      <c r="C2635" s="69">
        <v>4.1000000000000005</v>
      </c>
      <c r="D2635" s="70">
        <f t="shared" si="287"/>
        <v>1</v>
      </c>
      <c r="E2635" s="70">
        <f t="shared" si="288"/>
        <v>0.2</v>
      </c>
      <c r="F2635" s="70">
        <f t="shared" si="289"/>
        <v>1</v>
      </c>
      <c r="G2635" s="70">
        <f t="shared" si="290"/>
        <v>0.64755256210003409</v>
      </c>
      <c r="H2635" s="70">
        <f t="shared" si="291"/>
        <v>0.2</v>
      </c>
      <c r="I2635" s="70">
        <f t="shared" si="292"/>
        <v>0</v>
      </c>
      <c r="J2635" s="70">
        <f t="shared" si="293"/>
        <v>0</v>
      </c>
      <c r="K2635" s="70">
        <f>IF(CurrentMtgRatesDataTable8[[#This Row],[WA CC]]&lt;&gt;0,C2634-CurrentMtgRatesDataTable8[[#This Row],[WA CC]],0)</f>
        <v>0</v>
      </c>
      <c r="L2635" s="70">
        <f>IF(CurrentMtgRatesDataTable8[[#This Row],[Servicing Spread]]&lt;=0,L2634,CurrentMtgRatesDataTable8[[#This Row],[Servicing Spread]])</f>
        <v>0.81759330053535173</v>
      </c>
      <c r="M2635" s="70">
        <f>CurrentMtgRatesDataTable8[[#This Row],[Servicing Spread Non-Zero]]-L2634</f>
        <v>0</v>
      </c>
      <c r="N2635" s="70">
        <f>IF(J2634&lt;&gt;0,CurrentMtgRatesDataTable8[[#This Row],[Rate]]-C2634,N2634)</f>
        <v>8.5000000000000853E-2</v>
      </c>
    </row>
    <row r="2636" spans="1:14">
      <c r="A2636" s="67" t="s">
        <v>552</v>
      </c>
      <c r="B2636" s="68">
        <v>3.24953377621733</v>
      </c>
      <c r="C2636" s="69">
        <v>4.1000000000000005</v>
      </c>
      <c r="D2636" s="70">
        <f t="shared" si="287"/>
        <v>2</v>
      </c>
      <c r="E2636" s="70">
        <f t="shared" si="288"/>
        <v>0.2</v>
      </c>
      <c r="F2636" s="70">
        <f t="shared" si="289"/>
        <v>2</v>
      </c>
      <c r="G2636" s="70">
        <f t="shared" si="290"/>
        <v>1.2974593173435003</v>
      </c>
      <c r="H2636" s="70">
        <f t="shared" si="291"/>
        <v>0.4</v>
      </c>
      <c r="I2636" s="70">
        <f t="shared" si="292"/>
        <v>0</v>
      </c>
      <c r="J2636" s="70">
        <f t="shared" si="293"/>
        <v>0</v>
      </c>
      <c r="K2636" s="70">
        <f>IF(CurrentMtgRatesDataTable8[[#This Row],[WA CC]]&lt;&gt;0,C2635-CurrentMtgRatesDataTable8[[#This Row],[WA CC]],0)</f>
        <v>0</v>
      </c>
      <c r="L2636" s="70">
        <f>IF(CurrentMtgRatesDataTable8[[#This Row],[Servicing Spread]]&lt;=0,L2635,CurrentMtgRatesDataTable8[[#This Row],[Servicing Spread]])</f>
        <v>0.81759330053535173</v>
      </c>
      <c r="M2636" s="70">
        <f>CurrentMtgRatesDataTable8[[#This Row],[Servicing Spread Non-Zero]]-L2635</f>
        <v>0</v>
      </c>
      <c r="N2636" s="70">
        <f>IF(J2635&lt;&gt;0,CurrentMtgRatesDataTable8[[#This Row],[Rate]]-C2635,N2635)</f>
        <v>8.5000000000000853E-2</v>
      </c>
    </row>
    <row r="2637" spans="1:14">
      <c r="A2637" s="67" t="s">
        <v>406</v>
      </c>
      <c r="B2637" s="68">
        <v>3.2647835350343399</v>
      </c>
      <c r="C2637" s="69">
        <v>4.1000000000000005</v>
      </c>
      <c r="D2637" s="70">
        <f t="shared" si="287"/>
        <v>5</v>
      </c>
      <c r="E2637" s="70">
        <f t="shared" si="288"/>
        <v>0.2</v>
      </c>
      <c r="F2637" s="70">
        <f t="shared" si="289"/>
        <v>3</v>
      </c>
      <c r="G2637" s="70">
        <f t="shared" si="290"/>
        <v>1.9504160243503683</v>
      </c>
      <c r="H2637" s="70">
        <f t="shared" si="291"/>
        <v>0.60000000000000009</v>
      </c>
      <c r="I2637" s="70">
        <f t="shared" si="292"/>
        <v>0</v>
      </c>
      <c r="J2637" s="70">
        <f t="shared" si="293"/>
        <v>0</v>
      </c>
      <c r="K2637" s="70">
        <f>IF(CurrentMtgRatesDataTable8[[#This Row],[WA CC]]&lt;&gt;0,C2636-CurrentMtgRatesDataTable8[[#This Row],[WA CC]],0)</f>
        <v>0</v>
      </c>
      <c r="L2637" s="70">
        <f>IF(CurrentMtgRatesDataTable8[[#This Row],[Servicing Spread]]&lt;=0,L2636,CurrentMtgRatesDataTable8[[#This Row],[Servicing Spread]])</f>
        <v>0.81759330053535173</v>
      </c>
      <c r="M2637" s="70">
        <f>CurrentMtgRatesDataTable8[[#This Row],[Servicing Spread Non-Zero]]-L2636</f>
        <v>0</v>
      </c>
      <c r="N2637" s="70">
        <f>IF(J2636&lt;&gt;0,CurrentMtgRatesDataTable8[[#This Row],[Rate]]-C2636,N2636)</f>
        <v>8.5000000000000853E-2</v>
      </c>
    </row>
    <row r="2638" spans="1:14">
      <c r="A2638" s="67" t="s">
        <v>275</v>
      </c>
      <c r="B2638" s="68">
        <v>3.2863723435874199</v>
      </c>
      <c r="C2638" s="69">
        <v>4.1000000000000005</v>
      </c>
      <c r="D2638" s="70">
        <f t="shared" si="287"/>
        <v>6</v>
      </c>
      <c r="E2638" s="70">
        <f t="shared" si="288"/>
        <v>0.2</v>
      </c>
      <c r="F2638" s="70">
        <f t="shared" si="289"/>
        <v>4</v>
      </c>
      <c r="G2638" s="70">
        <f t="shared" si="290"/>
        <v>2.6076904930678522</v>
      </c>
      <c r="H2638" s="70">
        <f t="shared" si="291"/>
        <v>0.8</v>
      </c>
      <c r="I2638" s="70">
        <f t="shared" si="292"/>
        <v>0</v>
      </c>
      <c r="J2638" s="70">
        <f t="shared" si="293"/>
        <v>0</v>
      </c>
      <c r="K2638" s="70">
        <f>IF(CurrentMtgRatesDataTable8[[#This Row],[WA CC]]&lt;&gt;0,C2637-CurrentMtgRatesDataTable8[[#This Row],[WA CC]],0)</f>
        <v>0</v>
      </c>
      <c r="L2638" s="70">
        <f>IF(CurrentMtgRatesDataTable8[[#This Row],[Servicing Spread]]&lt;=0,L2637,CurrentMtgRatesDataTable8[[#This Row],[Servicing Spread]])</f>
        <v>0.81759330053535173</v>
      </c>
      <c r="M2638" s="70">
        <f>CurrentMtgRatesDataTable8[[#This Row],[Servicing Spread Non-Zero]]-L2637</f>
        <v>0</v>
      </c>
      <c r="N2638" s="70">
        <f>IF(J2637&lt;&gt;0,CurrentMtgRatesDataTable8[[#This Row],[Rate]]-C2637,N2637)</f>
        <v>8.5000000000000853E-2</v>
      </c>
    </row>
    <row r="2639" spans="1:14">
      <c r="A2639" s="67" t="s">
        <v>130</v>
      </c>
      <c r="B2639" s="68">
        <v>3.2835967922496798</v>
      </c>
      <c r="C2639" s="69">
        <v>4.1000000000000005</v>
      </c>
      <c r="D2639" s="70">
        <f t="shared" si="287"/>
        <v>7</v>
      </c>
      <c r="E2639" s="70">
        <f t="shared" si="288"/>
        <v>0.2</v>
      </c>
      <c r="F2639" s="70">
        <f t="shared" si="289"/>
        <v>5</v>
      </c>
      <c r="G2639" s="70">
        <f t="shared" si="290"/>
        <v>3.2644098515177884</v>
      </c>
      <c r="H2639" s="70">
        <f t="shared" si="291"/>
        <v>1</v>
      </c>
      <c r="I2639" s="70">
        <f t="shared" si="292"/>
        <v>1</v>
      </c>
      <c r="J2639" s="70">
        <f t="shared" si="293"/>
        <v>3.2644098515177884</v>
      </c>
      <c r="K2639" s="70">
        <f>IF(CurrentMtgRatesDataTable8[[#This Row],[WA CC]]&lt;&gt;0,C2638-CurrentMtgRatesDataTable8[[#This Row],[WA CC]],0)</f>
        <v>0.83559014848221214</v>
      </c>
      <c r="L2639" s="70">
        <f>IF(CurrentMtgRatesDataTable8[[#This Row],[Servicing Spread]]&lt;=0,L2638,CurrentMtgRatesDataTable8[[#This Row],[Servicing Spread]])</f>
        <v>0.83559014848221214</v>
      </c>
      <c r="M2639" s="70">
        <f>CurrentMtgRatesDataTable8[[#This Row],[Servicing Spread Non-Zero]]-L2638</f>
        <v>1.7996847946860406E-2</v>
      </c>
      <c r="N2639" s="70">
        <f>IF(J2638&lt;&gt;0,CurrentMtgRatesDataTable8[[#This Row],[Rate]]-C2638,N2638)</f>
        <v>8.5000000000000853E-2</v>
      </c>
    </row>
    <row r="2640" spans="1:14">
      <c r="A2640" s="67" t="s">
        <v>694</v>
      </c>
      <c r="B2640" s="68">
        <v>3.2368252535266899</v>
      </c>
      <c r="C2640" s="69">
        <v>4.07</v>
      </c>
      <c r="D2640" s="70">
        <f t="shared" si="287"/>
        <v>1</v>
      </c>
      <c r="E2640" s="70">
        <f t="shared" si="288"/>
        <v>0.2</v>
      </c>
      <c r="F2640" s="70">
        <f t="shared" si="289"/>
        <v>1</v>
      </c>
      <c r="G2640" s="70">
        <f t="shared" si="290"/>
        <v>0.64736505070533801</v>
      </c>
      <c r="H2640" s="70">
        <f t="shared" si="291"/>
        <v>0.2</v>
      </c>
      <c r="I2640" s="70">
        <f t="shared" si="292"/>
        <v>0</v>
      </c>
      <c r="J2640" s="70">
        <f t="shared" si="293"/>
        <v>0</v>
      </c>
      <c r="K2640" s="70">
        <f>IF(CurrentMtgRatesDataTable8[[#This Row],[WA CC]]&lt;&gt;0,C2639-CurrentMtgRatesDataTable8[[#This Row],[WA CC]],0)</f>
        <v>0</v>
      </c>
      <c r="L2640" s="70">
        <f>IF(CurrentMtgRatesDataTable8[[#This Row],[Servicing Spread]]&lt;=0,L2639,CurrentMtgRatesDataTable8[[#This Row],[Servicing Spread]])</f>
        <v>0.83559014848221214</v>
      </c>
      <c r="M2640" s="70">
        <f>CurrentMtgRatesDataTable8[[#This Row],[Servicing Spread Non-Zero]]-L2639</f>
        <v>0</v>
      </c>
      <c r="N2640" s="70">
        <f>IF(J2639&lt;&gt;0,CurrentMtgRatesDataTable8[[#This Row],[Rate]]-C2639,N2639)</f>
        <v>-3.0000000000000249E-2</v>
      </c>
    </row>
    <row r="2641" spans="1:14">
      <c r="A2641" s="67" t="s">
        <v>553</v>
      </c>
      <c r="B2641" s="68">
        <v>3.2532056158969298</v>
      </c>
      <c r="C2641" s="69">
        <v>4.07</v>
      </c>
      <c r="D2641" s="70">
        <f t="shared" si="287"/>
        <v>2</v>
      </c>
      <c r="E2641" s="70">
        <f t="shared" si="288"/>
        <v>0.2</v>
      </c>
      <c r="F2641" s="70">
        <f t="shared" si="289"/>
        <v>2</v>
      </c>
      <c r="G2641" s="70">
        <f t="shared" si="290"/>
        <v>1.2980061738847239</v>
      </c>
      <c r="H2641" s="70">
        <f t="shared" si="291"/>
        <v>0.4</v>
      </c>
      <c r="I2641" s="70">
        <f t="shared" si="292"/>
        <v>0</v>
      </c>
      <c r="J2641" s="70">
        <f t="shared" si="293"/>
        <v>0</v>
      </c>
      <c r="K2641" s="70">
        <f>IF(CurrentMtgRatesDataTable8[[#This Row],[WA CC]]&lt;&gt;0,C2640-CurrentMtgRatesDataTable8[[#This Row],[WA CC]],0)</f>
        <v>0</v>
      </c>
      <c r="L2641" s="70">
        <f>IF(CurrentMtgRatesDataTable8[[#This Row],[Servicing Spread]]&lt;=0,L2640,CurrentMtgRatesDataTable8[[#This Row],[Servicing Spread]])</f>
        <v>0.83559014848221214</v>
      </c>
      <c r="M2641" s="70">
        <f>CurrentMtgRatesDataTable8[[#This Row],[Servicing Spread Non-Zero]]-L2640</f>
        <v>0</v>
      </c>
      <c r="N2641" s="70">
        <f>IF(J2640&lt;&gt;0,CurrentMtgRatesDataTable8[[#This Row],[Rate]]-C2640,N2640)</f>
        <v>-3.0000000000000249E-2</v>
      </c>
    </row>
    <row r="2642" spans="1:14">
      <c r="A2642" s="67" t="s">
        <v>407</v>
      </c>
      <c r="B2642" s="68">
        <v>3.2401980086341502</v>
      </c>
      <c r="C2642" s="69">
        <v>4.07</v>
      </c>
      <c r="D2642" s="70">
        <f t="shared" si="287"/>
        <v>5</v>
      </c>
      <c r="E2642" s="70">
        <f t="shared" si="288"/>
        <v>0.2</v>
      </c>
      <c r="F2642" s="70">
        <f t="shared" si="289"/>
        <v>3</v>
      </c>
      <c r="G2642" s="70">
        <f t="shared" si="290"/>
        <v>1.9460457756115539</v>
      </c>
      <c r="H2642" s="70">
        <f t="shared" si="291"/>
        <v>0.60000000000000009</v>
      </c>
      <c r="I2642" s="70">
        <f t="shared" si="292"/>
        <v>0</v>
      </c>
      <c r="J2642" s="70">
        <f t="shared" si="293"/>
        <v>0</v>
      </c>
      <c r="K2642" s="70">
        <f>IF(CurrentMtgRatesDataTable8[[#This Row],[WA CC]]&lt;&gt;0,C2641-CurrentMtgRatesDataTable8[[#This Row],[WA CC]],0)</f>
        <v>0</v>
      </c>
      <c r="L2642" s="70">
        <f>IF(CurrentMtgRatesDataTable8[[#This Row],[Servicing Spread]]&lt;=0,L2641,CurrentMtgRatesDataTable8[[#This Row],[Servicing Spread]])</f>
        <v>0.83559014848221214</v>
      </c>
      <c r="M2642" s="70">
        <f>CurrentMtgRatesDataTable8[[#This Row],[Servicing Spread Non-Zero]]-L2641</f>
        <v>0</v>
      </c>
      <c r="N2642" s="70">
        <f>IF(J2641&lt;&gt;0,CurrentMtgRatesDataTable8[[#This Row],[Rate]]-C2641,N2641)</f>
        <v>-3.0000000000000249E-2</v>
      </c>
    </row>
    <row r="2643" spans="1:14">
      <c r="A2643" s="67" t="s">
        <v>276</v>
      </c>
      <c r="B2643" s="68">
        <v>3.2955237008358602</v>
      </c>
      <c r="C2643" s="69">
        <v>4.07</v>
      </c>
      <c r="D2643" s="70">
        <f t="shared" si="287"/>
        <v>6</v>
      </c>
      <c r="E2643" s="70">
        <f t="shared" si="288"/>
        <v>0.2</v>
      </c>
      <c r="F2643" s="70">
        <f t="shared" si="289"/>
        <v>4</v>
      </c>
      <c r="G2643" s="70">
        <f t="shared" si="290"/>
        <v>2.605150515778726</v>
      </c>
      <c r="H2643" s="70">
        <f t="shared" si="291"/>
        <v>0.8</v>
      </c>
      <c r="I2643" s="70">
        <f t="shared" si="292"/>
        <v>0</v>
      </c>
      <c r="J2643" s="70">
        <f t="shared" si="293"/>
        <v>0</v>
      </c>
      <c r="K2643" s="70">
        <f>IF(CurrentMtgRatesDataTable8[[#This Row],[WA CC]]&lt;&gt;0,C2642-CurrentMtgRatesDataTable8[[#This Row],[WA CC]],0)</f>
        <v>0</v>
      </c>
      <c r="L2643" s="70">
        <f>IF(CurrentMtgRatesDataTable8[[#This Row],[Servicing Spread]]&lt;=0,L2642,CurrentMtgRatesDataTable8[[#This Row],[Servicing Spread]])</f>
        <v>0.83559014848221214</v>
      </c>
      <c r="M2643" s="70">
        <f>CurrentMtgRatesDataTable8[[#This Row],[Servicing Spread Non-Zero]]-L2642</f>
        <v>0</v>
      </c>
      <c r="N2643" s="70">
        <f>IF(J2642&lt;&gt;0,CurrentMtgRatesDataTable8[[#This Row],[Rate]]-C2642,N2642)</f>
        <v>-3.0000000000000249E-2</v>
      </c>
    </row>
    <row r="2644" spans="1:14">
      <c r="A2644" s="67" t="s">
        <v>131</v>
      </c>
      <c r="B2644" s="68">
        <v>3.2554507349207298</v>
      </c>
      <c r="C2644" s="69">
        <v>4.07</v>
      </c>
      <c r="D2644" s="70">
        <f t="shared" si="287"/>
        <v>7</v>
      </c>
      <c r="E2644" s="70">
        <f t="shared" si="288"/>
        <v>0.2</v>
      </c>
      <c r="F2644" s="70">
        <f t="shared" si="289"/>
        <v>5</v>
      </c>
      <c r="G2644" s="70">
        <f t="shared" si="290"/>
        <v>3.2562406627628722</v>
      </c>
      <c r="H2644" s="70">
        <f t="shared" si="291"/>
        <v>1</v>
      </c>
      <c r="I2644" s="70">
        <f t="shared" si="292"/>
        <v>1</v>
      </c>
      <c r="J2644" s="70">
        <f t="shared" si="293"/>
        <v>3.2562406627628722</v>
      </c>
      <c r="K2644" s="70">
        <f>IF(CurrentMtgRatesDataTable8[[#This Row],[WA CC]]&lt;&gt;0,C2643-CurrentMtgRatesDataTable8[[#This Row],[WA CC]],0)</f>
        <v>0.81375933723712812</v>
      </c>
      <c r="L2644" s="70">
        <f>IF(CurrentMtgRatesDataTable8[[#This Row],[Servicing Spread]]&lt;=0,L2643,CurrentMtgRatesDataTable8[[#This Row],[Servicing Spread]])</f>
        <v>0.81375933723712812</v>
      </c>
      <c r="M2644" s="70">
        <f>CurrentMtgRatesDataTable8[[#This Row],[Servicing Spread Non-Zero]]-L2643</f>
        <v>-2.1830811245084014E-2</v>
      </c>
      <c r="N2644" s="70">
        <f>IF(J2643&lt;&gt;0,CurrentMtgRatesDataTable8[[#This Row],[Rate]]-C2643,N2643)</f>
        <v>-3.0000000000000249E-2</v>
      </c>
    </row>
    <row r="2645" spans="1:14">
      <c r="A2645" s="67" t="s">
        <v>695</v>
      </c>
      <c r="B2645" s="68">
        <v>3.2406996477189098</v>
      </c>
      <c r="C2645" s="69">
        <v>4.0149999999999997</v>
      </c>
      <c r="D2645" s="70">
        <f t="shared" si="287"/>
        <v>1</v>
      </c>
      <c r="E2645" s="70">
        <f t="shared" si="288"/>
        <v>0.2</v>
      </c>
      <c r="F2645" s="70">
        <f t="shared" si="289"/>
        <v>1</v>
      </c>
      <c r="G2645" s="70">
        <f t="shared" si="290"/>
        <v>0.64813992954378197</v>
      </c>
      <c r="H2645" s="70">
        <f t="shared" si="291"/>
        <v>0.2</v>
      </c>
      <c r="I2645" s="70">
        <f t="shared" si="292"/>
        <v>0</v>
      </c>
      <c r="J2645" s="70">
        <f t="shared" si="293"/>
        <v>0</v>
      </c>
      <c r="K2645" s="70">
        <f>IF(CurrentMtgRatesDataTable8[[#This Row],[WA CC]]&lt;&gt;0,C2644-CurrentMtgRatesDataTable8[[#This Row],[WA CC]],0)</f>
        <v>0</v>
      </c>
      <c r="L2645" s="70">
        <f>IF(CurrentMtgRatesDataTable8[[#This Row],[Servicing Spread]]&lt;=0,L2644,CurrentMtgRatesDataTable8[[#This Row],[Servicing Spread]])</f>
        <v>0.81375933723712812</v>
      </c>
      <c r="M2645" s="70">
        <f>CurrentMtgRatesDataTable8[[#This Row],[Servicing Spread Non-Zero]]-L2644</f>
        <v>0</v>
      </c>
      <c r="N2645" s="70">
        <f>IF(J2644&lt;&gt;0,CurrentMtgRatesDataTable8[[#This Row],[Rate]]-C2644,N2644)</f>
        <v>-5.5000000000000604E-2</v>
      </c>
    </row>
    <row r="2646" spans="1:14">
      <c r="A2646" s="67" t="s">
        <v>554</v>
      </c>
      <c r="B2646" s="68">
        <v>3.2387092672418598</v>
      </c>
      <c r="C2646" s="69">
        <v>4.0149999999999997</v>
      </c>
      <c r="D2646" s="70">
        <f t="shared" si="287"/>
        <v>2</v>
      </c>
      <c r="E2646" s="70">
        <f t="shared" si="288"/>
        <v>0.2</v>
      </c>
      <c r="F2646" s="70">
        <f t="shared" si="289"/>
        <v>2</v>
      </c>
      <c r="G2646" s="70">
        <f t="shared" si="290"/>
        <v>1.2958817829921538</v>
      </c>
      <c r="H2646" s="70">
        <f t="shared" si="291"/>
        <v>0.4</v>
      </c>
      <c r="I2646" s="70">
        <f t="shared" si="292"/>
        <v>0</v>
      </c>
      <c r="J2646" s="70">
        <f t="shared" si="293"/>
        <v>0</v>
      </c>
      <c r="K2646" s="70">
        <f>IF(CurrentMtgRatesDataTable8[[#This Row],[WA CC]]&lt;&gt;0,C2645-CurrentMtgRatesDataTable8[[#This Row],[WA CC]],0)</f>
        <v>0</v>
      </c>
      <c r="L2646" s="70">
        <f>IF(CurrentMtgRatesDataTable8[[#This Row],[Servicing Spread]]&lt;=0,L2645,CurrentMtgRatesDataTable8[[#This Row],[Servicing Spread]])</f>
        <v>0.81375933723712812</v>
      </c>
      <c r="M2646" s="70">
        <f>CurrentMtgRatesDataTable8[[#This Row],[Servicing Spread Non-Zero]]-L2645</f>
        <v>0</v>
      </c>
      <c r="N2646" s="70">
        <f>IF(J2645&lt;&gt;0,CurrentMtgRatesDataTable8[[#This Row],[Rate]]-C2645,N2645)</f>
        <v>-5.5000000000000604E-2</v>
      </c>
    </row>
    <row r="2647" spans="1:14">
      <c r="A2647" s="67" t="s">
        <v>408</v>
      </c>
      <c r="B2647" s="68">
        <v>3.2420059350164898</v>
      </c>
      <c r="C2647" s="69">
        <v>4.0149999999999997</v>
      </c>
      <c r="D2647" s="70">
        <f t="shared" si="287"/>
        <v>5</v>
      </c>
      <c r="E2647" s="70">
        <f t="shared" si="288"/>
        <v>0.2</v>
      </c>
      <c r="F2647" s="70">
        <f t="shared" si="289"/>
        <v>3</v>
      </c>
      <c r="G2647" s="70">
        <f t="shared" si="290"/>
        <v>1.9442829699954518</v>
      </c>
      <c r="H2647" s="70">
        <f t="shared" si="291"/>
        <v>0.60000000000000009</v>
      </c>
      <c r="I2647" s="70">
        <f t="shared" si="292"/>
        <v>0</v>
      </c>
      <c r="J2647" s="70">
        <f t="shared" si="293"/>
        <v>0</v>
      </c>
      <c r="K2647" s="70">
        <f>IF(CurrentMtgRatesDataTable8[[#This Row],[WA CC]]&lt;&gt;0,C2646-CurrentMtgRatesDataTable8[[#This Row],[WA CC]],0)</f>
        <v>0</v>
      </c>
      <c r="L2647" s="70">
        <f>IF(CurrentMtgRatesDataTable8[[#This Row],[Servicing Spread]]&lt;=0,L2646,CurrentMtgRatesDataTable8[[#This Row],[Servicing Spread]])</f>
        <v>0.81375933723712812</v>
      </c>
      <c r="M2647" s="70">
        <f>CurrentMtgRatesDataTable8[[#This Row],[Servicing Spread Non-Zero]]-L2646</f>
        <v>0</v>
      </c>
      <c r="N2647" s="70">
        <f>IF(J2646&lt;&gt;0,CurrentMtgRatesDataTable8[[#This Row],[Rate]]-C2646,N2646)</f>
        <v>-5.5000000000000604E-2</v>
      </c>
    </row>
    <row r="2648" spans="1:14">
      <c r="A2648" s="67" t="s">
        <v>277</v>
      </c>
      <c r="B2648" s="68">
        <v>3.2180523990892298</v>
      </c>
      <c r="C2648" s="69">
        <v>4.0149999999999997</v>
      </c>
      <c r="D2648" s="70">
        <f t="shared" si="287"/>
        <v>6</v>
      </c>
      <c r="E2648" s="70">
        <f t="shared" si="288"/>
        <v>0.2</v>
      </c>
      <c r="F2648" s="70">
        <f t="shared" si="289"/>
        <v>4</v>
      </c>
      <c r="G2648" s="70">
        <f t="shared" si="290"/>
        <v>2.5878934498132979</v>
      </c>
      <c r="H2648" s="70">
        <f t="shared" si="291"/>
        <v>0.8</v>
      </c>
      <c r="I2648" s="70">
        <f t="shared" si="292"/>
        <v>0</v>
      </c>
      <c r="J2648" s="70">
        <f t="shared" si="293"/>
        <v>0</v>
      </c>
      <c r="K2648" s="70">
        <f>IF(CurrentMtgRatesDataTable8[[#This Row],[WA CC]]&lt;&gt;0,C2647-CurrentMtgRatesDataTable8[[#This Row],[WA CC]],0)</f>
        <v>0</v>
      </c>
      <c r="L2648" s="70">
        <f>IF(CurrentMtgRatesDataTable8[[#This Row],[Servicing Spread]]&lt;=0,L2647,CurrentMtgRatesDataTable8[[#This Row],[Servicing Spread]])</f>
        <v>0.81375933723712812</v>
      </c>
      <c r="M2648" s="70">
        <f>CurrentMtgRatesDataTable8[[#This Row],[Servicing Spread Non-Zero]]-L2647</f>
        <v>0</v>
      </c>
      <c r="N2648" s="70">
        <f>IF(J2647&lt;&gt;0,CurrentMtgRatesDataTable8[[#This Row],[Rate]]-C2647,N2647)</f>
        <v>-5.5000000000000604E-2</v>
      </c>
    </row>
    <row r="2649" spans="1:14">
      <c r="A2649" s="67" t="s">
        <v>132</v>
      </c>
      <c r="B2649" s="68">
        <v>3.1948973800231402</v>
      </c>
      <c r="C2649" s="69">
        <v>4.0149999999999997</v>
      </c>
      <c r="D2649" s="70">
        <f t="shared" si="287"/>
        <v>7</v>
      </c>
      <c r="E2649" s="70">
        <f t="shared" si="288"/>
        <v>0.2</v>
      </c>
      <c r="F2649" s="70">
        <f t="shared" si="289"/>
        <v>5</v>
      </c>
      <c r="G2649" s="70">
        <f t="shared" si="290"/>
        <v>3.2268729258179261</v>
      </c>
      <c r="H2649" s="70">
        <f t="shared" si="291"/>
        <v>1</v>
      </c>
      <c r="I2649" s="70">
        <f t="shared" si="292"/>
        <v>1</v>
      </c>
      <c r="J2649" s="70">
        <f t="shared" si="293"/>
        <v>3.2268729258179261</v>
      </c>
      <c r="K2649" s="70">
        <f>IF(CurrentMtgRatesDataTable8[[#This Row],[WA CC]]&lt;&gt;0,C2648-CurrentMtgRatesDataTable8[[#This Row],[WA CC]],0)</f>
        <v>0.78812707418207362</v>
      </c>
      <c r="L2649" s="70">
        <f>IF(CurrentMtgRatesDataTable8[[#This Row],[Servicing Spread]]&lt;=0,L2648,CurrentMtgRatesDataTable8[[#This Row],[Servicing Spread]])</f>
        <v>0.78812707418207362</v>
      </c>
      <c r="M2649" s="70">
        <f>CurrentMtgRatesDataTable8[[#This Row],[Servicing Spread Non-Zero]]-L2648</f>
        <v>-2.5632263055054505E-2</v>
      </c>
      <c r="N2649" s="70">
        <f>IF(J2648&lt;&gt;0,CurrentMtgRatesDataTable8[[#This Row],[Rate]]-C2648,N2648)</f>
        <v>-5.5000000000000604E-2</v>
      </c>
    </row>
    <row r="2650" spans="1:14">
      <c r="A2650" s="67" t="s">
        <v>696</v>
      </c>
      <c r="B2650" s="68">
        <v>3.1705026484021301</v>
      </c>
      <c r="C2650" s="69">
        <v>3.9950000000000001</v>
      </c>
      <c r="D2650" s="70">
        <f t="shared" si="287"/>
        <v>1</v>
      </c>
      <c r="E2650" s="70">
        <f t="shared" si="288"/>
        <v>0.2</v>
      </c>
      <c r="F2650" s="70">
        <f t="shared" si="289"/>
        <v>1</v>
      </c>
      <c r="G2650" s="70">
        <f t="shared" si="290"/>
        <v>0.63410052968042607</v>
      </c>
      <c r="H2650" s="70">
        <f t="shared" si="291"/>
        <v>0.2</v>
      </c>
      <c r="I2650" s="70">
        <f t="shared" si="292"/>
        <v>0</v>
      </c>
      <c r="J2650" s="70">
        <f t="shared" si="293"/>
        <v>0</v>
      </c>
      <c r="K2650" s="70">
        <f>IF(CurrentMtgRatesDataTable8[[#This Row],[WA CC]]&lt;&gt;0,C2649-CurrentMtgRatesDataTable8[[#This Row],[WA CC]],0)</f>
        <v>0</v>
      </c>
      <c r="L2650" s="70">
        <f>IF(CurrentMtgRatesDataTable8[[#This Row],[Servicing Spread]]&lt;=0,L2649,CurrentMtgRatesDataTable8[[#This Row],[Servicing Spread]])</f>
        <v>0.78812707418207362</v>
      </c>
      <c r="M2650" s="70">
        <f>CurrentMtgRatesDataTable8[[#This Row],[Servicing Spread Non-Zero]]-L2649</f>
        <v>0</v>
      </c>
      <c r="N2650" s="70">
        <f>IF(J2649&lt;&gt;0,CurrentMtgRatesDataTable8[[#This Row],[Rate]]-C2649,N2649)</f>
        <v>-1.9999999999999574E-2</v>
      </c>
    </row>
    <row r="2651" spans="1:14">
      <c r="A2651" s="67" t="s">
        <v>555</v>
      </c>
      <c r="B2651" s="68">
        <v>3.1723768258530498</v>
      </c>
      <c r="C2651" s="69">
        <v>3.9950000000000001</v>
      </c>
      <c r="D2651" s="70">
        <f t="shared" si="287"/>
        <v>2</v>
      </c>
      <c r="E2651" s="70">
        <f t="shared" si="288"/>
        <v>0.2</v>
      </c>
      <c r="F2651" s="70">
        <f t="shared" si="289"/>
        <v>2</v>
      </c>
      <c r="G2651" s="70">
        <f t="shared" si="290"/>
        <v>1.2685758948510362</v>
      </c>
      <c r="H2651" s="70">
        <f t="shared" si="291"/>
        <v>0.4</v>
      </c>
      <c r="I2651" s="70">
        <f t="shared" si="292"/>
        <v>0</v>
      </c>
      <c r="J2651" s="70">
        <f t="shared" si="293"/>
        <v>0</v>
      </c>
      <c r="K2651" s="70">
        <f>IF(CurrentMtgRatesDataTable8[[#This Row],[WA CC]]&lt;&gt;0,C2650-CurrentMtgRatesDataTable8[[#This Row],[WA CC]],0)</f>
        <v>0</v>
      </c>
      <c r="L2651" s="70">
        <f>IF(CurrentMtgRatesDataTable8[[#This Row],[Servicing Spread]]&lt;=0,L2650,CurrentMtgRatesDataTable8[[#This Row],[Servicing Spread]])</f>
        <v>0.78812707418207362</v>
      </c>
      <c r="M2651" s="70">
        <f>CurrentMtgRatesDataTable8[[#This Row],[Servicing Spread Non-Zero]]-L2650</f>
        <v>0</v>
      </c>
      <c r="N2651" s="70">
        <f>IF(J2650&lt;&gt;0,CurrentMtgRatesDataTable8[[#This Row],[Rate]]-C2650,N2650)</f>
        <v>-1.9999999999999574E-2</v>
      </c>
    </row>
    <row r="2652" spans="1:14">
      <c r="A2652" s="67" t="s">
        <v>409</v>
      </c>
      <c r="B2652" s="68">
        <v>3.16005861973392</v>
      </c>
      <c r="C2652" s="69">
        <v>3.9950000000000001</v>
      </c>
      <c r="D2652" s="70">
        <f t="shared" si="287"/>
        <v>5</v>
      </c>
      <c r="E2652" s="70">
        <f t="shared" si="288"/>
        <v>0.2</v>
      </c>
      <c r="F2652" s="70">
        <f t="shared" si="289"/>
        <v>3</v>
      </c>
      <c r="G2652" s="70">
        <f t="shared" si="290"/>
        <v>1.9005876187978203</v>
      </c>
      <c r="H2652" s="70">
        <f t="shared" si="291"/>
        <v>0.60000000000000009</v>
      </c>
      <c r="I2652" s="70">
        <f t="shared" si="292"/>
        <v>0</v>
      </c>
      <c r="J2652" s="70">
        <f t="shared" si="293"/>
        <v>0</v>
      </c>
      <c r="K2652" s="70">
        <f>IF(CurrentMtgRatesDataTable8[[#This Row],[WA CC]]&lt;&gt;0,C2651-CurrentMtgRatesDataTable8[[#This Row],[WA CC]],0)</f>
        <v>0</v>
      </c>
      <c r="L2652" s="70">
        <f>IF(CurrentMtgRatesDataTable8[[#This Row],[Servicing Spread]]&lt;=0,L2651,CurrentMtgRatesDataTable8[[#This Row],[Servicing Spread]])</f>
        <v>0.78812707418207362</v>
      </c>
      <c r="M2652" s="70">
        <f>CurrentMtgRatesDataTable8[[#This Row],[Servicing Spread Non-Zero]]-L2651</f>
        <v>0</v>
      </c>
      <c r="N2652" s="70">
        <f>IF(J2651&lt;&gt;0,CurrentMtgRatesDataTable8[[#This Row],[Rate]]-C2651,N2651)</f>
        <v>-1.9999999999999574E-2</v>
      </c>
    </row>
    <row r="2653" spans="1:14">
      <c r="A2653" s="67" t="s">
        <v>278</v>
      </c>
      <c r="B2653" s="68">
        <v>3.2107808202984001</v>
      </c>
      <c r="C2653" s="69">
        <v>3.9950000000000001</v>
      </c>
      <c r="D2653" s="70">
        <f t="shared" si="287"/>
        <v>6</v>
      </c>
      <c r="E2653" s="70">
        <f t="shared" si="288"/>
        <v>0.2</v>
      </c>
      <c r="F2653" s="70">
        <f t="shared" si="289"/>
        <v>4</v>
      </c>
      <c r="G2653" s="70">
        <f t="shared" si="290"/>
        <v>2.5427437828575004</v>
      </c>
      <c r="H2653" s="70">
        <f t="shared" si="291"/>
        <v>0.8</v>
      </c>
      <c r="I2653" s="70">
        <f t="shared" si="292"/>
        <v>0</v>
      </c>
      <c r="J2653" s="70">
        <f t="shared" si="293"/>
        <v>0</v>
      </c>
      <c r="K2653" s="70">
        <f>IF(CurrentMtgRatesDataTable8[[#This Row],[WA CC]]&lt;&gt;0,C2652-CurrentMtgRatesDataTable8[[#This Row],[WA CC]],0)</f>
        <v>0</v>
      </c>
      <c r="L2653" s="70">
        <f>IF(CurrentMtgRatesDataTable8[[#This Row],[Servicing Spread]]&lt;=0,L2652,CurrentMtgRatesDataTable8[[#This Row],[Servicing Spread]])</f>
        <v>0.78812707418207362</v>
      </c>
      <c r="M2653" s="70">
        <f>CurrentMtgRatesDataTable8[[#This Row],[Servicing Spread Non-Zero]]-L2652</f>
        <v>0</v>
      </c>
      <c r="N2653" s="70">
        <f>IF(J2652&lt;&gt;0,CurrentMtgRatesDataTable8[[#This Row],[Rate]]-C2652,N2652)</f>
        <v>-1.9999999999999574E-2</v>
      </c>
    </row>
    <row r="2654" spans="1:14">
      <c r="A2654" s="67" t="s">
        <v>133</v>
      </c>
      <c r="B2654" s="68">
        <v>3.25804857470149</v>
      </c>
      <c r="C2654" s="69">
        <v>3.9950000000000001</v>
      </c>
      <c r="D2654" s="70">
        <f t="shared" si="287"/>
        <v>7</v>
      </c>
      <c r="E2654" s="70">
        <f t="shared" si="288"/>
        <v>0.2</v>
      </c>
      <c r="F2654" s="70">
        <f t="shared" si="289"/>
        <v>5</v>
      </c>
      <c r="G2654" s="70">
        <f t="shared" si="290"/>
        <v>3.1943534977977985</v>
      </c>
      <c r="H2654" s="70">
        <f t="shared" si="291"/>
        <v>1</v>
      </c>
      <c r="I2654" s="70">
        <f t="shared" si="292"/>
        <v>1</v>
      </c>
      <c r="J2654" s="70">
        <f t="shared" si="293"/>
        <v>3.1943534977977985</v>
      </c>
      <c r="K2654" s="70">
        <f>IF(CurrentMtgRatesDataTable8[[#This Row],[WA CC]]&lt;&gt;0,C2653-CurrentMtgRatesDataTable8[[#This Row],[WA CC]],0)</f>
        <v>0.80064650220220157</v>
      </c>
      <c r="L2654" s="70">
        <f>IF(CurrentMtgRatesDataTable8[[#This Row],[Servicing Spread]]&lt;=0,L2653,CurrentMtgRatesDataTable8[[#This Row],[Servicing Spread]])</f>
        <v>0.80064650220220157</v>
      </c>
      <c r="M2654" s="70">
        <f>CurrentMtgRatesDataTable8[[#This Row],[Servicing Spread Non-Zero]]-L2653</f>
        <v>1.2519428020127954E-2</v>
      </c>
      <c r="N2654" s="70">
        <f>IF(J2653&lt;&gt;0,CurrentMtgRatesDataTable8[[#This Row],[Rate]]-C2653,N2653)</f>
        <v>-1.9999999999999574E-2</v>
      </c>
    </row>
    <row r="2655" spans="1:14">
      <c r="A2655" s="67" t="s">
        <v>697</v>
      </c>
      <c r="B2655" s="68">
        <v>3.2816971853818702</v>
      </c>
      <c r="C2655" s="69">
        <v>4.0750000000000002</v>
      </c>
      <c r="D2655" s="70">
        <f t="shared" si="287"/>
        <v>1</v>
      </c>
      <c r="E2655" s="70">
        <f t="shared" si="288"/>
        <v>0.2</v>
      </c>
      <c r="F2655" s="70">
        <f t="shared" si="289"/>
        <v>1</v>
      </c>
      <c r="G2655" s="70">
        <f t="shared" si="290"/>
        <v>0.6563394370763741</v>
      </c>
      <c r="H2655" s="70">
        <f t="shared" si="291"/>
        <v>0.2</v>
      </c>
      <c r="I2655" s="70">
        <f t="shared" si="292"/>
        <v>0</v>
      </c>
      <c r="J2655" s="70">
        <f t="shared" si="293"/>
        <v>0</v>
      </c>
      <c r="K2655" s="70">
        <f>IF(CurrentMtgRatesDataTable8[[#This Row],[WA CC]]&lt;&gt;0,C2654-CurrentMtgRatesDataTable8[[#This Row],[WA CC]],0)</f>
        <v>0</v>
      </c>
      <c r="L2655" s="70">
        <f>IF(CurrentMtgRatesDataTable8[[#This Row],[Servicing Spread]]&lt;=0,L2654,CurrentMtgRatesDataTable8[[#This Row],[Servicing Spread]])</f>
        <v>0.80064650220220157</v>
      </c>
      <c r="M2655" s="70">
        <f>CurrentMtgRatesDataTable8[[#This Row],[Servicing Spread Non-Zero]]-L2654</f>
        <v>0</v>
      </c>
      <c r="N2655" s="70">
        <f>IF(J2654&lt;&gt;0,CurrentMtgRatesDataTable8[[#This Row],[Rate]]-C2654,N2654)</f>
        <v>8.0000000000000071E-2</v>
      </c>
    </row>
    <row r="2656" spans="1:14">
      <c r="A2656" s="67" t="s">
        <v>410</v>
      </c>
      <c r="B2656" s="68">
        <v>3.2664759262762</v>
      </c>
      <c r="C2656" s="69">
        <v>4.0750000000000002</v>
      </c>
      <c r="D2656" s="70">
        <f t="shared" si="287"/>
        <v>5</v>
      </c>
      <c r="E2656" s="70">
        <f t="shared" si="288"/>
        <v>0.2</v>
      </c>
      <c r="F2656" s="70">
        <f t="shared" si="289"/>
        <v>2</v>
      </c>
      <c r="G2656" s="70">
        <f t="shared" si="290"/>
        <v>1.3096346223316142</v>
      </c>
      <c r="H2656" s="70">
        <f t="shared" si="291"/>
        <v>0.4</v>
      </c>
      <c r="I2656" s="70">
        <f t="shared" si="292"/>
        <v>0</v>
      </c>
      <c r="J2656" s="70">
        <f t="shared" si="293"/>
        <v>0</v>
      </c>
      <c r="K2656" s="70">
        <f>IF(CurrentMtgRatesDataTable8[[#This Row],[WA CC]]&lt;&gt;0,C2655-CurrentMtgRatesDataTable8[[#This Row],[WA CC]],0)</f>
        <v>0</v>
      </c>
      <c r="L2656" s="70">
        <f>IF(CurrentMtgRatesDataTable8[[#This Row],[Servicing Spread]]&lt;=0,L2655,CurrentMtgRatesDataTable8[[#This Row],[Servicing Spread]])</f>
        <v>0.80064650220220157</v>
      </c>
      <c r="M2656" s="70">
        <f>CurrentMtgRatesDataTable8[[#This Row],[Servicing Spread Non-Zero]]-L2655</f>
        <v>0</v>
      </c>
      <c r="N2656" s="70">
        <f>IF(J2655&lt;&gt;0,CurrentMtgRatesDataTable8[[#This Row],[Rate]]-C2655,N2655)</f>
        <v>8.0000000000000071E-2</v>
      </c>
    </row>
    <row r="2657" spans="1:14">
      <c r="A2657" s="67" t="s">
        <v>279</v>
      </c>
      <c r="B2657" s="68">
        <v>3.2329417252497299</v>
      </c>
      <c r="C2657" s="69">
        <v>4.0750000000000002</v>
      </c>
      <c r="D2657" s="70">
        <f t="shared" si="287"/>
        <v>6</v>
      </c>
      <c r="E2657" s="70">
        <f t="shared" si="288"/>
        <v>0.2</v>
      </c>
      <c r="F2657" s="70">
        <f t="shared" si="289"/>
        <v>3</v>
      </c>
      <c r="G2657" s="70">
        <f t="shared" si="290"/>
        <v>1.9562229673815601</v>
      </c>
      <c r="H2657" s="70">
        <f t="shared" si="291"/>
        <v>0.60000000000000009</v>
      </c>
      <c r="I2657" s="70">
        <f t="shared" si="292"/>
        <v>0</v>
      </c>
      <c r="J2657" s="70">
        <f t="shared" si="293"/>
        <v>0</v>
      </c>
      <c r="K2657" s="70">
        <f>IF(CurrentMtgRatesDataTable8[[#This Row],[WA CC]]&lt;&gt;0,C2656-CurrentMtgRatesDataTable8[[#This Row],[WA CC]],0)</f>
        <v>0</v>
      </c>
      <c r="L2657" s="70">
        <f>IF(CurrentMtgRatesDataTable8[[#This Row],[Servicing Spread]]&lt;=0,L2656,CurrentMtgRatesDataTable8[[#This Row],[Servicing Spread]])</f>
        <v>0.80064650220220157</v>
      </c>
      <c r="M2657" s="70">
        <f>CurrentMtgRatesDataTable8[[#This Row],[Servicing Spread Non-Zero]]-L2656</f>
        <v>0</v>
      </c>
      <c r="N2657" s="70">
        <f>IF(J2656&lt;&gt;0,CurrentMtgRatesDataTable8[[#This Row],[Rate]]-C2656,N2656)</f>
        <v>8.0000000000000071E-2</v>
      </c>
    </row>
    <row r="2658" spans="1:14">
      <c r="A2658" s="67" t="s">
        <v>134</v>
      </c>
      <c r="B2658" s="68">
        <v>3.2185084565507598</v>
      </c>
      <c r="C2658" s="69">
        <v>4.0750000000000002</v>
      </c>
      <c r="D2658" s="70">
        <f t="shared" si="287"/>
        <v>7</v>
      </c>
      <c r="E2658" s="70">
        <f t="shared" si="288"/>
        <v>0.2</v>
      </c>
      <c r="F2658" s="70">
        <f t="shared" si="289"/>
        <v>4</v>
      </c>
      <c r="G2658" s="70">
        <f t="shared" si="290"/>
        <v>2.599924658691712</v>
      </c>
      <c r="H2658" s="70">
        <f t="shared" si="291"/>
        <v>0.8</v>
      </c>
      <c r="I2658" s="70">
        <f t="shared" si="292"/>
        <v>1</v>
      </c>
      <c r="J2658" s="70">
        <f t="shared" si="293"/>
        <v>3.2499058233646396</v>
      </c>
      <c r="K2658" s="70">
        <f>IF(CurrentMtgRatesDataTable8[[#This Row],[WA CC]]&lt;&gt;0,C2657-CurrentMtgRatesDataTable8[[#This Row],[WA CC]],0)</f>
        <v>0.82509417663536055</v>
      </c>
      <c r="L2658" s="70">
        <f>IF(CurrentMtgRatesDataTable8[[#This Row],[Servicing Spread]]&lt;=0,L2657,CurrentMtgRatesDataTable8[[#This Row],[Servicing Spread]])</f>
        <v>0.82509417663536055</v>
      </c>
      <c r="M2658" s="70">
        <f>CurrentMtgRatesDataTable8[[#This Row],[Servicing Spread Non-Zero]]-L2657</f>
        <v>2.4447674433158983E-2</v>
      </c>
      <c r="N2658" s="70">
        <f>IF(J2657&lt;&gt;0,CurrentMtgRatesDataTable8[[#This Row],[Rate]]-C2657,N2657)</f>
        <v>8.0000000000000071E-2</v>
      </c>
    </row>
    <row r="2659" spans="1:14">
      <c r="A2659" s="67" t="s">
        <v>698</v>
      </c>
      <c r="B2659" s="68">
        <v>3.20098644724558</v>
      </c>
      <c r="C2659" s="69">
        <v>4.03</v>
      </c>
      <c r="D2659" s="70">
        <f t="shared" si="287"/>
        <v>1</v>
      </c>
      <c r="E2659" s="70">
        <f t="shared" si="288"/>
        <v>0.2</v>
      </c>
      <c r="F2659" s="70">
        <f t="shared" si="289"/>
        <v>1</v>
      </c>
      <c r="G2659" s="70">
        <f t="shared" si="290"/>
        <v>0.64019728944911602</v>
      </c>
      <c r="H2659" s="70">
        <f t="shared" si="291"/>
        <v>0.2</v>
      </c>
      <c r="I2659" s="70">
        <f t="shared" si="292"/>
        <v>0</v>
      </c>
      <c r="J2659" s="70">
        <f t="shared" si="293"/>
        <v>0</v>
      </c>
      <c r="K2659" s="70">
        <f>IF(CurrentMtgRatesDataTable8[[#This Row],[WA CC]]&lt;&gt;0,C2658-CurrentMtgRatesDataTable8[[#This Row],[WA CC]],0)</f>
        <v>0</v>
      </c>
      <c r="L2659" s="70">
        <f>IF(CurrentMtgRatesDataTable8[[#This Row],[Servicing Spread]]&lt;=0,L2658,CurrentMtgRatesDataTable8[[#This Row],[Servicing Spread]])</f>
        <v>0.82509417663536055</v>
      </c>
      <c r="M2659" s="70">
        <f>CurrentMtgRatesDataTable8[[#This Row],[Servicing Spread Non-Zero]]-L2658</f>
        <v>0</v>
      </c>
      <c r="N2659" s="70">
        <f>IF(J2658&lt;&gt;0,CurrentMtgRatesDataTable8[[#This Row],[Rate]]-C2658,N2658)</f>
        <v>-4.4999999999999929E-2</v>
      </c>
    </row>
    <row r="2660" spans="1:14">
      <c r="A2660" s="67" t="s">
        <v>556</v>
      </c>
      <c r="B2660" s="68">
        <v>3.1874045932907902</v>
      </c>
      <c r="C2660" s="69">
        <v>4.03</v>
      </c>
      <c r="D2660" s="70">
        <f t="shared" si="287"/>
        <v>2</v>
      </c>
      <c r="E2660" s="70">
        <f t="shared" si="288"/>
        <v>0.2</v>
      </c>
      <c r="F2660" s="70">
        <f t="shared" si="289"/>
        <v>2</v>
      </c>
      <c r="G2660" s="70">
        <f t="shared" si="290"/>
        <v>1.2776782081072739</v>
      </c>
      <c r="H2660" s="70">
        <f t="shared" si="291"/>
        <v>0.4</v>
      </c>
      <c r="I2660" s="70">
        <f t="shared" si="292"/>
        <v>0</v>
      </c>
      <c r="J2660" s="70">
        <f t="shared" si="293"/>
        <v>0</v>
      </c>
      <c r="K2660" s="70">
        <f>IF(CurrentMtgRatesDataTable8[[#This Row],[WA CC]]&lt;&gt;0,C2659-CurrentMtgRatesDataTable8[[#This Row],[WA CC]],0)</f>
        <v>0</v>
      </c>
      <c r="L2660" s="70">
        <f>IF(CurrentMtgRatesDataTable8[[#This Row],[Servicing Spread]]&lt;=0,L2659,CurrentMtgRatesDataTable8[[#This Row],[Servicing Spread]])</f>
        <v>0.82509417663536055</v>
      </c>
      <c r="M2660" s="70">
        <f>CurrentMtgRatesDataTable8[[#This Row],[Servicing Spread Non-Zero]]-L2659</f>
        <v>0</v>
      </c>
      <c r="N2660" s="70">
        <f>IF(J2659&lt;&gt;0,CurrentMtgRatesDataTable8[[#This Row],[Rate]]-C2659,N2659)</f>
        <v>-4.4999999999999929E-2</v>
      </c>
    </row>
    <row r="2661" spans="1:14">
      <c r="A2661" s="67" t="s">
        <v>411</v>
      </c>
      <c r="B2661" s="68">
        <v>3.22381281335216</v>
      </c>
      <c r="C2661" s="69">
        <v>4.03</v>
      </c>
      <c r="D2661" s="70">
        <f t="shared" si="287"/>
        <v>5</v>
      </c>
      <c r="E2661" s="70">
        <f t="shared" si="288"/>
        <v>0.2</v>
      </c>
      <c r="F2661" s="70">
        <f t="shared" si="289"/>
        <v>3</v>
      </c>
      <c r="G2661" s="70">
        <f t="shared" si="290"/>
        <v>1.922440770777706</v>
      </c>
      <c r="H2661" s="70">
        <f t="shared" si="291"/>
        <v>0.60000000000000009</v>
      </c>
      <c r="I2661" s="70">
        <f t="shared" si="292"/>
        <v>0</v>
      </c>
      <c r="J2661" s="70">
        <f t="shared" si="293"/>
        <v>0</v>
      </c>
      <c r="K2661" s="70">
        <f>IF(CurrentMtgRatesDataTable8[[#This Row],[WA CC]]&lt;&gt;0,C2660-CurrentMtgRatesDataTable8[[#This Row],[WA CC]],0)</f>
        <v>0</v>
      </c>
      <c r="L2661" s="70">
        <f>IF(CurrentMtgRatesDataTable8[[#This Row],[Servicing Spread]]&lt;=0,L2660,CurrentMtgRatesDataTable8[[#This Row],[Servicing Spread]])</f>
        <v>0.82509417663536055</v>
      </c>
      <c r="M2661" s="70">
        <f>CurrentMtgRatesDataTable8[[#This Row],[Servicing Spread Non-Zero]]-L2660</f>
        <v>0</v>
      </c>
      <c r="N2661" s="70">
        <f>IF(J2660&lt;&gt;0,CurrentMtgRatesDataTable8[[#This Row],[Rate]]-C2660,N2660)</f>
        <v>-4.4999999999999929E-2</v>
      </c>
    </row>
    <row r="2662" spans="1:14">
      <c r="A2662" s="67" t="s">
        <v>280</v>
      </c>
      <c r="B2662" s="68">
        <v>3.2327612765480098</v>
      </c>
      <c r="C2662" s="69">
        <v>4.03</v>
      </c>
      <c r="D2662" s="70">
        <f t="shared" si="287"/>
        <v>6</v>
      </c>
      <c r="E2662" s="70">
        <f t="shared" si="288"/>
        <v>0.2</v>
      </c>
      <c r="F2662" s="70">
        <f t="shared" si="289"/>
        <v>4</v>
      </c>
      <c r="G2662" s="70">
        <f t="shared" si="290"/>
        <v>2.5689930260873082</v>
      </c>
      <c r="H2662" s="70">
        <f t="shared" si="291"/>
        <v>0.8</v>
      </c>
      <c r="I2662" s="70">
        <f t="shared" si="292"/>
        <v>0</v>
      </c>
      <c r="J2662" s="70">
        <f t="shared" si="293"/>
        <v>0</v>
      </c>
      <c r="K2662" s="70">
        <f>IF(CurrentMtgRatesDataTable8[[#This Row],[WA CC]]&lt;&gt;0,C2661-CurrentMtgRatesDataTable8[[#This Row],[WA CC]],0)</f>
        <v>0</v>
      </c>
      <c r="L2662" s="70">
        <f>IF(CurrentMtgRatesDataTable8[[#This Row],[Servicing Spread]]&lt;=0,L2661,CurrentMtgRatesDataTable8[[#This Row],[Servicing Spread]])</f>
        <v>0.82509417663536055</v>
      </c>
      <c r="M2662" s="70">
        <f>CurrentMtgRatesDataTable8[[#This Row],[Servicing Spread Non-Zero]]-L2661</f>
        <v>0</v>
      </c>
      <c r="N2662" s="70">
        <f>IF(J2661&lt;&gt;0,CurrentMtgRatesDataTable8[[#This Row],[Rate]]-C2661,N2661)</f>
        <v>-4.4999999999999929E-2</v>
      </c>
    </row>
    <row r="2663" spans="1:14">
      <c r="A2663" s="67" t="s">
        <v>135</v>
      </c>
      <c r="B2663" s="68">
        <v>3.23587971649664</v>
      </c>
      <c r="C2663" s="69">
        <v>4.03</v>
      </c>
      <c r="D2663" s="70">
        <f t="shared" si="287"/>
        <v>7</v>
      </c>
      <c r="E2663" s="70">
        <f t="shared" si="288"/>
        <v>0.2</v>
      </c>
      <c r="F2663" s="70">
        <f t="shared" si="289"/>
        <v>5</v>
      </c>
      <c r="G2663" s="70">
        <f t="shared" si="290"/>
        <v>3.2161689693866364</v>
      </c>
      <c r="H2663" s="70">
        <f t="shared" si="291"/>
        <v>1</v>
      </c>
      <c r="I2663" s="70">
        <f t="shared" si="292"/>
        <v>1</v>
      </c>
      <c r="J2663" s="70">
        <f t="shared" si="293"/>
        <v>3.2161689693866364</v>
      </c>
      <c r="K2663" s="70">
        <f>IF(CurrentMtgRatesDataTable8[[#This Row],[WA CC]]&lt;&gt;0,C2662-CurrentMtgRatesDataTable8[[#This Row],[WA CC]],0)</f>
        <v>0.81383103061336382</v>
      </c>
      <c r="L2663" s="70">
        <f>IF(CurrentMtgRatesDataTable8[[#This Row],[Servicing Spread]]&lt;=0,L2662,CurrentMtgRatesDataTable8[[#This Row],[Servicing Spread]])</f>
        <v>0.81383103061336382</v>
      </c>
      <c r="M2663" s="70">
        <f>CurrentMtgRatesDataTable8[[#This Row],[Servicing Spread Non-Zero]]-L2662</f>
        <v>-1.1263146021996739E-2</v>
      </c>
      <c r="N2663" s="70">
        <f>IF(J2662&lt;&gt;0,CurrentMtgRatesDataTable8[[#This Row],[Rate]]-C2662,N2662)</f>
        <v>-4.4999999999999929E-2</v>
      </c>
    </row>
    <row r="2664" spans="1:14">
      <c r="A2664" s="67" t="s">
        <v>699</v>
      </c>
      <c r="B2664" s="68">
        <v>3.1839990162061</v>
      </c>
      <c r="C2664" s="69">
        <v>4.03</v>
      </c>
      <c r="D2664" s="70">
        <f t="shared" si="287"/>
        <v>1</v>
      </c>
      <c r="E2664" s="70">
        <f t="shared" si="288"/>
        <v>0.2</v>
      </c>
      <c r="F2664" s="70">
        <f t="shared" si="289"/>
        <v>1</v>
      </c>
      <c r="G2664" s="70">
        <f t="shared" si="290"/>
        <v>0.6367998032412201</v>
      </c>
      <c r="H2664" s="70">
        <f t="shared" si="291"/>
        <v>0.2</v>
      </c>
      <c r="I2664" s="70">
        <f t="shared" si="292"/>
        <v>0</v>
      </c>
      <c r="J2664" s="70">
        <f t="shared" si="293"/>
        <v>0</v>
      </c>
      <c r="K2664" s="70">
        <f>IF(CurrentMtgRatesDataTable8[[#This Row],[WA CC]]&lt;&gt;0,C2663-CurrentMtgRatesDataTable8[[#This Row],[WA CC]],0)</f>
        <v>0</v>
      </c>
      <c r="L2664" s="70">
        <f>IF(CurrentMtgRatesDataTable8[[#This Row],[Servicing Spread]]&lt;=0,L2663,CurrentMtgRatesDataTable8[[#This Row],[Servicing Spread]])</f>
        <v>0.81383103061336382</v>
      </c>
      <c r="M2664" s="70">
        <f>CurrentMtgRatesDataTable8[[#This Row],[Servicing Spread Non-Zero]]-L2663</f>
        <v>0</v>
      </c>
      <c r="N2664" s="70">
        <f>IF(J2663&lt;&gt;0,CurrentMtgRatesDataTable8[[#This Row],[Rate]]-C2663,N2663)</f>
        <v>0</v>
      </c>
    </row>
    <row r="2665" spans="1:14">
      <c r="A2665" s="67" t="s">
        <v>557</v>
      </c>
      <c r="B2665" s="68">
        <v>3.1834552504580702</v>
      </c>
      <c r="C2665" s="69">
        <v>4.03</v>
      </c>
      <c r="D2665" s="70">
        <f t="shared" si="287"/>
        <v>2</v>
      </c>
      <c r="E2665" s="70">
        <f t="shared" si="288"/>
        <v>0.2</v>
      </c>
      <c r="F2665" s="70">
        <f t="shared" si="289"/>
        <v>2</v>
      </c>
      <c r="G2665" s="70">
        <f t="shared" si="290"/>
        <v>1.2734908533328342</v>
      </c>
      <c r="H2665" s="70">
        <f t="shared" si="291"/>
        <v>0.4</v>
      </c>
      <c r="I2665" s="70">
        <f t="shared" si="292"/>
        <v>0</v>
      </c>
      <c r="J2665" s="70">
        <f t="shared" si="293"/>
        <v>0</v>
      </c>
      <c r="K2665" s="70">
        <f>IF(CurrentMtgRatesDataTable8[[#This Row],[WA CC]]&lt;&gt;0,C2664-CurrentMtgRatesDataTable8[[#This Row],[WA CC]],0)</f>
        <v>0</v>
      </c>
      <c r="L2665" s="70">
        <f>IF(CurrentMtgRatesDataTable8[[#This Row],[Servicing Spread]]&lt;=0,L2664,CurrentMtgRatesDataTable8[[#This Row],[Servicing Spread]])</f>
        <v>0.81383103061336382</v>
      </c>
      <c r="M2665" s="70">
        <f>CurrentMtgRatesDataTable8[[#This Row],[Servicing Spread Non-Zero]]-L2664</f>
        <v>0</v>
      </c>
      <c r="N2665" s="70">
        <f>IF(J2664&lt;&gt;0,CurrentMtgRatesDataTable8[[#This Row],[Rate]]-C2664,N2664)</f>
        <v>0</v>
      </c>
    </row>
    <row r="2666" spans="1:14">
      <c r="A2666" s="67" t="s">
        <v>412</v>
      </c>
      <c r="B2666" s="68">
        <v>3.1797287048205698</v>
      </c>
      <c r="C2666" s="69">
        <v>4.03</v>
      </c>
      <c r="D2666" s="70">
        <f t="shared" si="287"/>
        <v>5</v>
      </c>
      <c r="E2666" s="70">
        <f t="shared" si="288"/>
        <v>0.2</v>
      </c>
      <c r="F2666" s="70">
        <f t="shared" si="289"/>
        <v>3</v>
      </c>
      <c r="G2666" s="70">
        <f t="shared" si="290"/>
        <v>1.9094365942969482</v>
      </c>
      <c r="H2666" s="70">
        <f t="shared" si="291"/>
        <v>0.60000000000000009</v>
      </c>
      <c r="I2666" s="70">
        <f t="shared" si="292"/>
        <v>0</v>
      </c>
      <c r="J2666" s="70">
        <f t="shared" si="293"/>
        <v>0</v>
      </c>
      <c r="K2666" s="70">
        <f>IF(CurrentMtgRatesDataTable8[[#This Row],[WA CC]]&lt;&gt;0,C2665-CurrentMtgRatesDataTable8[[#This Row],[WA CC]],0)</f>
        <v>0</v>
      </c>
      <c r="L2666" s="70">
        <f>IF(CurrentMtgRatesDataTable8[[#This Row],[Servicing Spread]]&lt;=0,L2665,CurrentMtgRatesDataTable8[[#This Row],[Servicing Spread]])</f>
        <v>0.81383103061336382</v>
      </c>
      <c r="M2666" s="70">
        <f>CurrentMtgRatesDataTable8[[#This Row],[Servicing Spread Non-Zero]]-L2665</f>
        <v>0</v>
      </c>
      <c r="N2666" s="70">
        <f>IF(J2665&lt;&gt;0,CurrentMtgRatesDataTable8[[#This Row],[Rate]]-C2665,N2665)</f>
        <v>0</v>
      </c>
    </row>
    <row r="2667" spans="1:14">
      <c r="A2667" s="67" t="s">
        <v>281</v>
      </c>
      <c r="B2667" s="68">
        <v>3.1713427686584299</v>
      </c>
      <c r="C2667" s="69">
        <v>4.03</v>
      </c>
      <c r="D2667" s="70">
        <f t="shared" si="287"/>
        <v>6</v>
      </c>
      <c r="E2667" s="70">
        <f t="shared" si="288"/>
        <v>0.2</v>
      </c>
      <c r="F2667" s="70">
        <f t="shared" si="289"/>
        <v>4</v>
      </c>
      <c r="G2667" s="70">
        <f t="shared" si="290"/>
        <v>2.5437051480286343</v>
      </c>
      <c r="H2667" s="70">
        <f t="shared" si="291"/>
        <v>0.8</v>
      </c>
      <c r="I2667" s="70">
        <f t="shared" si="292"/>
        <v>0</v>
      </c>
      <c r="J2667" s="70">
        <f t="shared" si="293"/>
        <v>0</v>
      </c>
      <c r="K2667" s="70">
        <f>IF(CurrentMtgRatesDataTable8[[#This Row],[WA CC]]&lt;&gt;0,C2666-CurrentMtgRatesDataTable8[[#This Row],[WA CC]],0)</f>
        <v>0</v>
      </c>
      <c r="L2667" s="70">
        <f>IF(CurrentMtgRatesDataTable8[[#This Row],[Servicing Spread]]&lt;=0,L2666,CurrentMtgRatesDataTable8[[#This Row],[Servicing Spread]])</f>
        <v>0.81383103061336382</v>
      </c>
      <c r="M2667" s="70">
        <f>CurrentMtgRatesDataTable8[[#This Row],[Servicing Spread Non-Zero]]-L2666</f>
        <v>0</v>
      </c>
      <c r="N2667" s="70">
        <f>IF(J2666&lt;&gt;0,CurrentMtgRatesDataTable8[[#This Row],[Rate]]-C2666,N2666)</f>
        <v>0</v>
      </c>
    </row>
    <row r="2668" spans="1:14">
      <c r="A2668" s="67" t="s">
        <v>136</v>
      </c>
      <c r="B2668" s="68">
        <v>3.18443166753908</v>
      </c>
      <c r="C2668" s="69">
        <v>4.03</v>
      </c>
      <c r="D2668" s="70">
        <f t="shared" si="287"/>
        <v>7</v>
      </c>
      <c r="E2668" s="70">
        <f t="shared" si="288"/>
        <v>0.2</v>
      </c>
      <c r="F2668" s="70">
        <f t="shared" si="289"/>
        <v>5</v>
      </c>
      <c r="G2668" s="70">
        <f t="shared" si="290"/>
        <v>3.1805914815364504</v>
      </c>
      <c r="H2668" s="70">
        <f t="shared" si="291"/>
        <v>1</v>
      </c>
      <c r="I2668" s="70">
        <f t="shared" si="292"/>
        <v>1</v>
      </c>
      <c r="J2668" s="70">
        <f t="shared" si="293"/>
        <v>3.1805914815364504</v>
      </c>
      <c r="K2668" s="70">
        <f>IF(CurrentMtgRatesDataTable8[[#This Row],[WA CC]]&lt;&gt;0,C2667-CurrentMtgRatesDataTable8[[#This Row],[WA CC]],0)</f>
        <v>0.84940851846354981</v>
      </c>
      <c r="L2668" s="70">
        <f>IF(CurrentMtgRatesDataTable8[[#This Row],[Servicing Spread]]&lt;=0,L2667,CurrentMtgRatesDataTable8[[#This Row],[Servicing Spread]])</f>
        <v>0.84940851846354981</v>
      </c>
      <c r="M2668" s="70">
        <f>CurrentMtgRatesDataTable8[[#This Row],[Servicing Spread Non-Zero]]-L2667</f>
        <v>3.5577487850185996E-2</v>
      </c>
      <c r="N2668" s="70">
        <f>IF(J2667&lt;&gt;0,CurrentMtgRatesDataTable8[[#This Row],[Rate]]-C2667,N2667)</f>
        <v>0</v>
      </c>
    </row>
    <row r="2669" spans="1:14">
      <c r="A2669" s="67" t="s">
        <v>700</v>
      </c>
      <c r="B2669" s="68">
        <v>3.2359256063250199</v>
      </c>
      <c r="C2669" s="69">
        <v>4.0200000000000005</v>
      </c>
      <c r="D2669" s="70">
        <f t="shared" si="287"/>
        <v>1</v>
      </c>
      <c r="E2669" s="70">
        <f t="shared" si="288"/>
        <v>0.2</v>
      </c>
      <c r="F2669" s="70">
        <f t="shared" si="289"/>
        <v>1</v>
      </c>
      <c r="G2669" s="70">
        <f t="shared" si="290"/>
        <v>0.64718512126500405</v>
      </c>
      <c r="H2669" s="70">
        <f t="shared" si="291"/>
        <v>0.2</v>
      </c>
      <c r="I2669" s="70">
        <f t="shared" si="292"/>
        <v>0</v>
      </c>
      <c r="J2669" s="70">
        <f t="shared" si="293"/>
        <v>0</v>
      </c>
      <c r="K2669" s="70">
        <f>IF(CurrentMtgRatesDataTable8[[#This Row],[WA CC]]&lt;&gt;0,C2668-CurrentMtgRatesDataTable8[[#This Row],[WA CC]],0)</f>
        <v>0</v>
      </c>
      <c r="L2669" s="70">
        <f>IF(CurrentMtgRatesDataTable8[[#This Row],[Servicing Spread]]&lt;=0,L2668,CurrentMtgRatesDataTable8[[#This Row],[Servicing Spread]])</f>
        <v>0.84940851846354981</v>
      </c>
      <c r="M2669" s="70">
        <f>CurrentMtgRatesDataTable8[[#This Row],[Servicing Spread Non-Zero]]-L2668</f>
        <v>0</v>
      </c>
      <c r="N2669" s="70">
        <f>IF(J2668&lt;&gt;0,CurrentMtgRatesDataTable8[[#This Row],[Rate]]-C2668,N2668)</f>
        <v>-9.9999999999997868E-3</v>
      </c>
    </row>
    <row r="2670" spans="1:14">
      <c r="A2670" s="67" t="s">
        <v>558</v>
      </c>
      <c r="B2670" s="68">
        <v>3.1915306555493599</v>
      </c>
      <c r="C2670" s="69">
        <v>4.0200000000000005</v>
      </c>
      <c r="D2670" s="70">
        <f t="shared" si="287"/>
        <v>2</v>
      </c>
      <c r="E2670" s="70">
        <f t="shared" si="288"/>
        <v>0.2</v>
      </c>
      <c r="F2670" s="70">
        <f t="shared" si="289"/>
        <v>2</v>
      </c>
      <c r="G2670" s="70">
        <f t="shared" si="290"/>
        <v>1.285491252374876</v>
      </c>
      <c r="H2670" s="70">
        <f t="shared" si="291"/>
        <v>0.4</v>
      </c>
      <c r="I2670" s="70">
        <f t="shared" si="292"/>
        <v>0</v>
      </c>
      <c r="J2670" s="70">
        <f t="shared" si="293"/>
        <v>0</v>
      </c>
      <c r="K2670" s="70">
        <f>IF(CurrentMtgRatesDataTable8[[#This Row],[WA CC]]&lt;&gt;0,C2669-CurrentMtgRatesDataTable8[[#This Row],[WA CC]],0)</f>
        <v>0</v>
      </c>
      <c r="L2670" s="70">
        <f>IF(CurrentMtgRatesDataTable8[[#This Row],[Servicing Spread]]&lt;=0,L2669,CurrentMtgRatesDataTable8[[#This Row],[Servicing Spread]])</f>
        <v>0.84940851846354981</v>
      </c>
      <c r="M2670" s="70">
        <f>CurrentMtgRatesDataTable8[[#This Row],[Servicing Spread Non-Zero]]-L2669</f>
        <v>0</v>
      </c>
      <c r="N2670" s="70">
        <f>IF(J2669&lt;&gt;0,CurrentMtgRatesDataTable8[[#This Row],[Rate]]-C2669,N2669)</f>
        <v>-9.9999999999997868E-3</v>
      </c>
    </row>
    <row r="2671" spans="1:14">
      <c r="A2671" s="67" t="s">
        <v>413</v>
      </c>
      <c r="B2671" s="68">
        <v>3.2049602013827001</v>
      </c>
      <c r="C2671" s="69">
        <v>4.0200000000000005</v>
      </c>
      <c r="D2671" s="70">
        <f t="shared" si="287"/>
        <v>5</v>
      </c>
      <c r="E2671" s="70">
        <f t="shared" si="288"/>
        <v>0.2</v>
      </c>
      <c r="F2671" s="70">
        <f t="shared" si="289"/>
        <v>3</v>
      </c>
      <c r="G2671" s="70">
        <f t="shared" si="290"/>
        <v>1.9264832926514162</v>
      </c>
      <c r="H2671" s="70">
        <f t="shared" si="291"/>
        <v>0.60000000000000009</v>
      </c>
      <c r="I2671" s="70">
        <f t="shared" si="292"/>
        <v>0</v>
      </c>
      <c r="J2671" s="70">
        <f t="shared" si="293"/>
        <v>0</v>
      </c>
      <c r="K2671" s="70">
        <f>IF(CurrentMtgRatesDataTable8[[#This Row],[WA CC]]&lt;&gt;0,C2670-CurrentMtgRatesDataTable8[[#This Row],[WA CC]],0)</f>
        <v>0</v>
      </c>
      <c r="L2671" s="70">
        <f>IF(CurrentMtgRatesDataTable8[[#This Row],[Servicing Spread]]&lt;=0,L2670,CurrentMtgRatesDataTable8[[#This Row],[Servicing Spread]])</f>
        <v>0.84940851846354981</v>
      </c>
      <c r="M2671" s="70">
        <f>CurrentMtgRatesDataTable8[[#This Row],[Servicing Spread Non-Zero]]-L2670</f>
        <v>0</v>
      </c>
      <c r="N2671" s="70">
        <f>IF(J2670&lt;&gt;0,CurrentMtgRatesDataTable8[[#This Row],[Rate]]-C2670,N2670)</f>
        <v>-9.9999999999997868E-3</v>
      </c>
    </row>
    <row r="2672" spans="1:14">
      <c r="A2672" s="67" t="s">
        <v>282</v>
      </c>
      <c r="B2672" s="68">
        <v>3.1823757597493798</v>
      </c>
      <c r="C2672" s="69">
        <v>4.0200000000000005</v>
      </c>
      <c r="D2672" s="70">
        <f t="shared" si="287"/>
        <v>6</v>
      </c>
      <c r="E2672" s="70">
        <f t="shared" si="288"/>
        <v>0.2</v>
      </c>
      <c r="F2672" s="70">
        <f t="shared" si="289"/>
        <v>4</v>
      </c>
      <c r="G2672" s="70">
        <f t="shared" si="290"/>
        <v>2.5629584446012923</v>
      </c>
      <c r="H2672" s="70">
        <f t="shared" si="291"/>
        <v>0.8</v>
      </c>
      <c r="I2672" s="70">
        <f t="shared" si="292"/>
        <v>0</v>
      </c>
      <c r="J2672" s="70">
        <f t="shared" si="293"/>
        <v>0</v>
      </c>
      <c r="K2672" s="70">
        <f>IF(CurrentMtgRatesDataTable8[[#This Row],[WA CC]]&lt;&gt;0,C2671-CurrentMtgRatesDataTable8[[#This Row],[WA CC]],0)</f>
        <v>0</v>
      </c>
      <c r="L2672" s="70">
        <f>IF(CurrentMtgRatesDataTable8[[#This Row],[Servicing Spread]]&lt;=0,L2671,CurrentMtgRatesDataTable8[[#This Row],[Servicing Spread]])</f>
        <v>0.84940851846354981</v>
      </c>
      <c r="M2672" s="70">
        <f>CurrentMtgRatesDataTable8[[#This Row],[Servicing Spread Non-Zero]]-L2671</f>
        <v>0</v>
      </c>
      <c r="N2672" s="70">
        <f>IF(J2671&lt;&gt;0,CurrentMtgRatesDataTable8[[#This Row],[Rate]]-C2671,N2671)</f>
        <v>-9.9999999999997868E-3</v>
      </c>
    </row>
    <row r="2673" spans="1:14">
      <c r="A2673" s="67" t="s">
        <v>137</v>
      </c>
      <c r="B2673" s="68">
        <v>3.2657922043638301</v>
      </c>
      <c r="C2673" s="69">
        <v>4.0200000000000005</v>
      </c>
      <c r="D2673" s="70">
        <f t="shared" si="287"/>
        <v>7</v>
      </c>
      <c r="E2673" s="70">
        <f t="shared" si="288"/>
        <v>0.2</v>
      </c>
      <c r="F2673" s="70">
        <f t="shared" si="289"/>
        <v>5</v>
      </c>
      <c r="G2673" s="70">
        <f t="shared" si="290"/>
        <v>3.2161168854740585</v>
      </c>
      <c r="H2673" s="70">
        <f t="shared" si="291"/>
        <v>1</v>
      </c>
      <c r="I2673" s="70">
        <f t="shared" si="292"/>
        <v>1</v>
      </c>
      <c r="J2673" s="70">
        <f t="shared" si="293"/>
        <v>3.2161168854740585</v>
      </c>
      <c r="K2673" s="70">
        <f>IF(CurrentMtgRatesDataTable8[[#This Row],[WA CC]]&lt;&gt;0,C2672-CurrentMtgRatesDataTable8[[#This Row],[WA CC]],0)</f>
        <v>0.80388311452594197</v>
      </c>
      <c r="L2673" s="70">
        <f>IF(CurrentMtgRatesDataTable8[[#This Row],[Servicing Spread]]&lt;=0,L2672,CurrentMtgRatesDataTable8[[#This Row],[Servicing Spread]])</f>
        <v>0.80388311452594197</v>
      </c>
      <c r="M2673" s="70">
        <f>CurrentMtgRatesDataTable8[[#This Row],[Servicing Spread Non-Zero]]-L2672</f>
        <v>-4.5525403937607845E-2</v>
      </c>
      <c r="N2673" s="70">
        <f>IF(J2672&lt;&gt;0,CurrentMtgRatesDataTable8[[#This Row],[Rate]]-C2672,N2672)</f>
        <v>-9.9999999999997868E-3</v>
      </c>
    </row>
    <row r="2674" spans="1:14">
      <c r="A2674" s="67" t="s">
        <v>701</v>
      </c>
      <c r="B2674" s="68">
        <v>3.2761065930147799</v>
      </c>
      <c r="C2674" s="69">
        <v>4.0649999999999995</v>
      </c>
      <c r="D2674" s="70">
        <f t="shared" si="287"/>
        <v>1</v>
      </c>
      <c r="E2674" s="70">
        <f t="shared" si="288"/>
        <v>0.2</v>
      </c>
      <c r="F2674" s="70">
        <f t="shared" si="289"/>
        <v>1</v>
      </c>
      <c r="G2674" s="70">
        <f t="shared" si="290"/>
        <v>0.65522131860295607</v>
      </c>
      <c r="H2674" s="70">
        <f t="shared" si="291"/>
        <v>0.2</v>
      </c>
      <c r="I2674" s="70">
        <f t="shared" si="292"/>
        <v>0</v>
      </c>
      <c r="J2674" s="70">
        <f t="shared" si="293"/>
        <v>0</v>
      </c>
      <c r="K2674" s="70">
        <f>IF(CurrentMtgRatesDataTable8[[#This Row],[WA CC]]&lt;&gt;0,C2673-CurrentMtgRatesDataTable8[[#This Row],[WA CC]],0)</f>
        <v>0</v>
      </c>
      <c r="L2674" s="70">
        <f>IF(CurrentMtgRatesDataTable8[[#This Row],[Servicing Spread]]&lt;=0,L2673,CurrentMtgRatesDataTable8[[#This Row],[Servicing Spread]])</f>
        <v>0.80388311452594197</v>
      </c>
      <c r="M2674" s="70">
        <f>CurrentMtgRatesDataTable8[[#This Row],[Servicing Spread Non-Zero]]-L2673</f>
        <v>0</v>
      </c>
      <c r="N2674" s="70">
        <f>IF(J2673&lt;&gt;0,CurrentMtgRatesDataTable8[[#This Row],[Rate]]-C2673,N2673)</f>
        <v>4.4999999999999041E-2</v>
      </c>
    </row>
    <row r="2675" spans="1:14">
      <c r="A2675" s="67" t="s">
        <v>559</v>
      </c>
      <c r="B2675" s="68">
        <v>3.2284236378811801</v>
      </c>
      <c r="C2675" s="69">
        <v>4.0649999999999995</v>
      </c>
      <c r="D2675" s="70">
        <f t="shared" si="287"/>
        <v>2</v>
      </c>
      <c r="E2675" s="70">
        <f t="shared" si="288"/>
        <v>0.2</v>
      </c>
      <c r="F2675" s="70">
        <f t="shared" si="289"/>
        <v>2</v>
      </c>
      <c r="G2675" s="70">
        <f t="shared" si="290"/>
        <v>1.3009060461791921</v>
      </c>
      <c r="H2675" s="70">
        <f t="shared" si="291"/>
        <v>0.4</v>
      </c>
      <c r="I2675" s="70">
        <f t="shared" si="292"/>
        <v>0</v>
      </c>
      <c r="J2675" s="70">
        <f t="shared" si="293"/>
        <v>0</v>
      </c>
      <c r="K2675" s="70">
        <f>IF(CurrentMtgRatesDataTable8[[#This Row],[WA CC]]&lt;&gt;0,C2674-CurrentMtgRatesDataTable8[[#This Row],[WA CC]],0)</f>
        <v>0</v>
      </c>
      <c r="L2675" s="70">
        <f>IF(CurrentMtgRatesDataTable8[[#This Row],[Servicing Spread]]&lt;=0,L2674,CurrentMtgRatesDataTable8[[#This Row],[Servicing Spread]])</f>
        <v>0.80388311452594197</v>
      </c>
      <c r="M2675" s="70">
        <f>CurrentMtgRatesDataTable8[[#This Row],[Servicing Spread Non-Zero]]-L2674</f>
        <v>0</v>
      </c>
      <c r="N2675" s="70">
        <f>IF(J2674&lt;&gt;0,CurrentMtgRatesDataTable8[[#This Row],[Rate]]-C2674,N2674)</f>
        <v>4.4999999999999041E-2</v>
      </c>
    </row>
    <row r="2676" spans="1:14">
      <c r="A2676" s="67" t="s">
        <v>414</v>
      </c>
      <c r="B2676" s="68">
        <v>3.2178217897536898</v>
      </c>
      <c r="C2676" s="69">
        <v>4.0649999999999995</v>
      </c>
      <c r="D2676" s="70">
        <f t="shared" si="287"/>
        <v>5</v>
      </c>
      <c r="E2676" s="70">
        <f t="shared" si="288"/>
        <v>0.2</v>
      </c>
      <c r="F2676" s="70">
        <f t="shared" si="289"/>
        <v>3</v>
      </c>
      <c r="G2676" s="70">
        <f t="shared" si="290"/>
        <v>1.9444704041299301</v>
      </c>
      <c r="H2676" s="70">
        <f t="shared" si="291"/>
        <v>0.60000000000000009</v>
      </c>
      <c r="I2676" s="70">
        <f t="shared" si="292"/>
        <v>0</v>
      </c>
      <c r="J2676" s="70">
        <f t="shared" si="293"/>
        <v>0</v>
      </c>
      <c r="K2676" s="70">
        <f>IF(CurrentMtgRatesDataTable8[[#This Row],[WA CC]]&lt;&gt;0,C2675-CurrentMtgRatesDataTable8[[#This Row],[WA CC]],0)</f>
        <v>0</v>
      </c>
      <c r="L2676" s="70">
        <f>IF(CurrentMtgRatesDataTable8[[#This Row],[Servicing Spread]]&lt;=0,L2675,CurrentMtgRatesDataTable8[[#This Row],[Servicing Spread]])</f>
        <v>0.80388311452594197</v>
      </c>
      <c r="M2676" s="70">
        <f>CurrentMtgRatesDataTable8[[#This Row],[Servicing Spread Non-Zero]]-L2675</f>
        <v>0</v>
      </c>
      <c r="N2676" s="70">
        <f>IF(J2675&lt;&gt;0,CurrentMtgRatesDataTable8[[#This Row],[Rate]]-C2675,N2675)</f>
        <v>4.4999999999999041E-2</v>
      </c>
    </row>
    <row r="2677" spans="1:14">
      <c r="A2677" s="67" t="s">
        <v>283</v>
      </c>
      <c r="B2677" s="68">
        <v>3.21632428795722</v>
      </c>
      <c r="C2677" s="69">
        <v>4.0649999999999995</v>
      </c>
      <c r="D2677" s="70">
        <f t="shared" si="287"/>
        <v>6</v>
      </c>
      <c r="E2677" s="70">
        <f t="shared" si="288"/>
        <v>0.2</v>
      </c>
      <c r="F2677" s="70">
        <f t="shared" si="289"/>
        <v>4</v>
      </c>
      <c r="G2677" s="70">
        <f t="shared" si="290"/>
        <v>2.5877352617213742</v>
      </c>
      <c r="H2677" s="70">
        <f t="shared" si="291"/>
        <v>0.8</v>
      </c>
      <c r="I2677" s="70">
        <f t="shared" si="292"/>
        <v>0</v>
      </c>
      <c r="J2677" s="70">
        <f t="shared" si="293"/>
        <v>0</v>
      </c>
      <c r="K2677" s="70">
        <f>IF(CurrentMtgRatesDataTable8[[#This Row],[WA CC]]&lt;&gt;0,C2676-CurrentMtgRatesDataTable8[[#This Row],[WA CC]],0)</f>
        <v>0</v>
      </c>
      <c r="L2677" s="70">
        <f>IF(CurrentMtgRatesDataTable8[[#This Row],[Servicing Spread]]&lt;=0,L2676,CurrentMtgRatesDataTable8[[#This Row],[Servicing Spread]])</f>
        <v>0.80388311452594197</v>
      </c>
      <c r="M2677" s="70">
        <f>CurrentMtgRatesDataTable8[[#This Row],[Servicing Spread Non-Zero]]-L2676</f>
        <v>0</v>
      </c>
      <c r="N2677" s="70">
        <f>IF(J2676&lt;&gt;0,CurrentMtgRatesDataTable8[[#This Row],[Rate]]-C2676,N2676)</f>
        <v>4.4999999999999041E-2</v>
      </c>
    </row>
    <row r="2678" spans="1:14">
      <c r="A2678" s="67" t="s">
        <v>138</v>
      </c>
      <c r="B2678" s="68">
        <v>3.2168042301856699</v>
      </c>
      <c r="C2678" s="69">
        <v>4.0649999999999995</v>
      </c>
      <c r="D2678" s="70">
        <f t="shared" si="287"/>
        <v>7</v>
      </c>
      <c r="E2678" s="70">
        <f t="shared" si="288"/>
        <v>0.2</v>
      </c>
      <c r="F2678" s="70">
        <f t="shared" si="289"/>
        <v>5</v>
      </c>
      <c r="G2678" s="70">
        <f t="shared" si="290"/>
        <v>3.2310961077585083</v>
      </c>
      <c r="H2678" s="70">
        <f t="shared" si="291"/>
        <v>1</v>
      </c>
      <c r="I2678" s="70">
        <f t="shared" si="292"/>
        <v>1</v>
      </c>
      <c r="J2678" s="70">
        <f t="shared" si="293"/>
        <v>3.2310961077585083</v>
      </c>
      <c r="K2678" s="70">
        <f>IF(CurrentMtgRatesDataTable8[[#This Row],[WA CC]]&lt;&gt;0,C2677-CurrentMtgRatesDataTable8[[#This Row],[WA CC]],0)</f>
        <v>0.8339038922414912</v>
      </c>
      <c r="L2678" s="70">
        <f>IF(CurrentMtgRatesDataTable8[[#This Row],[Servicing Spread]]&lt;=0,L2677,CurrentMtgRatesDataTable8[[#This Row],[Servicing Spread]])</f>
        <v>0.8339038922414912</v>
      </c>
      <c r="M2678" s="70">
        <f>CurrentMtgRatesDataTable8[[#This Row],[Servicing Spread Non-Zero]]-L2677</f>
        <v>3.0020777715549229E-2</v>
      </c>
      <c r="N2678" s="70">
        <f>IF(J2677&lt;&gt;0,CurrentMtgRatesDataTable8[[#This Row],[Rate]]-C2677,N2677)</f>
        <v>4.4999999999999041E-2</v>
      </c>
    </row>
    <row r="2679" spans="1:14">
      <c r="A2679" s="67" t="s">
        <v>702</v>
      </c>
      <c r="B2679" s="68">
        <v>3.1812952620623198</v>
      </c>
      <c r="C2679" s="69">
        <v>4.0200000000000005</v>
      </c>
      <c r="D2679" s="70">
        <f t="shared" si="287"/>
        <v>1</v>
      </c>
      <c r="E2679" s="70">
        <f t="shared" si="288"/>
        <v>0.2</v>
      </c>
      <c r="F2679" s="70">
        <f t="shared" si="289"/>
        <v>1</v>
      </c>
      <c r="G2679" s="70">
        <f t="shared" si="290"/>
        <v>0.63625905241246405</v>
      </c>
      <c r="H2679" s="70">
        <f t="shared" si="291"/>
        <v>0.2</v>
      </c>
      <c r="I2679" s="70">
        <f t="shared" si="292"/>
        <v>0</v>
      </c>
      <c r="J2679" s="70">
        <f t="shared" si="293"/>
        <v>0</v>
      </c>
      <c r="K2679" s="70">
        <f>IF(CurrentMtgRatesDataTable8[[#This Row],[WA CC]]&lt;&gt;0,C2678-CurrentMtgRatesDataTable8[[#This Row],[WA CC]],0)</f>
        <v>0</v>
      </c>
      <c r="L2679" s="70">
        <f>IF(CurrentMtgRatesDataTable8[[#This Row],[Servicing Spread]]&lt;=0,L2678,CurrentMtgRatesDataTable8[[#This Row],[Servicing Spread]])</f>
        <v>0.8339038922414912</v>
      </c>
      <c r="M2679" s="70">
        <f>CurrentMtgRatesDataTable8[[#This Row],[Servicing Spread Non-Zero]]-L2678</f>
        <v>0</v>
      </c>
      <c r="N2679" s="70">
        <f>IF(J2678&lt;&gt;0,CurrentMtgRatesDataTable8[[#This Row],[Rate]]-C2678,N2678)</f>
        <v>-4.4999999999999041E-2</v>
      </c>
    </row>
    <row r="2680" spans="1:14">
      <c r="A2680" s="67" t="s">
        <v>560</v>
      </c>
      <c r="B2680" s="68">
        <v>3.1721768972748698</v>
      </c>
      <c r="C2680" s="69">
        <v>4.0200000000000005</v>
      </c>
      <c r="D2680" s="70">
        <f t="shared" si="287"/>
        <v>2</v>
      </c>
      <c r="E2680" s="70">
        <f t="shared" si="288"/>
        <v>0.2</v>
      </c>
      <c r="F2680" s="70">
        <f t="shared" si="289"/>
        <v>2</v>
      </c>
      <c r="G2680" s="70">
        <f t="shared" si="290"/>
        <v>1.270694431867438</v>
      </c>
      <c r="H2680" s="70">
        <f t="shared" si="291"/>
        <v>0.4</v>
      </c>
      <c r="I2680" s="70">
        <f t="shared" si="292"/>
        <v>0</v>
      </c>
      <c r="J2680" s="70">
        <f t="shared" si="293"/>
        <v>0</v>
      </c>
      <c r="K2680" s="70">
        <f>IF(CurrentMtgRatesDataTable8[[#This Row],[WA CC]]&lt;&gt;0,C2679-CurrentMtgRatesDataTable8[[#This Row],[WA CC]],0)</f>
        <v>0</v>
      </c>
      <c r="L2680" s="70">
        <f>IF(CurrentMtgRatesDataTable8[[#This Row],[Servicing Spread]]&lt;=0,L2679,CurrentMtgRatesDataTable8[[#This Row],[Servicing Spread]])</f>
        <v>0.8339038922414912</v>
      </c>
      <c r="M2680" s="70">
        <f>CurrentMtgRatesDataTable8[[#This Row],[Servicing Spread Non-Zero]]-L2679</f>
        <v>0</v>
      </c>
      <c r="N2680" s="70">
        <f>IF(J2679&lt;&gt;0,CurrentMtgRatesDataTable8[[#This Row],[Rate]]-C2679,N2679)</f>
        <v>-4.4999999999999041E-2</v>
      </c>
    </row>
    <row r="2681" spans="1:14">
      <c r="A2681" s="67" t="s">
        <v>415</v>
      </c>
      <c r="B2681" s="68">
        <v>3.1826449451887</v>
      </c>
      <c r="C2681" s="69">
        <v>4.0200000000000005</v>
      </c>
      <c r="D2681" s="70">
        <f t="shared" si="287"/>
        <v>5</v>
      </c>
      <c r="E2681" s="70">
        <f t="shared" si="288"/>
        <v>0.2</v>
      </c>
      <c r="F2681" s="70">
        <f t="shared" si="289"/>
        <v>3</v>
      </c>
      <c r="G2681" s="70">
        <f t="shared" si="290"/>
        <v>1.9072234209051779</v>
      </c>
      <c r="H2681" s="70">
        <f t="shared" si="291"/>
        <v>0.60000000000000009</v>
      </c>
      <c r="I2681" s="70">
        <f t="shared" si="292"/>
        <v>0</v>
      </c>
      <c r="J2681" s="70">
        <f t="shared" si="293"/>
        <v>0</v>
      </c>
      <c r="K2681" s="70">
        <f>IF(CurrentMtgRatesDataTable8[[#This Row],[WA CC]]&lt;&gt;0,C2680-CurrentMtgRatesDataTable8[[#This Row],[WA CC]],0)</f>
        <v>0</v>
      </c>
      <c r="L2681" s="70">
        <f>IF(CurrentMtgRatesDataTable8[[#This Row],[Servicing Spread]]&lt;=0,L2680,CurrentMtgRatesDataTable8[[#This Row],[Servicing Spread]])</f>
        <v>0.8339038922414912</v>
      </c>
      <c r="M2681" s="70">
        <f>CurrentMtgRatesDataTable8[[#This Row],[Servicing Spread Non-Zero]]-L2680</f>
        <v>0</v>
      </c>
      <c r="N2681" s="70">
        <f>IF(J2680&lt;&gt;0,CurrentMtgRatesDataTable8[[#This Row],[Rate]]-C2680,N2680)</f>
        <v>-4.4999999999999041E-2</v>
      </c>
    </row>
    <row r="2682" spans="1:14">
      <c r="A2682" s="67" t="s">
        <v>284</v>
      </c>
      <c r="B2682" s="68">
        <v>3.1921232293895798</v>
      </c>
      <c r="C2682" s="69">
        <v>4.0200000000000005</v>
      </c>
      <c r="D2682" s="70">
        <f t="shared" si="287"/>
        <v>6</v>
      </c>
      <c r="E2682" s="70">
        <f t="shared" si="288"/>
        <v>0.2</v>
      </c>
      <c r="F2682" s="70">
        <f t="shared" si="289"/>
        <v>4</v>
      </c>
      <c r="G2682" s="70">
        <f t="shared" si="290"/>
        <v>2.5456480667830941</v>
      </c>
      <c r="H2682" s="70">
        <f t="shared" si="291"/>
        <v>0.8</v>
      </c>
      <c r="I2682" s="70">
        <f t="shared" si="292"/>
        <v>0</v>
      </c>
      <c r="J2682" s="70">
        <f t="shared" si="293"/>
        <v>0</v>
      </c>
      <c r="K2682" s="70">
        <f>IF(CurrentMtgRatesDataTable8[[#This Row],[WA CC]]&lt;&gt;0,C2681-CurrentMtgRatesDataTable8[[#This Row],[WA CC]],0)</f>
        <v>0</v>
      </c>
      <c r="L2682" s="70">
        <f>IF(CurrentMtgRatesDataTable8[[#This Row],[Servicing Spread]]&lt;=0,L2681,CurrentMtgRatesDataTable8[[#This Row],[Servicing Spread]])</f>
        <v>0.8339038922414912</v>
      </c>
      <c r="M2682" s="70">
        <f>CurrentMtgRatesDataTable8[[#This Row],[Servicing Spread Non-Zero]]-L2681</f>
        <v>0</v>
      </c>
      <c r="N2682" s="70">
        <f>IF(J2681&lt;&gt;0,CurrentMtgRatesDataTable8[[#This Row],[Rate]]-C2681,N2681)</f>
        <v>-4.4999999999999041E-2</v>
      </c>
    </row>
    <row r="2683" spans="1:14">
      <c r="A2683" s="67" t="s">
        <v>139</v>
      </c>
      <c r="B2683" s="68">
        <v>3.1611594965890202</v>
      </c>
      <c r="C2683" s="69">
        <v>4.0200000000000005</v>
      </c>
      <c r="D2683" s="70">
        <f t="shared" si="287"/>
        <v>7</v>
      </c>
      <c r="E2683" s="70">
        <f t="shared" si="288"/>
        <v>0.2</v>
      </c>
      <c r="F2683" s="70">
        <f t="shared" si="289"/>
        <v>5</v>
      </c>
      <c r="G2683" s="70">
        <f t="shared" si="290"/>
        <v>3.1778799661008983</v>
      </c>
      <c r="H2683" s="70">
        <f t="shared" si="291"/>
        <v>1</v>
      </c>
      <c r="I2683" s="70">
        <f t="shared" si="292"/>
        <v>1</v>
      </c>
      <c r="J2683" s="70">
        <f t="shared" si="293"/>
        <v>3.1778799661008983</v>
      </c>
      <c r="K2683" s="70">
        <f>IF(CurrentMtgRatesDataTable8[[#This Row],[WA CC]]&lt;&gt;0,C2682-CurrentMtgRatesDataTable8[[#This Row],[WA CC]],0)</f>
        <v>0.84212003389910217</v>
      </c>
      <c r="L2683" s="70">
        <f>IF(CurrentMtgRatesDataTable8[[#This Row],[Servicing Spread]]&lt;=0,L2682,CurrentMtgRatesDataTable8[[#This Row],[Servicing Spread]])</f>
        <v>0.84212003389910217</v>
      </c>
      <c r="M2683" s="70">
        <f>CurrentMtgRatesDataTable8[[#This Row],[Servicing Spread Non-Zero]]-L2682</f>
        <v>8.2161416576109758E-3</v>
      </c>
      <c r="N2683" s="70">
        <f>IF(J2682&lt;&gt;0,CurrentMtgRatesDataTable8[[#This Row],[Rate]]-C2682,N2682)</f>
        <v>-4.4999999999999041E-2</v>
      </c>
    </row>
    <row r="2684" spans="1:14">
      <c r="A2684" s="67" t="s">
        <v>703</v>
      </c>
      <c r="B2684" s="68">
        <v>3.1399551635126901</v>
      </c>
      <c r="C2684" s="69">
        <v>3.9749999999999996</v>
      </c>
      <c r="D2684" s="70">
        <f t="shared" si="287"/>
        <v>1</v>
      </c>
      <c r="E2684" s="70">
        <f t="shared" si="288"/>
        <v>0.2</v>
      </c>
      <c r="F2684" s="70">
        <f t="shared" si="289"/>
        <v>1</v>
      </c>
      <c r="G2684" s="70">
        <f t="shared" si="290"/>
        <v>0.62799103270253809</v>
      </c>
      <c r="H2684" s="70">
        <f t="shared" si="291"/>
        <v>0.2</v>
      </c>
      <c r="I2684" s="70">
        <f t="shared" si="292"/>
        <v>0</v>
      </c>
      <c r="J2684" s="70">
        <f t="shared" si="293"/>
        <v>0</v>
      </c>
      <c r="K2684" s="70">
        <f>IF(CurrentMtgRatesDataTable8[[#This Row],[WA CC]]&lt;&gt;0,C2683-CurrentMtgRatesDataTable8[[#This Row],[WA CC]],0)</f>
        <v>0</v>
      </c>
      <c r="L2684" s="70">
        <f>IF(CurrentMtgRatesDataTable8[[#This Row],[Servicing Spread]]&lt;=0,L2683,CurrentMtgRatesDataTable8[[#This Row],[Servicing Spread]])</f>
        <v>0.84212003389910217</v>
      </c>
      <c r="M2684" s="70">
        <f>CurrentMtgRatesDataTable8[[#This Row],[Servicing Spread Non-Zero]]-L2683</f>
        <v>0</v>
      </c>
      <c r="N2684" s="70">
        <f>IF(J2683&lt;&gt;0,CurrentMtgRatesDataTable8[[#This Row],[Rate]]-C2683,N2683)</f>
        <v>-4.5000000000000817E-2</v>
      </c>
    </row>
    <row r="2685" spans="1:14">
      <c r="A2685" s="67" t="s">
        <v>561</v>
      </c>
      <c r="B2685" s="68">
        <v>3.0935764216510502</v>
      </c>
      <c r="C2685" s="69">
        <v>3.9749999999999996</v>
      </c>
      <c r="D2685" s="70">
        <f t="shared" si="287"/>
        <v>2</v>
      </c>
      <c r="E2685" s="70">
        <f t="shared" si="288"/>
        <v>0.2</v>
      </c>
      <c r="F2685" s="70">
        <f t="shared" si="289"/>
        <v>2</v>
      </c>
      <c r="G2685" s="70">
        <f t="shared" si="290"/>
        <v>1.2467063170327481</v>
      </c>
      <c r="H2685" s="70">
        <f t="shared" si="291"/>
        <v>0.4</v>
      </c>
      <c r="I2685" s="70">
        <f t="shared" si="292"/>
        <v>0</v>
      </c>
      <c r="J2685" s="70">
        <f t="shared" si="293"/>
        <v>0</v>
      </c>
      <c r="K2685" s="70">
        <f>IF(CurrentMtgRatesDataTable8[[#This Row],[WA CC]]&lt;&gt;0,C2684-CurrentMtgRatesDataTable8[[#This Row],[WA CC]],0)</f>
        <v>0</v>
      </c>
      <c r="L2685" s="70">
        <f>IF(CurrentMtgRatesDataTable8[[#This Row],[Servicing Spread]]&lt;=0,L2684,CurrentMtgRatesDataTable8[[#This Row],[Servicing Spread]])</f>
        <v>0.84212003389910217</v>
      </c>
      <c r="M2685" s="70">
        <f>CurrentMtgRatesDataTable8[[#This Row],[Servicing Spread Non-Zero]]-L2684</f>
        <v>0</v>
      </c>
      <c r="N2685" s="70">
        <f>IF(J2684&lt;&gt;0,CurrentMtgRatesDataTable8[[#This Row],[Rate]]-C2684,N2684)</f>
        <v>-4.5000000000000817E-2</v>
      </c>
    </row>
    <row r="2686" spans="1:14">
      <c r="A2686" s="67" t="s">
        <v>416</v>
      </c>
      <c r="B2686" s="68">
        <v>3.1399786597886301</v>
      </c>
      <c r="C2686" s="69">
        <v>3.9749999999999996</v>
      </c>
      <c r="D2686" s="70">
        <f t="shared" si="287"/>
        <v>5</v>
      </c>
      <c r="E2686" s="70">
        <f t="shared" si="288"/>
        <v>0.2</v>
      </c>
      <c r="F2686" s="70">
        <f t="shared" si="289"/>
        <v>3</v>
      </c>
      <c r="G2686" s="70">
        <f t="shared" si="290"/>
        <v>1.8747020489904742</v>
      </c>
      <c r="H2686" s="70">
        <f t="shared" si="291"/>
        <v>0.60000000000000009</v>
      </c>
      <c r="I2686" s="70">
        <f t="shared" si="292"/>
        <v>0</v>
      </c>
      <c r="J2686" s="70">
        <f t="shared" si="293"/>
        <v>0</v>
      </c>
      <c r="K2686" s="70">
        <f>IF(CurrentMtgRatesDataTable8[[#This Row],[WA CC]]&lt;&gt;0,C2685-CurrentMtgRatesDataTable8[[#This Row],[WA CC]],0)</f>
        <v>0</v>
      </c>
      <c r="L2686" s="70">
        <f>IF(CurrentMtgRatesDataTable8[[#This Row],[Servicing Spread]]&lt;=0,L2685,CurrentMtgRatesDataTable8[[#This Row],[Servicing Spread]])</f>
        <v>0.84212003389910217</v>
      </c>
      <c r="M2686" s="70">
        <f>CurrentMtgRatesDataTable8[[#This Row],[Servicing Spread Non-Zero]]-L2685</f>
        <v>0</v>
      </c>
      <c r="N2686" s="70">
        <f>IF(J2685&lt;&gt;0,CurrentMtgRatesDataTable8[[#This Row],[Rate]]-C2685,N2685)</f>
        <v>-4.5000000000000817E-2</v>
      </c>
    </row>
    <row r="2687" spans="1:14">
      <c r="A2687" s="67" t="s">
        <v>285</v>
      </c>
      <c r="B2687" s="68">
        <v>3.1648384217316798</v>
      </c>
      <c r="C2687" s="69">
        <v>3.9749999999999996</v>
      </c>
      <c r="D2687" s="70">
        <f t="shared" si="287"/>
        <v>6</v>
      </c>
      <c r="E2687" s="70">
        <f t="shared" si="288"/>
        <v>0.2</v>
      </c>
      <c r="F2687" s="70">
        <f t="shared" si="289"/>
        <v>4</v>
      </c>
      <c r="G2687" s="70">
        <f t="shared" si="290"/>
        <v>2.5076697333368103</v>
      </c>
      <c r="H2687" s="70">
        <f t="shared" si="291"/>
        <v>0.8</v>
      </c>
      <c r="I2687" s="70">
        <f t="shared" si="292"/>
        <v>0</v>
      </c>
      <c r="J2687" s="70">
        <f t="shared" si="293"/>
        <v>0</v>
      </c>
      <c r="K2687" s="70">
        <f>IF(CurrentMtgRatesDataTable8[[#This Row],[WA CC]]&lt;&gt;0,C2686-CurrentMtgRatesDataTable8[[#This Row],[WA CC]],0)</f>
        <v>0</v>
      </c>
      <c r="L2687" s="70">
        <f>IF(CurrentMtgRatesDataTable8[[#This Row],[Servicing Spread]]&lt;=0,L2686,CurrentMtgRatesDataTable8[[#This Row],[Servicing Spread]])</f>
        <v>0.84212003389910217</v>
      </c>
      <c r="M2687" s="70">
        <f>CurrentMtgRatesDataTable8[[#This Row],[Servicing Spread Non-Zero]]-L2686</f>
        <v>0</v>
      </c>
      <c r="N2687" s="70">
        <f>IF(J2686&lt;&gt;0,CurrentMtgRatesDataTable8[[#This Row],[Rate]]-C2686,N2686)</f>
        <v>-4.5000000000000817E-2</v>
      </c>
    </row>
    <row r="2688" spans="1:14">
      <c r="A2688" s="67" t="s">
        <v>140</v>
      </c>
      <c r="B2688" s="68">
        <v>3.1828839679523702</v>
      </c>
      <c r="C2688" s="69">
        <v>3.9749999999999996</v>
      </c>
      <c r="D2688" s="70">
        <f t="shared" si="287"/>
        <v>7</v>
      </c>
      <c r="E2688" s="70">
        <f t="shared" si="288"/>
        <v>0.2</v>
      </c>
      <c r="F2688" s="70">
        <f t="shared" si="289"/>
        <v>5</v>
      </c>
      <c r="G2688" s="70">
        <f t="shared" si="290"/>
        <v>3.1442465269272843</v>
      </c>
      <c r="H2688" s="70">
        <f t="shared" si="291"/>
        <v>1</v>
      </c>
      <c r="I2688" s="70">
        <f t="shared" si="292"/>
        <v>1</v>
      </c>
      <c r="J2688" s="70">
        <f t="shared" si="293"/>
        <v>3.1442465269272843</v>
      </c>
      <c r="K2688" s="70">
        <f>IF(CurrentMtgRatesDataTable8[[#This Row],[WA CC]]&lt;&gt;0,C2687-CurrentMtgRatesDataTable8[[#This Row],[WA CC]],0)</f>
        <v>0.8307534730727153</v>
      </c>
      <c r="L2688" s="70">
        <f>IF(CurrentMtgRatesDataTable8[[#This Row],[Servicing Spread]]&lt;=0,L2687,CurrentMtgRatesDataTable8[[#This Row],[Servicing Spread]])</f>
        <v>0.8307534730727153</v>
      </c>
      <c r="M2688" s="70">
        <f>CurrentMtgRatesDataTable8[[#This Row],[Servicing Spread Non-Zero]]-L2687</f>
        <v>-1.1366560826386873E-2</v>
      </c>
      <c r="N2688" s="70">
        <f>IF(J2687&lt;&gt;0,CurrentMtgRatesDataTable8[[#This Row],[Rate]]-C2687,N2687)</f>
        <v>-4.5000000000000817E-2</v>
      </c>
    </row>
    <row r="2689" spans="1:14">
      <c r="A2689" s="67" t="s">
        <v>704</v>
      </c>
      <c r="B2689" s="68">
        <v>3.1567795766011701</v>
      </c>
      <c r="C2689" s="69">
        <v>3.9749999999999996</v>
      </c>
      <c r="D2689" s="70">
        <f t="shared" si="287"/>
        <v>1</v>
      </c>
      <c r="E2689" s="70">
        <f t="shared" si="288"/>
        <v>0.2</v>
      </c>
      <c r="F2689" s="70">
        <f t="shared" si="289"/>
        <v>1</v>
      </c>
      <c r="G2689" s="70">
        <f t="shared" si="290"/>
        <v>0.63135591532023405</v>
      </c>
      <c r="H2689" s="70">
        <f t="shared" si="291"/>
        <v>0.2</v>
      </c>
      <c r="I2689" s="70">
        <f t="shared" si="292"/>
        <v>0</v>
      </c>
      <c r="J2689" s="70">
        <f t="shared" si="293"/>
        <v>0</v>
      </c>
      <c r="K2689" s="70">
        <f>IF(CurrentMtgRatesDataTable8[[#This Row],[WA CC]]&lt;&gt;0,C2688-CurrentMtgRatesDataTable8[[#This Row],[WA CC]],0)</f>
        <v>0</v>
      </c>
      <c r="L2689" s="70">
        <f>IF(CurrentMtgRatesDataTable8[[#This Row],[Servicing Spread]]&lt;=0,L2688,CurrentMtgRatesDataTable8[[#This Row],[Servicing Spread]])</f>
        <v>0.8307534730727153</v>
      </c>
      <c r="M2689" s="70">
        <f>CurrentMtgRatesDataTable8[[#This Row],[Servicing Spread Non-Zero]]-L2688</f>
        <v>0</v>
      </c>
      <c r="N2689" s="70">
        <f>IF(J2688&lt;&gt;0,CurrentMtgRatesDataTable8[[#This Row],[Rate]]-C2688,N2688)</f>
        <v>0</v>
      </c>
    </row>
    <row r="2690" spans="1:14">
      <c r="A2690" s="67" t="s">
        <v>562</v>
      </c>
      <c r="B2690" s="68">
        <v>3.1508216358267802</v>
      </c>
      <c r="C2690" s="69">
        <v>3.9749999999999996</v>
      </c>
      <c r="D2690" s="70">
        <f t="shared" si="287"/>
        <v>2</v>
      </c>
      <c r="E2690" s="70">
        <f t="shared" si="288"/>
        <v>0.2</v>
      </c>
      <c r="F2690" s="70">
        <f t="shared" si="289"/>
        <v>2</v>
      </c>
      <c r="G2690" s="70">
        <f t="shared" si="290"/>
        <v>1.2615202424855902</v>
      </c>
      <c r="H2690" s="70">
        <f t="shared" si="291"/>
        <v>0.4</v>
      </c>
      <c r="I2690" s="70">
        <f t="shared" si="292"/>
        <v>0</v>
      </c>
      <c r="J2690" s="70">
        <f t="shared" si="293"/>
        <v>0</v>
      </c>
      <c r="K2690" s="70">
        <f>IF(CurrentMtgRatesDataTable8[[#This Row],[WA CC]]&lt;&gt;0,C2689-CurrentMtgRatesDataTable8[[#This Row],[WA CC]],0)</f>
        <v>0</v>
      </c>
      <c r="L2690" s="70">
        <f>IF(CurrentMtgRatesDataTable8[[#This Row],[Servicing Spread]]&lt;=0,L2689,CurrentMtgRatesDataTable8[[#This Row],[Servicing Spread]])</f>
        <v>0.8307534730727153</v>
      </c>
      <c r="M2690" s="70">
        <f>CurrentMtgRatesDataTable8[[#This Row],[Servicing Spread Non-Zero]]-L2689</f>
        <v>0</v>
      </c>
      <c r="N2690" s="70">
        <f>IF(J2689&lt;&gt;0,CurrentMtgRatesDataTable8[[#This Row],[Rate]]-C2689,N2689)</f>
        <v>0</v>
      </c>
    </row>
    <row r="2691" spans="1:14">
      <c r="A2691" s="67" t="s">
        <v>417</v>
      </c>
      <c r="B2691" s="68">
        <v>3.1385592562937199</v>
      </c>
      <c r="C2691" s="69">
        <v>3.9749999999999996</v>
      </c>
      <c r="D2691" s="70">
        <f t="shared" si="287"/>
        <v>5</v>
      </c>
      <c r="E2691" s="70">
        <f t="shared" si="288"/>
        <v>0.2</v>
      </c>
      <c r="F2691" s="70">
        <f t="shared" si="289"/>
        <v>3</v>
      </c>
      <c r="G2691" s="70">
        <f t="shared" si="290"/>
        <v>1.8892320937443343</v>
      </c>
      <c r="H2691" s="70">
        <f t="shared" si="291"/>
        <v>0.60000000000000009</v>
      </c>
      <c r="I2691" s="70">
        <f t="shared" si="292"/>
        <v>0</v>
      </c>
      <c r="J2691" s="70">
        <f t="shared" si="293"/>
        <v>0</v>
      </c>
      <c r="K2691" s="70">
        <f>IF(CurrentMtgRatesDataTable8[[#This Row],[WA CC]]&lt;&gt;0,C2690-CurrentMtgRatesDataTable8[[#This Row],[WA CC]],0)</f>
        <v>0</v>
      </c>
      <c r="L2691" s="70">
        <f>IF(CurrentMtgRatesDataTable8[[#This Row],[Servicing Spread]]&lt;=0,L2690,CurrentMtgRatesDataTable8[[#This Row],[Servicing Spread]])</f>
        <v>0.8307534730727153</v>
      </c>
      <c r="M2691" s="70">
        <f>CurrentMtgRatesDataTable8[[#This Row],[Servicing Spread Non-Zero]]-L2690</f>
        <v>0</v>
      </c>
      <c r="N2691" s="70">
        <f>IF(J2690&lt;&gt;0,CurrentMtgRatesDataTable8[[#This Row],[Rate]]-C2690,N2690)</f>
        <v>0</v>
      </c>
    </row>
    <row r="2692" spans="1:14">
      <c r="A2692" s="67" t="s">
        <v>286</v>
      </c>
      <c r="B2692" s="68">
        <v>3.12943696082093</v>
      </c>
      <c r="C2692" s="69">
        <v>3.9749999999999996</v>
      </c>
      <c r="D2692" s="70">
        <f t="shared" si="287"/>
        <v>6</v>
      </c>
      <c r="E2692" s="70">
        <f t="shared" si="288"/>
        <v>0.2</v>
      </c>
      <c r="F2692" s="70">
        <f t="shared" si="289"/>
        <v>4</v>
      </c>
      <c r="G2692" s="70">
        <f t="shared" si="290"/>
        <v>2.5151194859085204</v>
      </c>
      <c r="H2692" s="70">
        <f t="shared" si="291"/>
        <v>0.8</v>
      </c>
      <c r="I2692" s="70">
        <f t="shared" si="292"/>
        <v>0</v>
      </c>
      <c r="J2692" s="70">
        <f t="shared" si="293"/>
        <v>0</v>
      </c>
      <c r="K2692" s="70">
        <f>IF(CurrentMtgRatesDataTable8[[#This Row],[WA CC]]&lt;&gt;0,C2691-CurrentMtgRatesDataTable8[[#This Row],[WA CC]],0)</f>
        <v>0</v>
      </c>
      <c r="L2692" s="70">
        <f>IF(CurrentMtgRatesDataTable8[[#This Row],[Servicing Spread]]&lt;=0,L2691,CurrentMtgRatesDataTable8[[#This Row],[Servicing Spread]])</f>
        <v>0.8307534730727153</v>
      </c>
      <c r="M2692" s="70">
        <f>CurrentMtgRatesDataTable8[[#This Row],[Servicing Spread Non-Zero]]-L2691</f>
        <v>0</v>
      </c>
      <c r="N2692" s="70">
        <f>IF(J2691&lt;&gt;0,CurrentMtgRatesDataTable8[[#This Row],[Rate]]-C2691,N2691)</f>
        <v>0</v>
      </c>
    </row>
    <row r="2693" spans="1:14">
      <c r="A2693" s="67" t="s">
        <v>141</v>
      </c>
      <c r="B2693" s="68">
        <v>3.09887022841253</v>
      </c>
      <c r="C2693" s="69">
        <v>3.9749999999999996</v>
      </c>
      <c r="D2693" s="70">
        <f t="shared" ref="D2693:D2756" si="294">WEEKDAY(A2693,14)</f>
        <v>7</v>
      </c>
      <c r="E2693" s="70">
        <f t="shared" ref="E2693:E2756" si="295">VLOOKUP(D2693,Q$5:R$11,2,FALSE)</f>
        <v>0.2</v>
      </c>
      <c r="F2693" s="70">
        <f t="shared" ref="F2693:F2756" si="296">IF(AND(D2693&gt;D2692,F2692&lt;6),F2692+1,1)</f>
        <v>5</v>
      </c>
      <c r="G2693" s="70">
        <f t="shared" ref="G2693:G2756" si="297">IF(F2693&gt;F2692,G2692+B2693*E2693,B2693*E2693)</f>
        <v>3.1348935315910262</v>
      </c>
      <c r="H2693" s="70">
        <f t="shared" ref="H2693:H2756" si="298">IF(AND(F2693&lt;6,F2693&gt;F2692),E2693+H2692,E2693)</f>
        <v>1</v>
      </c>
      <c r="I2693" s="70">
        <f t="shared" ref="I2693:I2756" si="299">IF(F2693&gt;F2694,1,0)</f>
        <v>1</v>
      </c>
      <c r="J2693" s="70">
        <f t="shared" ref="J2693:J2756" si="300">IF(F2693&gt;F2694,G2693/H2693,0)</f>
        <v>3.1348935315910262</v>
      </c>
      <c r="K2693" s="70">
        <f>IF(CurrentMtgRatesDataTable8[[#This Row],[WA CC]]&lt;&gt;0,C2692-CurrentMtgRatesDataTable8[[#This Row],[WA CC]],0)</f>
        <v>0.84010646840897341</v>
      </c>
      <c r="L2693" s="70">
        <f>IF(CurrentMtgRatesDataTable8[[#This Row],[Servicing Spread]]&lt;=0,L2692,CurrentMtgRatesDataTable8[[#This Row],[Servicing Spread]])</f>
        <v>0.84010646840897341</v>
      </c>
      <c r="M2693" s="70">
        <f>CurrentMtgRatesDataTable8[[#This Row],[Servicing Spread Non-Zero]]-L2692</f>
        <v>9.3529953362581075E-3</v>
      </c>
      <c r="N2693" s="70">
        <f>IF(J2692&lt;&gt;0,CurrentMtgRatesDataTable8[[#This Row],[Rate]]-C2692,N2692)</f>
        <v>0</v>
      </c>
    </row>
    <row r="2694" spans="1:14">
      <c r="A2694" s="67" t="s">
        <v>705</v>
      </c>
      <c r="B2694" s="68">
        <v>3.0781225342059799</v>
      </c>
      <c r="C2694" s="69">
        <v>3.9749999999999996</v>
      </c>
      <c r="D2694" s="70">
        <f t="shared" si="294"/>
        <v>1</v>
      </c>
      <c r="E2694" s="70">
        <f t="shared" si="295"/>
        <v>0.2</v>
      </c>
      <c r="F2694" s="70">
        <f t="shared" si="296"/>
        <v>1</v>
      </c>
      <c r="G2694" s="70">
        <f t="shared" si="297"/>
        <v>0.61562450684119607</v>
      </c>
      <c r="H2694" s="70">
        <f t="shared" si="298"/>
        <v>0.2</v>
      </c>
      <c r="I2694" s="70">
        <f t="shared" si="299"/>
        <v>0</v>
      </c>
      <c r="J2694" s="70">
        <f t="shared" si="300"/>
        <v>0</v>
      </c>
      <c r="K2694" s="70">
        <f>IF(CurrentMtgRatesDataTable8[[#This Row],[WA CC]]&lt;&gt;0,C2693-CurrentMtgRatesDataTable8[[#This Row],[WA CC]],0)</f>
        <v>0</v>
      </c>
      <c r="L2694" s="70">
        <f>IF(CurrentMtgRatesDataTable8[[#This Row],[Servicing Spread]]&lt;=0,L2693,CurrentMtgRatesDataTable8[[#This Row],[Servicing Spread]])</f>
        <v>0.84010646840897341</v>
      </c>
      <c r="M2694" s="70">
        <f>CurrentMtgRatesDataTable8[[#This Row],[Servicing Spread Non-Zero]]-L2693</f>
        <v>0</v>
      </c>
      <c r="N2694" s="70">
        <f>IF(J2693&lt;&gt;0,CurrentMtgRatesDataTable8[[#This Row],[Rate]]-C2693,N2693)</f>
        <v>0</v>
      </c>
    </row>
    <row r="2695" spans="1:14">
      <c r="A2695" s="67" t="s">
        <v>563</v>
      </c>
      <c r="B2695" s="68">
        <v>3.0803371977218901</v>
      </c>
      <c r="C2695" s="69">
        <v>3.9749999999999996</v>
      </c>
      <c r="D2695" s="70">
        <f t="shared" si="294"/>
        <v>2</v>
      </c>
      <c r="E2695" s="70">
        <f t="shared" si="295"/>
        <v>0.2</v>
      </c>
      <c r="F2695" s="70">
        <f t="shared" si="296"/>
        <v>2</v>
      </c>
      <c r="G2695" s="70">
        <f t="shared" si="297"/>
        <v>1.231691946385574</v>
      </c>
      <c r="H2695" s="70">
        <f t="shared" si="298"/>
        <v>0.4</v>
      </c>
      <c r="I2695" s="70">
        <f t="shared" si="299"/>
        <v>0</v>
      </c>
      <c r="J2695" s="70">
        <f t="shared" si="300"/>
        <v>0</v>
      </c>
      <c r="K2695" s="70">
        <f>IF(CurrentMtgRatesDataTable8[[#This Row],[WA CC]]&lt;&gt;0,C2694-CurrentMtgRatesDataTable8[[#This Row],[WA CC]],0)</f>
        <v>0</v>
      </c>
      <c r="L2695" s="70">
        <f>IF(CurrentMtgRatesDataTable8[[#This Row],[Servicing Spread]]&lt;=0,L2694,CurrentMtgRatesDataTable8[[#This Row],[Servicing Spread]])</f>
        <v>0.84010646840897341</v>
      </c>
      <c r="M2695" s="70">
        <f>CurrentMtgRatesDataTable8[[#This Row],[Servicing Spread Non-Zero]]-L2694</f>
        <v>0</v>
      </c>
      <c r="N2695" s="70">
        <f>IF(J2694&lt;&gt;0,CurrentMtgRatesDataTable8[[#This Row],[Rate]]-C2694,N2694)</f>
        <v>0</v>
      </c>
    </row>
    <row r="2696" spans="1:14">
      <c r="A2696" s="67" t="s">
        <v>287</v>
      </c>
      <c r="B2696" s="68">
        <v>3.1334692922129599</v>
      </c>
      <c r="C2696" s="69">
        <v>3.9749999999999996</v>
      </c>
      <c r="D2696" s="70">
        <f t="shared" si="294"/>
        <v>6</v>
      </c>
      <c r="E2696" s="70">
        <f t="shared" si="295"/>
        <v>0.2</v>
      </c>
      <c r="F2696" s="70">
        <f t="shared" si="296"/>
        <v>3</v>
      </c>
      <c r="G2696" s="70">
        <f t="shared" si="297"/>
        <v>1.8583858048281661</v>
      </c>
      <c r="H2696" s="70">
        <f t="shared" si="298"/>
        <v>0.60000000000000009</v>
      </c>
      <c r="I2696" s="70">
        <f t="shared" si="299"/>
        <v>0</v>
      </c>
      <c r="J2696" s="70">
        <f t="shared" si="300"/>
        <v>0</v>
      </c>
      <c r="K2696" s="70">
        <f>IF(CurrentMtgRatesDataTable8[[#This Row],[WA CC]]&lt;&gt;0,C2695-CurrentMtgRatesDataTable8[[#This Row],[WA CC]],0)</f>
        <v>0</v>
      </c>
      <c r="L2696" s="70">
        <f>IF(CurrentMtgRatesDataTable8[[#This Row],[Servicing Spread]]&lt;=0,L2695,CurrentMtgRatesDataTable8[[#This Row],[Servicing Spread]])</f>
        <v>0.84010646840897341</v>
      </c>
      <c r="M2696" s="70">
        <f>CurrentMtgRatesDataTable8[[#This Row],[Servicing Spread Non-Zero]]-L2695</f>
        <v>0</v>
      </c>
      <c r="N2696" s="70">
        <f>IF(J2695&lt;&gt;0,CurrentMtgRatesDataTable8[[#This Row],[Rate]]-C2695,N2695)</f>
        <v>0</v>
      </c>
    </row>
    <row r="2697" spans="1:14">
      <c r="A2697" s="67" t="s">
        <v>142</v>
      </c>
      <c r="B2697" s="68">
        <v>3.1253552915520499</v>
      </c>
      <c r="C2697" s="69">
        <v>3.9749999999999996</v>
      </c>
      <c r="D2697" s="70">
        <f t="shared" si="294"/>
        <v>7</v>
      </c>
      <c r="E2697" s="70">
        <f t="shared" si="295"/>
        <v>0.2</v>
      </c>
      <c r="F2697" s="70">
        <f t="shared" si="296"/>
        <v>4</v>
      </c>
      <c r="G2697" s="70">
        <f t="shared" si="297"/>
        <v>2.4834568631385761</v>
      </c>
      <c r="H2697" s="70">
        <f t="shared" si="298"/>
        <v>0.8</v>
      </c>
      <c r="I2697" s="70">
        <f t="shared" si="299"/>
        <v>1</v>
      </c>
      <c r="J2697" s="70">
        <f t="shared" si="300"/>
        <v>3.1043210789232201</v>
      </c>
      <c r="K2697" s="70">
        <f>IF(CurrentMtgRatesDataTable8[[#This Row],[WA CC]]&lt;&gt;0,C2696-CurrentMtgRatesDataTable8[[#This Row],[WA CC]],0)</f>
        <v>0.87067892107677958</v>
      </c>
      <c r="L2697" s="70">
        <f>IF(CurrentMtgRatesDataTable8[[#This Row],[Servicing Spread]]&lt;=0,L2696,CurrentMtgRatesDataTable8[[#This Row],[Servicing Spread]])</f>
        <v>0.87067892107677958</v>
      </c>
      <c r="M2697" s="70">
        <f>CurrentMtgRatesDataTable8[[#This Row],[Servicing Spread Non-Zero]]-L2696</f>
        <v>3.0572452667806171E-2</v>
      </c>
      <c r="N2697" s="70">
        <f>IF(J2696&lt;&gt;0,CurrentMtgRatesDataTable8[[#This Row],[Rate]]-C2696,N2696)</f>
        <v>0</v>
      </c>
    </row>
    <row r="2698" spans="1:14">
      <c r="A2698" s="67" t="s">
        <v>706</v>
      </c>
      <c r="B2698" s="68">
        <v>3.1528316914569898</v>
      </c>
      <c r="C2698" s="69">
        <v>3.9950000000000001</v>
      </c>
      <c r="D2698" s="70">
        <f t="shared" si="294"/>
        <v>1</v>
      </c>
      <c r="E2698" s="70">
        <f t="shared" si="295"/>
        <v>0.2</v>
      </c>
      <c r="F2698" s="70">
        <f t="shared" si="296"/>
        <v>1</v>
      </c>
      <c r="G2698" s="70">
        <f t="shared" si="297"/>
        <v>0.63056633829139797</v>
      </c>
      <c r="H2698" s="70">
        <f t="shared" si="298"/>
        <v>0.2</v>
      </c>
      <c r="I2698" s="70">
        <f t="shared" si="299"/>
        <v>0</v>
      </c>
      <c r="J2698" s="70">
        <f t="shared" si="300"/>
        <v>0</v>
      </c>
      <c r="K2698" s="70">
        <f>IF(CurrentMtgRatesDataTable8[[#This Row],[WA CC]]&lt;&gt;0,C2697-CurrentMtgRatesDataTable8[[#This Row],[WA CC]],0)</f>
        <v>0</v>
      </c>
      <c r="L2698" s="70">
        <f>IF(CurrentMtgRatesDataTable8[[#This Row],[Servicing Spread]]&lt;=0,L2697,CurrentMtgRatesDataTable8[[#This Row],[Servicing Spread]])</f>
        <v>0.87067892107677958</v>
      </c>
      <c r="M2698" s="70">
        <f>CurrentMtgRatesDataTable8[[#This Row],[Servicing Spread Non-Zero]]-L2697</f>
        <v>0</v>
      </c>
      <c r="N2698" s="70">
        <f>IF(J2697&lt;&gt;0,CurrentMtgRatesDataTable8[[#This Row],[Rate]]-C2697,N2697)</f>
        <v>2.0000000000000462E-2</v>
      </c>
    </row>
    <row r="2699" spans="1:14">
      <c r="A2699" s="67" t="s">
        <v>564</v>
      </c>
      <c r="B2699" s="68">
        <v>3.1681849384338299</v>
      </c>
      <c r="C2699" s="69">
        <v>3.9950000000000001</v>
      </c>
      <c r="D2699" s="70">
        <f t="shared" si="294"/>
        <v>2</v>
      </c>
      <c r="E2699" s="70">
        <f t="shared" si="295"/>
        <v>0.2</v>
      </c>
      <c r="F2699" s="70">
        <f t="shared" si="296"/>
        <v>2</v>
      </c>
      <c r="G2699" s="70">
        <f t="shared" si="297"/>
        <v>1.264203325978164</v>
      </c>
      <c r="H2699" s="70">
        <f t="shared" si="298"/>
        <v>0.4</v>
      </c>
      <c r="I2699" s="70">
        <f t="shared" si="299"/>
        <v>0</v>
      </c>
      <c r="J2699" s="70">
        <f t="shared" si="300"/>
        <v>0</v>
      </c>
      <c r="K2699" s="70">
        <f>IF(CurrentMtgRatesDataTable8[[#This Row],[WA CC]]&lt;&gt;0,C2698-CurrentMtgRatesDataTable8[[#This Row],[WA CC]],0)</f>
        <v>0</v>
      </c>
      <c r="L2699" s="70">
        <f>IF(CurrentMtgRatesDataTable8[[#This Row],[Servicing Spread]]&lt;=0,L2698,CurrentMtgRatesDataTable8[[#This Row],[Servicing Spread]])</f>
        <v>0.87067892107677958</v>
      </c>
      <c r="M2699" s="70">
        <f>CurrentMtgRatesDataTable8[[#This Row],[Servicing Spread Non-Zero]]-L2698</f>
        <v>0</v>
      </c>
      <c r="N2699" s="70">
        <f>IF(J2698&lt;&gt;0,CurrentMtgRatesDataTable8[[#This Row],[Rate]]-C2698,N2698)</f>
        <v>2.0000000000000462E-2</v>
      </c>
    </row>
    <row r="2700" spans="1:14">
      <c r="A2700" s="67" t="s">
        <v>418</v>
      </c>
      <c r="B2700" s="68">
        <v>3.1760802516618698</v>
      </c>
      <c r="C2700" s="69">
        <v>3.9950000000000001</v>
      </c>
      <c r="D2700" s="70">
        <f t="shared" si="294"/>
        <v>5</v>
      </c>
      <c r="E2700" s="70">
        <f t="shared" si="295"/>
        <v>0.2</v>
      </c>
      <c r="F2700" s="70">
        <f t="shared" si="296"/>
        <v>3</v>
      </c>
      <c r="G2700" s="70">
        <f t="shared" si="297"/>
        <v>1.899419376310538</v>
      </c>
      <c r="H2700" s="70">
        <f t="shared" si="298"/>
        <v>0.60000000000000009</v>
      </c>
      <c r="I2700" s="70">
        <f t="shared" si="299"/>
        <v>0</v>
      </c>
      <c r="J2700" s="70">
        <f t="shared" si="300"/>
        <v>0</v>
      </c>
      <c r="K2700" s="70">
        <f>IF(CurrentMtgRatesDataTable8[[#This Row],[WA CC]]&lt;&gt;0,C2699-CurrentMtgRatesDataTable8[[#This Row],[WA CC]],0)</f>
        <v>0</v>
      </c>
      <c r="L2700" s="70">
        <f>IF(CurrentMtgRatesDataTable8[[#This Row],[Servicing Spread]]&lt;=0,L2699,CurrentMtgRatesDataTable8[[#This Row],[Servicing Spread]])</f>
        <v>0.87067892107677958</v>
      </c>
      <c r="M2700" s="70">
        <f>CurrentMtgRatesDataTable8[[#This Row],[Servicing Spread Non-Zero]]-L2699</f>
        <v>0</v>
      </c>
      <c r="N2700" s="70">
        <f>IF(J2699&lt;&gt;0,CurrentMtgRatesDataTable8[[#This Row],[Rate]]-C2699,N2699)</f>
        <v>2.0000000000000462E-2</v>
      </c>
    </row>
    <row r="2701" spans="1:14">
      <c r="A2701" s="67" t="s">
        <v>288</v>
      </c>
      <c r="B2701" s="68">
        <v>3.20426354311416</v>
      </c>
      <c r="C2701" s="69">
        <v>3.9950000000000001</v>
      </c>
      <c r="D2701" s="70">
        <f t="shared" si="294"/>
        <v>6</v>
      </c>
      <c r="E2701" s="70">
        <f t="shared" si="295"/>
        <v>0.2</v>
      </c>
      <c r="F2701" s="70">
        <f t="shared" si="296"/>
        <v>4</v>
      </c>
      <c r="G2701" s="70">
        <f t="shared" si="297"/>
        <v>2.54027208493337</v>
      </c>
      <c r="H2701" s="70">
        <f t="shared" si="298"/>
        <v>0.8</v>
      </c>
      <c r="I2701" s="70">
        <f t="shared" si="299"/>
        <v>0</v>
      </c>
      <c r="J2701" s="70">
        <f t="shared" si="300"/>
        <v>0</v>
      </c>
      <c r="K2701" s="70">
        <f>IF(CurrentMtgRatesDataTable8[[#This Row],[WA CC]]&lt;&gt;0,C2700-CurrentMtgRatesDataTable8[[#This Row],[WA CC]],0)</f>
        <v>0</v>
      </c>
      <c r="L2701" s="70">
        <f>IF(CurrentMtgRatesDataTable8[[#This Row],[Servicing Spread]]&lt;=0,L2700,CurrentMtgRatesDataTable8[[#This Row],[Servicing Spread]])</f>
        <v>0.87067892107677958</v>
      </c>
      <c r="M2701" s="70">
        <f>CurrentMtgRatesDataTable8[[#This Row],[Servicing Spread Non-Zero]]-L2700</f>
        <v>0</v>
      </c>
      <c r="N2701" s="70">
        <f>IF(J2700&lt;&gt;0,CurrentMtgRatesDataTable8[[#This Row],[Rate]]-C2700,N2700)</f>
        <v>2.0000000000000462E-2</v>
      </c>
    </row>
    <row r="2702" spans="1:14">
      <c r="A2702" s="67" t="s">
        <v>143</v>
      </c>
      <c r="B2702" s="68">
        <v>3.23966504008277</v>
      </c>
      <c r="C2702" s="69">
        <v>3.9950000000000001</v>
      </c>
      <c r="D2702" s="70">
        <f t="shared" si="294"/>
        <v>7</v>
      </c>
      <c r="E2702" s="70">
        <f t="shared" si="295"/>
        <v>0.2</v>
      </c>
      <c r="F2702" s="70">
        <f t="shared" si="296"/>
        <v>5</v>
      </c>
      <c r="G2702" s="70">
        <f t="shared" si="297"/>
        <v>3.1882050929499242</v>
      </c>
      <c r="H2702" s="70">
        <f t="shared" si="298"/>
        <v>1</v>
      </c>
      <c r="I2702" s="70">
        <f t="shared" si="299"/>
        <v>1</v>
      </c>
      <c r="J2702" s="70">
        <f t="shared" si="300"/>
        <v>3.1882050929499242</v>
      </c>
      <c r="K2702" s="70">
        <f>IF(CurrentMtgRatesDataTable8[[#This Row],[WA CC]]&lt;&gt;0,C2701-CurrentMtgRatesDataTable8[[#This Row],[WA CC]],0)</f>
        <v>0.80679490705007595</v>
      </c>
      <c r="L2702" s="70">
        <f>IF(CurrentMtgRatesDataTable8[[#This Row],[Servicing Spread]]&lt;=0,L2701,CurrentMtgRatesDataTable8[[#This Row],[Servicing Spread]])</f>
        <v>0.80679490705007595</v>
      </c>
      <c r="M2702" s="70">
        <f>CurrentMtgRatesDataTable8[[#This Row],[Servicing Spread Non-Zero]]-L2701</f>
        <v>-6.3884014026703628E-2</v>
      </c>
      <c r="N2702" s="70">
        <f>IF(J2701&lt;&gt;0,CurrentMtgRatesDataTable8[[#This Row],[Rate]]-C2701,N2701)</f>
        <v>2.0000000000000462E-2</v>
      </c>
    </row>
    <row r="2703" spans="1:14">
      <c r="A2703" s="67" t="s">
        <v>707</v>
      </c>
      <c r="B2703" s="68">
        <v>3.2385398598967701</v>
      </c>
      <c r="C2703" s="69">
        <v>4.1050000000000004</v>
      </c>
      <c r="D2703" s="70">
        <f t="shared" si="294"/>
        <v>1</v>
      </c>
      <c r="E2703" s="70">
        <f t="shared" si="295"/>
        <v>0.2</v>
      </c>
      <c r="F2703" s="70">
        <f t="shared" si="296"/>
        <v>1</v>
      </c>
      <c r="G2703" s="70">
        <f t="shared" si="297"/>
        <v>0.64770797197935404</v>
      </c>
      <c r="H2703" s="70">
        <f t="shared" si="298"/>
        <v>0.2</v>
      </c>
      <c r="I2703" s="70">
        <f t="shared" si="299"/>
        <v>0</v>
      </c>
      <c r="J2703" s="70">
        <f t="shared" si="300"/>
        <v>0</v>
      </c>
      <c r="K2703" s="70">
        <f>IF(CurrentMtgRatesDataTable8[[#This Row],[WA CC]]&lt;&gt;0,C2702-CurrentMtgRatesDataTable8[[#This Row],[WA CC]],0)</f>
        <v>0</v>
      </c>
      <c r="L2703" s="70">
        <f>IF(CurrentMtgRatesDataTable8[[#This Row],[Servicing Spread]]&lt;=0,L2702,CurrentMtgRatesDataTable8[[#This Row],[Servicing Spread]])</f>
        <v>0.80679490705007595</v>
      </c>
      <c r="M2703" s="70">
        <f>CurrentMtgRatesDataTable8[[#This Row],[Servicing Spread Non-Zero]]-L2702</f>
        <v>0</v>
      </c>
      <c r="N2703" s="70">
        <f>IF(J2702&lt;&gt;0,CurrentMtgRatesDataTable8[[#This Row],[Rate]]-C2702,N2702)</f>
        <v>0.11000000000000032</v>
      </c>
    </row>
    <row r="2704" spans="1:14">
      <c r="A2704" s="67" t="s">
        <v>565</v>
      </c>
      <c r="B2704" s="68">
        <v>3.3013053863626398</v>
      </c>
      <c r="C2704" s="69">
        <v>4.1050000000000004</v>
      </c>
      <c r="D2704" s="70">
        <f t="shared" si="294"/>
        <v>2</v>
      </c>
      <c r="E2704" s="70">
        <f t="shared" si="295"/>
        <v>0.2</v>
      </c>
      <c r="F2704" s="70">
        <f t="shared" si="296"/>
        <v>2</v>
      </c>
      <c r="G2704" s="70">
        <f t="shared" si="297"/>
        <v>1.3079690492518821</v>
      </c>
      <c r="H2704" s="70">
        <f t="shared" si="298"/>
        <v>0.4</v>
      </c>
      <c r="I2704" s="70">
        <f t="shared" si="299"/>
        <v>0</v>
      </c>
      <c r="J2704" s="70">
        <f t="shared" si="300"/>
        <v>0</v>
      </c>
      <c r="K2704" s="70">
        <f>IF(CurrentMtgRatesDataTable8[[#This Row],[WA CC]]&lt;&gt;0,C2703-CurrentMtgRatesDataTable8[[#This Row],[WA CC]],0)</f>
        <v>0</v>
      </c>
      <c r="L2704" s="70">
        <f>IF(CurrentMtgRatesDataTable8[[#This Row],[Servicing Spread]]&lt;=0,L2703,CurrentMtgRatesDataTable8[[#This Row],[Servicing Spread]])</f>
        <v>0.80679490705007595</v>
      </c>
      <c r="M2704" s="70">
        <f>CurrentMtgRatesDataTable8[[#This Row],[Servicing Spread Non-Zero]]-L2703</f>
        <v>0</v>
      </c>
      <c r="N2704" s="70">
        <f>IF(J2703&lt;&gt;0,CurrentMtgRatesDataTable8[[#This Row],[Rate]]-C2703,N2703)</f>
        <v>0.11000000000000032</v>
      </c>
    </row>
    <row r="2705" spans="1:14">
      <c r="A2705" s="67" t="s">
        <v>419</v>
      </c>
      <c r="B2705" s="68">
        <v>3.2813411057709199</v>
      </c>
      <c r="C2705" s="69">
        <v>4.1050000000000004</v>
      </c>
      <c r="D2705" s="70">
        <f t="shared" si="294"/>
        <v>5</v>
      </c>
      <c r="E2705" s="70">
        <f t="shared" si="295"/>
        <v>0.2</v>
      </c>
      <c r="F2705" s="70">
        <f t="shared" si="296"/>
        <v>3</v>
      </c>
      <c r="G2705" s="70">
        <f t="shared" si="297"/>
        <v>1.9642372704060662</v>
      </c>
      <c r="H2705" s="70">
        <f t="shared" si="298"/>
        <v>0.60000000000000009</v>
      </c>
      <c r="I2705" s="70">
        <f t="shared" si="299"/>
        <v>0</v>
      </c>
      <c r="J2705" s="70">
        <f t="shared" si="300"/>
        <v>0</v>
      </c>
      <c r="K2705" s="70">
        <f>IF(CurrentMtgRatesDataTable8[[#This Row],[WA CC]]&lt;&gt;0,C2704-CurrentMtgRatesDataTable8[[#This Row],[WA CC]],0)</f>
        <v>0</v>
      </c>
      <c r="L2705" s="70">
        <f>IF(CurrentMtgRatesDataTable8[[#This Row],[Servicing Spread]]&lt;=0,L2704,CurrentMtgRatesDataTable8[[#This Row],[Servicing Spread]])</f>
        <v>0.80679490705007595</v>
      </c>
      <c r="M2705" s="70">
        <f>CurrentMtgRatesDataTable8[[#This Row],[Servicing Spread Non-Zero]]-L2704</f>
        <v>0</v>
      </c>
      <c r="N2705" s="70">
        <f>IF(J2704&lt;&gt;0,CurrentMtgRatesDataTable8[[#This Row],[Rate]]-C2704,N2704)</f>
        <v>0.11000000000000032</v>
      </c>
    </row>
    <row r="2706" spans="1:14">
      <c r="A2706" s="67" t="s">
        <v>289</v>
      </c>
      <c r="B2706" s="68">
        <v>3.28408302284724</v>
      </c>
      <c r="C2706" s="69">
        <v>4.1050000000000004</v>
      </c>
      <c r="D2706" s="70">
        <f t="shared" si="294"/>
        <v>6</v>
      </c>
      <c r="E2706" s="70">
        <f t="shared" si="295"/>
        <v>0.2</v>
      </c>
      <c r="F2706" s="70">
        <f t="shared" si="296"/>
        <v>4</v>
      </c>
      <c r="G2706" s="70">
        <f t="shared" si="297"/>
        <v>2.6210538749755141</v>
      </c>
      <c r="H2706" s="70">
        <f t="shared" si="298"/>
        <v>0.8</v>
      </c>
      <c r="I2706" s="70">
        <f t="shared" si="299"/>
        <v>0</v>
      </c>
      <c r="J2706" s="70">
        <f t="shared" si="300"/>
        <v>0</v>
      </c>
      <c r="K2706" s="70">
        <f>IF(CurrentMtgRatesDataTable8[[#This Row],[WA CC]]&lt;&gt;0,C2705-CurrentMtgRatesDataTable8[[#This Row],[WA CC]],0)</f>
        <v>0</v>
      </c>
      <c r="L2706" s="70">
        <f>IF(CurrentMtgRatesDataTable8[[#This Row],[Servicing Spread]]&lt;=0,L2705,CurrentMtgRatesDataTable8[[#This Row],[Servicing Spread]])</f>
        <v>0.80679490705007595</v>
      </c>
      <c r="M2706" s="70">
        <f>CurrentMtgRatesDataTable8[[#This Row],[Servicing Spread Non-Zero]]-L2705</f>
        <v>0</v>
      </c>
      <c r="N2706" s="70">
        <f>IF(J2705&lt;&gt;0,CurrentMtgRatesDataTable8[[#This Row],[Rate]]-C2705,N2705)</f>
        <v>0.11000000000000032</v>
      </c>
    </row>
    <row r="2707" spans="1:14">
      <c r="A2707" s="67" t="s">
        <v>144</v>
      </c>
      <c r="B2707" s="68">
        <v>3.2889456294412902</v>
      </c>
      <c r="C2707" s="69">
        <v>4.1050000000000004</v>
      </c>
      <c r="D2707" s="70">
        <f t="shared" si="294"/>
        <v>7</v>
      </c>
      <c r="E2707" s="70">
        <f t="shared" si="295"/>
        <v>0.2</v>
      </c>
      <c r="F2707" s="70">
        <f t="shared" si="296"/>
        <v>5</v>
      </c>
      <c r="G2707" s="70">
        <f t="shared" si="297"/>
        <v>3.2788430008637723</v>
      </c>
      <c r="H2707" s="70">
        <f t="shared" si="298"/>
        <v>1</v>
      </c>
      <c r="I2707" s="70">
        <f t="shared" si="299"/>
        <v>1</v>
      </c>
      <c r="J2707" s="70">
        <f t="shared" si="300"/>
        <v>3.2788430008637723</v>
      </c>
      <c r="K2707" s="70">
        <f>IF(CurrentMtgRatesDataTable8[[#This Row],[WA CC]]&lt;&gt;0,C2706-CurrentMtgRatesDataTable8[[#This Row],[WA CC]],0)</f>
        <v>0.82615699913622809</v>
      </c>
      <c r="L2707" s="70">
        <f>IF(CurrentMtgRatesDataTable8[[#This Row],[Servicing Spread]]&lt;=0,L2706,CurrentMtgRatesDataTable8[[#This Row],[Servicing Spread]])</f>
        <v>0.82615699913622809</v>
      </c>
      <c r="M2707" s="70">
        <f>CurrentMtgRatesDataTable8[[#This Row],[Servicing Spread Non-Zero]]-L2706</f>
        <v>1.9362092086152138E-2</v>
      </c>
      <c r="N2707" s="70">
        <f>IF(J2706&lt;&gt;0,CurrentMtgRatesDataTable8[[#This Row],[Rate]]-C2706,N2706)</f>
        <v>0.11000000000000032</v>
      </c>
    </row>
    <row r="2708" spans="1:14">
      <c r="A2708" s="67" t="s">
        <v>708</v>
      </c>
      <c r="B2708" s="68">
        <v>3.3001731665241301</v>
      </c>
      <c r="C2708" s="69">
        <v>4.0750000000000002</v>
      </c>
      <c r="D2708" s="70">
        <f t="shared" si="294"/>
        <v>1</v>
      </c>
      <c r="E2708" s="70">
        <f t="shared" si="295"/>
        <v>0.2</v>
      </c>
      <c r="F2708" s="70">
        <f t="shared" si="296"/>
        <v>1</v>
      </c>
      <c r="G2708" s="70">
        <f t="shared" si="297"/>
        <v>0.66003463330482603</v>
      </c>
      <c r="H2708" s="70">
        <f t="shared" si="298"/>
        <v>0.2</v>
      </c>
      <c r="I2708" s="70">
        <f t="shared" si="299"/>
        <v>0</v>
      </c>
      <c r="J2708" s="70">
        <f t="shared" si="300"/>
        <v>0</v>
      </c>
      <c r="K2708" s="70">
        <f>IF(CurrentMtgRatesDataTable8[[#This Row],[WA CC]]&lt;&gt;0,C2707-CurrentMtgRatesDataTable8[[#This Row],[WA CC]],0)</f>
        <v>0</v>
      </c>
      <c r="L2708" s="70">
        <f>IF(CurrentMtgRatesDataTable8[[#This Row],[Servicing Spread]]&lt;=0,L2707,CurrentMtgRatesDataTable8[[#This Row],[Servicing Spread]])</f>
        <v>0.82615699913622809</v>
      </c>
      <c r="M2708" s="70">
        <f>CurrentMtgRatesDataTable8[[#This Row],[Servicing Spread Non-Zero]]-L2707</f>
        <v>0</v>
      </c>
      <c r="N2708" s="70">
        <f>IF(J2707&lt;&gt;0,CurrentMtgRatesDataTable8[[#This Row],[Rate]]-C2707,N2707)</f>
        <v>-3.0000000000000249E-2</v>
      </c>
    </row>
    <row r="2709" spans="1:14">
      <c r="A2709" s="67" t="s">
        <v>566</v>
      </c>
      <c r="B2709" s="68">
        <v>3.2564979130093699</v>
      </c>
      <c r="C2709" s="69">
        <v>4.0750000000000002</v>
      </c>
      <c r="D2709" s="70">
        <f t="shared" si="294"/>
        <v>2</v>
      </c>
      <c r="E2709" s="70">
        <f t="shared" si="295"/>
        <v>0.2</v>
      </c>
      <c r="F2709" s="70">
        <f t="shared" si="296"/>
        <v>2</v>
      </c>
      <c r="G2709" s="70">
        <f t="shared" si="297"/>
        <v>1.3113342159067001</v>
      </c>
      <c r="H2709" s="70">
        <f t="shared" si="298"/>
        <v>0.4</v>
      </c>
      <c r="I2709" s="70">
        <f t="shared" si="299"/>
        <v>0</v>
      </c>
      <c r="J2709" s="70">
        <f t="shared" si="300"/>
        <v>0</v>
      </c>
      <c r="K2709" s="70">
        <f>IF(CurrentMtgRatesDataTable8[[#This Row],[WA CC]]&lt;&gt;0,C2708-CurrentMtgRatesDataTable8[[#This Row],[WA CC]],0)</f>
        <v>0</v>
      </c>
      <c r="L2709" s="70">
        <f>IF(CurrentMtgRatesDataTable8[[#This Row],[Servicing Spread]]&lt;=0,L2708,CurrentMtgRatesDataTable8[[#This Row],[Servicing Spread]])</f>
        <v>0.82615699913622809</v>
      </c>
      <c r="M2709" s="70">
        <f>CurrentMtgRatesDataTable8[[#This Row],[Servicing Spread Non-Zero]]-L2708</f>
        <v>0</v>
      </c>
      <c r="N2709" s="70">
        <f>IF(J2708&lt;&gt;0,CurrentMtgRatesDataTable8[[#This Row],[Rate]]-C2708,N2708)</f>
        <v>-3.0000000000000249E-2</v>
      </c>
    </row>
    <row r="2710" spans="1:14">
      <c r="A2710" s="67" t="s">
        <v>420</v>
      </c>
      <c r="B2710" s="68">
        <v>3.2397623305872298</v>
      </c>
      <c r="C2710" s="69">
        <v>4.0750000000000002</v>
      </c>
      <c r="D2710" s="70">
        <f t="shared" si="294"/>
        <v>5</v>
      </c>
      <c r="E2710" s="70">
        <f t="shared" si="295"/>
        <v>0.2</v>
      </c>
      <c r="F2710" s="70">
        <f t="shared" si="296"/>
        <v>3</v>
      </c>
      <c r="G2710" s="70">
        <f t="shared" si="297"/>
        <v>1.9592866820241461</v>
      </c>
      <c r="H2710" s="70">
        <f t="shared" si="298"/>
        <v>0.60000000000000009</v>
      </c>
      <c r="I2710" s="70">
        <f t="shared" si="299"/>
        <v>0</v>
      </c>
      <c r="J2710" s="70">
        <f t="shared" si="300"/>
        <v>0</v>
      </c>
      <c r="K2710" s="70">
        <f>IF(CurrentMtgRatesDataTable8[[#This Row],[WA CC]]&lt;&gt;0,C2709-CurrentMtgRatesDataTable8[[#This Row],[WA CC]],0)</f>
        <v>0</v>
      </c>
      <c r="L2710" s="70">
        <f>IF(CurrentMtgRatesDataTable8[[#This Row],[Servicing Spread]]&lt;=0,L2709,CurrentMtgRatesDataTable8[[#This Row],[Servicing Spread]])</f>
        <v>0.82615699913622809</v>
      </c>
      <c r="M2710" s="70">
        <f>CurrentMtgRatesDataTable8[[#This Row],[Servicing Spread Non-Zero]]-L2709</f>
        <v>0</v>
      </c>
      <c r="N2710" s="70">
        <f>IF(J2709&lt;&gt;0,CurrentMtgRatesDataTable8[[#This Row],[Rate]]-C2709,N2709)</f>
        <v>-3.0000000000000249E-2</v>
      </c>
    </row>
    <row r="2711" spans="1:14">
      <c r="A2711" s="67" t="s">
        <v>290</v>
      </c>
      <c r="B2711" s="68">
        <v>3.2147148443632201</v>
      </c>
      <c r="C2711" s="69">
        <v>4.0750000000000002</v>
      </c>
      <c r="D2711" s="70">
        <f t="shared" si="294"/>
        <v>6</v>
      </c>
      <c r="E2711" s="70">
        <f t="shared" si="295"/>
        <v>0.2</v>
      </c>
      <c r="F2711" s="70">
        <f t="shared" si="296"/>
        <v>4</v>
      </c>
      <c r="G2711" s="70">
        <f t="shared" si="297"/>
        <v>2.6022296508967901</v>
      </c>
      <c r="H2711" s="70">
        <f t="shared" si="298"/>
        <v>0.8</v>
      </c>
      <c r="I2711" s="70">
        <f t="shared" si="299"/>
        <v>0</v>
      </c>
      <c r="J2711" s="70">
        <f t="shared" si="300"/>
        <v>0</v>
      </c>
      <c r="K2711" s="70">
        <f>IF(CurrentMtgRatesDataTable8[[#This Row],[WA CC]]&lt;&gt;0,C2710-CurrentMtgRatesDataTable8[[#This Row],[WA CC]],0)</f>
        <v>0</v>
      </c>
      <c r="L2711" s="70">
        <f>IF(CurrentMtgRatesDataTable8[[#This Row],[Servicing Spread]]&lt;=0,L2710,CurrentMtgRatesDataTable8[[#This Row],[Servicing Spread]])</f>
        <v>0.82615699913622809</v>
      </c>
      <c r="M2711" s="70">
        <f>CurrentMtgRatesDataTable8[[#This Row],[Servicing Spread Non-Zero]]-L2710</f>
        <v>0</v>
      </c>
      <c r="N2711" s="70">
        <f>IF(J2710&lt;&gt;0,CurrentMtgRatesDataTable8[[#This Row],[Rate]]-C2710,N2710)</f>
        <v>-3.0000000000000249E-2</v>
      </c>
    </row>
    <row r="2712" spans="1:14">
      <c r="A2712" s="67" t="s">
        <v>145</v>
      </c>
      <c r="B2712" s="68">
        <v>3.24020380359058</v>
      </c>
      <c r="C2712" s="69">
        <v>4.0750000000000002</v>
      </c>
      <c r="D2712" s="70">
        <f t="shared" si="294"/>
        <v>7</v>
      </c>
      <c r="E2712" s="70">
        <f t="shared" si="295"/>
        <v>0.2</v>
      </c>
      <c r="F2712" s="70">
        <f t="shared" si="296"/>
        <v>5</v>
      </c>
      <c r="G2712" s="70">
        <f t="shared" si="297"/>
        <v>3.2502704116149062</v>
      </c>
      <c r="H2712" s="70">
        <f t="shared" si="298"/>
        <v>1</v>
      </c>
      <c r="I2712" s="70">
        <f t="shared" si="299"/>
        <v>1</v>
      </c>
      <c r="J2712" s="70">
        <f t="shared" si="300"/>
        <v>3.2502704116149062</v>
      </c>
      <c r="K2712" s="70">
        <f>IF(CurrentMtgRatesDataTable8[[#This Row],[WA CC]]&lt;&gt;0,C2711-CurrentMtgRatesDataTable8[[#This Row],[WA CC]],0)</f>
        <v>0.82472958838509403</v>
      </c>
      <c r="L2712" s="70">
        <f>IF(CurrentMtgRatesDataTable8[[#This Row],[Servicing Spread]]&lt;=0,L2711,CurrentMtgRatesDataTable8[[#This Row],[Servicing Spread]])</f>
        <v>0.82472958838509403</v>
      </c>
      <c r="M2712" s="70">
        <f>CurrentMtgRatesDataTable8[[#This Row],[Servicing Spread Non-Zero]]-L2711</f>
        <v>-1.4274107511340617E-3</v>
      </c>
      <c r="N2712" s="70">
        <f>IF(J2711&lt;&gt;0,CurrentMtgRatesDataTable8[[#This Row],[Rate]]-C2711,N2711)</f>
        <v>-3.0000000000000249E-2</v>
      </c>
    </row>
    <row r="2713" spans="1:14">
      <c r="A2713" s="67" t="s">
        <v>709</v>
      </c>
      <c r="B2713" s="68">
        <v>3.19667473354923</v>
      </c>
      <c r="C2713" s="69">
        <v>4.04</v>
      </c>
      <c r="D2713" s="70">
        <f t="shared" si="294"/>
        <v>1</v>
      </c>
      <c r="E2713" s="70">
        <f t="shared" si="295"/>
        <v>0.2</v>
      </c>
      <c r="F2713" s="70">
        <f t="shared" si="296"/>
        <v>1</v>
      </c>
      <c r="G2713" s="70">
        <f t="shared" si="297"/>
        <v>0.63933494670984603</v>
      </c>
      <c r="H2713" s="70">
        <f t="shared" si="298"/>
        <v>0.2</v>
      </c>
      <c r="I2713" s="70">
        <f t="shared" si="299"/>
        <v>0</v>
      </c>
      <c r="J2713" s="70">
        <f t="shared" si="300"/>
        <v>0</v>
      </c>
      <c r="K2713" s="70">
        <f>IF(CurrentMtgRatesDataTable8[[#This Row],[WA CC]]&lt;&gt;0,C2712-CurrentMtgRatesDataTable8[[#This Row],[WA CC]],0)</f>
        <v>0</v>
      </c>
      <c r="L2713" s="70">
        <f>IF(CurrentMtgRatesDataTable8[[#This Row],[Servicing Spread]]&lt;=0,L2712,CurrentMtgRatesDataTable8[[#This Row],[Servicing Spread]])</f>
        <v>0.82472958838509403</v>
      </c>
      <c r="M2713" s="70">
        <f>CurrentMtgRatesDataTable8[[#This Row],[Servicing Spread Non-Zero]]-L2712</f>
        <v>0</v>
      </c>
      <c r="N2713" s="70">
        <f>IF(J2712&lt;&gt;0,CurrentMtgRatesDataTable8[[#This Row],[Rate]]-C2712,N2712)</f>
        <v>-3.5000000000000142E-2</v>
      </c>
    </row>
    <row r="2714" spans="1:14">
      <c r="A2714" s="67" t="s">
        <v>567</v>
      </c>
      <c r="B2714" s="68">
        <v>3.21516848659176</v>
      </c>
      <c r="C2714" s="69">
        <v>4.04</v>
      </c>
      <c r="D2714" s="70">
        <f t="shared" si="294"/>
        <v>2</v>
      </c>
      <c r="E2714" s="70">
        <f t="shared" si="295"/>
        <v>0.2</v>
      </c>
      <c r="F2714" s="70">
        <f t="shared" si="296"/>
        <v>2</v>
      </c>
      <c r="G2714" s="70">
        <f t="shared" si="297"/>
        <v>1.2823686440281981</v>
      </c>
      <c r="H2714" s="70">
        <f t="shared" si="298"/>
        <v>0.4</v>
      </c>
      <c r="I2714" s="70">
        <f t="shared" si="299"/>
        <v>0</v>
      </c>
      <c r="J2714" s="70">
        <f t="shared" si="300"/>
        <v>0</v>
      </c>
      <c r="K2714" s="70">
        <f>IF(CurrentMtgRatesDataTable8[[#This Row],[WA CC]]&lt;&gt;0,C2713-CurrentMtgRatesDataTable8[[#This Row],[WA CC]],0)</f>
        <v>0</v>
      </c>
      <c r="L2714" s="70">
        <f>IF(CurrentMtgRatesDataTable8[[#This Row],[Servicing Spread]]&lt;=0,L2713,CurrentMtgRatesDataTable8[[#This Row],[Servicing Spread]])</f>
        <v>0.82472958838509403</v>
      </c>
      <c r="M2714" s="70">
        <f>CurrentMtgRatesDataTable8[[#This Row],[Servicing Spread Non-Zero]]-L2713</f>
        <v>0</v>
      </c>
      <c r="N2714" s="70">
        <f>IF(J2713&lt;&gt;0,CurrentMtgRatesDataTable8[[#This Row],[Rate]]-C2713,N2713)</f>
        <v>-3.5000000000000142E-2</v>
      </c>
    </row>
    <row r="2715" spans="1:14">
      <c r="A2715" s="67" t="s">
        <v>421</v>
      </c>
      <c r="B2715" s="68">
        <v>3.1926835363021802</v>
      </c>
      <c r="C2715" s="69">
        <v>4.04</v>
      </c>
      <c r="D2715" s="70">
        <f t="shared" si="294"/>
        <v>5</v>
      </c>
      <c r="E2715" s="70">
        <f t="shared" si="295"/>
        <v>0.2</v>
      </c>
      <c r="F2715" s="70">
        <f t="shared" si="296"/>
        <v>3</v>
      </c>
      <c r="G2715" s="70">
        <f t="shared" si="297"/>
        <v>1.920905351288634</v>
      </c>
      <c r="H2715" s="70">
        <f t="shared" si="298"/>
        <v>0.60000000000000009</v>
      </c>
      <c r="I2715" s="70">
        <f t="shared" si="299"/>
        <v>0</v>
      </c>
      <c r="J2715" s="70">
        <f t="shared" si="300"/>
        <v>0</v>
      </c>
      <c r="K2715" s="70">
        <f>IF(CurrentMtgRatesDataTable8[[#This Row],[WA CC]]&lt;&gt;0,C2714-CurrentMtgRatesDataTable8[[#This Row],[WA CC]],0)</f>
        <v>0</v>
      </c>
      <c r="L2715" s="70">
        <f>IF(CurrentMtgRatesDataTable8[[#This Row],[Servicing Spread]]&lt;=0,L2714,CurrentMtgRatesDataTable8[[#This Row],[Servicing Spread]])</f>
        <v>0.82472958838509403</v>
      </c>
      <c r="M2715" s="70">
        <f>CurrentMtgRatesDataTable8[[#This Row],[Servicing Spread Non-Zero]]-L2714</f>
        <v>0</v>
      </c>
      <c r="N2715" s="70">
        <f>IF(J2714&lt;&gt;0,CurrentMtgRatesDataTable8[[#This Row],[Rate]]-C2714,N2714)</f>
        <v>-3.5000000000000142E-2</v>
      </c>
    </row>
    <row r="2716" spans="1:14">
      <c r="A2716" s="67" t="s">
        <v>291</v>
      </c>
      <c r="B2716" s="68">
        <v>3.2078957125058598</v>
      </c>
      <c r="C2716" s="69">
        <v>4.04</v>
      </c>
      <c r="D2716" s="70">
        <f t="shared" si="294"/>
        <v>6</v>
      </c>
      <c r="E2716" s="70">
        <f t="shared" si="295"/>
        <v>0.2</v>
      </c>
      <c r="F2716" s="70">
        <f t="shared" si="296"/>
        <v>4</v>
      </c>
      <c r="G2716" s="70">
        <f t="shared" si="297"/>
        <v>2.5624844937898059</v>
      </c>
      <c r="H2716" s="70">
        <f t="shared" si="298"/>
        <v>0.8</v>
      </c>
      <c r="I2716" s="70">
        <f t="shared" si="299"/>
        <v>0</v>
      </c>
      <c r="J2716" s="70">
        <f t="shared" si="300"/>
        <v>0</v>
      </c>
      <c r="K2716" s="70">
        <f>IF(CurrentMtgRatesDataTable8[[#This Row],[WA CC]]&lt;&gt;0,C2715-CurrentMtgRatesDataTable8[[#This Row],[WA CC]],0)</f>
        <v>0</v>
      </c>
      <c r="L2716" s="70">
        <f>IF(CurrentMtgRatesDataTable8[[#This Row],[Servicing Spread]]&lt;=0,L2715,CurrentMtgRatesDataTable8[[#This Row],[Servicing Spread]])</f>
        <v>0.82472958838509403</v>
      </c>
      <c r="M2716" s="70">
        <f>CurrentMtgRatesDataTable8[[#This Row],[Servicing Spread Non-Zero]]-L2715</f>
        <v>0</v>
      </c>
      <c r="N2716" s="70">
        <f>IF(J2715&lt;&gt;0,CurrentMtgRatesDataTable8[[#This Row],[Rate]]-C2715,N2715)</f>
        <v>-3.5000000000000142E-2</v>
      </c>
    </row>
    <row r="2717" spans="1:14">
      <c r="A2717" s="67" t="s">
        <v>146</v>
      </c>
      <c r="B2717" s="68">
        <v>3.1187867017573798</v>
      </c>
      <c r="C2717" s="69">
        <v>4.04</v>
      </c>
      <c r="D2717" s="70">
        <f t="shared" si="294"/>
        <v>7</v>
      </c>
      <c r="E2717" s="70">
        <f t="shared" si="295"/>
        <v>0.2</v>
      </c>
      <c r="F2717" s="70">
        <f t="shared" si="296"/>
        <v>5</v>
      </c>
      <c r="G2717" s="70">
        <f t="shared" si="297"/>
        <v>3.1862418341412821</v>
      </c>
      <c r="H2717" s="70">
        <f t="shared" si="298"/>
        <v>1</v>
      </c>
      <c r="I2717" s="70">
        <f t="shared" si="299"/>
        <v>1</v>
      </c>
      <c r="J2717" s="70">
        <f t="shared" si="300"/>
        <v>3.1862418341412821</v>
      </c>
      <c r="K2717" s="70">
        <f>IF(CurrentMtgRatesDataTable8[[#This Row],[WA CC]]&lt;&gt;0,C2716-CurrentMtgRatesDataTable8[[#This Row],[WA CC]],0)</f>
        <v>0.85375816585871789</v>
      </c>
      <c r="L2717" s="70">
        <f>IF(CurrentMtgRatesDataTable8[[#This Row],[Servicing Spread]]&lt;=0,L2716,CurrentMtgRatesDataTable8[[#This Row],[Servicing Spread]])</f>
        <v>0.85375816585871789</v>
      </c>
      <c r="M2717" s="70">
        <f>CurrentMtgRatesDataTable8[[#This Row],[Servicing Spread Non-Zero]]-L2716</f>
        <v>2.9028577473623862E-2</v>
      </c>
      <c r="N2717" s="70">
        <f>IF(J2716&lt;&gt;0,CurrentMtgRatesDataTable8[[#This Row],[Rate]]-C2716,N2716)</f>
        <v>-3.5000000000000142E-2</v>
      </c>
    </row>
    <row r="2718" spans="1:14">
      <c r="A2718" s="67" t="s">
        <v>710</v>
      </c>
      <c r="B2718" s="68">
        <v>3.13610168579967</v>
      </c>
      <c r="C2718" s="69">
        <v>3.9950000000000001</v>
      </c>
      <c r="D2718" s="70">
        <f t="shared" si="294"/>
        <v>1</v>
      </c>
      <c r="E2718" s="70">
        <f t="shared" si="295"/>
        <v>0.2</v>
      </c>
      <c r="F2718" s="70">
        <f t="shared" si="296"/>
        <v>1</v>
      </c>
      <c r="G2718" s="70">
        <f t="shared" si="297"/>
        <v>0.62722033715993408</v>
      </c>
      <c r="H2718" s="70">
        <f t="shared" si="298"/>
        <v>0.2</v>
      </c>
      <c r="I2718" s="70">
        <f t="shared" si="299"/>
        <v>0</v>
      </c>
      <c r="J2718" s="70">
        <f t="shared" si="300"/>
        <v>0</v>
      </c>
      <c r="K2718" s="70">
        <f>IF(CurrentMtgRatesDataTable8[[#This Row],[WA CC]]&lt;&gt;0,C2717-CurrentMtgRatesDataTable8[[#This Row],[WA CC]],0)</f>
        <v>0</v>
      </c>
      <c r="L2718" s="70">
        <f>IF(CurrentMtgRatesDataTable8[[#This Row],[Servicing Spread]]&lt;=0,L2717,CurrentMtgRatesDataTable8[[#This Row],[Servicing Spread]])</f>
        <v>0.85375816585871789</v>
      </c>
      <c r="M2718" s="70">
        <f>CurrentMtgRatesDataTable8[[#This Row],[Servicing Spread Non-Zero]]-L2717</f>
        <v>0</v>
      </c>
      <c r="N2718" s="70">
        <f>IF(J2717&lt;&gt;0,CurrentMtgRatesDataTable8[[#This Row],[Rate]]-C2717,N2717)</f>
        <v>-4.4999999999999929E-2</v>
      </c>
    </row>
    <row r="2719" spans="1:14">
      <c r="A2719" s="67" t="s">
        <v>568</v>
      </c>
      <c r="B2719" s="68">
        <v>3.14080245533752</v>
      </c>
      <c r="C2719" s="69">
        <v>3.9950000000000001</v>
      </c>
      <c r="D2719" s="70">
        <f t="shared" si="294"/>
        <v>2</v>
      </c>
      <c r="E2719" s="70">
        <f t="shared" si="295"/>
        <v>0.2</v>
      </c>
      <c r="F2719" s="70">
        <f t="shared" si="296"/>
        <v>2</v>
      </c>
      <c r="G2719" s="70">
        <f t="shared" si="297"/>
        <v>1.2553808282274381</v>
      </c>
      <c r="H2719" s="70">
        <f t="shared" si="298"/>
        <v>0.4</v>
      </c>
      <c r="I2719" s="70">
        <f t="shared" si="299"/>
        <v>0</v>
      </c>
      <c r="J2719" s="70">
        <f t="shared" si="300"/>
        <v>0</v>
      </c>
      <c r="K2719" s="70">
        <f>IF(CurrentMtgRatesDataTable8[[#This Row],[WA CC]]&lt;&gt;0,C2718-CurrentMtgRatesDataTable8[[#This Row],[WA CC]],0)</f>
        <v>0</v>
      </c>
      <c r="L2719" s="70">
        <f>IF(CurrentMtgRatesDataTable8[[#This Row],[Servicing Spread]]&lt;=0,L2718,CurrentMtgRatesDataTable8[[#This Row],[Servicing Spread]])</f>
        <v>0.85375816585871789</v>
      </c>
      <c r="M2719" s="70">
        <f>CurrentMtgRatesDataTable8[[#This Row],[Servicing Spread Non-Zero]]-L2718</f>
        <v>0</v>
      </c>
      <c r="N2719" s="70">
        <f>IF(J2718&lt;&gt;0,CurrentMtgRatesDataTable8[[#This Row],[Rate]]-C2718,N2718)</f>
        <v>-4.4999999999999929E-2</v>
      </c>
    </row>
    <row r="2720" spans="1:14">
      <c r="A2720" s="67" t="s">
        <v>422</v>
      </c>
      <c r="B2720" s="68">
        <v>3.12297819640008</v>
      </c>
      <c r="C2720" s="69">
        <v>3.9950000000000001</v>
      </c>
      <c r="D2720" s="70">
        <f t="shared" si="294"/>
        <v>5</v>
      </c>
      <c r="E2720" s="70">
        <f t="shared" si="295"/>
        <v>0.2</v>
      </c>
      <c r="F2720" s="70">
        <f t="shared" si="296"/>
        <v>3</v>
      </c>
      <c r="G2720" s="70">
        <f t="shared" si="297"/>
        <v>1.8799764675074542</v>
      </c>
      <c r="H2720" s="70">
        <f t="shared" si="298"/>
        <v>0.60000000000000009</v>
      </c>
      <c r="I2720" s="70">
        <f t="shared" si="299"/>
        <v>0</v>
      </c>
      <c r="J2720" s="70">
        <f t="shared" si="300"/>
        <v>0</v>
      </c>
      <c r="K2720" s="70">
        <f>IF(CurrentMtgRatesDataTable8[[#This Row],[WA CC]]&lt;&gt;0,C2719-CurrentMtgRatesDataTable8[[#This Row],[WA CC]],0)</f>
        <v>0</v>
      </c>
      <c r="L2720" s="70">
        <f>IF(CurrentMtgRatesDataTable8[[#This Row],[Servicing Spread]]&lt;=0,L2719,CurrentMtgRatesDataTable8[[#This Row],[Servicing Spread]])</f>
        <v>0.85375816585871789</v>
      </c>
      <c r="M2720" s="70">
        <f>CurrentMtgRatesDataTable8[[#This Row],[Servicing Spread Non-Zero]]-L2719</f>
        <v>0</v>
      </c>
      <c r="N2720" s="70">
        <f>IF(J2719&lt;&gt;0,CurrentMtgRatesDataTable8[[#This Row],[Rate]]-C2719,N2719)</f>
        <v>-4.4999999999999929E-2</v>
      </c>
    </row>
    <row r="2721" spans="1:14">
      <c r="A2721" s="67" t="s">
        <v>292</v>
      </c>
      <c r="B2721" s="68">
        <v>3.05716566753143</v>
      </c>
      <c r="C2721" s="69">
        <v>3.9950000000000001</v>
      </c>
      <c r="D2721" s="70">
        <f t="shared" si="294"/>
        <v>6</v>
      </c>
      <c r="E2721" s="70">
        <f t="shared" si="295"/>
        <v>0.2</v>
      </c>
      <c r="F2721" s="70">
        <f t="shared" si="296"/>
        <v>4</v>
      </c>
      <c r="G2721" s="70">
        <f t="shared" si="297"/>
        <v>2.4914096010137401</v>
      </c>
      <c r="H2721" s="70">
        <f t="shared" si="298"/>
        <v>0.8</v>
      </c>
      <c r="I2721" s="70">
        <f t="shared" si="299"/>
        <v>0</v>
      </c>
      <c r="J2721" s="70">
        <f t="shared" si="300"/>
        <v>0</v>
      </c>
      <c r="K2721" s="70">
        <f>IF(CurrentMtgRatesDataTable8[[#This Row],[WA CC]]&lt;&gt;0,C2720-CurrentMtgRatesDataTable8[[#This Row],[WA CC]],0)</f>
        <v>0</v>
      </c>
      <c r="L2721" s="70">
        <f>IF(CurrentMtgRatesDataTable8[[#This Row],[Servicing Spread]]&lt;=0,L2720,CurrentMtgRatesDataTable8[[#This Row],[Servicing Spread]])</f>
        <v>0.85375816585871789</v>
      </c>
      <c r="M2721" s="70">
        <f>CurrentMtgRatesDataTable8[[#This Row],[Servicing Spread Non-Zero]]-L2720</f>
        <v>0</v>
      </c>
      <c r="N2721" s="70">
        <f>IF(J2720&lt;&gt;0,CurrentMtgRatesDataTable8[[#This Row],[Rate]]-C2720,N2720)</f>
        <v>-4.4999999999999929E-2</v>
      </c>
    </row>
    <row r="2722" spans="1:14">
      <c r="A2722" s="67" t="s">
        <v>147</v>
      </c>
      <c r="B2722" s="68">
        <v>3.00695688776984</v>
      </c>
      <c r="C2722" s="69">
        <v>3.9950000000000001</v>
      </c>
      <c r="D2722" s="70">
        <f t="shared" si="294"/>
        <v>7</v>
      </c>
      <c r="E2722" s="70">
        <f t="shared" si="295"/>
        <v>0.2</v>
      </c>
      <c r="F2722" s="70">
        <f t="shared" si="296"/>
        <v>5</v>
      </c>
      <c r="G2722" s="70">
        <f t="shared" si="297"/>
        <v>3.0928009785677082</v>
      </c>
      <c r="H2722" s="70">
        <f t="shared" si="298"/>
        <v>1</v>
      </c>
      <c r="I2722" s="70">
        <f t="shared" si="299"/>
        <v>1</v>
      </c>
      <c r="J2722" s="70">
        <f t="shared" si="300"/>
        <v>3.0928009785677082</v>
      </c>
      <c r="K2722" s="70">
        <f>IF(CurrentMtgRatesDataTable8[[#This Row],[WA CC]]&lt;&gt;0,C2721-CurrentMtgRatesDataTable8[[#This Row],[WA CC]],0)</f>
        <v>0.90219902143229191</v>
      </c>
      <c r="L2722" s="70">
        <f>IF(CurrentMtgRatesDataTable8[[#This Row],[Servicing Spread]]&lt;=0,L2721,CurrentMtgRatesDataTable8[[#This Row],[Servicing Spread]])</f>
        <v>0.90219902143229191</v>
      </c>
      <c r="M2722" s="70">
        <f>CurrentMtgRatesDataTable8[[#This Row],[Servicing Spread Non-Zero]]-L2721</f>
        <v>4.8440855573574026E-2</v>
      </c>
      <c r="N2722" s="70">
        <f>IF(J2721&lt;&gt;0,CurrentMtgRatesDataTable8[[#This Row],[Rate]]-C2721,N2721)</f>
        <v>-4.4999999999999929E-2</v>
      </c>
    </row>
    <row r="2723" spans="1:14">
      <c r="A2723" s="67" t="s">
        <v>711</v>
      </c>
      <c r="B2723" s="68">
        <v>3.0093512074845101</v>
      </c>
      <c r="C2723" s="69">
        <v>3.8450000000000002</v>
      </c>
      <c r="D2723" s="70">
        <f t="shared" si="294"/>
        <v>1</v>
      </c>
      <c r="E2723" s="70">
        <f t="shared" si="295"/>
        <v>0.2</v>
      </c>
      <c r="F2723" s="70">
        <f t="shared" si="296"/>
        <v>1</v>
      </c>
      <c r="G2723" s="70">
        <f t="shared" si="297"/>
        <v>0.60187024149690205</v>
      </c>
      <c r="H2723" s="70">
        <f t="shared" si="298"/>
        <v>0.2</v>
      </c>
      <c r="I2723" s="70">
        <f t="shared" si="299"/>
        <v>0</v>
      </c>
      <c r="J2723" s="70">
        <f t="shared" si="300"/>
        <v>0</v>
      </c>
      <c r="K2723" s="70">
        <f>IF(CurrentMtgRatesDataTable8[[#This Row],[WA CC]]&lt;&gt;0,C2722-CurrentMtgRatesDataTable8[[#This Row],[WA CC]],0)</f>
        <v>0</v>
      </c>
      <c r="L2723" s="70">
        <f>IF(CurrentMtgRatesDataTable8[[#This Row],[Servicing Spread]]&lt;=0,L2722,CurrentMtgRatesDataTable8[[#This Row],[Servicing Spread]])</f>
        <v>0.90219902143229191</v>
      </c>
      <c r="M2723" s="70">
        <f>CurrentMtgRatesDataTable8[[#This Row],[Servicing Spread Non-Zero]]-L2722</f>
        <v>0</v>
      </c>
      <c r="N2723" s="70">
        <f>IF(J2722&lt;&gt;0,CurrentMtgRatesDataTable8[[#This Row],[Rate]]-C2722,N2722)</f>
        <v>-0.14999999999999991</v>
      </c>
    </row>
    <row r="2724" spans="1:14">
      <c r="A2724" s="67" t="s">
        <v>569</v>
      </c>
      <c r="B2724" s="68">
        <v>3.0064713691768699</v>
      </c>
      <c r="C2724" s="69">
        <v>3.8450000000000002</v>
      </c>
      <c r="D2724" s="70">
        <f t="shared" si="294"/>
        <v>2</v>
      </c>
      <c r="E2724" s="70">
        <f t="shared" si="295"/>
        <v>0.2</v>
      </c>
      <c r="F2724" s="70">
        <f t="shared" si="296"/>
        <v>2</v>
      </c>
      <c r="G2724" s="70">
        <f t="shared" si="297"/>
        <v>1.2031645153322761</v>
      </c>
      <c r="H2724" s="70">
        <f t="shared" si="298"/>
        <v>0.4</v>
      </c>
      <c r="I2724" s="70">
        <f t="shared" si="299"/>
        <v>0</v>
      </c>
      <c r="J2724" s="70">
        <f t="shared" si="300"/>
        <v>0</v>
      </c>
      <c r="K2724" s="70">
        <f>IF(CurrentMtgRatesDataTable8[[#This Row],[WA CC]]&lt;&gt;0,C2723-CurrentMtgRatesDataTable8[[#This Row],[WA CC]],0)</f>
        <v>0</v>
      </c>
      <c r="L2724" s="70">
        <f>IF(CurrentMtgRatesDataTable8[[#This Row],[Servicing Spread]]&lt;=0,L2723,CurrentMtgRatesDataTable8[[#This Row],[Servicing Spread]])</f>
        <v>0.90219902143229191</v>
      </c>
      <c r="M2724" s="70">
        <f>CurrentMtgRatesDataTable8[[#This Row],[Servicing Spread Non-Zero]]-L2723</f>
        <v>0</v>
      </c>
      <c r="N2724" s="70">
        <f>IF(J2723&lt;&gt;0,CurrentMtgRatesDataTable8[[#This Row],[Rate]]-C2723,N2723)</f>
        <v>-0.14999999999999991</v>
      </c>
    </row>
    <row r="2725" spans="1:14">
      <c r="A2725" s="67" t="s">
        <v>293</v>
      </c>
      <c r="B2725" s="68">
        <v>2.9156735260487601</v>
      </c>
      <c r="C2725" s="69">
        <v>3.8450000000000002</v>
      </c>
      <c r="D2725" s="70">
        <f t="shared" si="294"/>
        <v>6</v>
      </c>
      <c r="E2725" s="70">
        <f t="shared" si="295"/>
        <v>0.2</v>
      </c>
      <c r="F2725" s="70">
        <f t="shared" si="296"/>
        <v>3</v>
      </c>
      <c r="G2725" s="70">
        <f t="shared" si="297"/>
        <v>1.7862992205420283</v>
      </c>
      <c r="H2725" s="70">
        <f t="shared" si="298"/>
        <v>0.60000000000000009</v>
      </c>
      <c r="I2725" s="70">
        <f t="shared" si="299"/>
        <v>0</v>
      </c>
      <c r="J2725" s="70">
        <f t="shared" si="300"/>
        <v>0</v>
      </c>
      <c r="K2725" s="70">
        <f>IF(CurrentMtgRatesDataTable8[[#This Row],[WA CC]]&lt;&gt;0,C2724-CurrentMtgRatesDataTable8[[#This Row],[WA CC]],0)</f>
        <v>0</v>
      </c>
      <c r="L2725" s="70">
        <f>IF(CurrentMtgRatesDataTable8[[#This Row],[Servicing Spread]]&lt;=0,L2724,CurrentMtgRatesDataTable8[[#This Row],[Servicing Spread]])</f>
        <v>0.90219902143229191</v>
      </c>
      <c r="M2725" s="70">
        <f>CurrentMtgRatesDataTable8[[#This Row],[Servicing Spread Non-Zero]]-L2724</f>
        <v>0</v>
      </c>
      <c r="N2725" s="70">
        <f>IF(J2724&lt;&gt;0,CurrentMtgRatesDataTable8[[#This Row],[Rate]]-C2724,N2724)</f>
        <v>-0.14999999999999991</v>
      </c>
    </row>
    <row r="2726" spans="1:14">
      <c r="A2726" s="67" t="s">
        <v>148</v>
      </c>
      <c r="B2726" s="68">
        <v>2.8012763487796</v>
      </c>
      <c r="C2726" s="69">
        <v>3.8450000000000002</v>
      </c>
      <c r="D2726" s="70">
        <f t="shared" si="294"/>
        <v>7</v>
      </c>
      <c r="E2726" s="70">
        <f t="shared" si="295"/>
        <v>0.2</v>
      </c>
      <c r="F2726" s="70">
        <f t="shared" si="296"/>
        <v>4</v>
      </c>
      <c r="G2726" s="70">
        <f t="shared" si="297"/>
        <v>2.3465544902979483</v>
      </c>
      <c r="H2726" s="70">
        <f t="shared" si="298"/>
        <v>0.8</v>
      </c>
      <c r="I2726" s="70">
        <f t="shared" si="299"/>
        <v>1</v>
      </c>
      <c r="J2726" s="70">
        <f t="shared" si="300"/>
        <v>2.9331931128724351</v>
      </c>
      <c r="K2726" s="70">
        <f>IF(CurrentMtgRatesDataTable8[[#This Row],[WA CC]]&lt;&gt;0,C2725-CurrentMtgRatesDataTable8[[#This Row],[WA CC]],0)</f>
        <v>0.91180688712756508</v>
      </c>
      <c r="L2726" s="70">
        <f>IF(CurrentMtgRatesDataTable8[[#This Row],[Servicing Spread]]&lt;=0,L2725,CurrentMtgRatesDataTable8[[#This Row],[Servicing Spread]])</f>
        <v>0.91180688712756508</v>
      </c>
      <c r="M2726" s="70">
        <f>CurrentMtgRatesDataTable8[[#This Row],[Servicing Spread Non-Zero]]-L2725</f>
        <v>9.6078656952731656E-3</v>
      </c>
      <c r="N2726" s="70">
        <f>IF(J2725&lt;&gt;0,CurrentMtgRatesDataTable8[[#This Row],[Rate]]-C2725,N2725)</f>
        <v>-0.14999999999999991</v>
      </c>
    </row>
    <row r="2727" spans="1:14">
      <c r="A2727" s="67" t="s">
        <v>712</v>
      </c>
      <c r="B2727" s="68">
        <v>2.88997696662019</v>
      </c>
      <c r="C2727" s="69">
        <v>3.7949999999999999</v>
      </c>
      <c r="D2727" s="70">
        <f t="shared" si="294"/>
        <v>1</v>
      </c>
      <c r="E2727" s="70">
        <f t="shared" si="295"/>
        <v>0.2</v>
      </c>
      <c r="F2727" s="70">
        <f t="shared" si="296"/>
        <v>1</v>
      </c>
      <c r="G2727" s="70">
        <f t="shared" si="297"/>
        <v>0.57799539332403804</v>
      </c>
      <c r="H2727" s="70">
        <f t="shared" si="298"/>
        <v>0.2</v>
      </c>
      <c r="I2727" s="70">
        <f t="shared" si="299"/>
        <v>0</v>
      </c>
      <c r="J2727" s="70">
        <f t="shared" si="300"/>
        <v>0</v>
      </c>
      <c r="K2727" s="70">
        <f>IF(CurrentMtgRatesDataTable8[[#This Row],[WA CC]]&lt;&gt;0,C2726-CurrentMtgRatesDataTable8[[#This Row],[WA CC]],0)</f>
        <v>0</v>
      </c>
      <c r="L2727" s="70">
        <f>IF(CurrentMtgRatesDataTable8[[#This Row],[Servicing Spread]]&lt;=0,L2726,CurrentMtgRatesDataTable8[[#This Row],[Servicing Spread]])</f>
        <v>0.91180688712756508</v>
      </c>
      <c r="M2727" s="70">
        <f>CurrentMtgRatesDataTable8[[#This Row],[Servicing Spread Non-Zero]]-L2726</f>
        <v>0</v>
      </c>
      <c r="N2727" s="70">
        <f>IF(J2726&lt;&gt;0,CurrentMtgRatesDataTable8[[#This Row],[Rate]]-C2726,N2726)</f>
        <v>-5.0000000000000266E-2</v>
      </c>
    </row>
    <row r="2728" spans="1:14">
      <c r="A2728" s="67" t="s">
        <v>570</v>
      </c>
      <c r="B2728" s="68">
        <v>2.9089681552965998</v>
      </c>
      <c r="C2728" s="69">
        <v>3.7949999999999999</v>
      </c>
      <c r="D2728" s="70">
        <f t="shared" si="294"/>
        <v>2</v>
      </c>
      <c r="E2728" s="70">
        <f t="shared" si="295"/>
        <v>0.2</v>
      </c>
      <c r="F2728" s="70">
        <f t="shared" si="296"/>
        <v>2</v>
      </c>
      <c r="G2728" s="70">
        <f t="shared" si="297"/>
        <v>1.159789024383358</v>
      </c>
      <c r="H2728" s="70">
        <f t="shared" si="298"/>
        <v>0.4</v>
      </c>
      <c r="I2728" s="70">
        <f t="shared" si="299"/>
        <v>0</v>
      </c>
      <c r="J2728" s="70">
        <f t="shared" si="300"/>
        <v>0</v>
      </c>
      <c r="K2728" s="70">
        <f>IF(CurrentMtgRatesDataTable8[[#This Row],[WA CC]]&lt;&gt;0,C2727-CurrentMtgRatesDataTable8[[#This Row],[WA CC]],0)</f>
        <v>0</v>
      </c>
      <c r="L2728" s="70">
        <f>IF(CurrentMtgRatesDataTable8[[#This Row],[Servicing Spread]]&lt;=0,L2727,CurrentMtgRatesDataTable8[[#This Row],[Servicing Spread]])</f>
        <v>0.91180688712756508</v>
      </c>
      <c r="M2728" s="70">
        <f>CurrentMtgRatesDataTable8[[#This Row],[Servicing Spread Non-Zero]]-L2727</f>
        <v>0</v>
      </c>
      <c r="N2728" s="70">
        <f>IF(J2727&lt;&gt;0,CurrentMtgRatesDataTable8[[#This Row],[Rate]]-C2727,N2727)</f>
        <v>-5.0000000000000266E-2</v>
      </c>
    </row>
    <row r="2729" spans="1:14">
      <c r="A2729" s="67" t="s">
        <v>423</v>
      </c>
      <c r="B2729" s="68">
        <v>2.88228276625992</v>
      </c>
      <c r="C2729" s="69">
        <v>3.7949999999999999</v>
      </c>
      <c r="D2729" s="70">
        <f t="shared" si="294"/>
        <v>5</v>
      </c>
      <c r="E2729" s="70">
        <f t="shared" si="295"/>
        <v>0.2</v>
      </c>
      <c r="F2729" s="70">
        <f t="shared" si="296"/>
        <v>3</v>
      </c>
      <c r="G2729" s="70">
        <f t="shared" si="297"/>
        <v>1.736245577635342</v>
      </c>
      <c r="H2729" s="70">
        <f t="shared" si="298"/>
        <v>0.60000000000000009</v>
      </c>
      <c r="I2729" s="70">
        <f t="shared" si="299"/>
        <v>0</v>
      </c>
      <c r="J2729" s="70">
        <f t="shared" si="300"/>
        <v>0</v>
      </c>
      <c r="K2729" s="70">
        <f>IF(CurrentMtgRatesDataTable8[[#This Row],[WA CC]]&lt;&gt;0,C2728-CurrentMtgRatesDataTable8[[#This Row],[WA CC]],0)</f>
        <v>0</v>
      </c>
      <c r="L2729" s="70">
        <f>IF(CurrentMtgRatesDataTable8[[#This Row],[Servicing Spread]]&lt;=0,L2728,CurrentMtgRatesDataTable8[[#This Row],[Servicing Spread]])</f>
        <v>0.91180688712756508</v>
      </c>
      <c r="M2729" s="70">
        <f>CurrentMtgRatesDataTable8[[#This Row],[Servicing Spread Non-Zero]]-L2728</f>
        <v>0</v>
      </c>
      <c r="N2729" s="70">
        <f>IF(J2728&lt;&gt;0,CurrentMtgRatesDataTable8[[#This Row],[Rate]]-C2728,N2728)</f>
        <v>-5.0000000000000266E-2</v>
      </c>
    </row>
    <row r="2730" spans="1:14">
      <c r="A2730" s="67" t="s">
        <v>294</v>
      </c>
      <c r="B2730" s="68">
        <v>2.90260596221672</v>
      </c>
      <c r="C2730" s="69">
        <v>3.7949999999999999</v>
      </c>
      <c r="D2730" s="70">
        <f t="shared" si="294"/>
        <v>6</v>
      </c>
      <c r="E2730" s="70">
        <f t="shared" si="295"/>
        <v>0.2</v>
      </c>
      <c r="F2730" s="70">
        <f t="shared" si="296"/>
        <v>4</v>
      </c>
      <c r="G2730" s="70">
        <f t="shared" si="297"/>
        <v>2.316766770078686</v>
      </c>
      <c r="H2730" s="70">
        <f t="shared" si="298"/>
        <v>0.8</v>
      </c>
      <c r="I2730" s="70">
        <f t="shared" si="299"/>
        <v>0</v>
      </c>
      <c r="J2730" s="70">
        <f t="shared" si="300"/>
        <v>0</v>
      </c>
      <c r="K2730" s="70">
        <f>IF(CurrentMtgRatesDataTable8[[#This Row],[WA CC]]&lt;&gt;0,C2729-CurrentMtgRatesDataTable8[[#This Row],[WA CC]],0)</f>
        <v>0</v>
      </c>
      <c r="L2730" s="70">
        <f>IF(CurrentMtgRatesDataTable8[[#This Row],[Servicing Spread]]&lt;=0,L2729,CurrentMtgRatesDataTable8[[#This Row],[Servicing Spread]])</f>
        <v>0.91180688712756508</v>
      </c>
      <c r="M2730" s="70">
        <f>CurrentMtgRatesDataTable8[[#This Row],[Servicing Spread Non-Zero]]-L2729</f>
        <v>0</v>
      </c>
      <c r="N2730" s="70">
        <f>IF(J2729&lt;&gt;0,CurrentMtgRatesDataTable8[[#This Row],[Rate]]-C2729,N2729)</f>
        <v>-5.0000000000000266E-2</v>
      </c>
    </row>
    <row r="2731" spans="1:14">
      <c r="A2731" s="67" t="s">
        <v>149</v>
      </c>
      <c r="B2731" s="68">
        <v>2.91560839979166</v>
      </c>
      <c r="C2731" s="69">
        <v>3.7949999999999999</v>
      </c>
      <c r="D2731" s="70">
        <f t="shared" si="294"/>
        <v>7</v>
      </c>
      <c r="E2731" s="70">
        <f t="shared" si="295"/>
        <v>0.2</v>
      </c>
      <c r="F2731" s="70">
        <f t="shared" si="296"/>
        <v>5</v>
      </c>
      <c r="G2731" s="70">
        <f t="shared" si="297"/>
        <v>2.8998884500370181</v>
      </c>
      <c r="H2731" s="70">
        <f t="shared" si="298"/>
        <v>1</v>
      </c>
      <c r="I2731" s="70">
        <f t="shared" si="299"/>
        <v>1</v>
      </c>
      <c r="J2731" s="70">
        <f t="shared" si="300"/>
        <v>2.8998884500370181</v>
      </c>
      <c r="K2731" s="70">
        <f>IF(CurrentMtgRatesDataTable8[[#This Row],[WA CC]]&lt;&gt;0,C2730-CurrentMtgRatesDataTable8[[#This Row],[WA CC]],0)</f>
        <v>0.89511154996298181</v>
      </c>
      <c r="L2731" s="70">
        <f>IF(CurrentMtgRatesDataTable8[[#This Row],[Servicing Spread]]&lt;=0,L2730,CurrentMtgRatesDataTable8[[#This Row],[Servicing Spread]])</f>
        <v>0.89511154996298181</v>
      </c>
      <c r="M2731" s="70">
        <f>CurrentMtgRatesDataTable8[[#This Row],[Servicing Spread Non-Zero]]-L2730</f>
        <v>-1.6695337164583268E-2</v>
      </c>
      <c r="N2731" s="70">
        <f>IF(J2730&lt;&gt;0,CurrentMtgRatesDataTable8[[#This Row],[Rate]]-C2730,N2730)</f>
        <v>-5.0000000000000266E-2</v>
      </c>
    </row>
    <row r="2732" spans="1:14">
      <c r="A2732" s="67" t="s">
        <v>713</v>
      </c>
      <c r="B2732" s="68">
        <v>2.9569729972046299</v>
      </c>
      <c r="C2732" s="69">
        <v>3.855</v>
      </c>
      <c r="D2732" s="70">
        <f t="shared" si="294"/>
        <v>1</v>
      </c>
      <c r="E2732" s="70">
        <f t="shared" si="295"/>
        <v>0.2</v>
      </c>
      <c r="F2732" s="70">
        <f t="shared" si="296"/>
        <v>1</v>
      </c>
      <c r="G2732" s="70">
        <f t="shared" si="297"/>
        <v>0.59139459944092598</v>
      </c>
      <c r="H2732" s="70">
        <f t="shared" si="298"/>
        <v>0.2</v>
      </c>
      <c r="I2732" s="70">
        <f t="shared" si="299"/>
        <v>0</v>
      </c>
      <c r="J2732" s="70">
        <f t="shared" si="300"/>
        <v>0</v>
      </c>
      <c r="K2732" s="70">
        <f>IF(CurrentMtgRatesDataTable8[[#This Row],[WA CC]]&lt;&gt;0,C2731-CurrentMtgRatesDataTable8[[#This Row],[WA CC]],0)</f>
        <v>0</v>
      </c>
      <c r="L2732" s="70">
        <f>IF(CurrentMtgRatesDataTable8[[#This Row],[Servicing Spread]]&lt;=0,L2731,CurrentMtgRatesDataTable8[[#This Row],[Servicing Spread]])</f>
        <v>0.89511154996298181</v>
      </c>
      <c r="M2732" s="70">
        <f>CurrentMtgRatesDataTable8[[#This Row],[Servicing Spread Non-Zero]]-L2731</f>
        <v>0</v>
      </c>
      <c r="N2732" s="70">
        <f>IF(J2731&lt;&gt;0,CurrentMtgRatesDataTable8[[#This Row],[Rate]]-C2731,N2731)</f>
        <v>6.0000000000000053E-2</v>
      </c>
    </row>
    <row r="2733" spans="1:14">
      <c r="A2733" s="67" t="s">
        <v>571</v>
      </c>
      <c r="B2733" s="68">
        <v>2.9670641789919698</v>
      </c>
      <c r="C2733" s="69">
        <v>3.855</v>
      </c>
      <c r="D2733" s="70">
        <f t="shared" si="294"/>
        <v>2</v>
      </c>
      <c r="E2733" s="70">
        <f t="shared" si="295"/>
        <v>0.2</v>
      </c>
      <c r="F2733" s="70">
        <f t="shared" si="296"/>
        <v>2</v>
      </c>
      <c r="G2733" s="70">
        <f t="shared" si="297"/>
        <v>1.1848074352393199</v>
      </c>
      <c r="H2733" s="70">
        <f t="shared" si="298"/>
        <v>0.4</v>
      </c>
      <c r="I2733" s="70">
        <f t="shared" si="299"/>
        <v>0</v>
      </c>
      <c r="J2733" s="70">
        <f t="shared" si="300"/>
        <v>0</v>
      </c>
      <c r="K2733" s="70">
        <f>IF(CurrentMtgRatesDataTable8[[#This Row],[WA CC]]&lt;&gt;0,C2732-CurrentMtgRatesDataTable8[[#This Row],[WA CC]],0)</f>
        <v>0</v>
      </c>
      <c r="L2733" s="70">
        <f>IF(CurrentMtgRatesDataTable8[[#This Row],[Servicing Spread]]&lt;=0,L2732,CurrentMtgRatesDataTable8[[#This Row],[Servicing Spread]])</f>
        <v>0.89511154996298181</v>
      </c>
      <c r="M2733" s="70">
        <f>CurrentMtgRatesDataTable8[[#This Row],[Servicing Spread Non-Zero]]-L2732</f>
        <v>0</v>
      </c>
      <c r="N2733" s="70">
        <f>IF(J2732&lt;&gt;0,CurrentMtgRatesDataTable8[[#This Row],[Rate]]-C2732,N2732)</f>
        <v>6.0000000000000053E-2</v>
      </c>
    </row>
    <row r="2734" spans="1:14">
      <c r="A2734" s="67" t="s">
        <v>424</v>
      </c>
      <c r="B2734" s="68">
        <v>2.95063055740501</v>
      </c>
      <c r="C2734" s="69">
        <v>3.855</v>
      </c>
      <c r="D2734" s="70">
        <f t="shared" si="294"/>
        <v>5</v>
      </c>
      <c r="E2734" s="70">
        <f t="shared" si="295"/>
        <v>0.2</v>
      </c>
      <c r="F2734" s="70">
        <f t="shared" si="296"/>
        <v>3</v>
      </c>
      <c r="G2734" s="70">
        <f t="shared" si="297"/>
        <v>1.7749335467203218</v>
      </c>
      <c r="H2734" s="70">
        <f t="shared" si="298"/>
        <v>0.60000000000000009</v>
      </c>
      <c r="I2734" s="70">
        <f t="shared" si="299"/>
        <v>0</v>
      </c>
      <c r="J2734" s="70">
        <f t="shared" si="300"/>
        <v>0</v>
      </c>
      <c r="K2734" s="70">
        <f>IF(CurrentMtgRatesDataTable8[[#This Row],[WA CC]]&lt;&gt;0,C2733-CurrentMtgRatesDataTable8[[#This Row],[WA CC]],0)</f>
        <v>0</v>
      </c>
      <c r="L2734" s="70">
        <f>IF(CurrentMtgRatesDataTable8[[#This Row],[Servicing Spread]]&lt;=0,L2733,CurrentMtgRatesDataTable8[[#This Row],[Servicing Spread]])</f>
        <v>0.89511154996298181</v>
      </c>
      <c r="M2734" s="70">
        <f>CurrentMtgRatesDataTable8[[#This Row],[Servicing Spread Non-Zero]]-L2733</f>
        <v>0</v>
      </c>
      <c r="N2734" s="70">
        <f>IF(J2733&lt;&gt;0,CurrentMtgRatesDataTable8[[#This Row],[Rate]]-C2733,N2733)</f>
        <v>6.0000000000000053E-2</v>
      </c>
    </row>
    <row r="2735" spans="1:14">
      <c r="A2735" s="67" t="s">
        <v>295</v>
      </c>
      <c r="B2735" s="68">
        <v>2.9732615646767</v>
      </c>
      <c r="C2735" s="69">
        <v>3.855</v>
      </c>
      <c r="D2735" s="70">
        <f t="shared" si="294"/>
        <v>6</v>
      </c>
      <c r="E2735" s="70">
        <f t="shared" si="295"/>
        <v>0.2</v>
      </c>
      <c r="F2735" s="70">
        <f t="shared" si="296"/>
        <v>4</v>
      </c>
      <c r="G2735" s="70">
        <f t="shared" si="297"/>
        <v>2.369585859655662</v>
      </c>
      <c r="H2735" s="70">
        <f t="shared" si="298"/>
        <v>0.8</v>
      </c>
      <c r="I2735" s="70">
        <f t="shared" si="299"/>
        <v>0</v>
      </c>
      <c r="J2735" s="70">
        <f t="shared" si="300"/>
        <v>0</v>
      </c>
      <c r="K2735" s="70">
        <f>IF(CurrentMtgRatesDataTable8[[#This Row],[WA CC]]&lt;&gt;0,C2734-CurrentMtgRatesDataTable8[[#This Row],[WA CC]],0)</f>
        <v>0</v>
      </c>
      <c r="L2735" s="70">
        <f>IF(CurrentMtgRatesDataTable8[[#This Row],[Servicing Spread]]&lt;=0,L2734,CurrentMtgRatesDataTable8[[#This Row],[Servicing Spread]])</f>
        <v>0.89511154996298181</v>
      </c>
      <c r="M2735" s="70">
        <f>CurrentMtgRatesDataTable8[[#This Row],[Servicing Spread Non-Zero]]-L2734</f>
        <v>0</v>
      </c>
      <c r="N2735" s="70">
        <f>IF(J2734&lt;&gt;0,CurrentMtgRatesDataTable8[[#This Row],[Rate]]-C2734,N2734)</f>
        <v>6.0000000000000053E-2</v>
      </c>
    </row>
    <row r="2736" spans="1:14">
      <c r="A2736" s="67" t="s">
        <v>150</v>
      </c>
      <c r="B2736" s="68">
        <v>3.0090985385111702</v>
      </c>
      <c r="C2736" s="69">
        <v>3.855</v>
      </c>
      <c r="D2736" s="70">
        <f t="shared" si="294"/>
        <v>7</v>
      </c>
      <c r="E2736" s="70">
        <f t="shared" si="295"/>
        <v>0.2</v>
      </c>
      <c r="F2736" s="70">
        <f t="shared" si="296"/>
        <v>5</v>
      </c>
      <c r="G2736" s="70">
        <f t="shared" si="297"/>
        <v>2.9714055673578961</v>
      </c>
      <c r="H2736" s="70">
        <f t="shared" si="298"/>
        <v>1</v>
      </c>
      <c r="I2736" s="70">
        <f t="shared" si="299"/>
        <v>1</v>
      </c>
      <c r="J2736" s="70">
        <f t="shared" si="300"/>
        <v>2.9714055673578961</v>
      </c>
      <c r="K2736" s="70">
        <f>IF(CurrentMtgRatesDataTable8[[#This Row],[WA CC]]&lt;&gt;0,C2735-CurrentMtgRatesDataTable8[[#This Row],[WA CC]],0)</f>
        <v>0.88359443264210391</v>
      </c>
      <c r="L2736" s="70">
        <f>IF(CurrentMtgRatesDataTable8[[#This Row],[Servicing Spread]]&lt;=0,L2735,CurrentMtgRatesDataTable8[[#This Row],[Servicing Spread]])</f>
        <v>0.88359443264210391</v>
      </c>
      <c r="M2736" s="70">
        <f>CurrentMtgRatesDataTable8[[#This Row],[Servicing Spread Non-Zero]]-L2735</f>
        <v>-1.1517117320877901E-2</v>
      </c>
      <c r="N2736" s="70">
        <f>IF(J2735&lt;&gt;0,CurrentMtgRatesDataTable8[[#This Row],[Rate]]-C2735,N2735)</f>
        <v>6.0000000000000053E-2</v>
      </c>
    </row>
    <row r="2737" spans="1:14">
      <c r="A2737" s="67" t="s">
        <v>714</v>
      </c>
      <c r="B2737" s="68">
        <v>2.9884141965756501</v>
      </c>
      <c r="C2737" s="69">
        <v>3.8949999999999996</v>
      </c>
      <c r="D2737" s="70">
        <f t="shared" si="294"/>
        <v>1</v>
      </c>
      <c r="E2737" s="70">
        <f t="shared" si="295"/>
        <v>0.2</v>
      </c>
      <c r="F2737" s="70">
        <f t="shared" si="296"/>
        <v>1</v>
      </c>
      <c r="G2737" s="70">
        <f t="shared" si="297"/>
        <v>0.59768283931513</v>
      </c>
      <c r="H2737" s="70">
        <f t="shared" si="298"/>
        <v>0.2</v>
      </c>
      <c r="I2737" s="70">
        <f t="shared" si="299"/>
        <v>0</v>
      </c>
      <c r="J2737" s="70">
        <f t="shared" si="300"/>
        <v>0</v>
      </c>
      <c r="K2737" s="70">
        <f>IF(CurrentMtgRatesDataTable8[[#This Row],[WA CC]]&lt;&gt;0,C2736-CurrentMtgRatesDataTable8[[#This Row],[WA CC]],0)</f>
        <v>0</v>
      </c>
      <c r="L2737" s="70">
        <f>IF(CurrentMtgRatesDataTable8[[#This Row],[Servicing Spread]]&lt;=0,L2736,CurrentMtgRatesDataTable8[[#This Row],[Servicing Spread]])</f>
        <v>0.88359443264210391</v>
      </c>
      <c r="M2737" s="70">
        <f>CurrentMtgRatesDataTable8[[#This Row],[Servicing Spread Non-Zero]]-L2736</f>
        <v>0</v>
      </c>
      <c r="N2737" s="70">
        <f>IF(J2736&lt;&gt;0,CurrentMtgRatesDataTable8[[#This Row],[Rate]]-C2736,N2736)</f>
        <v>3.9999999999999591E-2</v>
      </c>
    </row>
    <row r="2738" spans="1:14">
      <c r="A2738" s="67" t="s">
        <v>572</v>
      </c>
      <c r="B2738" s="68">
        <v>3.0097405474457601</v>
      </c>
      <c r="C2738" s="69">
        <v>3.8949999999999996</v>
      </c>
      <c r="D2738" s="70">
        <f t="shared" si="294"/>
        <v>2</v>
      </c>
      <c r="E2738" s="70">
        <f t="shared" si="295"/>
        <v>0.2</v>
      </c>
      <c r="F2738" s="70">
        <f t="shared" si="296"/>
        <v>2</v>
      </c>
      <c r="G2738" s="70">
        <f t="shared" si="297"/>
        <v>1.1996309488042822</v>
      </c>
      <c r="H2738" s="70">
        <f t="shared" si="298"/>
        <v>0.4</v>
      </c>
      <c r="I2738" s="70">
        <f t="shared" si="299"/>
        <v>0</v>
      </c>
      <c r="J2738" s="70">
        <f t="shared" si="300"/>
        <v>0</v>
      </c>
      <c r="K2738" s="70">
        <f>IF(CurrentMtgRatesDataTable8[[#This Row],[WA CC]]&lt;&gt;0,C2737-CurrentMtgRatesDataTable8[[#This Row],[WA CC]],0)</f>
        <v>0</v>
      </c>
      <c r="L2738" s="70">
        <f>IF(CurrentMtgRatesDataTable8[[#This Row],[Servicing Spread]]&lt;=0,L2737,CurrentMtgRatesDataTable8[[#This Row],[Servicing Spread]])</f>
        <v>0.88359443264210391</v>
      </c>
      <c r="M2738" s="70">
        <f>CurrentMtgRatesDataTable8[[#This Row],[Servicing Spread Non-Zero]]-L2737</f>
        <v>0</v>
      </c>
      <c r="N2738" s="70">
        <f>IF(J2737&lt;&gt;0,CurrentMtgRatesDataTable8[[#This Row],[Rate]]-C2737,N2737)</f>
        <v>3.9999999999999591E-2</v>
      </c>
    </row>
    <row r="2739" spans="1:14">
      <c r="A2739" s="67" t="s">
        <v>425</v>
      </c>
      <c r="B2739" s="68">
        <v>3.04727792085342</v>
      </c>
      <c r="C2739" s="69">
        <v>3.8949999999999996</v>
      </c>
      <c r="D2739" s="70">
        <f t="shared" si="294"/>
        <v>5</v>
      </c>
      <c r="E2739" s="70">
        <f t="shared" si="295"/>
        <v>0.2</v>
      </c>
      <c r="F2739" s="70">
        <f t="shared" si="296"/>
        <v>3</v>
      </c>
      <c r="G2739" s="70">
        <f t="shared" si="297"/>
        <v>1.8090865329749661</v>
      </c>
      <c r="H2739" s="70">
        <f t="shared" si="298"/>
        <v>0.60000000000000009</v>
      </c>
      <c r="I2739" s="70">
        <f t="shared" si="299"/>
        <v>0</v>
      </c>
      <c r="J2739" s="70">
        <f t="shared" si="300"/>
        <v>0</v>
      </c>
      <c r="K2739" s="70">
        <f>IF(CurrentMtgRatesDataTable8[[#This Row],[WA CC]]&lt;&gt;0,C2738-CurrentMtgRatesDataTable8[[#This Row],[WA CC]],0)</f>
        <v>0</v>
      </c>
      <c r="L2739" s="70">
        <f>IF(CurrentMtgRatesDataTable8[[#This Row],[Servicing Spread]]&lt;=0,L2738,CurrentMtgRatesDataTable8[[#This Row],[Servicing Spread]])</f>
        <v>0.88359443264210391</v>
      </c>
      <c r="M2739" s="70">
        <f>CurrentMtgRatesDataTable8[[#This Row],[Servicing Spread Non-Zero]]-L2738</f>
        <v>0</v>
      </c>
      <c r="N2739" s="70">
        <f>IF(J2738&lt;&gt;0,CurrentMtgRatesDataTable8[[#This Row],[Rate]]-C2738,N2738)</f>
        <v>3.9999999999999591E-2</v>
      </c>
    </row>
    <row r="2740" spans="1:14">
      <c r="A2740" s="67" t="s">
        <v>296</v>
      </c>
      <c r="B2740" s="68">
        <v>3.0442418004482401</v>
      </c>
      <c r="C2740" s="69">
        <v>3.8949999999999996</v>
      </c>
      <c r="D2740" s="70">
        <f t="shared" si="294"/>
        <v>6</v>
      </c>
      <c r="E2740" s="70">
        <f t="shared" si="295"/>
        <v>0.2</v>
      </c>
      <c r="F2740" s="70">
        <f t="shared" si="296"/>
        <v>4</v>
      </c>
      <c r="G2740" s="70">
        <f t="shared" si="297"/>
        <v>2.4179348930646141</v>
      </c>
      <c r="H2740" s="70">
        <f t="shared" si="298"/>
        <v>0.8</v>
      </c>
      <c r="I2740" s="70">
        <f t="shared" si="299"/>
        <v>0</v>
      </c>
      <c r="J2740" s="70">
        <f t="shared" si="300"/>
        <v>0</v>
      </c>
      <c r="K2740" s="70">
        <f>IF(CurrentMtgRatesDataTable8[[#This Row],[WA CC]]&lt;&gt;0,C2739-CurrentMtgRatesDataTable8[[#This Row],[WA CC]],0)</f>
        <v>0</v>
      </c>
      <c r="L2740" s="70">
        <f>IF(CurrentMtgRatesDataTable8[[#This Row],[Servicing Spread]]&lt;=0,L2739,CurrentMtgRatesDataTable8[[#This Row],[Servicing Spread]])</f>
        <v>0.88359443264210391</v>
      </c>
      <c r="M2740" s="70">
        <f>CurrentMtgRatesDataTable8[[#This Row],[Servicing Spread Non-Zero]]-L2739</f>
        <v>0</v>
      </c>
      <c r="N2740" s="70">
        <f>IF(J2739&lt;&gt;0,CurrentMtgRatesDataTable8[[#This Row],[Rate]]-C2739,N2739)</f>
        <v>3.9999999999999591E-2</v>
      </c>
    </row>
    <row r="2741" spans="1:14">
      <c r="A2741" s="67" t="s">
        <v>151</v>
      </c>
      <c r="B2741" s="68">
        <v>3.04444949772784</v>
      </c>
      <c r="C2741" s="69">
        <v>3.8949999999999996</v>
      </c>
      <c r="D2741" s="70">
        <f t="shared" si="294"/>
        <v>7</v>
      </c>
      <c r="E2741" s="70">
        <f t="shared" si="295"/>
        <v>0.2</v>
      </c>
      <c r="F2741" s="70">
        <f t="shared" si="296"/>
        <v>5</v>
      </c>
      <c r="G2741" s="70">
        <f t="shared" si="297"/>
        <v>3.0268247926101823</v>
      </c>
      <c r="H2741" s="70">
        <f t="shared" si="298"/>
        <v>1</v>
      </c>
      <c r="I2741" s="70">
        <f t="shared" si="299"/>
        <v>1</v>
      </c>
      <c r="J2741" s="70">
        <f t="shared" si="300"/>
        <v>3.0268247926101823</v>
      </c>
      <c r="K2741" s="70">
        <f>IF(CurrentMtgRatesDataTable8[[#This Row],[WA CC]]&lt;&gt;0,C2740-CurrentMtgRatesDataTable8[[#This Row],[WA CC]],0)</f>
        <v>0.86817520738981724</v>
      </c>
      <c r="L2741" s="70">
        <f>IF(CurrentMtgRatesDataTable8[[#This Row],[Servicing Spread]]&lt;=0,L2740,CurrentMtgRatesDataTable8[[#This Row],[Servicing Spread]])</f>
        <v>0.86817520738981724</v>
      </c>
      <c r="M2741" s="70">
        <f>CurrentMtgRatesDataTable8[[#This Row],[Servicing Spread Non-Zero]]-L2740</f>
        <v>-1.5419225252286672E-2</v>
      </c>
      <c r="N2741" s="70">
        <f>IF(J2740&lt;&gt;0,CurrentMtgRatesDataTable8[[#This Row],[Rate]]-C2740,N2740)</f>
        <v>3.9999999999999591E-2</v>
      </c>
    </row>
    <row r="2742" spans="1:14">
      <c r="A2742" s="67" t="s">
        <v>715</v>
      </c>
      <c r="B2742" s="68">
        <v>3.05201083744713</v>
      </c>
      <c r="C2742" s="69">
        <v>3.8849999999999998</v>
      </c>
      <c r="D2742" s="70">
        <f t="shared" si="294"/>
        <v>1</v>
      </c>
      <c r="E2742" s="70">
        <f t="shared" si="295"/>
        <v>0.2</v>
      </c>
      <c r="F2742" s="70">
        <f t="shared" si="296"/>
        <v>1</v>
      </c>
      <c r="G2742" s="70">
        <f t="shared" si="297"/>
        <v>0.610402167489426</v>
      </c>
      <c r="H2742" s="70">
        <f t="shared" si="298"/>
        <v>0.2</v>
      </c>
      <c r="I2742" s="70">
        <f t="shared" si="299"/>
        <v>0</v>
      </c>
      <c r="J2742" s="70">
        <f t="shared" si="300"/>
        <v>0</v>
      </c>
      <c r="K2742" s="70">
        <f>IF(CurrentMtgRatesDataTable8[[#This Row],[WA CC]]&lt;&gt;0,C2741-CurrentMtgRatesDataTable8[[#This Row],[WA CC]],0)</f>
        <v>0</v>
      </c>
      <c r="L2742" s="70">
        <f>IF(CurrentMtgRatesDataTable8[[#This Row],[Servicing Spread]]&lt;=0,L2741,CurrentMtgRatesDataTable8[[#This Row],[Servicing Spread]])</f>
        <v>0.86817520738981724</v>
      </c>
      <c r="M2742" s="70">
        <f>CurrentMtgRatesDataTable8[[#This Row],[Servicing Spread Non-Zero]]-L2741</f>
        <v>0</v>
      </c>
      <c r="N2742" s="70">
        <f>IF(J2741&lt;&gt;0,CurrentMtgRatesDataTable8[[#This Row],[Rate]]-C2741,N2741)</f>
        <v>-9.9999999999997868E-3</v>
      </c>
    </row>
    <row r="2743" spans="1:14">
      <c r="A2743" s="67" t="s">
        <v>573</v>
      </c>
      <c r="B2743" s="68">
        <v>3.00136099640791</v>
      </c>
      <c r="C2743" s="69">
        <v>3.8849999999999998</v>
      </c>
      <c r="D2743" s="70">
        <f t="shared" si="294"/>
        <v>2</v>
      </c>
      <c r="E2743" s="70">
        <f t="shared" si="295"/>
        <v>0.2</v>
      </c>
      <c r="F2743" s="70">
        <f t="shared" si="296"/>
        <v>2</v>
      </c>
      <c r="G2743" s="70">
        <f t="shared" si="297"/>
        <v>1.210674366771008</v>
      </c>
      <c r="H2743" s="70">
        <f t="shared" si="298"/>
        <v>0.4</v>
      </c>
      <c r="I2743" s="70">
        <f t="shared" si="299"/>
        <v>0</v>
      </c>
      <c r="J2743" s="70">
        <f t="shared" si="300"/>
        <v>0</v>
      </c>
      <c r="K2743" s="70">
        <f>IF(CurrentMtgRatesDataTable8[[#This Row],[WA CC]]&lt;&gt;0,C2742-CurrentMtgRatesDataTable8[[#This Row],[WA CC]],0)</f>
        <v>0</v>
      </c>
      <c r="L2743" s="70">
        <f>IF(CurrentMtgRatesDataTable8[[#This Row],[Servicing Spread]]&lt;=0,L2742,CurrentMtgRatesDataTable8[[#This Row],[Servicing Spread]])</f>
        <v>0.86817520738981724</v>
      </c>
      <c r="M2743" s="70">
        <f>CurrentMtgRatesDataTable8[[#This Row],[Servicing Spread Non-Zero]]-L2742</f>
        <v>0</v>
      </c>
      <c r="N2743" s="70">
        <f>IF(J2742&lt;&gt;0,CurrentMtgRatesDataTable8[[#This Row],[Rate]]-C2742,N2742)</f>
        <v>-9.9999999999997868E-3</v>
      </c>
    </row>
    <row r="2744" spans="1:14">
      <c r="A2744" s="67" t="s">
        <v>426</v>
      </c>
      <c r="B2744" s="68">
        <v>3.0363365323845302</v>
      </c>
      <c r="C2744" s="69">
        <v>3.8849999999999998</v>
      </c>
      <c r="D2744" s="70">
        <f t="shared" si="294"/>
        <v>5</v>
      </c>
      <c r="E2744" s="70">
        <f t="shared" si="295"/>
        <v>0.2</v>
      </c>
      <c r="F2744" s="70">
        <f t="shared" si="296"/>
        <v>3</v>
      </c>
      <c r="G2744" s="70">
        <f t="shared" si="297"/>
        <v>1.8179416732479141</v>
      </c>
      <c r="H2744" s="70">
        <f t="shared" si="298"/>
        <v>0.60000000000000009</v>
      </c>
      <c r="I2744" s="70">
        <f t="shared" si="299"/>
        <v>0</v>
      </c>
      <c r="J2744" s="70">
        <f t="shared" si="300"/>
        <v>0</v>
      </c>
      <c r="K2744" s="70">
        <f>IF(CurrentMtgRatesDataTable8[[#This Row],[WA CC]]&lt;&gt;0,C2743-CurrentMtgRatesDataTable8[[#This Row],[WA CC]],0)</f>
        <v>0</v>
      </c>
      <c r="L2744" s="70">
        <f>IF(CurrentMtgRatesDataTable8[[#This Row],[Servicing Spread]]&lt;=0,L2743,CurrentMtgRatesDataTable8[[#This Row],[Servicing Spread]])</f>
        <v>0.86817520738981724</v>
      </c>
      <c r="M2744" s="70">
        <f>CurrentMtgRatesDataTable8[[#This Row],[Servicing Spread Non-Zero]]-L2743</f>
        <v>0</v>
      </c>
      <c r="N2744" s="70">
        <f>IF(J2743&lt;&gt;0,CurrentMtgRatesDataTable8[[#This Row],[Rate]]-C2743,N2743)</f>
        <v>-9.9999999999997868E-3</v>
      </c>
    </row>
    <row r="2745" spans="1:14">
      <c r="A2745" s="67" t="s">
        <v>152</v>
      </c>
      <c r="B2745" s="68">
        <v>3.03648433223462</v>
      </c>
      <c r="C2745" s="69">
        <v>3.8849999999999998</v>
      </c>
      <c r="D2745" s="70">
        <f t="shared" si="294"/>
        <v>7</v>
      </c>
      <c r="E2745" s="70">
        <f t="shared" si="295"/>
        <v>0.2</v>
      </c>
      <c r="F2745" s="70">
        <f t="shared" si="296"/>
        <v>4</v>
      </c>
      <c r="G2745" s="70">
        <f t="shared" si="297"/>
        <v>2.4252385396948384</v>
      </c>
      <c r="H2745" s="70">
        <f t="shared" si="298"/>
        <v>0.8</v>
      </c>
      <c r="I2745" s="70">
        <f t="shared" si="299"/>
        <v>1</v>
      </c>
      <c r="J2745" s="70">
        <f t="shared" si="300"/>
        <v>3.031548174618548</v>
      </c>
      <c r="K2745" s="70">
        <f>IF(CurrentMtgRatesDataTable8[[#This Row],[WA CC]]&lt;&gt;0,C2744-CurrentMtgRatesDataTable8[[#This Row],[WA CC]],0)</f>
        <v>0.85345182538145181</v>
      </c>
      <c r="L2745" s="70">
        <f>IF(CurrentMtgRatesDataTable8[[#This Row],[Servicing Spread]]&lt;=0,L2744,CurrentMtgRatesDataTable8[[#This Row],[Servicing Spread]])</f>
        <v>0.85345182538145181</v>
      </c>
      <c r="M2745" s="70">
        <f>CurrentMtgRatesDataTable8[[#This Row],[Servicing Spread Non-Zero]]-L2744</f>
        <v>-1.4723382008365427E-2</v>
      </c>
      <c r="N2745" s="70">
        <f>IF(J2744&lt;&gt;0,CurrentMtgRatesDataTable8[[#This Row],[Rate]]-C2744,N2744)</f>
        <v>-9.9999999999997868E-3</v>
      </c>
    </row>
    <row r="2746" spans="1:14">
      <c r="A2746" s="67" t="s">
        <v>716</v>
      </c>
      <c r="B2746" s="68">
        <v>3.0240880311784402</v>
      </c>
      <c r="C2746" s="69">
        <v>3.8650000000000002</v>
      </c>
      <c r="D2746" s="70">
        <f t="shared" si="294"/>
        <v>1</v>
      </c>
      <c r="E2746" s="70">
        <f t="shared" si="295"/>
        <v>0.2</v>
      </c>
      <c r="F2746" s="70">
        <f t="shared" si="296"/>
        <v>1</v>
      </c>
      <c r="G2746" s="70">
        <f t="shared" si="297"/>
        <v>0.60481760623568803</v>
      </c>
      <c r="H2746" s="70">
        <f t="shared" si="298"/>
        <v>0.2</v>
      </c>
      <c r="I2746" s="70">
        <f t="shared" si="299"/>
        <v>0</v>
      </c>
      <c r="J2746" s="70">
        <f t="shared" si="300"/>
        <v>0</v>
      </c>
      <c r="K2746" s="70">
        <f>IF(CurrentMtgRatesDataTable8[[#This Row],[WA CC]]&lt;&gt;0,C2745-CurrentMtgRatesDataTable8[[#This Row],[WA CC]],0)</f>
        <v>0</v>
      </c>
      <c r="L2746" s="70">
        <f>IF(CurrentMtgRatesDataTable8[[#This Row],[Servicing Spread]]&lt;=0,L2745,CurrentMtgRatesDataTable8[[#This Row],[Servicing Spread]])</f>
        <v>0.85345182538145181</v>
      </c>
      <c r="M2746" s="70">
        <f>CurrentMtgRatesDataTable8[[#This Row],[Servicing Spread Non-Zero]]-L2745</f>
        <v>0</v>
      </c>
      <c r="N2746" s="70">
        <f>IF(J2745&lt;&gt;0,CurrentMtgRatesDataTable8[[#This Row],[Rate]]-C2745,N2745)</f>
        <v>-1.9999999999999574E-2</v>
      </c>
    </row>
    <row r="2747" spans="1:14">
      <c r="A2747" s="67" t="s">
        <v>574</v>
      </c>
      <c r="B2747" s="68">
        <v>2.9883080633805301</v>
      </c>
      <c r="C2747" s="69">
        <v>3.8650000000000002</v>
      </c>
      <c r="D2747" s="70">
        <f t="shared" si="294"/>
        <v>2</v>
      </c>
      <c r="E2747" s="70">
        <f t="shared" si="295"/>
        <v>0.2</v>
      </c>
      <c r="F2747" s="70">
        <f t="shared" si="296"/>
        <v>2</v>
      </c>
      <c r="G2747" s="70">
        <f t="shared" si="297"/>
        <v>1.2024792189117941</v>
      </c>
      <c r="H2747" s="70">
        <f t="shared" si="298"/>
        <v>0.4</v>
      </c>
      <c r="I2747" s="70">
        <f t="shared" si="299"/>
        <v>0</v>
      </c>
      <c r="J2747" s="70">
        <f t="shared" si="300"/>
        <v>0</v>
      </c>
      <c r="K2747" s="70">
        <f>IF(CurrentMtgRatesDataTable8[[#This Row],[WA CC]]&lt;&gt;0,C2746-CurrentMtgRatesDataTable8[[#This Row],[WA CC]],0)</f>
        <v>0</v>
      </c>
      <c r="L2747" s="70">
        <f>IF(CurrentMtgRatesDataTable8[[#This Row],[Servicing Spread]]&lt;=0,L2746,CurrentMtgRatesDataTable8[[#This Row],[Servicing Spread]])</f>
        <v>0.85345182538145181</v>
      </c>
      <c r="M2747" s="70">
        <f>CurrentMtgRatesDataTable8[[#This Row],[Servicing Spread Non-Zero]]-L2746</f>
        <v>0</v>
      </c>
      <c r="N2747" s="70">
        <f>IF(J2746&lt;&gt;0,CurrentMtgRatesDataTable8[[#This Row],[Rate]]-C2746,N2746)</f>
        <v>-1.9999999999999574E-2</v>
      </c>
    </row>
    <row r="2748" spans="1:14">
      <c r="A2748" s="67" t="s">
        <v>427</v>
      </c>
      <c r="B2748" s="68">
        <v>2.9940977333827501</v>
      </c>
      <c r="C2748" s="69">
        <v>3.8650000000000002</v>
      </c>
      <c r="D2748" s="70">
        <f t="shared" si="294"/>
        <v>5</v>
      </c>
      <c r="E2748" s="70">
        <f t="shared" si="295"/>
        <v>0.2</v>
      </c>
      <c r="F2748" s="70">
        <f t="shared" si="296"/>
        <v>3</v>
      </c>
      <c r="G2748" s="70">
        <f t="shared" si="297"/>
        <v>1.8012987655883441</v>
      </c>
      <c r="H2748" s="70">
        <f t="shared" si="298"/>
        <v>0.60000000000000009</v>
      </c>
      <c r="I2748" s="70">
        <f t="shared" si="299"/>
        <v>0</v>
      </c>
      <c r="J2748" s="70">
        <f t="shared" si="300"/>
        <v>0</v>
      </c>
      <c r="K2748" s="70">
        <f>IF(CurrentMtgRatesDataTable8[[#This Row],[WA CC]]&lt;&gt;0,C2747-CurrentMtgRatesDataTable8[[#This Row],[WA CC]],0)</f>
        <v>0</v>
      </c>
      <c r="L2748" s="70">
        <f>IF(CurrentMtgRatesDataTable8[[#This Row],[Servicing Spread]]&lt;=0,L2747,CurrentMtgRatesDataTable8[[#This Row],[Servicing Spread]])</f>
        <v>0.85345182538145181</v>
      </c>
      <c r="M2748" s="70">
        <f>CurrentMtgRatesDataTable8[[#This Row],[Servicing Spread Non-Zero]]-L2747</f>
        <v>0</v>
      </c>
      <c r="N2748" s="70">
        <f>IF(J2747&lt;&gt;0,CurrentMtgRatesDataTable8[[#This Row],[Rate]]-C2747,N2747)</f>
        <v>-1.9999999999999574E-2</v>
      </c>
    </row>
    <row r="2749" spans="1:14">
      <c r="A2749" s="67" t="s">
        <v>297</v>
      </c>
      <c r="B2749" s="68">
        <v>2.98225794262494</v>
      </c>
      <c r="C2749" s="69">
        <v>3.8650000000000002</v>
      </c>
      <c r="D2749" s="70">
        <f t="shared" si="294"/>
        <v>6</v>
      </c>
      <c r="E2749" s="70">
        <f t="shared" si="295"/>
        <v>0.2</v>
      </c>
      <c r="F2749" s="70">
        <f t="shared" si="296"/>
        <v>4</v>
      </c>
      <c r="G2749" s="70">
        <f t="shared" si="297"/>
        <v>2.3977503541133323</v>
      </c>
      <c r="H2749" s="70">
        <f t="shared" si="298"/>
        <v>0.8</v>
      </c>
      <c r="I2749" s="70">
        <f t="shared" si="299"/>
        <v>0</v>
      </c>
      <c r="J2749" s="70">
        <f t="shared" si="300"/>
        <v>0</v>
      </c>
      <c r="K2749" s="70">
        <f>IF(CurrentMtgRatesDataTable8[[#This Row],[WA CC]]&lt;&gt;0,C2748-CurrentMtgRatesDataTable8[[#This Row],[WA CC]],0)</f>
        <v>0</v>
      </c>
      <c r="L2749" s="70">
        <f>IF(CurrentMtgRatesDataTable8[[#This Row],[Servicing Spread]]&lt;=0,L2748,CurrentMtgRatesDataTable8[[#This Row],[Servicing Spread]])</f>
        <v>0.85345182538145181</v>
      </c>
      <c r="M2749" s="70">
        <f>CurrentMtgRatesDataTable8[[#This Row],[Servicing Spread Non-Zero]]-L2748</f>
        <v>0</v>
      </c>
      <c r="N2749" s="70">
        <f>IF(J2748&lt;&gt;0,CurrentMtgRatesDataTable8[[#This Row],[Rate]]-C2748,N2748)</f>
        <v>-1.9999999999999574E-2</v>
      </c>
    </row>
    <row r="2750" spans="1:14">
      <c r="A2750" s="67" t="s">
        <v>153</v>
      </c>
      <c r="B2750" s="68">
        <v>3.0039537946355401</v>
      </c>
      <c r="C2750" s="69">
        <v>3.8650000000000002</v>
      </c>
      <c r="D2750" s="70">
        <f t="shared" si="294"/>
        <v>7</v>
      </c>
      <c r="E2750" s="70">
        <f t="shared" si="295"/>
        <v>0.2</v>
      </c>
      <c r="F2750" s="70">
        <f t="shared" si="296"/>
        <v>5</v>
      </c>
      <c r="G2750" s="70">
        <f t="shared" si="297"/>
        <v>2.9985411130404405</v>
      </c>
      <c r="H2750" s="70">
        <f t="shared" si="298"/>
        <v>1</v>
      </c>
      <c r="I2750" s="70">
        <f t="shared" si="299"/>
        <v>1</v>
      </c>
      <c r="J2750" s="70">
        <f t="shared" si="300"/>
        <v>2.9985411130404405</v>
      </c>
      <c r="K2750" s="70">
        <f>IF(CurrentMtgRatesDataTable8[[#This Row],[WA CC]]&lt;&gt;0,C2749-CurrentMtgRatesDataTable8[[#This Row],[WA CC]],0)</f>
        <v>0.86645888695955975</v>
      </c>
      <c r="L2750" s="70">
        <f>IF(CurrentMtgRatesDataTable8[[#This Row],[Servicing Spread]]&lt;=0,L2749,CurrentMtgRatesDataTable8[[#This Row],[Servicing Spread]])</f>
        <v>0.86645888695955975</v>
      </c>
      <c r="M2750" s="70">
        <f>CurrentMtgRatesDataTable8[[#This Row],[Servicing Spread Non-Zero]]-L2749</f>
        <v>1.3007061578107937E-2</v>
      </c>
      <c r="N2750" s="70">
        <f>IF(J2749&lt;&gt;0,CurrentMtgRatesDataTable8[[#This Row],[Rate]]-C2749,N2749)</f>
        <v>-1.9999999999999574E-2</v>
      </c>
    </row>
    <row r="2751" spans="1:14">
      <c r="A2751" s="67" t="s">
        <v>575</v>
      </c>
      <c r="B2751" s="68">
        <v>2.9824542230370898</v>
      </c>
      <c r="C2751" s="69">
        <v>3.8450000000000002</v>
      </c>
      <c r="D2751" s="70">
        <f t="shared" si="294"/>
        <v>1</v>
      </c>
      <c r="E2751" s="70">
        <f t="shared" si="295"/>
        <v>0.2</v>
      </c>
      <c r="F2751" s="70">
        <f t="shared" si="296"/>
        <v>1</v>
      </c>
      <c r="G2751" s="70">
        <f t="shared" si="297"/>
        <v>0.59649084460741797</v>
      </c>
      <c r="H2751" s="70">
        <f t="shared" si="298"/>
        <v>0.2</v>
      </c>
      <c r="I2751" s="70">
        <f t="shared" si="299"/>
        <v>0</v>
      </c>
      <c r="J2751" s="70">
        <f t="shared" si="300"/>
        <v>0</v>
      </c>
      <c r="K2751" s="70">
        <f>IF(CurrentMtgRatesDataTable8[[#This Row],[WA CC]]&lt;&gt;0,C2750-CurrentMtgRatesDataTable8[[#This Row],[WA CC]],0)</f>
        <v>0</v>
      </c>
      <c r="L2751" s="70">
        <f>IF(CurrentMtgRatesDataTable8[[#This Row],[Servicing Spread]]&lt;=0,L2750,CurrentMtgRatesDataTable8[[#This Row],[Servicing Spread]])</f>
        <v>0.86645888695955975</v>
      </c>
      <c r="M2751" s="70">
        <f>CurrentMtgRatesDataTable8[[#This Row],[Servicing Spread Non-Zero]]-L2750</f>
        <v>0</v>
      </c>
      <c r="N2751" s="70">
        <f>IF(J2750&lt;&gt;0,CurrentMtgRatesDataTable8[[#This Row],[Rate]]-C2750,N2750)</f>
        <v>-2.0000000000000018E-2</v>
      </c>
    </row>
    <row r="2752" spans="1:14">
      <c r="A2752" s="67" t="s">
        <v>438</v>
      </c>
      <c r="B2752" s="68">
        <v>2.96503071609644</v>
      </c>
      <c r="C2752" s="69">
        <v>3.8450000000000002</v>
      </c>
      <c r="D2752" s="70">
        <f t="shared" si="294"/>
        <v>2</v>
      </c>
      <c r="E2752" s="70">
        <f t="shared" si="295"/>
        <v>0.2</v>
      </c>
      <c r="F2752" s="70">
        <f t="shared" si="296"/>
        <v>2</v>
      </c>
      <c r="G2752" s="70">
        <f t="shared" si="297"/>
        <v>1.1894969878267059</v>
      </c>
      <c r="H2752" s="70">
        <f t="shared" si="298"/>
        <v>0.4</v>
      </c>
      <c r="I2752" s="70">
        <f t="shared" si="299"/>
        <v>0</v>
      </c>
      <c r="J2752" s="70">
        <f t="shared" si="300"/>
        <v>0</v>
      </c>
      <c r="K2752" s="70">
        <f>IF(CurrentMtgRatesDataTable8[[#This Row],[WA CC]]&lt;&gt;0,C2751-CurrentMtgRatesDataTable8[[#This Row],[WA CC]],0)</f>
        <v>0</v>
      </c>
      <c r="L2752" s="70">
        <f>IF(CurrentMtgRatesDataTable8[[#This Row],[Servicing Spread]]&lt;=0,L2751,CurrentMtgRatesDataTable8[[#This Row],[Servicing Spread]])</f>
        <v>0.86645888695955975</v>
      </c>
      <c r="M2752" s="70">
        <f>CurrentMtgRatesDataTable8[[#This Row],[Servicing Spread Non-Zero]]-L2751</f>
        <v>0</v>
      </c>
      <c r="N2752" s="70">
        <f>IF(J2751&lt;&gt;0,CurrentMtgRatesDataTable8[[#This Row],[Rate]]-C2751,N2751)</f>
        <v>-2.0000000000000018E-2</v>
      </c>
    </row>
    <row r="2753" spans="1:14">
      <c r="A2753" s="67" t="s">
        <v>298</v>
      </c>
      <c r="B2753" s="68">
        <v>2.9533754292471799</v>
      </c>
      <c r="C2753" s="69">
        <v>3.8450000000000002</v>
      </c>
      <c r="D2753" s="70">
        <f t="shared" si="294"/>
        <v>5</v>
      </c>
      <c r="E2753" s="70">
        <f t="shared" si="295"/>
        <v>0.2</v>
      </c>
      <c r="F2753" s="70">
        <f t="shared" si="296"/>
        <v>3</v>
      </c>
      <c r="G2753" s="70">
        <f t="shared" si="297"/>
        <v>1.7801720736761419</v>
      </c>
      <c r="H2753" s="70">
        <f t="shared" si="298"/>
        <v>0.60000000000000009</v>
      </c>
      <c r="I2753" s="70">
        <f t="shared" si="299"/>
        <v>0</v>
      </c>
      <c r="J2753" s="70">
        <f t="shared" si="300"/>
        <v>0</v>
      </c>
      <c r="K2753" s="70">
        <f>IF(CurrentMtgRatesDataTable8[[#This Row],[WA CC]]&lt;&gt;0,C2752-CurrentMtgRatesDataTable8[[#This Row],[WA CC]],0)</f>
        <v>0</v>
      </c>
      <c r="L2753" s="70">
        <f>IF(CurrentMtgRatesDataTable8[[#This Row],[Servicing Spread]]&lt;=0,L2752,CurrentMtgRatesDataTable8[[#This Row],[Servicing Spread]])</f>
        <v>0.86645888695955975</v>
      </c>
      <c r="M2753" s="70">
        <f>CurrentMtgRatesDataTable8[[#This Row],[Servicing Spread Non-Zero]]-L2752</f>
        <v>0</v>
      </c>
      <c r="N2753" s="70">
        <f>IF(J2752&lt;&gt;0,CurrentMtgRatesDataTable8[[#This Row],[Rate]]-C2752,N2752)</f>
        <v>-2.0000000000000018E-2</v>
      </c>
    </row>
    <row r="2754" spans="1:14">
      <c r="A2754" s="67" t="s">
        <v>154</v>
      </c>
      <c r="B2754" s="68">
        <v>2.8987235748393099</v>
      </c>
      <c r="C2754" s="69">
        <v>3.8450000000000002</v>
      </c>
      <c r="D2754" s="70">
        <f t="shared" si="294"/>
        <v>6</v>
      </c>
      <c r="E2754" s="70">
        <f t="shared" si="295"/>
        <v>0.2</v>
      </c>
      <c r="F2754" s="70">
        <f t="shared" si="296"/>
        <v>4</v>
      </c>
      <c r="G2754" s="70">
        <f t="shared" si="297"/>
        <v>2.359916788644004</v>
      </c>
      <c r="H2754" s="70">
        <f t="shared" si="298"/>
        <v>0.8</v>
      </c>
      <c r="I2754" s="70">
        <f t="shared" si="299"/>
        <v>0</v>
      </c>
      <c r="J2754" s="70">
        <f t="shared" si="300"/>
        <v>0</v>
      </c>
      <c r="K2754" s="70">
        <f>IF(CurrentMtgRatesDataTable8[[#This Row],[WA CC]]&lt;&gt;0,C2753-CurrentMtgRatesDataTable8[[#This Row],[WA CC]],0)</f>
        <v>0</v>
      </c>
      <c r="L2754" s="70">
        <f>IF(CurrentMtgRatesDataTable8[[#This Row],[Servicing Spread]]&lt;=0,L2753,CurrentMtgRatesDataTable8[[#This Row],[Servicing Spread]])</f>
        <v>0.86645888695955975</v>
      </c>
      <c r="M2754" s="70">
        <f>CurrentMtgRatesDataTable8[[#This Row],[Servicing Spread Non-Zero]]-L2753</f>
        <v>0</v>
      </c>
      <c r="N2754" s="70">
        <f>IF(J2753&lt;&gt;0,CurrentMtgRatesDataTable8[[#This Row],[Rate]]-C2753,N2753)</f>
        <v>-2.0000000000000018E-2</v>
      </c>
    </row>
    <row r="2755" spans="1:14">
      <c r="A2755" s="67" t="s">
        <v>984</v>
      </c>
      <c r="B2755" s="68">
        <v>2.8840952878375998</v>
      </c>
      <c r="C2755" s="69">
        <v>3.8450000000000002</v>
      </c>
      <c r="D2755" s="70">
        <f t="shared" si="294"/>
        <v>7</v>
      </c>
      <c r="E2755" s="70">
        <f t="shared" si="295"/>
        <v>0.2</v>
      </c>
      <c r="F2755" s="70">
        <f t="shared" si="296"/>
        <v>5</v>
      </c>
      <c r="G2755" s="70">
        <f t="shared" si="297"/>
        <v>2.9367358462115241</v>
      </c>
      <c r="H2755" s="70">
        <f t="shared" si="298"/>
        <v>1</v>
      </c>
      <c r="I2755" s="70">
        <f t="shared" si="299"/>
        <v>1</v>
      </c>
      <c r="J2755" s="70">
        <f t="shared" si="300"/>
        <v>2.9367358462115241</v>
      </c>
      <c r="K2755" s="70">
        <f>IF(CurrentMtgRatesDataTable8[[#This Row],[WA CC]]&lt;&gt;0,C2754-CurrentMtgRatesDataTable8[[#This Row],[WA CC]],0)</f>
        <v>0.90826415378847614</v>
      </c>
      <c r="L2755" s="70">
        <f>IF(CurrentMtgRatesDataTable8[[#This Row],[Servicing Spread]]&lt;=0,L2754,CurrentMtgRatesDataTable8[[#This Row],[Servicing Spread]])</f>
        <v>0.90826415378847614</v>
      </c>
      <c r="M2755" s="70">
        <f>CurrentMtgRatesDataTable8[[#This Row],[Servicing Spread Non-Zero]]-L2754</f>
        <v>4.1805266828916388E-2</v>
      </c>
      <c r="N2755" s="70">
        <f>IF(J2754&lt;&gt;0,CurrentMtgRatesDataTable8[[#This Row],[Rate]]-C2754,N2754)</f>
        <v>-2.0000000000000018E-2</v>
      </c>
    </row>
    <row r="2756" spans="1:14">
      <c r="A2756" s="67" t="s">
        <v>576</v>
      </c>
      <c r="B2756" s="68">
        <v>2.84568526355815</v>
      </c>
      <c r="C2756" s="69">
        <v>3.7650000000000001</v>
      </c>
      <c r="D2756" s="70">
        <f t="shared" si="294"/>
        <v>2</v>
      </c>
      <c r="E2756" s="70">
        <f t="shared" si="295"/>
        <v>0.2</v>
      </c>
      <c r="F2756" s="70">
        <f t="shared" si="296"/>
        <v>1</v>
      </c>
      <c r="G2756" s="70">
        <f t="shared" si="297"/>
        <v>0.56913705271163006</v>
      </c>
      <c r="H2756" s="70">
        <f t="shared" si="298"/>
        <v>0.2</v>
      </c>
      <c r="I2756" s="70">
        <f t="shared" si="299"/>
        <v>0</v>
      </c>
      <c r="J2756" s="70">
        <f t="shared" si="300"/>
        <v>0</v>
      </c>
      <c r="K2756" s="70">
        <f>IF(CurrentMtgRatesDataTable8[[#This Row],[WA CC]]&lt;&gt;0,C2755-CurrentMtgRatesDataTable8[[#This Row],[WA CC]],0)</f>
        <v>0</v>
      </c>
      <c r="L2756" s="70">
        <f>IF(CurrentMtgRatesDataTable8[[#This Row],[Servicing Spread]]&lt;=0,L2755,CurrentMtgRatesDataTable8[[#This Row],[Servicing Spread]])</f>
        <v>0.90826415378847614</v>
      </c>
      <c r="M2756" s="70">
        <f>CurrentMtgRatesDataTable8[[#This Row],[Servicing Spread Non-Zero]]-L2755</f>
        <v>0</v>
      </c>
      <c r="N2756" s="70">
        <f>IF(J2755&lt;&gt;0,CurrentMtgRatesDataTable8[[#This Row],[Rate]]-C2755,N2755)</f>
        <v>-8.0000000000000071E-2</v>
      </c>
    </row>
    <row r="2757" spans="1:14">
      <c r="A2757" s="67" t="s">
        <v>428</v>
      </c>
      <c r="B2757" s="68">
        <v>2.8622800897906999</v>
      </c>
      <c r="C2757" s="69">
        <v>3.7650000000000001</v>
      </c>
      <c r="D2757" s="70">
        <f t="shared" ref="D2757:D2820" si="301">WEEKDAY(A2757,14)</f>
        <v>5</v>
      </c>
      <c r="E2757" s="70">
        <f t="shared" ref="E2757:E2820" si="302">VLOOKUP(D2757,Q$5:R$11,2,FALSE)</f>
        <v>0.2</v>
      </c>
      <c r="F2757" s="70">
        <f t="shared" ref="F2757:F2820" si="303">IF(AND(D2757&gt;D2756,F2756&lt;6),F2756+1,1)</f>
        <v>2</v>
      </c>
      <c r="G2757" s="70">
        <f t="shared" ref="G2757:G2820" si="304">IF(F2757&gt;F2756,G2756+B2757*E2757,B2757*E2757)</f>
        <v>1.1415930706697701</v>
      </c>
      <c r="H2757" s="70">
        <f t="shared" ref="H2757:H2820" si="305">IF(AND(F2757&lt;6,F2757&gt;F2756),E2757+H2756,E2757)</f>
        <v>0.4</v>
      </c>
      <c r="I2757" s="70">
        <f t="shared" ref="I2757:I2820" si="306">IF(F2757&gt;F2758,1,0)</f>
        <v>0</v>
      </c>
      <c r="J2757" s="70">
        <f t="shared" ref="J2757:J2820" si="307">IF(F2757&gt;F2758,G2757/H2757,0)</f>
        <v>0</v>
      </c>
      <c r="K2757" s="70">
        <f>IF(CurrentMtgRatesDataTable8[[#This Row],[WA CC]]&lt;&gt;0,C2756-CurrentMtgRatesDataTable8[[#This Row],[WA CC]],0)</f>
        <v>0</v>
      </c>
      <c r="L2757" s="70">
        <f>IF(CurrentMtgRatesDataTable8[[#This Row],[Servicing Spread]]&lt;=0,L2756,CurrentMtgRatesDataTable8[[#This Row],[Servicing Spread]])</f>
        <v>0.90826415378847614</v>
      </c>
      <c r="M2757" s="70">
        <f>CurrentMtgRatesDataTable8[[#This Row],[Servicing Spread Non-Zero]]-L2756</f>
        <v>0</v>
      </c>
      <c r="N2757" s="70">
        <f>IF(J2756&lt;&gt;0,CurrentMtgRatesDataTable8[[#This Row],[Rate]]-C2756,N2756)</f>
        <v>-8.0000000000000071E-2</v>
      </c>
    </row>
    <row r="2758" spans="1:14">
      <c r="A2758" s="67" t="s">
        <v>299</v>
      </c>
      <c r="B2758" s="68">
        <v>2.92504129119764</v>
      </c>
      <c r="C2758" s="69">
        <v>3.7650000000000001</v>
      </c>
      <c r="D2758" s="70">
        <f t="shared" si="301"/>
        <v>6</v>
      </c>
      <c r="E2758" s="70">
        <f t="shared" si="302"/>
        <v>0.2</v>
      </c>
      <c r="F2758" s="70">
        <f t="shared" si="303"/>
        <v>3</v>
      </c>
      <c r="G2758" s="70">
        <f t="shared" si="304"/>
        <v>1.7266013289092981</v>
      </c>
      <c r="H2758" s="70">
        <f t="shared" si="305"/>
        <v>0.60000000000000009</v>
      </c>
      <c r="I2758" s="70">
        <f t="shared" si="306"/>
        <v>0</v>
      </c>
      <c r="J2758" s="70">
        <f t="shared" si="307"/>
        <v>0</v>
      </c>
      <c r="K2758" s="70">
        <f>IF(CurrentMtgRatesDataTable8[[#This Row],[WA CC]]&lt;&gt;0,C2757-CurrentMtgRatesDataTable8[[#This Row],[WA CC]],0)</f>
        <v>0</v>
      </c>
      <c r="L2758" s="70">
        <f>IF(CurrentMtgRatesDataTable8[[#This Row],[Servicing Spread]]&lt;=0,L2757,CurrentMtgRatesDataTable8[[#This Row],[Servicing Spread]])</f>
        <v>0.90826415378847614</v>
      </c>
      <c r="M2758" s="70">
        <f>CurrentMtgRatesDataTable8[[#This Row],[Servicing Spread Non-Zero]]-L2757</f>
        <v>0</v>
      </c>
      <c r="N2758" s="70">
        <f>IF(J2757&lt;&gt;0,CurrentMtgRatesDataTable8[[#This Row],[Rate]]-C2757,N2757)</f>
        <v>-8.0000000000000071E-2</v>
      </c>
    </row>
    <row r="2759" spans="1:14">
      <c r="A2759" s="67" t="s">
        <v>155</v>
      </c>
      <c r="B2759" s="68">
        <v>2.9323159668402701</v>
      </c>
      <c r="C2759" s="69">
        <v>3.7650000000000001</v>
      </c>
      <c r="D2759" s="70">
        <f t="shared" si="301"/>
        <v>7</v>
      </c>
      <c r="E2759" s="70">
        <f t="shared" si="302"/>
        <v>0.2</v>
      </c>
      <c r="F2759" s="70">
        <f t="shared" si="303"/>
        <v>4</v>
      </c>
      <c r="G2759" s="70">
        <f t="shared" si="304"/>
        <v>2.3130645222773523</v>
      </c>
      <c r="H2759" s="70">
        <f t="shared" si="305"/>
        <v>0.8</v>
      </c>
      <c r="I2759" s="70">
        <f t="shared" si="306"/>
        <v>1</v>
      </c>
      <c r="J2759" s="70">
        <f t="shared" si="307"/>
        <v>2.89133065284669</v>
      </c>
      <c r="K2759" s="70">
        <f>IF(CurrentMtgRatesDataTable8[[#This Row],[WA CC]]&lt;&gt;0,C2758-CurrentMtgRatesDataTable8[[#This Row],[WA CC]],0)</f>
        <v>0.87366934715331013</v>
      </c>
      <c r="L2759" s="70">
        <f>IF(CurrentMtgRatesDataTable8[[#This Row],[Servicing Spread]]&lt;=0,L2758,CurrentMtgRatesDataTable8[[#This Row],[Servicing Spread]])</f>
        <v>0.87366934715331013</v>
      </c>
      <c r="M2759" s="70">
        <f>CurrentMtgRatesDataTable8[[#This Row],[Servicing Spread Non-Zero]]-L2758</f>
        <v>-3.4594806635166009E-2</v>
      </c>
      <c r="N2759" s="70">
        <f>IF(J2758&lt;&gt;0,CurrentMtgRatesDataTable8[[#This Row],[Rate]]-C2758,N2758)</f>
        <v>-8.0000000000000071E-2</v>
      </c>
    </row>
    <row r="2760" spans="1:14">
      <c r="A2760" s="67" t="s">
        <v>717</v>
      </c>
      <c r="B2760" s="68">
        <v>2.90250988237801</v>
      </c>
      <c r="C2760" s="69">
        <v>3.8050000000000002</v>
      </c>
      <c r="D2760" s="70">
        <f t="shared" si="301"/>
        <v>1</v>
      </c>
      <c r="E2760" s="70">
        <f t="shared" si="302"/>
        <v>0.2</v>
      </c>
      <c r="F2760" s="70">
        <f t="shared" si="303"/>
        <v>1</v>
      </c>
      <c r="G2760" s="70">
        <f t="shared" si="304"/>
        <v>0.58050197647560198</v>
      </c>
      <c r="H2760" s="70">
        <f t="shared" si="305"/>
        <v>0.2</v>
      </c>
      <c r="I2760" s="70">
        <f t="shared" si="306"/>
        <v>0</v>
      </c>
      <c r="J2760" s="70">
        <f t="shared" si="307"/>
        <v>0</v>
      </c>
      <c r="K2760" s="70">
        <f>IF(CurrentMtgRatesDataTable8[[#This Row],[WA CC]]&lt;&gt;0,C2759-CurrentMtgRatesDataTable8[[#This Row],[WA CC]],0)</f>
        <v>0</v>
      </c>
      <c r="L2760" s="70">
        <f>IF(CurrentMtgRatesDataTable8[[#This Row],[Servicing Spread]]&lt;=0,L2759,CurrentMtgRatesDataTable8[[#This Row],[Servicing Spread]])</f>
        <v>0.87366934715331013</v>
      </c>
      <c r="M2760" s="70">
        <f>CurrentMtgRatesDataTable8[[#This Row],[Servicing Spread Non-Zero]]-L2759</f>
        <v>0</v>
      </c>
      <c r="N2760" s="70">
        <f>IF(J2759&lt;&gt;0,CurrentMtgRatesDataTable8[[#This Row],[Rate]]-C2759,N2759)</f>
        <v>4.0000000000000036E-2</v>
      </c>
    </row>
    <row r="2761" spans="1:14">
      <c r="A2761" s="67" t="s">
        <v>577</v>
      </c>
      <c r="B2761" s="68">
        <v>2.9546349103912699</v>
      </c>
      <c r="C2761" s="69">
        <v>3.8050000000000002</v>
      </c>
      <c r="D2761" s="70">
        <f t="shared" si="301"/>
        <v>2</v>
      </c>
      <c r="E2761" s="70">
        <f t="shared" si="302"/>
        <v>0.2</v>
      </c>
      <c r="F2761" s="70">
        <f t="shared" si="303"/>
        <v>2</v>
      </c>
      <c r="G2761" s="70">
        <f t="shared" si="304"/>
        <v>1.171428958553856</v>
      </c>
      <c r="H2761" s="70">
        <f t="shared" si="305"/>
        <v>0.4</v>
      </c>
      <c r="I2761" s="70">
        <f t="shared" si="306"/>
        <v>0</v>
      </c>
      <c r="J2761" s="70">
        <f t="shared" si="307"/>
        <v>0</v>
      </c>
      <c r="K2761" s="70">
        <f>IF(CurrentMtgRatesDataTable8[[#This Row],[WA CC]]&lt;&gt;0,C2760-CurrentMtgRatesDataTable8[[#This Row],[WA CC]],0)</f>
        <v>0</v>
      </c>
      <c r="L2761" s="70">
        <f>IF(CurrentMtgRatesDataTable8[[#This Row],[Servicing Spread]]&lt;=0,L2760,CurrentMtgRatesDataTable8[[#This Row],[Servicing Spread]])</f>
        <v>0.87366934715331013</v>
      </c>
      <c r="M2761" s="70">
        <f>CurrentMtgRatesDataTable8[[#This Row],[Servicing Spread Non-Zero]]-L2760</f>
        <v>0</v>
      </c>
      <c r="N2761" s="70">
        <f>IF(J2760&lt;&gt;0,CurrentMtgRatesDataTable8[[#This Row],[Rate]]-C2760,N2760)</f>
        <v>4.0000000000000036E-2</v>
      </c>
    </row>
    <row r="2762" spans="1:14">
      <c r="A2762" s="67" t="s">
        <v>429</v>
      </c>
      <c r="B2762" s="68">
        <v>2.9087586637234901</v>
      </c>
      <c r="C2762" s="69">
        <v>3.8050000000000002</v>
      </c>
      <c r="D2762" s="70">
        <f t="shared" si="301"/>
        <v>5</v>
      </c>
      <c r="E2762" s="70">
        <f t="shared" si="302"/>
        <v>0.2</v>
      </c>
      <c r="F2762" s="70">
        <f t="shared" si="303"/>
        <v>3</v>
      </c>
      <c r="G2762" s="70">
        <f t="shared" si="304"/>
        <v>1.7531806912985539</v>
      </c>
      <c r="H2762" s="70">
        <f t="shared" si="305"/>
        <v>0.60000000000000009</v>
      </c>
      <c r="I2762" s="70">
        <f t="shared" si="306"/>
        <v>0</v>
      </c>
      <c r="J2762" s="70">
        <f t="shared" si="307"/>
        <v>0</v>
      </c>
      <c r="K2762" s="70">
        <f>IF(CurrentMtgRatesDataTable8[[#This Row],[WA CC]]&lt;&gt;0,C2761-CurrentMtgRatesDataTable8[[#This Row],[WA CC]],0)</f>
        <v>0</v>
      </c>
      <c r="L2762" s="70">
        <f>IF(CurrentMtgRatesDataTable8[[#This Row],[Servicing Spread]]&lt;=0,L2761,CurrentMtgRatesDataTable8[[#This Row],[Servicing Spread]])</f>
        <v>0.87366934715331013</v>
      </c>
      <c r="M2762" s="70">
        <f>CurrentMtgRatesDataTable8[[#This Row],[Servicing Spread Non-Zero]]-L2761</f>
        <v>0</v>
      </c>
      <c r="N2762" s="70">
        <f>IF(J2761&lt;&gt;0,CurrentMtgRatesDataTable8[[#This Row],[Rate]]-C2761,N2761)</f>
        <v>4.0000000000000036E-2</v>
      </c>
    </row>
    <row r="2763" spans="1:14">
      <c r="A2763" s="67" t="s">
        <v>300</v>
      </c>
      <c r="B2763" s="68">
        <v>2.8860238028398202</v>
      </c>
      <c r="C2763" s="69">
        <v>3.8050000000000002</v>
      </c>
      <c r="D2763" s="70">
        <f t="shared" si="301"/>
        <v>6</v>
      </c>
      <c r="E2763" s="70">
        <f t="shared" si="302"/>
        <v>0.2</v>
      </c>
      <c r="F2763" s="70">
        <f t="shared" si="303"/>
        <v>4</v>
      </c>
      <c r="G2763" s="70">
        <f t="shared" si="304"/>
        <v>2.3303854518665181</v>
      </c>
      <c r="H2763" s="70">
        <f t="shared" si="305"/>
        <v>0.8</v>
      </c>
      <c r="I2763" s="70">
        <f t="shared" si="306"/>
        <v>0</v>
      </c>
      <c r="J2763" s="70">
        <f t="shared" si="307"/>
        <v>0</v>
      </c>
      <c r="K2763" s="70">
        <f>IF(CurrentMtgRatesDataTable8[[#This Row],[WA CC]]&lt;&gt;0,C2762-CurrentMtgRatesDataTable8[[#This Row],[WA CC]],0)</f>
        <v>0</v>
      </c>
      <c r="L2763" s="70">
        <f>IF(CurrentMtgRatesDataTable8[[#This Row],[Servicing Spread]]&lt;=0,L2762,CurrentMtgRatesDataTable8[[#This Row],[Servicing Spread]])</f>
        <v>0.87366934715331013</v>
      </c>
      <c r="M2763" s="70">
        <f>CurrentMtgRatesDataTable8[[#This Row],[Servicing Spread Non-Zero]]-L2762</f>
        <v>0</v>
      </c>
      <c r="N2763" s="70">
        <f>IF(J2762&lt;&gt;0,CurrentMtgRatesDataTable8[[#This Row],[Rate]]-C2762,N2762)</f>
        <v>4.0000000000000036E-2</v>
      </c>
    </row>
    <row r="2764" spans="1:14">
      <c r="A2764" s="67" t="s">
        <v>156</v>
      </c>
      <c r="B2764" s="68">
        <v>2.8515070487427501</v>
      </c>
      <c r="C2764" s="69">
        <v>3.8050000000000002</v>
      </c>
      <c r="D2764" s="70">
        <f t="shared" si="301"/>
        <v>7</v>
      </c>
      <c r="E2764" s="70">
        <f t="shared" si="302"/>
        <v>0.2</v>
      </c>
      <c r="F2764" s="70">
        <f t="shared" si="303"/>
        <v>5</v>
      </c>
      <c r="G2764" s="70">
        <f t="shared" si="304"/>
        <v>2.9006868616150681</v>
      </c>
      <c r="H2764" s="70">
        <f t="shared" si="305"/>
        <v>1</v>
      </c>
      <c r="I2764" s="70">
        <f t="shared" si="306"/>
        <v>1</v>
      </c>
      <c r="J2764" s="70">
        <f t="shared" si="307"/>
        <v>2.9006868616150681</v>
      </c>
      <c r="K2764" s="70">
        <f>IF(CurrentMtgRatesDataTable8[[#This Row],[WA CC]]&lt;&gt;0,C2763-CurrentMtgRatesDataTable8[[#This Row],[WA CC]],0)</f>
        <v>0.9043131383849321</v>
      </c>
      <c r="L2764" s="70">
        <f>IF(CurrentMtgRatesDataTable8[[#This Row],[Servicing Spread]]&lt;=0,L2763,CurrentMtgRatesDataTable8[[#This Row],[Servicing Spread]])</f>
        <v>0.9043131383849321</v>
      </c>
      <c r="M2764" s="70">
        <f>CurrentMtgRatesDataTable8[[#This Row],[Servicing Spread Non-Zero]]-L2763</f>
        <v>3.0643791231621975E-2</v>
      </c>
      <c r="N2764" s="70">
        <f>IF(J2763&lt;&gt;0,CurrentMtgRatesDataTable8[[#This Row],[Rate]]-C2763,N2763)</f>
        <v>4.0000000000000036E-2</v>
      </c>
    </row>
    <row r="2765" spans="1:14">
      <c r="A2765" s="67" t="s">
        <v>718</v>
      </c>
      <c r="B2765" s="68">
        <v>2.8634343397483599</v>
      </c>
      <c r="C2765" s="69">
        <v>3.6999999999999997</v>
      </c>
      <c r="D2765" s="70">
        <f t="shared" si="301"/>
        <v>1</v>
      </c>
      <c r="E2765" s="70">
        <f t="shared" si="302"/>
        <v>0.2</v>
      </c>
      <c r="F2765" s="70">
        <f t="shared" si="303"/>
        <v>1</v>
      </c>
      <c r="G2765" s="70">
        <f t="shared" si="304"/>
        <v>0.57268686794967205</v>
      </c>
      <c r="H2765" s="70">
        <f t="shared" si="305"/>
        <v>0.2</v>
      </c>
      <c r="I2765" s="70">
        <f t="shared" si="306"/>
        <v>0</v>
      </c>
      <c r="J2765" s="70">
        <f t="shared" si="307"/>
        <v>0</v>
      </c>
      <c r="K2765" s="70">
        <f>IF(CurrentMtgRatesDataTable8[[#This Row],[WA CC]]&lt;&gt;0,C2764-CurrentMtgRatesDataTable8[[#This Row],[WA CC]],0)</f>
        <v>0</v>
      </c>
      <c r="L2765" s="70">
        <f>IF(CurrentMtgRatesDataTable8[[#This Row],[Servicing Spread]]&lt;=0,L2764,CurrentMtgRatesDataTable8[[#This Row],[Servicing Spread]])</f>
        <v>0.9043131383849321</v>
      </c>
      <c r="M2765" s="70">
        <f>CurrentMtgRatesDataTable8[[#This Row],[Servicing Spread Non-Zero]]-L2764</f>
        <v>0</v>
      </c>
      <c r="N2765" s="70">
        <f>IF(J2764&lt;&gt;0,CurrentMtgRatesDataTable8[[#This Row],[Rate]]-C2764,N2764)</f>
        <v>-0.10500000000000043</v>
      </c>
    </row>
    <row r="2766" spans="1:14">
      <c r="A2766" s="67" t="s">
        <v>578</v>
      </c>
      <c r="B2766" s="68">
        <v>2.80057780204395</v>
      </c>
      <c r="C2766" s="69">
        <v>3.6999999999999997</v>
      </c>
      <c r="D2766" s="70">
        <f t="shared" si="301"/>
        <v>2</v>
      </c>
      <c r="E2766" s="70">
        <f t="shared" si="302"/>
        <v>0.2</v>
      </c>
      <c r="F2766" s="70">
        <f t="shared" si="303"/>
        <v>2</v>
      </c>
      <c r="G2766" s="70">
        <f t="shared" si="304"/>
        <v>1.1328024283584621</v>
      </c>
      <c r="H2766" s="70">
        <f t="shared" si="305"/>
        <v>0.4</v>
      </c>
      <c r="I2766" s="70">
        <f t="shared" si="306"/>
        <v>0</v>
      </c>
      <c r="J2766" s="70">
        <f t="shared" si="307"/>
        <v>0</v>
      </c>
      <c r="K2766" s="70">
        <f>IF(CurrentMtgRatesDataTable8[[#This Row],[WA CC]]&lt;&gt;0,C2765-CurrentMtgRatesDataTable8[[#This Row],[WA CC]],0)</f>
        <v>0</v>
      </c>
      <c r="L2766" s="70">
        <f>IF(CurrentMtgRatesDataTable8[[#This Row],[Servicing Spread]]&lt;=0,L2765,CurrentMtgRatesDataTable8[[#This Row],[Servicing Spread]])</f>
        <v>0.9043131383849321</v>
      </c>
      <c r="M2766" s="70">
        <f>CurrentMtgRatesDataTable8[[#This Row],[Servicing Spread Non-Zero]]-L2765</f>
        <v>0</v>
      </c>
      <c r="N2766" s="70">
        <f>IF(J2765&lt;&gt;0,CurrentMtgRatesDataTable8[[#This Row],[Rate]]-C2765,N2765)</f>
        <v>-0.10500000000000043</v>
      </c>
    </row>
    <row r="2767" spans="1:14">
      <c r="A2767" s="67" t="s">
        <v>430</v>
      </c>
      <c r="B2767" s="68">
        <v>2.8291749929655099</v>
      </c>
      <c r="C2767" s="69">
        <v>3.6999999999999997</v>
      </c>
      <c r="D2767" s="70">
        <f t="shared" si="301"/>
        <v>5</v>
      </c>
      <c r="E2767" s="70">
        <f t="shared" si="302"/>
        <v>0.2</v>
      </c>
      <c r="F2767" s="70">
        <f t="shared" si="303"/>
        <v>3</v>
      </c>
      <c r="G2767" s="70">
        <f t="shared" si="304"/>
        <v>1.6986374269515641</v>
      </c>
      <c r="H2767" s="70">
        <f t="shared" si="305"/>
        <v>0.60000000000000009</v>
      </c>
      <c r="I2767" s="70">
        <f t="shared" si="306"/>
        <v>0</v>
      </c>
      <c r="J2767" s="70">
        <f t="shared" si="307"/>
        <v>0</v>
      </c>
      <c r="K2767" s="70">
        <f>IF(CurrentMtgRatesDataTable8[[#This Row],[WA CC]]&lt;&gt;0,C2766-CurrentMtgRatesDataTable8[[#This Row],[WA CC]],0)</f>
        <v>0</v>
      </c>
      <c r="L2767" s="70">
        <f>IF(CurrentMtgRatesDataTable8[[#This Row],[Servicing Spread]]&lt;=0,L2766,CurrentMtgRatesDataTable8[[#This Row],[Servicing Spread]])</f>
        <v>0.9043131383849321</v>
      </c>
      <c r="M2767" s="70">
        <f>CurrentMtgRatesDataTable8[[#This Row],[Servicing Spread Non-Zero]]-L2766</f>
        <v>0</v>
      </c>
      <c r="N2767" s="70">
        <f>IF(J2766&lt;&gt;0,CurrentMtgRatesDataTable8[[#This Row],[Rate]]-C2766,N2766)</f>
        <v>-0.10500000000000043</v>
      </c>
    </row>
    <row r="2768" spans="1:14">
      <c r="A2768" s="67" t="s">
        <v>301</v>
      </c>
      <c r="B2768" s="68">
        <v>2.7872489970640002</v>
      </c>
      <c r="C2768" s="69">
        <v>3.6999999999999997</v>
      </c>
      <c r="D2768" s="70">
        <f t="shared" si="301"/>
        <v>6</v>
      </c>
      <c r="E2768" s="70">
        <f t="shared" si="302"/>
        <v>0.2</v>
      </c>
      <c r="F2768" s="70">
        <f t="shared" si="303"/>
        <v>4</v>
      </c>
      <c r="G2768" s="70">
        <f t="shared" si="304"/>
        <v>2.2560872263643641</v>
      </c>
      <c r="H2768" s="70">
        <f t="shared" si="305"/>
        <v>0.8</v>
      </c>
      <c r="I2768" s="70">
        <f t="shared" si="306"/>
        <v>0</v>
      </c>
      <c r="J2768" s="70">
        <f t="shared" si="307"/>
        <v>0</v>
      </c>
      <c r="K2768" s="70">
        <f>IF(CurrentMtgRatesDataTable8[[#This Row],[WA CC]]&lt;&gt;0,C2767-CurrentMtgRatesDataTable8[[#This Row],[WA CC]],0)</f>
        <v>0</v>
      </c>
      <c r="L2768" s="70">
        <f>IF(CurrentMtgRatesDataTable8[[#This Row],[Servicing Spread]]&lt;=0,L2767,CurrentMtgRatesDataTable8[[#This Row],[Servicing Spread]])</f>
        <v>0.9043131383849321</v>
      </c>
      <c r="M2768" s="70">
        <f>CurrentMtgRatesDataTable8[[#This Row],[Servicing Spread Non-Zero]]-L2767</f>
        <v>0</v>
      </c>
      <c r="N2768" s="70">
        <f>IF(J2767&lt;&gt;0,CurrentMtgRatesDataTable8[[#This Row],[Rate]]-C2767,N2767)</f>
        <v>-0.10500000000000043</v>
      </c>
    </row>
    <row r="2769" spans="1:14">
      <c r="A2769" s="67" t="s">
        <v>157</v>
      </c>
      <c r="B2769" s="68">
        <v>2.8371501312702399</v>
      </c>
      <c r="C2769" s="69">
        <v>3.6999999999999997</v>
      </c>
      <c r="D2769" s="70">
        <f t="shared" si="301"/>
        <v>7</v>
      </c>
      <c r="E2769" s="70">
        <f t="shared" si="302"/>
        <v>0.2</v>
      </c>
      <c r="F2769" s="70">
        <f t="shared" si="303"/>
        <v>5</v>
      </c>
      <c r="G2769" s="70">
        <f t="shared" si="304"/>
        <v>2.8235172526184122</v>
      </c>
      <c r="H2769" s="70">
        <f t="shared" si="305"/>
        <v>1</v>
      </c>
      <c r="I2769" s="70">
        <f t="shared" si="306"/>
        <v>1</v>
      </c>
      <c r="J2769" s="70">
        <f t="shared" si="307"/>
        <v>2.8235172526184122</v>
      </c>
      <c r="K2769" s="70">
        <f>IF(CurrentMtgRatesDataTable8[[#This Row],[WA CC]]&lt;&gt;0,C2768-CurrentMtgRatesDataTable8[[#This Row],[WA CC]],0)</f>
        <v>0.87648274738158749</v>
      </c>
      <c r="L2769" s="70">
        <f>IF(CurrentMtgRatesDataTable8[[#This Row],[Servicing Spread]]&lt;=0,L2768,CurrentMtgRatesDataTable8[[#This Row],[Servicing Spread]])</f>
        <v>0.87648274738158749</v>
      </c>
      <c r="M2769" s="70">
        <f>CurrentMtgRatesDataTable8[[#This Row],[Servicing Spread Non-Zero]]-L2768</f>
        <v>-2.7830391003344612E-2</v>
      </c>
      <c r="N2769" s="70">
        <f>IF(J2768&lt;&gt;0,CurrentMtgRatesDataTable8[[#This Row],[Rate]]-C2768,N2768)</f>
        <v>-0.10500000000000043</v>
      </c>
    </row>
    <row r="2770" spans="1:14">
      <c r="A2770" s="67" t="s">
        <v>579</v>
      </c>
      <c r="B2770" s="68">
        <v>2.8582300067965201</v>
      </c>
      <c r="C2770" s="69">
        <v>3.73</v>
      </c>
      <c r="D2770" s="70">
        <f t="shared" si="301"/>
        <v>1</v>
      </c>
      <c r="E2770" s="70">
        <f t="shared" si="302"/>
        <v>0.2</v>
      </c>
      <c r="F2770" s="70">
        <f t="shared" si="303"/>
        <v>1</v>
      </c>
      <c r="G2770" s="70">
        <f t="shared" si="304"/>
        <v>0.57164600135930399</v>
      </c>
      <c r="H2770" s="70">
        <f t="shared" si="305"/>
        <v>0.2</v>
      </c>
      <c r="I2770" s="70">
        <f t="shared" si="306"/>
        <v>0</v>
      </c>
      <c r="J2770" s="70">
        <f t="shared" si="307"/>
        <v>0</v>
      </c>
      <c r="K2770" s="70">
        <f>IF(CurrentMtgRatesDataTable8[[#This Row],[WA CC]]&lt;&gt;0,C2769-CurrentMtgRatesDataTable8[[#This Row],[WA CC]],0)</f>
        <v>0</v>
      </c>
      <c r="L2770" s="70">
        <f>IF(CurrentMtgRatesDataTable8[[#This Row],[Servicing Spread]]&lt;=0,L2769,CurrentMtgRatesDataTable8[[#This Row],[Servicing Spread]])</f>
        <v>0.87648274738158749</v>
      </c>
      <c r="M2770" s="70">
        <f>CurrentMtgRatesDataTable8[[#This Row],[Servicing Spread Non-Zero]]-L2769</f>
        <v>0</v>
      </c>
      <c r="N2770" s="70">
        <f>IF(J2769&lt;&gt;0,CurrentMtgRatesDataTable8[[#This Row],[Rate]]-C2769,N2769)</f>
        <v>3.0000000000000249E-2</v>
      </c>
    </row>
    <row r="2771" spans="1:14">
      <c r="A2771" s="67" t="s">
        <v>439</v>
      </c>
      <c r="B2771" s="68">
        <v>2.8337398573021799</v>
      </c>
      <c r="C2771" s="69">
        <v>3.73</v>
      </c>
      <c r="D2771" s="70">
        <f t="shared" si="301"/>
        <v>2</v>
      </c>
      <c r="E2771" s="70">
        <f t="shared" si="302"/>
        <v>0.2</v>
      </c>
      <c r="F2771" s="70">
        <f t="shared" si="303"/>
        <v>2</v>
      </c>
      <c r="G2771" s="70">
        <f t="shared" si="304"/>
        <v>1.1383939728197401</v>
      </c>
      <c r="H2771" s="70">
        <f t="shared" si="305"/>
        <v>0.4</v>
      </c>
      <c r="I2771" s="70">
        <f t="shared" si="306"/>
        <v>0</v>
      </c>
      <c r="J2771" s="70">
        <f t="shared" si="307"/>
        <v>0</v>
      </c>
      <c r="K2771" s="70">
        <f>IF(CurrentMtgRatesDataTable8[[#This Row],[WA CC]]&lt;&gt;0,C2770-CurrentMtgRatesDataTable8[[#This Row],[WA CC]],0)</f>
        <v>0</v>
      </c>
      <c r="L2771" s="70">
        <f>IF(CurrentMtgRatesDataTable8[[#This Row],[Servicing Spread]]&lt;=0,L2770,CurrentMtgRatesDataTable8[[#This Row],[Servicing Spread]])</f>
        <v>0.87648274738158749</v>
      </c>
      <c r="M2771" s="70">
        <f>CurrentMtgRatesDataTable8[[#This Row],[Servicing Spread Non-Zero]]-L2770</f>
        <v>0</v>
      </c>
      <c r="N2771" s="70">
        <f>IF(J2770&lt;&gt;0,CurrentMtgRatesDataTable8[[#This Row],[Rate]]-C2770,N2770)</f>
        <v>3.0000000000000249E-2</v>
      </c>
    </row>
    <row r="2772" spans="1:14">
      <c r="A2772" s="67" t="s">
        <v>302</v>
      </c>
      <c r="B2772" s="68">
        <v>2.8256441971088901</v>
      </c>
      <c r="C2772" s="69">
        <v>3.73</v>
      </c>
      <c r="D2772" s="70">
        <f t="shared" si="301"/>
        <v>5</v>
      </c>
      <c r="E2772" s="70">
        <f t="shared" si="302"/>
        <v>0.2</v>
      </c>
      <c r="F2772" s="70">
        <f t="shared" si="303"/>
        <v>3</v>
      </c>
      <c r="G2772" s="70">
        <f t="shared" si="304"/>
        <v>1.703522812241518</v>
      </c>
      <c r="H2772" s="70">
        <f t="shared" si="305"/>
        <v>0.60000000000000009</v>
      </c>
      <c r="I2772" s="70">
        <f t="shared" si="306"/>
        <v>0</v>
      </c>
      <c r="J2772" s="70">
        <f t="shared" si="307"/>
        <v>0</v>
      </c>
      <c r="K2772" s="70">
        <f>IF(CurrentMtgRatesDataTable8[[#This Row],[WA CC]]&lt;&gt;0,C2771-CurrentMtgRatesDataTable8[[#This Row],[WA CC]],0)</f>
        <v>0</v>
      </c>
      <c r="L2772" s="70">
        <f>IF(CurrentMtgRatesDataTable8[[#This Row],[Servicing Spread]]&lt;=0,L2771,CurrentMtgRatesDataTable8[[#This Row],[Servicing Spread]])</f>
        <v>0.87648274738158749</v>
      </c>
      <c r="M2772" s="70">
        <f>CurrentMtgRatesDataTable8[[#This Row],[Servicing Spread Non-Zero]]-L2771</f>
        <v>0</v>
      </c>
      <c r="N2772" s="70">
        <f>IF(J2771&lt;&gt;0,CurrentMtgRatesDataTable8[[#This Row],[Rate]]-C2771,N2771)</f>
        <v>3.0000000000000249E-2</v>
      </c>
    </row>
    <row r="2773" spans="1:14">
      <c r="A2773" s="67" t="s">
        <v>158</v>
      </c>
      <c r="B2773" s="68">
        <v>2.91032440435752</v>
      </c>
      <c r="C2773" s="69">
        <v>3.73</v>
      </c>
      <c r="D2773" s="70">
        <f t="shared" si="301"/>
        <v>6</v>
      </c>
      <c r="E2773" s="70">
        <f t="shared" si="302"/>
        <v>0.2</v>
      </c>
      <c r="F2773" s="70">
        <f t="shared" si="303"/>
        <v>4</v>
      </c>
      <c r="G2773" s="70">
        <f t="shared" si="304"/>
        <v>2.2855876931130221</v>
      </c>
      <c r="H2773" s="70">
        <f t="shared" si="305"/>
        <v>0.8</v>
      </c>
      <c r="I2773" s="70">
        <f t="shared" si="306"/>
        <v>0</v>
      </c>
      <c r="J2773" s="70">
        <f t="shared" si="307"/>
        <v>0</v>
      </c>
      <c r="K2773" s="70">
        <f>IF(CurrentMtgRatesDataTable8[[#This Row],[WA CC]]&lt;&gt;0,C2772-CurrentMtgRatesDataTable8[[#This Row],[WA CC]],0)</f>
        <v>0</v>
      </c>
      <c r="L2773" s="70">
        <f>IF(CurrentMtgRatesDataTable8[[#This Row],[Servicing Spread]]&lt;=0,L2772,CurrentMtgRatesDataTable8[[#This Row],[Servicing Spread]])</f>
        <v>0.87648274738158749</v>
      </c>
      <c r="M2773" s="70">
        <f>CurrentMtgRatesDataTable8[[#This Row],[Servicing Spread Non-Zero]]-L2772</f>
        <v>0</v>
      </c>
      <c r="N2773" s="70">
        <f>IF(J2772&lt;&gt;0,CurrentMtgRatesDataTable8[[#This Row],[Rate]]-C2772,N2772)</f>
        <v>3.0000000000000249E-2</v>
      </c>
    </row>
    <row r="2774" spans="1:14">
      <c r="A2774" s="67" t="s">
        <v>719</v>
      </c>
      <c r="B2774" s="68">
        <v>2.90975275027838</v>
      </c>
      <c r="C2774" s="69">
        <v>3.73</v>
      </c>
      <c r="D2774" s="70">
        <f t="shared" si="301"/>
        <v>7</v>
      </c>
      <c r="E2774" s="70">
        <f t="shared" si="302"/>
        <v>0.2</v>
      </c>
      <c r="F2774" s="70">
        <f t="shared" si="303"/>
        <v>5</v>
      </c>
      <c r="G2774" s="70">
        <f t="shared" si="304"/>
        <v>2.8675382431686982</v>
      </c>
      <c r="H2774" s="70">
        <f t="shared" si="305"/>
        <v>1</v>
      </c>
      <c r="I2774" s="70">
        <f t="shared" si="306"/>
        <v>1</v>
      </c>
      <c r="J2774" s="70">
        <f t="shared" si="307"/>
        <v>2.8675382431686982</v>
      </c>
      <c r="K2774" s="70">
        <f>IF(CurrentMtgRatesDataTable8[[#This Row],[WA CC]]&lt;&gt;0,C2773-CurrentMtgRatesDataTable8[[#This Row],[WA CC]],0)</f>
        <v>0.86246175683130177</v>
      </c>
      <c r="L2774" s="70">
        <f>IF(CurrentMtgRatesDataTable8[[#This Row],[Servicing Spread]]&lt;=0,L2773,CurrentMtgRatesDataTable8[[#This Row],[Servicing Spread]])</f>
        <v>0.86246175683130177</v>
      </c>
      <c r="M2774" s="70">
        <f>CurrentMtgRatesDataTable8[[#This Row],[Servicing Spread Non-Zero]]-L2773</f>
        <v>-1.4020990550285717E-2</v>
      </c>
      <c r="N2774" s="70">
        <f>IF(J2773&lt;&gt;0,CurrentMtgRatesDataTable8[[#This Row],[Rate]]-C2773,N2773)</f>
        <v>3.0000000000000249E-2</v>
      </c>
    </row>
    <row r="2775" spans="1:14">
      <c r="A2775" s="67" t="s">
        <v>440</v>
      </c>
      <c r="B2775" s="68">
        <v>2.8912427168811901</v>
      </c>
      <c r="C2775" s="69">
        <v>3.77</v>
      </c>
      <c r="D2775" s="70">
        <f t="shared" si="301"/>
        <v>2</v>
      </c>
      <c r="E2775" s="70">
        <f t="shared" si="302"/>
        <v>0.2</v>
      </c>
      <c r="F2775" s="70">
        <f t="shared" si="303"/>
        <v>1</v>
      </c>
      <c r="G2775" s="70">
        <f t="shared" si="304"/>
        <v>0.57824854337623799</v>
      </c>
      <c r="H2775" s="70">
        <f t="shared" si="305"/>
        <v>0.2</v>
      </c>
      <c r="I2775" s="70">
        <f t="shared" si="306"/>
        <v>0</v>
      </c>
      <c r="J2775" s="70">
        <f t="shared" si="307"/>
        <v>0</v>
      </c>
      <c r="K2775" s="70">
        <f>IF(CurrentMtgRatesDataTable8[[#This Row],[WA CC]]&lt;&gt;0,C2774-CurrentMtgRatesDataTable8[[#This Row],[WA CC]],0)</f>
        <v>0</v>
      </c>
      <c r="L2775" s="70">
        <f>IF(CurrentMtgRatesDataTable8[[#This Row],[Servicing Spread]]&lt;=0,L2774,CurrentMtgRatesDataTable8[[#This Row],[Servicing Spread]])</f>
        <v>0.86246175683130177</v>
      </c>
      <c r="M2775" s="70">
        <f>CurrentMtgRatesDataTable8[[#This Row],[Servicing Spread Non-Zero]]-L2774</f>
        <v>0</v>
      </c>
      <c r="N2775" s="70">
        <f>IF(J2774&lt;&gt;0,CurrentMtgRatesDataTable8[[#This Row],[Rate]]-C2774,N2774)</f>
        <v>4.0000000000000036E-2</v>
      </c>
    </row>
    <row r="2776" spans="1:14">
      <c r="A2776" s="67" t="s">
        <v>303</v>
      </c>
      <c r="B2776" s="68">
        <v>2.8609798255384802</v>
      </c>
      <c r="C2776" s="69">
        <v>3.77</v>
      </c>
      <c r="D2776" s="70">
        <f t="shared" si="301"/>
        <v>5</v>
      </c>
      <c r="E2776" s="70">
        <f t="shared" si="302"/>
        <v>0.2</v>
      </c>
      <c r="F2776" s="70">
        <f t="shared" si="303"/>
        <v>2</v>
      </c>
      <c r="G2776" s="70">
        <f t="shared" si="304"/>
        <v>1.1504445084839341</v>
      </c>
      <c r="H2776" s="70">
        <f t="shared" si="305"/>
        <v>0.4</v>
      </c>
      <c r="I2776" s="70">
        <f t="shared" si="306"/>
        <v>0</v>
      </c>
      <c r="J2776" s="70">
        <f t="shared" si="307"/>
        <v>0</v>
      </c>
      <c r="K2776" s="70">
        <f>IF(CurrentMtgRatesDataTable8[[#This Row],[WA CC]]&lt;&gt;0,C2775-CurrentMtgRatesDataTable8[[#This Row],[WA CC]],0)</f>
        <v>0</v>
      </c>
      <c r="L2776" s="70">
        <f>IF(CurrentMtgRatesDataTable8[[#This Row],[Servicing Spread]]&lt;=0,L2775,CurrentMtgRatesDataTable8[[#This Row],[Servicing Spread]])</f>
        <v>0.86246175683130177</v>
      </c>
      <c r="M2776" s="70">
        <f>CurrentMtgRatesDataTable8[[#This Row],[Servicing Spread Non-Zero]]-L2775</f>
        <v>0</v>
      </c>
      <c r="N2776" s="70">
        <f>IF(J2775&lt;&gt;0,CurrentMtgRatesDataTable8[[#This Row],[Rate]]-C2775,N2775)</f>
        <v>4.0000000000000036E-2</v>
      </c>
    </row>
    <row r="2777" spans="1:14">
      <c r="A2777" s="67" t="s">
        <v>159</v>
      </c>
      <c r="B2777" s="68">
        <v>2.8519980737177399</v>
      </c>
      <c r="C2777" s="69">
        <v>3.77</v>
      </c>
      <c r="D2777" s="70">
        <f t="shared" si="301"/>
        <v>6</v>
      </c>
      <c r="E2777" s="70">
        <f t="shared" si="302"/>
        <v>0.2</v>
      </c>
      <c r="F2777" s="70">
        <f t="shared" si="303"/>
        <v>3</v>
      </c>
      <c r="G2777" s="70">
        <f t="shared" si="304"/>
        <v>1.720844123227482</v>
      </c>
      <c r="H2777" s="70">
        <f t="shared" si="305"/>
        <v>0.60000000000000009</v>
      </c>
      <c r="I2777" s="70">
        <f t="shared" si="306"/>
        <v>0</v>
      </c>
      <c r="J2777" s="70">
        <f t="shared" si="307"/>
        <v>0</v>
      </c>
      <c r="K2777" s="70">
        <f>IF(CurrentMtgRatesDataTable8[[#This Row],[WA CC]]&lt;&gt;0,C2776-CurrentMtgRatesDataTable8[[#This Row],[WA CC]],0)</f>
        <v>0</v>
      </c>
      <c r="L2777" s="70">
        <f>IF(CurrentMtgRatesDataTable8[[#This Row],[Servicing Spread]]&lt;=0,L2776,CurrentMtgRatesDataTable8[[#This Row],[Servicing Spread]])</f>
        <v>0.86246175683130177</v>
      </c>
      <c r="M2777" s="70">
        <f>CurrentMtgRatesDataTable8[[#This Row],[Servicing Spread Non-Zero]]-L2776</f>
        <v>0</v>
      </c>
      <c r="N2777" s="70">
        <f>IF(J2776&lt;&gt;0,CurrentMtgRatesDataTable8[[#This Row],[Rate]]-C2776,N2776)</f>
        <v>4.0000000000000036E-2</v>
      </c>
    </row>
    <row r="2778" spans="1:14">
      <c r="A2778" s="67" t="s">
        <v>985</v>
      </c>
      <c r="B2778" s="68">
        <v>2.8338661414623698</v>
      </c>
      <c r="C2778" s="69">
        <v>3.77</v>
      </c>
      <c r="D2778" s="70">
        <f t="shared" si="301"/>
        <v>7</v>
      </c>
      <c r="E2778" s="70">
        <f t="shared" si="302"/>
        <v>0.2</v>
      </c>
      <c r="F2778" s="70">
        <f t="shared" si="303"/>
        <v>4</v>
      </c>
      <c r="G2778" s="70">
        <f t="shared" si="304"/>
        <v>2.2876173515199563</v>
      </c>
      <c r="H2778" s="70">
        <f t="shared" si="305"/>
        <v>0.8</v>
      </c>
      <c r="I2778" s="70">
        <f t="shared" si="306"/>
        <v>1</v>
      </c>
      <c r="J2778" s="70">
        <f t="shared" si="307"/>
        <v>2.8595216893999451</v>
      </c>
      <c r="K2778" s="70">
        <f>IF(CurrentMtgRatesDataTable8[[#This Row],[WA CC]]&lt;&gt;0,C2777-CurrentMtgRatesDataTable8[[#This Row],[WA CC]],0)</f>
        <v>0.91047831060005491</v>
      </c>
      <c r="L2778" s="70">
        <f>IF(CurrentMtgRatesDataTable8[[#This Row],[Servicing Spread]]&lt;=0,L2777,CurrentMtgRatesDataTable8[[#This Row],[Servicing Spread]])</f>
        <v>0.91047831060005491</v>
      </c>
      <c r="M2778" s="70">
        <f>CurrentMtgRatesDataTable8[[#This Row],[Servicing Spread Non-Zero]]-L2777</f>
        <v>4.8016553768753134E-2</v>
      </c>
      <c r="N2778" s="70">
        <f>IF(J2777&lt;&gt;0,CurrentMtgRatesDataTable8[[#This Row],[Rate]]-C2777,N2777)</f>
        <v>4.0000000000000036E-2</v>
      </c>
    </row>
    <row r="2779" spans="1:14">
      <c r="A2779" s="67" t="s">
        <v>580</v>
      </c>
      <c r="B2779" s="68">
        <v>2.7854452423976599</v>
      </c>
      <c r="C2779" s="69">
        <v>3.63</v>
      </c>
      <c r="D2779" s="70">
        <f t="shared" si="301"/>
        <v>2</v>
      </c>
      <c r="E2779" s="70">
        <f t="shared" si="302"/>
        <v>0.2</v>
      </c>
      <c r="F2779" s="70">
        <f t="shared" si="303"/>
        <v>1</v>
      </c>
      <c r="G2779" s="70">
        <f t="shared" si="304"/>
        <v>0.557089048479532</v>
      </c>
      <c r="H2779" s="70">
        <f t="shared" si="305"/>
        <v>0.2</v>
      </c>
      <c r="I2779" s="70">
        <f t="shared" si="306"/>
        <v>0</v>
      </c>
      <c r="J2779" s="70">
        <f t="shared" si="307"/>
        <v>0</v>
      </c>
      <c r="K2779" s="70">
        <f>IF(CurrentMtgRatesDataTable8[[#This Row],[WA CC]]&lt;&gt;0,C2778-CurrentMtgRatesDataTable8[[#This Row],[WA CC]],0)</f>
        <v>0</v>
      </c>
      <c r="L2779" s="70">
        <f>IF(CurrentMtgRatesDataTable8[[#This Row],[Servicing Spread]]&lt;=0,L2778,CurrentMtgRatesDataTable8[[#This Row],[Servicing Spread]])</f>
        <v>0.91047831060005491</v>
      </c>
      <c r="M2779" s="70">
        <f>CurrentMtgRatesDataTable8[[#This Row],[Servicing Spread Non-Zero]]-L2778</f>
        <v>0</v>
      </c>
      <c r="N2779" s="70">
        <f>IF(J2778&lt;&gt;0,CurrentMtgRatesDataTable8[[#This Row],[Rate]]-C2778,N2778)</f>
        <v>-0.14000000000000012</v>
      </c>
    </row>
    <row r="2780" spans="1:14">
      <c r="A2780" s="67" t="s">
        <v>431</v>
      </c>
      <c r="B2780" s="68">
        <v>2.6962701266687499</v>
      </c>
      <c r="C2780" s="69">
        <v>3.63</v>
      </c>
      <c r="D2780" s="70">
        <f t="shared" si="301"/>
        <v>5</v>
      </c>
      <c r="E2780" s="70">
        <f t="shared" si="302"/>
        <v>0.2</v>
      </c>
      <c r="F2780" s="70">
        <f t="shared" si="303"/>
        <v>2</v>
      </c>
      <c r="G2780" s="70">
        <f t="shared" si="304"/>
        <v>1.096343073813282</v>
      </c>
      <c r="H2780" s="70">
        <f t="shared" si="305"/>
        <v>0.4</v>
      </c>
      <c r="I2780" s="70">
        <f t="shared" si="306"/>
        <v>0</v>
      </c>
      <c r="J2780" s="70">
        <f t="shared" si="307"/>
        <v>0</v>
      </c>
      <c r="K2780" s="70">
        <f>IF(CurrentMtgRatesDataTable8[[#This Row],[WA CC]]&lt;&gt;0,C2779-CurrentMtgRatesDataTable8[[#This Row],[WA CC]],0)</f>
        <v>0</v>
      </c>
      <c r="L2780" s="70">
        <f>IF(CurrentMtgRatesDataTable8[[#This Row],[Servicing Spread]]&lt;=0,L2779,CurrentMtgRatesDataTable8[[#This Row],[Servicing Spread]])</f>
        <v>0.91047831060005491</v>
      </c>
      <c r="M2780" s="70">
        <f>CurrentMtgRatesDataTable8[[#This Row],[Servicing Spread Non-Zero]]-L2779</f>
        <v>0</v>
      </c>
      <c r="N2780" s="70">
        <f>IF(J2779&lt;&gt;0,CurrentMtgRatesDataTable8[[#This Row],[Rate]]-C2779,N2779)</f>
        <v>-0.14000000000000012</v>
      </c>
    </row>
    <row r="2781" spans="1:14">
      <c r="A2781" s="67" t="s">
        <v>304</v>
      </c>
      <c r="B2781" s="68">
        <v>2.61636453709349</v>
      </c>
      <c r="C2781" s="69">
        <v>3.63</v>
      </c>
      <c r="D2781" s="70">
        <f t="shared" si="301"/>
        <v>6</v>
      </c>
      <c r="E2781" s="70">
        <f t="shared" si="302"/>
        <v>0.2</v>
      </c>
      <c r="F2781" s="70">
        <f t="shared" si="303"/>
        <v>3</v>
      </c>
      <c r="G2781" s="70">
        <f t="shared" si="304"/>
        <v>1.6196159812319801</v>
      </c>
      <c r="H2781" s="70">
        <f t="shared" si="305"/>
        <v>0.60000000000000009</v>
      </c>
      <c r="I2781" s="70">
        <f t="shared" si="306"/>
        <v>0</v>
      </c>
      <c r="J2781" s="70">
        <f t="shared" si="307"/>
        <v>0</v>
      </c>
      <c r="K2781" s="70">
        <f>IF(CurrentMtgRatesDataTable8[[#This Row],[WA CC]]&lt;&gt;0,C2780-CurrentMtgRatesDataTable8[[#This Row],[WA CC]],0)</f>
        <v>0</v>
      </c>
      <c r="L2781" s="70">
        <f>IF(CurrentMtgRatesDataTable8[[#This Row],[Servicing Spread]]&lt;=0,L2780,CurrentMtgRatesDataTable8[[#This Row],[Servicing Spread]])</f>
        <v>0.91047831060005491</v>
      </c>
      <c r="M2781" s="70">
        <f>CurrentMtgRatesDataTable8[[#This Row],[Servicing Spread Non-Zero]]-L2780</f>
        <v>0</v>
      </c>
      <c r="N2781" s="70">
        <f>IF(J2780&lt;&gt;0,CurrentMtgRatesDataTable8[[#This Row],[Rate]]-C2780,N2780)</f>
        <v>-0.14000000000000012</v>
      </c>
    </row>
    <row r="2782" spans="1:14">
      <c r="A2782" s="67" t="s">
        <v>160</v>
      </c>
      <c r="B2782" s="68">
        <v>2.6248431051869581</v>
      </c>
      <c r="C2782" s="69">
        <v>3.63</v>
      </c>
      <c r="D2782" s="70">
        <f t="shared" si="301"/>
        <v>7</v>
      </c>
      <c r="E2782" s="70">
        <f t="shared" si="302"/>
        <v>0.2</v>
      </c>
      <c r="F2782" s="70">
        <f t="shared" si="303"/>
        <v>4</v>
      </c>
      <c r="G2782" s="70">
        <f t="shared" si="304"/>
        <v>2.1445846022693718</v>
      </c>
      <c r="H2782" s="70">
        <f t="shared" si="305"/>
        <v>0.8</v>
      </c>
      <c r="I2782" s="70">
        <f t="shared" si="306"/>
        <v>1</v>
      </c>
      <c r="J2782" s="70">
        <f t="shared" si="307"/>
        <v>2.6807307528367144</v>
      </c>
      <c r="K2782" s="70">
        <f>IF(CurrentMtgRatesDataTable8[[#This Row],[WA CC]]&lt;&gt;0,C2781-CurrentMtgRatesDataTable8[[#This Row],[WA CC]],0)</f>
        <v>0.94926924716328553</v>
      </c>
      <c r="L2782" s="70">
        <f>IF(CurrentMtgRatesDataTable8[[#This Row],[Servicing Spread]]&lt;=0,L2781,CurrentMtgRatesDataTable8[[#This Row],[Servicing Spread]])</f>
        <v>0.94926924716328553</v>
      </c>
      <c r="M2782" s="70">
        <f>CurrentMtgRatesDataTable8[[#This Row],[Servicing Spread Non-Zero]]-L2781</f>
        <v>3.8790936563230627E-2</v>
      </c>
      <c r="N2782" s="70">
        <f>IF(J2781&lt;&gt;0,CurrentMtgRatesDataTable8[[#This Row],[Rate]]-C2781,N2781)</f>
        <v>-0.14000000000000012</v>
      </c>
    </row>
    <row r="2783" spans="1:14">
      <c r="A2783" s="67" t="s">
        <v>720</v>
      </c>
      <c r="B2783" s="68">
        <v>2.6774292062275329</v>
      </c>
      <c r="C2783" s="69">
        <v>3.56</v>
      </c>
      <c r="D2783" s="70">
        <f t="shared" si="301"/>
        <v>1</v>
      </c>
      <c r="E2783" s="70">
        <f t="shared" si="302"/>
        <v>0.2</v>
      </c>
      <c r="F2783" s="70">
        <f t="shared" si="303"/>
        <v>1</v>
      </c>
      <c r="G2783" s="70">
        <f t="shared" si="304"/>
        <v>0.53548584124550658</v>
      </c>
      <c r="H2783" s="70">
        <f t="shared" si="305"/>
        <v>0.2</v>
      </c>
      <c r="I2783" s="70">
        <f t="shared" si="306"/>
        <v>0</v>
      </c>
      <c r="J2783" s="70">
        <f t="shared" si="307"/>
        <v>0</v>
      </c>
      <c r="K2783" s="70">
        <f>IF(CurrentMtgRatesDataTable8[[#This Row],[WA CC]]&lt;&gt;0,C2782-CurrentMtgRatesDataTable8[[#This Row],[WA CC]],0)</f>
        <v>0</v>
      </c>
      <c r="L2783" s="70">
        <f>IF(CurrentMtgRatesDataTable8[[#This Row],[Servicing Spread]]&lt;=0,L2782,CurrentMtgRatesDataTable8[[#This Row],[Servicing Spread]])</f>
        <v>0.94926924716328553</v>
      </c>
      <c r="M2783" s="70">
        <f>CurrentMtgRatesDataTable8[[#This Row],[Servicing Spread Non-Zero]]-L2782</f>
        <v>0</v>
      </c>
      <c r="N2783" s="70">
        <f>IF(J2782&lt;&gt;0,CurrentMtgRatesDataTable8[[#This Row],[Rate]]-C2782,N2782)</f>
        <v>-6.999999999999984E-2</v>
      </c>
    </row>
    <row r="2784" spans="1:14">
      <c r="A2784" s="67" t="s">
        <v>581</v>
      </c>
      <c r="B2784" s="68">
        <v>2.6462920309129299</v>
      </c>
      <c r="C2784" s="69">
        <v>3.56</v>
      </c>
      <c r="D2784" s="70">
        <f t="shared" si="301"/>
        <v>2</v>
      </c>
      <c r="E2784" s="70">
        <f t="shared" si="302"/>
        <v>0.2</v>
      </c>
      <c r="F2784" s="70">
        <f t="shared" si="303"/>
        <v>2</v>
      </c>
      <c r="G2784" s="70">
        <f t="shared" si="304"/>
        <v>1.0647442474280926</v>
      </c>
      <c r="H2784" s="70">
        <f t="shared" si="305"/>
        <v>0.4</v>
      </c>
      <c r="I2784" s="70">
        <f t="shared" si="306"/>
        <v>0</v>
      </c>
      <c r="J2784" s="70">
        <f t="shared" si="307"/>
        <v>0</v>
      </c>
      <c r="K2784" s="70">
        <f>IF(CurrentMtgRatesDataTable8[[#This Row],[WA CC]]&lt;&gt;0,C2783-CurrentMtgRatesDataTable8[[#This Row],[WA CC]],0)</f>
        <v>0</v>
      </c>
      <c r="L2784" s="70">
        <f>IF(CurrentMtgRatesDataTable8[[#This Row],[Servicing Spread]]&lt;=0,L2783,CurrentMtgRatesDataTable8[[#This Row],[Servicing Spread]])</f>
        <v>0.94926924716328553</v>
      </c>
      <c r="M2784" s="70">
        <f>CurrentMtgRatesDataTable8[[#This Row],[Servicing Spread Non-Zero]]-L2783</f>
        <v>0</v>
      </c>
      <c r="N2784" s="70">
        <f>IF(J2783&lt;&gt;0,CurrentMtgRatesDataTable8[[#This Row],[Rate]]-C2783,N2783)</f>
        <v>-6.999999999999984E-2</v>
      </c>
    </row>
    <row r="2785" spans="1:14">
      <c r="A2785" s="67" t="s">
        <v>432</v>
      </c>
      <c r="B2785" s="68">
        <v>2.5936190223084101</v>
      </c>
      <c r="C2785" s="69">
        <v>3.56</v>
      </c>
      <c r="D2785" s="70">
        <f t="shared" si="301"/>
        <v>5</v>
      </c>
      <c r="E2785" s="70">
        <f t="shared" si="302"/>
        <v>0.2</v>
      </c>
      <c r="F2785" s="70">
        <f t="shared" si="303"/>
        <v>3</v>
      </c>
      <c r="G2785" s="70">
        <f t="shared" si="304"/>
        <v>1.5834680518897746</v>
      </c>
      <c r="H2785" s="70">
        <f t="shared" si="305"/>
        <v>0.60000000000000009</v>
      </c>
      <c r="I2785" s="70">
        <f t="shared" si="306"/>
        <v>0</v>
      </c>
      <c r="J2785" s="70">
        <f t="shared" si="307"/>
        <v>0</v>
      </c>
      <c r="K2785" s="70">
        <f>IF(CurrentMtgRatesDataTable8[[#This Row],[WA CC]]&lt;&gt;0,C2784-CurrentMtgRatesDataTable8[[#This Row],[WA CC]],0)</f>
        <v>0</v>
      </c>
      <c r="L2785" s="70">
        <f>IF(CurrentMtgRatesDataTable8[[#This Row],[Servicing Spread]]&lt;=0,L2784,CurrentMtgRatesDataTable8[[#This Row],[Servicing Spread]])</f>
        <v>0.94926924716328553</v>
      </c>
      <c r="M2785" s="70">
        <f>CurrentMtgRatesDataTable8[[#This Row],[Servicing Spread Non-Zero]]-L2784</f>
        <v>0</v>
      </c>
      <c r="N2785" s="70">
        <f>IF(J2784&lt;&gt;0,CurrentMtgRatesDataTable8[[#This Row],[Rate]]-C2784,N2784)</f>
        <v>-6.999999999999984E-2</v>
      </c>
    </row>
    <row r="2786" spans="1:14">
      <c r="A2786" s="67" t="s">
        <v>305</v>
      </c>
      <c r="B2786" s="68">
        <v>2.57954379421794</v>
      </c>
      <c r="C2786" s="69">
        <v>3.56</v>
      </c>
      <c r="D2786" s="70">
        <f t="shared" si="301"/>
        <v>6</v>
      </c>
      <c r="E2786" s="70">
        <f t="shared" si="302"/>
        <v>0.2</v>
      </c>
      <c r="F2786" s="70">
        <f t="shared" si="303"/>
        <v>4</v>
      </c>
      <c r="G2786" s="70">
        <f t="shared" si="304"/>
        <v>2.0993768107333626</v>
      </c>
      <c r="H2786" s="70">
        <f t="shared" si="305"/>
        <v>0.8</v>
      </c>
      <c r="I2786" s="70">
        <f t="shared" si="306"/>
        <v>0</v>
      </c>
      <c r="J2786" s="70">
        <f t="shared" si="307"/>
        <v>0</v>
      </c>
      <c r="K2786" s="70">
        <f>IF(CurrentMtgRatesDataTable8[[#This Row],[WA CC]]&lt;&gt;0,C2785-CurrentMtgRatesDataTable8[[#This Row],[WA CC]],0)</f>
        <v>0</v>
      </c>
      <c r="L2786" s="70">
        <f>IF(CurrentMtgRatesDataTable8[[#This Row],[Servicing Spread]]&lt;=0,L2785,CurrentMtgRatesDataTable8[[#This Row],[Servicing Spread]])</f>
        <v>0.94926924716328553</v>
      </c>
      <c r="M2786" s="70">
        <f>CurrentMtgRatesDataTable8[[#This Row],[Servicing Spread Non-Zero]]-L2785</f>
        <v>0</v>
      </c>
      <c r="N2786" s="70">
        <f>IF(J2785&lt;&gt;0,CurrentMtgRatesDataTable8[[#This Row],[Rate]]-C2785,N2785)</f>
        <v>-6.999999999999984E-2</v>
      </c>
    </row>
    <row r="2787" spans="1:14">
      <c r="A2787" s="67" t="s">
        <v>161</v>
      </c>
      <c r="B2787" s="68">
        <v>2.49106608048328</v>
      </c>
      <c r="C2787" s="69">
        <v>3.56</v>
      </c>
      <c r="D2787" s="70">
        <f t="shared" si="301"/>
        <v>7</v>
      </c>
      <c r="E2787" s="70">
        <f t="shared" si="302"/>
        <v>0.2</v>
      </c>
      <c r="F2787" s="70">
        <f t="shared" si="303"/>
        <v>5</v>
      </c>
      <c r="G2787" s="70">
        <f t="shared" si="304"/>
        <v>2.5975900268300185</v>
      </c>
      <c r="H2787" s="70">
        <f t="shared" si="305"/>
        <v>1</v>
      </c>
      <c r="I2787" s="70">
        <f t="shared" si="306"/>
        <v>1</v>
      </c>
      <c r="J2787" s="70">
        <f t="shared" si="307"/>
        <v>2.5975900268300185</v>
      </c>
      <c r="K2787" s="70">
        <f>IF(CurrentMtgRatesDataTable8[[#This Row],[WA CC]]&lt;&gt;0,C2786-CurrentMtgRatesDataTable8[[#This Row],[WA CC]],0)</f>
        <v>0.96240997316998156</v>
      </c>
      <c r="L2787" s="70">
        <f>IF(CurrentMtgRatesDataTable8[[#This Row],[Servicing Spread]]&lt;=0,L2786,CurrentMtgRatesDataTable8[[#This Row],[Servicing Spread]])</f>
        <v>0.96240997316998156</v>
      </c>
      <c r="M2787" s="70">
        <f>CurrentMtgRatesDataTable8[[#This Row],[Servicing Spread Non-Zero]]-L2786</f>
        <v>1.3140726006696024E-2</v>
      </c>
      <c r="N2787" s="70">
        <f>IF(J2786&lt;&gt;0,CurrentMtgRatesDataTable8[[#This Row],[Rate]]-C2786,N2786)</f>
        <v>-6.999999999999984E-2</v>
      </c>
    </row>
    <row r="2788" spans="1:14">
      <c r="A2788" s="67" t="s">
        <v>721</v>
      </c>
      <c r="B2788" s="68">
        <v>2.4553295319883701</v>
      </c>
      <c r="C2788" s="69">
        <v>3.5549999999999997</v>
      </c>
      <c r="D2788" s="70">
        <f t="shared" si="301"/>
        <v>1</v>
      </c>
      <c r="E2788" s="70">
        <f t="shared" si="302"/>
        <v>0.2</v>
      </c>
      <c r="F2788" s="70">
        <f t="shared" si="303"/>
        <v>1</v>
      </c>
      <c r="G2788" s="70">
        <f t="shared" si="304"/>
        <v>0.49106590639767406</v>
      </c>
      <c r="H2788" s="70">
        <f t="shared" si="305"/>
        <v>0.2</v>
      </c>
      <c r="I2788" s="70">
        <f t="shared" si="306"/>
        <v>0</v>
      </c>
      <c r="J2788" s="70">
        <f t="shared" si="307"/>
        <v>0</v>
      </c>
      <c r="K2788" s="70">
        <f>IF(CurrentMtgRatesDataTable8[[#This Row],[WA CC]]&lt;&gt;0,C2787-CurrentMtgRatesDataTable8[[#This Row],[WA CC]],0)</f>
        <v>0</v>
      </c>
      <c r="L2788" s="70">
        <f>IF(CurrentMtgRatesDataTable8[[#This Row],[Servicing Spread]]&lt;=0,L2787,CurrentMtgRatesDataTable8[[#This Row],[Servicing Spread]])</f>
        <v>0.96240997316998156</v>
      </c>
      <c r="M2788" s="70">
        <f>CurrentMtgRatesDataTable8[[#This Row],[Servicing Spread Non-Zero]]-L2787</f>
        <v>0</v>
      </c>
      <c r="N2788" s="70">
        <f>IF(J2787&lt;&gt;0,CurrentMtgRatesDataTable8[[#This Row],[Rate]]-C2787,N2787)</f>
        <v>-5.0000000000003375E-3</v>
      </c>
    </row>
    <row r="2789" spans="1:14">
      <c r="A2789" s="67" t="s">
        <v>582</v>
      </c>
      <c r="B2789" s="68">
        <v>2.5454794820645601</v>
      </c>
      <c r="C2789" s="69">
        <v>3.5549999999999997</v>
      </c>
      <c r="D2789" s="70">
        <f t="shared" si="301"/>
        <v>2</v>
      </c>
      <c r="E2789" s="70">
        <f t="shared" si="302"/>
        <v>0.2</v>
      </c>
      <c r="F2789" s="70">
        <f t="shared" si="303"/>
        <v>2</v>
      </c>
      <c r="G2789" s="70">
        <f t="shared" si="304"/>
        <v>1.0001618028105861</v>
      </c>
      <c r="H2789" s="70">
        <f t="shared" si="305"/>
        <v>0.4</v>
      </c>
      <c r="I2789" s="70">
        <f t="shared" si="306"/>
        <v>0</v>
      </c>
      <c r="J2789" s="70">
        <f t="shared" si="307"/>
        <v>0</v>
      </c>
      <c r="K2789" s="70">
        <f>IF(CurrentMtgRatesDataTable8[[#This Row],[WA CC]]&lt;&gt;0,C2788-CurrentMtgRatesDataTable8[[#This Row],[WA CC]],0)</f>
        <v>0</v>
      </c>
      <c r="L2789" s="70">
        <f>IF(CurrentMtgRatesDataTable8[[#This Row],[Servicing Spread]]&lt;=0,L2788,CurrentMtgRatesDataTable8[[#This Row],[Servicing Spread]])</f>
        <v>0.96240997316998156</v>
      </c>
      <c r="M2789" s="70">
        <f>CurrentMtgRatesDataTable8[[#This Row],[Servicing Spread Non-Zero]]-L2788</f>
        <v>0</v>
      </c>
      <c r="N2789" s="70">
        <f>IF(J2788&lt;&gt;0,CurrentMtgRatesDataTable8[[#This Row],[Rate]]-C2788,N2788)</f>
        <v>-5.0000000000003375E-3</v>
      </c>
    </row>
    <row r="2790" spans="1:14">
      <c r="A2790" s="67" t="s">
        <v>306</v>
      </c>
      <c r="B2790" s="68">
        <v>2.55737179181423</v>
      </c>
      <c r="C2790" s="69">
        <v>3.5549999999999997</v>
      </c>
      <c r="D2790" s="70">
        <f t="shared" si="301"/>
        <v>6</v>
      </c>
      <c r="E2790" s="70">
        <f t="shared" si="302"/>
        <v>0.2</v>
      </c>
      <c r="F2790" s="70">
        <f t="shared" si="303"/>
        <v>3</v>
      </c>
      <c r="G2790" s="70">
        <f t="shared" si="304"/>
        <v>1.5116361611734321</v>
      </c>
      <c r="H2790" s="70">
        <f t="shared" si="305"/>
        <v>0.60000000000000009</v>
      </c>
      <c r="I2790" s="70">
        <f t="shared" si="306"/>
        <v>0</v>
      </c>
      <c r="J2790" s="70">
        <f t="shared" si="307"/>
        <v>0</v>
      </c>
      <c r="K2790" s="70">
        <f>IF(CurrentMtgRatesDataTable8[[#This Row],[WA CC]]&lt;&gt;0,C2789-CurrentMtgRatesDataTable8[[#This Row],[WA CC]],0)</f>
        <v>0</v>
      </c>
      <c r="L2790" s="70">
        <f>IF(CurrentMtgRatesDataTable8[[#This Row],[Servicing Spread]]&lt;=0,L2789,CurrentMtgRatesDataTable8[[#This Row],[Servicing Spread]])</f>
        <v>0.96240997316998156</v>
      </c>
      <c r="M2790" s="70">
        <f>CurrentMtgRatesDataTable8[[#This Row],[Servicing Spread Non-Zero]]-L2789</f>
        <v>0</v>
      </c>
      <c r="N2790" s="70">
        <f>IF(J2789&lt;&gt;0,CurrentMtgRatesDataTable8[[#This Row],[Rate]]-C2789,N2789)</f>
        <v>-5.0000000000003375E-3</v>
      </c>
    </row>
    <row r="2791" spans="1:14">
      <c r="A2791" s="67" t="s">
        <v>162</v>
      </c>
      <c r="B2791" s="68">
        <v>2.6084944348331098</v>
      </c>
      <c r="C2791" s="69">
        <v>3.5549999999999997</v>
      </c>
      <c r="D2791" s="70">
        <f t="shared" si="301"/>
        <v>7</v>
      </c>
      <c r="E2791" s="70">
        <f t="shared" si="302"/>
        <v>0.2</v>
      </c>
      <c r="F2791" s="70">
        <f t="shared" si="303"/>
        <v>4</v>
      </c>
      <c r="G2791" s="70">
        <f t="shared" si="304"/>
        <v>2.0333350481400543</v>
      </c>
      <c r="H2791" s="70">
        <f t="shared" si="305"/>
        <v>0.8</v>
      </c>
      <c r="I2791" s="70">
        <f t="shared" si="306"/>
        <v>1</v>
      </c>
      <c r="J2791" s="70">
        <f t="shared" si="307"/>
        <v>2.5416688101750675</v>
      </c>
      <c r="K2791" s="70">
        <f>IF(CurrentMtgRatesDataTable8[[#This Row],[WA CC]]&lt;&gt;0,C2790-CurrentMtgRatesDataTable8[[#This Row],[WA CC]],0)</f>
        <v>1.0133311898249322</v>
      </c>
      <c r="L2791" s="70">
        <f>IF(CurrentMtgRatesDataTable8[[#This Row],[Servicing Spread]]&lt;=0,L2790,CurrentMtgRatesDataTable8[[#This Row],[Servicing Spread]])</f>
        <v>1.0133311898249322</v>
      </c>
      <c r="M2791" s="70">
        <f>CurrentMtgRatesDataTable8[[#This Row],[Servicing Spread Non-Zero]]-L2790</f>
        <v>5.0921216654950641E-2</v>
      </c>
      <c r="N2791" s="70">
        <f>IF(J2790&lt;&gt;0,CurrentMtgRatesDataTable8[[#This Row],[Rate]]-C2790,N2790)</f>
        <v>-5.0000000000003375E-3</v>
      </c>
    </row>
    <row r="2792" spans="1:14">
      <c r="A2792" s="67" t="s">
        <v>722</v>
      </c>
      <c r="B2792" s="68">
        <v>2.6170205733531602</v>
      </c>
      <c r="C2792" s="69">
        <v>3.56</v>
      </c>
      <c r="D2792" s="70">
        <f t="shared" si="301"/>
        <v>1</v>
      </c>
      <c r="E2792" s="70">
        <f t="shared" si="302"/>
        <v>0.2</v>
      </c>
      <c r="F2792" s="70">
        <f t="shared" si="303"/>
        <v>1</v>
      </c>
      <c r="G2792" s="70">
        <f t="shared" si="304"/>
        <v>0.52340411467063208</v>
      </c>
      <c r="H2792" s="70">
        <f t="shared" si="305"/>
        <v>0.2</v>
      </c>
      <c r="I2792" s="70">
        <f t="shared" si="306"/>
        <v>0</v>
      </c>
      <c r="J2792" s="70">
        <f t="shared" si="307"/>
        <v>0</v>
      </c>
      <c r="K2792" s="70">
        <f>IF(CurrentMtgRatesDataTable8[[#This Row],[WA CC]]&lt;&gt;0,C2791-CurrentMtgRatesDataTable8[[#This Row],[WA CC]],0)</f>
        <v>0</v>
      </c>
      <c r="L2792" s="70">
        <f>IF(CurrentMtgRatesDataTable8[[#This Row],[Servicing Spread]]&lt;=0,L2791,CurrentMtgRatesDataTable8[[#This Row],[Servicing Spread]])</f>
        <v>1.0133311898249322</v>
      </c>
      <c r="M2792" s="70">
        <f>CurrentMtgRatesDataTable8[[#This Row],[Servicing Spread Non-Zero]]-L2791</f>
        <v>0</v>
      </c>
      <c r="N2792" s="70">
        <f>IF(J2791&lt;&gt;0,CurrentMtgRatesDataTable8[[#This Row],[Rate]]-C2791,N2791)</f>
        <v>5.0000000000003375E-3</v>
      </c>
    </row>
    <row r="2793" spans="1:14">
      <c r="A2793" s="67" t="s">
        <v>583</v>
      </c>
      <c r="B2793" s="68">
        <v>2.5688065849413189</v>
      </c>
      <c r="C2793" s="69">
        <v>3.56</v>
      </c>
      <c r="D2793" s="70">
        <f t="shared" si="301"/>
        <v>2</v>
      </c>
      <c r="E2793" s="70">
        <f t="shared" si="302"/>
        <v>0.2</v>
      </c>
      <c r="F2793" s="70">
        <f t="shared" si="303"/>
        <v>2</v>
      </c>
      <c r="G2793" s="70">
        <f t="shared" si="304"/>
        <v>1.0371654316588959</v>
      </c>
      <c r="H2793" s="70">
        <f t="shared" si="305"/>
        <v>0.4</v>
      </c>
      <c r="I2793" s="70">
        <f t="shared" si="306"/>
        <v>0</v>
      </c>
      <c r="J2793" s="70">
        <f t="shared" si="307"/>
        <v>0</v>
      </c>
      <c r="K2793" s="70">
        <f>IF(CurrentMtgRatesDataTable8[[#This Row],[WA CC]]&lt;&gt;0,C2792-CurrentMtgRatesDataTable8[[#This Row],[WA CC]],0)</f>
        <v>0</v>
      </c>
      <c r="L2793" s="70">
        <f>IF(CurrentMtgRatesDataTable8[[#This Row],[Servicing Spread]]&lt;=0,L2792,CurrentMtgRatesDataTable8[[#This Row],[Servicing Spread]])</f>
        <v>1.0133311898249322</v>
      </c>
      <c r="M2793" s="70">
        <f>CurrentMtgRatesDataTable8[[#This Row],[Servicing Spread Non-Zero]]-L2792</f>
        <v>0</v>
      </c>
      <c r="N2793" s="70">
        <f>IF(J2792&lt;&gt;0,CurrentMtgRatesDataTable8[[#This Row],[Rate]]-C2792,N2792)</f>
        <v>5.0000000000003375E-3</v>
      </c>
    </row>
    <row r="2794" spans="1:14">
      <c r="A2794" s="67" t="s">
        <v>433</v>
      </c>
      <c r="B2794" s="68">
        <v>2.5964187919228277</v>
      </c>
      <c r="C2794" s="69">
        <v>3.56</v>
      </c>
      <c r="D2794" s="70">
        <f t="shared" si="301"/>
        <v>5</v>
      </c>
      <c r="E2794" s="70">
        <f t="shared" si="302"/>
        <v>0.2</v>
      </c>
      <c r="F2794" s="70">
        <f t="shared" si="303"/>
        <v>3</v>
      </c>
      <c r="G2794" s="70">
        <f t="shared" si="304"/>
        <v>1.5564491900434614</v>
      </c>
      <c r="H2794" s="70">
        <f t="shared" si="305"/>
        <v>0.60000000000000009</v>
      </c>
      <c r="I2794" s="70">
        <f t="shared" si="306"/>
        <v>0</v>
      </c>
      <c r="J2794" s="70">
        <f t="shared" si="307"/>
        <v>0</v>
      </c>
      <c r="K2794" s="70">
        <f>IF(CurrentMtgRatesDataTable8[[#This Row],[WA CC]]&lt;&gt;0,C2793-CurrentMtgRatesDataTable8[[#This Row],[WA CC]],0)</f>
        <v>0</v>
      </c>
      <c r="L2794" s="70">
        <f>IF(CurrentMtgRatesDataTable8[[#This Row],[Servicing Spread]]&lt;=0,L2793,CurrentMtgRatesDataTable8[[#This Row],[Servicing Spread]])</f>
        <v>1.0133311898249322</v>
      </c>
      <c r="M2794" s="70">
        <f>CurrentMtgRatesDataTable8[[#This Row],[Servicing Spread Non-Zero]]-L2793</f>
        <v>0</v>
      </c>
      <c r="N2794" s="70">
        <f>IF(J2793&lt;&gt;0,CurrentMtgRatesDataTable8[[#This Row],[Rate]]-C2793,N2793)</f>
        <v>5.0000000000003375E-3</v>
      </c>
    </row>
    <row r="2795" spans="1:14">
      <c r="A2795" s="67" t="s">
        <v>307</v>
      </c>
      <c r="B2795" s="68">
        <v>2.58566791572217</v>
      </c>
      <c r="C2795" s="69">
        <v>3.56</v>
      </c>
      <c r="D2795" s="70">
        <f t="shared" si="301"/>
        <v>6</v>
      </c>
      <c r="E2795" s="70">
        <f t="shared" si="302"/>
        <v>0.2</v>
      </c>
      <c r="F2795" s="70">
        <f t="shared" si="303"/>
        <v>4</v>
      </c>
      <c r="G2795" s="70">
        <f t="shared" si="304"/>
        <v>2.0735827731878955</v>
      </c>
      <c r="H2795" s="70">
        <f t="shared" si="305"/>
        <v>0.8</v>
      </c>
      <c r="I2795" s="70">
        <f t="shared" si="306"/>
        <v>0</v>
      </c>
      <c r="J2795" s="70">
        <f t="shared" si="307"/>
        <v>0</v>
      </c>
      <c r="K2795" s="70">
        <f>IF(CurrentMtgRatesDataTable8[[#This Row],[WA CC]]&lt;&gt;0,C2794-CurrentMtgRatesDataTable8[[#This Row],[WA CC]],0)</f>
        <v>0</v>
      </c>
      <c r="L2795" s="70">
        <f>IF(CurrentMtgRatesDataTable8[[#This Row],[Servicing Spread]]&lt;=0,L2794,CurrentMtgRatesDataTable8[[#This Row],[Servicing Spread]])</f>
        <v>1.0133311898249322</v>
      </c>
      <c r="M2795" s="70">
        <f>CurrentMtgRatesDataTable8[[#This Row],[Servicing Spread Non-Zero]]-L2794</f>
        <v>0</v>
      </c>
      <c r="N2795" s="70">
        <f>IF(J2794&lt;&gt;0,CurrentMtgRatesDataTable8[[#This Row],[Rate]]-C2794,N2794)</f>
        <v>5.0000000000003375E-3</v>
      </c>
    </row>
    <row r="2796" spans="1:14">
      <c r="A2796" s="67" t="s">
        <v>163</v>
      </c>
      <c r="B2796" s="68">
        <v>2.5075854882079498</v>
      </c>
      <c r="C2796" s="69">
        <v>3.56</v>
      </c>
      <c r="D2796" s="70">
        <f t="shared" si="301"/>
        <v>7</v>
      </c>
      <c r="E2796" s="70">
        <f t="shared" si="302"/>
        <v>0.2</v>
      </c>
      <c r="F2796" s="70">
        <f t="shared" si="303"/>
        <v>5</v>
      </c>
      <c r="G2796" s="70">
        <f t="shared" si="304"/>
        <v>2.5750998708294857</v>
      </c>
      <c r="H2796" s="70">
        <f t="shared" si="305"/>
        <v>1</v>
      </c>
      <c r="I2796" s="70">
        <f t="shared" si="306"/>
        <v>1</v>
      </c>
      <c r="J2796" s="70">
        <f t="shared" si="307"/>
        <v>2.5750998708294857</v>
      </c>
      <c r="K2796" s="70">
        <f>IF(CurrentMtgRatesDataTable8[[#This Row],[WA CC]]&lt;&gt;0,C2795-CurrentMtgRatesDataTable8[[#This Row],[WA CC]],0)</f>
        <v>0.98490012917051439</v>
      </c>
      <c r="L2796" s="70">
        <f>IF(CurrentMtgRatesDataTable8[[#This Row],[Servicing Spread]]&lt;=0,L2795,CurrentMtgRatesDataTable8[[#This Row],[Servicing Spread]])</f>
        <v>0.98490012917051439</v>
      </c>
      <c r="M2796" s="70">
        <f>CurrentMtgRatesDataTable8[[#This Row],[Servicing Spread Non-Zero]]-L2795</f>
        <v>-2.8431060654417806E-2</v>
      </c>
      <c r="N2796" s="70">
        <f>IF(J2795&lt;&gt;0,CurrentMtgRatesDataTable8[[#This Row],[Rate]]-C2795,N2795)</f>
        <v>5.0000000000003375E-3</v>
      </c>
    </row>
    <row r="2797" spans="1:14">
      <c r="A2797" s="67" t="s">
        <v>723</v>
      </c>
      <c r="B2797" s="68">
        <v>2.5133603709402799</v>
      </c>
      <c r="C2797" s="69">
        <v>3.5149999999999997</v>
      </c>
      <c r="D2797" s="70">
        <f t="shared" si="301"/>
        <v>1</v>
      </c>
      <c r="E2797" s="70">
        <f t="shared" si="302"/>
        <v>0.2</v>
      </c>
      <c r="F2797" s="70">
        <f t="shared" si="303"/>
        <v>1</v>
      </c>
      <c r="G2797" s="70">
        <f t="shared" si="304"/>
        <v>0.50267207418805604</v>
      </c>
      <c r="H2797" s="70">
        <f t="shared" si="305"/>
        <v>0.2</v>
      </c>
      <c r="I2797" s="70">
        <f t="shared" si="306"/>
        <v>0</v>
      </c>
      <c r="J2797" s="70">
        <f t="shared" si="307"/>
        <v>0</v>
      </c>
      <c r="K2797" s="70">
        <f>IF(CurrentMtgRatesDataTable8[[#This Row],[WA CC]]&lt;&gt;0,C2796-CurrentMtgRatesDataTable8[[#This Row],[WA CC]],0)</f>
        <v>0</v>
      </c>
      <c r="L2797" s="70">
        <f>IF(CurrentMtgRatesDataTable8[[#This Row],[Servicing Spread]]&lt;=0,L2796,CurrentMtgRatesDataTable8[[#This Row],[Servicing Spread]])</f>
        <v>0.98490012917051439</v>
      </c>
      <c r="M2797" s="70">
        <f>CurrentMtgRatesDataTable8[[#This Row],[Servicing Spread Non-Zero]]-L2796</f>
        <v>0</v>
      </c>
      <c r="N2797" s="70">
        <f>IF(J2796&lt;&gt;0,CurrentMtgRatesDataTable8[[#This Row],[Rate]]-C2796,N2796)</f>
        <v>-4.5000000000000373E-2</v>
      </c>
    </row>
    <row r="2798" spans="1:14">
      <c r="A2798" s="67" t="s">
        <v>584</v>
      </c>
      <c r="B2798" s="68">
        <v>2.4526687901347302</v>
      </c>
      <c r="C2798" s="69">
        <v>3.5149999999999997</v>
      </c>
      <c r="D2798" s="70">
        <f t="shared" si="301"/>
        <v>2</v>
      </c>
      <c r="E2798" s="70">
        <f t="shared" si="302"/>
        <v>0.2</v>
      </c>
      <c r="F2798" s="70">
        <f t="shared" si="303"/>
        <v>2</v>
      </c>
      <c r="G2798" s="70">
        <f t="shared" si="304"/>
        <v>0.99320583221500214</v>
      </c>
      <c r="H2798" s="70">
        <f t="shared" si="305"/>
        <v>0.4</v>
      </c>
      <c r="I2798" s="70">
        <f t="shared" si="306"/>
        <v>0</v>
      </c>
      <c r="J2798" s="70">
        <f t="shared" si="307"/>
        <v>0</v>
      </c>
      <c r="K2798" s="70">
        <f>IF(CurrentMtgRatesDataTable8[[#This Row],[WA CC]]&lt;&gt;0,C2797-CurrentMtgRatesDataTable8[[#This Row],[WA CC]],0)</f>
        <v>0</v>
      </c>
      <c r="L2798" s="70">
        <f>IF(CurrentMtgRatesDataTable8[[#This Row],[Servicing Spread]]&lt;=0,L2797,CurrentMtgRatesDataTable8[[#This Row],[Servicing Spread]])</f>
        <v>0.98490012917051439</v>
      </c>
      <c r="M2798" s="70">
        <f>CurrentMtgRatesDataTable8[[#This Row],[Servicing Spread Non-Zero]]-L2797</f>
        <v>0</v>
      </c>
      <c r="N2798" s="70">
        <f>IF(J2797&lt;&gt;0,CurrentMtgRatesDataTable8[[#This Row],[Rate]]-C2797,N2797)</f>
        <v>-4.5000000000000373E-2</v>
      </c>
    </row>
    <row r="2799" spans="1:14">
      <c r="A2799" s="67" t="s">
        <v>434</v>
      </c>
      <c r="B2799" s="68">
        <v>2.4482414321452199</v>
      </c>
      <c r="C2799" s="69">
        <v>3.5149999999999997</v>
      </c>
      <c r="D2799" s="70">
        <f t="shared" si="301"/>
        <v>5</v>
      </c>
      <c r="E2799" s="70">
        <f t="shared" si="302"/>
        <v>0.2</v>
      </c>
      <c r="F2799" s="70">
        <f t="shared" si="303"/>
        <v>3</v>
      </c>
      <c r="G2799" s="70">
        <f t="shared" si="304"/>
        <v>1.4828541186440463</v>
      </c>
      <c r="H2799" s="70">
        <f t="shared" si="305"/>
        <v>0.60000000000000009</v>
      </c>
      <c r="I2799" s="70">
        <f t="shared" si="306"/>
        <v>0</v>
      </c>
      <c r="J2799" s="70">
        <f t="shared" si="307"/>
        <v>0</v>
      </c>
      <c r="K2799" s="70">
        <f>IF(CurrentMtgRatesDataTable8[[#This Row],[WA CC]]&lt;&gt;0,C2798-CurrentMtgRatesDataTable8[[#This Row],[WA CC]],0)</f>
        <v>0</v>
      </c>
      <c r="L2799" s="70">
        <f>IF(CurrentMtgRatesDataTable8[[#This Row],[Servicing Spread]]&lt;=0,L2798,CurrentMtgRatesDataTable8[[#This Row],[Servicing Spread]])</f>
        <v>0.98490012917051439</v>
      </c>
      <c r="M2799" s="70">
        <f>CurrentMtgRatesDataTable8[[#This Row],[Servicing Spread Non-Zero]]-L2798</f>
        <v>0</v>
      </c>
      <c r="N2799" s="70">
        <f>IF(J2798&lt;&gt;0,CurrentMtgRatesDataTable8[[#This Row],[Rate]]-C2798,N2798)</f>
        <v>-4.5000000000000373E-2</v>
      </c>
    </row>
    <row r="2800" spans="1:14">
      <c r="A2800" s="67" t="s">
        <v>308</v>
      </c>
      <c r="B2800" s="68">
        <v>2.5386092043872699</v>
      </c>
      <c r="C2800" s="69">
        <v>3.5149999999999997</v>
      </c>
      <c r="D2800" s="70">
        <f t="shared" si="301"/>
        <v>6</v>
      </c>
      <c r="E2800" s="70">
        <f t="shared" si="302"/>
        <v>0.2</v>
      </c>
      <c r="F2800" s="70">
        <f t="shared" si="303"/>
        <v>4</v>
      </c>
      <c r="G2800" s="70">
        <f t="shared" si="304"/>
        <v>1.9905759595215002</v>
      </c>
      <c r="H2800" s="70">
        <f t="shared" si="305"/>
        <v>0.8</v>
      </c>
      <c r="I2800" s="70">
        <f t="shared" si="306"/>
        <v>0</v>
      </c>
      <c r="J2800" s="70">
        <f t="shared" si="307"/>
        <v>0</v>
      </c>
      <c r="K2800" s="70">
        <f>IF(CurrentMtgRatesDataTable8[[#This Row],[WA CC]]&lt;&gt;0,C2799-CurrentMtgRatesDataTable8[[#This Row],[WA CC]],0)</f>
        <v>0</v>
      </c>
      <c r="L2800" s="70">
        <f>IF(CurrentMtgRatesDataTable8[[#This Row],[Servicing Spread]]&lt;=0,L2799,CurrentMtgRatesDataTable8[[#This Row],[Servicing Spread]])</f>
        <v>0.98490012917051439</v>
      </c>
      <c r="M2800" s="70">
        <f>CurrentMtgRatesDataTable8[[#This Row],[Servicing Spread Non-Zero]]-L2799</f>
        <v>0</v>
      </c>
      <c r="N2800" s="70">
        <f>IF(J2799&lt;&gt;0,CurrentMtgRatesDataTable8[[#This Row],[Rate]]-C2799,N2799)</f>
        <v>-4.5000000000000373E-2</v>
      </c>
    </row>
    <row r="2801" spans="1:14">
      <c r="A2801" s="67" t="s">
        <v>164</v>
      </c>
      <c r="B2801" s="68">
        <v>2.56620444102245</v>
      </c>
      <c r="C2801" s="69">
        <v>3.5149999999999997</v>
      </c>
      <c r="D2801" s="70">
        <f t="shared" si="301"/>
        <v>7</v>
      </c>
      <c r="E2801" s="70">
        <f t="shared" si="302"/>
        <v>0.2</v>
      </c>
      <c r="F2801" s="70">
        <f t="shared" si="303"/>
        <v>5</v>
      </c>
      <c r="G2801" s="70">
        <f t="shared" si="304"/>
        <v>2.5038168477259903</v>
      </c>
      <c r="H2801" s="70">
        <f t="shared" si="305"/>
        <v>1</v>
      </c>
      <c r="I2801" s="70">
        <f t="shared" si="306"/>
        <v>1</v>
      </c>
      <c r="J2801" s="70">
        <f t="shared" si="307"/>
        <v>2.5038168477259903</v>
      </c>
      <c r="K2801" s="70">
        <f>IF(CurrentMtgRatesDataTable8[[#This Row],[WA CC]]&lt;&gt;0,C2800-CurrentMtgRatesDataTable8[[#This Row],[WA CC]],0)</f>
        <v>1.0111831522740093</v>
      </c>
      <c r="L2801" s="70">
        <f>IF(CurrentMtgRatesDataTable8[[#This Row],[Servicing Spread]]&lt;=0,L2800,CurrentMtgRatesDataTable8[[#This Row],[Servicing Spread]])</f>
        <v>1.0111831522740093</v>
      </c>
      <c r="M2801" s="70">
        <f>CurrentMtgRatesDataTable8[[#This Row],[Servicing Spread Non-Zero]]-L2800</f>
        <v>2.6283023103494951E-2</v>
      </c>
      <c r="N2801" s="70">
        <f>IF(J2800&lt;&gt;0,CurrentMtgRatesDataTable8[[#This Row],[Rate]]-C2800,N2800)</f>
        <v>-4.5000000000000373E-2</v>
      </c>
    </row>
    <row r="2802" spans="1:14">
      <c r="A2802" s="67" t="s">
        <v>724</v>
      </c>
      <c r="B2802" s="68">
        <v>2.5588939804772202</v>
      </c>
      <c r="C2802" s="69">
        <v>3.59</v>
      </c>
      <c r="D2802" s="70">
        <f t="shared" si="301"/>
        <v>1</v>
      </c>
      <c r="E2802" s="70">
        <f t="shared" si="302"/>
        <v>0.2</v>
      </c>
      <c r="F2802" s="70">
        <f t="shared" si="303"/>
        <v>1</v>
      </c>
      <c r="G2802" s="70">
        <f t="shared" si="304"/>
        <v>0.51177879609544408</v>
      </c>
      <c r="H2802" s="70">
        <f t="shared" si="305"/>
        <v>0.2</v>
      </c>
      <c r="I2802" s="70">
        <f t="shared" si="306"/>
        <v>0</v>
      </c>
      <c r="J2802" s="70">
        <f t="shared" si="307"/>
        <v>0</v>
      </c>
      <c r="K2802" s="70">
        <f>IF(CurrentMtgRatesDataTable8[[#This Row],[WA CC]]&lt;&gt;0,C2801-CurrentMtgRatesDataTable8[[#This Row],[WA CC]],0)</f>
        <v>0</v>
      </c>
      <c r="L2802" s="70">
        <f>IF(CurrentMtgRatesDataTable8[[#This Row],[Servicing Spread]]&lt;=0,L2801,CurrentMtgRatesDataTable8[[#This Row],[Servicing Spread]])</f>
        <v>1.0111831522740093</v>
      </c>
      <c r="M2802" s="70">
        <f>CurrentMtgRatesDataTable8[[#This Row],[Servicing Spread Non-Zero]]-L2801</f>
        <v>0</v>
      </c>
      <c r="N2802" s="70">
        <f>IF(J2801&lt;&gt;0,CurrentMtgRatesDataTable8[[#This Row],[Rate]]-C2801,N2801)</f>
        <v>7.5000000000000178E-2</v>
      </c>
    </row>
    <row r="2803" spans="1:14">
      <c r="A2803" s="67" t="s">
        <v>585</v>
      </c>
      <c r="B2803" s="68">
        <v>2.6748566998957601</v>
      </c>
      <c r="C2803" s="69">
        <v>3.59</v>
      </c>
      <c r="D2803" s="70">
        <f t="shared" si="301"/>
        <v>2</v>
      </c>
      <c r="E2803" s="70">
        <f t="shared" si="302"/>
        <v>0.2</v>
      </c>
      <c r="F2803" s="70">
        <f t="shared" si="303"/>
        <v>2</v>
      </c>
      <c r="G2803" s="70">
        <f t="shared" si="304"/>
        <v>1.0467501360745961</v>
      </c>
      <c r="H2803" s="70">
        <f t="shared" si="305"/>
        <v>0.4</v>
      </c>
      <c r="I2803" s="70">
        <f t="shared" si="306"/>
        <v>0</v>
      </c>
      <c r="J2803" s="70">
        <f t="shared" si="307"/>
        <v>0</v>
      </c>
      <c r="K2803" s="70">
        <f>IF(CurrentMtgRatesDataTable8[[#This Row],[WA CC]]&lt;&gt;0,C2802-CurrentMtgRatesDataTable8[[#This Row],[WA CC]],0)</f>
        <v>0</v>
      </c>
      <c r="L2803" s="70">
        <f>IF(CurrentMtgRatesDataTable8[[#This Row],[Servicing Spread]]&lt;=0,L2802,CurrentMtgRatesDataTable8[[#This Row],[Servicing Spread]])</f>
        <v>1.0111831522740093</v>
      </c>
      <c r="M2803" s="70">
        <f>CurrentMtgRatesDataTable8[[#This Row],[Servicing Spread Non-Zero]]-L2802</f>
        <v>0</v>
      </c>
      <c r="N2803" s="70">
        <f>IF(J2802&lt;&gt;0,CurrentMtgRatesDataTable8[[#This Row],[Rate]]-C2802,N2802)</f>
        <v>7.5000000000000178E-2</v>
      </c>
    </row>
    <row r="2804" spans="1:14">
      <c r="A2804" s="67" t="s">
        <v>745</v>
      </c>
      <c r="B2804" s="68">
        <v>2.6856648240007002</v>
      </c>
      <c r="C2804" s="69">
        <v>3.59</v>
      </c>
      <c r="D2804" s="70">
        <f t="shared" si="301"/>
        <v>5</v>
      </c>
      <c r="E2804" s="70">
        <f t="shared" si="302"/>
        <v>0.2</v>
      </c>
      <c r="F2804" s="70">
        <f t="shared" si="303"/>
        <v>3</v>
      </c>
      <c r="G2804" s="70">
        <f t="shared" si="304"/>
        <v>1.5838831008747363</v>
      </c>
      <c r="H2804" s="70">
        <f t="shared" si="305"/>
        <v>0.60000000000000009</v>
      </c>
      <c r="I2804" s="70">
        <f t="shared" si="306"/>
        <v>0</v>
      </c>
      <c r="J2804" s="70">
        <f t="shared" si="307"/>
        <v>0</v>
      </c>
      <c r="K2804" s="70">
        <f>IF(CurrentMtgRatesDataTable8[[#This Row],[WA CC]]&lt;&gt;0,C2803-CurrentMtgRatesDataTable8[[#This Row],[WA CC]],0)</f>
        <v>0</v>
      </c>
      <c r="L2804" s="70">
        <f>IF(CurrentMtgRatesDataTable8[[#This Row],[Servicing Spread]]&lt;=0,L2803,CurrentMtgRatesDataTable8[[#This Row],[Servicing Spread]])</f>
        <v>1.0111831522740093</v>
      </c>
      <c r="M2804" s="70">
        <f>CurrentMtgRatesDataTable8[[#This Row],[Servicing Spread Non-Zero]]-L2803</f>
        <v>0</v>
      </c>
      <c r="N2804" s="70">
        <f>IF(J2803&lt;&gt;0,CurrentMtgRatesDataTable8[[#This Row],[Rate]]-C2803,N2803)</f>
        <v>7.5000000000000178E-2</v>
      </c>
    </row>
    <row r="2805" spans="1:14">
      <c r="A2805" s="67" t="s">
        <v>746</v>
      </c>
      <c r="B2805" s="68">
        <v>2.7450619013759301</v>
      </c>
      <c r="C2805" s="69">
        <v>3.59</v>
      </c>
      <c r="D2805" s="70">
        <f t="shared" si="301"/>
        <v>6</v>
      </c>
      <c r="E2805" s="70">
        <f t="shared" si="302"/>
        <v>0.2</v>
      </c>
      <c r="F2805" s="70">
        <f t="shared" si="303"/>
        <v>4</v>
      </c>
      <c r="G2805" s="70">
        <f t="shared" si="304"/>
        <v>2.1328954811499221</v>
      </c>
      <c r="H2805" s="70">
        <f t="shared" si="305"/>
        <v>0.8</v>
      </c>
      <c r="I2805" s="70">
        <f t="shared" si="306"/>
        <v>0</v>
      </c>
      <c r="J2805" s="70">
        <f t="shared" si="307"/>
        <v>0</v>
      </c>
      <c r="K2805" s="70">
        <f>IF(CurrentMtgRatesDataTable8[[#This Row],[WA CC]]&lt;&gt;0,C2804-CurrentMtgRatesDataTable8[[#This Row],[WA CC]],0)</f>
        <v>0</v>
      </c>
      <c r="L2805" s="70">
        <f>IF(CurrentMtgRatesDataTable8[[#This Row],[Servicing Spread]]&lt;=0,L2804,CurrentMtgRatesDataTable8[[#This Row],[Servicing Spread]])</f>
        <v>1.0111831522740093</v>
      </c>
      <c r="M2805" s="70">
        <f>CurrentMtgRatesDataTable8[[#This Row],[Servicing Spread Non-Zero]]-L2804</f>
        <v>0</v>
      </c>
      <c r="N2805" s="70">
        <f>IF(J2804&lt;&gt;0,CurrentMtgRatesDataTable8[[#This Row],[Rate]]-C2804,N2804)</f>
        <v>7.5000000000000178E-2</v>
      </c>
    </row>
    <row r="2806" spans="1:14">
      <c r="A2806" s="67" t="s">
        <v>747</v>
      </c>
      <c r="B2806" s="68">
        <v>2.7390944645368598</v>
      </c>
      <c r="C2806" s="69">
        <v>3.59</v>
      </c>
      <c r="D2806" s="70">
        <f t="shared" si="301"/>
        <v>7</v>
      </c>
      <c r="E2806" s="70">
        <f t="shared" si="302"/>
        <v>0.2</v>
      </c>
      <c r="F2806" s="70">
        <f t="shared" si="303"/>
        <v>5</v>
      </c>
      <c r="G2806" s="70">
        <f t="shared" si="304"/>
        <v>2.6807143740572941</v>
      </c>
      <c r="H2806" s="70">
        <f t="shared" si="305"/>
        <v>1</v>
      </c>
      <c r="I2806" s="70">
        <f t="shared" si="306"/>
        <v>1</v>
      </c>
      <c r="J2806" s="70">
        <f t="shared" si="307"/>
        <v>2.6807143740572941</v>
      </c>
      <c r="K2806" s="70">
        <f>IF(CurrentMtgRatesDataTable8[[#This Row],[WA CC]]&lt;&gt;0,C2805-CurrentMtgRatesDataTable8[[#This Row],[WA CC]],0)</f>
        <v>0.90928562594270579</v>
      </c>
      <c r="L2806" s="70">
        <f>IF(CurrentMtgRatesDataTable8[[#This Row],[Servicing Spread]]&lt;=0,L2805,CurrentMtgRatesDataTable8[[#This Row],[Servicing Spread]])</f>
        <v>0.90928562594270579</v>
      </c>
      <c r="M2806" s="70">
        <f>CurrentMtgRatesDataTable8[[#This Row],[Servicing Spread Non-Zero]]-L2805</f>
        <v>-0.10189752633130356</v>
      </c>
      <c r="N2806" s="70">
        <f>IF(J2805&lt;&gt;0,CurrentMtgRatesDataTable8[[#This Row],[Rate]]-C2805,N2805)</f>
        <v>7.5000000000000178E-2</v>
      </c>
    </row>
    <row r="2807" spans="1:14">
      <c r="A2807" s="67" t="s">
        <v>748</v>
      </c>
      <c r="B2807" s="68">
        <v>2.7217472845669599</v>
      </c>
      <c r="C2807" s="69">
        <v>3.6599999999999997</v>
      </c>
      <c r="D2807" s="70">
        <f t="shared" si="301"/>
        <v>1</v>
      </c>
      <c r="E2807" s="70">
        <f t="shared" si="302"/>
        <v>0.2</v>
      </c>
      <c r="F2807" s="70">
        <f t="shared" si="303"/>
        <v>1</v>
      </c>
      <c r="G2807" s="70">
        <f t="shared" si="304"/>
        <v>0.54434945691339198</v>
      </c>
      <c r="H2807" s="70">
        <f t="shared" si="305"/>
        <v>0.2</v>
      </c>
      <c r="I2807" s="70">
        <f t="shared" si="306"/>
        <v>0</v>
      </c>
      <c r="J2807" s="70">
        <f t="shared" si="307"/>
        <v>0</v>
      </c>
      <c r="K2807" s="70">
        <f>IF(CurrentMtgRatesDataTable8[[#This Row],[WA CC]]&lt;&gt;0,C2806-CurrentMtgRatesDataTable8[[#This Row],[WA CC]],0)</f>
        <v>0</v>
      </c>
      <c r="L2807" s="70">
        <f>IF(CurrentMtgRatesDataTable8[[#This Row],[Servicing Spread]]&lt;=0,L2806,CurrentMtgRatesDataTable8[[#This Row],[Servicing Spread]])</f>
        <v>0.90928562594270579</v>
      </c>
      <c r="M2807" s="70">
        <f>CurrentMtgRatesDataTable8[[#This Row],[Servicing Spread Non-Zero]]-L2806</f>
        <v>0</v>
      </c>
      <c r="N2807" s="70">
        <f>IF(J2806&lt;&gt;0,CurrentMtgRatesDataTable8[[#This Row],[Rate]]-C2806,N2806)</f>
        <v>6.999999999999984E-2</v>
      </c>
    </row>
    <row r="2808" spans="1:14">
      <c r="A2808" s="67" t="s">
        <v>749</v>
      </c>
      <c r="B2808" s="68">
        <v>2.7439532601441399</v>
      </c>
      <c r="C2808" s="69">
        <v>3.6599999999999997</v>
      </c>
      <c r="D2808" s="70">
        <f t="shared" si="301"/>
        <v>2</v>
      </c>
      <c r="E2808" s="70">
        <f t="shared" si="302"/>
        <v>0.2</v>
      </c>
      <c r="F2808" s="70">
        <f t="shared" si="303"/>
        <v>2</v>
      </c>
      <c r="G2808" s="70">
        <f t="shared" si="304"/>
        <v>1.0931401089422201</v>
      </c>
      <c r="H2808" s="70">
        <f t="shared" si="305"/>
        <v>0.4</v>
      </c>
      <c r="I2808" s="70">
        <f t="shared" si="306"/>
        <v>0</v>
      </c>
      <c r="J2808" s="70">
        <f t="shared" si="307"/>
        <v>0</v>
      </c>
      <c r="K2808" s="70">
        <f>IF(CurrentMtgRatesDataTable8[[#This Row],[WA CC]]&lt;&gt;0,C2807-CurrentMtgRatesDataTable8[[#This Row],[WA CC]],0)</f>
        <v>0</v>
      </c>
      <c r="L2808" s="70">
        <f>IF(CurrentMtgRatesDataTable8[[#This Row],[Servicing Spread]]&lt;=0,L2807,CurrentMtgRatesDataTable8[[#This Row],[Servicing Spread]])</f>
        <v>0.90928562594270579</v>
      </c>
      <c r="M2808" s="70">
        <f>CurrentMtgRatesDataTable8[[#This Row],[Servicing Spread Non-Zero]]-L2807</f>
        <v>0</v>
      </c>
      <c r="N2808" s="70">
        <f>IF(J2807&lt;&gt;0,CurrentMtgRatesDataTable8[[#This Row],[Rate]]-C2807,N2807)</f>
        <v>6.999999999999984E-2</v>
      </c>
    </row>
    <row r="2809" spans="1:14">
      <c r="A2809" s="67" t="s">
        <v>750</v>
      </c>
      <c r="B2809" s="68">
        <v>2.8647464299960101</v>
      </c>
      <c r="C2809" s="69">
        <v>3.6599999999999997</v>
      </c>
      <c r="D2809" s="70">
        <f t="shared" si="301"/>
        <v>6</v>
      </c>
      <c r="E2809" s="70">
        <f t="shared" si="302"/>
        <v>0.2</v>
      </c>
      <c r="F2809" s="70">
        <f t="shared" si="303"/>
        <v>3</v>
      </c>
      <c r="G2809" s="70">
        <f t="shared" si="304"/>
        <v>1.6660893949414222</v>
      </c>
      <c r="H2809" s="70">
        <f t="shared" si="305"/>
        <v>0.60000000000000009</v>
      </c>
      <c r="I2809" s="70">
        <f t="shared" si="306"/>
        <v>0</v>
      </c>
      <c r="J2809" s="70">
        <f t="shared" si="307"/>
        <v>0</v>
      </c>
      <c r="K2809" s="70">
        <f>IF(CurrentMtgRatesDataTable8[[#This Row],[WA CC]]&lt;&gt;0,C2808-CurrentMtgRatesDataTable8[[#This Row],[WA CC]],0)</f>
        <v>0</v>
      </c>
      <c r="L2809" s="70">
        <f>IF(CurrentMtgRatesDataTable8[[#This Row],[Servicing Spread]]&lt;=0,L2808,CurrentMtgRatesDataTable8[[#This Row],[Servicing Spread]])</f>
        <v>0.90928562594270579</v>
      </c>
      <c r="M2809" s="70">
        <f>CurrentMtgRatesDataTable8[[#This Row],[Servicing Spread Non-Zero]]-L2808</f>
        <v>0</v>
      </c>
      <c r="N2809" s="70">
        <f>IF(J2808&lt;&gt;0,CurrentMtgRatesDataTable8[[#This Row],[Rate]]-C2808,N2808)</f>
        <v>6.999999999999984E-2</v>
      </c>
    </row>
    <row r="2810" spans="1:14">
      <c r="A2810" s="67" t="s">
        <v>751</v>
      </c>
      <c r="B2810" s="68">
        <v>2.80663775198708</v>
      </c>
      <c r="C2810" s="69">
        <v>3.6599999999999997</v>
      </c>
      <c r="D2810" s="70">
        <f t="shared" si="301"/>
        <v>7</v>
      </c>
      <c r="E2810" s="70">
        <f t="shared" si="302"/>
        <v>0.2</v>
      </c>
      <c r="F2810" s="70">
        <f t="shared" si="303"/>
        <v>4</v>
      </c>
      <c r="G2810" s="70">
        <f t="shared" si="304"/>
        <v>2.2274169453388382</v>
      </c>
      <c r="H2810" s="70">
        <f t="shared" si="305"/>
        <v>0.8</v>
      </c>
      <c r="I2810" s="70">
        <f t="shared" si="306"/>
        <v>1</v>
      </c>
      <c r="J2810" s="70">
        <f t="shared" si="307"/>
        <v>2.7842711816735477</v>
      </c>
      <c r="K2810" s="70">
        <f>IF(CurrentMtgRatesDataTable8[[#This Row],[WA CC]]&lt;&gt;0,C2809-CurrentMtgRatesDataTable8[[#This Row],[WA CC]],0)</f>
        <v>0.875728818326452</v>
      </c>
      <c r="L2810" s="70">
        <f>IF(CurrentMtgRatesDataTable8[[#This Row],[Servicing Spread]]&lt;=0,L2809,CurrentMtgRatesDataTable8[[#This Row],[Servicing Spread]])</f>
        <v>0.875728818326452</v>
      </c>
      <c r="M2810" s="70">
        <f>CurrentMtgRatesDataTable8[[#This Row],[Servicing Spread Non-Zero]]-L2809</f>
        <v>-3.3556807616253792E-2</v>
      </c>
      <c r="N2810" s="70">
        <f>IF(J2809&lt;&gt;0,CurrentMtgRatesDataTable8[[#This Row],[Rate]]-C2809,N2809)</f>
        <v>6.999999999999984E-2</v>
      </c>
    </row>
    <row r="2811" spans="1:14">
      <c r="A2811" s="67" t="s">
        <v>752</v>
      </c>
      <c r="B2811" s="68">
        <v>2.8310816393070799</v>
      </c>
      <c r="C2811" s="69">
        <v>3.6999999999999997</v>
      </c>
      <c r="D2811" s="70">
        <f t="shared" si="301"/>
        <v>1</v>
      </c>
      <c r="E2811" s="70">
        <f t="shared" si="302"/>
        <v>0.2</v>
      </c>
      <c r="F2811" s="70">
        <f t="shared" si="303"/>
        <v>1</v>
      </c>
      <c r="G2811" s="70">
        <f t="shared" si="304"/>
        <v>0.56621632786141596</v>
      </c>
      <c r="H2811" s="70">
        <f t="shared" si="305"/>
        <v>0.2</v>
      </c>
      <c r="I2811" s="70">
        <f t="shared" si="306"/>
        <v>0</v>
      </c>
      <c r="J2811" s="70">
        <f t="shared" si="307"/>
        <v>0</v>
      </c>
      <c r="K2811" s="70">
        <f>IF(CurrentMtgRatesDataTable8[[#This Row],[WA CC]]&lt;&gt;0,C2810-CurrentMtgRatesDataTable8[[#This Row],[WA CC]],0)</f>
        <v>0</v>
      </c>
      <c r="L2811" s="70">
        <f>IF(CurrentMtgRatesDataTable8[[#This Row],[Servicing Spread]]&lt;=0,L2810,CurrentMtgRatesDataTable8[[#This Row],[Servicing Spread]])</f>
        <v>0.875728818326452</v>
      </c>
      <c r="M2811" s="70">
        <f>CurrentMtgRatesDataTable8[[#This Row],[Servicing Spread Non-Zero]]-L2810</f>
        <v>0</v>
      </c>
      <c r="N2811" s="70">
        <f>IF(J2810&lt;&gt;0,CurrentMtgRatesDataTable8[[#This Row],[Rate]]-C2810,N2810)</f>
        <v>4.0000000000000036E-2</v>
      </c>
    </row>
    <row r="2812" spans="1:14">
      <c r="A2812" s="67" t="s">
        <v>753</v>
      </c>
      <c r="B2812" s="68">
        <v>2.8495343936509898</v>
      </c>
      <c r="C2812" s="69">
        <v>3.6999999999999997</v>
      </c>
      <c r="D2812" s="70">
        <f t="shared" si="301"/>
        <v>2</v>
      </c>
      <c r="E2812" s="70">
        <f t="shared" si="302"/>
        <v>0.2</v>
      </c>
      <c r="F2812" s="70">
        <f t="shared" si="303"/>
        <v>2</v>
      </c>
      <c r="G2812" s="70">
        <f t="shared" si="304"/>
        <v>1.136123206591614</v>
      </c>
      <c r="H2812" s="70">
        <f t="shared" si="305"/>
        <v>0.4</v>
      </c>
      <c r="I2812" s="70">
        <f t="shared" si="306"/>
        <v>0</v>
      </c>
      <c r="J2812" s="70">
        <f t="shared" si="307"/>
        <v>0</v>
      </c>
      <c r="K2812" s="70">
        <f>IF(CurrentMtgRatesDataTable8[[#This Row],[WA CC]]&lt;&gt;0,C2811-CurrentMtgRatesDataTable8[[#This Row],[WA CC]],0)</f>
        <v>0</v>
      </c>
      <c r="L2812" s="70">
        <f>IF(CurrentMtgRatesDataTable8[[#This Row],[Servicing Spread]]&lt;=0,L2811,CurrentMtgRatesDataTable8[[#This Row],[Servicing Spread]])</f>
        <v>0.875728818326452</v>
      </c>
      <c r="M2812" s="70">
        <f>CurrentMtgRatesDataTable8[[#This Row],[Servicing Spread Non-Zero]]-L2811</f>
        <v>0</v>
      </c>
      <c r="N2812" s="70">
        <f>IF(J2811&lt;&gt;0,CurrentMtgRatesDataTable8[[#This Row],[Rate]]-C2811,N2811)</f>
        <v>4.0000000000000036E-2</v>
      </c>
    </row>
    <row r="2813" spans="1:14">
      <c r="A2813" s="67" t="s">
        <v>754</v>
      </c>
      <c r="B2813" s="68">
        <v>2.8051692512697501</v>
      </c>
      <c r="C2813" s="69">
        <v>3.6999999999999997</v>
      </c>
      <c r="D2813" s="70">
        <f t="shared" si="301"/>
        <v>5</v>
      </c>
      <c r="E2813" s="70">
        <f t="shared" si="302"/>
        <v>0.2</v>
      </c>
      <c r="F2813" s="70">
        <f t="shared" si="303"/>
        <v>3</v>
      </c>
      <c r="G2813" s="70">
        <f t="shared" si="304"/>
        <v>1.6971570568455641</v>
      </c>
      <c r="H2813" s="70">
        <f t="shared" si="305"/>
        <v>0.60000000000000009</v>
      </c>
      <c r="I2813" s="70">
        <f t="shared" si="306"/>
        <v>0</v>
      </c>
      <c r="J2813" s="70">
        <f t="shared" si="307"/>
        <v>0</v>
      </c>
      <c r="K2813" s="70">
        <f>IF(CurrentMtgRatesDataTable8[[#This Row],[WA CC]]&lt;&gt;0,C2812-CurrentMtgRatesDataTable8[[#This Row],[WA CC]],0)</f>
        <v>0</v>
      </c>
      <c r="L2813" s="70">
        <f>IF(CurrentMtgRatesDataTable8[[#This Row],[Servicing Spread]]&lt;=0,L2812,CurrentMtgRatesDataTable8[[#This Row],[Servicing Spread]])</f>
        <v>0.875728818326452</v>
      </c>
      <c r="M2813" s="70">
        <f>CurrentMtgRatesDataTable8[[#This Row],[Servicing Spread Non-Zero]]-L2812</f>
        <v>0</v>
      </c>
      <c r="N2813" s="70">
        <f>IF(J2812&lt;&gt;0,CurrentMtgRatesDataTable8[[#This Row],[Rate]]-C2812,N2812)</f>
        <v>4.0000000000000036E-2</v>
      </c>
    </row>
    <row r="2814" spans="1:14">
      <c r="A2814" s="67" t="s">
        <v>755</v>
      </c>
      <c r="B2814" s="68">
        <v>2.7456841844873301</v>
      </c>
      <c r="C2814" s="69">
        <v>3.6999999999999997</v>
      </c>
      <c r="D2814" s="70">
        <f t="shared" si="301"/>
        <v>6</v>
      </c>
      <c r="E2814" s="70">
        <f t="shared" si="302"/>
        <v>0.2</v>
      </c>
      <c r="F2814" s="70">
        <f t="shared" si="303"/>
        <v>4</v>
      </c>
      <c r="G2814" s="70">
        <f t="shared" si="304"/>
        <v>2.2462938937430303</v>
      </c>
      <c r="H2814" s="70">
        <f t="shared" si="305"/>
        <v>0.8</v>
      </c>
      <c r="I2814" s="70">
        <f t="shared" si="306"/>
        <v>0</v>
      </c>
      <c r="J2814" s="70">
        <f t="shared" si="307"/>
        <v>0</v>
      </c>
      <c r="K2814" s="70">
        <f>IF(CurrentMtgRatesDataTable8[[#This Row],[WA CC]]&lt;&gt;0,C2813-CurrentMtgRatesDataTable8[[#This Row],[WA CC]],0)</f>
        <v>0</v>
      </c>
      <c r="L2814" s="70">
        <f>IF(CurrentMtgRatesDataTable8[[#This Row],[Servicing Spread]]&lt;=0,L2813,CurrentMtgRatesDataTable8[[#This Row],[Servicing Spread]])</f>
        <v>0.875728818326452</v>
      </c>
      <c r="M2814" s="70">
        <f>CurrentMtgRatesDataTable8[[#This Row],[Servicing Spread Non-Zero]]-L2813</f>
        <v>0</v>
      </c>
      <c r="N2814" s="70">
        <f>IF(J2813&lt;&gt;0,CurrentMtgRatesDataTable8[[#This Row],[Rate]]-C2813,N2813)</f>
        <v>4.0000000000000036E-2</v>
      </c>
    </row>
    <row r="2815" spans="1:14">
      <c r="A2815" s="67" t="s">
        <v>756</v>
      </c>
      <c r="B2815" s="68">
        <v>2.7262373083687401</v>
      </c>
      <c r="C2815" s="69">
        <v>3.6999999999999997</v>
      </c>
      <c r="D2815" s="70">
        <f t="shared" si="301"/>
        <v>7</v>
      </c>
      <c r="E2815" s="70">
        <f t="shared" si="302"/>
        <v>0.2</v>
      </c>
      <c r="F2815" s="70">
        <f t="shared" si="303"/>
        <v>5</v>
      </c>
      <c r="G2815" s="70">
        <f t="shared" si="304"/>
        <v>2.7915413554167783</v>
      </c>
      <c r="H2815" s="70">
        <f t="shared" si="305"/>
        <v>1</v>
      </c>
      <c r="I2815" s="70">
        <f t="shared" si="306"/>
        <v>1</v>
      </c>
      <c r="J2815" s="70">
        <f t="shared" si="307"/>
        <v>2.7915413554167783</v>
      </c>
      <c r="K2815" s="70">
        <f>IF(CurrentMtgRatesDataTable8[[#This Row],[WA CC]]&lt;&gt;0,C2814-CurrentMtgRatesDataTable8[[#This Row],[WA CC]],0)</f>
        <v>0.90845864458322145</v>
      </c>
      <c r="L2815" s="70">
        <f>IF(CurrentMtgRatesDataTable8[[#This Row],[Servicing Spread]]&lt;=0,L2814,CurrentMtgRatesDataTable8[[#This Row],[Servicing Spread]])</f>
        <v>0.90845864458322145</v>
      </c>
      <c r="M2815" s="70">
        <f>CurrentMtgRatesDataTable8[[#This Row],[Servicing Spread Non-Zero]]-L2814</f>
        <v>3.2729826256769456E-2</v>
      </c>
      <c r="N2815" s="70">
        <f>IF(J2814&lt;&gt;0,CurrentMtgRatesDataTable8[[#This Row],[Rate]]-C2814,N2814)</f>
        <v>4.0000000000000036E-2</v>
      </c>
    </row>
    <row r="2816" spans="1:14">
      <c r="A2816" s="67" t="s">
        <v>757</v>
      </c>
      <c r="B2816" s="68">
        <v>2.7641939622688101</v>
      </c>
      <c r="C2816" s="69">
        <v>3.65</v>
      </c>
      <c r="D2816" s="70">
        <f t="shared" si="301"/>
        <v>1</v>
      </c>
      <c r="E2816" s="70">
        <f t="shared" si="302"/>
        <v>0.2</v>
      </c>
      <c r="F2816" s="70">
        <f t="shared" si="303"/>
        <v>1</v>
      </c>
      <c r="G2816" s="70">
        <f t="shared" si="304"/>
        <v>0.552838792453762</v>
      </c>
      <c r="H2816" s="70">
        <f t="shared" si="305"/>
        <v>0.2</v>
      </c>
      <c r="I2816" s="70">
        <f t="shared" si="306"/>
        <v>0</v>
      </c>
      <c r="J2816" s="70">
        <f t="shared" si="307"/>
        <v>0</v>
      </c>
      <c r="K2816" s="70">
        <f>IF(CurrentMtgRatesDataTable8[[#This Row],[WA CC]]&lt;&gt;0,C2815-CurrentMtgRatesDataTable8[[#This Row],[WA CC]],0)</f>
        <v>0</v>
      </c>
      <c r="L2816" s="70">
        <f>IF(CurrentMtgRatesDataTable8[[#This Row],[Servicing Spread]]&lt;=0,L2815,CurrentMtgRatesDataTable8[[#This Row],[Servicing Spread]])</f>
        <v>0.90845864458322145</v>
      </c>
      <c r="M2816" s="70">
        <f>CurrentMtgRatesDataTable8[[#This Row],[Servicing Spread Non-Zero]]-L2815</f>
        <v>0</v>
      </c>
      <c r="N2816" s="70">
        <f>IF(J2815&lt;&gt;0,CurrentMtgRatesDataTable8[[#This Row],[Rate]]-C2815,N2815)</f>
        <v>-4.9999999999999822E-2</v>
      </c>
    </row>
    <row r="2817" spans="1:14">
      <c r="A2817" s="67" t="s">
        <v>758</v>
      </c>
      <c r="B2817" s="68">
        <v>2.7365985708724101</v>
      </c>
      <c r="C2817" s="69">
        <v>3.65</v>
      </c>
      <c r="D2817" s="70">
        <f t="shared" si="301"/>
        <v>2</v>
      </c>
      <c r="E2817" s="70">
        <f t="shared" si="302"/>
        <v>0.2</v>
      </c>
      <c r="F2817" s="70">
        <f t="shared" si="303"/>
        <v>2</v>
      </c>
      <c r="G2817" s="70">
        <f t="shared" si="304"/>
        <v>1.100158506628244</v>
      </c>
      <c r="H2817" s="70">
        <f t="shared" si="305"/>
        <v>0.4</v>
      </c>
      <c r="I2817" s="70">
        <f t="shared" si="306"/>
        <v>0</v>
      </c>
      <c r="J2817" s="70">
        <f t="shared" si="307"/>
        <v>0</v>
      </c>
      <c r="K2817" s="70">
        <f>IF(CurrentMtgRatesDataTable8[[#This Row],[WA CC]]&lt;&gt;0,C2816-CurrentMtgRatesDataTable8[[#This Row],[WA CC]],0)</f>
        <v>0</v>
      </c>
      <c r="L2817" s="70">
        <f>IF(CurrentMtgRatesDataTable8[[#This Row],[Servicing Spread]]&lt;=0,L2816,CurrentMtgRatesDataTable8[[#This Row],[Servicing Spread]])</f>
        <v>0.90845864458322145</v>
      </c>
      <c r="M2817" s="70">
        <f>CurrentMtgRatesDataTable8[[#This Row],[Servicing Spread Non-Zero]]-L2816</f>
        <v>0</v>
      </c>
      <c r="N2817" s="70">
        <f>IF(J2816&lt;&gt;0,CurrentMtgRatesDataTable8[[#This Row],[Rate]]-C2816,N2816)</f>
        <v>-4.9999999999999822E-2</v>
      </c>
    </row>
    <row r="2818" spans="1:14">
      <c r="A2818" s="67" t="s">
        <v>759</v>
      </c>
      <c r="B2818" s="68">
        <v>2.7916349569467398</v>
      </c>
      <c r="C2818" s="69">
        <v>3.65</v>
      </c>
      <c r="D2818" s="70">
        <f t="shared" si="301"/>
        <v>5</v>
      </c>
      <c r="E2818" s="70">
        <f t="shared" si="302"/>
        <v>0.2</v>
      </c>
      <c r="F2818" s="70">
        <f t="shared" si="303"/>
        <v>3</v>
      </c>
      <c r="G2818" s="70">
        <f t="shared" si="304"/>
        <v>1.6584854980175918</v>
      </c>
      <c r="H2818" s="70">
        <f t="shared" si="305"/>
        <v>0.60000000000000009</v>
      </c>
      <c r="I2818" s="70">
        <f t="shared" si="306"/>
        <v>0</v>
      </c>
      <c r="J2818" s="70">
        <f t="shared" si="307"/>
        <v>0</v>
      </c>
      <c r="K2818" s="70">
        <f>IF(CurrentMtgRatesDataTable8[[#This Row],[WA CC]]&lt;&gt;0,C2817-CurrentMtgRatesDataTable8[[#This Row],[WA CC]],0)</f>
        <v>0</v>
      </c>
      <c r="L2818" s="70">
        <f>IF(CurrentMtgRatesDataTable8[[#This Row],[Servicing Spread]]&lt;=0,L2817,CurrentMtgRatesDataTable8[[#This Row],[Servicing Spread]])</f>
        <v>0.90845864458322145</v>
      </c>
      <c r="M2818" s="70">
        <f>CurrentMtgRatesDataTable8[[#This Row],[Servicing Spread Non-Zero]]-L2817</f>
        <v>0</v>
      </c>
      <c r="N2818" s="70">
        <f>IF(J2817&lt;&gt;0,CurrentMtgRatesDataTable8[[#This Row],[Rate]]-C2817,N2817)</f>
        <v>-4.9999999999999822E-2</v>
      </c>
    </row>
    <row r="2819" spans="1:14">
      <c r="A2819" s="67" t="s">
        <v>760</v>
      </c>
      <c r="B2819" s="68">
        <v>2.8341999400292899</v>
      </c>
      <c r="C2819" s="69">
        <v>3.65</v>
      </c>
      <c r="D2819" s="70">
        <f t="shared" si="301"/>
        <v>6</v>
      </c>
      <c r="E2819" s="70">
        <f t="shared" si="302"/>
        <v>0.2</v>
      </c>
      <c r="F2819" s="70">
        <f t="shared" si="303"/>
        <v>4</v>
      </c>
      <c r="G2819" s="70">
        <f t="shared" si="304"/>
        <v>2.2253254860234497</v>
      </c>
      <c r="H2819" s="70">
        <f t="shared" si="305"/>
        <v>0.8</v>
      </c>
      <c r="I2819" s="70">
        <f t="shared" si="306"/>
        <v>0</v>
      </c>
      <c r="J2819" s="70">
        <f t="shared" si="307"/>
        <v>0</v>
      </c>
      <c r="K2819" s="70">
        <f>IF(CurrentMtgRatesDataTable8[[#This Row],[WA CC]]&lt;&gt;0,C2818-CurrentMtgRatesDataTable8[[#This Row],[WA CC]],0)</f>
        <v>0</v>
      </c>
      <c r="L2819" s="70">
        <f>IF(CurrentMtgRatesDataTable8[[#This Row],[Servicing Spread]]&lt;=0,L2818,CurrentMtgRatesDataTable8[[#This Row],[Servicing Spread]])</f>
        <v>0.90845864458322145</v>
      </c>
      <c r="M2819" s="70">
        <f>CurrentMtgRatesDataTable8[[#This Row],[Servicing Spread Non-Zero]]-L2818</f>
        <v>0</v>
      </c>
      <c r="N2819" s="70">
        <f>IF(J2818&lt;&gt;0,CurrentMtgRatesDataTable8[[#This Row],[Rate]]-C2818,N2818)</f>
        <v>-4.9999999999999822E-2</v>
      </c>
    </row>
    <row r="2820" spans="1:14">
      <c r="A2820" s="67" t="s">
        <v>761</v>
      </c>
      <c r="B2820" s="68">
        <v>2.8241837227534399</v>
      </c>
      <c r="C2820" s="69">
        <v>3.65</v>
      </c>
      <c r="D2820" s="70">
        <f t="shared" si="301"/>
        <v>7</v>
      </c>
      <c r="E2820" s="70">
        <f t="shared" si="302"/>
        <v>0.2</v>
      </c>
      <c r="F2820" s="70">
        <f t="shared" si="303"/>
        <v>5</v>
      </c>
      <c r="G2820" s="70">
        <f t="shared" si="304"/>
        <v>2.7901622305741376</v>
      </c>
      <c r="H2820" s="70">
        <f t="shared" si="305"/>
        <v>1</v>
      </c>
      <c r="I2820" s="70">
        <f t="shared" si="306"/>
        <v>1</v>
      </c>
      <c r="J2820" s="70">
        <f t="shared" si="307"/>
        <v>2.7901622305741376</v>
      </c>
      <c r="K2820" s="70">
        <f>IF(CurrentMtgRatesDataTable8[[#This Row],[WA CC]]&lt;&gt;0,C2819-CurrentMtgRatesDataTable8[[#This Row],[WA CC]],0)</f>
        <v>0.85983776942586232</v>
      </c>
      <c r="L2820" s="70">
        <f>IF(CurrentMtgRatesDataTable8[[#This Row],[Servicing Spread]]&lt;=0,L2819,CurrentMtgRatesDataTable8[[#This Row],[Servicing Spread]])</f>
        <v>0.85983776942586232</v>
      </c>
      <c r="M2820" s="70">
        <f>CurrentMtgRatesDataTable8[[#This Row],[Servicing Spread Non-Zero]]-L2819</f>
        <v>-4.8620875157359134E-2</v>
      </c>
      <c r="N2820" s="70">
        <f>IF(J2819&lt;&gt;0,CurrentMtgRatesDataTable8[[#This Row],[Rate]]-C2819,N2819)</f>
        <v>-4.9999999999999822E-2</v>
      </c>
    </row>
    <row r="2821" spans="1:14">
      <c r="A2821" s="67" t="s">
        <v>765</v>
      </c>
      <c r="B2821" s="68">
        <v>2.81556157497667</v>
      </c>
      <c r="C2821" s="69">
        <v>3.76</v>
      </c>
      <c r="D2821" s="70">
        <f t="shared" ref="D2821:D2884" si="308">WEEKDAY(A2821,14)</f>
        <v>1</v>
      </c>
      <c r="E2821" s="70">
        <f t="shared" ref="E2821:E2884" si="309">VLOOKUP(D2821,Q$5:R$11,2,FALSE)</f>
        <v>0.2</v>
      </c>
      <c r="F2821" s="70">
        <f t="shared" ref="F2821:F2884" si="310">IF(AND(D2821&gt;D2820,F2820&lt;6),F2820+1,1)</f>
        <v>1</v>
      </c>
      <c r="G2821" s="70">
        <f t="shared" ref="G2821:G2884" si="311">IF(F2821&gt;F2820,G2820+B2821*E2821,B2821*E2821)</f>
        <v>0.56311231499533398</v>
      </c>
      <c r="H2821" s="70">
        <f t="shared" ref="H2821:H2884" si="312">IF(AND(F2821&lt;6,F2821&gt;F2820),E2821+H2820,E2821)</f>
        <v>0.2</v>
      </c>
      <c r="I2821" s="70">
        <f t="shared" ref="I2821:I2884" si="313">IF(F2821&gt;F2822,1,0)</f>
        <v>0</v>
      </c>
      <c r="J2821" s="70">
        <f t="shared" ref="J2821:J2884" si="314">IF(F2821&gt;F2822,G2821/H2821,0)</f>
        <v>0</v>
      </c>
      <c r="K2821" s="70">
        <f>IF(CurrentMtgRatesDataTable8[[#This Row],[WA CC]]&lt;&gt;0,C2820-CurrentMtgRatesDataTable8[[#This Row],[WA CC]],0)</f>
        <v>0</v>
      </c>
      <c r="L2821" s="70">
        <f>IF(CurrentMtgRatesDataTable8[[#This Row],[Servicing Spread]]&lt;=0,L2820,CurrentMtgRatesDataTable8[[#This Row],[Servicing Spread]])</f>
        <v>0.85983776942586232</v>
      </c>
      <c r="M2821" s="70">
        <f>CurrentMtgRatesDataTable8[[#This Row],[Servicing Spread Non-Zero]]-L2820</f>
        <v>0</v>
      </c>
      <c r="N2821" s="70">
        <f>IF(J2820&lt;&gt;0,CurrentMtgRatesDataTable8[[#This Row],[Rate]]-C2820,N2820)</f>
        <v>0.10999999999999988</v>
      </c>
    </row>
    <row r="2822" spans="1:14">
      <c r="A2822" s="67" t="s">
        <v>766</v>
      </c>
      <c r="B2822" s="68">
        <v>2.9303170109018999</v>
      </c>
      <c r="C2822" s="69">
        <v>3.76</v>
      </c>
      <c r="D2822" s="70">
        <f t="shared" si="308"/>
        <v>2</v>
      </c>
      <c r="E2822" s="70">
        <f t="shared" si="309"/>
        <v>0.2</v>
      </c>
      <c r="F2822" s="70">
        <f t="shared" si="310"/>
        <v>2</v>
      </c>
      <c r="G2822" s="70">
        <f t="shared" si="311"/>
        <v>1.149175717175714</v>
      </c>
      <c r="H2822" s="70">
        <f t="shared" si="312"/>
        <v>0.4</v>
      </c>
      <c r="I2822" s="70">
        <f t="shared" si="313"/>
        <v>0</v>
      </c>
      <c r="J2822" s="70">
        <f t="shared" si="314"/>
        <v>0</v>
      </c>
      <c r="K2822" s="70">
        <f>IF(CurrentMtgRatesDataTable8[[#This Row],[WA CC]]&lt;&gt;0,C2821-CurrentMtgRatesDataTable8[[#This Row],[WA CC]],0)</f>
        <v>0</v>
      </c>
      <c r="L2822" s="70">
        <f>IF(CurrentMtgRatesDataTable8[[#This Row],[Servicing Spread]]&lt;=0,L2821,CurrentMtgRatesDataTable8[[#This Row],[Servicing Spread]])</f>
        <v>0.85983776942586232</v>
      </c>
      <c r="M2822" s="70">
        <f>CurrentMtgRatesDataTable8[[#This Row],[Servicing Spread Non-Zero]]-L2821</f>
        <v>0</v>
      </c>
      <c r="N2822" s="70">
        <f>IF(J2821&lt;&gt;0,CurrentMtgRatesDataTable8[[#This Row],[Rate]]-C2821,N2821)</f>
        <v>0.10999999999999988</v>
      </c>
    </row>
    <row r="2823" spans="1:14">
      <c r="A2823" s="67" t="s">
        <v>767</v>
      </c>
      <c r="B2823" s="68">
        <v>2.90222752352993</v>
      </c>
      <c r="C2823" s="69">
        <v>3.76</v>
      </c>
      <c r="D2823" s="70">
        <f t="shared" si="308"/>
        <v>5</v>
      </c>
      <c r="E2823" s="70">
        <f t="shared" si="309"/>
        <v>0.2</v>
      </c>
      <c r="F2823" s="70">
        <f t="shared" si="310"/>
        <v>3</v>
      </c>
      <c r="G2823" s="70">
        <f t="shared" si="311"/>
        <v>1.7296212218817</v>
      </c>
      <c r="H2823" s="70">
        <f t="shared" si="312"/>
        <v>0.60000000000000009</v>
      </c>
      <c r="I2823" s="70">
        <f t="shared" si="313"/>
        <v>0</v>
      </c>
      <c r="J2823" s="70">
        <f t="shared" si="314"/>
        <v>0</v>
      </c>
      <c r="K2823" s="70">
        <f>IF(CurrentMtgRatesDataTable8[[#This Row],[WA CC]]&lt;&gt;0,C2822-CurrentMtgRatesDataTable8[[#This Row],[WA CC]],0)</f>
        <v>0</v>
      </c>
      <c r="L2823" s="70">
        <f>IF(CurrentMtgRatesDataTable8[[#This Row],[Servicing Spread]]&lt;=0,L2822,CurrentMtgRatesDataTable8[[#This Row],[Servicing Spread]])</f>
        <v>0.85983776942586232</v>
      </c>
      <c r="M2823" s="70">
        <f>CurrentMtgRatesDataTable8[[#This Row],[Servicing Spread Non-Zero]]-L2822</f>
        <v>0</v>
      </c>
      <c r="N2823" s="70">
        <f>IF(J2822&lt;&gt;0,CurrentMtgRatesDataTable8[[#This Row],[Rate]]-C2822,N2822)</f>
        <v>0.10999999999999988</v>
      </c>
    </row>
    <row r="2824" spans="1:14">
      <c r="A2824" s="67" t="s">
        <v>768</v>
      </c>
      <c r="B2824" s="68">
        <v>2.84635033680676</v>
      </c>
      <c r="C2824" s="69">
        <v>3.76</v>
      </c>
      <c r="D2824" s="70">
        <f t="shared" si="308"/>
        <v>6</v>
      </c>
      <c r="E2824" s="70">
        <f t="shared" si="309"/>
        <v>0.2</v>
      </c>
      <c r="F2824" s="70">
        <f t="shared" si="310"/>
        <v>4</v>
      </c>
      <c r="G2824" s="70">
        <f t="shared" si="311"/>
        <v>2.298891289243052</v>
      </c>
      <c r="H2824" s="70">
        <f t="shared" si="312"/>
        <v>0.8</v>
      </c>
      <c r="I2824" s="70">
        <f t="shared" si="313"/>
        <v>0</v>
      </c>
      <c r="J2824" s="70">
        <f t="shared" si="314"/>
        <v>0</v>
      </c>
      <c r="K2824" s="70">
        <f>IF(CurrentMtgRatesDataTable8[[#This Row],[WA CC]]&lt;&gt;0,C2823-CurrentMtgRatesDataTable8[[#This Row],[WA CC]],0)</f>
        <v>0</v>
      </c>
      <c r="L2824" s="70">
        <f>IF(CurrentMtgRatesDataTable8[[#This Row],[Servicing Spread]]&lt;=0,L2823,CurrentMtgRatesDataTable8[[#This Row],[Servicing Spread]])</f>
        <v>0.85983776942586232</v>
      </c>
      <c r="M2824" s="70">
        <f>CurrentMtgRatesDataTable8[[#This Row],[Servicing Spread Non-Zero]]-L2823</f>
        <v>0</v>
      </c>
      <c r="N2824" s="70">
        <f>IF(J2823&lt;&gt;0,CurrentMtgRatesDataTable8[[#This Row],[Rate]]-C2823,N2823)</f>
        <v>0.10999999999999988</v>
      </c>
    </row>
    <row r="2825" spans="1:14">
      <c r="A2825" s="67" t="s">
        <v>769</v>
      </c>
      <c r="B2825" s="68">
        <v>2.8278353033181198</v>
      </c>
      <c r="C2825" s="69">
        <v>3.76</v>
      </c>
      <c r="D2825" s="70">
        <f t="shared" si="308"/>
        <v>7</v>
      </c>
      <c r="E2825" s="70">
        <f t="shared" si="309"/>
        <v>0.2</v>
      </c>
      <c r="F2825" s="70">
        <f t="shared" si="310"/>
        <v>5</v>
      </c>
      <c r="G2825" s="70">
        <f t="shared" si="311"/>
        <v>2.864458349906676</v>
      </c>
      <c r="H2825" s="70">
        <f t="shared" si="312"/>
        <v>1</v>
      </c>
      <c r="I2825" s="70">
        <f t="shared" si="313"/>
        <v>1</v>
      </c>
      <c r="J2825" s="70">
        <f t="shared" si="314"/>
        <v>2.864458349906676</v>
      </c>
      <c r="K2825" s="70">
        <f>IF(CurrentMtgRatesDataTable8[[#This Row],[WA CC]]&lt;&gt;0,C2824-CurrentMtgRatesDataTable8[[#This Row],[WA CC]],0)</f>
        <v>0.89554165009332376</v>
      </c>
      <c r="L2825" s="70">
        <f>IF(CurrentMtgRatesDataTable8[[#This Row],[Servicing Spread]]&lt;=0,L2824,CurrentMtgRatesDataTable8[[#This Row],[Servicing Spread]])</f>
        <v>0.89554165009332376</v>
      </c>
      <c r="M2825" s="70">
        <f>CurrentMtgRatesDataTable8[[#This Row],[Servicing Spread Non-Zero]]-L2824</f>
        <v>3.5703880667461441E-2</v>
      </c>
      <c r="N2825" s="70">
        <f>IF(J2824&lt;&gt;0,CurrentMtgRatesDataTable8[[#This Row],[Rate]]-C2824,N2824)</f>
        <v>0.10999999999999988</v>
      </c>
    </row>
    <row r="2826" spans="1:14">
      <c r="A2826" s="67" t="s">
        <v>770</v>
      </c>
      <c r="B2826" s="68">
        <v>2.8138191102539798</v>
      </c>
      <c r="C2826" s="69">
        <v>3.6799999999999997</v>
      </c>
      <c r="D2826" s="70">
        <f t="shared" si="308"/>
        <v>1</v>
      </c>
      <c r="E2826" s="70">
        <f t="shared" si="309"/>
        <v>0.2</v>
      </c>
      <c r="F2826" s="70">
        <f t="shared" si="310"/>
        <v>1</v>
      </c>
      <c r="G2826" s="70">
        <f t="shared" si="311"/>
        <v>0.562763822050796</v>
      </c>
      <c r="H2826" s="70">
        <f t="shared" si="312"/>
        <v>0.2</v>
      </c>
      <c r="I2826" s="70">
        <f t="shared" si="313"/>
        <v>0</v>
      </c>
      <c r="J2826" s="70">
        <f t="shared" si="314"/>
        <v>0</v>
      </c>
      <c r="K2826" s="70">
        <f>IF(CurrentMtgRatesDataTable8[[#This Row],[WA CC]]&lt;&gt;0,C2825-CurrentMtgRatesDataTable8[[#This Row],[WA CC]],0)</f>
        <v>0</v>
      </c>
      <c r="L2826" s="70">
        <f>IF(CurrentMtgRatesDataTable8[[#This Row],[Servicing Spread]]&lt;=0,L2825,CurrentMtgRatesDataTable8[[#This Row],[Servicing Spread]])</f>
        <v>0.89554165009332376</v>
      </c>
      <c r="M2826" s="70">
        <f>CurrentMtgRatesDataTable8[[#This Row],[Servicing Spread Non-Zero]]-L2825</f>
        <v>0</v>
      </c>
      <c r="N2826" s="70">
        <f>IF(J2825&lt;&gt;0,CurrentMtgRatesDataTable8[[#This Row],[Rate]]-C2825,N2825)</f>
        <v>-8.0000000000000071E-2</v>
      </c>
    </row>
    <row r="2827" spans="1:14">
      <c r="A2827" s="67" t="s">
        <v>771</v>
      </c>
      <c r="B2827" s="68">
        <v>2.8315057491425</v>
      </c>
      <c r="C2827" s="69">
        <v>3.6799999999999997</v>
      </c>
      <c r="D2827" s="70">
        <f t="shared" si="308"/>
        <v>2</v>
      </c>
      <c r="E2827" s="70">
        <f t="shared" si="309"/>
        <v>0.2</v>
      </c>
      <c r="F2827" s="70">
        <f t="shared" si="310"/>
        <v>2</v>
      </c>
      <c r="G2827" s="70">
        <f t="shared" si="311"/>
        <v>1.129064971879296</v>
      </c>
      <c r="H2827" s="70">
        <f t="shared" si="312"/>
        <v>0.4</v>
      </c>
      <c r="I2827" s="70">
        <f t="shared" si="313"/>
        <v>0</v>
      </c>
      <c r="J2827" s="70">
        <f t="shared" si="314"/>
        <v>0</v>
      </c>
      <c r="K2827" s="70">
        <f>IF(CurrentMtgRatesDataTable8[[#This Row],[WA CC]]&lt;&gt;0,C2826-CurrentMtgRatesDataTable8[[#This Row],[WA CC]],0)</f>
        <v>0</v>
      </c>
      <c r="L2827" s="70">
        <f>IF(CurrentMtgRatesDataTable8[[#This Row],[Servicing Spread]]&lt;=0,L2826,CurrentMtgRatesDataTable8[[#This Row],[Servicing Spread]])</f>
        <v>0.89554165009332376</v>
      </c>
      <c r="M2827" s="70">
        <f>CurrentMtgRatesDataTable8[[#This Row],[Servicing Spread Non-Zero]]-L2826</f>
        <v>0</v>
      </c>
      <c r="N2827" s="70">
        <f>IF(J2826&lt;&gt;0,CurrentMtgRatesDataTable8[[#This Row],[Rate]]-C2826,N2826)</f>
        <v>-8.0000000000000071E-2</v>
      </c>
    </row>
    <row r="2828" spans="1:14">
      <c r="A2828" s="67" t="s">
        <v>772</v>
      </c>
      <c r="B2828" s="68">
        <v>2.8241768518279202</v>
      </c>
      <c r="C2828" s="69">
        <v>3.6799999999999997</v>
      </c>
      <c r="D2828" s="70">
        <f t="shared" si="308"/>
        <v>5</v>
      </c>
      <c r="E2828" s="70">
        <f t="shared" si="309"/>
        <v>0.2</v>
      </c>
      <c r="F2828" s="70">
        <f t="shared" si="310"/>
        <v>3</v>
      </c>
      <c r="G2828" s="70">
        <f t="shared" si="311"/>
        <v>1.6939003422448802</v>
      </c>
      <c r="H2828" s="70">
        <f t="shared" si="312"/>
        <v>0.60000000000000009</v>
      </c>
      <c r="I2828" s="70">
        <f t="shared" si="313"/>
        <v>0</v>
      </c>
      <c r="J2828" s="70">
        <f t="shared" si="314"/>
        <v>0</v>
      </c>
      <c r="K2828" s="70">
        <f>IF(CurrentMtgRatesDataTable8[[#This Row],[WA CC]]&lt;&gt;0,C2827-CurrentMtgRatesDataTable8[[#This Row],[WA CC]],0)</f>
        <v>0</v>
      </c>
      <c r="L2828" s="70">
        <f>IF(CurrentMtgRatesDataTable8[[#This Row],[Servicing Spread]]&lt;=0,L2827,CurrentMtgRatesDataTable8[[#This Row],[Servicing Spread]])</f>
        <v>0.89554165009332376</v>
      </c>
      <c r="M2828" s="70">
        <f>CurrentMtgRatesDataTable8[[#This Row],[Servicing Spread Non-Zero]]-L2827</f>
        <v>0</v>
      </c>
      <c r="N2828" s="70">
        <f>IF(J2827&lt;&gt;0,CurrentMtgRatesDataTable8[[#This Row],[Rate]]-C2827,N2827)</f>
        <v>-8.0000000000000071E-2</v>
      </c>
    </row>
    <row r="2829" spans="1:14">
      <c r="A2829" s="67" t="s">
        <v>773</v>
      </c>
      <c r="B2829" s="68">
        <v>2.79584100930466</v>
      </c>
      <c r="C2829" s="69">
        <v>3.6799999999999997</v>
      </c>
      <c r="D2829" s="70">
        <f t="shared" si="308"/>
        <v>6</v>
      </c>
      <c r="E2829" s="70">
        <f t="shared" si="309"/>
        <v>0.2</v>
      </c>
      <c r="F2829" s="70">
        <f t="shared" si="310"/>
        <v>4</v>
      </c>
      <c r="G2829" s="70">
        <f t="shared" si="311"/>
        <v>2.2530685441058123</v>
      </c>
      <c r="H2829" s="70">
        <f t="shared" si="312"/>
        <v>0.8</v>
      </c>
      <c r="I2829" s="70">
        <f t="shared" si="313"/>
        <v>0</v>
      </c>
      <c r="J2829" s="70">
        <f t="shared" si="314"/>
        <v>0</v>
      </c>
      <c r="K2829" s="70">
        <f>IF(CurrentMtgRatesDataTable8[[#This Row],[WA CC]]&lt;&gt;0,C2828-CurrentMtgRatesDataTable8[[#This Row],[WA CC]],0)</f>
        <v>0</v>
      </c>
      <c r="L2829" s="70">
        <f>IF(CurrentMtgRatesDataTable8[[#This Row],[Servicing Spread]]&lt;=0,L2828,CurrentMtgRatesDataTable8[[#This Row],[Servicing Spread]])</f>
        <v>0.89554165009332376</v>
      </c>
      <c r="M2829" s="70">
        <f>CurrentMtgRatesDataTable8[[#This Row],[Servicing Spread Non-Zero]]-L2828</f>
        <v>0</v>
      </c>
      <c r="N2829" s="70">
        <f>IF(J2828&lt;&gt;0,CurrentMtgRatesDataTable8[[#This Row],[Rate]]-C2828,N2828)</f>
        <v>-8.0000000000000071E-2</v>
      </c>
    </row>
    <row r="2830" spans="1:14">
      <c r="A2830" s="67" t="s">
        <v>774</v>
      </c>
      <c r="B2830" s="68">
        <v>2.6928489030954199</v>
      </c>
      <c r="C2830" s="69">
        <v>3.6799999999999997</v>
      </c>
      <c r="D2830" s="70">
        <f t="shared" si="308"/>
        <v>7</v>
      </c>
      <c r="E2830" s="70">
        <f t="shared" si="309"/>
        <v>0.2</v>
      </c>
      <c r="F2830" s="70">
        <f t="shared" si="310"/>
        <v>5</v>
      </c>
      <c r="G2830" s="70">
        <f t="shared" si="311"/>
        <v>2.7916383247248961</v>
      </c>
      <c r="H2830" s="70">
        <f t="shared" si="312"/>
        <v>1</v>
      </c>
      <c r="I2830" s="70">
        <f t="shared" si="313"/>
        <v>1</v>
      </c>
      <c r="J2830" s="70">
        <f t="shared" si="314"/>
        <v>2.7916383247248961</v>
      </c>
      <c r="K2830" s="70">
        <f>IF(CurrentMtgRatesDataTable8[[#This Row],[WA CC]]&lt;&gt;0,C2829-CurrentMtgRatesDataTable8[[#This Row],[WA CC]],0)</f>
        <v>0.88836167527510357</v>
      </c>
      <c r="L2830" s="70">
        <f>IF(CurrentMtgRatesDataTable8[[#This Row],[Servicing Spread]]&lt;=0,L2829,CurrentMtgRatesDataTable8[[#This Row],[Servicing Spread]])</f>
        <v>0.88836167527510357</v>
      </c>
      <c r="M2830" s="70">
        <f>CurrentMtgRatesDataTable8[[#This Row],[Servicing Spread Non-Zero]]-L2829</f>
        <v>-7.1799748182201917E-3</v>
      </c>
      <c r="N2830" s="70">
        <f>IF(J2829&lt;&gt;0,CurrentMtgRatesDataTable8[[#This Row],[Rate]]-C2829,N2829)</f>
        <v>-8.0000000000000071E-2</v>
      </c>
    </row>
    <row r="2831" spans="1:14">
      <c r="A2831" s="67" t="s">
        <v>788</v>
      </c>
      <c r="B2831" s="68">
        <v>2.70955656376128</v>
      </c>
      <c r="C2831" s="69">
        <v>3.59</v>
      </c>
      <c r="D2831" s="70">
        <f t="shared" si="308"/>
        <v>1</v>
      </c>
      <c r="E2831" s="70">
        <f t="shared" si="309"/>
        <v>0.2</v>
      </c>
      <c r="F2831" s="70">
        <f t="shared" si="310"/>
        <v>1</v>
      </c>
      <c r="G2831" s="70">
        <f t="shared" si="311"/>
        <v>0.54191131275225601</v>
      </c>
      <c r="H2831" s="70">
        <f t="shared" si="312"/>
        <v>0.2</v>
      </c>
      <c r="I2831" s="70">
        <f t="shared" si="313"/>
        <v>0</v>
      </c>
      <c r="J2831" s="70">
        <f t="shared" si="314"/>
        <v>0</v>
      </c>
      <c r="K2831" s="70">
        <f>IF(CurrentMtgRatesDataTable8[[#This Row],[WA CC]]&lt;&gt;0,C2830-CurrentMtgRatesDataTable8[[#This Row],[WA CC]],0)</f>
        <v>0</v>
      </c>
      <c r="L2831" s="70">
        <f>IF(CurrentMtgRatesDataTable8[[#This Row],[Servicing Spread]]&lt;=0,L2830,CurrentMtgRatesDataTable8[[#This Row],[Servicing Spread]])</f>
        <v>0.88836167527510357</v>
      </c>
      <c r="M2831" s="70">
        <f>CurrentMtgRatesDataTable8[[#This Row],[Servicing Spread Non-Zero]]-L2830</f>
        <v>0</v>
      </c>
      <c r="N2831" s="70">
        <f>IF(J2830&lt;&gt;0,CurrentMtgRatesDataTable8[[#This Row],[Rate]]-C2830,N2830)</f>
        <v>-8.9999999999999858E-2</v>
      </c>
    </row>
    <row r="2832" spans="1:14">
      <c r="A2832" s="67" t="s">
        <v>789</v>
      </c>
      <c r="B2832" s="68">
        <v>2.6717729385436999</v>
      </c>
      <c r="C2832" s="69">
        <v>3.59</v>
      </c>
      <c r="D2832" s="70">
        <f t="shared" si="308"/>
        <v>2</v>
      </c>
      <c r="E2832" s="70">
        <f t="shared" si="309"/>
        <v>0.2</v>
      </c>
      <c r="F2832" s="70">
        <f t="shared" si="310"/>
        <v>2</v>
      </c>
      <c r="G2832" s="70">
        <f t="shared" si="311"/>
        <v>1.076265900460996</v>
      </c>
      <c r="H2832" s="70">
        <f t="shared" si="312"/>
        <v>0.4</v>
      </c>
      <c r="I2832" s="70">
        <f t="shared" si="313"/>
        <v>0</v>
      </c>
      <c r="J2832" s="70">
        <f t="shared" si="314"/>
        <v>0</v>
      </c>
      <c r="K2832" s="70">
        <f>IF(CurrentMtgRatesDataTable8[[#This Row],[WA CC]]&lt;&gt;0,C2831-CurrentMtgRatesDataTable8[[#This Row],[WA CC]],0)</f>
        <v>0</v>
      </c>
      <c r="L2832" s="70">
        <f>IF(CurrentMtgRatesDataTable8[[#This Row],[Servicing Spread]]&lt;=0,L2831,CurrentMtgRatesDataTable8[[#This Row],[Servicing Spread]])</f>
        <v>0.88836167527510357</v>
      </c>
      <c r="M2832" s="70">
        <f>CurrentMtgRatesDataTable8[[#This Row],[Servicing Spread Non-Zero]]-L2831</f>
        <v>0</v>
      </c>
      <c r="N2832" s="70">
        <f>IF(J2831&lt;&gt;0,CurrentMtgRatesDataTable8[[#This Row],[Rate]]-C2831,N2831)</f>
        <v>-8.9999999999999858E-2</v>
      </c>
    </row>
    <row r="2833" spans="1:14">
      <c r="A2833" s="67" t="s">
        <v>790</v>
      </c>
      <c r="B2833" s="68">
        <v>2.6575094779916602</v>
      </c>
      <c r="C2833" s="69">
        <v>3.59</v>
      </c>
      <c r="D2833" s="70">
        <f t="shared" si="308"/>
        <v>5</v>
      </c>
      <c r="E2833" s="70">
        <f t="shared" si="309"/>
        <v>0.2</v>
      </c>
      <c r="F2833" s="70">
        <f t="shared" si="310"/>
        <v>3</v>
      </c>
      <c r="G2833" s="70">
        <f t="shared" si="311"/>
        <v>1.6077677960593282</v>
      </c>
      <c r="H2833" s="70">
        <f t="shared" si="312"/>
        <v>0.60000000000000009</v>
      </c>
      <c r="I2833" s="70">
        <f t="shared" si="313"/>
        <v>0</v>
      </c>
      <c r="J2833" s="70">
        <f t="shared" si="314"/>
        <v>0</v>
      </c>
      <c r="K2833" s="70">
        <f>IF(CurrentMtgRatesDataTable8[[#This Row],[WA CC]]&lt;&gt;0,C2832-CurrentMtgRatesDataTable8[[#This Row],[WA CC]],0)</f>
        <v>0</v>
      </c>
      <c r="L2833" s="70">
        <f>IF(CurrentMtgRatesDataTable8[[#This Row],[Servicing Spread]]&lt;=0,L2832,CurrentMtgRatesDataTable8[[#This Row],[Servicing Spread]])</f>
        <v>0.88836167527510357</v>
      </c>
      <c r="M2833" s="70">
        <f>CurrentMtgRatesDataTable8[[#This Row],[Servicing Spread Non-Zero]]-L2832</f>
        <v>0</v>
      </c>
      <c r="N2833" s="70">
        <f>IF(J2832&lt;&gt;0,CurrentMtgRatesDataTable8[[#This Row],[Rate]]-C2832,N2832)</f>
        <v>-8.9999999999999858E-2</v>
      </c>
    </row>
    <row r="2834" spans="1:14">
      <c r="A2834" s="67" t="s">
        <v>791</v>
      </c>
      <c r="B2834" s="68">
        <v>2.60984671554638</v>
      </c>
      <c r="C2834" s="69">
        <v>3.59</v>
      </c>
      <c r="D2834" s="70">
        <f t="shared" si="308"/>
        <v>6</v>
      </c>
      <c r="E2834" s="70">
        <f t="shared" si="309"/>
        <v>0.2</v>
      </c>
      <c r="F2834" s="70">
        <f t="shared" si="310"/>
        <v>4</v>
      </c>
      <c r="G2834" s="70">
        <f t="shared" si="311"/>
        <v>2.1297371391686042</v>
      </c>
      <c r="H2834" s="70">
        <f t="shared" si="312"/>
        <v>0.8</v>
      </c>
      <c r="I2834" s="70">
        <f t="shared" si="313"/>
        <v>0</v>
      </c>
      <c r="J2834" s="70">
        <f t="shared" si="314"/>
        <v>0</v>
      </c>
      <c r="K2834" s="70">
        <f>IF(CurrentMtgRatesDataTable8[[#This Row],[WA CC]]&lt;&gt;0,C2833-CurrentMtgRatesDataTable8[[#This Row],[WA CC]],0)</f>
        <v>0</v>
      </c>
      <c r="L2834" s="70">
        <f>IF(CurrentMtgRatesDataTable8[[#This Row],[Servicing Spread]]&lt;=0,L2833,CurrentMtgRatesDataTable8[[#This Row],[Servicing Spread]])</f>
        <v>0.88836167527510357</v>
      </c>
      <c r="M2834" s="70">
        <f>CurrentMtgRatesDataTable8[[#This Row],[Servicing Spread Non-Zero]]-L2833</f>
        <v>0</v>
      </c>
      <c r="N2834" s="70">
        <f>IF(J2833&lt;&gt;0,CurrentMtgRatesDataTable8[[#This Row],[Rate]]-C2833,N2833)</f>
        <v>-8.9999999999999858E-2</v>
      </c>
    </row>
    <row r="2835" spans="1:14">
      <c r="A2835" s="67" t="s">
        <v>792</v>
      </c>
      <c r="B2835" s="68">
        <v>2.6641693960453199</v>
      </c>
      <c r="C2835" s="69">
        <v>3.59</v>
      </c>
      <c r="D2835" s="70">
        <f t="shared" si="308"/>
        <v>7</v>
      </c>
      <c r="E2835" s="70">
        <f t="shared" si="309"/>
        <v>0.2</v>
      </c>
      <c r="F2835" s="70">
        <f t="shared" si="310"/>
        <v>5</v>
      </c>
      <c r="G2835" s="70">
        <f t="shared" si="311"/>
        <v>2.6625710183776681</v>
      </c>
      <c r="H2835" s="70">
        <f t="shared" si="312"/>
        <v>1</v>
      </c>
      <c r="I2835" s="70">
        <f t="shared" si="313"/>
        <v>1</v>
      </c>
      <c r="J2835" s="70">
        <f t="shared" si="314"/>
        <v>2.6625710183776681</v>
      </c>
      <c r="K2835" s="70">
        <f>IF(CurrentMtgRatesDataTable8[[#This Row],[WA CC]]&lt;&gt;0,C2834-CurrentMtgRatesDataTable8[[#This Row],[WA CC]],0)</f>
        <v>0.92742898162233178</v>
      </c>
      <c r="L2835" s="70">
        <f>IF(CurrentMtgRatesDataTable8[[#This Row],[Servicing Spread]]&lt;=0,L2834,CurrentMtgRatesDataTable8[[#This Row],[Servicing Spread]])</f>
        <v>0.92742898162233178</v>
      </c>
      <c r="M2835" s="70">
        <f>CurrentMtgRatesDataTable8[[#This Row],[Servicing Spread Non-Zero]]-L2834</f>
        <v>3.9067306347228214E-2</v>
      </c>
      <c r="N2835" s="70">
        <f>IF(J2834&lt;&gt;0,CurrentMtgRatesDataTable8[[#This Row],[Rate]]-C2834,N2834)</f>
        <v>-8.9999999999999858E-2</v>
      </c>
    </row>
    <row r="2836" spans="1:14">
      <c r="A2836" s="67" t="s">
        <v>793</v>
      </c>
      <c r="B2836" s="68">
        <v>2.7519990602785001</v>
      </c>
      <c r="C2836" s="69">
        <v>3.6</v>
      </c>
      <c r="D2836" s="70">
        <f t="shared" si="308"/>
        <v>1</v>
      </c>
      <c r="E2836" s="70">
        <f t="shared" si="309"/>
        <v>0.2</v>
      </c>
      <c r="F2836" s="70">
        <f t="shared" si="310"/>
        <v>1</v>
      </c>
      <c r="G2836" s="70">
        <f t="shared" si="311"/>
        <v>0.55039981205569999</v>
      </c>
      <c r="H2836" s="70">
        <f t="shared" si="312"/>
        <v>0.2</v>
      </c>
      <c r="I2836" s="70">
        <f t="shared" si="313"/>
        <v>0</v>
      </c>
      <c r="J2836" s="70">
        <f t="shared" si="314"/>
        <v>0</v>
      </c>
      <c r="K2836" s="70">
        <f>IF(CurrentMtgRatesDataTable8[[#This Row],[WA CC]]&lt;&gt;0,C2835-CurrentMtgRatesDataTable8[[#This Row],[WA CC]],0)</f>
        <v>0</v>
      </c>
      <c r="L2836" s="70">
        <f>IF(CurrentMtgRatesDataTable8[[#This Row],[Servicing Spread]]&lt;=0,L2835,CurrentMtgRatesDataTable8[[#This Row],[Servicing Spread]])</f>
        <v>0.92742898162233178</v>
      </c>
      <c r="M2836" s="70">
        <f>CurrentMtgRatesDataTable8[[#This Row],[Servicing Spread Non-Zero]]-L2835</f>
        <v>0</v>
      </c>
      <c r="N2836" s="70">
        <f>IF(J2835&lt;&gt;0,CurrentMtgRatesDataTable8[[#This Row],[Rate]]-C2835,N2835)</f>
        <v>1.0000000000000231E-2</v>
      </c>
    </row>
    <row r="2837" spans="1:14">
      <c r="A2837" s="67" t="s">
        <v>794</v>
      </c>
      <c r="B2837" s="68">
        <v>2.6934832462996599</v>
      </c>
      <c r="C2837" s="69">
        <v>3.6</v>
      </c>
      <c r="D2837" s="70">
        <f t="shared" si="308"/>
        <v>2</v>
      </c>
      <c r="E2837" s="70">
        <f t="shared" si="309"/>
        <v>0.2</v>
      </c>
      <c r="F2837" s="70">
        <f t="shared" si="310"/>
        <v>2</v>
      </c>
      <c r="G2837" s="70">
        <f t="shared" si="311"/>
        <v>1.089096461315632</v>
      </c>
      <c r="H2837" s="70">
        <f t="shared" si="312"/>
        <v>0.4</v>
      </c>
      <c r="I2837" s="70">
        <f t="shared" si="313"/>
        <v>0</v>
      </c>
      <c r="J2837" s="70">
        <f t="shared" si="314"/>
        <v>0</v>
      </c>
      <c r="K2837" s="70">
        <f>IF(CurrentMtgRatesDataTable8[[#This Row],[WA CC]]&lt;&gt;0,C2836-CurrentMtgRatesDataTable8[[#This Row],[WA CC]],0)</f>
        <v>0</v>
      </c>
      <c r="L2837" s="70">
        <f>IF(CurrentMtgRatesDataTable8[[#This Row],[Servicing Spread]]&lt;=0,L2836,CurrentMtgRatesDataTable8[[#This Row],[Servicing Spread]])</f>
        <v>0.92742898162233178</v>
      </c>
      <c r="M2837" s="70">
        <f>CurrentMtgRatesDataTable8[[#This Row],[Servicing Spread Non-Zero]]-L2836</f>
        <v>0</v>
      </c>
      <c r="N2837" s="70">
        <f>IF(J2836&lt;&gt;0,CurrentMtgRatesDataTable8[[#This Row],[Rate]]-C2836,N2836)</f>
        <v>1.0000000000000231E-2</v>
      </c>
    </row>
    <row r="2838" spans="1:14">
      <c r="A2838" s="67" t="s">
        <v>795</v>
      </c>
      <c r="B2838" s="68">
        <v>2.6906214304432701</v>
      </c>
      <c r="C2838" s="69">
        <v>3.6</v>
      </c>
      <c r="D2838" s="70">
        <f t="shared" si="308"/>
        <v>5</v>
      </c>
      <c r="E2838" s="70">
        <f t="shared" si="309"/>
        <v>0.2</v>
      </c>
      <c r="F2838" s="70">
        <f t="shared" si="310"/>
        <v>3</v>
      </c>
      <c r="G2838" s="70">
        <f t="shared" si="311"/>
        <v>1.6272207474042859</v>
      </c>
      <c r="H2838" s="70">
        <f t="shared" si="312"/>
        <v>0.60000000000000009</v>
      </c>
      <c r="I2838" s="70">
        <f t="shared" si="313"/>
        <v>0</v>
      </c>
      <c r="J2838" s="70">
        <f t="shared" si="314"/>
        <v>0</v>
      </c>
      <c r="K2838" s="70">
        <f>IF(CurrentMtgRatesDataTable8[[#This Row],[WA CC]]&lt;&gt;0,C2837-CurrentMtgRatesDataTable8[[#This Row],[WA CC]],0)</f>
        <v>0</v>
      </c>
      <c r="L2838" s="70">
        <f>IF(CurrentMtgRatesDataTable8[[#This Row],[Servicing Spread]]&lt;=0,L2837,CurrentMtgRatesDataTable8[[#This Row],[Servicing Spread]])</f>
        <v>0.92742898162233178</v>
      </c>
      <c r="M2838" s="70">
        <f>CurrentMtgRatesDataTable8[[#This Row],[Servicing Spread Non-Zero]]-L2837</f>
        <v>0</v>
      </c>
      <c r="N2838" s="70">
        <f>IF(J2837&lt;&gt;0,CurrentMtgRatesDataTable8[[#This Row],[Rate]]-C2837,N2837)</f>
        <v>1.0000000000000231E-2</v>
      </c>
    </row>
    <row r="2839" spans="1:14">
      <c r="A2839" s="67" t="s">
        <v>796</v>
      </c>
      <c r="B2839" s="68">
        <v>2.66103516127894</v>
      </c>
      <c r="C2839" s="69">
        <v>3.6</v>
      </c>
      <c r="D2839" s="70">
        <f t="shared" si="308"/>
        <v>6</v>
      </c>
      <c r="E2839" s="70">
        <f t="shared" si="309"/>
        <v>0.2</v>
      </c>
      <c r="F2839" s="70">
        <f t="shared" si="310"/>
        <v>4</v>
      </c>
      <c r="G2839" s="70">
        <f t="shared" si="311"/>
        <v>2.1594277796600738</v>
      </c>
      <c r="H2839" s="70">
        <f t="shared" si="312"/>
        <v>0.8</v>
      </c>
      <c r="I2839" s="70">
        <f t="shared" si="313"/>
        <v>0</v>
      </c>
      <c r="J2839" s="70">
        <f t="shared" si="314"/>
        <v>0</v>
      </c>
      <c r="K2839" s="70">
        <f>IF(CurrentMtgRatesDataTable8[[#This Row],[WA CC]]&lt;&gt;0,C2838-CurrentMtgRatesDataTable8[[#This Row],[WA CC]],0)</f>
        <v>0</v>
      </c>
      <c r="L2839" s="70">
        <f>IF(CurrentMtgRatesDataTable8[[#This Row],[Servicing Spread]]&lt;=0,L2838,CurrentMtgRatesDataTable8[[#This Row],[Servicing Spread]])</f>
        <v>0.92742898162233178</v>
      </c>
      <c r="M2839" s="70">
        <f>CurrentMtgRatesDataTable8[[#This Row],[Servicing Spread Non-Zero]]-L2838</f>
        <v>0</v>
      </c>
      <c r="N2839" s="70">
        <f>IF(J2838&lt;&gt;0,CurrentMtgRatesDataTable8[[#This Row],[Rate]]-C2838,N2838)</f>
        <v>1.0000000000000231E-2</v>
      </c>
    </row>
    <row r="2840" spans="1:14">
      <c r="A2840" s="67" t="s">
        <v>797</v>
      </c>
      <c r="B2840" s="68">
        <v>2.5992657753902901</v>
      </c>
      <c r="C2840" s="69">
        <v>3.6</v>
      </c>
      <c r="D2840" s="70">
        <f t="shared" si="308"/>
        <v>7</v>
      </c>
      <c r="E2840" s="70">
        <f t="shared" si="309"/>
        <v>0.2</v>
      </c>
      <c r="F2840" s="70">
        <f t="shared" si="310"/>
        <v>5</v>
      </c>
      <c r="G2840" s="70">
        <f t="shared" si="311"/>
        <v>2.6792809347381317</v>
      </c>
      <c r="H2840" s="70">
        <f t="shared" si="312"/>
        <v>1</v>
      </c>
      <c r="I2840" s="70">
        <f t="shared" si="313"/>
        <v>1</v>
      </c>
      <c r="J2840" s="70">
        <f t="shared" si="314"/>
        <v>2.6792809347381317</v>
      </c>
      <c r="K2840" s="70">
        <f>IF(CurrentMtgRatesDataTable8[[#This Row],[WA CC]]&lt;&gt;0,C2839-CurrentMtgRatesDataTable8[[#This Row],[WA CC]],0)</f>
        <v>0.92071906526186842</v>
      </c>
      <c r="L2840" s="70">
        <f>IF(CurrentMtgRatesDataTable8[[#This Row],[Servicing Spread]]&lt;=0,L2839,CurrentMtgRatesDataTable8[[#This Row],[Servicing Spread]])</f>
        <v>0.92071906526186842</v>
      </c>
      <c r="M2840" s="70">
        <f>CurrentMtgRatesDataTable8[[#This Row],[Servicing Spread Non-Zero]]-L2839</f>
        <v>-6.7099163604633638E-3</v>
      </c>
      <c r="N2840" s="70">
        <f>IF(J2839&lt;&gt;0,CurrentMtgRatesDataTable8[[#This Row],[Rate]]-C2839,N2839)</f>
        <v>1.0000000000000231E-2</v>
      </c>
    </row>
    <row r="2841" spans="1:14">
      <c r="A2841" s="67" t="s">
        <v>798</v>
      </c>
      <c r="B2841" s="68">
        <v>2.6512826680006101</v>
      </c>
      <c r="C2841" s="69">
        <v>3.56</v>
      </c>
      <c r="D2841" s="70">
        <f t="shared" si="308"/>
        <v>1</v>
      </c>
      <c r="E2841" s="70">
        <f t="shared" si="309"/>
        <v>0.2</v>
      </c>
      <c r="F2841" s="70">
        <f t="shared" si="310"/>
        <v>1</v>
      </c>
      <c r="G2841" s="70">
        <f t="shared" si="311"/>
        <v>0.53025653360012204</v>
      </c>
      <c r="H2841" s="70">
        <f t="shared" si="312"/>
        <v>0.2</v>
      </c>
      <c r="I2841" s="70">
        <f t="shared" si="313"/>
        <v>0</v>
      </c>
      <c r="J2841" s="70">
        <f t="shared" si="314"/>
        <v>0</v>
      </c>
      <c r="K2841" s="70">
        <f>IF(CurrentMtgRatesDataTable8[[#This Row],[WA CC]]&lt;&gt;0,C2840-CurrentMtgRatesDataTable8[[#This Row],[WA CC]],0)</f>
        <v>0</v>
      </c>
      <c r="L2841" s="70">
        <f>IF(CurrentMtgRatesDataTable8[[#This Row],[Servicing Spread]]&lt;=0,L2840,CurrentMtgRatesDataTable8[[#This Row],[Servicing Spread]])</f>
        <v>0.92071906526186842</v>
      </c>
      <c r="M2841" s="70">
        <f>CurrentMtgRatesDataTable8[[#This Row],[Servicing Spread Non-Zero]]-L2840</f>
        <v>0</v>
      </c>
      <c r="N2841" s="70">
        <f>IF(J2840&lt;&gt;0,CurrentMtgRatesDataTable8[[#This Row],[Rate]]-C2840,N2840)</f>
        <v>-4.0000000000000036E-2</v>
      </c>
    </row>
    <row r="2842" spans="1:14">
      <c r="A2842" s="67" t="s">
        <v>799</v>
      </c>
      <c r="B2842" s="68">
        <v>2.5908884215358099</v>
      </c>
      <c r="C2842" s="69">
        <v>3.56</v>
      </c>
      <c r="D2842" s="70">
        <f t="shared" si="308"/>
        <v>2</v>
      </c>
      <c r="E2842" s="70">
        <f t="shared" si="309"/>
        <v>0.2</v>
      </c>
      <c r="F2842" s="70">
        <f t="shared" si="310"/>
        <v>2</v>
      </c>
      <c r="G2842" s="70">
        <f t="shared" si="311"/>
        <v>1.0484342179072841</v>
      </c>
      <c r="H2842" s="70">
        <f t="shared" si="312"/>
        <v>0.4</v>
      </c>
      <c r="I2842" s="70">
        <f t="shared" si="313"/>
        <v>0</v>
      </c>
      <c r="J2842" s="70">
        <f t="shared" si="314"/>
        <v>0</v>
      </c>
      <c r="K2842" s="70">
        <f>IF(CurrentMtgRatesDataTable8[[#This Row],[WA CC]]&lt;&gt;0,C2841-CurrentMtgRatesDataTable8[[#This Row],[WA CC]],0)</f>
        <v>0</v>
      </c>
      <c r="L2842" s="70">
        <f>IF(CurrentMtgRatesDataTable8[[#This Row],[Servicing Spread]]&lt;=0,L2841,CurrentMtgRatesDataTable8[[#This Row],[Servicing Spread]])</f>
        <v>0.92071906526186842</v>
      </c>
      <c r="M2842" s="70">
        <f>CurrentMtgRatesDataTable8[[#This Row],[Servicing Spread Non-Zero]]-L2841</f>
        <v>0</v>
      </c>
      <c r="N2842" s="70">
        <f>IF(J2841&lt;&gt;0,CurrentMtgRatesDataTable8[[#This Row],[Rate]]-C2841,N2841)</f>
        <v>-4.0000000000000036E-2</v>
      </c>
    </row>
    <row r="2843" spans="1:14">
      <c r="A2843" s="67" t="s">
        <v>800</v>
      </c>
      <c r="B2843" s="68">
        <v>2.63391710374052</v>
      </c>
      <c r="C2843" s="69">
        <v>3.56</v>
      </c>
      <c r="D2843" s="70">
        <f t="shared" si="308"/>
        <v>5</v>
      </c>
      <c r="E2843" s="70">
        <f t="shared" si="309"/>
        <v>0.2</v>
      </c>
      <c r="F2843" s="70">
        <f t="shared" si="310"/>
        <v>3</v>
      </c>
      <c r="G2843" s="70">
        <f t="shared" si="311"/>
        <v>1.575217638655388</v>
      </c>
      <c r="H2843" s="70">
        <f t="shared" si="312"/>
        <v>0.60000000000000009</v>
      </c>
      <c r="I2843" s="70">
        <f t="shared" si="313"/>
        <v>0</v>
      </c>
      <c r="J2843" s="70">
        <f t="shared" si="314"/>
        <v>0</v>
      </c>
      <c r="K2843" s="70">
        <f>IF(CurrentMtgRatesDataTable8[[#This Row],[WA CC]]&lt;&gt;0,C2842-CurrentMtgRatesDataTable8[[#This Row],[WA CC]],0)</f>
        <v>0</v>
      </c>
      <c r="L2843" s="70">
        <f>IF(CurrentMtgRatesDataTable8[[#This Row],[Servicing Spread]]&lt;=0,L2842,CurrentMtgRatesDataTable8[[#This Row],[Servicing Spread]])</f>
        <v>0.92071906526186842</v>
      </c>
      <c r="M2843" s="70">
        <f>CurrentMtgRatesDataTable8[[#This Row],[Servicing Spread Non-Zero]]-L2842</f>
        <v>0</v>
      </c>
      <c r="N2843" s="70">
        <f>IF(J2842&lt;&gt;0,CurrentMtgRatesDataTable8[[#This Row],[Rate]]-C2842,N2842)</f>
        <v>-4.0000000000000036E-2</v>
      </c>
    </row>
    <row r="2844" spans="1:14">
      <c r="A2844" s="67" t="s">
        <v>801</v>
      </c>
      <c r="B2844" s="68">
        <v>2.6287824588785198</v>
      </c>
      <c r="C2844" s="69">
        <v>3.56</v>
      </c>
      <c r="D2844" s="70">
        <f t="shared" si="308"/>
        <v>6</v>
      </c>
      <c r="E2844" s="70">
        <f t="shared" si="309"/>
        <v>0.2</v>
      </c>
      <c r="F2844" s="70">
        <f t="shared" si="310"/>
        <v>4</v>
      </c>
      <c r="G2844" s="70">
        <f t="shared" si="311"/>
        <v>2.100974130431092</v>
      </c>
      <c r="H2844" s="70">
        <f t="shared" si="312"/>
        <v>0.8</v>
      </c>
      <c r="I2844" s="70">
        <f t="shared" si="313"/>
        <v>0</v>
      </c>
      <c r="J2844" s="70">
        <f t="shared" si="314"/>
        <v>0</v>
      </c>
      <c r="K2844" s="70">
        <f>IF(CurrentMtgRatesDataTable8[[#This Row],[WA CC]]&lt;&gt;0,C2843-CurrentMtgRatesDataTable8[[#This Row],[WA CC]],0)</f>
        <v>0</v>
      </c>
      <c r="L2844" s="70">
        <f>IF(CurrentMtgRatesDataTable8[[#This Row],[Servicing Spread]]&lt;=0,L2843,CurrentMtgRatesDataTable8[[#This Row],[Servicing Spread]])</f>
        <v>0.92071906526186842</v>
      </c>
      <c r="M2844" s="70">
        <f>CurrentMtgRatesDataTable8[[#This Row],[Servicing Spread Non-Zero]]-L2843</f>
        <v>0</v>
      </c>
      <c r="N2844" s="70">
        <f>IF(J2843&lt;&gt;0,CurrentMtgRatesDataTable8[[#This Row],[Rate]]-C2843,N2843)</f>
        <v>-4.0000000000000036E-2</v>
      </c>
    </row>
    <row r="2845" spans="1:14">
      <c r="A2845" s="67" t="s">
        <v>802</v>
      </c>
      <c r="B2845" s="68">
        <v>2.62032151165119</v>
      </c>
      <c r="C2845" s="69">
        <v>3.56</v>
      </c>
      <c r="D2845" s="70">
        <f t="shared" si="308"/>
        <v>7</v>
      </c>
      <c r="E2845" s="70">
        <f t="shared" si="309"/>
        <v>0.2</v>
      </c>
      <c r="F2845" s="70">
        <f t="shared" si="310"/>
        <v>5</v>
      </c>
      <c r="G2845" s="70">
        <f t="shared" si="311"/>
        <v>2.6250384327613299</v>
      </c>
      <c r="H2845" s="70">
        <f t="shared" si="312"/>
        <v>1</v>
      </c>
      <c r="I2845" s="70">
        <f t="shared" si="313"/>
        <v>1</v>
      </c>
      <c r="J2845" s="70">
        <f t="shared" si="314"/>
        <v>2.6250384327613299</v>
      </c>
      <c r="K2845" s="70">
        <f>IF(CurrentMtgRatesDataTable8[[#This Row],[WA CC]]&lt;&gt;0,C2844-CurrentMtgRatesDataTable8[[#This Row],[WA CC]],0)</f>
        <v>0.93496156723867019</v>
      </c>
      <c r="L2845" s="70">
        <f>IF(CurrentMtgRatesDataTable8[[#This Row],[Servicing Spread]]&lt;=0,L2844,CurrentMtgRatesDataTable8[[#This Row],[Servicing Spread]])</f>
        <v>0.93496156723867019</v>
      </c>
      <c r="M2845" s="70">
        <f>CurrentMtgRatesDataTable8[[#This Row],[Servicing Spread Non-Zero]]-L2844</f>
        <v>1.4242501976801769E-2</v>
      </c>
      <c r="N2845" s="70">
        <f>IF(J2844&lt;&gt;0,CurrentMtgRatesDataTable8[[#This Row],[Rate]]-C2844,N2844)</f>
        <v>-4.0000000000000036E-2</v>
      </c>
    </row>
    <row r="2846" spans="1:14">
      <c r="A2846" s="67" t="s">
        <v>803</v>
      </c>
      <c r="B2846" s="68">
        <v>2.6476582784281</v>
      </c>
      <c r="C2846" s="69">
        <v>3.5949999999999998</v>
      </c>
      <c r="D2846" s="70">
        <f t="shared" si="308"/>
        <v>1</v>
      </c>
      <c r="E2846" s="70">
        <f t="shared" si="309"/>
        <v>0.2</v>
      </c>
      <c r="F2846" s="70">
        <f t="shared" si="310"/>
        <v>1</v>
      </c>
      <c r="G2846" s="70">
        <f t="shared" si="311"/>
        <v>0.52953165568562</v>
      </c>
      <c r="H2846" s="70">
        <f t="shared" si="312"/>
        <v>0.2</v>
      </c>
      <c r="I2846" s="70">
        <f t="shared" si="313"/>
        <v>0</v>
      </c>
      <c r="J2846" s="70">
        <f t="shared" si="314"/>
        <v>0</v>
      </c>
      <c r="K2846" s="70">
        <f>IF(CurrentMtgRatesDataTable8[[#This Row],[WA CC]]&lt;&gt;0,C2845-CurrentMtgRatesDataTable8[[#This Row],[WA CC]],0)</f>
        <v>0</v>
      </c>
      <c r="L2846" s="70">
        <f>IF(CurrentMtgRatesDataTable8[[#This Row],[Servicing Spread]]&lt;=0,L2845,CurrentMtgRatesDataTable8[[#This Row],[Servicing Spread]])</f>
        <v>0.93496156723867019</v>
      </c>
      <c r="M2846" s="70">
        <f>CurrentMtgRatesDataTable8[[#This Row],[Servicing Spread Non-Zero]]-L2845</f>
        <v>0</v>
      </c>
      <c r="N2846" s="70">
        <f>IF(J2845&lt;&gt;0,CurrentMtgRatesDataTable8[[#This Row],[Rate]]-C2845,N2845)</f>
        <v>3.4999999999999698E-2</v>
      </c>
    </row>
    <row r="2847" spans="1:14">
      <c r="A2847" s="67" t="s">
        <v>804</v>
      </c>
      <c r="B2847" s="68">
        <v>2.6673945625319102</v>
      </c>
      <c r="C2847" s="69">
        <v>3.5949999999999998</v>
      </c>
      <c r="D2847" s="70">
        <f t="shared" si="308"/>
        <v>2</v>
      </c>
      <c r="E2847" s="70">
        <f t="shared" si="309"/>
        <v>0.2</v>
      </c>
      <c r="F2847" s="70">
        <f t="shared" si="310"/>
        <v>2</v>
      </c>
      <c r="G2847" s="70">
        <f t="shared" si="311"/>
        <v>1.0630105681920021</v>
      </c>
      <c r="H2847" s="70">
        <f t="shared" si="312"/>
        <v>0.4</v>
      </c>
      <c r="I2847" s="70">
        <f t="shared" si="313"/>
        <v>0</v>
      </c>
      <c r="J2847" s="70">
        <f t="shared" si="314"/>
        <v>0</v>
      </c>
      <c r="K2847" s="70">
        <f>IF(CurrentMtgRatesDataTable8[[#This Row],[WA CC]]&lt;&gt;0,C2846-CurrentMtgRatesDataTable8[[#This Row],[WA CC]],0)</f>
        <v>0</v>
      </c>
      <c r="L2847" s="70">
        <f>IF(CurrentMtgRatesDataTable8[[#This Row],[Servicing Spread]]&lt;=0,L2846,CurrentMtgRatesDataTable8[[#This Row],[Servicing Spread]])</f>
        <v>0.93496156723867019</v>
      </c>
      <c r="M2847" s="70">
        <f>CurrentMtgRatesDataTable8[[#This Row],[Servicing Spread Non-Zero]]-L2846</f>
        <v>0</v>
      </c>
      <c r="N2847" s="70">
        <f>IF(J2846&lt;&gt;0,CurrentMtgRatesDataTable8[[#This Row],[Rate]]-C2846,N2846)</f>
        <v>3.4999999999999698E-2</v>
      </c>
    </row>
    <row r="2848" spans="1:14">
      <c r="A2848" s="67" t="s">
        <v>805</v>
      </c>
      <c r="B2848" s="68">
        <v>2.64134045041691</v>
      </c>
      <c r="C2848" s="69">
        <v>3.5949999999999998</v>
      </c>
      <c r="D2848" s="70">
        <f t="shared" si="308"/>
        <v>5</v>
      </c>
      <c r="E2848" s="70">
        <f t="shared" si="309"/>
        <v>0.2</v>
      </c>
      <c r="F2848" s="70">
        <f t="shared" si="310"/>
        <v>3</v>
      </c>
      <c r="G2848" s="70">
        <f t="shared" si="311"/>
        <v>1.5912786582753842</v>
      </c>
      <c r="H2848" s="70">
        <f t="shared" si="312"/>
        <v>0.60000000000000009</v>
      </c>
      <c r="I2848" s="70">
        <f t="shared" si="313"/>
        <v>0</v>
      </c>
      <c r="J2848" s="70">
        <f t="shared" si="314"/>
        <v>0</v>
      </c>
      <c r="K2848" s="70">
        <f>IF(CurrentMtgRatesDataTable8[[#This Row],[WA CC]]&lt;&gt;0,C2847-CurrentMtgRatesDataTable8[[#This Row],[WA CC]],0)</f>
        <v>0</v>
      </c>
      <c r="L2848" s="70">
        <f>IF(CurrentMtgRatesDataTable8[[#This Row],[Servicing Spread]]&lt;=0,L2847,CurrentMtgRatesDataTable8[[#This Row],[Servicing Spread]])</f>
        <v>0.93496156723867019</v>
      </c>
      <c r="M2848" s="70">
        <f>CurrentMtgRatesDataTable8[[#This Row],[Servicing Spread Non-Zero]]-L2847</f>
        <v>0</v>
      </c>
      <c r="N2848" s="70">
        <f>IF(J2847&lt;&gt;0,CurrentMtgRatesDataTable8[[#This Row],[Rate]]-C2847,N2847)</f>
        <v>3.4999999999999698E-2</v>
      </c>
    </row>
    <row r="2849" spans="1:14">
      <c r="A2849" s="67" t="s">
        <v>806</v>
      </c>
      <c r="B2849" s="68">
        <v>2.5968587672613901</v>
      </c>
      <c r="C2849" s="69">
        <v>3.5949999999999998</v>
      </c>
      <c r="D2849" s="70">
        <f t="shared" si="308"/>
        <v>6</v>
      </c>
      <c r="E2849" s="70">
        <f t="shared" si="309"/>
        <v>0.2</v>
      </c>
      <c r="F2849" s="70">
        <f t="shared" si="310"/>
        <v>4</v>
      </c>
      <c r="G2849" s="70">
        <f t="shared" si="311"/>
        <v>2.1106504117276623</v>
      </c>
      <c r="H2849" s="70">
        <f t="shared" si="312"/>
        <v>0.8</v>
      </c>
      <c r="I2849" s="70">
        <f t="shared" si="313"/>
        <v>0</v>
      </c>
      <c r="J2849" s="70">
        <f t="shared" si="314"/>
        <v>0</v>
      </c>
      <c r="K2849" s="70">
        <f>IF(CurrentMtgRatesDataTable8[[#This Row],[WA CC]]&lt;&gt;0,C2848-CurrentMtgRatesDataTable8[[#This Row],[WA CC]],0)</f>
        <v>0</v>
      </c>
      <c r="L2849" s="70">
        <f>IF(CurrentMtgRatesDataTable8[[#This Row],[Servicing Spread]]&lt;=0,L2848,CurrentMtgRatesDataTable8[[#This Row],[Servicing Spread]])</f>
        <v>0.93496156723867019</v>
      </c>
      <c r="M2849" s="70">
        <f>CurrentMtgRatesDataTable8[[#This Row],[Servicing Spread Non-Zero]]-L2848</f>
        <v>0</v>
      </c>
      <c r="N2849" s="70">
        <f>IF(J2848&lt;&gt;0,CurrentMtgRatesDataTable8[[#This Row],[Rate]]-C2848,N2848)</f>
        <v>3.4999999999999698E-2</v>
      </c>
    </row>
    <row r="2850" spans="1:14">
      <c r="A2850" s="67" t="s">
        <v>807</v>
      </c>
      <c r="B2850" s="68">
        <v>2.58469358456979</v>
      </c>
      <c r="C2850" s="69">
        <v>3.5949999999999998</v>
      </c>
      <c r="D2850" s="70">
        <f t="shared" si="308"/>
        <v>7</v>
      </c>
      <c r="E2850" s="70">
        <f t="shared" si="309"/>
        <v>0.2</v>
      </c>
      <c r="F2850" s="70">
        <f t="shared" si="310"/>
        <v>5</v>
      </c>
      <c r="G2850" s="70">
        <f t="shared" si="311"/>
        <v>2.6275891286416204</v>
      </c>
      <c r="H2850" s="70">
        <f t="shared" si="312"/>
        <v>1</v>
      </c>
      <c r="I2850" s="70">
        <f t="shared" si="313"/>
        <v>1</v>
      </c>
      <c r="J2850" s="70">
        <f t="shared" si="314"/>
        <v>2.6275891286416204</v>
      </c>
      <c r="K2850" s="70">
        <f>IF(CurrentMtgRatesDataTable8[[#This Row],[WA CC]]&lt;&gt;0,C2849-CurrentMtgRatesDataTable8[[#This Row],[WA CC]],0)</f>
        <v>0.96741087135837933</v>
      </c>
      <c r="L2850" s="70">
        <f>IF(CurrentMtgRatesDataTable8[[#This Row],[Servicing Spread]]&lt;=0,L2849,CurrentMtgRatesDataTable8[[#This Row],[Servicing Spread]])</f>
        <v>0.96741087135837933</v>
      </c>
      <c r="M2850" s="70">
        <f>CurrentMtgRatesDataTable8[[#This Row],[Servicing Spread Non-Zero]]-L2849</f>
        <v>3.2449304119709144E-2</v>
      </c>
      <c r="N2850" s="70">
        <f>IF(J2849&lt;&gt;0,CurrentMtgRatesDataTable8[[#This Row],[Rate]]-C2849,N2849)</f>
        <v>3.4999999999999698E-2</v>
      </c>
    </row>
    <row r="2851" spans="1:14">
      <c r="A2851" s="67" t="s">
        <v>808</v>
      </c>
      <c r="B2851" s="68">
        <v>2.5759029417987498</v>
      </c>
      <c r="C2851" s="69">
        <v>3.55</v>
      </c>
      <c r="D2851" s="70">
        <f t="shared" si="308"/>
        <v>1</v>
      </c>
      <c r="E2851" s="70">
        <f t="shared" si="309"/>
        <v>0.2</v>
      </c>
      <c r="F2851" s="70">
        <f t="shared" si="310"/>
        <v>1</v>
      </c>
      <c r="G2851" s="70">
        <f t="shared" si="311"/>
        <v>0.51518058835975</v>
      </c>
      <c r="H2851" s="70">
        <f t="shared" si="312"/>
        <v>0.2</v>
      </c>
      <c r="I2851" s="70">
        <f t="shared" si="313"/>
        <v>0</v>
      </c>
      <c r="J2851" s="70">
        <f t="shared" si="314"/>
        <v>0</v>
      </c>
      <c r="K2851" s="70">
        <f>IF(CurrentMtgRatesDataTable8[[#This Row],[WA CC]]&lt;&gt;0,C2850-CurrentMtgRatesDataTable8[[#This Row],[WA CC]],0)</f>
        <v>0</v>
      </c>
      <c r="L2851" s="70">
        <f>IF(CurrentMtgRatesDataTable8[[#This Row],[Servicing Spread]]&lt;=0,L2850,CurrentMtgRatesDataTable8[[#This Row],[Servicing Spread]])</f>
        <v>0.96741087135837933</v>
      </c>
      <c r="M2851" s="70">
        <f>CurrentMtgRatesDataTable8[[#This Row],[Servicing Spread Non-Zero]]-L2850</f>
        <v>0</v>
      </c>
      <c r="N2851" s="70">
        <f>IF(J2850&lt;&gt;0,CurrentMtgRatesDataTable8[[#This Row],[Rate]]-C2850,N2850)</f>
        <v>-4.4999999999999929E-2</v>
      </c>
    </row>
    <row r="2852" spans="1:14">
      <c r="A2852" s="67" t="s">
        <v>809</v>
      </c>
      <c r="B2852" s="68">
        <v>2.56712042045777</v>
      </c>
      <c r="C2852" s="69">
        <v>3.55</v>
      </c>
      <c r="D2852" s="70">
        <f t="shared" si="308"/>
        <v>2</v>
      </c>
      <c r="E2852" s="70">
        <f t="shared" si="309"/>
        <v>0.2</v>
      </c>
      <c r="F2852" s="70">
        <f t="shared" si="310"/>
        <v>2</v>
      </c>
      <c r="G2852" s="70">
        <f t="shared" si="311"/>
        <v>1.028604672451304</v>
      </c>
      <c r="H2852" s="70">
        <f t="shared" si="312"/>
        <v>0.4</v>
      </c>
      <c r="I2852" s="70">
        <f t="shared" si="313"/>
        <v>0</v>
      </c>
      <c r="J2852" s="70">
        <f t="shared" si="314"/>
        <v>0</v>
      </c>
      <c r="K2852" s="70">
        <f>IF(CurrentMtgRatesDataTable8[[#This Row],[WA CC]]&lt;&gt;0,C2851-CurrentMtgRatesDataTable8[[#This Row],[WA CC]],0)</f>
        <v>0</v>
      </c>
      <c r="L2852" s="70">
        <f>IF(CurrentMtgRatesDataTable8[[#This Row],[Servicing Spread]]&lt;=0,L2851,CurrentMtgRatesDataTable8[[#This Row],[Servicing Spread]])</f>
        <v>0.96741087135837933</v>
      </c>
      <c r="M2852" s="70">
        <f>CurrentMtgRatesDataTable8[[#This Row],[Servicing Spread Non-Zero]]-L2851</f>
        <v>0</v>
      </c>
      <c r="N2852" s="70">
        <f>IF(J2851&lt;&gt;0,CurrentMtgRatesDataTable8[[#This Row],[Rate]]-C2851,N2851)</f>
        <v>-4.4999999999999929E-2</v>
      </c>
    </row>
    <row r="2853" spans="1:14">
      <c r="A2853" s="67" t="s">
        <v>810</v>
      </c>
      <c r="B2853" s="68">
        <v>2.59858921707026</v>
      </c>
      <c r="C2853" s="69">
        <v>3.55</v>
      </c>
      <c r="D2853" s="70">
        <f t="shared" si="308"/>
        <v>5</v>
      </c>
      <c r="E2853" s="70">
        <f t="shared" si="309"/>
        <v>0.2</v>
      </c>
      <c r="F2853" s="70">
        <f t="shared" si="310"/>
        <v>3</v>
      </c>
      <c r="G2853" s="70">
        <f t="shared" si="311"/>
        <v>1.548322515865356</v>
      </c>
      <c r="H2853" s="70">
        <f t="shared" si="312"/>
        <v>0.60000000000000009</v>
      </c>
      <c r="I2853" s="70">
        <f t="shared" si="313"/>
        <v>0</v>
      </c>
      <c r="J2853" s="70">
        <f t="shared" si="314"/>
        <v>0</v>
      </c>
      <c r="K2853" s="70">
        <f>IF(CurrentMtgRatesDataTable8[[#This Row],[WA CC]]&lt;&gt;0,C2852-CurrentMtgRatesDataTable8[[#This Row],[WA CC]],0)</f>
        <v>0</v>
      </c>
      <c r="L2853" s="70">
        <f>IF(CurrentMtgRatesDataTable8[[#This Row],[Servicing Spread]]&lt;=0,L2852,CurrentMtgRatesDataTable8[[#This Row],[Servicing Spread]])</f>
        <v>0.96741087135837933</v>
      </c>
      <c r="M2853" s="70">
        <f>CurrentMtgRatesDataTable8[[#This Row],[Servicing Spread Non-Zero]]-L2852</f>
        <v>0</v>
      </c>
      <c r="N2853" s="70">
        <f>IF(J2852&lt;&gt;0,CurrentMtgRatesDataTable8[[#This Row],[Rate]]-C2852,N2852)</f>
        <v>-4.4999999999999929E-2</v>
      </c>
    </row>
    <row r="2854" spans="1:14">
      <c r="A2854" s="67" t="s">
        <v>811</v>
      </c>
      <c r="B2854" s="68">
        <v>2.62252108008507</v>
      </c>
      <c r="C2854" s="69">
        <v>3.55</v>
      </c>
      <c r="D2854" s="70">
        <f t="shared" si="308"/>
        <v>6</v>
      </c>
      <c r="E2854" s="70">
        <f t="shared" si="309"/>
        <v>0.2</v>
      </c>
      <c r="F2854" s="70">
        <f t="shared" si="310"/>
        <v>4</v>
      </c>
      <c r="G2854" s="70">
        <f t="shared" si="311"/>
        <v>2.0728267318823699</v>
      </c>
      <c r="H2854" s="70">
        <f t="shared" si="312"/>
        <v>0.8</v>
      </c>
      <c r="I2854" s="70">
        <f t="shared" si="313"/>
        <v>0</v>
      </c>
      <c r="J2854" s="70">
        <f t="shared" si="314"/>
        <v>0</v>
      </c>
      <c r="K2854" s="70">
        <f>IF(CurrentMtgRatesDataTable8[[#This Row],[WA CC]]&lt;&gt;0,C2853-CurrentMtgRatesDataTable8[[#This Row],[WA CC]],0)</f>
        <v>0</v>
      </c>
      <c r="L2854" s="70">
        <f>IF(CurrentMtgRatesDataTable8[[#This Row],[Servicing Spread]]&lt;=0,L2853,CurrentMtgRatesDataTable8[[#This Row],[Servicing Spread]])</f>
        <v>0.96741087135837933</v>
      </c>
      <c r="M2854" s="70">
        <f>CurrentMtgRatesDataTable8[[#This Row],[Servicing Spread Non-Zero]]-L2853</f>
        <v>0</v>
      </c>
      <c r="N2854" s="70">
        <f>IF(J2853&lt;&gt;0,CurrentMtgRatesDataTable8[[#This Row],[Rate]]-C2853,N2853)</f>
        <v>-4.4999999999999929E-2</v>
      </c>
    </row>
    <row r="2855" spans="1:14">
      <c r="A2855" s="67" t="s">
        <v>812</v>
      </c>
      <c r="B2855" s="68">
        <v>2.6753264137467299</v>
      </c>
      <c r="C2855" s="69">
        <v>3.55</v>
      </c>
      <c r="D2855" s="70">
        <f t="shared" si="308"/>
        <v>7</v>
      </c>
      <c r="E2855" s="70">
        <f t="shared" si="309"/>
        <v>0.2</v>
      </c>
      <c r="F2855" s="70">
        <f t="shared" si="310"/>
        <v>5</v>
      </c>
      <c r="G2855" s="70">
        <f t="shared" si="311"/>
        <v>2.6078920146317159</v>
      </c>
      <c r="H2855" s="70">
        <f t="shared" si="312"/>
        <v>1</v>
      </c>
      <c r="I2855" s="70">
        <f t="shared" si="313"/>
        <v>1</v>
      </c>
      <c r="J2855" s="70">
        <f t="shared" si="314"/>
        <v>2.6078920146317159</v>
      </c>
      <c r="K2855" s="70">
        <f>IF(CurrentMtgRatesDataTable8[[#This Row],[WA CC]]&lt;&gt;0,C2854-CurrentMtgRatesDataTable8[[#This Row],[WA CC]],0)</f>
        <v>0.94210798536828388</v>
      </c>
      <c r="L2855" s="70">
        <f>IF(CurrentMtgRatesDataTable8[[#This Row],[Servicing Spread]]&lt;=0,L2854,CurrentMtgRatesDataTable8[[#This Row],[Servicing Spread]])</f>
        <v>0.94210798536828388</v>
      </c>
      <c r="M2855" s="70">
        <f>CurrentMtgRatesDataTable8[[#This Row],[Servicing Spread Non-Zero]]-L2854</f>
        <v>-2.5302885990095447E-2</v>
      </c>
      <c r="N2855" s="70">
        <f>IF(J2854&lt;&gt;0,CurrentMtgRatesDataTable8[[#This Row],[Rate]]-C2854,N2854)</f>
        <v>-4.4999999999999929E-2</v>
      </c>
    </row>
    <row r="2856" spans="1:14">
      <c r="A2856" s="67" t="s">
        <v>813</v>
      </c>
      <c r="B2856" s="68">
        <v>2.6562875815293401</v>
      </c>
      <c r="C2856" s="69">
        <v>3.58</v>
      </c>
      <c r="D2856" s="70">
        <f t="shared" si="308"/>
        <v>1</v>
      </c>
      <c r="E2856" s="70">
        <f t="shared" si="309"/>
        <v>0.2</v>
      </c>
      <c r="F2856" s="70">
        <f t="shared" si="310"/>
        <v>1</v>
      </c>
      <c r="G2856" s="70">
        <f t="shared" si="311"/>
        <v>0.53125751630586804</v>
      </c>
      <c r="H2856" s="70">
        <f t="shared" si="312"/>
        <v>0.2</v>
      </c>
      <c r="I2856" s="70">
        <f t="shared" si="313"/>
        <v>0</v>
      </c>
      <c r="J2856" s="70">
        <f t="shared" si="314"/>
        <v>0</v>
      </c>
      <c r="K2856" s="70">
        <f>IF(CurrentMtgRatesDataTable8[[#This Row],[WA CC]]&lt;&gt;0,C2855-CurrentMtgRatesDataTable8[[#This Row],[WA CC]],0)</f>
        <v>0</v>
      </c>
      <c r="L2856" s="70">
        <f>IF(CurrentMtgRatesDataTable8[[#This Row],[Servicing Spread]]&lt;=0,L2855,CurrentMtgRatesDataTable8[[#This Row],[Servicing Spread]])</f>
        <v>0.94210798536828388</v>
      </c>
      <c r="M2856" s="70">
        <f>CurrentMtgRatesDataTable8[[#This Row],[Servicing Spread Non-Zero]]-L2855</f>
        <v>0</v>
      </c>
      <c r="N2856" s="70">
        <f>IF(J2855&lt;&gt;0,CurrentMtgRatesDataTable8[[#This Row],[Rate]]-C2855,N2855)</f>
        <v>3.0000000000000249E-2</v>
      </c>
    </row>
    <row r="2857" spans="1:14">
      <c r="A2857" s="67" t="s">
        <v>814</v>
      </c>
      <c r="B2857" s="68">
        <v>2.62955921776924</v>
      </c>
      <c r="C2857" s="69">
        <v>3.58</v>
      </c>
      <c r="D2857" s="70">
        <f t="shared" si="308"/>
        <v>2</v>
      </c>
      <c r="E2857" s="70">
        <f t="shared" si="309"/>
        <v>0.2</v>
      </c>
      <c r="F2857" s="70">
        <f t="shared" si="310"/>
        <v>2</v>
      </c>
      <c r="G2857" s="70">
        <f t="shared" si="311"/>
        <v>1.0571693598597161</v>
      </c>
      <c r="H2857" s="70">
        <f t="shared" si="312"/>
        <v>0.4</v>
      </c>
      <c r="I2857" s="70">
        <f t="shared" si="313"/>
        <v>0</v>
      </c>
      <c r="J2857" s="70">
        <f t="shared" si="314"/>
        <v>0</v>
      </c>
      <c r="K2857" s="70">
        <f>IF(CurrentMtgRatesDataTable8[[#This Row],[WA CC]]&lt;&gt;0,C2856-CurrentMtgRatesDataTable8[[#This Row],[WA CC]],0)</f>
        <v>0</v>
      </c>
      <c r="L2857" s="70">
        <f>IF(CurrentMtgRatesDataTable8[[#This Row],[Servicing Spread]]&lt;=0,L2856,CurrentMtgRatesDataTable8[[#This Row],[Servicing Spread]])</f>
        <v>0.94210798536828388</v>
      </c>
      <c r="M2857" s="70">
        <f>CurrentMtgRatesDataTable8[[#This Row],[Servicing Spread Non-Zero]]-L2856</f>
        <v>0</v>
      </c>
      <c r="N2857" s="70">
        <f>IF(J2856&lt;&gt;0,CurrentMtgRatesDataTable8[[#This Row],[Rate]]-C2856,N2856)</f>
        <v>3.0000000000000249E-2</v>
      </c>
    </row>
    <row r="2858" spans="1:14">
      <c r="A2858" s="67" t="s">
        <v>815</v>
      </c>
      <c r="B2858" s="68">
        <v>2.6437338504186898</v>
      </c>
      <c r="C2858" s="69">
        <v>3.58</v>
      </c>
      <c r="D2858" s="70">
        <f t="shared" si="308"/>
        <v>5</v>
      </c>
      <c r="E2858" s="70">
        <f t="shared" si="309"/>
        <v>0.2</v>
      </c>
      <c r="F2858" s="70">
        <f t="shared" si="310"/>
        <v>3</v>
      </c>
      <c r="G2858" s="70">
        <f t="shared" si="311"/>
        <v>1.5859161299434539</v>
      </c>
      <c r="H2858" s="70">
        <f t="shared" si="312"/>
        <v>0.60000000000000009</v>
      </c>
      <c r="I2858" s="70">
        <f t="shared" si="313"/>
        <v>0</v>
      </c>
      <c r="J2858" s="70">
        <f t="shared" si="314"/>
        <v>0</v>
      </c>
      <c r="K2858" s="70">
        <f>IF(CurrentMtgRatesDataTable8[[#This Row],[WA CC]]&lt;&gt;0,C2857-CurrentMtgRatesDataTable8[[#This Row],[WA CC]],0)</f>
        <v>0</v>
      </c>
      <c r="L2858" s="70">
        <f>IF(CurrentMtgRatesDataTable8[[#This Row],[Servicing Spread]]&lt;=0,L2857,CurrentMtgRatesDataTable8[[#This Row],[Servicing Spread]])</f>
        <v>0.94210798536828388</v>
      </c>
      <c r="M2858" s="70">
        <f>CurrentMtgRatesDataTable8[[#This Row],[Servicing Spread Non-Zero]]-L2857</f>
        <v>0</v>
      </c>
      <c r="N2858" s="70">
        <f>IF(J2857&lt;&gt;0,CurrentMtgRatesDataTable8[[#This Row],[Rate]]-C2857,N2857)</f>
        <v>3.0000000000000249E-2</v>
      </c>
    </row>
    <row r="2859" spans="1:14">
      <c r="A2859" s="67" t="s">
        <v>816</v>
      </c>
      <c r="B2859" s="68">
        <v>2.6991414546305501</v>
      </c>
      <c r="C2859" s="69">
        <v>3.58</v>
      </c>
      <c r="D2859" s="70">
        <f t="shared" si="308"/>
        <v>6</v>
      </c>
      <c r="E2859" s="70">
        <f t="shared" si="309"/>
        <v>0.2</v>
      </c>
      <c r="F2859" s="70">
        <f t="shared" si="310"/>
        <v>4</v>
      </c>
      <c r="G2859" s="70">
        <f t="shared" si="311"/>
        <v>2.1257444208695642</v>
      </c>
      <c r="H2859" s="70">
        <f t="shared" si="312"/>
        <v>0.8</v>
      </c>
      <c r="I2859" s="70">
        <f t="shared" si="313"/>
        <v>0</v>
      </c>
      <c r="J2859" s="70">
        <f t="shared" si="314"/>
        <v>0</v>
      </c>
      <c r="K2859" s="70">
        <f>IF(CurrentMtgRatesDataTable8[[#This Row],[WA CC]]&lt;&gt;0,C2858-CurrentMtgRatesDataTable8[[#This Row],[WA CC]],0)</f>
        <v>0</v>
      </c>
      <c r="L2859" s="70">
        <f>IF(CurrentMtgRatesDataTable8[[#This Row],[Servicing Spread]]&lt;=0,L2858,CurrentMtgRatesDataTable8[[#This Row],[Servicing Spread]])</f>
        <v>0.94210798536828388</v>
      </c>
      <c r="M2859" s="70">
        <f>CurrentMtgRatesDataTable8[[#This Row],[Servicing Spread Non-Zero]]-L2858</f>
        <v>0</v>
      </c>
      <c r="N2859" s="70">
        <f>IF(J2858&lt;&gt;0,CurrentMtgRatesDataTable8[[#This Row],[Rate]]-C2858,N2858)</f>
        <v>3.0000000000000249E-2</v>
      </c>
    </row>
    <row r="2860" spans="1:14">
      <c r="A2860" s="67" t="s">
        <v>817</v>
      </c>
      <c r="B2860" s="68">
        <v>2.7467458715573199</v>
      </c>
      <c r="C2860" s="69">
        <v>3.58</v>
      </c>
      <c r="D2860" s="70">
        <f t="shared" si="308"/>
        <v>7</v>
      </c>
      <c r="E2860" s="70">
        <f t="shared" si="309"/>
        <v>0.2</v>
      </c>
      <c r="F2860" s="70">
        <f t="shared" si="310"/>
        <v>5</v>
      </c>
      <c r="G2860" s="70">
        <f t="shared" si="311"/>
        <v>2.6750935951810284</v>
      </c>
      <c r="H2860" s="70">
        <f t="shared" si="312"/>
        <v>1</v>
      </c>
      <c r="I2860" s="70">
        <f t="shared" si="313"/>
        <v>1</v>
      </c>
      <c r="J2860" s="70">
        <f t="shared" si="314"/>
        <v>2.6750935951810284</v>
      </c>
      <c r="K2860" s="70">
        <f>IF(CurrentMtgRatesDataTable8[[#This Row],[WA CC]]&lt;&gt;0,C2859-CurrentMtgRatesDataTable8[[#This Row],[WA CC]],0)</f>
        <v>0.90490640481897167</v>
      </c>
      <c r="L2860" s="70">
        <f>IF(CurrentMtgRatesDataTable8[[#This Row],[Servicing Spread]]&lt;=0,L2859,CurrentMtgRatesDataTable8[[#This Row],[Servicing Spread]])</f>
        <v>0.90490640481897167</v>
      </c>
      <c r="M2860" s="70">
        <f>CurrentMtgRatesDataTable8[[#This Row],[Servicing Spread Non-Zero]]-L2859</f>
        <v>-3.7201580549312219E-2</v>
      </c>
      <c r="N2860" s="70">
        <f>IF(J2859&lt;&gt;0,CurrentMtgRatesDataTable8[[#This Row],[Rate]]-C2859,N2859)</f>
        <v>3.0000000000000249E-2</v>
      </c>
    </row>
    <row r="2861" spans="1:14">
      <c r="A2861" s="67" t="s">
        <v>818</v>
      </c>
      <c r="B2861" s="68">
        <v>2.7480147229669498</v>
      </c>
      <c r="C2861" s="69">
        <v>3.6999999999999997</v>
      </c>
      <c r="D2861" s="70">
        <f t="shared" si="308"/>
        <v>1</v>
      </c>
      <c r="E2861" s="70">
        <f t="shared" si="309"/>
        <v>0.2</v>
      </c>
      <c r="F2861" s="70">
        <f t="shared" si="310"/>
        <v>1</v>
      </c>
      <c r="G2861" s="70">
        <f t="shared" si="311"/>
        <v>0.54960294459338999</v>
      </c>
      <c r="H2861" s="70">
        <f t="shared" si="312"/>
        <v>0.2</v>
      </c>
      <c r="I2861" s="70">
        <f t="shared" si="313"/>
        <v>0</v>
      </c>
      <c r="J2861" s="70">
        <f t="shared" si="314"/>
        <v>0</v>
      </c>
      <c r="K2861" s="70">
        <f>IF(CurrentMtgRatesDataTable8[[#This Row],[WA CC]]&lt;&gt;0,C2860-CurrentMtgRatesDataTable8[[#This Row],[WA CC]],0)</f>
        <v>0</v>
      </c>
      <c r="L2861" s="70">
        <f>IF(CurrentMtgRatesDataTable8[[#This Row],[Servicing Spread]]&lt;=0,L2860,CurrentMtgRatesDataTable8[[#This Row],[Servicing Spread]])</f>
        <v>0.90490640481897167</v>
      </c>
      <c r="M2861" s="70">
        <f>CurrentMtgRatesDataTable8[[#This Row],[Servicing Spread Non-Zero]]-L2860</f>
        <v>0</v>
      </c>
      <c r="N2861" s="70">
        <f>IF(J2860&lt;&gt;0,CurrentMtgRatesDataTable8[[#This Row],[Rate]]-C2860,N2860)</f>
        <v>0.11999999999999966</v>
      </c>
    </row>
    <row r="2862" spans="1:14">
      <c r="A2862" s="67" t="s">
        <v>819</v>
      </c>
      <c r="B2862" s="68">
        <v>2.8064099070641602</v>
      </c>
      <c r="C2862" s="69">
        <v>3.6999999999999997</v>
      </c>
      <c r="D2862" s="70">
        <f t="shared" si="308"/>
        <v>2</v>
      </c>
      <c r="E2862" s="70">
        <f t="shared" si="309"/>
        <v>0.2</v>
      </c>
      <c r="F2862" s="70">
        <f t="shared" si="310"/>
        <v>2</v>
      </c>
      <c r="G2862" s="70">
        <f t="shared" si="311"/>
        <v>1.1108849260062219</v>
      </c>
      <c r="H2862" s="70">
        <f t="shared" si="312"/>
        <v>0.4</v>
      </c>
      <c r="I2862" s="70">
        <f t="shared" si="313"/>
        <v>0</v>
      </c>
      <c r="J2862" s="70">
        <f t="shared" si="314"/>
        <v>0</v>
      </c>
      <c r="K2862" s="70">
        <f>IF(CurrentMtgRatesDataTable8[[#This Row],[WA CC]]&lt;&gt;0,C2861-CurrentMtgRatesDataTable8[[#This Row],[WA CC]],0)</f>
        <v>0</v>
      </c>
      <c r="L2862" s="70">
        <f>IF(CurrentMtgRatesDataTable8[[#This Row],[Servicing Spread]]&lt;=0,L2861,CurrentMtgRatesDataTable8[[#This Row],[Servicing Spread]])</f>
        <v>0.90490640481897167</v>
      </c>
      <c r="M2862" s="70">
        <f>CurrentMtgRatesDataTable8[[#This Row],[Servicing Spread Non-Zero]]-L2861</f>
        <v>0</v>
      </c>
      <c r="N2862" s="70">
        <f>IF(J2861&lt;&gt;0,CurrentMtgRatesDataTable8[[#This Row],[Rate]]-C2861,N2861)</f>
        <v>0.11999999999999966</v>
      </c>
    </row>
    <row r="2863" spans="1:14">
      <c r="A2863" s="67" t="s">
        <v>820</v>
      </c>
      <c r="B2863" s="68">
        <v>2.8416760056146502</v>
      </c>
      <c r="C2863" s="69">
        <v>3.6999999999999997</v>
      </c>
      <c r="D2863" s="70">
        <f t="shared" si="308"/>
        <v>5</v>
      </c>
      <c r="E2863" s="70">
        <f t="shared" si="309"/>
        <v>0.2</v>
      </c>
      <c r="F2863" s="70">
        <f t="shared" si="310"/>
        <v>3</v>
      </c>
      <c r="G2863" s="70">
        <f t="shared" si="311"/>
        <v>1.679220127129152</v>
      </c>
      <c r="H2863" s="70">
        <f t="shared" si="312"/>
        <v>0.60000000000000009</v>
      </c>
      <c r="I2863" s="70">
        <f t="shared" si="313"/>
        <v>0</v>
      </c>
      <c r="J2863" s="70">
        <f t="shared" si="314"/>
        <v>0</v>
      </c>
      <c r="K2863" s="70">
        <f>IF(CurrentMtgRatesDataTable8[[#This Row],[WA CC]]&lt;&gt;0,C2862-CurrentMtgRatesDataTable8[[#This Row],[WA CC]],0)</f>
        <v>0</v>
      </c>
      <c r="L2863" s="70">
        <f>IF(CurrentMtgRatesDataTable8[[#This Row],[Servicing Spread]]&lt;=0,L2862,CurrentMtgRatesDataTable8[[#This Row],[Servicing Spread]])</f>
        <v>0.90490640481897167</v>
      </c>
      <c r="M2863" s="70">
        <f>CurrentMtgRatesDataTable8[[#This Row],[Servicing Spread Non-Zero]]-L2862</f>
        <v>0</v>
      </c>
      <c r="N2863" s="70">
        <f>IF(J2862&lt;&gt;0,CurrentMtgRatesDataTable8[[#This Row],[Rate]]-C2862,N2862)</f>
        <v>0.11999999999999966</v>
      </c>
    </row>
    <row r="2864" spans="1:14">
      <c r="A2864" s="67" t="s">
        <v>821</v>
      </c>
      <c r="B2864" s="68">
        <v>2.8756484754346898</v>
      </c>
      <c r="C2864" s="69">
        <v>3.6999999999999997</v>
      </c>
      <c r="D2864" s="70">
        <f t="shared" si="308"/>
        <v>6</v>
      </c>
      <c r="E2864" s="70">
        <f t="shared" si="309"/>
        <v>0.2</v>
      </c>
      <c r="F2864" s="70">
        <f t="shared" si="310"/>
        <v>4</v>
      </c>
      <c r="G2864" s="70">
        <f t="shared" si="311"/>
        <v>2.2543498222160903</v>
      </c>
      <c r="H2864" s="70">
        <f t="shared" si="312"/>
        <v>0.8</v>
      </c>
      <c r="I2864" s="70">
        <f t="shared" si="313"/>
        <v>0</v>
      </c>
      <c r="J2864" s="70">
        <f t="shared" si="314"/>
        <v>0</v>
      </c>
      <c r="K2864" s="70">
        <f>IF(CurrentMtgRatesDataTable8[[#This Row],[WA CC]]&lt;&gt;0,C2863-CurrentMtgRatesDataTable8[[#This Row],[WA CC]],0)</f>
        <v>0</v>
      </c>
      <c r="L2864" s="70">
        <f>IF(CurrentMtgRatesDataTable8[[#This Row],[Servicing Spread]]&lt;=0,L2863,CurrentMtgRatesDataTable8[[#This Row],[Servicing Spread]])</f>
        <v>0.90490640481897167</v>
      </c>
      <c r="M2864" s="70">
        <f>CurrentMtgRatesDataTable8[[#This Row],[Servicing Spread Non-Zero]]-L2863</f>
        <v>0</v>
      </c>
      <c r="N2864" s="70">
        <f>IF(J2863&lt;&gt;0,CurrentMtgRatesDataTable8[[#This Row],[Rate]]-C2863,N2863)</f>
        <v>0.11999999999999966</v>
      </c>
    </row>
    <row r="2865" spans="1:14">
      <c r="A2865" s="67" t="s">
        <v>822</v>
      </c>
      <c r="B2865" s="68">
        <v>2.91930519695658</v>
      </c>
      <c r="C2865" s="69">
        <v>3.6999999999999997</v>
      </c>
      <c r="D2865" s="70">
        <f t="shared" si="308"/>
        <v>7</v>
      </c>
      <c r="E2865" s="70">
        <f t="shared" si="309"/>
        <v>0.2</v>
      </c>
      <c r="F2865" s="70">
        <f t="shared" si="310"/>
        <v>5</v>
      </c>
      <c r="G2865" s="70">
        <f t="shared" si="311"/>
        <v>2.8382108616074064</v>
      </c>
      <c r="H2865" s="70">
        <f t="shared" si="312"/>
        <v>1</v>
      </c>
      <c r="I2865" s="70">
        <f t="shared" si="313"/>
        <v>1</v>
      </c>
      <c r="J2865" s="70">
        <f t="shared" si="314"/>
        <v>2.8382108616074064</v>
      </c>
      <c r="K2865" s="70">
        <f>IF(CurrentMtgRatesDataTable8[[#This Row],[WA CC]]&lt;&gt;0,C2864-CurrentMtgRatesDataTable8[[#This Row],[WA CC]],0)</f>
        <v>0.8617891383925933</v>
      </c>
      <c r="L2865" s="70">
        <f>IF(CurrentMtgRatesDataTable8[[#This Row],[Servicing Spread]]&lt;=0,L2864,CurrentMtgRatesDataTable8[[#This Row],[Servicing Spread]])</f>
        <v>0.8617891383925933</v>
      </c>
      <c r="M2865" s="70">
        <f>CurrentMtgRatesDataTable8[[#This Row],[Servicing Spread Non-Zero]]-L2864</f>
        <v>-4.3117266426378364E-2</v>
      </c>
      <c r="N2865" s="70">
        <f>IF(J2864&lt;&gt;0,CurrentMtgRatesDataTable8[[#This Row],[Rate]]-C2864,N2864)</f>
        <v>0.11999999999999966</v>
      </c>
    </row>
    <row r="2866" spans="1:14">
      <c r="A2866" s="67" t="s">
        <v>823</v>
      </c>
      <c r="B2866" s="68">
        <v>2.86177796804412</v>
      </c>
      <c r="C2866" s="69">
        <v>3.75</v>
      </c>
      <c r="D2866" s="70">
        <f t="shared" si="308"/>
        <v>1</v>
      </c>
      <c r="E2866" s="70">
        <f t="shared" si="309"/>
        <v>0.2</v>
      </c>
      <c r="F2866" s="70">
        <f t="shared" si="310"/>
        <v>1</v>
      </c>
      <c r="G2866" s="70">
        <f t="shared" si="311"/>
        <v>0.57235559360882404</v>
      </c>
      <c r="H2866" s="70">
        <f t="shared" si="312"/>
        <v>0.2</v>
      </c>
      <c r="I2866" s="70">
        <f t="shared" si="313"/>
        <v>0</v>
      </c>
      <c r="J2866" s="70">
        <f t="shared" si="314"/>
        <v>0</v>
      </c>
      <c r="K2866" s="70">
        <f>IF(CurrentMtgRatesDataTable8[[#This Row],[WA CC]]&lt;&gt;0,C2865-CurrentMtgRatesDataTable8[[#This Row],[WA CC]],0)</f>
        <v>0</v>
      </c>
      <c r="L2866" s="70">
        <f>IF(CurrentMtgRatesDataTable8[[#This Row],[Servicing Spread]]&lt;=0,L2865,CurrentMtgRatesDataTable8[[#This Row],[Servicing Spread]])</f>
        <v>0.8617891383925933</v>
      </c>
      <c r="M2866" s="70">
        <f>CurrentMtgRatesDataTable8[[#This Row],[Servicing Spread Non-Zero]]-L2865</f>
        <v>0</v>
      </c>
      <c r="N2866" s="70">
        <f>IF(J2865&lt;&gt;0,CurrentMtgRatesDataTable8[[#This Row],[Rate]]-C2865,N2865)</f>
        <v>5.0000000000000266E-2</v>
      </c>
    </row>
    <row r="2867" spans="1:14">
      <c r="A2867" s="67" t="s">
        <v>824</v>
      </c>
      <c r="B2867" s="68">
        <v>2.8101076932532698</v>
      </c>
      <c r="C2867" s="69">
        <v>3.75</v>
      </c>
      <c r="D2867" s="70">
        <f t="shared" si="308"/>
        <v>2</v>
      </c>
      <c r="E2867" s="70">
        <f t="shared" si="309"/>
        <v>0.2</v>
      </c>
      <c r="F2867" s="70">
        <f t="shared" si="310"/>
        <v>2</v>
      </c>
      <c r="G2867" s="70">
        <f t="shared" si="311"/>
        <v>1.134377132259478</v>
      </c>
      <c r="H2867" s="70">
        <f t="shared" si="312"/>
        <v>0.4</v>
      </c>
      <c r="I2867" s="70">
        <f t="shared" si="313"/>
        <v>0</v>
      </c>
      <c r="J2867" s="70">
        <f t="shared" si="314"/>
        <v>0</v>
      </c>
      <c r="K2867" s="70">
        <f>IF(CurrentMtgRatesDataTable8[[#This Row],[WA CC]]&lt;&gt;0,C2866-CurrentMtgRatesDataTable8[[#This Row],[WA CC]],0)</f>
        <v>0</v>
      </c>
      <c r="L2867" s="70">
        <f>IF(CurrentMtgRatesDataTable8[[#This Row],[Servicing Spread]]&lt;=0,L2866,CurrentMtgRatesDataTable8[[#This Row],[Servicing Spread]])</f>
        <v>0.8617891383925933</v>
      </c>
      <c r="M2867" s="70">
        <f>CurrentMtgRatesDataTable8[[#This Row],[Servicing Spread Non-Zero]]-L2866</f>
        <v>0</v>
      </c>
      <c r="N2867" s="70">
        <f>IF(J2866&lt;&gt;0,CurrentMtgRatesDataTable8[[#This Row],[Rate]]-C2866,N2866)</f>
        <v>5.0000000000000266E-2</v>
      </c>
    </row>
    <row r="2868" spans="1:14">
      <c r="A2868" s="67" t="s">
        <v>825</v>
      </c>
      <c r="B2868" s="68">
        <v>2.9199815904284798</v>
      </c>
      <c r="C2868" s="69">
        <v>3.75</v>
      </c>
      <c r="D2868" s="70">
        <f t="shared" si="308"/>
        <v>5</v>
      </c>
      <c r="E2868" s="70">
        <f t="shared" si="309"/>
        <v>0.2</v>
      </c>
      <c r="F2868" s="70">
        <f t="shared" si="310"/>
        <v>3</v>
      </c>
      <c r="G2868" s="70">
        <f t="shared" si="311"/>
        <v>1.718373450345174</v>
      </c>
      <c r="H2868" s="70">
        <f t="shared" si="312"/>
        <v>0.60000000000000009</v>
      </c>
      <c r="I2868" s="70">
        <f t="shared" si="313"/>
        <v>0</v>
      </c>
      <c r="J2868" s="70">
        <f t="shared" si="314"/>
        <v>0</v>
      </c>
      <c r="K2868" s="70">
        <f>IF(CurrentMtgRatesDataTable8[[#This Row],[WA CC]]&lt;&gt;0,C2867-CurrentMtgRatesDataTable8[[#This Row],[WA CC]],0)</f>
        <v>0</v>
      </c>
      <c r="L2868" s="70">
        <f>IF(CurrentMtgRatesDataTable8[[#This Row],[Servicing Spread]]&lt;=0,L2867,CurrentMtgRatesDataTable8[[#This Row],[Servicing Spread]])</f>
        <v>0.8617891383925933</v>
      </c>
      <c r="M2868" s="70">
        <f>CurrentMtgRatesDataTable8[[#This Row],[Servicing Spread Non-Zero]]-L2867</f>
        <v>0</v>
      </c>
      <c r="N2868" s="70">
        <f>IF(J2867&lt;&gt;0,CurrentMtgRatesDataTable8[[#This Row],[Rate]]-C2867,N2867)</f>
        <v>5.0000000000000266E-2</v>
      </c>
    </row>
    <row r="2869" spans="1:14">
      <c r="A2869" s="67" t="s">
        <v>826</v>
      </c>
      <c r="B2869" s="68">
        <v>2.9362897451124002</v>
      </c>
      <c r="C2869" s="69">
        <v>3.75</v>
      </c>
      <c r="D2869" s="70">
        <f t="shared" si="308"/>
        <v>6</v>
      </c>
      <c r="E2869" s="70">
        <f t="shared" si="309"/>
        <v>0.2</v>
      </c>
      <c r="F2869" s="70">
        <f t="shared" si="310"/>
        <v>4</v>
      </c>
      <c r="G2869" s="70">
        <f t="shared" si="311"/>
        <v>2.305631399367654</v>
      </c>
      <c r="H2869" s="70">
        <f t="shared" si="312"/>
        <v>0.8</v>
      </c>
      <c r="I2869" s="70">
        <f t="shared" si="313"/>
        <v>0</v>
      </c>
      <c r="J2869" s="70">
        <f t="shared" si="314"/>
        <v>0</v>
      </c>
      <c r="K2869" s="70">
        <f>IF(CurrentMtgRatesDataTable8[[#This Row],[WA CC]]&lt;&gt;0,C2868-CurrentMtgRatesDataTable8[[#This Row],[WA CC]],0)</f>
        <v>0</v>
      </c>
      <c r="L2869" s="70">
        <f>IF(CurrentMtgRatesDataTable8[[#This Row],[Servicing Spread]]&lt;=0,L2868,CurrentMtgRatesDataTable8[[#This Row],[Servicing Spread]])</f>
        <v>0.8617891383925933</v>
      </c>
      <c r="M2869" s="70">
        <f>CurrentMtgRatesDataTable8[[#This Row],[Servicing Spread Non-Zero]]-L2868</f>
        <v>0</v>
      </c>
      <c r="N2869" s="70">
        <f>IF(J2868&lt;&gt;0,CurrentMtgRatesDataTable8[[#This Row],[Rate]]-C2868,N2868)</f>
        <v>5.0000000000000266E-2</v>
      </c>
    </row>
    <row r="2870" spans="1:14">
      <c r="A2870" s="67" t="s">
        <v>827</v>
      </c>
      <c r="B2870" s="68">
        <v>2.9586092652733198</v>
      </c>
      <c r="C2870" s="69">
        <v>3.75</v>
      </c>
      <c r="D2870" s="70">
        <f t="shared" si="308"/>
        <v>7</v>
      </c>
      <c r="E2870" s="70">
        <f t="shared" si="309"/>
        <v>0.2</v>
      </c>
      <c r="F2870" s="70">
        <f t="shared" si="310"/>
        <v>5</v>
      </c>
      <c r="G2870" s="70">
        <f t="shared" si="311"/>
        <v>2.897353252422318</v>
      </c>
      <c r="H2870" s="70">
        <f t="shared" si="312"/>
        <v>1</v>
      </c>
      <c r="I2870" s="70">
        <f t="shared" si="313"/>
        <v>1</v>
      </c>
      <c r="J2870" s="70">
        <f t="shared" si="314"/>
        <v>2.897353252422318</v>
      </c>
      <c r="K2870" s="70">
        <f>IF(CurrentMtgRatesDataTable8[[#This Row],[WA CC]]&lt;&gt;0,C2869-CurrentMtgRatesDataTable8[[#This Row],[WA CC]],0)</f>
        <v>0.852646747577682</v>
      </c>
      <c r="L2870" s="70">
        <f>IF(CurrentMtgRatesDataTable8[[#This Row],[Servicing Spread]]&lt;=0,L2869,CurrentMtgRatesDataTable8[[#This Row],[Servicing Spread]])</f>
        <v>0.852646747577682</v>
      </c>
      <c r="M2870" s="70">
        <f>CurrentMtgRatesDataTable8[[#This Row],[Servicing Spread Non-Zero]]-L2869</f>
        <v>-9.1423908149113053E-3</v>
      </c>
      <c r="N2870" s="70">
        <f>IF(J2869&lt;&gt;0,CurrentMtgRatesDataTable8[[#This Row],[Rate]]-C2869,N2869)</f>
        <v>5.0000000000000266E-2</v>
      </c>
    </row>
    <row r="2871" spans="1:14">
      <c r="A2871" s="67" t="s">
        <v>828</v>
      </c>
      <c r="B2871" s="68">
        <v>2.9068905487933598</v>
      </c>
      <c r="C2871" s="69">
        <v>3.7649999999999997</v>
      </c>
      <c r="D2871" s="70">
        <f t="shared" si="308"/>
        <v>1</v>
      </c>
      <c r="E2871" s="70">
        <f t="shared" si="309"/>
        <v>0.2</v>
      </c>
      <c r="F2871" s="70">
        <f t="shared" si="310"/>
        <v>1</v>
      </c>
      <c r="G2871" s="70">
        <f t="shared" si="311"/>
        <v>0.58137810975867199</v>
      </c>
      <c r="H2871" s="70">
        <f t="shared" si="312"/>
        <v>0.2</v>
      </c>
      <c r="I2871" s="70">
        <f t="shared" si="313"/>
        <v>0</v>
      </c>
      <c r="J2871" s="70">
        <f t="shared" si="314"/>
        <v>0</v>
      </c>
      <c r="K2871" s="70">
        <f>IF(CurrentMtgRatesDataTable8[[#This Row],[WA CC]]&lt;&gt;0,C2870-CurrentMtgRatesDataTable8[[#This Row],[WA CC]],0)</f>
        <v>0</v>
      </c>
      <c r="L2871" s="70">
        <f>IF(CurrentMtgRatesDataTable8[[#This Row],[Servicing Spread]]&lt;=0,L2870,CurrentMtgRatesDataTable8[[#This Row],[Servicing Spread]])</f>
        <v>0.852646747577682</v>
      </c>
      <c r="M2871" s="70">
        <f>CurrentMtgRatesDataTable8[[#This Row],[Servicing Spread Non-Zero]]-L2870</f>
        <v>0</v>
      </c>
      <c r="N2871" s="70">
        <f>IF(J2870&lt;&gt;0,CurrentMtgRatesDataTable8[[#This Row],[Rate]]-C2870,N2870)</f>
        <v>1.499999999999968E-2</v>
      </c>
    </row>
    <row r="2872" spans="1:14">
      <c r="A2872" s="67" t="s">
        <v>829</v>
      </c>
      <c r="B2872" s="68">
        <v>2.82631669904023</v>
      </c>
      <c r="C2872" s="69">
        <v>3.7649999999999997</v>
      </c>
      <c r="D2872" s="70">
        <f t="shared" si="308"/>
        <v>2</v>
      </c>
      <c r="E2872" s="70">
        <f t="shared" si="309"/>
        <v>0.2</v>
      </c>
      <c r="F2872" s="70">
        <f t="shared" si="310"/>
        <v>2</v>
      </c>
      <c r="G2872" s="70">
        <f t="shared" si="311"/>
        <v>1.1466414495667179</v>
      </c>
      <c r="H2872" s="70">
        <f t="shared" si="312"/>
        <v>0.4</v>
      </c>
      <c r="I2872" s="70">
        <f t="shared" si="313"/>
        <v>0</v>
      </c>
      <c r="J2872" s="70">
        <f t="shared" si="314"/>
        <v>0</v>
      </c>
      <c r="K2872" s="70">
        <f>IF(CurrentMtgRatesDataTable8[[#This Row],[WA CC]]&lt;&gt;0,C2871-CurrentMtgRatesDataTable8[[#This Row],[WA CC]],0)</f>
        <v>0</v>
      </c>
      <c r="L2872" s="70">
        <f>IF(CurrentMtgRatesDataTable8[[#This Row],[Servicing Spread]]&lt;=0,L2871,CurrentMtgRatesDataTable8[[#This Row],[Servicing Spread]])</f>
        <v>0.852646747577682</v>
      </c>
      <c r="M2872" s="70">
        <f>CurrentMtgRatesDataTable8[[#This Row],[Servicing Spread Non-Zero]]-L2871</f>
        <v>0</v>
      </c>
      <c r="N2872" s="70">
        <f>IF(J2871&lt;&gt;0,CurrentMtgRatesDataTable8[[#This Row],[Rate]]-C2871,N2871)</f>
        <v>1.499999999999968E-2</v>
      </c>
    </row>
    <row r="2873" spans="1:14">
      <c r="A2873" s="67" t="s">
        <v>830</v>
      </c>
      <c r="B2873" s="68">
        <v>2.8896799307946499</v>
      </c>
      <c r="C2873" s="69">
        <v>3.7649999999999997</v>
      </c>
      <c r="D2873" s="70">
        <f t="shared" si="308"/>
        <v>5</v>
      </c>
      <c r="E2873" s="70">
        <f t="shared" si="309"/>
        <v>0.2</v>
      </c>
      <c r="F2873" s="70">
        <f t="shared" si="310"/>
        <v>3</v>
      </c>
      <c r="G2873" s="70">
        <f t="shared" si="311"/>
        <v>1.724577435725648</v>
      </c>
      <c r="H2873" s="70">
        <f t="shared" si="312"/>
        <v>0.60000000000000009</v>
      </c>
      <c r="I2873" s="70">
        <f t="shared" si="313"/>
        <v>0</v>
      </c>
      <c r="J2873" s="70">
        <f t="shared" si="314"/>
        <v>0</v>
      </c>
      <c r="K2873" s="70">
        <f>IF(CurrentMtgRatesDataTable8[[#This Row],[WA CC]]&lt;&gt;0,C2872-CurrentMtgRatesDataTable8[[#This Row],[WA CC]],0)</f>
        <v>0</v>
      </c>
      <c r="L2873" s="70">
        <f>IF(CurrentMtgRatesDataTable8[[#This Row],[Servicing Spread]]&lt;=0,L2872,CurrentMtgRatesDataTable8[[#This Row],[Servicing Spread]])</f>
        <v>0.852646747577682</v>
      </c>
      <c r="M2873" s="70">
        <f>CurrentMtgRatesDataTable8[[#This Row],[Servicing Spread Non-Zero]]-L2872</f>
        <v>0</v>
      </c>
      <c r="N2873" s="70">
        <f>IF(J2872&lt;&gt;0,CurrentMtgRatesDataTable8[[#This Row],[Rate]]-C2872,N2872)</f>
        <v>1.499999999999968E-2</v>
      </c>
    </row>
    <row r="2874" spans="1:14">
      <c r="A2874" s="67" t="s">
        <v>831</v>
      </c>
      <c r="B2874" s="68">
        <v>2.9214483553786899</v>
      </c>
      <c r="C2874" s="69">
        <v>3.7649999999999997</v>
      </c>
      <c r="D2874" s="70">
        <f t="shared" si="308"/>
        <v>6</v>
      </c>
      <c r="E2874" s="70">
        <f t="shared" si="309"/>
        <v>0.2</v>
      </c>
      <c r="F2874" s="70">
        <f t="shared" si="310"/>
        <v>4</v>
      </c>
      <c r="G2874" s="70">
        <f t="shared" si="311"/>
        <v>2.3088671068013862</v>
      </c>
      <c r="H2874" s="70">
        <f t="shared" si="312"/>
        <v>0.8</v>
      </c>
      <c r="I2874" s="70">
        <f t="shared" si="313"/>
        <v>0</v>
      </c>
      <c r="J2874" s="70">
        <f t="shared" si="314"/>
        <v>0</v>
      </c>
      <c r="K2874" s="70">
        <f>IF(CurrentMtgRatesDataTable8[[#This Row],[WA CC]]&lt;&gt;0,C2873-CurrentMtgRatesDataTable8[[#This Row],[WA CC]],0)</f>
        <v>0</v>
      </c>
      <c r="L2874" s="70">
        <f>IF(CurrentMtgRatesDataTable8[[#This Row],[Servicing Spread]]&lt;=0,L2873,CurrentMtgRatesDataTable8[[#This Row],[Servicing Spread]])</f>
        <v>0.852646747577682</v>
      </c>
      <c r="M2874" s="70">
        <f>CurrentMtgRatesDataTable8[[#This Row],[Servicing Spread Non-Zero]]-L2873</f>
        <v>0</v>
      </c>
      <c r="N2874" s="70">
        <f>IF(J2873&lt;&gt;0,CurrentMtgRatesDataTable8[[#This Row],[Rate]]-C2873,N2873)</f>
        <v>1.499999999999968E-2</v>
      </c>
    </row>
    <row r="2875" spans="1:14">
      <c r="A2875" s="67" t="s">
        <v>832</v>
      </c>
      <c r="B2875" s="68">
        <v>2.9102623265110599</v>
      </c>
      <c r="C2875" s="69">
        <v>3.7649999999999997</v>
      </c>
      <c r="D2875" s="70">
        <f t="shared" si="308"/>
        <v>7</v>
      </c>
      <c r="E2875" s="70">
        <f t="shared" si="309"/>
        <v>0.2</v>
      </c>
      <c r="F2875" s="70">
        <f t="shared" si="310"/>
        <v>5</v>
      </c>
      <c r="G2875" s="70">
        <f t="shared" si="311"/>
        <v>2.8909195721035981</v>
      </c>
      <c r="H2875" s="70">
        <f t="shared" si="312"/>
        <v>1</v>
      </c>
      <c r="I2875" s="70">
        <f t="shared" si="313"/>
        <v>1</v>
      </c>
      <c r="J2875" s="70">
        <f t="shared" si="314"/>
        <v>2.8909195721035981</v>
      </c>
      <c r="K2875" s="70">
        <f>IF(CurrentMtgRatesDataTable8[[#This Row],[WA CC]]&lt;&gt;0,C2874-CurrentMtgRatesDataTable8[[#This Row],[WA CC]],0)</f>
        <v>0.87408042789640161</v>
      </c>
      <c r="L2875" s="70">
        <f>IF(CurrentMtgRatesDataTable8[[#This Row],[Servicing Spread]]&lt;=0,L2874,CurrentMtgRatesDataTable8[[#This Row],[Servicing Spread]])</f>
        <v>0.87408042789640161</v>
      </c>
      <c r="M2875" s="70">
        <f>CurrentMtgRatesDataTable8[[#This Row],[Servicing Spread Non-Zero]]-L2874</f>
        <v>2.1433680318719617E-2</v>
      </c>
      <c r="N2875" s="70">
        <f>IF(J2874&lt;&gt;0,CurrentMtgRatesDataTable8[[#This Row],[Rate]]-C2874,N2874)</f>
        <v>1.499999999999968E-2</v>
      </c>
    </row>
    <row r="2876" spans="1:14">
      <c r="A2876" s="67" t="s">
        <v>833</v>
      </c>
      <c r="B2876" s="68">
        <v>2.8599760435846102</v>
      </c>
      <c r="C2876" s="69">
        <v>3.77</v>
      </c>
      <c r="D2876" s="70">
        <f t="shared" si="308"/>
        <v>1</v>
      </c>
      <c r="E2876" s="70">
        <f t="shared" si="309"/>
        <v>0.2</v>
      </c>
      <c r="F2876" s="70">
        <f t="shared" si="310"/>
        <v>1</v>
      </c>
      <c r="G2876" s="70">
        <f t="shared" si="311"/>
        <v>0.57199520871692211</v>
      </c>
      <c r="H2876" s="70">
        <f t="shared" si="312"/>
        <v>0.2</v>
      </c>
      <c r="I2876" s="70">
        <f t="shared" si="313"/>
        <v>0</v>
      </c>
      <c r="J2876" s="70">
        <f t="shared" si="314"/>
        <v>0</v>
      </c>
      <c r="K2876" s="70">
        <f>IF(CurrentMtgRatesDataTable8[[#This Row],[WA CC]]&lt;&gt;0,C2875-CurrentMtgRatesDataTable8[[#This Row],[WA CC]],0)</f>
        <v>0</v>
      </c>
      <c r="L2876" s="70">
        <f>IF(CurrentMtgRatesDataTable8[[#This Row],[Servicing Spread]]&lt;=0,L2875,CurrentMtgRatesDataTable8[[#This Row],[Servicing Spread]])</f>
        <v>0.87408042789640161</v>
      </c>
      <c r="M2876" s="70">
        <f>CurrentMtgRatesDataTable8[[#This Row],[Servicing Spread Non-Zero]]-L2875</f>
        <v>0</v>
      </c>
      <c r="N2876" s="70">
        <f>IF(J2875&lt;&gt;0,CurrentMtgRatesDataTable8[[#This Row],[Rate]]-C2875,N2875)</f>
        <v>5.0000000000003375E-3</v>
      </c>
    </row>
    <row r="2877" spans="1:14">
      <c r="A2877" s="67" t="s">
        <v>834</v>
      </c>
      <c r="B2877" s="68">
        <v>2.8915210158303699</v>
      </c>
      <c r="C2877" s="69">
        <v>3.77</v>
      </c>
      <c r="D2877" s="70">
        <f t="shared" si="308"/>
        <v>2</v>
      </c>
      <c r="E2877" s="70">
        <f t="shared" si="309"/>
        <v>0.2</v>
      </c>
      <c r="F2877" s="70">
        <f t="shared" si="310"/>
        <v>2</v>
      </c>
      <c r="G2877" s="70">
        <f t="shared" si="311"/>
        <v>1.1502994118829961</v>
      </c>
      <c r="H2877" s="70">
        <f t="shared" si="312"/>
        <v>0.4</v>
      </c>
      <c r="I2877" s="70">
        <f t="shared" si="313"/>
        <v>0</v>
      </c>
      <c r="J2877" s="70">
        <f t="shared" si="314"/>
        <v>0</v>
      </c>
      <c r="K2877" s="70">
        <f>IF(CurrentMtgRatesDataTable8[[#This Row],[WA CC]]&lt;&gt;0,C2876-CurrentMtgRatesDataTable8[[#This Row],[WA CC]],0)</f>
        <v>0</v>
      </c>
      <c r="L2877" s="70">
        <f>IF(CurrentMtgRatesDataTable8[[#This Row],[Servicing Spread]]&lt;=0,L2876,CurrentMtgRatesDataTable8[[#This Row],[Servicing Spread]])</f>
        <v>0.87408042789640161</v>
      </c>
      <c r="M2877" s="70">
        <f>CurrentMtgRatesDataTable8[[#This Row],[Servicing Spread Non-Zero]]-L2876</f>
        <v>0</v>
      </c>
      <c r="N2877" s="70">
        <f>IF(J2876&lt;&gt;0,CurrentMtgRatesDataTable8[[#This Row],[Rate]]-C2876,N2876)</f>
        <v>5.0000000000003375E-3</v>
      </c>
    </row>
    <row r="2878" spans="1:14">
      <c r="A2878" s="67" t="s">
        <v>835</v>
      </c>
      <c r="B2878" s="68">
        <v>2.8500704386135798</v>
      </c>
      <c r="C2878" s="69">
        <v>3.77</v>
      </c>
      <c r="D2878" s="70">
        <f t="shared" si="308"/>
        <v>6</v>
      </c>
      <c r="E2878" s="70">
        <f t="shared" si="309"/>
        <v>0.2</v>
      </c>
      <c r="F2878" s="70">
        <f t="shared" si="310"/>
        <v>3</v>
      </c>
      <c r="G2878" s="70">
        <f t="shared" si="311"/>
        <v>1.7203134996057121</v>
      </c>
      <c r="H2878" s="70">
        <f t="shared" si="312"/>
        <v>0.60000000000000009</v>
      </c>
      <c r="I2878" s="70">
        <f t="shared" si="313"/>
        <v>0</v>
      </c>
      <c r="J2878" s="70">
        <f t="shared" si="314"/>
        <v>0</v>
      </c>
      <c r="K2878" s="70">
        <f>IF(CurrentMtgRatesDataTable8[[#This Row],[WA CC]]&lt;&gt;0,C2877-CurrentMtgRatesDataTable8[[#This Row],[WA CC]],0)</f>
        <v>0</v>
      </c>
      <c r="L2878" s="70">
        <f>IF(CurrentMtgRatesDataTable8[[#This Row],[Servicing Spread]]&lt;=0,L2877,CurrentMtgRatesDataTable8[[#This Row],[Servicing Spread]])</f>
        <v>0.87408042789640161</v>
      </c>
      <c r="M2878" s="70">
        <f>CurrentMtgRatesDataTable8[[#This Row],[Servicing Spread Non-Zero]]-L2877</f>
        <v>0</v>
      </c>
      <c r="N2878" s="70">
        <f>IF(J2877&lt;&gt;0,CurrentMtgRatesDataTable8[[#This Row],[Rate]]-C2877,N2877)</f>
        <v>5.0000000000003375E-3</v>
      </c>
    </row>
    <row r="2879" spans="1:14">
      <c r="A2879" s="67" t="s">
        <v>836</v>
      </c>
      <c r="B2879" s="68">
        <v>2.8460665334928898</v>
      </c>
      <c r="C2879" s="69">
        <v>3.77</v>
      </c>
      <c r="D2879" s="70">
        <f t="shared" si="308"/>
        <v>7</v>
      </c>
      <c r="E2879" s="70">
        <f t="shared" si="309"/>
        <v>0.2</v>
      </c>
      <c r="F2879" s="70">
        <f t="shared" si="310"/>
        <v>4</v>
      </c>
      <c r="G2879" s="70">
        <f t="shared" si="311"/>
        <v>2.28952680630429</v>
      </c>
      <c r="H2879" s="70">
        <f t="shared" si="312"/>
        <v>0.8</v>
      </c>
      <c r="I2879" s="70">
        <f t="shared" si="313"/>
        <v>1</v>
      </c>
      <c r="J2879" s="70">
        <f t="shared" si="314"/>
        <v>2.8619085078803623</v>
      </c>
      <c r="K2879" s="70">
        <f>IF(CurrentMtgRatesDataTable8[[#This Row],[WA CC]]&lt;&gt;0,C2878-CurrentMtgRatesDataTable8[[#This Row],[WA CC]],0)</f>
        <v>0.90809149211963769</v>
      </c>
      <c r="L2879" s="70">
        <f>IF(CurrentMtgRatesDataTable8[[#This Row],[Servicing Spread]]&lt;=0,L2878,CurrentMtgRatesDataTable8[[#This Row],[Servicing Spread]])</f>
        <v>0.90809149211963769</v>
      </c>
      <c r="M2879" s="70">
        <f>CurrentMtgRatesDataTable8[[#This Row],[Servicing Spread Non-Zero]]-L2878</f>
        <v>3.4011064223236076E-2</v>
      </c>
      <c r="N2879" s="70">
        <f>IF(J2878&lt;&gt;0,CurrentMtgRatesDataTable8[[#This Row],[Rate]]-C2878,N2878)</f>
        <v>5.0000000000003375E-3</v>
      </c>
    </row>
    <row r="2880" spans="1:14">
      <c r="A2880" s="67" t="s">
        <v>837</v>
      </c>
      <c r="B2880" s="68">
        <v>2.8413672152174398</v>
      </c>
      <c r="C2880" s="69">
        <v>3.77</v>
      </c>
      <c r="D2880" s="70">
        <f t="shared" si="308"/>
        <v>1</v>
      </c>
      <c r="E2880" s="70">
        <f t="shared" si="309"/>
        <v>0.2</v>
      </c>
      <c r="F2880" s="70">
        <f t="shared" si="310"/>
        <v>1</v>
      </c>
      <c r="G2880" s="70">
        <f t="shared" si="311"/>
        <v>0.56827344304348804</v>
      </c>
      <c r="H2880" s="70">
        <f t="shared" si="312"/>
        <v>0.2</v>
      </c>
      <c r="I2880" s="70">
        <f t="shared" si="313"/>
        <v>0</v>
      </c>
      <c r="J2880" s="70">
        <f t="shared" si="314"/>
        <v>0</v>
      </c>
      <c r="K2880" s="70">
        <f>IF(CurrentMtgRatesDataTable8[[#This Row],[WA CC]]&lt;&gt;0,C2879-CurrentMtgRatesDataTable8[[#This Row],[WA CC]],0)</f>
        <v>0</v>
      </c>
      <c r="L2880" s="70">
        <f>IF(CurrentMtgRatesDataTable8[[#This Row],[Servicing Spread]]&lt;=0,L2879,CurrentMtgRatesDataTable8[[#This Row],[Servicing Spread]])</f>
        <v>0.90809149211963769</v>
      </c>
      <c r="M2880" s="70">
        <f>CurrentMtgRatesDataTable8[[#This Row],[Servicing Spread Non-Zero]]-L2879</f>
        <v>0</v>
      </c>
      <c r="N2880" s="70">
        <f>IF(J2879&lt;&gt;0,CurrentMtgRatesDataTable8[[#This Row],[Rate]]-C2879,N2879)</f>
        <v>0</v>
      </c>
    </row>
    <row r="2881" spans="1:14">
      <c r="A2881" s="67" t="s">
        <v>838</v>
      </c>
      <c r="B2881" s="68">
        <v>2.8125589424365498</v>
      </c>
      <c r="C2881" s="69">
        <v>3.77</v>
      </c>
      <c r="D2881" s="70">
        <f t="shared" si="308"/>
        <v>2</v>
      </c>
      <c r="E2881" s="70">
        <f t="shared" si="309"/>
        <v>0.2</v>
      </c>
      <c r="F2881" s="70">
        <f t="shared" si="310"/>
        <v>2</v>
      </c>
      <c r="G2881" s="70">
        <f t="shared" si="311"/>
        <v>1.130785231530798</v>
      </c>
      <c r="H2881" s="70">
        <f t="shared" si="312"/>
        <v>0.4</v>
      </c>
      <c r="I2881" s="70">
        <f t="shared" si="313"/>
        <v>0</v>
      </c>
      <c r="J2881" s="70">
        <f t="shared" si="314"/>
        <v>0</v>
      </c>
      <c r="K2881" s="70">
        <f>IF(CurrentMtgRatesDataTable8[[#This Row],[WA CC]]&lt;&gt;0,C2880-CurrentMtgRatesDataTable8[[#This Row],[WA CC]],0)</f>
        <v>0</v>
      </c>
      <c r="L2881" s="70">
        <f>IF(CurrentMtgRatesDataTable8[[#This Row],[Servicing Spread]]&lt;=0,L2880,CurrentMtgRatesDataTable8[[#This Row],[Servicing Spread]])</f>
        <v>0.90809149211963769</v>
      </c>
      <c r="M2881" s="70">
        <f>CurrentMtgRatesDataTable8[[#This Row],[Servicing Spread Non-Zero]]-L2880</f>
        <v>0</v>
      </c>
      <c r="N2881" s="70">
        <f>IF(J2880&lt;&gt;0,CurrentMtgRatesDataTable8[[#This Row],[Rate]]-C2880,N2880)</f>
        <v>0</v>
      </c>
    </row>
    <row r="2882" spans="1:14">
      <c r="A2882" s="67" t="s">
        <v>839</v>
      </c>
      <c r="B2882" s="68">
        <v>2.8873082715202201</v>
      </c>
      <c r="C2882" s="69">
        <v>3.77</v>
      </c>
      <c r="D2882" s="70">
        <f t="shared" si="308"/>
        <v>5</v>
      </c>
      <c r="E2882" s="70">
        <f t="shared" si="309"/>
        <v>0.2</v>
      </c>
      <c r="F2882" s="70">
        <f t="shared" si="310"/>
        <v>3</v>
      </c>
      <c r="G2882" s="70">
        <f t="shared" si="311"/>
        <v>1.7082468858348421</v>
      </c>
      <c r="H2882" s="70">
        <f t="shared" si="312"/>
        <v>0.60000000000000009</v>
      </c>
      <c r="I2882" s="70">
        <f t="shared" si="313"/>
        <v>0</v>
      </c>
      <c r="J2882" s="70">
        <f t="shared" si="314"/>
        <v>0</v>
      </c>
      <c r="K2882" s="70">
        <f>IF(CurrentMtgRatesDataTable8[[#This Row],[WA CC]]&lt;&gt;0,C2881-CurrentMtgRatesDataTable8[[#This Row],[WA CC]],0)</f>
        <v>0</v>
      </c>
      <c r="L2882" s="70">
        <f>IF(CurrentMtgRatesDataTable8[[#This Row],[Servicing Spread]]&lt;=0,L2881,CurrentMtgRatesDataTable8[[#This Row],[Servicing Spread]])</f>
        <v>0.90809149211963769</v>
      </c>
      <c r="M2882" s="70">
        <f>CurrentMtgRatesDataTable8[[#This Row],[Servicing Spread Non-Zero]]-L2881</f>
        <v>0</v>
      </c>
      <c r="N2882" s="70">
        <f>IF(J2881&lt;&gt;0,CurrentMtgRatesDataTable8[[#This Row],[Rate]]-C2881,N2881)</f>
        <v>0</v>
      </c>
    </row>
    <row r="2883" spans="1:14">
      <c r="A2883" s="67" t="s">
        <v>840</v>
      </c>
      <c r="B2883" s="68">
        <v>2.96123512742628</v>
      </c>
      <c r="C2883" s="69">
        <v>3.77</v>
      </c>
      <c r="D2883" s="70">
        <f t="shared" si="308"/>
        <v>6</v>
      </c>
      <c r="E2883" s="70">
        <f t="shared" si="309"/>
        <v>0.2</v>
      </c>
      <c r="F2883" s="70">
        <f t="shared" si="310"/>
        <v>4</v>
      </c>
      <c r="G2883" s="70">
        <f t="shared" si="311"/>
        <v>2.300493911320098</v>
      </c>
      <c r="H2883" s="70">
        <f t="shared" si="312"/>
        <v>0.8</v>
      </c>
      <c r="I2883" s="70">
        <f t="shared" si="313"/>
        <v>0</v>
      </c>
      <c r="J2883" s="70">
        <f t="shared" si="314"/>
        <v>0</v>
      </c>
      <c r="K2883" s="70">
        <f>IF(CurrentMtgRatesDataTable8[[#This Row],[WA CC]]&lt;&gt;0,C2882-CurrentMtgRatesDataTable8[[#This Row],[WA CC]],0)</f>
        <v>0</v>
      </c>
      <c r="L2883" s="70">
        <f>IF(CurrentMtgRatesDataTable8[[#This Row],[Servicing Spread]]&lt;=0,L2882,CurrentMtgRatesDataTable8[[#This Row],[Servicing Spread]])</f>
        <v>0.90809149211963769</v>
      </c>
      <c r="M2883" s="70">
        <f>CurrentMtgRatesDataTable8[[#This Row],[Servicing Spread Non-Zero]]-L2882</f>
        <v>0</v>
      </c>
      <c r="N2883" s="70">
        <f>IF(J2882&lt;&gt;0,CurrentMtgRatesDataTable8[[#This Row],[Rate]]-C2882,N2882)</f>
        <v>0</v>
      </c>
    </row>
    <row r="2884" spans="1:14">
      <c r="A2884" s="67" t="s">
        <v>841</v>
      </c>
      <c r="B2884" s="68">
        <v>3.0744144315737501</v>
      </c>
      <c r="C2884" s="69">
        <v>3.77</v>
      </c>
      <c r="D2884" s="70">
        <f t="shared" si="308"/>
        <v>7</v>
      </c>
      <c r="E2884" s="70">
        <f t="shared" si="309"/>
        <v>0.2</v>
      </c>
      <c r="F2884" s="70">
        <f t="shared" si="310"/>
        <v>5</v>
      </c>
      <c r="G2884" s="70">
        <f t="shared" si="311"/>
        <v>2.9153767976348481</v>
      </c>
      <c r="H2884" s="70">
        <f t="shared" si="312"/>
        <v>1</v>
      </c>
      <c r="I2884" s="70">
        <f t="shared" si="313"/>
        <v>1</v>
      </c>
      <c r="J2884" s="70">
        <f t="shared" si="314"/>
        <v>2.9153767976348481</v>
      </c>
      <c r="K2884" s="70">
        <f>IF(CurrentMtgRatesDataTable8[[#This Row],[WA CC]]&lt;&gt;0,C2883-CurrentMtgRatesDataTable8[[#This Row],[WA CC]],0)</f>
        <v>0.85462320236515188</v>
      </c>
      <c r="L2884" s="70">
        <f>IF(CurrentMtgRatesDataTable8[[#This Row],[Servicing Spread]]&lt;=0,L2883,CurrentMtgRatesDataTable8[[#This Row],[Servicing Spread]])</f>
        <v>0.85462320236515188</v>
      </c>
      <c r="M2884" s="70">
        <f>CurrentMtgRatesDataTable8[[#This Row],[Servicing Spread Non-Zero]]-L2883</f>
        <v>-5.3468289754485809E-2</v>
      </c>
      <c r="N2884" s="70">
        <f>IF(J2883&lt;&gt;0,CurrentMtgRatesDataTable8[[#This Row],[Rate]]-C2883,N2883)</f>
        <v>0</v>
      </c>
    </row>
    <row r="2885" spans="1:14">
      <c r="A2885" s="67" t="s">
        <v>842</v>
      </c>
      <c r="B2885" s="68">
        <v>3.0256748636149999</v>
      </c>
      <c r="C2885" s="69">
        <v>3.94</v>
      </c>
      <c r="D2885" s="70">
        <f t="shared" ref="D2885:D2948" si="315">WEEKDAY(A2885,14)</f>
        <v>1</v>
      </c>
      <c r="E2885" s="70">
        <f t="shared" ref="E2885:E2948" si="316">VLOOKUP(D2885,Q$5:R$11,2,FALSE)</f>
        <v>0.2</v>
      </c>
      <c r="F2885" s="70">
        <f t="shared" ref="F2885:F2948" si="317">IF(AND(D2885&gt;D2884,F2884&lt;6),F2884+1,1)</f>
        <v>1</v>
      </c>
      <c r="G2885" s="70">
        <f t="shared" ref="G2885:G2948" si="318">IF(F2885&gt;F2884,G2884+B2885*E2885,B2885*E2885)</f>
        <v>0.60513497272299999</v>
      </c>
      <c r="H2885" s="70">
        <f t="shared" ref="H2885:H2948" si="319">IF(AND(F2885&lt;6,F2885&gt;F2884),E2885+H2884,E2885)</f>
        <v>0.2</v>
      </c>
      <c r="I2885" s="70">
        <f t="shared" ref="I2885:I2948" si="320">IF(F2885&gt;F2886,1,0)</f>
        <v>0</v>
      </c>
      <c r="J2885" s="70">
        <f t="shared" ref="J2885:J2948" si="321">IF(F2885&gt;F2886,G2885/H2885,0)</f>
        <v>0</v>
      </c>
      <c r="K2885" s="70">
        <f>IF(CurrentMtgRatesDataTable8[[#This Row],[WA CC]]&lt;&gt;0,C2884-CurrentMtgRatesDataTable8[[#This Row],[WA CC]],0)</f>
        <v>0</v>
      </c>
      <c r="L2885" s="70">
        <f>IF(CurrentMtgRatesDataTable8[[#This Row],[Servicing Spread]]&lt;=0,L2884,CurrentMtgRatesDataTable8[[#This Row],[Servicing Spread]])</f>
        <v>0.85462320236515188</v>
      </c>
      <c r="M2885" s="70">
        <f>CurrentMtgRatesDataTable8[[#This Row],[Servicing Spread Non-Zero]]-L2884</f>
        <v>0</v>
      </c>
      <c r="N2885" s="70">
        <f>IF(J2884&lt;&gt;0,CurrentMtgRatesDataTable8[[#This Row],[Rate]]-C2884,N2884)</f>
        <v>0.16999999999999993</v>
      </c>
    </row>
    <row r="2886" spans="1:14">
      <c r="A2886" s="67" t="s">
        <v>843</v>
      </c>
      <c r="B2886" s="68">
        <v>3.1185389251118698</v>
      </c>
      <c r="C2886" s="69">
        <v>3.94</v>
      </c>
      <c r="D2886" s="70">
        <f t="shared" si="315"/>
        <v>2</v>
      </c>
      <c r="E2886" s="70">
        <f t="shared" si="316"/>
        <v>0.2</v>
      </c>
      <c r="F2886" s="70">
        <f t="shared" si="317"/>
        <v>2</v>
      </c>
      <c r="G2886" s="70">
        <f t="shared" si="318"/>
        <v>1.228842757745374</v>
      </c>
      <c r="H2886" s="70">
        <f t="shared" si="319"/>
        <v>0.4</v>
      </c>
      <c r="I2886" s="70">
        <f t="shared" si="320"/>
        <v>0</v>
      </c>
      <c r="J2886" s="70">
        <f t="shared" si="321"/>
        <v>0</v>
      </c>
      <c r="K2886" s="70">
        <f>IF(CurrentMtgRatesDataTable8[[#This Row],[WA CC]]&lt;&gt;0,C2885-CurrentMtgRatesDataTable8[[#This Row],[WA CC]],0)</f>
        <v>0</v>
      </c>
      <c r="L2886" s="70">
        <f>IF(CurrentMtgRatesDataTable8[[#This Row],[Servicing Spread]]&lt;=0,L2885,CurrentMtgRatesDataTable8[[#This Row],[Servicing Spread]])</f>
        <v>0.85462320236515188</v>
      </c>
      <c r="M2886" s="70">
        <f>CurrentMtgRatesDataTable8[[#This Row],[Servicing Spread Non-Zero]]-L2885</f>
        <v>0</v>
      </c>
      <c r="N2886" s="70">
        <f>IF(J2885&lt;&gt;0,CurrentMtgRatesDataTable8[[#This Row],[Rate]]-C2885,N2885)</f>
        <v>0.16999999999999993</v>
      </c>
    </row>
    <row r="2887" spans="1:14">
      <c r="A2887" s="67" t="s">
        <v>844</v>
      </c>
      <c r="B2887" s="68">
        <v>3.0852280715370801</v>
      </c>
      <c r="C2887" s="69">
        <v>3.94</v>
      </c>
      <c r="D2887" s="70">
        <f t="shared" si="315"/>
        <v>5</v>
      </c>
      <c r="E2887" s="70">
        <f t="shared" si="316"/>
        <v>0.2</v>
      </c>
      <c r="F2887" s="70">
        <f t="shared" si="317"/>
        <v>3</v>
      </c>
      <c r="G2887" s="70">
        <f t="shared" si="318"/>
        <v>1.8458883720527901</v>
      </c>
      <c r="H2887" s="70">
        <f t="shared" si="319"/>
        <v>0.60000000000000009</v>
      </c>
      <c r="I2887" s="70">
        <f t="shared" si="320"/>
        <v>0</v>
      </c>
      <c r="J2887" s="70">
        <f t="shared" si="321"/>
        <v>0</v>
      </c>
      <c r="K2887" s="70">
        <f>IF(CurrentMtgRatesDataTable8[[#This Row],[WA CC]]&lt;&gt;0,C2886-CurrentMtgRatesDataTable8[[#This Row],[WA CC]],0)</f>
        <v>0</v>
      </c>
      <c r="L2887" s="70">
        <f>IF(CurrentMtgRatesDataTable8[[#This Row],[Servicing Spread]]&lt;=0,L2886,CurrentMtgRatesDataTable8[[#This Row],[Servicing Spread]])</f>
        <v>0.85462320236515188</v>
      </c>
      <c r="M2887" s="70">
        <f>CurrentMtgRatesDataTable8[[#This Row],[Servicing Spread Non-Zero]]-L2886</f>
        <v>0</v>
      </c>
      <c r="N2887" s="70">
        <f>IF(J2886&lt;&gt;0,CurrentMtgRatesDataTable8[[#This Row],[Rate]]-C2886,N2886)</f>
        <v>0.16999999999999993</v>
      </c>
    </row>
    <row r="2888" spans="1:14">
      <c r="A2888" s="67" t="s">
        <v>845</v>
      </c>
      <c r="B2888" s="68">
        <v>3.1292995796246399</v>
      </c>
      <c r="C2888" s="69">
        <v>3.94</v>
      </c>
      <c r="D2888" s="70">
        <f t="shared" si="315"/>
        <v>6</v>
      </c>
      <c r="E2888" s="70">
        <f t="shared" si="316"/>
        <v>0.2</v>
      </c>
      <c r="F2888" s="70">
        <f t="shared" si="317"/>
        <v>4</v>
      </c>
      <c r="G2888" s="70">
        <f t="shared" si="318"/>
        <v>2.471748287977718</v>
      </c>
      <c r="H2888" s="70">
        <f t="shared" si="319"/>
        <v>0.8</v>
      </c>
      <c r="I2888" s="70">
        <f t="shared" si="320"/>
        <v>0</v>
      </c>
      <c r="J2888" s="70">
        <f t="shared" si="321"/>
        <v>0</v>
      </c>
      <c r="K2888" s="70">
        <f>IF(CurrentMtgRatesDataTable8[[#This Row],[WA CC]]&lt;&gt;0,C2887-CurrentMtgRatesDataTable8[[#This Row],[WA CC]],0)</f>
        <v>0</v>
      </c>
      <c r="L2888" s="70">
        <f>IF(CurrentMtgRatesDataTable8[[#This Row],[Servicing Spread]]&lt;=0,L2887,CurrentMtgRatesDataTable8[[#This Row],[Servicing Spread]])</f>
        <v>0.85462320236515188</v>
      </c>
      <c r="M2888" s="70">
        <f>CurrentMtgRatesDataTable8[[#This Row],[Servicing Spread Non-Zero]]-L2887</f>
        <v>0</v>
      </c>
      <c r="N2888" s="70">
        <f>IF(J2887&lt;&gt;0,CurrentMtgRatesDataTable8[[#This Row],[Rate]]-C2887,N2887)</f>
        <v>0.16999999999999993</v>
      </c>
    </row>
    <row r="2889" spans="1:14">
      <c r="A2889" s="67" t="s">
        <v>846</v>
      </c>
      <c r="B2889" s="68">
        <v>3.1773446759928401</v>
      </c>
      <c r="C2889" s="69">
        <v>3.94</v>
      </c>
      <c r="D2889" s="70">
        <f t="shared" si="315"/>
        <v>7</v>
      </c>
      <c r="E2889" s="70">
        <f t="shared" si="316"/>
        <v>0.2</v>
      </c>
      <c r="F2889" s="70">
        <f t="shared" si="317"/>
        <v>5</v>
      </c>
      <c r="G2889" s="70">
        <f t="shared" si="318"/>
        <v>3.1072172231762858</v>
      </c>
      <c r="H2889" s="70">
        <f t="shared" si="319"/>
        <v>1</v>
      </c>
      <c r="I2889" s="70">
        <f t="shared" si="320"/>
        <v>1</v>
      </c>
      <c r="J2889" s="70">
        <f t="shared" si="321"/>
        <v>3.1072172231762858</v>
      </c>
      <c r="K2889" s="70">
        <f>IF(CurrentMtgRatesDataTable8[[#This Row],[WA CC]]&lt;&gt;0,C2888-CurrentMtgRatesDataTable8[[#This Row],[WA CC]],0)</f>
        <v>0.83278277682371415</v>
      </c>
      <c r="L2889" s="70">
        <f>IF(CurrentMtgRatesDataTable8[[#This Row],[Servicing Spread]]&lt;=0,L2888,CurrentMtgRatesDataTable8[[#This Row],[Servicing Spread]])</f>
        <v>0.83278277682371415</v>
      </c>
      <c r="M2889" s="70">
        <f>CurrentMtgRatesDataTable8[[#This Row],[Servicing Spread Non-Zero]]-L2888</f>
        <v>-2.1840425541437725E-2</v>
      </c>
      <c r="N2889" s="70">
        <f>IF(J2888&lt;&gt;0,CurrentMtgRatesDataTable8[[#This Row],[Rate]]-C2888,N2888)</f>
        <v>0.16999999999999993</v>
      </c>
    </row>
    <row r="2890" spans="1:14">
      <c r="A2890" s="67" t="s">
        <v>847</v>
      </c>
      <c r="B2890" s="68">
        <v>3.0761153132050598</v>
      </c>
      <c r="C2890" s="69">
        <v>3.9249999999999998</v>
      </c>
      <c r="D2890" s="70">
        <f t="shared" si="315"/>
        <v>1</v>
      </c>
      <c r="E2890" s="70">
        <f t="shared" si="316"/>
        <v>0.2</v>
      </c>
      <c r="F2890" s="70">
        <f t="shared" si="317"/>
        <v>1</v>
      </c>
      <c r="G2890" s="70">
        <f t="shared" si="318"/>
        <v>0.61522306264101201</v>
      </c>
      <c r="H2890" s="70">
        <f t="shared" si="319"/>
        <v>0.2</v>
      </c>
      <c r="I2890" s="70">
        <f t="shared" si="320"/>
        <v>0</v>
      </c>
      <c r="J2890" s="70">
        <f t="shared" si="321"/>
        <v>0</v>
      </c>
      <c r="K2890" s="70">
        <f>IF(CurrentMtgRatesDataTable8[[#This Row],[WA CC]]&lt;&gt;0,C2889-CurrentMtgRatesDataTable8[[#This Row],[WA CC]],0)</f>
        <v>0</v>
      </c>
      <c r="L2890" s="70">
        <f>IF(CurrentMtgRatesDataTable8[[#This Row],[Servicing Spread]]&lt;=0,L2889,CurrentMtgRatesDataTable8[[#This Row],[Servicing Spread]])</f>
        <v>0.83278277682371415</v>
      </c>
      <c r="M2890" s="70">
        <f>CurrentMtgRatesDataTable8[[#This Row],[Servicing Spread Non-Zero]]-L2889</f>
        <v>0</v>
      </c>
      <c r="N2890" s="70">
        <f>IF(J2889&lt;&gt;0,CurrentMtgRatesDataTable8[[#This Row],[Rate]]-C2889,N2889)</f>
        <v>-1.5000000000000124E-2</v>
      </c>
    </row>
    <row r="2891" spans="1:14">
      <c r="A2891" s="67" t="s">
        <v>848</v>
      </c>
      <c r="B2891" s="68">
        <v>3.0919401279735599</v>
      </c>
      <c r="C2891" s="69">
        <v>3.9249999999999998</v>
      </c>
      <c r="D2891" s="70">
        <f t="shared" si="315"/>
        <v>2</v>
      </c>
      <c r="E2891" s="70">
        <f t="shared" si="316"/>
        <v>0.2</v>
      </c>
      <c r="F2891" s="70">
        <f t="shared" si="317"/>
        <v>2</v>
      </c>
      <c r="G2891" s="70">
        <f t="shared" si="318"/>
        <v>1.2336110882357241</v>
      </c>
      <c r="H2891" s="70">
        <f t="shared" si="319"/>
        <v>0.4</v>
      </c>
      <c r="I2891" s="70">
        <f t="shared" si="320"/>
        <v>0</v>
      </c>
      <c r="J2891" s="70">
        <f t="shared" si="321"/>
        <v>0</v>
      </c>
      <c r="K2891" s="70">
        <f>IF(CurrentMtgRatesDataTable8[[#This Row],[WA CC]]&lt;&gt;0,C2890-CurrentMtgRatesDataTable8[[#This Row],[WA CC]],0)</f>
        <v>0</v>
      </c>
      <c r="L2891" s="70">
        <f>IF(CurrentMtgRatesDataTable8[[#This Row],[Servicing Spread]]&lt;=0,L2890,CurrentMtgRatesDataTable8[[#This Row],[Servicing Spread]])</f>
        <v>0.83278277682371415</v>
      </c>
      <c r="M2891" s="70">
        <f>CurrentMtgRatesDataTable8[[#This Row],[Servicing Spread Non-Zero]]-L2890</f>
        <v>0</v>
      </c>
      <c r="N2891" s="70">
        <f>IF(J2890&lt;&gt;0,CurrentMtgRatesDataTable8[[#This Row],[Rate]]-C2890,N2890)</f>
        <v>-1.5000000000000124E-2</v>
      </c>
    </row>
    <row r="2892" spans="1:14">
      <c r="A2892" s="67" t="s">
        <v>849</v>
      </c>
      <c r="B2892" s="68">
        <v>3.0848485059502999</v>
      </c>
      <c r="C2892" s="69">
        <v>3.9249999999999998</v>
      </c>
      <c r="D2892" s="70">
        <f t="shared" si="315"/>
        <v>5</v>
      </c>
      <c r="E2892" s="70">
        <f t="shared" si="316"/>
        <v>0.2</v>
      </c>
      <c r="F2892" s="70">
        <f t="shared" si="317"/>
        <v>3</v>
      </c>
      <c r="G2892" s="70">
        <f t="shared" si="318"/>
        <v>1.8505807894257842</v>
      </c>
      <c r="H2892" s="70">
        <f t="shared" si="319"/>
        <v>0.60000000000000009</v>
      </c>
      <c r="I2892" s="70">
        <f t="shared" si="320"/>
        <v>0</v>
      </c>
      <c r="J2892" s="70">
        <f t="shared" si="321"/>
        <v>0</v>
      </c>
      <c r="K2892" s="70">
        <f>IF(CurrentMtgRatesDataTable8[[#This Row],[WA CC]]&lt;&gt;0,C2891-CurrentMtgRatesDataTable8[[#This Row],[WA CC]],0)</f>
        <v>0</v>
      </c>
      <c r="L2892" s="70">
        <f>IF(CurrentMtgRatesDataTable8[[#This Row],[Servicing Spread]]&lt;=0,L2891,CurrentMtgRatesDataTable8[[#This Row],[Servicing Spread]])</f>
        <v>0.83278277682371415</v>
      </c>
      <c r="M2892" s="70">
        <f>CurrentMtgRatesDataTable8[[#This Row],[Servicing Spread Non-Zero]]-L2891</f>
        <v>0</v>
      </c>
      <c r="N2892" s="70">
        <f>IF(J2891&lt;&gt;0,CurrentMtgRatesDataTable8[[#This Row],[Rate]]-C2891,N2891)</f>
        <v>-1.5000000000000124E-2</v>
      </c>
    </row>
    <row r="2893" spans="1:14">
      <c r="A2893" s="67" t="s">
        <v>850</v>
      </c>
      <c r="B2893" s="68">
        <v>3.0537402902567599</v>
      </c>
      <c r="C2893" s="69">
        <v>3.9249999999999998</v>
      </c>
      <c r="D2893" s="70">
        <f t="shared" si="315"/>
        <v>6</v>
      </c>
      <c r="E2893" s="70">
        <f t="shared" si="316"/>
        <v>0.2</v>
      </c>
      <c r="F2893" s="70">
        <f t="shared" si="317"/>
        <v>4</v>
      </c>
      <c r="G2893" s="70">
        <f t="shared" si="318"/>
        <v>2.4613288474771364</v>
      </c>
      <c r="H2893" s="70">
        <f t="shared" si="319"/>
        <v>0.8</v>
      </c>
      <c r="I2893" s="70">
        <f t="shared" si="320"/>
        <v>0</v>
      </c>
      <c r="J2893" s="70">
        <f t="shared" si="321"/>
        <v>0</v>
      </c>
      <c r="K2893" s="70">
        <f>IF(CurrentMtgRatesDataTable8[[#This Row],[WA CC]]&lt;&gt;0,C2892-CurrentMtgRatesDataTable8[[#This Row],[WA CC]],0)</f>
        <v>0</v>
      </c>
      <c r="L2893" s="70">
        <f>IF(CurrentMtgRatesDataTable8[[#This Row],[Servicing Spread]]&lt;=0,L2892,CurrentMtgRatesDataTable8[[#This Row],[Servicing Spread]])</f>
        <v>0.83278277682371415</v>
      </c>
      <c r="M2893" s="70">
        <f>CurrentMtgRatesDataTable8[[#This Row],[Servicing Spread Non-Zero]]-L2892</f>
        <v>0</v>
      </c>
      <c r="N2893" s="70">
        <f>IF(J2892&lt;&gt;0,CurrentMtgRatesDataTable8[[#This Row],[Rate]]-C2892,N2892)</f>
        <v>-1.5000000000000124E-2</v>
      </c>
    </row>
    <row r="2894" spans="1:14">
      <c r="A2894" s="67" t="s">
        <v>851</v>
      </c>
      <c r="B2894" s="68">
        <v>3.03216152423493</v>
      </c>
      <c r="C2894" s="69">
        <v>3.9249999999999998</v>
      </c>
      <c r="D2894" s="70">
        <f t="shared" si="315"/>
        <v>7</v>
      </c>
      <c r="E2894" s="70">
        <f t="shared" si="316"/>
        <v>0.2</v>
      </c>
      <c r="F2894" s="70">
        <f t="shared" si="317"/>
        <v>5</v>
      </c>
      <c r="G2894" s="70">
        <f t="shared" si="318"/>
        <v>3.0677611523241226</v>
      </c>
      <c r="H2894" s="70">
        <f t="shared" si="319"/>
        <v>1</v>
      </c>
      <c r="I2894" s="70">
        <f t="shared" si="320"/>
        <v>1</v>
      </c>
      <c r="J2894" s="70">
        <f t="shared" si="321"/>
        <v>3.0677611523241226</v>
      </c>
      <c r="K2894" s="70">
        <f>IF(CurrentMtgRatesDataTable8[[#This Row],[WA CC]]&lt;&gt;0,C2893-CurrentMtgRatesDataTable8[[#This Row],[WA CC]],0)</f>
        <v>0.85723884767587721</v>
      </c>
      <c r="L2894" s="70">
        <f>IF(CurrentMtgRatesDataTable8[[#This Row],[Servicing Spread]]&lt;=0,L2893,CurrentMtgRatesDataTable8[[#This Row],[Servicing Spread]])</f>
        <v>0.85723884767587721</v>
      </c>
      <c r="M2894" s="70">
        <f>CurrentMtgRatesDataTable8[[#This Row],[Servicing Spread Non-Zero]]-L2893</f>
        <v>2.4456070852163059E-2</v>
      </c>
      <c r="N2894" s="70">
        <f>IF(J2893&lt;&gt;0,CurrentMtgRatesDataTable8[[#This Row],[Rate]]-C2893,N2893)</f>
        <v>-1.5000000000000124E-2</v>
      </c>
    </row>
    <row r="2895" spans="1:14">
      <c r="A2895" s="67" t="s">
        <v>852</v>
      </c>
      <c r="B2895" s="68">
        <v>3.0468019127231698</v>
      </c>
      <c r="C2895" s="69">
        <v>3.9449999999999994</v>
      </c>
      <c r="D2895" s="70">
        <f t="shared" si="315"/>
        <v>1</v>
      </c>
      <c r="E2895" s="70">
        <f t="shared" si="316"/>
        <v>0.2</v>
      </c>
      <c r="F2895" s="70">
        <f t="shared" si="317"/>
        <v>1</v>
      </c>
      <c r="G2895" s="70">
        <f t="shared" si="318"/>
        <v>0.60936038254463398</v>
      </c>
      <c r="H2895" s="70">
        <f t="shared" si="319"/>
        <v>0.2</v>
      </c>
      <c r="I2895" s="70">
        <f t="shared" si="320"/>
        <v>0</v>
      </c>
      <c r="J2895" s="70">
        <f t="shared" si="321"/>
        <v>0</v>
      </c>
      <c r="K2895" s="70">
        <f>IF(CurrentMtgRatesDataTable8[[#This Row],[WA CC]]&lt;&gt;0,C2894-CurrentMtgRatesDataTable8[[#This Row],[WA CC]],0)</f>
        <v>0</v>
      </c>
      <c r="L2895" s="70">
        <f>IF(CurrentMtgRatesDataTable8[[#This Row],[Servicing Spread]]&lt;=0,L2894,CurrentMtgRatesDataTable8[[#This Row],[Servicing Spread]])</f>
        <v>0.85723884767587721</v>
      </c>
      <c r="M2895" s="70">
        <f>CurrentMtgRatesDataTable8[[#This Row],[Servicing Spread Non-Zero]]-L2894</f>
        <v>0</v>
      </c>
      <c r="N2895" s="70">
        <f>IF(J2894&lt;&gt;0,CurrentMtgRatesDataTable8[[#This Row],[Rate]]-C2894,N2894)</f>
        <v>1.9999999999999574E-2</v>
      </c>
    </row>
    <row r="2896" spans="1:14">
      <c r="A2896" s="67" t="s">
        <v>853</v>
      </c>
      <c r="B2896" s="68">
        <v>2.9822174038917302</v>
      </c>
      <c r="C2896" s="69">
        <v>3.9449999999999994</v>
      </c>
      <c r="D2896" s="70">
        <f t="shared" si="315"/>
        <v>2</v>
      </c>
      <c r="E2896" s="70">
        <f t="shared" si="316"/>
        <v>0.2</v>
      </c>
      <c r="F2896" s="70">
        <f t="shared" si="317"/>
        <v>2</v>
      </c>
      <c r="G2896" s="70">
        <f t="shared" si="318"/>
        <v>1.2058038633229802</v>
      </c>
      <c r="H2896" s="70">
        <f t="shared" si="319"/>
        <v>0.4</v>
      </c>
      <c r="I2896" s="70">
        <f t="shared" si="320"/>
        <v>0</v>
      </c>
      <c r="J2896" s="70">
        <f t="shared" si="321"/>
        <v>0</v>
      </c>
      <c r="K2896" s="70">
        <f>IF(CurrentMtgRatesDataTable8[[#This Row],[WA CC]]&lt;&gt;0,C2895-CurrentMtgRatesDataTable8[[#This Row],[WA CC]],0)</f>
        <v>0</v>
      </c>
      <c r="L2896" s="70">
        <f>IF(CurrentMtgRatesDataTable8[[#This Row],[Servicing Spread]]&lt;=0,L2895,CurrentMtgRatesDataTable8[[#This Row],[Servicing Spread]])</f>
        <v>0.85723884767587721</v>
      </c>
      <c r="M2896" s="70">
        <f>CurrentMtgRatesDataTable8[[#This Row],[Servicing Spread Non-Zero]]-L2895</f>
        <v>0</v>
      </c>
      <c r="N2896" s="70">
        <f>IF(J2895&lt;&gt;0,CurrentMtgRatesDataTable8[[#This Row],[Rate]]-C2895,N2895)</f>
        <v>1.9999999999999574E-2</v>
      </c>
    </row>
    <row r="2897" spans="1:14">
      <c r="A2897" s="67" t="s">
        <v>854</v>
      </c>
      <c r="B2897" s="68">
        <v>3.0761568887156101</v>
      </c>
      <c r="C2897" s="69">
        <v>3.9449999999999994</v>
      </c>
      <c r="D2897" s="70">
        <f t="shared" si="315"/>
        <v>5</v>
      </c>
      <c r="E2897" s="70">
        <f t="shared" si="316"/>
        <v>0.2</v>
      </c>
      <c r="F2897" s="70">
        <f t="shared" si="317"/>
        <v>3</v>
      </c>
      <c r="G2897" s="70">
        <f t="shared" si="318"/>
        <v>1.8210352410661024</v>
      </c>
      <c r="H2897" s="70">
        <f t="shared" si="319"/>
        <v>0.60000000000000009</v>
      </c>
      <c r="I2897" s="70">
        <f t="shared" si="320"/>
        <v>0</v>
      </c>
      <c r="J2897" s="70">
        <f t="shared" si="321"/>
        <v>0</v>
      </c>
      <c r="K2897" s="70">
        <f>IF(CurrentMtgRatesDataTable8[[#This Row],[WA CC]]&lt;&gt;0,C2896-CurrentMtgRatesDataTable8[[#This Row],[WA CC]],0)</f>
        <v>0</v>
      </c>
      <c r="L2897" s="70">
        <f>IF(CurrentMtgRatesDataTable8[[#This Row],[Servicing Spread]]&lt;=0,L2896,CurrentMtgRatesDataTable8[[#This Row],[Servicing Spread]])</f>
        <v>0.85723884767587721</v>
      </c>
      <c r="M2897" s="70">
        <f>CurrentMtgRatesDataTable8[[#This Row],[Servicing Spread Non-Zero]]-L2896</f>
        <v>0</v>
      </c>
      <c r="N2897" s="70">
        <f>IF(J2896&lt;&gt;0,CurrentMtgRatesDataTable8[[#This Row],[Rate]]-C2896,N2896)</f>
        <v>1.9999999999999574E-2</v>
      </c>
    </row>
    <row r="2898" spans="1:14">
      <c r="A2898" s="67" t="s">
        <v>855</v>
      </c>
      <c r="B2898" s="68">
        <v>3.1219045210798799</v>
      </c>
      <c r="C2898" s="69">
        <v>3.9449999999999994</v>
      </c>
      <c r="D2898" s="70">
        <f t="shared" si="315"/>
        <v>6</v>
      </c>
      <c r="E2898" s="70">
        <f t="shared" si="316"/>
        <v>0.2</v>
      </c>
      <c r="F2898" s="70">
        <f t="shared" si="317"/>
        <v>4</v>
      </c>
      <c r="G2898" s="70">
        <f t="shared" si="318"/>
        <v>2.4454161452820786</v>
      </c>
      <c r="H2898" s="70">
        <f t="shared" si="319"/>
        <v>0.8</v>
      </c>
      <c r="I2898" s="70">
        <f t="shared" si="320"/>
        <v>0</v>
      </c>
      <c r="J2898" s="70">
        <f t="shared" si="321"/>
        <v>0</v>
      </c>
      <c r="K2898" s="70">
        <f>IF(CurrentMtgRatesDataTable8[[#This Row],[WA CC]]&lt;&gt;0,C2897-CurrentMtgRatesDataTable8[[#This Row],[WA CC]],0)</f>
        <v>0</v>
      </c>
      <c r="L2898" s="70">
        <f>IF(CurrentMtgRatesDataTable8[[#This Row],[Servicing Spread]]&lt;=0,L2897,CurrentMtgRatesDataTable8[[#This Row],[Servicing Spread]])</f>
        <v>0.85723884767587721</v>
      </c>
      <c r="M2898" s="70">
        <f>CurrentMtgRatesDataTable8[[#This Row],[Servicing Spread Non-Zero]]-L2897</f>
        <v>0</v>
      </c>
      <c r="N2898" s="70">
        <f>IF(J2897&lt;&gt;0,CurrentMtgRatesDataTable8[[#This Row],[Rate]]-C2897,N2897)</f>
        <v>1.9999999999999574E-2</v>
      </c>
    </row>
    <row r="2899" spans="1:14">
      <c r="A2899" s="67" t="s">
        <v>856</v>
      </c>
      <c r="B2899" s="68">
        <v>3.0912606104251101</v>
      </c>
      <c r="C2899" s="69">
        <v>3.9449999999999994</v>
      </c>
      <c r="D2899" s="70">
        <f t="shared" si="315"/>
        <v>7</v>
      </c>
      <c r="E2899" s="70">
        <f t="shared" si="316"/>
        <v>0.2</v>
      </c>
      <c r="F2899" s="70">
        <f t="shared" si="317"/>
        <v>5</v>
      </c>
      <c r="G2899" s="70">
        <f t="shared" si="318"/>
        <v>3.0636682673671007</v>
      </c>
      <c r="H2899" s="70">
        <f t="shared" si="319"/>
        <v>1</v>
      </c>
      <c r="I2899" s="70">
        <f t="shared" si="320"/>
        <v>1</v>
      </c>
      <c r="J2899" s="70">
        <f t="shared" si="321"/>
        <v>3.0636682673671007</v>
      </c>
      <c r="K2899" s="70">
        <f>IF(CurrentMtgRatesDataTable8[[#This Row],[WA CC]]&lt;&gt;0,C2898-CurrentMtgRatesDataTable8[[#This Row],[WA CC]],0)</f>
        <v>0.88133173263289866</v>
      </c>
      <c r="L2899" s="70">
        <f>IF(CurrentMtgRatesDataTable8[[#This Row],[Servicing Spread]]&lt;=0,L2898,CurrentMtgRatesDataTable8[[#This Row],[Servicing Spread]])</f>
        <v>0.88133173263289866</v>
      </c>
      <c r="M2899" s="70">
        <f>CurrentMtgRatesDataTable8[[#This Row],[Servicing Spread Non-Zero]]-L2898</f>
        <v>2.4092884957021443E-2</v>
      </c>
      <c r="N2899" s="70">
        <f>IF(J2898&lt;&gt;0,CurrentMtgRatesDataTable8[[#This Row],[Rate]]-C2898,N2898)</f>
        <v>1.9999999999999574E-2</v>
      </c>
    </row>
    <row r="2900" spans="1:14">
      <c r="A2900" s="67" t="s">
        <v>857</v>
      </c>
      <c r="B2900" s="68">
        <v>3.1158923075545402</v>
      </c>
      <c r="C2900" s="69">
        <v>3.98</v>
      </c>
      <c r="D2900" s="70">
        <f t="shared" si="315"/>
        <v>1</v>
      </c>
      <c r="E2900" s="70">
        <f t="shared" si="316"/>
        <v>0.2</v>
      </c>
      <c r="F2900" s="70">
        <f t="shared" si="317"/>
        <v>1</v>
      </c>
      <c r="G2900" s="70">
        <f t="shared" si="318"/>
        <v>0.62317846151090805</v>
      </c>
      <c r="H2900" s="70">
        <f t="shared" si="319"/>
        <v>0.2</v>
      </c>
      <c r="I2900" s="70">
        <f t="shared" si="320"/>
        <v>0</v>
      </c>
      <c r="J2900" s="70">
        <f t="shared" si="321"/>
        <v>0</v>
      </c>
      <c r="K2900" s="70">
        <f>IF(CurrentMtgRatesDataTable8[[#This Row],[WA CC]]&lt;&gt;0,C2899-CurrentMtgRatesDataTable8[[#This Row],[WA CC]],0)</f>
        <v>0</v>
      </c>
      <c r="L2900" s="70">
        <f>IF(CurrentMtgRatesDataTable8[[#This Row],[Servicing Spread]]&lt;=0,L2899,CurrentMtgRatesDataTable8[[#This Row],[Servicing Spread]])</f>
        <v>0.88133173263289866</v>
      </c>
      <c r="M2900" s="70">
        <f>CurrentMtgRatesDataTable8[[#This Row],[Servicing Spread Non-Zero]]-L2899</f>
        <v>0</v>
      </c>
      <c r="N2900" s="70">
        <f>IF(J2899&lt;&gt;0,CurrentMtgRatesDataTable8[[#This Row],[Rate]]-C2899,N2899)</f>
        <v>3.5000000000000586E-2</v>
      </c>
    </row>
    <row r="2901" spans="1:14">
      <c r="A2901" s="67" t="s">
        <v>858</v>
      </c>
      <c r="B2901" s="68">
        <v>3.2022687944333499</v>
      </c>
      <c r="C2901" s="69">
        <v>3.98</v>
      </c>
      <c r="D2901" s="70">
        <f t="shared" si="315"/>
        <v>2</v>
      </c>
      <c r="E2901" s="70">
        <f t="shared" si="316"/>
        <v>0.2</v>
      </c>
      <c r="F2901" s="70">
        <f t="shared" si="317"/>
        <v>2</v>
      </c>
      <c r="G2901" s="70">
        <f t="shared" si="318"/>
        <v>1.2636322203975781</v>
      </c>
      <c r="H2901" s="70">
        <f t="shared" si="319"/>
        <v>0.4</v>
      </c>
      <c r="I2901" s="70">
        <f t="shared" si="320"/>
        <v>0</v>
      </c>
      <c r="J2901" s="70">
        <f t="shared" si="321"/>
        <v>0</v>
      </c>
      <c r="K2901" s="70">
        <f>IF(CurrentMtgRatesDataTable8[[#This Row],[WA CC]]&lt;&gt;0,C2900-CurrentMtgRatesDataTable8[[#This Row],[WA CC]],0)</f>
        <v>0</v>
      </c>
      <c r="L2901" s="70">
        <f>IF(CurrentMtgRatesDataTable8[[#This Row],[Servicing Spread]]&lt;=0,L2900,CurrentMtgRatesDataTable8[[#This Row],[Servicing Spread]])</f>
        <v>0.88133173263289866</v>
      </c>
      <c r="M2901" s="70">
        <f>CurrentMtgRatesDataTable8[[#This Row],[Servicing Spread Non-Zero]]-L2900</f>
        <v>0</v>
      </c>
      <c r="N2901" s="70">
        <f>IF(J2900&lt;&gt;0,CurrentMtgRatesDataTable8[[#This Row],[Rate]]-C2900,N2900)</f>
        <v>3.5000000000000586E-2</v>
      </c>
    </row>
    <row r="2902" spans="1:14">
      <c r="A2902" s="67" t="s">
        <v>859</v>
      </c>
      <c r="B2902" s="68">
        <v>3.0851869199683102</v>
      </c>
      <c r="C2902" s="69">
        <v>3.98</v>
      </c>
      <c r="D2902" s="70">
        <f t="shared" si="315"/>
        <v>5</v>
      </c>
      <c r="E2902" s="70">
        <f t="shared" si="316"/>
        <v>0.2</v>
      </c>
      <c r="F2902" s="70">
        <f t="shared" si="317"/>
        <v>3</v>
      </c>
      <c r="G2902" s="70">
        <f t="shared" si="318"/>
        <v>1.8806696043912401</v>
      </c>
      <c r="H2902" s="70">
        <f t="shared" si="319"/>
        <v>0.60000000000000009</v>
      </c>
      <c r="I2902" s="70">
        <f t="shared" si="320"/>
        <v>0</v>
      </c>
      <c r="J2902" s="70">
        <f t="shared" si="321"/>
        <v>0</v>
      </c>
      <c r="K2902" s="70">
        <f>IF(CurrentMtgRatesDataTable8[[#This Row],[WA CC]]&lt;&gt;0,C2901-CurrentMtgRatesDataTable8[[#This Row],[WA CC]],0)</f>
        <v>0</v>
      </c>
      <c r="L2902" s="70">
        <f>IF(CurrentMtgRatesDataTable8[[#This Row],[Servicing Spread]]&lt;=0,L2901,CurrentMtgRatesDataTable8[[#This Row],[Servicing Spread]])</f>
        <v>0.88133173263289866</v>
      </c>
      <c r="M2902" s="70">
        <f>CurrentMtgRatesDataTable8[[#This Row],[Servicing Spread Non-Zero]]-L2901</f>
        <v>0</v>
      </c>
      <c r="N2902" s="70">
        <f>IF(J2901&lt;&gt;0,CurrentMtgRatesDataTable8[[#This Row],[Rate]]-C2901,N2901)</f>
        <v>3.5000000000000586E-2</v>
      </c>
    </row>
    <row r="2903" spans="1:14">
      <c r="A2903" s="67" t="s">
        <v>860</v>
      </c>
      <c r="B2903" s="68">
        <v>3.0732804432921599</v>
      </c>
      <c r="C2903" s="69">
        <v>3.98</v>
      </c>
      <c r="D2903" s="70">
        <f t="shared" si="315"/>
        <v>6</v>
      </c>
      <c r="E2903" s="70">
        <f t="shared" si="316"/>
        <v>0.2</v>
      </c>
      <c r="F2903" s="70">
        <f t="shared" si="317"/>
        <v>4</v>
      </c>
      <c r="G2903" s="70">
        <f t="shared" si="318"/>
        <v>2.4953256930496721</v>
      </c>
      <c r="H2903" s="70">
        <f t="shared" si="319"/>
        <v>0.8</v>
      </c>
      <c r="I2903" s="70">
        <f t="shared" si="320"/>
        <v>0</v>
      </c>
      <c r="J2903" s="70">
        <f t="shared" si="321"/>
        <v>0</v>
      </c>
      <c r="K2903" s="70">
        <f>IF(CurrentMtgRatesDataTable8[[#This Row],[WA CC]]&lt;&gt;0,C2902-CurrentMtgRatesDataTable8[[#This Row],[WA CC]],0)</f>
        <v>0</v>
      </c>
      <c r="L2903" s="70">
        <f>IF(CurrentMtgRatesDataTable8[[#This Row],[Servicing Spread]]&lt;=0,L2902,CurrentMtgRatesDataTable8[[#This Row],[Servicing Spread]])</f>
        <v>0.88133173263289866</v>
      </c>
      <c r="M2903" s="70">
        <f>CurrentMtgRatesDataTable8[[#This Row],[Servicing Spread Non-Zero]]-L2902</f>
        <v>0</v>
      </c>
      <c r="N2903" s="70">
        <f>IF(J2902&lt;&gt;0,CurrentMtgRatesDataTable8[[#This Row],[Rate]]-C2902,N2902)</f>
        <v>3.5000000000000586E-2</v>
      </c>
    </row>
    <row r="2904" spans="1:14">
      <c r="A2904" s="67" t="s">
        <v>861</v>
      </c>
      <c r="B2904" s="68">
        <v>3.16276525236256</v>
      </c>
      <c r="C2904" s="69">
        <v>3.98</v>
      </c>
      <c r="D2904" s="70">
        <f t="shared" si="315"/>
        <v>7</v>
      </c>
      <c r="E2904" s="70">
        <f t="shared" si="316"/>
        <v>0.2</v>
      </c>
      <c r="F2904" s="70">
        <f t="shared" si="317"/>
        <v>5</v>
      </c>
      <c r="G2904" s="70">
        <f t="shared" si="318"/>
        <v>3.1278787435221842</v>
      </c>
      <c r="H2904" s="70">
        <f t="shared" si="319"/>
        <v>1</v>
      </c>
      <c r="I2904" s="70">
        <f t="shared" si="320"/>
        <v>1</v>
      </c>
      <c r="J2904" s="70">
        <f t="shared" si="321"/>
        <v>3.1278787435221842</v>
      </c>
      <c r="K2904" s="70">
        <f>IF(CurrentMtgRatesDataTable8[[#This Row],[WA CC]]&lt;&gt;0,C2903-CurrentMtgRatesDataTable8[[#This Row],[WA CC]],0)</f>
        <v>0.85212125647781578</v>
      </c>
      <c r="L2904" s="70">
        <f>IF(CurrentMtgRatesDataTable8[[#This Row],[Servicing Spread]]&lt;=0,L2903,CurrentMtgRatesDataTable8[[#This Row],[Servicing Spread]])</f>
        <v>0.85212125647781578</v>
      </c>
      <c r="M2904" s="70">
        <f>CurrentMtgRatesDataTable8[[#This Row],[Servicing Spread Non-Zero]]-L2903</f>
        <v>-2.9210476155082876E-2</v>
      </c>
      <c r="N2904" s="70">
        <f>IF(J2903&lt;&gt;0,CurrentMtgRatesDataTable8[[#This Row],[Rate]]-C2903,N2903)</f>
        <v>3.5000000000000586E-2</v>
      </c>
    </row>
    <row r="2905" spans="1:14">
      <c r="A2905" s="67" t="s">
        <v>863</v>
      </c>
      <c r="B2905" s="68">
        <v>3.1329453977786899</v>
      </c>
      <c r="C2905" s="69">
        <v>3.94</v>
      </c>
      <c r="D2905" s="70">
        <f t="shared" si="315"/>
        <v>1</v>
      </c>
      <c r="E2905" s="70">
        <f t="shared" si="316"/>
        <v>0.2</v>
      </c>
      <c r="F2905" s="70">
        <f t="shared" si="317"/>
        <v>1</v>
      </c>
      <c r="G2905" s="70">
        <f t="shared" si="318"/>
        <v>0.62658907955573806</v>
      </c>
      <c r="H2905" s="70">
        <f t="shared" si="319"/>
        <v>0.2</v>
      </c>
      <c r="I2905" s="70">
        <f t="shared" si="320"/>
        <v>0</v>
      </c>
      <c r="J2905" s="70">
        <f t="shared" si="321"/>
        <v>0</v>
      </c>
      <c r="K2905" s="70">
        <f>IF(CurrentMtgRatesDataTable8[[#This Row],[WA CC]]&lt;&gt;0,C2904-CurrentMtgRatesDataTable8[[#This Row],[WA CC]],0)</f>
        <v>0</v>
      </c>
      <c r="L2905" s="70">
        <f>IF(CurrentMtgRatesDataTable8[[#This Row],[Servicing Spread]]&lt;=0,L2904,CurrentMtgRatesDataTable8[[#This Row],[Servicing Spread]])</f>
        <v>0.85212125647781578</v>
      </c>
      <c r="M2905" s="70">
        <f>CurrentMtgRatesDataTable8[[#This Row],[Servicing Spread Non-Zero]]-L2904</f>
        <v>0</v>
      </c>
      <c r="N2905" s="70">
        <f>IF(J2904&lt;&gt;0,CurrentMtgRatesDataTable8[[#This Row],[Rate]]-C2904,N2904)</f>
        <v>-4.0000000000000036E-2</v>
      </c>
    </row>
    <row r="2906" spans="1:14">
      <c r="A2906" s="67" t="s">
        <v>864</v>
      </c>
      <c r="B2906" s="68">
        <v>3.0409627195865201</v>
      </c>
      <c r="C2906" s="69">
        <v>3.94</v>
      </c>
      <c r="D2906" s="70">
        <f t="shared" si="315"/>
        <v>5</v>
      </c>
      <c r="E2906" s="70">
        <f t="shared" si="316"/>
        <v>0.2</v>
      </c>
      <c r="F2906" s="70">
        <f t="shared" si="317"/>
        <v>2</v>
      </c>
      <c r="G2906" s="70">
        <f t="shared" si="318"/>
        <v>1.234781623473042</v>
      </c>
      <c r="H2906" s="70">
        <f t="shared" si="319"/>
        <v>0.4</v>
      </c>
      <c r="I2906" s="70">
        <f t="shared" si="320"/>
        <v>0</v>
      </c>
      <c r="J2906" s="70">
        <f t="shared" si="321"/>
        <v>0</v>
      </c>
      <c r="K2906" s="70">
        <f>IF(CurrentMtgRatesDataTable8[[#This Row],[WA CC]]&lt;&gt;0,C2905-CurrentMtgRatesDataTable8[[#This Row],[WA CC]],0)</f>
        <v>0</v>
      </c>
      <c r="L2906" s="70">
        <f>IF(CurrentMtgRatesDataTable8[[#This Row],[Servicing Spread]]&lt;=0,L2905,CurrentMtgRatesDataTable8[[#This Row],[Servicing Spread]])</f>
        <v>0.85212125647781578</v>
      </c>
      <c r="M2906" s="70">
        <f>CurrentMtgRatesDataTable8[[#This Row],[Servicing Spread Non-Zero]]-L2905</f>
        <v>0</v>
      </c>
      <c r="N2906" s="70">
        <f>IF(J2905&lt;&gt;0,CurrentMtgRatesDataTable8[[#This Row],[Rate]]-C2905,N2905)</f>
        <v>-4.0000000000000036E-2</v>
      </c>
    </row>
    <row r="2907" spans="1:14">
      <c r="A2907" s="67" t="s">
        <v>865</v>
      </c>
      <c r="B2907" s="68">
        <v>3.00985191194196</v>
      </c>
      <c r="C2907" s="69">
        <v>3.94</v>
      </c>
      <c r="D2907" s="70">
        <f t="shared" si="315"/>
        <v>6</v>
      </c>
      <c r="E2907" s="70">
        <f t="shared" si="316"/>
        <v>0.2</v>
      </c>
      <c r="F2907" s="70">
        <f t="shared" si="317"/>
        <v>3</v>
      </c>
      <c r="G2907" s="70">
        <f t="shared" si="318"/>
        <v>1.8367520058614342</v>
      </c>
      <c r="H2907" s="70">
        <f t="shared" si="319"/>
        <v>0.60000000000000009</v>
      </c>
      <c r="I2907" s="70">
        <f t="shared" si="320"/>
        <v>0</v>
      </c>
      <c r="J2907" s="70">
        <f t="shared" si="321"/>
        <v>0</v>
      </c>
      <c r="K2907" s="70">
        <f>IF(CurrentMtgRatesDataTable8[[#This Row],[WA CC]]&lt;&gt;0,C2906-CurrentMtgRatesDataTable8[[#This Row],[WA CC]],0)</f>
        <v>0</v>
      </c>
      <c r="L2907" s="70">
        <f>IF(CurrentMtgRatesDataTable8[[#This Row],[Servicing Spread]]&lt;=0,L2906,CurrentMtgRatesDataTable8[[#This Row],[Servicing Spread]])</f>
        <v>0.85212125647781578</v>
      </c>
      <c r="M2907" s="70">
        <f>CurrentMtgRatesDataTable8[[#This Row],[Servicing Spread Non-Zero]]-L2906</f>
        <v>0</v>
      </c>
      <c r="N2907" s="70">
        <f>IF(J2906&lt;&gt;0,CurrentMtgRatesDataTable8[[#This Row],[Rate]]-C2906,N2906)</f>
        <v>-4.0000000000000036E-2</v>
      </c>
    </row>
    <row r="2908" spans="1:14">
      <c r="A2908" s="67" t="s">
        <v>866</v>
      </c>
      <c r="B2908" s="68">
        <v>2.9791453962399599</v>
      </c>
      <c r="C2908" s="69">
        <v>3.94</v>
      </c>
      <c r="D2908" s="70">
        <f t="shared" si="315"/>
        <v>7</v>
      </c>
      <c r="E2908" s="70">
        <f t="shared" si="316"/>
        <v>0.2</v>
      </c>
      <c r="F2908" s="70">
        <f t="shared" si="317"/>
        <v>4</v>
      </c>
      <c r="G2908" s="70">
        <f t="shared" si="318"/>
        <v>2.4325810851094261</v>
      </c>
      <c r="H2908" s="70">
        <f t="shared" si="319"/>
        <v>0.8</v>
      </c>
      <c r="I2908" s="70">
        <f t="shared" si="320"/>
        <v>1</v>
      </c>
      <c r="J2908" s="70">
        <f t="shared" si="321"/>
        <v>3.0407263563867826</v>
      </c>
      <c r="K2908" s="70">
        <f>IF(CurrentMtgRatesDataTable8[[#This Row],[WA CC]]&lt;&gt;0,C2907-CurrentMtgRatesDataTable8[[#This Row],[WA CC]],0)</f>
        <v>0.89927364361321738</v>
      </c>
      <c r="L2908" s="70">
        <f>IF(CurrentMtgRatesDataTable8[[#This Row],[Servicing Spread]]&lt;=0,L2907,CurrentMtgRatesDataTable8[[#This Row],[Servicing Spread]])</f>
        <v>0.89927364361321738</v>
      </c>
      <c r="M2908" s="70">
        <f>CurrentMtgRatesDataTable8[[#This Row],[Servicing Spread Non-Zero]]-L2907</f>
        <v>4.7152387135401597E-2</v>
      </c>
      <c r="N2908" s="70">
        <f>IF(J2907&lt;&gt;0,CurrentMtgRatesDataTable8[[#This Row],[Rate]]-C2907,N2907)</f>
        <v>-4.0000000000000036E-2</v>
      </c>
    </row>
    <row r="2909" spans="1:14">
      <c r="A2909" s="67" t="s">
        <v>867</v>
      </c>
      <c r="B2909" s="68">
        <v>3.0519928057207899</v>
      </c>
      <c r="C2909" s="69">
        <v>3.9899999999999998</v>
      </c>
      <c r="D2909" s="70">
        <f t="shared" si="315"/>
        <v>1</v>
      </c>
      <c r="E2909" s="70">
        <f t="shared" si="316"/>
        <v>0.2</v>
      </c>
      <c r="F2909" s="70">
        <f t="shared" si="317"/>
        <v>1</v>
      </c>
      <c r="G2909" s="70">
        <f t="shared" si="318"/>
        <v>0.61039856114415803</v>
      </c>
      <c r="H2909" s="70">
        <f t="shared" si="319"/>
        <v>0.2</v>
      </c>
      <c r="I2909" s="70">
        <f t="shared" si="320"/>
        <v>0</v>
      </c>
      <c r="J2909" s="70">
        <f t="shared" si="321"/>
        <v>0</v>
      </c>
      <c r="K2909" s="70">
        <f>IF(CurrentMtgRatesDataTable8[[#This Row],[WA CC]]&lt;&gt;0,C2908-CurrentMtgRatesDataTable8[[#This Row],[WA CC]],0)</f>
        <v>0</v>
      </c>
      <c r="L2909" s="70">
        <f>IF(CurrentMtgRatesDataTable8[[#This Row],[Servicing Spread]]&lt;=0,L2908,CurrentMtgRatesDataTable8[[#This Row],[Servicing Spread]])</f>
        <v>0.89927364361321738</v>
      </c>
      <c r="M2909" s="70">
        <f>CurrentMtgRatesDataTable8[[#This Row],[Servicing Spread Non-Zero]]-L2908</f>
        <v>0</v>
      </c>
      <c r="N2909" s="70">
        <f>IF(J2908&lt;&gt;0,CurrentMtgRatesDataTable8[[#This Row],[Rate]]-C2908,N2908)</f>
        <v>4.9999999999999822E-2</v>
      </c>
    </row>
    <row r="2910" spans="1:14">
      <c r="A2910" s="67" t="s">
        <v>868</v>
      </c>
      <c r="B2910" s="68">
        <v>3.1469144966257199</v>
      </c>
      <c r="C2910" s="69">
        <v>3.9899999999999998</v>
      </c>
      <c r="D2910" s="70">
        <f t="shared" si="315"/>
        <v>2</v>
      </c>
      <c r="E2910" s="70">
        <f t="shared" si="316"/>
        <v>0.2</v>
      </c>
      <c r="F2910" s="70">
        <f t="shared" si="317"/>
        <v>2</v>
      </c>
      <c r="G2910" s="70">
        <f t="shared" si="318"/>
        <v>1.239781460469302</v>
      </c>
      <c r="H2910" s="70">
        <f t="shared" si="319"/>
        <v>0.4</v>
      </c>
      <c r="I2910" s="70">
        <f t="shared" si="320"/>
        <v>0</v>
      </c>
      <c r="J2910" s="70">
        <f t="shared" si="321"/>
        <v>0</v>
      </c>
      <c r="K2910" s="70">
        <f>IF(CurrentMtgRatesDataTable8[[#This Row],[WA CC]]&lt;&gt;0,C2909-CurrentMtgRatesDataTable8[[#This Row],[WA CC]],0)</f>
        <v>0</v>
      </c>
      <c r="L2910" s="70">
        <f>IF(CurrentMtgRatesDataTable8[[#This Row],[Servicing Spread]]&lt;=0,L2909,CurrentMtgRatesDataTable8[[#This Row],[Servicing Spread]])</f>
        <v>0.89927364361321738</v>
      </c>
      <c r="M2910" s="70">
        <f>CurrentMtgRatesDataTable8[[#This Row],[Servicing Spread Non-Zero]]-L2909</f>
        <v>0</v>
      </c>
      <c r="N2910" s="70">
        <f>IF(J2909&lt;&gt;0,CurrentMtgRatesDataTable8[[#This Row],[Rate]]-C2909,N2909)</f>
        <v>4.9999999999999822E-2</v>
      </c>
    </row>
    <row r="2911" spans="1:14">
      <c r="A2911" s="67" t="s">
        <v>869</v>
      </c>
      <c r="B2911" s="68">
        <v>3.1440801611331</v>
      </c>
      <c r="C2911" s="69">
        <v>3.9899999999999998</v>
      </c>
      <c r="D2911" s="70">
        <f t="shared" si="315"/>
        <v>5</v>
      </c>
      <c r="E2911" s="70">
        <f t="shared" si="316"/>
        <v>0.2</v>
      </c>
      <c r="F2911" s="70">
        <f t="shared" si="317"/>
        <v>3</v>
      </c>
      <c r="G2911" s="70">
        <f t="shared" si="318"/>
        <v>1.8685974926959221</v>
      </c>
      <c r="H2911" s="70">
        <f t="shared" si="319"/>
        <v>0.60000000000000009</v>
      </c>
      <c r="I2911" s="70">
        <f t="shared" si="320"/>
        <v>0</v>
      </c>
      <c r="J2911" s="70">
        <f t="shared" si="321"/>
        <v>0</v>
      </c>
      <c r="K2911" s="70">
        <f>IF(CurrentMtgRatesDataTable8[[#This Row],[WA CC]]&lt;&gt;0,C2910-CurrentMtgRatesDataTable8[[#This Row],[WA CC]],0)</f>
        <v>0</v>
      </c>
      <c r="L2911" s="70">
        <f>IF(CurrentMtgRatesDataTable8[[#This Row],[Servicing Spread]]&lt;=0,L2910,CurrentMtgRatesDataTable8[[#This Row],[Servicing Spread]])</f>
        <v>0.89927364361321738</v>
      </c>
      <c r="M2911" s="70">
        <f>CurrentMtgRatesDataTable8[[#This Row],[Servicing Spread Non-Zero]]-L2910</f>
        <v>0</v>
      </c>
      <c r="N2911" s="70">
        <f>IF(J2910&lt;&gt;0,CurrentMtgRatesDataTable8[[#This Row],[Rate]]-C2910,N2910)</f>
        <v>4.9999999999999822E-2</v>
      </c>
    </row>
    <row r="2912" spans="1:14">
      <c r="A2912" s="67" t="s">
        <v>870</v>
      </c>
      <c r="B2912" s="68">
        <v>3.1081065530197201</v>
      </c>
      <c r="C2912" s="69">
        <v>3.9899999999999998</v>
      </c>
      <c r="D2912" s="70">
        <f t="shared" si="315"/>
        <v>6</v>
      </c>
      <c r="E2912" s="70">
        <f t="shared" si="316"/>
        <v>0.2</v>
      </c>
      <c r="F2912" s="70">
        <f t="shared" si="317"/>
        <v>4</v>
      </c>
      <c r="G2912" s="70">
        <f t="shared" si="318"/>
        <v>2.4902188032998662</v>
      </c>
      <c r="H2912" s="70">
        <f t="shared" si="319"/>
        <v>0.8</v>
      </c>
      <c r="I2912" s="70">
        <f t="shared" si="320"/>
        <v>0</v>
      </c>
      <c r="J2912" s="70">
        <f t="shared" si="321"/>
        <v>0</v>
      </c>
      <c r="K2912" s="70">
        <f>IF(CurrentMtgRatesDataTable8[[#This Row],[WA CC]]&lt;&gt;0,C2911-CurrentMtgRatesDataTable8[[#This Row],[WA CC]],0)</f>
        <v>0</v>
      </c>
      <c r="L2912" s="70">
        <f>IF(CurrentMtgRatesDataTable8[[#This Row],[Servicing Spread]]&lt;=0,L2911,CurrentMtgRatesDataTable8[[#This Row],[Servicing Spread]])</f>
        <v>0.89927364361321738</v>
      </c>
      <c r="M2912" s="70">
        <f>CurrentMtgRatesDataTable8[[#This Row],[Servicing Spread Non-Zero]]-L2911</f>
        <v>0</v>
      </c>
      <c r="N2912" s="70">
        <f>IF(J2911&lt;&gt;0,CurrentMtgRatesDataTable8[[#This Row],[Rate]]-C2911,N2911)</f>
        <v>4.9999999999999822E-2</v>
      </c>
    </row>
    <row r="2913" spans="1:14">
      <c r="A2913" s="67" t="s">
        <v>871</v>
      </c>
      <c r="B2913" s="68">
        <v>3.0651881254767099</v>
      </c>
      <c r="C2913" s="69">
        <v>3.9899999999999998</v>
      </c>
      <c r="D2913" s="70">
        <f t="shared" si="315"/>
        <v>7</v>
      </c>
      <c r="E2913" s="70">
        <f t="shared" si="316"/>
        <v>0.2</v>
      </c>
      <c r="F2913" s="70">
        <f t="shared" si="317"/>
        <v>5</v>
      </c>
      <c r="G2913" s="70">
        <f t="shared" si="318"/>
        <v>3.1032564283952082</v>
      </c>
      <c r="H2913" s="70">
        <f t="shared" si="319"/>
        <v>1</v>
      </c>
      <c r="I2913" s="70">
        <f t="shared" si="320"/>
        <v>1</v>
      </c>
      <c r="J2913" s="70">
        <f t="shared" si="321"/>
        <v>3.1032564283952082</v>
      </c>
      <c r="K2913" s="70">
        <f>IF(CurrentMtgRatesDataTable8[[#This Row],[WA CC]]&lt;&gt;0,C2912-CurrentMtgRatesDataTable8[[#This Row],[WA CC]],0)</f>
        <v>0.88674357160479156</v>
      </c>
      <c r="L2913" s="70">
        <f>IF(CurrentMtgRatesDataTable8[[#This Row],[Servicing Spread]]&lt;=0,L2912,CurrentMtgRatesDataTable8[[#This Row],[Servicing Spread]])</f>
        <v>0.88674357160479156</v>
      </c>
      <c r="M2913" s="70">
        <f>CurrentMtgRatesDataTable8[[#This Row],[Servicing Spread Non-Zero]]-L2912</f>
        <v>-1.2530072008425819E-2</v>
      </c>
      <c r="N2913" s="70">
        <f>IF(J2912&lt;&gt;0,CurrentMtgRatesDataTable8[[#This Row],[Rate]]-C2912,N2912)</f>
        <v>4.9999999999999822E-2</v>
      </c>
    </row>
    <row r="2914" spans="1:14">
      <c r="A2914" s="67" t="s">
        <v>872</v>
      </c>
      <c r="B2914" s="68">
        <v>3.0642370952529001</v>
      </c>
      <c r="C2914" s="69">
        <v>3.94</v>
      </c>
      <c r="D2914" s="70">
        <f t="shared" si="315"/>
        <v>1</v>
      </c>
      <c r="E2914" s="70">
        <f t="shared" si="316"/>
        <v>0.2</v>
      </c>
      <c r="F2914" s="70">
        <f t="shared" si="317"/>
        <v>1</v>
      </c>
      <c r="G2914" s="70">
        <f t="shared" si="318"/>
        <v>0.61284741905058004</v>
      </c>
      <c r="H2914" s="70">
        <f t="shared" si="319"/>
        <v>0.2</v>
      </c>
      <c r="I2914" s="70">
        <f t="shared" si="320"/>
        <v>0</v>
      </c>
      <c r="J2914" s="70">
        <f t="shared" si="321"/>
        <v>0</v>
      </c>
      <c r="K2914" s="70">
        <f>IF(CurrentMtgRatesDataTable8[[#This Row],[WA CC]]&lt;&gt;0,C2913-CurrentMtgRatesDataTable8[[#This Row],[WA CC]],0)</f>
        <v>0</v>
      </c>
      <c r="L2914" s="70">
        <f>IF(CurrentMtgRatesDataTable8[[#This Row],[Servicing Spread]]&lt;=0,L2913,CurrentMtgRatesDataTable8[[#This Row],[Servicing Spread]])</f>
        <v>0.88674357160479156</v>
      </c>
      <c r="M2914" s="70">
        <f>CurrentMtgRatesDataTable8[[#This Row],[Servicing Spread Non-Zero]]-L2913</f>
        <v>0</v>
      </c>
      <c r="N2914" s="70">
        <f>IF(J2913&lt;&gt;0,CurrentMtgRatesDataTable8[[#This Row],[Rate]]-C2913,N2913)</f>
        <v>-4.9999999999999822E-2</v>
      </c>
    </row>
    <row r="2915" spans="1:14">
      <c r="A2915" s="67" t="s">
        <v>873</v>
      </c>
      <c r="B2915" s="68">
        <v>3.0508649511892498</v>
      </c>
      <c r="C2915" s="69">
        <v>3.94</v>
      </c>
      <c r="D2915" s="70">
        <f t="shared" si="315"/>
        <v>2</v>
      </c>
      <c r="E2915" s="70">
        <f t="shared" si="316"/>
        <v>0.2</v>
      </c>
      <c r="F2915" s="70">
        <f t="shared" si="317"/>
        <v>2</v>
      </c>
      <c r="G2915" s="70">
        <f t="shared" si="318"/>
        <v>1.22302040928843</v>
      </c>
      <c r="H2915" s="70">
        <f t="shared" si="319"/>
        <v>0.4</v>
      </c>
      <c r="I2915" s="70">
        <f t="shared" si="320"/>
        <v>0</v>
      </c>
      <c r="J2915" s="70">
        <f t="shared" si="321"/>
        <v>0</v>
      </c>
      <c r="K2915" s="70">
        <f>IF(CurrentMtgRatesDataTable8[[#This Row],[WA CC]]&lt;&gt;0,C2914-CurrentMtgRatesDataTable8[[#This Row],[WA CC]],0)</f>
        <v>0</v>
      </c>
      <c r="L2915" s="70">
        <f>IF(CurrentMtgRatesDataTable8[[#This Row],[Servicing Spread]]&lt;=0,L2914,CurrentMtgRatesDataTable8[[#This Row],[Servicing Spread]])</f>
        <v>0.88674357160479156</v>
      </c>
      <c r="M2915" s="70">
        <f>CurrentMtgRatesDataTable8[[#This Row],[Servicing Spread Non-Zero]]-L2914</f>
        <v>0</v>
      </c>
      <c r="N2915" s="70">
        <f>IF(J2914&lt;&gt;0,CurrentMtgRatesDataTable8[[#This Row],[Rate]]-C2914,N2914)</f>
        <v>-4.9999999999999822E-2</v>
      </c>
    </row>
    <row r="2916" spans="1:14">
      <c r="A2916" s="67" t="s">
        <v>874</v>
      </c>
      <c r="B2916" s="68">
        <v>3.07026860246684</v>
      </c>
      <c r="C2916" s="69">
        <v>3.94</v>
      </c>
      <c r="D2916" s="70">
        <f t="shared" si="315"/>
        <v>5</v>
      </c>
      <c r="E2916" s="70">
        <f t="shared" si="316"/>
        <v>0.2</v>
      </c>
      <c r="F2916" s="70">
        <f t="shared" si="317"/>
        <v>3</v>
      </c>
      <c r="G2916" s="70">
        <f t="shared" si="318"/>
        <v>1.8370741297817981</v>
      </c>
      <c r="H2916" s="70">
        <f t="shared" si="319"/>
        <v>0.60000000000000009</v>
      </c>
      <c r="I2916" s="70">
        <f t="shared" si="320"/>
        <v>0</v>
      </c>
      <c r="J2916" s="70">
        <f t="shared" si="321"/>
        <v>0</v>
      </c>
      <c r="K2916" s="70">
        <f>IF(CurrentMtgRatesDataTable8[[#This Row],[WA CC]]&lt;&gt;0,C2915-CurrentMtgRatesDataTable8[[#This Row],[WA CC]],0)</f>
        <v>0</v>
      </c>
      <c r="L2916" s="70">
        <f>IF(CurrentMtgRatesDataTable8[[#This Row],[Servicing Spread]]&lt;=0,L2915,CurrentMtgRatesDataTable8[[#This Row],[Servicing Spread]])</f>
        <v>0.88674357160479156</v>
      </c>
      <c r="M2916" s="70">
        <f>CurrentMtgRatesDataTable8[[#This Row],[Servicing Spread Non-Zero]]-L2915</f>
        <v>0</v>
      </c>
      <c r="N2916" s="70">
        <f>IF(J2915&lt;&gt;0,CurrentMtgRatesDataTable8[[#This Row],[Rate]]-C2915,N2915)</f>
        <v>-4.9999999999999822E-2</v>
      </c>
    </row>
    <row r="2917" spans="1:14">
      <c r="A2917" s="67" t="s">
        <v>875</v>
      </c>
      <c r="B2917" s="68">
        <v>3.04099858929172</v>
      </c>
      <c r="C2917" s="69">
        <v>3.94</v>
      </c>
      <c r="D2917" s="70">
        <f t="shared" si="315"/>
        <v>6</v>
      </c>
      <c r="E2917" s="70">
        <f t="shared" si="316"/>
        <v>0.2</v>
      </c>
      <c r="F2917" s="70">
        <f t="shared" si="317"/>
        <v>4</v>
      </c>
      <c r="G2917" s="70">
        <f t="shared" si="318"/>
        <v>2.4452738476401423</v>
      </c>
      <c r="H2917" s="70">
        <f t="shared" si="319"/>
        <v>0.8</v>
      </c>
      <c r="I2917" s="70">
        <f t="shared" si="320"/>
        <v>0</v>
      </c>
      <c r="J2917" s="70">
        <f t="shared" si="321"/>
        <v>0</v>
      </c>
      <c r="K2917" s="70">
        <f>IF(CurrentMtgRatesDataTable8[[#This Row],[WA CC]]&lt;&gt;0,C2916-CurrentMtgRatesDataTable8[[#This Row],[WA CC]],0)</f>
        <v>0</v>
      </c>
      <c r="L2917" s="70">
        <f>IF(CurrentMtgRatesDataTable8[[#This Row],[Servicing Spread]]&lt;=0,L2916,CurrentMtgRatesDataTable8[[#This Row],[Servicing Spread]])</f>
        <v>0.88674357160479156</v>
      </c>
      <c r="M2917" s="70">
        <f>CurrentMtgRatesDataTable8[[#This Row],[Servicing Spread Non-Zero]]-L2916</f>
        <v>0</v>
      </c>
      <c r="N2917" s="70">
        <f>IF(J2916&lt;&gt;0,CurrentMtgRatesDataTable8[[#This Row],[Rate]]-C2916,N2916)</f>
        <v>-4.9999999999999822E-2</v>
      </c>
    </row>
    <row r="2918" spans="1:14">
      <c r="A2918" s="67" t="s">
        <v>876</v>
      </c>
      <c r="B2918" s="68">
        <v>3.0272722743659699</v>
      </c>
      <c r="C2918" s="69">
        <v>3.94</v>
      </c>
      <c r="D2918" s="70">
        <f t="shared" si="315"/>
        <v>7</v>
      </c>
      <c r="E2918" s="70">
        <f t="shared" si="316"/>
        <v>0.2</v>
      </c>
      <c r="F2918" s="70">
        <f t="shared" si="317"/>
        <v>5</v>
      </c>
      <c r="G2918" s="70">
        <f t="shared" si="318"/>
        <v>3.0507283025133365</v>
      </c>
      <c r="H2918" s="70">
        <f t="shared" si="319"/>
        <v>1</v>
      </c>
      <c r="I2918" s="70">
        <f t="shared" si="320"/>
        <v>1</v>
      </c>
      <c r="J2918" s="70">
        <f t="shared" si="321"/>
        <v>3.0507283025133365</v>
      </c>
      <c r="K2918" s="70">
        <f>IF(CurrentMtgRatesDataTable8[[#This Row],[WA CC]]&lt;&gt;0,C2917-CurrentMtgRatesDataTable8[[#This Row],[WA CC]],0)</f>
        <v>0.88927169748666346</v>
      </c>
      <c r="L2918" s="70">
        <f>IF(CurrentMtgRatesDataTable8[[#This Row],[Servicing Spread]]&lt;=0,L2917,CurrentMtgRatesDataTable8[[#This Row],[Servicing Spread]])</f>
        <v>0.88927169748666346</v>
      </c>
      <c r="M2918" s="70">
        <f>CurrentMtgRatesDataTable8[[#This Row],[Servicing Spread Non-Zero]]-L2917</f>
        <v>2.528125881871901E-3</v>
      </c>
      <c r="N2918" s="70">
        <f>IF(J2917&lt;&gt;0,CurrentMtgRatesDataTable8[[#This Row],[Rate]]-C2917,N2917)</f>
        <v>-4.9999999999999822E-2</v>
      </c>
    </row>
    <row r="2919" spans="1:14">
      <c r="A2919" s="67" t="s">
        <v>877</v>
      </c>
      <c r="B2919" s="68">
        <v>3.00152435884748</v>
      </c>
      <c r="C2919" s="69">
        <v>3.88</v>
      </c>
      <c r="D2919" s="70">
        <f t="shared" si="315"/>
        <v>1</v>
      </c>
      <c r="E2919" s="70">
        <f t="shared" si="316"/>
        <v>0.2</v>
      </c>
      <c r="F2919" s="70">
        <f t="shared" si="317"/>
        <v>1</v>
      </c>
      <c r="G2919" s="70">
        <f t="shared" si="318"/>
        <v>0.6003048717694961</v>
      </c>
      <c r="H2919" s="70">
        <f t="shared" si="319"/>
        <v>0.2</v>
      </c>
      <c r="I2919" s="70">
        <f t="shared" si="320"/>
        <v>0</v>
      </c>
      <c r="J2919" s="70">
        <f t="shared" si="321"/>
        <v>0</v>
      </c>
      <c r="K2919" s="70">
        <f>IF(CurrentMtgRatesDataTable8[[#This Row],[WA CC]]&lt;&gt;0,C2918-CurrentMtgRatesDataTable8[[#This Row],[WA CC]],0)</f>
        <v>0</v>
      </c>
      <c r="L2919" s="70">
        <f>IF(CurrentMtgRatesDataTable8[[#This Row],[Servicing Spread]]&lt;=0,L2918,CurrentMtgRatesDataTable8[[#This Row],[Servicing Spread]])</f>
        <v>0.88927169748666346</v>
      </c>
      <c r="M2919" s="70">
        <f>CurrentMtgRatesDataTable8[[#This Row],[Servicing Spread Non-Zero]]-L2918</f>
        <v>0</v>
      </c>
      <c r="N2919" s="70">
        <f>IF(J2918&lt;&gt;0,CurrentMtgRatesDataTable8[[#This Row],[Rate]]-C2918,N2918)</f>
        <v>-6.0000000000000053E-2</v>
      </c>
    </row>
    <row r="2920" spans="1:14">
      <c r="A2920" s="67" t="s">
        <v>878</v>
      </c>
      <c r="B2920" s="68">
        <v>3.00880742941581</v>
      </c>
      <c r="C2920" s="69">
        <v>3.88</v>
      </c>
      <c r="D2920" s="70">
        <f t="shared" si="315"/>
        <v>2</v>
      </c>
      <c r="E2920" s="70">
        <f t="shared" si="316"/>
        <v>0.2</v>
      </c>
      <c r="F2920" s="70">
        <f t="shared" si="317"/>
        <v>2</v>
      </c>
      <c r="G2920" s="70">
        <f t="shared" si="318"/>
        <v>1.202066357652658</v>
      </c>
      <c r="H2920" s="70">
        <f t="shared" si="319"/>
        <v>0.4</v>
      </c>
      <c r="I2920" s="70">
        <f t="shared" si="320"/>
        <v>0</v>
      </c>
      <c r="J2920" s="70">
        <f t="shared" si="321"/>
        <v>0</v>
      </c>
      <c r="K2920" s="70">
        <f>IF(CurrentMtgRatesDataTable8[[#This Row],[WA CC]]&lt;&gt;0,C2919-CurrentMtgRatesDataTable8[[#This Row],[WA CC]],0)</f>
        <v>0</v>
      </c>
      <c r="L2920" s="70">
        <f>IF(CurrentMtgRatesDataTable8[[#This Row],[Servicing Spread]]&lt;=0,L2919,CurrentMtgRatesDataTable8[[#This Row],[Servicing Spread]])</f>
        <v>0.88927169748666346</v>
      </c>
      <c r="M2920" s="70">
        <f>CurrentMtgRatesDataTable8[[#This Row],[Servicing Spread Non-Zero]]-L2919</f>
        <v>0</v>
      </c>
      <c r="N2920" s="70">
        <f>IF(J2919&lt;&gt;0,CurrentMtgRatesDataTable8[[#This Row],[Rate]]-C2919,N2919)</f>
        <v>-6.0000000000000053E-2</v>
      </c>
    </row>
    <row r="2921" spans="1:14">
      <c r="A2921" s="67" t="s">
        <v>879</v>
      </c>
      <c r="B2921" s="68">
        <v>2.9768819813504899</v>
      </c>
      <c r="C2921" s="69">
        <v>3.88</v>
      </c>
      <c r="D2921" s="70">
        <f t="shared" si="315"/>
        <v>5</v>
      </c>
      <c r="E2921" s="70">
        <f t="shared" si="316"/>
        <v>0.2</v>
      </c>
      <c r="F2921" s="70">
        <f t="shared" si="317"/>
        <v>3</v>
      </c>
      <c r="G2921" s="70">
        <f t="shared" si="318"/>
        <v>1.797442753922756</v>
      </c>
      <c r="H2921" s="70">
        <f t="shared" si="319"/>
        <v>0.60000000000000009</v>
      </c>
      <c r="I2921" s="70">
        <f t="shared" si="320"/>
        <v>0</v>
      </c>
      <c r="J2921" s="70">
        <f t="shared" si="321"/>
        <v>0</v>
      </c>
      <c r="K2921" s="70">
        <f>IF(CurrentMtgRatesDataTable8[[#This Row],[WA CC]]&lt;&gt;0,C2920-CurrentMtgRatesDataTable8[[#This Row],[WA CC]],0)</f>
        <v>0</v>
      </c>
      <c r="L2921" s="70">
        <f>IF(CurrentMtgRatesDataTable8[[#This Row],[Servicing Spread]]&lt;=0,L2920,CurrentMtgRatesDataTable8[[#This Row],[Servicing Spread]])</f>
        <v>0.88927169748666346</v>
      </c>
      <c r="M2921" s="70">
        <f>CurrentMtgRatesDataTable8[[#This Row],[Servicing Spread Non-Zero]]-L2920</f>
        <v>0</v>
      </c>
      <c r="N2921" s="70">
        <f>IF(J2920&lt;&gt;0,CurrentMtgRatesDataTable8[[#This Row],[Rate]]-C2920,N2920)</f>
        <v>-6.0000000000000053E-2</v>
      </c>
    </row>
    <row r="2922" spans="1:14">
      <c r="A2922" s="67" t="s">
        <v>880</v>
      </c>
      <c r="B2922" s="68">
        <v>2.9700273705701301</v>
      </c>
      <c r="C2922" s="69">
        <v>3.88</v>
      </c>
      <c r="D2922" s="70">
        <f t="shared" si="315"/>
        <v>6</v>
      </c>
      <c r="E2922" s="70">
        <f t="shared" si="316"/>
        <v>0.2</v>
      </c>
      <c r="F2922" s="70">
        <f t="shared" si="317"/>
        <v>4</v>
      </c>
      <c r="G2922" s="70">
        <f t="shared" si="318"/>
        <v>2.3914482280367819</v>
      </c>
      <c r="H2922" s="70">
        <f t="shared" si="319"/>
        <v>0.8</v>
      </c>
      <c r="I2922" s="70">
        <f t="shared" si="320"/>
        <v>0</v>
      </c>
      <c r="J2922" s="70">
        <f t="shared" si="321"/>
        <v>0</v>
      </c>
      <c r="K2922" s="70">
        <f>IF(CurrentMtgRatesDataTable8[[#This Row],[WA CC]]&lt;&gt;0,C2921-CurrentMtgRatesDataTable8[[#This Row],[WA CC]],0)</f>
        <v>0</v>
      </c>
      <c r="L2922" s="70">
        <f>IF(CurrentMtgRatesDataTable8[[#This Row],[Servicing Spread]]&lt;=0,L2921,CurrentMtgRatesDataTable8[[#This Row],[Servicing Spread]])</f>
        <v>0.88927169748666346</v>
      </c>
      <c r="M2922" s="70">
        <f>CurrentMtgRatesDataTable8[[#This Row],[Servicing Spread Non-Zero]]-L2921</f>
        <v>0</v>
      </c>
      <c r="N2922" s="70">
        <f>IF(J2921&lt;&gt;0,CurrentMtgRatesDataTable8[[#This Row],[Rate]]-C2921,N2921)</f>
        <v>-6.0000000000000053E-2</v>
      </c>
    </row>
    <row r="2923" spans="1:14">
      <c r="A2923" s="67" t="s">
        <v>881</v>
      </c>
      <c r="B2923" s="68">
        <v>2.9952166878972601</v>
      </c>
      <c r="C2923" s="69">
        <v>3.88</v>
      </c>
      <c r="D2923" s="70">
        <f t="shared" si="315"/>
        <v>7</v>
      </c>
      <c r="E2923" s="70">
        <f t="shared" si="316"/>
        <v>0.2</v>
      </c>
      <c r="F2923" s="70">
        <f t="shared" si="317"/>
        <v>5</v>
      </c>
      <c r="G2923" s="70">
        <f t="shared" si="318"/>
        <v>2.9904915656162339</v>
      </c>
      <c r="H2923" s="70">
        <f t="shared" si="319"/>
        <v>1</v>
      </c>
      <c r="I2923" s="70">
        <f t="shared" si="320"/>
        <v>1</v>
      </c>
      <c r="J2923" s="70">
        <f t="shared" si="321"/>
        <v>2.9904915656162339</v>
      </c>
      <c r="K2923" s="70">
        <f>IF(CurrentMtgRatesDataTable8[[#This Row],[WA CC]]&lt;&gt;0,C2922-CurrentMtgRatesDataTable8[[#This Row],[WA CC]],0)</f>
        <v>0.88950843438376603</v>
      </c>
      <c r="L2923" s="70">
        <f>IF(CurrentMtgRatesDataTable8[[#This Row],[Servicing Spread]]&lt;=0,L2922,CurrentMtgRatesDataTable8[[#This Row],[Servicing Spread]])</f>
        <v>0.88950843438376603</v>
      </c>
      <c r="M2923" s="70">
        <f>CurrentMtgRatesDataTable8[[#This Row],[Servicing Spread Non-Zero]]-L2922</f>
        <v>2.3673689710257406E-4</v>
      </c>
      <c r="N2923" s="70">
        <f>IF(J2922&lt;&gt;0,CurrentMtgRatesDataTable8[[#This Row],[Rate]]-C2922,N2922)</f>
        <v>-6.0000000000000053E-2</v>
      </c>
    </row>
    <row r="2924" spans="1:14">
      <c r="A2924" s="67" t="s">
        <v>882</v>
      </c>
      <c r="B2924" s="68">
        <v>2.9944455468035298</v>
      </c>
      <c r="C2924" s="69">
        <v>3.81</v>
      </c>
      <c r="D2924" s="70">
        <f t="shared" si="315"/>
        <v>1</v>
      </c>
      <c r="E2924" s="70">
        <f t="shared" si="316"/>
        <v>0.2</v>
      </c>
      <c r="F2924" s="70">
        <f t="shared" si="317"/>
        <v>1</v>
      </c>
      <c r="G2924" s="70">
        <f t="shared" si="318"/>
        <v>0.59888910936070594</v>
      </c>
      <c r="H2924" s="70">
        <f t="shared" si="319"/>
        <v>0.2</v>
      </c>
      <c r="I2924" s="70">
        <f t="shared" si="320"/>
        <v>0</v>
      </c>
      <c r="J2924" s="70">
        <f t="shared" si="321"/>
        <v>0</v>
      </c>
      <c r="K2924" s="70">
        <f>IF(CurrentMtgRatesDataTable8[[#This Row],[WA CC]]&lt;&gt;0,C2923-CurrentMtgRatesDataTable8[[#This Row],[WA CC]],0)</f>
        <v>0</v>
      </c>
      <c r="L2924" s="70">
        <f>IF(CurrentMtgRatesDataTable8[[#This Row],[Servicing Spread]]&lt;=0,L2923,CurrentMtgRatesDataTable8[[#This Row],[Servicing Spread]])</f>
        <v>0.88950843438376603</v>
      </c>
      <c r="M2924" s="70">
        <f>CurrentMtgRatesDataTable8[[#This Row],[Servicing Spread Non-Zero]]-L2923</f>
        <v>0</v>
      </c>
      <c r="N2924" s="70">
        <f>IF(J2923&lt;&gt;0,CurrentMtgRatesDataTable8[[#This Row],[Rate]]-C2923,N2923)</f>
        <v>-6.999999999999984E-2</v>
      </c>
    </row>
    <row r="2925" spans="1:14">
      <c r="A2925" s="67" t="s">
        <v>883</v>
      </c>
      <c r="B2925" s="68">
        <v>2.9155081259623699</v>
      </c>
      <c r="C2925" s="69">
        <v>3.81</v>
      </c>
      <c r="D2925" s="70">
        <f t="shared" si="315"/>
        <v>2</v>
      </c>
      <c r="E2925" s="70">
        <f t="shared" si="316"/>
        <v>0.2</v>
      </c>
      <c r="F2925" s="70">
        <f t="shared" si="317"/>
        <v>2</v>
      </c>
      <c r="G2925" s="70">
        <f t="shared" si="318"/>
        <v>1.1819907345531799</v>
      </c>
      <c r="H2925" s="70">
        <f t="shared" si="319"/>
        <v>0.4</v>
      </c>
      <c r="I2925" s="70">
        <f t="shared" si="320"/>
        <v>0</v>
      </c>
      <c r="J2925" s="70">
        <f t="shared" si="321"/>
        <v>0</v>
      </c>
      <c r="K2925" s="70">
        <f>IF(CurrentMtgRatesDataTable8[[#This Row],[WA CC]]&lt;&gt;0,C2924-CurrentMtgRatesDataTable8[[#This Row],[WA CC]],0)</f>
        <v>0</v>
      </c>
      <c r="L2925" s="70">
        <f>IF(CurrentMtgRatesDataTable8[[#This Row],[Servicing Spread]]&lt;=0,L2924,CurrentMtgRatesDataTable8[[#This Row],[Servicing Spread]])</f>
        <v>0.88950843438376603</v>
      </c>
      <c r="M2925" s="70">
        <f>CurrentMtgRatesDataTable8[[#This Row],[Servicing Spread Non-Zero]]-L2924</f>
        <v>0</v>
      </c>
      <c r="N2925" s="70">
        <f>IF(J2924&lt;&gt;0,CurrentMtgRatesDataTable8[[#This Row],[Rate]]-C2924,N2924)</f>
        <v>-6.999999999999984E-2</v>
      </c>
    </row>
    <row r="2926" spans="1:14">
      <c r="A2926" s="67" t="s">
        <v>884</v>
      </c>
      <c r="B2926" s="68">
        <v>2.8859588833612699</v>
      </c>
      <c r="C2926" s="69">
        <v>3.81</v>
      </c>
      <c r="D2926" s="70">
        <f t="shared" si="315"/>
        <v>5</v>
      </c>
      <c r="E2926" s="70">
        <f t="shared" si="316"/>
        <v>0.2</v>
      </c>
      <c r="F2926" s="70">
        <f t="shared" si="317"/>
        <v>3</v>
      </c>
      <c r="G2926" s="70">
        <f t="shared" si="318"/>
        <v>1.759182511225434</v>
      </c>
      <c r="H2926" s="70">
        <f t="shared" si="319"/>
        <v>0.60000000000000009</v>
      </c>
      <c r="I2926" s="70">
        <f t="shared" si="320"/>
        <v>0</v>
      </c>
      <c r="J2926" s="70">
        <f t="shared" si="321"/>
        <v>0</v>
      </c>
      <c r="K2926" s="70">
        <f>IF(CurrentMtgRatesDataTable8[[#This Row],[WA CC]]&lt;&gt;0,C2925-CurrentMtgRatesDataTable8[[#This Row],[WA CC]],0)</f>
        <v>0</v>
      </c>
      <c r="L2926" s="70">
        <f>IF(CurrentMtgRatesDataTable8[[#This Row],[Servicing Spread]]&lt;=0,L2925,CurrentMtgRatesDataTable8[[#This Row],[Servicing Spread]])</f>
        <v>0.88950843438376603</v>
      </c>
      <c r="M2926" s="70">
        <f>CurrentMtgRatesDataTable8[[#This Row],[Servicing Spread Non-Zero]]-L2925</f>
        <v>0</v>
      </c>
      <c r="N2926" s="70">
        <f>IF(J2925&lt;&gt;0,CurrentMtgRatesDataTable8[[#This Row],[Rate]]-C2925,N2925)</f>
        <v>-6.999999999999984E-2</v>
      </c>
    </row>
    <row r="2927" spans="1:14">
      <c r="A2927" s="67" t="s">
        <v>885</v>
      </c>
      <c r="B2927" s="68">
        <v>2.9592567116727899</v>
      </c>
      <c r="C2927" s="69">
        <v>3.81</v>
      </c>
      <c r="D2927" s="70">
        <f t="shared" si="315"/>
        <v>6</v>
      </c>
      <c r="E2927" s="70">
        <f t="shared" si="316"/>
        <v>0.2</v>
      </c>
      <c r="F2927" s="70">
        <f t="shared" si="317"/>
        <v>4</v>
      </c>
      <c r="G2927" s="70">
        <f t="shared" si="318"/>
        <v>2.3510338535599922</v>
      </c>
      <c r="H2927" s="70">
        <f t="shared" si="319"/>
        <v>0.8</v>
      </c>
      <c r="I2927" s="70">
        <f t="shared" si="320"/>
        <v>0</v>
      </c>
      <c r="J2927" s="70">
        <f t="shared" si="321"/>
        <v>0</v>
      </c>
      <c r="K2927" s="70">
        <f>IF(CurrentMtgRatesDataTable8[[#This Row],[WA CC]]&lt;&gt;0,C2926-CurrentMtgRatesDataTable8[[#This Row],[WA CC]],0)</f>
        <v>0</v>
      </c>
      <c r="L2927" s="70">
        <f>IF(CurrentMtgRatesDataTable8[[#This Row],[Servicing Spread]]&lt;=0,L2926,CurrentMtgRatesDataTable8[[#This Row],[Servicing Spread]])</f>
        <v>0.88950843438376603</v>
      </c>
      <c r="M2927" s="70">
        <f>CurrentMtgRatesDataTable8[[#This Row],[Servicing Spread Non-Zero]]-L2926</f>
        <v>0</v>
      </c>
      <c r="N2927" s="70">
        <f>IF(J2926&lt;&gt;0,CurrentMtgRatesDataTable8[[#This Row],[Rate]]-C2926,N2926)</f>
        <v>-6.999999999999984E-2</v>
      </c>
    </row>
    <row r="2928" spans="1:14">
      <c r="A2928" s="67" t="s">
        <v>886</v>
      </c>
      <c r="B2928" s="68">
        <v>3.0089114844805001</v>
      </c>
      <c r="C2928" s="69">
        <v>3.81</v>
      </c>
      <c r="D2928" s="70">
        <f t="shared" si="315"/>
        <v>7</v>
      </c>
      <c r="E2928" s="70">
        <f t="shared" si="316"/>
        <v>0.2</v>
      </c>
      <c r="F2928" s="70">
        <f t="shared" si="317"/>
        <v>5</v>
      </c>
      <c r="G2928" s="70">
        <f t="shared" si="318"/>
        <v>2.9528161504560924</v>
      </c>
      <c r="H2928" s="70">
        <f t="shared" si="319"/>
        <v>1</v>
      </c>
      <c r="I2928" s="70">
        <f t="shared" si="320"/>
        <v>1</v>
      </c>
      <c r="J2928" s="70">
        <f t="shared" si="321"/>
        <v>2.9528161504560924</v>
      </c>
      <c r="K2928" s="70">
        <f>IF(CurrentMtgRatesDataTable8[[#This Row],[WA CC]]&lt;&gt;0,C2927-CurrentMtgRatesDataTable8[[#This Row],[WA CC]],0)</f>
        <v>0.85718384954390769</v>
      </c>
      <c r="L2928" s="70">
        <f>IF(CurrentMtgRatesDataTable8[[#This Row],[Servicing Spread]]&lt;=0,L2927,CurrentMtgRatesDataTable8[[#This Row],[Servicing Spread]])</f>
        <v>0.85718384954390769</v>
      </c>
      <c r="M2928" s="70">
        <f>CurrentMtgRatesDataTable8[[#This Row],[Servicing Spread Non-Zero]]-L2927</f>
        <v>-3.2324584839858339E-2</v>
      </c>
      <c r="N2928" s="70">
        <f>IF(J2927&lt;&gt;0,CurrentMtgRatesDataTable8[[#This Row],[Rate]]-C2927,N2927)</f>
        <v>-6.999999999999984E-2</v>
      </c>
    </row>
    <row r="2929" spans="1:14">
      <c r="A2929" s="67" t="s">
        <v>887</v>
      </c>
      <c r="B2929" s="68">
        <v>2.9719648499802398</v>
      </c>
      <c r="C2929" s="69">
        <v>3.84</v>
      </c>
      <c r="D2929" s="70">
        <f t="shared" si="315"/>
        <v>1</v>
      </c>
      <c r="E2929" s="70">
        <f t="shared" si="316"/>
        <v>0.2</v>
      </c>
      <c r="F2929" s="70">
        <f t="shared" si="317"/>
        <v>1</v>
      </c>
      <c r="G2929" s="70">
        <f t="shared" si="318"/>
        <v>0.59439296999604796</v>
      </c>
      <c r="H2929" s="70">
        <f t="shared" si="319"/>
        <v>0.2</v>
      </c>
      <c r="I2929" s="70">
        <f t="shared" si="320"/>
        <v>0</v>
      </c>
      <c r="J2929" s="70">
        <f t="shared" si="321"/>
        <v>0</v>
      </c>
      <c r="K2929" s="70">
        <f>IF(CurrentMtgRatesDataTable8[[#This Row],[WA CC]]&lt;&gt;0,C2928-CurrentMtgRatesDataTable8[[#This Row],[WA CC]],0)</f>
        <v>0</v>
      </c>
      <c r="L2929" s="70">
        <f>IF(CurrentMtgRatesDataTable8[[#This Row],[Servicing Spread]]&lt;=0,L2928,CurrentMtgRatesDataTable8[[#This Row],[Servicing Spread]])</f>
        <v>0.85718384954390769</v>
      </c>
      <c r="M2929" s="70">
        <f>CurrentMtgRatesDataTable8[[#This Row],[Servicing Spread Non-Zero]]-L2928</f>
        <v>0</v>
      </c>
      <c r="N2929" s="70">
        <f>IF(J2928&lt;&gt;0,CurrentMtgRatesDataTable8[[#This Row],[Rate]]-C2928,N2928)</f>
        <v>2.9999999999999805E-2</v>
      </c>
    </row>
    <row r="2930" spans="1:14">
      <c r="A2930" s="67" t="s">
        <v>888</v>
      </c>
      <c r="B2930" s="68">
        <v>2.92350190324946</v>
      </c>
      <c r="C2930" s="69">
        <v>3.84</v>
      </c>
      <c r="D2930" s="70">
        <f t="shared" si="315"/>
        <v>2</v>
      </c>
      <c r="E2930" s="70">
        <f t="shared" si="316"/>
        <v>0.2</v>
      </c>
      <c r="F2930" s="70">
        <f t="shared" si="317"/>
        <v>2</v>
      </c>
      <c r="G2930" s="70">
        <f t="shared" si="318"/>
        <v>1.17909335064594</v>
      </c>
      <c r="H2930" s="70">
        <f t="shared" si="319"/>
        <v>0.4</v>
      </c>
      <c r="I2930" s="70">
        <f t="shared" si="320"/>
        <v>0</v>
      </c>
      <c r="J2930" s="70">
        <f t="shared" si="321"/>
        <v>0</v>
      </c>
      <c r="K2930" s="70">
        <f>IF(CurrentMtgRatesDataTable8[[#This Row],[WA CC]]&lt;&gt;0,C2929-CurrentMtgRatesDataTable8[[#This Row],[WA CC]],0)</f>
        <v>0</v>
      </c>
      <c r="L2930" s="70">
        <f>IF(CurrentMtgRatesDataTable8[[#This Row],[Servicing Spread]]&lt;=0,L2929,CurrentMtgRatesDataTable8[[#This Row],[Servicing Spread]])</f>
        <v>0.85718384954390769</v>
      </c>
      <c r="M2930" s="70">
        <f>CurrentMtgRatesDataTable8[[#This Row],[Servicing Spread Non-Zero]]-L2929</f>
        <v>0</v>
      </c>
      <c r="N2930" s="70">
        <f>IF(J2929&lt;&gt;0,CurrentMtgRatesDataTable8[[#This Row],[Rate]]-C2929,N2929)</f>
        <v>2.9999999999999805E-2</v>
      </c>
    </row>
    <row r="2931" spans="1:14">
      <c r="A2931" s="67" t="s">
        <v>889</v>
      </c>
      <c r="B2931" s="68">
        <v>2.9753003706109098</v>
      </c>
      <c r="C2931" s="69">
        <v>3.84</v>
      </c>
      <c r="D2931" s="70">
        <f t="shared" si="315"/>
        <v>5</v>
      </c>
      <c r="E2931" s="70">
        <f t="shared" si="316"/>
        <v>0.2</v>
      </c>
      <c r="F2931" s="70">
        <f t="shared" si="317"/>
        <v>3</v>
      </c>
      <c r="G2931" s="70">
        <f t="shared" si="318"/>
        <v>1.7741534247681221</v>
      </c>
      <c r="H2931" s="70">
        <f t="shared" si="319"/>
        <v>0.60000000000000009</v>
      </c>
      <c r="I2931" s="70">
        <f t="shared" si="320"/>
        <v>0</v>
      </c>
      <c r="J2931" s="70">
        <f t="shared" si="321"/>
        <v>0</v>
      </c>
      <c r="K2931" s="70">
        <f>IF(CurrentMtgRatesDataTable8[[#This Row],[WA CC]]&lt;&gt;0,C2930-CurrentMtgRatesDataTable8[[#This Row],[WA CC]],0)</f>
        <v>0</v>
      </c>
      <c r="L2931" s="70">
        <f>IF(CurrentMtgRatesDataTable8[[#This Row],[Servicing Spread]]&lt;=0,L2930,CurrentMtgRatesDataTable8[[#This Row],[Servicing Spread]])</f>
        <v>0.85718384954390769</v>
      </c>
      <c r="M2931" s="70">
        <f>CurrentMtgRatesDataTable8[[#This Row],[Servicing Spread Non-Zero]]-L2930</f>
        <v>0</v>
      </c>
      <c r="N2931" s="70">
        <f>IF(J2930&lt;&gt;0,CurrentMtgRatesDataTable8[[#This Row],[Rate]]-C2930,N2930)</f>
        <v>2.9999999999999805E-2</v>
      </c>
    </row>
    <row r="2932" spans="1:14">
      <c r="A2932" s="67" t="s">
        <v>890</v>
      </c>
      <c r="B2932" s="68">
        <v>2.8894517792115599</v>
      </c>
      <c r="C2932" s="69">
        <v>3.84</v>
      </c>
      <c r="D2932" s="70">
        <f t="shared" si="315"/>
        <v>6</v>
      </c>
      <c r="E2932" s="70">
        <f t="shared" si="316"/>
        <v>0.2</v>
      </c>
      <c r="F2932" s="70">
        <f t="shared" si="317"/>
        <v>4</v>
      </c>
      <c r="G2932" s="70">
        <f t="shared" si="318"/>
        <v>2.3520437806104342</v>
      </c>
      <c r="H2932" s="70">
        <f t="shared" si="319"/>
        <v>0.8</v>
      </c>
      <c r="I2932" s="70">
        <f t="shared" si="320"/>
        <v>0</v>
      </c>
      <c r="J2932" s="70">
        <f t="shared" si="321"/>
        <v>0</v>
      </c>
      <c r="K2932" s="70">
        <f>IF(CurrentMtgRatesDataTable8[[#This Row],[WA CC]]&lt;&gt;0,C2931-CurrentMtgRatesDataTable8[[#This Row],[WA CC]],0)</f>
        <v>0</v>
      </c>
      <c r="L2932" s="70">
        <f>IF(CurrentMtgRatesDataTable8[[#This Row],[Servicing Spread]]&lt;=0,L2931,CurrentMtgRatesDataTable8[[#This Row],[Servicing Spread]])</f>
        <v>0.85718384954390769</v>
      </c>
      <c r="M2932" s="70">
        <f>CurrentMtgRatesDataTable8[[#This Row],[Servicing Spread Non-Zero]]-L2931</f>
        <v>0</v>
      </c>
      <c r="N2932" s="70">
        <f>IF(J2931&lt;&gt;0,CurrentMtgRatesDataTable8[[#This Row],[Rate]]-C2931,N2931)</f>
        <v>2.9999999999999805E-2</v>
      </c>
    </row>
    <row r="2933" spans="1:14">
      <c r="A2933" s="67" t="s">
        <v>891</v>
      </c>
      <c r="B2933" s="68">
        <v>2.8863432484098199</v>
      </c>
      <c r="C2933" s="69">
        <v>3.84</v>
      </c>
      <c r="D2933" s="70">
        <f t="shared" si="315"/>
        <v>7</v>
      </c>
      <c r="E2933" s="70">
        <f t="shared" si="316"/>
        <v>0.2</v>
      </c>
      <c r="F2933" s="70">
        <f t="shared" si="317"/>
        <v>5</v>
      </c>
      <c r="G2933" s="70">
        <f t="shared" si="318"/>
        <v>2.9293124302923981</v>
      </c>
      <c r="H2933" s="70">
        <f t="shared" si="319"/>
        <v>1</v>
      </c>
      <c r="I2933" s="70">
        <f t="shared" si="320"/>
        <v>1</v>
      </c>
      <c r="J2933" s="70">
        <f t="shared" si="321"/>
        <v>2.9293124302923981</v>
      </c>
      <c r="K2933" s="70">
        <f>IF(CurrentMtgRatesDataTable8[[#This Row],[WA CC]]&lt;&gt;0,C2932-CurrentMtgRatesDataTable8[[#This Row],[WA CC]],0)</f>
        <v>0.91068756970760179</v>
      </c>
      <c r="L2933" s="70">
        <f>IF(CurrentMtgRatesDataTable8[[#This Row],[Servicing Spread]]&lt;=0,L2932,CurrentMtgRatesDataTable8[[#This Row],[Servicing Spread]])</f>
        <v>0.91068756970760179</v>
      </c>
      <c r="M2933" s="70">
        <f>CurrentMtgRatesDataTable8[[#This Row],[Servicing Spread Non-Zero]]-L2932</f>
        <v>5.3503720163694091E-2</v>
      </c>
      <c r="N2933" s="70">
        <f>IF(J2932&lt;&gt;0,CurrentMtgRatesDataTable8[[#This Row],[Rate]]-C2932,N2932)</f>
        <v>2.9999999999999805E-2</v>
      </c>
    </row>
    <row r="2934" spans="1:14">
      <c r="A2934" s="67" t="s">
        <v>892</v>
      </c>
      <c r="B2934" s="68">
        <v>2.94154866689746</v>
      </c>
      <c r="C2934" s="69">
        <v>3.83</v>
      </c>
      <c r="D2934" s="70">
        <f t="shared" si="315"/>
        <v>1</v>
      </c>
      <c r="E2934" s="70">
        <f t="shared" si="316"/>
        <v>0.2</v>
      </c>
      <c r="F2934" s="70">
        <f t="shared" si="317"/>
        <v>1</v>
      </c>
      <c r="G2934" s="70">
        <f t="shared" si="318"/>
        <v>0.58830973337949199</v>
      </c>
      <c r="H2934" s="70">
        <f t="shared" si="319"/>
        <v>0.2</v>
      </c>
      <c r="I2934" s="70">
        <f t="shared" si="320"/>
        <v>0</v>
      </c>
      <c r="J2934" s="70">
        <f t="shared" si="321"/>
        <v>0</v>
      </c>
      <c r="K2934" s="70">
        <f>IF(CurrentMtgRatesDataTable8[[#This Row],[WA CC]]&lt;&gt;0,C2933-CurrentMtgRatesDataTable8[[#This Row],[WA CC]],0)</f>
        <v>0</v>
      </c>
      <c r="L2934" s="70">
        <f>IF(CurrentMtgRatesDataTable8[[#This Row],[Servicing Spread]]&lt;=0,L2933,CurrentMtgRatesDataTable8[[#This Row],[Servicing Spread]])</f>
        <v>0.91068756970760179</v>
      </c>
      <c r="M2934" s="70">
        <f>CurrentMtgRatesDataTable8[[#This Row],[Servicing Spread Non-Zero]]-L2933</f>
        <v>0</v>
      </c>
      <c r="N2934" s="70">
        <f>IF(J2933&lt;&gt;0,CurrentMtgRatesDataTable8[[#This Row],[Rate]]-C2933,N2933)</f>
        <v>-9.9999999999997868E-3</v>
      </c>
    </row>
    <row r="2935" spans="1:14">
      <c r="A2935" s="67" t="s">
        <v>893</v>
      </c>
      <c r="B2935" s="68">
        <v>2.9622833477952701</v>
      </c>
      <c r="C2935" s="69">
        <v>3.83</v>
      </c>
      <c r="D2935" s="70">
        <f t="shared" si="315"/>
        <v>2</v>
      </c>
      <c r="E2935" s="70">
        <f t="shared" si="316"/>
        <v>0.2</v>
      </c>
      <c r="F2935" s="70">
        <f t="shared" si="317"/>
        <v>2</v>
      </c>
      <c r="G2935" s="70">
        <f t="shared" si="318"/>
        <v>1.1807664029385461</v>
      </c>
      <c r="H2935" s="70">
        <f t="shared" si="319"/>
        <v>0.4</v>
      </c>
      <c r="I2935" s="70">
        <f t="shared" si="320"/>
        <v>0</v>
      </c>
      <c r="J2935" s="70">
        <f t="shared" si="321"/>
        <v>0</v>
      </c>
      <c r="K2935" s="70">
        <f>IF(CurrentMtgRatesDataTable8[[#This Row],[WA CC]]&lt;&gt;0,C2934-CurrentMtgRatesDataTable8[[#This Row],[WA CC]],0)</f>
        <v>0</v>
      </c>
      <c r="L2935" s="70">
        <f>IF(CurrentMtgRatesDataTable8[[#This Row],[Servicing Spread]]&lt;=0,L2934,CurrentMtgRatesDataTable8[[#This Row],[Servicing Spread]])</f>
        <v>0.91068756970760179</v>
      </c>
      <c r="M2935" s="70">
        <f>CurrentMtgRatesDataTable8[[#This Row],[Servicing Spread Non-Zero]]-L2934</f>
        <v>0</v>
      </c>
      <c r="N2935" s="70">
        <f>IF(J2934&lt;&gt;0,CurrentMtgRatesDataTable8[[#This Row],[Rate]]-C2934,N2934)</f>
        <v>-9.9999999999997868E-3</v>
      </c>
    </row>
    <row r="2936" spans="1:14">
      <c r="A2936" s="67" t="s">
        <v>894</v>
      </c>
      <c r="B2936" s="68">
        <v>2.9357435322539001</v>
      </c>
      <c r="C2936" s="69">
        <v>3.83</v>
      </c>
      <c r="D2936" s="70">
        <f t="shared" si="315"/>
        <v>5</v>
      </c>
      <c r="E2936" s="70">
        <f t="shared" si="316"/>
        <v>0.2</v>
      </c>
      <c r="F2936" s="70">
        <f t="shared" si="317"/>
        <v>3</v>
      </c>
      <c r="G2936" s="70">
        <f t="shared" si="318"/>
        <v>1.7679151093893259</v>
      </c>
      <c r="H2936" s="70">
        <f t="shared" si="319"/>
        <v>0.60000000000000009</v>
      </c>
      <c r="I2936" s="70">
        <f t="shared" si="320"/>
        <v>0</v>
      </c>
      <c r="J2936" s="70">
        <f t="shared" si="321"/>
        <v>0</v>
      </c>
      <c r="K2936" s="70">
        <f>IF(CurrentMtgRatesDataTable8[[#This Row],[WA CC]]&lt;&gt;0,C2935-CurrentMtgRatesDataTable8[[#This Row],[WA CC]],0)</f>
        <v>0</v>
      </c>
      <c r="L2936" s="70">
        <f>IF(CurrentMtgRatesDataTable8[[#This Row],[Servicing Spread]]&lt;=0,L2935,CurrentMtgRatesDataTable8[[#This Row],[Servicing Spread]])</f>
        <v>0.91068756970760179</v>
      </c>
      <c r="M2936" s="70">
        <f>CurrentMtgRatesDataTable8[[#This Row],[Servicing Spread Non-Zero]]-L2935</f>
        <v>0</v>
      </c>
      <c r="N2936" s="70">
        <f>IF(J2935&lt;&gt;0,CurrentMtgRatesDataTable8[[#This Row],[Rate]]-C2935,N2935)</f>
        <v>-9.9999999999997868E-3</v>
      </c>
    </row>
    <row r="2937" spans="1:14">
      <c r="A2937" s="67" t="s">
        <v>895</v>
      </c>
      <c r="B2937" s="68">
        <v>2.9596582925735899</v>
      </c>
      <c r="C2937" s="69">
        <v>3.83</v>
      </c>
      <c r="D2937" s="70">
        <f t="shared" si="315"/>
        <v>6</v>
      </c>
      <c r="E2937" s="70">
        <f t="shared" si="316"/>
        <v>0.2</v>
      </c>
      <c r="F2937" s="70">
        <f t="shared" si="317"/>
        <v>4</v>
      </c>
      <c r="G2937" s="70">
        <f t="shared" si="318"/>
        <v>2.359846767904044</v>
      </c>
      <c r="H2937" s="70">
        <f t="shared" si="319"/>
        <v>0.8</v>
      </c>
      <c r="I2937" s="70">
        <f t="shared" si="320"/>
        <v>0</v>
      </c>
      <c r="J2937" s="70">
        <f t="shared" si="321"/>
        <v>0</v>
      </c>
      <c r="K2937" s="70">
        <f>IF(CurrentMtgRatesDataTable8[[#This Row],[WA CC]]&lt;&gt;0,C2936-CurrentMtgRatesDataTable8[[#This Row],[WA CC]],0)</f>
        <v>0</v>
      </c>
      <c r="L2937" s="70">
        <f>IF(CurrentMtgRatesDataTable8[[#This Row],[Servicing Spread]]&lt;=0,L2936,CurrentMtgRatesDataTable8[[#This Row],[Servicing Spread]])</f>
        <v>0.91068756970760179</v>
      </c>
      <c r="M2937" s="70">
        <f>CurrentMtgRatesDataTable8[[#This Row],[Servicing Spread Non-Zero]]-L2936</f>
        <v>0</v>
      </c>
      <c r="N2937" s="70">
        <f>IF(J2936&lt;&gt;0,CurrentMtgRatesDataTable8[[#This Row],[Rate]]-C2936,N2936)</f>
        <v>-9.9999999999997868E-3</v>
      </c>
    </row>
    <row r="2938" spans="1:14">
      <c r="A2938" s="67" t="s">
        <v>896</v>
      </c>
      <c r="B2938" s="68">
        <v>2.8898853758214198</v>
      </c>
      <c r="C2938" s="69">
        <v>3.83</v>
      </c>
      <c r="D2938" s="70">
        <f t="shared" si="315"/>
        <v>7</v>
      </c>
      <c r="E2938" s="70">
        <f t="shared" si="316"/>
        <v>0.2</v>
      </c>
      <c r="F2938" s="70">
        <f t="shared" si="317"/>
        <v>5</v>
      </c>
      <c r="G2938" s="70">
        <f t="shared" si="318"/>
        <v>2.9378238430683279</v>
      </c>
      <c r="H2938" s="70">
        <f t="shared" si="319"/>
        <v>1</v>
      </c>
      <c r="I2938" s="70">
        <f t="shared" si="320"/>
        <v>1</v>
      </c>
      <c r="J2938" s="70">
        <f t="shared" si="321"/>
        <v>2.9378238430683279</v>
      </c>
      <c r="K2938" s="70">
        <f>IF(CurrentMtgRatesDataTable8[[#This Row],[WA CC]]&lt;&gt;0,C2937-CurrentMtgRatesDataTable8[[#This Row],[WA CC]],0)</f>
        <v>0.89217615693167218</v>
      </c>
      <c r="L2938" s="70">
        <f>IF(CurrentMtgRatesDataTable8[[#This Row],[Servicing Spread]]&lt;=0,L2937,CurrentMtgRatesDataTable8[[#This Row],[Servicing Spread]])</f>
        <v>0.89217615693167218</v>
      </c>
      <c r="M2938" s="70">
        <f>CurrentMtgRatesDataTable8[[#This Row],[Servicing Spread Non-Zero]]-L2937</f>
        <v>-1.8511412775929603E-2</v>
      </c>
      <c r="N2938" s="70">
        <f>IF(J2937&lt;&gt;0,CurrentMtgRatesDataTable8[[#This Row],[Rate]]-C2937,N2937)</f>
        <v>-9.9999999999997868E-3</v>
      </c>
    </row>
    <row r="2939" spans="1:14">
      <c r="A2939" s="67" t="s">
        <v>897</v>
      </c>
      <c r="B2939" s="68">
        <v>2.85986737962509</v>
      </c>
      <c r="C2939" s="69">
        <v>3.7399999999999998</v>
      </c>
      <c r="D2939" s="70">
        <f t="shared" si="315"/>
        <v>1</v>
      </c>
      <c r="E2939" s="70">
        <f t="shared" si="316"/>
        <v>0.2</v>
      </c>
      <c r="F2939" s="70">
        <f t="shared" si="317"/>
        <v>1</v>
      </c>
      <c r="G2939" s="70">
        <f t="shared" si="318"/>
        <v>0.57197347592501802</v>
      </c>
      <c r="H2939" s="70">
        <f t="shared" si="319"/>
        <v>0.2</v>
      </c>
      <c r="I2939" s="70">
        <f t="shared" si="320"/>
        <v>0</v>
      </c>
      <c r="J2939" s="70">
        <f t="shared" si="321"/>
        <v>0</v>
      </c>
      <c r="K2939" s="70">
        <f>IF(CurrentMtgRatesDataTable8[[#This Row],[WA CC]]&lt;&gt;0,C2938-CurrentMtgRatesDataTable8[[#This Row],[WA CC]],0)</f>
        <v>0</v>
      </c>
      <c r="L2939" s="70">
        <f>IF(CurrentMtgRatesDataTable8[[#This Row],[Servicing Spread]]&lt;=0,L2938,CurrentMtgRatesDataTable8[[#This Row],[Servicing Spread]])</f>
        <v>0.89217615693167218</v>
      </c>
      <c r="M2939" s="70">
        <f>CurrentMtgRatesDataTable8[[#This Row],[Servicing Spread Non-Zero]]-L2938</f>
        <v>0</v>
      </c>
      <c r="N2939" s="70">
        <f>IF(J2938&lt;&gt;0,CurrentMtgRatesDataTable8[[#This Row],[Rate]]-C2938,N2938)</f>
        <v>-9.0000000000000302E-2</v>
      </c>
    </row>
    <row r="2940" spans="1:14">
      <c r="A2940" s="67" t="s">
        <v>898</v>
      </c>
      <c r="B2940" s="68">
        <v>2.8344803887664098</v>
      </c>
      <c r="C2940" s="69">
        <v>3.7399999999999998</v>
      </c>
      <c r="D2940" s="70">
        <f t="shared" si="315"/>
        <v>2</v>
      </c>
      <c r="E2940" s="70">
        <f t="shared" si="316"/>
        <v>0.2</v>
      </c>
      <c r="F2940" s="70">
        <f t="shared" si="317"/>
        <v>2</v>
      </c>
      <c r="G2940" s="70">
        <f t="shared" si="318"/>
        <v>1.1388695536783</v>
      </c>
      <c r="H2940" s="70">
        <f t="shared" si="319"/>
        <v>0.4</v>
      </c>
      <c r="I2940" s="70">
        <f t="shared" si="320"/>
        <v>0</v>
      </c>
      <c r="J2940" s="70">
        <f t="shared" si="321"/>
        <v>0</v>
      </c>
      <c r="K2940" s="70">
        <f>IF(CurrentMtgRatesDataTable8[[#This Row],[WA CC]]&lt;&gt;0,C2939-CurrentMtgRatesDataTable8[[#This Row],[WA CC]],0)</f>
        <v>0</v>
      </c>
      <c r="L2940" s="70">
        <f>IF(CurrentMtgRatesDataTable8[[#This Row],[Servicing Spread]]&lt;=0,L2939,CurrentMtgRatesDataTable8[[#This Row],[Servicing Spread]])</f>
        <v>0.89217615693167218</v>
      </c>
      <c r="M2940" s="70">
        <f>CurrentMtgRatesDataTable8[[#This Row],[Servicing Spread Non-Zero]]-L2939</f>
        <v>0</v>
      </c>
      <c r="N2940" s="70">
        <f>IF(J2939&lt;&gt;0,CurrentMtgRatesDataTable8[[#This Row],[Rate]]-C2939,N2939)</f>
        <v>-9.0000000000000302E-2</v>
      </c>
    </row>
    <row r="2941" spans="1:14">
      <c r="A2941" s="67" t="s">
        <v>899</v>
      </c>
      <c r="B2941" s="68">
        <v>2.79004351105465</v>
      </c>
      <c r="C2941" s="69">
        <v>3.7399999999999998</v>
      </c>
      <c r="D2941" s="70">
        <f t="shared" si="315"/>
        <v>5</v>
      </c>
      <c r="E2941" s="70">
        <f t="shared" si="316"/>
        <v>0.2</v>
      </c>
      <c r="F2941" s="70">
        <f t="shared" si="317"/>
        <v>3</v>
      </c>
      <c r="G2941" s="70">
        <f t="shared" si="318"/>
        <v>1.6968782558892301</v>
      </c>
      <c r="H2941" s="70">
        <f t="shared" si="319"/>
        <v>0.60000000000000009</v>
      </c>
      <c r="I2941" s="70">
        <f t="shared" si="320"/>
        <v>0</v>
      </c>
      <c r="J2941" s="70">
        <f t="shared" si="321"/>
        <v>0</v>
      </c>
      <c r="K2941" s="70">
        <f>IF(CurrentMtgRatesDataTable8[[#This Row],[WA CC]]&lt;&gt;0,C2940-CurrentMtgRatesDataTable8[[#This Row],[WA CC]],0)</f>
        <v>0</v>
      </c>
      <c r="L2941" s="70">
        <f>IF(CurrentMtgRatesDataTable8[[#This Row],[Servicing Spread]]&lt;=0,L2940,CurrentMtgRatesDataTable8[[#This Row],[Servicing Spread]])</f>
        <v>0.89217615693167218</v>
      </c>
      <c r="M2941" s="70">
        <f>CurrentMtgRatesDataTable8[[#This Row],[Servicing Spread Non-Zero]]-L2940</f>
        <v>0</v>
      </c>
      <c r="N2941" s="70">
        <f>IF(J2940&lt;&gt;0,CurrentMtgRatesDataTable8[[#This Row],[Rate]]-C2940,N2940)</f>
        <v>-9.0000000000000302E-2</v>
      </c>
    </row>
    <row r="2942" spans="1:14">
      <c r="A2942" s="67" t="s">
        <v>900</v>
      </c>
      <c r="B2942" s="68">
        <v>2.9080768711615201</v>
      </c>
      <c r="C2942" s="69">
        <v>3.7399999999999998</v>
      </c>
      <c r="D2942" s="70">
        <f t="shared" si="315"/>
        <v>6</v>
      </c>
      <c r="E2942" s="70">
        <f t="shared" si="316"/>
        <v>0.2</v>
      </c>
      <c r="F2942" s="70">
        <f t="shared" si="317"/>
        <v>4</v>
      </c>
      <c r="G2942" s="70">
        <f t="shared" si="318"/>
        <v>2.2784936301215342</v>
      </c>
      <c r="H2942" s="70">
        <f t="shared" si="319"/>
        <v>0.8</v>
      </c>
      <c r="I2942" s="70">
        <f t="shared" si="320"/>
        <v>0</v>
      </c>
      <c r="J2942" s="70">
        <f t="shared" si="321"/>
        <v>0</v>
      </c>
      <c r="K2942" s="70">
        <f>IF(CurrentMtgRatesDataTable8[[#This Row],[WA CC]]&lt;&gt;0,C2941-CurrentMtgRatesDataTable8[[#This Row],[WA CC]],0)</f>
        <v>0</v>
      </c>
      <c r="L2942" s="70">
        <f>IF(CurrentMtgRatesDataTable8[[#This Row],[Servicing Spread]]&lt;=0,L2941,CurrentMtgRatesDataTable8[[#This Row],[Servicing Spread]])</f>
        <v>0.89217615693167218</v>
      </c>
      <c r="M2942" s="70">
        <f>CurrentMtgRatesDataTable8[[#This Row],[Servicing Spread Non-Zero]]-L2941</f>
        <v>0</v>
      </c>
      <c r="N2942" s="70">
        <f>IF(J2941&lt;&gt;0,CurrentMtgRatesDataTable8[[#This Row],[Rate]]-C2941,N2941)</f>
        <v>-9.0000000000000302E-2</v>
      </c>
    </row>
    <row r="2943" spans="1:14">
      <c r="A2943" s="67" t="s">
        <v>901</v>
      </c>
      <c r="B2943" s="68">
        <v>2.9117942461472701</v>
      </c>
      <c r="C2943" s="69">
        <v>3.7399999999999998</v>
      </c>
      <c r="D2943" s="70">
        <f t="shared" si="315"/>
        <v>7</v>
      </c>
      <c r="E2943" s="70">
        <f t="shared" si="316"/>
        <v>0.2</v>
      </c>
      <c r="F2943" s="70">
        <f t="shared" si="317"/>
        <v>5</v>
      </c>
      <c r="G2943" s="70">
        <f t="shared" si="318"/>
        <v>2.8608524793509882</v>
      </c>
      <c r="H2943" s="70">
        <f t="shared" si="319"/>
        <v>1</v>
      </c>
      <c r="I2943" s="70">
        <f t="shared" si="320"/>
        <v>1</v>
      </c>
      <c r="J2943" s="70">
        <f t="shared" si="321"/>
        <v>2.8608524793509882</v>
      </c>
      <c r="K2943" s="70">
        <f>IF(CurrentMtgRatesDataTable8[[#This Row],[WA CC]]&lt;&gt;0,C2942-CurrentMtgRatesDataTable8[[#This Row],[WA CC]],0)</f>
        <v>0.87914752064901158</v>
      </c>
      <c r="L2943" s="70">
        <f>IF(CurrentMtgRatesDataTable8[[#This Row],[Servicing Spread]]&lt;=0,L2942,CurrentMtgRatesDataTable8[[#This Row],[Servicing Spread]])</f>
        <v>0.87914752064901158</v>
      </c>
      <c r="M2943" s="70">
        <f>CurrentMtgRatesDataTable8[[#This Row],[Servicing Spread Non-Zero]]-L2942</f>
        <v>-1.3028636282660599E-2</v>
      </c>
      <c r="N2943" s="70">
        <f>IF(J2942&lt;&gt;0,CurrentMtgRatesDataTable8[[#This Row],[Rate]]-C2942,N2942)</f>
        <v>-9.0000000000000302E-2</v>
      </c>
    </row>
    <row r="2944" spans="1:14">
      <c r="A2944" s="67" t="s">
        <v>902</v>
      </c>
      <c r="B2944" s="68">
        <v>2.9085457311755398</v>
      </c>
      <c r="C2944" s="69">
        <v>3.79</v>
      </c>
      <c r="D2944" s="70">
        <f t="shared" si="315"/>
        <v>1</v>
      </c>
      <c r="E2944" s="70">
        <f t="shared" si="316"/>
        <v>0.2</v>
      </c>
      <c r="F2944" s="70">
        <f t="shared" si="317"/>
        <v>1</v>
      </c>
      <c r="G2944" s="70">
        <f t="shared" si="318"/>
        <v>0.58170914623510794</v>
      </c>
      <c r="H2944" s="70">
        <f t="shared" si="319"/>
        <v>0.2</v>
      </c>
      <c r="I2944" s="70">
        <f t="shared" si="320"/>
        <v>0</v>
      </c>
      <c r="J2944" s="70">
        <f t="shared" si="321"/>
        <v>0</v>
      </c>
      <c r="K2944" s="70">
        <f>IF(CurrentMtgRatesDataTable8[[#This Row],[WA CC]]&lt;&gt;0,C2943-CurrentMtgRatesDataTable8[[#This Row],[WA CC]],0)</f>
        <v>0</v>
      </c>
      <c r="L2944" s="70">
        <f>IF(CurrentMtgRatesDataTable8[[#This Row],[Servicing Spread]]&lt;=0,L2943,CurrentMtgRatesDataTable8[[#This Row],[Servicing Spread]])</f>
        <v>0.87914752064901158</v>
      </c>
      <c r="M2944" s="70">
        <f>CurrentMtgRatesDataTable8[[#This Row],[Servicing Spread Non-Zero]]-L2943</f>
        <v>0</v>
      </c>
      <c r="N2944" s="70">
        <f>IF(J2943&lt;&gt;0,CurrentMtgRatesDataTable8[[#This Row],[Rate]]-C2943,N2943)</f>
        <v>5.0000000000000266E-2</v>
      </c>
    </row>
    <row r="2945" spans="1:14">
      <c r="A2945" s="67" t="s">
        <v>903</v>
      </c>
      <c r="B2945" s="68">
        <v>2.9130814289562301</v>
      </c>
      <c r="C2945" s="69">
        <v>3.79</v>
      </c>
      <c r="D2945" s="70">
        <f t="shared" si="315"/>
        <v>2</v>
      </c>
      <c r="E2945" s="70">
        <f t="shared" si="316"/>
        <v>0.2</v>
      </c>
      <c r="F2945" s="70">
        <f t="shared" si="317"/>
        <v>2</v>
      </c>
      <c r="G2945" s="70">
        <f t="shared" si="318"/>
        <v>1.1643254320263541</v>
      </c>
      <c r="H2945" s="70">
        <f t="shared" si="319"/>
        <v>0.4</v>
      </c>
      <c r="I2945" s="70">
        <f t="shared" si="320"/>
        <v>0</v>
      </c>
      <c r="J2945" s="70">
        <f t="shared" si="321"/>
        <v>0</v>
      </c>
      <c r="K2945" s="70">
        <f>IF(CurrentMtgRatesDataTable8[[#This Row],[WA CC]]&lt;&gt;0,C2944-CurrentMtgRatesDataTable8[[#This Row],[WA CC]],0)</f>
        <v>0</v>
      </c>
      <c r="L2945" s="70">
        <f>IF(CurrentMtgRatesDataTable8[[#This Row],[Servicing Spread]]&lt;=0,L2944,CurrentMtgRatesDataTable8[[#This Row],[Servicing Spread]])</f>
        <v>0.87914752064901158</v>
      </c>
      <c r="M2945" s="70">
        <f>CurrentMtgRatesDataTable8[[#This Row],[Servicing Spread Non-Zero]]-L2944</f>
        <v>0</v>
      </c>
      <c r="N2945" s="70">
        <f>IF(J2944&lt;&gt;0,CurrentMtgRatesDataTable8[[#This Row],[Rate]]-C2944,N2944)</f>
        <v>5.0000000000000266E-2</v>
      </c>
    </row>
    <row r="2946" spans="1:14">
      <c r="A2946" s="67" t="s">
        <v>904</v>
      </c>
      <c r="B2946" s="68">
        <v>2.9344470402340699</v>
      </c>
      <c r="C2946" s="69">
        <v>3.79</v>
      </c>
      <c r="D2946" s="70">
        <f t="shared" si="315"/>
        <v>5</v>
      </c>
      <c r="E2946" s="70">
        <f t="shared" si="316"/>
        <v>0.2</v>
      </c>
      <c r="F2946" s="70">
        <f t="shared" si="317"/>
        <v>3</v>
      </c>
      <c r="G2946" s="70">
        <f t="shared" si="318"/>
        <v>1.751214840073168</v>
      </c>
      <c r="H2946" s="70">
        <f t="shared" si="319"/>
        <v>0.60000000000000009</v>
      </c>
      <c r="I2946" s="70">
        <f t="shared" si="320"/>
        <v>0</v>
      </c>
      <c r="J2946" s="70">
        <f t="shared" si="321"/>
        <v>0</v>
      </c>
      <c r="K2946" s="70">
        <f>IF(CurrentMtgRatesDataTable8[[#This Row],[WA CC]]&lt;&gt;0,C2945-CurrentMtgRatesDataTable8[[#This Row],[WA CC]],0)</f>
        <v>0</v>
      </c>
      <c r="L2946" s="70">
        <f>IF(CurrentMtgRatesDataTable8[[#This Row],[Servicing Spread]]&lt;=0,L2945,CurrentMtgRatesDataTable8[[#This Row],[Servicing Spread]])</f>
        <v>0.87914752064901158</v>
      </c>
      <c r="M2946" s="70">
        <f>CurrentMtgRatesDataTable8[[#This Row],[Servicing Spread Non-Zero]]-L2945</f>
        <v>0</v>
      </c>
      <c r="N2946" s="70">
        <f>IF(J2945&lt;&gt;0,CurrentMtgRatesDataTable8[[#This Row],[Rate]]-C2945,N2945)</f>
        <v>5.0000000000000266E-2</v>
      </c>
    </row>
    <row r="2947" spans="1:14">
      <c r="A2947" s="67" t="s">
        <v>905</v>
      </c>
      <c r="B2947" s="68">
        <v>2.9096799662845698</v>
      </c>
      <c r="C2947" s="69">
        <v>3.79</v>
      </c>
      <c r="D2947" s="70">
        <f t="shared" si="315"/>
        <v>6</v>
      </c>
      <c r="E2947" s="70">
        <f t="shared" si="316"/>
        <v>0.2</v>
      </c>
      <c r="F2947" s="70">
        <f t="shared" si="317"/>
        <v>4</v>
      </c>
      <c r="G2947" s="70">
        <f t="shared" si="318"/>
        <v>2.3331508333300821</v>
      </c>
      <c r="H2947" s="70">
        <f t="shared" si="319"/>
        <v>0.8</v>
      </c>
      <c r="I2947" s="70">
        <f t="shared" si="320"/>
        <v>0</v>
      </c>
      <c r="J2947" s="70">
        <f t="shared" si="321"/>
        <v>0</v>
      </c>
      <c r="K2947" s="70">
        <f>IF(CurrentMtgRatesDataTable8[[#This Row],[WA CC]]&lt;&gt;0,C2946-CurrentMtgRatesDataTable8[[#This Row],[WA CC]],0)</f>
        <v>0</v>
      </c>
      <c r="L2947" s="70">
        <f>IF(CurrentMtgRatesDataTable8[[#This Row],[Servicing Spread]]&lt;=0,L2946,CurrentMtgRatesDataTable8[[#This Row],[Servicing Spread]])</f>
        <v>0.87914752064901158</v>
      </c>
      <c r="M2947" s="70">
        <f>CurrentMtgRatesDataTable8[[#This Row],[Servicing Spread Non-Zero]]-L2946</f>
        <v>0</v>
      </c>
      <c r="N2947" s="70">
        <f>IF(J2946&lt;&gt;0,CurrentMtgRatesDataTable8[[#This Row],[Rate]]-C2946,N2946)</f>
        <v>5.0000000000000266E-2</v>
      </c>
    </row>
    <row r="2948" spans="1:14">
      <c r="A2948" s="67" t="s">
        <v>906</v>
      </c>
      <c r="B2948" s="68">
        <v>2.9358931445910401</v>
      </c>
      <c r="C2948" s="69">
        <v>3.79</v>
      </c>
      <c r="D2948" s="70">
        <f t="shared" si="315"/>
        <v>7</v>
      </c>
      <c r="E2948" s="70">
        <f t="shared" si="316"/>
        <v>0.2</v>
      </c>
      <c r="F2948" s="70">
        <f t="shared" si="317"/>
        <v>5</v>
      </c>
      <c r="G2948" s="70">
        <f t="shared" si="318"/>
        <v>2.92032946224829</v>
      </c>
      <c r="H2948" s="70">
        <f t="shared" si="319"/>
        <v>1</v>
      </c>
      <c r="I2948" s="70">
        <f t="shared" si="320"/>
        <v>1</v>
      </c>
      <c r="J2948" s="70">
        <f t="shared" si="321"/>
        <v>2.92032946224829</v>
      </c>
      <c r="K2948" s="70">
        <f>IF(CurrentMtgRatesDataTable8[[#This Row],[WA CC]]&lt;&gt;0,C2947-CurrentMtgRatesDataTable8[[#This Row],[WA CC]],0)</f>
        <v>0.86967053775170999</v>
      </c>
      <c r="L2948" s="70">
        <f>IF(CurrentMtgRatesDataTable8[[#This Row],[Servicing Spread]]&lt;=0,L2947,CurrentMtgRatesDataTable8[[#This Row],[Servicing Spread]])</f>
        <v>0.86967053775170999</v>
      </c>
      <c r="M2948" s="70">
        <f>CurrentMtgRatesDataTable8[[#This Row],[Servicing Spread Non-Zero]]-L2947</f>
        <v>-9.476982897301589E-3</v>
      </c>
      <c r="N2948" s="70">
        <f>IF(J2947&lt;&gt;0,CurrentMtgRatesDataTable8[[#This Row],[Rate]]-C2947,N2947)</f>
        <v>5.0000000000000266E-2</v>
      </c>
    </row>
    <row r="2949" spans="1:14">
      <c r="A2949" s="67" t="s">
        <v>907</v>
      </c>
      <c r="B2949" s="68">
        <v>2.90498942377981</v>
      </c>
      <c r="C2949" s="69">
        <v>3.8</v>
      </c>
      <c r="D2949" s="70">
        <f t="shared" ref="D2949:D3012" si="322">WEEKDAY(A2949,14)</f>
        <v>1</v>
      </c>
      <c r="E2949" s="70">
        <f t="shared" ref="E2949:E3012" si="323">VLOOKUP(D2949,Q$5:R$11,2,FALSE)</f>
        <v>0.2</v>
      </c>
      <c r="F2949" s="70">
        <f t="shared" ref="F2949:F3012" si="324">IF(AND(D2949&gt;D2948,F2948&lt;6),F2948+1,1)</f>
        <v>1</v>
      </c>
      <c r="G2949" s="70">
        <f t="shared" ref="G2949:G3012" si="325">IF(F2949&gt;F2948,G2948+B2949*E2949,B2949*E2949)</f>
        <v>0.58099788475596204</v>
      </c>
      <c r="H2949" s="70">
        <f t="shared" ref="H2949:H3012" si="326">IF(AND(F2949&lt;6,F2949&gt;F2948),E2949+H2948,E2949)</f>
        <v>0.2</v>
      </c>
      <c r="I2949" s="70">
        <f t="shared" ref="I2949:I3012" si="327">IF(F2949&gt;F2950,1,0)</f>
        <v>0</v>
      </c>
      <c r="J2949" s="70">
        <f t="shared" ref="J2949:J3012" si="328">IF(F2949&gt;F2950,G2949/H2949,0)</f>
        <v>0</v>
      </c>
      <c r="K2949" s="70">
        <f>IF(CurrentMtgRatesDataTable8[[#This Row],[WA CC]]&lt;&gt;0,C2948-CurrentMtgRatesDataTable8[[#This Row],[WA CC]],0)</f>
        <v>0</v>
      </c>
      <c r="L2949" s="70">
        <f>IF(CurrentMtgRatesDataTable8[[#This Row],[Servicing Spread]]&lt;=0,L2948,CurrentMtgRatesDataTable8[[#This Row],[Servicing Spread]])</f>
        <v>0.86967053775170999</v>
      </c>
      <c r="M2949" s="70">
        <f>CurrentMtgRatesDataTable8[[#This Row],[Servicing Spread Non-Zero]]-L2948</f>
        <v>0</v>
      </c>
      <c r="N2949" s="70">
        <f>IF(J2948&lt;&gt;0,CurrentMtgRatesDataTable8[[#This Row],[Rate]]-C2948,N2948)</f>
        <v>9.9999999999997868E-3</v>
      </c>
    </row>
    <row r="2950" spans="1:14">
      <c r="A2950" s="67" t="s">
        <v>908</v>
      </c>
      <c r="B2950" s="68">
        <v>2.8787744272910301</v>
      </c>
      <c r="C2950" s="69">
        <v>3.8</v>
      </c>
      <c r="D2950" s="70">
        <f t="shared" si="322"/>
        <v>2</v>
      </c>
      <c r="E2950" s="70">
        <f t="shared" si="323"/>
        <v>0.2</v>
      </c>
      <c r="F2950" s="70">
        <f t="shared" si="324"/>
        <v>2</v>
      </c>
      <c r="G2950" s="70">
        <f t="shared" si="325"/>
        <v>1.156752770214168</v>
      </c>
      <c r="H2950" s="70">
        <f t="shared" si="326"/>
        <v>0.4</v>
      </c>
      <c r="I2950" s="70">
        <f t="shared" si="327"/>
        <v>0</v>
      </c>
      <c r="J2950" s="70">
        <f t="shared" si="328"/>
        <v>0</v>
      </c>
      <c r="K2950" s="70">
        <f>IF(CurrentMtgRatesDataTable8[[#This Row],[WA CC]]&lt;&gt;0,C2949-CurrentMtgRatesDataTable8[[#This Row],[WA CC]],0)</f>
        <v>0</v>
      </c>
      <c r="L2950" s="70">
        <f>IF(CurrentMtgRatesDataTable8[[#This Row],[Servicing Spread]]&lt;=0,L2949,CurrentMtgRatesDataTable8[[#This Row],[Servicing Spread]])</f>
        <v>0.86967053775170999</v>
      </c>
      <c r="M2950" s="70">
        <f>CurrentMtgRatesDataTable8[[#This Row],[Servicing Spread Non-Zero]]-L2949</f>
        <v>0</v>
      </c>
      <c r="N2950" s="70">
        <f>IF(J2949&lt;&gt;0,CurrentMtgRatesDataTable8[[#This Row],[Rate]]-C2949,N2949)</f>
        <v>9.9999999999997868E-3</v>
      </c>
    </row>
    <row r="2951" spans="1:14">
      <c r="A2951" s="67" t="s">
        <v>909</v>
      </c>
      <c r="B2951" s="68">
        <v>2.9185627226684798</v>
      </c>
      <c r="C2951" s="69">
        <v>3.8</v>
      </c>
      <c r="D2951" s="70">
        <f t="shared" si="322"/>
        <v>6</v>
      </c>
      <c r="E2951" s="70">
        <f t="shared" si="323"/>
        <v>0.2</v>
      </c>
      <c r="F2951" s="70">
        <f t="shared" si="324"/>
        <v>3</v>
      </c>
      <c r="G2951" s="70">
        <f t="shared" si="325"/>
        <v>1.7404653147478641</v>
      </c>
      <c r="H2951" s="70">
        <f t="shared" si="326"/>
        <v>0.60000000000000009</v>
      </c>
      <c r="I2951" s="70">
        <f t="shared" si="327"/>
        <v>0</v>
      </c>
      <c r="J2951" s="70">
        <f t="shared" si="328"/>
        <v>0</v>
      </c>
      <c r="K2951" s="70">
        <f>IF(CurrentMtgRatesDataTable8[[#This Row],[WA CC]]&lt;&gt;0,C2950-CurrentMtgRatesDataTable8[[#This Row],[WA CC]],0)</f>
        <v>0</v>
      </c>
      <c r="L2951" s="70">
        <f>IF(CurrentMtgRatesDataTable8[[#This Row],[Servicing Spread]]&lt;=0,L2950,CurrentMtgRatesDataTable8[[#This Row],[Servicing Spread]])</f>
        <v>0.86967053775170999</v>
      </c>
      <c r="M2951" s="70">
        <f>CurrentMtgRatesDataTable8[[#This Row],[Servicing Spread Non-Zero]]-L2950</f>
        <v>0</v>
      </c>
      <c r="N2951" s="70">
        <f>IF(J2950&lt;&gt;0,CurrentMtgRatesDataTable8[[#This Row],[Rate]]-C2950,N2950)</f>
        <v>9.9999999999997868E-3</v>
      </c>
    </row>
    <row r="2952" spans="1:14">
      <c r="A2952" s="67" t="s">
        <v>910</v>
      </c>
      <c r="B2952" s="68">
        <v>2.9027513521030701</v>
      </c>
      <c r="C2952" s="69">
        <v>3.8</v>
      </c>
      <c r="D2952" s="70">
        <f t="shared" si="322"/>
        <v>7</v>
      </c>
      <c r="E2952" s="70">
        <f t="shared" si="323"/>
        <v>0.2</v>
      </c>
      <c r="F2952" s="70">
        <f t="shared" si="324"/>
        <v>4</v>
      </c>
      <c r="G2952" s="70">
        <f t="shared" si="325"/>
        <v>2.3210155851684782</v>
      </c>
      <c r="H2952" s="70">
        <f t="shared" si="326"/>
        <v>0.8</v>
      </c>
      <c r="I2952" s="70">
        <f t="shared" si="327"/>
        <v>1</v>
      </c>
      <c r="J2952" s="70">
        <f t="shared" si="328"/>
        <v>2.9012694814605977</v>
      </c>
      <c r="K2952" s="70">
        <f>IF(CurrentMtgRatesDataTable8[[#This Row],[WA CC]]&lt;&gt;0,C2951-CurrentMtgRatesDataTable8[[#This Row],[WA CC]],0)</f>
        <v>0.89873051853940211</v>
      </c>
      <c r="L2952" s="70">
        <f>IF(CurrentMtgRatesDataTable8[[#This Row],[Servicing Spread]]&lt;=0,L2951,CurrentMtgRatesDataTable8[[#This Row],[Servicing Spread]])</f>
        <v>0.89873051853940211</v>
      </c>
      <c r="M2952" s="70">
        <f>CurrentMtgRatesDataTable8[[#This Row],[Servicing Spread Non-Zero]]-L2951</f>
        <v>2.9059980787692119E-2</v>
      </c>
      <c r="N2952" s="70">
        <f>IF(J2951&lt;&gt;0,CurrentMtgRatesDataTable8[[#This Row],[Rate]]-C2951,N2951)</f>
        <v>9.9999999999997868E-3</v>
      </c>
    </row>
    <row r="2953" spans="1:14">
      <c r="A2953" s="67" t="s">
        <v>911</v>
      </c>
      <c r="B2953" s="68">
        <v>2.9327229891480799</v>
      </c>
      <c r="C2953" s="69">
        <v>3.81</v>
      </c>
      <c r="D2953" s="70">
        <f t="shared" si="322"/>
        <v>1</v>
      </c>
      <c r="E2953" s="70">
        <f t="shared" si="323"/>
        <v>0.2</v>
      </c>
      <c r="F2953" s="70">
        <f t="shared" si="324"/>
        <v>1</v>
      </c>
      <c r="G2953" s="70">
        <f t="shared" si="325"/>
        <v>0.58654459782961599</v>
      </c>
      <c r="H2953" s="70">
        <f t="shared" si="326"/>
        <v>0.2</v>
      </c>
      <c r="I2953" s="70">
        <f t="shared" si="327"/>
        <v>0</v>
      </c>
      <c r="J2953" s="70">
        <f t="shared" si="328"/>
        <v>0</v>
      </c>
      <c r="K2953" s="70">
        <f>IF(CurrentMtgRatesDataTable8[[#This Row],[WA CC]]&lt;&gt;0,C2952-CurrentMtgRatesDataTable8[[#This Row],[WA CC]],0)</f>
        <v>0</v>
      </c>
      <c r="L2953" s="70">
        <f>IF(CurrentMtgRatesDataTable8[[#This Row],[Servicing Spread]]&lt;=0,L2952,CurrentMtgRatesDataTable8[[#This Row],[Servicing Spread]])</f>
        <v>0.89873051853940211</v>
      </c>
      <c r="M2953" s="70">
        <f>CurrentMtgRatesDataTable8[[#This Row],[Servicing Spread Non-Zero]]-L2952</f>
        <v>0</v>
      </c>
      <c r="N2953" s="70">
        <f>IF(J2952&lt;&gt;0,CurrentMtgRatesDataTable8[[#This Row],[Rate]]-C2952,N2952)</f>
        <v>1.0000000000000231E-2</v>
      </c>
    </row>
    <row r="2954" spans="1:14">
      <c r="A2954" s="67" t="s">
        <v>912</v>
      </c>
      <c r="B2954" s="68">
        <v>2.9154645829543302</v>
      </c>
      <c r="C2954" s="69">
        <v>3.81</v>
      </c>
      <c r="D2954" s="70">
        <f t="shared" si="322"/>
        <v>2</v>
      </c>
      <c r="E2954" s="70">
        <f t="shared" si="323"/>
        <v>0.2</v>
      </c>
      <c r="F2954" s="70">
        <f t="shared" si="324"/>
        <v>2</v>
      </c>
      <c r="G2954" s="70">
        <f t="shared" si="325"/>
        <v>1.169637514420482</v>
      </c>
      <c r="H2954" s="70">
        <f t="shared" si="326"/>
        <v>0.4</v>
      </c>
      <c r="I2954" s="70">
        <f t="shared" si="327"/>
        <v>0</v>
      </c>
      <c r="J2954" s="70">
        <f t="shared" si="328"/>
        <v>0</v>
      </c>
      <c r="K2954" s="70">
        <f>IF(CurrentMtgRatesDataTable8[[#This Row],[WA CC]]&lt;&gt;0,C2953-CurrentMtgRatesDataTable8[[#This Row],[WA CC]],0)</f>
        <v>0</v>
      </c>
      <c r="L2954" s="70">
        <f>IF(CurrentMtgRatesDataTable8[[#This Row],[Servicing Spread]]&lt;=0,L2953,CurrentMtgRatesDataTable8[[#This Row],[Servicing Spread]])</f>
        <v>0.89873051853940211</v>
      </c>
      <c r="M2954" s="70">
        <f>CurrentMtgRatesDataTable8[[#This Row],[Servicing Spread Non-Zero]]-L2953</f>
        <v>0</v>
      </c>
      <c r="N2954" s="70">
        <f>IF(J2953&lt;&gt;0,CurrentMtgRatesDataTable8[[#This Row],[Rate]]-C2953,N2953)</f>
        <v>1.0000000000000231E-2</v>
      </c>
    </row>
    <row r="2955" spans="1:14">
      <c r="A2955" s="67" t="s">
        <v>913</v>
      </c>
      <c r="B2955" s="68">
        <v>2.90800506731745</v>
      </c>
      <c r="C2955" s="69">
        <v>3.81</v>
      </c>
      <c r="D2955" s="70">
        <f t="shared" si="322"/>
        <v>5</v>
      </c>
      <c r="E2955" s="70">
        <f t="shared" si="323"/>
        <v>0.2</v>
      </c>
      <c r="F2955" s="70">
        <f t="shared" si="324"/>
        <v>3</v>
      </c>
      <c r="G2955" s="70">
        <f t="shared" si="325"/>
        <v>1.7512385278839719</v>
      </c>
      <c r="H2955" s="70">
        <f t="shared" si="326"/>
        <v>0.60000000000000009</v>
      </c>
      <c r="I2955" s="70">
        <f t="shared" si="327"/>
        <v>0</v>
      </c>
      <c r="J2955" s="70">
        <f t="shared" si="328"/>
        <v>0</v>
      </c>
      <c r="K2955" s="70">
        <f>IF(CurrentMtgRatesDataTable8[[#This Row],[WA CC]]&lt;&gt;0,C2954-CurrentMtgRatesDataTable8[[#This Row],[WA CC]],0)</f>
        <v>0</v>
      </c>
      <c r="L2955" s="70">
        <f>IF(CurrentMtgRatesDataTable8[[#This Row],[Servicing Spread]]&lt;=0,L2954,CurrentMtgRatesDataTable8[[#This Row],[Servicing Spread]])</f>
        <v>0.89873051853940211</v>
      </c>
      <c r="M2955" s="70">
        <f>CurrentMtgRatesDataTable8[[#This Row],[Servicing Spread Non-Zero]]-L2954</f>
        <v>0</v>
      </c>
      <c r="N2955" s="70">
        <f>IF(J2954&lt;&gt;0,CurrentMtgRatesDataTable8[[#This Row],[Rate]]-C2954,N2954)</f>
        <v>1.0000000000000231E-2</v>
      </c>
    </row>
    <row r="2956" spans="1:14">
      <c r="A2956" s="67" t="s">
        <v>914</v>
      </c>
      <c r="B2956" s="68">
        <v>2.9912109118513701</v>
      </c>
      <c r="C2956" s="69">
        <v>3.81</v>
      </c>
      <c r="D2956" s="70">
        <f t="shared" si="322"/>
        <v>6</v>
      </c>
      <c r="E2956" s="70">
        <f t="shared" si="323"/>
        <v>0.2</v>
      </c>
      <c r="F2956" s="70">
        <f t="shared" si="324"/>
        <v>4</v>
      </c>
      <c r="G2956" s="70">
        <f t="shared" si="325"/>
        <v>2.3494807102542459</v>
      </c>
      <c r="H2956" s="70">
        <f t="shared" si="326"/>
        <v>0.8</v>
      </c>
      <c r="I2956" s="70">
        <f t="shared" si="327"/>
        <v>0</v>
      </c>
      <c r="J2956" s="70">
        <f t="shared" si="328"/>
        <v>0</v>
      </c>
      <c r="K2956" s="70">
        <f>IF(CurrentMtgRatesDataTable8[[#This Row],[WA CC]]&lt;&gt;0,C2955-CurrentMtgRatesDataTable8[[#This Row],[WA CC]],0)</f>
        <v>0</v>
      </c>
      <c r="L2956" s="70">
        <f>IF(CurrentMtgRatesDataTable8[[#This Row],[Servicing Spread]]&lt;=0,L2955,CurrentMtgRatesDataTable8[[#This Row],[Servicing Spread]])</f>
        <v>0.89873051853940211</v>
      </c>
      <c r="M2956" s="70">
        <f>CurrentMtgRatesDataTable8[[#This Row],[Servicing Spread Non-Zero]]-L2955</f>
        <v>0</v>
      </c>
      <c r="N2956" s="70">
        <f>IF(J2955&lt;&gt;0,CurrentMtgRatesDataTable8[[#This Row],[Rate]]-C2955,N2955)</f>
        <v>1.0000000000000231E-2</v>
      </c>
    </row>
    <row r="2957" spans="1:14">
      <c r="A2957" s="67" t="s">
        <v>915</v>
      </c>
      <c r="B2957" s="68">
        <v>2.9926621611582802</v>
      </c>
      <c r="C2957" s="69">
        <v>3.81</v>
      </c>
      <c r="D2957" s="70">
        <f t="shared" si="322"/>
        <v>7</v>
      </c>
      <c r="E2957" s="70">
        <f t="shared" si="323"/>
        <v>0.2</v>
      </c>
      <c r="F2957" s="70">
        <f t="shared" si="324"/>
        <v>5</v>
      </c>
      <c r="G2957" s="70">
        <f t="shared" si="325"/>
        <v>2.9480131424859017</v>
      </c>
      <c r="H2957" s="70">
        <f t="shared" si="326"/>
        <v>1</v>
      </c>
      <c r="I2957" s="70">
        <f t="shared" si="327"/>
        <v>1</v>
      </c>
      <c r="J2957" s="70">
        <f t="shared" si="328"/>
        <v>2.9480131424859017</v>
      </c>
      <c r="K2957" s="70">
        <f>IF(CurrentMtgRatesDataTable8[[#This Row],[WA CC]]&lt;&gt;0,C2956-CurrentMtgRatesDataTable8[[#This Row],[WA CC]],0)</f>
        <v>0.86198685751409831</v>
      </c>
      <c r="L2957" s="70">
        <f>IF(CurrentMtgRatesDataTable8[[#This Row],[Servicing Spread]]&lt;=0,L2956,CurrentMtgRatesDataTable8[[#This Row],[Servicing Spread]])</f>
        <v>0.86198685751409831</v>
      </c>
      <c r="M2957" s="70">
        <f>CurrentMtgRatesDataTable8[[#This Row],[Servicing Spread Non-Zero]]-L2956</f>
        <v>-3.6743661025303798E-2</v>
      </c>
      <c r="N2957" s="70">
        <f>IF(J2956&lt;&gt;0,CurrentMtgRatesDataTable8[[#This Row],[Rate]]-C2956,N2956)</f>
        <v>1.0000000000000231E-2</v>
      </c>
    </row>
    <row r="2958" spans="1:14">
      <c r="A2958" s="67" t="s">
        <v>916</v>
      </c>
      <c r="B2958" s="68">
        <v>2.8946199392202701</v>
      </c>
      <c r="C2958" s="69">
        <v>3.7849999999999997</v>
      </c>
      <c r="D2958" s="70">
        <f t="shared" si="322"/>
        <v>1</v>
      </c>
      <c r="E2958" s="70">
        <f t="shared" si="323"/>
        <v>0.2</v>
      </c>
      <c r="F2958" s="70">
        <f t="shared" si="324"/>
        <v>1</v>
      </c>
      <c r="G2958" s="70">
        <f t="shared" si="325"/>
        <v>0.57892398784405408</v>
      </c>
      <c r="H2958" s="70">
        <f t="shared" si="326"/>
        <v>0.2</v>
      </c>
      <c r="I2958" s="70">
        <f t="shared" si="327"/>
        <v>0</v>
      </c>
      <c r="J2958" s="70">
        <f t="shared" si="328"/>
        <v>0</v>
      </c>
      <c r="K2958" s="70">
        <f>IF(CurrentMtgRatesDataTable8[[#This Row],[WA CC]]&lt;&gt;0,C2957-CurrentMtgRatesDataTable8[[#This Row],[WA CC]],0)</f>
        <v>0</v>
      </c>
      <c r="L2958" s="70">
        <f>IF(CurrentMtgRatesDataTable8[[#This Row],[Servicing Spread]]&lt;=0,L2957,CurrentMtgRatesDataTable8[[#This Row],[Servicing Spread]])</f>
        <v>0.86198685751409831</v>
      </c>
      <c r="M2958" s="70">
        <f>CurrentMtgRatesDataTable8[[#This Row],[Servicing Spread Non-Zero]]-L2957</f>
        <v>0</v>
      </c>
      <c r="N2958" s="70">
        <f>IF(J2957&lt;&gt;0,CurrentMtgRatesDataTable8[[#This Row],[Rate]]-C2957,N2957)</f>
        <v>-2.5000000000000355E-2</v>
      </c>
    </row>
    <row r="2959" spans="1:14">
      <c r="A2959" s="67" t="s">
        <v>917</v>
      </c>
      <c r="B2959" s="68">
        <v>2.8362882018725202</v>
      </c>
      <c r="C2959" s="69">
        <v>3.7849999999999997</v>
      </c>
      <c r="D2959" s="70">
        <f t="shared" si="322"/>
        <v>2</v>
      </c>
      <c r="E2959" s="70">
        <f t="shared" si="323"/>
        <v>0.2</v>
      </c>
      <c r="F2959" s="70">
        <f t="shared" si="324"/>
        <v>2</v>
      </c>
      <c r="G2959" s="70">
        <f t="shared" si="325"/>
        <v>1.1461816282185582</v>
      </c>
      <c r="H2959" s="70">
        <f t="shared" si="326"/>
        <v>0.4</v>
      </c>
      <c r="I2959" s="70">
        <f t="shared" si="327"/>
        <v>0</v>
      </c>
      <c r="J2959" s="70">
        <f t="shared" si="328"/>
        <v>0</v>
      </c>
      <c r="K2959" s="70">
        <f>IF(CurrentMtgRatesDataTable8[[#This Row],[WA CC]]&lt;&gt;0,C2958-CurrentMtgRatesDataTable8[[#This Row],[WA CC]],0)</f>
        <v>0</v>
      </c>
      <c r="L2959" s="70">
        <f>IF(CurrentMtgRatesDataTable8[[#This Row],[Servicing Spread]]&lt;=0,L2958,CurrentMtgRatesDataTable8[[#This Row],[Servicing Spread]])</f>
        <v>0.86198685751409831</v>
      </c>
      <c r="M2959" s="70">
        <f>CurrentMtgRatesDataTable8[[#This Row],[Servicing Spread Non-Zero]]-L2958</f>
        <v>0</v>
      </c>
      <c r="N2959" s="70">
        <f>IF(J2958&lt;&gt;0,CurrentMtgRatesDataTable8[[#This Row],[Rate]]-C2958,N2958)</f>
        <v>-2.5000000000000355E-2</v>
      </c>
    </row>
    <row r="2960" spans="1:14">
      <c r="A2960" s="67" t="s">
        <v>918</v>
      </c>
      <c r="B2960" s="68">
        <v>2.91486476009828</v>
      </c>
      <c r="C2960" s="69">
        <v>3.7849999999999997</v>
      </c>
      <c r="D2960" s="70">
        <f t="shared" si="322"/>
        <v>5</v>
      </c>
      <c r="E2960" s="70">
        <f t="shared" si="323"/>
        <v>0.2</v>
      </c>
      <c r="F2960" s="70">
        <f t="shared" si="324"/>
        <v>3</v>
      </c>
      <c r="G2960" s="70">
        <f t="shared" si="325"/>
        <v>1.7291545802382142</v>
      </c>
      <c r="H2960" s="70">
        <f t="shared" si="326"/>
        <v>0.60000000000000009</v>
      </c>
      <c r="I2960" s="70">
        <f t="shared" si="327"/>
        <v>0</v>
      </c>
      <c r="J2960" s="70">
        <f t="shared" si="328"/>
        <v>0</v>
      </c>
      <c r="K2960" s="70">
        <f>IF(CurrentMtgRatesDataTable8[[#This Row],[WA CC]]&lt;&gt;0,C2959-CurrentMtgRatesDataTable8[[#This Row],[WA CC]],0)</f>
        <v>0</v>
      </c>
      <c r="L2960" s="70">
        <f>IF(CurrentMtgRatesDataTable8[[#This Row],[Servicing Spread]]&lt;=0,L2959,CurrentMtgRatesDataTable8[[#This Row],[Servicing Spread]])</f>
        <v>0.86198685751409831</v>
      </c>
      <c r="M2960" s="70">
        <f>CurrentMtgRatesDataTable8[[#This Row],[Servicing Spread Non-Zero]]-L2959</f>
        <v>0</v>
      </c>
      <c r="N2960" s="70">
        <f>IF(J2959&lt;&gt;0,CurrentMtgRatesDataTable8[[#This Row],[Rate]]-C2959,N2959)</f>
        <v>-2.5000000000000355E-2</v>
      </c>
    </row>
    <row r="2961" spans="1:14">
      <c r="A2961" s="67" t="s">
        <v>919</v>
      </c>
      <c r="B2961" s="68">
        <v>2.8594352216235301</v>
      </c>
      <c r="C2961" s="69">
        <v>3.7849999999999997</v>
      </c>
      <c r="D2961" s="70">
        <f t="shared" si="322"/>
        <v>6</v>
      </c>
      <c r="E2961" s="70">
        <f t="shared" si="323"/>
        <v>0.2</v>
      </c>
      <c r="F2961" s="70">
        <f t="shared" si="324"/>
        <v>4</v>
      </c>
      <c r="G2961" s="70">
        <f t="shared" si="325"/>
        <v>2.3010416245629202</v>
      </c>
      <c r="H2961" s="70">
        <f t="shared" si="326"/>
        <v>0.8</v>
      </c>
      <c r="I2961" s="70">
        <f t="shared" si="327"/>
        <v>0</v>
      </c>
      <c r="J2961" s="70">
        <f t="shared" si="328"/>
        <v>0</v>
      </c>
      <c r="K2961" s="70">
        <f>IF(CurrentMtgRatesDataTable8[[#This Row],[WA CC]]&lt;&gt;0,C2960-CurrentMtgRatesDataTable8[[#This Row],[WA CC]],0)</f>
        <v>0</v>
      </c>
      <c r="L2961" s="70">
        <f>IF(CurrentMtgRatesDataTable8[[#This Row],[Servicing Spread]]&lt;=0,L2960,CurrentMtgRatesDataTable8[[#This Row],[Servicing Spread]])</f>
        <v>0.86198685751409831</v>
      </c>
      <c r="M2961" s="70">
        <f>CurrentMtgRatesDataTable8[[#This Row],[Servicing Spread Non-Zero]]-L2960</f>
        <v>0</v>
      </c>
      <c r="N2961" s="70">
        <f>IF(J2960&lt;&gt;0,CurrentMtgRatesDataTable8[[#This Row],[Rate]]-C2960,N2960)</f>
        <v>-2.5000000000000355E-2</v>
      </c>
    </row>
    <row r="2962" spans="1:14">
      <c r="A2962" s="67" t="s">
        <v>920</v>
      </c>
      <c r="B2962" s="68">
        <v>2.8734950564364601</v>
      </c>
      <c r="C2962" s="69">
        <v>3.7849999999999997</v>
      </c>
      <c r="D2962" s="70">
        <f t="shared" si="322"/>
        <v>7</v>
      </c>
      <c r="E2962" s="70">
        <f t="shared" si="323"/>
        <v>0.2</v>
      </c>
      <c r="F2962" s="70">
        <f t="shared" si="324"/>
        <v>5</v>
      </c>
      <c r="G2962" s="70">
        <f t="shared" si="325"/>
        <v>2.875740635850212</v>
      </c>
      <c r="H2962" s="70">
        <f t="shared" si="326"/>
        <v>1</v>
      </c>
      <c r="I2962" s="70">
        <f t="shared" si="327"/>
        <v>1</v>
      </c>
      <c r="J2962" s="70">
        <f t="shared" si="328"/>
        <v>2.875740635850212</v>
      </c>
      <c r="K2962" s="70">
        <f>IF(CurrentMtgRatesDataTable8[[#This Row],[WA CC]]&lt;&gt;0,C2961-CurrentMtgRatesDataTable8[[#This Row],[WA CC]],0)</f>
        <v>0.9092593641497877</v>
      </c>
      <c r="L2962" s="70">
        <f>IF(CurrentMtgRatesDataTable8[[#This Row],[Servicing Spread]]&lt;=0,L2961,CurrentMtgRatesDataTable8[[#This Row],[Servicing Spread]])</f>
        <v>0.9092593641497877</v>
      </c>
      <c r="M2962" s="70">
        <f>CurrentMtgRatesDataTable8[[#This Row],[Servicing Spread Non-Zero]]-L2961</f>
        <v>4.7272506635689382E-2</v>
      </c>
      <c r="N2962" s="70">
        <f>IF(J2961&lt;&gt;0,CurrentMtgRatesDataTable8[[#This Row],[Rate]]-C2961,N2961)</f>
        <v>-2.5000000000000355E-2</v>
      </c>
    </row>
    <row r="2963" spans="1:14">
      <c r="A2963" s="67" t="s">
        <v>921</v>
      </c>
      <c r="B2963" s="68">
        <v>2.8712695086990299</v>
      </c>
      <c r="C2963" s="69">
        <v>3.75</v>
      </c>
      <c r="D2963" s="70">
        <f t="shared" si="322"/>
        <v>1</v>
      </c>
      <c r="E2963" s="70">
        <f t="shared" si="323"/>
        <v>0.2</v>
      </c>
      <c r="F2963" s="70">
        <f t="shared" si="324"/>
        <v>1</v>
      </c>
      <c r="G2963" s="70">
        <f t="shared" si="325"/>
        <v>0.57425390173980595</v>
      </c>
      <c r="H2963" s="70">
        <f t="shared" si="326"/>
        <v>0.2</v>
      </c>
      <c r="I2963" s="70">
        <f t="shared" si="327"/>
        <v>0</v>
      </c>
      <c r="J2963" s="70">
        <f t="shared" si="328"/>
        <v>0</v>
      </c>
      <c r="K2963" s="70">
        <f>IF(CurrentMtgRatesDataTable8[[#This Row],[WA CC]]&lt;&gt;0,C2962-CurrentMtgRatesDataTable8[[#This Row],[WA CC]],0)</f>
        <v>0</v>
      </c>
      <c r="L2963" s="70">
        <f>IF(CurrentMtgRatesDataTable8[[#This Row],[Servicing Spread]]&lt;=0,L2962,CurrentMtgRatesDataTable8[[#This Row],[Servicing Spread]])</f>
        <v>0.9092593641497877</v>
      </c>
      <c r="M2963" s="70">
        <f>CurrentMtgRatesDataTable8[[#This Row],[Servicing Spread Non-Zero]]-L2962</f>
        <v>0</v>
      </c>
      <c r="N2963" s="70">
        <f>IF(J2962&lt;&gt;0,CurrentMtgRatesDataTable8[[#This Row],[Rate]]-C2962,N2962)</f>
        <v>-3.4999999999999698E-2</v>
      </c>
    </row>
    <row r="2964" spans="1:14">
      <c r="A2964" s="67" t="s">
        <v>922</v>
      </c>
      <c r="B2964" s="68">
        <v>2.8987506443333801</v>
      </c>
      <c r="C2964" s="69">
        <v>3.75</v>
      </c>
      <c r="D2964" s="70">
        <f t="shared" si="322"/>
        <v>2</v>
      </c>
      <c r="E2964" s="70">
        <f t="shared" si="323"/>
        <v>0.2</v>
      </c>
      <c r="F2964" s="70">
        <f t="shared" si="324"/>
        <v>2</v>
      </c>
      <c r="G2964" s="70">
        <f t="shared" si="325"/>
        <v>1.154004030606482</v>
      </c>
      <c r="H2964" s="70">
        <f t="shared" si="326"/>
        <v>0.4</v>
      </c>
      <c r="I2964" s="70">
        <f t="shared" si="327"/>
        <v>0</v>
      </c>
      <c r="J2964" s="70">
        <f t="shared" si="328"/>
        <v>0</v>
      </c>
      <c r="K2964" s="70">
        <f>IF(CurrentMtgRatesDataTable8[[#This Row],[WA CC]]&lt;&gt;0,C2963-CurrentMtgRatesDataTable8[[#This Row],[WA CC]],0)</f>
        <v>0</v>
      </c>
      <c r="L2964" s="70">
        <f>IF(CurrentMtgRatesDataTable8[[#This Row],[Servicing Spread]]&lt;=0,L2963,CurrentMtgRatesDataTable8[[#This Row],[Servicing Spread]])</f>
        <v>0.9092593641497877</v>
      </c>
      <c r="M2964" s="70">
        <f>CurrentMtgRatesDataTable8[[#This Row],[Servicing Spread Non-Zero]]-L2963</f>
        <v>0</v>
      </c>
      <c r="N2964" s="70">
        <f>IF(J2963&lt;&gt;0,CurrentMtgRatesDataTable8[[#This Row],[Rate]]-C2963,N2963)</f>
        <v>-3.4999999999999698E-2</v>
      </c>
    </row>
    <row r="2965" spans="1:14">
      <c r="A2965" s="67" t="s">
        <v>923</v>
      </c>
      <c r="B2965" s="68">
        <v>2.8546348135519901</v>
      </c>
      <c r="C2965" s="69">
        <v>3.75</v>
      </c>
      <c r="D2965" s="70">
        <f t="shared" si="322"/>
        <v>5</v>
      </c>
      <c r="E2965" s="70">
        <f t="shared" si="323"/>
        <v>0.2</v>
      </c>
      <c r="F2965" s="70">
        <f t="shared" si="324"/>
        <v>3</v>
      </c>
      <c r="G2965" s="70">
        <f t="shared" si="325"/>
        <v>1.7249309933168799</v>
      </c>
      <c r="H2965" s="70">
        <f t="shared" si="326"/>
        <v>0.60000000000000009</v>
      </c>
      <c r="I2965" s="70">
        <f t="shared" si="327"/>
        <v>0</v>
      </c>
      <c r="J2965" s="70">
        <f t="shared" si="328"/>
        <v>0</v>
      </c>
      <c r="K2965" s="70">
        <f>IF(CurrentMtgRatesDataTable8[[#This Row],[WA CC]]&lt;&gt;0,C2964-CurrentMtgRatesDataTable8[[#This Row],[WA CC]],0)</f>
        <v>0</v>
      </c>
      <c r="L2965" s="70">
        <f>IF(CurrentMtgRatesDataTable8[[#This Row],[Servicing Spread]]&lt;=0,L2964,CurrentMtgRatesDataTable8[[#This Row],[Servicing Spread]])</f>
        <v>0.9092593641497877</v>
      </c>
      <c r="M2965" s="70">
        <f>CurrentMtgRatesDataTable8[[#This Row],[Servicing Spread Non-Zero]]-L2964</f>
        <v>0</v>
      </c>
      <c r="N2965" s="70">
        <f>IF(J2964&lt;&gt;0,CurrentMtgRatesDataTable8[[#This Row],[Rate]]-C2964,N2964)</f>
        <v>-3.4999999999999698E-2</v>
      </c>
    </row>
    <row r="2966" spans="1:14">
      <c r="A2966" s="67" t="s">
        <v>924</v>
      </c>
      <c r="B2966" s="68">
        <v>2.8124515814242899</v>
      </c>
      <c r="C2966" s="69">
        <v>3.75</v>
      </c>
      <c r="D2966" s="70">
        <f t="shared" si="322"/>
        <v>6</v>
      </c>
      <c r="E2966" s="70">
        <f t="shared" si="323"/>
        <v>0.2</v>
      </c>
      <c r="F2966" s="70">
        <f t="shared" si="324"/>
        <v>4</v>
      </c>
      <c r="G2966" s="70">
        <f t="shared" si="325"/>
        <v>2.2874213096017382</v>
      </c>
      <c r="H2966" s="70">
        <f t="shared" si="326"/>
        <v>0.8</v>
      </c>
      <c r="I2966" s="70">
        <f t="shared" si="327"/>
        <v>0</v>
      </c>
      <c r="J2966" s="70">
        <f t="shared" si="328"/>
        <v>0</v>
      </c>
      <c r="K2966" s="70">
        <f>IF(CurrentMtgRatesDataTable8[[#This Row],[WA CC]]&lt;&gt;0,C2965-CurrentMtgRatesDataTable8[[#This Row],[WA CC]],0)</f>
        <v>0</v>
      </c>
      <c r="L2966" s="70">
        <f>IF(CurrentMtgRatesDataTable8[[#This Row],[Servicing Spread]]&lt;=0,L2965,CurrentMtgRatesDataTable8[[#This Row],[Servicing Spread]])</f>
        <v>0.9092593641497877</v>
      </c>
      <c r="M2966" s="70">
        <f>CurrentMtgRatesDataTable8[[#This Row],[Servicing Spread Non-Zero]]-L2965</f>
        <v>0</v>
      </c>
      <c r="N2966" s="70">
        <f>IF(J2965&lt;&gt;0,CurrentMtgRatesDataTable8[[#This Row],[Rate]]-C2965,N2965)</f>
        <v>-3.4999999999999698E-2</v>
      </c>
    </row>
    <row r="2967" spans="1:14">
      <c r="A2967" s="67" t="s">
        <v>925</v>
      </c>
      <c r="B2967" s="68">
        <v>2.8018988061488499</v>
      </c>
      <c r="C2967" s="69">
        <v>3.75</v>
      </c>
      <c r="D2967" s="70">
        <f t="shared" si="322"/>
        <v>7</v>
      </c>
      <c r="E2967" s="70">
        <f t="shared" si="323"/>
        <v>0.2</v>
      </c>
      <c r="F2967" s="70">
        <f t="shared" si="324"/>
        <v>5</v>
      </c>
      <c r="G2967" s="70">
        <f t="shared" si="325"/>
        <v>2.8478010708315082</v>
      </c>
      <c r="H2967" s="70">
        <f t="shared" si="326"/>
        <v>1</v>
      </c>
      <c r="I2967" s="70">
        <f t="shared" si="327"/>
        <v>1</v>
      </c>
      <c r="J2967" s="70">
        <f t="shared" si="328"/>
        <v>2.8478010708315082</v>
      </c>
      <c r="K2967" s="70">
        <f>IF(CurrentMtgRatesDataTable8[[#This Row],[WA CC]]&lt;&gt;0,C2966-CurrentMtgRatesDataTable8[[#This Row],[WA CC]],0)</f>
        <v>0.90219892916849176</v>
      </c>
      <c r="L2967" s="70">
        <f>IF(CurrentMtgRatesDataTable8[[#This Row],[Servicing Spread]]&lt;=0,L2966,CurrentMtgRatesDataTable8[[#This Row],[Servicing Spread]])</f>
        <v>0.90219892916849176</v>
      </c>
      <c r="M2967" s="70">
        <f>CurrentMtgRatesDataTable8[[#This Row],[Servicing Spread Non-Zero]]-L2966</f>
        <v>-7.0604349812959377E-3</v>
      </c>
      <c r="N2967" s="70">
        <f>IF(J2966&lt;&gt;0,CurrentMtgRatesDataTable8[[#This Row],[Rate]]-C2966,N2966)</f>
        <v>-3.4999999999999698E-2</v>
      </c>
    </row>
    <row r="2968" spans="1:14">
      <c r="A2968" s="67" t="s">
        <v>926</v>
      </c>
      <c r="B2968" s="68">
        <v>2.7784102270308701</v>
      </c>
      <c r="C2968" s="69">
        <v>3.6599999999999997</v>
      </c>
      <c r="D2968" s="70">
        <f t="shared" si="322"/>
        <v>1</v>
      </c>
      <c r="E2968" s="70">
        <f t="shared" si="323"/>
        <v>0.2</v>
      </c>
      <c r="F2968" s="70">
        <f t="shared" si="324"/>
        <v>1</v>
      </c>
      <c r="G2968" s="70">
        <f t="shared" si="325"/>
        <v>0.55568204540617405</v>
      </c>
      <c r="H2968" s="70">
        <f t="shared" si="326"/>
        <v>0.2</v>
      </c>
      <c r="I2968" s="70">
        <f t="shared" si="327"/>
        <v>0</v>
      </c>
      <c r="J2968" s="70">
        <f t="shared" si="328"/>
        <v>0</v>
      </c>
      <c r="K2968" s="70">
        <f>IF(CurrentMtgRatesDataTable8[[#This Row],[WA CC]]&lt;&gt;0,C2967-CurrentMtgRatesDataTable8[[#This Row],[WA CC]],0)</f>
        <v>0</v>
      </c>
      <c r="L2968" s="70">
        <f>IF(CurrentMtgRatesDataTable8[[#This Row],[Servicing Spread]]&lt;=0,L2967,CurrentMtgRatesDataTable8[[#This Row],[Servicing Spread]])</f>
        <v>0.90219892916849176</v>
      </c>
      <c r="M2968" s="70">
        <f>CurrentMtgRatesDataTable8[[#This Row],[Servicing Spread Non-Zero]]-L2967</f>
        <v>0</v>
      </c>
      <c r="N2968" s="70">
        <f>IF(J2967&lt;&gt;0,CurrentMtgRatesDataTable8[[#This Row],[Rate]]-C2967,N2967)</f>
        <v>-9.0000000000000302E-2</v>
      </c>
    </row>
    <row r="2969" spans="1:14">
      <c r="A2969" s="67" t="s">
        <v>927</v>
      </c>
      <c r="B2969" s="68">
        <v>2.7296334551710499</v>
      </c>
      <c r="C2969" s="69">
        <v>3.6599999999999997</v>
      </c>
      <c r="D2969" s="70">
        <f t="shared" si="322"/>
        <v>2</v>
      </c>
      <c r="E2969" s="70">
        <f t="shared" si="323"/>
        <v>0.2</v>
      </c>
      <c r="F2969" s="70">
        <f t="shared" si="324"/>
        <v>2</v>
      </c>
      <c r="G2969" s="70">
        <f t="shared" si="325"/>
        <v>1.1016087364403839</v>
      </c>
      <c r="H2969" s="70">
        <f t="shared" si="326"/>
        <v>0.4</v>
      </c>
      <c r="I2969" s="70">
        <f t="shared" si="327"/>
        <v>0</v>
      </c>
      <c r="J2969" s="70">
        <f t="shared" si="328"/>
        <v>0</v>
      </c>
      <c r="K2969" s="70">
        <f>IF(CurrentMtgRatesDataTable8[[#This Row],[WA CC]]&lt;&gt;0,C2968-CurrentMtgRatesDataTable8[[#This Row],[WA CC]],0)</f>
        <v>0</v>
      </c>
      <c r="L2969" s="70">
        <f>IF(CurrentMtgRatesDataTable8[[#This Row],[Servicing Spread]]&lt;=0,L2968,CurrentMtgRatesDataTable8[[#This Row],[Servicing Spread]])</f>
        <v>0.90219892916849176</v>
      </c>
      <c r="M2969" s="70">
        <f>CurrentMtgRatesDataTable8[[#This Row],[Servicing Spread Non-Zero]]-L2968</f>
        <v>0</v>
      </c>
      <c r="N2969" s="70">
        <f>IF(J2968&lt;&gt;0,CurrentMtgRatesDataTable8[[#This Row],[Rate]]-C2968,N2968)</f>
        <v>-9.0000000000000302E-2</v>
      </c>
    </row>
    <row r="2970" spans="1:14">
      <c r="A2970" s="67" t="s">
        <v>928</v>
      </c>
      <c r="B2970" s="68">
        <v>2.7734212235563001</v>
      </c>
      <c r="C2970" s="69">
        <v>3.6599999999999997</v>
      </c>
      <c r="D2970" s="70">
        <f t="shared" si="322"/>
        <v>5</v>
      </c>
      <c r="E2970" s="70">
        <f t="shared" si="323"/>
        <v>0.2</v>
      </c>
      <c r="F2970" s="70">
        <f t="shared" si="324"/>
        <v>3</v>
      </c>
      <c r="G2970" s="70">
        <f t="shared" si="325"/>
        <v>1.656292981151644</v>
      </c>
      <c r="H2970" s="70">
        <f t="shared" si="326"/>
        <v>0.60000000000000009</v>
      </c>
      <c r="I2970" s="70">
        <f t="shared" si="327"/>
        <v>0</v>
      </c>
      <c r="J2970" s="70">
        <f t="shared" si="328"/>
        <v>0</v>
      </c>
      <c r="K2970" s="70">
        <f>IF(CurrentMtgRatesDataTable8[[#This Row],[WA CC]]&lt;&gt;0,C2969-CurrentMtgRatesDataTable8[[#This Row],[WA CC]],0)</f>
        <v>0</v>
      </c>
      <c r="L2970" s="70">
        <f>IF(CurrentMtgRatesDataTable8[[#This Row],[Servicing Spread]]&lt;=0,L2969,CurrentMtgRatesDataTable8[[#This Row],[Servicing Spread]])</f>
        <v>0.90219892916849176</v>
      </c>
      <c r="M2970" s="70">
        <f>CurrentMtgRatesDataTable8[[#This Row],[Servicing Spread Non-Zero]]-L2969</f>
        <v>0</v>
      </c>
      <c r="N2970" s="70">
        <f>IF(J2969&lt;&gt;0,CurrentMtgRatesDataTable8[[#This Row],[Rate]]-C2969,N2969)</f>
        <v>-9.0000000000000302E-2</v>
      </c>
    </row>
    <row r="2971" spans="1:14">
      <c r="A2971" s="67" t="s">
        <v>929</v>
      </c>
      <c r="B2971" s="68">
        <v>2.7570320859498798</v>
      </c>
      <c r="C2971" s="69">
        <v>3.6599999999999997</v>
      </c>
      <c r="D2971" s="70">
        <f t="shared" si="322"/>
        <v>6</v>
      </c>
      <c r="E2971" s="70">
        <f t="shared" si="323"/>
        <v>0.2</v>
      </c>
      <c r="F2971" s="70">
        <f t="shared" si="324"/>
        <v>4</v>
      </c>
      <c r="G2971" s="70">
        <f t="shared" si="325"/>
        <v>2.20769939834162</v>
      </c>
      <c r="H2971" s="70">
        <f t="shared" si="326"/>
        <v>0.8</v>
      </c>
      <c r="I2971" s="70">
        <f t="shared" si="327"/>
        <v>0</v>
      </c>
      <c r="J2971" s="70">
        <f t="shared" si="328"/>
        <v>0</v>
      </c>
      <c r="K2971" s="70">
        <f>IF(CurrentMtgRatesDataTable8[[#This Row],[WA CC]]&lt;&gt;0,C2970-CurrentMtgRatesDataTable8[[#This Row],[WA CC]],0)</f>
        <v>0</v>
      </c>
      <c r="L2971" s="70">
        <f>IF(CurrentMtgRatesDataTable8[[#This Row],[Servicing Spread]]&lt;=0,L2970,CurrentMtgRatesDataTable8[[#This Row],[Servicing Spread]])</f>
        <v>0.90219892916849176</v>
      </c>
      <c r="M2971" s="70">
        <f>CurrentMtgRatesDataTable8[[#This Row],[Servicing Spread Non-Zero]]-L2970</f>
        <v>0</v>
      </c>
      <c r="N2971" s="70">
        <f>IF(J2970&lt;&gt;0,CurrentMtgRatesDataTable8[[#This Row],[Rate]]-C2970,N2970)</f>
        <v>-9.0000000000000302E-2</v>
      </c>
    </row>
    <row r="2972" spans="1:14">
      <c r="A2972" s="67" t="s">
        <v>930</v>
      </c>
      <c r="B2972" s="68">
        <v>2.77010275743095</v>
      </c>
      <c r="C2972" s="69">
        <v>3.6599999999999997</v>
      </c>
      <c r="D2972" s="70">
        <f t="shared" si="322"/>
        <v>7</v>
      </c>
      <c r="E2972" s="70">
        <f t="shared" si="323"/>
        <v>0.2</v>
      </c>
      <c r="F2972" s="70">
        <f t="shared" si="324"/>
        <v>5</v>
      </c>
      <c r="G2972" s="70">
        <f t="shared" si="325"/>
        <v>2.76171994982781</v>
      </c>
      <c r="H2972" s="70">
        <f t="shared" si="326"/>
        <v>1</v>
      </c>
      <c r="I2972" s="70">
        <f t="shared" si="327"/>
        <v>1</v>
      </c>
      <c r="J2972" s="70">
        <f t="shared" si="328"/>
        <v>2.76171994982781</v>
      </c>
      <c r="K2972" s="70">
        <f>IF(CurrentMtgRatesDataTable8[[#This Row],[WA CC]]&lt;&gt;0,C2971-CurrentMtgRatesDataTable8[[#This Row],[WA CC]],0)</f>
        <v>0.8982800501721897</v>
      </c>
      <c r="L2972" s="70">
        <f>IF(CurrentMtgRatesDataTable8[[#This Row],[Servicing Spread]]&lt;=0,L2971,CurrentMtgRatesDataTable8[[#This Row],[Servicing Spread]])</f>
        <v>0.8982800501721897</v>
      </c>
      <c r="M2972" s="70">
        <f>CurrentMtgRatesDataTable8[[#This Row],[Servicing Spread Non-Zero]]-L2971</f>
        <v>-3.9188789963020554E-3</v>
      </c>
      <c r="N2972" s="70">
        <f>IF(J2971&lt;&gt;0,CurrentMtgRatesDataTable8[[#This Row],[Rate]]-C2971,N2971)</f>
        <v>-9.0000000000000302E-2</v>
      </c>
    </row>
    <row r="2973" spans="1:14">
      <c r="A2973" s="67" t="s">
        <v>931</v>
      </c>
      <c r="B2973" s="68">
        <v>2.81486937200697</v>
      </c>
      <c r="C2973" s="69">
        <v>3.7199999999999998</v>
      </c>
      <c r="D2973" s="70">
        <f t="shared" si="322"/>
        <v>1</v>
      </c>
      <c r="E2973" s="70">
        <f t="shared" si="323"/>
        <v>0.2</v>
      </c>
      <c r="F2973" s="70">
        <f t="shared" si="324"/>
        <v>1</v>
      </c>
      <c r="G2973" s="70">
        <f t="shared" si="325"/>
        <v>0.56297387440139401</v>
      </c>
      <c r="H2973" s="70">
        <f t="shared" si="326"/>
        <v>0.2</v>
      </c>
      <c r="I2973" s="70">
        <f t="shared" si="327"/>
        <v>0</v>
      </c>
      <c r="J2973" s="70">
        <f t="shared" si="328"/>
        <v>0</v>
      </c>
      <c r="K2973" s="70">
        <f>IF(CurrentMtgRatesDataTable8[[#This Row],[WA CC]]&lt;&gt;0,C2972-CurrentMtgRatesDataTable8[[#This Row],[WA CC]],0)</f>
        <v>0</v>
      </c>
      <c r="L2973" s="70">
        <f>IF(CurrentMtgRatesDataTable8[[#This Row],[Servicing Spread]]&lt;=0,L2972,CurrentMtgRatesDataTable8[[#This Row],[Servicing Spread]])</f>
        <v>0.8982800501721897</v>
      </c>
      <c r="M2973" s="70">
        <f>CurrentMtgRatesDataTable8[[#This Row],[Servicing Spread Non-Zero]]-L2972</f>
        <v>0</v>
      </c>
      <c r="N2973" s="70">
        <f>IF(J2972&lt;&gt;0,CurrentMtgRatesDataTable8[[#This Row],[Rate]]-C2972,N2972)</f>
        <v>6.0000000000000053E-2</v>
      </c>
    </row>
    <row r="2974" spans="1:14">
      <c r="A2974" s="67" t="s">
        <v>932</v>
      </c>
      <c r="B2974" s="68">
        <v>2.8165675160693602</v>
      </c>
      <c r="C2974" s="69">
        <v>3.7199999999999998</v>
      </c>
      <c r="D2974" s="70">
        <f t="shared" si="322"/>
        <v>2</v>
      </c>
      <c r="E2974" s="70">
        <f t="shared" si="323"/>
        <v>0.2</v>
      </c>
      <c r="F2974" s="70">
        <f t="shared" si="324"/>
        <v>2</v>
      </c>
      <c r="G2974" s="70">
        <f t="shared" si="325"/>
        <v>1.1262873776152662</v>
      </c>
      <c r="H2974" s="70">
        <f t="shared" si="326"/>
        <v>0.4</v>
      </c>
      <c r="I2974" s="70">
        <f t="shared" si="327"/>
        <v>0</v>
      </c>
      <c r="J2974" s="70">
        <f t="shared" si="328"/>
        <v>0</v>
      </c>
      <c r="K2974" s="70">
        <f>IF(CurrentMtgRatesDataTable8[[#This Row],[WA CC]]&lt;&gt;0,C2973-CurrentMtgRatesDataTable8[[#This Row],[WA CC]],0)</f>
        <v>0</v>
      </c>
      <c r="L2974" s="70">
        <f>IF(CurrentMtgRatesDataTable8[[#This Row],[Servicing Spread]]&lt;=0,L2973,CurrentMtgRatesDataTable8[[#This Row],[Servicing Spread]])</f>
        <v>0.8982800501721897</v>
      </c>
      <c r="M2974" s="70">
        <f>CurrentMtgRatesDataTable8[[#This Row],[Servicing Spread Non-Zero]]-L2973</f>
        <v>0</v>
      </c>
      <c r="N2974" s="70">
        <f>IF(J2973&lt;&gt;0,CurrentMtgRatesDataTable8[[#This Row],[Rate]]-C2973,N2973)</f>
        <v>6.0000000000000053E-2</v>
      </c>
    </row>
    <row r="2975" spans="1:14">
      <c r="A2975" s="67" t="s">
        <v>933</v>
      </c>
      <c r="B2975" s="68">
        <v>2.7891999400544001</v>
      </c>
      <c r="C2975" s="69">
        <v>3.7199999999999998</v>
      </c>
      <c r="D2975" s="70">
        <f t="shared" si="322"/>
        <v>6</v>
      </c>
      <c r="E2975" s="70">
        <f t="shared" si="323"/>
        <v>0.2</v>
      </c>
      <c r="F2975" s="70">
        <f t="shared" si="324"/>
        <v>3</v>
      </c>
      <c r="G2975" s="70">
        <f t="shared" si="325"/>
        <v>1.6841273656261464</v>
      </c>
      <c r="H2975" s="70">
        <f t="shared" si="326"/>
        <v>0.60000000000000009</v>
      </c>
      <c r="I2975" s="70">
        <f t="shared" si="327"/>
        <v>0</v>
      </c>
      <c r="J2975" s="70">
        <f t="shared" si="328"/>
        <v>0</v>
      </c>
      <c r="K2975" s="70">
        <f>IF(CurrentMtgRatesDataTable8[[#This Row],[WA CC]]&lt;&gt;0,C2974-CurrentMtgRatesDataTable8[[#This Row],[WA CC]],0)</f>
        <v>0</v>
      </c>
      <c r="L2975" s="70">
        <f>IF(CurrentMtgRatesDataTable8[[#This Row],[Servicing Spread]]&lt;=0,L2974,CurrentMtgRatesDataTable8[[#This Row],[Servicing Spread]])</f>
        <v>0.8982800501721897</v>
      </c>
      <c r="M2975" s="70">
        <f>CurrentMtgRatesDataTable8[[#This Row],[Servicing Spread Non-Zero]]-L2974</f>
        <v>0</v>
      </c>
      <c r="N2975" s="70">
        <f>IF(J2974&lt;&gt;0,CurrentMtgRatesDataTable8[[#This Row],[Rate]]-C2974,N2974)</f>
        <v>6.0000000000000053E-2</v>
      </c>
    </row>
    <row r="2976" spans="1:14">
      <c r="A2976" s="67" t="s">
        <v>934</v>
      </c>
      <c r="B2976" s="68">
        <v>2.7081035827114999</v>
      </c>
      <c r="C2976" s="69">
        <v>3.7199999999999998</v>
      </c>
      <c r="D2976" s="70">
        <f t="shared" si="322"/>
        <v>7</v>
      </c>
      <c r="E2976" s="70">
        <f t="shared" si="323"/>
        <v>0.2</v>
      </c>
      <c r="F2976" s="70">
        <f t="shared" si="324"/>
        <v>4</v>
      </c>
      <c r="G2976" s="70">
        <f t="shared" si="325"/>
        <v>2.2257480821684466</v>
      </c>
      <c r="H2976" s="70">
        <f t="shared" si="326"/>
        <v>0.8</v>
      </c>
      <c r="I2976" s="70">
        <f t="shared" si="327"/>
        <v>1</v>
      </c>
      <c r="J2976" s="70">
        <f t="shared" si="328"/>
        <v>2.782185102710558</v>
      </c>
      <c r="K2976" s="70">
        <f>IF(CurrentMtgRatesDataTable8[[#This Row],[WA CC]]&lt;&gt;0,C2975-CurrentMtgRatesDataTable8[[#This Row],[WA CC]],0)</f>
        <v>0.93781489728944178</v>
      </c>
      <c r="L2976" s="70">
        <f>IF(CurrentMtgRatesDataTable8[[#This Row],[Servicing Spread]]&lt;=0,L2975,CurrentMtgRatesDataTable8[[#This Row],[Servicing Spread]])</f>
        <v>0.93781489728944178</v>
      </c>
      <c r="M2976" s="70">
        <f>CurrentMtgRatesDataTable8[[#This Row],[Servicing Spread Non-Zero]]-L2975</f>
        <v>3.9534847117252081E-2</v>
      </c>
      <c r="N2976" s="70">
        <f>IF(J2975&lt;&gt;0,CurrentMtgRatesDataTable8[[#This Row],[Rate]]-C2975,N2975)</f>
        <v>6.0000000000000053E-2</v>
      </c>
    </row>
    <row r="2977" spans="1:14">
      <c r="A2977" s="67" t="s">
        <v>935</v>
      </c>
      <c r="B2977" s="68">
        <v>2.73044392273518</v>
      </c>
      <c r="C2977" s="69">
        <v>3.69</v>
      </c>
      <c r="D2977" s="70">
        <f t="shared" si="322"/>
        <v>1</v>
      </c>
      <c r="E2977" s="70">
        <f t="shared" si="323"/>
        <v>0.2</v>
      </c>
      <c r="F2977" s="70">
        <f t="shared" si="324"/>
        <v>1</v>
      </c>
      <c r="G2977" s="70">
        <f t="shared" si="325"/>
        <v>0.54608878454703602</v>
      </c>
      <c r="H2977" s="70">
        <f t="shared" si="326"/>
        <v>0.2</v>
      </c>
      <c r="I2977" s="70">
        <f t="shared" si="327"/>
        <v>0</v>
      </c>
      <c r="J2977" s="70">
        <f t="shared" si="328"/>
        <v>0</v>
      </c>
      <c r="K2977" s="70">
        <f>IF(CurrentMtgRatesDataTable8[[#This Row],[WA CC]]&lt;&gt;0,C2976-CurrentMtgRatesDataTable8[[#This Row],[WA CC]],0)</f>
        <v>0</v>
      </c>
      <c r="L2977" s="70">
        <f>IF(CurrentMtgRatesDataTable8[[#This Row],[Servicing Spread]]&lt;=0,L2976,CurrentMtgRatesDataTable8[[#This Row],[Servicing Spread]])</f>
        <v>0.93781489728944178</v>
      </c>
      <c r="M2977" s="70">
        <f>CurrentMtgRatesDataTable8[[#This Row],[Servicing Spread Non-Zero]]-L2976</f>
        <v>0</v>
      </c>
      <c r="N2977" s="70">
        <f>IF(J2976&lt;&gt;0,CurrentMtgRatesDataTable8[[#This Row],[Rate]]-C2976,N2976)</f>
        <v>-2.9999999999999805E-2</v>
      </c>
    </row>
    <row r="2978" spans="1:14">
      <c r="A2978" s="67" t="s">
        <v>936</v>
      </c>
      <c r="B2978" s="68">
        <v>2.7334728347211201</v>
      </c>
      <c r="C2978" s="69">
        <v>3.69</v>
      </c>
      <c r="D2978" s="70">
        <f t="shared" si="322"/>
        <v>2</v>
      </c>
      <c r="E2978" s="70">
        <f t="shared" si="323"/>
        <v>0.2</v>
      </c>
      <c r="F2978" s="70">
        <f t="shared" si="324"/>
        <v>2</v>
      </c>
      <c r="G2978" s="70">
        <f t="shared" si="325"/>
        <v>1.0927833514912599</v>
      </c>
      <c r="H2978" s="70">
        <f t="shared" si="326"/>
        <v>0.4</v>
      </c>
      <c r="I2978" s="70">
        <f t="shared" si="327"/>
        <v>0</v>
      </c>
      <c r="J2978" s="70">
        <f t="shared" si="328"/>
        <v>0</v>
      </c>
      <c r="K2978" s="70">
        <f>IF(CurrentMtgRatesDataTable8[[#This Row],[WA CC]]&lt;&gt;0,C2977-CurrentMtgRatesDataTable8[[#This Row],[WA CC]],0)</f>
        <v>0</v>
      </c>
      <c r="L2978" s="70">
        <f>IF(CurrentMtgRatesDataTable8[[#This Row],[Servicing Spread]]&lt;=0,L2977,CurrentMtgRatesDataTable8[[#This Row],[Servicing Spread]])</f>
        <v>0.93781489728944178</v>
      </c>
      <c r="M2978" s="70">
        <f>CurrentMtgRatesDataTable8[[#This Row],[Servicing Spread Non-Zero]]-L2977</f>
        <v>0</v>
      </c>
      <c r="N2978" s="70">
        <f>IF(J2977&lt;&gt;0,CurrentMtgRatesDataTable8[[#This Row],[Rate]]-C2977,N2977)</f>
        <v>-2.9999999999999805E-2</v>
      </c>
    </row>
    <row r="2979" spans="1:14">
      <c r="A2979" s="67" t="s">
        <v>937</v>
      </c>
      <c r="B2979" s="68">
        <v>2.7352021596982001</v>
      </c>
      <c r="C2979" s="69">
        <v>3.69</v>
      </c>
      <c r="D2979" s="70">
        <f t="shared" si="322"/>
        <v>5</v>
      </c>
      <c r="E2979" s="70">
        <f t="shared" si="323"/>
        <v>0.2</v>
      </c>
      <c r="F2979" s="70">
        <f t="shared" si="324"/>
        <v>3</v>
      </c>
      <c r="G2979" s="70">
        <f t="shared" si="325"/>
        <v>1.6398237834309</v>
      </c>
      <c r="H2979" s="70">
        <f t="shared" si="326"/>
        <v>0.60000000000000009</v>
      </c>
      <c r="I2979" s="70">
        <f t="shared" si="327"/>
        <v>0</v>
      </c>
      <c r="J2979" s="70">
        <f t="shared" si="328"/>
        <v>0</v>
      </c>
      <c r="K2979" s="70">
        <f>IF(CurrentMtgRatesDataTable8[[#This Row],[WA CC]]&lt;&gt;0,C2978-CurrentMtgRatesDataTable8[[#This Row],[WA CC]],0)</f>
        <v>0</v>
      </c>
      <c r="L2979" s="70">
        <f>IF(CurrentMtgRatesDataTable8[[#This Row],[Servicing Spread]]&lt;=0,L2978,CurrentMtgRatesDataTable8[[#This Row],[Servicing Spread]])</f>
        <v>0.93781489728944178</v>
      </c>
      <c r="M2979" s="70">
        <f>CurrentMtgRatesDataTable8[[#This Row],[Servicing Spread Non-Zero]]-L2978</f>
        <v>0</v>
      </c>
      <c r="N2979" s="70">
        <f>IF(J2978&lt;&gt;0,CurrentMtgRatesDataTable8[[#This Row],[Rate]]-C2978,N2978)</f>
        <v>-2.9999999999999805E-2</v>
      </c>
    </row>
    <row r="2980" spans="1:14">
      <c r="A2980" s="67" t="s">
        <v>938</v>
      </c>
      <c r="B2980" s="68">
        <v>2.7729349961757701</v>
      </c>
      <c r="C2980" s="69">
        <v>3.69</v>
      </c>
      <c r="D2980" s="70">
        <f t="shared" si="322"/>
        <v>6</v>
      </c>
      <c r="E2980" s="70">
        <f t="shared" si="323"/>
        <v>0.2</v>
      </c>
      <c r="F2980" s="70">
        <f t="shared" si="324"/>
        <v>4</v>
      </c>
      <c r="G2980" s="70">
        <f t="shared" si="325"/>
        <v>2.1944107826660542</v>
      </c>
      <c r="H2980" s="70">
        <f t="shared" si="326"/>
        <v>0.8</v>
      </c>
      <c r="I2980" s="70">
        <f t="shared" si="327"/>
        <v>0</v>
      </c>
      <c r="J2980" s="70">
        <f t="shared" si="328"/>
        <v>0</v>
      </c>
      <c r="K2980" s="70">
        <f>IF(CurrentMtgRatesDataTable8[[#This Row],[WA CC]]&lt;&gt;0,C2979-CurrentMtgRatesDataTable8[[#This Row],[WA CC]],0)</f>
        <v>0</v>
      </c>
      <c r="L2980" s="70">
        <f>IF(CurrentMtgRatesDataTable8[[#This Row],[Servicing Spread]]&lt;=0,L2979,CurrentMtgRatesDataTable8[[#This Row],[Servicing Spread]])</f>
        <v>0.93781489728944178</v>
      </c>
      <c r="M2980" s="70">
        <f>CurrentMtgRatesDataTable8[[#This Row],[Servicing Spread Non-Zero]]-L2979</f>
        <v>0</v>
      </c>
      <c r="N2980" s="70">
        <f>IF(J2979&lt;&gt;0,CurrentMtgRatesDataTable8[[#This Row],[Rate]]-C2979,N2979)</f>
        <v>-2.9999999999999805E-2</v>
      </c>
    </row>
    <row r="2981" spans="1:14">
      <c r="A2981" s="67" t="s">
        <v>939</v>
      </c>
      <c r="B2981" s="68">
        <v>2.7446763066937101</v>
      </c>
      <c r="C2981" s="69">
        <v>3.69</v>
      </c>
      <c r="D2981" s="70">
        <f t="shared" si="322"/>
        <v>7</v>
      </c>
      <c r="E2981" s="70">
        <f t="shared" si="323"/>
        <v>0.2</v>
      </c>
      <c r="F2981" s="70">
        <f t="shared" si="324"/>
        <v>5</v>
      </c>
      <c r="G2981" s="70">
        <f t="shared" si="325"/>
        <v>2.7433460440047961</v>
      </c>
      <c r="H2981" s="70">
        <f t="shared" si="326"/>
        <v>1</v>
      </c>
      <c r="I2981" s="70">
        <f t="shared" si="327"/>
        <v>1</v>
      </c>
      <c r="J2981" s="70">
        <f t="shared" si="328"/>
        <v>2.7433460440047961</v>
      </c>
      <c r="K2981" s="70">
        <f>IF(CurrentMtgRatesDataTable8[[#This Row],[WA CC]]&lt;&gt;0,C2980-CurrentMtgRatesDataTable8[[#This Row],[WA CC]],0)</f>
        <v>0.94665395599520386</v>
      </c>
      <c r="L2981" s="70">
        <f>IF(CurrentMtgRatesDataTable8[[#This Row],[Servicing Spread]]&lt;=0,L2980,CurrentMtgRatesDataTable8[[#This Row],[Servicing Spread]])</f>
        <v>0.94665395599520386</v>
      </c>
      <c r="M2981" s="70">
        <f>CurrentMtgRatesDataTable8[[#This Row],[Servicing Spread Non-Zero]]-L2980</f>
        <v>8.8390587057620706E-3</v>
      </c>
      <c r="N2981" s="70">
        <f>IF(J2980&lt;&gt;0,CurrentMtgRatesDataTable8[[#This Row],[Rate]]-C2980,N2980)</f>
        <v>-2.9999999999999805E-2</v>
      </c>
    </row>
    <row r="2982" spans="1:14">
      <c r="A2982" s="67" t="s">
        <v>940</v>
      </c>
      <c r="B2982" s="68">
        <v>2.7173642653119501</v>
      </c>
      <c r="C2982" s="69">
        <v>3.6599999999999997</v>
      </c>
      <c r="D2982" s="70">
        <f t="shared" si="322"/>
        <v>1</v>
      </c>
      <c r="E2982" s="70">
        <f t="shared" si="323"/>
        <v>0.2</v>
      </c>
      <c r="F2982" s="70">
        <f t="shared" si="324"/>
        <v>1</v>
      </c>
      <c r="G2982" s="70">
        <f t="shared" si="325"/>
        <v>0.54347285306239002</v>
      </c>
      <c r="H2982" s="70">
        <f t="shared" si="326"/>
        <v>0.2</v>
      </c>
      <c r="I2982" s="70">
        <f t="shared" si="327"/>
        <v>0</v>
      </c>
      <c r="J2982" s="70">
        <f t="shared" si="328"/>
        <v>0</v>
      </c>
      <c r="K2982" s="70">
        <f>IF(CurrentMtgRatesDataTable8[[#This Row],[WA CC]]&lt;&gt;0,C2981-CurrentMtgRatesDataTable8[[#This Row],[WA CC]],0)</f>
        <v>0</v>
      </c>
      <c r="L2982" s="70">
        <f>IF(CurrentMtgRatesDataTable8[[#This Row],[Servicing Spread]]&lt;=0,L2981,CurrentMtgRatesDataTable8[[#This Row],[Servicing Spread]])</f>
        <v>0.94665395599520386</v>
      </c>
      <c r="M2982" s="70">
        <f>CurrentMtgRatesDataTable8[[#This Row],[Servicing Spread Non-Zero]]-L2981</f>
        <v>0</v>
      </c>
      <c r="N2982" s="70">
        <f>IF(J2981&lt;&gt;0,CurrentMtgRatesDataTable8[[#This Row],[Rate]]-C2981,N2981)</f>
        <v>-3.0000000000000249E-2</v>
      </c>
    </row>
    <row r="2983" spans="1:14">
      <c r="A2983" s="67" t="s">
        <v>941</v>
      </c>
      <c r="B2983" s="68">
        <v>2.77127537293183</v>
      </c>
      <c r="C2983" s="69">
        <v>3.6599999999999997</v>
      </c>
      <c r="D2983" s="70">
        <f t="shared" si="322"/>
        <v>2</v>
      </c>
      <c r="E2983" s="70">
        <f t="shared" si="323"/>
        <v>0.2</v>
      </c>
      <c r="F2983" s="70">
        <f t="shared" si="324"/>
        <v>2</v>
      </c>
      <c r="G2983" s="70">
        <f t="shared" si="325"/>
        <v>1.0977279276487559</v>
      </c>
      <c r="H2983" s="70">
        <f t="shared" si="326"/>
        <v>0.4</v>
      </c>
      <c r="I2983" s="70">
        <f t="shared" si="327"/>
        <v>0</v>
      </c>
      <c r="J2983" s="70">
        <f t="shared" si="328"/>
        <v>0</v>
      </c>
      <c r="K2983" s="70">
        <f>IF(CurrentMtgRatesDataTable8[[#This Row],[WA CC]]&lt;&gt;0,C2982-CurrentMtgRatesDataTable8[[#This Row],[WA CC]],0)</f>
        <v>0</v>
      </c>
      <c r="L2983" s="70">
        <f>IF(CurrentMtgRatesDataTable8[[#This Row],[Servicing Spread]]&lt;=0,L2982,CurrentMtgRatesDataTable8[[#This Row],[Servicing Spread]])</f>
        <v>0.94665395599520386</v>
      </c>
      <c r="M2983" s="70">
        <f>CurrentMtgRatesDataTable8[[#This Row],[Servicing Spread Non-Zero]]-L2982</f>
        <v>0</v>
      </c>
      <c r="N2983" s="70">
        <f>IF(J2982&lt;&gt;0,CurrentMtgRatesDataTable8[[#This Row],[Rate]]-C2982,N2982)</f>
        <v>-3.0000000000000249E-2</v>
      </c>
    </row>
    <row r="2984" spans="1:14">
      <c r="A2984" s="67" t="s">
        <v>942</v>
      </c>
      <c r="B2984" s="68">
        <v>2.7558575864349502</v>
      </c>
      <c r="C2984" s="69">
        <v>3.6599999999999997</v>
      </c>
      <c r="D2984" s="70">
        <f t="shared" si="322"/>
        <v>5</v>
      </c>
      <c r="E2984" s="70">
        <f t="shared" si="323"/>
        <v>0.2</v>
      </c>
      <c r="F2984" s="70">
        <f t="shared" si="324"/>
        <v>3</v>
      </c>
      <c r="G2984" s="70">
        <f t="shared" si="325"/>
        <v>1.6488994449357461</v>
      </c>
      <c r="H2984" s="70">
        <f t="shared" si="326"/>
        <v>0.60000000000000009</v>
      </c>
      <c r="I2984" s="70">
        <f t="shared" si="327"/>
        <v>0</v>
      </c>
      <c r="J2984" s="70">
        <f t="shared" si="328"/>
        <v>0</v>
      </c>
      <c r="K2984" s="70">
        <f>IF(CurrentMtgRatesDataTable8[[#This Row],[WA CC]]&lt;&gt;0,C2983-CurrentMtgRatesDataTable8[[#This Row],[WA CC]],0)</f>
        <v>0</v>
      </c>
      <c r="L2984" s="70">
        <f>IF(CurrentMtgRatesDataTable8[[#This Row],[Servicing Spread]]&lt;=0,L2983,CurrentMtgRatesDataTable8[[#This Row],[Servicing Spread]])</f>
        <v>0.94665395599520386</v>
      </c>
      <c r="M2984" s="70">
        <f>CurrentMtgRatesDataTable8[[#This Row],[Servicing Spread Non-Zero]]-L2983</f>
        <v>0</v>
      </c>
      <c r="N2984" s="70">
        <f>IF(J2983&lt;&gt;0,CurrentMtgRatesDataTable8[[#This Row],[Rate]]-C2983,N2983)</f>
        <v>-3.0000000000000249E-2</v>
      </c>
    </row>
    <row r="2985" spans="1:14">
      <c r="A2985" s="67" t="s">
        <v>943</v>
      </c>
      <c r="B2985" s="68">
        <v>2.7239833090670502</v>
      </c>
      <c r="C2985" s="69">
        <v>3.6599999999999997</v>
      </c>
      <c r="D2985" s="70">
        <f t="shared" si="322"/>
        <v>6</v>
      </c>
      <c r="E2985" s="70">
        <f t="shared" si="323"/>
        <v>0.2</v>
      </c>
      <c r="F2985" s="70">
        <f t="shared" si="324"/>
        <v>4</v>
      </c>
      <c r="G2985" s="70">
        <f t="shared" si="325"/>
        <v>2.1936961067491563</v>
      </c>
      <c r="H2985" s="70">
        <f t="shared" si="326"/>
        <v>0.8</v>
      </c>
      <c r="I2985" s="70">
        <f t="shared" si="327"/>
        <v>0</v>
      </c>
      <c r="J2985" s="70">
        <f t="shared" si="328"/>
        <v>0</v>
      </c>
      <c r="K2985" s="70">
        <f>IF(CurrentMtgRatesDataTable8[[#This Row],[WA CC]]&lt;&gt;0,C2984-CurrentMtgRatesDataTable8[[#This Row],[WA CC]],0)</f>
        <v>0</v>
      </c>
      <c r="L2985" s="70">
        <f>IF(CurrentMtgRatesDataTable8[[#This Row],[Servicing Spread]]&lt;=0,L2984,CurrentMtgRatesDataTable8[[#This Row],[Servicing Spread]])</f>
        <v>0.94665395599520386</v>
      </c>
      <c r="M2985" s="70">
        <f>CurrentMtgRatesDataTable8[[#This Row],[Servicing Spread Non-Zero]]-L2984</f>
        <v>0</v>
      </c>
      <c r="N2985" s="70">
        <f>IF(J2984&lt;&gt;0,CurrentMtgRatesDataTable8[[#This Row],[Rate]]-C2984,N2984)</f>
        <v>-3.0000000000000249E-2</v>
      </c>
    </row>
    <row r="2986" spans="1:14">
      <c r="A2986" s="67" t="s">
        <v>944</v>
      </c>
      <c r="B2986" s="68">
        <v>2.7958120452124602</v>
      </c>
      <c r="C2986" s="69">
        <v>3.6599999999999997</v>
      </c>
      <c r="D2986" s="70">
        <f t="shared" si="322"/>
        <v>7</v>
      </c>
      <c r="E2986" s="70">
        <f t="shared" si="323"/>
        <v>0.2</v>
      </c>
      <c r="F2986" s="70">
        <f t="shared" si="324"/>
        <v>5</v>
      </c>
      <c r="G2986" s="70">
        <f t="shared" si="325"/>
        <v>2.7528585157916483</v>
      </c>
      <c r="H2986" s="70">
        <f t="shared" si="326"/>
        <v>1</v>
      </c>
      <c r="I2986" s="70">
        <f t="shared" si="327"/>
        <v>1</v>
      </c>
      <c r="J2986" s="70">
        <f t="shared" si="328"/>
        <v>2.7528585157916483</v>
      </c>
      <c r="K2986" s="70">
        <f>IF(CurrentMtgRatesDataTable8[[#This Row],[WA CC]]&lt;&gt;0,C2985-CurrentMtgRatesDataTable8[[#This Row],[WA CC]],0)</f>
        <v>0.90714148420835139</v>
      </c>
      <c r="L2986" s="70">
        <f>IF(CurrentMtgRatesDataTable8[[#This Row],[Servicing Spread]]&lt;=0,L2985,CurrentMtgRatesDataTable8[[#This Row],[Servicing Spread]])</f>
        <v>0.90714148420835139</v>
      </c>
      <c r="M2986" s="70">
        <f>CurrentMtgRatesDataTable8[[#This Row],[Servicing Spread Non-Zero]]-L2985</f>
        <v>-3.9512471786852466E-2</v>
      </c>
      <c r="N2986" s="70">
        <f>IF(J2985&lt;&gt;0,CurrentMtgRatesDataTable8[[#This Row],[Rate]]-C2985,N2985)</f>
        <v>-3.0000000000000249E-2</v>
      </c>
    </row>
    <row r="2987" spans="1:14">
      <c r="A2987" s="67" t="s">
        <v>945</v>
      </c>
      <c r="B2987" s="68">
        <v>2.8760429870518398</v>
      </c>
      <c r="C2987" s="69">
        <v>3.77</v>
      </c>
      <c r="D2987" s="70">
        <f t="shared" si="322"/>
        <v>1</v>
      </c>
      <c r="E2987" s="70">
        <f t="shared" si="323"/>
        <v>0.2</v>
      </c>
      <c r="F2987" s="70">
        <f t="shared" si="324"/>
        <v>1</v>
      </c>
      <c r="G2987" s="70">
        <f t="shared" si="325"/>
        <v>0.57520859741036801</v>
      </c>
      <c r="H2987" s="70">
        <f t="shared" si="326"/>
        <v>0.2</v>
      </c>
      <c r="I2987" s="70">
        <f t="shared" si="327"/>
        <v>0</v>
      </c>
      <c r="J2987" s="70">
        <f t="shared" si="328"/>
        <v>0</v>
      </c>
      <c r="K2987" s="70">
        <f>IF(CurrentMtgRatesDataTable8[[#This Row],[WA CC]]&lt;&gt;0,C2986-CurrentMtgRatesDataTable8[[#This Row],[WA CC]],0)</f>
        <v>0</v>
      </c>
      <c r="L2987" s="70">
        <f>IF(CurrentMtgRatesDataTable8[[#This Row],[Servicing Spread]]&lt;=0,L2986,CurrentMtgRatesDataTable8[[#This Row],[Servicing Spread]])</f>
        <v>0.90714148420835139</v>
      </c>
      <c r="M2987" s="70">
        <f>CurrentMtgRatesDataTable8[[#This Row],[Servicing Spread Non-Zero]]-L2986</f>
        <v>0</v>
      </c>
      <c r="N2987" s="70">
        <f>IF(J2986&lt;&gt;0,CurrentMtgRatesDataTable8[[#This Row],[Rate]]-C2986,N2986)</f>
        <v>0.11000000000000032</v>
      </c>
    </row>
    <row r="2988" spans="1:14">
      <c r="A2988" s="67" t="s">
        <v>946</v>
      </c>
      <c r="B2988" s="68">
        <v>2.8444181025455899</v>
      </c>
      <c r="C2988" s="69">
        <v>3.77</v>
      </c>
      <c r="D2988" s="70">
        <f t="shared" si="322"/>
        <v>2</v>
      </c>
      <c r="E2988" s="70">
        <f t="shared" si="323"/>
        <v>0.2</v>
      </c>
      <c r="F2988" s="70">
        <f t="shared" si="324"/>
        <v>2</v>
      </c>
      <c r="G2988" s="70">
        <f t="shared" si="325"/>
        <v>1.1440922179194861</v>
      </c>
      <c r="H2988" s="70">
        <f t="shared" si="326"/>
        <v>0.4</v>
      </c>
      <c r="I2988" s="70">
        <f t="shared" si="327"/>
        <v>0</v>
      </c>
      <c r="J2988" s="70">
        <f t="shared" si="328"/>
        <v>0</v>
      </c>
      <c r="K2988" s="70">
        <f>IF(CurrentMtgRatesDataTable8[[#This Row],[WA CC]]&lt;&gt;0,C2987-CurrentMtgRatesDataTable8[[#This Row],[WA CC]],0)</f>
        <v>0</v>
      </c>
      <c r="L2988" s="70">
        <f>IF(CurrentMtgRatesDataTable8[[#This Row],[Servicing Spread]]&lt;=0,L2987,CurrentMtgRatesDataTable8[[#This Row],[Servicing Spread]])</f>
        <v>0.90714148420835139</v>
      </c>
      <c r="M2988" s="70">
        <f>CurrentMtgRatesDataTable8[[#This Row],[Servicing Spread Non-Zero]]-L2987</f>
        <v>0</v>
      </c>
      <c r="N2988" s="70">
        <f>IF(J2987&lt;&gt;0,CurrentMtgRatesDataTable8[[#This Row],[Rate]]-C2987,N2987)</f>
        <v>0.11000000000000032</v>
      </c>
    </row>
    <row r="2989" spans="1:14">
      <c r="A2989" s="67" t="s">
        <v>947</v>
      </c>
      <c r="B2989" s="68">
        <v>2.8650468207927799</v>
      </c>
      <c r="C2989" s="69">
        <v>3.77</v>
      </c>
      <c r="D2989" s="70">
        <f t="shared" si="322"/>
        <v>5</v>
      </c>
      <c r="E2989" s="70">
        <f t="shared" si="323"/>
        <v>0.2</v>
      </c>
      <c r="F2989" s="70">
        <f t="shared" si="324"/>
        <v>3</v>
      </c>
      <c r="G2989" s="70">
        <f t="shared" si="325"/>
        <v>1.7171015820780422</v>
      </c>
      <c r="H2989" s="70">
        <f t="shared" si="326"/>
        <v>0.60000000000000009</v>
      </c>
      <c r="I2989" s="70">
        <f t="shared" si="327"/>
        <v>0</v>
      </c>
      <c r="J2989" s="70">
        <f t="shared" si="328"/>
        <v>0</v>
      </c>
      <c r="K2989" s="70">
        <f>IF(CurrentMtgRatesDataTable8[[#This Row],[WA CC]]&lt;&gt;0,C2988-CurrentMtgRatesDataTable8[[#This Row],[WA CC]],0)</f>
        <v>0</v>
      </c>
      <c r="L2989" s="70">
        <f>IF(CurrentMtgRatesDataTable8[[#This Row],[Servicing Spread]]&lt;=0,L2988,CurrentMtgRatesDataTable8[[#This Row],[Servicing Spread]])</f>
        <v>0.90714148420835139</v>
      </c>
      <c r="M2989" s="70">
        <f>CurrentMtgRatesDataTable8[[#This Row],[Servicing Spread Non-Zero]]-L2988</f>
        <v>0</v>
      </c>
      <c r="N2989" s="70">
        <f>IF(J2988&lt;&gt;0,CurrentMtgRatesDataTable8[[#This Row],[Rate]]-C2988,N2988)</f>
        <v>0.11000000000000032</v>
      </c>
    </row>
    <row r="2990" spans="1:14">
      <c r="A2990" s="67" t="s">
        <v>948</v>
      </c>
      <c r="B2990" s="68">
        <v>2.8982983852453801</v>
      </c>
      <c r="C2990" s="69">
        <v>3.77</v>
      </c>
      <c r="D2990" s="70">
        <f t="shared" si="322"/>
        <v>6</v>
      </c>
      <c r="E2990" s="70">
        <f t="shared" si="323"/>
        <v>0.2</v>
      </c>
      <c r="F2990" s="70">
        <f t="shared" si="324"/>
        <v>4</v>
      </c>
      <c r="G2990" s="70">
        <f t="shared" si="325"/>
        <v>2.296761259127118</v>
      </c>
      <c r="H2990" s="70">
        <f t="shared" si="326"/>
        <v>0.8</v>
      </c>
      <c r="I2990" s="70">
        <f t="shared" si="327"/>
        <v>0</v>
      </c>
      <c r="J2990" s="70">
        <f t="shared" si="328"/>
        <v>0</v>
      </c>
      <c r="K2990" s="70">
        <f>IF(CurrentMtgRatesDataTable8[[#This Row],[WA CC]]&lt;&gt;0,C2989-CurrentMtgRatesDataTable8[[#This Row],[WA CC]],0)</f>
        <v>0</v>
      </c>
      <c r="L2990" s="70">
        <f>IF(CurrentMtgRatesDataTable8[[#This Row],[Servicing Spread]]&lt;=0,L2989,CurrentMtgRatesDataTable8[[#This Row],[Servicing Spread]])</f>
        <v>0.90714148420835139</v>
      </c>
      <c r="M2990" s="70">
        <f>CurrentMtgRatesDataTable8[[#This Row],[Servicing Spread Non-Zero]]-L2989</f>
        <v>0</v>
      </c>
      <c r="N2990" s="70">
        <f>IF(J2989&lt;&gt;0,CurrentMtgRatesDataTable8[[#This Row],[Rate]]-C2989,N2989)</f>
        <v>0.11000000000000032</v>
      </c>
    </row>
    <row r="2991" spans="1:14">
      <c r="A2991" s="67" t="s">
        <v>949</v>
      </c>
      <c r="B2991" s="68">
        <v>2.9340630334667899</v>
      </c>
      <c r="C2991" s="69">
        <v>3.77</v>
      </c>
      <c r="D2991" s="70">
        <f t="shared" si="322"/>
        <v>7</v>
      </c>
      <c r="E2991" s="70">
        <f t="shared" si="323"/>
        <v>0.2</v>
      </c>
      <c r="F2991" s="70">
        <f t="shared" si="324"/>
        <v>5</v>
      </c>
      <c r="G2991" s="70">
        <f t="shared" si="325"/>
        <v>2.8835738658204759</v>
      </c>
      <c r="H2991" s="70">
        <f t="shared" si="326"/>
        <v>1</v>
      </c>
      <c r="I2991" s="70">
        <f t="shared" si="327"/>
        <v>1</v>
      </c>
      <c r="J2991" s="70">
        <f t="shared" si="328"/>
        <v>2.8835738658204759</v>
      </c>
      <c r="K2991" s="70">
        <f>IF(CurrentMtgRatesDataTable8[[#This Row],[WA CC]]&lt;&gt;0,C2990-CurrentMtgRatesDataTable8[[#This Row],[WA CC]],0)</f>
        <v>0.88642613417952409</v>
      </c>
      <c r="L2991" s="70">
        <f>IF(CurrentMtgRatesDataTable8[[#This Row],[Servicing Spread]]&lt;=0,L2990,CurrentMtgRatesDataTable8[[#This Row],[Servicing Spread]])</f>
        <v>0.88642613417952409</v>
      </c>
      <c r="M2991" s="70">
        <f>CurrentMtgRatesDataTable8[[#This Row],[Servicing Spread Non-Zero]]-L2990</f>
        <v>-2.0715350028827295E-2</v>
      </c>
      <c r="N2991" s="70">
        <f>IF(J2990&lt;&gt;0,CurrentMtgRatesDataTable8[[#This Row],[Rate]]-C2990,N2990)</f>
        <v>0.11000000000000032</v>
      </c>
    </row>
    <row r="2992" spans="1:14">
      <c r="A2992" s="67" t="s">
        <v>950</v>
      </c>
      <c r="B2992" s="68">
        <v>2.9388026853832501</v>
      </c>
      <c r="C2992" s="69">
        <v>3.88</v>
      </c>
      <c r="D2992" s="70">
        <f t="shared" si="322"/>
        <v>1</v>
      </c>
      <c r="E2992" s="70">
        <f t="shared" si="323"/>
        <v>0.2</v>
      </c>
      <c r="F2992" s="70">
        <f t="shared" si="324"/>
        <v>1</v>
      </c>
      <c r="G2992" s="70">
        <f t="shared" si="325"/>
        <v>0.58776053707664999</v>
      </c>
      <c r="H2992" s="70">
        <f t="shared" si="326"/>
        <v>0.2</v>
      </c>
      <c r="I2992" s="70">
        <f t="shared" si="327"/>
        <v>0</v>
      </c>
      <c r="J2992" s="70">
        <f t="shared" si="328"/>
        <v>0</v>
      </c>
      <c r="K2992" s="70">
        <f>IF(CurrentMtgRatesDataTable8[[#This Row],[WA CC]]&lt;&gt;0,C2991-CurrentMtgRatesDataTable8[[#This Row],[WA CC]],0)</f>
        <v>0</v>
      </c>
      <c r="L2992" s="70">
        <f>IF(CurrentMtgRatesDataTable8[[#This Row],[Servicing Spread]]&lt;=0,L2991,CurrentMtgRatesDataTable8[[#This Row],[Servicing Spread]])</f>
        <v>0.88642613417952409</v>
      </c>
      <c r="M2992" s="70">
        <f>CurrentMtgRatesDataTable8[[#This Row],[Servicing Spread Non-Zero]]-L2991</f>
        <v>0</v>
      </c>
      <c r="N2992" s="70">
        <f>IF(J2991&lt;&gt;0,CurrentMtgRatesDataTable8[[#This Row],[Rate]]-C2991,N2991)</f>
        <v>0.10999999999999988</v>
      </c>
    </row>
    <row r="2993" spans="1:14">
      <c r="A2993" s="67" t="s">
        <v>951</v>
      </c>
      <c r="B2993" s="68">
        <v>3.0126979954339599</v>
      </c>
      <c r="C2993" s="69">
        <v>3.88</v>
      </c>
      <c r="D2993" s="70">
        <f t="shared" si="322"/>
        <v>2</v>
      </c>
      <c r="E2993" s="70">
        <f t="shared" si="323"/>
        <v>0.2</v>
      </c>
      <c r="F2993" s="70">
        <f t="shared" si="324"/>
        <v>2</v>
      </c>
      <c r="G2993" s="70">
        <f t="shared" si="325"/>
        <v>1.190300136163442</v>
      </c>
      <c r="H2993" s="70">
        <f t="shared" si="326"/>
        <v>0.4</v>
      </c>
      <c r="I2993" s="70">
        <f t="shared" si="327"/>
        <v>0</v>
      </c>
      <c r="J2993" s="70">
        <f t="shared" si="328"/>
        <v>0</v>
      </c>
      <c r="K2993" s="70">
        <f>IF(CurrentMtgRatesDataTable8[[#This Row],[WA CC]]&lt;&gt;0,C2992-CurrentMtgRatesDataTable8[[#This Row],[WA CC]],0)</f>
        <v>0</v>
      </c>
      <c r="L2993" s="70">
        <f>IF(CurrentMtgRatesDataTable8[[#This Row],[Servicing Spread]]&lt;=0,L2992,CurrentMtgRatesDataTable8[[#This Row],[Servicing Spread]])</f>
        <v>0.88642613417952409</v>
      </c>
      <c r="M2993" s="70">
        <f>CurrentMtgRatesDataTable8[[#This Row],[Servicing Spread Non-Zero]]-L2992</f>
        <v>0</v>
      </c>
      <c r="N2993" s="70">
        <f>IF(J2992&lt;&gt;0,CurrentMtgRatesDataTable8[[#This Row],[Rate]]-C2992,N2992)</f>
        <v>0.10999999999999988</v>
      </c>
    </row>
    <row r="2994" spans="1:14">
      <c r="A2994" s="67" t="s">
        <v>952</v>
      </c>
      <c r="B2994" s="68">
        <v>3.0394713990433302</v>
      </c>
      <c r="C2994" s="69">
        <v>3.88</v>
      </c>
      <c r="D2994" s="70">
        <f t="shared" si="322"/>
        <v>5</v>
      </c>
      <c r="E2994" s="70">
        <f t="shared" si="323"/>
        <v>0.2</v>
      </c>
      <c r="F2994" s="70">
        <f t="shared" si="324"/>
        <v>3</v>
      </c>
      <c r="G2994" s="70">
        <f t="shared" si="325"/>
        <v>1.7981944159721079</v>
      </c>
      <c r="H2994" s="70">
        <f t="shared" si="326"/>
        <v>0.60000000000000009</v>
      </c>
      <c r="I2994" s="70">
        <f t="shared" si="327"/>
        <v>0</v>
      </c>
      <c r="J2994" s="70">
        <f t="shared" si="328"/>
        <v>0</v>
      </c>
      <c r="K2994" s="70">
        <f>IF(CurrentMtgRatesDataTable8[[#This Row],[WA CC]]&lt;&gt;0,C2993-CurrentMtgRatesDataTable8[[#This Row],[WA CC]],0)</f>
        <v>0</v>
      </c>
      <c r="L2994" s="70">
        <f>IF(CurrentMtgRatesDataTable8[[#This Row],[Servicing Spread]]&lt;=0,L2993,CurrentMtgRatesDataTable8[[#This Row],[Servicing Spread]])</f>
        <v>0.88642613417952409</v>
      </c>
      <c r="M2994" s="70">
        <f>CurrentMtgRatesDataTable8[[#This Row],[Servicing Spread Non-Zero]]-L2993</f>
        <v>0</v>
      </c>
      <c r="N2994" s="70">
        <f>IF(J2993&lt;&gt;0,CurrentMtgRatesDataTable8[[#This Row],[Rate]]-C2993,N2993)</f>
        <v>0.10999999999999988</v>
      </c>
    </row>
    <row r="2995" spans="1:14">
      <c r="A2995" s="67" t="s">
        <v>953</v>
      </c>
      <c r="B2995" s="68">
        <v>3.0240881034818901</v>
      </c>
      <c r="C2995" s="69">
        <v>3.88</v>
      </c>
      <c r="D2995" s="70">
        <f t="shared" si="322"/>
        <v>6</v>
      </c>
      <c r="E2995" s="70">
        <f t="shared" si="323"/>
        <v>0.2</v>
      </c>
      <c r="F2995" s="70">
        <f t="shared" si="324"/>
        <v>4</v>
      </c>
      <c r="G2995" s="70">
        <f t="shared" si="325"/>
        <v>2.403012036668486</v>
      </c>
      <c r="H2995" s="70">
        <f t="shared" si="326"/>
        <v>0.8</v>
      </c>
      <c r="I2995" s="70">
        <f t="shared" si="327"/>
        <v>1</v>
      </c>
      <c r="J2995" s="70">
        <f t="shared" si="328"/>
        <v>3.0037650458356073</v>
      </c>
      <c r="K2995" s="70">
        <f>IF(CurrentMtgRatesDataTable8[[#This Row],[WA CC]]&lt;&gt;0,C2994-CurrentMtgRatesDataTable8[[#This Row],[WA CC]],0)</f>
        <v>0.87623495416439257</v>
      </c>
      <c r="L2995" s="70">
        <f>IF(CurrentMtgRatesDataTable8[[#This Row],[Servicing Spread]]&lt;=0,L2994,CurrentMtgRatesDataTable8[[#This Row],[Servicing Spread]])</f>
        <v>0.87623495416439257</v>
      </c>
      <c r="M2995" s="70">
        <f>CurrentMtgRatesDataTable8[[#This Row],[Servicing Spread Non-Zero]]-L2994</f>
        <v>-1.0191180015131529E-2</v>
      </c>
      <c r="N2995" s="70">
        <f>IF(J2994&lt;&gt;0,CurrentMtgRatesDataTable8[[#This Row],[Rate]]-C2994,N2994)</f>
        <v>0.10999999999999988</v>
      </c>
    </row>
    <row r="2996" spans="1:14">
      <c r="A2996" s="67" t="s">
        <v>954</v>
      </c>
      <c r="B2996" s="68">
        <v>3.0415503408748101</v>
      </c>
      <c r="C2996" s="69">
        <v>3.87</v>
      </c>
      <c r="D2996" s="70">
        <f t="shared" si="322"/>
        <v>1</v>
      </c>
      <c r="E2996" s="70">
        <f t="shared" si="323"/>
        <v>0.2</v>
      </c>
      <c r="F2996" s="70">
        <f t="shared" si="324"/>
        <v>1</v>
      </c>
      <c r="G2996" s="70">
        <f t="shared" si="325"/>
        <v>0.60831006817496203</v>
      </c>
      <c r="H2996" s="70">
        <f t="shared" si="326"/>
        <v>0.2</v>
      </c>
      <c r="I2996" s="70">
        <f t="shared" si="327"/>
        <v>0</v>
      </c>
      <c r="J2996" s="70">
        <f t="shared" si="328"/>
        <v>0</v>
      </c>
      <c r="K2996" s="70">
        <f>IF(CurrentMtgRatesDataTable8[[#This Row],[WA CC]]&lt;&gt;0,C2995-CurrentMtgRatesDataTable8[[#This Row],[WA CC]],0)</f>
        <v>0</v>
      </c>
      <c r="L2996" s="70">
        <f>IF(CurrentMtgRatesDataTable8[[#This Row],[Servicing Spread]]&lt;=0,L2995,CurrentMtgRatesDataTable8[[#This Row],[Servicing Spread]])</f>
        <v>0.87623495416439257</v>
      </c>
      <c r="M2996" s="70">
        <f>CurrentMtgRatesDataTable8[[#This Row],[Servicing Spread Non-Zero]]-L2995</f>
        <v>0</v>
      </c>
      <c r="N2996" s="70">
        <f>IF(J2995&lt;&gt;0,CurrentMtgRatesDataTable8[[#This Row],[Rate]]-C2995,N2995)</f>
        <v>-9.9999999999997868E-3</v>
      </c>
    </row>
    <row r="2997" spans="1:14">
      <c r="A2997" s="67" t="s">
        <v>955</v>
      </c>
      <c r="B2997" s="68">
        <v>3.0032203766891601</v>
      </c>
      <c r="C2997" s="69">
        <v>3.87</v>
      </c>
      <c r="D2997" s="70">
        <f t="shared" si="322"/>
        <v>2</v>
      </c>
      <c r="E2997" s="70">
        <f t="shared" si="323"/>
        <v>0.2</v>
      </c>
      <c r="F2997" s="70">
        <f t="shared" si="324"/>
        <v>2</v>
      </c>
      <c r="G2997" s="70">
        <f t="shared" si="325"/>
        <v>1.208954143512794</v>
      </c>
      <c r="H2997" s="70">
        <f t="shared" si="326"/>
        <v>0.4</v>
      </c>
      <c r="I2997" s="70">
        <f t="shared" si="327"/>
        <v>0</v>
      </c>
      <c r="J2997" s="70">
        <f t="shared" si="328"/>
        <v>0</v>
      </c>
      <c r="K2997" s="70">
        <f>IF(CurrentMtgRatesDataTable8[[#This Row],[WA CC]]&lt;&gt;0,C2996-CurrentMtgRatesDataTable8[[#This Row],[WA CC]],0)</f>
        <v>0</v>
      </c>
      <c r="L2997" s="70">
        <f>IF(CurrentMtgRatesDataTable8[[#This Row],[Servicing Spread]]&lt;=0,L2996,CurrentMtgRatesDataTable8[[#This Row],[Servicing Spread]])</f>
        <v>0.87623495416439257</v>
      </c>
      <c r="M2997" s="70">
        <f>CurrentMtgRatesDataTable8[[#This Row],[Servicing Spread Non-Zero]]-L2996</f>
        <v>0</v>
      </c>
      <c r="N2997" s="70">
        <f>IF(J2996&lt;&gt;0,CurrentMtgRatesDataTable8[[#This Row],[Rate]]-C2996,N2996)</f>
        <v>-9.9999999999997868E-3</v>
      </c>
    </row>
    <row r="2998" spans="1:14">
      <c r="A2998" s="67" t="s">
        <v>956</v>
      </c>
      <c r="B2998" s="68">
        <v>2.9962349476624799</v>
      </c>
      <c r="C2998" s="69">
        <v>3.87</v>
      </c>
      <c r="D2998" s="70">
        <f t="shared" si="322"/>
        <v>5</v>
      </c>
      <c r="E2998" s="70">
        <f t="shared" si="323"/>
        <v>0.2</v>
      </c>
      <c r="F2998" s="70">
        <f t="shared" si="324"/>
        <v>3</v>
      </c>
      <c r="G2998" s="70">
        <f t="shared" si="325"/>
        <v>1.8082011330452898</v>
      </c>
      <c r="H2998" s="70">
        <f t="shared" si="326"/>
        <v>0.60000000000000009</v>
      </c>
      <c r="I2998" s="70">
        <f t="shared" si="327"/>
        <v>0</v>
      </c>
      <c r="J2998" s="70">
        <f t="shared" si="328"/>
        <v>0</v>
      </c>
      <c r="K2998" s="70">
        <f>IF(CurrentMtgRatesDataTable8[[#This Row],[WA CC]]&lt;&gt;0,C2997-CurrentMtgRatesDataTable8[[#This Row],[WA CC]],0)</f>
        <v>0</v>
      </c>
      <c r="L2998" s="70">
        <f>IF(CurrentMtgRatesDataTable8[[#This Row],[Servicing Spread]]&lt;=0,L2997,CurrentMtgRatesDataTable8[[#This Row],[Servicing Spread]])</f>
        <v>0.87623495416439257</v>
      </c>
      <c r="M2998" s="70">
        <f>CurrentMtgRatesDataTable8[[#This Row],[Servicing Spread Non-Zero]]-L2997</f>
        <v>0</v>
      </c>
      <c r="N2998" s="70">
        <f>IF(J2997&lt;&gt;0,CurrentMtgRatesDataTable8[[#This Row],[Rate]]-C2997,N2997)</f>
        <v>-9.9999999999997868E-3</v>
      </c>
    </row>
    <row r="2999" spans="1:14">
      <c r="A2999" s="67" t="s">
        <v>957</v>
      </c>
      <c r="B2999" s="68">
        <v>2.9829487992520902</v>
      </c>
      <c r="C2999" s="69">
        <v>3.87</v>
      </c>
      <c r="D2999" s="70">
        <f t="shared" si="322"/>
        <v>6</v>
      </c>
      <c r="E2999" s="70">
        <f t="shared" si="323"/>
        <v>0.2</v>
      </c>
      <c r="F2999" s="70">
        <f t="shared" si="324"/>
        <v>4</v>
      </c>
      <c r="G2999" s="70">
        <f t="shared" si="325"/>
        <v>2.4047908928957078</v>
      </c>
      <c r="H2999" s="70">
        <f t="shared" si="326"/>
        <v>0.8</v>
      </c>
      <c r="I2999" s="70">
        <f t="shared" si="327"/>
        <v>0</v>
      </c>
      <c r="J2999" s="70">
        <f t="shared" si="328"/>
        <v>0</v>
      </c>
      <c r="K2999" s="70">
        <f>IF(CurrentMtgRatesDataTable8[[#This Row],[WA CC]]&lt;&gt;0,C2998-CurrentMtgRatesDataTable8[[#This Row],[WA CC]],0)</f>
        <v>0</v>
      </c>
      <c r="L2999" s="70">
        <f>IF(CurrentMtgRatesDataTable8[[#This Row],[Servicing Spread]]&lt;=0,L2998,CurrentMtgRatesDataTable8[[#This Row],[Servicing Spread]])</f>
        <v>0.87623495416439257</v>
      </c>
      <c r="M2999" s="70">
        <f>CurrentMtgRatesDataTable8[[#This Row],[Servicing Spread Non-Zero]]-L2998</f>
        <v>0</v>
      </c>
      <c r="N2999" s="70">
        <f>IF(J2998&lt;&gt;0,CurrentMtgRatesDataTable8[[#This Row],[Rate]]-C2998,N2998)</f>
        <v>-9.9999999999997868E-3</v>
      </c>
    </row>
    <row r="3000" spans="1:14">
      <c r="A3000" s="67" t="s">
        <v>958</v>
      </c>
      <c r="B3000" s="68">
        <v>2.97922271147955</v>
      </c>
      <c r="C3000" s="69">
        <v>3.87</v>
      </c>
      <c r="D3000" s="70">
        <f t="shared" si="322"/>
        <v>7</v>
      </c>
      <c r="E3000" s="70">
        <f t="shared" si="323"/>
        <v>0.2</v>
      </c>
      <c r="F3000" s="70">
        <f t="shared" si="324"/>
        <v>5</v>
      </c>
      <c r="G3000" s="70">
        <f t="shared" si="325"/>
        <v>3.0006354351916178</v>
      </c>
      <c r="H3000" s="70">
        <f t="shared" si="326"/>
        <v>1</v>
      </c>
      <c r="I3000" s="70">
        <f t="shared" si="327"/>
        <v>1</v>
      </c>
      <c r="J3000" s="70">
        <f t="shared" si="328"/>
        <v>3.0006354351916178</v>
      </c>
      <c r="K3000" s="70">
        <f>IF(CurrentMtgRatesDataTable8[[#This Row],[WA CC]]&lt;&gt;0,C2999-CurrentMtgRatesDataTable8[[#This Row],[WA CC]],0)</f>
        <v>0.86936456480838231</v>
      </c>
      <c r="L3000" s="70">
        <f>IF(CurrentMtgRatesDataTable8[[#This Row],[Servicing Spread]]&lt;=0,L2999,CurrentMtgRatesDataTable8[[#This Row],[Servicing Spread]])</f>
        <v>0.86936456480838231</v>
      </c>
      <c r="M3000" s="70">
        <f>CurrentMtgRatesDataTable8[[#This Row],[Servicing Spread Non-Zero]]-L2999</f>
        <v>-6.8703893560102536E-3</v>
      </c>
      <c r="N3000" s="70">
        <f>IF(J2999&lt;&gt;0,CurrentMtgRatesDataTable8[[#This Row],[Rate]]-C2999,N2999)</f>
        <v>-9.9999999999997868E-3</v>
      </c>
    </row>
    <row r="3001" spans="1:14">
      <c r="A3001" s="67" t="s">
        <v>959</v>
      </c>
      <c r="B3001" s="68">
        <v>2.9567440380932299</v>
      </c>
      <c r="C3001" s="69">
        <v>3.875</v>
      </c>
      <c r="D3001" s="70">
        <f t="shared" si="322"/>
        <v>1</v>
      </c>
      <c r="E3001" s="70">
        <f t="shared" si="323"/>
        <v>0.2</v>
      </c>
      <c r="F3001" s="70">
        <f t="shared" si="324"/>
        <v>1</v>
      </c>
      <c r="G3001" s="70">
        <f t="shared" si="325"/>
        <v>0.59134880761864606</v>
      </c>
      <c r="H3001" s="70">
        <f t="shared" si="326"/>
        <v>0.2</v>
      </c>
      <c r="I3001" s="70">
        <f t="shared" si="327"/>
        <v>0</v>
      </c>
      <c r="J3001" s="70">
        <f t="shared" si="328"/>
        <v>0</v>
      </c>
      <c r="K3001" s="70">
        <f>IF(CurrentMtgRatesDataTable8[[#This Row],[WA CC]]&lt;&gt;0,C3000-CurrentMtgRatesDataTable8[[#This Row],[WA CC]],0)</f>
        <v>0</v>
      </c>
      <c r="L3001" s="70">
        <f>IF(CurrentMtgRatesDataTable8[[#This Row],[Servicing Spread]]&lt;=0,L3000,CurrentMtgRatesDataTable8[[#This Row],[Servicing Spread]])</f>
        <v>0.86936456480838231</v>
      </c>
      <c r="M3001" s="70">
        <f>CurrentMtgRatesDataTable8[[#This Row],[Servicing Spread Non-Zero]]-L3000</f>
        <v>0</v>
      </c>
      <c r="N3001" s="70">
        <f>IF(J3000&lt;&gt;0,CurrentMtgRatesDataTable8[[#This Row],[Rate]]-C3000,N3000)</f>
        <v>4.9999999999998934E-3</v>
      </c>
    </row>
    <row r="3002" spans="1:14">
      <c r="A3002" s="67" t="s">
        <v>960</v>
      </c>
      <c r="B3002" s="68">
        <v>2.9778815410804498</v>
      </c>
      <c r="C3002" s="69">
        <v>3.875</v>
      </c>
      <c r="D3002" s="70">
        <f t="shared" si="322"/>
        <v>2</v>
      </c>
      <c r="E3002" s="70">
        <f t="shared" si="323"/>
        <v>0.2</v>
      </c>
      <c r="F3002" s="70">
        <f t="shared" si="324"/>
        <v>2</v>
      </c>
      <c r="G3002" s="70">
        <f t="shared" si="325"/>
        <v>1.186925115834736</v>
      </c>
      <c r="H3002" s="70">
        <f t="shared" si="326"/>
        <v>0.4</v>
      </c>
      <c r="I3002" s="70">
        <f t="shared" si="327"/>
        <v>0</v>
      </c>
      <c r="J3002" s="70">
        <f t="shared" si="328"/>
        <v>0</v>
      </c>
      <c r="K3002" s="70">
        <f>IF(CurrentMtgRatesDataTable8[[#This Row],[WA CC]]&lt;&gt;0,C3001-CurrentMtgRatesDataTable8[[#This Row],[WA CC]],0)</f>
        <v>0</v>
      </c>
      <c r="L3002" s="70">
        <f>IF(CurrentMtgRatesDataTable8[[#This Row],[Servicing Spread]]&lt;=0,L3001,CurrentMtgRatesDataTable8[[#This Row],[Servicing Spread]])</f>
        <v>0.86936456480838231</v>
      </c>
      <c r="M3002" s="70">
        <f>CurrentMtgRatesDataTable8[[#This Row],[Servicing Spread Non-Zero]]-L3001</f>
        <v>0</v>
      </c>
      <c r="N3002" s="70">
        <f>IF(J3001&lt;&gt;0,CurrentMtgRatesDataTable8[[#This Row],[Rate]]-C3001,N3001)</f>
        <v>4.9999999999998934E-3</v>
      </c>
    </row>
    <row r="3003" spans="1:14">
      <c r="A3003" s="67" t="s">
        <v>961</v>
      </c>
      <c r="B3003" s="68">
        <v>2.9783756626827098</v>
      </c>
      <c r="C3003" s="69">
        <v>3.875</v>
      </c>
      <c r="D3003" s="70">
        <f t="shared" si="322"/>
        <v>5</v>
      </c>
      <c r="E3003" s="70">
        <f t="shared" si="323"/>
        <v>0.2</v>
      </c>
      <c r="F3003" s="70">
        <f t="shared" si="324"/>
        <v>3</v>
      </c>
      <c r="G3003" s="70">
        <f t="shared" si="325"/>
        <v>1.7826002483712782</v>
      </c>
      <c r="H3003" s="70">
        <f t="shared" si="326"/>
        <v>0.60000000000000009</v>
      </c>
      <c r="I3003" s="70">
        <f t="shared" si="327"/>
        <v>0</v>
      </c>
      <c r="J3003" s="70">
        <f t="shared" si="328"/>
        <v>0</v>
      </c>
      <c r="K3003" s="70">
        <f>IF(CurrentMtgRatesDataTable8[[#This Row],[WA CC]]&lt;&gt;0,C3002-CurrentMtgRatesDataTable8[[#This Row],[WA CC]],0)</f>
        <v>0</v>
      </c>
      <c r="L3003" s="70">
        <f>IF(CurrentMtgRatesDataTable8[[#This Row],[Servicing Spread]]&lt;=0,L3002,CurrentMtgRatesDataTable8[[#This Row],[Servicing Spread]])</f>
        <v>0.86936456480838231</v>
      </c>
      <c r="M3003" s="70">
        <f>CurrentMtgRatesDataTable8[[#This Row],[Servicing Spread Non-Zero]]-L3002</f>
        <v>0</v>
      </c>
      <c r="N3003" s="70">
        <f>IF(J3002&lt;&gt;0,CurrentMtgRatesDataTable8[[#This Row],[Rate]]-C3002,N3002)</f>
        <v>4.9999999999998934E-3</v>
      </c>
    </row>
    <row r="3004" spans="1:14">
      <c r="A3004" s="67" t="s">
        <v>962</v>
      </c>
      <c r="B3004" s="68">
        <v>2.9726150604600501</v>
      </c>
      <c r="C3004" s="69">
        <v>3.875</v>
      </c>
      <c r="D3004" s="70">
        <f t="shared" si="322"/>
        <v>6</v>
      </c>
      <c r="E3004" s="70">
        <f t="shared" si="323"/>
        <v>0.2</v>
      </c>
      <c r="F3004" s="70">
        <f t="shared" si="324"/>
        <v>4</v>
      </c>
      <c r="G3004" s="70">
        <f t="shared" si="325"/>
        <v>2.3771232604632884</v>
      </c>
      <c r="H3004" s="70">
        <f t="shared" si="326"/>
        <v>0.8</v>
      </c>
      <c r="I3004" s="70">
        <f t="shared" si="327"/>
        <v>0</v>
      </c>
      <c r="J3004" s="70">
        <f t="shared" si="328"/>
        <v>0</v>
      </c>
      <c r="K3004" s="70">
        <f>IF(CurrentMtgRatesDataTable8[[#This Row],[WA CC]]&lt;&gt;0,C3003-CurrentMtgRatesDataTable8[[#This Row],[WA CC]],0)</f>
        <v>0</v>
      </c>
      <c r="L3004" s="70">
        <f>IF(CurrentMtgRatesDataTable8[[#This Row],[Servicing Spread]]&lt;=0,L3003,CurrentMtgRatesDataTable8[[#This Row],[Servicing Spread]])</f>
        <v>0.86936456480838231</v>
      </c>
      <c r="M3004" s="70">
        <f>CurrentMtgRatesDataTable8[[#This Row],[Servicing Spread Non-Zero]]-L3003</f>
        <v>0</v>
      </c>
      <c r="N3004" s="70">
        <f>IF(J3003&lt;&gt;0,CurrentMtgRatesDataTable8[[#This Row],[Rate]]-C3003,N3003)</f>
        <v>4.9999999999998934E-3</v>
      </c>
    </row>
    <row r="3005" spans="1:14">
      <c r="A3005" s="67" t="s">
        <v>986</v>
      </c>
      <c r="B3005" s="68">
        <v>2.9699990408330801</v>
      </c>
      <c r="C3005" s="69">
        <v>3.875</v>
      </c>
      <c r="D3005" s="70">
        <f t="shared" si="322"/>
        <v>7</v>
      </c>
      <c r="E3005" s="70">
        <f t="shared" si="323"/>
        <v>0.2</v>
      </c>
      <c r="F3005" s="70">
        <f t="shared" si="324"/>
        <v>5</v>
      </c>
      <c r="G3005" s="70">
        <f t="shared" si="325"/>
        <v>2.9711230686299044</v>
      </c>
      <c r="H3005" s="70">
        <f t="shared" si="326"/>
        <v>1</v>
      </c>
      <c r="I3005" s="70">
        <f t="shared" si="327"/>
        <v>1</v>
      </c>
      <c r="J3005" s="70">
        <f t="shared" si="328"/>
        <v>2.9711230686299044</v>
      </c>
      <c r="K3005" s="70">
        <f>IF(CurrentMtgRatesDataTable8[[#This Row],[WA CC]]&lt;&gt;0,C3004-CurrentMtgRatesDataTable8[[#This Row],[WA CC]],0)</f>
        <v>0.90387693137009562</v>
      </c>
      <c r="L3005" s="70">
        <f>IF(CurrentMtgRatesDataTable8[[#This Row],[Servicing Spread]]&lt;=0,L3004,CurrentMtgRatesDataTable8[[#This Row],[Servicing Spread]])</f>
        <v>0.90387693137009562</v>
      </c>
      <c r="M3005" s="70">
        <f>CurrentMtgRatesDataTable8[[#This Row],[Servicing Spread Non-Zero]]-L3004</f>
        <v>3.4512366561713304E-2</v>
      </c>
      <c r="N3005" s="70">
        <f>IF(J3004&lt;&gt;0,CurrentMtgRatesDataTable8[[#This Row],[Rate]]-C3004,N3004)</f>
        <v>4.9999999999998934E-3</v>
      </c>
    </row>
    <row r="3006" spans="1:14">
      <c r="A3006" s="67" t="s">
        <v>963</v>
      </c>
      <c r="B3006" s="68">
        <v>2.9627998266716902</v>
      </c>
      <c r="C3006" s="69">
        <v>3.83</v>
      </c>
      <c r="D3006" s="70">
        <f t="shared" si="322"/>
        <v>2</v>
      </c>
      <c r="E3006" s="70">
        <f t="shared" si="323"/>
        <v>0.2</v>
      </c>
      <c r="F3006" s="70">
        <f t="shared" si="324"/>
        <v>1</v>
      </c>
      <c r="G3006" s="70">
        <f t="shared" si="325"/>
        <v>0.59255996533433808</v>
      </c>
      <c r="H3006" s="70">
        <f t="shared" si="326"/>
        <v>0.2</v>
      </c>
      <c r="I3006" s="70">
        <f t="shared" si="327"/>
        <v>0</v>
      </c>
      <c r="J3006" s="70">
        <f t="shared" si="328"/>
        <v>0</v>
      </c>
      <c r="K3006" s="70">
        <f>IF(CurrentMtgRatesDataTable8[[#This Row],[WA CC]]&lt;&gt;0,C3005-CurrentMtgRatesDataTable8[[#This Row],[WA CC]],0)</f>
        <v>0</v>
      </c>
      <c r="L3006" s="70">
        <f>IF(CurrentMtgRatesDataTable8[[#This Row],[Servicing Spread]]&lt;=0,L3005,CurrentMtgRatesDataTable8[[#This Row],[Servicing Spread]])</f>
        <v>0.90387693137009562</v>
      </c>
      <c r="M3006" s="70">
        <f>CurrentMtgRatesDataTable8[[#This Row],[Servicing Spread Non-Zero]]-L3005</f>
        <v>0</v>
      </c>
      <c r="N3006" s="70">
        <f>IF(J3005&lt;&gt;0,CurrentMtgRatesDataTable8[[#This Row],[Rate]]-C3005,N3005)</f>
        <v>-4.4999999999999929E-2</v>
      </c>
    </row>
    <row r="3007" spans="1:14">
      <c r="A3007" s="67" t="s">
        <v>964</v>
      </c>
      <c r="B3007" s="68">
        <v>2.9474672658602201</v>
      </c>
      <c r="C3007" s="69">
        <v>3.83</v>
      </c>
      <c r="D3007" s="70">
        <f t="shared" si="322"/>
        <v>5</v>
      </c>
      <c r="E3007" s="70">
        <f t="shared" si="323"/>
        <v>0.2</v>
      </c>
      <c r="F3007" s="70">
        <f t="shared" si="324"/>
        <v>2</v>
      </c>
      <c r="G3007" s="70">
        <f t="shared" si="325"/>
        <v>1.1820534185063822</v>
      </c>
      <c r="H3007" s="70">
        <f t="shared" si="326"/>
        <v>0.4</v>
      </c>
      <c r="I3007" s="70">
        <f t="shared" si="327"/>
        <v>0</v>
      </c>
      <c r="J3007" s="70">
        <f t="shared" si="328"/>
        <v>0</v>
      </c>
      <c r="K3007" s="70">
        <f>IF(CurrentMtgRatesDataTable8[[#This Row],[WA CC]]&lt;&gt;0,C3006-CurrentMtgRatesDataTable8[[#This Row],[WA CC]],0)</f>
        <v>0</v>
      </c>
      <c r="L3007" s="70">
        <f>IF(CurrentMtgRatesDataTable8[[#This Row],[Servicing Spread]]&lt;=0,L3006,CurrentMtgRatesDataTable8[[#This Row],[Servicing Spread]])</f>
        <v>0.90387693137009562</v>
      </c>
      <c r="M3007" s="70">
        <f>CurrentMtgRatesDataTable8[[#This Row],[Servicing Spread Non-Zero]]-L3006</f>
        <v>0</v>
      </c>
      <c r="N3007" s="70">
        <f>IF(J3006&lt;&gt;0,CurrentMtgRatesDataTable8[[#This Row],[Rate]]-C3006,N3006)</f>
        <v>-4.4999999999999929E-2</v>
      </c>
    </row>
    <row r="3008" spans="1:14">
      <c r="A3008" s="67" t="s">
        <v>965</v>
      </c>
      <c r="B3008" s="68">
        <v>2.8947298491443201</v>
      </c>
      <c r="C3008" s="69">
        <v>3.83</v>
      </c>
      <c r="D3008" s="70">
        <f t="shared" si="322"/>
        <v>6</v>
      </c>
      <c r="E3008" s="70">
        <f t="shared" si="323"/>
        <v>0.2</v>
      </c>
      <c r="F3008" s="70">
        <f t="shared" si="324"/>
        <v>3</v>
      </c>
      <c r="G3008" s="70">
        <f t="shared" si="325"/>
        <v>1.7609993883352462</v>
      </c>
      <c r="H3008" s="70">
        <f t="shared" si="326"/>
        <v>0.60000000000000009</v>
      </c>
      <c r="I3008" s="70">
        <f t="shared" si="327"/>
        <v>0</v>
      </c>
      <c r="J3008" s="70">
        <f t="shared" si="328"/>
        <v>0</v>
      </c>
      <c r="K3008" s="70">
        <f>IF(CurrentMtgRatesDataTable8[[#This Row],[WA CC]]&lt;&gt;0,C3007-CurrentMtgRatesDataTable8[[#This Row],[WA CC]],0)</f>
        <v>0</v>
      </c>
      <c r="L3008" s="70">
        <f>IF(CurrentMtgRatesDataTable8[[#This Row],[Servicing Spread]]&lt;=0,L3007,CurrentMtgRatesDataTable8[[#This Row],[Servicing Spread]])</f>
        <v>0.90387693137009562</v>
      </c>
      <c r="M3008" s="70">
        <f>CurrentMtgRatesDataTable8[[#This Row],[Servicing Spread Non-Zero]]-L3007</f>
        <v>0</v>
      </c>
      <c r="N3008" s="70">
        <f>IF(J3007&lt;&gt;0,CurrentMtgRatesDataTable8[[#This Row],[Rate]]-C3007,N3007)</f>
        <v>-4.4999999999999929E-2</v>
      </c>
    </row>
    <row r="3009" spans="1:14">
      <c r="A3009" s="67" t="s">
        <v>966</v>
      </c>
      <c r="B3009" s="68">
        <v>2.9165593470462001</v>
      </c>
      <c r="C3009" s="69">
        <v>3.83</v>
      </c>
      <c r="D3009" s="70">
        <f t="shared" si="322"/>
        <v>7</v>
      </c>
      <c r="E3009" s="70">
        <f t="shared" si="323"/>
        <v>0.2</v>
      </c>
      <c r="F3009" s="70">
        <f t="shared" si="324"/>
        <v>4</v>
      </c>
      <c r="G3009" s="70">
        <f t="shared" si="325"/>
        <v>2.3443112577444865</v>
      </c>
      <c r="H3009" s="70">
        <f t="shared" si="326"/>
        <v>0.8</v>
      </c>
      <c r="I3009" s="70">
        <f t="shared" si="327"/>
        <v>1</v>
      </c>
      <c r="J3009" s="70">
        <f t="shared" si="328"/>
        <v>2.9303890721806081</v>
      </c>
      <c r="K3009" s="70">
        <f>IF(CurrentMtgRatesDataTable8[[#This Row],[WA CC]]&lt;&gt;0,C3008-CurrentMtgRatesDataTable8[[#This Row],[WA CC]],0)</f>
        <v>0.899610927819392</v>
      </c>
      <c r="L3009" s="70">
        <f>IF(CurrentMtgRatesDataTable8[[#This Row],[Servicing Spread]]&lt;=0,L3008,CurrentMtgRatesDataTable8[[#This Row],[Servicing Spread]])</f>
        <v>0.899610927819392</v>
      </c>
      <c r="M3009" s="70">
        <f>CurrentMtgRatesDataTable8[[#This Row],[Servicing Spread Non-Zero]]-L3008</f>
        <v>-4.266003550703612E-3</v>
      </c>
      <c r="N3009" s="70">
        <f>IF(J3008&lt;&gt;0,CurrentMtgRatesDataTable8[[#This Row],[Rate]]-C3008,N3008)</f>
        <v>-4.4999999999999929E-2</v>
      </c>
    </row>
    <row r="3010" spans="1:14">
      <c r="A3010" s="67" t="s">
        <v>967</v>
      </c>
      <c r="B3010" s="68">
        <v>3.0544306669029599</v>
      </c>
      <c r="C3010" s="69">
        <v>3.85</v>
      </c>
      <c r="D3010" s="70">
        <f t="shared" si="322"/>
        <v>1</v>
      </c>
      <c r="E3010" s="70">
        <f t="shared" si="323"/>
        <v>0.2</v>
      </c>
      <c r="F3010" s="70">
        <f t="shared" si="324"/>
        <v>1</v>
      </c>
      <c r="G3010" s="70">
        <f t="shared" si="325"/>
        <v>0.61088613338059206</v>
      </c>
      <c r="H3010" s="70">
        <f t="shared" si="326"/>
        <v>0.2</v>
      </c>
      <c r="I3010" s="70">
        <f t="shared" si="327"/>
        <v>0</v>
      </c>
      <c r="J3010" s="70">
        <f t="shared" si="328"/>
        <v>0</v>
      </c>
      <c r="K3010" s="70">
        <f>IF(CurrentMtgRatesDataTable8[[#This Row],[WA CC]]&lt;&gt;0,C3009-CurrentMtgRatesDataTable8[[#This Row],[WA CC]],0)</f>
        <v>0</v>
      </c>
      <c r="L3010" s="70">
        <f>IF(CurrentMtgRatesDataTable8[[#This Row],[Servicing Spread]]&lt;=0,L3009,CurrentMtgRatesDataTable8[[#This Row],[Servicing Spread]])</f>
        <v>0.899610927819392</v>
      </c>
      <c r="M3010" s="70">
        <f>CurrentMtgRatesDataTable8[[#This Row],[Servicing Spread Non-Zero]]-L3009</f>
        <v>0</v>
      </c>
      <c r="N3010" s="70">
        <f>IF(J3009&lt;&gt;0,CurrentMtgRatesDataTable8[[#This Row],[Rate]]-C3009,N3009)</f>
        <v>2.0000000000000018E-2</v>
      </c>
    </row>
    <row r="3011" spans="1:14">
      <c r="A3011" s="67" t="s">
        <v>968</v>
      </c>
      <c r="B3011" s="68">
        <v>2.9966381834712199</v>
      </c>
      <c r="C3011" s="69">
        <v>3.85</v>
      </c>
      <c r="D3011" s="70">
        <f t="shared" si="322"/>
        <v>2</v>
      </c>
      <c r="E3011" s="70">
        <f t="shared" si="323"/>
        <v>0.2</v>
      </c>
      <c r="F3011" s="70">
        <f t="shared" si="324"/>
        <v>2</v>
      </c>
      <c r="G3011" s="70">
        <f t="shared" si="325"/>
        <v>1.2102137700748361</v>
      </c>
      <c r="H3011" s="70">
        <f t="shared" si="326"/>
        <v>0.4</v>
      </c>
      <c r="I3011" s="70">
        <f t="shared" si="327"/>
        <v>0</v>
      </c>
      <c r="J3011" s="70">
        <f t="shared" si="328"/>
        <v>0</v>
      </c>
      <c r="K3011" s="70">
        <f>IF(CurrentMtgRatesDataTable8[[#This Row],[WA CC]]&lt;&gt;0,C3010-CurrentMtgRatesDataTable8[[#This Row],[WA CC]],0)</f>
        <v>0</v>
      </c>
      <c r="L3011" s="70">
        <f>IF(CurrentMtgRatesDataTable8[[#This Row],[Servicing Spread]]&lt;=0,L3010,CurrentMtgRatesDataTable8[[#This Row],[Servicing Spread]])</f>
        <v>0.899610927819392</v>
      </c>
      <c r="M3011" s="70">
        <f>CurrentMtgRatesDataTable8[[#This Row],[Servicing Spread Non-Zero]]-L3010</f>
        <v>0</v>
      </c>
      <c r="N3011" s="70">
        <f>IF(J3010&lt;&gt;0,CurrentMtgRatesDataTable8[[#This Row],[Rate]]-C3010,N3010)</f>
        <v>2.0000000000000018E-2</v>
      </c>
    </row>
    <row r="3012" spans="1:14">
      <c r="A3012" s="67" t="s">
        <v>969</v>
      </c>
      <c r="B3012" s="68">
        <v>2.9498986890501602</v>
      </c>
      <c r="C3012" s="69">
        <v>3.85</v>
      </c>
      <c r="D3012" s="70">
        <f t="shared" si="322"/>
        <v>5</v>
      </c>
      <c r="E3012" s="70">
        <f t="shared" si="323"/>
        <v>0.2</v>
      </c>
      <c r="F3012" s="70">
        <f t="shared" si="324"/>
        <v>3</v>
      </c>
      <c r="G3012" s="70">
        <f t="shared" si="325"/>
        <v>1.8001935078848681</v>
      </c>
      <c r="H3012" s="70">
        <f t="shared" si="326"/>
        <v>0.60000000000000009</v>
      </c>
      <c r="I3012" s="70">
        <f t="shared" si="327"/>
        <v>0</v>
      </c>
      <c r="J3012" s="70">
        <f t="shared" si="328"/>
        <v>0</v>
      </c>
      <c r="K3012" s="70">
        <f>IF(CurrentMtgRatesDataTable8[[#This Row],[WA CC]]&lt;&gt;0,C3011-CurrentMtgRatesDataTable8[[#This Row],[WA CC]],0)</f>
        <v>0</v>
      </c>
      <c r="L3012" s="70">
        <f>IF(CurrentMtgRatesDataTable8[[#This Row],[Servicing Spread]]&lt;=0,L3011,CurrentMtgRatesDataTable8[[#This Row],[Servicing Spread]])</f>
        <v>0.899610927819392</v>
      </c>
      <c r="M3012" s="70">
        <f>CurrentMtgRatesDataTable8[[#This Row],[Servicing Spread Non-Zero]]-L3011</f>
        <v>0</v>
      </c>
      <c r="N3012" s="70">
        <f>IF(J3011&lt;&gt;0,CurrentMtgRatesDataTable8[[#This Row],[Rate]]-C3011,N3011)</f>
        <v>2.0000000000000018E-2</v>
      </c>
    </row>
    <row r="3013" spans="1:14">
      <c r="A3013" s="67" t="s">
        <v>970</v>
      </c>
      <c r="B3013" s="68">
        <v>2.97492729888162</v>
      </c>
      <c r="C3013" s="69">
        <v>3.85</v>
      </c>
      <c r="D3013" s="70">
        <f t="shared" ref="D3013:D3076" si="329">WEEKDAY(A3013,14)</f>
        <v>6</v>
      </c>
      <c r="E3013" s="70">
        <f t="shared" ref="E3013:E3076" si="330">VLOOKUP(D3013,Q$5:R$11,2,FALSE)</f>
        <v>0.2</v>
      </c>
      <c r="F3013" s="70">
        <f t="shared" ref="F3013:F3076" si="331">IF(AND(D3013&gt;D3012,F3012&lt;6),F3012+1,1)</f>
        <v>4</v>
      </c>
      <c r="G3013" s="70">
        <f t="shared" ref="G3013:G3076" si="332">IF(F3013&gt;F3012,G3012+B3013*E3013,B3013*E3013)</f>
        <v>2.3951789676611921</v>
      </c>
      <c r="H3013" s="70">
        <f t="shared" ref="H3013:H3076" si="333">IF(AND(F3013&lt;6,F3013&gt;F3012),E3013+H3012,E3013)</f>
        <v>0.8</v>
      </c>
      <c r="I3013" s="70">
        <f t="shared" ref="I3013:I3076" si="334">IF(F3013&gt;F3014,1,0)</f>
        <v>0</v>
      </c>
      <c r="J3013" s="70">
        <f t="shared" ref="J3013:J3076" si="335">IF(F3013&gt;F3014,G3013/H3013,0)</f>
        <v>0</v>
      </c>
      <c r="K3013" s="70">
        <f>IF(CurrentMtgRatesDataTable8[[#This Row],[WA CC]]&lt;&gt;0,C3012-CurrentMtgRatesDataTable8[[#This Row],[WA CC]],0)</f>
        <v>0</v>
      </c>
      <c r="L3013" s="70">
        <f>IF(CurrentMtgRatesDataTable8[[#This Row],[Servicing Spread]]&lt;=0,L3012,CurrentMtgRatesDataTable8[[#This Row],[Servicing Spread]])</f>
        <v>0.899610927819392</v>
      </c>
      <c r="M3013" s="70">
        <f>CurrentMtgRatesDataTable8[[#This Row],[Servicing Spread Non-Zero]]-L3012</f>
        <v>0</v>
      </c>
      <c r="N3013" s="70">
        <f>IF(J3012&lt;&gt;0,CurrentMtgRatesDataTable8[[#This Row],[Rate]]-C3012,N3012)</f>
        <v>2.0000000000000018E-2</v>
      </c>
    </row>
    <row r="3014" spans="1:14">
      <c r="A3014" s="67" t="s">
        <v>971</v>
      </c>
      <c r="B3014" s="68">
        <v>2.9584562580557998</v>
      </c>
      <c r="C3014" s="69">
        <v>3.85</v>
      </c>
      <c r="D3014" s="70">
        <f t="shared" si="329"/>
        <v>7</v>
      </c>
      <c r="E3014" s="70">
        <f t="shared" si="330"/>
        <v>0.2</v>
      </c>
      <c r="F3014" s="70">
        <f t="shared" si="331"/>
        <v>5</v>
      </c>
      <c r="G3014" s="70">
        <f t="shared" si="332"/>
        <v>2.986870219272352</v>
      </c>
      <c r="H3014" s="70">
        <f t="shared" si="333"/>
        <v>1</v>
      </c>
      <c r="I3014" s="70">
        <f t="shared" si="334"/>
        <v>1</v>
      </c>
      <c r="J3014" s="70">
        <f t="shared" si="335"/>
        <v>2.986870219272352</v>
      </c>
      <c r="K3014" s="70">
        <f>IF(CurrentMtgRatesDataTable8[[#This Row],[WA CC]]&lt;&gt;0,C3013-CurrentMtgRatesDataTable8[[#This Row],[WA CC]],0)</f>
        <v>0.86312978072764812</v>
      </c>
      <c r="L3014" s="70">
        <f>IF(CurrentMtgRatesDataTable8[[#This Row],[Servicing Spread]]&lt;=0,L3013,CurrentMtgRatesDataTable8[[#This Row],[Servicing Spread]])</f>
        <v>0.86312978072764812</v>
      </c>
      <c r="M3014" s="70">
        <f>CurrentMtgRatesDataTable8[[#This Row],[Servicing Spread Non-Zero]]-L3013</f>
        <v>-3.6481147091743882E-2</v>
      </c>
      <c r="N3014" s="70">
        <f>IF(J3013&lt;&gt;0,CurrentMtgRatesDataTable8[[#This Row],[Rate]]-C3013,N3013)</f>
        <v>2.0000000000000018E-2</v>
      </c>
    </row>
    <row r="3015" spans="1:14">
      <c r="A3015" s="67" t="s">
        <v>972</v>
      </c>
      <c r="B3015" s="68">
        <v>2.9975278287112799</v>
      </c>
      <c r="C3015" s="69">
        <v>3.87</v>
      </c>
      <c r="D3015" s="70">
        <f t="shared" si="329"/>
        <v>1</v>
      </c>
      <c r="E3015" s="70">
        <f t="shared" si="330"/>
        <v>0.2</v>
      </c>
      <c r="F3015" s="70">
        <f t="shared" si="331"/>
        <v>1</v>
      </c>
      <c r="G3015" s="70">
        <f t="shared" si="332"/>
        <v>0.599505565742256</v>
      </c>
      <c r="H3015" s="70">
        <f t="shared" si="333"/>
        <v>0.2</v>
      </c>
      <c r="I3015" s="70">
        <f t="shared" si="334"/>
        <v>0</v>
      </c>
      <c r="J3015" s="70">
        <f t="shared" si="335"/>
        <v>0</v>
      </c>
      <c r="K3015" s="70">
        <f>IF(CurrentMtgRatesDataTable8[[#This Row],[WA CC]]&lt;&gt;0,C3014-CurrentMtgRatesDataTable8[[#This Row],[WA CC]],0)</f>
        <v>0</v>
      </c>
      <c r="L3015" s="70">
        <f>IF(CurrentMtgRatesDataTable8[[#This Row],[Servicing Spread]]&lt;=0,L3014,CurrentMtgRatesDataTable8[[#This Row],[Servicing Spread]])</f>
        <v>0.86312978072764812</v>
      </c>
      <c r="M3015" s="70">
        <f>CurrentMtgRatesDataTable8[[#This Row],[Servicing Spread Non-Zero]]-L3014</f>
        <v>0</v>
      </c>
      <c r="N3015" s="70">
        <f>IF(J3014&lt;&gt;0,CurrentMtgRatesDataTable8[[#This Row],[Rate]]-C3014,N3014)</f>
        <v>2.0000000000000018E-2</v>
      </c>
    </row>
    <row r="3016" spans="1:14">
      <c r="A3016" s="67" t="s">
        <v>973</v>
      </c>
      <c r="B3016" s="68">
        <v>2.93038775773327</v>
      </c>
      <c r="C3016" s="69">
        <v>3.87</v>
      </c>
      <c r="D3016" s="70">
        <f t="shared" si="329"/>
        <v>2</v>
      </c>
      <c r="E3016" s="70">
        <f t="shared" si="330"/>
        <v>0.2</v>
      </c>
      <c r="F3016" s="70">
        <f t="shared" si="331"/>
        <v>2</v>
      </c>
      <c r="G3016" s="70">
        <f t="shared" si="332"/>
        <v>1.18558311728891</v>
      </c>
      <c r="H3016" s="70">
        <f t="shared" si="333"/>
        <v>0.4</v>
      </c>
      <c r="I3016" s="70">
        <f t="shared" si="334"/>
        <v>0</v>
      </c>
      <c r="J3016" s="70">
        <f t="shared" si="335"/>
        <v>0</v>
      </c>
      <c r="K3016" s="70">
        <f>IF(CurrentMtgRatesDataTable8[[#This Row],[WA CC]]&lt;&gt;0,C3015-CurrentMtgRatesDataTable8[[#This Row],[WA CC]],0)</f>
        <v>0</v>
      </c>
      <c r="L3016" s="70">
        <f>IF(CurrentMtgRatesDataTable8[[#This Row],[Servicing Spread]]&lt;=0,L3015,CurrentMtgRatesDataTable8[[#This Row],[Servicing Spread]])</f>
        <v>0.86312978072764812</v>
      </c>
      <c r="M3016" s="70">
        <f>CurrentMtgRatesDataTable8[[#This Row],[Servicing Spread Non-Zero]]-L3015</f>
        <v>0</v>
      </c>
      <c r="N3016" s="70">
        <f>IF(J3015&lt;&gt;0,CurrentMtgRatesDataTable8[[#This Row],[Rate]]-C3015,N3015)</f>
        <v>2.0000000000000018E-2</v>
      </c>
    </row>
    <row r="3017" spans="1:14">
      <c r="A3017" s="67" t="s">
        <v>974</v>
      </c>
      <c r="B3017" s="68">
        <v>2.9956917661864102</v>
      </c>
      <c r="C3017" s="69">
        <v>3.87</v>
      </c>
      <c r="D3017" s="70">
        <f t="shared" si="329"/>
        <v>5</v>
      </c>
      <c r="E3017" s="70">
        <f t="shared" si="330"/>
        <v>0.2</v>
      </c>
      <c r="F3017" s="70">
        <f t="shared" si="331"/>
        <v>3</v>
      </c>
      <c r="G3017" s="70">
        <f t="shared" si="332"/>
        <v>1.784721470526192</v>
      </c>
      <c r="H3017" s="70">
        <f t="shared" si="333"/>
        <v>0.60000000000000009</v>
      </c>
      <c r="I3017" s="70">
        <f t="shared" si="334"/>
        <v>0</v>
      </c>
      <c r="J3017" s="70">
        <f t="shared" si="335"/>
        <v>0</v>
      </c>
      <c r="K3017" s="70">
        <f>IF(CurrentMtgRatesDataTable8[[#This Row],[WA CC]]&lt;&gt;0,C3016-CurrentMtgRatesDataTable8[[#This Row],[WA CC]],0)</f>
        <v>0</v>
      </c>
      <c r="L3017" s="70">
        <f>IF(CurrentMtgRatesDataTable8[[#This Row],[Servicing Spread]]&lt;=0,L3016,CurrentMtgRatesDataTable8[[#This Row],[Servicing Spread]])</f>
        <v>0.86312978072764812</v>
      </c>
      <c r="M3017" s="70">
        <f>CurrentMtgRatesDataTable8[[#This Row],[Servicing Spread Non-Zero]]-L3016</f>
        <v>0</v>
      </c>
      <c r="N3017" s="70">
        <f>IF(J3016&lt;&gt;0,CurrentMtgRatesDataTable8[[#This Row],[Rate]]-C3016,N3016)</f>
        <v>2.0000000000000018E-2</v>
      </c>
    </row>
    <row r="3018" spans="1:14">
      <c r="A3018" s="67" t="s">
        <v>975</v>
      </c>
      <c r="B3018" s="68">
        <v>3.0277544715368299</v>
      </c>
      <c r="C3018" s="69">
        <v>3.87</v>
      </c>
      <c r="D3018" s="70">
        <f t="shared" si="329"/>
        <v>6</v>
      </c>
      <c r="E3018" s="70">
        <f t="shared" si="330"/>
        <v>0.2</v>
      </c>
      <c r="F3018" s="70">
        <f t="shared" si="331"/>
        <v>4</v>
      </c>
      <c r="G3018" s="70">
        <f t="shared" si="332"/>
        <v>2.390272364833558</v>
      </c>
      <c r="H3018" s="70">
        <f t="shared" si="333"/>
        <v>0.8</v>
      </c>
      <c r="I3018" s="70">
        <f t="shared" si="334"/>
        <v>0</v>
      </c>
      <c r="J3018" s="70">
        <f t="shared" si="335"/>
        <v>0</v>
      </c>
      <c r="K3018" s="70">
        <f>IF(CurrentMtgRatesDataTable8[[#This Row],[WA CC]]&lt;&gt;0,C3017-CurrentMtgRatesDataTable8[[#This Row],[WA CC]],0)</f>
        <v>0</v>
      </c>
      <c r="L3018" s="70">
        <f>IF(CurrentMtgRatesDataTable8[[#This Row],[Servicing Spread]]&lt;=0,L3017,CurrentMtgRatesDataTable8[[#This Row],[Servicing Spread]])</f>
        <v>0.86312978072764812</v>
      </c>
      <c r="M3018" s="70">
        <f>CurrentMtgRatesDataTable8[[#This Row],[Servicing Spread Non-Zero]]-L3017</f>
        <v>0</v>
      </c>
      <c r="N3018" s="70">
        <f>IF(J3017&lt;&gt;0,CurrentMtgRatesDataTable8[[#This Row],[Rate]]-C3017,N3017)</f>
        <v>2.0000000000000018E-2</v>
      </c>
    </row>
    <row r="3019" spans="1:14">
      <c r="A3019" s="67" t="s">
        <v>976</v>
      </c>
      <c r="B3019" s="68">
        <v>3.0337070171743399</v>
      </c>
      <c r="C3019" s="69">
        <v>3.87</v>
      </c>
      <c r="D3019" s="70">
        <f t="shared" si="329"/>
        <v>7</v>
      </c>
      <c r="E3019" s="70">
        <f t="shared" si="330"/>
        <v>0.2</v>
      </c>
      <c r="F3019" s="70">
        <f t="shared" si="331"/>
        <v>5</v>
      </c>
      <c r="G3019" s="70">
        <f t="shared" si="332"/>
        <v>2.9970137682684261</v>
      </c>
      <c r="H3019" s="70">
        <f t="shared" si="333"/>
        <v>1</v>
      </c>
      <c r="I3019" s="70">
        <f t="shared" si="334"/>
        <v>1</v>
      </c>
      <c r="J3019" s="70">
        <f t="shared" si="335"/>
        <v>2.9970137682684261</v>
      </c>
      <c r="K3019" s="70">
        <f>IF(CurrentMtgRatesDataTable8[[#This Row],[WA CC]]&lt;&gt;0,C3018-CurrentMtgRatesDataTable8[[#This Row],[WA CC]],0)</f>
        <v>0.87298623173157397</v>
      </c>
      <c r="L3019" s="70">
        <f>IF(CurrentMtgRatesDataTable8[[#This Row],[Servicing Spread]]&lt;=0,L3018,CurrentMtgRatesDataTable8[[#This Row],[Servicing Spread]])</f>
        <v>0.87298623173157397</v>
      </c>
      <c r="M3019" s="70">
        <f>CurrentMtgRatesDataTable8[[#This Row],[Servicing Spread Non-Zero]]-L3018</f>
        <v>9.8564510039258479E-3</v>
      </c>
      <c r="N3019" s="70">
        <f>IF(J3018&lt;&gt;0,CurrentMtgRatesDataTable8[[#This Row],[Rate]]-C3018,N3018)</f>
        <v>2.0000000000000018E-2</v>
      </c>
    </row>
    <row r="3020" spans="1:14">
      <c r="A3020" s="67" t="s">
        <v>977</v>
      </c>
      <c r="B3020" s="68">
        <v>2.9938542795846499</v>
      </c>
      <c r="C3020" s="69">
        <v>3.86</v>
      </c>
      <c r="D3020" s="70">
        <f t="shared" si="329"/>
        <v>1</v>
      </c>
      <c r="E3020" s="70">
        <f t="shared" si="330"/>
        <v>0.2</v>
      </c>
      <c r="F3020" s="70">
        <f t="shared" si="331"/>
        <v>1</v>
      </c>
      <c r="G3020" s="70">
        <f t="shared" si="332"/>
        <v>0.59877085591693002</v>
      </c>
      <c r="H3020" s="70">
        <f t="shared" si="333"/>
        <v>0.2</v>
      </c>
      <c r="I3020" s="70">
        <f t="shared" si="334"/>
        <v>0</v>
      </c>
      <c r="J3020" s="70">
        <f t="shared" si="335"/>
        <v>0</v>
      </c>
      <c r="K3020" s="70">
        <f>IF(CurrentMtgRatesDataTable8[[#This Row],[WA CC]]&lt;&gt;0,C3019-CurrentMtgRatesDataTable8[[#This Row],[WA CC]],0)</f>
        <v>0</v>
      </c>
      <c r="L3020" s="70">
        <f>IF(CurrentMtgRatesDataTable8[[#This Row],[Servicing Spread]]&lt;=0,L3019,CurrentMtgRatesDataTable8[[#This Row],[Servicing Spread]])</f>
        <v>0.87298623173157397</v>
      </c>
      <c r="M3020" s="70">
        <f>CurrentMtgRatesDataTable8[[#This Row],[Servicing Spread Non-Zero]]-L3019</f>
        <v>0</v>
      </c>
      <c r="N3020" s="70">
        <f>IF(J3019&lt;&gt;0,CurrentMtgRatesDataTable8[[#This Row],[Rate]]-C3019,N3019)</f>
        <v>-1.0000000000000231E-2</v>
      </c>
    </row>
    <row r="3021" spans="1:14">
      <c r="A3021" s="67" t="s">
        <v>978</v>
      </c>
      <c r="B3021" s="68">
        <v>2.9654454819851401</v>
      </c>
      <c r="C3021" s="69">
        <v>3.86</v>
      </c>
      <c r="D3021" s="70">
        <f t="shared" si="329"/>
        <v>2</v>
      </c>
      <c r="E3021" s="70">
        <f t="shared" si="330"/>
        <v>0.2</v>
      </c>
      <c r="F3021" s="70">
        <f t="shared" si="331"/>
        <v>2</v>
      </c>
      <c r="G3021" s="70">
        <f t="shared" si="332"/>
        <v>1.1918599523139579</v>
      </c>
      <c r="H3021" s="70">
        <f t="shared" si="333"/>
        <v>0.4</v>
      </c>
      <c r="I3021" s="70">
        <f t="shared" si="334"/>
        <v>0</v>
      </c>
      <c r="J3021" s="70">
        <f t="shared" si="335"/>
        <v>0</v>
      </c>
      <c r="K3021" s="70">
        <f>IF(CurrentMtgRatesDataTable8[[#This Row],[WA CC]]&lt;&gt;0,C3020-CurrentMtgRatesDataTable8[[#This Row],[WA CC]],0)</f>
        <v>0</v>
      </c>
      <c r="L3021" s="70">
        <f>IF(CurrentMtgRatesDataTable8[[#This Row],[Servicing Spread]]&lt;=0,L3020,CurrentMtgRatesDataTable8[[#This Row],[Servicing Spread]])</f>
        <v>0.87298623173157397</v>
      </c>
      <c r="M3021" s="70">
        <f>CurrentMtgRatesDataTable8[[#This Row],[Servicing Spread Non-Zero]]-L3020</f>
        <v>0</v>
      </c>
      <c r="N3021" s="70">
        <f>IF(J3020&lt;&gt;0,CurrentMtgRatesDataTable8[[#This Row],[Rate]]-C3020,N3020)</f>
        <v>-1.0000000000000231E-2</v>
      </c>
    </row>
    <row r="3022" spans="1:14">
      <c r="A3022" s="67" t="s">
        <v>979</v>
      </c>
      <c r="B3022" s="68">
        <v>2.9731174036640602</v>
      </c>
      <c r="C3022" s="69">
        <v>3.86</v>
      </c>
      <c r="D3022" s="70">
        <f t="shared" si="329"/>
        <v>5</v>
      </c>
      <c r="E3022" s="70">
        <f t="shared" si="330"/>
        <v>0.2</v>
      </c>
      <c r="F3022" s="70">
        <f t="shared" si="331"/>
        <v>3</v>
      </c>
      <c r="G3022" s="70">
        <f t="shared" si="332"/>
        <v>1.78648343304677</v>
      </c>
      <c r="H3022" s="70">
        <f t="shared" si="333"/>
        <v>0.60000000000000009</v>
      </c>
      <c r="I3022" s="70">
        <f t="shared" si="334"/>
        <v>0</v>
      </c>
      <c r="J3022" s="70">
        <f t="shared" si="335"/>
        <v>0</v>
      </c>
      <c r="K3022" s="70">
        <f>IF(CurrentMtgRatesDataTable8[[#This Row],[WA CC]]&lt;&gt;0,C3021-CurrentMtgRatesDataTable8[[#This Row],[WA CC]],0)</f>
        <v>0</v>
      </c>
      <c r="L3022" s="70">
        <f>IF(CurrentMtgRatesDataTable8[[#This Row],[Servicing Spread]]&lt;=0,L3021,CurrentMtgRatesDataTable8[[#This Row],[Servicing Spread]])</f>
        <v>0.87298623173157397</v>
      </c>
      <c r="M3022" s="70">
        <f>CurrentMtgRatesDataTable8[[#This Row],[Servicing Spread Non-Zero]]-L3021</f>
        <v>0</v>
      </c>
      <c r="N3022" s="70">
        <f>IF(J3021&lt;&gt;0,CurrentMtgRatesDataTable8[[#This Row],[Rate]]-C3021,N3021)</f>
        <v>-1.0000000000000231E-2</v>
      </c>
    </row>
    <row r="3023" spans="1:14">
      <c r="A3023" s="67" t="s">
        <v>980</v>
      </c>
      <c r="B3023" s="68">
        <v>3.0177597197552002</v>
      </c>
      <c r="C3023" s="69">
        <v>3.86</v>
      </c>
      <c r="D3023" s="70">
        <f t="shared" si="329"/>
        <v>6</v>
      </c>
      <c r="E3023" s="70">
        <f t="shared" si="330"/>
        <v>0.2</v>
      </c>
      <c r="F3023" s="70">
        <f t="shared" si="331"/>
        <v>4</v>
      </c>
      <c r="G3023" s="70">
        <f t="shared" si="332"/>
        <v>2.39003537699781</v>
      </c>
      <c r="H3023" s="70">
        <f t="shared" si="333"/>
        <v>0.8</v>
      </c>
      <c r="I3023" s="70">
        <f t="shared" si="334"/>
        <v>0</v>
      </c>
      <c r="J3023" s="70">
        <f t="shared" si="335"/>
        <v>0</v>
      </c>
      <c r="K3023" s="70">
        <f>IF(CurrentMtgRatesDataTable8[[#This Row],[WA CC]]&lt;&gt;0,C3022-CurrentMtgRatesDataTable8[[#This Row],[WA CC]],0)</f>
        <v>0</v>
      </c>
      <c r="L3023" s="70">
        <f>IF(CurrentMtgRatesDataTable8[[#This Row],[Servicing Spread]]&lt;=0,L3022,CurrentMtgRatesDataTable8[[#This Row],[Servicing Spread]])</f>
        <v>0.87298623173157397</v>
      </c>
      <c r="M3023" s="70">
        <f>CurrentMtgRatesDataTable8[[#This Row],[Servicing Spread Non-Zero]]-L3022</f>
        <v>0</v>
      </c>
      <c r="N3023" s="70">
        <f>IF(J3022&lt;&gt;0,CurrentMtgRatesDataTable8[[#This Row],[Rate]]-C3022,N3022)</f>
        <v>-1.0000000000000231E-2</v>
      </c>
    </row>
    <row r="3024" spans="1:14">
      <c r="A3024" s="67" t="s">
        <v>987</v>
      </c>
      <c r="B3024" s="68">
        <v>3.0426080275796101</v>
      </c>
      <c r="C3024" s="69">
        <v>3.86</v>
      </c>
      <c r="D3024" s="70">
        <f t="shared" si="329"/>
        <v>7</v>
      </c>
      <c r="E3024" s="70">
        <f t="shared" si="330"/>
        <v>0.2</v>
      </c>
      <c r="F3024" s="70">
        <f t="shared" si="331"/>
        <v>5</v>
      </c>
      <c r="G3024" s="70">
        <f t="shared" si="332"/>
        <v>2.9985569825137319</v>
      </c>
      <c r="H3024" s="70">
        <f t="shared" si="333"/>
        <v>1</v>
      </c>
      <c r="I3024" s="70">
        <f t="shared" si="334"/>
        <v>1</v>
      </c>
      <c r="J3024" s="70">
        <f t="shared" si="335"/>
        <v>2.9985569825137319</v>
      </c>
      <c r="K3024" s="70">
        <f>IF(CurrentMtgRatesDataTable8[[#This Row],[WA CC]]&lt;&gt;0,C3023-CurrentMtgRatesDataTable8[[#This Row],[WA CC]],0)</f>
        <v>0.86144301748626795</v>
      </c>
      <c r="L3024" s="70">
        <f>IF(CurrentMtgRatesDataTable8[[#This Row],[Servicing Spread]]&lt;=0,L3023,CurrentMtgRatesDataTable8[[#This Row],[Servicing Spread]])</f>
        <v>0.86144301748626795</v>
      </c>
      <c r="M3024" s="70">
        <f>CurrentMtgRatesDataTable8[[#This Row],[Servicing Spread Non-Zero]]-L3023</f>
        <v>-1.1543214245306022E-2</v>
      </c>
      <c r="N3024" s="70">
        <f>IF(J3023&lt;&gt;0,CurrentMtgRatesDataTable8[[#This Row],[Rate]]-C3023,N3023)</f>
        <v>-1.0000000000000231E-2</v>
      </c>
    </row>
    <row r="3025" spans="1:14">
      <c r="A3025" s="67" t="s">
        <v>988</v>
      </c>
      <c r="B3025" s="68">
        <v>3.0275766664066102</v>
      </c>
      <c r="C3025" s="69">
        <v>3.9099999999999997</v>
      </c>
      <c r="D3025" s="70">
        <f t="shared" si="329"/>
        <v>1</v>
      </c>
      <c r="E3025" s="70">
        <f t="shared" si="330"/>
        <v>0.2</v>
      </c>
      <c r="F3025" s="70">
        <f t="shared" si="331"/>
        <v>1</v>
      </c>
      <c r="G3025" s="70">
        <f t="shared" si="332"/>
        <v>0.60551533328132212</v>
      </c>
      <c r="H3025" s="70">
        <f t="shared" si="333"/>
        <v>0.2</v>
      </c>
      <c r="I3025" s="70">
        <f t="shared" si="334"/>
        <v>0</v>
      </c>
      <c r="J3025" s="70">
        <f t="shared" si="335"/>
        <v>0</v>
      </c>
      <c r="K3025" s="70">
        <f>IF(CurrentMtgRatesDataTable8[[#This Row],[WA CC]]&lt;&gt;0,C3024-CurrentMtgRatesDataTable8[[#This Row],[WA CC]],0)</f>
        <v>0</v>
      </c>
      <c r="L3025" s="70">
        <f>IF(CurrentMtgRatesDataTable8[[#This Row],[Servicing Spread]]&lt;=0,L3024,CurrentMtgRatesDataTable8[[#This Row],[Servicing Spread]])</f>
        <v>0.86144301748626795</v>
      </c>
      <c r="M3025" s="70">
        <f>CurrentMtgRatesDataTable8[[#This Row],[Servicing Spread Non-Zero]]-L3024</f>
        <v>0</v>
      </c>
      <c r="N3025" s="70">
        <f>IF(J3024&lt;&gt;0,CurrentMtgRatesDataTable8[[#This Row],[Rate]]-C3024,N3024)</f>
        <v>4.9999999999999822E-2</v>
      </c>
    </row>
    <row r="3026" spans="1:14">
      <c r="A3026" s="67" t="s">
        <v>989</v>
      </c>
      <c r="B3026" s="68">
        <v>3.0029644484734299</v>
      </c>
      <c r="C3026" s="69">
        <v>3.9099999999999997</v>
      </c>
      <c r="D3026" s="70">
        <f t="shared" si="329"/>
        <v>5</v>
      </c>
      <c r="E3026" s="70">
        <f t="shared" si="330"/>
        <v>0.2</v>
      </c>
      <c r="F3026" s="70">
        <f t="shared" si="331"/>
        <v>2</v>
      </c>
      <c r="G3026" s="70">
        <f t="shared" si="332"/>
        <v>1.2061082229760083</v>
      </c>
      <c r="H3026" s="70">
        <f t="shared" si="333"/>
        <v>0.4</v>
      </c>
      <c r="I3026" s="70">
        <f t="shared" si="334"/>
        <v>0</v>
      </c>
      <c r="J3026" s="70">
        <f t="shared" si="335"/>
        <v>0</v>
      </c>
      <c r="K3026" s="70">
        <f>IF(CurrentMtgRatesDataTable8[[#This Row],[WA CC]]&lt;&gt;0,C3025-CurrentMtgRatesDataTable8[[#This Row],[WA CC]],0)</f>
        <v>0</v>
      </c>
      <c r="L3026" s="70">
        <f>IF(CurrentMtgRatesDataTable8[[#This Row],[Servicing Spread]]&lt;=0,L3025,CurrentMtgRatesDataTable8[[#This Row],[Servicing Spread]])</f>
        <v>0.86144301748626795</v>
      </c>
      <c r="M3026" s="70">
        <f>CurrentMtgRatesDataTable8[[#This Row],[Servicing Spread Non-Zero]]-L3025</f>
        <v>0</v>
      </c>
      <c r="N3026" s="70">
        <f>IF(J3025&lt;&gt;0,CurrentMtgRatesDataTable8[[#This Row],[Rate]]-C3025,N3025)</f>
        <v>4.9999999999999822E-2</v>
      </c>
    </row>
    <row r="3027" spans="1:14">
      <c r="A3027" s="67" t="s">
        <v>990</v>
      </c>
      <c r="B3027" s="68">
        <v>3.05738829293283</v>
      </c>
      <c r="C3027" s="69">
        <v>3.9099999999999997</v>
      </c>
      <c r="D3027" s="70">
        <f t="shared" si="329"/>
        <v>6</v>
      </c>
      <c r="E3027" s="70">
        <f t="shared" si="330"/>
        <v>0.2</v>
      </c>
      <c r="F3027" s="70">
        <f t="shared" si="331"/>
        <v>3</v>
      </c>
      <c r="G3027" s="70">
        <f t="shared" si="332"/>
        <v>1.8175858815625743</v>
      </c>
      <c r="H3027" s="70">
        <f t="shared" si="333"/>
        <v>0.60000000000000009</v>
      </c>
      <c r="I3027" s="70">
        <f t="shared" si="334"/>
        <v>0</v>
      </c>
      <c r="J3027" s="70">
        <f t="shared" si="335"/>
        <v>0</v>
      </c>
      <c r="K3027" s="70">
        <f>IF(CurrentMtgRatesDataTable8[[#This Row],[WA CC]]&lt;&gt;0,C3026-CurrentMtgRatesDataTable8[[#This Row],[WA CC]],0)</f>
        <v>0</v>
      </c>
      <c r="L3027" s="70">
        <f>IF(CurrentMtgRatesDataTable8[[#This Row],[Servicing Spread]]&lt;=0,L3026,CurrentMtgRatesDataTable8[[#This Row],[Servicing Spread]])</f>
        <v>0.86144301748626795</v>
      </c>
      <c r="M3027" s="70">
        <f>CurrentMtgRatesDataTable8[[#This Row],[Servicing Spread Non-Zero]]-L3026</f>
        <v>0</v>
      </c>
      <c r="N3027" s="70">
        <f>IF(J3026&lt;&gt;0,CurrentMtgRatesDataTable8[[#This Row],[Rate]]-C3026,N3026)</f>
        <v>4.9999999999999822E-2</v>
      </c>
    </row>
    <row r="3028" spans="1:14">
      <c r="A3028" s="67" t="s">
        <v>991</v>
      </c>
      <c r="B3028" s="68">
        <v>3.0484600868524701</v>
      </c>
      <c r="C3028" s="69">
        <v>3.9099999999999997</v>
      </c>
      <c r="D3028" s="70">
        <f t="shared" si="329"/>
        <v>7</v>
      </c>
      <c r="E3028" s="70">
        <f t="shared" si="330"/>
        <v>0.2</v>
      </c>
      <c r="F3028" s="70">
        <f t="shared" si="331"/>
        <v>4</v>
      </c>
      <c r="G3028" s="70">
        <f t="shared" si="332"/>
        <v>2.4272778989330686</v>
      </c>
      <c r="H3028" s="70">
        <f t="shared" si="333"/>
        <v>0.8</v>
      </c>
      <c r="I3028" s="70">
        <f t="shared" si="334"/>
        <v>1</v>
      </c>
      <c r="J3028" s="70">
        <f t="shared" si="335"/>
        <v>3.0340973736663357</v>
      </c>
      <c r="K3028" s="70">
        <f>IF(CurrentMtgRatesDataTable8[[#This Row],[WA CC]]&lt;&gt;0,C3027-CurrentMtgRatesDataTable8[[#This Row],[WA CC]],0)</f>
        <v>0.875902626333664</v>
      </c>
      <c r="L3028" s="70">
        <f>IF(CurrentMtgRatesDataTable8[[#This Row],[Servicing Spread]]&lt;=0,L3027,CurrentMtgRatesDataTable8[[#This Row],[Servicing Spread]])</f>
        <v>0.875902626333664</v>
      </c>
      <c r="M3028" s="70">
        <f>CurrentMtgRatesDataTable8[[#This Row],[Servicing Spread Non-Zero]]-L3027</f>
        <v>1.4459608847396055E-2</v>
      </c>
      <c r="N3028" s="70">
        <f>IF(J3027&lt;&gt;0,CurrentMtgRatesDataTable8[[#This Row],[Rate]]-C3027,N3027)</f>
        <v>4.9999999999999822E-2</v>
      </c>
    </row>
    <row r="3029" spans="1:14">
      <c r="A3029" s="67" t="s">
        <v>992</v>
      </c>
      <c r="B3029" s="68">
        <v>3.0053894082817201</v>
      </c>
      <c r="C3029" s="69">
        <v>3.87</v>
      </c>
      <c r="D3029" s="70">
        <f t="shared" si="329"/>
        <v>1</v>
      </c>
      <c r="E3029" s="70">
        <f t="shared" si="330"/>
        <v>0.2</v>
      </c>
      <c r="F3029" s="70">
        <f t="shared" si="331"/>
        <v>1</v>
      </c>
      <c r="G3029" s="70">
        <f t="shared" si="332"/>
        <v>0.60107788165634402</v>
      </c>
      <c r="H3029" s="70">
        <f t="shared" si="333"/>
        <v>0.2</v>
      </c>
      <c r="I3029" s="70">
        <f t="shared" si="334"/>
        <v>0</v>
      </c>
      <c r="J3029" s="70">
        <f t="shared" si="335"/>
        <v>0</v>
      </c>
      <c r="K3029" s="70">
        <f>IF(CurrentMtgRatesDataTable8[[#This Row],[WA CC]]&lt;&gt;0,C3028-CurrentMtgRatesDataTable8[[#This Row],[WA CC]],0)</f>
        <v>0</v>
      </c>
      <c r="L3029" s="70">
        <f>IF(CurrentMtgRatesDataTable8[[#This Row],[Servicing Spread]]&lt;=0,L3028,CurrentMtgRatesDataTable8[[#This Row],[Servicing Spread]])</f>
        <v>0.875902626333664</v>
      </c>
      <c r="M3029" s="70">
        <f>CurrentMtgRatesDataTable8[[#This Row],[Servicing Spread Non-Zero]]-L3028</f>
        <v>0</v>
      </c>
      <c r="N3029" s="70">
        <f>IF(J3028&lt;&gt;0,CurrentMtgRatesDataTable8[[#This Row],[Rate]]-C3028,N3028)</f>
        <v>-3.9999999999999591E-2</v>
      </c>
    </row>
    <row r="3030" spans="1:14">
      <c r="A3030" s="67" t="s">
        <v>993</v>
      </c>
      <c r="B3030" s="68">
        <v>2.993452685197</v>
      </c>
      <c r="C3030" s="69">
        <v>3.87</v>
      </c>
      <c r="D3030" s="70">
        <f t="shared" si="329"/>
        <v>5</v>
      </c>
      <c r="E3030" s="70">
        <f t="shared" si="330"/>
        <v>0.2</v>
      </c>
      <c r="F3030" s="70">
        <f t="shared" si="331"/>
        <v>2</v>
      </c>
      <c r="G3030" s="70">
        <f t="shared" si="332"/>
        <v>1.199768418695744</v>
      </c>
      <c r="H3030" s="70">
        <f t="shared" si="333"/>
        <v>0.4</v>
      </c>
      <c r="I3030" s="70">
        <f t="shared" si="334"/>
        <v>0</v>
      </c>
      <c r="J3030" s="70">
        <f t="shared" si="335"/>
        <v>0</v>
      </c>
      <c r="K3030" s="70">
        <f>IF(CurrentMtgRatesDataTable8[[#This Row],[WA CC]]&lt;&gt;0,C3029-CurrentMtgRatesDataTable8[[#This Row],[WA CC]],0)</f>
        <v>0</v>
      </c>
      <c r="L3030" s="70">
        <f>IF(CurrentMtgRatesDataTable8[[#This Row],[Servicing Spread]]&lt;=0,L3029,CurrentMtgRatesDataTable8[[#This Row],[Servicing Spread]])</f>
        <v>0.875902626333664</v>
      </c>
      <c r="M3030" s="70">
        <f>CurrentMtgRatesDataTable8[[#This Row],[Servicing Spread Non-Zero]]-L3029</f>
        <v>0</v>
      </c>
      <c r="N3030" s="70">
        <f>IF(J3029&lt;&gt;0,CurrentMtgRatesDataTable8[[#This Row],[Rate]]-C3029,N3029)</f>
        <v>-3.9999999999999591E-2</v>
      </c>
    </row>
    <row r="3031" spans="1:14">
      <c r="A3031" s="67" t="s">
        <v>994</v>
      </c>
      <c r="B3031" s="68">
        <v>2.99513727920968</v>
      </c>
      <c r="C3031" s="69">
        <v>3.87</v>
      </c>
      <c r="D3031" s="70">
        <f t="shared" si="329"/>
        <v>6</v>
      </c>
      <c r="E3031" s="70">
        <f t="shared" si="330"/>
        <v>0.2</v>
      </c>
      <c r="F3031" s="70">
        <f t="shared" si="331"/>
        <v>3</v>
      </c>
      <c r="G3031" s="70">
        <f t="shared" si="332"/>
        <v>1.7987958745376802</v>
      </c>
      <c r="H3031" s="70">
        <f t="shared" si="333"/>
        <v>0.60000000000000009</v>
      </c>
      <c r="I3031" s="70">
        <f t="shared" si="334"/>
        <v>0</v>
      </c>
      <c r="J3031" s="70">
        <f t="shared" si="335"/>
        <v>0</v>
      </c>
      <c r="K3031" s="70">
        <f>IF(CurrentMtgRatesDataTable8[[#This Row],[WA CC]]&lt;&gt;0,C3030-CurrentMtgRatesDataTable8[[#This Row],[WA CC]],0)</f>
        <v>0</v>
      </c>
      <c r="L3031" s="70">
        <f>IF(CurrentMtgRatesDataTable8[[#This Row],[Servicing Spread]]&lt;=0,L3030,CurrentMtgRatesDataTable8[[#This Row],[Servicing Spread]])</f>
        <v>0.875902626333664</v>
      </c>
      <c r="M3031" s="70">
        <f>CurrentMtgRatesDataTable8[[#This Row],[Servicing Spread Non-Zero]]-L3030</f>
        <v>0</v>
      </c>
      <c r="N3031" s="70">
        <f>IF(J3030&lt;&gt;0,CurrentMtgRatesDataTable8[[#This Row],[Rate]]-C3030,N3030)</f>
        <v>-3.9999999999999591E-2</v>
      </c>
    </row>
    <row r="3032" spans="1:14">
      <c r="A3032" s="67" t="s">
        <v>995</v>
      </c>
      <c r="B3032" s="68">
        <v>2.9334005201837599</v>
      </c>
      <c r="C3032" s="69">
        <v>3.87</v>
      </c>
      <c r="D3032" s="70">
        <f t="shared" si="329"/>
        <v>7</v>
      </c>
      <c r="E3032" s="70">
        <f t="shared" si="330"/>
        <v>0.2</v>
      </c>
      <c r="F3032" s="70">
        <f t="shared" si="331"/>
        <v>4</v>
      </c>
      <c r="G3032" s="70">
        <f t="shared" si="332"/>
        <v>2.3854759785744322</v>
      </c>
      <c r="H3032" s="70">
        <f t="shared" si="333"/>
        <v>0.8</v>
      </c>
      <c r="I3032" s="70">
        <f t="shared" si="334"/>
        <v>1</v>
      </c>
      <c r="J3032" s="70">
        <f t="shared" si="335"/>
        <v>2.9818449732180401</v>
      </c>
      <c r="K3032" s="70">
        <f>IF(CurrentMtgRatesDataTable8[[#This Row],[WA CC]]&lt;&gt;0,C3031-CurrentMtgRatesDataTable8[[#This Row],[WA CC]],0)</f>
        <v>0.88815502678196001</v>
      </c>
      <c r="L3032" s="70">
        <f>IF(CurrentMtgRatesDataTable8[[#This Row],[Servicing Spread]]&lt;=0,L3031,CurrentMtgRatesDataTable8[[#This Row],[Servicing Spread]])</f>
        <v>0.88815502678196001</v>
      </c>
      <c r="M3032" s="70">
        <f>CurrentMtgRatesDataTable8[[#This Row],[Servicing Spread Non-Zero]]-L3031</f>
        <v>1.2252400448296008E-2</v>
      </c>
      <c r="N3032" s="70">
        <f>IF(J3031&lt;&gt;0,CurrentMtgRatesDataTable8[[#This Row],[Rate]]-C3031,N3031)</f>
        <v>-3.9999999999999591E-2</v>
      </c>
    </row>
    <row r="3033" spans="1:14">
      <c r="A3033" s="67" t="s">
        <v>996</v>
      </c>
      <c r="B3033" s="68">
        <v>2.9119506998989602</v>
      </c>
      <c r="C3033" s="69">
        <v>3.82</v>
      </c>
      <c r="D3033" s="70">
        <f t="shared" si="329"/>
        <v>1</v>
      </c>
      <c r="E3033" s="70">
        <f t="shared" si="330"/>
        <v>0.2</v>
      </c>
      <c r="F3033" s="70">
        <f t="shared" si="331"/>
        <v>1</v>
      </c>
      <c r="G3033" s="70">
        <f t="shared" si="332"/>
        <v>0.58239013997979205</v>
      </c>
      <c r="H3033" s="70">
        <f t="shared" si="333"/>
        <v>0.2</v>
      </c>
      <c r="I3033" s="70">
        <f t="shared" si="334"/>
        <v>0</v>
      </c>
      <c r="J3033" s="70">
        <f t="shared" si="335"/>
        <v>0</v>
      </c>
      <c r="K3033" s="70">
        <f>IF(CurrentMtgRatesDataTable8[[#This Row],[WA CC]]&lt;&gt;0,C3032-CurrentMtgRatesDataTable8[[#This Row],[WA CC]],0)</f>
        <v>0</v>
      </c>
      <c r="L3033" s="70">
        <f>IF(CurrentMtgRatesDataTable8[[#This Row],[Servicing Spread]]&lt;=0,L3032,CurrentMtgRatesDataTable8[[#This Row],[Servicing Spread]])</f>
        <v>0.88815502678196001</v>
      </c>
      <c r="M3033" s="70">
        <f>CurrentMtgRatesDataTable8[[#This Row],[Servicing Spread Non-Zero]]-L3032</f>
        <v>0</v>
      </c>
      <c r="N3033" s="70">
        <f>IF(J3032&lt;&gt;0,CurrentMtgRatesDataTable8[[#This Row],[Rate]]-C3032,N3032)</f>
        <v>-5.0000000000000266E-2</v>
      </c>
    </row>
    <row r="3034" spans="1:14">
      <c r="A3034" s="67" t="s">
        <v>997</v>
      </c>
      <c r="B3034" s="68">
        <v>2.88545680781831</v>
      </c>
      <c r="C3034" s="69">
        <v>3.82</v>
      </c>
      <c r="D3034" s="70">
        <f t="shared" si="329"/>
        <v>2</v>
      </c>
      <c r="E3034" s="70">
        <f t="shared" si="330"/>
        <v>0.2</v>
      </c>
      <c r="F3034" s="70">
        <f t="shared" si="331"/>
        <v>2</v>
      </c>
      <c r="G3034" s="70">
        <f t="shared" si="332"/>
        <v>1.1594815015434541</v>
      </c>
      <c r="H3034" s="70">
        <f t="shared" si="333"/>
        <v>0.4</v>
      </c>
      <c r="I3034" s="70">
        <f t="shared" si="334"/>
        <v>0</v>
      </c>
      <c r="J3034" s="70">
        <f t="shared" si="335"/>
        <v>0</v>
      </c>
      <c r="K3034" s="70">
        <f>IF(CurrentMtgRatesDataTable8[[#This Row],[WA CC]]&lt;&gt;0,C3033-CurrentMtgRatesDataTable8[[#This Row],[WA CC]],0)</f>
        <v>0</v>
      </c>
      <c r="L3034" s="70">
        <f>IF(CurrentMtgRatesDataTable8[[#This Row],[Servicing Spread]]&lt;=0,L3033,CurrentMtgRatesDataTable8[[#This Row],[Servicing Spread]])</f>
        <v>0.88815502678196001</v>
      </c>
      <c r="M3034" s="70">
        <f>CurrentMtgRatesDataTable8[[#This Row],[Servicing Spread Non-Zero]]-L3033</f>
        <v>0</v>
      </c>
      <c r="N3034" s="70">
        <f>IF(J3033&lt;&gt;0,CurrentMtgRatesDataTable8[[#This Row],[Rate]]-C3033,N3033)</f>
        <v>-5.0000000000000266E-2</v>
      </c>
    </row>
    <row r="3035" spans="1:14">
      <c r="A3035" s="67" t="s">
        <v>998</v>
      </c>
      <c r="B3035" s="68">
        <v>2.8978342309890999</v>
      </c>
      <c r="C3035" s="69">
        <v>3.82</v>
      </c>
      <c r="D3035" s="70">
        <f t="shared" si="329"/>
        <v>5</v>
      </c>
      <c r="E3035" s="70">
        <f t="shared" si="330"/>
        <v>0.2</v>
      </c>
      <c r="F3035" s="70">
        <f t="shared" si="331"/>
        <v>3</v>
      </c>
      <c r="G3035" s="70">
        <f t="shared" si="332"/>
        <v>1.7390483477412739</v>
      </c>
      <c r="H3035" s="70">
        <f t="shared" si="333"/>
        <v>0.60000000000000009</v>
      </c>
      <c r="I3035" s="70">
        <f t="shared" si="334"/>
        <v>0</v>
      </c>
      <c r="J3035" s="70">
        <f t="shared" si="335"/>
        <v>0</v>
      </c>
      <c r="K3035" s="70">
        <f>IF(CurrentMtgRatesDataTable8[[#This Row],[WA CC]]&lt;&gt;0,C3034-CurrentMtgRatesDataTable8[[#This Row],[WA CC]],0)</f>
        <v>0</v>
      </c>
      <c r="L3035" s="70">
        <f>IF(CurrentMtgRatesDataTable8[[#This Row],[Servicing Spread]]&lt;=0,L3034,CurrentMtgRatesDataTable8[[#This Row],[Servicing Spread]])</f>
        <v>0.88815502678196001</v>
      </c>
      <c r="M3035" s="70">
        <f>CurrentMtgRatesDataTable8[[#This Row],[Servicing Spread Non-Zero]]-L3034</f>
        <v>0</v>
      </c>
      <c r="N3035" s="70">
        <f>IF(J3034&lt;&gt;0,CurrentMtgRatesDataTable8[[#This Row],[Rate]]-C3034,N3034)</f>
        <v>-5.0000000000000266E-2</v>
      </c>
    </row>
    <row r="3036" spans="1:14">
      <c r="A3036" s="67" t="s">
        <v>999</v>
      </c>
      <c r="B3036" s="68">
        <v>2.8424738889513801</v>
      </c>
      <c r="C3036" s="69">
        <v>3.82</v>
      </c>
      <c r="D3036" s="70">
        <f t="shared" si="329"/>
        <v>6</v>
      </c>
      <c r="E3036" s="70">
        <f t="shared" si="330"/>
        <v>0.2</v>
      </c>
      <c r="F3036" s="70">
        <f t="shared" si="331"/>
        <v>4</v>
      </c>
      <c r="G3036" s="70">
        <f t="shared" si="332"/>
        <v>2.3075431255315499</v>
      </c>
      <c r="H3036" s="70">
        <f t="shared" si="333"/>
        <v>0.8</v>
      </c>
      <c r="I3036" s="70">
        <f t="shared" si="334"/>
        <v>0</v>
      </c>
      <c r="J3036" s="70">
        <f t="shared" si="335"/>
        <v>0</v>
      </c>
      <c r="K3036" s="70">
        <f>IF(CurrentMtgRatesDataTable8[[#This Row],[WA CC]]&lt;&gt;0,C3035-CurrentMtgRatesDataTable8[[#This Row],[WA CC]],0)</f>
        <v>0</v>
      </c>
      <c r="L3036" s="70">
        <f>IF(CurrentMtgRatesDataTable8[[#This Row],[Servicing Spread]]&lt;=0,L3035,CurrentMtgRatesDataTable8[[#This Row],[Servicing Spread]])</f>
        <v>0.88815502678196001</v>
      </c>
      <c r="M3036" s="70">
        <f>CurrentMtgRatesDataTable8[[#This Row],[Servicing Spread Non-Zero]]-L3035</f>
        <v>0</v>
      </c>
      <c r="N3036" s="70">
        <f>IF(J3035&lt;&gt;0,CurrentMtgRatesDataTable8[[#This Row],[Rate]]-C3035,N3035)</f>
        <v>-5.0000000000000266E-2</v>
      </c>
    </row>
    <row r="3037" spans="1:14">
      <c r="A3037" s="67" t="s">
        <v>1000</v>
      </c>
      <c r="B3037" s="68">
        <v>2.8127941632470699</v>
      </c>
      <c r="C3037" s="69">
        <v>3.82</v>
      </c>
      <c r="D3037" s="70">
        <f t="shared" si="329"/>
        <v>7</v>
      </c>
      <c r="E3037" s="70">
        <f t="shared" si="330"/>
        <v>0.2</v>
      </c>
      <c r="F3037" s="70">
        <f t="shared" si="331"/>
        <v>5</v>
      </c>
      <c r="G3037" s="70">
        <f t="shared" si="332"/>
        <v>2.8701019581809639</v>
      </c>
      <c r="H3037" s="70">
        <f t="shared" si="333"/>
        <v>1</v>
      </c>
      <c r="I3037" s="70">
        <f t="shared" si="334"/>
        <v>1</v>
      </c>
      <c r="J3037" s="70">
        <f t="shared" si="335"/>
        <v>2.8701019581809639</v>
      </c>
      <c r="K3037" s="70">
        <f>IF(CurrentMtgRatesDataTable8[[#This Row],[WA CC]]&lt;&gt;0,C3036-CurrentMtgRatesDataTable8[[#This Row],[WA CC]],0)</f>
        <v>0.94989804181903592</v>
      </c>
      <c r="L3037" s="70">
        <f>IF(CurrentMtgRatesDataTable8[[#This Row],[Servicing Spread]]&lt;=0,L3036,CurrentMtgRatesDataTable8[[#This Row],[Servicing Spread]])</f>
        <v>0.94989804181903592</v>
      </c>
      <c r="M3037" s="70">
        <f>CurrentMtgRatesDataTable8[[#This Row],[Servicing Spread Non-Zero]]-L3036</f>
        <v>6.174301503707591E-2</v>
      </c>
      <c r="N3037" s="70">
        <f>IF(J3036&lt;&gt;0,CurrentMtgRatesDataTable8[[#This Row],[Rate]]-C3036,N3036)</f>
        <v>-5.0000000000000266E-2</v>
      </c>
    </row>
    <row r="3038" spans="1:14">
      <c r="A3038" s="67" t="s">
        <v>1001</v>
      </c>
      <c r="B3038" s="68">
        <v>2.82567876803239</v>
      </c>
      <c r="C3038" s="69">
        <v>3.71</v>
      </c>
      <c r="D3038" s="70">
        <f t="shared" si="329"/>
        <v>1</v>
      </c>
      <c r="E3038" s="70">
        <f t="shared" si="330"/>
        <v>0.2</v>
      </c>
      <c r="F3038" s="70">
        <f t="shared" si="331"/>
        <v>1</v>
      </c>
      <c r="G3038" s="70">
        <f t="shared" si="332"/>
        <v>0.56513575360647805</v>
      </c>
      <c r="H3038" s="70">
        <f t="shared" si="333"/>
        <v>0.2</v>
      </c>
      <c r="I3038" s="70">
        <f t="shared" si="334"/>
        <v>0</v>
      </c>
      <c r="J3038" s="70">
        <f t="shared" si="335"/>
        <v>0</v>
      </c>
      <c r="K3038" s="70">
        <f>IF(CurrentMtgRatesDataTable8[[#This Row],[WA CC]]&lt;&gt;0,C3037-CurrentMtgRatesDataTable8[[#This Row],[WA CC]],0)</f>
        <v>0</v>
      </c>
      <c r="L3038" s="70">
        <f>IF(CurrentMtgRatesDataTable8[[#This Row],[Servicing Spread]]&lt;=0,L3037,CurrentMtgRatesDataTable8[[#This Row],[Servicing Spread]])</f>
        <v>0.94989804181903592</v>
      </c>
      <c r="M3038" s="70">
        <f>CurrentMtgRatesDataTable8[[#This Row],[Servicing Spread Non-Zero]]-L3037</f>
        <v>0</v>
      </c>
      <c r="N3038" s="70">
        <f>IF(J3037&lt;&gt;0,CurrentMtgRatesDataTable8[[#This Row],[Rate]]-C3037,N3037)</f>
        <v>-0.10999999999999988</v>
      </c>
    </row>
    <row r="3039" spans="1:14">
      <c r="A3039" s="67" t="s">
        <v>1002</v>
      </c>
      <c r="B3039" s="68">
        <v>2.78255799649583</v>
      </c>
      <c r="C3039" s="69">
        <v>3.71</v>
      </c>
      <c r="D3039" s="70">
        <f t="shared" si="329"/>
        <v>2</v>
      </c>
      <c r="E3039" s="70">
        <f t="shared" si="330"/>
        <v>0.2</v>
      </c>
      <c r="F3039" s="70">
        <f t="shared" si="331"/>
        <v>2</v>
      </c>
      <c r="G3039" s="70">
        <f t="shared" si="332"/>
        <v>1.1216473529056441</v>
      </c>
      <c r="H3039" s="70">
        <f t="shared" si="333"/>
        <v>0.4</v>
      </c>
      <c r="I3039" s="70">
        <f t="shared" si="334"/>
        <v>0</v>
      </c>
      <c r="J3039" s="70">
        <f t="shared" si="335"/>
        <v>0</v>
      </c>
      <c r="K3039" s="70">
        <f>IF(CurrentMtgRatesDataTable8[[#This Row],[WA CC]]&lt;&gt;0,C3038-CurrentMtgRatesDataTable8[[#This Row],[WA CC]],0)</f>
        <v>0</v>
      </c>
      <c r="L3039" s="70">
        <f>IF(CurrentMtgRatesDataTable8[[#This Row],[Servicing Spread]]&lt;=0,L3038,CurrentMtgRatesDataTable8[[#This Row],[Servicing Spread]])</f>
        <v>0.94989804181903592</v>
      </c>
      <c r="M3039" s="70">
        <f>CurrentMtgRatesDataTable8[[#This Row],[Servicing Spread Non-Zero]]-L3038</f>
        <v>0</v>
      </c>
      <c r="N3039" s="70">
        <f>IF(J3038&lt;&gt;0,CurrentMtgRatesDataTable8[[#This Row],[Rate]]-C3038,N3038)</f>
        <v>-0.10999999999999988</v>
      </c>
    </row>
    <row r="3040" spans="1:14">
      <c r="A3040" s="67" t="s">
        <v>1003</v>
      </c>
      <c r="B3040" s="68">
        <v>2.78837847860318</v>
      </c>
      <c r="C3040" s="69">
        <v>3.71</v>
      </c>
      <c r="D3040" s="70">
        <f t="shared" si="329"/>
        <v>6</v>
      </c>
      <c r="E3040" s="70">
        <f t="shared" si="330"/>
        <v>0.2</v>
      </c>
      <c r="F3040" s="70">
        <f t="shared" si="331"/>
        <v>3</v>
      </c>
      <c r="G3040" s="70">
        <f t="shared" si="332"/>
        <v>1.67932304862628</v>
      </c>
      <c r="H3040" s="70">
        <f t="shared" si="333"/>
        <v>0.60000000000000009</v>
      </c>
      <c r="I3040" s="70">
        <f t="shared" si="334"/>
        <v>0</v>
      </c>
      <c r="J3040" s="70">
        <f t="shared" si="335"/>
        <v>0</v>
      </c>
      <c r="K3040" s="70">
        <f>IF(CurrentMtgRatesDataTable8[[#This Row],[WA CC]]&lt;&gt;0,C3039-CurrentMtgRatesDataTable8[[#This Row],[WA CC]],0)</f>
        <v>0</v>
      </c>
      <c r="L3040" s="70">
        <f>IF(CurrentMtgRatesDataTable8[[#This Row],[Servicing Spread]]&lt;=0,L3039,CurrentMtgRatesDataTable8[[#This Row],[Servicing Spread]])</f>
        <v>0.94989804181903592</v>
      </c>
      <c r="M3040" s="70">
        <f>CurrentMtgRatesDataTable8[[#This Row],[Servicing Spread Non-Zero]]-L3039</f>
        <v>0</v>
      </c>
      <c r="N3040" s="70">
        <f>IF(J3039&lt;&gt;0,CurrentMtgRatesDataTable8[[#This Row],[Rate]]-C3039,N3039)</f>
        <v>-0.10999999999999988</v>
      </c>
    </row>
    <row r="3041" spans="1:14">
      <c r="A3041" s="67" t="s">
        <v>1004</v>
      </c>
      <c r="B3041" s="68">
        <v>2.7399955828051801</v>
      </c>
      <c r="C3041" s="69">
        <v>3.71</v>
      </c>
      <c r="D3041" s="70">
        <f t="shared" si="329"/>
        <v>7</v>
      </c>
      <c r="E3041" s="70">
        <f t="shared" si="330"/>
        <v>0.2</v>
      </c>
      <c r="F3041" s="70">
        <f t="shared" si="331"/>
        <v>4</v>
      </c>
      <c r="G3041" s="70">
        <f t="shared" si="332"/>
        <v>2.2273221651873163</v>
      </c>
      <c r="H3041" s="70">
        <f t="shared" si="333"/>
        <v>0.8</v>
      </c>
      <c r="I3041" s="70">
        <f t="shared" si="334"/>
        <v>1</v>
      </c>
      <c r="J3041" s="70">
        <f t="shared" si="335"/>
        <v>2.7841527064841451</v>
      </c>
      <c r="K3041" s="70">
        <f>IF(CurrentMtgRatesDataTable8[[#This Row],[WA CC]]&lt;&gt;0,C3040-CurrentMtgRatesDataTable8[[#This Row],[WA CC]],0)</f>
        <v>0.92584729351585482</v>
      </c>
      <c r="L3041" s="70">
        <f>IF(CurrentMtgRatesDataTable8[[#This Row],[Servicing Spread]]&lt;=0,L3040,CurrentMtgRatesDataTable8[[#This Row],[Servicing Spread]])</f>
        <v>0.92584729351585482</v>
      </c>
      <c r="M3041" s="70">
        <f>CurrentMtgRatesDataTable8[[#This Row],[Servicing Spread Non-Zero]]-L3040</f>
        <v>-2.4050748303181102E-2</v>
      </c>
      <c r="N3041" s="70">
        <f>IF(J3040&lt;&gt;0,CurrentMtgRatesDataTable8[[#This Row],[Rate]]-C3040,N3040)</f>
        <v>-0.10999999999999988</v>
      </c>
    </row>
    <row r="3042" spans="1:14">
      <c r="A3042" s="67" t="s">
        <v>1005</v>
      </c>
      <c r="B3042" s="68">
        <v>2.7634717888750999</v>
      </c>
      <c r="C3042" s="69">
        <v>3.69</v>
      </c>
      <c r="D3042" s="70">
        <f t="shared" si="329"/>
        <v>1</v>
      </c>
      <c r="E3042" s="70">
        <f t="shared" si="330"/>
        <v>0.2</v>
      </c>
      <c r="F3042" s="70">
        <f t="shared" si="331"/>
        <v>1</v>
      </c>
      <c r="G3042" s="70">
        <f t="shared" si="332"/>
        <v>0.55269435777501996</v>
      </c>
      <c r="H3042" s="70">
        <f t="shared" si="333"/>
        <v>0.2</v>
      </c>
      <c r="I3042" s="70">
        <f t="shared" si="334"/>
        <v>0</v>
      </c>
      <c r="J3042" s="70">
        <f t="shared" si="335"/>
        <v>0</v>
      </c>
      <c r="K3042" s="70">
        <f>IF(CurrentMtgRatesDataTable8[[#This Row],[WA CC]]&lt;&gt;0,C3041-CurrentMtgRatesDataTable8[[#This Row],[WA CC]],0)</f>
        <v>0</v>
      </c>
      <c r="L3042" s="70">
        <f>IF(CurrentMtgRatesDataTable8[[#This Row],[Servicing Spread]]&lt;=0,L3041,CurrentMtgRatesDataTable8[[#This Row],[Servicing Spread]])</f>
        <v>0.92584729351585482</v>
      </c>
      <c r="M3042" s="70">
        <f>CurrentMtgRatesDataTable8[[#This Row],[Servicing Spread Non-Zero]]-L3041</f>
        <v>0</v>
      </c>
      <c r="N3042" s="70">
        <f>IF(J3041&lt;&gt;0,CurrentMtgRatesDataTable8[[#This Row],[Rate]]-C3041,N3041)</f>
        <v>-2.0000000000000018E-2</v>
      </c>
    </row>
    <row r="3043" spans="1:14">
      <c r="A3043" s="67" t="s">
        <v>1006</v>
      </c>
      <c r="B3043" s="68">
        <v>2.7884908118762199</v>
      </c>
      <c r="C3043" s="69">
        <v>3.69</v>
      </c>
      <c r="D3043" s="70">
        <f t="shared" si="329"/>
        <v>2</v>
      </c>
      <c r="E3043" s="70">
        <f t="shared" si="330"/>
        <v>0.2</v>
      </c>
      <c r="F3043" s="70">
        <f t="shared" si="331"/>
        <v>2</v>
      </c>
      <c r="G3043" s="70">
        <f t="shared" si="332"/>
        <v>1.110392520150264</v>
      </c>
      <c r="H3043" s="70">
        <f t="shared" si="333"/>
        <v>0.4</v>
      </c>
      <c r="I3043" s="70">
        <f t="shared" si="334"/>
        <v>0</v>
      </c>
      <c r="J3043" s="70">
        <f t="shared" si="335"/>
        <v>0</v>
      </c>
      <c r="K3043" s="70">
        <f>IF(CurrentMtgRatesDataTable8[[#This Row],[WA CC]]&lt;&gt;0,C3042-CurrentMtgRatesDataTable8[[#This Row],[WA CC]],0)</f>
        <v>0</v>
      </c>
      <c r="L3043" s="70">
        <f>IF(CurrentMtgRatesDataTable8[[#This Row],[Servicing Spread]]&lt;=0,L3042,CurrentMtgRatesDataTable8[[#This Row],[Servicing Spread]])</f>
        <v>0.92584729351585482</v>
      </c>
      <c r="M3043" s="70">
        <f>CurrentMtgRatesDataTable8[[#This Row],[Servicing Spread Non-Zero]]-L3042</f>
        <v>0</v>
      </c>
      <c r="N3043" s="70">
        <f>IF(J3042&lt;&gt;0,CurrentMtgRatesDataTable8[[#This Row],[Rate]]-C3042,N3042)</f>
        <v>-2.0000000000000018E-2</v>
      </c>
    </row>
    <row r="3044" spans="1:14">
      <c r="A3044" s="67" t="s">
        <v>1007</v>
      </c>
      <c r="B3044" s="68">
        <v>2.7702129413051901</v>
      </c>
      <c r="C3044" s="69">
        <v>3.69</v>
      </c>
      <c r="D3044" s="70">
        <f t="shared" si="329"/>
        <v>5</v>
      </c>
      <c r="E3044" s="70">
        <f t="shared" si="330"/>
        <v>0.2</v>
      </c>
      <c r="F3044" s="70">
        <f t="shared" si="331"/>
        <v>3</v>
      </c>
      <c r="G3044" s="70">
        <f t="shared" si="332"/>
        <v>1.664435108411302</v>
      </c>
      <c r="H3044" s="70">
        <f t="shared" si="333"/>
        <v>0.60000000000000009</v>
      </c>
      <c r="I3044" s="70">
        <f t="shared" si="334"/>
        <v>0</v>
      </c>
      <c r="J3044" s="70">
        <f t="shared" si="335"/>
        <v>0</v>
      </c>
      <c r="K3044" s="70">
        <f>IF(CurrentMtgRatesDataTable8[[#This Row],[WA CC]]&lt;&gt;0,C3043-CurrentMtgRatesDataTable8[[#This Row],[WA CC]],0)</f>
        <v>0</v>
      </c>
      <c r="L3044" s="70">
        <f>IF(CurrentMtgRatesDataTable8[[#This Row],[Servicing Spread]]&lt;=0,L3043,CurrentMtgRatesDataTable8[[#This Row],[Servicing Spread]])</f>
        <v>0.92584729351585482</v>
      </c>
      <c r="M3044" s="70">
        <f>CurrentMtgRatesDataTable8[[#This Row],[Servicing Spread Non-Zero]]-L3043</f>
        <v>0</v>
      </c>
      <c r="N3044" s="70">
        <f>IF(J3043&lt;&gt;0,CurrentMtgRatesDataTable8[[#This Row],[Rate]]-C3043,N3043)</f>
        <v>-2.0000000000000018E-2</v>
      </c>
    </row>
    <row r="3045" spans="1:14">
      <c r="A3045" s="67" t="s">
        <v>1008</v>
      </c>
      <c r="B3045" s="68">
        <v>2.7316832790579499</v>
      </c>
      <c r="C3045" s="69">
        <v>3.69</v>
      </c>
      <c r="D3045" s="70">
        <f t="shared" si="329"/>
        <v>6</v>
      </c>
      <c r="E3045" s="70">
        <f t="shared" si="330"/>
        <v>0.2</v>
      </c>
      <c r="F3045" s="70">
        <f t="shared" si="331"/>
        <v>4</v>
      </c>
      <c r="G3045" s="70">
        <f t="shared" si="332"/>
        <v>2.2107717642228919</v>
      </c>
      <c r="H3045" s="70">
        <f t="shared" si="333"/>
        <v>0.8</v>
      </c>
      <c r="I3045" s="70">
        <f t="shared" si="334"/>
        <v>0</v>
      </c>
      <c r="J3045" s="70">
        <f t="shared" si="335"/>
        <v>0</v>
      </c>
      <c r="K3045" s="70">
        <f>IF(CurrentMtgRatesDataTable8[[#This Row],[WA CC]]&lt;&gt;0,C3044-CurrentMtgRatesDataTable8[[#This Row],[WA CC]],0)</f>
        <v>0</v>
      </c>
      <c r="L3045" s="70">
        <f>IF(CurrentMtgRatesDataTable8[[#This Row],[Servicing Spread]]&lt;=0,L3044,CurrentMtgRatesDataTable8[[#This Row],[Servicing Spread]])</f>
        <v>0.92584729351585482</v>
      </c>
      <c r="M3045" s="70">
        <f>CurrentMtgRatesDataTable8[[#This Row],[Servicing Spread Non-Zero]]-L3044</f>
        <v>0</v>
      </c>
      <c r="N3045" s="70">
        <f>IF(J3044&lt;&gt;0,CurrentMtgRatesDataTable8[[#This Row],[Rate]]-C3044,N3044)</f>
        <v>-2.0000000000000018E-2</v>
      </c>
    </row>
    <row r="3046" spans="1:14">
      <c r="A3046" s="67" t="s">
        <v>1009</v>
      </c>
      <c r="B3046" s="68">
        <v>2.73574020589367</v>
      </c>
      <c r="C3046" s="69">
        <v>3.69</v>
      </c>
      <c r="D3046" s="70">
        <f t="shared" si="329"/>
        <v>7</v>
      </c>
      <c r="E3046" s="70">
        <f t="shared" si="330"/>
        <v>0.2</v>
      </c>
      <c r="F3046" s="70">
        <f t="shared" si="331"/>
        <v>5</v>
      </c>
      <c r="G3046" s="70">
        <f t="shared" si="332"/>
        <v>2.7579198054016261</v>
      </c>
      <c r="H3046" s="70">
        <f t="shared" si="333"/>
        <v>1</v>
      </c>
      <c r="I3046" s="70">
        <f t="shared" si="334"/>
        <v>1</v>
      </c>
      <c r="J3046" s="70">
        <f t="shared" si="335"/>
        <v>2.7579198054016261</v>
      </c>
      <c r="K3046" s="70">
        <f>IF(CurrentMtgRatesDataTable8[[#This Row],[WA CC]]&lt;&gt;0,C3045-CurrentMtgRatesDataTable8[[#This Row],[WA CC]],0)</f>
        <v>0.93208019459837388</v>
      </c>
      <c r="L3046" s="70">
        <f>IF(CurrentMtgRatesDataTable8[[#This Row],[Servicing Spread]]&lt;=0,L3045,CurrentMtgRatesDataTable8[[#This Row],[Servicing Spread]])</f>
        <v>0.93208019459837388</v>
      </c>
      <c r="M3046" s="70">
        <f>CurrentMtgRatesDataTable8[[#This Row],[Servicing Spread Non-Zero]]-L3045</f>
        <v>6.2329010825190601E-3</v>
      </c>
      <c r="N3046" s="70">
        <f>IF(J3045&lt;&gt;0,CurrentMtgRatesDataTable8[[#This Row],[Rate]]-C3045,N3045)</f>
        <v>-2.0000000000000018E-2</v>
      </c>
    </row>
    <row r="3047" spans="1:14">
      <c r="A3047" s="67" t="s">
        <v>1010</v>
      </c>
      <c r="B3047" s="68">
        <v>2.70685241961761</v>
      </c>
      <c r="C3047" s="69">
        <v>3.62</v>
      </c>
      <c r="D3047" s="70">
        <f t="shared" si="329"/>
        <v>1</v>
      </c>
      <c r="E3047" s="70">
        <f t="shared" si="330"/>
        <v>0.2</v>
      </c>
      <c r="F3047" s="70">
        <f t="shared" si="331"/>
        <v>1</v>
      </c>
      <c r="G3047" s="70">
        <f t="shared" si="332"/>
        <v>0.54137048392352205</v>
      </c>
      <c r="H3047" s="70">
        <f t="shared" si="333"/>
        <v>0.2</v>
      </c>
      <c r="I3047" s="70">
        <f t="shared" si="334"/>
        <v>0</v>
      </c>
      <c r="J3047" s="70">
        <f t="shared" si="335"/>
        <v>0</v>
      </c>
      <c r="K3047" s="70">
        <f>IF(CurrentMtgRatesDataTable8[[#This Row],[WA CC]]&lt;&gt;0,C3046-CurrentMtgRatesDataTable8[[#This Row],[WA CC]],0)</f>
        <v>0</v>
      </c>
      <c r="L3047" s="70">
        <f>IF(CurrentMtgRatesDataTable8[[#This Row],[Servicing Spread]]&lt;=0,L3046,CurrentMtgRatesDataTable8[[#This Row],[Servicing Spread]])</f>
        <v>0.93208019459837388</v>
      </c>
      <c r="M3047" s="70">
        <f>CurrentMtgRatesDataTable8[[#This Row],[Servicing Spread Non-Zero]]-L3046</f>
        <v>0</v>
      </c>
      <c r="N3047" s="70">
        <f>IF(J3046&lt;&gt;0,CurrentMtgRatesDataTable8[[#This Row],[Rate]]-C3046,N3046)</f>
        <v>-6.999999999999984E-2</v>
      </c>
    </row>
    <row r="3048" spans="1:14">
      <c r="A3048" s="67" t="s">
        <v>1011</v>
      </c>
      <c r="B3048" s="68">
        <v>2.6475345232254401</v>
      </c>
      <c r="C3048" s="69">
        <v>3.62</v>
      </c>
      <c r="D3048" s="70">
        <f t="shared" si="329"/>
        <v>2</v>
      </c>
      <c r="E3048" s="70">
        <f t="shared" si="330"/>
        <v>0.2</v>
      </c>
      <c r="F3048" s="70">
        <f t="shared" si="331"/>
        <v>2</v>
      </c>
      <c r="G3048" s="70">
        <f t="shared" si="332"/>
        <v>1.07087738856861</v>
      </c>
      <c r="H3048" s="70">
        <f t="shared" si="333"/>
        <v>0.4</v>
      </c>
      <c r="I3048" s="70">
        <f t="shared" si="334"/>
        <v>0</v>
      </c>
      <c r="J3048" s="70">
        <f t="shared" si="335"/>
        <v>0</v>
      </c>
      <c r="K3048" s="70">
        <f>IF(CurrentMtgRatesDataTable8[[#This Row],[WA CC]]&lt;&gt;0,C3047-CurrentMtgRatesDataTable8[[#This Row],[WA CC]],0)</f>
        <v>0</v>
      </c>
      <c r="L3048" s="70">
        <f>IF(CurrentMtgRatesDataTable8[[#This Row],[Servicing Spread]]&lt;=0,L3047,CurrentMtgRatesDataTable8[[#This Row],[Servicing Spread]])</f>
        <v>0.93208019459837388</v>
      </c>
      <c r="M3048" s="70">
        <f>CurrentMtgRatesDataTable8[[#This Row],[Servicing Spread Non-Zero]]-L3047</f>
        <v>0</v>
      </c>
      <c r="N3048" s="70">
        <f>IF(J3047&lt;&gt;0,CurrentMtgRatesDataTable8[[#This Row],[Rate]]-C3047,N3047)</f>
        <v>-6.999999999999984E-2</v>
      </c>
    </row>
    <row r="3049" spans="1:14">
      <c r="A3049" s="67" t="s">
        <v>1012</v>
      </c>
      <c r="B3049" s="68">
        <v>2.7082747576934199</v>
      </c>
      <c r="C3049" s="69">
        <v>3.62</v>
      </c>
      <c r="D3049" s="70">
        <f t="shared" si="329"/>
        <v>5</v>
      </c>
      <c r="E3049" s="70">
        <f t="shared" si="330"/>
        <v>0.2</v>
      </c>
      <c r="F3049" s="70">
        <f t="shared" si="331"/>
        <v>3</v>
      </c>
      <c r="G3049" s="70">
        <f t="shared" si="332"/>
        <v>1.6125323401072942</v>
      </c>
      <c r="H3049" s="70">
        <f t="shared" si="333"/>
        <v>0.60000000000000009</v>
      </c>
      <c r="I3049" s="70">
        <f t="shared" si="334"/>
        <v>0</v>
      </c>
      <c r="J3049" s="70">
        <f t="shared" si="335"/>
        <v>0</v>
      </c>
      <c r="K3049" s="70">
        <f>IF(CurrentMtgRatesDataTable8[[#This Row],[WA CC]]&lt;&gt;0,C3048-CurrentMtgRatesDataTable8[[#This Row],[WA CC]],0)</f>
        <v>0</v>
      </c>
      <c r="L3049" s="70">
        <f>IF(CurrentMtgRatesDataTable8[[#This Row],[Servicing Spread]]&lt;=0,L3048,CurrentMtgRatesDataTable8[[#This Row],[Servicing Spread]])</f>
        <v>0.93208019459837388</v>
      </c>
      <c r="M3049" s="70">
        <f>CurrentMtgRatesDataTable8[[#This Row],[Servicing Spread Non-Zero]]-L3048</f>
        <v>0</v>
      </c>
      <c r="N3049" s="70">
        <f>IF(J3048&lt;&gt;0,CurrentMtgRatesDataTable8[[#This Row],[Rate]]-C3048,N3048)</f>
        <v>-6.999999999999984E-2</v>
      </c>
    </row>
    <row r="3050" spans="1:14">
      <c r="A3050" s="67" t="s">
        <v>1013</v>
      </c>
      <c r="B3050" s="68">
        <v>2.6172888132357301</v>
      </c>
      <c r="C3050" s="69">
        <v>3.62</v>
      </c>
      <c r="D3050" s="70">
        <f t="shared" si="329"/>
        <v>6</v>
      </c>
      <c r="E3050" s="70">
        <f t="shared" si="330"/>
        <v>0.2</v>
      </c>
      <c r="F3050" s="70">
        <f t="shared" si="331"/>
        <v>4</v>
      </c>
      <c r="G3050" s="70">
        <f t="shared" si="332"/>
        <v>2.1359901027544401</v>
      </c>
      <c r="H3050" s="70">
        <f t="shared" si="333"/>
        <v>0.8</v>
      </c>
      <c r="I3050" s="70">
        <f t="shared" si="334"/>
        <v>0</v>
      </c>
      <c r="J3050" s="70">
        <f t="shared" si="335"/>
        <v>0</v>
      </c>
      <c r="K3050" s="70">
        <f>IF(CurrentMtgRatesDataTable8[[#This Row],[WA CC]]&lt;&gt;0,C3049-CurrentMtgRatesDataTable8[[#This Row],[WA CC]],0)</f>
        <v>0</v>
      </c>
      <c r="L3050" s="70">
        <f>IF(CurrentMtgRatesDataTable8[[#This Row],[Servicing Spread]]&lt;=0,L3049,CurrentMtgRatesDataTable8[[#This Row],[Servicing Spread]])</f>
        <v>0.93208019459837388</v>
      </c>
      <c r="M3050" s="70">
        <f>CurrentMtgRatesDataTable8[[#This Row],[Servicing Spread Non-Zero]]-L3049</f>
        <v>0</v>
      </c>
      <c r="N3050" s="70">
        <f>IF(J3049&lt;&gt;0,CurrentMtgRatesDataTable8[[#This Row],[Rate]]-C3049,N3049)</f>
        <v>-6.999999999999984E-2</v>
      </c>
    </row>
    <row r="3051" spans="1:14">
      <c r="A3051" s="67" t="s">
        <v>1014</v>
      </c>
      <c r="B3051" s="68">
        <v>2.6150928157028002</v>
      </c>
      <c r="C3051" s="69">
        <v>3.62</v>
      </c>
      <c r="D3051" s="70">
        <f t="shared" si="329"/>
        <v>7</v>
      </c>
      <c r="E3051" s="70">
        <f t="shared" si="330"/>
        <v>0.2</v>
      </c>
      <c r="F3051" s="70">
        <f t="shared" si="331"/>
        <v>5</v>
      </c>
      <c r="G3051" s="70">
        <f t="shared" si="332"/>
        <v>2.6590086658950001</v>
      </c>
      <c r="H3051" s="70">
        <f t="shared" si="333"/>
        <v>1</v>
      </c>
      <c r="I3051" s="70">
        <f t="shared" si="334"/>
        <v>1</v>
      </c>
      <c r="J3051" s="70">
        <f t="shared" si="335"/>
        <v>2.6590086658950001</v>
      </c>
      <c r="K3051" s="70">
        <f>IF(CurrentMtgRatesDataTable8[[#This Row],[WA CC]]&lt;&gt;0,C3050-CurrentMtgRatesDataTable8[[#This Row],[WA CC]],0)</f>
        <v>0.96099133410500004</v>
      </c>
      <c r="L3051" s="70">
        <f>IF(CurrentMtgRatesDataTable8[[#This Row],[Servicing Spread]]&lt;=0,L3050,CurrentMtgRatesDataTable8[[#This Row],[Servicing Spread]])</f>
        <v>0.96099133410500004</v>
      </c>
      <c r="M3051" s="70">
        <f>CurrentMtgRatesDataTable8[[#This Row],[Servicing Spread Non-Zero]]-L3050</f>
        <v>2.891113950662616E-2</v>
      </c>
      <c r="N3051" s="70">
        <f>IF(J3050&lt;&gt;0,CurrentMtgRatesDataTable8[[#This Row],[Rate]]-C3050,N3050)</f>
        <v>-6.999999999999984E-2</v>
      </c>
    </row>
    <row r="3052" spans="1:14">
      <c r="A3052" s="67" t="s">
        <v>1015</v>
      </c>
      <c r="B3052" s="68">
        <v>2.6195226711190198</v>
      </c>
      <c r="C3052" s="69">
        <v>3.5249999999999999</v>
      </c>
      <c r="D3052" s="70">
        <f t="shared" si="329"/>
        <v>1</v>
      </c>
      <c r="E3052" s="70">
        <f t="shared" si="330"/>
        <v>0.2</v>
      </c>
      <c r="F3052" s="70">
        <f t="shared" si="331"/>
        <v>1</v>
      </c>
      <c r="G3052" s="70">
        <f t="shared" si="332"/>
        <v>0.52390453422380401</v>
      </c>
      <c r="H3052" s="70">
        <f t="shared" si="333"/>
        <v>0.2</v>
      </c>
      <c r="I3052" s="70">
        <f t="shared" si="334"/>
        <v>0</v>
      </c>
      <c r="J3052" s="70">
        <f t="shared" si="335"/>
        <v>0</v>
      </c>
      <c r="K3052" s="70">
        <f>IF(CurrentMtgRatesDataTable8[[#This Row],[WA CC]]&lt;&gt;0,C3051-CurrentMtgRatesDataTable8[[#This Row],[WA CC]],0)</f>
        <v>0</v>
      </c>
      <c r="L3052" s="70">
        <f>IF(CurrentMtgRatesDataTable8[[#This Row],[Servicing Spread]]&lt;=0,L3051,CurrentMtgRatesDataTable8[[#This Row],[Servicing Spread]])</f>
        <v>0.96099133410500004</v>
      </c>
      <c r="M3052" s="70">
        <f>CurrentMtgRatesDataTable8[[#This Row],[Servicing Spread Non-Zero]]-L3051</f>
        <v>0</v>
      </c>
      <c r="N3052" s="70">
        <f>IF(J3051&lt;&gt;0,CurrentMtgRatesDataTable8[[#This Row],[Rate]]-C3051,N3051)</f>
        <v>-9.5000000000000195E-2</v>
      </c>
    </row>
    <row r="3053" spans="1:14">
      <c r="A3053" s="67" t="s">
        <v>1016</v>
      </c>
      <c r="B3053" s="68">
        <v>2.6103236546711099</v>
      </c>
      <c r="C3053" s="69">
        <v>3.5249999999999999</v>
      </c>
      <c r="D3053" s="70">
        <f t="shared" si="329"/>
        <v>2</v>
      </c>
      <c r="E3053" s="70">
        <f t="shared" si="330"/>
        <v>0.2</v>
      </c>
      <c r="F3053" s="70">
        <f t="shared" si="331"/>
        <v>2</v>
      </c>
      <c r="G3053" s="70">
        <f t="shared" si="332"/>
        <v>1.0459692651580261</v>
      </c>
      <c r="H3053" s="70">
        <f t="shared" si="333"/>
        <v>0.4</v>
      </c>
      <c r="I3053" s="70">
        <f t="shared" si="334"/>
        <v>0</v>
      </c>
      <c r="J3053" s="70">
        <f t="shared" si="335"/>
        <v>0</v>
      </c>
      <c r="K3053" s="70">
        <f>IF(CurrentMtgRatesDataTable8[[#This Row],[WA CC]]&lt;&gt;0,C3052-CurrentMtgRatesDataTable8[[#This Row],[WA CC]],0)</f>
        <v>0</v>
      </c>
      <c r="L3053" s="70">
        <f>IF(CurrentMtgRatesDataTable8[[#This Row],[Servicing Spread]]&lt;=0,L3052,CurrentMtgRatesDataTable8[[#This Row],[Servicing Spread]])</f>
        <v>0.96099133410500004</v>
      </c>
      <c r="M3053" s="70">
        <f>CurrentMtgRatesDataTable8[[#This Row],[Servicing Spread Non-Zero]]-L3052</f>
        <v>0</v>
      </c>
      <c r="N3053" s="70">
        <f>IF(J3052&lt;&gt;0,CurrentMtgRatesDataTable8[[#This Row],[Rate]]-C3052,N3052)</f>
        <v>-9.5000000000000195E-2</v>
      </c>
    </row>
    <row r="3054" spans="1:14">
      <c r="A3054" s="67" t="s">
        <v>1017</v>
      </c>
      <c r="B3054" s="68">
        <v>2.5303433230650998</v>
      </c>
      <c r="C3054" s="69">
        <v>3.5249999999999999</v>
      </c>
      <c r="D3054" s="70">
        <f t="shared" si="329"/>
        <v>5</v>
      </c>
      <c r="E3054" s="70">
        <f t="shared" si="330"/>
        <v>0.2</v>
      </c>
      <c r="F3054" s="70">
        <f t="shared" si="331"/>
        <v>3</v>
      </c>
      <c r="G3054" s="70">
        <f t="shared" si="332"/>
        <v>1.5520379297710463</v>
      </c>
      <c r="H3054" s="70">
        <f t="shared" si="333"/>
        <v>0.60000000000000009</v>
      </c>
      <c r="I3054" s="70">
        <f t="shared" si="334"/>
        <v>0</v>
      </c>
      <c r="J3054" s="70">
        <f t="shared" si="335"/>
        <v>0</v>
      </c>
      <c r="K3054" s="70">
        <f>IF(CurrentMtgRatesDataTable8[[#This Row],[WA CC]]&lt;&gt;0,C3053-CurrentMtgRatesDataTable8[[#This Row],[WA CC]],0)</f>
        <v>0</v>
      </c>
      <c r="L3054" s="70">
        <f>IF(CurrentMtgRatesDataTable8[[#This Row],[Servicing Spread]]&lt;=0,L3053,CurrentMtgRatesDataTable8[[#This Row],[Servicing Spread]])</f>
        <v>0.96099133410500004</v>
      </c>
      <c r="M3054" s="70">
        <f>CurrentMtgRatesDataTable8[[#This Row],[Servicing Spread Non-Zero]]-L3053</f>
        <v>0</v>
      </c>
      <c r="N3054" s="70">
        <f>IF(J3053&lt;&gt;0,CurrentMtgRatesDataTable8[[#This Row],[Rate]]-C3053,N3053)</f>
        <v>-9.5000000000000195E-2</v>
      </c>
    </row>
    <row r="3055" spans="1:14">
      <c r="A3055" s="67" t="s">
        <v>1018</v>
      </c>
      <c r="B3055" s="68">
        <v>2.5047286028973201</v>
      </c>
      <c r="C3055" s="69">
        <v>3.5249999999999999</v>
      </c>
      <c r="D3055" s="70">
        <f t="shared" si="329"/>
        <v>6</v>
      </c>
      <c r="E3055" s="70">
        <f t="shared" si="330"/>
        <v>0.2</v>
      </c>
      <c r="F3055" s="70">
        <f t="shared" si="331"/>
        <v>4</v>
      </c>
      <c r="G3055" s="70">
        <f t="shared" si="332"/>
        <v>2.0529836503505106</v>
      </c>
      <c r="H3055" s="70">
        <f t="shared" si="333"/>
        <v>0.8</v>
      </c>
      <c r="I3055" s="70">
        <f t="shared" si="334"/>
        <v>0</v>
      </c>
      <c r="J3055" s="70">
        <f t="shared" si="335"/>
        <v>0</v>
      </c>
      <c r="K3055" s="70">
        <f>IF(CurrentMtgRatesDataTable8[[#This Row],[WA CC]]&lt;&gt;0,C3054-CurrentMtgRatesDataTable8[[#This Row],[WA CC]],0)</f>
        <v>0</v>
      </c>
      <c r="L3055" s="70">
        <f>IF(CurrentMtgRatesDataTable8[[#This Row],[Servicing Spread]]&lt;=0,L3054,CurrentMtgRatesDataTable8[[#This Row],[Servicing Spread]])</f>
        <v>0.96099133410500004</v>
      </c>
      <c r="M3055" s="70">
        <f>CurrentMtgRatesDataTable8[[#This Row],[Servicing Spread Non-Zero]]-L3054</f>
        <v>0</v>
      </c>
      <c r="N3055" s="70">
        <f>IF(J3054&lt;&gt;0,CurrentMtgRatesDataTable8[[#This Row],[Rate]]-C3054,N3054)</f>
        <v>-9.5000000000000195E-2</v>
      </c>
    </row>
    <row r="3056" spans="1:14">
      <c r="A3056" s="67" t="s">
        <v>1019</v>
      </c>
      <c r="B3056" s="68">
        <v>2.4821302759437298</v>
      </c>
      <c r="C3056" s="69">
        <v>3.5249999999999999</v>
      </c>
      <c r="D3056" s="70">
        <f t="shared" si="329"/>
        <v>7</v>
      </c>
      <c r="E3056" s="70">
        <f t="shared" si="330"/>
        <v>0.2</v>
      </c>
      <c r="F3056" s="70">
        <f t="shared" si="331"/>
        <v>5</v>
      </c>
      <c r="G3056" s="70">
        <f t="shared" si="332"/>
        <v>2.5494097055392566</v>
      </c>
      <c r="H3056" s="70">
        <f t="shared" si="333"/>
        <v>1</v>
      </c>
      <c r="I3056" s="70">
        <f t="shared" si="334"/>
        <v>1</v>
      </c>
      <c r="J3056" s="70">
        <f t="shared" si="335"/>
        <v>2.5494097055392566</v>
      </c>
      <c r="K3056" s="70">
        <f>IF(CurrentMtgRatesDataTable8[[#This Row],[WA CC]]&lt;&gt;0,C3055-CurrentMtgRatesDataTable8[[#This Row],[WA CC]],0)</f>
        <v>0.9755902944607433</v>
      </c>
      <c r="L3056" s="70">
        <f>IF(CurrentMtgRatesDataTable8[[#This Row],[Servicing Spread]]&lt;=0,L3055,CurrentMtgRatesDataTable8[[#This Row],[Servicing Spread]])</f>
        <v>0.9755902944607433</v>
      </c>
      <c r="M3056" s="70">
        <f>CurrentMtgRatesDataTable8[[#This Row],[Servicing Spread Non-Zero]]-L3055</f>
        <v>1.4598960355743262E-2</v>
      </c>
      <c r="N3056" s="70">
        <f>IF(J3055&lt;&gt;0,CurrentMtgRatesDataTable8[[#This Row],[Rate]]-C3055,N3055)</f>
        <v>-9.5000000000000195E-2</v>
      </c>
    </row>
    <row r="3057" spans="1:14">
      <c r="A3057" s="67" t="s">
        <v>1020</v>
      </c>
      <c r="B3057" s="68">
        <v>2.42881647726065</v>
      </c>
      <c r="C3057" s="69">
        <v>3.5249999999999999</v>
      </c>
      <c r="D3057" s="70">
        <f t="shared" si="329"/>
        <v>1</v>
      </c>
      <c r="E3057" s="70">
        <f t="shared" si="330"/>
        <v>0.2</v>
      </c>
      <c r="F3057" s="70">
        <f t="shared" si="331"/>
        <v>1</v>
      </c>
      <c r="G3057" s="70">
        <f t="shared" si="332"/>
        <v>0.48576329545213004</v>
      </c>
      <c r="H3057" s="70">
        <f t="shared" si="333"/>
        <v>0.2</v>
      </c>
      <c r="I3057" s="70">
        <f t="shared" si="334"/>
        <v>0</v>
      </c>
      <c r="J3057" s="70">
        <f t="shared" si="335"/>
        <v>0</v>
      </c>
      <c r="K3057" s="70">
        <f>IF(CurrentMtgRatesDataTable8[[#This Row],[WA CC]]&lt;&gt;0,C3056-CurrentMtgRatesDataTable8[[#This Row],[WA CC]],0)</f>
        <v>0</v>
      </c>
      <c r="L3057" s="70">
        <f>IF(CurrentMtgRatesDataTable8[[#This Row],[Servicing Spread]]&lt;=0,L3056,CurrentMtgRatesDataTable8[[#This Row],[Servicing Spread]])</f>
        <v>0.9755902944607433</v>
      </c>
      <c r="M3057" s="70">
        <f>CurrentMtgRatesDataTable8[[#This Row],[Servicing Spread Non-Zero]]-L3056</f>
        <v>0</v>
      </c>
      <c r="N3057" s="70">
        <f>IF(J3056&lt;&gt;0,CurrentMtgRatesDataTable8[[#This Row],[Rate]]-C3056,N3056)</f>
        <v>0</v>
      </c>
    </row>
    <row r="3058" spans="1:14">
      <c r="A3058" s="67" t="s">
        <v>1021</v>
      </c>
      <c r="B3058" s="68">
        <v>2.5557387123841</v>
      </c>
      <c r="C3058" s="69">
        <v>3.5249999999999999</v>
      </c>
      <c r="D3058" s="70">
        <f t="shared" si="329"/>
        <v>2</v>
      </c>
      <c r="E3058" s="70">
        <f t="shared" si="330"/>
        <v>0.2</v>
      </c>
      <c r="F3058" s="70">
        <f t="shared" si="331"/>
        <v>2</v>
      </c>
      <c r="G3058" s="70">
        <f t="shared" si="332"/>
        <v>0.99691103792895008</v>
      </c>
      <c r="H3058" s="70">
        <f t="shared" si="333"/>
        <v>0.4</v>
      </c>
      <c r="I3058" s="70">
        <f t="shared" si="334"/>
        <v>0</v>
      </c>
      <c r="J3058" s="70">
        <f t="shared" si="335"/>
        <v>0</v>
      </c>
      <c r="K3058" s="70">
        <f>IF(CurrentMtgRatesDataTable8[[#This Row],[WA CC]]&lt;&gt;0,C3057-CurrentMtgRatesDataTable8[[#This Row],[WA CC]],0)</f>
        <v>0</v>
      </c>
      <c r="L3058" s="70">
        <f>IF(CurrentMtgRatesDataTable8[[#This Row],[Servicing Spread]]&lt;=0,L3057,CurrentMtgRatesDataTable8[[#This Row],[Servicing Spread]])</f>
        <v>0.9755902944607433</v>
      </c>
      <c r="M3058" s="70">
        <f>CurrentMtgRatesDataTable8[[#This Row],[Servicing Spread Non-Zero]]-L3057</f>
        <v>0</v>
      </c>
      <c r="N3058" s="70">
        <f>IF(J3057&lt;&gt;0,CurrentMtgRatesDataTable8[[#This Row],[Rate]]-C3057,N3057)</f>
        <v>0</v>
      </c>
    </row>
    <row r="3059" spans="1:14">
      <c r="A3059" s="67" t="s">
        <v>1022</v>
      </c>
      <c r="B3059" s="68">
        <v>2.5621450125099101</v>
      </c>
      <c r="C3059" s="69">
        <v>3.5249999999999999</v>
      </c>
      <c r="D3059" s="70">
        <f t="shared" si="329"/>
        <v>6</v>
      </c>
      <c r="E3059" s="70">
        <f t="shared" si="330"/>
        <v>0.2</v>
      </c>
      <c r="F3059" s="70">
        <f t="shared" si="331"/>
        <v>3</v>
      </c>
      <c r="G3059" s="70">
        <f t="shared" si="332"/>
        <v>1.5093400404309323</v>
      </c>
      <c r="H3059" s="70">
        <f t="shared" si="333"/>
        <v>0.60000000000000009</v>
      </c>
      <c r="I3059" s="70">
        <f t="shared" si="334"/>
        <v>0</v>
      </c>
      <c r="J3059" s="70">
        <f t="shared" si="335"/>
        <v>0</v>
      </c>
      <c r="K3059" s="70">
        <f>IF(CurrentMtgRatesDataTable8[[#This Row],[WA CC]]&lt;&gt;0,C3058-CurrentMtgRatesDataTable8[[#This Row],[WA CC]],0)</f>
        <v>0</v>
      </c>
      <c r="L3059" s="70">
        <f>IF(CurrentMtgRatesDataTable8[[#This Row],[Servicing Spread]]&lt;=0,L3058,CurrentMtgRatesDataTable8[[#This Row],[Servicing Spread]])</f>
        <v>0.9755902944607433</v>
      </c>
      <c r="M3059" s="70">
        <f>CurrentMtgRatesDataTable8[[#This Row],[Servicing Spread Non-Zero]]-L3058</f>
        <v>0</v>
      </c>
      <c r="N3059" s="70">
        <f>IF(J3058&lt;&gt;0,CurrentMtgRatesDataTable8[[#This Row],[Rate]]-C3058,N3058)</f>
        <v>0</v>
      </c>
    </row>
    <row r="3060" spans="1:14">
      <c r="A3060" s="67" t="s">
        <v>1023</v>
      </c>
      <c r="B3060" s="68">
        <v>2.60333938625172</v>
      </c>
      <c r="C3060" s="69">
        <v>3.5249999999999999</v>
      </c>
      <c r="D3060" s="70">
        <f t="shared" si="329"/>
        <v>7</v>
      </c>
      <c r="E3060" s="70">
        <f t="shared" si="330"/>
        <v>0.2</v>
      </c>
      <c r="F3060" s="70">
        <f t="shared" si="331"/>
        <v>4</v>
      </c>
      <c r="G3060" s="70">
        <f t="shared" si="332"/>
        <v>2.0300079176812762</v>
      </c>
      <c r="H3060" s="70">
        <f t="shared" si="333"/>
        <v>0.8</v>
      </c>
      <c r="I3060" s="70">
        <f t="shared" si="334"/>
        <v>1</v>
      </c>
      <c r="J3060" s="70">
        <f t="shared" si="335"/>
        <v>2.5375098971015952</v>
      </c>
      <c r="K3060" s="70">
        <f>IF(CurrentMtgRatesDataTable8[[#This Row],[WA CC]]&lt;&gt;0,C3059-CurrentMtgRatesDataTable8[[#This Row],[WA CC]],0)</f>
        <v>0.98749010289840466</v>
      </c>
      <c r="L3060" s="70">
        <f>IF(CurrentMtgRatesDataTable8[[#This Row],[Servicing Spread]]&lt;=0,L3059,CurrentMtgRatesDataTable8[[#This Row],[Servicing Spread]])</f>
        <v>0.98749010289840466</v>
      </c>
      <c r="M3060" s="70">
        <f>CurrentMtgRatesDataTable8[[#This Row],[Servicing Spread Non-Zero]]-L3059</f>
        <v>1.1899808437661363E-2</v>
      </c>
      <c r="N3060" s="70">
        <f>IF(J3059&lt;&gt;0,CurrentMtgRatesDataTable8[[#This Row],[Rate]]-C3059,N3059)</f>
        <v>0</v>
      </c>
    </row>
    <row r="3061" spans="1:14">
      <c r="A3061" s="67" t="s">
        <v>1024</v>
      </c>
      <c r="B3061" s="68">
        <v>2.5443053522825401</v>
      </c>
      <c r="C3061" s="69">
        <v>3.52</v>
      </c>
      <c r="D3061" s="70">
        <f t="shared" si="329"/>
        <v>1</v>
      </c>
      <c r="E3061" s="70">
        <f t="shared" si="330"/>
        <v>0.2</v>
      </c>
      <c r="F3061" s="70">
        <f t="shared" si="331"/>
        <v>1</v>
      </c>
      <c r="G3061" s="70">
        <f t="shared" si="332"/>
        <v>0.50886107045650808</v>
      </c>
      <c r="H3061" s="70">
        <f t="shared" si="333"/>
        <v>0.2</v>
      </c>
      <c r="I3061" s="70">
        <f t="shared" si="334"/>
        <v>0</v>
      </c>
      <c r="J3061" s="70">
        <f t="shared" si="335"/>
        <v>0</v>
      </c>
      <c r="K3061" s="70">
        <f>IF(CurrentMtgRatesDataTable8[[#This Row],[WA CC]]&lt;&gt;0,C3060-CurrentMtgRatesDataTable8[[#This Row],[WA CC]],0)</f>
        <v>0</v>
      </c>
      <c r="L3061" s="70">
        <f>IF(CurrentMtgRatesDataTable8[[#This Row],[Servicing Spread]]&lt;=0,L3060,CurrentMtgRatesDataTable8[[#This Row],[Servicing Spread]])</f>
        <v>0.98749010289840466</v>
      </c>
      <c r="M3061" s="70">
        <f>CurrentMtgRatesDataTable8[[#This Row],[Servicing Spread Non-Zero]]-L3060</f>
        <v>0</v>
      </c>
      <c r="N3061" s="70">
        <f>IF(J3060&lt;&gt;0,CurrentMtgRatesDataTable8[[#This Row],[Rate]]-C3060,N3060)</f>
        <v>-4.9999999999998934E-3</v>
      </c>
    </row>
    <row r="3062" spans="1:14">
      <c r="A3062" s="67" t="s">
        <v>1025</v>
      </c>
      <c r="B3062" s="68">
        <v>2.5449659922268899</v>
      </c>
      <c r="C3062" s="69">
        <v>3.52</v>
      </c>
      <c r="D3062" s="70">
        <f t="shared" si="329"/>
        <v>2</v>
      </c>
      <c r="E3062" s="70">
        <f t="shared" si="330"/>
        <v>0.2</v>
      </c>
      <c r="F3062" s="70">
        <f t="shared" si="331"/>
        <v>2</v>
      </c>
      <c r="G3062" s="70">
        <f t="shared" si="332"/>
        <v>1.0178542689018861</v>
      </c>
      <c r="H3062" s="70">
        <f t="shared" si="333"/>
        <v>0.4</v>
      </c>
      <c r="I3062" s="70">
        <f t="shared" si="334"/>
        <v>0</v>
      </c>
      <c r="J3062" s="70">
        <f t="shared" si="335"/>
        <v>0</v>
      </c>
      <c r="K3062" s="70">
        <f>IF(CurrentMtgRatesDataTable8[[#This Row],[WA CC]]&lt;&gt;0,C3061-CurrentMtgRatesDataTable8[[#This Row],[WA CC]],0)</f>
        <v>0</v>
      </c>
      <c r="L3062" s="70">
        <f>IF(CurrentMtgRatesDataTable8[[#This Row],[Servicing Spread]]&lt;=0,L3061,CurrentMtgRatesDataTable8[[#This Row],[Servicing Spread]])</f>
        <v>0.98749010289840466</v>
      </c>
      <c r="M3062" s="70">
        <f>CurrentMtgRatesDataTable8[[#This Row],[Servicing Spread Non-Zero]]-L3061</f>
        <v>0</v>
      </c>
      <c r="N3062" s="70">
        <f>IF(J3061&lt;&gt;0,CurrentMtgRatesDataTable8[[#This Row],[Rate]]-C3061,N3061)</f>
        <v>-4.9999999999998934E-3</v>
      </c>
    </row>
    <row r="3063" spans="1:14">
      <c r="A3063" s="67" t="s">
        <v>1026</v>
      </c>
      <c r="B3063" s="68">
        <v>2.5540295471269099</v>
      </c>
      <c r="C3063" s="69">
        <v>3.52</v>
      </c>
      <c r="D3063" s="70">
        <f t="shared" si="329"/>
        <v>5</v>
      </c>
      <c r="E3063" s="70">
        <f t="shared" si="330"/>
        <v>0.2</v>
      </c>
      <c r="F3063" s="70">
        <f t="shared" si="331"/>
        <v>3</v>
      </c>
      <c r="G3063" s="70">
        <f t="shared" si="332"/>
        <v>1.528660178327268</v>
      </c>
      <c r="H3063" s="70">
        <f t="shared" si="333"/>
        <v>0.60000000000000009</v>
      </c>
      <c r="I3063" s="70">
        <f t="shared" si="334"/>
        <v>0</v>
      </c>
      <c r="J3063" s="70">
        <f t="shared" si="335"/>
        <v>0</v>
      </c>
      <c r="K3063" s="70">
        <f>IF(CurrentMtgRatesDataTable8[[#This Row],[WA CC]]&lt;&gt;0,C3062-CurrentMtgRatesDataTable8[[#This Row],[WA CC]],0)</f>
        <v>0</v>
      </c>
      <c r="L3063" s="70">
        <f>IF(CurrentMtgRatesDataTable8[[#This Row],[Servicing Spread]]&lt;=0,L3062,CurrentMtgRatesDataTable8[[#This Row],[Servicing Spread]])</f>
        <v>0.98749010289840466</v>
      </c>
      <c r="M3063" s="70">
        <f>CurrentMtgRatesDataTable8[[#This Row],[Servicing Spread Non-Zero]]-L3062</f>
        <v>0</v>
      </c>
      <c r="N3063" s="70">
        <f>IF(J3062&lt;&gt;0,CurrentMtgRatesDataTable8[[#This Row],[Rate]]-C3062,N3062)</f>
        <v>-4.9999999999998934E-3</v>
      </c>
    </row>
    <row r="3064" spans="1:14">
      <c r="A3064" s="67" t="s">
        <v>1027</v>
      </c>
      <c r="B3064" s="68">
        <v>2.5356667445590699</v>
      </c>
      <c r="C3064" s="69">
        <v>3.52</v>
      </c>
      <c r="D3064" s="70">
        <f t="shared" si="329"/>
        <v>6</v>
      </c>
      <c r="E3064" s="70">
        <f t="shared" si="330"/>
        <v>0.2</v>
      </c>
      <c r="F3064" s="70">
        <f t="shared" si="331"/>
        <v>4</v>
      </c>
      <c r="G3064" s="70">
        <f t="shared" si="332"/>
        <v>2.0357935272390821</v>
      </c>
      <c r="H3064" s="70">
        <f t="shared" si="333"/>
        <v>0.8</v>
      </c>
      <c r="I3064" s="70">
        <f t="shared" si="334"/>
        <v>0</v>
      </c>
      <c r="J3064" s="70">
        <f t="shared" si="335"/>
        <v>0</v>
      </c>
      <c r="K3064" s="70">
        <f>IF(CurrentMtgRatesDataTable8[[#This Row],[WA CC]]&lt;&gt;0,C3063-CurrentMtgRatesDataTable8[[#This Row],[WA CC]],0)</f>
        <v>0</v>
      </c>
      <c r="L3064" s="70">
        <f>IF(CurrentMtgRatesDataTable8[[#This Row],[Servicing Spread]]&lt;=0,L3063,CurrentMtgRatesDataTable8[[#This Row],[Servicing Spread]])</f>
        <v>0.98749010289840466</v>
      </c>
      <c r="M3064" s="70">
        <f>CurrentMtgRatesDataTable8[[#This Row],[Servicing Spread Non-Zero]]-L3063</f>
        <v>0</v>
      </c>
      <c r="N3064" s="70">
        <f>IF(J3063&lt;&gt;0,CurrentMtgRatesDataTable8[[#This Row],[Rate]]-C3063,N3063)</f>
        <v>-4.9999999999998934E-3</v>
      </c>
    </row>
    <row r="3065" spans="1:14">
      <c r="A3065" s="67" t="s">
        <v>1028</v>
      </c>
      <c r="B3065" s="68">
        <v>2.5165312715175401</v>
      </c>
      <c r="C3065" s="69">
        <v>3.52</v>
      </c>
      <c r="D3065" s="70">
        <f t="shared" si="329"/>
        <v>7</v>
      </c>
      <c r="E3065" s="70">
        <f t="shared" si="330"/>
        <v>0.2</v>
      </c>
      <c r="F3065" s="70">
        <f t="shared" si="331"/>
        <v>5</v>
      </c>
      <c r="G3065" s="70">
        <f t="shared" si="332"/>
        <v>2.53909978154259</v>
      </c>
      <c r="H3065" s="70">
        <f t="shared" si="333"/>
        <v>1</v>
      </c>
      <c r="I3065" s="70">
        <f t="shared" si="334"/>
        <v>1</v>
      </c>
      <c r="J3065" s="70">
        <f t="shared" si="335"/>
        <v>2.53909978154259</v>
      </c>
      <c r="K3065" s="70">
        <f>IF(CurrentMtgRatesDataTable8[[#This Row],[WA CC]]&lt;&gt;0,C3064-CurrentMtgRatesDataTable8[[#This Row],[WA CC]],0)</f>
        <v>0.98090021845741004</v>
      </c>
      <c r="L3065" s="70">
        <f>IF(CurrentMtgRatesDataTable8[[#This Row],[Servicing Spread]]&lt;=0,L3064,CurrentMtgRatesDataTable8[[#This Row],[Servicing Spread]])</f>
        <v>0.98090021845741004</v>
      </c>
      <c r="M3065" s="70">
        <f>CurrentMtgRatesDataTable8[[#This Row],[Servicing Spread Non-Zero]]-L3064</f>
        <v>-6.58988444099462E-3</v>
      </c>
      <c r="N3065" s="70">
        <f>IF(J3064&lt;&gt;0,CurrentMtgRatesDataTable8[[#This Row],[Rate]]-C3064,N3064)</f>
        <v>-4.9999999999998934E-3</v>
      </c>
    </row>
    <row r="3066" spans="1:14">
      <c r="A3066" s="67" t="s">
        <v>1029</v>
      </c>
      <c r="B3066" s="68">
        <v>2.4936082120119001</v>
      </c>
      <c r="C3066" s="69">
        <v>3.5150000000000001</v>
      </c>
      <c r="D3066" s="70">
        <f t="shared" si="329"/>
        <v>1</v>
      </c>
      <c r="E3066" s="70">
        <f t="shared" si="330"/>
        <v>0.2</v>
      </c>
      <c r="F3066" s="70">
        <f t="shared" si="331"/>
        <v>1</v>
      </c>
      <c r="G3066" s="70">
        <f t="shared" si="332"/>
        <v>0.49872164240238004</v>
      </c>
      <c r="H3066" s="70">
        <f t="shared" si="333"/>
        <v>0.2</v>
      </c>
      <c r="I3066" s="70">
        <f t="shared" si="334"/>
        <v>0</v>
      </c>
      <c r="J3066" s="70">
        <f t="shared" si="335"/>
        <v>0</v>
      </c>
      <c r="K3066" s="70">
        <f>IF(CurrentMtgRatesDataTable8[[#This Row],[WA CC]]&lt;&gt;0,C3065-CurrentMtgRatesDataTable8[[#This Row],[WA CC]],0)</f>
        <v>0</v>
      </c>
      <c r="L3066" s="70">
        <f>IF(CurrentMtgRatesDataTable8[[#This Row],[Servicing Spread]]&lt;=0,L3065,CurrentMtgRatesDataTable8[[#This Row],[Servicing Spread]])</f>
        <v>0.98090021845741004</v>
      </c>
      <c r="M3066" s="70">
        <f>CurrentMtgRatesDataTable8[[#This Row],[Servicing Spread Non-Zero]]-L3065</f>
        <v>0</v>
      </c>
      <c r="N3066" s="70">
        <f>IF(J3065&lt;&gt;0,CurrentMtgRatesDataTable8[[#This Row],[Rate]]-C3065,N3065)</f>
        <v>-4.9999999999998934E-3</v>
      </c>
    </row>
    <row r="3067" spans="1:14">
      <c r="A3067" s="67" t="s">
        <v>1030</v>
      </c>
      <c r="B3067" s="68">
        <v>2.5559111404476602</v>
      </c>
      <c r="C3067" s="69">
        <v>3.5150000000000001</v>
      </c>
      <c r="D3067" s="70">
        <f t="shared" si="329"/>
        <v>2</v>
      </c>
      <c r="E3067" s="70">
        <f t="shared" si="330"/>
        <v>0.2</v>
      </c>
      <c r="F3067" s="70">
        <f t="shared" si="331"/>
        <v>2</v>
      </c>
      <c r="G3067" s="70">
        <f t="shared" si="332"/>
        <v>1.0099038704919121</v>
      </c>
      <c r="H3067" s="70">
        <f t="shared" si="333"/>
        <v>0.4</v>
      </c>
      <c r="I3067" s="70">
        <f t="shared" si="334"/>
        <v>0</v>
      </c>
      <c r="J3067" s="70">
        <f t="shared" si="335"/>
        <v>0</v>
      </c>
      <c r="K3067" s="70">
        <f>IF(CurrentMtgRatesDataTable8[[#This Row],[WA CC]]&lt;&gt;0,C3066-CurrentMtgRatesDataTable8[[#This Row],[WA CC]],0)</f>
        <v>0</v>
      </c>
      <c r="L3067" s="70">
        <f>IF(CurrentMtgRatesDataTable8[[#This Row],[Servicing Spread]]&lt;=0,L3066,CurrentMtgRatesDataTable8[[#This Row],[Servicing Spread]])</f>
        <v>0.98090021845741004</v>
      </c>
      <c r="M3067" s="70">
        <f>CurrentMtgRatesDataTable8[[#This Row],[Servicing Spread Non-Zero]]-L3066</f>
        <v>0</v>
      </c>
      <c r="N3067" s="70">
        <f>IF(J3066&lt;&gt;0,CurrentMtgRatesDataTable8[[#This Row],[Rate]]-C3066,N3066)</f>
        <v>-4.9999999999998934E-3</v>
      </c>
    </row>
    <row r="3068" spans="1:14">
      <c r="A3068" s="67" t="s">
        <v>1031</v>
      </c>
      <c r="B3068" s="68">
        <v>2.52735457322752</v>
      </c>
      <c r="C3068" s="69">
        <v>3.5150000000000001</v>
      </c>
      <c r="D3068" s="70">
        <f t="shared" si="329"/>
        <v>5</v>
      </c>
      <c r="E3068" s="70">
        <f t="shared" si="330"/>
        <v>0.2</v>
      </c>
      <c r="F3068" s="70">
        <f t="shared" si="331"/>
        <v>3</v>
      </c>
      <c r="G3068" s="70">
        <f t="shared" si="332"/>
        <v>1.515374785137416</v>
      </c>
      <c r="H3068" s="70">
        <f t="shared" si="333"/>
        <v>0.60000000000000009</v>
      </c>
      <c r="I3068" s="70">
        <f t="shared" si="334"/>
        <v>0</v>
      </c>
      <c r="J3068" s="70">
        <f t="shared" si="335"/>
        <v>0</v>
      </c>
      <c r="K3068" s="70">
        <f>IF(CurrentMtgRatesDataTable8[[#This Row],[WA CC]]&lt;&gt;0,C3067-CurrentMtgRatesDataTable8[[#This Row],[WA CC]],0)</f>
        <v>0</v>
      </c>
      <c r="L3068" s="70">
        <f>IF(CurrentMtgRatesDataTable8[[#This Row],[Servicing Spread]]&lt;=0,L3067,CurrentMtgRatesDataTable8[[#This Row],[Servicing Spread]])</f>
        <v>0.98090021845741004</v>
      </c>
      <c r="M3068" s="70">
        <f>CurrentMtgRatesDataTable8[[#This Row],[Servicing Spread Non-Zero]]-L3067</f>
        <v>0</v>
      </c>
      <c r="N3068" s="70">
        <f>IF(J3067&lt;&gt;0,CurrentMtgRatesDataTable8[[#This Row],[Rate]]-C3067,N3067)</f>
        <v>-4.9999999999998934E-3</v>
      </c>
    </row>
    <row r="3069" spans="1:14">
      <c r="A3069" s="67" t="s">
        <v>1032</v>
      </c>
      <c r="B3069" s="68">
        <v>2.6160113869012802</v>
      </c>
      <c r="C3069" s="69">
        <v>3.5150000000000001</v>
      </c>
      <c r="D3069" s="70">
        <f t="shared" si="329"/>
        <v>6</v>
      </c>
      <c r="E3069" s="70">
        <f t="shared" si="330"/>
        <v>0.2</v>
      </c>
      <c r="F3069" s="70">
        <f t="shared" si="331"/>
        <v>4</v>
      </c>
      <c r="G3069" s="70">
        <f t="shared" si="332"/>
        <v>2.038577062517672</v>
      </c>
      <c r="H3069" s="70">
        <f t="shared" si="333"/>
        <v>0.8</v>
      </c>
      <c r="I3069" s="70">
        <f t="shared" si="334"/>
        <v>0</v>
      </c>
      <c r="J3069" s="70">
        <f t="shared" si="335"/>
        <v>0</v>
      </c>
      <c r="K3069" s="70">
        <f>IF(CurrentMtgRatesDataTable8[[#This Row],[WA CC]]&lt;&gt;0,C3068-CurrentMtgRatesDataTable8[[#This Row],[WA CC]],0)</f>
        <v>0</v>
      </c>
      <c r="L3069" s="70">
        <f>IF(CurrentMtgRatesDataTable8[[#This Row],[Servicing Spread]]&lt;=0,L3068,CurrentMtgRatesDataTable8[[#This Row],[Servicing Spread]])</f>
        <v>0.98090021845741004</v>
      </c>
      <c r="M3069" s="70">
        <f>CurrentMtgRatesDataTable8[[#This Row],[Servicing Spread Non-Zero]]-L3068</f>
        <v>0</v>
      </c>
      <c r="N3069" s="70">
        <f>IF(J3068&lt;&gt;0,CurrentMtgRatesDataTable8[[#This Row],[Rate]]-C3068,N3068)</f>
        <v>-4.9999999999998934E-3</v>
      </c>
    </row>
    <row r="3070" spans="1:14">
      <c r="A3070" s="67" t="s">
        <v>1033</v>
      </c>
      <c r="B3070" s="68">
        <v>2.6371866759210301</v>
      </c>
      <c r="C3070" s="69">
        <v>3.5150000000000001</v>
      </c>
      <c r="D3070" s="70">
        <f t="shared" si="329"/>
        <v>7</v>
      </c>
      <c r="E3070" s="70">
        <f t="shared" si="330"/>
        <v>0.2</v>
      </c>
      <c r="F3070" s="70">
        <f t="shared" si="331"/>
        <v>5</v>
      </c>
      <c r="G3070" s="70">
        <f t="shared" si="332"/>
        <v>2.5660143977018781</v>
      </c>
      <c r="H3070" s="70">
        <f t="shared" si="333"/>
        <v>1</v>
      </c>
      <c r="I3070" s="70">
        <f t="shared" si="334"/>
        <v>1</v>
      </c>
      <c r="J3070" s="70">
        <f t="shared" si="335"/>
        <v>2.5660143977018781</v>
      </c>
      <c r="K3070" s="70">
        <f>IF(CurrentMtgRatesDataTable8[[#This Row],[WA CC]]&lt;&gt;0,C3069-CurrentMtgRatesDataTable8[[#This Row],[WA CC]],0)</f>
        <v>0.94898560229812201</v>
      </c>
      <c r="L3070" s="70">
        <f>IF(CurrentMtgRatesDataTable8[[#This Row],[Servicing Spread]]&lt;=0,L3069,CurrentMtgRatesDataTable8[[#This Row],[Servicing Spread]])</f>
        <v>0.94898560229812201</v>
      </c>
      <c r="M3070" s="70">
        <f>CurrentMtgRatesDataTable8[[#This Row],[Servicing Spread Non-Zero]]-L3069</f>
        <v>-3.1914616159288034E-2</v>
      </c>
      <c r="N3070" s="70">
        <f>IF(J3069&lt;&gt;0,CurrentMtgRatesDataTable8[[#This Row],[Rate]]-C3069,N3069)</f>
        <v>-4.9999999999998934E-3</v>
      </c>
    </row>
    <row r="3071" spans="1:14">
      <c r="A3071" s="67" t="s">
        <v>1034</v>
      </c>
      <c r="B3071" s="68">
        <v>2.6040316185117298</v>
      </c>
      <c r="C3071" s="69">
        <v>3.5550000000000002</v>
      </c>
      <c r="D3071" s="70">
        <f t="shared" si="329"/>
        <v>1</v>
      </c>
      <c r="E3071" s="70">
        <f t="shared" si="330"/>
        <v>0.2</v>
      </c>
      <c r="F3071" s="70">
        <f t="shared" si="331"/>
        <v>1</v>
      </c>
      <c r="G3071" s="70">
        <f t="shared" si="332"/>
        <v>0.52080632370234603</v>
      </c>
      <c r="H3071" s="70">
        <f t="shared" si="333"/>
        <v>0.2</v>
      </c>
      <c r="I3071" s="70">
        <f t="shared" si="334"/>
        <v>0</v>
      </c>
      <c r="J3071" s="70">
        <f t="shared" si="335"/>
        <v>0</v>
      </c>
      <c r="K3071" s="70">
        <f>IF(CurrentMtgRatesDataTable8[[#This Row],[WA CC]]&lt;&gt;0,C3070-CurrentMtgRatesDataTable8[[#This Row],[WA CC]],0)</f>
        <v>0</v>
      </c>
      <c r="L3071" s="70">
        <f>IF(CurrentMtgRatesDataTable8[[#This Row],[Servicing Spread]]&lt;=0,L3070,CurrentMtgRatesDataTable8[[#This Row],[Servicing Spread]])</f>
        <v>0.94898560229812201</v>
      </c>
      <c r="M3071" s="70">
        <f>CurrentMtgRatesDataTable8[[#This Row],[Servicing Spread Non-Zero]]-L3070</f>
        <v>0</v>
      </c>
      <c r="N3071" s="70">
        <f>IF(J3070&lt;&gt;0,CurrentMtgRatesDataTable8[[#This Row],[Rate]]-C3070,N3070)</f>
        <v>4.0000000000000036E-2</v>
      </c>
    </row>
    <row r="3072" spans="1:14">
      <c r="A3072" s="67" t="s">
        <v>1035</v>
      </c>
      <c r="B3072" s="68">
        <v>2.6456437130167698</v>
      </c>
      <c r="C3072" s="69">
        <v>3.5550000000000002</v>
      </c>
      <c r="D3072" s="70">
        <f t="shared" si="329"/>
        <v>2</v>
      </c>
      <c r="E3072" s="70">
        <f t="shared" si="330"/>
        <v>0.2</v>
      </c>
      <c r="F3072" s="70">
        <f t="shared" si="331"/>
        <v>2</v>
      </c>
      <c r="G3072" s="70">
        <f t="shared" si="332"/>
        <v>1.0499350663057001</v>
      </c>
      <c r="H3072" s="70">
        <f t="shared" si="333"/>
        <v>0.4</v>
      </c>
      <c r="I3072" s="70">
        <f t="shared" si="334"/>
        <v>0</v>
      </c>
      <c r="J3072" s="70">
        <f t="shared" si="335"/>
        <v>0</v>
      </c>
      <c r="K3072" s="70">
        <f>IF(CurrentMtgRatesDataTable8[[#This Row],[WA CC]]&lt;&gt;0,C3071-CurrentMtgRatesDataTable8[[#This Row],[WA CC]],0)</f>
        <v>0</v>
      </c>
      <c r="L3072" s="70">
        <f>IF(CurrentMtgRatesDataTable8[[#This Row],[Servicing Spread]]&lt;=0,L3071,CurrentMtgRatesDataTable8[[#This Row],[Servicing Spread]])</f>
        <v>0.94898560229812201</v>
      </c>
      <c r="M3072" s="70">
        <f>CurrentMtgRatesDataTable8[[#This Row],[Servicing Spread Non-Zero]]-L3071</f>
        <v>0</v>
      </c>
      <c r="N3072" s="70">
        <f>IF(J3071&lt;&gt;0,CurrentMtgRatesDataTable8[[#This Row],[Rate]]-C3071,N3071)</f>
        <v>4.0000000000000036E-2</v>
      </c>
    </row>
    <row r="3073" spans="1:14">
      <c r="A3073" s="67" t="s">
        <v>1036</v>
      </c>
      <c r="B3073" s="68">
        <v>2.6797159507930601</v>
      </c>
      <c r="C3073" s="69">
        <v>3.5550000000000002</v>
      </c>
      <c r="D3073" s="70">
        <f t="shared" si="329"/>
        <v>5</v>
      </c>
      <c r="E3073" s="70">
        <f t="shared" si="330"/>
        <v>0.2</v>
      </c>
      <c r="F3073" s="70">
        <f t="shared" si="331"/>
        <v>3</v>
      </c>
      <c r="G3073" s="70">
        <f t="shared" si="332"/>
        <v>1.5858782564643121</v>
      </c>
      <c r="H3073" s="70">
        <f t="shared" si="333"/>
        <v>0.60000000000000009</v>
      </c>
      <c r="I3073" s="70">
        <f t="shared" si="334"/>
        <v>0</v>
      </c>
      <c r="J3073" s="70">
        <f t="shared" si="335"/>
        <v>0</v>
      </c>
      <c r="K3073" s="70">
        <f>IF(CurrentMtgRatesDataTable8[[#This Row],[WA CC]]&lt;&gt;0,C3072-CurrentMtgRatesDataTable8[[#This Row],[WA CC]],0)</f>
        <v>0</v>
      </c>
      <c r="L3073" s="70">
        <f>IF(CurrentMtgRatesDataTable8[[#This Row],[Servicing Spread]]&lt;=0,L3072,CurrentMtgRatesDataTable8[[#This Row],[Servicing Spread]])</f>
        <v>0.94898560229812201</v>
      </c>
      <c r="M3073" s="70">
        <f>CurrentMtgRatesDataTable8[[#This Row],[Servicing Spread Non-Zero]]-L3072</f>
        <v>0</v>
      </c>
      <c r="N3073" s="70">
        <f>IF(J3072&lt;&gt;0,CurrentMtgRatesDataTable8[[#This Row],[Rate]]-C3072,N3072)</f>
        <v>4.0000000000000036E-2</v>
      </c>
    </row>
    <row r="3074" spans="1:14">
      <c r="A3074" s="67" t="s">
        <v>1037</v>
      </c>
      <c r="B3074" s="68">
        <v>2.6318246797468499</v>
      </c>
      <c r="C3074" s="69">
        <v>3.5550000000000002</v>
      </c>
      <c r="D3074" s="70">
        <f t="shared" si="329"/>
        <v>6</v>
      </c>
      <c r="E3074" s="70">
        <f t="shared" si="330"/>
        <v>0.2</v>
      </c>
      <c r="F3074" s="70">
        <f t="shared" si="331"/>
        <v>4</v>
      </c>
      <c r="G3074" s="70">
        <f t="shared" si="332"/>
        <v>2.1122431924136822</v>
      </c>
      <c r="H3074" s="70">
        <f t="shared" si="333"/>
        <v>0.8</v>
      </c>
      <c r="I3074" s="70">
        <f t="shared" si="334"/>
        <v>0</v>
      </c>
      <c r="J3074" s="70">
        <f t="shared" si="335"/>
        <v>0</v>
      </c>
      <c r="K3074" s="70">
        <f>IF(CurrentMtgRatesDataTable8[[#This Row],[WA CC]]&lt;&gt;0,C3073-CurrentMtgRatesDataTable8[[#This Row],[WA CC]],0)</f>
        <v>0</v>
      </c>
      <c r="L3074" s="70">
        <f>IF(CurrentMtgRatesDataTable8[[#This Row],[Servicing Spread]]&lt;=0,L3073,CurrentMtgRatesDataTable8[[#This Row],[Servicing Spread]])</f>
        <v>0.94898560229812201</v>
      </c>
      <c r="M3074" s="70">
        <f>CurrentMtgRatesDataTable8[[#This Row],[Servicing Spread Non-Zero]]-L3073</f>
        <v>0</v>
      </c>
      <c r="N3074" s="70">
        <f>IF(J3073&lt;&gt;0,CurrentMtgRatesDataTable8[[#This Row],[Rate]]-C3073,N3073)</f>
        <v>4.0000000000000036E-2</v>
      </c>
    </row>
    <row r="3075" spans="1:14">
      <c r="A3075" s="67" t="s">
        <v>1038</v>
      </c>
      <c r="B3075" s="68">
        <v>2.6993160821671598</v>
      </c>
      <c r="C3075" s="69">
        <v>3.5550000000000002</v>
      </c>
      <c r="D3075" s="70">
        <f t="shared" si="329"/>
        <v>7</v>
      </c>
      <c r="E3075" s="70">
        <f t="shared" si="330"/>
        <v>0.2</v>
      </c>
      <c r="F3075" s="70">
        <f t="shared" si="331"/>
        <v>5</v>
      </c>
      <c r="G3075" s="70">
        <f t="shared" si="332"/>
        <v>2.6521064088471142</v>
      </c>
      <c r="H3075" s="70">
        <f t="shared" si="333"/>
        <v>1</v>
      </c>
      <c r="I3075" s="70">
        <f t="shared" si="334"/>
        <v>1</v>
      </c>
      <c r="J3075" s="70">
        <f t="shared" si="335"/>
        <v>2.6521064088471142</v>
      </c>
      <c r="K3075" s="70">
        <f>IF(CurrentMtgRatesDataTable8[[#This Row],[WA CC]]&lt;&gt;0,C3074-CurrentMtgRatesDataTable8[[#This Row],[WA CC]],0)</f>
        <v>0.90289359115288592</v>
      </c>
      <c r="L3075" s="70">
        <f>IF(CurrentMtgRatesDataTable8[[#This Row],[Servicing Spread]]&lt;=0,L3074,CurrentMtgRatesDataTable8[[#This Row],[Servicing Spread]])</f>
        <v>0.90289359115288592</v>
      </c>
      <c r="M3075" s="70">
        <f>CurrentMtgRatesDataTable8[[#This Row],[Servicing Spread Non-Zero]]-L3074</f>
        <v>-4.6092011145236089E-2</v>
      </c>
      <c r="N3075" s="70">
        <f>IF(J3074&lt;&gt;0,CurrentMtgRatesDataTable8[[#This Row],[Rate]]-C3074,N3074)</f>
        <v>4.0000000000000036E-2</v>
      </c>
    </row>
    <row r="3076" spans="1:14">
      <c r="A3076" s="67" t="s">
        <v>1039</v>
      </c>
      <c r="B3076" s="68">
        <v>2.7087001450916599</v>
      </c>
      <c r="C3076" s="69">
        <v>3.605</v>
      </c>
      <c r="D3076" s="70">
        <f t="shared" si="329"/>
        <v>1</v>
      </c>
      <c r="E3076" s="70">
        <f t="shared" si="330"/>
        <v>0.2</v>
      </c>
      <c r="F3076" s="70">
        <f t="shared" si="331"/>
        <v>1</v>
      </c>
      <c r="G3076" s="70">
        <f t="shared" si="332"/>
        <v>0.54174002901833196</v>
      </c>
      <c r="H3076" s="70">
        <f t="shared" si="333"/>
        <v>0.2</v>
      </c>
      <c r="I3076" s="70">
        <f t="shared" si="334"/>
        <v>0</v>
      </c>
      <c r="J3076" s="70">
        <f t="shared" si="335"/>
        <v>0</v>
      </c>
      <c r="K3076" s="70">
        <f>IF(CurrentMtgRatesDataTable8[[#This Row],[WA CC]]&lt;&gt;0,C3075-CurrentMtgRatesDataTable8[[#This Row],[WA CC]],0)</f>
        <v>0</v>
      </c>
      <c r="L3076" s="70">
        <f>IF(CurrentMtgRatesDataTable8[[#This Row],[Servicing Spread]]&lt;=0,L3075,CurrentMtgRatesDataTable8[[#This Row],[Servicing Spread]])</f>
        <v>0.90289359115288592</v>
      </c>
      <c r="M3076" s="70">
        <f>CurrentMtgRatesDataTable8[[#This Row],[Servicing Spread Non-Zero]]-L3075</f>
        <v>0</v>
      </c>
      <c r="N3076" s="70">
        <f>IF(J3075&lt;&gt;0,CurrentMtgRatesDataTable8[[#This Row],[Rate]]-C3075,N3075)</f>
        <v>4.9999999999999822E-2</v>
      </c>
    </row>
    <row r="3077" spans="1:14">
      <c r="A3077" s="67" t="s">
        <v>1040</v>
      </c>
      <c r="B3077" s="68">
        <v>2.7411857736504301</v>
      </c>
      <c r="C3077" s="69">
        <v>3.605</v>
      </c>
      <c r="D3077" s="70">
        <f t="shared" ref="D3077:D3140" si="336">WEEKDAY(A3077,14)</f>
        <v>2</v>
      </c>
      <c r="E3077" s="70">
        <f t="shared" ref="E3077:E3140" si="337">VLOOKUP(D3077,Q$5:R$11,2,FALSE)</f>
        <v>0.2</v>
      </c>
      <c r="F3077" s="70">
        <f t="shared" ref="F3077:F3140" si="338">IF(AND(D3077&gt;D3076,F3076&lt;6),F3076+1,1)</f>
        <v>2</v>
      </c>
      <c r="G3077" s="70">
        <f t="shared" ref="G3077:G3140" si="339">IF(F3077&gt;F3076,G3076+B3077*E3077,B3077*E3077)</f>
        <v>1.089977183748418</v>
      </c>
      <c r="H3077" s="70">
        <f t="shared" ref="H3077:H3140" si="340">IF(AND(F3077&lt;6,F3077&gt;F3076),E3077+H3076,E3077)</f>
        <v>0.4</v>
      </c>
      <c r="I3077" s="70">
        <f t="shared" ref="I3077:I3140" si="341">IF(F3077&gt;F3078,1,0)</f>
        <v>0</v>
      </c>
      <c r="J3077" s="70">
        <f t="shared" ref="J3077:J3140" si="342">IF(F3077&gt;F3078,G3077/H3077,0)</f>
        <v>0</v>
      </c>
      <c r="K3077" s="70">
        <f>IF(CurrentMtgRatesDataTable8[[#This Row],[WA CC]]&lt;&gt;0,C3076-CurrentMtgRatesDataTable8[[#This Row],[WA CC]],0)</f>
        <v>0</v>
      </c>
      <c r="L3077" s="70">
        <f>IF(CurrentMtgRatesDataTable8[[#This Row],[Servicing Spread]]&lt;=0,L3076,CurrentMtgRatesDataTable8[[#This Row],[Servicing Spread]])</f>
        <v>0.90289359115288592</v>
      </c>
      <c r="M3077" s="70">
        <f>CurrentMtgRatesDataTable8[[#This Row],[Servicing Spread Non-Zero]]-L3076</f>
        <v>0</v>
      </c>
      <c r="N3077" s="70">
        <f>IF(J3076&lt;&gt;0,CurrentMtgRatesDataTable8[[#This Row],[Rate]]-C3076,N3076)</f>
        <v>4.9999999999999822E-2</v>
      </c>
    </row>
    <row r="3078" spans="1:14">
      <c r="A3078" s="67" t="s">
        <v>1041</v>
      </c>
      <c r="B3078" s="68">
        <v>2.7302113432602999</v>
      </c>
      <c r="C3078" s="69">
        <v>3.605</v>
      </c>
      <c r="D3078" s="70">
        <f t="shared" si="336"/>
        <v>5</v>
      </c>
      <c r="E3078" s="70">
        <f t="shared" si="337"/>
        <v>0.2</v>
      </c>
      <c r="F3078" s="70">
        <f t="shared" si="338"/>
        <v>3</v>
      </c>
      <c r="G3078" s="70">
        <f t="shared" si="339"/>
        <v>1.6360194524004781</v>
      </c>
      <c r="H3078" s="70">
        <f t="shared" si="340"/>
        <v>0.60000000000000009</v>
      </c>
      <c r="I3078" s="70">
        <f t="shared" si="341"/>
        <v>0</v>
      </c>
      <c r="J3078" s="70">
        <f t="shared" si="342"/>
        <v>0</v>
      </c>
      <c r="K3078" s="70">
        <f>IF(CurrentMtgRatesDataTable8[[#This Row],[WA CC]]&lt;&gt;0,C3077-CurrentMtgRatesDataTable8[[#This Row],[WA CC]],0)</f>
        <v>0</v>
      </c>
      <c r="L3078" s="70">
        <f>IF(CurrentMtgRatesDataTable8[[#This Row],[Servicing Spread]]&lt;=0,L3077,CurrentMtgRatesDataTable8[[#This Row],[Servicing Spread]])</f>
        <v>0.90289359115288592</v>
      </c>
      <c r="M3078" s="70">
        <f>CurrentMtgRatesDataTable8[[#This Row],[Servicing Spread Non-Zero]]-L3077</f>
        <v>0</v>
      </c>
      <c r="N3078" s="70">
        <f>IF(J3077&lt;&gt;0,CurrentMtgRatesDataTable8[[#This Row],[Rate]]-C3077,N3077)</f>
        <v>4.9999999999999822E-2</v>
      </c>
    </row>
    <row r="3079" spans="1:14">
      <c r="A3079" s="67" t="s">
        <v>1042</v>
      </c>
      <c r="B3079" s="68">
        <v>2.7488667702223699</v>
      </c>
      <c r="C3079" s="69">
        <v>3.605</v>
      </c>
      <c r="D3079" s="70">
        <f t="shared" si="336"/>
        <v>6</v>
      </c>
      <c r="E3079" s="70">
        <f t="shared" si="337"/>
        <v>0.2</v>
      </c>
      <c r="F3079" s="70">
        <f t="shared" si="338"/>
        <v>4</v>
      </c>
      <c r="G3079" s="70">
        <f t="shared" si="339"/>
        <v>2.1857928064449519</v>
      </c>
      <c r="H3079" s="70">
        <f t="shared" si="340"/>
        <v>0.8</v>
      </c>
      <c r="I3079" s="70">
        <f t="shared" si="341"/>
        <v>0</v>
      </c>
      <c r="J3079" s="70">
        <f t="shared" si="342"/>
        <v>0</v>
      </c>
      <c r="K3079" s="70">
        <f>IF(CurrentMtgRatesDataTable8[[#This Row],[WA CC]]&lt;&gt;0,C3078-CurrentMtgRatesDataTable8[[#This Row],[WA CC]],0)</f>
        <v>0</v>
      </c>
      <c r="L3079" s="70">
        <f>IF(CurrentMtgRatesDataTable8[[#This Row],[Servicing Spread]]&lt;=0,L3078,CurrentMtgRatesDataTable8[[#This Row],[Servicing Spread]])</f>
        <v>0.90289359115288592</v>
      </c>
      <c r="M3079" s="70">
        <f>CurrentMtgRatesDataTable8[[#This Row],[Servicing Spread Non-Zero]]-L3078</f>
        <v>0</v>
      </c>
      <c r="N3079" s="70">
        <f>IF(J3078&lt;&gt;0,CurrentMtgRatesDataTable8[[#This Row],[Rate]]-C3078,N3078)</f>
        <v>4.9999999999999822E-2</v>
      </c>
    </row>
    <row r="3080" spans="1:14">
      <c r="A3080" s="67" t="s">
        <v>1043</v>
      </c>
      <c r="B3080" s="68">
        <v>2.6989079918651599</v>
      </c>
      <c r="C3080" s="69">
        <v>3.605</v>
      </c>
      <c r="D3080" s="70">
        <f t="shared" si="336"/>
        <v>7</v>
      </c>
      <c r="E3080" s="70">
        <f t="shared" si="337"/>
        <v>0.2</v>
      </c>
      <c r="F3080" s="70">
        <f t="shared" si="338"/>
        <v>5</v>
      </c>
      <c r="G3080" s="70">
        <f t="shared" si="339"/>
        <v>2.725574404817984</v>
      </c>
      <c r="H3080" s="70">
        <f t="shared" si="340"/>
        <v>1</v>
      </c>
      <c r="I3080" s="70">
        <f t="shared" si="341"/>
        <v>1</v>
      </c>
      <c r="J3080" s="70">
        <f t="shared" si="342"/>
        <v>2.725574404817984</v>
      </c>
      <c r="K3080" s="70">
        <f>IF(CurrentMtgRatesDataTable8[[#This Row],[WA CC]]&lt;&gt;0,C3079-CurrentMtgRatesDataTable8[[#This Row],[WA CC]],0)</f>
        <v>0.87942559518201602</v>
      </c>
      <c r="L3080" s="70">
        <f>IF(CurrentMtgRatesDataTable8[[#This Row],[Servicing Spread]]&lt;=0,L3079,CurrentMtgRatesDataTable8[[#This Row],[Servicing Spread]])</f>
        <v>0.87942559518201602</v>
      </c>
      <c r="M3080" s="70">
        <f>CurrentMtgRatesDataTable8[[#This Row],[Servicing Spread Non-Zero]]-L3079</f>
        <v>-2.3467995970869904E-2</v>
      </c>
      <c r="N3080" s="70">
        <f>IF(J3079&lt;&gt;0,CurrentMtgRatesDataTable8[[#This Row],[Rate]]-C3079,N3079)</f>
        <v>4.9999999999999822E-2</v>
      </c>
    </row>
    <row r="3081" spans="1:14">
      <c r="A3081" s="67" t="s">
        <v>1044</v>
      </c>
      <c r="B3081" s="68">
        <v>2.6507645211895499</v>
      </c>
      <c r="C3081" s="69">
        <v>3.585</v>
      </c>
      <c r="D3081" s="70">
        <f t="shared" si="336"/>
        <v>1</v>
      </c>
      <c r="E3081" s="70">
        <f t="shared" si="337"/>
        <v>0.2</v>
      </c>
      <c r="F3081" s="70">
        <f t="shared" si="338"/>
        <v>1</v>
      </c>
      <c r="G3081" s="70">
        <f t="shared" si="339"/>
        <v>0.53015290423790995</v>
      </c>
      <c r="H3081" s="70">
        <f t="shared" si="340"/>
        <v>0.2</v>
      </c>
      <c r="I3081" s="70">
        <f t="shared" si="341"/>
        <v>0</v>
      </c>
      <c r="J3081" s="70">
        <f t="shared" si="342"/>
        <v>0</v>
      </c>
      <c r="K3081" s="70">
        <f>IF(CurrentMtgRatesDataTable8[[#This Row],[WA CC]]&lt;&gt;0,C3080-CurrentMtgRatesDataTable8[[#This Row],[WA CC]],0)</f>
        <v>0</v>
      </c>
      <c r="L3081" s="70">
        <f>IF(CurrentMtgRatesDataTable8[[#This Row],[Servicing Spread]]&lt;=0,L3080,CurrentMtgRatesDataTable8[[#This Row],[Servicing Spread]])</f>
        <v>0.87942559518201602</v>
      </c>
      <c r="M3081" s="70">
        <f>CurrentMtgRatesDataTable8[[#This Row],[Servicing Spread Non-Zero]]-L3080</f>
        <v>0</v>
      </c>
      <c r="N3081" s="70">
        <f>IF(J3080&lt;&gt;0,CurrentMtgRatesDataTable8[[#This Row],[Rate]]-C3080,N3080)</f>
        <v>-2.0000000000000018E-2</v>
      </c>
    </row>
    <row r="3082" spans="1:14">
      <c r="A3082" s="67" t="s">
        <v>1045</v>
      </c>
      <c r="B3082" s="68">
        <v>2.6443435040904602</v>
      </c>
      <c r="C3082" s="69">
        <v>3.585</v>
      </c>
      <c r="D3082" s="70">
        <f t="shared" si="336"/>
        <v>2</v>
      </c>
      <c r="E3082" s="70">
        <f t="shared" si="337"/>
        <v>0.2</v>
      </c>
      <c r="F3082" s="70">
        <f t="shared" si="338"/>
        <v>2</v>
      </c>
      <c r="G3082" s="70">
        <f t="shared" si="339"/>
        <v>1.059021605056002</v>
      </c>
      <c r="H3082" s="70">
        <f t="shared" si="340"/>
        <v>0.4</v>
      </c>
      <c r="I3082" s="70">
        <f t="shared" si="341"/>
        <v>0</v>
      </c>
      <c r="J3082" s="70">
        <f t="shared" si="342"/>
        <v>0</v>
      </c>
      <c r="K3082" s="70">
        <f>IF(CurrentMtgRatesDataTable8[[#This Row],[WA CC]]&lt;&gt;0,C3081-CurrentMtgRatesDataTable8[[#This Row],[WA CC]],0)</f>
        <v>0</v>
      </c>
      <c r="L3082" s="70">
        <f>IF(CurrentMtgRatesDataTable8[[#This Row],[Servicing Spread]]&lt;=0,L3081,CurrentMtgRatesDataTable8[[#This Row],[Servicing Spread]])</f>
        <v>0.87942559518201602</v>
      </c>
      <c r="M3082" s="70">
        <f>CurrentMtgRatesDataTable8[[#This Row],[Servicing Spread Non-Zero]]-L3081</f>
        <v>0</v>
      </c>
      <c r="N3082" s="70">
        <f>IF(J3081&lt;&gt;0,CurrentMtgRatesDataTable8[[#This Row],[Rate]]-C3081,N3081)</f>
        <v>-2.0000000000000018E-2</v>
      </c>
    </row>
    <row r="3083" spans="1:14">
      <c r="A3083" s="67" t="s">
        <v>1046</v>
      </c>
      <c r="B3083" s="68">
        <v>2.6999804416345499</v>
      </c>
      <c r="C3083" s="69">
        <v>3.585</v>
      </c>
      <c r="D3083" s="70">
        <f t="shared" si="336"/>
        <v>5</v>
      </c>
      <c r="E3083" s="70">
        <f t="shared" si="337"/>
        <v>0.2</v>
      </c>
      <c r="F3083" s="70">
        <f t="shared" si="338"/>
        <v>3</v>
      </c>
      <c r="G3083" s="70">
        <f t="shared" si="339"/>
        <v>1.5990176933829119</v>
      </c>
      <c r="H3083" s="70">
        <f t="shared" si="340"/>
        <v>0.60000000000000009</v>
      </c>
      <c r="I3083" s="70">
        <f t="shared" si="341"/>
        <v>0</v>
      </c>
      <c r="J3083" s="70">
        <f t="shared" si="342"/>
        <v>0</v>
      </c>
      <c r="K3083" s="70">
        <f>IF(CurrentMtgRatesDataTable8[[#This Row],[WA CC]]&lt;&gt;0,C3082-CurrentMtgRatesDataTable8[[#This Row],[WA CC]],0)</f>
        <v>0</v>
      </c>
      <c r="L3083" s="70">
        <f>IF(CurrentMtgRatesDataTable8[[#This Row],[Servicing Spread]]&lt;=0,L3082,CurrentMtgRatesDataTable8[[#This Row],[Servicing Spread]])</f>
        <v>0.87942559518201602</v>
      </c>
      <c r="M3083" s="70">
        <f>CurrentMtgRatesDataTable8[[#This Row],[Servicing Spread Non-Zero]]-L3082</f>
        <v>0</v>
      </c>
      <c r="N3083" s="70">
        <f>IF(J3082&lt;&gt;0,CurrentMtgRatesDataTable8[[#This Row],[Rate]]-C3082,N3082)</f>
        <v>-2.0000000000000018E-2</v>
      </c>
    </row>
    <row r="3084" spans="1:14">
      <c r="A3084" s="67" t="s">
        <v>1047</v>
      </c>
      <c r="B3084" s="68">
        <v>2.7181679952198698</v>
      </c>
      <c r="C3084" s="69">
        <v>3.585</v>
      </c>
      <c r="D3084" s="70">
        <f t="shared" si="336"/>
        <v>6</v>
      </c>
      <c r="E3084" s="70">
        <f t="shared" si="337"/>
        <v>0.2</v>
      </c>
      <c r="F3084" s="70">
        <f t="shared" si="338"/>
        <v>4</v>
      </c>
      <c r="G3084" s="70">
        <f t="shared" si="339"/>
        <v>2.1426512924268861</v>
      </c>
      <c r="H3084" s="70">
        <f t="shared" si="340"/>
        <v>0.8</v>
      </c>
      <c r="I3084" s="70">
        <f t="shared" si="341"/>
        <v>0</v>
      </c>
      <c r="J3084" s="70">
        <f t="shared" si="342"/>
        <v>0</v>
      </c>
      <c r="K3084" s="70">
        <f>IF(CurrentMtgRatesDataTable8[[#This Row],[WA CC]]&lt;&gt;0,C3083-CurrentMtgRatesDataTable8[[#This Row],[WA CC]],0)</f>
        <v>0</v>
      </c>
      <c r="L3084" s="70">
        <f>IF(CurrentMtgRatesDataTable8[[#This Row],[Servicing Spread]]&lt;=0,L3083,CurrentMtgRatesDataTable8[[#This Row],[Servicing Spread]])</f>
        <v>0.87942559518201602</v>
      </c>
      <c r="M3084" s="70">
        <f>CurrentMtgRatesDataTable8[[#This Row],[Servicing Spread Non-Zero]]-L3083</f>
        <v>0</v>
      </c>
      <c r="N3084" s="70">
        <f>IF(J3083&lt;&gt;0,CurrentMtgRatesDataTable8[[#This Row],[Rate]]-C3083,N3083)</f>
        <v>-2.0000000000000018E-2</v>
      </c>
    </row>
    <row r="3085" spans="1:14">
      <c r="A3085" s="67" t="s">
        <v>1048</v>
      </c>
      <c r="B3085" s="68">
        <v>2.66584672213606</v>
      </c>
      <c r="C3085" s="69">
        <v>3.585</v>
      </c>
      <c r="D3085" s="70">
        <f t="shared" si="336"/>
        <v>7</v>
      </c>
      <c r="E3085" s="70">
        <f t="shared" si="337"/>
        <v>0.2</v>
      </c>
      <c r="F3085" s="70">
        <f t="shared" si="338"/>
        <v>5</v>
      </c>
      <c r="G3085" s="70">
        <f t="shared" si="339"/>
        <v>2.6758206368540982</v>
      </c>
      <c r="H3085" s="70">
        <f t="shared" si="340"/>
        <v>1</v>
      </c>
      <c r="I3085" s="70">
        <f t="shared" si="341"/>
        <v>1</v>
      </c>
      <c r="J3085" s="70">
        <f t="shared" si="342"/>
        <v>2.6758206368540982</v>
      </c>
      <c r="K3085" s="70">
        <f>IF(CurrentMtgRatesDataTable8[[#This Row],[WA CC]]&lt;&gt;0,C3084-CurrentMtgRatesDataTable8[[#This Row],[WA CC]],0)</f>
        <v>0.90917936314590175</v>
      </c>
      <c r="L3085" s="70">
        <f>IF(CurrentMtgRatesDataTable8[[#This Row],[Servicing Spread]]&lt;=0,L3084,CurrentMtgRatesDataTable8[[#This Row],[Servicing Spread]])</f>
        <v>0.90917936314590175</v>
      </c>
      <c r="M3085" s="70">
        <f>CurrentMtgRatesDataTable8[[#This Row],[Servicing Spread Non-Zero]]-L3084</f>
        <v>2.9753767963885736E-2</v>
      </c>
      <c r="N3085" s="70">
        <f>IF(J3084&lt;&gt;0,CurrentMtgRatesDataTable8[[#This Row],[Rate]]-C3084,N3084)</f>
        <v>-2.0000000000000018E-2</v>
      </c>
    </row>
    <row r="3086" spans="1:14">
      <c r="A3086" s="67" t="s">
        <v>1049</v>
      </c>
      <c r="B3086" s="68">
        <v>2.6924441854195602</v>
      </c>
      <c r="C3086" s="69">
        <v>3.585</v>
      </c>
      <c r="D3086" s="70">
        <f t="shared" si="336"/>
        <v>1</v>
      </c>
      <c r="E3086" s="70">
        <f t="shared" si="337"/>
        <v>0.2</v>
      </c>
      <c r="F3086" s="70">
        <f t="shared" si="338"/>
        <v>1</v>
      </c>
      <c r="G3086" s="70">
        <f t="shared" si="339"/>
        <v>0.53848883708391204</v>
      </c>
      <c r="H3086" s="70">
        <f t="shared" si="340"/>
        <v>0.2</v>
      </c>
      <c r="I3086" s="70">
        <f t="shared" si="341"/>
        <v>0</v>
      </c>
      <c r="J3086" s="70">
        <f t="shared" si="342"/>
        <v>0</v>
      </c>
      <c r="K3086" s="70">
        <f>IF(CurrentMtgRatesDataTable8[[#This Row],[WA CC]]&lt;&gt;0,C3085-CurrentMtgRatesDataTable8[[#This Row],[WA CC]],0)</f>
        <v>0</v>
      </c>
      <c r="L3086" s="70">
        <f>IF(CurrentMtgRatesDataTable8[[#This Row],[Servicing Spread]]&lt;=0,L3085,CurrentMtgRatesDataTable8[[#This Row],[Servicing Spread]])</f>
        <v>0.90917936314590175</v>
      </c>
      <c r="M3086" s="70">
        <f>CurrentMtgRatesDataTable8[[#This Row],[Servicing Spread Non-Zero]]-L3085</f>
        <v>0</v>
      </c>
      <c r="N3086" s="70">
        <f>IF(J3085&lt;&gt;0,CurrentMtgRatesDataTable8[[#This Row],[Rate]]-C3085,N3085)</f>
        <v>0</v>
      </c>
    </row>
    <row r="3087" spans="1:14">
      <c r="A3087" s="67" t="s">
        <v>1050</v>
      </c>
      <c r="B3087" s="68">
        <v>2.6784573232198698</v>
      </c>
      <c r="C3087" s="69">
        <v>3.585</v>
      </c>
      <c r="D3087" s="70">
        <f t="shared" si="336"/>
        <v>5</v>
      </c>
      <c r="E3087" s="70">
        <f t="shared" si="337"/>
        <v>0.2</v>
      </c>
      <c r="F3087" s="70">
        <f t="shared" si="338"/>
        <v>2</v>
      </c>
      <c r="G3087" s="70">
        <f t="shared" si="339"/>
        <v>1.0741803017278859</v>
      </c>
      <c r="H3087" s="70">
        <f t="shared" si="340"/>
        <v>0.4</v>
      </c>
      <c r="I3087" s="70">
        <f t="shared" si="341"/>
        <v>0</v>
      </c>
      <c r="J3087" s="70">
        <f t="shared" si="342"/>
        <v>0</v>
      </c>
      <c r="K3087" s="70">
        <f>IF(CurrentMtgRatesDataTable8[[#This Row],[WA CC]]&lt;&gt;0,C3086-CurrentMtgRatesDataTable8[[#This Row],[WA CC]],0)</f>
        <v>0</v>
      </c>
      <c r="L3087" s="70">
        <f>IF(CurrentMtgRatesDataTable8[[#This Row],[Servicing Spread]]&lt;=0,L3086,CurrentMtgRatesDataTable8[[#This Row],[Servicing Spread]])</f>
        <v>0.90917936314590175</v>
      </c>
      <c r="M3087" s="70">
        <f>CurrentMtgRatesDataTable8[[#This Row],[Servicing Spread Non-Zero]]-L3086</f>
        <v>0</v>
      </c>
      <c r="N3087" s="70">
        <f>IF(J3086&lt;&gt;0,CurrentMtgRatesDataTable8[[#This Row],[Rate]]-C3086,N3086)</f>
        <v>0</v>
      </c>
    </row>
    <row r="3088" spans="1:14">
      <c r="A3088" s="67" t="s">
        <v>1051</v>
      </c>
      <c r="B3088" s="68">
        <v>2.5818538340504298</v>
      </c>
      <c r="C3088" s="69">
        <v>3.585</v>
      </c>
      <c r="D3088" s="70">
        <f t="shared" si="336"/>
        <v>6</v>
      </c>
      <c r="E3088" s="70">
        <f t="shared" si="337"/>
        <v>0.2</v>
      </c>
      <c r="F3088" s="70">
        <f t="shared" si="338"/>
        <v>3</v>
      </c>
      <c r="G3088" s="70">
        <f t="shared" si="339"/>
        <v>1.5905510685379718</v>
      </c>
      <c r="H3088" s="70">
        <f t="shared" si="340"/>
        <v>0.60000000000000009</v>
      </c>
      <c r="I3088" s="70">
        <f t="shared" si="341"/>
        <v>0</v>
      </c>
      <c r="J3088" s="70">
        <f t="shared" si="342"/>
        <v>0</v>
      </c>
      <c r="K3088" s="70">
        <f>IF(CurrentMtgRatesDataTable8[[#This Row],[WA CC]]&lt;&gt;0,C3087-CurrentMtgRatesDataTable8[[#This Row],[WA CC]],0)</f>
        <v>0</v>
      </c>
      <c r="L3088" s="70">
        <f>IF(CurrentMtgRatesDataTable8[[#This Row],[Servicing Spread]]&lt;=0,L3087,CurrentMtgRatesDataTable8[[#This Row],[Servicing Spread]])</f>
        <v>0.90917936314590175</v>
      </c>
      <c r="M3088" s="70">
        <f>CurrentMtgRatesDataTable8[[#This Row],[Servicing Spread Non-Zero]]-L3087</f>
        <v>0</v>
      </c>
      <c r="N3088" s="70">
        <f>IF(J3087&lt;&gt;0,CurrentMtgRatesDataTable8[[#This Row],[Rate]]-C3087,N3087)</f>
        <v>0</v>
      </c>
    </row>
    <row r="3089" spans="1:14">
      <c r="A3089" s="67" t="s">
        <v>1052</v>
      </c>
      <c r="B3089" s="68">
        <v>2.5932132712975302</v>
      </c>
      <c r="C3089" s="69">
        <v>3.585</v>
      </c>
      <c r="D3089" s="70">
        <f t="shared" si="336"/>
        <v>7</v>
      </c>
      <c r="E3089" s="70">
        <f t="shared" si="337"/>
        <v>0.2</v>
      </c>
      <c r="F3089" s="70">
        <f t="shared" si="338"/>
        <v>4</v>
      </c>
      <c r="G3089" s="70">
        <f t="shared" si="339"/>
        <v>2.1091937227974777</v>
      </c>
      <c r="H3089" s="70">
        <f t="shared" si="340"/>
        <v>0.8</v>
      </c>
      <c r="I3089" s="70">
        <f t="shared" si="341"/>
        <v>1</v>
      </c>
      <c r="J3089" s="70">
        <f t="shared" si="342"/>
        <v>2.6364921534968468</v>
      </c>
      <c r="K3089" s="70">
        <f>IF(CurrentMtgRatesDataTable8[[#This Row],[WA CC]]&lt;&gt;0,C3088-CurrentMtgRatesDataTable8[[#This Row],[WA CC]],0)</f>
        <v>0.94850784650315312</v>
      </c>
      <c r="L3089" s="70">
        <f>IF(CurrentMtgRatesDataTable8[[#This Row],[Servicing Spread]]&lt;=0,L3088,CurrentMtgRatesDataTable8[[#This Row],[Servicing Spread]])</f>
        <v>0.94850784650315312</v>
      </c>
      <c r="M3089" s="70">
        <f>CurrentMtgRatesDataTable8[[#This Row],[Servicing Spread Non-Zero]]-L3088</f>
        <v>3.9328483357251365E-2</v>
      </c>
      <c r="N3089" s="70">
        <f>IF(J3088&lt;&gt;0,CurrentMtgRatesDataTable8[[#This Row],[Rate]]-C3088,N3088)</f>
        <v>0</v>
      </c>
    </row>
    <row r="3090" spans="1:14">
      <c r="A3090" s="67" t="s">
        <v>1053</v>
      </c>
      <c r="B3090" s="68">
        <v>2.5397621553493499</v>
      </c>
      <c r="C3090" s="69">
        <v>3.4649999999999999</v>
      </c>
      <c r="D3090" s="70">
        <f t="shared" si="336"/>
        <v>1</v>
      </c>
      <c r="E3090" s="70">
        <f t="shared" si="337"/>
        <v>0.2</v>
      </c>
      <c r="F3090" s="70">
        <f t="shared" si="338"/>
        <v>1</v>
      </c>
      <c r="G3090" s="70">
        <f t="shared" si="339"/>
        <v>0.50795243106986998</v>
      </c>
      <c r="H3090" s="70">
        <f t="shared" si="340"/>
        <v>0.2</v>
      </c>
      <c r="I3090" s="70">
        <f t="shared" si="341"/>
        <v>0</v>
      </c>
      <c r="J3090" s="70">
        <f t="shared" si="342"/>
        <v>0</v>
      </c>
      <c r="K3090" s="70">
        <f>IF(CurrentMtgRatesDataTable8[[#This Row],[WA CC]]&lt;&gt;0,C3089-CurrentMtgRatesDataTable8[[#This Row],[WA CC]],0)</f>
        <v>0</v>
      </c>
      <c r="L3090" s="70">
        <f>IF(CurrentMtgRatesDataTable8[[#This Row],[Servicing Spread]]&lt;=0,L3089,CurrentMtgRatesDataTable8[[#This Row],[Servicing Spread]])</f>
        <v>0.94850784650315312</v>
      </c>
      <c r="M3090" s="70">
        <f>CurrentMtgRatesDataTable8[[#This Row],[Servicing Spread Non-Zero]]-L3089</f>
        <v>0</v>
      </c>
      <c r="N3090" s="70">
        <f>IF(J3089&lt;&gt;0,CurrentMtgRatesDataTable8[[#This Row],[Rate]]-C3089,N3089)</f>
        <v>-0.12000000000000011</v>
      </c>
    </row>
    <row r="3091" spans="1:14">
      <c r="A3091" s="67" t="s">
        <v>1054</v>
      </c>
      <c r="B3091" s="68">
        <v>2.5354129105946002</v>
      </c>
      <c r="C3091" s="69">
        <v>3.4649999999999999</v>
      </c>
      <c r="D3091" s="70">
        <f t="shared" si="336"/>
        <v>2</v>
      </c>
      <c r="E3091" s="70">
        <f t="shared" si="337"/>
        <v>0.2</v>
      </c>
      <c r="F3091" s="70">
        <f t="shared" si="338"/>
        <v>2</v>
      </c>
      <c r="G3091" s="70">
        <f t="shared" si="339"/>
        <v>1.0150350131887902</v>
      </c>
      <c r="H3091" s="70">
        <f t="shared" si="340"/>
        <v>0.4</v>
      </c>
      <c r="I3091" s="70">
        <f t="shared" si="341"/>
        <v>0</v>
      </c>
      <c r="J3091" s="70">
        <f t="shared" si="342"/>
        <v>0</v>
      </c>
      <c r="K3091" s="70">
        <f>IF(CurrentMtgRatesDataTable8[[#This Row],[WA CC]]&lt;&gt;0,C3090-CurrentMtgRatesDataTable8[[#This Row],[WA CC]],0)</f>
        <v>0</v>
      </c>
      <c r="L3091" s="70">
        <f>IF(CurrentMtgRatesDataTable8[[#This Row],[Servicing Spread]]&lt;=0,L3090,CurrentMtgRatesDataTable8[[#This Row],[Servicing Spread]])</f>
        <v>0.94850784650315312</v>
      </c>
      <c r="M3091" s="70">
        <f>CurrentMtgRatesDataTable8[[#This Row],[Servicing Spread Non-Zero]]-L3090</f>
        <v>0</v>
      </c>
      <c r="N3091" s="70">
        <f>IF(J3090&lt;&gt;0,CurrentMtgRatesDataTable8[[#This Row],[Rate]]-C3090,N3090)</f>
        <v>-0.12000000000000011</v>
      </c>
    </row>
    <row r="3092" spans="1:14">
      <c r="A3092" s="67" t="s">
        <v>1055</v>
      </c>
      <c r="B3092" s="68">
        <v>2.5272030973588802</v>
      </c>
      <c r="C3092" s="69">
        <v>3.4649999999999999</v>
      </c>
      <c r="D3092" s="70">
        <f t="shared" si="336"/>
        <v>5</v>
      </c>
      <c r="E3092" s="70">
        <f t="shared" si="337"/>
        <v>0.2</v>
      </c>
      <c r="F3092" s="70">
        <f t="shared" si="338"/>
        <v>3</v>
      </c>
      <c r="G3092" s="70">
        <f t="shared" si="339"/>
        <v>1.5204756326605664</v>
      </c>
      <c r="H3092" s="70">
        <f t="shared" si="340"/>
        <v>0.60000000000000009</v>
      </c>
      <c r="I3092" s="70">
        <f t="shared" si="341"/>
        <v>0</v>
      </c>
      <c r="J3092" s="70">
        <f t="shared" si="342"/>
        <v>0</v>
      </c>
      <c r="K3092" s="70">
        <f>IF(CurrentMtgRatesDataTable8[[#This Row],[WA CC]]&lt;&gt;0,C3091-CurrentMtgRatesDataTable8[[#This Row],[WA CC]],0)</f>
        <v>0</v>
      </c>
      <c r="L3092" s="70">
        <f>IF(CurrentMtgRatesDataTable8[[#This Row],[Servicing Spread]]&lt;=0,L3091,CurrentMtgRatesDataTable8[[#This Row],[Servicing Spread]])</f>
        <v>0.94850784650315312</v>
      </c>
      <c r="M3092" s="70">
        <f>CurrentMtgRatesDataTable8[[#This Row],[Servicing Spread Non-Zero]]-L3091</f>
        <v>0</v>
      </c>
      <c r="N3092" s="70">
        <f>IF(J3091&lt;&gt;0,CurrentMtgRatesDataTable8[[#This Row],[Rate]]-C3091,N3091)</f>
        <v>-0.12000000000000011</v>
      </c>
    </row>
    <row r="3093" spans="1:14">
      <c r="A3093" s="67" t="s">
        <v>1056</v>
      </c>
      <c r="B3093" s="68">
        <v>2.49044583951994</v>
      </c>
      <c r="C3093" s="69">
        <v>3.4649999999999999</v>
      </c>
      <c r="D3093" s="70">
        <f t="shared" si="336"/>
        <v>6</v>
      </c>
      <c r="E3093" s="70">
        <f t="shared" si="337"/>
        <v>0.2</v>
      </c>
      <c r="F3093" s="70">
        <f t="shared" si="338"/>
        <v>4</v>
      </c>
      <c r="G3093" s="70">
        <f t="shared" si="339"/>
        <v>2.0185648005645547</v>
      </c>
      <c r="H3093" s="70">
        <f t="shared" si="340"/>
        <v>0.8</v>
      </c>
      <c r="I3093" s="70">
        <f t="shared" si="341"/>
        <v>0</v>
      </c>
      <c r="J3093" s="70">
        <f t="shared" si="342"/>
        <v>0</v>
      </c>
      <c r="K3093" s="70">
        <f>IF(CurrentMtgRatesDataTable8[[#This Row],[WA CC]]&lt;&gt;0,C3092-CurrentMtgRatesDataTable8[[#This Row],[WA CC]],0)</f>
        <v>0</v>
      </c>
      <c r="L3093" s="70">
        <f>IF(CurrentMtgRatesDataTable8[[#This Row],[Servicing Spread]]&lt;=0,L3092,CurrentMtgRatesDataTable8[[#This Row],[Servicing Spread]])</f>
        <v>0.94850784650315312</v>
      </c>
      <c r="M3093" s="70">
        <f>CurrentMtgRatesDataTable8[[#This Row],[Servicing Spread Non-Zero]]-L3092</f>
        <v>0</v>
      </c>
      <c r="N3093" s="70">
        <f>IF(J3092&lt;&gt;0,CurrentMtgRatesDataTable8[[#This Row],[Rate]]-C3092,N3092)</f>
        <v>-0.12000000000000011</v>
      </c>
    </row>
    <row r="3094" spans="1:14">
      <c r="A3094" s="67" t="s">
        <v>1057</v>
      </c>
      <c r="B3094" s="68">
        <v>2.5206676223705302</v>
      </c>
      <c r="C3094" s="69">
        <v>3.4649999999999999</v>
      </c>
      <c r="D3094" s="70">
        <f t="shared" si="336"/>
        <v>7</v>
      </c>
      <c r="E3094" s="70">
        <f t="shared" si="337"/>
        <v>0.2</v>
      </c>
      <c r="F3094" s="70">
        <f t="shared" si="338"/>
        <v>5</v>
      </c>
      <c r="G3094" s="70">
        <f t="shared" si="339"/>
        <v>2.522698325038661</v>
      </c>
      <c r="H3094" s="70">
        <f t="shared" si="340"/>
        <v>1</v>
      </c>
      <c r="I3094" s="70">
        <f t="shared" si="341"/>
        <v>1</v>
      </c>
      <c r="J3094" s="70">
        <f t="shared" si="342"/>
        <v>2.522698325038661</v>
      </c>
      <c r="K3094" s="70">
        <f>IF(CurrentMtgRatesDataTable8[[#This Row],[WA CC]]&lt;&gt;0,C3093-CurrentMtgRatesDataTable8[[#This Row],[WA CC]],0)</f>
        <v>0.94230167496133888</v>
      </c>
      <c r="L3094" s="70">
        <f>IF(CurrentMtgRatesDataTable8[[#This Row],[Servicing Spread]]&lt;=0,L3093,CurrentMtgRatesDataTable8[[#This Row],[Servicing Spread]])</f>
        <v>0.94230167496133888</v>
      </c>
      <c r="M3094" s="70">
        <f>CurrentMtgRatesDataTable8[[#This Row],[Servicing Spread Non-Zero]]-L3093</f>
        <v>-6.2061715418142427E-3</v>
      </c>
      <c r="N3094" s="70">
        <f>IF(J3093&lt;&gt;0,CurrentMtgRatesDataTable8[[#This Row],[Rate]]-C3093,N3093)</f>
        <v>-0.12000000000000011</v>
      </c>
    </row>
    <row r="3095" spans="1:14">
      <c r="A3095" s="67" t="s">
        <v>1058</v>
      </c>
      <c r="B3095" s="68">
        <v>2.47278907327191</v>
      </c>
      <c r="C3095" s="69">
        <v>3.4550000000000001</v>
      </c>
      <c r="D3095" s="70">
        <f t="shared" si="336"/>
        <v>1</v>
      </c>
      <c r="E3095" s="70">
        <f t="shared" si="337"/>
        <v>0.2</v>
      </c>
      <c r="F3095" s="70">
        <f t="shared" si="338"/>
        <v>1</v>
      </c>
      <c r="G3095" s="70">
        <f t="shared" si="339"/>
        <v>0.49455781465438203</v>
      </c>
      <c r="H3095" s="70">
        <f t="shared" si="340"/>
        <v>0.2</v>
      </c>
      <c r="I3095" s="70">
        <f t="shared" si="341"/>
        <v>0</v>
      </c>
      <c r="J3095" s="70">
        <f t="shared" si="342"/>
        <v>0</v>
      </c>
      <c r="K3095" s="70">
        <f>IF(CurrentMtgRatesDataTable8[[#This Row],[WA CC]]&lt;&gt;0,C3094-CurrentMtgRatesDataTable8[[#This Row],[WA CC]],0)</f>
        <v>0</v>
      </c>
      <c r="L3095" s="70">
        <f>IF(CurrentMtgRatesDataTable8[[#This Row],[Servicing Spread]]&lt;=0,L3094,CurrentMtgRatesDataTable8[[#This Row],[Servicing Spread]])</f>
        <v>0.94230167496133888</v>
      </c>
      <c r="M3095" s="70">
        <f>CurrentMtgRatesDataTable8[[#This Row],[Servicing Spread Non-Zero]]-L3094</f>
        <v>0</v>
      </c>
      <c r="N3095" s="70">
        <f>IF(J3094&lt;&gt;0,CurrentMtgRatesDataTable8[[#This Row],[Rate]]-C3094,N3094)</f>
        <v>-9.9999999999997868E-3</v>
      </c>
    </row>
    <row r="3096" spans="1:14">
      <c r="A3096" s="67" t="s">
        <v>1059</v>
      </c>
      <c r="B3096" s="68">
        <v>2.47640548535824</v>
      </c>
      <c r="C3096" s="69">
        <v>3.4550000000000001</v>
      </c>
      <c r="D3096" s="70">
        <f t="shared" si="336"/>
        <v>2</v>
      </c>
      <c r="E3096" s="70">
        <f t="shared" si="337"/>
        <v>0.2</v>
      </c>
      <c r="F3096" s="70">
        <f t="shared" si="338"/>
        <v>2</v>
      </c>
      <c r="G3096" s="70">
        <f t="shared" si="339"/>
        <v>0.98983891172603</v>
      </c>
      <c r="H3096" s="70">
        <f t="shared" si="340"/>
        <v>0.4</v>
      </c>
      <c r="I3096" s="70">
        <f t="shared" si="341"/>
        <v>0</v>
      </c>
      <c r="J3096" s="70">
        <f t="shared" si="342"/>
        <v>0</v>
      </c>
      <c r="K3096" s="70">
        <f>IF(CurrentMtgRatesDataTable8[[#This Row],[WA CC]]&lt;&gt;0,C3095-CurrentMtgRatesDataTable8[[#This Row],[WA CC]],0)</f>
        <v>0</v>
      </c>
      <c r="L3096" s="70">
        <f>IF(CurrentMtgRatesDataTable8[[#This Row],[Servicing Spread]]&lt;=0,L3095,CurrentMtgRatesDataTable8[[#This Row],[Servicing Spread]])</f>
        <v>0.94230167496133888</v>
      </c>
      <c r="M3096" s="70">
        <f>CurrentMtgRatesDataTable8[[#This Row],[Servicing Spread Non-Zero]]-L3095</f>
        <v>0</v>
      </c>
      <c r="N3096" s="70">
        <f>IF(J3095&lt;&gt;0,CurrentMtgRatesDataTable8[[#This Row],[Rate]]-C3095,N3095)</f>
        <v>-9.9999999999997868E-3</v>
      </c>
    </row>
    <row r="3097" spans="1:14">
      <c r="A3097" s="67" t="s">
        <v>1060</v>
      </c>
      <c r="B3097" s="68">
        <v>2.4761946977279501</v>
      </c>
      <c r="C3097" s="69">
        <v>3.4550000000000001</v>
      </c>
      <c r="D3097" s="70">
        <f t="shared" si="336"/>
        <v>5</v>
      </c>
      <c r="E3097" s="70">
        <f t="shared" si="337"/>
        <v>0.2</v>
      </c>
      <c r="F3097" s="70">
        <f t="shared" si="338"/>
        <v>3</v>
      </c>
      <c r="G3097" s="70">
        <f t="shared" si="339"/>
        <v>1.4850778512716201</v>
      </c>
      <c r="H3097" s="70">
        <f t="shared" si="340"/>
        <v>0.60000000000000009</v>
      </c>
      <c r="I3097" s="70">
        <f t="shared" si="341"/>
        <v>0</v>
      </c>
      <c r="J3097" s="70">
        <f t="shared" si="342"/>
        <v>0</v>
      </c>
      <c r="K3097" s="70">
        <f>IF(CurrentMtgRatesDataTable8[[#This Row],[WA CC]]&lt;&gt;0,C3096-CurrentMtgRatesDataTable8[[#This Row],[WA CC]],0)</f>
        <v>0</v>
      </c>
      <c r="L3097" s="70">
        <f>IF(CurrentMtgRatesDataTable8[[#This Row],[Servicing Spread]]&lt;=0,L3096,CurrentMtgRatesDataTable8[[#This Row],[Servicing Spread]])</f>
        <v>0.94230167496133888</v>
      </c>
      <c r="M3097" s="70">
        <f>CurrentMtgRatesDataTable8[[#This Row],[Servicing Spread Non-Zero]]-L3096</f>
        <v>0</v>
      </c>
      <c r="N3097" s="70">
        <f>IF(J3096&lt;&gt;0,CurrentMtgRatesDataTable8[[#This Row],[Rate]]-C3096,N3096)</f>
        <v>-9.9999999999997868E-3</v>
      </c>
    </row>
    <row r="3098" spans="1:14">
      <c r="A3098" s="67" t="s">
        <v>1061</v>
      </c>
      <c r="B3098" s="68">
        <v>2.52514420347971</v>
      </c>
      <c r="C3098" s="69">
        <v>3.4550000000000001</v>
      </c>
      <c r="D3098" s="70">
        <f t="shared" si="336"/>
        <v>6</v>
      </c>
      <c r="E3098" s="70">
        <f t="shared" si="337"/>
        <v>0.2</v>
      </c>
      <c r="F3098" s="70">
        <f t="shared" si="338"/>
        <v>4</v>
      </c>
      <c r="G3098" s="70">
        <f t="shared" si="339"/>
        <v>1.9901066919675621</v>
      </c>
      <c r="H3098" s="70">
        <f t="shared" si="340"/>
        <v>0.8</v>
      </c>
      <c r="I3098" s="70">
        <f t="shared" si="341"/>
        <v>0</v>
      </c>
      <c r="J3098" s="70">
        <f t="shared" si="342"/>
        <v>0</v>
      </c>
      <c r="K3098" s="70">
        <f>IF(CurrentMtgRatesDataTable8[[#This Row],[WA CC]]&lt;&gt;0,C3097-CurrentMtgRatesDataTable8[[#This Row],[WA CC]],0)</f>
        <v>0</v>
      </c>
      <c r="L3098" s="70">
        <f>IF(CurrentMtgRatesDataTable8[[#This Row],[Servicing Spread]]&lt;=0,L3097,CurrentMtgRatesDataTable8[[#This Row],[Servicing Spread]])</f>
        <v>0.94230167496133888</v>
      </c>
      <c r="M3098" s="70">
        <f>CurrentMtgRatesDataTable8[[#This Row],[Servicing Spread Non-Zero]]-L3097</f>
        <v>0</v>
      </c>
      <c r="N3098" s="70">
        <f>IF(J3097&lt;&gt;0,CurrentMtgRatesDataTable8[[#This Row],[Rate]]-C3097,N3097)</f>
        <v>-9.9999999999997868E-3</v>
      </c>
    </row>
    <row r="3099" spans="1:14">
      <c r="A3099" s="67" t="s">
        <v>1062</v>
      </c>
      <c r="B3099" s="68">
        <v>2.5121043496510298</v>
      </c>
      <c r="C3099" s="69">
        <v>3.4550000000000001</v>
      </c>
      <c r="D3099" s="70">
        <f t="shared" si="336"/>
        <v>7</v>
      </c>
      <c r="E3099" s="70">
        <f t="shared" si="337"/>
        <v>0.2</v>
      </c>
      <c r="F3099" s="70">
        <f t="shared" si="338"/>
        <v>5</v>
      </c>
      <c r="G3099" s="70">
        <f t="shared" si="339"/>
        <v>2.4925275618977683</v>
      </c>
      <c r="H3099" s="70">
        <f t="shared" si="340"/>
        <v>1</v>
      </c>
      <c r="I3099" s="70">
        <f t="shared" si="341"/>
        <v>1</v>
      </c>
      <c r="J3099" s="70">
        <f t="shared" si="342"/>
        <v>2.4925275618977683</v>
      </c>
      <c r="K3099" s="70">
        <f>IF(CurrentMtgRatesDataTable8[[#This Row],[WA CC]]&lt;&gt;0,C3098-CurrentMtgRatesDataTable8[[#This Row],[WA CC]],0)</f>
        <v>0.96247243810223182</v>
      </c>
      <c r="L3099" s="70">
        <f>IF(CurrentMtgRatesDataTable8[[#This Row],[Servicing Spread]]&lt;=0,L3098,CurrentMtgRatesDataTable8[[#This Row],[Servicing Spread]])</f>
        <v>0.96247243810223182</v>
      </c>
      <c r="M3099" s="70">
        <f>CurrentMtgRatesDataTable8[[#This Row],[Servicing Spread Non-Zero]]-L3098</f>
        <v>2.0170763140892944E-2</v>
      </c>
      <c r="N3099" s="70">
        <f>IF(J3098&lt;&gt;0,CurrentMtgRatesDataTable8[[#This Row],[Rate]]-C3098,N3098)</f>
        <v>-9.9999999999997868E-3</v>
      </c>
    </row>
    <row r="3100" spans="1:14">
      <c r="A3100" s="67" t="s">
        <v>1063</v>
      </c>
      <c r="B3100" s="68">
        <v>2.5130719329869802</v>
      </c>
      <c r="C3100" s="69">
        <v>3.4899999999999998</v>
      </c>
      <c r="D3100" s="70">
        <f t="shared" si="336"/>
        <v>1</v>
      </c>
      <c r="E3100" s="70">
        <f t="shared" si="337"/>
        <v>0.2</v>
      </c>
      <c r="F3100" s="70">
        <f t="shared" si="338"/>
        <v>1</v>
      </c>
      <c r="G3100" s="70">
        <f t="shared" si="339"/>
        <v>0.5026143865973961</v>
      </c>
      <c r="H3100" s="70">
        <f t="shared" si="340"/>
        <v>0.2</v>
      </c>
      <c r="I3100" s="70">
        <f t="shared" si="341"/>
        <v>0</v>
      </c>
      <c r="J3100" s="70">
        <f t="shared" si="342"/>
        <v>0</v>
      </c>
      <c r="K3100" s="70">
        <f>IF(CurrentMtgRatesDataTable8[[#This Row],[WA CC]]&lt;&gt;0,C3099-CurrentMtgRatesDataTable8[[#This Row],[WA CC]],0)</f>
        <v>0</v>
      </c>
      <c r="L3100" s="70">
        <f>IF(CurrentMtgRatesDataTable8[[#This Row],[Servicing Spread]]&lt;=0,L3099,CurrentMtgRatesDataTable8[[#This Row],[Servicing Spread]])</f>
        <v>0.96247243810223182</v>
      </c>
      <c r="M3100" s="70">
        <f>CurrentMtgRatesDataTable8[[#This Row],[Servicing Spread Non-Zero]]-L3099</f>
        <v>0</v>
      </c>
      <c r="N3100" s="70">
        <f>IF(J3099&lt;&gt;0,CurrentMtgRatesDataTable8[[#This Row],[Rate]]-C3099,N3099)</f>
        <v>3.4999999999999698E-2</v>
      </c>
    </row>
    <row r="3101" spans="1:14">
      <c r="A3101" s="67" t="s">
        <v>1064</v>
      </c>
      <c r="B3101" s="68">
        <v>2.50830487739315</v>
      </c>
      <c r="C3101" s="69">
        <v>3.4899999999999998</v>
      </c>
      <c r="D3101" s="70">
        <f t="shared" si="336"/>
        <v>2</v>
      </c>
      <c r="E3101" s="70">
        <f t="shared" si="337"/>
        <v>0.2</v>
      </c>
      <c r="F3101" s="70">
        <f t="shared" si="338"/>
        <v>2</v>
      </c>
      <c r="G3101" s="70">
        <f t="shared" si="339"/>
        <v>1.0042753620760261</v>
      </c>
      <c r="H3101" s="70">
        <f t="shared" si="340"/>
        <v>0.4</v>
      </c>
      <c r="I3101" s="70">
        <f t="shared" si="341"/>
        <v>0</v>
      </c>
      <c r="J3101" s="70">
        <f t="shared" si="342"/>
        <v>0</v>
      </c>
      <c r="K3101" s="70">
        <f>IF(CurrentMtgRatesDataTable8[[#This Row],[WA CC]]&lt;&gt;0,C3100-CurrentMtgRatesDataTable8[[#This Row],[WA CC]],0)</f>
        <v>0</v>
      </c>
      <c r="L3101" s="70">
        <f>IF(CurrentMtgRatesDataTable8[[#This Row],[Servicing Spread]]&lt;=0,L3100,CurrentMtgRatesDataTable8[[#This Row],[Servicing Spread]])</f>
        <v>0.96247243810223182</v>
      </c>
      <c r="M3101" s="70">
        <f>CurrentMtgRatesDataTable8[[#This Row],[Servicing Spread Non-Zero]]-L3100</f>
        <v>0</v>
      </c>
      <c r="N3101" s="70">
        <f>IF(J3100&lt;&gt;0,CurrentMtgRatesDataTable8[[#This Row],[Rate]]-C3100,N3100)</f>
        <v>3.4999999999999698E-2</v>
      </c>
    </row>
    <row r="3102" spans="1:14">
      <c r="A3102" s="67" t="s">
        <v>1065</v>
      </c>
      <c r="B3102" s="68">
        <v>2.5181131981013598</v>
      </c>
      <c r="C3102" s="69">
        <v>3.4899999999999998</v>
      </c>
      <c r="D3102" s="70">
        <f t="shared" si="336"/>
        <v>5</v>
      </c>
      <c r="E3102" s="70">
        <f t="shared" si="337"/>
        <v>0.2</v>
      </c>
      <c r="F3102" s="70">
        <f t="shared" si="338"/>
        <v>3</v>
      </c>
      <c r="G3102" s="70">
        <f t="shared" si="339"/>
        <v>1.5078980016962982</v>
      </c>
      <c r="H3102" s="70">
        <f t="shared" si="340"/>
        <v>0.60000000000000009</v>
      </c>
      <c r="I3102" s="70">
        <f t="shared" si="341"/>
        <v>0</v>
      </c>
      <c r="J3102" s="70">
        <f t="shared" si="342"/>
        <v>0</v>
      </c>
      <c r="K3102" s="70">
        <f>IF(CurrentMtgRatesDataTable8[[#This Row],[WA CC]]&lt;&gt;0,C3101-CurrentMtgRatesDataTable8[[#This Row],[WA CC]],0)</f>
        <v>0</v>
      </c>
      <c r="L3102" s="70">
        <f>IF(CurrentMtgRatesDataTable8[[#This Row],[Servicing Spread]]&lt;=0,L3101,CurrentMtgRatesDataTable8[[#This Row],[Servicing Spread]])</f>
        <v>0.96247243810223182</v>
      </c>
      <c r="M3102" s="70">
        <f>CurrentMtgRatesDataTable8[[#This Row],[Servicing Spread Non-Zero]]-L3101</f>
        <v>0</v>
      </c>
      <c r="N3102" s="70">
        <f>IF(J3101&lt;&gt;0,CurrentMtgRatesDataTable8[[#This Row],[Rate]]-C3101,N3101)</f>
        <v>3.4999999999999698E-2</v>
      </c>
    </row>
    <row r="3103" spans="1:14">
      <c r="A3103" s="67" t="s">
        <v>1066</v>
      </c>
      <c r="B3103" s="68">
        <v>2.5437168006359601</v>
      </c>
      <c r="C3103" s="69">
        <v>3.4899999999999998</v>
      </c>
      <c r="D3103" s="70">
        <f t="shared" si="336"/>
        <v>6</v>
      </c>
      <c r="E3103" s="70">
        <f t="shared" si="337"/>
        <v>0.2</v>
      </c>
      <c r="F3103" s="70">
        <f t="shared" si="338"/>
        <v>4</v>
      </c>
      <c r="G3103" s="70">
        <f t="shared" si="339"/>
        <v>2.0166413618234902</v>
      </c>
      <c r="H3103" s="70">
        <f t="shared" si="340"/>
        <v>0.8</v>
      </c>
      <c r="I3103" s="70">
        <f t="shared" si="341"/>
        <v>0</v>
      </c>
      <c r="J3103" s="70">
        <f t="shared" si="342"/>
        <v>0</v>
      </c>
      <c r="K3103" s="70">
        <f>IF(CurrentMtgRatesDataTable8[[#This Row],[WA CC]]&lt;&gt;0,C3102-CurrentMtgRatesDataTable8[[#This Row],[WA CC]],0)</f>
        <v>0</v>
      </c>
      <c r="L3103" s="70">
        <f>IF(CurrentMtgRatesDataTable8[[#This Row],[Servicing Spread]]&lt;=0,L3102,CurrentMtgRatesDataTable8[[#This Row],[Servicing Spread]])</f>
        <v>0.96247243810223182</v>
      </c>
      <c r="M3103" s="70">
        <f>CurrentMtgRatesDataTable8[[#This Row],[Servicing Spread Non-Zero]]-L3102</f>
        <v>0</v>
      </c>
      <c r="N3103" s="70">
        <f>IF(J3102&lt;&gt;0,CurrentMtgRatesDataTable8[[#This Row],[Rate]]-C3102,N3102)</f>
        <v>3.4999999999999698E-2</v>
      </c>
    </row>
    <row r="3104" spans="1:14">
      <c r="A3104" s="67" t="s">
        <v>1067</v>
      </c>
      <c r="B3104" s="68">
        <v>2.6250547369401902</v>
      </c>
      <c r="C3104" s="69">
        <v>3.4899999999999998</v>
      </c>
      <c r="D3104" s="70">
        <f t="shared" si="336"/>
        <v>7</v>
      </c>
      <c r="E3104" s="70">
        <f t="shared" si="337"/>
        <v>0.2</v>
      </c>
      <c r="F3104" s="70">
        <f t="shared" si="338"/>
        <v>5</v>
      </c>
      <c r="G3104" s="70">
        <f t="shared" si="339"/>
        <v>2.5416523092115284</v>
      </c>
      <c r="H3104" s="70">
        <f t="shared" si="340"/>
        <v>1</v>
      </c>
      <c r="I3104" s="70">
        <f t="shared" si="341"/>
        <v>1</v>
      </c>
      <c r="J3104" s="70">
        <f t="shared" si="342"/>
        <v>2.5416523092115284</v>
      </c>
      <c r="K3104" s="70">
        <f>IF(CurrentMtgRatesDataTable8[[#This Row],[WA CC]]&lt;&gt;0,C3103-CurrentMtgRatesDataTable8[[#This Row],[WA CC]],0)</f>
        <v>0.94834769078847136</v>
      </c>
      <c r="L3104" s="70">
        <f>IF(CurrentMtgRatesDataTable8[[#This Row],[Servicing Spread]]&lt;=0,L3103,CurrentMtgRatesDataTable8[[#This Row],[Servicing Spread]])</f>
        <v>0.94834769078847136</v>
      </c>
      <c r="M3104" s="70">
        <f>CurrentMtgRatesDataTable8[[#This Row],[Servicing Spread Non-Zero]]-L3103</f>
        <v>-1.4124747313760455E-2</v>
      </c>
      <c r="N3104" s="70">
        <f>IF(J3103&lt;&gt;0,CurrentMtgRatesDataTable8[[#This Row],[Rate]]-C3103,N3103)</f>
        <v>3.4999999999999698E-2</v>
      </c>
    </row>
    <row r="3105" spans="1:14">
      <c r="A3105" s="67" t="s">
        <v>1068</v>
      </c>
      <c r="B3105" s="68">
        <v>2.6404764057609502</v>
      </c>
      <c r="C3105" s="69">
        <v>3.56</v>
      </c>
      <c r="D3105" s="70">
        <f t="shared" si="336"/>
        <v>1</v>
      </c>
      <c r="E3105" s="70">
        <f t="shared" si="337"/>
        <v>0.2</v>
      </c>
      <c r="F3105" s="70">
        <f t="shared" si="338"/>
        <v>1</v>
      </c>
      <c r="G3105" s="70">
        <f t="shared" si="339"/>
        <v>0.52809528115219007</v>
      </c>
      <c r="H3105" s="70">
        <f t="shared" si="340"/>
        <v>0.2</v>
      </c>
      <c r="I3105" s="70">
        <f t="shared" si="341"/>
        <v>0</v>
      </c>
      <c r="J3105" s="70">
        <f t="shared" si="342"/>
        <v>0</v>
      </c>
      <c r="K3105" s="70">
        <f>IF(CurrentMtgRatesDataTable8[[#This Row],[WA CC]]&lt;&gt;0,C3104-CurrentMtgRatesDataTable8[[#This Row],[WA CC]],0)</f>
        <v>0</v>
      </c>
      <c r="L3105" s="70">
        <f>IF(CurrentMtgRatesDataTable8[[#This Row],[Servicing Spread]]&lt;=0,L3104,CurrentMtgRatesDataTable8[[#This Row],[Servicing Spread]])</f>
        <v>0.94834769078847136</v>
      </c>
      <c r="M3105" s="70">
        <f>CurrentMtgRatesDataTable8[[#This Row],[Servicing Spread Non-Zero]]-L3104</f>
        <v>0</v>
      </c>
      <c r="N3105" s="70">
        <f>IF(J3104&lt;&gt;0,CurrentMtgRatesDataTable8[[#This Row],[Rate]]-C3104,N3104)</f>
        <v>7.0000000000000284E-2</v>
      </c>
    </row>
    <row r="3106" spans="1:14">
      <c r="A3106" s="67" t="s">
        <v>1069</v>
      </c>
      <c r="B3106" s="68">
        <v>2.6550245016792</v>
      </c>
      <c r="C3106" s="69">
        <v>3.56</v>
      </c>
      <c r="D3106" s="70">
        <f t="shared" si="336"/>
        <v>2</v>
      </c>
      <c r="E3106" s="70">
        <f t="shared" si="337"/>
        <v>0.2</v>
      </c>
      <c r="F3106" s="70">
        <f t="shared" si="338"/>
        <v>2</v>
      </c>
      <c r="G3106" s="70">
        <f t="shared" si="339"/>
        <v>1.0591001814880301</v>
      </c>
      <c r="H3106" s="70">
        <f t="shared" si="340"/>
        <v>0.4</v>
      </c>
      <c r="I3106" s="70">
        <f t="shared" si="341"/>
        <v>0</v>
      </c>
      <c r="J3106" s="70">
        <f t="shared" si="342"/>
        <v>0</v>
      </c>
      <c r="K3106" s="70">
        <f>IF(CurrentMtgRatesDataTable8[[#This Row],[WA CC]]&lt;&gt;0,C3105-CurrentMtgRatesDataTable8[[#This Row],[WA CC]],0)</f>
        <v>0</v>
      </c>
      <c r="L3106" s="70">
        <f>IF(CurrentMtgRatesDataTable8[[#This Row],[Servicing Spread]]&lt;=0,L3105,CurrentMtgRatesDataTable8[[#This Row],[Servicing Spread]])</f>
        <v>0.94834769078847136</v>
      </c>
      <c r="M3106" s="70">
        <f>CurrentMtgRatesDataTable8[[#This Row],[Servicing Spread Non-Zero]]-L3105</f>
        <v>0</v>
      </c>
      <c r="N3106" s="70">
        <f>IF(J3105&lt;&gt;0,CurrentMtgRatesDataTable8[[#This Row],[Rate]]-C3105,N3105)</f>
        <v>7.0000000000000284E-2</v>
      </c>
    </row>
    <row r="3107" spans="1:14">
      <c r="A3107" s="67" t="s">
        <v>1070</v>
      </c>
      <c r="B3107" s="68">
        <v>2.6615233310635298</v>
      </c>
      <c r="C3107" s="69">
        <v>3.56</v>
      </c>
      <c r="D3107" s="70">
        <f t="shared" si="336"/>
        <v>5</v>
      </c>
      <c r="E3107" s="70">
        <f t="shared" si="337"/>
        <v>0.2</v>
      </c>
      <c r="F3107" s="70">
        <f t="shared" si="338"/>
        <v>3</v>
      </c>
      <c r="G3107" s="70">
        <f t="shared" si="339"/>
        <v>1.5914048477007361</v>
      </c>
      <c r="H3107" s="70">
        <f t="shared" si="340"/>
        <v>0.60000000000000009</v>
      </c>
      <c r="I3107" s="70">
        <f t="shared" si="341"/>
        <v>0</v>
      </c>
      <c r="J3107" s="70">
        <f t="shared" si="342"/>
        <v>0</v>
      </c>
      <c r="K3107" s="70">
        <f>IF(CurrentMtgRatesDataTable8[[#This Row],[WA CC]]&lt;&gt;0,C3106-CurrentMtgRatesDataTable8[[#This Row],[WA CC]],0)</f>
        <v>0</v>
      </c>
      <c r="L3107" s="70">
        <f>IF(CurrentMtgRatesDataTable8[[#This Row],[Servicing Spread]]&lt;=0,L3106,CurrentMtgRatesDataTable8[[#This Row],[Servicing Spread]])</f>
        <v>0.94834769078847136</v>
      </c>
      <c r="M3107" s="70">
        <f>CurrentMtgRatesDataTable8[[#This Row],[Servicing Spread Non-Zero]]-L3106</f>
        <v>0</v>
      </c>
      <c r="N3107" s="70">
        <f>IF(J3106&lt;&gt;0,CurrentMtgRatesDataTable8[[#This Row],[Rate]]-C3106,N3106)</f>
        <v>7.0000000000000284E-2</v>
      </c>
    </row>
    <row r="3108" spans="1:14">
      <c r="A3108" s="67" t="s">
        <v>1071</v>
      </c>
      <c r="B3108" s="68">
        <v>2.6761661289504999</v>
      </c>
      <c r="C3108" s="69">
        <v>3.56</v>
      </c>
      <c r="D3108" s="70">
        <f t="shared" si="336"/>
        <v>6</v>
      </c>
      <c r="E3108" s="70">
        <f t="shared" si="337"/>
        <v>0.2</v>
      </c>
      <c r="F3108" s="70">
        <f t="shared" si="338"/>
        <v>4</v>
      </c>
      <c r="G3108" s="70">
        <f t="shared" si="339"/>
        <v>2.1266380734908363</v>
      </c>
      <c r="H3108" s="70">
        <f t="shared" si="340"/>
        <v>0.8</v>
      </c>
      <c r="I3108" s="70">
        <f t="shared" si="341"/>
        <v>0</v>
      </c>
      <c r="J3108" s="70">
        <f t="shared" si="342"/>
        <v>0</v>
      </c>
      <c r="K3108" s="70">
        <f>IF(CurrentMtgRatesDataTable8[[#This Row],[WA CC]]&lt;&gt;0,C3107-CurrentMtgRatesDataTable8[[#This Row],[WA CC]],0)</f>
        <v>0</v>
      </c>
      <c r="L3108" s="70">
        <f>IF(CurrentMtgRatesDataTable8[[#This Row],[Servicing Spread]]&lt;=0,L3107,CurrentMtgRatesDataTable8[[#This Row],[Servicing Spread]])</f>
        <v>0.94834769078847136</v>
      </c>
      <c r="M3108" s="70">
        <f>CurrentMtgRatesDataTable8[[#This Row],[Servicing Spread Non-Zero]]-L3107</f>
        <v>0</v>
      </c>
      <c r="N3108" s="70">
        <f>IF(J3107&lt;&gt;0,CurrentMtgRatesDataTable8[[#This Row],[Rate]]-C3107,N3107)</f>
        <v>7.0000000000000284E-2</v>
      </c>
    </row>
    <row r="3109" spans="1:14">
      <c r="A3109" s="67" t="s">
        <v>1072</v>
      </c>
      <c r="B3109" s="68">
        <v>2.6300132369593099</v>
      </c>
      <c r="C3109" s="69">
        <v>3.56</v>
      </c>
      <c r="D3109" s="70">
        <f t="shared" si="336"/>
        <v>7</v>
      </c>
      <c r="E3109" s="70">
        <f t="shared" si="337"/>
        <v>0.2</v>
      </c>
      <c r="F3109" s="70">
        <f t="shared" si="338"/>
        <v>5</v>
      </c>
      <c r="G3109" s="70">
        <f t="shared" si="339"/>
        <v>2.6526407208826983</v>
      </c>
      <c r="H3109" s="70">
        <f t="shared" si="340"/>
        <v>1</v>
      </c>
      <c r="I3109" s="70">
        <f t="shared" si="341"/>
        <v>1</v>
      </c>
      <c r="J3109" s="70">
        <f t="shared" si="342"/>
        <v>2.6526407208826983</v>
      </c>
      <c r="K3109" s="70">
        <f>IF(CurrentMtgRatesDataTable8[[#This Row],[WA CC]]&lt;&gt;0,C3108-CurrentMtgRatesDataTable8[[#This Row],[WA CC]],0)</f>
        <v>0.90735927911730174</v>
      </c>
      <c r="L3109" s="70">
        <f>IF(CurrentMtgRatesDataTable8[[#This Row],[Servicing Spread]]&lt;=0,L3108,CurrentMtgRatesDataTable8[[#This Row],[Servicing Spread]])</f>
        <v>0.90735927911730174</v>
      </c>
      <c r="M3109" s="70">
        <f>CurrentMtgRatesDataTable8[[#This Row],[Servicing Spread Non-Zero]]-L3108</f>
        <v>-4.0988411671169622E-2</v>
      </c>
      <c r="N3109" s="70">
        <f>IF(J3108&lt;&gt;0,CurrentMtgRatesDataTable8[[#This Row],[Rate]]-C3108,N3108)</f>
        <v>7.0000000000000284E-2</v>
      </c>
    </row>
    <row r="3110" spans="1:14">
      <c r="A3110" s="67" t="s">
        <v>1073</v>
      </c>
      <c r="B3110" s="68">
        <v>2.5822903724603399</v>
      </c>
      <c r="C3110" s="69">
        <v>3.51</v>
      </c>
      <c r="D3110" s="70">
        <f t="shared" si="336"/>
        <v>1</v>
      </c>
      <c r="E3110" s="70">
        <f t="shared" si="337"/>
        <v>0.2</v>
      </c>
      <c r="F3110" s="70">
        <f t="shared" si="338"/>
        <v>1</v>
      </c>
      <c r="G3110" s="70">
        <f t="shared" si="339"/>
        <v>0.51645807449206804</v>
      </c>
      <c r="H3110" s="70">
        <f t="shared" si="340"/>
        <v>0.2</v>
      </c>
      <c r="I3110" s="70">
        <f t="shared" si="341"/>
        <v>0</v>
      </c>
      <c r="J3110" s="70">
        <f t="shared" si="342"/>
        <v>0</v>
      </c>
      <c r="K3110" s="70">
        <f>IF(CurrentMtgRatesDataTable8[[#This Row],[WA CC]]&lt;&gt;0,C3109-CurrentMtgRatesDataTable8[[#This Row],[WA CC]],0)</f>
        <v>0</v>
      </c>
      <c r="L3110" s="70">
        <f>IF(CurrentMtgRatesDataTable8[[#This Row],[Servicing Spread]]&lt;=0,L3109,CurrentMtgRatesDataTable8[[#This Row],[Servicing Spread]])</f>
        <v>0.90735927911730174</v>
      </c>
      <c r="M3110" s="70">
        <f>CurrentMtgRatesDataTable8[[#This Row],[Servicing Spread Non-Zero]]-L3109</f>
        <v>0</v>
      </c>
      <c r="N3110" s="70">
        <f>IF(J3109&lt;&gt;0,CurrentMtgRatesDataTable8[[#This Row],[Rate]]-C3109,N3109)</f>
        <v>-5.0000000000000266E-2</v>
      </c>
    </row>
    <row r="3111" spans="1:14">
      <c r="A3111" s="67" t="s">
        <v>1074</v>
      </c>
      <c r="B3111" s="68">
        <v>2.5646426996598599</v>
      </c>
      <c r="C3111" s="69">
        <v>3.51</v>
      </c>
      <c r="D3111" s="70">
        <f t="shared" si="336"/>
        <v>2</v>
      </c>
      <c r="E3111" s="70">
        <f t="shared" si="337"/>
        <v>0.2</v>
      </c>
      <c r="F3111" s="70">
        <f t="shared" si="338"/>
        <v>2</v>
      </c>
      <c r="G3111" s="70">
        <f t="shared" si="339"/>
        <v>1.02938661442404</v>
      </c>
      <c r="H3111" s="70">
        <f t="shared" si="340"/>
        <v>0.4</v>
      </c>
      <c r="I3111" s="70">
        <f t="shared" si="341"/>
        <v>0</v>
      </c>
      <c r="J3111" s="70">
        <f t="shared" si="342"/>
        <v>0</v>
      </c>
      <c r="K3111" s="70">
        <f>IF(CurrentMtgRatesDataTable8[[#This Row],[WA CC]]&lt;&gt;0,C3110-CurrentMtgRatesDataTable8[[#This Row],[WA CC]],0)</f>
        <v>0</v>
      </c>
      <c r="L3111" s="70">
        <f>IF(CurrentMtgRatesDataTable8[[#This Row],[Servicing Spread]]&lt;=0,L3110,CurrentMtgRatesDataTable8[[#This Row],[Servicing Spread]])</f>
        <v>0.90735927911730174</v>
      </c>
      <c r="M3111" s="70">
        <f>CurrentMtgRatesDataTable8[[#This Row],[Servicing Spread Non-Zero]]-L3110</f>
        <v>0</v>
      </c>
      <c r="N3111" s="70">
        <f>IF(J3110&lt;&gt;0,CurrentMtgRatesDataTable8[[#This Row],[Rate]]-C3110,N3110)</f>
        <v>-5.0000000000000266E-2</v>
      </c>
    </row>
    <row r="3112" spans="1:14">
      <c r="A3112" s="67" t="s">
        <v>1075</v>
      </c>
      <c r="B3112" s="68">
        <v>2.6083213948699102</v>
      </c>
      <c r="C3112" s="69">
        <v>3.51</v>
      </c>
      <c r="D3112" s="70">
        <f t="shared" si="336"/>
        <v>5</v>
      </c>
      <c r="E3112" s="70">
        <f t="shared" si="337"/>
        <v>0.2</v>
      </c>
      <c r="F3112" s="70">
        <f t="shared" si="338"/>
        <v>3</v>
      </c>
      <c r="G3112" s="70">
        <f t="shared" si="339"/>
        <v>1.551050893398022</v>
      </c>
      <c r="H3112" s="70">
        <f t="shared" si="340"/>
        <v>0.60000000000000009</v>
      </c>
      <c r="I3112" s="70">
        <f t="shared" si="341"/>
        <v>0</v>
      </c>
      <c r="J3112" s="70">
        <f t="shared" si="342"/>
        <v>0</v>
      </c>
      <c r="K3112" s="70">
        <f>IF(CurrentMtgRatesDataTable8[[#This Row],[WA CC]]&lt;&gt;0,C3111-CurrentMtgRatesDataTable8[[#This Row],[WA CC]],0)</f>
        <v>0</v>
      </c>
      <c r="L3112" s="70">
        <f>IF(CurrentMtgRatesDataTable8[[#This Row],[Servicing Spread]]&lt;=0,L3111,CurrentMtgRatesDataTable8[[#This Row],[Servicing Spread]])</f>
        <v>0.90735927911730174</v>
      </c>
      <c r="M3112" s="70">
        <f>CurrentMtgRatesDataTable8[[#This Row],[Servicing Spread Non-Zero]]-L3111</f>
        <v>0</v>
      </c>
      <c r="N3112" s="70">
        <f>IF(J3111&lt;&gt;0,CurrentMtgRatesDataTable8[[#This Row],[Rate]]-C3111,N3111)</f>
        <v>-5.0000000000000266E-2</v>
      </c>
    </row>
    <row r="3113" spans="1:14">
      <c r="A3113" s="67" t="s">
        <v>1076</v>
      </c>
      <c r="B3113" s="68">
        <v>2.5475265739167301</v>
      </c>
      <c r="C3113" s="69">
        <v>3.51</v>
      </c>
      <c r="D3113" s="70">
        <f t="shared" si="336"/>
        <v>6</v>
      </c>
      <c r="E3113" s="70">
        <f t="shared" si="337"/>
        <v>0.2</v>
      </c>
      <c r="F3113" s="70">
        <f t="shared" si="338"/>
        <v>4</v>
      </c>
      <c r="G3113" s="70">
        <f t="shared" si="339"/>
        <v>2.0605562081813682</v>
      </c>
      <c r="H3113" s="70">
        <f t="shared" si="340"/>
        <v>0.8</v>
      </c>
      <c r="I3113" s="70">
        <f t="shared" si="341"/>
        <v>0</v>
      </c>
      <c r="J3113" s="70">
        <f t="shared" si="342"/>
        <v>0</v>
      </c>
      <c r="K3113" s="70">
        <f>IF(CurrentMtgRatesDataTable8[[#This Row],[WA CC]]&lt;&gt;0,C3112-CurrentMtgRatesDataTable8[[#This Row],[WA CC]],0)</f>
        <v>0</v>
      </c>
      <c r="L3113" s="70">
        <f>IF(CurrentMtgRatesDataTable8[[#This Row],[Servicing Spread]]&lt;=0,L3112,CurrentMtgRatesDataTable8[[#This Row],[Servicing Spread]])</f>
        <v>0.90735927911730174</v>
      </c>
      <c r="M3113" s="70">
        <f>CurrentMtgRatesDataTable8[[#This Row],[Servicing Spread Non-Zero]]-L3112</f>
        <v>0</v>
      </c>
      <c r="N3113" s="70">
        <f>IF(J3112&lt;&gt;0,CurrentMtgRatesDataTable8[[#This Row],[Rate]]-C3112,N3112)</f>
        <v>-5.0000000000000266E-2</v>
      </c>
    </row>
    <row r="3114" spans="1:14">
      <c r="A3114" s="67" t="s">
        <v>1077</v>
      </c>
      <c r="B3114" s="68">
        <v>2.55214527077672</v>
      </c>
      <c r="C3114" s="69">
        <v>3.51</v>
      </c>
      <c r="D3114" s="70">
        <f t="shared" si="336"/>
        <v>7</v>
      </c>
      <c r="E3114" s="70">
        <f t="shared" si="337"/>
        <v>0.2</v>
      </c>
      <c r="F3114" s="70">
        <f t="shared" si="338"/>
        <v>5</v>
      </c>
      <c r="G3114" s="70">
        <f t="shared" si="339"/>
        <v>2.5709852623367122</v>
      </c>
      <c r="H3114" s="70">
        <f t="shared" si="340"/>
        <v>1</v>
      </c>
      <c r="I3114" s="70">
        <f t="shared" si="341"/>
        <v>1</v>
      </c>
      <c r="J3114" s="70">
        <f t="shared" si="342"/>
        <v>2.5709852623367122</v>
      </c>
      <c r="K3114" s="70">
        <f>IF(CurrentMtgRatesDataTable8[[#This Row],[WA CC]]&lt;&gt;0,C3113-CurrentMtgRatesDataTable8[[#This Row],[WA CC]],0)</f>
        <v>0.93901473766328758</v>
      </c>
      <c r="L3114" s="70">
        <f>IF(CurrentMtgRatesDataTable8[[#This Row],[Servicing Spread]]&lt;=0,L3113,CurrentMtgRatesDataTable8[[#This Row],[Servicing Spread]])</f>
        <v>0.93901473766328758</v>
      </c>
      <c r="M3114" s="70">
        <f>CurrentMtgRatesDataTable8[[#This Row],[Servicing Spread Non-Zero]]-L3113</f>
        <v>3.1655458545985837E-2</v>
      </c>
      <c r="N3114" s="70">
        <f>IF(J3113&lt;&gt;0,CurrentMtgRatesDataTable8[[#This Row],[Rate]]-C3113,N3113)</f>
        <v>-5.0000000000000266E-2</v>
      </c>
    </row>
    <row r="3115" spans="1:14">
      <c r="A3115" s="67" t="s">
        <v>1078</v>
      </c>
      <c r="B3115" s="68">
        <v>2.5164663859594998</v>
      </c>
      <c r="C3115" s="69">
        <v>3.4449999999999998</v>
      </c>
      <c r="D3115" s="70">
        <f t="shared" si="336"/>
        <v>1</v>
      </c>
      <c r="E3115" s="70">
        <f t="shared" si="337"/>
        <v>0.2</v>
      </c>
      <c r="F3115" s="70">
        <f t="shared" si="338"/>
        <v>1</v>
      </c>
      <c r="G3115" s="70">
        <f t="shared" si="339"/>
        <v>0.50329327719189998</v>
      </c>
      <c r="H3115" s="70">
        <f t="shared" si="340"/>
        <v>0.2</v>
      </c>
      <c r="I3115" s="70">
        <f t="shared" si="341"/>
        <v>0</v>
      </c>
      <c r="J3115" s="70">
        <f t="shared" si="342"/>
        <v>0</v>
      </c>
      <c r="K3115" s="70">
        <f>IF(CurrentMtgRatesDataTable8[[#This Row],[WA CC]]&lt;&gt;0,C3114-CurrentMtgRatesDataTable8[[#This Row],[WA CC]],0)</f>
        <v>0</v>
      </c>
      <c r="L3115" s="70">
        <f>IF(CurrentMtgRatesDataTable8[[#This Row],[Servicing Spread]]&lt;=0,L3114,CurrentMtgRatesDataTable8[[#This Row],[Servicing Spread]])</f>
        <v>0.93901473766328758</v>
      </c>
      <c r="M3115" s="70">
        <f>CurrentMtgRatesDataTable8[[#This Row],[Servicing Spread Non-Zero]]-L3114</f>
        <v>0</v>
      </c>
      <c r="N3115" s="70">
        <f>IF(J3114&lt;&gt;0,CurrentMtgRatesDataTable8[[#This Row],[Rate]]-C3114,N3114)</f>
        <v>-6.4999999999999947E-2</v>
      </c>
    </row>
    <row r="3116" spans="1:14">
      <c r="A3116" s="67" t="s">
        <v>1079</v>
      </c>
      <c r="B3116" s="68">
        <v>2.5169224725100698</v>
      </c>
      <c r="C3116" s="69">
        <v>3.4449999999999998</v>
      </c>
      <c r="D3116" s="70">
        <f t="shared" si="336"/>
        <v>2</v>
      </c>
      <c r="E3116" s="70">
        <f t="shared" si="337"/>
        <v>0.2</v>
      </c>
      <c r="F3116" s="70">
        <f t="shared" si="338"/>
        <v>2</v>
      </c>
      <c r="G3116" s="70">
        <f t="shared" si="339"/>
        <v>1.0066777716939139</v>
      </c>
      <c r="H3116" s="70">
        <f t="shared" si="340"/>
        <v>0.4</v>
      </c>
      <c r="I3116" s="70">
        <f t="shared" si="341"/>
        <v>0</v>
      </c>
      <c r="J3116" s="70">
        <f t="shared" si="342"/>
        <v>0</v>
      </c>
      <c r="K3116" s="70">
        <f>IF(CurrentMtgRatesDataTable8[[#This Row],[WA CC]]&lt;&gt;0,C3115-CurrentMtgRatesDataTable8[[#This Row],[WA CC]],0)</f>
        <v>0</v>
      </c>
      <c r="L3116" s="70">
        <f>IF(CurrentMtgRatesDataTable8[[#This Row],[Servicing Spread]]&lt;=0,L3115,CurrentMtgRatesDataTable8[[#This Row],[Servicing Spread]])</f>
        <v>0.93901473766328758</v>
      </c>
      <c r="M3116" s="70">
        <f>CurrentMtgRatesDataTable8[[#This Row],[Servicing Spread Non-Zero]]-L3115</f>
        <v>0</v>
      </c>
      <c r="N3116" s="70">
        <f>IF(J3115&lt;&gt;0,CurrentMtgRatesDataTable8[[#This Row],[Rate]]-C3115,N3115)</f>
        <v>-6.4999999999999947E-2</v>
      </c>
    </row>
    <row r="3117" spans="1:14">
      <c r="A3117" s="67" t="s">
        <v>1080</v>
      </c>
      <c r="B3117" s="68">
        <v>2.5026837288081998</v>
      </c>
      <c r="C3117" s="69">
        <v>3.4449999999999998</v>
      </c>
      <c r="D3117" s="70">
        <f t="shared" si="336"/>
        <v>5</v>
      </c>
      <c r="E3117" s="70">
        <f t="shared" si="337"/>
        <v>0.2</v>
      </c>
      <c r="F3117" s="70">
        <f t="shared" si="338"/>
        <v>3</v>
      </c>
      <c r="G3117" s="70">
        <f t="shared" si="339"/>
        <v>1.5072145174555538</v>
      </c>
      <c r="H3117" s="70">
        <f t="shared" si="340"/>
        <v>0.60000000000000009</v>
      </c>
      <c r="I3117" s="70">
        <f t="shared" si="341"/>
        <v>0</v>
      </c>
      <c r="J3117" s="70">
        <f t="shared" si="342"/>
        <v>0</v>
      </c>
      <c r="K3117" s="70">
        <f>IF(CurrentMtgRatesDataTable8[[#This Row],[WA CC]]&lt;&gt;0,C3116-CurrentMtgRatesDataTable8[[#This Row],[WA CC]],0)</f>
        <v>0</v>
      </c>
      <c r="L3117" s="70">
        <f>IF(CurrentMtgRatesDataTable8[[#This Row],[Servicing Spread]]&lt;=0,L3116,CurrentMtgRatesDataTable8[[#This Row],[Servicing Spread]])</f>
        <v>0.93901473766328758</v>
      </c>
      <c r="M3117" s="70">
        <f>CurrentMtgRatesDataTable8[[#This Row],[Servicing Spread Non-Zero]]-L3116</f>
        <v>0</v>
      </c>
      <c r="N3117" s="70">
        <f>IF(J3116&lt;&gt;0,CurrentMtgRatesDataTable8[[#This Row],[Rate]]-C3116,N3116)</f>
        <v>-6.4999999999999947E-2</v>
      </c>
    </row>
    <row r="3118" spans="1:14">
      <c r="A3118" s="67" t="s">
        <v>1081</v>
      </c>
      <c r="B3118" s="68">
        <v>2.5182072919323999</v>
      </c>
      <c r="C3118" s="69">
        <v>3.4449999999999998</v>
      </c>
      <c r="D3118" s="70">
        <f t="shared" si="336"/>
        <v>6</v>
      </c>
      <c r="E3118" s="70">
        <f t="shared" si="337"/>
        <v>0.2</v>
      </c>
      <c r="F3118" s="70">
        <f t="shared" si="338"/>
        <v>4</v>
      </c>
      <c r="G3118" s="70">
        <f t="shared" si="339"/>
        <v>2.0108559758420337</v>
      </c>
      <c r="H3118" s="70">
        <f t="shared" si="340"/>
        <v>0.8</v>
      </c>
      <c r="I3118" s="70">
        <f t="shared" si="341"/>
        <v>0</v>
      </c>
      <c r="J3118" s="70">
        <f t="shared" si="342"/>
        <v>0</v>
      </c>
      <c r="K3118" s="70">
        <f>IF(CurrentMtgRatesDataTable8[[#This Row],[WA CC]]&lt;&gt;0,C3117-CurrentMtgRatesDataTable8[[#This Row],[WA CC]],0)</f>
        <v>0</v>
      </c>
      <c r="L3118" s="70">
        <f>IF(CurrentMtgRatesDataTable8[[#This Row],[Servicing Spread]]&lt;=0,L3117,CurrentMtgRatesDataTable8[[#This Row],[Servicing Spread]])</f>
        <v>0.93901473766328758</v>
      </c>
      <c r="M3118" s="70">
        <f>CurrentMtgRatesDataTable8[[#This Row],[Servicing Spread Non-Zero]]-L3117</f>
        <v>0</v>
      </c>
      <c r="N3118" s="70">
        <f>IF(J3117&lt;&gt;0,CurrentMtgRatesDataTable8[[#This Row],[Rate]]-C3117,N3117)</f>
        <v>-6.4999999999999947E-2</v>
      </c>
    </row>
    <row r="3119" spans="1:14">
      <c r="A3119" s="67" t="s">
        <v>1082</v>
      </c>
      <c r="B3119" s="68">
        <v>2.5137546946134099</v>
      </c>
      <c r="C3119" s="69">
        <v>3.4449999999999998</v>
      </c>
      <c r="D3119" s="70">
        <f t="shared" si="336"/>
        <v>7</v>
      </c>
      <c r="E3119" s="70">
        <f t="shared" si="337"/>
        <v>0.2</v>
      </c>
      <c r="F3119" s="70">
        <f t="shared" si="338"/>
        <v>5</v>
      </c>
      <c r="G3119" s="70">
        <f t="shared" si="339"/>
        <v>2.5136069147647158</v>
      </c>
      <c r="H3119" s="70">
        <f t="shared" si="340"/>
        <v>1</v>
      </c>
      <c r="I3119" s="70">
        <f t="shared" si="341"/>
        <v>1</v>
      </c>
      <c r="J3119" s="70">
        <f t="shared" si="342"/>
        <v>2.5136069147647158</v>
      </c>
      <c r="K3119" s="70">
        <f>IF(CurrentMtgRatesDataTable8[[#This Row],[WA CC]]&lt;&gt;0,C3118-CurrentMtgRatesDataTable8[[#This Row],[WA CC]],0)</f>
        <v>0.93139308523528408</v>
      </c>
      <c r="L3119" s="70">
        <f>IF(CurrentMtgRatesDataTable8[[#This Row],[Servicing Spread]]&lt;=0,L3118,CurrentMtgRatesDataTable8[[#This Row],[Servicing Spread]])</f>
        <v>0.93139308523528408</v>
      </c>
      <c r="M3119" s="70">
        <f>CurrentMtgRatesDataTable8[[#This Row],[Servicing Spread Non-Zero]]-L3118</f>
        <v>-7.6216524280035003E-3</v>
      </c>
      <c r="N3119" s="70">
        <f>IF(J3118&lt;&gt;0,CurrentMtgRatesDataTable8[[#This Row],[Rate]]-C3118,N3118)</f>
        <v>-6.4999999999999947E-2</v>
      </c>
    </row>
    <row r="3120" spans="1:14">
      <c r="A3120" s="67" t="s">
        <v>1083</v>
      </c>
      <c r="B3120" s="68">
        <v>2.5257961096675898</v>
      </c>
      <c r="C3120" s="69">
        <v>3.48</v>
      </c>
      <c r="D3120" s="70">
        <f t="shared" si="336"/>
        <v>1</v>
      </c>
      <c r="E3120" s="70">
        <f t="shared" si="337"/>
        <v>0.2</v>
      </c>
      <c r="F3120" s="70">
        <f t="shared" si="338"/>
        <v>1</v>
      </c>
      <c r="G3120" s="70">
        <f t="shared" si="339"/>
        <v>0.50515922193351803</v>
      </c>
      <c r="H3120" s="70">
        <f t="shared" si="340"/>
        <v>0.2</v>
      </c>
      <c r="I3120" s="70">
        <f t="shared" si="341"/>
        <v>0</v>
      </c>
      <c r="J3120" s="70">
        <f t="shared" si="342"/>
        <v>0</v>
      </c>
      <c r="K3120" s="70">
        <f>IF(CurrentMtgRatesDataTable8[[#This Row],[WA CC]]&lt;&gt;0,C3119-CurrentMtgRatesDataTable8[[#This Row],[WA CC]],0)</f>
        <v>0</v>
      </c>
      <c r="L3120" s="70">
        <f>IF(CurrentMtgRatesDataTable8[[#This Row],[Servicing Spread]]&lt;=0,L3119,CurrentMtgRatesDataTable8[[#This Row],[Servicing Spread]])</f>
        <v>0.93139308523528408</v>
      </c>
      <c r="M3120" s="70">
        <f>CurrentMtgRatesDataTable8[[#This Row],[Servicing Spread Non-Zero]]-L3119</f>
        <v>0</v>
      </c>
      <c r="N3120" s="70">
        <f>IF(J3119&lt;&gt;0,CurrentMtgRatesDataTable8[[#This Row],[Rate]]-C3119,N3119)</f>
        <v>3.5000000000000142E-2</v>
      </c>
    </row>
    <row r="3121" spans="1:14">
      <c r="A3121" s="67" t="s">
        <v>1084</v>
      </c>
      <c r="B3121" s="68">
        <v>2.4834878565514402</v>
      </c>
      <c r="C3121" s="69">
        <v>3.48</v>
      </c>
      <c r="D3121" s="70">
        <f t="shared" si="336"/>
        <v>2</v>
      </c>
      <c r="E3121" s="70">
        <f t="shared" si="337"/>
        <v>0.2</v>
      </c>
      <c r="F3121" s="70">
        <f t="shared" si="338"/>
        <v>2</v>
      </c>
      <c r="G3121" s="70">
        <f t="shared" si="339"/>
        <v>1.0018567932438061</v>
      </c>
      <c r="H3121" s="70">
        <f t="shared" si="340"/>
        <v>0.4</v>
      </c>
      <c r="I3121" s="70">
        <f t="shared" si="341"/>
        <v>0</v>
      </c>
      <c r="J3121" s="70">
        <f t="shared" si="342"/>
        <v>0</v>
      </c>
      <c r="K3121" s="70">
        <f>IF(CurrentMtgRatesDataTable8[[#This Row],[WA CC]]&lt;&gt;0,C3120-CurrentMtgRatesDataTable8[[#This Row],[WA CC]],0)</f>
        <v>0</v>
      </c>
      <c r="L3121" s="70">
        <f>IF(CurrentMtgRatesDataTable8[[#This Row],[Servicing Spread]]&lt;=0,L3120,CurrentMtgRatesDataTable8[[#This Row],[Servicing Spread]])</f>
        <v>0.93139308523528408</v>
      </c>
      <c r="M3121" s="70">
        <f>CurrentMtgRatesDataTable8[[#This Row],[Servicing Spread Non-Zero]]-L3120</f>
        <v>0</v>
      </c>
      <c r="N3121" s="70">
        <f>IF(J3120&lt;&gt;0,CurrentMtgRatesDataTable8[[#This Row],[Rate]]-C3120,N3120)</f>
        <v>3.5000000000000142E-2</v>
      </c>
    </row>
    <row r="3122" spans="1:14">
      <c r="A3122" s="67" t="s">
        <v>1085</v>
      </c>
      <c r="B3122" s="68">
        <v>2.5243153261906799</v>
      </c>
      <c r="C3122" s="69">
        <v>3.48</v>
      </c>
      <c r="D3122" s="70">
        <f t="shared" si="336"/>
        <v>5</v>
      </c>
      <c r="E3122" s="70">
        <f t="shared" si="337"/>
        <v>0.2</v>
      </c>
      <c r="F3122" s="70">
        <f t="shared" si="338"/>
        <v>3</v>
      </c>
      <c r="G3122" s="70">
        <f t="shared" si="339"/>
        <v>1.5067198584819419</v>
      </c>
      <c r="H3122" s="70">
        <f t="shared" si="340"/>
        <v>0.60000000000000009</v>
      </c>
      <c r="I3122" s="70">
        <f t="shared" si="341"/>
        <v>0</v>
      </c>
      <c r="J3122" s="70">
        <f t="shared" si="342"/>
        <v>0</v>
      </c>
      <c r="K3122" s="70">
        <f>IF(CurrentMtgRatesDataTable8[[#This Row],[WA CC]]&lt;&gt;0,C3121-CurrentMtgRatesDataTable8[[#This Row],[WA CC]],0)</f>
        <v>0</v>
      </c>
      <c r="L3122" s="70">
        <f>IF(CurrentMtgRatesDataTable8[[#This Row],[Servicing Spread]]&lt;=0,L3121,CurrentMtgRatesDataTable8[[#This Row],[Servicing Spread]])</f>
        <v>0.93139308523528408</v>
      </c>
      <c r="M3122" s="70">
        <f>CurrentMtgRatesDataTable8[[#This Row],[Servicing Spread Non-Zero]]-L3121</f>
        <v>0</v>
      </c>
      <c r="N3122" s="70">
        <f>IF(J3121&lt;&gt;0,CurrentMtgRatesDataTable8[[#This Row],[Rate]]-C3121,N3121)</f>
        <v>3.5000000000000142E-2</v>
      </c>
    </row>
    <row r="3123" spans="1:14">
      <c r="A3123" s="67" t="s">
        <v>1086</v>
      </c>
      <c r="B3123" s="68">
        <v>2.5507411556917998</v>
      </c>
      <c r="C3123" s="69">
        <v>3.48</v>
      </c>
      <c r="D3123" s="70">
        <f t="shared" si="336"/>
        <v>6</v>
      </c>
      <c r="E3123" s="70">
        <f t="shared" si="337"/>
        <v>0.2</v>
      </c>
      <c r="F3123" s="70">
        <f t="shared" si="338"/>
        <v>4</v>
      </c>
      <c r="G3123" s="70">
        <f t="shared" si="339"/>
        <v>2.016868089620302</v>
      </c>
      <c r="H3123" s="70">
        <f t="shared" si="340"/>
        <v>0.8</v>
      </c>
      <c r="I3123" s="70">
        <f t="shared" si="341"/>
        <v>0</v>
      </c>
      <c r="J3123" s="70">
        <f t="shared" si="342"/>
        <v>0</v>
      </c>
      <c r="K3123" s="70">
        <f>IF(CurrentMtgRatesDataTable8[[#This Row],[WA CC]]&lt;&gt;0,C3122-CurrentMtgRatesDataTable8[[#This Row],[WA CC]],0)</f>
        <v>0</v>
      </c>
      <c r="L3123" s="70">
        <f>IF(CurrentMtgRatesDataTable8[[#This Row],[Servicing Spread]]&lt;=0,L3122,CurrentMtgRatesDataTable8[[#This Row],[Servicing Spread]])</f>
        <v>0.93139308523528408</v>
      </c>
      <c r="M3123" s="70">
        <f>CurrentMtgRatesDataTable8[[#This Row],[Servicing Spread Non-Zero]]-L3122</f>
        <v>0</v>
      </c>
      <c r="N3123" s="70">
        <f>IF(J3122&lt;&gt;0,CurrentMtgRatesDataTable8[[#This Row],[Rate]]-C3122,N3122)</f>
        <v>3.5000000000000142E-2</v>
      </c>
    </row>
    <row r="3124" spans="1:14">
      <c r="A3124" s="67" t="s">
        <v>1087</v>
      </c>
      <c r="B3124" s="68">
        <v>2.6588027556734102</v>
      </c>
      <c r="C3124" s="69">
        <v>3.48</v>
      </c>
      <c r="D3124" s="70">
        <f t="shared" si="336"/>
        <v>7</v>
      </c>
      <c r="E3124" s="70">
        <f t="shared" si="337"/>
        <v>0.2</v>
      </c>
      <c r="F3124" s="70">
        <f t="shared" si="338"/>
        <v>5</v>
      </c>
      <c r="G3124" s="70">
        <f t="shared" si="339"/>
        <v>2.5486286407549841</v>
      </c>
      <c r="H3124" s="70">
        <f t="shared" si="340"/>
        <v>1</v>
      </c>
      <c r="I3124" s="70">
        <f t="shared" si="341"/>
        <v>1</v>
      </c>
      <c r="J3124" s="70">
        <f t="shared" si="342"/>
        <v>2.5486286407549841</v>
      </c>
      <c r="K3124" s="70">
        <f>IF(CurrentMtgRatesDataTable8[[#This Row],[WA CC]]&lt;&gt;0,C3123-CurrentMtgRatesDataTable8[[#This Row],[WA CC]],0)</f>
        <v>0.93137135924501591</v>
      </c>
      <c r="L3124" s="70">
        <f>IF(CurrentMtgRatesDataTable8[[#This Row],[Servicing Spread]]&lt;=0,L3123,CurrentMtgRatesDataTable8[[#This Row],[Servicing Spread]])</f>
        <v>0.93137135924501591</v>
      </c>
      <c r="M3124" s="70">
        <f>CurrentMtgRatesDataTable8[[#This Row],[Servicing Spread Non-Zero]]-L3123</f>
        <v>-2.1725990268173234E-5</v>
      </c>
      <c r="N3124" s="70">
        <f>IF(J3123&lt;&gt;0,CurrentMtgRatesDataTable8[[#This Row],[Rate]]-C3123,N3123)</f>
        <v>3.5000000000000142E-2</v>
      </c>
    </row>
    <row r="3125" spans="1:14">
      <c r="A3125" s="67" t="s">
        <v>1088</v>
      </c>
      <c r="B3125" s="68">
        <v>2.61087975726997</v>
      </c>
      <c r="C3125" s="69">
        <v>3.5150000000000001</v>
      </c>
      <c r="D3125" s="70">
        <f t="shared" si="336"/>
        <v>1</v>
      </c>
      <c r="E3125" s="70">
        <f t="shared" si="337"/>
        <v>0.2</v>
      </c>
      <c r="F3125" s="70">
        <f t="shared" si="338"/>
        <v>1</v>
      </c>
      <c r="G3125" s="70">
        <f t="shared" si="339"/>
        <v>0.52217595145399398</v>
      </c>
      <c r="H3125" s="70">
        <f t="shared" si="340"/>
        <v>0.2</v>
      </c>
      <c r="I3125" s="70">
        <f t="shared" si="341"/>
        <v>0</v>
      </c>
      <c r="J3125" s="70">
        <f t="shared" si="342"/>
        <v>0</v>
      </c>
      <c r="K3125" s="70">
        <f>IF(CurrentMtgRatesDataTable8[[#This Row],[WA CC]]&lt;&gt;0,C3124-CurrentMtgRatesDataTable8[[#This Row],[WA CC]],0)</f>
        <v>0</v>
      </c>
      <c r="L3125" s="70">
        <f>IF(CurrentMtgRatesDataTable8[[#This Row],[Servicing Spread]]&lt;=0,L3124,CurrentMtgRatesDataTable8[[#This Row],[Servicing Spread]])</f>
        <v>0.93137135924501591</v>
      </c>
      <c r="M3125" s="70">
        <f>CurrentMtgRatesDataTable8[[#This Row],[Servicing Spread Non-Zero]]-L3124</f>
        <v>0</v>
      </c>
      <c r="N3125" s="70">
        <f>IF(J3124&lt;&gt;0,CurrentMtgRatesDataTable8[[#This Row],[Rate]]-C3124,N3124)</f>
        <v>3.5000000000000142E-2</v>
      </c>
    </row>
    <row r="3126" spans="1:14">
      <c r="A3126" s="67" t="s">
        <v>1089</v>
      </c>
      <c r="B3126" s="68">
        <v>2.6144990771795702</v>
      </c>
      <c r="C3126" s="69">
        <v>3.5150000000000001</v>
      </c>
      <c r="D3126" s="70">
        <f t="shared" si="336"/>
        <v>2</v>
      </c>
      <c r="E3126" s="70">
        <f t="shared" si="337"/>
        <v>0.2</v>
      </c>
      <c r="F3126" s="70">
        <f t="shared" si="338"/>
        <v>2</v>
      </c>
      <c r="G3126" s="70">
        <f t="shared" si="339"/>
        <v>1.045075766889908</v>
      </c>
      <c r="H3126" s="70">
        <f t="shared" si="340"/>
        <v>0.4</v>
      </c>
      <c r="I3126" s="70">
        <f t="shared" si="341"/>
        <v>0</v>
      </c>
      <c r="J3126" s="70">
        <f t="shared" si="342"/>
        <v>0</v>
      </c>
      <c r="K3126" s="70">
        <f>IF(CurrentMtgRatesDataTable8[[#This Row],[WA CC]]&lt;&gt;0,C3125-CurrentMtgRatesDataTable8[[#This Row],[WA CC]],0)</f>
        <v>0</v>
      </c>
      <c r="L3126" s="70">
        <f>IF(CurrentMtgRatesDataTable8[[#This Row],[Servicing Spread]]&lt;=0,L3125,CurrentMtgRatesDataTable8[[#This Row],[Servicing Spread]])</f>
        <v>0.93137135924501591</v>
      </c>
      <c r="M3126" s="70">
        <f>CurrentMtgRatesDataTable8[[#This Row],[Servicing Spread Non-Zero]]-L3125</f>
        <v>0</v>
      </c>
      <c r="N3126" s="70">
        <f>IF(J3125&lt;&gt;0,CurrentMtgRatesDataTable8[[#This Row],[Rate]]-C3125,N3125)</f>
        <v>3.5000000000000142E-2</v>
      </c>
    </row>
    <row r="3127" spans="1:14">
      <c r="A3127" s="67" t="s">
        <v>1090</v>
      </c>
      <c r="B3127" s="68">
        <v>2.6073788484172402</v>
      </c>
      <c r="C3127" s="69">
        <v>3.5150000000000001</v>
      </c>
      <c r="D3127" s="70">
        <f t="shared" si="336"/>
        <v>5</v>
      </c>
      <c r="E3127" s="70">
        <f t="shared" si="337"/>
        <v>0.2</v>
      </c>
      <c r="F3127" s="70">
        <f t="shared" si="338"/>
        <v>3</v>
      </c>
      <c r="G3127" s="70">
        <f t="shared" si="339"/>
        <v>1.566551536573356</v>
      </c>
      <c r="H3127" s="70">
        <f t="shared" si="340"/>
        <v>0.60000000000000009</v>
      </c>
      <c r="I3127" s="70">
        <f t="shared" si="341"/>
        <v>0</v>
      </c>
      <c r="J3127" s="70">
        <f t="shared" si="342"/>
        <v>0</v>
      </c>
      <c r="K3127" s="70">
        <f>IF(CurrentMtgRatesDataTable8[[#This Row],[WA CC]]&lt;&gt;0,C3126-CurrentMtgRatesDataTable8[[#This Row],[WA CC]],0)</f>
        <v>0</v>
      </c>
      <c r="L3127" s="70">
        <f>IF(CurrentMtgRatesDataTable8[[#This Row],[Servicing Spread]]&lt;=0,L3126,CurrentMtgRatesDataTable8[[#This Row],[Servicing Spread]])</f>
        <v>0.93137135924501591</v>
      </c>
      <c r="M3127" s="70">
        <f>CurrentMtgRatesDataTable8[[#This Row],[Servicing Spread Non-Zero]]-L3126</f>
        <v>0</v>
      </c>
      <c r="N3127" s="70">
        <f>IF(J3126&lt;&gt;0,CurrentMtgRatesDataTable8[[#This Row],[Rate]]-C3126,N3126)</f>
        <v>3.5000000000000142E-2</v>
      </c>
    </row>
    <row r="3128" spans="1:14">
      <c r="A3128" s="67" t="s">
        <v>1091</v>
      </c>
      <c r="B3128" s="68">
        <v>2.6240146186215201</v>
      </c>
      <c r="C3128" s="69">
        <v>3.5150000000000001</v>
      </c>
      <c r="D3128" s="70">
        <f t="shared" si="336"/>
        <v>6</v>
      </c>
      <c r="E3128" s="70">
        <f t="shared" si="337"/>
        <v>0.2</v>
      </c>
      <c r="F3128" s="70">
        <f t="shared" si="338"/>
        <v>4</v>
      </c>
      <c r="G3128" s="70">
        <f t="shared" si="339"/>
        <v>2.0913544602976599</v>
      </c>
      <c r="H3128" s="70">
        <f t="shared" si="340"/>
        <v>0.8</v>
      </c>
      <c r="I3128" s="70">
        <f t="shared" si="341"/>
        <v>0</v>
      </c>
      <c r="J3128" s="70">
        <f t="shared" si="342"/>
        <v>0</v>
      </c>
      <c r="K3128" s="70">
        <f>IF(CurrentMtgRatesDataTable8[[#This Row],[WA CC]]&lt;&gt;0,C3127-CurrentMtgRatesDataTable8[[#This Row],[WA CC]],0)</f>
        <v>0</v>
      </c>
      <c r="L3128" s="70">
        <f>IF(CurrentMtgRatesDataTable8[[#This Row],[Servicing Spread]]&lt;=0,L3127,CurrentMtgRatesDataTable8[[#This Row],[Servicing Spread]])</f>
        <v>0.93137135924501591</v>
      </c>
      <c r="M3128" s="70">
        <f>CurrentMtgRatesDataTable8[[#This Row],[Servicing Spread Non-Zero]]-L3127</f>
        <v>0</v>
      </c>
      <c r="N3128" s="70">
        <f>IF(J3127&lt;&gt;0,CurrentMtgRatesDataTable8[[#This Row],[Rate]]-C3127,N3127)</f>
        <v>3.5000000000000142E-2</v>
      </c>
    </row>
    <row r="3129" spans="1:14">
      <c r="A3129" s="67" t="s">
        <v>1092</v>
      </c>
      <c r="B3129" s="68">
        <v>2.6451164330337602</v>
      </c>
      <c r="C3129" s="69">
        <v>3.5150000000000001</v>
      </c>
      <c r="D3129" s="70">
        <f t="shared" si="336"/>
        <v>7</v>
      </c>
      <c r="E3129" s="70">
        <f t="shared" si="337"/>
        <v>0.2</v>
      </c>
      <c r="F3129" s="70">
        <f t="shared" si="338"/>
        <v>5</v>
      </c>
      <c r="G3129" s="70">
        <f t="shared" si="339"/>
        <v>2.6203777469044121</v>
      </c>
      <c r="H3129" s="70">
        <f t="shared" si="340"/>
        <v>1</v>
      </c>
      <c r="I3129" s="70">
        <f t="shared" si="341"/>
        <v>1</v>
      </c>
      <c r="J3129" s="70">
        <f t="shared" si="342"/>
        <v>2.6203777469044121</v>
      </c>
      <c r="K3129" s="70">
        <f>IF(CurrentMtgRatesDataTable8[[#This Row],[WA CC]]&lt;&gt;0,C3128-CurrentMtgRatesDataTable8[[#This Row],[WA CC]],0)</f>
        <v>0.89462225309558807</v>
      </c>
      <c r="L3129" s="70">
        <f>IF(CurrentMtgRatesDataTable8[[#This Row],[Servicing Spread]]&lt;=0,L3128,CurrentMtgRatesDataTable8[[#This Row],[Servicing Spread]])</f>
        <v>0.89462225309558807</v>
      </c>
      <c r="M3129" s="70">
        <f>CurrentMtgRatesDataTable8[[#This Row],[Servicing Spread Non-Zero]]-L3128</f>
        <v>-3.6749106149427835E-2</v>
      </c>
      <c r="N3129" s="70">
        <f>IF(J3128&lt;&gt;0,CurrentMtgRatesDataTable8[[#This Row],[Rate]]-C3128,N3128)</f>
        <v>3.5000000000000142E-2</v>
      </c>
    </row>
    <row r="3130" spans="1:14">
      <c r="A3130" s="67" t="s">
        <v>1093</v>
      </c>
      <c r="B3130" s="68">
        <v>2.59920787607486</v>
      </c>
      <c r="C3130" s="69">
        <v>3.5350000000000001</v>
      </c>
      <c r="D3130" s="70">
        <f t="shared" si="336"/>
        <v>1</v>
      </c>
      <c r="E3130" s="70">
        <f t="shared" si="337"/>
        <v>0.2</v>
      </c>
      <c r="F3130" s="70">
        <f t="shared" si="338"/>
        <v>1</v>
      </c>
      <c r="G3130" s="70">
        <f t="shared" si="339"/>
        <v>0.51984157521497198</v>
      </c>
      <c r="H3130" s="70">
        <f t="shared" si="340"/>
        <v>0.2</v>
      </c>
      <c r="I3130" s="70">
        <f t="shared" si="341"/>
        <v>0</v>
      </c>
      <c r="J3130" s="70">
        <f t="shared" si="342"/>
        <v>0</v>
      </c>
      <c r="K3130" s="70">
        <f>IF(CurrentMtgRatesDataTable8[[#This Row],[WA CC]]&lt;&gt;0,C3129-CurrentMtgRatesDataTable8[[#This Row],[WA CC]],0)</f>
        <v>0</v>
      </c>
      <c r="L3130" s="70">
        <f>IF(CurrentMtgRatesDataTable8[[#This Row],[Servicing Spread]]&lt;=0,L3129,CurrentMtgRatesDataTable8[[#This Row],[Servicing Spread]])</f>
        <v>0.89462225309558807</v>
      </c>
      <c r="M3130" s="70">
        <f>CurrentMtgRatesDataTable8[[#This Row],[Servicing Spread Non-Zero]]-L3129</f>
        <v>0</v>
      </c>
      <c r="N3130" s="70">
        <f>IF(J3129&lt;&gt;0,CurrentMtgRatesDataTable8[[#This Row],[Rate]]-C3129,N3129)</f>
        <v>2.0000000000000018E-2</v>
      </c>
    </row>
    <row r="3131" spans="1:14">
      <c r="A3131" s="67" t="s">
        <v>1094</v>
      </c>
      <c r="B3131" s="68">
        <v>2.6025934291599802</v>
      </c>
      <c r="C3131" s="69">
        <v>3.5350000000000001</v>
      </c>
      <c r="D3131" s="70">
        <f t="shared" si="336"/>
        <v>2</v>
      </c>
      <c r="E3131" s="70">
        <f t="shared" si="337"/>
        <v>0.2</v>
      </c>
      <c r="F3131" s="70">
        <f t="shared" si="338"/>
        <v>2</v>
      </c>
      <c r="G3131" s="70">
        <f t="shared" si="339"/>
        <v>1.040360261046968</v>
      </c>
      <c r="H3131" s="70">
        <f t="shared" si="340"/>
        <v>0.4</v>
      </c>
      <c r="I3131" s="70">
        <f t="shared" si="341"/>
        <v>0</v>
      </c>
      <c r="J3131" s="70">
        <f t="shared" si="342"/>
        <v>0</v>
      </c>
      <c r="K3131" s="70">
        <f>IF(CurrentMtgRatesDataTable8[[#This Row],[WA CC]]&lt;&gt;0,C3130-CurrentMtgRatesDataTable8[[#This Row],[WA CC]],0)</f>
        <v>0</v>
      </c>
      <c r="L3131" s="70">
        <f>IF(CurrentMtgRatesDataTable8[[#This Row],[Servicing Spread]]&lt;=0,L3130,CurrentMtgRatesDataTable8[[#This Row],[Servicing Spread]])</f>
        <v>0.89462225309558807</v>
      </c>
      <c r="M3131" s="70">
        <f>CurrentMtgRatesDataTable8[[#This Row],[Servicing Spread Non-Zero]]-L3130</f>
        <v>0</v>
      </c>
      <c r="N3131" s="70">
        <f>IF(J3130&lt;&gt;0,CurrentMtgRatesDataTable8[[#This Row],[Rate]]-C3130,N3130)</f>
        <v>2.0000000000000018E-2</v>
      </c>
    </row>
    <row r="3132" spans="1:14">
      <c r="A3132" s="67" t="s">
        <v>1095</v>
      </c>
      <c r="B3132" s="68">
        <v>2.5912536258674699</v>
      </c>
      <c r="C3132" s="69">
        <v>3.5350000000000001</v>
      </c>
      <c r="D3132" s="70">
        <f t="shared" si="336"/>
        <v>6</v>
      </c>
      <c r="E3132" s="70">
        <f t="shared" si="337"/>
        <v>0.2</v>
      </c>
      <c r="F3132" s="70">
        <f t="shared" si="338"/>
        <v>3</v>
      </c>
      <c r="G3132" s="70">
        <f t="shared" si="339"/>
        <v>1.558610986220462</v>
      </c>
      <c r="H3132" s="70">
        <f t="shared" si="340"/>
        <v>0.60000000000000009</v>
      </c>
      <c r="I3132" s="70">
        <f t="shared" si="341"/>
        <v>0</v>
      </c>
      <c r="J3132" s="70">
        <f t="shared" si="342"/>
        <v>0</v>
      </c>
      <c r="K3132" s="70">
        <f>IF(CurrentMtgRatesDataTable8[[#This Row],[WA CC]]&lt;&gt;0,C3131-CurrentMtgRatesDataTable8[[#This Row],[WA CC]],0)</f>
        <v>0</v>
      </c>
      <c r="L3132" s="70">
        <f>IF(CurrentMtgRatesDataTable8[[#This Row],[Servicing Spread]]&lt;=0,L3131,CurrentMtgRatesDataTable8[[#This Row],[Servicing Spread]])</f>
        <v>0.89462225309558807</v>
      </c>
      <c r="M3132" s="70">
        <f>CurrentMtgRatesDataTable8[[#This Row],[Servicing Spread Non-Zero]]-L3131</f>
        <v>0</v>
      </c>
      <c r="N3132" s="70">
        <f>IF(J3131&lt;&gt;0,CurrentMtgRatesDataTable8[[#This Row],[Rate]]-C3131,N3131)</f>
        <v>2.0000000000000018E-2</v>
      </c>
    </row>
    <row r="3133" spans="1:14">
      <c r="A3133" s="67" t="s">
        <v>1096</v>
      </c>
      <c r="B3133" s="68">
        <v>2.6061508171936398</v>
      </c>
      <c r="C3133" s="69">
        <v>3.5350000000000001</v>
      </c>
      <c r="D3133" s="70">
        <f t="shared" si="336"/>
        <v>7</v>
      </c>
      <c r="E3133" s="70">
        <f t="shared" si="337"/>
        <v>0.2</v>
      </c>
      <c r="F3133" s="70">
        <f t="shared" si="338"/>
        <v>4</v>
      </c>
      <c r="G3133" s="70">
        <f t="shared" si="339"/>
        <v>2.07984114965919</v>
      </c>
      <c r="H3133" s="70">
        <f t="shared" si="340"/>
        <v>0.8</v>
      </c>
      <c r="I3133" s="70">
        <f t="shared" si="341"/>
        <v>1</v>
      </c>
      <c r="J3133" s="70">
        <f t="shared" si="342"/>
        <v>2.5998014370739875</v>
      </c>
      <c r="K3133" s="70">
        <f>IF(CurrentMtgRatesDataTable8[[#This Row],[WA CC]]&lt;&gt;0,C3132-CurrentMtgRatesDataTable8[[#This Row],[WA CC]],0)</f>
        <v>0.93519856292601267</v>
      </c>
      <c r="L3133" s="70">
        <f>IF(CurrentMtgRatesDataTable8[[#This Row],[Servicing Spread]]&lt;=0,L3132,CurrentMtgRatesDataTable8[[#This Row],[Servicing Spread]])</f>
        <v>0.93519856292601267</v>
      </c>
      <c r="M3133" s="70">
        <f>CurrentMtgRatesDataTable8[[#This Row],[Servicing Spread Non-Zero]]-L3132</f>
        <v>4.0576309830424595E-2</v>
      </c>
      <c r="N3133" s="70">
        <f>IF(J3132&lt;&gt;0,CurrentMtgRatesDataTable8[[#This Row],[Rate]]-C3132,N3132)</f>
        <v>2.0000000000000018E-2</v>
      </c>
    </row>
    <row r="3134" spans="1:14">
      <c r="A3134" s="67" t="s">
        <v>1097</v>
      </c>
      <c r="B3134" s="68">
        <v>2.5951614206570599</v>
      </c>
      <c r="C3134" s="69">
        <v>3.4750000000000001</v>
      </c>
      <c r="D3134" s="70">
        <f t="shared" si="336"/>
        <v>1</v>
      </c>
      <c r="E3134" s="70">
        <f t="shared" si="337"/>
        <v>0.2</v>
      </c>
      <c r="F3134" s="70">
        <f t="shared" si="338"/>
        <v>1</v>
      </c>
      <c r="G3134" s="70">
        <f t="shared" si="339"/>
        <v>0.519032284131412</v>
      </c>
      <c r="H3134" s="70">
        <f t="shared" si="340"/>
        <v>0.2</v>
      </c>
      <c r="I3134" s="70">
        <f t="shared" si="341"/>
        <v>0</v>
      </c>
      <c r="J3134" s="70">
        <f t="shared" si="342"/>
        <v>0</v>
      </c>
      <c r="K3134" s="70">
        <f>IF(CurrentMtgRatesDataTable8[[#This Row],[WA CC]]&lt;&gt;0,C3133-CurrentMtgRatesDataTable8[[#This Row],[WA CC]],0)</f>
        <v>0</v>
      </c>
      <c r="L3134" s="70">
        <f>IF(CurrentMtgRatesDataTable8[[#This Row],[Servicing Spread]]&lt;=0,L3133,CurrentMtgRatesDataTable8[[#This Row],[Servicing Spread]])</f>
        <v>0.93519856292601267</v>
      </c>
      <c r="M3134" s="70">
        <f>CurrentMtgRatesDataTable8[[#This Row],[Servicing Spread Non-Zero]]-L3133</f>
        <v>0</v>
      </c>
      <c r="N3134" s="70">
        <f>IF(J3133&lt;&gt;0,CurrentMtgRatesDataTable8[[#This Row],[Rate]]-C3133,N3133)</f>
        <v>-6.0000000000000053E-2</v>
      </c>
    </row>
    <row r="3135" spans="1:14">
      <c r="A3135" s="67" t="s">
        <v>1098</v>
      </c>
      <c r="B3135" s="68">
        <v>2.50110738001568</v>
      </c>
      <c r="C3135" s="69">
        <v>3.4750000000000001</v>
      </c>
      <c r="D3135" s="70">
        <f t="shared" si="336"/>
        <v>2</v>
      </c>
      <c r="E3135" s="70">
        <f t="shared" si="337"/>
        <v>0.2</v>
      </c>
      <c r="F3135" s="70">
        <f t="shared" si="338"/>
        <v>2</v>
      </c>
      <c r="G3135" s="70">
        <f t="shared" si="339"/>
        <v>1.0192537601345482</v>
      </c>
      <c r="H3135" s="70">
        <f t="shared" si="340"/>
        <v>0.4</v>
      </c>
      <c r="I3135" s="70">
        <f t="shared" si="341"/>
        <v>0</v>
      </c>
      <c r="J3135" s="70">
        <f t="shared" si="342"/>
        <v>0</v>
      </c>
      <c r="K3135" s="70">
        <f>IF(CurrentMtgRatesDataTable8[[#This Row],[WA CC]]&lt;&gt;0,C3134-CurrentMtgRatesDataTable8[[#This Row],[WA CC]],0)</f>
        <v>0</v>
      </c>
      <c r="L3135" s="70">
        <f>IF(CurrentMtgRatesDataTable8[[#This Row],[Servicing Spread]]&lt;=0,L3134,CurrentMtgRatesDataTable8[[#This Row],[Servicing Spread]])</f>
        <v>0.93519856292601267</v>
      </c>
      <c r="M3135" s="70">
        <f>CurrentMtgRatesDataTable8[[#This Row],[Servicing Spread Non-Zero]]-L3134</f>
        <v>0</v>
      </c>
      <c r="N3135" s="70">
        <f>IF(J3134&lt;&gt;0,CurrentMtgRatesDataTable8[[#This Row],[Rate]]-C3134,N3134)</f>
        <v>-6.0000000000000053E-2</v>
      </c>
    </row>
    <row r="3136" spans="1:14">
      <c r="A3136" s="67" t="s">
        <v>1099</v>
      </c>
      <c r="B3136" s="68">
        <v>2.50890733570674</v>
      </c>
      <c r="C3136" s="69">
        <v>3.4750000000000001</v>
      </c>
      <c r="D3136" s="70">
        <f t="shared" si="336"/>
        <v>5</v>
      </c>
      <c r="E3136" s="70">
        <f t="shared" si="337"/>
        <v>0.2</v>
      </c>
      <c r="F3136" s="70">
        <f t="shared" si="338"/>
        <v>3</v>
      </c>
      <c r="G3136" s="70">
        <f t="shared" si="339"/>
        <v>1.5210352272758962</v>
      </c>
      <c r="H3136" s="70">
        <f t="shared" si="340"/>
        <v>0.60000000000000009</v>
      </c>
      <c r="I3136" s="70">
        <f t="shared" si="341"/>
        <v>0</v>
      </c>
      <c r="J3136" s="70">
        <f t="shared" si="342"/>
        <v>0</v>
      </c>
      <c r="K3136" s="70">
        <f>IF(CurrentMtgRatesDataTable8[[#This Row],[WA CC]]&lt;&gt;0,C3135-CurrentMtgRatesDataTable8[[#This Row],[WA CC]],0)</f>
        <v>0</v>
      </c>
      <c r="L3136" s="70">
        <f>IF(CurrentMtgRatesDataTable8[[#This Row],[Servicing Spread]]&lt;=0,L3135,CurrentMtgRatesDataTable8[[#This Row],[Servicing Spread]])</f>
        <v>0.93519856292601267</v>
      </c>
      <c r="M3136" s="70">
        <f>CurrentMtgRatesDataTable8[[#This Row],[Servicing Spread Non-Zero]]-L3135</f>
        <v>0</v>
      </c>
      <c r="N3136" s="70">
        <f>IF(J3135&lt;&gt;0,CurrentMtgRatesDataTable8[[#This Row],[Rate]]-C3135,N3135)</f>
        <v>-6.0000000000000053E-2</v>
      </c>
    </row>
    <row r="3137" spans="1:14">
      <c r="A3137" s="67" t="s">
        <v>1100</v>
      </c>
      <c r="B3137" s="68">
        <v>2.5084011199927301</v>
      </c>
      <c r="C3137" s="69">
        <v>3.4750000000000001</v>
      </c>
      <c r="D3137" s="70">
        <f t="shared" si="336"/>
        <v>6</v>
      </c>
      <c r="E3137" s="70">
        <f t="shared" si="337"/>
        <v>0.2</v>
      </c>
      <c r="F3137" s="70">
        <f t="shared" si="338"/>
        <v>4</v>
      </c>
      <c r="G3137" s="70">
        <f t="shared" si="339"/>
        <v>2.0227154512744425</v>
      </c>
      <c r="H3137" s="70">
        <f t="shared" si="340"/>
        <v>0.8</v>
      </c>
      <c r="I3137" s="70">
        <f t="shared" si="341"/>
        <v>0</v>
      </c>
      <c r="J3137" s="70">
        <f t="shared" si="342"/>
        <v>0</v>
      </c>
      <c r="K3137" s="70">
        <f>IF(CurrentMtgRatesDataTable8[[#This Row],[WA CC]]&lt;&gt;0,C3136-CurrentMtgRatesDataTable8[[#This Row],[WA CC]],0)</f>
        <v>0</v>
      </c>
      <c r="L3137" s="70">
        <f>IF(CurrentMtgRatesDataTable8[[#This Row],[Servicing Spread]]&lt;=0,L3136,CurrentMtgRatesDataTable8[[#This Row],[Servicing Spread]])</f>
        <v>0.93519856292601267</v>
      </c>
      <c r="M3137" s="70">
        <f>CurrentMtgRatesDataTable8[[#This Row],[Servicing Spread Non-Zero]]-L3136</f>
        <v>0</v>
      </c>
      <c r="N3137" s="70">
        <f>IF(J3136&lt;&gt;0,CurrentMtgRatesDataTable8[[#This Row],[Rate]]-C3136,N3136)</f>
        <v>-6.0000000000000053E-2</v>
      </c>
    </row>
    <row r="3138" spans="1:14">
      <c r="A3138" s="67" t="s">
        <v>1101</v>
      </c>
      <c r="B3138" s="68">
        <v>2.5005077726390401</v>
      </c>
      <c r="C3138" s="69">
        <v>3.4750000000000001</v>
      </c>
      <c r="D3138" s="70">
        <f t="shared" si="336"/>
        <v>7</v>
      </c>
      <c r="E3138" s="70">
        <f t="shared" si="337"/>
        <v>0.2</v>
      </c>
      <c r="F3138" s="70">
        <f t="shared" si="338"/>
        <v>5</v>
      </c>
      <c r="G3138" s="70">
        <f t="shared" si="339"/>
        <v>2.5228170058022505</v>
      </c>
      <c r="H3138" s="70">
        <f t="shared" si="340"/>
        <v>1</v>
      </c>
      <c r="I3138" s="70">
        <f t="shared" si="341"/>
        <v>1</v>
      </c>
      <c r="J3138" s="70">
        <f t="shared" si="342"/>
        <v>2.5228170058022505</v>
      </c>
      <c r="K3138" s="70">
        <f>IF(CurrentMtgRatesDataTable8[[#This Row],[WA CC]]&lt;&gt;0,C3137-CurrentMtgRatesDataTable8[[#This Row],[WA CC]],0)</f>
        <v>0.95218299419774954</v>
      </c>
      <c r="L3138" s="70">
        <f>IF(CurrentMtgRatesDataTable8[[#This Row],[Servicing Spread]]&lt;=0,L3137,CurrentMtgRatesDataTable8[[#This Row],[Servicing Spread]])</f>
        <v>0.95218299419774954</v>
      </c>
      <c r="M3138" s="70">
        <f>CurrentMtgRatesDataTable8[[#This Row],[Servicing Spread Non-Zero]]-L3137</f>
        <v>1.6984431271736877E-2</v>
      </c>
      <c r="N3138" s="70">
        <f>IF(J3137&lt;&gt;0,CurrentMtgRatesDataTable8[[#This Row],[Rate]]-C3137,N3137)</f>
        <v>-6.0000000000000053E-2</v>
      </c>
    </row>
    <row r="3139" spans="1:14">
      <c r="A3139" s="67" t="s">
        <v>1102</v>
      </c>
      <c r="B3139" s="68">
        <v>2.4857330932558601</v>
      </c>
      <c r="C3139" s="69">
        <v>3.415</v>
      </c>
      <c r="D3139" s="70">
        <f t="shared" si="336"/>
        <v>1</v>
      </c>
      <c r="E3139" s="70">
        <f t="shared" si="337"/>
        <v>0.2</v>
      </c>
      <c r="F3139" s="70">
        <f t="shared" si="338"/>
        <v>1</v>
      </c>
      <c r="G3139" s="70">
        <f t="shared" si="339"/>
        <v>0.49714661865117205</v>
      </c>
      <c r="H3139" s="70">
        <f t="shared" si="340"/>
        <v>0.2</v>
      </c>
      <c r="I3139" s="70">
        <f t="shared" si="341"/>
        <v>0</v>
      </c>
      <c r="J3139" s="70">
        <f t="shared" si="342"/>
        <v>0</v>
      </c>
      <c r="K3139" s="70">
        <f>IF(CurrentMtgRatesDataTable8[[#This Row],[WA CC]]&lt;&gt;0,C3138-CurrentMtgRatesDataTable8[[#This Row],[WA CC]],0)</f>
        <v>0</v>
      </c>
      <c r="L3139" s="70">
        <f>IF(CurrentMtgRatesDataTable8[[#This Row],[Servicing Spread]]&lt;=0,L3138,CurrentMtgRatesDataTable8[[#This Row],[Servicing Spread]])</f>
        <v>0.95218299419774954</v>
      </c>
      <c r="M3139" s="70">
        <f>CurrentMtgRatesDataTable8[[#This Row],[Servicing Spread Non-Zero]]-L3138</f>
        <v>0</v>
      </c>
      <c r="N3139" s="70">
        <f>IF(J3138&lt;&gt;0,CurrentMtgRatesDataTable8[[#This Row],[Rate]]-C3138,N3138)</f>
        <v>-6.0000000000000053E-2</v>
      </c>
    </row>
    <row r="3140" spans="1:14">
      <c r="A3140" s="67" t="s">
        <v>1103</v>
      </c>
      <c r="B3140" s="68">
        <v>2.4694934611032302</v>
      </c>
      <c r="C3140" s="69">
        <v>3.415</v>
      </c>
      <c r="D3140" s="70">
        <f t="shared" si="336"/>
        <v>2</v>
      </c>
      <c r="E3140" s="70">
        <f t="shared" si="337"/>
        <v>0.2</v>
      </c>
      <c r="F3140" s="70">
        <f t="shared" si="338"/>
        <v>2</v>
      </c>
      <c r="G3140" s="70">
        <f t="shared" si="339"/>
        <v>0.99104531087181813</v>
      </c>
      <c r="H3140" s="70">
        <f t="shared" si="340"/>
        <v>0.4</v>
      </c>
      <c r="I3140" s="70">
        <f t="shared" si="341"/>
        <v>0</v>
      </c>
      <c r="J3140" s="70">
        <f t="shared" si="342"/>
        <v>0</v>
      </c>
      <c r="K3140" s="70">
        <f>IF(CurrentMtgRatesDataTable8[[#This Row],[WA CC]]&lt;&gt;0,C3139-CurrentMtgRatesDataTable8[[#This Row],[WA CC]],0)</f>
        <v>0</v>
      </c>
      <c r="L3140" s="70">
        <f>IF(CurrentMtgRatesDataTable8[[#This Row],[Servicing Spread]]&lt;=0,L3139,CurrentMtgRatesDataTable8[[#This Row],[Servicing Spread]])</f>
        <v>0.95218299419774954</v>
      </c>
      <c r="M3140" s="70">
        <f>CurrentMtgRatesDataTable8[[#This Row],[Servicing Spread Non-Zero]]-L3139</f>
        <v>0</v>
      </c>
      <c r="N3140" s="70">
        <f>IF(J3139&lt;&gt;0,CurrentMtgRatesDataTable8[[#This Row],[Rate]]-C3139,N3139)</f>
        <v>-6.0000000000000053E-2</v>
      </c>
    </row>
    <row r="3141" spans="1:14">
      <c r="A3141" s="67" t="s">
        <v>1104</v>
      </c>
      <c r="B3141" s="68">
        <v>2.45908468763596</v>
      </c>
      <c r="C3141" s="69">
        <v>3.415</v>
      </c>
      <c r="D3141" s="70">
        <f t="shared" ref="D3141:D3204" si="343">WEEKDAY(A3141,14)</f>
        <v>5</v>
      </c>
      <c r="E3141" s="70">
        <f t="shared" ref="E3141:E3204" si="344">VLOOKUP(D3141,Q$5:R$11,2,FALSE)</f>
        <v>0.2</v>
      </c>
      <c r="F3141" s="70">
        <f t="shared" ref="F3141:F3204" si="345">IF(AND(D3141&gt;D3140,F3140&lt;6),F3140+1,1)</f>
        <v>3</v>
      </c>
      <c r="G3141" s="70">
        <f t="shared" ref="G3141:G3204" si="346">IF(F3141&gt;F3140,G3140+B3141*E3141,B3141*E3141)</f>
        <v>1.4828622483990102</v>
      </c>
      <c r="H3141" s="70">
        <f t="shared" ref="H3141:H3204" si="347">IF(AND(F3141&lt;6,F3141&gt;F3140),E3141+H3140,E3141)</f>
        <v>0.60000000000000009</v>
      </c>
      <c r="I3141" s="70">
        <f t="shared" ref="I3141:I3204" si="348">IF(F3141&gt;F3142,1,0)</f>
        <v>0</v>
      </c>
      <c r="J3141" s="70">
        <f t="shared" ref="J3141:J3204" si="349">IF(F3141&gt;F3142,G3141/H3141,0)</f>
        <v>0</v>
      </c>
      <c r="K3141" s="70">
        <f>IF(CurrentMtgRatesDataTable8[[#This Row],[WA CC]]&lt;&gt;0,C3140-CurrentMtgRatesDataTable8[[#This Row],[WA CC]],0)</f>
        <v>0</v>
      </c>
      <c r="L3141" s="70">
        <f>IF(CurrentMtgRatesDataTable8[[#This Row],[Servicing Spread]]&lt;=0,L3140,CurrentMtgRatesDataTable8[[#This Row],[Servicing Spread]])</f>
        <v>0.95218299419774954</v>
      </c>
      <c r="M3141" s="70">
        <f>CurrentMtgRatesDataTable8[[#This Row],[Servicing Spread Non-Zero]]-L3140</f>
        <v>0</v>
      </c>
      <c r="N3141" s="70">
        <f>IF(J3140&lt;&gt;0,CurrentMtgRatesDataTable8[[#This Row],[Rate]]-C3140,N3140)</f>
        <v>-6.0000000000000053E-2</v>
      </c>
    </row>
    <row r="3142" spans="1:14">
      <c r="A3142" s="67" t="s">
        <v>1105</v>
      </c>
      <c r="B3142" s="68">
        <v>2.46769011076751</v>
      </c>
      <c r="C3142" s="69">
        <v>3.415</v>
      </c>
      <c r="D3142" s="70">
        <f t="shared" si="343"/>
        <v>6</v>
      </c>
      <c r="E3142" s="70">
        <f t="shared" si="344"/>
        <v>0.2</v>
      </c>
      <c r="F3142" s="70">
        <f t="shared" si="345"/>
        <v>4</v>
      </c>
      <c r="G3142" s="70">
        <f t="shared" si="346"/>
        <v>1.9764002705525121</v>
      </c>
      <c r="H3142" s="70">
        <f t="shared" si="347"/>
        <v>0.8</v>
      </c>
      <c r="I3142" s="70">
        <f t="shared" si="348"/>
        <v>0</v>
      </c>
      <c r="J3142" s="70">
        <f t="shared" si="349"/>
        <v>0</v>
      </c>
      <c r="K3142" s="70">
        <f>IF(CurrentMtgRatesDataTable8[[#This Row],[WA CC]]&lt;&gt;0,C3141-CurrentMtgRatesDataTable8[[#This Row],[WA CC]],0)</f>
        <v>0</v>
      </c>
      <c r="L3142" s="70">
        <f>IF(CurrentMtgRatesDataTable8[[#This Row],[Servicing Spread]]&lt;=0,L3141,CurrentMtgRatesDataTable8[[#This Row],[Servicing Spread]])</f>
        <v>0.95218299419774954</v>
      </c>
      <c r="M3142" s="70">
        <f>CurrentMtgRatesDataTable8[[#This Row],[Servicing Spread Non-Zero]]-L3141</f>
        <v>0</v>
      </c>
      <c r="N3142" s="70">
        <f>IF(J3141&lt;&gt;0,CurrentMtgRatesDataTable8[[#This Row],[Rate]]-C3141,N3141)</f>
        <v>-6.0000000000000053E-2</v>
      </c>
    </row>
    <row r="3143" spans="1:14">
      <c r="A3143" s="67" t="s">
        <v>1106</v>
      </c>
      <c r="B3143" s="68">
        <v>2.45037012960805</v>
      </c>
      <c r="C3143" s="69">
        <v>3.415</v>
      </c>
      <c r="D3143" s="70">
        <f t="shared" si="343"/>
        <v>7</v>
      </c>
      <c r="E3143" s="70">
        <f t="shared" si="344"/>
        <v>0.2</v>
      </c>
      <c r="F3143" s="70">
        <f t="shared" si="345"/>
        <v>5</v>
      </c>
      <c r="G3143" s="70">
        <f t="shared" si="346"/>
        <v>2.466474296474122</v>
      </c>
      <c r="H3143" s="70">
        <f t="shared" si="347"/>
        <v>1</v>
      </c>
      <c r="I3143" s="70">
        <f t="shared" si="348"/>
        <v>1</v>
      </c>
      <c r="J3143" s="70">
        <f t="shared" si="349"/>
        <v>2.466474296474122</v>
      </c>
      <c r="K3143" s="70">
        <f>IF(CurrentMtgRatesDataTable8[[#This Row],[WA CC]]&lt;&gt;0,C3142-CurrentMtgRatesDataTable8[[#This Row],[WA CC]],0)</f>
        <v>0.94852570352587806</v>
      </c>
      <c r="L3143" s="70">
        <f>IF(CurrentMtgRatesDataTable8[[#This Row],[Servicing Spread]]&lt;=0,L3142,CurrentMtgRatesDataTable8[[#This Row],[Servicing Spread]])</f>
        <v>0.94852570352587806</v>
      </c>
      <c r="M3143" s="70">
        <f>CurrentMtgRatesDataTable8[[#This Row],[Servicing Spread Non-Zero]]-L3142</f>
        <v>-3.6572906718714826E-3</v>
      </c>
      <c r="N3143" s="70">
        <f>IF(J3142&lt;&gt;0,CurrentMtgRatesDataTable8[[#This Row],[Rate]]-C3142,N3142)</f>
        <v>-6.0000000000000053E-2</v>
      </c>
    </row>
    <row r="3144" spans="1:14">
      <c r="A3144" s="67" t="s">
        <v>1107</v>
      </c>
      <c r="B3144" s="68">
        <v>2.4315261347107602</v>
      </c>
      <c r="C3144" s="69">
        <v>3.46</v>
      </c>
      <c r="D3144" s="70">
        <f t="shared" si="343"/>
        <v>1</v>
      </c>
      <c r="E3144" s="70">
        <f t="shared" si="344"/>
        <v>0.2</v>
      </c>
      <c r="F3144" s="70">
        <f t="shared" si="345"/>
        <v>1</v>
      </c>
      <c r="G3144" s="70">
        <f t="shared" si="346"/>
        <v>0.48630522694215206</v>
      </c>
      <c r="H3144" s="70">
        <f t="shared" si="347"/>
        <v>0.2</v>
      </c>
      <c r="I3144" s="70">
        <f t="shared" si="348"/>
        <v>0</v>
      </c>
      <c r="J3144" s="70">
        <f t="shared" si="349"/>
        <v>0</v>
      </c>
      <c r="K3144" s="70">
        <f>IF(CurrentMtgRatesDataTable8[[#This Row],[WA CC]]&lt;&gt;0,C3143-CurrentMtgRatesDataTable8[[#This Row],[WA CC]],0)</f>
        <v>0</v>
      </c>
      <c r="L3144" s="70">
        <f>IF(CurrentMtgRatesDataTable8[[#This Row],[Servicing Spread]]&lt;=0,L3143,CurrentMtgRatesDataTable8[[#This Row],[Servicing Spread]])</f>
        <v>0.94852570352587806</v>
      </c>
      <c r="M3144" s="70">
        <f>CurrentMtgRatesDataTable8[[#This Row],[Servicing Spread Non-Zero]]-L3143</f>
        <v>0</v>
      </c>
      <c r="N3144" s="70">
        <f>IF(J3143&lt;&gt;0,CurrentMtgRatesDataTable8[[#This Row],[Rate]]-C3143,N3143)</f>
        <v>4.4999999999999929E-2</v>
      </c>
    </row>
    <row r="3145" spans="1:14">
      <c r="A3145" s="67" t="s">
        <v>1108</v>
      </c>
      <c r="B3145" s="68">
        <v>2.47900822312821</v>
      </c>
      <c r="C3145" s="69">
        <v>3.46</v>
      </c>
      <c r="D3145" s="70">
        <f t="shared" si="343"/>
        <v>2</v>
      </c>
      <c r="E3145" s="70">
        <f t="shared" si="344"/>
        <v>0.2</v>
      </c>
      <c r="F3145" s="70">
        <f t="shared" si="345"/>
        <v>2</v>
      </c>
      <c r="G3145" s="70">
        <f t="shared" si="346"/>
        <v>0.98210687156779408</v>
      </c>
      <c r="H3145" s="70">
        <f t="shared" si="347"/>
        <v>0.4</v>
      </c>
      <c r="I3145" s="70">
        <f t="shared" si="348"/>
        <v>0</v>
      </c>
      <c r="J3145" s="70">
        <f t="shared" si="349"/>
        <v>0</v>
      </c>
      <c r="K3145" s="70">
        <f>IF(CurrentMtgRatesDataTable8[[#This Row],[WA CC]]&lt;&gt;0,C3144-CurrentMtgRatesDataTable8[[#This Row],[WA CC]],0)</f>
        <v>0</v>
      </c>
      <c r="L3145" s="70">
        <f>IF(CurrentMtgRatesDataTable8[[#This Row],[Servicing Spread]]&lt;=0,L3144,CurrentMtgRatesDataTable8[[#This Row],[Servicing Spread]])</f>
        <v>0.94852570352587806</v>
      </c>
      <c r="M3145" s="70">
        <f>CurrentMtgRatesDataTable8[[#This Row],[Servicing Spread Non-Zero]]-L3144</f>
        <v>0</v>
      </c>
      <c r="N3145" s="70">
        <f>IF(J3144&lt;&gt;0,CurrentMtgRatesDataTable8[[#This Row],[Rate]]-C3144,N3144)</f>
        <v>4.4999999999999929E-2</v>
      </c>
    </row>
    <row r="3146" spans="1:14">
      <c r="A3146" s="67" t="s">
        <v>1109</v>
      </c>
      <c r="B3146" s="68">
        <v>2.50328408923819</v>
      </c>
      <c r="C3146" s="69">
        <v>3.46</v>
      </c>
      <c r="D3146" s="70">
        <f t="shared" si="343"/>
        <v>5</v>
      </c>
      <c r="E3146" s="70">
        <f t="shared" si="344"/>
        <v>0.2</v>
      </c>
      <c r="F3146" s="70">
        <f t="shared" si="345"/>
        <v>3</v>
      </c>
      <c r="G3146" s="70">
        <f t="shared" si="346"/>
        <v>1.4827636894154321</v>
      </c>
      <c r="H3146" s="70">
        <f t="shared" si="347"/>
        <v>0.60000000000000009</v>
      </c>
      <c r="I3146" s="70">
        <f t="shared" si="348"/>
        <v>0</v>
      </c>
      <c r="J3146" s="70">
        <f t="shared" si="349"/>
        <v>0</v>
      </c>
      <c r="K3146" s="70">
        <f>IF(CurrentMtgRatesDataTable8[[#This Row],[WA CC]]&lt;&gt;0,C3145-CurrentMtgRatesDataTable8[[#This Row],[WA CC]],0)</f>
        <v>0</v>
      </c>
      <c r="L3146" s="70">
        <f>IF(CurrentMtgRatesDataTable8[[#This Row],[Servicing Spread]]&lt;=0,L3145,CurrentMtgRatesDataTable8[[#This Row],[Servicing Spread]])</f>
        <v>0.94852570352587806</v>
      </c>
      <c r="M3146" s="70">
        <f>CurrentMtgRatesDataTable8[[#This Row],[Servicing Spread Non-Zero]]-L3145</f>
        <v>0</v>
      </c>
      <c r="N3146" s="70">
        <f>IF(J3145&lt;&gt;0,CurrentMtgRatesDataTable8[[#This Row],[Rate]]-C3145,N3145)</f>
        <v>4.4999999999999929E-2</v>
      </c>
    </row>
    <row r="3147" spans="1:14">
      <c r="A3147" s="67" t="s">
        <v>1110</v>
      </c>
      <c r="B3147" s="68">
        <v>2.5153297074650598</v>
      </c>
      <c r="C3147" s="69">
        <v>3.46</v>
      </c>
      <c r="D3147" s="70">
        <f t="shared" si="343"/>
        <v>6</v>
      </c>
      <c r="E3147" s="70">
        <f t="shared" si="344"/>
        <v>0.2</v>
      </c>
      <c r="F3147" s="70">
        <f t="shared" si="345"/>
        <v>4</v>
      </c>
      <c r="G3147" s="70">
        <f t="shared" si="346"/>
        <v>1.985829630908444</v>
      </c>
      <c r="H3147" s="70">
        <f t="shared" si="347"/>
        <v>0.8</v>
      </c>
      <c r="I3147" s="70">
        <f t="shared" si="348"/>
        <v>0</v>
      </c>
      <c r="J3147" s="70">
        <f t="shared" si="349"/>
        <v>0</v>
      </c>
      <c r="K3147" s="70">
        <f>IF(CurrentMtgRatesDataTable8[[#This Row],[WA CC]]&lt;&gt;0,C3146-CurrentMtgRatesDataTable8[[#This Row],[WA CC]],0)</f>
        <v>0</v>
      </c>
      <c r="L3147" s="70">
        <f>IF(CurrentMtgRatesDataTable8[[#This Row],[Servicing Spread]]&lt;=0,L3146,CurrentMtgRatesDataTable8[[#This Row],[Servicing Spread]])</f>
        <v>0.94852570352587806</v>
      </c>
      <c r="M3147" s="70">
        <f>CurrentMtgRatesDataTable8[[#This Row],[Servicing Spread Non-Zero]]-L3146</f>
        <v>0</v>
      </c>
      <c r="N3147" s="70">
        <f>IF(J3146&lt;&gt;0,CurrentMtgRatesDataTable8[[#This Row],[Rate]]-C3146,N3146)</f>
        <v>4.4999999999999929E-2</v>
      </c>
    </row>
    <row r="3148" spans="1:14">
      <c r="A3148" s="67" t="s">
        <v>1111</v>
      </c>
      <c r="B3148" s="68">
        <v>2.51044994669209</v>
      </c>
      <c r="C3148" s="69">
        <v>3.46</v>
      </c>
      <c r="D3148" s="70">
        <f t="shared" si="343"/>
        <v>7</v>
      </c>
      <c r="E3148" s="70">
        <f t="shared" si="344"/>
        <v>0.2</v>
      </c>
      <c r="F3148" s="70">
        <f t="shared" si="345"/>
        <v>5</v>
      </c>
      <c r="G3148" s="70">
        <f t="shared" si="346"/>
        <v>2.4879196202468621</v>
      </c>
      <c r="H3148" s="70">
        <f t="shared" si="347"/>
        <v>1</v>
      </c>
      <c r="I3148" s="70">
        <f t="shared" si="348"/>
        <v>1</v>
      </c>
      <c r="J3148" s="70">
        <f t="shared" si="349"/>
        <v>2.4879196202468621</v>
      </c>
      <c r="K3148" s="70">
        <f>IF(CurrentMtgRatesDataTable8[[#This Row],[WA CC]]&lt;&gt;0,C3147-CurrentMtgRatesDataTable8[[#This Row],[WA CC]],0)</f>
        <v>0.97208037975313788</v>
      </c>
      <c r="L3148" s="70">
        <f>IF(CurrentMtgRatesDataTable8[[#This Row],[Servicing Spread]]&lt;=0,L3147,CurrentMtgRatesDataTable8[[#This Row],[Servicing Spread]])</f>
        <v>0.97208037975313788</v>
      </c>
      <c r="M3148" s="70">
        <f>CurrentMtgRatesDataTable8[[#This Row],[Servicing Spread Non-Zero]]-L3147</f>
        <v>2.3554676227259819E-2</v>
      </c>
      <c r="N3148" s="70">
        <f>IF(J3147&lt;&gt;0,CurrentMtgRatesDataTable8[[#This Row],[Rate]]-C3147,N3147)</f>
        <v>4.4999999999999929E-2</v>
      </c>
    </row>
    <row r="3149" spans="1:14">
      <c r="A3149" s="67" t="s">
        <v>1112</v>
      </c>
      <c r="B3149" s="68">
        <v>2.5328661525509899</v>
      </c>
      <c r="C3149" s="69">
        <v>3.355</v>
      </c>
      <c r="D3149" s="70">
        <f t="shared" si="343"/>
        <v>1</v>
      </c>
      <c r="E3149" s="70">
        <f t="shared" si="344"/>
        <v>0.2</v>
      </c>
      <c r="F3149" s="70">
        <f t="shared" si="345"/>
        <v>1</v>
      </c>
      <c r="G3149" s="70">
        <f t="shared" si="346"/>
        <v>0.50657323051019798</v>
      </c>
      <c r="H3149" s="70">
        <f t="shared" si="347"/>
        <v>0.2</v>
      </c>
      <c r="I3149" s="70">
        <f t="shared" si="348"/>
        <v>0</v>
      </c>
      <c r="J3149" s="70">
        <f t="shared" si="349"/>
        <v>0</v>
      </c>
      <c r="K3149" s="70">
        <f>IF(CurrentMtgRatesDataTable8[[#This Row],[WA CC]]&lt;&gt;0,C3148-CurrentMtgRatesDataTable8[[#This Row],[WA CC]],0)</f>
        <v>0</v>
      </c>
      <c r="L3149" s="70">
        <f>IF(CurrentMtgRatesDataTable8[[#This Row],[Servicing Spread]]&lt;=0,L3148,CurrentMtgRatesDataTable8[[#This Row],[Servicing Spread]])</f>
        <v>0.97208037975313788</v>
      </c>
      <c r="M3149" s="70">
        <f>CurrentMtgRatesDataTable8[[#This Row],[Servicing Spread Non-Zero]]-L3148</f>
        <v>0</v>
      </c>
      <c r="N3149" s="70">
        <f>IF(J3148&lt;&gt;0,CurrentMtgRatesDataTable8[[#This Row],[Rate]]-C3148,N3148)</f>
        <v>-0.10499999999999998</v>
      </c>
    </row>
    <row r="3150" spans="1:14">
      <c r="A3150" s="67" t="s">
        <v>1113</v>
      </c>
      <c r="B3150" s="68">
        <v>2.42238784637689</v>
      </c>
      <c r="C3150" s="69">
        <v>3.355</v>
      </c>
      <c r="D3150" s="70">
        <f t="shared" si="343"/>
        <v>2</v>
      </c>
      <c r="E3150" s="70">
        <f t="shared" si="344"/>
        <v>0.2</v>
      </c>
      <c r="F3150" s="70">
        <f t="shared" si="345"/>
        <v>2</v>
      </c>
      <c r="G3150" s="70">
        <f t="shared" si="346"/>
        <v>0.99105079978557598</v>
      </c>
      <c r="H3150" s="70">
        <f t="shared" si="347"/>
        <v>0.4</v>
      </c>
      <c r="I3150" s="70">
        <f t="shared" si="348"/>
        <v>0</v>
      </c>
      <c r="J3150" s="70">
        <f t="shared" si="349"/>
        <v>0</v>
      </c>
      <c r="K3150" s="70">
        <f>IF(CurrentMtgRatesDataTable8[[#This Row],[WA CC]]&lt;&gt;0,C3149-CurrentMtgRatesDataTable8[[#This Row],[WA CC]],0)</f>
        <v>0</v>
      </c>
      <c r="L3150" s="70">
        <f>IF(CurrentMtgRatesDataTable8[[#This Row],[Servicing Spread]]&lt;=0,L3149,CurrentMtgRatesDataTable8[[#This Row],[Servicing Spread]])</f>
        <v>0.97208037975313788</v>
      </c>
      <c r="M3150" s="70">
        <f>CurrentMtgRatesDataTable8[[#This Row],[Servicing Spread Non-Zero]]-L3149</f>
        <v>0</v>
      </c>
      <c r="N3150" s="70">
        <f>IF(J3149&lt;&gt;0,CurrentMtgRatesDataTable8[[#This Row],[Rate]]-C3149,N3149)</f>
        <v>-0.10499999999999998</v>
      </c>
    </row>
    <row r="3151" spans="1:14">
      <c r="A3151" s="67" t="s">
        <v>1114</v>
      </c>
      <c r="B3151" s="68">
        <v>2.28975271762293</v>
      </c>
      <c r="C3151" s="69">
        <v>3.355</v>
      </c>
      <c r="D3151" s="70">
        <f t="shared" si="343"/>
        <v>5</v>
      </c>
      <c r="E3151" s="70">
        <f t="shared" si="344"/>
        <v>0.2</v>
      </c>
      <c r="F3151" s="70">
        <f t="shared" si="345"/>
        <v>3</v>
      </c>
      <c r="G3151" s="70">
        <f t="shared" si="346"/>
        <v>1.4490013433101621</v>
      </c>
      <c r="H3151" s="70">
        <f t="shared" si="347"/>
        <v>0.60000000000000009</v>
      </c>
      <c r="I3151" s="70">
        <f t="shared" si="348"/>
        <v>0</v>
      </c>
      <c r="J3151" s="70">
        <f t="shared" si="349"/>
        <v>0</v>
      </c>
      <c r="K3151" s="70">
        <f>IF(CurrentMtgRatesDataTable8[[#This Row],[WA CC]]&lt;&gt;0,C3150-CurrentMtgRatesDataTable8[[#This Row],[WA CC]],0)</f>
        <v>0</v>
      </c>
      <c r="L3151" s="70">
        <f>IF(CurrentMtgRatesDataTable8[[#This Row],[Servicing Spread]]&lt;=0,L3150,CurrentMtgRatesDataTable8[[#This Row],[Servicing Spread]])</f>
        <v>0.97208037975313788</v>
      </c>
      <c r="M3151" s="70">
        <f>CurrentMtgRatesDataTable8[[#This Row],[Servicing Spread Non-Zero]]-L3150</f>
        <v>0</v>
      </c>
      <c r="N3151" s="70">
        <f>IF(J3150&lt;&gt;0,CurrentMtgRatesDataTable8[[#This Row],[Rate]]-C3150,N3150)</f>
        <v>-0.10499999999999998</v>
      </c>
    </row>
    <row r="3152" spans="1:14">
      <c r="A3152" s="67" t="s">
        <v>1115</v>
      </c>
      <c r="B3152" s="68">
        <v>2.2924928729045799</v>
      </c>
      <c r="C3152" s="69">
        <v>3.355</v>
      </c>
      <c r="D3152" s="70">
        <f t="shared" si="343"/>
        <v>6</v>
      </c>
      <c r="E3152" s="70">
        <f t="shared" si="344"/>
        <v>0.2</v>
      </c>
      <c r="F3152" s="70">
        <f t="shared" si="345"/>
        <v>4</v>
      </c>
      <c r="G3152" s="70">
        <f t="shared" si="346"/>
        <v>1.9074999178910781</v>
      </c>
      <c r="H3152" s="70">
        <f t="shared" si="347"/>
        <v>0.8</v>
      </c>
      <c r="I3152" s="70">
        <f t="shared" si="348"/>
        <v>0</v>
      </c>
      <c r="J3152" s="70">
        <f t="shared" si="349"/>
        <v>0</v>
      </c>
      <c r="K3152" s="70">
        <f>IF(CurrentMtgRatesDataTable8[[#This Row],[WA CC]]&lt;&gt;0,C3151-CurrentMtgRatesDataTable8[[#This Row],[WA CC]],0)</f>
        <v>0</v>
      </c>
      <c r="L3152" s="70">
        <f>IF(CurrentMtgRatesDataTable8[[#This Row],[Servicing Spread]]&lt;=0,L3151,CurrentMtgRatesDataTable8[[#This Row],[Servicing Spread]])</f>
        <v>0.97208037975313788</v>
      </c>
      <c r="M3152" s="70">
        <f>CurrentMtgRatesDataTable8[[#This Row],[Servicing Spread Non-Zero]]-L3151</f>
        <v>0</v>
      </c>
      <c r="N3152" s="70">
        <f>IF(J3151&lt;&gt;0,CurrentMtgRatesDataTable8[[#This Row],[Rate]]-C3151,N3151)</f>
        <v>-0.10499999999999998</v>
      </c>
    </row>
    <row r="3153" spans="1:14">
      <c r="A3153" s="67" t="s">
        <v>1116</v>
      </c>
      <c r="B3153" s="68">
        <v>2.2865529695176998</v>
      </c>
      <c r="C3153" s="69">
        <v>3.355</v>
      </c>
      <c r="D3153" s="70">
        <f t="shared" si="343"/>
        <v>7</v>
      </c>
      <c r="E3153" s="70">
        <f t="shared" si="344"/>
        <v>0.2</v>
      </c>
      <c r="F3153" s="70">
        <f t="shared" si="345"/>
        <v>5</v>
      </c>
      <c r="G3153" s="70">
        <f t="shared" si="346"/>
        <v>2.3648105117946181</v>
      </c>
      <c r="H3153" s="70">
        <f t="shared" si="347"/>
        <v>1</v>
      </c>
      <c r="I3153" s="70">
        <f t="shared" si="348"/>
        <v>1</v>
      </c>
      <c r="J3153" s="70">
        <f t="shared" si="349"/>
        <v>2.3648105117946181</v>
      </c>
      <c r="K3153" s="70">
        <f>IF(CurrentMtgRatesDataTable8[[#This Row],[WA CC]]&lt;&gt;0,C3152-CurrentMtgRatesDataTable8[[#This Row],[WA CC]],0)</f>
        <v>0.99018948820538188</v>
      </c>
      <c r="L3153" s="70">
        <f>IF(CurrentMtgRatesDataTable8[[#This Row],[Servicing Spread]]&lt;=0,L3152,CurrentMtgRatesDataTable8[[#This Row],[Servicing Spread]])</f>
        <v>0.99018948820538188</v>
      </c>
      <c r="M3153" s="70">
        <f>CurrentMtgRatesDataTable8[[#This Row],[Servicing Spread Non-Zero]]-L3152</f>
        <v>1.8109108452244005E-2</v>
      </c>
      <c r="N3153" s="70">
        <f>IF(J3152&lt;&gt;0,CurrentMtgRatesDataTable8[[#This Row],[Rate]]-C3152,N3152)</f>
        <v>-0.10499999999999998</v>
      </c>
    </row>
    <row r="3154" spans="1:14">
      <c r="A3154" s="67" t="s">
        <v>1117</v>
      </c>
      <c r="B3154" s="68">
        <v>2.2474863691242</v>
      </c>
      <c r="C3154" s="69">
        <v>3.2850000000000001</v>
      </c>
      <c r="D3154" s="70">
        <f t="shared" si="343"/>
        <v>1</v>
      </c>
      <c r="E3154" s="70">
        <f t="shared" si="344"/>
        <v>0.2</v>
      </c>
      <c r="F3154" s="70">
        <f t="shared" si="345"/>
        <v>1</v>
      </c>
      <c r="G3154" s="70">
        <f t="shared" si="346"/>
        <v>0.44949727382484</v>
      </c>
      <c r="H3154" s="70">
        <f t="shared" si="347"/>
        <v>0.2</v>
      </c>
      <c r="I3154" s="70">
        <f t="shared" si="348"/>
        <v>0</v>
      </c>
      <c r="J3154" s="70">
        <f t="shared" si="349"/>
        <v>0</v>
      </c>
      <c r="K3154" s="70">
        <f>IF(CurrentMtgRatesDataTable8[[#This Row],[WA CC]]&lt;&gt;0,C3153-CurrentMtgRatesDataTable8[[#This Row],[WA CC]],0)</f>
        <v>0</v>
      </c>
      <c r="L3154" s="70">
        <f>IF(CurrentMtgRatesDataTable8[[#This Row],[Servicing Spread]]&lt;=0,L3153,CurrentMtgRatesDataTable8[[#This Row],[Servicing Spread]])</f>
        <v>0.99018948820538188</v>
      </c>
      <c r="M3154" s="70">
        <f>CurrentMtgRatesDataTable8[[#This Row],[Servicing Spread Non-Zero]]-L3153</f>
        <v>0</v>
      </c>
      <c r="N3154" s="70">
        <f>IF(J3153&lt;&gt;0,CurrentMtgRatesDataTable8[[#This Row],[Rate]]-C3153,N3153)</f>
        <v>-6.999999999999984E-2</v>
      </c>
    </row>
    <row r="3155" spans="1:14">
      <c r="A3155" s="67" t="s">
        <v>1118</v>
      </c>
      <c r="B3155" s="68">
        <v>2.2397995226071998</v>
      </c>
      <c r="C3155" s="69">
        <v>3.2850000000000001</v>
      </c>
      <c r="D3155" s="70">
        <f t="shared" si="343"/>
        <v>2</v>
      </c>
      <c r="E3155" s="70">
        <f t="shared" si="344"/>
        <v>0.2</v>
      </c>
      <c r="F3155" s="70">
        <f t="shared" si="345"/>
        <v>2</v>
      </c>
      <c r="G3155" s="70">
        <f t="shared" si="346"/>
        <v>0.89745717834627992</v>
      </c>
      <c r="H3155" s="70">
        <f t="shared" si="347"/>
        <v>0.4</v>
      </c>
      <c r="I3155" s="70">
        <f t="shared" si="348"/>
        <v>0</v>
      </c>
      <c r="J3155" s="70">
        <f t="shared" si="349"/>
        <v>0</v>
      </c>
      <c r="K3155" s="70">
        <f>IF(CurrentMtgRatesDataTable8[[#This Row],[WA CC]]&lt;&gt;0,C3154-CurrentMtgRatesDataTable8[[#This Row],[WA CC]],0)</f>
        <v>0</v>
      </c>
      <c r="L3155" s="70">
        <f>IF(CurrentMtgRatesDataTable8[[#This Row],[Servicing Spread]]&lt;=0,L3154,CurrentMtgRatesDataTable8[[#This Row],[Servicing Spread]])</f>
        <v>0.99018948820538188</v>
      </c>
      <c r="M3155" s="70">
        <f>CurrentMtgRatesDataTable8[[#This Row],[Servicing Spread Non-Zero]]-L3154</f>
        <v>0</v>
      </c>
      <c r="N3155" s="70">
        <f>IF(J3154&lt;&gt;0,CurrentMtgRatesDataTable8[[#This Row],[Rate]]-C3154,N3154)</f>
        <v>-6.999999999999984E-2</v>
      </c>
    </row>
    <row r="3156" spans="1:14">
      <c r="A3156" s="67" t="s">
        <v>1119</v>
      </c>
      <c r="B3156" s="68">
        <v>2.1596234413025202</v>
      </c>
      <c r="C3156" s="69">
        <v>3.2850000000000001</v>
      </c>
      <c r="D3156" s="70">
        <f t="shared" si="343"/>
        <v>6</v>
      </c>
      <c r="E3156" s="70">
        <f t="shared" si="344"/>
        <v>0.2</v>
      </c>
      <c r="F3156" s="70">
        <f t="shared" si="345"/>
        <v>3</v>
      </c>
      <c r="G3156" s="70">
        <f t="shared" si="346"/>
        <v>1.329381866606784</v>
      </c>
      <c r="H3156" s="70">
        <f t="shared" si="347"/>
        <v>0.60000000000000009</v>
      </c>
      <c r="I3156" s="70">
        <f t="shared" si="348"/>
        <v>0</v>
      </c>
      <c r="J3156" s="70">
        <f t="shared" si="349"/>
        <v>0</v>
      </c>
      <c r="K3156" s="70">
        <f>IF(CurrentMtgRatesDataTable8[[#This Row],[WA CC]]&lt;&gt;0,C3155-CurrentMtgRatesDataTable8[[#This Row],[WA CC]],0)</f>
        <v>0</v>
      </c>
      <c r="L3156" s="70">
        <f>IF(CurrentMtgRatesDataTable8[[#This Row],[Servicing Spread]]&lt;=0,L3155,CurrentMtgRatesDataTable8[[#This Row],[Servicing Spread]])</f>
        <v>0.99018948820538188</v>
      </c>
      <c r="M3156" s="70">
        <f>CurrentMtgRatesDataTable8[[#This Row],[Servicing Spread Non-Zero]]-L3155</f>
        <v>0</v>
      </c>
      <c r="N3156" s="70">
        <f>IF(J3155&lt;&gt;0,CurrentMtgRatesDataTable8[[#This Row],[Rate]]-C3155,N3155)</f>
        <v>-6.999999999999984E-2</v>
      </c>
    </row>
    <row r="3157" spans="1:14">
      <c r="A3157" s="67" t="s">
        <v>1120</v>
      </c>
      <c r="B3157" s="68">
        <v>2.19882717699562</v>
      </c>
      <c r="C3157" s="69">
        <v>3.2850000000000001</v>
      </c>
      <c r="D3157" s="70">
        <f t="shared" si="343"/>
        <v>7</v>
      </c>
      <c r="E3157" s="70">
        <f t="shared" si="344"/>
        <v>0.2</v>
      </c>
      <c r="F3157" s="70">
        <f t="shared" si="345"/>
        <v>4</v>
      </c>
      <c r="G3157" s="70">
        <f t="shared" si="346"/>
        <v>1.7691473020059081</v>
      </c>
      <c r="H3157" s="70">
        <f t="shared" si="347"/>
        <v>0.8</v>
      </c>
      <c r="I3157" s="70">
        <f t="shared" si="348"/>
        <v>1</v>
      </c>
      <c r="J3157" s="70">
        <f t="shared" si="349"/>
        <v>2.2114341275073848</v>
      </c>
      <c r="K3157" s="70">
        <f>IF(CurrentMtgRatesDataTable8[[#This Row],[WA CC]]&lt;&gt;0,C3156-CurrentMtgRatesDataTable8[[#This Row],[WA CC]],0)</f>
        <v>1.0735658724926154</v>
      </c>
      <c r="L3157" s="70">
        <f>IF(CurrentMtgRatesDataTable8[[#This Row],[Servicing Spread]]&lt;=0,L3156,CurrentMtgRatesDataTable8[[#This Row],[Servicing Spread]])</f>
        <v>1.0735658724926154</v>
      </c>
      <c r="M3157" s="70">
        <f>CurrentMtgRatesDataTable8[[#This Row],[Servicing Spread Non-Zero]]-L3156</f>
        <v>8.3376384287233485E-2</v>
      </c>
      <c r="N3157" s="70">
        <f>IF(J3156&lt;&gt;0,CurrentMtgRatesDataTable8[[#This Row],[Rate]]-C3156,N3156)</f>
        <v>-6.999999999999984E-2</v>
      </c>
    </row>
    <row r="3158" spans="1:14">
      <c r="A3158" s="67" t="s">
        <v>1121</v>
      </c>
      <c r="B3158" s="68">
        <v>2.2327355208775002</v>
      </c>
      <c r="C3158" s="69">
        <v>3.2949999999999999</v>
      </c>
      <c r="D3158" s="70">
        <f t="shared" si="343"/>
        <v>1</v>
      </c>
      <c r="E3158" s="70">
        <f t="shared" si="344"/>
        <v>0.2</v>
      </c>
      <c r="F3158" s="70">
        <f t="shared" si="345"/>
        <v>1</v>
      </c>
      <c r="G3158" s="70">
        <f t="shared" si="346"/>
        <v>0.44654710417550003</v>
      </c>
      <c r="H3158" s="70">
        <f t="shared" si="347"/>
        <v>0.2</v>
      </c>
      <c r="I3158" s="70">
        <f t="shared" si="348"/>
        <v>0</v>
      </c>
      <c r="J3158" s="70">
        <f t="shared" si="349"/>
        <v>0</v>
      </c>
      <c r="K3158" s="70">
        <f>IF(CurrentMtgRatesDataTable8[[#This Row],[WA CC]]&lt;&gt;0,C3157-CurrentMtgRatesDataTable8[[#This Row],[WA CC]],0)</f>
        <v>0</v>
      </c>
      <c r="L3158" s="70">
        <f>IF(CurrentMtgRatesDataTable8[[#This Row],[Servicing Spread]]&lt;=0,L3157,CurrentMtgRatesDataTable8[[#This Row],[Servicing Spread]])</f>
        <v>1.0735658724926154</v>
      </c>
      <c r="M3158" s="70">
        <f>CurrentMtgRatesDataTable8[[#This Row],[Servicing Spread Non-Zero]]-L3157</f>
        <v>0</v>
      </c>
      <c r="N3158" s="70">
        <f>IF(J3157&lt;&gt;0,CurrentMtgRatesDataTable8[[#This Row],[Rate]]-C3157,N3157)</f>
        <v>9.9999999999997868E-3</v>
      </c>
    </row>
    <row r="3159" spans="1:14">
      <c r="A3159" s="67" t="s">
        <v>1122</v>
      </c>
      <c r="B3159" s="68">
        <v>2.22171317291324</v>
      </c>
      <c r="C3159" s="69">
        <v>3.2949999999999999</v>
      </c>
      <c r="D3159" s="70">
        <f t="shared" si="343"/>
        <v>2</v>
      </c>
      <c r="E3159" s="70">
        <f t="shared" si="344"/>
        <v>0.2</v>
      </c>
      <c r="F3159" s="70">
        <f t="shared" si="345"/>
        <v>2</v>
      </c>
      <c r="G3159" s="70">
        <f t="shared" si="346"/>
        <v>0.89088973875814803</v>
      </c>
      <c r="H3159" s="70">
        <f t="shared" si="347"/>
        <v>0.4</v>
      </c>
      <c r="I3159" s="70">
        <f t="shared" si="348"/>
        <v>0</v>
      </c>
      <c r="J3159" s="70">
        <f t="shared" si="349"/>
        <v>0</v>
      </c>
      <c r="K3159" s="70">
        <f>IF(CurrentMtgRatesDataTable8[[#This Row],[WA CC]]&lt;&gt;0,C3158-CurrentMtgRatesDataTable8[[#This Row],[WA CC]],0)</f>
        <v>0</v>
      </c>
      <c r="L3159" s="70">
        <f>IF(CurrentMtgRatesDataTable8[[#This Row],[Servicing Spread]]&lt;=0,L3158,CurrentMtgRatesDataTable8[[#This Row],[Servicing Spread]])</f>
        <v>1.0735658724926154</v>
      </c>
      <c r="M3159" s="70">
        <f>CurrentMtgRatesDataTable8[[#This Row],[Servicing Spread Non-Zero]]-L3158</f>
        <v>0</v>
      </c>
      <c r="N3159" s="70">
        <f>IF(J3158&lt;&gt;0,CurrentMtgRatesDataTable8[[#This Row],[Rate]]-C3158,N3158)</f>
        <v>9.9999999999997868E-3</v>
      </c>
    </row>
    <row r="3160" spans="1:14">
      <c r="A3160" s="67" t="s">
        <v>1123</v>
      </c>
      <c r="B3160" s="68">
        <v>2.2498836736013899</v>
      </c>
      <c r="C3160" s="69">
        <v>3.2949999999999999</v>
      </c>
      <c r="D3160" s="70">
        <f t="shared" si="343"/>
        <v>5</v>
      </c>
      <c r="E3160" s="70">
        <f t="shared" si="344"/>
        <v>0.2</v>
      </c>
      <c r="F3160" s="70">
        <f t="shared" si="345"/>
        <v>3</v>
      </c>
      <c r="G3160" s="70">
        <f t="shared" si="346"/>
        <v>1.3408664734784259</v>
      </c>
      <c r="H3160" s="70">
        <f t="shared" si="347"/>
        <v>0.60000000000000009</v>
      </c>
      <c r="I3160" s="70">
        <f t="shared" si="348"/>
        <v>0</v>
      </c>
      <c r="J3160" s="70">
        <f t="shared" si="349"/>
        <v>0</v>
      </c>
      <c r="K3160" s="70">
        <f>IF(CurrentMtgRatesDataTable8[[#This Row],[WA CC]]&lt;&gt;0,C3159-CurrentMtgRatesDataTable8[[#This Row],[WA CC]],0)</f>
        <v>0</v>
      </c>
      <c r="L3160" s="70">
        <f>IF(CurrentMtgRatesDataTable8[[#This Row],[Servicing Spread]]&lt;=0,L3159,CurrentMtgRatesDataTable8[[#This Row],[Servicing Spread]])</f>
        <v>1.0735658724926154</v>
      </c>
      <c r="M3160" s="70">
        <f>CurrentMtgRatesDataTable8[[#This Row],[Servicing Spread Non-Zero]]-L3159</f>
        <v>0</v>
      </c>
      <c r="N3160" s="70">
        <f>IF(J3159&lt;&gt;0,CurrentMtgRatesDataTable8[[#This Row],[Rate]]-C3159,N3159)</f>
        <v>9.9999999999997868E-3</v>
      </c>
    </row>
    <row r="3161" spans="1:14">
      <c r="A3161" s="67" t="s">
        <v>1124</v>
      </c>
      <c r="B3161" s="68">
        <v>2.3035973514028201</v>
      </c>
      <c r="C3161" s="69">
        <v>3.2949999999999999</v>
      </c>
      <c r="D3161" s="70">
        <f t="shared" si="343"/>
        <v>6</v>
      </c>
      <c r="E3161" s="70">
        <f t="shared" si="344"/>
        <v>0.2</v>
      </c>
      <c r="F3161" s="70">
        <f t="shared" si="345"/>
        <v>4</v>
      </c>
      <c r="G3161" s="70">
        <f t="shared" si="346"/>
        <v>1.8015859437589898</v>
      </c>
      <c r="H3161" s="70">
        <f t="shared" si="347"/>
        <v>0.8</v>
      </c>
      <c r="I3161" s="70">
        <f t="shared" si="348"/>
        <v>0</v>
      </c>
      <c r="J3161" s="70">
        <f t="shared" si="349"/>
        <v>0</v>
      </c>
      <c r="K3161" s="70">
        <f>IF(CurrentMtgRatesDataTable8[[#This Row],[WA CC]]&lt;&gt;0,C3160-CurrentMtgRatesDataTable8[[#This Row],[WA CC]],0)</f>
        <v>0</v>
      </c>
      <c r="L3161" s="70">
        <f>IF(CurrentMtgRatesDataTable8[[#This Row],[Servicing Spread]]&lt;=0,L3160,CurrentMtgRatesDataTable8[[#This Row],[Servicing Spread]])</f>
        <v>1.0735658724926154</v>
      </c>
      <c r="M3161" s="70">
        <f>CurrentMtgRatesDataTable8[[#This Row],[Servicing Spread Non-Zero]]-L3160</f>
        <v>0</v>
      </c>
      <c r="N3161" s="70">
        <f>IF(J3160&lt;&gt;0,CurrentMtgRatesDataTable8[[#This Row],[Rate]]-C3160,N3160)</f>
        <v>9.9999999999997868E-3</v>
      </c>
    </row>
    <row r="3162" spans="1:14">
      <c r="A3162" s="67" t="s">
        <v>1125</v>
      </c>
      <c r="B3162" s="68">
        <v>2.2780835111266402</v>
      </c>
      <c r="C3162" s="69">
        <v>3.2949999999999999</v>
      </c>
      <c r="D3162" s="70">
        <f t="shared" si="343"/>
        <v>7</v>
      </c>
      <c r="E3162" s="70">
        <f t="shared" si="344"/>
        <v>0.2</v>
      </c>
      <c r="F3162" s="70">
        <f t="shared" si="345"/>
        <v>5</v>
      </c>
      <c r="G3162" s="70">
        <f t="shared" si="346"/>
        <v>2.257202645984318</v>
      </c>
      <c r="H3162" s="70">
        <f t="shared" si="347"/>
        <v>1</v>
      </c>
      <c r="I3162" s="70">
        <f t="shared" si="348"/>
        <v>1</v>
      </c>
      <c r="J3162" s="70">
        <f t="shared" si="349"/>
        <v>2.257202645984318</v>
      </c>
      <c r="K3162" s="70">
        <f>IF(CurrentMtgRatesDataTable8[[#This Row],[WA CC]]&lt;&gt;0,C3161-CurrentMtgRatesDataTable8[[#This Row],[WA CC]],0)</f>
        <v>1.037797354015682</v>
      </c>
      <c r="L3162" s="70">
        <f>IF(CurrentMtgRatesDataTable8[[#This Row],[Servicing Spread]]&lt;=0,L3161,CurrentMtgRatesDataTable8[[#This Row],[Servicing Spread]])</f>
        <v>1.037797354015682</v>
      </c>
      <c r="M3162" s="70">
        <f>CurrentMtgRatesDataTable8[[#This Row],[Servicing Spread Non-Zero]]-L3161</f>
        <v>-3.5768518476933409E-2</v>
      </c>
      <c r="N3162" s="70">
        <f>IF(J3161&lt;&gt;0,CurrentMtgRatesDataTable8[[#This Row],[Rate]]-C3161,N3161)</f>
        <v>9.9999999999997868E-3</v>
      </c>
    </row>
    <row r="3163" spans="1:14">
      <c r="A3163" s="67" t="s">
        <v>1126</v>
      </c>
      <c r="B3163" s="68">
        <v>2.3132728669173401</v>
      </c>
      <c r="C3163" s="69">
        <v>3.3250000000000002</v>
      </c>
      <c r="D3163" s="70">
        <f t="shared" si="343"/>
        <v>1</v>
      </c>
      <c r="E3163" s="70">
        <f t="shared" si="344"/>
        <v>0.2</v>
      </c>
      <c r="F3163" s="70">
        <f t="shared" si="345"/>
        <v>1</v>
      </c>
      <c r="G3163" s="70">
        <f t="shared" si="346"/>
        <v>0.46265457338346805</v>
      </c>
      <c r="H3163" s="70">
        <f t="shared" si="347"/>
        <v>0.2</v>
      </c>
      <c r="I3163" s="70">
        <f t="shared" si="348"/>
        <v>0</v>
      </c>
      <c r="J3163" s="70">
        <f t="shared" si="349"/>
        <v>0</v>
      </c>
      <c r="K3163" s="70">
        <f>IF(CurrentMtgRatesDataTable8[[#This Row],[WA CC]]&lt;&gt;0,C3162-CurrentMtgRatesDataTable8[[#This Row],[WA CC]],0)</f>
        <v>0</v>
      </c>
      <c r="L3163" s="70">
        <f>IF(CurrentMtgRatesDataTable8[[#This Row],[Servicing Spread]]&lt;=0,L3162,CurrentMtgRatesDataTable8[[#This Row],[Servicing Spread]])</f>
        <v>1.037797354015682</v>
      </c>
      <c r="M3163" s="70">
        <f>CurrentMtgRatesDataTable8[[#This Row],[Servicing Spread Non-Zero]]-L3162</f>
        <v>0</v>
      </c>
      <c r="N3163" s="70">
        <f>IF(J3162&lt;&gt;0,CurrentMtgRatesDataTable8[[#This Row],[Rate]]-C3162,N3162)</f>
        <v>3.0000000000000249E-2</v>
      </c>
    </row>
    <row r="3164" spans="1:14">
      <c r="A3164" s="67" t="s">
        <v>1127</v>
      </c>
      <c r="B3164" s="68">
        <v>2.3587572487332702</v>
      </c>
      <c r="C3164" s="69">
        <v>3.3250000000000002</v>
      </c>
      <c r="D3164" s="70">
        <f t="shared" si="343"/>
        <v>2</v>
      </c>
      <c r="E3164" s="70">
        <f t="shared" si="344"/>
        <v>0.2</v>
      </c>
      <c r="F3164" s="70">
        <f t="shared" si="345"/>
        <v>2</v>
      </c>
      <c r="G3164" s="70">
        <f t="shared" si="346"/>
        <v>0.93440602313012211</v>
      </c>
      <c r="H3164" s="70">
        <f t="shared" si="347"/>
        <v>0.4</v>
      </c>
      <c r="I3164" s="70">
        <f t="shared" si="348"/>
        <v>0</v>
      </c>
      <c r="J3164" s="70">
        <f t="shared" si="349"/>
        <v>0</v>
      </c>
      <c r="K3164" s="70">
        <f>IF(CurrentMtgRatesDataTable8[[#This Row],[WA CC]]&lt;&gt;0,C3163-CurrentMtgRatesDataTable8[[#This Row],[WA CC]],0)</f>
        <v>0</v>
      </c>
      <c r="L3164" s="70">
        <f>IF(CurrentMtgRatesDataTable8[[#This Row],[Servicing Spread]]&lt;=0,L3163,CurrentMtgRatesDataTable8[[#This Row],[Servicing Spread]])</f>
        <v>1.037797354015682</v>
      </c>
      <c r="M3164" s="70">
        <f>CurrentMtgRatesDataTable8[[#This Row],[Servicing Spread Non-Zero]]-L3163</f>
        <v>0</v>
      </c>
      <c r="N3164" s="70">
        <f>IF(J3163&lt;&gt;0,CurrentMtgRatesDataTable8[[#This Row],[Rate]]-C3163,N3163)</f>
        <v>3.0000000000000249E-2</v>
      </c>
    </row>
    <row r="3165" spans="1:14">
      <c r="A3165" s="67" t="s">
        <v>1128</v>
      </c>
      <c r="B3165" s="68">
        <v>2.3547084525242998</v>
      </c>
      <c r="C3165" s="69">
        <v>3.3250000000000002</v>
      </c>
      <c r="D3165" s="70">
        <f t="shared" si="343"/>
        <v>5</v>
      </c>
      <c r="E3165" s="70">
        <f t="shared" si="344"/>
        <v>0.2</v>
      </c>
      <c r="F3165" s="70">
        <f t="shared" si="345"/>
        <v>3</v>
      </c>
      <c r="G3165" s="70">
        <f t="shared" si="346"/>
        <v>1.4053477136349821</v>
      </c>
      <c r="H3165" s="70">
        <f t="shared" si="347"/>
        <v>0.60000000000000009</v>
      </c>
      <c r="I3165" s="70">
        <f t="shared" si="348"/>
        <v>0</v>
      </c>
      <c r="J3165" s="70">
        <f t="shared" si="349"/>
        <v>0</v>
      </c>
      <c r="K3165" s="70">
        <f>IF(CurrentMtgRatesDataTable8[[#This Row],[WA CC]]&lt;&gt;0,C3164-CurrentMtgRatesDataTable8[[#This Row],[WA CC]],0)</f>
        <v>0</v>
      </c>
      <c r="L3165" s="70">
        <f>IF(CurrentMtgRatesDataTable8[[#This Row],[Servicing Spread]]&lt;=0,L3164,CurrentMtgRatesDataTable8[[#This Row],[Servicing Spread]])</f>
        <v>1.037797354015682</v>
      </c>
      <c r="M3165" s="70">
        <f>CurrentMtgRatesDataTable8[[#This Row],[Servicing Spread Non-Zero]]-L3164</f>
        <v>0</v>
      </c>
      <c r="N3165" s="70">
        <f>IF(J3164&lt;&gt;0,CurrentMtgRatesDataTable8[[#This Row],[Rate]]-C3164,N3164)</f>
        <v>3.0000000000000249E-2</v>
      </c>
    </row>
    <row r="3166" spans="1:14">
      <c r="A3166" s="67" t="s">
        <v>1129</v>
      </c>
      <c r="B3166" s="68">
        <v>2.3280330351195899</v>
      </c>
      <c r="C3166" s="69">
        <v>3.3250000000000002</v>
      </c>
      <c r="D3166" s="70">
        <f t="shared" si="343"/>
        <v>6</v>
      </c>
      <c r="E3166" s="70">
        <f t="shared" si="344"/>
        <v>0.2</v>
      </c>
      <c r="F3166" s="70">
        <f t="shared" si="345"/>
        <v>4</v>
      </c>
      <c r="G3166" s="70">
        <f t="shared" si="346"/>
        <v>1.8709543206589001</v>
      </c>
      <c r="H3166" s="70">
        <f t="shared" si="347"/>
        <v>0.8</v>
      </c>
      <c r="I3166" s="70">
        <f t="shared" si="348"/>
        <v>0</v>
      </c>
      <c r="J3166" s="70">
        <f t="shared" si="349"/>
        <v>0</v>
      </c>
      <c r="K3166" s="70">
        <f>IF(CurrentMtgRatesDataTable8[[#This Row],[WA CC]]&lt;&gt;0,C3165-CurrentMtgRatesDataTable8[[#This Row],[WA CC]],0)</f>
        <v>0</v>
      </c>
      <c r="L3166" s="70">
        <f>IF(CurrentMtgRatesDataTable8[[#This Row],[Servicing Spread]]&lt;=0,L3165,CurrentMtgRatesDataTable8[[#This Row],[Servicing Spread]])</f>
        <v>1.037797354015682</v>
      </c>
      <c r="M3166" s="70">
        <f>CurrentMtgRatesDataTable8[[#This Row],[Servicing Spread Non-Zero]]-L3165</f>
        <v>0</v>
      </c>
      <c r="N3166" s="70">
        <f>IF(J3165&lt;&gt;0,CurrentMtgRatesDataTable8[[#This Row],[Rate]]-C3165,N3165)</f>
        <v>3.0000000000000249E-2</v>
      </c>
    </row>
    <row r="3167" spans="1:14">
      <c r="A3167" s="67" t="s">
        <v>1130</v>
      </c>
      <c r="B3167" s="68">
        <v>2.34677807026147</v>
      </c>
      <c r="C3167" s="69">
        <v>3.3250000000000002</v>
      </c>
      <c r="D3167" s="70">
        <f t="shared" si="343"/>
        <v>7</v>
      </c>
      <c r="E3167" s="70">
        <f t="shared" si="344"/>
        <v>0.2</v>
      </c>
      <c r="F3167" s="70">
        <f t="shared" si="345"/>
        <v>5</v>
      </c>
      <c r="G3167" s="70">
        <f t="shared" si="346"/>
        <v>2.3403099347111942</v>
      </c>
      <c r="H3167" s="70">
        <f t="shared" si="347"/>
        <v>1</v>
      </c>
      <c r="I3167" s="70">
        <f t="shared" si="348"/>
        <v>1</v>
      </c>
      <c r="J3167" s="70">
        <f t="shared" si="349"/>
        <v>2.3403099347111942</v>
      </c>
      <c r="K3167" s="70">
        <f>IF(CurrentMtgRatesDataTable8[[#This Row],[WA CC]]&lt;&gt;0,C3166-CurrentMtgRatesDataTable8[[#This Row],[WA CC]],0)</f>
        <v>0.98469006528880598</v>
      </c>
      <c r="L3167" s="70">
        <f>IF(CurrentMtgRatesDataTable8[[#This Row],[Servicing Spread]]&lt;=0,L3166,CurrentMtgRatesDataTable8[[#This Row],[Servicing Spread]])</f>
        <v>0.98469006528880598</v>
      </c>
      <c r="M3167" s="70">
        <f>CurrentMtgRatesDataTable8[[#This Row],[Servicing Spread Non-Zero]]-L3166</f>
        <v>-5.3107288726875979E-2</v>
      </c>
      <c r="N3167" s="70">
        <f>IF(J3166&lt;&gt;0,CurrentMtgRatesDataTable8[[#This Row],[Rate]]-C3166,N3166)</f>
        <v>3.0000000000000249E-2</v>
      </c>
    </row>
    <row r="3168" spans="1:14">
      <c r="A3168" s="67" t="s">
        <v>1131</v>
      </c>
      <c r="B3168" s="68">
        <v>2.3508657378420699</v>
      </c>
      <c r="C3168" s="69">
        <v>3.355</v>
      </c>
      <c r="D3168" s="70">
        <f t="shared" si="343"/>
        <v>1</v>
      </c>
      <c r="E3168" s="70">
        <f t="shared" si="344"/>
        <v>0.2</v>
      </c>
      <c r="F3168" s="70">
        <f t="shared" si="345"/>
        <v>1</v>
      </c>
      <c r="G3168" s="70">
        <f t="shared" si="346"/>
        <v>0.470173147568414</v>
      </c>
      <c r="H3168" s="70">
        <f t="shared" si="347"/>
        <v>0.2</v>
      </c>
      <c r="I3168" s="70">
        <f t="shared" si="348"/>
        <v>0</v>
      </c>
      <c r="J3168" s="70">
        <f t="shared" si="349"/>
        <v>0</v>
      </c>
      <c r="K3168" s="70">
        <f>IF(CurrentMtgRatesDataTable8[[#This Row],[WA CC]]&lt;&gt;0,C3167-CurrentMtgRatesDataTable8[[#This Row],[WA CC]],0)</f>
        <v>0</v>
      </c>
      <c r="L3168" s="70">
        <f>IF(CurrentMtgRatesDataTable8[[#This Row],[Servicing Spread]]&lt;=0,L3167,CurrentMtgRatesDataTable8[[#This Row],[Servicing Spread]])</f>
        <v>0.98469006528880598</v>
      </c>
      <c r="M3168" s="70">
        <f>CurrentMtgRatesDataTable8[[#This Row],[Servicing Spread Non-Zero]]-L3167</f>
        <v>0</v>
      </c>
      <c r="N3168" s="70">
        <f>IF(J3167&lt;&gt;0,CurrentMtgRatesDataTable8[[#This Row],[Rate]]-C3167,N3167)</f>
        <v>2.9999999999999805E-2</v>
      </c>
    </row>
    <row r="3169" spans="1:14">
      <c r="A3169" s="67" t="s">
        <v>1132</v>
      </c>
      <c r="B3169" s="68">
        <v>2.3723679310859498</v>
      </c>
      <c r="C3169" s="69">
        <v>3.355</v>
      </c>
      <c r="D3169" s="70">
        <f t="shared" si="343"/>
        <v>2</v>
      </c>
      <c r="E3169" s="70">
        <f t="shared" si="344"/>
        <v>0.2</v>
      </c>
      <c r="F3169" s="70">
        <f t="shared" si="345"/>
        <v>2</v>
      </c>
      <c r="G3169" s="70">
        <f t="shared" si="346"/>
        <v>0.94464673378560393</v>
      </c>
      <c r="H3169" s="70">
        <f t="shared" si="347"/>
        <v>0.4</v>
      </c>
      <c r="I3169" s="70">
        <f t="shared" si="348"/>
        <v>0</v>
      </c>
      <c r="J3169" s="70">
        <f t="shared" si="349"/>
        <v>0</v>
      </c>
      <c r="K3169" s="70">
        <f>IF(CurrentMtgRatesDataTable8[[#This Row],[WA CC]]&lt;&gt;0,C3168-CurrentMtgRatesDataTable8[[#This Row],[WA CC]],0)</f>
        <v>0</v>
      </c>
      <c r="L3169" s="70">
        <f>IF(CurrentMtgRatesDataTable8[[#This Row],[Servicing Spread]]&lt;=0,L3168,CurrentMtgRatesDataTable8[[#This Row],[Servicing Spread]])</f>
        <v>0.98469006528880598</v>
      </c>
      <c r="M3169" s="70">
        <f>CurrentMtgRatesDataTable8[[#This Row],[Servicing Spread Non-Zero]]-L3168</f>
        <v>0</v>
      </c>
      <c r="N3169" s="70">
        <f>IF(J3168&lt;&gt;0,CurrentMtgRatesDataTable8[[#This Row],[Rate]]-C3168,N3168)</f>
        <v>2.9999999999999805E-2</v>
      </c>
    </row>
    <row r="3170" spans="1:14">
      <c r="A3170" s="67" t="s">
        <v>1133</v>
      </c>
      <c r="B3170" s="68">
        <v>2.3827340297619202</v>
      </c>
      <c r="C3170" s="69">
        <v>3.355</v>
      </c>
      <c r="D3170" s="70">
        <f t="shared" si="343"/>
        <v>5</v>
      </c>
      <c r="E3170" s="70">
        <f t="shared" si="344"/>
        <v>0.2</v>
      </c>
      <c r="F3170" s="70">
        <f t="shared" si="345"/>
        <v>3</v>
      </c>
      <c r="G3170" s="70">
        <f t="shared" si="346"/>
        <v>1.421193539737988</v>
      </c>
      <c r="H3170" s="70">
        <f t="shared" si="347"/>
        <v>0.60000000000000009</v>
      </c>
      <c r="I3170" s="70">
        <f t="shared" si="348"/>
        <v>0</v>
      </c>
      <c r="J3170" s="70">
        <f t="shared" si="349"/>
        <v>0</v>
      </c>
      <c r="K3170" s="70">
        <f>IF(CurrentMtgRatesDataTable8[[#This Row],[WA CC]]&lt;&gt;0,C3169-CurrentMtgRatesDataTable8[[#This Row],[WA CC]],0)</f>
        <v>0</v>
      </c>
      <c r="L3170" s="70">
        <f>IF(CurrentMtgRatesDataTable8[[#This Row],[Servicing Spread]]&lt;=0,L3169,CurrentMtgRatesDataTable8[[#This Row],[Servicing Spread]])</f>
        <v>0.98469006528880598</v>
      </c>
      <c r="M3170" s="70">
        <f>CurrentMtgRatesDataTable8[[#This Row],[Servicing Spread Non-Zero]]-L3169</f>
        <v>0</v>
      </c>
      <c r="N3170" s="70">
        <f>IF(J3169&lt;&gt;0,CurrentMtgRatesDataTable8[[#This Row],[Rate]]-C3169,N3169)</f>
        <v>2.9999999999999805E-2</v>
      </c>
    </row>
    <row r="3171" spans="1:14">
      <c r="A3171" s="67" t="s">
        <v>1134</v>
      </c>
      <c r="B3171" s="68">
        <v>2.3913145424010498</v>
      </c>
      <c r="C3171" s="69">
        <v>3.355</v>
      </c>
      <c r="D3171" s="70">
        <f t="shared" si="343"/>
        <v>6</v>
      </c>
      <c r="E3171" s="70">
        <f t="shared" si="344"/>
        <v>0.2</v>
      </c>
      <c r="F3171" s="70">
        <f t="shared" si="345"/>
        <v>4</v>
      </c>
      <c r="G3171" s="70">
        <f t="shared" si="346"/>
        <v>1.8994564482181979</v>
      </c>
      <c r="H3171" s="70">
        <f t="shared" si="347"/>
        <v>0.8</v>
      </c>
      <c r="I3171" s="70">
        <f t="shared" si="348"/>
        <v>0</v>
      </c>
      <c r="J3171" s="70">
        <f t="shared" si="349"/>
        <v>0</v>
      </c>
      <c r="K3171" s="70">
        <f>IF(CurrentMtgRatesDataTable8[[#This Row],[WA CC]]&lt;&gt;0,C3170-CurrentMtgRatesDataTable8[[#This Row],[WA CC]],0)</f>
        <v>0</v>
      </c>
      <c r="L3171" s="70">
        <f>IF(CurrentMtgRatesDataTable8[[#This Row],[Servicing Spread]]&lt;=0,L3170,CurrentMtgRatesDataTable8[[#This Row],[Servicing Spread]])</f>
        <v>0.98469006528880598</v>
      </c>
      <c r="M3171" s="70">
        <f>CurrentMtgRatesDataTable8[[#This Row],[Servicing Spread Non-Zero]]-L3170</f>
        <v>0</v>
      </c>
      <c r="N3171" s="70">
        <f>IF(J3170&lt;&gt;0,CurrentMtgRatesDataTable8[[#This Row],[Rate]]-C3170,N3170)</f>
        <v>2.9999999999999805E-2</v>
      </c>
    </row>
    <row r="3172" spans="1:14">
      <c r="A3172" s="67" t="s">
        <v>1135</v>
      </c>
      <c r="B3172" s="68">
        <v>2.3415396621578699</v>
      </c>
      <c r="C3172" s="69">
        <v>3.355</v>
      </c>
      <c r="D3172" s="70">
        <f t="shared" si="343"/>
        <v>7</v>
      </c>
      <c r="E3172" s="70">
        <f t="shared" si="344"/>
        <v>0.2</v>
      </c>
      <c r="F3172" s="70">
        <f t="shared" si="345"/>
        <v>5</v>
      </c>
      <c r="G3172" s="70">
        <f t="shared" si="346"/>
        <v>2.3677643806497719</v>
      </c>
      <c r="H3172" s="70">
        <f t="shared" si="347"/>
        <v>1</v>
      </c>
      <c r="I3172" s="70">
        <f t="shared" si="348"/>
        <v>1</v>
      </c>
      <c r="J3172" s="70">
        <f t="shared" si="349"/>
        <v>2.3677643806497719</v>
      </c>
      <c r="K3172" s="70">
        <f>IF(CurrentMtgRatesDataTable8[[#This Row],[WA CC]]&lt;&gt;0,C3171-CurrentMtgRatesDataTable8[[#This Row],[WA CC]],0)</f>
        <v>0.98723561935022808</v>
      </c>
      <c r="L3172" s="70">
        <f>IF(CurrentMtgRatesDataTable8[[#This Row],[Servicing Spread]]&lt;=0,L3171,CurrentMtgRatesDataTable8[[#This Row],[Servicing Spread]])</f>
        <v>0.98723561935022808</v>
      </c>
      <c r="M3172" s="70">
        <f>CurrentMtgRatesDataTable8[[#This Row],[Servicing Spread Non-Zero]]-L3171</f>
        <v>2.5455540614220951E-3</v>
      </c>
      <c r="N3172" s="70">
        <f>IF(J3171&lt;&gt;0,CurrentMtgRatesDataTable8[[#This Row],[Rate]]-C3171,N3171)</f>
        <v>2.9999999999999805E-2</v>
      </c>
    </row>
    <row r="3173" spans="1:14">
      <c r="A3173" s="67" t="s">
        <v>1136</v>
      </c>
      <c r="B3173" s="68">
        <v>2.3214949111864098</v>
      </c>
      <c r="C3173" s="69">
        <v>3.3050000000000002</v>
      </c>
      <c r="D3173" s="70">
        <f t="shared" si="343"/>
        <v>1</v>
      </c>
      <c r="E3173" s="70">
        <f t="shared" si="344"/>
        <v>0.2</v>
      </c>
      <c r="F3173" s="70">
        <f t="shared" si="345"/>
        <v>1</v>
      </c>
      <c r="G3173" s="70">
        <f t="shared" si="346"/>
        <v>0.464298982237282</v>
      </c>
      <c r="H3173" s="70">
        <f t="shared" si="347"/>
        <v>0.2</v>
      </c>
      <c r="I3173" s="70">
        <f t="shared" si="348"/>
        <v>0</v>
      </c>
      <c r="J3173" s="70">
        <f t="shared" si="349"/>
        <v>0</v>
      </c>
      <c r="K3173" s="70">
        <f>IF(CurrentMtgRatesDataTable8[[#This Row],[WA CC]]&lt;&gt;0,C3172-CurrentMtgRatesDataTable8[[#This Row],[WA CC]],0)</f>
        <v>0</v>
      </c>
      <c r="L3173" s="70">
        <f>IF(CurrentMtgRatesDataTable8[[#This Row],[Servicing Spread]]&lt;=0,L3172,CurrentMtgRatesDataTable8[[#This Row],[Servicing Spread]])</f>
        <v>0.98723561935022808</v>
      </c>
      <c r="M3173" s="70">
        <f>CurrentMtgRatesDataTable8[[#This Row],[Servicing Spread Non-Zero]]-L3172</f>
        <v>0</v>
      </c>
      <c r="N3173" s="70">
        <f>IF(J3172&lt;&gt;0,CurrentMtgRatesDataTable8[[#This Row],[Rate]]-C3172,N3172)</f>
        <v>-4.9999999999999822E-2</v>
      </c>
    </row>
    <row r="3174" spans="1:14">
      <c r="A3174" s="67" t="s">
        <v>1137</v>
      </c>
      <c r="B3174" s="68">
        <v>2.2658760705109899</v>
      </c>
      <c r="C3174" s="69">
        <v>3.3050000000000002</v>
      </c>
      <c r="D3174" s="70">
        <f t="shared" si="343"/>
        <v>2</v>
      </c>
      <c r="E3174" s="70">
        <f t="shared" si="344"/>
        <v>0.2</v>
      </c>
      <c r="F3174" s="70">
        <f t="shared" si="345"/>
        <v>2</v>
      </c>
      <c r="G3174" s="70">
        <f t="shared" si="346"/>
        <v>0.91747419633948002</v>
      </c>
      <c r="H3174" s="70">
        <f t="shared" si="347"/>
        <v>0.4</v>
      </c>
      <c r="I3174" s="70">
        <f t="shared" si="348"/>
        <v>0</v>
      </c>
      <c r="J3174" s="70">
        <f t="shared" si="349"/>
        <v>0</v>
      </c>
      <c r="K3174" s="70">
        <f>IF(CurrentMtgRatesDataTable8[[#This Row],[WA CC]]&lt;&gt;0,C3173-CurrentMtgRatesDataTable8[[#This Row],[WA CC]],0)</f>
        <v>0</v>
      </c>
      <c r="L3174" s="70">
        <f>IF(CurrentMtgRatesDataTable8[[#This Row],[Servicing Spread]]&lt;=0,L3173,CurrentMtgRatesDataTable8[[#This Row],[Servicing Spread]])</f>
        <v>0.98723561935022808</v>
      </c>
      <c r="M3174" s="70">
        <f>CurrentMtgRatesDataTable8[[#This Row],[Servicing Spread Non-Zero]]-L3173</f>
        <v>0</v>
      </c>
      <c r="N3174" s="70">
        <f>IF(J3173&lt;&gt;0,CurrentMtgRatesDataTable8[[#This Row],[Rate]]-C3173,N3173)</f>
        <v>-4.9999999999999822E-2</v>
      </c>
    </row>
    <row r="3175" spans="1:14">
      <c r="A3175" s="67" t="s">
        <v>1138</v>
      </c>
      <c r="B3175" s="68">
        <v>2.2903256966230399</v>
      </c>
      <c r="C3175" s="69">
        <v>3.3050000000000002</v>
      </c>
      <c r="D3175" s="70">
        <f t="shared" si="343"/>
        <v>5</v>
      </c>
      <c r="E3175" s="70">
        <f t="shared" si="344"/>
        <v>0.2</v>
      </c>
      <c r="F3175" s="70">
        <f t="shared" si="345"/>
        <v>3</v>
      </c>
      <c r="G3175" s="70">
        <f t="shared" si="346"/>
        <v>1.3755393356640879</v>
      </c>
      <c r="H3175" s="70">
        <f t="shared" si="347"/>
        <v>0.60000000000000009</v>
      </c>
      <c r="I3175" s="70">
        <f t="shared" si="348"/>
        <v>0</v>
      </c>
      <c r="J3175" s="70">
        <f t="shared" si="349"/>
        <v>0</v>
      </c>
      <c r="K3175" s="70">
        <f>IF(CurrentMtgRatesDataTable8[[#This Row],[WA CC]]&lt;&gt;0,C3174-CurrentMtgRatesDataTable8[[#This Row],[WA CC]],0)</f>
        <v>0</v>
      </c>
      <c r="L3175" s="70">
        <f>IF(CurrentMtgRatesDataTable8[[#This Row],[Servicing Spread]]&lt;=0,L3174,CurrentMtgRatesDataTable8[[#This Row],[Servicing Spread]])</f>
        <v>0.98723561935022808</v>
      </c>
      <c r="M3175" s="70">
        <f>CurrentMtgRatesDataTable8[[#This Row],[Servicing Spread Non-Zero]]-L3174</f>
        <v>0</v>
      </c>
      <c r="N3175" s="70">
        <f>IF(J3174&lt;&gt;0,CurrentMtgRatesDataTable8[[#This Row],[Rate]]-C3174,N3174)</f>
        <v>-4.9999999999999822E-2</v>
      </c>
    </row>
    <row r="3176" spans="1:14">
      <c r="A3176" s="67" t="s">
        <v>1139</v>
      </c>
      <c r="B3176" s="68">
        <v>2.3285237865503698</v>
      </c>
      <c r="C3176" s="69">
        <v>3.3050000000000002</v>
      </c>
      <c r="D3176" s="70">
        <f t="shared" si="343"/>
        <v>6</v>
      </c>
      <c r="E3176" s="70">
        <f t="shared" si="344"/>
        <v>0.2</v>
      </c>
      <c r="F3176" s="70">
        <f t="shared" si="345"/>
        <v>4</v>
      </c>
      <c r="G3176" s="70">
        <f t="shared" si="346"/>
        <v>1.8412440929741618</v>
      </c>
      <c r="H3176" s="70">
        <f t="shared" si="347"/>
        <v>0.8</v>
      </c>
      <c r="I3176" s="70">
        <f t="shared" si="348"/>
        <v>0</v>
      </c>
      <c r="J3176" s="70">
        <f t="shared" si="349"/>
        <v>0</v>
      </c>
      <c r="K3176" s="70">
        <f>IF(CurrentMtgRatesDataTable8[[#This Row],[WA CC]]&lt;&gt;0,C3175-CurrentMtgRatesDataTable8[[#This Row],[WA CC]],0)</f>
        <v>0</v>
      </c>
      <c r="L3176" s="70">
        <f>IF(CurrentMtgRatesDataTable8[[#This Row],[Servicing Spread]]&lt;=0,L3175,CurrentMtgRatesDataTable8[[#This Row],[Servicing Spread]])</f>
        <v>0.98723561935022808</v>
      </c>
      <c r="M3176" s="70">
        <f>CurrentMtgRatesDataTable8[[#This Row],[Servicing Spread Non-Zero]]-L3175</f>
        <v>0</v>
      </c>
      <c r="N3176" s="70">
        <f>IF(J3175&lt;&gt;0,CurrentMtgRatesDataTable8[[#This Row],[Rate]]-C3175,N3175)</f>
        <v>-4.9999999999999822E-2</v>
      </c>
    </row>
    <row r="3177" spans="1:14">
      <c r="A3177" s="67" t="s">
        <v>1140</v>
      </c>
      <c r="B3177" s="68">
        <v>2.3355292606834301</v>
      </c>
      <c r="C3177" s="69">
        <v>3.3050000000000002</v>
      </c>
      <c r="D3177" s="70">
        <f t="shared" si="343"/>
        <v>7</v>
      </c>
      <c r="E3177" s="70">
        <f t="shared" si="344"/>
        <v>0.2</v>
      </c>
      <c r="F3177" s="70">
        <f t="shared" si="345"/>
        <v>5</v>
      </c>
      <c r="G3177" s="70">
        <f t="shared" si="346"/>
        <v>2.308349945110848</v>
      </c>
      <c r="H3177" s="70">
        <f t="shared" si="347"/>
        <v>1</v>
      </c>
      <c r="I3177" s="70">
        <f t="shared" si="348"/>
        <v>1</v>
      </c>
      <c r="J3177" s="70">
        <f t="shared" si="349"/>
        <v>2.308349945110848</v>
      </c>
      <c r="K3177" s="70">
        <f>IF(CurrentMtgRatesDataTable8[[#This Row],[WA CC]]&lt;&gt;0,C3176-CurrentMtgRatesDataTable8[[#This Row],[WA CC]],0)</f>
        <v>0.99665005488915215</v>
      </c>
      <c r="L3177" s="70">
        <f>IF(CurrentMtgRatesDataTable8[[#This Row],[Servicing Spread]]&lt;=0,L3176,CurrentMtgRatesDataTable8[[#This Row],[Servicing Spread]])</f>
        <v>0.99665005488915215</v>
      </c>
      <c r="M3177" s="70">
        <f>CurrentMtgRatesDataTable8[[#This Row],[Servicing Spread Non-Zero]]-L3176</f>
        <v>9.4144355389240708E-3</v>
      </c>
      <c r="N3177" s="70">
        <f>IF(J3176&lt;&gt;0,CurrentMtgRatesDataTable8[[#This Row],[Rate]]-C3176,N3176)</f>
        <v>-4.9999999999999822E-2</v>
      </c>
    </row>
    <row r="3178" spans="1:14">
      <c r="A3178" s="67" t="s">
        <v>1141</v>
      </c>
      <c r="B3178" s="68">
        <v>2.2962196436559199</v>
      </c>
      <c r="C3178" s="69">
        <v>3.3250000000000002</v>
      </c>
      <c r="D3178" s="70">
        <f t="shared" si="343"/>
        <v>1</v>
      </c>
      <c r="E3178" s="70">
        <f t="shared" si="344"/>
        <v>0.2</v>
      </c>
      <c r="F3178" s="70">
        <f t="shared" si="345"/>
        <v>1</v>
      </c>
      <c r="G3178" s="70">
        <f t="shared" si="346"/>
        <v>0.45924392873118403</v>
      </c>
      <c r="H3178" s="70">
        <f t="shared" si="347"/>
        <v>0.2</v>
      </c>
      <c r="I3178" s="70">
        <f t="shared" si="348"/>
        <v>0</v>
      </c>
      <c r="J3178" s="70">
        <f t="shared" si="349"/>
        <v>0</v>
      </c>
      <c r="K3178" s="70">
        <f>IF(CurrentMtgRatesDataTable8[[#This Row],[WA CC]]&lt;&gt;0,C3177-CurrentMtgRatesDataTable8[[#This Row],[WA CC]],0)</f>
        <v>0</v>
      </c>
      <c r="L3178" s="70">
        <f>IF(CurrentMtgRatesDataTable8[[#This Row],[Servicing Spread]]&lt;=0,L3177,CurrentMtgRatesDataTable8[[#This Row],[Servicing Spread]])</f>
        <v>0.99665005488915215</v>
      </c>
      <c r="M3178" s="70">
        <f>CurrentMtgRatesDataTable8[[#This Row],[Servicing Spread Non-Zero]]-L3177</f>
        <v>0</v>
      </c>
      <c r="N3178" s="70">
        <f>IF(J3177&lt;&gt;0,CurrentMtgRatesDataTable8[[#This Row],[Rate]]-C3177,N3177)</f>
        <v>2.0000000000000018E-2</v>
      </c>
    </row>
    <row r="3179" spans="1:14">
      <c r="A3179" s="67" t="s">
        <v>1142</v>
      </c>
      <c r="B3179" s="68">
        <v>2.36176289703742</v>
      </c>
      <c r="C3179" s="69">
        <v>3.3250000000000002</v>
      </c>
      <c r="D3179" s="70">
        <f t="shared" si="343"/>
        <v>2</v>
      </c>
      <c r="E3179" s="70">
        <f t="shared" si="344"/>
        <v>0.2</v>
      </c>
      <c r="F3179" s="70">
        <f t="shared" si="345"/>
        <v>2</v>
      </c>
      <c r="G3179" s="70">
        <f t="shared" si="346"/>
        <v>0.93159650813866812</v>
      </c>
      <c r="H3179" s="70">
        <f t="shared" si="347"/>
        <v>0.4</v>
      </c>
      <c r="I3179" s="70">
        <f t="shared" si="348"/>
        <v>0</v>
      </c>
      <c r="J3179" s="70">
        <f t="shared" si="349"/>
        <v>0</v>
      </c>
      <c r="K3179" s="70">
        <f>IF(CurrentMtgRatesDataTable8[[#This Row],[WA CC]]&lt;&gt;0,C3178-CurrentMtgRatesDataTable8[[#This Row],[WA CC]],0)</f>
        <v>0</v>
      </c>
      <c r="L3179" s="70">
        <f>IF(CurrentMtgRatesDataTable8[[#This Row],[Servicing Spread]]&lt;=0,L3178,CurrentMtgRatesDataTable8[[#This Row],[Servicing Spread]])</f>
        <v>0.99665005488915215</v>
      </c>
      <c r="M3179" s="70">
        <f>CurrentMtgRatesDataTable8[[#This Row],[Servicing Spread Non-Zero]]-L3178</f>
        <v>0</v>
      </c>
      <c r="N3179" s="70">
        <f>IF(J3178&lt;&gt;0,CurrentMtgRatesDataTable8[[#This Row],[Rate]]-C3178,N3178)</f>
        <v>2.0000000000000018E-2</v>
      </c>
    </row>
    <row r="3180" spans="1:14">
      <c r="A3180" s="67" t="s">
        <v>1143</v>
      </c>
      <c r="B3180" s="68">
        <v>2.3691281963665198</v>
      </c>
      <c r="C3180" s="69">
        <v>3.3250000000000002</v>
      </c>
      <c r="D3180" s="70">
        <f t="shared" si="343"/>
        <v>5</v>
      </c>
      <c r="E3180" s="70">
        <f t="shared" si="344"/>
        <v>0.2</v>
      </c>
      <c r="F3180" s="70">
        <f t="shared" si="345"/>
        <v>3</v>
      </c>
      <c r="G3180" s="70">
        <f t="shared" si="346"/>
        <v>1.4054221474119721</v>
      </c>
      <c r="H3180" s="70">
        <f t="shared" si="347"/>
        <v>0.60000000000000009</v>
      </c>
      <c r="I3180" s="70">
        <f t="shared" si="348"/>
        <v>0</v>
      </c>
      <c r="J3180" s="70">
        <f t="shared" si="349"/>
        <v>0</v>
      </c>
      <c r="K3180" s="70">
        <f>IF(CurrentMtgRatesDataTable8[[#This Row],[WA CC]]&lt;&gt;0,C3179-CurrentMtgRatesDataTable8[[#This Row],[WA CC]],0)</f>
        <v>0</v>
      </c>
      <c r="L3180" s="70">
        <f>IF(CurrentMtgRatesDataTable8[[#This Row],[Servicing Spread]]&lt;=0,L3179,CurrentMtgRatesDataTable8[[#This Row],[Servicing Spread]])</f>
        <v>0.99665005488915215</v>
      </c>
      <c r="M3180" s="70">
        <f>CurrentMtgRatesDataTable8[[#This Row],[Servicing Spread Non-Zero]]-L3179</f>
        <v>0</v>
      </c>
      <c r="N3180" s="70">
        <f>IF(J3179&lt;&gt;0,CurrentMtgRatesDataTable8[[#This Row],[Rate]]-C3179,N3179)</f>
        <v>2.0000000000000018E-2</v>
      </c>
    </row>
    <row r="3181" spans="1:14">
      <c r="A3181" s="67" t="s">
        <v>1144</v>
      </c>
      <c r="B3181" s="68">
        <v>2.33119047788963</v>
      </c>
      <c r="C3181" s="69">
        <v>3.3250000000000002</v>
      </c>
      <c r="D3181" s="70">
        <f t="shared" si="343"/>
        <v>6</v>
      </c>
      <c r="E3181" s="70">
        <f t="shared" si="344"/>
        <v>0.2</v>
      </c>
      <c r="F3181" s="70">
        <f t="shared" si="345"/>
        <v>4</v>
      </c>
      <c r="G3181" s="70">
        <f t="shared" si="346"/>
        <v>1.8716602429898981</v>
      </c>
      <c r="H3181" s="70">
        <f t="shared" si="347"/>
        <v>0.8</v>
      </c>
      <c r="I3181" s="70">
        <f t="shared" si="348"/>
        <v>0</v>
      </c>
      <c r="J3181" s="70">
        <f t="shared" si="349"/>
        <v>0</v>
      </c>
      <c r="K3181" s="70">
        <f>IF(CurrentMtgRatesDataTable8[[#This Row],[WA CC]]&lt;&gt;0,C3180-CurrentMtgRatesDataTable8[[#This Row],[WA CC]],0)</f>
        <v>0</v>
      </c>
      <c r="L3181" s="70">
        <f>IF(CurrentMtgRatesDataTable8[[#This Row],[Servicing Spread]]&lt;=0,L3180,CurrentMtgRatesDataTable8[[#This Row],[Servicing Spread]])</f>
        <v>0.99665005488915215</v>
      </c>
      <c r="M3181" s="70">
        <f>CurrentMtgRatesDataTable8[[#This Row],[Servicing Spread Non-Zero]]-L3180</f>
        <v>0</v>
      </c>
      <c r="N3181" s="70">
        <f>IF(J3180&lt;&gt;0,CurrentMtgRatesDataTable8[[#This Row],[Rate]]-C3180,N3180)</f>
        <v>2.0000000000000018E-2</v>
      </c>
    </row>
    <row r="3182" spans="1:14">
      <c r="A3182" s="67" t="s">
        <v>1145</v>
      </c>
      <c r="B3182" s="68">
        <v>2.2940770499801002</v>
      </c>
      <c r="C3182" s="69">
        <v>3.3250000000000002</v>
      </c>
      <c r="D3182" s="70">
        <f t="shared" si="343"/>
        <v>7</v>
      </c>
      <c r="E3182" s="70">
        <f t="shared" si="344"/>
        <v>0.2</v>
      </c>
      <c r="F3182" s="70">
        <f t="shared" si="345"/>
        <v>5</v>
      </c>
      <c r="G3182" s="70">
        <f t="shared" si="346"/>
        <v>2.3304756529859181</v>
      </c>
      <c r="H3182" s="70">
        <f t="shared" si="347"/>
        <v>1</v>
      </c>
      <c r="I3182" s="70">
        <f t="shared" si="348"/>
        <v>1</v>
      </c>
      <c r="J3182" s="70">
        <f t="shared" si="349"/>
        <v>2.3304756529859181</v>
      </c>
      <c r="K3182" s="70">
        <f>IF(CurrentMtgRatesDataTable8[[#This Row],[WA CC]]&lt;&gt;0,C3181-CurrentMtgRatesDataTable8[[#This Row],[WA CC]],0)</f>
        <v>0.9945243470140821</v>
      </c>
      <c r="L3182" s="70">
        <f>IF(CurrentMtgRatesDataTable8[[#This Row],[Servicing Spread]]&lt;=0,L3181,CurrentMtgRatesDataTable8[[#This Row],[Servicing Spread]])</f>
        <v>0.9945243470140821</v>
      </c>
      <c r="M3182" s="70">
        <f>CurrentMtgRatesDataTable8[[#This Row],[Servicing Spread Non-Zero]]-L3181</f>
        <v>-2.1257078750700487E-3</v>
      </c>
      <c r="N3182" s="70">
        <f>IF(J3181&lt;&gt;0,CurrentMtgRatesDataTable8[[#This Row],[Rate]]-C3181,N3181)</f>
        <v>2.0000000000000018E-2</v>
      </c>
    </row>
    <row r="3183" spans="1:14">
      <c r="A3183" s="67" t="s">
        <v>1146</v>
      </c>
      <c r="B3183" s="68">
        <v>2.3497760407358701</v>
      </c>
      <c r="C3183" s="69">
        <v>3.3050000000000002</v>
      </c>
      <c r="D3183" s="70">
        <f t="shared" si="343"/>
        <v>1</v>
      </c>
      <c r="E3183" s="70">
        <f t="shared" si="344"/>
        <v>0.2</v>
      </c>
      <c r="F3183" s="70">
        <f t="shared" si="345"/>
        <v>1</v>
      </c>
      <c r="G3183" s="70">
        <f t="shared" si="346"/>
        <v>0.46995520814717406</v>
      </c>
      <c r="H3183" s="70">
        <f t="shared" si="347"/>
        <v>0.2</v>
      </c>
      <c r="I3183" s="70">
        <f t="shared" si="348"/>
        <v>0</v>
      </c>
      <c r="J3183" s="70">
        <f t="shared" si="349"/>
        <v>0</v>
      </c>
      <c r="K3183" s="70">
        <f>IF(CurrentMtgRatesDataTable8[[#This Row],[WA CC]]&lt;&gt;0,C3182-CurrentMtgRatesDataTable8[[#This Row],[WA CC]],0)</f>
        <v>0</v>
      </c>
      <c r="L3183" s="70">
        <f>IF(CurrentMtgRatesDataTable8[[#This Row],[Servicing Spread]]&lt;=0,L3182,CurrentMtgRatesDataTable8[[#This Row],[Servicing Spread]])</f>
        <v>0.9945243470140821</v>
      </c>
      <c r="M3183" s="70">
        <f>CurrentMtgRatesDataTable8[[#This Row],[Servicing Spread Non-Zero]]-L3182</f>
        <v>0</v>
      </c>
      <c r="N3183" s="70">
        <f>IF(J3182&lt;&gt;0,CurrentMtgRatesDataTable8[[#This Row],[Rate]]-C3182,N3182)</f>
        <v>-2.0000000000000018E-2</v>
      </c>
    </row>
    <row r="3184" spans="1:14">
      <c r="A3184" s="67" t="s">
        <v>1147</v>
      </c>
      <c r="B3184" s="68">
        <v>2.31461753479971</v>
      </c>
      <c r="C3184" s="69">
        <v>3.3050000000000002</v>
      </c>
      <c r="D3184" s="70">
        <f t="shared" si="343"/>
        <v>2</v>
      </c>
      <c r="E3184" s="70">
        <f t="shared" si="344"/>
        <v>0.2</v>
      </c>
      <c r="F3184" s="70">
        <f t="shared" si="345"/>
        <v>2</v>
      </c>
      <c r="G3184" s="70">
        <f t="shared" si="346"/>
        <v>0.93287871510711606</v>
      </c>
      <c r="H3184" s="70">
        <f t="shared" si="347"/>
        <v>0.4</v>
      </c>
      <c r="I3184" s="70">
        <f t="shared" si="348"/>
        <v>0</v>
      </c>
      <c r="J3184" s="70">
        <f t="shared" si="349"/>
        <v>0</v>
      </c>
      <c r="K3184" s="70">
        <f>IF(CurrentMtgRatesDataTable8[[#This Row],[WA CC]]&lt;&gt;0,C3183-CurrentMtgRatesDataTable8[[#This Row],[WA CC]],0)</f>
        <v>0</v>
      </c>
      <c r="L3184" s="70">
        <f>IF(CurrentMtgRatesDataTable8[[#This Row],[Servicing Spread]]&lt;=0,L3183,CurrentMtgRatesDataTable8[[#This Row],[Servicing Spread]])</f>
        <v>0.9945243470140821</v>
      </c>
      <c r="M3184" s="70">
        <f>CurrentMtgRatesDataTable8[[#This Row],[Servicing Spread Non-Zero]]-L3183</f>
        <v>0</v>
      </c>
      <c r="N3184" s="70">
        <f>IF(J3183&lt;&gt;0,CurrentMtgRatesDataTable8[[#This Row],[Rate]]-C3183,N3183)</f>
        <v>-2.0000000000000018E-2</v>
      </c>
    </row>
    <row r="3185" spans="1:14">
      <c r="A3185" s="67" t="s">
        <v>1148</v>
      </c>
      <c r="B3185" s="68">
        <v>2.34200914311478</v>
      </c>
      <c r="C3185" s="69">
        <v>3.3050000000000002</v>
      </c>
      <c r="D3185" s="70">
        <f t="shared" si="343"/>
        <v>5</v>
      </c>
      <c r="E3185" s="70">
        <f t="shared" si="344"/>
        <v>0.2</v>
      </c>
      <c r="F3185" s="70">
        <f t="shared" si="345"/>
        <v>3</v>
      </c>
      <c r="G3185" s="70">
        <f t="shared" si="346"/>
        <v>1.4012805437300722</v>
      </c>
      <c r="H3185" s="70">
        <f t="shared" si="347"/>
        <v>0.60000000000000009</v>
      </c>
      <c r="I3185" s="70">
        <f t="shared" si="348"/>
        <v>0</v>
      </c>
      <c r="J3185" s="70">
        <f t="shared" si="349"/>
        <v>0</v>
      </c>
      <c r="K3185" s="70">
        <f>IF(CurrentMtgRatesDataTable8[[#This Row],[WA CC]]&lt;&gt;0,C3184-CurrentMtgRatesDataTable8[[#This Row],[WA CC]],0)</f>
        <v>0</v>
      </c>
      <c r="L3185" s="70">
        <f>IF(CurrentMtgRatesDataTable8[[#This Row],[Servicing Spread]]&lt;=0,L3184,CurrentMtgRatesDataTable8[[#This Row],[Servicing Spread]])</f>
        <v>0.9945243470140821</v>
      </c>
      <c r="M3185" s="70">
        <f>CurrentMtgRatesDataTable8[[#This Row],[Servicing Spread Non-Zero]]-L3184</f>
        <v>0</v>
      </c>
      <c r="N3185" s="70">
        <f>IF(J3184&lt;&gt;0,CurrentMtgRatesDataTable8[[#This Row],[Rate]]-C3184,N3184)</f>
        <v>-2.0000000000000018E-2</v>
      </c>
    </row>
    <row r="3186" spans="1:14">
      <c r="A3186" s="67" t="s">
        <v>1149</v>
      </c>
      <c r="B3186" s="68">
        <v>2.35874720795284</v>
      </c>
      <c r="C3186" s="69">
        <v>3.3050000000000002</v>
      </c>
      <c r="D3186" s="70">
        <f t="shared" si="343"/>
        <v>6</v>
      </c>
      <c r="E3186" s="70">
        <f t="shared" si="344"/>
        <v>0.2</v>
      </c>
      <c r="F3186" s="70">
        <f t="shared" si="345"/>
        <v>4</v>
      </c>
      <c r="G3186" s="70">
        <f t="shared" si="346"/>
        <v>1.8730299853206402</v>
      </c>
      <c r="H3186" s="70">
        <f t="shared" si="347"/>
        <v>0.8</v>
      </c>
      <c r="I3186" s="70">
        <f t="shared" si="348"/>
        <v>0</v>
      </c>
      <c r="J3186" s="70">
        <f t="shared" si="349"/>
        <v>0</v>
      </c>
      <c r="K3186" s="70">
        <f>IF(CurrentMtgRatesDataTable8[[#This Row],[WA CC]]&lt;&gt;0,C3185-CurrentMtgRatesDataTable8[[#This Row],[WA CC]],0)</f>
        <v>0</v>
      </c>
      <c r="L3186" s="70">
        <f>IF(CurrentMtgRatesDataTable8[[#This Row],[Servicing Spread]]&lt;=0,L3185,CurrentMtgRatesDataTable8[[#This Row],[Servicing Spread]])</f>
        <v>0.9945243470140821</v>
      </c>
      <c r="M3186" s="70">
        <f>CurrentMtgRatesDataTable8[[#This Row],[Servicing Spread Non-Zero]]-L3185</f>
        <v>0</v>
      </c>
      <c r="N3186" s="70">
        <f>IF(J3185&lt;&gt;0,CurrentMtgRatesDataTable8[[#This Row],[Rate]]-C3185,N3185)</f>
        <v>-2.0000000000000018E-2</v>
      </c>
    </row>
    <row r="3187" spans="1:14">
      <c r="A3187" s="67" t="s">
        <v>1150</v>
      </c>
      <c r="B3187" s="68">
        <v>2.34960598186067</v>
      </c>
      <c r="C3187" s="69">
        <v>3.3050000000000002</v>
      </c>
      <c r="D3187" s="70">
        <f t="shared" si="343"/>
        <v>7</v>
      </c>
      <c r="E3187" s="70">
        <f t="shared" si="344"/>
        <v>0.2</v>
      </c>
      <c r="F3187" s="70">
        <f t="shared" si="345"/>
        <v>5</v>
      </c>
      <c r="G3187" s="70">
        <f t="shared" si="346"/>
        <v>2.3429511816927744</v>
      </c>
      <c r="H3187" s="70">
        <f t="shared" si="347"/>
        <v>1</v>
      </c>
      <c r="I3187" s="70">
        <f t="shared" si="348"/>
        <v>1</v>
      </c>
      <c r="J3187" s="70">
        <f t="shared" si="349"/>
        <v>2.3429511816927744</v>
      </c>
      <c r="K3187" s="70">
        <f>IF(CurrentMtgRatesDataTable8[[#This Row],[WA CC]]&lt;&gt;0,C3186-CurrentMtgRatesDataTable8[[#This Row],[WA CC]],0)</f>
        <v>0.96204881830722577</v>
      </c>
      <c r="L3187" s="70">
        <f>IF(CurrentMtgRatesDataTable8[[#This Row],[Servicing Spread]]&lt;=0,L3186,CurrentMtgRatesDataTable8[[#This Row],[Servicing Spread]])</f>
        <v>0.96204881830722577</v>
      </c>
      <c r="M3187" s="70">
        <f>CurrentMtgRatesDataTable8[[#This Row],[Servicing Spread Non-Zero]]-L3186</f>
        <v>-3.2475528706856327E-2</v>
      </c>
      <c r="N3187" s="70">
        <f>IF(J3186&lt;&gt;0,CurrentMtgRatesDataTable8[[#This Row],[Rate]]-C3186,N3186)</f>
        <v>-2.0000000000000018E-2</v>
      </c>
    </row>
    <row r="3188" spans="1:14">
      <c r="A3188" s="67" t="s">
        <v>1151</v>
      </c>
      <c r="B3188" s="68">
        <v>2.32201570653978</v>
      </c>
      <c r="C3188" s="69">
        <v>3.33</v>
      </c>
      <c r="D3188" s="70">
        <f t="shared" si="343"/>
        <v>1</v>
      </c>
      <c r="E3188" s="70">
        <f t="shared" si="344"/>
        <v>0.2</v>
      </c>
      <c r="F3188" s="70">
        <f t="shared" si="345"/>
        <v>1</v>
      </c>
      <c r="G3188" s="70">
        <f t="shared" si="346"/>
        <v>0.46440314130795601</v>
      </c>
      <c r="H3188" s="70">
        <f t="shared" si="347"/>
        <v>0.2</v>
      </c>
      <c r="I3188" s="70">
        <f t="shared" si="348"/>
        <v>0</v>
      </c>
      <c r="J3188" s="70">
        <f t="shared" si="349"/>
        <v>0</v>
      </c>
      <c r="K3188" s="70">
        <f>IF(CurrentMtgRatesDataTable8[[#This Row],[WA CC]]&lt;&gt;0,C3187-CurrentMtgRatesDataTable8[[#This Row],[WA CC]],0)</f>
        <v>0</v>
      </c>
      <c r="L3188" s="70">
        <f>IF(CurrentMtgRatesDataTable8[[#This Row],[Servicing Spread]]&lt;=0,L3187,CurrentMtgRatesDataTable8[[#This Row],[Servicing Spread]])</f>
        <v>0.96204881830722577</v>
      </c>
      <c r="M3188" s="70">
        <f>CurrentMtgRatesDataTable8[[#This Row],[Servicing Spread Non-Zero]]-L3187</f>
        <v>0</v>
      </c>
      <c r="N3188" s="70">
        <f>IF(J3187&lt;&gt;0,CurrentMtgRatesDataTable8[[#This Row],[Rate]]-C3187,N3187)</f>
        <v>2.4999999999999911E-2</v>
      </c>
    </row>
    <row r="3189" spans="1:14">
      <c r="A3189" s="67" t="s">
        <v>1152</v>
      </c>
      <c r="B3189" s="68">
        <v>2.3744079472292099</v>
      </c>
      <c r="C3189" s="69">
        <v>3.33</v>
      </c>
      <c r="D3189" s="70">
        <f t="shared" si="343"/>
        <v>2</v>
      </c>
      <c r="E3189" s="70">
        <f t="shared" si="344"/>
        <v>0.2</v>
      </c>
      <c r="F3189" s="70">
        <f t="shared" si="345"/>
        <v>2</v>
      </c>
      <c r="G3189" s="70">
        <f t="shared" si="346"/>
        <v>0.93928473075379804</v>
      </c>
      <c r="H3189" s="70">
        <f t="shared" si="347"/>
        <v>0.4</v>
      </c>
      <c r="I3189" s="70">
        <f t="shared" si="348"/>
        <v>0</v>
      </c>
      <c r="J3189" s="70">
        <f t="shared" si="349"/>
        <v>0</v>
      </c>
      <c r="K3189" s="70">
        <f>IF(CurrentMtgRatesDataTable8[[#This Row],[WA CC]]&lt;&gt;0,C3188-CurrentMtgRatesDataTable8[[#This Row],[WA CC]],0)</f>
        <v>0</v>
      </c>
      <c r="L3189" s="70">
        <f>IF(CurrentMtgRatesDataTable8[[#This Row],[Servicing Spread]]&lt;=0,L3188,CurrentMtgRatesDataTable8[[#This Row],[Servicing Spread]])</f>
        <v>0.96204881830722577</v>
      </c>
      <c r="M3189" s="70">
        <f>CurrentMtgRatesDataTable8[[#This Row],[Servicing Spread Non-Zero]]-L3188</f>
        <v>0</v>
      </c>
      <c r="N3189" s="70">
        <f>IF(J3188&lt;&gt;0,CurrentMtgRatesDataTable8[[#This Row],[Rate]]-C3188,N3188)</f>
        <v>2.4999999999999911E-2</v>
      </c>
    </row>
    <row r="3190" spans="1:14">
      <c r="A3190" s="67" t="s">
        <v>1153</v>
      </c>
      <c r="B3190" s="68">
        <v>2.35076611353908</v>
      </c>
      <c r="C3190" s="69">
        <v>3.33</v>
      </c>
      <c r="D3190" s="70">
        <f t="shared" si="343"/>
        <v>5</v>
      </c>
      <c r="E3190" s="70">
        <f t="shared" si="344"/>
        <v>0.2</v>
      </c>
      <c r="F3190" s="70">
        <f t="shared" si="345"/>
        <v>3</v>
      </c>
      <c r="G3190" s="70">
        <f t="shared" si="346"/>
        <v>1.4094379534616142</v>
      </c>
      <c r="H3190" s="70">
        <f t="shared" si="347"/>
        <v>0.60000000000000009</v>
      </c>
      <c r="I3190" s="70">
        <f t="shared" si="348"/>
        <v>0</v>
      </c>
      <c r="J3190" s="70">
        <f t="shared" si="349"/>
        <v>0</v>
      </c>
      <c r="K3190" s="70">
        <f>IF(CurrentMtgRatesDataTable8[[#This Row],[WA CC]]&lt;&gt;0,C3189-CurrentMtgRatesDataTable8[[#This Row],[WA CC]],0)</f>
        <v>0</v>
      </c>
      <c r="L3190" s="70">
        <f>IF(CurrentMtgRatesDataTable8[[#This Row],[Servicing Spread]]&lt;=0,L3189,CurrentMtgRatesDataTable8[[#This Row],[Servicing Spread]])</f>
        <v>0.96204881830722577</v>
      </c>
      <c r="M3190" s="70">
        <f>CurrentMtgRatesDataTable8[[#This Row],[Servicing Spread Non-Zero]]-L3189</f>
        <v>0</v>
      </c>
      <c r="N3190" s="70">
        <f>IF(J3189&lt;&gt;0,CurrentMtgRatesDataTable8[[#This Row],[Rate]]-C3189,N3189)</f>
        <v>2.4999999999999911E-2</v>
      </c>
    </row>
    <row r="3191" spans="1:14">
      <c r="A3191" s="67" t="s">
        <v>1154</v>
      </c>
      <c r="B3191" s="68">
        <v>2.34539470834196</v>
      </c>
      <c r="C3191" s="69">
        <v>3.33</v>
      </c>
      <c r="D3191" s="70">
        <f t="shared" si="343"/>
        <v>6</v>
      </c>
      <c r="E3191" s="70">
        <f t="shared" si="344"/>
        <v>0.2</v>
      </c>
      <c r="F3191" s="70">
        <f t="shared" si="345"/>
        <v>4</v>
      </c>
      <c r="G3191" s="70">
        <f t="shared" si="346"/>
        <v>1.8785168951300062</v>
      </c>
      <c r="H3191" s="70">
        <f t="shared" si="347"/>
        <v>0.8</v>
      </c>
      <c r="I3191" s="70">
        <f t="shared" si="348"/>
        <v>0</v>
      </c>
      <c r="J3191" s="70">
        <f t="shared" si="349"/>
        <v>0</v>
      </c>
      <c r="K3191" s="70">
        <f>IF(CurrentMtgRatesDataTable8[[#This Row],[WA CC]]&lt;&gt;0,C3190-CurrentMtgRatesDataTable8[[#This Row],[WA CC]],0)</f>
        <v>0</v>
      </c>
      <c r="L3191" s="70">
        <f>IF(CurrentMtgRatesDataTable8[[#This Row],[Servicing Spread]]&lt;=0,L3190,CurrentMtgRatesDataTable8[[#This Row],[Servicing Spread]])</f>
        <v>0.96204881830722577</v>
      </c>
      <c r="M3191" s="70">
        <f>CurrentMtgRatesDataTable8[[#This Row],[Servicing Spread Non-Zero]]-L3190</f>
        <v>0</v>
      </c>
      <c r="N3191" s="70">
        <f>IF(J3190&lt;&gt;0,CurrentMtgRatesDataTable8[[#This Row],[Rate]]-C3190,N3190)</f>
        <v>2.4999999999999911E-2</v>
      </c>
    </row>
    <row r="3192" spans="1:14">
      <c r="A3192" s="67" t="s">
        <v>1155</v>
      </c>
      <c r="B3192" s="68">
        <v>2.3488178258811199</v>
      </c>
      <c r="C3192" s="69">
        <v>3.33</v>
      </c>
      <c r="D3192" s="70">
        <f t="shared" si="343"/>
        <v>7</v>
      </c>
      <c r="E3192" s="70">
        <f t="shared" si="344"/>
        <v>0.2</v>
      </c>
      <c r="F3192" s="70">
        <f t="shared" si="345"/>
        <v>5</v>
      </c>
      <c r="G3192" s="70">
        <f t="shared" si="346"/>
        <v>2.3482804603062304</v>
      </c>
      <c r="H3192" s="70">
        <f t="shared" si="347"/>
        <v>1</v>
      </c>
      <c r="I3192" s="70">
        <f t="shared" si="348"/>
        <v>1</v>
      </c>
      <c r="J3192" s="70">
        <f t="shared" si="349"/>
        <v>2.3482804603062304</v>
      </c>
      <c r="K3192" s="70">
        <f>IF(CurrentMtgRatesDataTable8[[#This Row],[WA CC]]&lt;&gt;0,C3191-CurrentMtgRatesDataTable8[[#This Row],[WA CC]],0)</f>
        <v>0.98171953969376968</v>
      </c>
      <c r="L3192" s="70">
        <f>IF(CurrentMtgRatesDataTable8[[#This Row],[Servicing Spread]]&lt;=0,L3191,CurrentMtgRatesDataTable8[[#This Row],[Servicing Spread]])</f>
        <v>0.98171953969376968</v>
      </c>
      <c r="M3192" s="70">
        <f>CurrentMtgRatesDataTable8[[#This Row],[Servicing Spread Non-Zero]]-L3191</f>
        <v>1.967072138654391E-2</v>
      </c>
      <c r="N3192" s="70">
        <f>IF(J3191&lt;&gt;0,CurrentMtgRatesDataTable8[[#This Row],[Rate]]-C3191,N3191)</f>
        <v>2.4999999999999911E-2</v>
      </c>
    </row>
    <row r="3193" spans="1:14">
      <c r="A3193" s="67" t="s">
        <v>1156</v>
      </c>
      <c r="B3193" s="68">
        <v>2.35475537195207</v>
      </c>
      <c r="C3193" s="69">
        <v>3.335</v>
      </c>
      <c r="D3193" s="70">
        <f t="shared" si="343"/>
        <v>1</v>
      </c>
      <c r="E3193" s="70">
        <f t="shared" si="344"/>
        <v>0.2</v>
      </c>
      <c r="F3193" s="70">
        <f t="shared" si="345"/>
        <v>1</v>
      </c>
      <c r="G3193" s="70">
        <f t="shared" si="346"/>
        <v>0.470951074390414</v>
      </c>
      <c r="H3193" s="70">
        <f t="shared" si="347"/>
        <v>0.2</v>
      </c>
      <c r="I3193" s="70">
        <f t="shared" si="348"/>
        <v>0</v>
      </c>
      <c r="J3193" s="70">
        <f t="shared" si="349"/>
        <v>0</v>
      </c>
      <c r="K3193" s="70">
        <f>IF(CurrentMtgRatesDataTable8[[#This Row],[WA CC]]&lt;&gt;0,C3192-CurrentMtgRatesDataTable8[[#This Row],[WA CC]],0)</f>
        <v>0</v>
      </c>
      <c r="L3193" s="70">
        <f>IF(CurrentMtgRatesDataTable8[[#This Row],[Servicing Spread]]&lt;=0,L3192,CurrentMtgRatesDataTable8[[#This Row],[Servicing Spread]])</f>
        <v>0.98171953969376968</v>
      </c>
      <c r="M3193" s="70">
        <f>CurrentMtgRatesDataTable8[[#This Row],[Servicing Spread Non-Zero]]-L3192</f>
        <v>0</v>
      </c>
      <c r="N3193" s="70">
        <f>IF(J3192&lt;&gt;0,CurrentMtgRatesDataTable8[[#This Row],[Rate]]-C3192,N3192)</f>
        <v>4.9999999999998934E-3</v>
      </c>
    </row>
    <row r="3194" spans="1:14">
      <c r="A3194" s="67" t="s">
        <v>1157</v>
      </c>
      <c r="B3194" s="68">
        <v>2.3971487906373001</v>
      </c>
      <c r="C3194" s="69">
        <v>3.335</v>
      </c>
      <c r="D3194" s="70">
        <f t="shared" si="343"/>
        <v>2</v>
      </c>
      <c r="E3194" s="70">
        <f t="shared" si="344"/>
        <v>0.2</v>
      </c>
      <c r="F3194" s="70">
        <f t="shared" si="345"/>
        <v>2</v>
      </c>
      <c r="G3194" s="70">
        <f t="shared" si="346"/>
        <v>0.95038083251787397</v>
      </c>
      <c r="H3194" s="70">
        <f t="shared" si="347"/>
        <v>0.4</v>
      </c>
      <c r="I3194" s="70">
        <f t="shared" si="348"/>
        <v>0</v>
      </c>
      <c r="J3194" s="70">
        <f t="shared" si="349"/>
        <v>0</v>
      </c>
      <c r="K3194" s="70">
        <f>IF(CurrentMtgRatesDataTable8[[#This Row],[WA CC]]&lt;&gt;0,C3193-CurrentMtgRatesDataTable8[[#This Row],[WA CC]],0)</f>
        <v>0</v>
      </c>
      <c r="L3194" s="70">
        <f>IF(CurrentMtgRatesDataTable8[[#This Row],[Servicing Spread]]&lt;=0,L3193,CurrentMtgRatesDataTable8[[#This Row],[Servicing Spread]])</f>
        <v>0.98171953969376968</v>
      </c>
      <c r="M3194" s="70">
        <f>CurrentMtgRatesDataTable8[[#This Row],[Servicing Spread Non-Zero]]-L3193</f>
        <v>0</v>
      </c>
      <c r="N3194" s="70">
        <f>IF(J3193&lt;&gt;0,CurrentMtgRatesDataTable8[[#This Row],[Rate]]-C3193,N3193)</f>
        <v>4.9999999999998934E-3</v>
      </c>
    </row>
    <row r="3195" spans="1:14">
      <c r="A3195" s="67" t="s">
        <v>1158</v>
      </c>
      <c r="B3195" s="68">
        <v>2.3636791601900198</v>
      </c>
      <c r="C3195" s="69">
        <v>3.335</v>
      </c>
      <c r="D3195" s="70">
        <f t="shared" si="343"/>
        <v>5</v>
      </c>
      <c r="E3195" s="70">
        <f t="shared" si="344"/>
        <v>0.2</v>
      </c>
      <c r="F3195" s="70">
        <f t="shared" si="345"/>
        <v>3</v>
      </c>
      <c r="G3195" s="70">
        <f t="shared" si="346"/>
        <v>1.4231166645558779</v>
      </c>
      <c r="H3195" s="70">
        <f t="shared" si="347"/>
        <v>0.60000000000000009</v>
      </c>
      <c r="I3195" s="70">
        <f t="shared" si="348"/>
        <v>0</v>
      </c>
      <c r="J3195" s="70">
        <f t="shared" si="349"/>
        <v>0</v>
      </c>
      <c r="K3195" s="70">
        <f>IF(CurrentMtgRatesDataTable8[[#This Row],[WA CC]]&lt;&gt;0,C3194-CurrentMtgRatesDataTable8[[#This Row],[WA CC]],0)</f>
        <v>0</v>
      </c>
      <c r="L3195" s="70">
        <f>IF(CurrentMtgRatesDataTable8[[#This Row],[Servicing Spread]]&lt;=0,L3194,CurrentMtgRatesDataTable8[[#This Row],[Servicing Spread]])</f>
        <v>0.98171953969376968</v>
      </c>
      <c r="M3195" s="70">
        <f>CurrentMtgRatesDataTable8[[#This Row],[Servicing Spread Non-Zero]]-L3194</f>
        <v>0</v>
      </c>
      <c r="N3195" s="70">
        <f>IF(J3194&lt;&gt;0,CurrentMtgRatesDataTable8[[#This Row],[Rate]]-C3194,N3194)</f>
        <v>4.9999999999998934E-3</v>
      </c>
    </row>
    <row r="3196" spans="1:14">
      <c r="A3196" s="67" t="s">
        <v>1159</v>
      </c>
      <c r="B3196" s="68">
        <v>2.3673893775366199</v>
      </c>
      <c r="C3196" s="69">
        <v>3.335</v>
      </c>
      <c r="D3196" s="70">
        <f t="shared" si="343"/>
        <v>6</v>
      </c>
      <c r="E3196" s="70">
        <f t="shared" si="344"/>
        <v>0.2</v>
      </c>
      <c r="F3196" s="70">
        <f t="shared" si="345"/>
        <v>4</v>
      </c>
      <c r="G3196" s="70">
        <f t="shared" si="346"/>
        <v>1.8965945400632021</v>
      </c>
      <c r="H3196" s="70">
        <f t="shared" si="347"/>
        <v>0.8</v>
      </c>
      <c r="I3196" s="70">
        <f t="shared" si="348"/>
        <v>0</v>
      </c>
      <c r="J3196" s="70">
        <f t="shared" si="349"/>
        <v>0</v>
      </c>
      <c r="K3196" s="70">
        <f>IF(CurrentMtgRatesDataTable8[[#This Row],[WA CC]]&lt;&gt;0,C3195-CurrentMtgRatesDataTable8[[#This Row],[WA CC]],0)</f>
        <v>0</v>
      </c>
      <c r="L3196" s="70">
        <f>IF(CurrentMtgRatesDataTable8[[#This Row],[Servicing Spread]]&lt;=0,L3195,CurrentMtgRatesDataTable8[[#This Row],[Servicing Spread]])</f>
        <v>0.98171953969376968</v>
      </c>
      <c r="M3196" s="70">
        <f>CurrentMtgRatesDataTable8[[#This Row],[Servicing Spread Non-Zero]]-L3195</f>
        <v>0</v>
      </c>
      <c r="N3196" s="70">
        <f>IF(J3195&lt;&gt;0,CurrentMtgRatesDataTable8[[#This Row],[Rate]]-C3195,N3195)</f>
        <v>4.9999999999998934E-3</v>
      </c>
    </row>
    <row r="3197" spans="1:14">
      <c r="A3197" s="67" t="s">
        <v>1160</v>
      </c>
      <c r="B3197" s="68">
        <v>2.3666135397931098</v>
      </c>
      <c r="C3197" s="69">
        <v>3.335</v>
      </c>
      <c r="D3197" s="70">
        <f t="shared" si="343"/>
        <v>7</v>
      </c>
      <c r="E3197" s="70">
        <f t="shared" si="344"/>
        <v>0.2</v>
      </c>
      <c r="F3197" s="70">
        <f t="shared" si="345"/>
        <v>5</v>
      </c>
      <c r="G3197" s="70">
        <f t="shared" si="346"/>
        <v>2.369917248021824</v>
      </c>
      <c r="H3197" s="70">
        <f t="shared" si="347"/>
        <v>1</v>
      </c>
      <c r="I3197" s="70">
        <f t="shared" si="348"/>
        <v>1</v>
      </c>
      <c r="J3197" s="70">
        <f t="shared" si="349"/>
        <v>2.369917248021824</v>
      </c>
      <c r="K3197" s="70">
        <f>IF(CurrentMtgRatesDataTable8[[#This Row],[WA CC]]&lt;&gt;0,C3196-CurrentMtgRatesDataTable8[[#This Row],[WA CC]],0)</f>
        <v>0.96508275197817595</v>
      </c>
      <c r="L3197" s="70">
        <f>IF(CurrentMtgRatesDataTable8[[#This Row],[Servicing Spread]]&lt;=0,L3196,CurrentMtgRatesDataTable8[[#This Row],[Servicing Spread]])</f>
        <v>0.96508275197817595</v>
      </c>
      <c r="M3197" s="70">
        <f>CurrentMtgRatesDataTable8[[#This Row],[Servicing Spread Non-Zero]]-L3196</f>
        <v>-1.6636787715593737E-2</v>
      </c>
      <c r="N3197" s="70">
        <f>IF(J3196&lt;&gt;0,CurrentMtgRatesDataTable8[[#This Row],[Rate]]-C3196,N3196)</f>
        <v>4.9999999999998934E-3</v>
      </c>
    </row>
    <row r="3198" spans="1:14">
      <c r="A3198" s="67" t="s">
        <v>1161</v>
      </c>
      <c r="B3198" s="68">
        <v>2.3803157009582701</v>
      </c>
      <c r="C3198" s="69">
        <v>3.34</v>
      </c>
      <c r="D3198" s="70">
        <f t="shared" si="343"/>
        <v>1</v>
      </c>
      <c r="E3198" s="70">
        <f t="shared" si="344"/>
        <v>0.2</v>
      </c>
      <c r="F3198" s="70">
        <f t="shared" si="345"/>
        <v>1</v>
      </c>
      <c r="G3198" s="70">
        <f t="shared" si="346"/>
        <v>0.47606314019165402</v>
      </c>
      <c r="H3198" s="70">
        <f t="shared" si="347"/>
        <v>0.2</v>
      </c>
      <c r="I3198" s="70">
        <f t="shared" si="348"/>
        <v>0</v>
      </c>
      <c r="J3198" s="70">
        <f t="shared" si="349"/>
        <v>0</v>
      </c>
      <c r="K3198" s="70">
        <f>IF(CurrentMtgRatesDataTable8[[#This Row],[WA CC]]&lt;&gt;0,C3197-CurrentMtgRatesDataTable8[[#This Row],[WA CC]],0)</f>
        <v>0</v>
      </c>
      <c r="L3198" s="70">
        <f>IF(CurrentMtgRatesDataTable8[[#This Row],[Servicing Spread]]&lt;=0,L3197,CurrentMtgRatesDataTable8[[#This Row],[Servicing Spread]])</f>
        <v>0.96508275197817595</v>
      </c>
      <c r="M3198" s="70">
        <f>CurrentMtgRatesDataTable8[[#This Row],[Servicing Spread Non-Zero]]-L3197</f>
        <v>0</v>
      </c>
      <c r="N3198" s="70">
        <f>IF(J3197&lt;&gt;0,CurrentMtgRatesDataTable8[[#This Row],[Rate]]-C3197,N3197)</f>
        <v>4.9999999999998934E-3</v>
      </c>
    </row>
    <row r="3199" spans="1:14">
      <c r="A3199" s="67" t="s">
        <v>1162</v>
      </c>
      <c r="B3199" s="68">
        <v>2.3963402358760302</v>
      </c>
      <c r="C3199" s="69">
        <v>3.34</v>
      </c>
      <c r="D3199" s="70">
        <f t="shared" si="343"/>
        <v>2</v>
      </c>
      <c r="E3199" s="70">
        <f t="shared" si="344"/>
        <v>0.2</v>
      </c>
      <c r="F3199" s="70">
        <f t="shared" si="345"/>
        <v>2</v>
      </c>
      <c r="G3199" s="70">
        <f t="shared" si="346"/>
        <v>0.95533118736686007</v>
      </c>
      <c r="H3199" s="70">
        <f t="shared" si="347"/>
        <v>0.4</v>
      </c>
      <c r="I3199" s="70">
        <f t="shared" si="348"/>
        <v>0</v>
      </c>
      <c r="J3199" s="70">
        <f t="shared" si="349"/>
        <v>0</v>
      </c>
      <c r="K3199" s="70">
        <f>IF(CurrentMtgRatesDataTable8[[#This Row],[WA CC]]&lt;&gt;0,C3198-CurrentMtgRatesDataTable8[[#This Row],[WA CC]],0)</f>
        <v>0</v>
      </c>
      <c r="L3199" s="70">
        <f>IF(CurrentMtgRatesDataTable8[[#This Row],[Servicing Spread]]&lt;=0,L3198,CurrentMtgRatesDataTable8[[#This Row],[Servicing Spread]])</f>
        <v>0.96508275197817595</v>
      </c>
      <c r="M3199" s="70">
        <f>CurrentMtgRatesDataTable8[[#This Row],[Servicing Spread Non-Zero]]-L3198</f>
        <v>0</v>
      </c>
      <c r="N3199" s="70">
        <f>IF(J3198&lt;&gt;0,CurrentMtgRatesDataTable8[[#This Row],[Rate]]-C3198,N3198)</f>
        <v>4.9999999999998934E-3</v>
      </c>
    </row>
    <row r="3200" spans="1:14">
      <c r="A3200" s="67" t="s">
        <v>1163</v>
      </c>
      <c r="B3200" s="68">
        <v>2.3497707860559398</v>
      </c>
      <c r="C3200" s="69">
        <v>3.34</v>
      </c>
      <c r="D3200" s="70">
        <f t="shared" si="343"/>
        <v>6</v>
      </c>
      <c r="E3200" s="70">
        <f t="shared" si="344"/>
        <v>0.2</v>
      </c>
      <c r="F3200" s="70">
        <f t="shared" si="345"/>
        <v>3</v>
      </c>
      <c r="G3200" s="70">
        <f t="shared" si="346"/>
        <v>1.425285344578048</v>
      </c>
      <c r="H3200" s="70">
        <f t="shared" si="347"/>
        <v>0.60000000000000009</v>
      </c>
      <c r="I3200" s="70">
        <f t="shared" si="348"/>
        <v>0</v>
      </c>
      <c r="J3200" s="70">
        <f t="shared" si="349"/>
        <v>0</v>
      </c>
      <c r="K3200" s="70">
        <f>IF(CurrentMtgRatesDataTable8[[#This Row],[WA CC]]&lt;&gt;0,C3199-CurrentMtgRatesDataTable8[[#This Row],[WA CC]],0)</f>
        <v>0</v>
      </c>
      <c r="L3200" s="70">
        <f>IF(CurrentMtgRatesDataTable8[[#This Row],[Servicing Spread]]&lt;=0,L3199,CurrentMtgRatesDataTable8[[#This Row],[Servicing Spread]])</f>
        <v>0.96508275197817595</v>
      </c>
      <c r="M3200" s="70">
        <f>CurrentMtgRatesDataTable8[[#This Row],[Servicing Spread Non-Zero]]-L3199</f>
        <v>0</v>
      </c>
      <c r="N3200" s="70">
        <f>IF(J3199&lt;&gt;0,CurrentMtgRatesDataTable8[[#This Row],[Rate]]-C3199,N3199)</f>
        <v>4.9999999999998934E-3</v>
      </c>
    </row>
    <row r="3201" spans="1:14">
      <c r="A3201" s="67" t="s">
        <v>1164</v>
      </c>
      <c r="B3201" s="68">
        <v>2.3452158200023101</v>
      </c>
      <c r="C3201" s="69">
        <v>3.34</v>
      </c>
      <c r="D3201" s="70">
        <f t="shared" si="343"/>
        <v>7</v>
      </c>
      <c r="E3201" s="70">
        <f t="shared" si="344"/>
        <v>0.2</v>
      </c>
      <c r="F3201" s="70">
        <f t="shared" si="345"/>
        <v>4</v>
      </c>
      <c r="G3201" s="70">
        <f t="shared" si="346"/>
        <v>1.89432850857851</v>
      </c>
      <c r="H3201" s="70">
        <f t="shared" si="347"/>
        <v>0.8</v>
      </c>
      <c r="I3201" s="70">
        <f t="shared" si="348"/>
        <v>1</v>
      </c>
      <c r="J3201" s="70">
        <f t="shared" si="349"/>
        <v>2.3679106357231374</v>
      </c>
      <c r="K3201" s="70">
        <f>IF(CurrentMtgRatesDataTable8[[#This Row],[WA CC]]&lt;&gt;0,C3200-CurrentMtgRatesDataTable8[[#This Row],[WA CC]],0)</f>
        <v>0.97208936427686243</v>
      </c>
      <c r="L3201" s="70">
        <f>IF(CurrentMtgRatesDataTable8[[#This Row],[Servicing Spread]]&lt;=0,L3200,CurrentMtgRatesDataTable8[[#This Row],[Servicing Spread]])</f>
        <v>0.97208936427686243</v>
      </c>
      <c r="M3201" s="70">
        <f>CurrentMtgRatesDataTable8[[#This Row],[Servicing Spread Non-Zero]]-L3200</f>
        <v>7.0066122986864876E-3</v>
      </c>
      <c r="N3201" s="70">
        <f>IF(J3200&lt;&gt;0,CurrentMtgRatesDataTable8[[#This Row],[Rate]]-C3200,N3200)</f>
        <v>4.9999999999998934E-3</v>
      </c>
    </row>
    <row r="3202" spans="1:14">
      <c r="A3202" s="67" t="s">
        <v>1165</v>
      </c>
      <c r="B3202" s="68">
        <v>2.3842872829241002</v>
      </c>
      <c r="C3202" s="69">
        <v>3.375</v>
      </c>
      <c r="D3202" s="70">
        <f t="shared" si="343"/>
        <v>1</v>
      </c>
      <c r="E3202" s="70">
        <f t="shared" si="344"/>
        <v>0.2</v>
      </c>
      <c r="F3202" s="70">
        <f t="shared" si="345"/>
        <v>1</v>
      </c>
      <c r="G3202" s="70">
        <f t="shared" si="346"/>
        <v>0.47685745658482004</v>
      </c>
      <c r="H3202" s="70">
        <f t="shared" si="347"/>
        <v>0.2</v>
      </c>
      <c r="I3202" s="70">
        <f t="shared" si="348"/>
        <v>0</v>
      </c>
      <c r="J3202" s="70">
        <f t="shared" si="349"/>
        <v>0</v>
      </c>
      <c r="K3202" s="70">
        <f>IF(CurrentMtgRatesDataTable8[[#This Row],[WA CC]]&lt;&gt;0,C3201-CurrentMtgRatesDataTable8[[#This Row],[WA CC]],0)</f>
        <v>0</v>
      </c>
      <c r="L3202" s="70">
        <f>IF(CurrentMtgRatesDataTable8[[#This Row],[Servicing Spread]]&lt;=0,L3201,CurrentMtgRatesDataTable8[[#This Row],[Servicing Spread]])</f>
        <v>0.97208936427686243</v>
      </c>
      <c r="M3202" s="70">
        <f>CurrentMtgRatesDataTable8[[#This Row],[Servicing Spread Non-Zero]]-L3201</f>
        <v>0</v>
      </c>
      <c r="N3202" s="70">
        <f>IF(J3201&lt;&gt;0,CurrentMtgRatesDataTable8[[#This Row],[Rate]]-C3201,N3201)</f>
        <v>3.5000000000000142E-2</v>
      </c>
    </row>
    <row r="3203" spans="1:14">
      <c r="A3203" s="67" t="s">
        <v>1166</v>
      </c>
      <c r="B3203" s="68">
        <v>2.4473125668689599</v>
      </c>
      <c r="C3203" s="69">
        <v>3.375</v>
      </c>
      <c r="D3203" s="70">
        <f t="shared" si="343"/>
        <v>2</v>
      </c>
      <c r="E3203" s="70">
        <f t="shared" si="344"/>
        <v>0.2</v>
      </c>
      <c r="F3203" s="70">
        <f t="shared" si="345"/>
        <v>2</v>
      </c>
      <c r="G3203" s="70">
        <f t="shared" si="346"/>
        <v>0.96631996995861202</v>
      </c>
      <c r="H3203" s="70">
        <f t="shared" si="347"/>
        <v>0.4</v>
      </c>
      <c r="I3203" s="70">
        <f t="shared" si="348"/>
        <v>0</v>
      </c>
      <c r="J3203" s="70">
        <f t="shared" si="349"/>
        <v>0</v>
      </c>
      <c r="K3203" s="70">
        <f>IF(CurrentMtgRatesDataTable8[[#This Row],[WA CC]]&lt;&gt;0,C3202-CurrentMtgRatesDataTable8[[#This Row],[WA CC]],0)</f>
        <v>0</v>
      </c>
      <c r="L3203" s="70">
        <f>IF(CurrentMtgRatesDataTable8[[#This Row],[Servicing Spread]]&lt;=0,L3202,CurrentMtgRatesDataTable8[[#This Row],[Servicing Spread]])</f>
        <v>0.97208936427686243</v>
      </c>
      <c r="M3203" s="70">
        <f>CurrentMtgRatesDataTable8[[#This Row],[Servicing Spread Non-Zero]]-L3202</f>
        <v>0</v>
      </c>
      <c r="N3203" s="70">
        <f>IF(J3202&lt;&gt;0,CurrentMtgRatesDataTable8[[#This Row],[Rate]]-C3202,N3202)</f>
        <v>3.5000000000000142E-2</v>
      </c>
    </row>
    <row r="3204" spans="1:14">
      <c r="A3204" s="67" t="s">
        <v>1167</v>
      </c>
      <c r="B3204" s="68">
        <v>2.44286053650336</v>
      </c>
      <c r="C3204" s="69">
        <v>3.375</v>
      </c>
      <c r="D3204" s="70">
        <f t="shared" si="343"/>
        <v>5</v>
      </c>
      <c r="E3204" s="70">
        <f t="shared" si="344"/>
        <v>0.2</v>
      </c>
      <c r="F3204" s="70">
        <f t="shared" si="345"/>
        <v>3</v>
      </c>
      <c r="G3204" s="70">
        <f t="shared" si="346"/>
        <v>1.4548920772592839</v>
      </c>
      <c r="H3204" s="70">
        <f t="shared" si="347"/>
        <v>0.60000000000000009</v>
      </c>
      <c r="I3204" s="70">
        <f t="shared" si="348"/>
        <v>0</v>
      </c>
      <c r="J3204" s="70">
        <f t="shared" si="349"/>
        <v>0</v>
      </c>
      <c r="K3204" s="70">
        <f>IF(CurrentMtgRatesDataTable8[[#This Row],[WA CC]]&lt;&gt;0,C3203-CurrentMtgRatesDataTable8[[#This Row],[WA CC]],0)</f>
        <v>0</v>
      </c>
      <c r="L3204" s="70">
        <f>IF(CurrentMtgRatesDataTable8[[#This Row],[Servicing Spread]]&lt;=0,L3203,CurrentMtgRatesDataTable8[[#This Row],[Servicing Spread]])</f>
        <v>0.97208936427686243</v>
      </c>
      <c r="M3204" s="70">
        <f>CurrentMtgRatesDataTable8[[#This Row],[Servicing Spread Non-Zero]]-L3203</f>
        <v>0</v>
      </c>
      <c r="N3204" s="70">
        <f>IF(J3203&lt;&gt;0,CurrentMtgRatesDataTable8[[#This Row],[Rate]]-C3203,N3203)</f>
        <v>3.5000000000000142E-2</v>
      </c>
    </row>
    <row r="3205" spans="1:14">
      <c r="A3205" s="67" t="s">
        <v>1168</v>
      </c>
      <c r="B3205" s="68">
        <v>2.4759496030778601</v>
      </c>
      <c r="C3205" s="69">
        <v>3.375</v>
      </c>
      <c r="D3205" s="70">
        <f t="shared" ref="D3205:D3268" si="350">WEEKDAY(A3205,14)</f>
        <v>6</v>
      </c>
      <c r="E3205" s="70">
        <f t="shared" ref="E3205:E3268" si="351">VLOOKUP(D3205,Q$5:R$11,2,FALSE)</f>
        <v>0.2</v>
      </c>
      <c r="F3205" s="70">
        <f t="shared" ref="F3205:F3268" si="352">IF(AND(D3205&gt;D3204,F3204&lt;6),F3204+1,1)</f>
        <v>4</v>
      </c>
      <c r="G3205" s="70">
        <f t="shared" ref="G3205:G3268" si="353">IF(F3205&gt;F3204,G3204+B3205*E3205,B3205*E3205)</f>
        <v>1.950081997874856</v>
      </c>
      <c r="H3205" s="70">
        <f t="shared" ref="H3205:H3268" si="354">IF(AND(F3205&lt;6,F3205&gt;F3204),E3205+H3204,E3205)</f>
        <v>0.8</v>
      </c>
      <c r="I3205" s="70">
        <f t="shared" ref="I3205:I3268" si="355">IF(F3205&gt;F3206,1,0)</f>
        <v>0</v>
      </c>
      <c r="J3205" s="70">
        <f t="shared" ref="J3205:J3268" si="356">IF(F3205&gt;F3206,G3205/H3205,0)</f>
        <v>0</v>
      </c>
      <c r="K3205" s="70">
        <f>IF(CurrentMtgRatesDataTable8[[#This Row],[WA CC]]&lt;&gt;0,C3204-CurrentMtgRatesDataTable8[[#This Row],[WA CC]],0)</f>
        <v>0</v>
      </c>
      <c r="L3205" s="70">
        <f>IF(CurrentMtgRatesDataTable8[[#This Row],[Servicing Spread]]&lt;=0,L3204,CurrentMtgRatesDataTable8[[#This Row],[Servicing Spread]])</f>
        <v>0.97208936427686243</v>
      </c>
      <c r="M3205" s="70">
        <f>CurrentMtgRatesDataTable8[[#This Row],[Servicing Spread Non-Zero]]-L3204</f>
        <v>0</v>
      </c>
      <c r="N3205" s="70">
        <f>IF(J3204&lt;&gt;0,CurrentMtgRatesDataTable8[[#This Row],[Rate]]-C3204,N3204)</f>
        <v>3.5000000000000142E-2</v>
      </c>
    </row>
    <row r="3206" spans="1:14">
      <c r="A3206" s="67" t="s">
        <v>1169</v>
      </c>
      <c r="B3206" s="68">
        <v>2.44524956278855</v>
      </c>
      <c r="C3206" s="69">
        <v>3.375</v>
      </c>
      <c r="D3206" s="70">
        <f t="shared" si="350"/>
        <v>7</v>
      </c>
      <c r="E3206" s="70">
        <f t="shared" si="351"/>
        <v>0.2</v>
      </c>
      <c r="F3206" s="70">
        <f t="shared" si="352"/>
        <v>5</v>
      </c>
      <c r="G3206" s="70">
        <f t="shared" si="353"/>
        <v>2.4391319104325659</v>
      </c>
      <c r="H3206" s="70">
        <f t="shared" si="354"/>
        <v>1</v>
      </c>
      <c r="I3206" s="70">
        <f t="shared" si="355"/>
        <v>1</v>
      </c>
      <c r="J3206" s="70">
        <f t="shared" si="356"/>
        <v>2.4391319104325659</v>
      </c>
      <c r="K3206" s="70">
        <f>IF(CurrentMtgRatesDataTable8[[#This Row],[WA CC]]&lt;&gt;0,C3205-CurrentMtgRatesDataTable8[[#This Row],[WA CC]],0)</f>
        <v>0.93586808956743406</v>
      </c>
      <c r="L3206" s="70">
        <f>IF(CurrentMtgRatesDataTable8[[#This Row],[Servicing Spread]]&lt;=0,L3205,CurrentMtgRatesDataTable8[[#This Row],[Servicing Spread]])</f>
        <v>0.93586808956743406</v>
      </c>
      <c r="M3206" s="70">
        <f>CurrentMtgRatesDataTable8[[#This Row],[Servicing Spread Non-Zero]]-L3205</f>
        <v>-3.6221274709428375E-2</v>
      </c>
      <c r="N3206" s="70">
        <f>IF(J3205&lt;&gt;0,CurrentMtgRatesDataTable8[[#This Row],[Rate]]-C3205,N3205)</f>
        <v>3.5000000000000142E-2</v>
      </c>
    </row>
    <row r="3207" spans="1:14">
      <c r="A3207" s="67" t="s">
        <v>1170</v>
      </c>
      <c r="B3207" s="68">
        <v>2.45404364191142</v>
      </c>
      <c r="C3207" s="69">
        <v>3.38</v>
      </c>
      <c r="D3207" s="70">
        <f t="shared" si="350"/>
        <v>1</v>
      </c>
      <c r="E3207" s="70">
        <f t="shared" si="351"/>
        <v>0.2</v>
      </c>
      <c r="F3207" s="70">
        <f t="shared" si="352"/>
        <v>1</v>
      </c>
      <c r="G3207" s="70">
        <f t="shared" si="353"/>
        <v>0.49080872838228401</v>
      </c>
      <c r="H3207" s="70">
        <f t="shared" si="354"/>
        <v>0.2</v>
      </c>
      <c r="I3207" s="70">
        <f t="shared" si="355"/>
        <v>0</v>
      </c>
      <c r="J3207" s="70">
        <f t="shared" si="356"/>
        <v>0</v>
      </c>
      <c r="K3207" s="70">
        <f>IF(CurrentMtgRatesDataTable8[[#This Row],[WA CC]]&lt;&gt;0,C3206-CurrentMtgRatesDataTable8[[#This Row],[WA CC]],0)</f>
        <v>0</v>
      </c>
      <c r="L3207" s="70">
        <f>IF(CurrentMtgRatesDataTable8[[#This Row],[Servicing Spread]]&lt;=0,L3206,CurrentMtgRatesDataTable8[[#This Row],[Servicing Spread]])</f>
        <v>0.93586808956743406</v>
      </c>
      <c r="M3207" s="70">
        <f>CurrentMtgRatesDataTable8[[#This Row],[Servicing Spread Non-Zero]]-L3206</f>
        <v>0</v>
      </c>
      <c r="N3207" s="70">
        <f>IF(J3206&lt;&gt;0,CurrentMtgRatesDataTable8[[#This Row],[Rate]]-C3206,N3206)</f>
        <v>4.9999999999998934E-3</v>
      </c>
    </row>
    <row r="3208" spans="1:14">
      <c r="A3208" s="67" t="s">
        <v>1171</v>
      </c>
      <c r="B3208" s="68">
        <v>2.45470500500842</v>
      </c>
      <c r="C3208" s="69">
        <v>3.38</v>
      </c>
      <c r="D3208" s="70">
        <f t="shared" si="350"/>
        <v>2</v>
      </c>
      <c r="E3208" s="70">
        <f t="shared" si="351"/>
        <v>0.2</v>
      </c>
      <c r="F3208" s="70">
        <f t="shared" si="352"/>
        <v>2</v>
      </c>
      <c r="G3208" s="70">
        <f t="shared" si="353"/>
        <v>0.98174972938396809</v>
      </c>
      <c r="H3208" s="70">
        <f t="shared" si="354"/>
        <v>0.4</v>
      </c>
      <c r="I3208" s="70">
        <f t="shared" si="355"/>
        <v>0</v>
      </c>
      <c r="J3208" s="70">
        <f t="shared" si="356"/>
        <v>0</v>
      </c>
      <c r="K3208" s="70">
        <f>IF(CurrentMtgRatesDataTable8[[#This Row],[WA CC]]&lt;&gt;0,C3207-CurrentMtgRatesDataTable8[[#This Row],[WA CC]],0)</f>
        <v>0</v>
      </c>
      <c r="L3208" s="70">
        <f>IF(CurrentMtgRatesDataTable8[[#This Row],[Servicing Spread]]&lt;=0,L3207,CurrentMtgRatesDataTable8[[#This Row],[Servicing Spread]])</f>
        <v>0.93586808956743406</v>
      </c>
      <c r="M3208" s="70">
        <f>CurrentMtgRatesDataTable8[[#This Row],[Servicing Spread Non-Zero]]-L3207</f>
        <v>0</v>
      </c>
      <c r="N3208" s="70">
        <f>IF(J3207&lt;&gt;0,CurrentMtgRatesDataTable8[[#This Row],[Rate]]-C3207,N3207)</f>
        <v>4.9999999999998934E-3</v>
      </c>
    </row>
    <row r="3209" spans="1:14">
      <c r="A3209" s="67" t="s">
        <v>1172</v>
      </c>
      <c r="B3209" s="68">
        <v>2.4705200282403998</v>
      </c>
      <c r="C3209" s="69">
        <v>3.38</v>
      </c>
      <c r="D3209" s="70">
        <f t="shared" si="350"/>
        <v>5</v>
      </c>
      <c r="E3209" s="70">
        <f t="shared" si="351"/>
        <v>0.2</v>
      </c>
      <c r="F3209" s="70">
        <f t="shared" si="352"/>
        <v>3</v>
      </c>
      <c r="G3209" s="70">
        <f t="shared" si="353"/>
        <v>1.475853735032048</v>
      </c>
      <c r="H3209" s="70">
        <f t="shared" si="354"/>
        <v>0.60000000000000009</v>
      </c>
      <c r="I3209" s="70">
        <f t="shared" si="355"/>
        <v>0</v>
      </c>
      <c r="J3209" s="70">
        <f t="shared" si="356"/>
        <v>0</v>
      </c>
      <c r="K3209" s="70">
        <f>IF(CurrentMtgRatesDataTable8[[#This Row],[WA CC]]&lt;&gt;0,C3208-CurrentMtgRatesDataTable8[[#This Row],[WA CC]],0)</f>
        <v>0</v>
      </c>
      <c r="L3209" s="70">
        <f>IF(CurrentMtgRatesDataTable8[[#This Row],[Servicing Spread]]&lt;=0,L3208,CurrentMtgRatesDataTable8[[#This Row],[Servicing Spread]])</f>
        <v>0.93586808956743406</v>
      </c>
      <c r="M3209" s="70">
        <f>CurrentMtgRatesDataTable8[[#This Row],[Servicing Spread Non-Zero]]-L3208</f>
        <v>0</v>
      </c>
      <c r="N3209" s="70">
        <f>IF(J3208&lt;&gt;0,CurrentMtgRatesDataTable8[[#This Row],[Rate]]-C3208,N3208)</f>
        <v>4.9999999999998934E-3</v>
      </c>
    </row>
    <row r="3210" spans="1:14">
      <c r="A3210" s="67" t="s">
        <v>1173</v>
      </c>
      <c r="B3210" s="68">
        <v>2.4677434570547199</v>
      </c>
      <c r="C3210" s="69">
        <v>3.38</v>
      </c>
      <c r="D3210" s="70">
        <f t="shared" si="350"/>
        <v>6</v>
      </c>
      <c r="E3210" s="70">
        <f t="shared" si="351"/>
        <v>0.2</v>
      </c>
      <c r="F3210" s="70">
        <f t="shared" si="352"/>
        <v>4</v>
      </c>
      <c r="G3210" s="70">
        <f t="shared" si="353"/>
        <v>1.9694024264429919</v>
      </c>
      <c r="H3210" s="70">
        <f t="shared" si="354"/>
        <v>0.8</v>
      </c>
      <c r="I3210" s="70">
        <f t="shared" si="355"/>
        <v>0</v>
      </c>
      <c r="J3210" s="70">
        <f t="shared" si="356"/>
        <v>0</v>
      </c>
      <c r="K3210" s="70">
        <f>IF(CurrentMtgRatesDataTable8[[#This Row],[WA CC]]&lt;&gt;0,C3209-CurrentMtgRatesDataTable8[[#This Row],[WA CC]],0)</f>
        <v>0</v>
      </c>
      <c r="L3210" s="70">
        <f>IF(CurrentMtgRatesDataTable8[[#This Row],[Servicing Spread]]&lt;=0,L3209,CurrentMtgRatesDataTable8[[#This Row],[Servicing Spread]])</f>
        <v>0.93586808956743406</v>
      </c>
      <c r="M3210" s="70">
        <f>CurrentMtgRatesDataTable8[[#This Row],[Servicing Spread Non-Zero]]-L3209</f>
        <v>0</v>
      </c>
      <c r="N3210" s="70">
        <f>IF(J3209&lt;&gt;0,CurrentMtgRatesDataTable8[[#This Row],[Rate]]-C3209,N3209)</f>
        <v>4.9999999999998934E-3</v>
      </c>
    </row>
    <row r="3211" spans="1:14">
      <c r="A3211" s="67" t="s">
        <v>1174</v>
      </c>
      <c r="B3211" s="68">
        <v>2.4472298243210799</v>
      </c>
      <c r="C3211" s="69">
        <v>3.38</v>
      </c>
      <c r="D3211" s="70">
        <f t="shared" si="350"/>
        <v>7</v>
      </c>
      <c r="E3211" s="70">
        <f t="shared" si="351"/>
        <v>0.2</v>
      </c>
      <c r="F3211" s="70">
        <f t="shared" si="352"/>
        <v>5</v>
      </c>
      <c r="G3211" s="70">
        <f t="shared" si="353"/>
        <v>2.4588483913072077</v>
      </c>
      <c r="H3211" s="70">
        <f t="shared" si="354"/>
        <v>1</v>
      </c>
      <c r="I3211" s="70">
        <f t="shared" si="355"/>
        <v>1</v>
      </c>
      <c r="J3211" s="70">
        <f t="shared" si="356"/>
        <v>2.4588483913072077</v>
      </c>
      <c r="K3211" s="70">
        <f>IF(CurrentMtgRatesDataTable8[[#This Row],[WA CC]]&lt;&gt;0,C3210-CurrentMtgRatesDataTable8[[#This Row],[WA CC]],0)</f>
        <v>0.92115160869279222</v>
      </c>
      <c r="L3211" s="70">
        <f>IF(CurrentMtgRatesDataTable8[[#This Row],[Servicing Spread]]&lt;=0,L3210,CurrentMtgRatesDataTable8[[#This Row],[Servicing Spread]])</f>
        <v>0.92115160869279222</v>
      </c>
      <c r="M3211" s="70">
        <f>CurrentMtgRatesDataTable8[[#This Row],[Servicing Spread Non-Zero]]-L3210</f>
        <v>-1.4716480874641835E-2</v>
      </c>
      <c r="N3211" s="70">
        <f>IF(J3210&lt;&gt;0,CurrentMtgRatesDataTable8[[#This Row],[Rate]]-C3210,N3210)</f>
        <v>4.9999999999998934E-3</v>
      </c>
    </row>
    <row r="3212" spans="1:14">
      <c r="A3212" s="67" t="s">
        <v>1175</v>
      </c>
      <c r="B3212" s="68">
        <v>2.4229898766104698</v>
      </c>
      <c r="C3212" s="69">
        <v>3.2949999999999999</v>
      </c>
      <c r="D3212" s="70">
        <f t="shared" si="350"/>
        <v>1</v>
      </c>
      <c r="E3212" s="70">
        <f t="shared" si="351"/>
        <v>0.2</v>
      </c>
      <c r="F3212" s="70">
        <f t="shared" si="352"/>
        <v>1</v>
      </c>
      <c r="G3212" s="70">
        <f t="shared" si="353"/>
        <v>0.48459797532209398</v>
      </c>
      <c r="H3212" s="70">
        <f t="shared" si="354"/>
        <v>0.2</v>
      </c>
      <c r="I3212" s="70">
        <f t="shared" si="355"/>
        <v>0</v>
      </c>
      <c r="J3212" s="70">
        <f t="shared" si="356"/>
        <v>0</v>
      </c>
      <c r="K3212" s="70">
        <f>IF(CurrentMtgRatesDataTable8[[#This Row],[WA CC]]&lt;&gt;0,C3211-CurrentMtgRatesDataTable8[[#This Row],[WA CC]],0)</f>
        <v>0</v>
      </c>
      <c r="L3212" s="70">
        <f>IF(CurrentMtgRatesDataTable8[[#This Row],[Servicing Spread]]&lt;=0,L3211,CurrentMtgRatesDataTable8[[#This Row],[Servicing Spread]])</f>
        <v>0.92115160869279222</v>
      </c>
      <c r="M3212" s="70">
        <f>CurrentMtgRatesDataTable8[[#This Row],[Servicing Spread Non-Zero]]-L3211</f>
        <v>0</v>
      </c>
      <c r="N3212" s="70">
        <f>IF(J3211&lt;&gt;0,CurrentMtgRatesDataTable8[[#This Row],[Rate]]-C3211,N3211)</f>
        <v>-8.4999999999999964E-2</v>
      </c>
    </row>
    <row r="3213" spans="1:14">
      <c r="A3213" s="67" t="s">
        <v>1176</v>
      </c>
      <c r="B3213" s="68">
        <v>2.35417709036851</v>
      </c>
      <c r="C3213" s="69">
        <v>3.2949999999999999</v>
      </c>
      <c r="D3213" s="70">
        <f t="shared" si="350"/>
        <v>2</v>
      </c>
      <c r="E3213" s="70">
        <f t="shared" si="351"/>
        <v>0.2</v>
      </c>
      <c r="F3213" s="70">
        <f t="shared" si="352"/>
        <v>2</v>
      </c>
      <c r="G3213" s="70">
        <f t="shared" si="353"/>
        <v>0.95543339339579592</v>
      </c>
      <c r="H3213" s="70">
        <f t="shared" si="354"/>
        <v>0.4</v>
      </c>
      <c r="I3213" s="70">
        <f t="shared" si="355"/>
        <v>0</v>
      </c>
      <c r="J3213" s="70">
        <f t="shared" si="356"/>
        <v>0</v>
      </c>
      <c r="K3213" s="70">
        <f>IF(CurrentMtgRatesDataTable8[[#This Row],[WA CC]]&lt;&gt;0,C3212-CurrentMtgRatesDataTable8[[#This Row],[WA CC]],0)</f>
        <v>0</v>
      </c>
      <c r="L3213" s="70">
        <f>IF(CurrentMtgRatesDataTable8[[#This Row],[Servicing Spread]]&lt;=0,L3212,CurrentMtgRatesDataTable8[[#This Row],[Servicing Spread]])</f>
        <v>0.92115160869279222</v>
      </c>
      <c r="M3213" s="70">
        <f>CurrentMtgRatesDataTable8[[#This Row],[Servicing Spread Non-Zero]]-L3212</f>
        <v>0</v>
      </c>
      <c r="N3213" s="70">
        <f>IF(J3212&lt;&gt;0,CurrentMtgRatesDataTable8[[#This Row],[Rate]]-C3212,N3212)</f>
        <v>-8.4999999999999964E-2</v>
      </c>
    </row>
    <row r="3214" spans="1:14">
      <c r="A3214" s="67" t="s">
        <v>1177</v>
      </c>
      <c r="B3214" s="68">
        <v>2.3204598577200901</v>
      </c>
      <c r="C3214" s="69">
        <v>3.2949999999999999</v>
      </c>
      <c r="D3214" s="70">
        <f t="shared" si="350"/>
        <v>5</v>
      </c>
      <c r="E3214" s="70">
        <f t="shared" si="351"/>
        <v>0.2</v>
      </c>
      <c r="F3214" s="70">
        <f t="shared" si="352"/>
        <v>3</v>
      </c>
      <c r="G3214" s="70">
        <f t="shared" si="353"/>
        <v>1.4195253649398141</v>
      </c>
      <c r="H3214" s="70">
        <f t="shared" si="354"/>
        <v>0.60000000000000009</v>
      </c>
      <c r="I3214" s="70">
        <f t="shared" si="355"/>
        <v>0</v>
      </c>
      <c r="J3214" s="70">
        <f t="shared" si="356"/>
        <v>0</v>
      </c>
      <c r="K3214" s="70">
        <f>IF(CurrentMtgRatesDataTable8[[#This Row],[WA CC]]&lt;&gt;0,C3213-CurrentMtgRatesDataTable8[[#This Row],[WA CC]],0)</f>
        <v>0</v>
      </c>
      <c r="L3214" s="70">
        <f>IF(CurrentMtgRatesDataTable8[[#This Row],[Servicing Spread]]&lt;=0,L3213,CurrentMtgRatesDataTable8[[#This Row],[Servicing Spread]])</f>
        <v>0.92115160869279222</v>
      </c>
      <c r="M3214" s="70">
        <f>CurrentMtgRatesDataTable8[[#This Row],[Servicing Spread Non-Zero]]-L3213</f>
        <v>0</v>
      </c>
      <c r="N3214" s="70">
        <f>IF(J3213&lt;&gt;0,CurrentMtgRatesDataTable8[[#This Row],[Rate]]-C3213,N3213)</f>
        <v>-8.4999999999999964E-2</v>
      </c>
    </row>
    <row r="3215" spans="1:14">
      <c r="A3215" s="67" t="s">
        <v>1178</v>
      </c>
      <c r="B3215" s="68">
        <v>2.3036095465699198</v>
      </c>
      <c r="C3215" s="69">
        <v>3.2949999999999999</v>
      </c>
      <c r="D3215" s="70">
        <f t="shared" si="350"/>
        <v>6</v>
      </c>
      <c r="E3215" s="70">
        <f t="shared" si="351"/>
        <v>0.2</v>
      </c>
      <c r="F3215" s="70">
        <f t="shared" si="352"/>
        <v>4</v>
      </c>
      <c r="G3215" s="70">
        <f t="shared" si="353"/>
        <v>1.8802472742537981</v>
      </c>
      <c r="H3215" s="70">
        <f t="shared" si="354"/>
        <v>0.8</v>
      </c>
      <c r="I3215" s="70">
        <f t="shared" si="355"/>
        <v>0</v>
      </c>
      <c r="J3215" s="70">
        <f t="shared" si="356"/>
        <v>0</v>
      </c>
      <c r="K3215" s="70">
        <f>IF(CurrentMtgRatesDataTable8[[#This Row],[WA CC]]&lt;&gt;0,C3214-CurrentMtgRatesDataTable8[[#This Row],[WA CC]],0)</f>
        <v>0</v>
      </c>
      <c r="L3215" s="70">
        <f>IF(CurrentMtgRatesDataTable8[[#This Row],[Servicing Spread]]&lt;=0,L3214,CurrentMtgRatesDataTable8[[#This Row],[Servicing Spread]])</f>
        <v>0.92115160869279222</v>
      </c>
      <c r="M3215" s="70">
        <f>CurrentMtgRatesDataTable8[[#This Row],[Servicing Spread Non-Zero]]-L3214</f>
        <v>0</v>
      </c>
      <c r="N3215" s="70">
        <f>IF(J3214&lt;&gt;0,CurrentMtgRatesDataTable8[[#This Row],[Rate]]-C3214,N3214)</f>
        <v>-8.4999999999999964E-2</v>
      </c>
    </row>
    <row r="3216" spans="1:14">
      <c r="A3216" s="67" t="s">
        <v>1179</v>
      </c>
      <c r="B3216" s="68">
        <v>2.3175565245512799</v>
      </c>
      <c r="C3216" s="69">
        <v>3.2949999999999999</v>
      </c>
      <c r="D3216" s="70">
        <f t="shared" si="350"/>
        <v>7</v>
      </c>
      <c r="E3216" s="70">
        <f t="shared" si="351"/>
        <v>0.2</v>
      </c>
      <c r="F3216" s="70">
        <f t="shared" si="352"/>
        <v>5</v>
      </c>
      <c r="G3216" s="70">
        <f t="shared" si="353"/>
        <v>2.3437585791640543</v>
      </c>
      <c r="H3216" s="70">
        <f t="shared" si="354"/>
        <v>1</v>
      </c>
      <c r="I3216" s="70">
        <f t="shared" si="355"/>
        <v>1</v>
      </c>
      <c r="J3216" s="70">
        <f t="shared" si="356"/>
        <v>2.3437585791640543</v>
      </c>
      <c r="K3216" s="70">
        <f>IF(CurrentMtgRatesDataTable8[[#This Row],[WA CC]]&lt;&gt;0,C3215-CurrentMtgRatesDataTable8[[#This Row],[WA CC]],0)</f>
        <v>0.95124142083594565</v>
      </c>
      <c r="L3216" s="70">
        <f>IF(CurrentMtgRatesDataTable8[[#This Row],[Servicing Spread]]&lt;=0,L3215,CurrentMtgRatesDataTable8[[#This Row],[Servicing Spread]])</f>
        <v>0.95124142083594565</v>
      </c>
      <c r="M3216" s="70">
        <f>CurrentMtgRatesDataTable8[[#This Row],[Servicing Spread Non-Zero]]-L3215</f>
        <v>3.0089812143153427E-2</v>
      </c>
      <c r="N3216" s="70">
        <f>IF(J3215&lt;&gt;0,CurrentMtgRatesDataTable8[[#This Row],[Rate]]-C3215,N3215)</f>
        <v>-8.4999999999999964E-2</v>
      </c>
    </row>
    <row r="3217" spans="1:14">
      <c r="A3217" s="67" t="s">
        <v>1180</v>
      </c>
      <c r="B3217" s="68">
        <v>2.3157936267169901</v>
      </c>
      <c r="C3217" s="69">
        <v>3.2949999999999999</v>
      </c>
      <c r="D3217" s="70">
        <f t="shared" si="350"/>
        <v>1</v>
      </c>
      <c r="E3217" s="70">
        <f t="shared" si="351"/>
        <v>0.2</v>
      </c>
      <c r="F3217" s="70">
        <f t="shared" si="352"/>
        <v>1</v>
      </c>
      <c r="G3217" s="70">
        <f t="shared" si="353"/>
        <v>0.46315872534339803</v>
      </c>
      <c r="H3217" s="70">
        <f t="shared" si="354"/>
        <v>0.2</v>
      </c>
      <c r="I3217" s="70">
        <f t="shared" si="355"/>
        <v>0</v>
      </c>
      <c r="J3217" s="70">
        <f t="shared" si="356"/>
        <v>0</v>
      </c>
      <c r="K3217" s="70">
        <f>IF(CurrentMtgRatesDataTable8[[#This Row],[WA CC]]&lt;&gt;0,C3216-CurrentMtgRatesDataTable8[[#This Row],[WA CC]],0)</f>
        <v>0</v>
      </c>
      <c r="L3217" s="70">
        <f>IF(CurrentMtgRatesDataTable8[[#This Row],[Servicing Spread]]&lt;=0,L3216,CurrentMtgRatesDataTable8[[#This Row],[Servicing Spread]])</f>
        <v>0.95124142083594565</v>
      </c>
      <c r="M3217" s="70">
        <f>CurrentMtgRatesDataTable8[[#This Row],[Servicing Spread Non-Zero]]-L3216</f>
        <v>0</v>
      </c>
      <c r="N3217" s="70">
        <f>IF(J3216&lt;&gt;0,CurrentMtgRatesDataTable8[[#This Row],[Rate]]-C3216,N3216)</f>
        <v>0</v>
      </c>
    </row>
    <row r="3218" spans="1:14">
      <c r="A3218" s="67" t="s">
        <v>1181</v>
      </c>
      <c r="B3218" s="68">
        <v>2.3450247275103502</v>
      </c>
      <c r="C3218" s="69">
        <v>3.2949999999999999</v>
      </c>
      <c r="D3218" s="70">
        <f t="shared" si="350"/>
        <v>2</v>
      </c>
      <c r="E3218" s="70">
        <f t="shared" si="351"/>
        <v>0.2</v>
      </c>
      <c r="F3218" s="70">
        <f t="shared" si="352"/>
        <v>2</v>
      </c>
      <c r="G3218" s="70">
        <f t="shared" si="353"/>
        <v>0.93216367084546814</v>
      </c>
      <c r="H3218" s="70">
        <f t="shared" si="354"/>
        <v>0.4</v>
      </c>
      <c r="I3218" s="70">
        <f t="shared" si="355"/>
        <v>0</v>
      </c>
      <c r="J3218" s="70">
        <f t="shared" si="356"/>
        <v>0</v>
      </c>
      <c r="K3218" s="70">
        <f>IF(CurrentMtgRatesDataTable8[[#This Row],[WA CC]]&lt;&gt;0,C3217-CurrentMtgRatesDataTable8[[#This Row],[WA CC]],0)</f>
        <v>0</v>
      </c>
      <c r="L3218" s="70">
        <f>IF(CurrentMtgRatesDataTable8[[#This Row],[Servicing Spread]]&lt;=0,L3217,CurrentMtgRatesDataTable8[[#This Row],[Servicing Spread]])</f>
        <v>0.95124142083594565</v>
      </c>
      <c r="M3218" s="70">
        <f>CurrentMtgRatesDataTable8[[#This Row],[Servicing Spread Non-Zero]]-L3217</f>
        <v>0</v>
      </c>
      <c r="N3218" s="70">
        <f>IF(J3217&lt;&gt;0,CurrentMtgRatesDataTable8[[#This Row],[Rate]]-C3217,N3217)</f>
        <v>0</v>
      </c>
    </row>
    <row r="3219" spans="1:14">
      <c r="A3219" s="67" t="s">
        <v>1182</v>
      </c>
      <c r="B3219" s="68">
        <v>2.3593230360377899</v>
      </c>
      <c r="C3219" s="69">
        <v>3.2949999999999999</v>
      </c>
      <c r="D3219" s="70">
        <f t="shared" si="350"/>
        <v>5</v>
      </c>
      <c r="E3219" s="70">
        <f t="shared" si="351"/>
        <v>0.2</v>
      </c>
      <c r="F3219" s="70">
        <f t="shared" si="352"/>
        <v>3</v>
      </c>
      <c r="G3219" s="70">
        <f t="shared" si="353"/>
        <v>1.4040282780530262</v>
      </c>
      <c r="H3219" s="70">
        <f t="shared" si="354"/>
        <v>0.60000000000000009</v>
      </c>
      <c r="I3219" s="70">
        <f t="shared" si="355"/>
        <v>0</v>
      </c>
      <c r="J3219" s="70">
        <f t="shared" si="356"/>
        <v>0</v>
      </c>
      <c r="K3219" s="70">
        <f>IF(CurrentMtgRatesDataTable8[[#This Row],[WA CC]]&lt;&gt;0,C3218-CurrentMtgRatesDataTable8[[#This Row],[WA CC]],0)</f>
        <v>0</v>
      </c>
      <c r="L3219" s="70">
        <f>IF(CurrentMtgRatesDataTable8[[#This Row],[Servicing Spread]]&lt;=0,L3218,CurrentMtgRatesDataTable8[[#This Row],[Servicing Spread]])</f>
        <v>0.95124142083594565</v>
      </c>
      <c r="M3219" s="70">
        <f>CurrentMtgRatesDataTable8[[#This Row],[Servicing Spread Non-Zero]]-L3218</f>
        <v>0</v>
      </c>
      <c r="N3219" s="70">
        <f>IF(J3218&lt;&gt;0,CurrentMtgRatesDataTable8[[#This Row],[Rate]]-C3218,N3218)</f>
        <v>0</v>
      </c>
    </row>
    <row r="3220" spans="1:14">
      <c r="A3220" s="67" t="s">
        <v>1183</v>
      </c>
      <c r="B3220" s="68">
        <v>2.4007367882510802</v>
      </c>
      <c r="C3220" s="69">
        <v>3.2949999999999999</v>
      </c>
      <c r="D3220" s="70">
        <f t="shared" si="350"/>
        <v>6</v>
      </c>
      <c r="E3220" s="70">
        <f t="shared" si="351"/>
        <v>0.2</v>
      </c>
      <c r="F3220" s="70">
        <f t="shared" si="352"/>
        <v>4</v>
      </c>
      <c r="G3220" s="70">
        <f t="shared" si="353"/>
        <v>1.8841756357032422</v>
      </c>
      <c r="H3220" s="70">
        <f t="shared" si="354"/>
        <v>0.8</v>
      </c>
      <c r="I3220" s="70">
        <f t="shared" si="355"/>
        <v>0</v>
      </c>
      <c r="J3220" s="70">
        <f t="shared" si="356"/>
        <v>0</v>
      </c>
      <c r="K3220" s="70">
        <f>IF(CurrentMtgRatesDataTable8[[#This Row],[WA CC]]&lt;&gt;0,C3219-CurrentMtgRatesDataTable8[[#This Row],[WA CC]],0)</f>
        <v>0</v>
      </c>
      <c r="L3220" s="70">
        <f>IF(CurrentMtgRatesDataTable8[[#This Row],[Servicing Spread]]&lt;=0,L3219,CurrentMtgRatesDataTable8[[#This Row],[Servicing Spread]])</f>
        <v>0.95124142083594565</v>
      </c>
      <c r="M3220" s="70">
        <f>CurrentMtgRatesDataTable8[[#This Row],[Servicing Spread Non-Zero]]-L3219</f>
        <v>0</v>
      </c>
      <c r="N3220" s="70">
        <f>IF(J3219&lt;&gt;0,CurrentMtgRatesDataTable8[[#This Row],[Rate]]-C3219,N3219)</f>
        <v>0</v>
      </c>
    </row>
    <row r="3221" spans="1:14">
      <c r="A3221" s="67" t="s">
        <v>1184</v>
      </c>
      <c r="B3221" s="68">
        <v>2.4230964984502701</v>
      </c>
      <c r="C3221" s="69">
        <v>3.2949999999999999</v>
      </c>
      <c r="D3221" s="70">
        <f t="shared" si="350"/>
        <v>7</v>
      </c>
      <c r="E3221" s="70">
        <f t="shared" si="351"/>
        <v>0.2</v>
      </c>
      <c r="F3221" s="70">
        <f t="shared" si="352"/>
        <v>5</v>
      </c>
      <c r="G3221" s="70">
        <f t="shared" si="353"/>
        <v>2.3687949353932964</v>
      </c>
      <c r="H3221" s="70">
        <f t="shared" si="354"/>
        <v>1</v>
      </c>
      <c r="I3221" s="70">
        <f t="shared" si="355"/>
        <v>1</v>
      </c>
      <c r="J3221" s="70">
        <f t="shared" si="356"/>
        <v>2.3687949353932964</v>
      </c>
      <c r="K3221" s="70">
        <f>IF(CurrentMtgRatesDataTable8[[#This Row],[WA CC]]&lt;&gt;0,C3220-CurrentMtgRatesDataTable8[[#This Row],[WA CC]],0)</f>
        <v>0.92620506460670349</v>
      </c>
      <c r="L3221" s="70">
        <f>IF(CurrentMtgRatesDataTable8[[#This Row],[Servicing Spread]]&lt;=0,L3220,CurrentMtgRatesDataTable8[[#This Row],[Servicing Spread]])</f>
        <v>0.92620506460670349</v>
      </c>
      <c r="M3221" s="70">
        <f>CurrentMtgRatesDataTable8[[#This Row],[Servicing Spread Non-Zero]]-L3220</f>
        <v>-2.5036356229242163E-2</v>
      </c>
      <c r="N3221" s="70">
        <f>IF(J3220&lt;&gt;0,CurrentMtgRatesDataTable8[[#This Row],[Rate]]-C3220,N3220)</f>
        <v>0</v>
      </c>
    </row>
    <row r="3222" spans="1:14">
      <c r="A3222" s="67" t="s">
        <v>1185</v>
      </c>
      <c r="B3222" s="68">
        <v>2.4425561319038702</v>
      </c>
      <c r="C3222" s="69">
        <v>3.37</v>
      </c>
      <c r="D3222" s="70">
        <f t="shared" si="350"/>
        <v>1</v>
      </c>
      <c r="E3222" s="70">
        <f t="shared" si="351"/>
        <v>0.2</v>
      </c>
      <c r="F3222" s="70">
        <f t="shared" si="352"/>
        <v>1</v>
      </c>
      <c r="G3222" s="70">
        <f t="shared" si="353"/>
        <v>0.48851122638077404</v>
      </c>
      <c r="H3222" s="70">
        <f t="shared" si="354"/>
        <v>0.2</v>
      </c>
      <c r="I3222" s="70">
        <f t="shared" si="355"/>
        <v>0</v>
      </c>
      <c r="J3222" s="70">
        <f t="shared" si="356"/>
        <v>0</v>
      </c>
      <c r="K3222" s="70">
        <f>IF(CurrentMtgRatesDataTable8[[#This Row],[WA CC]]&lt;&gt;0,C3221-CurrentMtgRatesDataTable8[[#This Row],[WA CC]],0)</f>
        <v>0</v>
      </c>
      <c r="L3222" s="70">
        <f>IF(CurrentMtgRatesDataTable8[[#This Row],[Servicing Spread]]&lt;=0,L3221,CurrentMtgRatesDataTable8[[#This Row],[Servicing Spread]])</f>
        <v>0.92620506460670349</v>
      </c>
      <c r="M3222" s="70">
        <f>CurrentMtgRatesDataTable8[[#This Row],[Servicing Spread Non-Zero]]-L3221</f>
        <v>0</v>
      </c>
      <c r="N3222" s="70">
        <f>IF(J3221&lt;&gt;0,CurrentMtgRatesDataTable8[[#This Row],[Rate]]-C3221,N3221)</f>
        <v>7.5000000000000178E-2</v>
      </c>
    </row>
    <row r="3223" spans="1:14">
      <c r="A3223" s="67" t="s">
        <v>1186</v>
      </c>
      <c r="B3223" s="68">
        <v>2.4494735846374298</v>
      </c>
      <c r="C3223" s="69">
        <v>3.37</v>
      </c>
      <c r="D3223" s="70">
        <f t="shared" si="350"/>
        <v>2</v>
      </c>
      <c r="E3223" s="70">
        <f t="shared" si="351"/>
        <v>0.2</v>
      </c>
      <c r="F3223" s="70">
        <f t="shared" si="352"/>
        <v>2</v>
      </c>
      <c r="G3223" s="70">
        <f t="shared" si="353"/>
        <v>0.97840594330826003</v>
      </c>
      <c r="H3223" s="70">
        <f t="shared" si="354"/>
        <v>0.4</v>
      </c>
      <c r="I3223" s="70">
        <f t="shared" si="355"/>
        <v>0</v>
      </c>
      <c r="J3223" s="70">
        <f t="shared" si="356"/>
        <v>0</v>
      </c>
      <c r="K3223" s="70">
        <f>IF(CurrentMtgRatesDataTable8[[#This Row],[WA CC]]&lt;&gt;0,C3222-CurrentMtgRatesDataTable8[[#This Row],[WA CC]],0)</f>
        <v>0</v>
      </c>
      <c r="L3223" s="70">
        <f>IF(CurrentMtgRatesDataTable8[[#This Row],[Servicing Spread]]&lt;=0,L3222,CurrentMtgRatesDataTable8[[#This Row],[Servicing Spread]])</f>
        <v>0.92620506460670349</v>
      </c>
      <c r="M3223" s="70">
        <f>CurrentMtgRatesDataTable8[[#This Row],[Servicing Spread Non-Zero]]-L3222</f>
        <v>0</v>
      </c>
      <c r="N3223" s="70">
        <f>IF(J3222&lt;&gt;0,CurrentMtgRatesDataTable8[[#This Row],[Rate]]-C3222,N3222)</f>
        <v>7.5000000000000178E-2</v>
      </c>
    </row>
    <row r="3224" spans="1:14">
      <c r="A3224" s="67" t="s">
        <v>1187</v>
      </c>
      <c r="B3224" s="68">
        <v>2.4735241202306701</v>
      </c>
      <c r="C3224" s="69">
        <v>3.37</v>
      </c>
      <c r="D3224" s="70">
        <f t="shared" si="350"/>
        <v>6</v>
      </c>
      <c r="E3224" s="70">
        <f t="shared" si="351"/>
        <v>0.2</v>
      </c>
      <c r="F3224" s="70">
        <f t="shared" si="352"/>
        <v>3</v>
      </c>
      <c r="G3224" s="70">
        <f t="shared" si="353"/>
        <v>1.4731107673543939</v>
      </c>
      <c r="H3224" s="70">
        <f t="shared" si="354"/>
        <v>0.60000000000000009</v>
      </c>
      <c r="I3224" s="70">
        <f t="shared" si="355"/>
        <v>0</v>
      </c>
      <c r="J3224" s="70">
        <f t="shared" si="356"/>
        <v>0</v>
      </c>
      <c r="K3224" s="70">
        <f>IF(CurrentMtgRatesDataTable8[[#This Row],[WA CC]]&lt;&gt;0,C3223-CurrentMtgRatesDataTable8[[#This Row],[WA CC]],0)</f>
        <v>0</v>
      </c>
      <c r="L3224" s="70">
        <f>IF(CurrentMtgRatesDataTable8[[#This Row],[Servicing Spread]]&lt;=0,L3223,CurrentMtgRatesDataTable8[[#This Row],[Servicing Spread]])</f>
        <v>0.92620506460670349</v>
      </c>
      <c r="M3224" s="70">
        <f>CurrentMtgRatesDataTable8[[#This Row],[Servicing Spread Non-Zero]]-L3223</f>
        <v>0</v>
      </c>
      <c r="N3224" s="70">
        <f>IF(J3223&lt;&gt;0,CurrentMtgRatesDataTable8[[#This Row],[Rate]]-C3223,N3223)</f>
        <v>7.5000000000000178E-2</v>
      </c>
    </row>
    <row r="3225" spans="1:14">
      <c r="A3225" s="67" t="s">
        <v>1188</v>
      </c>
      <c r="B3225" s="68">
        <v>2.49089475229058</v>
      </c>
      <c r="C3225" s="69">
        <v>3.37</v>
      </c>
      <c r="D3225" s="70">
        <f t="shared" si="350"/>
        <v>7</v>
      </c>
      <c r="E3225" s="70">
        <f t="shared" si="351"/>
        <v>0.2</v>
      </c>
      <c r="F3225" s="70">
        <f t="shared" si="352"/>
        <v>4</v>
      </c>
      <c r="G3225" s="70">
        <f t="shared" si="353"/>
        <v>1.9712897178125099</v>
      </c>
      <c r="H3225" s="70">
        <f t="shared" si="354"/>
        <v>0.8</v>
      </c>
      <c r="I3225" s="70">
        <f t="shared" si="355"/>
        <v>1</v>
      </c>
      <c r="J3225" s="70">
        <f t="shared" si="356"/>
        <v>2.4641121472656371</v>
      </c>
      <c r="K3225" s="70">
        <f>IF(CurrentMtgRatesDataTable8[[#This Row],[WA CC]]&lt;&gt;0,C3224-CurrentMtgRatesDataTable8[[#This Row],[WA CC]],0)</f>
        <v>0.90588785273436301</v>
      </c>
      <c r="L3225" s="70">
        <f>IF(CurrentMtgRatesDataTable8[[#This Row],[Servicing Spread]]&lt;=0,L3224,CurrentMtgRatesDataTable8[[#This Row],[Servicing Spread]])</f>
        <v>0.90588785273436301</v>
      </c>
      <c r="M3225" s="70">
        <f>CurrentMtgRatesDataTable8[[#This Row],[Servicing Spread Non-Zero]]-L3224</f>
        <v>-2.0317211872340479E-2</v>
      </c>
      <c r="N3225" s="70">
        <f>IF(J3224&lt;&gt;0,CurrentMtgRatesDataTable8[[#This Row],[Rate]]-C3224,N3224)</f>
        <v>7.5000000000000178E-2</v>
      </c>
    </row>
    <row r="3226" spans="1:14">
      <c r="A3226" s="67" t="s">
        <v>1189</v>
      </c>
      <c r="B3226" s="68">
        <v>2.4566708605099099</v>
      </c>
      <c r="C3226" s="69">
        <v>3.395</v>
      </c>
      <c r="D3226" s="70">
        <f t="shared" si="350"/>
        <v>1</v>
      </c>
      <c r="E3226" s="70">
        <f t="shared" si="351"/>
        <v>0.2</v>
      </c>
      <c r="F3226" s="70">
        <f t="shared" si="352"/>
        <v>1</v>
      </c>
      <c r="G3226" s="70">
        <f t="shared" si="353"/>
        <v>0.49133417210198199</v>
      </c>
      <c r="H3226" s="70">
        <f t="shared" si="354"/>
        <v>0.2</v>
      </c>
      <c r="I3226" s="70">
        <f t="shared" si="355"/>
        <v>0</v>
      </c>
      <c r="J3226" s="70">
        <f t="shared" si="356"/>
        <v>0</v>
      </c>
      <c r="K3226" s="70">
        <f>IF(CurrentMtgRatesDataTable8[[#This Row],[WA CC]]&lt;&gt;0,C3225-CurrentMtgRatesDataTable8[[#This Row],[WA CC]],0)</f>
        <v>0</v>
      </c>
      <c r="L3226" s="70">
        <f>IF(CurrentMtgRatesDataTable8[[#This Row],[Servicing Spread]]&lt;=0,L3225,CurrentMtgRatesDataTable8[[#This Row],[Servicing Spread]])</f>
        <v>0.90588785273436301</v>
      </c>
      <c r="M3226" s="70">
        <f>CurrentMtgRatesDataTable8[[#This Row],[Servicing Spread Non-Zero]]-L3225</f>
        <v>0</v>
      </c>
      <c r="N3226" s="70">
        <f>IF(J3225&lt;&gt;0,CurrentMtgRatesDataTable8[[#This Row],[Rate]]-C3225,N3225)</f>
        <v>2.4999999999999911E-2</v>
      </c>
    </row>
    <row r="3227" spans="1:14">
      <c r="A3227" s="67" t="s">
        <v>1190</v>
      </c>
      <c r="B3227" s="68">
        <v>2.5031538447013899</v>
      </c>
      <c r="C3227" s="69">
        <v>3.395</v>
      </c>
      <c r="D3227" s="70">
        <f t="shared" si="350"/>
        <v>2</v>
      </c>
      <c r="E3227" s="70">
        <f t="shared" si="351"/>
        <v>0.2</v>
      </c>
      <c r="F3227" s="70">
        <f t="shared" si="352"/>
        <v>2</v>
      </c>
      <c r="G3227" s="70">
        <f t="shared" si="353"/>
        <v>0.99196494104225996</v>
      </c>
      <c r="H3227" s="70">
        <f t="shared" si="354"/>
        <v>0.4</v>
      </c>
      <c r="I3227" s="70">
        <f t="shared" si="355"/>
        <v>0</v>
      </c>
      <c r="J3227" s="70">
        <f t="shared" si="356"/>
        <v>0</v>
      </c>
      <c r="K3227" s="70">
        <f>IF(CurrentMtgRatesDataTable8[[#This Row],[WA CC]]&lt;&gt;0,C3226-CurrentMtgRatesDataTable8[[#This Row],[WA CC]],0)</f>
        <v>0</v>
      </c>
      <c r="L3227" s="70">
        <f>IF(CurrentMtgRatesDataTable8[[#This Row],[Servicing Spread]]&lt;=0,L3226,CurrentMtgRatesDataTable8[[#This Row],[Servicing Spread]])</f>
        <v>0.90588785273436301</v>
      </c>
      <c r="M3227" s="70">
        <f>CurrentMtgRatesDataTable8[[#This Row],[Servicing Spread Non-Zero]]-L3226</f>
        <v>0</v>
      </c>
      <c r="N3227" s="70">
        <f>IF(J3226&lt;&gt;0,CurrentMtgRatesDataTable8[[#This Row],[Rate]]-C3226,N3226)</f>
        <v>2.4999999999999911E-2</v>
      </c>
    </row>
    <row r="3228" spans="1:14">
      <c r="A3228" s="67" t="s">
        <v>1191</v>
      </c>
      <c r="B3228" s="68">
        <v>2.48665049817154</v>
      </c>
      <c r="C3228" s="69">
        <v>3.395</v>
      </c>
      <c r="D3228" s="70">
        <f t="shared" si="350"/>
        <v>5</v>
      </c>
      <c r="E3228" s="70">
        <f t="shared" si="351"/>
        <v>0.2</v>
      </c>
      <c r="F3228" s="70">
        <f t="shared" si="352"/>
        <v>3</v>
      </c>
      <c r="G3228" s="70">
        <f t="shared" si="353"/>
        <v>1.4892950406765679</v>
      </c>
      <c r="H3228" s="70">
        <f t="shared" si="354"/>
        <v>0.60000000000000009</v>
      </c>
      <c r="I3228" s="70">
        <f t="shared" si="355"/>
        <v>0</v>
      </c>
      <c r="J3228" s="70">
        <f t="shared" si="356"/>
        <v>0</v>
      </c>
      <c r="K3228" s="70">
        <f>IF(CurrentMtgRatesDataTable8[[#This Row],[WA CC]]&lt;&gt;0,C3227-CurrentMtgRatesDataTable8[[#This Row],[WA CC]],0)</f>
        <v>0</v>
      </c>
      <c r="L3228" s="70">
        <f>IF(CurrentMtgRatesDataTable8[[#This Row],[Servicing Spread]]&lt;=0,L3227,CurrentMtgRatesDataTable8[[#This Row],[Servicing Spread]])</f>
        <v>0.90588785273436301</v>
      </c>
      <c r="M3228" s="70">
        <f>CurrentMtgRatesDataTable8[[#This Row],[Servicing Spread Non-Zero]]-L3227</f>
        <v>0</v>
      </c>
      <c r="N3228" s="70">
        <f>IF(J3227&lt;&gt;0,CurrentMtgRatesDataTable8[[#This Row],[Rate]]-C3227,N3227)</f>
        <v>2.4999999999999911E-2</v>
      </c>
    </row>
    <row r="3229" spans="1:14">
      <c r="A3229" s="67" t="s">
        <v>1192</v>
      </c>
      <c r="B3229" s="68">
        <v>2.46551867128733</v>
      </c>
      <c r="C3229" s="69">
        <v>3.395</v>
      </c>
      <c r="D3229" s="70">
        <f t="shared" si="350"/>
        <v>6</v>
      </c>
      <c r="E3229" s="70">
        <f t="shared" si="351"/>
        <v>0.2</v>
      </c>
      <c r="F3229" s="70">
        <f t="shared" si="352"/>
        <v>4</v>
      </c>
      <c r="G3229" s="70">
        <f t="shared" si="353"/>
        <v>1.9823987749340339</v>
      </c>
      <c r="H3229" s="70">
        <f t="shared" si="354"/>
        <v>0.8</v>
      </c>
      <c r="I3229" s="70">
        <f t="shared" si="355"/>
        <v>0</v>
      </c>
      <c r="J3229" s="70">
        <f t="shared" si="356"/>
        <v>0</v>
      </c>
      <c r="K3229" s="70">
        <f>IF(CurrentMtgRatesDataTable8[[#This Row],[WA CC]]&lt;&gt;0,C3228-CurrentMtgRatesDataTable8[[#This Row],[WA CC]],0)</f>
        <v>0</v>
      </c>
      <c r="L3229" s="70">
        <f>IF(CurrentMtgRatesDataTable8[[#This Row],[Servicing Spread]]&lt;=0,L3228,CurrentMtgRatesDataTable8[[#This Row],[Servicing Spread]])</f>
        <v>0.90588785273436301</v>
      </c>
      <c r="M3229" s="70">
        <f>CurrentMtgRatesDataTable8[[#This Row],[Servicing Spread Non-Zero]]-L3228</f>
        <v>0</v>
      </c>
      <c r="N3229" s="70">
        <f>IF(J3228&lt;&gt;0,CurrentMtgRatesDataTable8[[#This Row],[Rate]]-C3228,N3228)</f>
        <v>2.4999999999999911E-2</v>
      </c>
    </row>
    <row r="3230" spans="1:14">
      <c r="A3230" s="67" t="s">
        <v>1193</v>
      </c>
      <c r="B3230" s="68">
        <v>2.4639577006004401</v>
      </c>
      <c r="C3230" s="69">
        <v>3.395</v>
      </c>
      <c r="D3230" s="70">
        <f t="shared" si="350"/>
        <v>7</v>
      </c>
      <c r="E3230" s="70">
        <f t="shared" si="351"/>
        <v>0.2</v>
      </c>
      <c r="F3230" s="70">
        <f t="shared" si="352"/>
        <v>5</v>
      </c>
      <c r="G3230" s="70">
        <f t="shared" si="353"/>
        <v>2.4751903150541219</v>
      </c>
      <c r="H3230" s="70">
        <f t="shared" si="354"/>
        <v>1</v>
      </c>
      <c r="I3230" s="70">
        <f t="shared" si="355"/>
        <v>1</v>
      </c>
      <c r="J3230" s="70">
        <f t="shared" si="356"/>
        <v>2.4751903150541219</v>
      </c>
      <c r="K3230" s="70">
        <f>IF(CurrentMtgRatesDataTable8[[#This Row],[WA CC]]&lt;&gt;0,C3229-CurrentMtgRatesDataTable8[[#This Row],[WA CC]],0)</f>
        <v>0.91980968494587811</v>
      </c>
      <c r="L3230" s="70">
        <f>IF(CurrentMtgRatesDataTable8[[#This Row],[Servicing Spread]]&lt;=0,L3229,CurrentMtgRatesDataTable8[[#This Row],[Servicing Spread]])</f>
        <v>0.91980968494587811</v>
      </c>
      <c r="M3230" s="70">
        <f>CurrentMtgRatesDataTable8[[#This Row],[Servicing Spread Non-Zero]]-L3229</f>
        <v>1.3921832211515106E-2</v>
      </c>
      <c r="N3230" s="70">
        <f>IF(J3229&lt;&gt;0,CurrentMtgRatesDataTable8[[#This Row],[Rate]]-C3229,N3229)</f>
        <v>2.4999999999999911E-2</v>
      </c>
    </row>
    <row r="3231" spans="1:14">
      <c r="A3231" s="67" t="s">
        <v>1194</v>
      </c>
      <c r="B3231" s="68">
        <v>2.45827138639036</v>
      </c>
      <c r="C3231" s="69">
        <v>3.37</v>
      </c>
      <c r="D3231" s="70">
        <f t="shared" si="350"/>
        <v>1</v>
      </c>
      <c r="E3231" s="70">
        <f t="shared" si="351"/>
        <v>0.2</v>
      </c>
      <c r="F3231" s="70">
        <f t="shared" si="352"/>
        <v>1</v>
      </c>
      <c r="G3231" s="70">
        <f t="shared" si="353"/>
        <v>0.49165427727807204</v>
      </c>
      <c r="H3231" s="70">
        <f t="shared" si="354"/>
        <v>0.2</v>
      </c>
      <c r="I3231" s="70">
        <f t="shared" si="355"/>
        <v>0</v>
      </c>
      <c r="J3231" s="70">
        <f t="shared" si="356"/>
        <v>0</v>
      </c>
      <c r="K3231" s="70">
        <f>IF(CurrentMtgRatesDataTable8[[#This Row],[WA CC]]&lt;&gt;0,C3230-CurrentMtgRatesDataTable8[[#This Row],[WA CC]],0)</f>
        <v>0</v>
      </c>
      <c r="L3231" s="70">
        <f>IF(CurrentMtgRatesDataTable8[[#This Row],[Servicing Spread]]&lt;=0,L3230,CurrentMtgRatesDataTable8[[#This Row],[Servicing Spread]])</f>
        <v>0.91980968494587811</v>
      </c>
      <c r="M3231" s="70">
        <f>CurrentMtgRatesDataTable8[[#This Row],[Servicing Spread Non-Zero]]-L3230</f>
        <v>0</v>
      </c>
      <c r="N3231" s="70">
        <f>IF(J3230&lt;&gt;0,CurrentMtgRatesDataTable8[[#This Row],[Rate]]-C3230,N3230)</f>
        <v>-2.4999999999999911E-2</v>
      </c>
    </row>
    <row r="3232" spans="1:14">
      <c r="A3232" s="67" t="s">
        <v>1195</v>
      </c>
      <c r="B3232" s="68">
        <v>2.4486777045586599</v>
      </c>
      <c r="C3232" s="69">
        <v>3.37</v>
      </c>
      <c r="D3232" s="70">
        <f t="shared" si="350"/>
        <v>2</v>
      </c>
      <c r="E3232" s="70">
        <f t="shared" si="351"/>
        <v>0.2</v>
      </c>
      <c r="F3232" s="70">
        <f t="shared" si="352"/>
        <v>2</v>
      </c>
      <c r="G3232" s="70">
        <f t="shared" si="353"/>
        <v>0.98138981818980398</v>
      </c>
      <c r="H3232" s="70">
        <f t="shared" si="354"/>
        <v>0.4</v>
      </c>
      <c r="I3232" s="70">
        <f t="shared" si="355"/>
        <v>0</v>
      </c>
      <c r="J3232" s="70">
        <f t="shared" si="356"/>
        <v>0</v>
      </c>
      <c r="K3232" s="70">
        <f>IF(CurrentMtgRatesDataTable8[[#This Row],[WA CC]]&lt;&gt;0,C3231-CurrentMtgRatesDataTable8[[#This Row],[WA CC]],0)</f>
        <v>0</v>
      </c>
      <c r="L3232" s="70">
        <f>IF(CurrentMtgRatesDataTable8[[#This Row],[Servicing Spread]]&lt;=0,L3231,CurrentMtgRatesDataTable8[[#This Row],[Servicing Spread]])</f>
        <v>0.91980968494587811</v>
      </c>
      <c r="M3232" s="70">
        <f>CurrentMtgRatesDataTable8[[#This Row],[Servicing Spread Non-Zero]]-L3231</f>
        <v>0</v>
      </c>
      <c r="N3232" s="70">
        <f>IF(J3231&lt;&gt;0,CurrentMtgRatesDataTable8[[#This Row],[Rate]]-C3231,N3231)</f>
        <v>-2.4999999999999911E-2</v>
      </c>
    </row>
    <row r="3233" spans="1:14">
      <c r="A3233" s="67" t="s">
        <v>1196</v>
      </c>
      <c r="B3233" s="68">
        <v>2.46526496945889</v>
      </c>
      <c r="C3233" s="69">
        <v>3.37</v>
      </c>
      <c r="D3233" s="70">
        <f t="shared" si="350"/>
        <v>5</v>
      </c>
      <c r="E3233" s="70">
        <f t="shared" si="351"/>
        <v>0.2</v>
      </c>
      <c r="F3233" s="70">
        <f t="shared" si="352"/>
        <v>3</v>
      </c>
      <c r="G3233" s="70">
        <f t="shared" si="353"/>
        <v>1.474442812081582</v>
      </c>
      <c r="H3233" s="70">
        <f t="shared" si="354"/>
        <v>0.60000000000000009</v>
      </c>
      <c r="I3233" s="70">
        <f t="shared" si="355"/>
        <v>0</v>
      </c>
      <c r="J3233" s="70">
        <f t="shared" si="356"/>
        <v>0</v>
      </c>
      <c r="K3233" s="70">
        <f>IF(CurrentMtgRatesDataTable8[[#This Row],[WA CC]]&lt;&gt;0,C3232-CurrentMtgRatesDataTable8[[#This Row],[WA CC]],0)</f>
        <v>0</v>
      </c>
      <c r="L3233" s="70">
        <f>IF(CurrentMtgRatesDataTable8[[#This Row],[Servicing Spread]]&lt;=0,L3232,CurrentMtgRatesDataTable8[[#This Row],[Servicing Spread]])</f>
        <v>0.91980968494587811</v>
      </c>
      <c r="M3233" s="70">
        <f>CurrentMtgRatesDataTable8[[#This Row],[Servicing Spread Non-Zero]]-L3232</f>
        <v>0</v>
      </c>
      <c r="N3233" s="70">
        <f>IF(J3232&lt;&gt;0,CurrentMtgRatesDataTable8[[#This Row],[Rate]]-C3232,N3232)</f>
        <v>-2.4999999999999911E-2</v>
      </c>
    </row>
    <row r="3234" spans="1:14">
      <c r="A3234" s="67" t="s">
        <v>1197</v>
      </c>
      <c r="B3234" s="68">
        <v>2.4661306434007502</v>
      </c>
      <c r="C3234" s="69">
        <v>3.37</v>
      </c>
      <c r="D3234" s="70">
        <f t="shared" si="350"/>
        <v>6</v>
      </c>
      <c r="E3234" s="70">
        <f t="shared" si="351"/>
        <v>0.2</v>
      </c>
      <c r="F3234" s="70">
        <f t="shared" si="352"/>
        <v>4</v>
      </c>
      <c r="G3234" s="70">
        <f t="shared" si="353"/>
        <v>1.967668940761732</v>
      </c>
      <c r="H3234" s="70">
        <f t="shared" si="354"/>
        <v>0.8</v>
      </c>
      <c r="I3234" s="70">
        <f t="shared" si="355"/>
        <v>0</v>
      </c>
      <c r="J3234" s="70">
        <f t="shared" si="356"/>
        <v>0</v>
      </c>
      <c r="K3234" s="70">
        <f>IF(CurrentMtgRatesDataTable8[[#This Row],[WA CC]]&lt;&gt;0,C3233-CurrentMtgRatesDataTable8[[#This Row],[WA CC]],0)</f>
        <v>0</v>
      </c>
      <c r="L3234" s="70">
        <f>IF(CurrentMtgRatesDataTable8[[#This Row],[Servicing Spread]]&lt;=0,L3233,CurrentMtgRatesDataTable8[[#This Row],[Servicing Spread]])</f>
        <v>0.91980968494587811</v>
      </c>
      <c r="M3234" s="70">
        <f>CurrentMtgRatesDataTable8[[#This Row],[Servicing Spread Non-Zero]]-L3233</f>
        <v>0</v>
      </c>
      <c r="N3234" s="70">
        <f>IF(J3233&lt;&gt;0,CurrentMtgRatesDataTable8[[#This Row],[Rate]]-C3233,N3233)</f>
        <v>-2.4999999999999911E-2</v>
      </c>
    </row>
    <row r="3235" spans="1:14">
      <c r="A3235" s="67" t="s">
        <v>1198</v>
      </c>
      <c r="B3235" s="68">
        <v>2.4860574973773799</v>
      </c>
      <c r="C3235" s="69">
        <v>3.37</v>
      </c>
      <c r="D3235" s="70">
        <f t="shared" si="350"/>
        <v>7</v>
      </c>
      <c r="E3235" s="70">
        <f t="shared" si="351"/>
        <v>0.2</v>
      </c>
      <c r="F3235" s="70">
        <f t="shared" si="352"/>
        <v>5</v>
      </c>
      <c r="G3235" s="70">
        <f t="shared" si="353"/>
        <v>2.464880440237208</v>
      </c>
      <c r="H3235" s="70">
        <f t="shared" si="354"/>
        <v>1</v>
      </c>
      <c r="I3235" s="70">
        <f t="shared" si="355"/>
        <v>1</v>
      </c>
      <c r="J3235" s="70">
        <f t="shared" si="356"/>
        <v>2.464880440237208</v>
      </c>
      <c r="K3235" s="70">
        <f>IF(CurrentMtgRatesDataTable8[[#This Row],[WA CC]]&lt;&gt;0,C3234-CurrentMtgRatesDataTable8[[#This Row],[WA CC]],0)</f>
        <v>0.90511955976279213</v>
      </c>
      <c r="L3235" s="70">
        <f>IF(CurrentMtgRatesDataTable8[[#This Row],[Servicing Spread]]&lt;=0,L3234,CurrentMtgRatesDataTable8[[#This Row],[Servicing Spread]])</f>
        <v>0.90511955976279213</v>
      </c>
      <c r="M3235" s="70">
        <f>CurrentMtgRatesDataTable8[[#This Row],[Servicing Spread Non-Zero]]-L3234</f>
        <v>-1.4690125183085989E-2</v>
      </c>
      <c r="N3235" s="70">
        <f>IF(J3234&lt;&gt;0,CurrentMtgRatesDataTable8[[#This Row],[Rate]]-C3234,N3234)</f>
        <v>-2.4999999999999911E-2</v>
      </c>
    </row>
    <row r="3236" spans="1:14">
      <c r="A3236" s="67" t="s">
        <v>1200</v>
      </c>
      <c r="B3236" s="68">
        <v>2.5299104688545802</v>
      </c>
      <c r="C3236" s="69">
        <v>3.415</v>
      </c>
      <c r="D3236" s="70">
        <f t="shared" si="350"/>
        <v>1</v>
      </c>
      <c r="E3236" s="70">
        <f t="shared" si="351"/>
        <v>0.2</v>
      </c>
      <c r="F3236" s="70">
        <f t="shared" si="352"/>
        <v>1</v>
      </c>
      <c r="G3236" s="70">
        <f t="shared" si="353"/>
        <v>0.50598209377091607</v>
      </c>
      <c r="H3236" s="70">
        <f t="shared" si="354"/>
        <v>0.2</v>
      </c>
      <c r="I3236" s="70">
        <f t="shared" si="355"/>
        <v>0</v>
      </c>
      <c r="J3236" s="70">
        <f t="shared" si="356"/>
        <v>0</v>
      </c>
      <c r="K3236" s="70">
        <f>IF(CurrentMtgRatesDataTable8[[#This Row],[WA CC]]&lt;&gt;0,C3235-CurrentMtgRatesDataTable8[[#This Row],[WA CC]],0)</f>
        <v>0</v>
      </c>
      <c r="L3236" s="70">
        <f>IF(CurrentMtgRatesDataTable8[[#This Row],[Servicing Spread]]&lt;=0,L3235,CurrentMtgRatesDataTable8[[#This Row],[Servicing Spread]])</f>
        <v>0.90511955976279213</v>
      </c>
      <c r="M3236" s="70">
        <f>CurrentMtgRatesDataTable8[[#This Row],[Servicing Spread Non-Zero]]-L3235</f>
        <v>0</v>
      </c>
      <c r="N3236" s="70">
        <f>IF(J3235&lt;&gt;0,CurrentMtgRatesDataTable8[[#This Row],[Rate]]-C3235,N3235)</f>
        <v>4.4999999999999929E-2</v>
      </c>
    </row>
    <row r="3237" spans="1:14">
      <c r="A3237" s="67" t="s">
        <v>1201</v>
      </c>
      <c r="B3237" s="68">
        <v>2.53316437266355</v>
      </c>
      <c r="C3237" s="69">
        <v>3.415</v>
      </c>
      <c r="D3237" s="70">
        <f t="shared" si="350"/>
        <v>2</v>
      </c>
      <c r="E3237" s="70">
        <f t="shared" si="351"/>
        <v>0.2</v>
      </c>
      <c r="F3237" s="70">
        <f t="shared" si="352"/>
        <v>2</v>
      </c>
      <c r="G3237" s="70">
        <f t="shared" si="353"/>
        <v>1.0126149683036261</v>
      </c>
      <c r="H3237" s="70">
        <f t="shared" si="354"/>
        <v>0.4</v>
      </c>
      <c r="I3237" s="70">
        <f t="shared" si="355"/>
        <v>0</v>
      </c>
      <c r="J3237" s="70">
        <f t="shared" si="356"/>
        <v>0</v>
      </c>
      <c r="K3237" s="70">
        <f>IF(CurrentMtgRatesDataTable8[[#This Row],[WA CC]]&lt;&gt;0,C3236-CurrentMtgRatesDataTable8[[#This Row],[WA CC]],0)</f>
        <v>0</v>
      </c>
      <c r="L3237" s="70">
        <f>IF(CurrentMtgRatesDataTable8[[#This Row],[Servicing Spread]]&lt;=0,L3236,CurrentMtgRatesDataTable8[[#This Row],[Servicing Spread]])</f>
        <v>0.90511955976279213</v>
      </c>
      <c r="M3237" s="70">
        <f>CurrentMtgRatesDataTable8[[#This Row],[Servicing Spread Non-Zero]]-L3236</f>
        <v>0</v>
      </c>
      <c r="N3237" s="70">
        <f>IF(J3236&lt;&gt;0,CurrentMtgRatesDataTable8[[#This Row],[Rate]]-C3236,N3236)</f>
        <v>4.4999999999999929E-2</v>
      </c>
    </row>
    <row r="3238" spans="1:14">
      <c r="A3238" s="67" t="s">
        <v>1202</v>
      </c>
      <c r="B3238" s="68">
        <v>2.5336094696522</v>
      </c>
      <c r="C3238" s="69">
        <v>3.415</v>
      </c>
      <c r="D3238" s="70">
        <f t="shared" si="350"/>
        <v>5</v>
      </c>
      <c r="E3238" s="70">
        <f t="shared" si="351"/>
        <v>0.2</v>
      </c>
      <c r="F3238" s="70">
        <f t="shared" si="352"/>
        <v>3</v>
      </c>
      <c r="G3238" s="70">
        <f t="shared" si="353"/>
        <v>1.5193368622340659</v>
      </c>
      <c r="H3238" s="70">
        <f t="shared" si="354"/>
        <v>0.60000000000000009</v>
      </c>
      <c r="I3238" s="70">
        <f t="shared" si="355"/>
        <v>0</v>
      </c>
      <c r="J3238" s="70">
        <f t="shared" si="356"/>
        <v>0</v>
      </c>
      <c r="K3238" s="70">
        <f>IF(CurrentMtgRatesDataTable8[[#This Row],[WA CC]]&lt;&gt;0,C3237-CurrentMtgRatesDataTable8[[#This Row],[WA CC]],0)</f>
        <v>0</v>
      </c>
      <c r="L3238" s="70">
        <f>IF(CurrentMtgRatesDataTable8[[#This Row],[Servicing Spread]]&lt;=0,L3237,CurrentMtgRatesDataTable8[[#This Row],[Servicing Spread]])</f>
        <v>0.90511955976279213</v>
      </c>
      <c r="M3238" s="70">
        <f>CurrentMtgRatesDataTable8[[#This Row],[Servicing Spread Non-Zero]]-L3237</f>
        <v>0</v>
      </c>
      <c r="N3238" s="70">
        <f>IF(J3237&lt;&gt;0,CurrentMtgRatesDataTable8[[#This Row],[Rate]]-C3237,N3237)</f>
        <v>4.4999999999999929E-2</v>
      </c>
    </row>
    <row r="3239" spans="1:14">
      <c r="A3239" s="67" t="s">
        <v>1203</v>
      </c>
      <c r="B3239" s="68">
        <v>2.5296440225789101</v>
      </c>
      <c r="C3239" s="69">
        <v>3.415</v>
      </c>
      <c r="D3239" s="70">
        <f t="shared" si="350"/>
        <v>6</v>
      </c>
      <c r="E3239" s="70">
        <f t="shared" si="351"/>
        <v>0.2</v>
      </c>
      <c r="F3239" s="70">
        <f t="shared" si="352"/>
        <v>4</v>
      </c>
      <c r="G3239" s="70">
        <f t="shared" si="353"/>
        <v>2.0252656667498479</v>
      </c>
      <c r="H3239" s="70">
        <f t="shared" si="354"/>
        <v>0.8</v>
      </c>
      <c r="I3239" s="70">
        <f t="shared" si="355"/>
        <v>0</v>
      </c>
      <c r="J3239" s="70">
        <f t="shared" si="356"/>
        <v>0</v>
      </c>
      <c r="K3239" s="70">
        <f>IF(CurrentMtgRatesDataTable8[[#This Row],[WA CC]]&lt;&gt;0,C3238-CurrentMtgRatesDataTable8[[#This Row],[WA CC]],0)</f>
        <v>0</v>
      </c>
      <c r="L3239" s="70">
        <f>IF(CurrentMtgRatesDataTable8[[#This Row],[Servicing Spread]]&lt;=0,L3238,CurrentMtgRatesDataTable8[[#This Row],[Servicing Spread]])</f>
        <v>0.90511955976279213</v>
      </c>
      <c r="M3239" s="70">
        <f>CurrentMtgRatesDataTable8[[#This Row],[Servicing Spread Non-Zero]]-L3238</f>
        <v>0</v>
      </c>
      <c r="N3239" s="70">
        <f>IF(J3238&lt;&gt;0,CurrentMtgRatesDataTable8[[#This Row],[Rate]]-C3238,N3238)</f>
        <v>4.4999999999999929E-2</v>
      </c>
    </row>
    <row r="3240" spans="1:14">
      <c r="A3240" s="67" t="s">
        <v>1204</v>
      </c>
      <c r="B3240" s="68">
        <v>2.52426864553397</v>
      </c>
      <c r="C3240" s="69">
        <v>3.415</v>
      </c>
      <c r="D3240" s="70">
        <f t="shared" si="350"/>
        <v>7</v>
      </c>
      <c r="E3240" s="70">
        <f t="shared" si="351"/>
        <v>0.2</v>
      </c>
      <c r="F3240" s="70">
        <f t="shared" si="352"/>
        <v>5</v>
      </c>
      <c r="G3240" s="70">
        <f t="shared" si="353"/>
        <v>2.5301193958566417</v>
      </c>
      <c r="H3240" s="70">
        <f t="shared" si="354"/>
        <v>1</v>
      </c>
      <c r="I3240" s="70">
        <f t="shared" si="355"/>
        <v>1</v>
      </c>
      <c r="J3240" s="70">
        <f t="shared" si="356"/>
        <v>2.5301193958566417</v>
      </c>
      <c r="K3240" s="70">
        <f>IF(CurrentMtgRatesDataTable8[[#This Row],[WA CC]]&lt;&gt;0,C3239-CurrentMtgRatesDataTable8[[#This Row],[WA CC]],0)</f>
        <v>0.88488060414335834</v>
      </c>
      <c r="L3240" s="70">
        <f>IF(CurrentMtgRatesDataTable8[[#This Row],[Servicing Spread]]&lt;=0,L3239,CurrentMtgRatesDataTable8[[#This Row],[Servicing Spread]])</f>
        <v>0.88488060414335834</v>
      </c>
      <c r="M3240" s="70">
        <f>CurrentMtgRatesDataTable8[[#This Row],[Servicing Spread Non-Zero]]-L3239</f>
        <v>-2.0238955619433785E-2</v>
      </c>
      <c r="N3240" s="70">
        <f>IF(J3239&lt;&gt;0,CurrentMtgRatesDataTable8[[#This Row],[Rate]]-C3239,N3239)</f>
        <v>4.4999999999999929E-2</v>
      </c>
    </row>
    <row r="3241" spans="1:14">
      <c r="A3241" s="67" t="s">
        <v>1205</v>
      </c>
      <c r="B3241" s="68">
        <v>2.53251832650023</v>
      </c>
      <c r="C3241" s="69">
        <v>3.4449999999999998</v>
      </c>
      <c r="D3241" s="70">
        <f t="shared" si="350"/>
        <v>1</v>
      </c>
      <c r="E3241" s="70">
        <f t="shared" si="351"/>
        <v>0.2</v>
      </c>
      <c r="F3241" s="70">
        <f t="shared" si="352"/>
        <v>1</v>
      </c>
      <c r="G3241" s="70">
        <f t="shared" si="353"/>
        <v>0.50650366530004598</v>
      </c>
      <c r="H3241" s="70">
        <f t="shared" si="354"/>
        <v>0.2</v>
      </c>
      <c r="I3241" s="70">
        <f t="shared" si="355"/>
        <v>0</v>
      </c>
      <c r="J3241" s="70">
        <f t="shared" si="356"/>
        <v>0</v>
      </c>
      <c r="K3241" s="70">
        <f>IF(CurrentMtgRatesDataTable8[[#This Row],[WA CC]]&lt;&gt;0,C3240-CurrentMtgRatesDataTable8[[#This Row],[WA CC]],0)</f>
        <v>0</v>
      </c>
      <c r="L3241" s="70">
        <f>IF(CurrentMtgRatesDataTable8[[#This Row],[Servicing Spread]]&lt;=0,L3240,CurrentMtgRatesDataTable8[[#This Row],[Servicing Spread]])</f>
        <v>0.88488060414335834</v>
      </c>
      <c r="M3241" s="70">
        <f>CurrentMtgRatesDataTable8[[#This Row],[Servicing Spread Non-Zero]]-L3240</f>
        <v>0</v>
      </c>
      <c r="N3241" s="70">
        <f>IF(J3240&lt;&gt;0,CurrentMtgRatesDataTable8[[#This Row],[Rate]]-C3240,N3240)</f>
        <v>2.9999999999999805E-2</v>
      </c>
    </row>
    <row r="3242" spans="1:14">
      <c r="A3242" s="67" t="s">
        <v>1206</v>
      </c>
      <c r="B3242" s="68">
        <v>2.5169810735830902</v>
      </c>
      <c r="C3242" s="69">
        <v>3.4449999999999998</v>
      </c>
      <c r="D3242" s="70">
        <f t="shared" si="350"/>
        <v>2</v>
      </c>
      <c r="E3242" s="70">
        <f t="shared" si="351"/>
        <v>0.2</v>
      </c>
      <c r="F3242" s="70">
        <f t="shared" si="352"/>
        <v>2</v>
      </c>
      <c r="G3242" s="70">
        <f t="shared" si="353"/>
        <v>1.0098998800166641</v>
      </c>
      <c r="H3242" s="70">
        <f t="shared" si="354"/>
        <v>0.4</v>
      </c>
      <c r="I3242" s="70">
        <f t="shared" si="355"/>
        <v>0</v>
      </c>
      <c r="J3242" s="70">
        <f t="shared" si="356"/>
        <v>0</v>
      </c>
      <c r="K3242" s="70">
        <f>IF(CurrentMtgRatesDataTable8[[#This Row],[WA CC]]&lt;&gt;0,C3241-CurrentMtgRatesDataTable8[[#This Row],[WA CC]],0)</f>
        <v>0</v>
      </c>
      <c r="L3242" s="70">
        <f>IF(CurrentMtgRatesDataTable8[[#This Row],[Servicing Spread]]&lt;=0,L3241,CurrentMtgRatesDataTable8[[#This Row],[Servicing Spread]])</f>
        <v>0.88488060414335834</v>
      </c>
      <c r="M3242" s="70">
        <f>CurrentMtgRatesDataTable8[[#This Row],[Servicing Spread Non-Zero]]-L3241</f>
        <v>0</v>
      </c>
      <c r="N3242" s="70">
        <f>IF(J3241&lt;&gt;0,CurrentMtgRatesDataTable8[[#This Row],[Rate]]-C3241,N3241)</f>
        <v>2.9999999999999805E-2</v>
      </c>
    </row>
    <row r="3243" spans="1:14">
      <c r="A3243" s="67" t="s">
        <v>1207</v>
      </c>
      <c r="B3243" s="68">
        <v>2.5437510721177499</v>
      </c>
      <c r="C3243" s="69">
        <v>3.4449999999999998</v>
      </c>
      <c r="D3243" s="70">
        <f t="shared" si="350"/>
        <v>5</v>
      </c>
      <c r="E3243" s="70">
        <f t="shared" si="351"/>
        <v>0.2</v>
      </c>
      <c r="F3243" s="70">
        <f t="shared" si="352"/>
        <v>3</v>
      </c>
      <c r="G3243" s="70">
        <f t="shared" si="353"/>
        <v>1.5186500944402139</v>
      </c>
      <c r="H3243" s="70">
        <f t="shared" si="354"/>
        <v>0.60000000000000009</v>
      </c>
      <c r="I3243" s="70">
        <f t="shared" si="355"/>
        <v>0</v>
      </c>
      <c r="J3243" s="70">
        <f t="shared" si="356"/>
        <v>0</v>
      </c>
      <c r="K3243" s="70">
        <f>IF(CurrentMtgRatesDataTable8[[#This Row],[WA CC]]&lt;&gt;0,C3242-CurrentMtgRatesDataTable8[[#This Row],[WA CC]],0)</f>
        <v>0</v>
      </c>
      <c r="L3243" s="70">
        <f>IF(CurrentMtgRatesDataTable8[[#This Row],[Servicing Spread]]&lt;=0,L3242,CurrentMtgRatesDataTable8[[#This Row],[Servicing Spread]])</f>
        <v>0.88488060414335834</v>
      </c>
      <c r="M3243" s="70">
        <f>CurrentMtgRatesDataTable8[[#This Row],[Servicing Spread Non-Zero]]-L3242</f>
        <v>0</v>
      </c>
      <c r="N3243" s="70">
        <f>IF(J3242&lt;&gt;0,CurrentMtgRatesDataTable8[[#This Row],[Rate]]-C3242,N3242)</f>
        <v>2.9999999999999805E-2</v>
      </c>
    </row>
    <row r="3244" spans="1:14">
      <c r="A3244" s="67" t="s">
        <v>1208</v>
      </c>
      <c r="B3244" s="68">
        <v>2.5815492501069399</v>
      </c>
      <c r="C3244" s="69">
        <v>3.4449999999999998</v>
      </c>
      <c r="D3244" s="70">
        <f t="shared" si="350"/>
        <v>6</v>
      </c>
      <c r="E3244" s="70">
        <f t="shared" si="351"/>
        <v>0.2</v>
      </c>
      <c r="F3244" s="70">
        <f t="shared" si="352"/>
        <v>4</v>
      </c>
      <c r="G3244" s="70">
        <f t="shared" si="353"/>
        <v>2.034959944461602</v>
      </c>
      <c r="H3244" s="70">
        <f t="shared" si="354"/>
        <v>0.8</v>
      </c>
      <c r="I3244" s="70">
        <f t="shared" si="355"/>
        <v>0</v>
      </c>
      <c r="J3244" s="70">
        <f t="shared" si="356"/>
        <v>0</v>
      </c>
      <c r="K3244" s="70">
        <f>IF(CurrentMtgRatesDataTable8[[#This Row],[WA CC]]&lt;&gt;0,C3243-CurrentMtgRatesDataTable8[[#This Row],[WA CC]],0)</f>
        <v>0</v>
      </c>
      <c r="L3244" s="70">
        <f>IF(CurrentMtgRatesDataTable8[[#This Row],[Servicing Spread]]&lt;=0,L3243,CurrentMtgRatesDataTable8[[#This Row],[Servicing Spread]])</f>
        <v>0.88488060414335834</v>
      </c>
      <c r="M3244" s="70">
        <f>CurrentMtgRatesDataTable8[[#This Row],[Servicing Spread Non-Zero]]-L3243</f>
        <v>0</v>
      </c>
      <c r="N3244" s="70">
        <f>IF(J3243&lt;&gt;0,CurrentMtgRatesDataTable8[[#This Row],[Rate]]-C3243,N3243)</f>
        <v>2.9999999999999805E-2</v>
      </c>
    </row>
    <row r="3245" spans="1:14">
      <c r="A3245" s="67" t="s">
        <v>1209</v>
      </c>
      <c r="B3245" s="68">
        <v>2.7578334689679198</v>
      </c>
      <c r="C3245" s="69">
        <v>3.4449999999999998</v>
      </c>
      <c r="D3245" s="70">
        <f t="shared" si="350"/>
        <v>7</v>
      </c>
      <c r="E3245" s="70">
        <f t="shared" si="351"/>
        <v>0.2</v>
      </c>
      <c r="F3245" s="70">
        <f t="shared" si="352"/>
        <v>5</v>
      </c>
      <c r="G3245" s="70">
        <f t="shared" si="353"/>
        <v>2.5865266382551861</v>
      </c>
      <c r="H3245" s="70">
        <f t="shared" si="354"/>
        <v>1</v>
      </c>
      <c r="I3245" s="70">
        <f t="shared" si="355"/>
        <v>1</v>
      </c>
      <c r="J3245" s="70">
        <f t="shared" si="356"/>
        <v>2.5865266382551861</v>
      </c>
      <c r="K3245" s="70">
        <f>IF(CurrentMtgRatesDataTable8[[#This Row],[WA CC]]&lt;&gt;0,C3244-CurrentMtgRatesDataTable8[[#This Row],[WA CC]],0)</f>
        <v>0.8584733617448137</v>
      </c>
      <c r="L3245" s="70">
        <f>IF(CurrentMtgRatesDataTable8[[#This Row],[Servicing Spread]]&lt;=0,L3244,CurrentMtgRatesDataTable8[[#This Row],[Servicing Spread]])</f>
        <v>0.8584733617448137</v>
      </c>
      <c r="M3245" s="70">
        <f>CurrentMtgRatesDataTable8[[#This Row],[Servicing Spread Non-Zero]]-L3244</f>
        <v>-2.6407242398544639E-2</v>
      </c>
      <c r="N3245" s="70">
        <f>IF(J3244&lt;&gt;0,CurrentMtgRatesDataTable8[[#This Row],[Rate]]-C3244,N3244)</f>
        <v>2.9999999999999805E-2</v>
      </c>
    </row>
    <row r="3246" spans="1:14">
      <c r="A3246" s="67" t="s">
        <v>1210</v>
      </c>
      <c r="B3246" s="68">
        <v>2.8203429128505602</v>
      </c>
      <c r="C3246" s="69">
        <v>3.8149999999999999</v>
      </c>
      <c r="D3246" s="70">
        <f t="shared" si="350"/>
        <v>1</v>
      </c>
      <c r="E3246" s="70">
        <f t="shared" si="351"/>
        <v>0.2</v>
      </c>
      <c r="F3246" s="70">
        <f t="shared" si="352"/>
        <v>1</v>
      </c>
      <c r="G3246" s="70">
        <f t="shared" si="353"/>
        <v>0.56406858257011205</v>
      </c>
      <c r="H3246" s="70">
        <f t="shared" si="354"/>
        <v>0.2</v>
      </c>
      <c r="I3246" s="70">
        <f t="shared" si="355"/>
        <v>0</v>
      </c>
      <c r="J3246" s="70">
        <f t="shared" si="356"/>
        <v>0</v>
      </c>
      <c r="K3246" s="70">
        <f>IF(CurrentMtgRatesDataTable8[[#This Row],[WA CC]]&lt;&gt;0,C3245-CurrentMtgRatesDataTable8[[#This Row],[WA CC]],0)</f>
        <v>0</v>
      </c>
      <c r="L3246" s="70">
        <f>IF(CurrentMtgRatesDataTable8[[#This Row],[Servicing Spread]]&lt;=0,L3245,CurrentMtgRatesDataTable8[[#This Row],[Servicing Spread]])</f>
        <v>0.8584733617448137</v>
      </c>
      <c r="M3246" s="70">
        <f>CurrentMtgRatesDataTable8[[#This Row],[Servicing Spread Non-Zero]]-L3245</f>
        <v>0</v>
      </c>
      <c r="N3246" s="70">
        <f>IF(J3245&lt;&gt;0,CurrentMtgRatesDataTable8[[#This Row],[Rate]]-C3245,N3245)</f>
        <v>0.37000000000000011</v>
      </c>
    </row>
    <row r="3247" spans="1:14">
      <c r="A3247" s="67" t="s">
        <v>1211</v>
      </c>
      <c r="B3247" s="68">
        <v>2.9518507510638798</v>
      </c>
      <c r="C3247" s="69">
        <v>3.8149999999999999</v>
      </c>
      <c r="D3247" s="70">
        <f t="shared" si="350"/>
        <v>5</v>
      </c>
      <c r="E3247" s="70">
        <f t="shared" si="351"/>
        <v>0.2</v>
      </c>
      <c r="F3247" s="70">
        <f t="shared" si="352"/>
        <v>2</v>
      </c>
      <c r="G3247" s="70">
        <f t="shared" si="353"/>
        <v>1.154438732782888</v>
      </c>
      <c r="H3247" s="70">
        <f t="shared" si="354"/>
        <v>0.4</v>
      </c>
      <c r="I3247" s="70">
        <f t="shared" si="355"/>
        <v>0</v>
      </c>
      <c r="J3247" s="70">
        <f t="shared" si="356"/>
        <v>0</v>
      </c>
      <c r="K3247" s="70">
        <f>IF(CurrentMtgRatesDataTable8[[#This Row],[WA CC]]&lt;&gt;0,C3246-CurrentMtgRatesDataTable8[[#This Row],[WA CC]],0)</f>
        <v>0</v>
      </c>
      <c r="L3247" s="70">
        <f>IF(CurrentMtgRatesDataTable8[[#This Row],[Servicing Spread]]&lt;=0,L3246,CurrentMtgRatesDataTable8[[#This Row],[Servicing Spread]])</f>
        <v>0.8584733617448137</v>
      </c>
      <c r="M3247" s="70">
        <f>CurrentMtgRatesDataTable8[[#This Row],[Servicing Spread Non-Zero]]-L3246</f>
        <v>0</v>
      </c>
      <c r="N3247" s="70">
        <f>IF(J3246&lt;&gt;0,CurrentMtgRatesDataTable8[[#This Row],[Rate]]-C3246,N3246)</f>
        <v>0.37000000000000011</v>
      </c>
    </row>
    <row r="3248" spans="1:14">
      <c r="A3248" s="67" t="s">
        <v>1212</v>
      </c>
      <c r="B3248" s="68">
        <v>2.938815281358</v>
      </c>
      <c r="C3248" s="69">
        <v>3.8149999999999999</v>
      </c>
      <c r="D3248" s="70">
        <f t="shared" si="350"/>
        <v>6</v>
      </c>
      <c r="E3248" s="70">
        <f t="shared" si="351"/>
        <v>0.2</v>
      </c>
      <c r="F3248" s="70">
        <f t="shared" si="352"/>
        <v>3</v>
      </c>
      <c r="G3248" s="70">
        <f t="shared" si="353"/>
        <v>1.7422017890544881</v>
      </c>
      <c r="H3248" s="70">
        <f t="shared" si="354"/>
        <v>0.60000000000000009</v>
      </c>
      <c r="I3248" s="70">
        <f t="shared" si="355"/>
        <v>0</v>
      </c>
      <c r="J3248" s="70">
        <f t="shared" si="356"/>
        <v>0</v>
      </c>
      <c r="K3248" s="70">
        <f>IF(CurrentMtgRatesDataTable8[[#This Row],[WA CC]]&lt;&gt;0,C3247-CurrentMtgRatesDataTable8[[#This Row],[WA CC]],0)</f>
        <v>0</v>
      </c>
      <c r="L3248" s="70">
        <f>IF(CurrentMtgRatesDataTable8[[#This Row],[Servicing Spread]]&lt;=0,L3247,CurrentMtgRatesDataTable8[[#This Row],[Servicing Spread]])</f>
        <v>0.8584733617448137</v>
      </c>
      <c r="M3248" s="70">
        <f>CurrentMtgRatesDataTable8[[#This Row],[Servicing Spread Non-Zero]]-L3247</f>
        <v>0</v>
      </c>
      <c r="N3248" s="70">
        <f>IF(J3247&lt;&gt;0,CurrentMtgRatesDataTable8[[#This Row],[Rate]]-C3247,N3247)</f>
        <v>0.37000000000000011</v>
      </c>
    </row>
    <row r="3249" spans="1:14">
      <c r="A3249" s="67" t="s">
        <v>1213</v>
      </c>
      <c r="B3249" s="68">
        <v>2.9180541697648699</v>
      </c>
      <c r="C3249" s="69">
        <v>3.8149999999999999</v>
      </c>
      <c r="D3249" s="70">
        <f t="shared" si="350"/>
        <v>7</v>
      </c>
      <c r="E3249" s="70">
        <f t="shared" si="351"/>
        <v>0.2</v>
      </c>
      <c r="F3249" s="70">
        <f t="shared" si="352"/>
        <v>4</v>
      </c>
      <c r="G3249" s="70">
        <f t="shared" si="353"/>
        <v>2.3258126230074621</v>
      </c>
      <c r="H3249" s="70">
        <f t="shared" si="354"/>
        <v>0.8</v>
      </c>
      <c r="I3249" s="70">
        <f t="shared" si="355"/>
        <v>1</v>
      </c>
      <c r="J3249" s="70">
        <f t="shared" si="356"/>
        <v>2.9072657787593275</v>
      </c>
      <c r="K3249" s="70">
        <f>IF(CurrentMtgRatesDataTable8[[#This Row],[WA CC]]&lt;&gt;0,C3248-CurrentMtgRatesDataTable8[[#This Row],[WA CC]],0)</f>
        <v>0.90773422124067249</v>
      </c>
      <c r="L3249" s="70">
        <f>IF(CurrentMtgRatesDataTable8[[#This Row],[Servicing Spread]]&lt;=0,L3248,CurrentMtgRatesDataTable8[[#This Row],[Servicing Spread]])</f>
        <v>0.90773422124067249</v>
      </c>
      <c r="M3249" s="70">
        <f>CurrentMtgRatesDataTable8[[#This Row],[Servicing Spread Non-Zero]]-L3248</f>
        <v>4.9260859495858789E-2</v>
      </c>
      <c r="N3249" s="70">
        <f>IF(J3248&lt;&gt;0,CurrentMtgRatesDataTable8[[#This Row],[Rate]]-C3248,N3248)</f>
        <v>0.37000000000000011</v>
      </c>
    </row>
    <row r="3250" spans="1:14">
      <c r="A3250" s="67" t="s">
        <v>1214</v>
      </c>
      <c r="B3250" s="68">
        <v>2.9579353811966902</v>
      </c>
      <c r="C3250" s="69">
        <v>3.9050000000000002</v>
      </c>
      <c r="D3250" s="70">
        <f t="shared" si="350"/>
        <v>1</v>
      </c>
      <c r="E3250" s="70">
        <f t="shared" si="351"/>
        <v>0.2</v>
      </c>
      <c r="F3250" s="70">
        <f t="shared" si="352"/>
        <v>1</v>
      </c>
      <c r="G3250" s="70">
        <f t="shared" si="353"/>
        <v>0.59158707623933804</v>
      </c>
      <c r="H3250" s="70">
        <f t="shared" si="354"/>
        <v>0.2</v>
      </c>
      <c r="I3250" s="70">
        <f t="shared" si="355"/>
        <v>0</v>
      </c>
      <c r="J3250" s="70">
        <f t="shared" si="356"/>
        <v>0</v>
      </c>
      <c r="K3250" s="70">
        <f>IF(CurrentMtgRatesDataTable8[[#This Row],[WA CC]]&lt;&gt;0,C3249-CurrentMtgRatesDataTable8[[#This Row],[WA CC]],0)</f>
        <v>0</v>
      </c>
      <c r="L3250" s="70">
        <f>IF(CurrentMtgRatesDataTable8[[#This Row],[Servicing Spread]]&lt;=0,L3249,CurrentMtgRatesDataTable8[[#This Row],[Servicing Spread]])</f>
        <v>0.90773422124067249</v>
      </c>
      <c r="M3250" s="70">
        <f>CurrentMtgRatesDataTable8[[#This Row],[Servicing Spread Non-Zero]]-L3249</f>
        <v>0</v>
      </c>
      <c r="N3250" s="70">
        <f>IF(J3249&lt;&gt;0,CurrentMtgRatesDataTable8[[#This Row],[Rate]]-C3249,N3249)</f>
        <v>9.0000000000000302E-2</v>
      </c>
    </row>
    <row r="3251" spans="1:14">
      <c r="A3251" s="67" t="s">
        <v>1215</v>
      </c>
      <c r="B3251" s="68">
        <v>3.03169131774919</v>
      </c>
      <c r="C3251" s="69">
        <v>3.9050000000000002</v>
      </c>
      <c r="D3251" s="70">
        <f t="shared" si="350"/>
        <v>2</v>
      </c>
      <c r="E3251" s="70">
        <f t="shared" si="351"/>
        <v>0.2</v>
      </c>
      <c r="F3251" s="70">
        <f t="shared" si="352"/>
        <v>2</v>
      </c>
      <c r="G3251" s="70">
        <f t="shared" si="353"/>
        <v>1.197925339789176</v>
      </c>
      <c r="H3251" s="70">
        <f t="shared" si="354"/>
        <v>0.4</v>
      </c>
      <c r="I3251" s="70">
        <f t="shared" si="355"/>
        <v>0</v>
      </c>
      <c r="J3251" s="70">
        <f t="shared" si="356"/>
        <v>0</v>
      </c>
      <c r="K3251" s="70">
        <f>IF(CurrentMtgRatesDataTable8[[#This Row],[WA CC]]&lt;&gt;0,C3250-CurrentMtgRatesDataTable8[[#This Row],[WA CC]],0)</f>
        <v>0</v>
      </c>
      <c r="L3251" s="70">
        <f>IF(CurrentMtgRatesDataTable8[[#This Row],[Servicing Spread]]&lt;=0,L3250,CurrentMtgRatesDataTable8[[#This Row],[Servicing Spread]])</f>
        <v>0.90773422124067249</v>
      </c>
      <c r="M3251" s="70">
        <f>CurrentMtgRatesDataTable8[[#This Row],[Servicing Spread Non-Zero]]-L3250</f>
        <v>0</v>
      </c>
      <c r="N3251" s="70">
        <f>IF(J3250&lt;&gt;0,CurrentMtgRatesDataTable8[[#This Row],[Rate]]-C3250,N3250)</f>
        <v>9.0000000000000302E-2</v>
      </c>
    </row>
    <row r="3252" spans="1:14">
      <c r="A3252" s="67" t="s">
        <v>1216</v>
      </c>
      <c r="B3252" s="68">
        <v>3.0422928996340901</v>
      </c>
      <c r="C3252" s="69">
        <v>3.9050000000000002</v>
      </c>
      <c r="D3252" s="70">
        <f t="shared" si="350"/>
        <v>5</v>
      </c>
      <c r="E3252" s="70">
        <f t="shared" si="351"/>
        <v>0.2</v>
      </c>
      <c r="F3252" s="70">
        <f t="shared" si="352"/>
        <v>3</v>
      </c>
      <c r="G3252" s="70">
        <f t="shared" si="353"/>
        <v>1.8063839197159941</v>
      </c>
      <c r="H3252" s="70">
        <f t="shared" si="354"/>
        <v>0.60000000000000009</v>
      </c>
      <c r="I3252" s="70">
        <f t="shared" si="355"/>
        <v>0</v>
      </c>
      <c r="J3252" s="70">
        <f t="shared" si="356"/>
        <v>0</v>
      </c>
      <c r="K3252" s="70">
        <f>IF(CurrentMtgRatesDataTable8[[#This Row],[WA CC]]&lt;&gt;0,C3251-CurrentMtgRatesDataTable8[[#This Row],[WA CC]],0)</f>
        <v>0</v>
      </c>
      <c r="L3252" s="70">
        <f>IF(CurrentMtgRatesDataTable8[[#This Row],[Servicing Spread]]&lt;=0,L3251,CurrentMtgRatesDataTable8[[#This Row],[Servicing Spread]])</f>
        <v>0.90773422124067249</v>
      </c>
      <c r="M3252" s="70">
        <f>CurrentMtgRatesDataTable8[[#This Row],[Servicing Spread Non-Zero]]-L3251</f>
        <v>0</v>
      </c>
      <c r="N3252" s="70">
        <f>IF(J3251&lt;&gt;0,CurrentMtgRatesDataTable8[[#This Row],[Rate]]-C3251,N3251)</f>
        <v>9.0000000000000302E-2</v>
      </c>
    </row>
    <row r="3253" spans="1:14">
      <c r="A3253" s="67" t="s">
        <v>1217</v>
      </c>
      <c r="B3253" s="68">
        <v>3.0253759468796799</v>
      </c>
      <c r="C3253" s="69">
        <v>3.9050000000000002</v>
      </c>
      <c r="D3253" s="70">
        <f t="shared" si="350"/>
        <v>6</v>
      </c>
      <c r="E3253" s="70">
        <f t="shared" si="351"/>
        <v>0.2</v>
      </c>
      <c r="F3253" s="70">
        <f t="shared" si="352"/>
        <v>4</v>
      </c>
      <c r="G3253" s="70">
        <f t="shared" si="353"/>
        <v>2.41145910909193</v>
      </c>
      <c r="H3253" s="70">
        <f t="shared" si="354"/>
        <v>0.8</v>
      </c>
      <c r="I3253" s="70">
        <f t="shared" si="355"/>
        <v>0</v>
      </c>
      <c r="J3253" s="70">
        <f t="shared" si="356"/>
        <v>0</v>
      </c>
      <c r="K3253" s="70">
        <f>IF(CurrentMtgRatesDataTable8[[#This Row],[WA CC]]&lt;&gt;0,C3252-CurrentMtgRatesDataTable8[[#This Row],[WA CC]],0)</f>
        <v>0</v>
      </c>
      <c r="L3253" s="70">
        <f>IF(CurrentMtgRatesDataTable8[[#This Row],[Servicing Spread]]&lt;=0,L3252,CurrentMtgRatesDataTable8[[#This Row],[Servicing Spread]])</f>
        <v>0.90773422124067249</v>
      </c>
      <c r="M3253" s="70">
        <f>CurrentMtgRatesDataTable8[[#This Row],[Servicing Spread Non-Zero]]-L3252</f>
        <v>0</v>
      </c>
      <c r="N3253" s="70">
        <f>IF(J3252&lt;&gt;0,CurrentMtgRatesDataTable8[[#This Row],[Rate]]-C3252,N3252)</f>
        <v>9.0000000000000302E-2</v>
      </c>
    </row>
    <row r="3254" spans="1:14">
      <c r="A3254" s="67" t="s">
        <v>1218</v>
      </c>
      <c r="B3254" s="68">
        <v>3.0811413392722198</v>
      </c>
      <c r="C3254" s="69">
        <v>3.9050000000000002</v>
      </c>
      <c r="D3254" s="70">
        <f t="shared" si="350"/>
        <v>7</v>
      </c>
      <c r="E3254" s="70">
        <f t="shared" si="351"/>
        <v>0.2</v>
      </c>
      <c r="F3254" s="70">
        <f t="shared" si="352"/>
        <v>5</v>
      </c>
      <c r="G3254" s="70">
        <f t="shared" si="353"/>
        <v>3.0276873769463739</v>
      </c>
      <c r="H3254" s="70">
        <f t="shared" si="354"/>
        <v>1</v>
      </c>
      <c r="I3254" s="70">
        <f t="shared" si="355"/>
        <v>1</v>
      </c>
      <c r="J3254" s="70">
        <f t="shared" si="356"/>
        <v>3.0276873769463739</v>
      </c>
      <c r="K3254" s="70">
        <f>IF(CurrentMtgRatesDataTable8[[#This Row],[WA CC]]&lt;&gt;0,C3253-CurrentMtgRatesDataTable8[[#This Row],[WA CC]],0)</f>
        <v>0.87731262305362634</v>
      </c>
      <c r="L3254" s="70">
        <f>IF(CurrentMtgRatesDataTable8[[#This Row],[Servicing Spread]]&lt;=0,L3253,CurrentMtgRatesDataTable8[[#This Row],[Servicing Spread]])</f>
        <v>0.87731262305362634</v>
      </c>
      <c r="M3254" s="70">
        <f>CurrentMtgRatesDataTable8[[#This Row],[Servicing Spread Non-Zero]]-L3253</f>
        <v>-3.042159818704615E-2</v>
      </c>
      <c r="N3254" s="70">
        <f>IF(J3253&lt;&gt;0,CurrentMtgRatesDataTable8[[#This Row],[Rate]]-C3253,N3253)</f>
        <v>9.0000000000000302E-2</v>
      </c>
    </row>
    <row r="3255" spans="1:14">
      <c r="A3255" s="67" t="s">
        <v>1219</v>
      </c>
      <c r="B3255" s="68">
        <v>3.1125235634348298</v>
      </c>
      <c r="C3255" s="69">
        <v>3.9550000000000001</v>
      </c>
      <c r="D3255" s="70">
        <f t="shared" si="350"/>
        <v>2</v>
      </c>
      <c r="E3255" s="70">
        <f t="shared" si="351"/>
        <v>0.2</v>
      </c>
      <c r="F3255" s="70">
        <f t="shared" si="352"/>
        <v>1</v>
      </c>
      <c r="G3255" s="70">
        <f t="shared" si="353"/>
        <v>0.62250471268696606</v>
      </c>
      <c r="H3255" s="70">
        <f t="shared" si="354"/>
        <v>0.2</v>
      </c>
      <c r="I3255" s="70">
        <f t="shared" si="355"/>
        <v>0</v>
      </c>
      <c r="J3255" s="70">
        <f t="shared" si="356"/>
        <v>0</v>
      </c>
      <c r="K3255" s="70">
        <f>IF(CurrentMtgRatesDataTable8[[#This Row],[WA CC]]&lt;&gt;0,C3254-CurrentMtgRatesDataTable8[[#This Row],[WA CC]],0)</f>
        <v>0</v>
      </c>
      <c r="L3255" s="70">
        <f>IF(CurrentMtgRatesDataTable8[[#This Row],[Servicing Spread]]&lt;=0,L3254,CurrentMtgRatesDataTable8[[#This Row],[Servicing Spread]])</f>
        <v>0.87731262305362634</v>
      </c>
      <c r="M3255" s="70">
        <f>CurrentMtgRatesDataTable8[[#This Row],[Servicing Spread Non-Zero]]-L3254</f>
        <v>0</v>
      </c>
      <c r="N3255" s="70">
        <f>IF(J3254&lt;&gt;0,CurrentMtgRatesDataTable8[[#This Row],[Rate]]-C3254,N3254)</f>
        <v>4.9999999999999822E-2</v>
      </c>
    </row>
    <row r="3256" spans="1:14">
      <c r="A3256" s="67" t="s">
        <v>1220</v>
      </c>
      <c r="B3256" s="68">
        <v>3.0232721749517699</v>
      </c>
      <c r="C3256" s="69">
        <v>3.9550000000000001</v>
      </c>
      <c r="D3256" s="70">
        <f t="shared" si="350"/>
        <v>5</v>
      </c>
      <c r="E3256" s="70">
        <f t="shared" si="351"/>
        <v>0.2</v>
      </c>
      <c r="F3256" s="70">
        <f t="shared" si="352"/>
        <v>2</v>
      </c>
      <c r="G3256" s="70">
        <f t="shared" si="353"/>
        <v>1.22715914767732</v>
      </c>
      <c r="H3256" s="70">
        <f t="shared" si="354"/>
        <v>0.4</v>
      </c>
      <c r="I3256" s="70">
        <f t="shared" si="355"/>
        <v>0</v>
      </c>
      <c r="J3256" s="70">
        <f t="shared" si="356"/>
        <v>0</v>
      </c>
      <c r="K3256" s="70">
        <f>IF(CurrentMtgRatesDataTable8[[#This Row],[WA CC]]&lt;&gt;0,C3255-CurrentMtgRatesDataTable8[[#This Row],[WA CC]],0)</f>
        <v>0</v>
      </c>
      <c r="L3256" s="70">
        <f>IF(CurrentMtgRatesDataTable8[[#This Row],[Servicing Spread]]&lt;=0,L3255,CurrentMtgRatesDataTable8[[#This Row],[Servicing Spread]])</f>
        <v>0.87731262305362634</v>
      </c>
      <c r="M3256" s="70">
        <f>CurrentMtgRatesDataTable8[[#This Row],[Servicing Spread Non-Zero]]-L3255</f>
        <v>0</v>
      </c>
      <c r="N3256" s="70">
        <f>IF(J3255&lt;&gt;0,CurrentMtgRatesDataTable8[[#This Row],[Rate]]-C3255,N3255)</f>
        <v>4.9999999999999822E-2</v>
      </c>
    </row>
    <row r="3257" spans="1:14">
      <c r="A3257" s="67" t="s">
        <v>1221</v>
      </c>
      <c r="B3257" s="68">
        <v>3.0032104294376101</v>
      </c>
      <c r="C3257" s="69">
        <v>3.9550000000000001</v>
      </c>
      <c r="D3257" s="70">
        <f t="shared" si="350"/>
        <v>6</v>
      </c>
      <c r="E3257" s="70">
        <f t="shared" si="351"/>
        <v>0.2</v>
      </c>
      <c r="F3257" s="70">
        <f t="shared" si="352"/>
        <v>3</v>
      </c>
      <c r="G3257" s="70">
        <f t="shared" si="353"/>
        <v>1.8278012335648421</v>
      </c>
      <c r="H3257" s="70">
        <f t="shared" si="354"/>
        <v>0.60000000000000009</v>
      </c>
      <c r="I3257" s="70">
        <f t="shared" si="355"/>
        <v>0</v>
      </c>
      <c r="J3257" s="70">
        <f t="shared" si="356"/>
        <v>0</v>
      </c>
      <c r="K3257" s="70">
        <f>IF(CurrentMtgRatesDataTable8[[#This Row],[WA CC]]&lt;&gt;0,C3256-CurrentMtgRatesDataTable8[[#This Row],[WA CC]],0)</f>
        <v>0</v>
      </c>
      <c r="L3257" s="70">
        <f>IF(CurrentMtgRatesDataTable8[[#This Row],[Servicing Spread]]&lt;=0,L3256,CurrentMtgRatesDataTable8[[#This Row],[Servicing Spread]])</f>
        <v>0.87731262305362634</v>
      </c>
      <c r="M3257" s="70">
        <f>CurrentMtgRatesDataTable8[[#This Row],[Servicing Spread Non-Zero]]-L3256</f>
        <v>0</v>
      </c>
      <c r="N3257" s="70">
        <f>IF(J3256&lt;&gt;0,CurrentMtgRatesDataTable8[[#This Row],[Rate]]-C3256,N3256)</f>
        <v>4.9999999999999822E-2</v>
      </c>
    </row>
    <row r="3258" spans="1:14">
      <c r="A3258" s="67" t="s">
        <v>1222</v>
      </c>
      <c r="B3258" s="68">
        <v>3.0600031389564002</v>
      </c>
      <c r="C3258" s="69">
        <v>3.9550000000000001</v>
      </c>
      <c r="D3258" s="70">
        <f t="shared" si="350"/>
        <v>7</v>
      </c>
      <c r="E3258" s="70">
        <f t="shared" si="351"/>
        <v>0.2</v>
      </c>
      <c r="F3258" s="70">
        <f t="shared" si="352"/>
        <v>4</v>
      </c>
      <c r="G3258" s="70">
        <f t="shared" si="353"/>
        <v>2.4398018613561221</v>
      </c>
      <c r="H3258" s="70">
        <f t="shared" si="354"/>
        <v>0.8</v>
      </c>
      <c r="I3258" s="70">
        <f t="shared" si="355"/>
        <v>1</v>
      </c>
      <c r="J3258" s="70">
        <f t="shared" si="356"/>
        <v>3.0497523266951525</v>
      </c>
      <c r="K3258" s="70">
        <f>IF(CurrentMtgRatesDataTable8[[#This Row],[WA CC]]&lt;&gt;0,C3257-CurrentMtgRatesDataTable8[[#This Row],[WA CC]],0)</f>
        <v>0.90524767330484757</v>
      </c>
      <c r="L3258" s="70">
        <f>IF(CurrentMtgRatesDataTable8[[#This Row],[Servicing Spread]]&lt;=0,L3257,CurrentMtgRatesDataTable8[[#This Row],[Servicing Spread]])</f>
        <v>0.90524767330484757</v>
      </c>
      <c r="M3258" s="70">
        <f>CurrentMtgRatesDataTable8[[#This Row],[Servicing Spread Non-Zero]]-L3257</f>
        <v>2.7935050251221227E-2</v>
      </c>
      <c r="N3258" s="70">
        <f>IF(J3257&lt;&gt;0,CurrentMtgRatesDataTable8[[#This Row],[Rate]]-C3257,N3257)</f>
        <v>4.9999999999999822E-2</v>
      </c>
    </row>
    <row r="3259" spans="1:14">
      <c r="A3259" s="67" t="s">
        <v>1223</v>
      </c>
      <c r="B3259" s="68">
        <v>3.13599610528588</v>
      </c>
      <c r="C3259" s="69">
        <v>4.0049999999999999</v>
      </c>
      <c r="D3259" s="70">
        <f t="shared" si="350"/>
        <v>1</v>
      </c>
      <c r="E3259" s="70">
        <f t="shared" si="351"/>
        <v>0.2</v>
      </c>
      <c r="F3259" s="70">
        <f t="shared" si="352"/>
        <v>1</v>
      </c>
      <c r="G3259" s="70">
        <f t="shared" si="353"/>
        <v>0.62719922105717607</v>
      </c>
      <c r="H3259" s="70">
        <f t="shared" si="354"/>
        <v>0.2</v>
      </c>
      <c r="I3259" s="70">
        <f t="shared" si="355"/>
        <v>0</v>
      </c>
      <c r="J3259" s="70">
        <f t="shared" si="356"/>
        <v>0</v>
      </c>
      <c r="K3259" s="70">
        <f>IF(CurrentMtgRatesDataTable8[[#This Row],[WA CC]]&lt;&gt;0,C3258-CurrentMtgRatesDataTable8[[#This Row],[WA CC]],0)</f>
        <v>0</v>
      </c>
      <c r="L3259" s="70">
        <f>IF(CurrentMtgRatesDataTable8[[#This Row],[Servicing Spread]]&lt;=0,L3258,CurrentMtgRatesDataTable8[[#This Row],[Servicing Spread]])</f>
        <v>0.90524767330484757</v>
      </c>
      <c r="M3259" s="70">
        <f>CurrentMtgRatesDataTable8[[#This Row],[Servicing Spread Non-Zero]]-L3258</f>
        <v>0</v>
      </c>
      <c r="N3259" s="70">
        <f>IF(J3258&lt;&gt;0,CurrentMtgRatesDataTable8[[#This Row],[Rate]]-C3258,N3258)</f>
        <v>4.9999999999999822E-2</v>
      </c>
    </row>
    <row r="3260" spans="1:14">
      <c r="A3260" s="67" t="s">
        <v>1224</v>
      </c>
      <c r="B3260" s="68">
        <v>3.0833533421517099</v>
      </c>
      <c r="C3260" s="69">
        <v>4.0049999999999999</v>
      </c>
      <c r="D3260" s="70">
        <f t="shared" si="350"/>
        <v>2</v>
      </c>
      <c r="E3260" s="70">
        <f t="shared" si="351"/>
        <v>0.2</v>
      </c>
      <c r="F3260" s="70">
        <f t="shared" si="352"/>
        <v>2</v>
      </c>
      <c r="G3260" s="70">
        <f t="shared" si="353"/>
        <v>1.243869889487518</v>
      </c>
      <c r="H3260" s="70">
        <f t="shared" si="354"/>
        <v>0.4</v>
      </c>
      <c r="I3260" s="70">
        <f t="shared" si="355"/>
        <v>0</v>
      </c>
      <c r="J3260" s="70">
        <f t="shared" si="356"/>
        <v>0</v>
      </c>
      <c r="K3260" s="70">
        <f>IF(CurrentMtgRatesDataTable8[[#This Row],[WA CC]]&lt;&gt;0,C3259-CurrentMtgRatesDataTable8[[#This Row],[WA CC]],0)</f>
        <v>0</v>
      </c>
      <c r="L3260" s="70">
        <f>IF(CurrentMtgRatesDataTable8[[#This Row],[Servicing Spread]]&lt;=0,L3259,CurrentMtgRatesDataTable8[[#This Row],[Servicing Spread]])</f>
        <v>0.90524767330484757</v>
      </c>
      <c r="M3260" s="70">
        <f>CurrentMtgRatesDataTable8[[#This Row],[Servicing Spread Non-Zero]]-L3259</f>
        <v>0</v>
      </c>
      <c r="N3260" s="70">
        <f>IF(J3259&lt;&gt;0,CurrentMtgRatesDataTable8[[#This Row],[Rate]]-C3259,N3259)</f>
        <v>4.9999999999999822E-2</v>
      </c>
    </row>
    <row r="3261" spans="1:14">
      <c r="A3261" s="67" t="s">
        <v>1225</v>
      </c>
      <c r="B3261" s="68">
        <v>3.0836284241838401</v>
      </c>
      <c r="C3261" s="69">
        <v>4.0049999999999999</v>
      </c>
      <c r="D3261" s="70">
        <f t="shared" si="350"/>
        <v>5</v>
      </c>
      <c r="E3261" s="70">
        <f t="shared" si="351"/>
        <v>0.2</v>
      </c>
      <c r="F3261" s="70">
        <f t="shared" si="352"/>
        <v>3</v>
      </c>
      <c r="G3261" s="70">
        <f t="shared" si="353"/>
        <v>1.8605955743242859</v>
      </c>
      <c r="H3261" s="70">
        <f t="shared" si="354"/>
        <v>0.60000000000000009</v>
      </c>
      <c r="I3261" s="70">
        <f t="shared" si="355"/>
        <v>0</v>
      </c>
      <c r="J3261" s="70">
        <f t="shared" si="356"/>
        <v>0</v>
      </c>
      <c r="K3261" s="70">
        <f>IF(CurrentMtgRatesDataTable8[[#This Row],[WA CC]]&lt;&gt;0,C3260-CurrentMtgRatesDataTable8[[#This Row],[WA CC]],0)</f>
        <v>0</v>
      </c>
      <c r="L3261" s="70">
        <f>IF(CurrentMtgRatesDataTable8[[#This Row],[Servicing Spread]]&lt;=0,L3260,CurrentMtgRatesDataTable8[[#This Row],[Servicing Spread]])</f>
        <v>0.90524767330484757</v>
      </c>
      <c r="M3261" s="70">
        <f>CurrentMtgRatesDataTable8[[#This Row],[Servicing Spread Non-Zero]]-L3260</f>
        <v>0</v>
      </c>
      <c r="N3261" s="70">
        <f>IF(J3260&lt;&gt;0,CurrentMtgRatesDataTable8[[#This Row],[Rate]]-C3260,N3260)</f>
        <v>4.9999999999999822E-2</v>
      </c>
    </row>
    <row r="3262" spans="1:14">
      <c r="A3262" s="67" t="s">
        <v>1226</v>
      </c>
      <c r="B3262" s="68">
        <v>3.0839441300707402</v>
      </c>
      <c r="C3262" s="69">
        <v>4.0049999999999999</v>
      </c>
      <c r="D3262" s="70">
        <f t="shared" si="350"/>
        <v>6</v>
      </c>
      <c r="E3262" s="70">
        <f t="shared" si="351"/>
        <v>0.2</v>
      </c>
      <c r="F3262" s="70">
        <f t="shared" si="352"/>
        <v>4</v>
      </c>
      <c r="G3262" s="70">
        <f t="shared" si="353"/>
        <v>2.4773844003384342</v>
      </c>
      <c r="H3262" s="70">
        <f t="shared" si="354"/>
        <v>0.8</v>
      </c>
      <c r="I3262" s="70">
        <f t="shared" si="355"/>
        <v>0</v>
      </c>
      <c r="J3262" s="70">
        <f t="shared" si="356"/>
        <v>0</v>
      </c>
      <c r="K3262" s="70">
        <f>IF(CurrentMtgRatesDataTable8[[#This Row],[WA CC]]&lt;&gt;0,C3261-CurrentMtgRatesDataTable8[[#This Row],[WA CC]],0)</f>
        <v>0</v>
      </c>
      <c r="L3262" s="70">
        <f>IF(CurrentMtgRatesDataTable8[[#This Row],[Servicing Spread]]&lt;=0,L3261,CurrentMtgRatesDataTable8[[#This Row],[Servicing Spread]])</f>
        <v>0.90524767330484757</v>
      </c>
      <c r="M3262" s="70">
        <f>CurrentMtgRatesDataTable8[[#This Row],[Servicing Spread Non-Zero]]-L3261</f>
        <v>0</v>
      </c>
      <c r="N3262" s="70">
        <f>IF(J3261&lt;&gt;0,CurrentMtgRatesDataTable8[[#This Row],[Rate]]-C3261,N3261)</f>
        <v>4.9999999999999822E-2</v>
      </c>
    </row>
    <row r="3263" spans="1:14">
      <c r="A3263" s="67" t="s">
        <v>1227</v>
      </c>
      <c r="B3263" s="68">
        <v>3.0288108885972802</v>
      </c>
      <c r="C3263" s="69">
        <v>4.0049999999999999</v>
      </c>
      <c r="D3263" s="70">
        <f t="shared" si="350"/>
        <v>7</v>
      </c>
      <c r="E3263" s="70">
        <f t="shared" si="351"/>
        <v>0.2</v>
      </c>
      <c r="F3263" s="70">
        <f t="shared" si="352"/>
        <v>5</v>
      </c>
      <c r="G3263" s="70">
        <f t="shared" si="353"/>
        <v>3.0831465780578902</v>
      </c>
      <c r="H3263" s="70">
        <f t="shared" si="354"/>
        <v>1</v>
      </c>
      <c r="I3263" s="70">
        <f t="shared" si="355"/>
        <v>1</v>
      </c>
      <c r="J3263" s="70">
        <f t="shared" si="356"/>
        <v>3.0831465780578902</v>
      </c>
      <c r="K3263" s="70">
        <f>IF(CurrentMtgRatesDataTable8[[#This Row],[WA CC]]&lt;&gt;0,C3262-CurrentMtgRatesDataTable8[[#This Row],[WA CC]],0)</f>
        <v>0.92185342194210973</v>
      </c>
      <c r="L3263" s="70">
        <f>IF(CurrentMtgRatesDataTable8[[#This Row],[Servicing Spread]]&lt;=0,L3262,CurrentMtgRatesDataTable8[[#This Row],[Servicing Spread]])</f>
        <v>0.92185342194210973</v>
      </c>
      <c r="M3263" s="70">
        <f>CurrentMtgRatesDataTable8[[#This Row],[Servicing Spread Non-Zero]]-L3262</f>
        <v>1.6605748637262163E-2</v>
      </c>
      <c r="N3263" s="70">
        <f>IF(J3262&lt;&gt;0,CurrentMtgRatesDataTable8[[#This Row],[Rate]]-C3262,N3262)</f>
        <v>4.9999999999999822E-2</v>
      </c>
    </row>
    <row r="3264" spans="1:14">
      <c r="A3264" s="67" t="s">
        <v>1228</v>
      </c>
      <c r="B3264" s="68">
        <v>3.05722705621156</v>
      </c>
      <c r="C3264" s="69">
        <v>4.0350000000000001</v>
      </c>
      <c r="D3264" s="70">
        <f t="shared" si="350"/>
        <v>1</v>
      </c>
      <c r="E3264" s="70">
        <f t="shared" si="351"/>
        <v>0.2</v>
      </c>
      <c r="F3264" s="70">
        <f t="shared" si="352"/>
        <v>1</v>
      </c>
      <c r="G3264" s="70">
        <f t="shared" si="353"/>
        <v>0.611445411242312</v>
      </c>
      <c r="H3264" s="70">
        <f t="shared" si="354"/>
        <v>0.2</v>
      </c>
      <c r="I3264" s="70">
        <f t="shared" si="355"/>
        <v>0</v>
      </c>
      <c r="J3264" s="70">
        <f t="shared" si="356"/>
        <v>0</v>
      </c>
      <c r="K3264" s="70">
        <f>IF(CurrentMtgRatesDataTable8[[#This Row],[WA CC]]&lt;&gt;0,C3263-CurrentMtgRatesDataTable8[[#This Row],[WA CC]],0)</f>
        <v>0</v>
      </c>
      <c r="L3264" s="70">
        <f>IF(CurrentMtgRatesDataTable8[[#This Row],[Servicing Spread]]&lt;=0,L3263,CurrentMtgRatesDataTable8[[#This Row],[Servicing Spread]])</f>
        <v>0.92185342194210973</v>
      </c>
      <c r="M3264" s="70">
        <f>CurrentMtgRatesDataTable8[[#This Row],[Servicing Spread Non-Zero]]-L3263</f>
        <v>0</v>
      </c>
      <c r="N3264" s="70">
        <f>IF(J3263&lt;&gt;0,CurrentMtgRatesDataTable8[[#This Row],[Rate]]-C3263,N3263)</f>
        <v>3.0000000000000249E-2</v>
      </c>
    </row>
    <row r="3265" spans="1:14">
      <c r="A3265" s="67" t="s">
        <v>1229</v>
      </c>
      <c r="B3265" s="68">
        <v>3.1428652362036398</v>
      </c>
      <c r="C3265" s="69">
        <v>4.0350000000000001</v>
      </c>
      <c r="D3265" s="70">
        <f t="shared" si="350"/>
        <v>2</v>
      </c>
      <c r="E3265" s="70">
        <f t="shared" si="351"/>
        <v>0.2</v>
      </c>
      <c r="F3265" s="70">
        <f t="shared" si="352"/>
        <v>2</v>
      </c>
      <c r="G3265" s="70">
        <f t="shared" si="353"/>
        <v>1.24001845848304</v>
      </c>
      <c r="H3265" s="70">
        <f t="shared" si="354"/>
        <v>0.4</v>
      </c>
      <c r="I3265" s="70">
        <f t="shared" si="355"/>
        <v>0</v>
      </c>
      <c r="J3265" s="70">
        <f t="shared" si="356"/>
        <v>0</v>
      </c>
      <c r="K3265" s="70">
        <f>IF(CurrentMtgRatesDataTable8[[#This Row],[WA CC]]&lt;&gt;0,C3264-CurrentMtgRatesDataTable8[[#This Row],[WA CC]],0)</f>
        <v>0</v>
      </c>
      <c r="L3265" s="70">
        <f>IF(CurrentMtgRatesDataTable8[[#This Row],[Servicing Spread]]&lt;=0,L3264,CurrentMtgRatesDataTable8[[#This Row],[Servicing Spread]])</f>
        <v>0.92185342194210973</v>
      </c>
      <c r="M3265" s="70">
        <f>CurrentMtgRatesDataTable8[[#This Row],[Servicing Spread Non-Zero]]-L3264</f>
        <v>0</v>
      </c>
      <c r="N3265" s="70">
        <f>IF(J3264&lt;&gt;0,CurrentMtgRatesDataTable8[[#This Row],[Rate]]-C3264,N3264)</f>
        <v>3.0000000000000249E-2</v>
      </c>
    </row>
    <row r="3266" spans="1:14">
      <c r="A3266" s="67" t="s">
        <v>1230</v>
      </c>
      <c r="B3266" s="68">
        <v>3.1502344995912401</v>
      </c>
      <c r="C3266" s="69">
        <v>4.0350000000000001</v>
      </c>
      <c r="D3266" s="70">
        <f t="shared" si="350"/>
        <v>5</v>
      </c>
      <c r="E3266" s="70">
        <f t="shared" si="351"/>
        <v>0.2</v>
      </c>
      <c r="F3266" s="70">
        <f t="shared" si="352"/>
        <v>3</v>
      </c>
      <c r="G3266" s="70">
        <f t="shared" si="353"/>
        <v>1.8700653584012881</v>
      </c>
      <c r="H3266" s="70">
        <f t="shared" si="354"/>
        <v>0.60000000000000009</v>
      </c>
      <c r="I3266" s="70">
        <f t="shared" si="355"/>
        <v>0</v>
      </c>
      <c r="J3266" s="70">
        <f t="shared" si="356"/>
        <v>0</v>
      </c>
      <c r="K3266" s="70">
        <f>IF(CurrentMtgRatesDataTable8[[#This Row],[WA CC]]&lt;&gt;0,C3265-CurrentMtgRatesDataTable8[[#This Row],[WA CC]],0)</f>
        <v>0</v>
      </c>
      <c r="L3266" s="70">
        <f>IF(CurrentMtgRatesDataTable8[[#This Row],[Servicing Spread]]&lt;=0,L3265,CurrentMtgRatesDataTable8[[#This Row],[Servicing Spread]])</f>
        <v>0.92185342194210973</v>
      </c>
      <c r="M3266" s="70">
        <f>CurrentMtgRatesDataTable8[[#This Row],[Servicing Spread Non-Zero]]-L3265</f>
        <v>0</v>
      </c>
      <c r="N3266" s="70">
        <f>IF(J3265&lt;&gt;0,CurrentMtgRatesDataTable8[[#This Row],[Rate]]-C3265,N3265)</f>
        <v>3.0000000000000249E-2</v>
      </c>
    </row>
    <row r="3267" spans="1:14">
      <c r="A3267" s="67" t="s">
        <v>1231</v>
      </c>
      <c r="B3267" s="68">
        <v>3.1621575354435998</v>
      </c>
      <c r="C3267" s="69">
        <v>4.0350000000000001</v>
      </c>
      <c r="D3267" s="70">
        <f t="shared" si="350"/>
        <v>6</v>
      </c>
      <c r="E3267" s="70">
        <f t="shared" si="351"/>
        <v>0.2</v>
      </c>
      <c r="F3267" s="70">
        <f t="shared" si="352"/>
        <v>4</v>
      </c>
      <c r="G3267" s="70">
        <f t="shared" si="353"/>
        <v>2.5024968654900079</v>
      </c>
      <c r="H3267" s="70">
        <f t="shared" si="354"/>
        <v>0.8</v>
      </c>
      <c r="I3267" s="70">
        <f t="shared" si="355"/>
        <v>0</v>
      </c>
      <c r="J3267" s="70">
        <f t="shared" si="356"/>
        <v>0</v>
      </c>
      <c r="K3267" s="70">
        <f>IF(CurrentMtgRatesDataTable8[[#This Row],[WA CC]]&lt;&gt;0,C3266-CurrentMtgRatesDataTable8[[#This Row],[WA CC]],0)</f>
        <v>0</v>
      </c>
      <c r="L3267" s="70">
        <f>IF(CurrentMtgRatesDataTable8[[#This Row],[Servicing Spread]]&lt;=0,L3266,CurrentMtgRatesDataTable8[[#This Row],[Servicing Spread]])</f>
        <v>0.92185342194210973</v>
      </c>
      <c r="M3267" s="70">
        <f>CurrentMtgRatesDataTable8[[#This Row],[Servicing Spread Non-Zero]]-L3266</f>
        <v>0</v>
      </c>
      <c r="N3267" s="70">
        <f>IF(J3266&lt;&gt;0,CurrentMtgRatesDataTable8[[#This Row],[Rate]]-C3266,N3266)</f>
        <v>3.0000000000000249E-2</v>
      </c>
    </row>
    <row r="3268" spans="1:14">
      <c r="A3268" s="67" t="s">
        <v>1232</v>
      </c>
      <c r="B3268" s="68">
        <v>3.2178280594971298</v>
      </c>
      <c r="C3268" s="69">
        <v>4.0350000000000001</v>
      </c>
      <c r="D3268" s="70">
        <f t="shared" si="350"/>
        <v>7</v>
      </c>
      <c r="E3268" s="70">
        <f t="shared" si="351"/>
        <v>0.2</v>
      </c>
      <c r="F3268" s="70">
        <f t="shared" si="352"/>
        <v>5</v>
      </c>
      <c r="G3268" s="70">
        <f t="shared" si="353"/>
        <v>3.1460624773894339</v>
      </c>
      <c r="H3268" s="70">
        <f t="shared" si="354"/>
        <v>1</v>
      </c>
      <c r="I3268" s="70">
        <f t="shared" si="355"/>
        <v>1</v>
      </c>
      <c r="J3268" s="70">
        <f t="shared" si="356"/>
        <v>3.1460624773894339</v>
      </c>
      <c r="K3268" s="70">
        <f>IF(CurrentMtgRatesDataTable8[[#This Row],[WA CC]]&lt;&gt;0,C3267-CurrentMtgRatesDataTable8[[#This Row],[WA CC]],0)</f>
        <v>0.88893752261056624</v>
      </c>
      <c r="L3268" s="70">
        <f>IF(CurrentMtgRatesDataTable8[[#This Row],[Servicing Spread]]&lt;=0,L3267,CurrentMtgRatesDataTable8[[#This Row],[Servicing Spread]])</f>
        <v>0.88893752261056624</v>
      </c>
      <c r="M3268" s="70">
        <f>CurrentMtgRatesDataTable8[[#This Row],[Servicing Spread Non-Zero]]-L3267</f>
        <v>-3.2915899331543486E-2</v>
      </c>
      <c r="N3268" s="70">
        <f>IF(J3267&lt;&gt;0,CurrentMtgRatesDataTable8[[#This Row],[Rate]]-C3267,N3267)</f>
        <v>3.0000000000000249E-2</v>
      </c>
    </row>
    <row r="3269" spans="1:14">
      <c r="A3269" s="67" t="s">
        <v>1233</v>
      </c>
      <c r="B3269" s="68">
        <v>3.3050524395001402</v>
      </c>
      <c r="C3269" s="69">
        <v>4.1749999999999998</v>
      </c>
      <c r="D3269" s="70">
        <f t="shared" ref="D3269:D3332" si="357">WEEKDAY(A3269,14)</f>
        <v>1</v>
      </c>
      <c r="E3269" s="70">
        <f t="shared" ref="E3269:E3332" si="358">VLOOKUP(D3269,Q$5:R$11,2,FALSE)</f>
        <v>0.2</v>
      </c>
      <c r="F3269" s="70">
        <f t="shared" ref="F3269:F3332" si="359">IF(AND(D3269&gt;D3268,F3268&lt;6),F3268+1,1)</f>
        <v>1</v>
      </c>
      <c r="G3269" s="70">
        <f t="shared" ref="G3269:G3332" si="360">IF(F3269&gt;F3268,G3268+B3269*E3269,B3269*E3269)</f>
        <v>0.66101048790002803</v>
      </c>
      <c r="H3269" s="70">
        <f t="shared" ref="H3269:H3332" si="361">IF(AND(F3269&lt;6,F3269&gt;F3268),E3269+H3268,E3269)</f>
        <v>0.2</v>
      </c>
      <c r="I3269" s="70">
        <f t="shared" ref="I3269:I3332" si="362">IF(F3269&gt;F3270,1,0)</f>
        <v>0</v>
      </c>
      <c r="J3269" s="70">
        <f t="shared" ref="J3269:J3332" si="363">IF(F3269&gt;F3270,G3269/H3269,0)</f>
        <v>0</v>
      </c>
      <c r="K3269" s="70">
        <f>IF(CurrentMtgRatesDataTable8[[#This Row],[WA CC]]&lt;&gt;0,C3268-CurrentMtgRatesDataTable8[[#This Row],[WA CC]],0)</f>
        <v>0</v>
      </c>
      <c r="L3269" s="70">
        <f>IF(CurrentMtgRatesDataTable8[[#This Row],[Servicing Spread]]&lt;=0,L3268,CurrentMtgRatesDataTable8[[#This Row],[Servicing Spread]])</f>
        <v>0.88893752261056624</v>
      </c>
      <c r="M3269" s="70">
        <f>CurrentMtgRatesDataTable8[[#This Row],[Servicing Spread Non-Zero]]-L3268</f>
        <v>0</v>
      </c>
      <c r="N3269" s="70">
        <f>IF(J3268&lt;&gt;0,CurrentMtgRatesDataTable8[[#This Row],[Rate]]-C3268,N3268)</f>
        <v>0.13999999999999968</v>
      </c>
    </row>
    <row r="3270" spans="1:14">
      <c r="A3270" s="67" t="s">
        <v>1234</v>
      </c>
      <c r="B3270" s="68">
        <v>3.3305211408689099</v>
      </c>
      <c r="C3270" s="69">
        <v>4.1749999999999998</v>
      </c>
      <c r="D3270" s="70">
        <f t="shared" si="357"/>
        <v>2</v>
      </c>
      <c r="E3270" s="70">
        <f t="shared" si="358"/>
        <v>0.2</v>
      </c>
      <c r="F3270" s="70">
        <f t="shared" si="359"/>
        <v>2</v>
      </c>
      <c r="G3270" s="70">
        <f t="shared" si="360"/>
        <v>1.3271147160738099</v>
      </c>
      <c r="H3270" s="70">
        <f t="shared" si="361"/>
        <v>0.4</v>
      </c>
      <c r="I3270" s="70">
        <f t="shared" si="362"/>
        <v>0</v>
      </c>
      <c r="J3270" s="70">
        <f t="shared" si="363"/>
        <v>0</v>
      </c>
      <c r="K3270" s="70">
        <f>IF(CurrentMtgRatesDataTable8[[#This Row],[WA CC]]&lt;&gt;0,C3269-CurrentMtgRatesDataTable8[[#This Row],[WA CC]],0)</f>
        <v>0</v>
      </c>
      <c r="L3270" s="70">
        <f>IF(CurrentMtgRatesDataTable8[[#This Row],[Servicing Spread]]&lt;=0,L3269,CurrentMtgRatesDataTable8[[#This Row],[Servicing Spread]])</f>
        <v>0.88893752261056624</v>
      </c>
      <c r="M3270" s="70">
        <f>CurrentMtgRatesDataTable8[[#This Row],[Servicing Spread Non-Zero]]-L3269</f>
        <v>0</v>
      </c>
      <c r="N3270" s="70">
        <f>IF(J3269&lt;&gt;0,CurrentMtgRatesDataTable8[[#This Row],[Rate]]-C3269,N3269)</f>
        <v>0.13999999999999968</v>
      </c>
    </row>
    <row r="3271" spans="1:14">
      <c r="A3271" s="67" t="s">
        <v>1235</v>
      </c>
      <c r="B3271" s="68">
        <v>3.2735630913423499</v>
      </c>
      <c r="C3271" s="69">
        <v>4.1749999999999998</v>
      </c>
      <c r="D3271" s="70">
        <f t="shared" si="357"/>
        <v>5</v>
      </c>
      <c r="E3271" s="70">
        <f t="shared" si="358"/>
        <v>0.2</v>
      </c>
      <c r="F3271" s="70">
        <f t="shared" si="359"/>
        <v>3</v>
      </c>
      <c r="G3271" s="70">
        <f t="shared" si="360"/>
        <v>1.9818273343422801</v>
      </c>
      <c r="H3271" s="70">
        <f t="shared" si="361"/>
        <v>0.60000000000000009</v>
      </c>
      <c r="I3271" s="70">
        <f t="shared" si="362"/>
        <v>0</v>
      </c>
      <c r="J3271" s="70">
        <f t="shared" si="363"/>
        <v>0</v>
      </c>
      <c r="K3271" s="70">
        <f>IF(CurrentMtgRatesDataTable8[[#This Row],[WA CC]]&lt;&gt;0,C3270-CurrentMtgRatesDataTable8[[#This Row],[WA CC]],0)</f>
        <v>0</v>
      </c>
      <c r="L3271" s="70">
        <f>IF(CurrentMtgRatesDataTable8[[#This Row],[Servicing Spread]]&lt;=0,L3270,CurrentMtgRatesDataTable8[[#This Row],[Servicing Spread]])</f>
        <v>0.88893752261056624</v>
      </c>
      <c r="M3271" s="70">
        <f>CurrentMtgRatesDataTable8[[#This Row],[Servicing Spread Non-Zero]]-L3270</f>
        <v>0</v>
      </c>
      <c r="N3271" s="70">
        <f>IF(J3270&lt;&gt;0,CurrentMtgRatesDataTable8[[#This Row],[Rate]]-C3270,N3270)</f>
        <v>0.13999999999999968</v>
      </c>
    </row>
    <row r="3272" spans="1:14">
      <c r="A3272" s="67" t="s">
        <v>1236</v>
      </c>
      <c r="B3272" s="68">
        <v>3.2884025896165299</v>
      </c>
      <c r="C3272" s="69">
        <v>4.1749999999999998</v>
      </c>
      <c r="D3272" s="70">
        <f t="shared" si="357"/>
        <v>6</v>
      </c>
      <c r="E3272" s="70">
        <f t="shared" si="358"/>
        <v>0.2</v>
      </c>
      <c r="F3272" s="70">
        <f t="shared" si="359"/>
        <v>4</v>
      </c>
      <c r="G3272" s="70">
        <f t="shared" si="360"/>
        <v>2.6395078522655862</v>
      </c>
      <c r="H3272" s="70">
        <f t="shared" si="361"/>
        <v>0.8</v>
      </c>
      <c r="I3272" s="70">
        <f t="shared" si="362"/>
        <v>0</v>
      </c>
      <c r="J3272" s="70">
        <f t="shared" si="363"/>
        <v>0</v>
      </c>
      <c r="K3272" s="70">
        <f>IF(CurrentMtgRatesDataTable8[[#This Row],[WA CC]]&lt;&gt;0,C3271-CurrentMtgRatesDataTable8[[#This Row],[WA CC]],0)</f>
        <v>0</v>
      </c>
      <c r="L3272" s="70">
        <f>IF(CurrentMtgRatesDataTable8[[#This Row],[Servicing Spread]]&lt;=0,L3271,CurrentMtgRatesDataTable8[[#This Row],[Servicing Spread]])</f>
        <v>0.88893752261056624</v>
      </c>
      <c r="M3272" s="70">
        <f>CurrentMtgRatesDataTable8[[#This Row],[Servicing Spread Non-Zero]]-L3271</f>
        <v>0</v>
      </c>
      <c r="N3272" s="70">
        <f>IF(J3271&lt;&gt;0,CurrentMtgRatesDataTable8[[#This Row],[Rate]]-C3271,N3271)</f>
        <v>0.13999999999999968</v>
      </c>
    </row>
    <row r="3273" spans="1:14">
      <c r="A3273" s="67" t="s">
        <v>1237</v>
      </c>
      <c r="B3273" s="68">
        <v>3.25892031354691</v>
      </c>
      <c r="C3273" s="69">
        <v>4.1749999999999998</v>
      </c>
      <c r="D3273" s="70">
        <f t="shared" si="357"/>
        <v>7</v>
      </c>
      <c r="E3273" s="70">
        <f t="shared" si="358"/>
        <v>0.2</v>
      </c>
      <c r="F3273" s="70">
        <f t="shared" si="359"/>
        <v>5</v>
      </c>
      <c r="G3273" s="70">
        <f t="shared" si="360"/>
        <v>3.291291914974968</v>
      </c>
      <c r="H3273" s="70">
        <f t="shared" si="361"/>
        <v>1</v>
      </c>
      <c r="I3273" s="70">
        <f t="shared" si="362"/>
        <v>1</v>
      </c>
      <c r="J3273" s="70">
        <f t="shared" si="363"/>
        <v>3.291291914974968</v>
      </c>
      <c r="K3273" s="70">
        <f>IF(CurrentMtgRatesDataTable8[[#This Row],[WA CC]]&lt;&gt;0,C3272-CurrentMtgRatesDataTable8[[#This Row],[WA CC]],0)</f>
        <v>0.88370808502503184</v>
      </c>
      <c r="L3273" s="70">
        <f>IF(CurrentMtgRatesDataTable8[[#This Row],[Servicing Spread]]&lt;=0,L3272,CurrentMtgRatesDataTable8[[#This Row],[Servicing Spread]])</f>
        <v>0.88370808502503184</v>
      </c>
      <c r="M3273" s="70">
        <f>CurrentMtgRatesDataTable8[[#This Row],[Servicing Spread Non-Zero]]-L3272</f>
        <v>-5.2294375855344022E-3</v>
      </c>
      <c r="N3273" s="70">
        <f>IF(J3272&lt;&gt;0,CurrentMtgRatesDataTable8[[#This Row],[Rate]]-C3272,N3272)</f>
        <v>0.13999999999999968</v>
      </c>
    </row>
    <row r="3274" spans="1:14">
      <c r="A3274" s="67" t="s">
        <v>1238</v>
      </c>
      <c r="B3274" s="68">
        <v>3.2544954518988001</v>
      </c>
      <c r="C3274" s="69">
        <v>4.1950000000000003</v>
      </c>
      <c r="D3274" s="70">
        <f t="shared" si="357"/>
        <v>1</v>
      </c>
      <c r="E3274" s="70">
        <f t="shared" si="358"/>
        <v>0.2</v>
      </c>
      <c r="F3274" s="70">
        <f t="shared" si="359"/>
        <v>1</v>
      </c>
      <c r="G3274" s="70">
        <f t="shared" si="360"/>
        <v>0.65089909037976001</v>
      </c>
      <c r="H3274" s="70">
        <f t="shared" si="361"/>
        <v>0.2</v>
      </c>
      <c r="I3274" s="70">
        <f t="shared" si="362"/>
        <v>0</v>
      </c>
      <c r="J3274" s="70">
        <f t="shared" si="363"/>
        <v>0</v>
      </c>
      <c r="K3274" s="70">
        <f>IF(CurrentMtgRatesDataTable8[[#This Row],[WA CC]]&lt;&gt;0,C3273-CurrentMtgRatesDataTable8[[#This Row],[WA CC]],0)</f>
        <v>0</v>
      </c>
      <c r="L3274" s="70">
        <f>IF(CurrentMtgRatesDataTable8[[#This Row],[Servicing Spread]]&lt;=0,L3273,CurrentMtgRatesDataTable8[[#This Row],[Servicing Spread]])</f>
        <v>0.88370808502503184</v>
      </c>
      <c r="M3274" s="70">
        <f>CurrentMtgRatesDataTable8[[#This Row],[Servicing Spread Non-Zero]]-L3273</f>
        <v>0</v>
      </c>
      <c r="N3274" s="70">
        <f>IF(J3273&lt;&gt;0,CurrentMtgRatesDataTable8[[#This Row],[Rate]]-C3273,N3273)</f>
        <v>2.0000000000000462E-2</v>
      </c>
    </row>
    <row r="3275" spans="1:14">
      <c r="A3275" s="67" t="s">
        <v>1239</v>
      </c>
      <c r="B3275" s="68">
        <v>3.25541429686829</v>
      </c>
      <c r="C3275" s="69">
        <v>4.1950000000000003</v>
      </c>
      <c r="D3275" s="70">
        <f t="shared" si="357"/>
        <v>2</v>
      </c>
      <c r="E3275" s="70">
        <f t="shared" si="358"/>
        <v>0.2</v>
      </c>
      <c r="F3275" s="70">
        <f t="shared" si="359"/>
        <v>2</v>
      </c>
      <c r="G3275" s="70">
        <f t="shared" si="360"/>
        <v>1.3019819497534182</v>
      </c>
      <c r="H3275" s="70">
        <f t="shared" si="361"/>
        <v>0.4</v>
      </c>
      <c r="I3275" s="70">
        <f t="shared" si="362"/>
        <v>0</v>
      </c>
      <c r="J3275" s="70">
        <f t="shared" si="363"/>
        <v>0</v>
      </c>
      <c r="K3275" s="70">
        <f>IF(CurrentMtgRatesDataTable8[[#This Row],[WA CC]]&lt;&gt;0,C3274-CurrentMtgRatesDataTable8[[#This Row],[WA CC]],0)</f>
        <v>0</v>
      </c>
      <c r="L3275" s="70">
        <f>IF(CurrentMtgRatesDataTable8[[#This Row],[Servicing Spread]]&lt;=0,L3274,CurrentMtgRatesDataTable8[[#This Row],[Servicing Spread]])</f>
        <v>0.88370808502503184</v>
      </c>
      <c r="M3275" s="70">
        <f>CurrentMtgRatesDataTable8[[#This Row],[Servicing Spread Non-Zero]]-L3274</f>
        <v>0</v>
      </c>
      <c r="N3275" s="70">
        <f>IF(J3274&lt;&gt;0,CurrentMtgRatesDataTable8[[#This Row],[Rate]]-C3274,N3274)</f>
        <v>2.0000000000000462E-2</v>
      </c>
    </row>
    <row r="3276" spans="1:14">
      <c r="A3276" s="67" t="s">
        <v>1240</v>
      </c>
      <c r="B3276" s="68">
        <v>3.2725828232051102</v>
      </c>
      <c r="C3276" s="69">
        <v>4.1950000000000003</v>
      </c>
      <c r="D3276" s="70">
        <f t="shared" si="357"/>
        <v>6</v>
      </c>
      <c r="E3276" s="70">
        <f t="shared" si="358"/>
        <v>0.2</v>
      </c>
      <c r="F3276" s="70">
        <f t="shared" si="359"/>
        <v>3</v>
      </c>
      <c r="G3276" s="70">
        <f t="shared" si="360"/>
        <v>1.9564985143944402</v>
      </c>
      <c r="H3276" s="70">
        <f t="shared" si="361"/>
        <v>0.60000000000000009</v>
      </c>
      <c r="I3276" s="70">
        <f t="shared" si="362"/>
        <v>0</v>
      </c>
      <c r="J3276" s="70">
        <f t="shared" si="363"/>
        <v>0</v>
      </c>
      <c r="K3276" s="70">
        <f>IF(CurrentMtgRatesDataTable8[[#This Row],[WA CC]]&lt;&gt;0,C3275-CurrentMtgRatesDataTable8[[#This Row],[WA CC]],0)</f>
        <v>0</v>
      </c>
      <c r="L3276" s="70">
        <f>IF(CurrentMtgRatesDataTable8[[#This Row],[Servicing Spread]]&lt;=0,L3275,CurrentMtgRatesDataTable8[[#This Row],[Servicing Spread]])</f>
        <v>0.88370808502503184</v>
      </c>
      <c r="M3276" s="70">
        <f>CurrentMtgRatesDataTable8[[#This Row],[Servicing Spread Non-Zero]]-L3275</f>
        <v>0</v>
      </c>
      <c r="N3276" s="70">
        <f>IF(J3275&lt;&gt;0,CurrentMtgRatesDataTable8[[#This Row],[Rate]]-C3275,N3275)</f>
        <v>2.0000000000000462E-2</v>
      </c>
    </row>
    <row r="3277" spans="1:14">
      <c r="A3277" s="67" t="s">
        <v>1241</v>
      </c>
      <c r="B3277" s="68">
        <v>3.2082776514321698</v>
      </c>
      <c r="C3277" s="69">
        <v>4.1950000000000003</v>
      </c>
      <c r="D3277" s="70">
        <f t="shared" si="357"/>
        <v>7</v>
      </c>
      <c r="E3277" s="70">
        <f t="shared" si="358"/>
        <v>0.2</v>
      </c>
      <c r="F3277" s="70">
        <f t="shared" si="359"/>
        <v>4</v>
      </c>
      <c r="G3277" s="70">
        <f t="shared" si="360"/>
        <v>2.5981540446808742</v>
      </c>
      <c r="H3277" s="70">
        <f t="shared" si="361"/>
        <v>0.8</v>
      </c>
      <c r="I3277" s="70">
        <f t="shared" si="362"/>
        <v>1</v>
      </c>
      <c r="J3277" s="70">
        <f t="shared" si="363"/>
        <v>3.2476925558510925</v>
      </c>
      <c r="K3277" s="70">
        <f>IF(CurrentMtgRatesDataTable8[[#This Row],[WA CC]]&lt;&gt;0,C3276-CurrentMtgRatesDataTable8[[#This Row],[WA CC]],0)</f>
        <v>0.94730744414890777</v>
      </c>
      <c r="L3277" s="70">
        <f>IF(CurrentMtgRatesDataTable8[[#This Row],[Servicing Spread]]&lt;=0,L3276,CurrentMtgRatesDataTable8[[#This Row],[Servicing Spread]])</f>
        <v>0.94730744414890777</v>
      </c>
      <c r="M3277" s="70">
        <f>CurrentMtgRatesDataTable8[[#This Row],[Servicing Spread Non-Zero]]-L3276</f>
        <v>6.3599359123875931E-2</v>
      </c>
      <c r="N3277" s="70">
        <f>IF(J3276&lt;&gt;0,CurrentMtgRatesDataTable8[[#This Row],[Rate]]-C3276,N3276)</f>
        <v>2.0000000000000462E-2</v>
      </c>
    </row>
    <row r="3278" spans="1:14">
      <c r="A3278" s="67" t="s">
        <v>1242</v>
      </c>
      <c r="B3278" s="68">
        <v>3.1554338932112498</v>
      </c>
      <c r="C3278" s="69">
        <v>4.0750000000000002</v>
      </c>
      <c r="D3278" s="70">
        <f t="shared" si="357"/>
        <v>1</v>
      </c>
      <c r="E3278" s="70">
        <f t="shared" si="358"/>
        <v>0.2</v>
      </c>
      <c r="F3278" s="70">
        <f t="shared" si="359"/>
        <v>1</v>
      </c>
      <c r="G3278" s="70">
        <f t="shared" si="360"/>
        <v>0.63108677864225005</v>
      </c>
      <c r="H3278" s="70">
        <f t="shared" si="361"/>
        <v>0.2</v>
      </c>
      <c r="I3278" s="70">
        <f t="shared" si="362"/>
        <v>0</v>
      </c>
      <c r="J3278" s="70">
        <f t="shared" si="363"/>
        <v>0</v>
      </c>
      <c r="K3278" s="70">
        <f>IF(CurrentMtgRatesDataTable8[[#This Row],[WA CC]]&lt;&gt;0,C3277-CurrentMtgRatesDataTable8[[#This Row],[WA CC]],0)</f>
        <v>0</v>
      </c>
      <c r="L3278" s="70">
        <f>IF(CurrentMtgRatesDataTable8[[#This Row],[Servicing Spread]]&lt;=0,L3277,CurrentMtgRatesDataTable8[[#This Row],[Servicing Spread]])</f>
        <v>0.94730744414890777</v>
      </c>
      <c r="M3278" s="70">
        <f>CurrentMtgRatesDataTable8[[#This Row],[Servicing Spread Non-Zero]]-L3277</f>
        <v>0</v>
      </c>
      <c r="N3278" s="70">
        <f>IF(J3277&lt;&gt;0,CurrentMtgRatesDataTable8[[#This Row],[Rate]]-C3277,N3277)</f>
        <v>-0.12000000000000011</v>
      </c>
    </row>
    <row r="3279" spans="1:14">
      <c r="A3279" s="67" t="s">
        <v>1243</v>
      </c>
      <c r="B3279" s="68">
        <v>3.0949306211781802</v>
      </c>
      <c r="C3279" s="69">
        <v>4.0750000000000002</v>
      </c>
      <c r="D3279" s="70">
        <f t="shared" si="357"/>
        <v>2</v>
      </c>
      <c r="E3279" s="70">
        <f t="shared" si="358"/>
        <v>0.2</v>
      </c>
      <c r="F3279" s="70">
        <f t="shared" si="359"/>
        <v>2</v>
      </c>
      <c r="G3279" s="70">
        <f t="shared" si="360"/>
        <v>1.2500729028778861</v>
      </c>
      <c r="H3279" s="70">
        <f t="shared" si="361"/>
        <v>0.4</v>
      </c>
      <c r="I3279" s="70">
        <f t="shared" si="362"/>
        <v>0</v>
      </c>
      <c r="J3279" s="70">
        <f t="shared" si="363"/>
        <v>0</v>
      </c>
      <c r="K3279" s="70">
        <f>IF(CurrentMtgRatesDataTable8[[#This Row],[WA CC]]&lt;&gt;0,C3278-CurrentMtgRatesDataTable8[[#This Row],[WA CC]],0)</f>
        <v>0</v>
      </c>
      <c r="L3279" s="70">
        <f>IF(CurrentMtgRatesDataTable8[[#This Row],[Servicing Spread]]&lt;=0,L3278,CurrentMtgRatesDataTable8[[#This Row],[Servicing Spread]])</f>
        <v>0.94730744414890777</v>
      </c>
      <c r="M3279" s="70">
        <f>CurrentMtgRatesDataTable8[[#This Row],[Servicing Spread Non-Zero]]-L3278</f>
        <v>0</v>
      </c>
      <c r="N3279" s="70">
        <f>IF(J3278&lt;&gt;0,CurrentMtgRatesDataTable8[[#This Row],[Rate]]-C3278,N3278)</f>
        <v>-0.12000000000000011</v>
      </c>
    </row>
    <row r="3280" spans="1:14">
      <c r="A3280" s="67" t="s">
        <v>1244</v>
      </c>
      <c r="B3280" s="68">
        <v>3.1214715085485301</v>
      </c>
      <c r="C3280" s="69">
        <v>4.0750000000000002</v>
      </c>
      <c r="D3280" s="70">
        <f t="shared" si="357"/>
        <v>6</v>
      </c>
      <c r="E3280" s="70">
        <f t="shared" si="358"/>
        <v>0.2</v>
      </c>
      <c r="F3280" s="70">
        <f t="shared" si="359"/>
        <v>3</v>
      </c>
      <c r="G3280" s="70">
        <f t="shared" si="360"/>
        <v>1.8743672045875921</v>
      </c>
      <c r="H3280" s="70">
        <f t="shared" si="361"/>
        <v>0.60000000000000009</v>
      </c>
      <c r="I3280" s="70">
        <f t="shared" si="362"/>
        <v>0</v>
      </c>
      <c r="J3280" s="70">
        <f t="shared" si="363"/>
        <v>0</v>
      </c>
      <c r="K3280" s="70">
        <f>IF(CurrentMtgRatesDataTable8[[#This Row],[WA CC]]&lt;&gt;0,C3279-CurrentMtgRatesDataTable8[[#This Row],[WA CC]],0)</f>
        <v>0</v>
      </c>
      <c r="L3280" s="70">
        <f>IF(CurrentMtgRatesDataTable8[[#This Row],[Servicing Spread]]&lt;=0,L3279,CurrentMtgRatesDataTable8[[#This Row],[Servicing Spread]])</f>
        <v>0.94730744414890777</v>
      </c>
      <c r="M3280" s="70">
        <f>CurrentMtgRatesDataTable8[[#This Row],[Servicing Spread Non-Zero]]-L3279</f>
        <v>0</v>
      </c>
      <c r="N3280" s="70">
        <f>IF(J3279&lt;&gt;0,CurrentMtgRatesDataTable8[[#This Row],[Rate]]-C3279,N3279)</f>
        <v>-0.12000000000000011</v>
      </c>
    </row>
    <row r="3281" spans="1:14">
      <c r="A3281" s="67" t="s">
        <v>1245</v>
      </c>
      <c r="B3281" s="68">
        <v>3.1384996351244299</v>
      </c>
      <c r="C3281" s="69">
        <v>4.0750000000000002</v>
      </c>
      <c r="D3281" s="70">
        <f t="shared" si="357"/>
        <v>7</v>
      </c>
      <c r="E3281" s="70">
        <f t="shared" si="358"/>
        <v>0.2</v>
      </c>
      <c r="F3281" s="70">
        <f t="shared" si="359"/>
        <v>4</v>
      </c>
      <c r="G3281" s="70">
        <f t="shared" si="360"/>
        <v>2.5020671316124781</v>
      </c>
      <c r="H3281" s="70">
        <f t="shared" si="361"/>
        <v>0.8</v>
      </c>
      <c r="I3281" s="70">
        <f t="shared" si="362"/>
        <v>1</v>
      </c>
      <c r="J3281" s="70">
        <f t="shared" si="363"/>
        <v>3.1275839145155975</v>
      </c>
      <c r="K3281" s="70">
        <f>IF(CurrentMtgRatesDataTable8[[#This Row],[WA CC]]&lt;&gt;0,C3280-CurrentMtgRatesDataTable8[[#This Row],[WA CC]],0)</f>
        <v>0.9474160854844027</v>
      </c>
      <c r="L3281" s="70">
        <f>IF(CurrentMtgRatesDataTable8[[#This Row],[Servicing Spread]]&lt;=0,L3280,CurrentMtgRatesDataTable8[[#This Row],[Servicing Spread]])</f>
        <v>0.9474160854844027</v>
      </c>
      <c r="M3281" s="70">
        <f>CurrentMtgRatesDataTable8[[#This Row],[Servicing Spread Non-Zero]]-L3280</f>
        <v>1.0864133549493005E-4</v>
      </c>
      <c r="N3281" s="70">
        <f>IF(J3280&lt;&gt;0,CurrentMtgRatesDataTable8[[#This Row],[Rate]]-C3280,N3280)</f>
        <v>-0.12000000000000011</v>
      </c>
    </row>
    <row r="3282" spans="1:14">
      <c r="A3282" s="67" t="s">
        <v>1246</v>
      </c>
      <c r="B3282" s="68">
        <v>3.0451114987111199</v>
      </c>
      <c r="C3282" s="69">
        <v>3.9950000000000001</v>
      </c>
      <c r="D3282" s="70">
        <f t="shared" si="357"/>
        <v>1</v>
      </c>
      <c r="E3282" s="70">
        <f t="shared" si="358"/>
        <v>0.2</v>
      </c>
      <c r="F3282" s="70">
        <f t="shared" si="359"/>
        <v>1</v>
      </c>
      <c r="G3282" s="70">
        <f t="shared" si="360"/>
        <v>0.60902229974222399</v>
      </c>
      <c r="H3282" s="70">
        <f t="shared" si="361"/>
        <v>0.2</v>
      </c>
      <c r="I3282" s="70">
        <f t="shared" si="362"/>
        <v>0</v>
      </c>
      <c r="J3282" s="70">
        <f t="shared" si="363"/>
        <v>0</v>
      </c>
      <c r="K3282" s="70">
        <f>IF(CurrentMtgRatesDataTable8[[#This Row],[WA CC]]&lt;&gt;0,C3281-CurrentMtgRatesDataTable8[[#This Row],[WA CC]],0)</f>
        <v>0</v>
      </c>
      <c r="L3282" s="70">
        <f>IF(CurrentMtgRatesDataTable8[[#This Row],[Servicing Spread]]&lt;=0,L3281,CurrentMtgRatesDataTable8[[#This Row],[Servicing Spread]])</f>
        <v>0.9474160854844027</v>
      </c>
      <c r="M3282" s="70">
        <f>CurrentMtgRatesDataTable8[[#This Row],[Servicing Spread Non-Zero]]-L3281</f>
        <v>0</v>
      </c>
      <c r="N3282" s="70">
        <f>IF(J3281&lt;&gt;0,CurrentMtgRatesDataTable8[[#This Row],[Rate]]-C3281,N3281)</f>
        <v>-8.0000000000000071E-2</v>
      </c>
    </row>
    <row r="3283" spans="1:14">
      <c r="A3283" s="67" t="s">
        <v>1247</v>
      </c>
      <c r="B3283" s="68">
        <v>3.1031472109984501</v>
      </c>
      <c r="C3283" s="69">
        <v>3.9950000000000001</v>
      </c>
      <c r="D3283" s="70">
        <f t="shared" si="357"/>
        <v>2</v>
      </c>
      <c r="E3283" s="70">
        <f t="shared" si="358"/>
        <v>0.2</v>
      </c>
      <c r="F3283" s="70">
        <f t="shared" si="359"/>
        <v>2</v>
      </c>
      <c r="G3283" s="70">
        <f t="shared" si="360"/>
        <v>1.2296517419419142</v>
      </c>
      <c r="H3283" s="70">
        <f t="shared" si="361"/>
        <v>0.4</v>
      </c>
      <c r="I3283" s="70">
        <f t="shared" si="362"/>
        <v>0</v>
      </c>
      <c r="J3283" s="70">
        <f t="shared" si="363"/>
        <v>0</v>
      </c>
      <c r="K3283" s="70">
        <f>IF(CurrentMtgRatesDataTable8[[#This Row],[WA CC]]&lt;&gt;0,C3282-CurrentMtgRatesDataTable8[[#This Row],[WA CC]],0)</f>
        <v>0</v>
      </c>
      <c r="L3283" s="70">
        <f>IF(CurrentMtgRatesDataTable8[[#This Row],[Servicing Spread]]&lt;=0,L3282,CurrentMtgRatesDataTable8[[#This Row],[Servicing Spread]])</f>
        <v>0.9474160854844027</v>
      </c>
      <c r="M3283" s="70">
        <f>CurrentMtgRatesDataTable8[[#This Row],[Servicing Spread Non-Zero]]-L3282</f>
        <v>0</v>
      </c>
      <c r="N3283" s="70">
        <f>IF(J3282&lt;&gt;0,CurrentMtgRatesDataTable8[[#This Row],[Rate]]-C3282,N3282)</f>
        <v>-8.0000000000000071E-2</v>
      </c>
    </row>
    <row r="3284" spans="1:14">
      <c r="A3284" s="67" t="s">
        <v>1248</v>
      </c>
      <c r="B3284" s="68">
        <v>3.0761940067362201</v>
      </c>
      <c r="C3284" s="69">
        <v>3.9950000000000001</v>
      </c>
      <c r="D3284" s="70">
        <f t="shared" si="357"/>
        <v>5</v>
      </c>
      <c r="E3284" s="70">
        <f t="shared" si="358"/>
        <v>0.2</v>
      </c>
      <c r="F3284" s="70">
        <f t="shared" si="359"/>
        <v>3</v>
      </c>
      <c r="G3284" s="70">
        <f t="shared" si="360"/>
        <v>1.8448905432891582</v>
      </c>
      <c r="H3284" s="70">
        <f t="shared" si="361"/>
        <v>0.60000000000000009</v>
      </c>
      <c r="I3284" s="70">
        <f t="shared" si="362"/>
        <v>0</v>
      </c>
      <c r="J3284" s="70">
        <f t="shared" si="363"/>
        <v>0</v>
      </c>
      <c r="K3284" s="70">
        <f>IF(CurrentMtgRatesDataTable8[[#This Row],[WA CC]]&lt;&gt;0,C3283-CurrentMtgRatesDataTable8[[#This Row],[WA CC]],0)</f>
        <v>0</v>
      </c>
      <c r="L3284" s="70">
        <f>IF(CurrentMtgRatesDataTable8[[#This Row],[Servicing Spread]]&lt;=0,L3283,CurrentMtgRatesDataTable8[[#This Row],[Servicing Spread]])</f>
        <v>0.9474160854844027</v>
      </c>
      <c r="M3284" s="70">
        <f>CurrentMtgRatesDataTable8[[#This Row],[Servicing Spread Non-Zero]]-L3283</f>
        <v>0</v>
      </c>
      <c r="N3284" s="70">
        <f>IF(J3283&lt;&gt;0,CurrentMtgRatesDataTable8[[#This Row],[Rate]]-C3283,N3283)</f>
        <v>-8.0000000000000071E-2</v>
      </c>
    </row>
    <row r="3285" spans="1:14">
      <c r="A3285" s="67" t="s">
        <v>1249</v>
      </c>
      <c r="B3285" s="68">
        <v>3.0731891921219798</v>
      </c>
      <c r="C3285" s="69">
        <v>3.9950000000000001</v>
      </c>
      <c r="D3285" s="70">
        <f t="shared" si="357"/>
        <v>6</v>
      </c>
      <c r="E3285" s="70">
        <f t="shared" si="358"/>
        <v>0.2</v>
      </c>
      <c r="F3285" s="70">
        <f t="shared" si="359"/>
        <v>4</v>
      </c>
      <c r="G3285" s="70">
        <f t="shared" si="360"/>
        <v>2.4595283817135543</v>
      </c>
      <c r="H3285" s="70">
        <f t="shared" si="361"/>
        <v>0.8</v>
      </c>
      <c r="I3285" s="70">
        <f t="shared" si="362"/>
        <v>0</v>
      </c>
      <c r="J3285" s="70">
        <f t="shared" si="363"/>
        <v>0</v>
      </c>
      <c r="K3285" s="70">
        <f>IF(CurrentMtgRatesDataTable8[[#This Row],[WA CC]]&lt;&gt;0,C3284-CurrentMtgRatesDataTable8[[#This Row],[WA CC]],0)</f>
        <v>0</v>
      </c>
      <c r="L3285" s="70">
        <f>IF(CurrentMtgRatesDataTable8[[#This Row],[Servicing Spread]]&lt;=0,L3284,CurrentMtgRatesDataTable8[[#This Row],[Servicing Spread]])</f>
        <v>0.9474160854844027</v>
      </c>
      <c r="M3285" s="70">
        <f>CurrentMtgRatesDataTable8[[#This Row],[Servicing Spread Non-Zero]]-L3284</f>
        <v>0</v>
      </c>
      <c r="N3285" s="70">
        <f>IF(J3284&lt;&gt;0,CurrentMtgRatesDataTable8[[#This Row],[Rate]]-C3284,N3284)</f>
        <v>-8.0000000000000071E-2</v>
      </c>
    </row>
    <row r="3286" spans="1:14">
      <c r="A3286" s="67" t="s">
        <v>1250</v>
      </c>
      <c r="B3286" s="68">
        <v>3.05308577181211</v>
      </c>
      <c r="C3286" s="69">
        <v>3.9950000000000001</v>
      </c>
      <c r="D3286" s="70">
        <f t="shared" si="357"/>
        <v>7</v>
      </c>
      <c r="E3286" s="70">
        <f t="shared" si="358"/>
        <v>0.2</v>
      </c>
      <c r="F3286" s="70">
        <f t="shared" si="359"/>
        <v>5</v>
      </c>
      <c r="G3286" s="70">
        <f t="shared" si="360"/>
        <v>3.0701455360759762</v>
      </c>
      <c r="H3286" s="70">
        <f t="shared" si="361"/>
        <v>1</v>
      </c>
      <c r="I3286" s="70">
        <f t="shared" si="362"/>
        <v>1</v>
      </c>
      <c r="J3286" s="70">
        <f t="shared" si="363"/>
        <v>3.0701455360759762</v>
      </c>
      <c r="K3286" s="70">
        <f>IF(CurrentMtgRatesDataTable8[[#This Row],[WA CC]]&lt;&gt;0,C3285-CurrentMtgRatesDataTable8[[#This Row],[WA CC]],0)</f>
        <v>0.92485446392402393</v>
      </c>
      <c r="L3286" s="70">
        <f>IF(CurrentMtgRatesDataTable8[[#This Row],[Servicing Spread]]&lt;=0,L3285,CurrentMtgRatesDataTable8[[#This Row],[Servicing Spread]])</f>
        <v>0.92485446392402393</v>
      </c>
      <c r="M3286" s="70">
        <f>CurrentMtgRatesDataTable8[[#This Row],[Servicing Spread Non-Zero]]-L3285</f>
        <v>-2.2561621560378775E-2</v>
      </c>
      <c r="N3286" s="70">
        <f>IF(J3285&lt;&gt;0,CurrentMtgRatesDataTable8[[#This Row],[Rate]]-C3285,N3285)</f>
        <v>-8.0000000000000071E-2</v>
      </c>
    </row>
    <row r="3287" spans="1:14">
      <c r="A3287" s="67" t="s">
        <v>1251</v>
      </c>
      <c r="B3287" s="68">
        <v>3.0490468852483001</v>
      </c>
      <c r="C3287" s="69">
        <v>3.9649999999999999</v>
      </c>
      <c r="D3287" s="70">
        <f t="shared" si="357"/>
        <v>1</v>
      </c>
      <c r="E3287" s="70">
        <f t="shared" si="358"/>
        <v>0.2</v>
      </c>
      <c r="F3287" s="70">
        <f t="shared" si="359"/>
        <v>1</v>
      </c>
      <c r="G3287" s="70">
        <f t="shared" si="360"/>
        <v>0.6098093770496601</v>
      </c>
      <c r="H3287" s="70">
        <f t="shared" si="361"/>
        <v>0.2</v>
      </c>
      <c r="I3287" s="70">
        <f t="shared" si="362"/>
        <v>0</v>
      </c>
      <c r="J3287" s="70">
        <f t="shared" si="363"/>
        <v>0</v>
      </c>
      <c r="K3287" s="70">
        <f>IF(CurrentMtgRatesDataTable8[[#This Row],[WA CC]]&lt;&gt;0,C3286-CurrentMtgRatesDataTable8[[#This Row],[WA CC]],0)</f>
        <v>0</v>
      </c>
      <c r="L3287" s="70">
        <f>IF(CurrentMtgRatesDataTable8[[#This Row],[Servicing Spread]]&lt;=0,L3286,CurrentMtgRatesDataTable8[[#This Row],[Servicing Spread]])</f>
        <v>0.92485446392402393</v>
      </c>
      <c r="M3287" s="70">
        <f>CurrentMtgRatesDataTable8[[#This Row],[Servicing Spread Non-Zero]]-L3286</f>
        <v>0</v>
      </c>
      <c r="N3287" s="70">
        <f>IF(J3286&lt;&gt;0,CurrentMtgRatesDataTable8[[#This Row],[Rate]]-C3286,N3286)</f>
        <v>-3.0000000000000249E-2</v>
      </c>
    </row>
    <row r="3288" spans="1:14">
      <c r="A3288" s="67" t="s">
        <v>1252</v>
      </c>
      <c r="B3288" s="68">
        <v>3.0821770129948698</v>
      </c>
      <c r="C3288" s="69">
        <v>3.9649999999999999</v>
      </c>
      <c r="D3288" s="70">
        <f t="shared" si="357"/>
        <v>2</v>
      </c>
      <c r="E3288" s="70">
        <f t="shared" si="358"/>
        <v>0.2</v>
      </c>
      <c r="F3288" s="70">
        <f t="shared" si="359"/>
        <v>2</v>
      </c>
      <c r="G3288" s="70">
        <f t="shared" si="360"/>
        <v>1.226244779648634</v>
      </c>
      <c r="H3288" s="70">
        <f t="shared" si="361"/>
        <v>0.4</v>
      </c>
      <c r="I3288" s="70">
        <f t="shared" si="362"/>
        <v>0</v>
      </c>
      <c r="J3288" s="70">
        <f t="shared" si="363"/>
        <v>0</v>
      </c>
      <c r="K3288" s="70">
        <f>IF(CurrentMtgRatesDataTable8[[#This Row],[WA CC]]&lt;&gt;0,C3287-CurrentMtgRatesDataTable8[[#This Row],[WA CC]],0)</f>
        <v>0</v>
      </c>
      <c r="L3288" s="70">
        <f>IF(CurrentMtgRatesDataTable8[[#This Row],[Servicing Spread]]&lt;=0,L3287,CurrentMtgRatesDataTable8[[#This Row],[Servicing Spread]])</f>
        <v>0.92485446392402393</v>
      </c>
      <c r="M3288" s="70">
        <f>CurrentMtgRatesDataTable8[[#This Row],[Servicing Spread Non-Zero]]-L3287</f>
        <v>0</v>
      </c>
      <c r="N3288" s="70">
        <f>IF(J3287&lt;&gt;0,CurrentMtgRatesDataTable8[[#This Row],[Rate]]-C3287,N3287)</f>
        <v>-3.0000000000000249E-2</v>
      </c>
    </row>
    <row r="3289" spans="1:14">
      <c r="A3289" s="67" t="s">
        <v>1253</v>
      </c>
      <c r="B3289" s="68">
        <v>3.03783768226076</v>
      </c>
      <c r="C3289" s="69">
        <v>3.9649999999999999</v>
      </c>
      <c r="D3289" s="70">
        <f t="shared" si="357"/>
        <v>6</v>
      </c>
      <c r="E3289" s="70">
        <f t="shared" si="358"/>
        <v>0.2</v>
      </c>
      <c r="F3289" s="70">
        <f t="shared" si="359"/>
        <v>3</v>
      </c>
      <c r="G3289" s="70">
        <f t="shared" si="360"/>
        <v>1.833812316100786</v>
      </c>
      <c r="H3289" s="70">
        <f t="shared" si="361"/>
        <v>0.60000000000000009</v>
      </c>
      <c r="I3289" s="70">
        <f t="shared" si="362"/>
        <v>0</v>
      </c>
      <c r="J3289" s="70">
        <f t="shared" si="363"/>
        <v>0</v>
      </c>
      <c r="K3289" s="70">
        <f>IF(CurrentMtgRatesDataTable8[[#This Row],[WA CC]]&lt;&gt;0,C3288-CurrentMtgRatesDataTable8[[#This Row],[WA CC]],0)</f>
        <v>0</v>
      </c>
      <c r="L3289" s="70">
        <f>IF(CurrentMtgRatesDataTable8[[#This Row],[Servicing Spread]]&lt;=0,L3288,CurrentMtgRatesDataTable8[[#This Row],[Servicing Spread]])</f>
        <v>0.92485446392402393</v>
      </c>
      <c r="M3289" s="70">
        <f>CurrentMtgRatesDataTable8[[#This Row],[Servicing Spread Non-Zero]]-L3288</f>
        <v>0</v>
      </c>
      <c r="N3289" s="70">
        <f>IF(J3288&lt;&gt;0,CurrentMtgRatesDataTable8[[#This Row],[Rate]]-C3288,N3288)</f>
        <v>-3.0000000000000249E-2</v>
      </c>
    </row>
    <row r="3290" spans="1:14">
      <c r="A3290" s="67" t="s">
        <v>1254</v>
      </c>
      <c r="B3290" s="68">
        <v>3.1230464878989399</v>
      </c>
      <c r="C3290" s="69">
        <v>3.9649999999999999</v>
      </c>
      <c r="D3290" s="70">
        <f t="shared" si="357"/>
        <v>7</v>
      </c>
      <c r="E3290" s="70">
        <f t="shared" si="358"/>
        <v>0.2</v>
      </c>
      <c r="F3290" s="70">
        <f t="shared" si="359"/>
        <v>4</v>
      </c>
      <c r="G3290" s="70">
        <f t="shared" si="360"/>
        <v>2.4584216136805739</v>
      </c>
      <c r="H3290" s="70">
        <f t="shared" si="361"/>
        <v>0.8</v>
      </c>
      <c r="I3290" s="70">
        <f t="shared" si="362"/>
        <v>1</v>
      </c>
      <c r="J3290" s="70">
        <f t="shared" si="363"/>
        <v>3.073027017100717</v>
      </c>
      <c r="K3290" s="70">
        <f>IF(CurrentMtgRatesDataTable8[[#This Row],[WA CC]]&lt;&gt;0,C3289-CurrentMtgRatesDataTable8[[#This Row],[WA CC]],0)</f>
        <v>0.89197298289928284</v>
      </c>
      <c r="L3290" s="70">
        <f>IF(CurrentMtgRatesDataTable8[[#This Row],[Servicing Spread]]&lt;=0,L3289,CurrentMtgRatesDataTable8[[#This Row],[Servicing Spread]])</f>
        <v>0.89197298289928284</v>
      </c>
      <c r="M3290" s="70">
        <f>CurrentMtgRatesDataTable8[[#This Row],[Servicing Spread Non-Zero]]-L3289</f>
        <v>-3.2881481024741088E-2</v>
      </c>
      <c r="N3290" s="70">
        <f>IF(J3289&lt;&gt;0,CurrentMtgRatesDataTable8[[#This Row],[Rate]]-C3289,N3289)</f>
        <v>-3.0000000000000249E-2</v>
      </c>
    </row>
    <row r="3291" spans="1:14">
      <c r="A3291" s="67" t="s">
        <v>1255</v>
      </c>
      <c r="B3291" s="68">
        <v>3.1861069346241799</v>
      </c>
      <c r="C3291" s="69">
        <v>4.04</v>
      </c>
      <c r="D3291" s="70">
        <f t="shared" si="357"/>
        <v>1</v>
      </c>
      <c r="E3291" s="70">
        <f t="shared" si="358"/>
        <v>0.2</v>
      </c>
      <c r="F3291" s="70">
        <f t="shared" si="359"/>
        <v>1</v>
      </c>
      <c r="G3291" s="70">
        <f t="shared" si="360"/>
        <v>0.63722138692483599</v>
      </c>
      <c r="H3291" s="70">
        <f t="shared" si="361"/>
        <v>0.2</v>
      </c>
      <c r="I3291" s="70">
        <f t="shared" si="362"/>
        <v>0</v>
      </c>
      <c r="J3291" s="70">
        <f t="shared" si="363"/>
        <v>0</v>
      </c>
      <c r="K3291" s="70">
        <f>IF(CurrentMtgRatesDataTable8[[#This Row],[WA CC]]&lt;&gt;0,C3290-CurrentMtgRatesDataTable8[[#This Row],[WA CC]],0)</f>
        <v>0</v>
      </c>
      <c r="L3291" s="70">
        <f>IF(CurrentMtgRatesDataTable8[[#This Row],[Servicing Spread]]&lt;=0,L3290,CurrentMtgRatesDataTable8[[#This Row],[Servicing Spread]])</f>
        <v>0.89197298289928284</v>
      </c>
      <c r="M3291" s="70">
        <f>CurrentMtgRatesDataTable8[[#This Row],[Servicing Spread Non-Zero]]-L3290</f>
        <v>0</v>
      </c>
      <c r="N3291" s="70">
        <f>IF(J3290&lt;&gt;0,CurrentMtgRatesDataTable8[[#This Row],[Rate]]-C3290,N3290)</f>
        <v>7.5000000000000178E-2</v>
      </c>
    </row>
    <row r="3292" spans="1:14">
      <c r="A3292" s="67" t="s">
        <v>1256</v>
      </c>
      <c r="B3292" s="68">
        <v>3.1835668268230601</v>
      </c>
      <c r="C3292" s="69">
        <v>4.04</v>
      </c>
      <c r="D3292" s="70">
        <f t="shared" si="357"/>
        <v>2</v>
      </c>
      <c r="E3292" s="70">
        <f t="shared" si="358"/>
        <v>0.2</v>
      </c>
      <c r="F3292" s="70">
        <f t="shared" si="359"/>
        <v>2</v>
      </c>
      <c r="G3292" s="70">
        <f t="shared" si="360"/>
        <v>1.2739347522894482</v>
      </c>
      <c r="H3292" s="70">
        <f t="shared" si="361"/>
        <v>0.4</v>
      </c>
      <c r="I3292" s="70">
        <f t="shared" si="362"/>
        <v>0</v>
      </c>
      <c r="J3292" s="70">
        <f t="shared" si="363"/>
        <v>0</v>
      </c>
      <c r="K3292" s="70">
        <f>IF(CurrentMtgRatesDataTable8[[#This Row],[WA CC]]&lt;&gt;0,C3291-CurrentMtgRatesDataTable8[[#This Row],[WA CC]],0)</f>
        <v>0</v>
      </c>
      <c r="L3292" s="70">
        <f>IF(CurrentMtgRatesDataTable8[[#This Row],[Servicing Spread]]&lt;=0,L3291,CurrentMtgRatesDataTable8[[#This Row],[Servicing Spread]])</f>
        <v>0.89197298289928284</v>
      </c>
      <c r="M3292" s="70">
        <f>CurrentMtgRatesDataTable8[[#This Row],[Servicing Spread Non-Zero]]-L3291</f>
        <v>0</v>
      </c>
      <c r="N3292" s="70">
        <f>IF(J3291&lt;&gt;0,CurrentMtgRatesDataTable8[[#This Row],[Rate]]-C3291,N3291)</f>
        <v>7.5000000000000178E-2</v>
      </c>
    </row>
    <row r="3293" spans="1:14">
      <c r="A3293" s="67" t="s">
        <v>1257</v>
      </c>
      <c r="B3293" s="68">
        <v>3.11336724887106</v>
      </c>
      <c r="C3293" s="69">
        <v>4.04</v>
      </c>
      <c r="D3293" s="70">
        <f t="shared" si="357"/>
        <v>5</v>
      </c>
      <c r="E3293" s="70">
        <f t="shared" si="358"/>
        <v>0.2</v>
      </c>
      <c r="F3293" s="70">
        <f t="shared" si="359"/>
        <v>3</v>
      </c>
      <c r="G3293" s="70">
        <f t="shared" si="360"/>
        <v>1.8966082020636601</v>
      </c>
      <c r="H3293" s="70">
        <f t="shared" si="361"/>
        <v>0.60000000000000009</v>
      </c>
      <c r="I3293" s="70">
        <f t="shared" si="362"/>
        <v>0</v>
      </c>
      <c r="J3293" s="70">
        <f t="shared" si="363"/>
        <v>0</v>
      </c>
      <c r="K3293" s="70">
        <f>IF(CurrentMtgRatesDataTable8[[#This Row],[WA CC]]&lt;&gt;0,C3292-CurrentMtgRatesDataTable8[[#This Row],[WA CC]],0)</f>
        <v>0</v>
      </c>
      <c r="L3293" s="70">
        <f>IF(CurrentMtgRatesDataTable8[[#This Row],[Servicing Spread]]&lt;=0,L3292,CurrentMtgRatesDataTable8[[#This Row],[Servicing Spread]])</f>
        <v>0.89197298289928284</v>
      </c>
      <c r="M3293" s="70">
        <f>CurrentMtgRatesDataTable8[[#This Row],[Servicing Spread Non-Zero]]-L3292</f>
        <v>0</v>
      </c>
      <c r="N3293" s="70">
        <f>IF(J3292&lt;&gt;0,CurrentMtgRatesDataTable8[[#This Row],[Rate]]-C3292,N3292)</f>
        <v>7.5000000000000178E-2</v>
      </c>
    </row>
    <row r="3294" spans="1:14">
      <c r="A3294" s="67" t="s">
        <v>1258</v>
      </c>
      <c r="B3294" s="68">
        <v>3.1829132943818701</v>
      </c>
      <c r="C3294" s="69">
        <v>4.04</v>
      </c>
      <c r="D3294" s="70">
        <f t="shared" si="357"/>
        <v>6</v>
      </c>
      <c r="E3294" s="70">
        <f t="shared" si="358"/>
        <v>0.2</v>
      </c>
      <c r="F3294" s="70">
        <f t="shared" si="359"/>
        <v>4</v>
      </c>
      <c r="G3294" s="70">
        <f t="shared" si="360"/>
        <v>2.5331908609400342</v>
      </c>
      <c r="H3294" s="70">
        <f t="shared" si="361"/>
        <v>0.8</v>
      </c>
      <c r="I3294" s="70">
        <f t="shared" si="362"/>
        <v>0</v>
      </c>
      <c r="J3294" s="70">
        <f t="shared" si="363"/>
        <v>0</v>
      </c>
      <c r="K3294" s="70">
        <f>IF(CurrentMtgRatesDataTable8[[#This Row],[WA CC]]&lt;&gt;0,C3293-CurrentMtgRatesDataTable8[[#This Row],[WA CC]],0)</f>
        <v>0</v>
      </c>
      <c r="L3294" s="70">
        <f>IF(CurrentMtgRatesDataTable8[[#This Row],[Servicing Spread]]&lt;=0,L3293,CurrentMtgRatesDataTable8[[#This Row],[Servicing Spread]])</f>
        <v>0.89197298289928284</v>
      </c>
      <c r="M3294" s="70">
        <f>CurrentMtgRatesDataTable8[[#This Row],[Servicing Spread Non-Zero]]-L3293</f>
        <v>0</v>
      </c>
      <c r="N3294" s="70">
        <f>IF(J3293&lt;&gt;0,CurrentMtgRatesDataTable8[[#This Row],[Rate]]-C3293,N3293)</f>
        <v>7.5000000000000178E-2</v>
      </c>
    </row>
    <row r="3295" spans="1:14">
      <c r="A3295" s="67" t="s">
        <v>1259</v>
      </c>
      <c r="B3295" s="68">
        <v>3.2322949335607598</v>
      </c>
      <c r="C3295" s="69">
        <v>4.04</v>
      </c>
      <c r="D3295" s="70">
        <f t="shared" si="357"/>
        <v>7</v>
      </c>
      <c r="E3295" s="70">
        <f t="shared" si="358"/>
        <v>0.2</v>
      </c>
      <c r="F3295" s="70">
        <f t="shared" si="359"/>
        <v>5</v>
      </c>
      <c r="G3295" s="70">
        <f t="shared" si="360"/>
        <v>3.1796498476521862</v>
      </c>
      <c r="H3295" s="70">
        <f t="shared" si="361"/>
        <v>1</v>
      </c>
      <c r="I3295" s="70">
        <f t="shared" si="362"/>
        <v>1</v>
      </c>
      <c r="J3295" s="70">
        <f t="shared" si="363"/>
        <v>3.1796498476521862</v>
      </c>
      <c r="K3295" s="70">
        <f>IF(CurrentMtgRatesDataTable8[[#This Row],[WA CC]]&lt;&gt;0,C3294-CurrentMtgRatesDataTable8[[#This Row],[WA CC]],0)</f>
        <v>0.86035015234781387</v>
      </c>
      <c r="L3295" s="70">
        <f>IF(CurrentMtgRatesDataTable8[[#This Row],[Servicing Spread]]&lt;=0,L3294,CurrentMtgRatesDataTable8[[#This Row],[Servicing Spread]])</f>
        <v>0.86035015234781387</v>
      </c>
      <c r="M3295" s="70">
        <f>CurrentMtgRatesDataTable8[[#This Row],[Servicing Spread Non-Zero]]-L3294</f>
        <v>-3.1622830551468972E-2</v>
      </c>
      <c r="N3295" s="70">
        <f>IF(J3294&lt;&gt;0,CurrentMtgRatesDataTable8[[#This Row],[Rate]]-C3294,N3294)</f>
        <v>7.5000000000000178E-2</v>
      </c>
    </row>
    <row r="3296" spans="1:14">
      <c r="A3296" s="67" t="s">
        <v>1260</v>
      </c>
      <c r="B3296" s="68">
        <v>3.2180488774769902</v>
      </c>
      <c r="C3296" s="69">
        <v>4.0650000000000004</v>
      </c>
      <c r="D3296" s="70">
        <f t="shared" si="357"/>
        <v>1</v>
      </c>
      <c r="E3296" s="70">
        <f t="shared" si="358"/>
        <v>0.2</v>
      </c>
      <c r="F3296" s="70">
        <f t="shared" si="359"/>
        <v>1</v>
      </c>
      <c r="G3296" s="70">
        <f t="shared" si="360"/>
        <v>0.64360977549539811</v>
      </c>
      <c r="H3296" s="70">
        <f t="shared" si="361"/>
        <v>0.2</v>
      </c>
      <c r="I3296" s="70">
        <f t="shared" si="362"/>
        <v>0</v>
      </c>
      <c r="J3296" s="70">
        <f t="shared" si="363"/>
        <v>0</v>
      </c>
      <c r="K3296" s="70">
        <f>IF(CurrentMtgRatesDataTable8[[#This Row],[WA CC]]&lt;&gt;0,C3295-CurrentMtgRatesDataTable8[[#This Row],[WA CC]],0)</f>
        <v>0</v>
      </c>
      <c r="L3296" s="70">
        <f>IF(CurrentMtgRatesDataTable8[[#This Row],[Servicing Spread]]&lt;=0,L3295,CurrentMtgRatesDataTable8[[#This Row],[Servicing Spread]])</f>
        <v>0.86035015234781387</v>
      </c>
      <c r="M3296" s="70">
        <f>CurrentMtgRatesDataTable8[[#This Row],[Servicing Spread Non-Zero]]-L3295</f>
        <v>0</v>
      </c>
      <c r="N3296" s="70">
        <f>IF(J3295&lt;&gt;0,CurrentMtgRatesDataTable8[[#This Row],[Rate]]-C3295,N3295)</f>
        <v>2.5000000000000355E-2</v>
      </c>
    </row>
    <row r="3297" spans="1:14">
      <c r="A3297" s="67" t="s">
        <v>1261</v>
      </c>
      <c r="B3297" s="68">
        <v>3.19076268089509</v>
      </c>
      <c r="C3297" s="69">
        <v>4.0650000000000004</v>
      </c>
      <c r="D3297" s="70">
        <f t="shared" si="357"/>
        <v>2</v>
      </c>
      <c r="E3297" s="70">
        <f t="shared" si="358"/>
        <v>0.2</v>
      </c>
      <c r="F3297" s="70">
        <f t="shared" si="359"/>
        <v>2</v>
      </c>
      <c r="G3297" s="70">
        <f t="shared" si="360"/>
        <v>1.2817623116744161</v>
      </c>
      <c r="H3297" s="70">
        <f t="shared" si="361"/>
        <v>0.4</v>
      </c>
      <c r="I3297" s="70">
        <f t="shared" si="362"/>
        <v>0</v>
      </c>
      <c r="J3297" s="70">
        <f t="shared" si="363"/>
        <v>0</v>
      </c>
      <c r="K3297" s="70">
        <f>IF(CurrentMtgRatesDataTable8[[#This Row],[WA CC]]&lt;&gt;0,C3296-CurrentMtgRatesDataTable8[[#This Row],[WA CC]],0)</f>
        <v>0</v>
      </c>
      <c r="L3297" s="70">
        <f>IF(CurrentMtgRatesDataTable8[[#This Row],[Servicing Spread]]&lt;=0,L3296,CurrentMtgRatesDataTable8[[#This Row],[Servicing Spread]])</f>
        <v>0.86035015234781387</v>
      </c>
      <c r="M3297" s="70">
        <f>CurrentMtgRatesDataTable8[[#This Row],[Servicing Spread Non-Zero]]-L3296</f>
        <v>0</v>
      </c>
      <c r="N3297" s="70">
        <f>IF(J3296&lt;&gt;0,CurrentMtgRatesDataTable8[[#This Row],[Rate]]-C3296,N3296)</f>
        <v>2.5000000000000355E-2</v>
      </c>
    </row>
    <row r="3298" spans="1:14">
      <c r="A3298" s="67" t="s">
        <v>1262</v>
      </c>
      <c r="B3298" s="68">
        <v>3.1841018118348199</v>
      </c>
      <c r="C3298" s="69">
        <v>4.0650000000000004</v>
      </c>
      <c r="D3298" s="70">
        <f t="shared" si="357"/>
        <v>5</v>
      </c>
      <c r="E3298" s="70">
        <f t="shared" si="358"/>
        <v>0.2</v>
      </c>
      <c r="F3298" s="70">
        <f t="shared" si="359"/>
        <v>3</v>
      </c>
      <c r="G3298" s="70">
        <f t="shared" si="360"/>
        <v>1.9185826740413803</v>
      </c>
      <c r="H3298" s="70">
        <f t="shared" si="361"/>
        <v>0.60000000000000009</v>
      </c>
      <c r="I3298" s="70">
        <f t="shared" si="362"/>
        <v>0</v>
      </c>
      <c r="J3298" s="70">
        <f t="shared" si="363"/>
        <v>0</v>
      </c>
      <c r="K3298" s="70">
        <f>IF(CurrentMtgRatesDataTable8[[#This Row],[WA CC]]&lt;&gt;0,C3297-CurrentMtgRatesDataTable8[[#This Row],[WA CC]],0)</f>
        <v>0</v>
      </c>
      <c r="L3298" s="70">
        <f>IF(CurrentMtgRatesDataTable8[[#This Row],[Servicing Spread]]&lt;=0,L3297,CurrentMtgRatesDataTable8[[#This Row],[Servicing Spread]])</f>
        <v>0.86035015234781387</v>
      </c>
      <c r="M3298" s="70">
        <f>CurrentMtgRatesDataTable8[[#This Row],[Servicing Spread Non-Zero]]-L3297</f>
        <v>0</v>
      </c>
      <c r="N3298" s="70">
        <f>IF(J3297&lt;&gt;0,CurrentMtgRatesDataTable8[[#This Row],[Rate]]-C3297,N3297)</f>
        <v>2.5000000000000355E-2</v>
      </c>
    </row>
    <row r="3299" spans="1:14">
      <c r="A3299" s="67" t="s">
        <v>1263</v>
      </c>
      <c r="B3299" s="68">
        <v>3.1648459578607699</v>
      </c>
      <c r="C3299" s="69">
        <v>4.0650000000000004</v>
      </c>
      <c r="D3299" s="70">
        <f t="shared" si="357"/>
        <v>6</v>
      </c>
      <c r="E3299" s="70">
        <f t="shared" si="358"/>
        <v>0.2</v>
      </c>
      <c r="F3299" s="70">
        <f t="shared" si="359"/>
        <v>4</v>
      </c>
      <c r="G3299" s="70">
        <f t="shared" si="360"/>
        <v>2.5515518656135345</v>
      </c>
      <c r="H3299" s="70">
        <f t="shared" si="361"/>
        <v>0.8</v>
      </c>
      <c r="I3299" s="70">
        <f t="shared" si="362"/>
        <v>0</v>
      </c>
      <c r="J3299" s="70">
        <f t="shared" si="363"/>
        <v>0</v>
      </c>
      <c r="K3299" s="70">
        <f>IF(CurrentMtgRatesDataTable8[[#This Row],[WA CC]]&lt;&gt;0,C3298-CurrentMtgRatesDataTable8[[#This Row],[WA CC]],0)</f>
        <v>0</v>
      </c>
      <c r="L3299" s="70">
        <f>IF(CurrentMtgRatesDataTable8[[#This Row],[Servicing Spread]]&lt;=0,L3298,CurrentMtgRatesDataTable8[[#This Row],[Servicing Spread]])</f>
        <v>0.86035015234781387</v>
      </c>
      <c r="M3299" s="70">
        <f>CurrentMtgRatesDataTable8[[#This Row],[Servicing Spread Non-Zero]]-L3298</f>
        <v>0</v>
      </c>
      <c r="N3299" s="70">
        <f>IF(J3298&lt;&gt;0,CurrentMtgRatesDataTable8[[#This Row],[Rate]]-C3298,N3298)</f>
        <v>2.5000000000000355E-2</v>
      </c>
    </row>
    <row r="3300" spans="1:14">
      <c r="A3300" s="67" t="s">
        <v>1264</v>
      </c>
      <c r="B3300" s="68">
        <v>3.18917499104727</v>
      </c>
      <c r="C3300" s="69">
        <v>4.0650000000000004</v>
      </c>
      <c r="D3300" s="70">
        <f t="shared" si="357"/>
        <v>7</v>
      </c>
      <c r="E3300" s="70">
        <f t="shared" si="358"/>
        <v>0.2</v>
      </c>
      <c r="F3300" s="70">
        <f t="shared" si="359"/>
        <v>5</v>
      </c>
      <c r="G3300" s="70">
        <f t="shared" si="360"/>
        <v>3.1893868638229885</v>
      </c>
      <c r="H3300" s="70">
        <f t="shared" si="361"/>
        <v>1</v>
      </c>
      <c r="I3300" s="70">
        <f t="shared" si="362"/>
        <v>1</v>
      </c>
      <c r="J3300" s="70">
        <f t="shared" si="363"/>
        <v>3.1893868638229885</v>
      </c>
      <c r="K3300" s="70">
        <f>IF(CurrentMtgRatesDataTable8[[#This Row],[WA CC]]&lt;&gt;0,C3299-CurrentMtgRatesDataTable8[[#This Row],[WA CC]],0)</f>
        <v>0.87561313617701186</v>
      </c>
      <c r="L3300" s="70">
        <f>IF(CurrentMtgRatesDataTable8[[#This Row],[Servicing Spread]]&lt;=0,L3299,CurrentMtgRatesDataTable8[[#This Row],[Servicing Spread]])</f>
        <v>0.87561313617701186</v>
      </c>
      <c r="M3300" s="70">
        <f>CurrentMtgRatesDataTable8[[#This Row],[Servicing Spread Non-Zero]]-L3299</f>
        <v>1.5262983829197996E-2</v>
      </c>
      <c r="N3300" s="70">
        <f>IF(J3299&lt;&gt;0,CurrentMtgRatesDataTable8[[#This Row],[Rate]]-C3299,N3299)</f>
        <v>2.5000000000000355E-2</v>
      </c>
    </row>
    <row r="3301" spans="1:14">
      <c r="A3301" s="67" t="s">
        <v>1265</v>
      </c>
      <c r="B3301" s="68">
        <v>3.1752248472544302</v>
      </c>
      <c r="C3301" s="69">
        <v>4.0199999999999996</v>
      </c>
      <c r="D3301" s="70">
        <f t="shared" si="357"/>
        <v>1</v>
      </c>
      <c r="E3301" s="70">
        <f t="shared" si="358"/>
        <v>0.2</v>
      </c>
      <c r="F3301" s="70">
        <f t="shared" si="359"/>
        <v>1</v>
      </c>
      <c r="G3301" s="70">
        <f t="shared" si="360"/>
        <v>0.63504496945088607</v>
      </c>
      <c r="H3301" s="70">
        <f t="shared" si="361"/>
        <v>0.2</v>
      </c>
      <c r="I3301" s="70">
        <f t="shared" si="362"/>
        <v>0</v>
      </c>
      <c r="J3301" s="70">
        <f t="shared" si="363"/>
        <v>0</v>
      </c>
      <c r="K3301" s="70">
        <f>IF(CurrentMtgRatesDataTable8[[#This Row],[WA CC]]&lt;&gt;0,C3300-CurrentMtgRatesDataTable8[[#This Row],[WA CC]],0)</f>
        <v>0</v>
      </c>
      <c r="L3301" s="70">
        <f>IF(CurrentMtgRatesDataTable8[[#This Row],[Servicing Spread]]&lt;=0,L3300,CurrentMtgRatesDataTable8[[#This Row],[Servicing Spread]])</f>
        <v>0.87561313617701186</v>
      </c>
      <c r="M3301" s="70">
        <f>CurrentMtgRatesDataTable8[[#This Row],[Servicing Spread Non-Zero]]-L3300</f>
        <v>0</v>
      </c>
      <c r="N3301" s="70">
        <f>IF(J3300&lt;&gt;0,CurrentMtgRatesDataTable8[[#This Row],[Rate]]-C3300,N3300)</f>
        <v>-4.5000000000000817E-2</v>
      </c>
    </row>
    <row r="3302" spans="1:14">
      <c r="A3302" s="67" t="s">
        <v>1266</v>
      </c>
      <c r="B3302" s="68">
        <v>3.1937009048335998</v>
      </c>
      <c r="C3302" s="69">
        <v>4.0199999999999996</v>
      </c>
      <c r="D3302" s="70">
        <f t="shared" si="357"/>
        <v>2</v>
      </c>
      <c r="E3302" s="70">
        <f t="shared" si="358"/>
        <v>0.2</v>
      </c>
      <c r="F3302" s="70">
        <f t="shared" si="359"/>
        <v>2</v>
      </c>
      <c r="G3302" s="70">
        <f t="shared" si="360"/>
        <v>1.2737851504176061</v>
      </c>
      <c r="H3302" s="70">
        <f t="shared" si="361"/>
        <v>0.4</v>
      </c>
      <c r="I3302" s="70">
        <f t="shared" si="362"/>
        <v>0</v>
      </c>
      <c r="J3302" s="70">
        <f t="shared" si="363"/>
        <v>0</v>
      </c>
      <c r="K3302" s="70">
        <f>IF(CurrentMtgRatesDataTable8[[#This Row],[WA CC]]&lt;&gt;0,C3301-CurrentMtgRatesDataTable8[[#This Row],[WA CC]],0)</f>
        <v>0</v>
      </c>
      <c r="L3302" s="70">
        <f>IF(CurrentMtgRatesDataTable8[[#This Row],[Servicing Spread]]&lt;=0,L3301,CurrentMtgRatesDataTable8[[#This Row],[Servicing Spread]])</f>
        <v>0.87561313617701186</v>
      </c>
      <c r="M3302" s="70">
        <f>CurrentMtgRatesDataTable8[[#This Row],[Servicing Spread Non-Zero]]-L3301</f>
        <v>0</v>
      </c>
      <c r="N3302" s="70">
        <f>IF(J3301&lt;&gt;0,CurrentMtgRatesDataTable8[[#This Row],[Rate]]-C3301,N3301)</f>
        <v>-4.5000000000000817E-2</v>
      </c>
    </row>
    <row r="3303" spans="1:14">
      <c r="A3303" s="67" t="s">
        <v>1267</v>
      </c>
      <c r="B3303" s="68">
        <v>3.12563821963785</v>
      </c>
      <c r="C3303" s="69">
        <v>4.0199999999999996</v>
      </c>
      <c r="D3303" s="70">
        <f t="shared" si="357"/>
        <v>5</v>
      </c>
      <c r="E3303" s="70">
        <f t="shared" si="358"/>
        <v>0.2</v>
      </c>
      <c r="F3303" s="70">
        <f t="shared" si="359"/>
        <v>3</v>
      </c>
      <c r="G3303" s="70">
        <f t="shared" si="360"/>
        <v>1.898912794345176</v>
      </c>
      <c r="H3303" s="70">
        <f t="shared" si="361"/>
        <v>0.60000000000000009</v>
      </c>
      <c r="I3303" s="70">
        <f t="shared" si="362"/>
        <v>0</v>
      </c>
      <c r="J3303" s="70">
        <f t="shared" si="363"/>
        <v>0</v>
      </c>
      <c r="K3303" s="70">
        <f>IF(CurrentMtgRatesDataTable8[[#This Row],[WA CC]]&lt;&gt;0,C3302-CurrentMtgRatesDataTable8[[#This Row],[WA CC]],0)</f>
        <v>0</v>
      </c>
      <c r="L3303" s="70">
        <f>IF(CurrentMtgRatesDataTable8[[#This Row],[Servicing Spread]]&lt;=0,L3302,CurrentMtgRatesDataTable8[[#This Row],[Servicing Spread]])</f>
        <v>0.87561313617701186</v>
      </c>
      <c r="M3303" s="70">
        <f>CurrentMtgRatesDataTable8[[#This Row],[Servicing Spread Non-Zero]]-L3302</f>
        <v>0</v>
      </c>
      <c r="N3303" s="70">
        <f>IF(J3302&lt;&gt;0,CurrentMtgRatesDataTable8[[#This Row],[Rate]]-C3302,N3302)</f>
        <v>-4.5000000000000817E-2</v>
      </c>
    </row>
    <row r="3304" spans="1:14">
      <c r="A3304" s="67" t="s">
        <v>1268</v>
      </c>
      <c r="B3304" s="68">
        <v>3.11144834473152</v>
      </c>
      <c r="C3304" s="69">
        <v>4.0199999999999996</v>
      </c>
      <c r="D3304" s="70">
        <f t="shared" si="357"/>
        <v>6</v>
      </c>
      <c r="E3304" s="70">
        <f t="shared" si="358"/>
        <v>0.2</v>
      </c>
      <c r="F3304" s="70">
        <f t="shared" si="359"/>
        <v>4</v>
      </c>
      <c r="G3304" s="70">
        <f t="shared" si="360"/>
        <v>2.52120246329148</v>
      </c>
      <c r="H3304" s="70">
        <f t="shared" si="361"/>
        <v>0.8</v>
      </c>
      <c r="I3304" s="70">
        <f t="shared" si="362"/>
        <v>0</v>
      </c>
      <c r="J3304" s="70">
        <f t="shared" si="363"/>
        <v>0</v>
      </c>
      <c r="K3304" s="70">
        <f>IF(CurrentMtgRatesDataTable8[[#This Row],[WA CC]]&lt;&gt;0,C3303-CurrentMtgRatesDataTable8[[#This Row],[WA CC]],0)</f>
        <v>0</v>
      </c>
      <c r="L3304" s="70">
        <f>IF(CurrentMtgRatesDataTable8[[#This Row],[Servicing Spread]]&lt;=0,L3303,CurrentMtgRatesDataTable8[[#This Row],[Servicing Spread]])</f>
        <v>0.87561313617701186</v>
      </c>
      <c r="M3304" s="70">
        <f>CurrentMtgRatesDataTable8[[#This Row],[Servicing Spread Non-Zero]]-L3303</f>
        <v>0</v>
      </c>
      <c r="N3304" s="70">
        <f>IF(J3303&lt;&gt;0,CurrentMtgRatesDataTable8[[#This Row],[Rate]]-C3303,N3303)</f>
        <v>-4.5000000000000817E-2</v>
      </c>
    </row>
    <row r="3305" spans="1:14">
      <c r="A3305" s="67" t="s">
        <v>1269</v>
      </c>
      <c r="B3305" s="68">
        <v>3.06145355695508</v>
      </c>
      <c r="C3305" s="69">
        <v>4.0199999999999996</v>
      </c>
      <c r="D3305" s="70">
        <f t="shared" si="357"/>
        <v>7</v>
      </c>
      <c r="E3305" s="70">
        <f t="shared" si="358"/>
        <v>0.2</v>
      </c>
      <c r="F3305" s="70">
        <f t="shared" si="359"/>
        <v>5</v>
      </c>
      <c r="G3305" s="70">
        <f t="shared" si="360"/>
        <v>3.1334931746824961</v>
      </c>
      <c r="H3305" s="70">
        <f t="shared" si="361"/>
        <v>1</v>
      </c>
      <c r="I3305" s="70">
        <f t="shared" si="362"/>
        <v>1</v>
      </c>
      <c r="J3305" s="70">
        <f t="shared" si="363"/>
        <v>3.1334931746824961</v>
      </c>
      <c r="K3305" s="70">
        <f>IF(CurrentMtgRatesDataTable8[[#This Row],[WA CC]]&lt;&gt;0,C3304-CurrentMtgRatesDataTable8[[#This Row],[WA CC]],0)</f>
        <v>0.88650682531750347</v>
      </c>
      <c r="L3305" s="70">
        <f>IF(CurrentMtgRatesDataTable8[[#This Row],[Servicing Spread]]&lt;=0,L3304,CurrentMtgRatesDataTable8[[#This Row],[Servicing Spread]])</f>
        <v>0.88650682531750347</v>
      </c>
      <c r="M3305" s="70">
        <f>CurrentMtgRatesDataTable8[[#This Row],[Servicing Spread Non-Zero]]-L3304</f>
        <v>1.0893689140491603E-2</v>
      </c>
      <c r="N3305" s="70">
        <f>IF(J3304&lt;&gt;0,CurrentMtgRatesDataTable8[[#This Row],[Rate]]-C3304,N3304)</f>
        <v>-4.5000000000000817E-2</v>
      </c>
    </row>
    <row r="3306" spans="1:14">
      <c r="A3306" s="67" t="s">
        <v>1270</v>
      </c>
      <c r="B3306" s="68">
        <v>3.1159737913786199</v>
      </c>
      <c r="C3306" s="69">
        <v>4.0250000000000004</v>
      </c>
      <c r="D3306" s="70">
        <f t="shared" si="357"/>
        <v>1</v>
      </c>
      <c r="E3306" s="70">
        <f t="shared" si="358"/>
        <v>0.2</v>
      </c>
      <c r="F3306" s="70">
        <f t="shared" si="359"/>
        <v>1</v>
      </c>
      <c r="G3306" s="70">
        <f t="shared" si="360"/>
        <v>0.62319475827572401</v>
      </c>
      <c r="H3306" s="70">
        <f t="shared" si="361"/>
        <v>0.2</v>
      </c>
      <c r="I3306" s="70">
        <f t="shared" si="362"/>
        <v>0</v>
      </c>
      <c r="J3306" s="70">
        <f t="shared" si="363"/>
        <v>0</v>
      </c>
      <c r="K3306" s="70">
        <f>IF(CurrentMtgRatesDataTable8[[#This Row],[WA CC]]&lt;&gt;0,C3305-CurrentMtgRatesDataTable8[[#This Row],[WA CC]],0)</f>
        <v>0</v>
      </c>
      <c r="L3306" s="70">
        <f>IF(CurrentMtgRatesDataTable8[[#This Row],[Servicing Spread]]&lt;=0,L3305,CurrentMtgRatesDataTable8[[#This Row],[Servicing Spread]])</f>
        <v>0.88650682531750347</v>
      </c>
      <c r="M3306" s="70">
        <f>CurrentMtgRatesDataTable8[[#This Row],[Servicing Spread Non-Zero]]-L3305</f>
        <v>0</v>
      </c>
      <c r="N3306" s="70">
        <f>IF(J3305&lt;&gt;0,CurrentMtgRatesDataTable8[[#This Row],[Rate]]-C3305,N3305)</f>
        <v>5.0000000000007816E-3</v>
      </c>
    </row>
    <row r="3307" spans="1:14">
      <c r="A3307" s="67" t="s">
        <v>1271</v>
      </c>
      <c r="B3307" s="68">
        <v>3.1266954027246601</v>
      </c>
      <c r="C3307" s="69">
        <v>4.0250000000000004</v>
      </c>
      <c r="D3307" s="70">
        <f t="shared" si="357"/>
        <v>2</v>
      </c>
      <c r="E3307" s="70">
        <f t="shared" si="358"/>
        <v>0.2</v>
      </c>
      <c r="F3307" s="70">
        <f t="shared" si="359"/>
        <v>2</v>
      </c>
      <c r="G3307" s="70">
        <f t="shared" si="360"/>
        <v>1.2485338388206562</v>
      </c>
      <c r="H3307" s="70">
        <f t="shared" si="361"/>
        <v>0.4</v>
      </c>
      <c r="I3307" s="70">
        <f t="shared" si="362"/>
        <v>0</v>
      </c>
      <c r="J3307" s="70">
        <f t="shared" si="363"/>
        <v>0</v>
      </c>
      <c r="K3307" s="70">
        <f>IF(CurrentMtgRatesDataTable8[[#This Row],[WA CC]]&lt;&gt;0,C3306-CurrentMtgRatesDataTable8[[#This Row],[WA CC]],0)</f>
        <v>0</v>
      </c>
      <c r="L3307" s="70">
        <f>IF(CurrentMtgRatesDataTable8[[#This Row],[Servicing Spread]]&lt;=0,L3306,CurrentMtgRatesDataTable8[[#This Row],[Servicing Spread]])</f>
        <v>0.88650682531750347</v>
      </c>
      <c r="M3307" s="70">
        <f>CurrentMtgRatesDataTable8[[#This Row],[Servicing Spread Non-Zero]]-L3306</f>
        <v>0</v>
      </c>
      <c r="N3307" s="70">
        <f>IF(J3306&lt;&gt;0,CurrentMtgRatesDataTable8[[#This Row],[Rate]]-C3306,N3306)</f>
        <v>5.0000000000007816E-3</v>
      </c>
    </row>
    <row r="3308" spans="1:14">
      <c r="A3308" s="67" t="s">
        <v>1272</v>
      </c>
      <c r="B3308" s="68">
        <v>3.14587454818964</v>
      </c>
      <c r="C3308" s="69">
        <v>4.0250000000000004</v>
      </c>
      <c r="D3308" s="70">
        <f t="shared" si="357"/>
        <v>5</v>
      </c>
      <c r="E3308" s="70">
        <f t="shared" si="358"/>
        <v>0.2</v>
      </c>
      <c r="F3308" s="70">
        <f t="shared" si="359"/>
        <v>3</v>
      </c>
      <c r="G3308" s="70">
        <f t="shared" si="360"/>
        <v>1.8777087484585842</v>
      </c>
      <c r="H3308" s="70">
        <f t="shared" si="361"/>
        <v>0.60000000000000009</v>
      </c>
      <c r="I3308" s="70">
        <f t="shared" si="362"/>
        <v>0</v>
      </c>
      <c r="J3308" s="70">
        <f t="shared" si="363"/>
        <v>0</v>
      </c>
      <c r="K3308" s="70">
        <f>IF(CurrentMtgRatesDataTable8[[#This Row],[WA CC]]&lt;&gt;0,C3307-CurrentMtgRatesDataTable8[[#This Row],[WA CC]],0)</f>
        <v>0</v>
      </c>
      <c r="L3308" s="70">
        <f>IF(CurrentMtgRatesDataTable8[[#This Row],[Servicing Spread]]&lt;=0,L3307,CurrentMtgRatesDataTable8[[#This Row],[Servicing Spread]])</f>
        <v>0.88650682531750347</v>
      </c>
      <c r="M3308" s="70">
        <f>CurrentMtgRatesDataTable8[[#This Row],[Servicing Spread Non-Zero]]-L3307</f>
        <v>0</v>
      </c>
      <c r="N3308" s="70">
        <f>IF(J3307&lt;&gt;0,CurrentMtgRatesDataTable8[[#This Row],[Rate]]-C3307,N3307)</f>
        <v>5.0000000000007816E-3</v>
      </c>
    </row>
    <row r="3309" spans="1:14">
      <c r="A3309" s="67" t="s">
        <v>1273</v>
      </c>
      <c r="B3309" s="68">
        <v>3.1762657063573001</v>
      </c>
      <c r="C3309" s="69">
        <v>4.0250000000000004</v>
      </c>
      <c r="D3309" s="70">
        <f t="shared" si="357"/>
        <v>6</v>
      </c>
      <c r="E3309" s="70">
        <f t="shared" si="358"/>
        <v>0.2</v>
      </c>
      <c r="F3309" s="70">
        <f t="shared" si="359"/>
        <v>4</v>
      </c>
      <c r="G3309" s="70">
        <f t="shared" si="360"/>
        <v>2.5129618897300441</v>
      </c>
      <c r="H3309" s="70">
        <f t="shared" si="361"/>
        <v>0.8</v>
      </c>
      <c r="I3309" s="70">
        <f t="shared" si="362"/>
        <v>0</v>
      </c>
      <c r="J3309" s="70">
        <f t="shared" si="363"/>
        <v>0</v>
      </c>
      <c r="K3309" s="70">
        <f>IF(CurrentMtgRatesDataTable8[[#This Row],[WA CC]]&lt;&gt;0,C3308-CurrentMtgRatesDataTable8[[#This Row],[WA CC]],0)</f>
        <v>0</v>
      </c>
      <c r="L3309" s="70">
        <f>IF(CurrentMtgRatesDataTable8[[#This Row],[Servicing Spread]]&lt;=0,L3308,CurrentMtgRatesDataTable8[[#This Row],[Servicing Spread]])</f>
        <v>0.88650682531750347</v>
      </c>
      <c r="M3309" s="70">
        <f>CurrentMtgRatesDataTable8[[#This Row],[Servicing Spread Non-Zero]]-L3308</f>
        <v>0</v>
      </c>
      <c r="N3309" s="70">
        <f>IF(J3308&lt;&gt;0,CurrentMtgRatesDataTable8[[#This Row],[Rate]]-C3308,N3308)</f>
        <v>5.0000000000007816E-3</v>
      </c>
    </row>
    <row r="3310" spans="1:14">
      <c r="A3310" s="67" t="s">
        <v>1274</v>
      </c>
      <c r="B3310" s="68">
        <v>3.2164698384240098</v>
      </c>
      <c r="C3310" s="69">
        <v>4.0250000000000004</v>
      </c>
      <c r="D3310" s="70">
        <f t="shared" si="357"/>
        <v>7</v>
      </c>
      <c r="E3310" s="70">
        <f t="shared" si="358"/>
        <v>0.2</v>
      </c>
      <c r="F3310" s="70">
        <f t="shared" si="359"/>
        <v>5</v>
      </c>
      <c r="G3310" s="70">
        <f t="shared" si="360"/>
        <v>3.156255857414846</v>
      </c>
      <c r="H3310" s="70">
        <f t="shared" si="361"/>
        <v>1</v>
      </c>
      <c r="I3310" s="70">
        <f t="shared" si="362"/>
        <v>1</v>
      </c>
      <c r="J3310" s="70">
        <f t="shared" si="363"/>
        <v>3.156255857414846</v>
      </c>
      <c r="K3310" s="70">
        <f>IF(CurrentMtgRatesDataTable8[[#This Row],[WA CC]]&lt;&gt;0,C3309-CurrentMtgRatesDataTable8[[#This Row],[WA CC]],0)</f>
        <v>0.86874414258515431</v>
      </c>
      <c r="L3310" s="70">
        <f>IF(CurrentMtgRatesDataTable8[[#This Row],[Servicing Spread]]&lt;=0,L3309,CurrentMtgRatesDataTable8[[#This Row],[Servicing Spread]])</f>
        <v>0.86874414258515431</v>
      </c>
      <c r="M3310" s="70">
        <f>CurrentMtgRatesDataTable8[[#This Row],[Servicing Spread Non-Zero]]-L3309</f>
        <v>-1.7762682732349155E-2</v>
      </c>
      <c r="N3310" s="70">
        <f>IF(J3309&lt;&gt;0,CurrentMtgRatesDataTable8[[#This Row],[Rate]]-C3309,N3309)</f>
        <v>5.0000000000007816E-3</v>
      </c>
    </row>
    <row r="3311" spans="1:14">
      <c r="A3311" s="67" t="s">
        <v>1275</v>
      </c>
      <c r="B3311" s="68">
        <v>3.1651345268873601</v>
      </c>
      <c r="C3311" s="69">
        <v>4.0350000000000001</v>
      </c>
      <c r="D3311" s="70">
        <f t="shared" si="357"/>
        <v>1</v>
      </c>
      <c r="E3311" s="70">
        <f t="shared" si="358"/>
        <v>0.2</v>
      </c>
      <c r="F3311" s="70">
        <f t="shared" si="359"/>
        <v>1</v>
      </c>
      <c r="G3311" s="70">
        <f t="shared" si="360"/>
        <v>0.63302690537747208</v>
      </c>
      <c r="H3311" s="70">
        <f t="shared" si="361"/>
        <v>0.2</v>
      </c>
      <c r="I3311" s="70">
        <f t="shared" si="362"/>
        <v>0</v>
      </c>
      <c r="J3311" s="70">
        <f t="shared" si="363"/>
        <v>0</v>
      </c>
      <c r="K3311" s="70">
        <f>IF(CurrentMtgRatesDataTable8[[#This Row],[WA CC]]&lt;&gt;0,C3310-CurrentMtgRatesDataTable8[[#This Row],[WA CC]],0)</f>
        <v>0</v>
      </c>
      <c r="L3311" s="70">
        <f>IF(CurrentMtgRatesDataTable8[[#This Row],[Servicing Spread]]&lt;=0,L3310,CurrentMtgRatesDataTable8[[#This Row],[Servicing Spread]])</f>
        <v>0.86874414258515431</v>
      </c>
      <c r="M3311" s="70">
        <f>CurrentMtgRatesDataTable8[[#This Row],[Servicing Spread Non-Zero]]-L3310</f>
        <v>0</v>
      </c>
      <c r="N3311" s="70">
        <f>IF(J3310&lt;&gt;0,CurrentMtgRatesDataTable8[[#This Row],[Rate]]-C3310,N3310)</f>
        <v>9.9999999999997868E-3</v>
      </c>
    </row>
    <row r="3312" spans="1:14">
      <c r="A3312" s="67" t="s">
        <v>1276</v>
      </c>
      <c r="B3312" s="68">
        <v>3.1413763100515402</v>
      </c>
      <c r="C3312" s="69">
        <v>4.0350000000000001</v>
      </c>
      <c r="D3312" s="70">
        <f t="shared" si="357"/>
        <v>2</v>
      </c>
      <c r="E3312" s="70">
        <f t="shared" si="358"/>
        <v>0.2</v>
      </c>
      <c r="F3312" s="70">
        <f t="shared" si="359"/>
        <v>2</v>
      </c>
      <c r="G3312" s="70">
        <f t="shared" si="360"/>
        <v>1.2613021673877802</v>
      </c>
      <c r="H3312" s="70">
        <f t="shared" si="361"/>
        <v>0.4</v>
      </c>
      <c r="I3312" s="70">
        <f t="shared" si="362"/>
        <v>0</v>
      </c>
      <c r="J3312" s="70">
        <f t="shared" si="363"/>
        <v>0</v>
      </c>
      <c r="K3312" s="70">
        <f>IF(CurrentMtgRatesDataTable8[[#This Row],[WA CC]]&lt;&gt;0,C3311-CurrentMtgRatesDataTable8[[#This Row],[WA CC]],0)</f>
        <v>0</v>
      </c>
      <c r="L3312" s="70">
        <f>IF(CurrentMtgRatesDataTable8[[#This Row],[Servicing Spread]]&lt;=0,L3311,CurrentMtgRatesDataTable8[[#This Row],[Servicing Spread]])</f>
        <v>0.86874414258515431</v>
      </c>
      <c r="M3312" s="70">
        <f>CurrentMtgRatesDataTable8[[#This Row],[Servicing Spread Non-Zero]]-L3311</f>
        <v>0</v>
      </c>
      <c r="N3312" s="70">
        <f>IF(J3311&lt;&gt;0,CurrentMtgRatesDataTable8[[#This Row],[Rate]]-C3311,N3311)</f>
        <v>9.9999999999997868E-3</v>
      </c>
    </row>
    <row r="3313" spans="1:14">
      <c r="A3313" s="67" t="s">
        <v>1277</v>
      </c>
      <c r="B3313" s="68">
        <v>3.15611019744426</v>
      </c>
      <c r="C3313" s="69">
        <v>4.0350000000000001</v>
      </c>
      <c r="D3313" s="70">
        <f t="shared" si="357"/>
        <v>6</v>
      </c>
      <c r="E3313" s="70">
        <f t="shared" si="358"/>
        <v>0.2</v>
      </c>
      <c r="F3313" s="70">
        <f t="shared" si="359"/>
        <v>3</v>
      </c>
      <c r="G3313" s="70">
        <f t="shared" si="360"/>
        <v>1.8925242068766321</v>
      </c>
      <c r="H3313" s="70">
        <f t="shared" si="361"/>
        <v>0.60000000000000009</v>
      </c>
      <c r="I3313" s="70">
        <f t="shared" si="362"/>
        <v>0</v>
      </c>
      <c r="J3313" s="70">
        <f t="shared" si="363"/>
        <v>0</v>
      </c>
      <c r="K3313" s="70">
        <f>IF(CurrentMtgRatesDataTable8[[#This Row],[WA CC]]&lt;&gt;0,C3312-CurrentMtgRatesDataTable8[[#This Row],[WA CC]],0)</f>
        <v>0</v>
      </c>
      <c r="L3313" s="70">
        <f>IF(CurrentMtgRatesDataTable8[[#This Row],[Servicing Spread]]&lt;=0,L3312,CurrentMtgRatesDataTable8[[#This Row],[Servicing Spread]])</f>
        <v>0.86874414258515431</v>
      </c>
      <c r="M3313" s="70">
        <f>CurrentMtgRatesDataTable8[[#This Row],[Servicing Spread Non-Zero]]-L3312</f>
        <v>0</v>
      </c>
      <c r="N3313" s="70">
        <f>IF(J3312&lt;&gt;0,CurrentMtgRatesDataTable8[[#This Row],[Rate]]-C3312,N3312)</f>
        <v>9.9999999999997868E-3</v>
      </c>
    </row>
    <row r="3314" spans="1:14">
      <c r="A3314" s="67" t="s">
        <v>1278</v>
      </c>
      <c r="B3314" s="68">
        <v>3.1530775330962602</v>
      </c>
      <c r="C3314" s="69">
        <v>4.0350000000000001</v>
      </c>
      <c r="D3314" s="70">
        <f t="shared" si="357"/>
        <v>7</v>
      </c>
      <c r="E3314" s="70">
        <f t="shared" si="358"/>
        <v>0.2</v>
      </c>
      <c r="F3314" s="70">
        <f t="shared" si="359"/>
        <v>4</v>
      </c>
      <c r="G3314" s="70">
        <f t="shared" si="360"/>
        <v>2.5231397134958842</v>
      </c>
      <c r="H3314" s="70">
        <f t="shared" si="361"/>
        <v>0.8</v>
      </c>
      <c r="I3314" s="70">
        <f t="shared" si="362"/>
        <v>1</v>
      </c>
      <c r="J3314" s="70">
        <f t="shared" si="363"/>
        <v>3.153924641869855</v>
      </c>
      <c r="K3314" s="70">
        <f>IF(CurrentMtgRatesDataTable8[[#This Row],[WA CC]]&lt;&gt;0,C3313-CurrentMtgRatesDataTable8[[#This Row],[WA CC]],0)</f>
        <v>0.88107535813014515</v>
      </c>
      <c r="L3314" s="70">
        <f>IF(CurrentMtgRatesDataTable8[[#This Row],[Servicing Spread]]&lt;=0,L3313,CurrentMtgRatesDataTable8[[#This Row],[Servicing Spread]])</f>
        <v>0.88107535813014515</v>
      </c>
      <c r="M3314" s="70">
        <f>CurrentMtgRatesDataTable8[[#This Row],[Servicing Spread Non-Zero]]-L3313</f>
        <v>1.2331215544990837E-2</v>
      </c>
      <c r="N3314" s="70">
        <f>IF(J3313&lt;&gt;0,CurrentMtgRatesDataTable8[[#This Row],[Rate]]-C3313,N3313)</f>
        <v>9.9999999999997868E-3</v>
      </c>
    </row>
    <row r="3315" spans="1:14">
      <c r="A3315" s="67" t="s">
        <v>1279</v>
      </c>
      <c r="B3315" s="68">
        <v>3.1200244614852002</v>
      </c>
      <c r="C3315" s="69">
        <v>3.9749999999999996</v>
      </c>
      <c r="D3315" s="70">
        <f t="shared" si="357"/>
        <v>1</v>
      </c>
      <c r="E3315" s="70">
        <f t="shared" si="358"/>
        <v>0.2</v>
      </c>
      <c r="F3315" s="70">
        <f t="shared" si="359"/>
        <v>1</v>
      </c>
      <c r="G3315" s="70">
        <f t="shared" si="360"/>
        <v>0.62400489229704004</v>
      </c>
      <c r="H3315" s="70">
        <f t="shared" si="361"/>
        <v>0.2</v>
      </c>
      <c r="I3315" s="70">
        <f t="shared" si="362"/>
        <v>0</v>
      </c>
      <c r="J3315" s="70">
        <f t="shared" si="363"/>
        <v>0</v>
      </c>
      <c r="K3315" s="70">
        <f>IF(CurrentMtgRatesDataTable8[[#This Row],[WA CC]]&lt;&gt;0,C3314-CurrentMtgRatesDataTable8[[#This Row],[WA CC]],0)</f>
        <v>0</v>
      </c>
      <c r="L3315" s="70">
        <f>IF(CurrentMtgRatesDataTable8[[#This Row],[Servicing Spread]]&lt;=0,L3314,CurrentMtgRatesDataTable8[[#This Row],[Servicing Spread]])</f>
        <v>0.88107535813014515</v>
      </c>
      <c r="M3315" s="70">
        <f>CurrentMtgRatesDataTable8[[#This Row],[Servicing Spread Non-Zero]]-L3314</f>
        <v>0</v>
      </c>
      <c r="N3315" s="70">
        <f>IF(J3314&lt;&gt;0,CurrentMtgRatesDataTable8[[#This Row],[Rate]]-C3314,N3314)</f>
        <v>-6.0000000000000497E-2</v>
      </c>
    </row>
    <row r="3316" spans="1:14">
      <c r="A3316" s="67" t="s">
        <v>1280</v>
      </c>
      <c r="B3316" s="68">
        <v>3.0479406911303002</v>
      </c>
      <c r="C3316" s="69">
        <v>3.9749999999999996</v>
      </c>
      <c r="D3316" s="70">
        <f t="shared" si="357"/>
        <v>2</v>
      </c>
      <c r="E3316" s="70">
        <f t="shared" si="358"/>
        <v>0.2</v>
      </c>
      <c r="F3316" s="70">
        <f t="shared" si="359"/>
        <v>2</v>
      </c>
      <c r="G3316" s="70">
        <f t="shared" si="360"/>
        <v>1.2335930305231</v>
      </c>
      <c r="H3316" s="70">
        <f t="shared" si="361"/>
        <v>0.4</v>
      </c>
      <c r="I3316" s="70">
        <f t="shared" si="362"/>
        <v>0</v>
      </c>
      <c r="J3316" s="70">
        <f t="shared" si="363"/>
        <v>0</v>
      </c>
      <c r="K3316" s="70">
        <f>IF(CurrentMtgRatesDataTable8[[#This Row],[WA CC]]&lt;&gt;0,C3315-CurrentMtgRatesDataTable8[[#This Row],[WA CC]],0)</f>
        <v>0</v>
      </c>
      <c r="L3316" s="70">
        <f>IF(CurrentMtgRatesDataTable8[[#This Row],[Servicing Spread]]&lt;=0,L3315,CurrentMtgRatesDataTable8[[#This Row],[Servicing Spread]])</f>
        <v>0.88107535813014515</v>
      </c>
      <c r="M3316" s="70">
        <f>CurrentMtgRatesDataTable8[[#This Row],[Servicing Spread Non-Zero]]-L3315</f>
        <v>0</v>
      </c>
      <c r="N3316" s="70">
        <f>IF(J3315&lt;&gt;0,CurrentMtgRatesDataTable8[[#This Row],[Rate]]-C3315,N3315)</f>
        <v>-6.0000000000000497E-2</v>
      </c>
    </row>
    <row r="3317" spans="1:14">
      <c r="A3317" s="67" t="s">
        <v>1281</v>
      </c>
      <c r="B3317" s="68">
        <v>3.1104332506902499</v>
      </c>
      <c r="C3317" s="69">
        <v>3.9749999999999996</v>
      </c>
      <c r="D3317" s="70">
        <f t="shared" si="357"/>
        <v>5</v>
      </c>
      <c r="E3317" s="70">
        <f t="shared" si="358"/>
        <v>0.2</v>
      </c>
      <c r="F3317" s="70">
        <f t="shared" si="359"/>
        <v>3</v>
      </c>
      <c r="G3317" s="70">
        <f t="shared" si="360"/>
        <v>1.85567968066115</v>
      </c>
      <c r="H3317" s="70">
        <f t="shared" si="361"/>
        <v>0.60000000000000009</v>
      </c>
      <c r="I3317" s="70">
        <f t="shared" si="362"/>
        <v>0</v>
      </c>
      <c r="J3317" s="70">
        <f t="shared" si="363"/>
        <v>0</v>
      </c>
      <c r="K3317" s="70">
        <f>IF(CurrentMtgRatesDataTable8[[#This Row],[WA CC]]&lt;&gt;0,C3316-CurrentMtgRatesDataTable8[[#This Row],[WA CC]],0)</f>
        <v>0</v>
      </c>
      <c r="L3317" s="70">
        <f>IF(CurrentMtgRatesDataTable8[[#This Row],[Servicing Spread]]&lt;=0,L3316,CurrentMtgRatesDataTable8[[#This Row],[Servicing Spread]])</f>
        <v>0.88107535813014515</v>
      </c>
      <c r="M3317" s="70">
        <f>CurrentMtgRatesDataTable8[[#This Row],[Servicing Spread Non-Zero]]-L3316</f>
        <v>0</v>
      </c>
      <c r="N3317" s="70">
        <f>IF(J3316&lt;&gt;0,CurrentMtgRatesDataTable8[[#This Row],[Rate]]-C3316,N3316)</f>
        <v>-6.0000000000000497E-2</v>
      </c>
    </row>
    <row r="3318" spans="1:14">
      <c r="A3318" s="67" t="s">
        <v>1282</v>
      </c>
      <c r="B3318" s="68">
        <v>3.10342915438406</v>
      </c>
      <c r="C3318" s="69">
        <v>3.9749999999999996</v>
      </c>
      <c r="D3318" s="70">
        <f t="shared" si="357"/>
        <v>6</v>
      </c>
      <c r="E3318" s="70">
        <f t="shared" si="358"/>
        <v>0.2</v>
      </c>
      <c r="F3318" s="70">
        <f t="shared" si="359"/>
        <v>4</v>
      </c>
      <c r="G3318" s="70">
        <f t="shared" si="360"/>
        <v>2.4763655115379621</v>
      </c>
      <c r="H3318" s="70">
        <f t="shared" si="361"/>
        <v>0.8</v>
      </c>
      <c r="I3318" s="70">
        <f t="shared" si="362"/>
        <v>0</v>
      </c>
      <c r="J3318" s="70">
        <f t="shared" si="363"/>
        <v>0</v>
      </c>
      <c r="K3318" s="70">
        <f>IF(CurrentMtgRatesDataTable8[[#This Row],[WA CC]]&lt;&gt;0,C3317-CurrentMtgRatesDataTable8[[#This Row],[WA CC]],0)</f>
        <v>0</v>
      </c>
      <c r="L3318" s="70">
        <f>IF(CurrentMtgRatesDataTable8[[#This Row],[Servicing Spread]]&lt;=0,L3317,CurrentMtgRatesDataTable8[[#This Row],[Servicing Spread]])</f>
        <v>0.88107535813014515</v>
      </c>
      <c r="M3318" s="70">
        <f>CurrentMtgRatesDataTable8[[#This Row],[Servicing Spread Non-Zero]]-L3317</f>
        <v>0</v>
      </c>
      <c r="N3318" s="70">
        <f>IF(J3317&lt;&gt;0,CurrentMtgRatesDataTable8[[#This Row],[Rate]]-C3317,N3317)</f>
        <v>-6.0000000000000497E-2</v>
      </c>
    </row>
    <row r="3319" spans="1:14">
      <c r="A3319" s="67" t="s">
        <v>1283</v>
      </c>
      <c r="B3319" s="68">
        <v>3.20642025134075</v>
      </c>
      <c r="C3319" s="69">
        <v>3.9749999999999996</v>
      </c>
      <c r="D3319" s="70">
        <f t="shared" si="357"/>
        <v>7</v>
      </c>
      <c r="E3319" s="70">
        <f t="shared" si="358"/>
        <v>0.2</v>
      </c>
      <c r="F3319" s="70">
        <f t="shared" si="359"/>
        <v>5</v>
      </c>
      <c r="G3319" s="70">
        <f t="shared" si="360"/>
        <v>3.117649561806112</v>
      </c>
      <c r="H3319" s="70">
        <f t="shared" si="361"/>
        <v>1</v>
      </c>
      <c r="I3319" s="70">
        <f t="shared" si="362"/>
        <v>1</v>
      </c>
      <c r="J3319" s="70">
        <f t="shared" si="363"/>
        <v>3.117649561806112</v>
      </c>
      <c r="K3319" s="70">
        <f>IF(CurrentMtgRatesDataTable8[[#This Row],[WA CC]]&lt;&gt;0,C3318-CurrentMtgRatesDataTable8[[#This Row],[WA CC]],0)</f>
        <v>0.85735043819388768</v>
      </c>
      <c r="L3319" s="70">
        <f>IF(CurrentMtgRatesDataTable8[[#This Row],[Servicing Spread]]&lt;=0,L3318,CurrentMtgRatesDataTable8[[#This Row],[Servicing Spread]])</f>
        <v>0.85735043819388768</v>
      </c>
      <c r="M3319" s="70">
        <f>CurrentMtgRatesDataTable8[[#This Row],[Servicing Spread Non-Zero]]-L3318</f>
        <v>-2.3724919936257471E-2</v>
      </c>
      <c r="N3319" s="70">
        <f>IF(J3318&lt;&gt;0,CurrentMtgRatesDataTable8[[#This Row],[Rate]]-C3318,N3318)</f>
        <v>-6.0000000000000497E-2</v>
      </c>
    </row>
    <row r="3320" spans="1:14">
      <c r="A3320" s="67" t="s">
        <v>1284</v>
      </c>
      <c r="B3320" s="68">
        <v>3.2342757341067498</v>
      </c>
      <c r="C3320" s="69">
        <v>4.085</v>
      </c>
      <c r="D3320" s="70">
        <f t="shared" si="357"/>
        <v>1</v>
      </c>
      <c r="E3320" s="70">
        <f t="shared" si="358"/>
        <v>0.2</v>
      </c>
      <c r="F3320" s="70">
        <f t="shared" si="359"/>
        <v>1</v>
      </c>
      <c r="G3320" s="70">
        <f t="shared" si="360"/>
        <v>0.64685514682135004</v>
      </c>
      <c r="H3320" s="70">
        <f t="shared" si="361"/>
        <v>0.2</v>
      </c>
      <c r="I3320" s="70">
        <f t="shared" si="362"/>
        <v>0</v>
      </c>
      <c r="J3320" s="70">
        <f t="shared" si="363"/>
        <v>0</v>
      </c>
      <c r="K3320" s="70">
        <f>IF(CurrentMtgRatesDataTable8[[#This Row],[WA CC]]&lt;&gt;0,C3319-CurrentMtgRatesDataTable8[[#This Row],[WA CC]],0)</f>
        <v>0</v>
      </c>
      <c r="L3320" s="70">
        <f>IF(CurrentMtgRatesDataTable8[[#This Row],[Servicing Spread]]&lt;=0,L3319,CurrentMtgRatesDataTable8[[#This Row],[Servicing Spread]])</f>
        <v>0.85735043819388768</v>
      </c>
      <c r="M3320" s="70">
        <f>CurrentMtgRatesDataTable8[[#This Row],[Servicing Spread Non-Zero]]-L3319</f>
        <v>0</v>
      </c>
      <c r="N3320" s="70">
        <f>IF(J3319&lt;&gt;0,CurrentMtgRatesDataTable8[[#This Row],[Rate]]-C3319,N3319)</f>
        <v>0.11000000000000032</v>
      </c>
    </row>
    <row r="3321" spans="1:14">
      <c r="A3321" s="67" t="s">
        <v>1285</v>
      </c>
      <c r="B3321" s="68">
        <v>3.2320225363083699</v>
      </c>
      <c r="C3321" s="69">
        <v>4.085</v>
      </c>
      <c r="D3321" s="70">
        <f t="shared" si="357"/>
        <v>2</v>
      </c>
      <c r="E3321" s="70">
        <f t="shared" si="358"/>
        <v>0.2</v>
      </c>
      <c r="F3321" s="70">
        <f t="shared" si="359"/>
        <v>2</v>
      </c>
      <c r="G3321" s="70">
        <f t="shared" si="360"/>
        <v>1.2932596540830241</v>
      </c>
      <c r="H3321" s="70">
        <f t="shared" si="361"/>
        <v>0.4</v>
      </c>
      <c r="I3321" s="70">
        <f t="shared" si="362"/>
        <v>0</v>
      </c>
      <c r="J3321" s="70">
        <f t="shared" si="363"/>
        <v>0</v>
      </c>
      <c r="K3321" s="70">
        <f>IF(CurrentMtgRatesDataTable8[[#This Row],[WA CC]]&lt;&gt;0,C3320-CurrentMtgRatesDataTable8[[#This Row],[WA CC]],0)</f>
        <v>0</v>
      </c>
      <c r="L3321" s="70">
        <f>IF(CurrentMtgRatesDataTable8[[#This Row],[Servicing Spread]]&lt;=0,L3320,CurrentMtgRatesDataTable8[[#This Row],[Servicing Spread]])</f>
        <v>0.85735043819388768</v>
      </c>
      <c r="M3321" s="70">
        <f>CurrentMtgRatesDataTable8[[#This Row],[Servicing Spread Non-Zero]]-L3320</f>
        <v>0</v>
      </c>
      <c r="N3321" s="70">
        <f>IF(J3320&lt;&gt;0,CurrentMtgRatesDataTable8[[#This Row],[Rate]]-C3320,N3320)</f>
        <v>0.11000000000000032</v>
      </c>
    </row>
    <row r="3322" spans="1:14">
      <c r="A3322" s="67" t="s">
        <v>1286</v>
      </c>
      <c r="B3322" s="68">
        <v>3.22523463201723</v>
      </c>
      <c r="C3322" s="69">
        <v>4.085</v>
      </c>
      <c r="D3322" s="70">
        <f t="shared" si="357"/>
        <v>5</v>
      </c>
      <c r="E3322" s="70">
        <f t="shared" si="358"/>
        <v>0.2</v>
      </c>
      <c r="F3322" s="70">
        <f t="shared" si="359"/>
        <v>3</v>
      </c>
      <c r="G3322" s="70">
        <f t="shared" si="360"/>
        <v>1.9383065804864703</v>
      </c>
      <c r="H3322" s="70">
        <f t="shared" si="361"/>
        <v>0.60000000000000009</v>
      </c>
      <c r="I3322" s="70">
        <f t="shared" si="362"/>
        <v>0</v>
      </c>
      <c r="J3322" s="70">
        <f t="shared" si="363"/>
        <v>0</v>
      </c>
      <c r="K3322" s="70">
        <f>IF(CurrentMtgRatesDataTable8[[#This Row],[WA CC]]&lt;&gt;0,C3321-CurrentMtgRatesDataTable8[[#This Row],[WA CC]],0)</f>
        <v>0</v>
      </c>
      <c r="L3322" s="70">
        <f>IF(CurrentMtgRatesDataTable8[[#This Row],[Servicing Spread]]&lt;=0,L3321,CurrentMtgRatesDataTable8[[#This Row],[Servicing Spread]])</f>
        <v>0.85735043819388768</v>
      </c>
      <c r="M3322" s="70">
        <f>CurrentMtgRatesDataTable8[[#This Row],[Servicing Spread Non-Zero]]-L3321</f>
        <v>0</v>
      </c>
      <c r="N3322" s="70">
        <f>IF(J3321&lt;&gt;0,CurrentMtgRatesDataTable8[[#This Row],[Rate]]-C3321,N3321)</f>
        <v>0.11000000000000032</v>
      </c>
    </row>
    <row r="3323" spans="1:14">
      <c r="A3323" s="67" t="s">
        <v>1287</v>
      </c>
      <c r="B3323" s="68">
        <v>3.2431556019799901</v>
      </c>
      <c r="C3323" s="69">
        <v>4.085</v>
      </c>
      <c r="D3323" s="70">
        <f t="shared" si="357"/>
        <v>6</v>
      </c>
      <c r="E3323" s="70">
        <f t="shared" si="358"/>
        <v>0.2</v>
      </c>
      <c r="F3323" s="70">
        <f t="shared" si="359"/>
        <v>4</v>
      </c>
      <c r="G3323" s="70">
        <f t="shared" si="360"/>
        <v>2.5869377008824683</v>
      </c>
      <c r="H3323" s="70">
        <f t="shared" si="361"/>
        <v>0.8</v>
      </c>
      <c r="I3323" s="70">
        <f t="shared" si="362"/>
        <v>0</v>
      </c>
      <c r="J3323" s="70">
        <f t="shared" si="363"/>
        <v>0</v>
      </c>
      <c r="K3323" s="70">
        <f>IF(CurrentMtgRatesDataTable8[[#This Row],[WA CC]]&lt;&gt;0,C3322-CurrentMtgRatesDataTable8[[#This Row],[WA CC]],0)</f>
        <v>0</v>
      </c>
      <c r="L3323" s="70">
        <f>IF(CurrentMtgRatesDataTable8[[#This Row],[Servicing Spread]]&lt;=0,L3322,CurrentMtgRatesDataTable8[[#This Row],[Servicing Spread]])</f>
        <v>0.85735043819388768</v>
      </c>
      <c r="M3323" s="70">
        <f>CurrentMtgRatesDataTable8[[#This Row],[Servicing Spread Non-Zero]]-L3322</f>
        <v>0</v>
      </c>
      <c r="N3323" s="70">
        <f>IF(J3322&lt;&gt;0,CurrentMtgRatesDataTable8[[#This Row],[Rate]]-C3322,N3322)</f>
        <v>0.11000000000000032</v>
      </c>
    </row>
    <row r="3324" spans="1:14">
      <c r="A3324" s="67" t="s">
        <v>1288</v>
      </c>
      <c r="B3324" s="68">
        <v>3.2819752362601502</v>
      </c>
      <c r="C3324" s="69">
        <v>4.085</v>
      </c>
      <c r="D3324" s="70">
        <f t="shared" si="357"/>
        <v>7</v>
      </c>
      <c r="E3324" s="70">
        <f t="shared" si="358"/>
        <v>0.2</v>
      </c>
      <c r="F3324" s="70">
        <f t="shared" si="359"/>
        <v>5</v>
      </c>
      <c r="G3324" s="70">
        <f t="shared" si="360"/>
        <v>3.2433327481344985</v>
      </c>
      <c r="H3324" s="70">
        <f t="shared" si="361"/>
        <v>1</v>
      </c>
      <c r="I3324" s="70">
        <f t="shared" si="362"/>
        <v>1</v>
      </c>
      <c r="J3324" s="70">
        <f t="shared" si="363"/>
        <v>3.2433327481344985</v>
      </c>
      <c r="K3324" s="70">
        <f>IF(CurrentMtgRatesDataTable8[[#This Row],[WA CC]]&lt;&gt;0,C3323-CurrentMtgRatesDataTable8[[#This Row],[WA CC]],0)</f>
        <v>0.84166725186550151</v>
      </c>
      <c r="L3324" s="70">
        <f>IF(CurrentMtgRatesDataTable8[[#This Row],[Servicing Spread]]&lt;=0,L3323,CurrentMtgRatesDataTable8[[#This Row],[Servicing Spread]])</f>
        <v>0.84166725186550151</v>
      </c>
      <c r="M3324" s="70">
        <f>CurrentMtgRatesDataTable8[[#This Row],[Servicing Spread Non-Zero]]-L3323</f>
        <v>-1.5683186328386167E-2</v>
      </c>
      <c r="N3324" s="70">
        <f>IF(J3323&lt;&gt;0,CurrentMtgRatesDataTable8[[#This Row],[Rate]]-C3323,N3323)</f>
        <v>0.11000000000000032</v>
      </c>
    </row>
    <row r="3325" spans="1:14">
      <c r="A3325" s="67" t="s">
        <v>1289</v>
      </c>
      <c r="B3325" s="68">
        <v>3.3406216672638802</v>
      </c>
      <c r="C3325" s="69">
        <v>4.1749999999999998</v>
      </c>
      <c r="D3325" s="70">
        <f t="shared" si="357"/>
        <v>1</v>
      </c>
      <c r="E3325" s="70">
        <f t="shared" si="358"/>
        <v>0.2</v>
      </c>
      <c r="F3325" s="70">
        <f t="shared" si="359"/>
        <v>1</v>
      </c>
      <c r="G3325" s="70">
        <f t="shared" si="360"/>
        <v>0.66812433345277611</v>
      </c>
      <c r="H3325" s="70">
        <f t="shared" si="361"/>
        <v>0.2</v>
      </c>
      <c r="I3325" s="70">
        <f t="shared" si="362"/>
        <v>0</v>
      </c>
      <c r="J3325" s="70">
        <f t="shared" si="363"/>
        <v>0</v>
      </c>
      <c r="K3325" s="70">
        <f>IF(CurrentMtgRatesDataTable8[[#This Row],[WA CC]]&lt;&gt;0,C3324-CurrentMtgRatesDataTable8[[#This Row],[WA CC]],0)</f>
        <v>0</v>
      </c>
      <c r="L3325" s="70">
        <f>IF(CurrentMtgRatesDataTable8[[#This Row],[Servicing Spread]]&lt;=0,L3324,CurrentMtgRatesDataTable8[[#This Row],[Servicing Spread]])</f>
        <v>0.84166725186550151</v>
      </c>
      <c r="M3325" s="70">
        <f>CurrentMtgRatesDataTable8[[#This Row],[Servicing Spread Non-Zero]]-L3324</f>
        <v>0</v>
      </c>
      <c r="N3325" s="70">
        <f>IF(J3324&lt;&gt;0,CurrentMtgRatesDataTable8[[#This Row],[Rate]]-C3324,N3324)</f>
        <v>8.9999999999999858E-2</v>
      </c>
    </row>
    <row r="3326" spans="1:14">
      <c r="A3326" s="67" t="s">
        <v>1290</v>
      </c>
      <c r="B3326" s="68">
        <v>3.3206925533128699</v>
      </c>
      <c r="C3326" s="69">
        <v>4.1749999999999998</v>
      </c>
      <c r="D3326" s="70">
        <f t="shared" si="357"/>
        <v>2</v>
      </c>
      <c r="E3326" s="70">
        <f t="shared" si="358"/>
        <v>0.2</v>
      </c>
      <c r="F3326" s="70">
        <f t="shared" si="359"/>
        <v>2</v>
      </c>
      <c r="G3326" s="70">
        <f t="shared" si="360"/>
        <v>1.3322628441153501</v>
      </c>
      <c r="H3326" s="70">
        <f t="shared" si="361"/>
        <v>0.4</v>
      </c>
      <c r="I3326" s="70">
        <f t="shared" si="362"/>
        <v>0</v>
      </c>
      <c r="J3326" s="70">
        <f t="shared" si="363"/>
        <v>0</v>
      </c>
      <c r="K3326" s="70">
        <f>IF(CurrentMtgRatesDataTable8[[#This Row],[WA CC]]&lt;&gt;0,C3325-CurrentMtgRatesDataTable8[[#This Row],[WA CC]],0)</f>
        <v>0</v>
      </c>
      <c r="L3326" s="70">
        <f>IF(CurrentMtgRatesDataTable8[[#This Row],[Servicing Spread]]&lt;=0,L3325,CurrentMtgRatesDataTable8[[#This Row],[Servicing Spread]])</f>
        <v>0.84166725186550151</v>
      </c>
      <c r="M3326" s="70">
        <f>CurrentMtgRatesDataTable8[[#This Row],[Servicing Spread Non-Zero]]-L3325</f>
        <v>0</v>
      </c>
      <c r="N3326" s="70">
        <f>IF(J3325&lt;&gt;0,CurrentMtgRatesDataTable8[[#This Row],[Rate]]-C3325,N3325)</f>
        <v>8.9999999999999858E-2</v>
      </c>
    </row>
    <row r="3327" spans="1:14">
      <c r="A3327" s="67" t="s">
        <v>1291</v>
      </c>
      <c r="B3327" s="68">
        <v>3.35448233982074</v>
      </c>
      <c r="C3327" s="69">
        <v>4.1749999999999998</v>
      </c>
      <c r="D3327" s="70">
        <f t="shared" si="357"/>
        <v>5</v>
      </c>
      <c r="E3327" s="70">
        <f t="shared" si="358"/>
        <v>0.2</v>
      </c>
      <c r="F3327" s="70">
        <f t="shared" si="359"/>
        <v>3</v>
      </c>
      <c r="G3327" s="70">
        <f t="shared" si="360"/>
        <v>2.0031593120794984</v>
      </c>
      <c r="H3327" s="70">
        <f t="shared" si="361"/>
        <v>0.60000000000000009</v>
      </c>
      <c r="I3327" s="70">
        <f t="shared" si="362"/>
        <v>0</v>
      </c>
      <c r="J3327" s="70">
        <f t="shared" si="363"/>
        <v>0</v>
      </c>
      <c r="K3327" s="70">
        <f>IF(CurrentMtgRatesDataTable8[[#This Row],[WA CC]]&lt;&gt;0,C3326-CurrentMtgRatesDataTable8[[#This Row],[WA CC]],0)</f>
        <v>0</v>
      </c>
      <c r="L3327" s="70">
        <f>IF(CurrentMtgRatesDataTable8[[#This Row],[Servicing Spread]]&lt;=0,L3326,CurrentMtgRatesDataTable8[[#This Row],[Servicing Spread]])</f>
        <v>0.84166725186550151</v>
      </c>
      <c r="M3327" s="70">
        <f>CurrentMtgRatesDataTable8[[#This Row],[Servicing Spread Non-Zero]]-L3326</f>
        <v>0</v>
      </c>
      <c r="N3327" s="70">
        <f>IF(J3326&lt;&gt;0,CurrentMtgRatesDataTable8[[#This Row],[Rate]]-C3326,N3326)</f>
        <v>8.9999999999999858E-2</v>
      </c>
    </row>
    <row r="3328" spans="1:14">
      <c r="A3328" s="67" t="s">
        <v>1292</v>
      </c>
      <c r="B3328" s="68">
        <v>3.3507469979464899</v>
      </c>
      <c r="C3328" s="69">
        <v>4.1749999999999998</v>
      </c>
      <c r="D3328" s="70">
        <f t="shared" si="357"/>
        <v>6</v>
      </c>
      <c r="E3328" s="70">
        <f t="shared" si="358"/>
        <v>0.2</v>
      </c>
      <c r="F3328" s="70">
        <f t="shared" si="359"/>
        <v>4</v>
      </c>
      <c r="G3328" s="70">
        <f t="shared" si="360"/>
        <v>2.6733087116687964</v>
      </c>
      <c r="H3328" s="70">
        <f t="shared" si="361"/>
        <v>0.8</v>
      </c>
      <c r="I3328" s="70">
        <f t="shared" si="362"/>
        <v>0</v>
      </c>
      <c r="J3328" s="70">
        <f t="shared" si="363"/>
        <v>0</v>
      </c>
      <c r="K3328" s="70">
        <f>IF(CurrentMtgRatesDataTable8[[#This Row],[WA CC]]&lt;&gt;0,C3327-CurrentMtgRatesDataTable8[[#This Row],[WA CC]],0)</f>
        <v>0</v>
      </c>
      <c r="L3328" s="70">
        <f>IF(CurrentMtgRatesDataTable8[[#This Row],[Servicing Spread]]&lt;=0,L3327,CurrentMtgRatesDataTable8[[#This Row],[Servicing Spread]])</f>
        <v>0.84166725186550151</v>
      </c>
      <c r="M3328" s="70">
        <f>CurrentMtgRatesDataTable8[[#This Row],[Servicing Spread Non-Zero]]-L3327</f>
        <v>0</v>
      </c>
      <c r="N3328" s="70">
        <f>IF(J3327&lt;&gt;0,CurrentMtgRatesDataTable8[[#This Row],[Rate]]-C3327,N3327)</f>
        <v>8.9999999999999858E-2</v>
      </c>
    </row>
    <row r="3329" spans="1:14">
      <c r="A3329" s="67" t="s">
        <v>1293</v>
      </c>
      <c r="B3329" s="68">
        <v>3.2454530703247602</v>
      </c>
      <c r="C3329" s="69">
        <v>4.1749999999999998</v>
      </c>
      <c r="D3329" s="70">
        <f t="shared" si="357"/>
        <v>7</v>
      </c>
      <c r="E3329" s="70">
        <f t="shared" si="358"/>
        <v>0.2</v>
      </c>
      <c r="F3329" s="70">
        <f t="shared" si="359"/>
        <v>5</v>
      </c>
      <c r="G3329" s="70">
        <f t="shared" si="360"/>
        <v>3.3223993257337483</v>
      </c>
      <c r="H3329" s="70">
        <f t="shared" si="361"/>
        <v>1</v>
      </c>
      <c r="I3329" s="70">
        <f t="shared" si="362"/>
        <v>1</v>
      </c>
      <c r="J3329" s="70">
        <f t="shared" si="363"/>
        <v>3.3223993257337483</v>
      </c>
      <c r="K3329" s="70">
        <f>IF(CurrentMtgRatesDataTable8[[#This Row],[WA CC]]&lt;&gt;0,C3328-CurrentMtgRatesDataTable8[[#This Row],[WA CC]],0)</f>
        <v>0.85260067426625152</v>
      </c>
      <c r="L3329" s="70">
        <f>IF(CurrentMtgRatesDataTable8[[#This Row],[Servicing Spread]]&lt;=0,L3328,CurrentMtgRatesDataTable8[[#This Row],[Servicing Spread]])</f>
        <v>0.85260067426625152</v>
      </c>
      <c r="M3329" s="70">
        <f>CurrentMtgRatesDataTable8[[#This Row],[Servicing Spread Non-Zero]]-L3328</f>
        <v>1.0933422400750015E-2</v>
      </c>
      <c r="N3329" s="70">
        <f>IF(J3328&lt;&gt;0,CurrentMtgRatesDataTable8[[#This Row],[Rate]]-C3328,N3328)</f>
        <v>8.9999999999999858E-2</v>
      </c>
    </row>
    <row r="3330" spans="1:14">
      <c r="A3330" s="67" t="s">
        <v>1294</v>
      </c>
      <c r="B3330" s="68">
        <v>3.2604043069453401</v>
      </c>
      <c r="C3330" s="69">
        <v>4.1050000000000004</v>
      </c>
      <c r="D3330" s="70">
        <f t="shared" si="357"/>
        <v>1</v>
      </c>
      <c r="E3330" s="70">
        <f t="shared" si="358"/>
        <v>0.2</v>
      </c>
      <c r="F3330" s="70">
        <f t="shared" si="359"/>
        <v>1</v>
      </c>
      <c r="G3330" s="70">
        <f t="shared" si="360"/>
        <v>0.65208086138906807</v>
      </c>
      <c r="H3330" s="70">
        <f t="shared" si="361"/>
        <v>0.2</v>
      </c>
      <c r="I3330" s="70">
        <f t="shared" si="362"/>
        <v>0</v>
      </c>
      <c r="J3330" s="70">
        <f t="shared" si="363"/>
        <v>0</v>
      </c>
      <c r="K3330" s="70">
        <f>IF(CurrentMtgRatesDataTable8[[#This Row],[WA CC]]&lt;&gt;0,C3329-CurrentMtgRatesDataTable8[[#This Row],[WA CC]],0)</f>
        <v>0</v>
      </c>
      <c r="L3330" s="70">
        <f>IF(CurrentMtgRatesDataTable8[[#This Row],[Servicing Spread]]&lt;=0,L3329,CurrentMtgRatesDataTable8[[#This Row],[Servicing Spread]])</f>
        <v>0.85260067426625152</v>
      </c>
      <c r="M3330" s="70">
        <f>CurrentMtgRatesDataTable8[[#This Row],[Servicing Spread Non-Zero]]-L3329</f>
        <v>0</v>
      </c>
      <c r="N3330" s="70">
        <f>IF(J3329&lt;&gt;0,CurrentMtgRatesDataTable8[[#This Row],[Rate]]-C3329,N3329)</f>
        <v>-6.9999999999999396E-2</v>
      </c>
    </row>
    <row r="3331" spans="1:14">
      <c r="A3331" s="67" t="s">
        <v>1295</v>
      </c>
      <c r="B3331" s="68">
        <v>3.2371023816739601</v>
      </c>
      <c r="C3331" s="69">
        <v>4.1050000000000004</v>
      </c>
      <c r="D3331" s="70">
        <f t="shared" si="357"/>
        <v>2</v>
      </c>
      <c r="E3331" s="70">
        <f t="shared" si="358"/>
        <v>0.2</v>
      </c>
      <c r="F3331" s="70">
        <f t="shared" si="359"/>
        <v>2</v>
      </c>
      <c r="G3331" s="70">
        <f t="shared" si="360"/>
        <v>1.2995013377238602</v>
      </c>
      <c r="H3331" s="70">
        <f t="shared" si="361"/>
        <v>0.4</v>
      </c>
      <c r="I3331" s="70">
        <f t="shared" si="362"/>
        <v>0</v>
      </c>
      <c r="J3331" s="70">
        <f t="shared" si="363"/>
        <v>0</v>
      </c>
      <c r="K3331" s="70">
        <f>IF(CurrentMtgRatesDataTable8[[#This Row],[WA CC]]&lt;&gt;0,C3330-CurrentMtgRatesDataTable8[[#This Row],[WA CC]],0)</f>
        <v>0</v>
      </c>
      <c r="L3331" s="70">
        <f>IF(CurrentMtgRatesDataTable8[[#This Row],[Servicing Spread]]&lt;=0,L3330,CurrentMtgRatesDataTable8[[#This Row],[Servicing Spread]])</f>
        <v>0.85260067426625152</v>
      </c>
      <c r="M3331" s="70">
        <f>CurrentMtgRatesDataTable8[[#This Row],[Servicing Spread Non-Zero]]-L3330</f>
        <v>0</v>
      </c>
      <c r="N3331" s="70">
        <f>IF(J3330&lt;&gt;0,CurrentMtgRatesDataTable8[[#This Row],[Rate]]-C3330,N3330)</f>
        <v>-6.9999999999999396E-2</v>
      </c>
    </row>
    <row r="3332" spans="1:14">
      <c r="A3332" s="67" t="s">
        <v>1296</v>
      </c>
      <c r="B3332" s="68">
        <v>3.2160937594911698</v>
      </c>
      <c r="C3332" s="69">
        <v>4.1050000000000004</v>
      </c>
      <c r="D3332" s="70">
        <f t="shared" si="357"/>
        <v>5</v>
      </c>
      <c r="E3332" s="70">
        <f t="shared" si="358"/>
        <v>0.2</v>
      </c>
      <c r="F3332" s="70">
        <f t="shared" si="359"/>
        <v>3</v>
      </c>
      <c r="G3332" s="70">
        <f t="shared" si="360"/>
        <v>1.9427200896220942</v>
      </c>
      <c r="H3332" s="70">
        <f t="shared" si="361"/>
        <v>0.60000000000000009</v>
      </c>
      <c r="I3332" s="70">
        <f t="shared" si="362"/>
        <v>0</v>
      </c>
      <c r="J3332" s="70">
        <f t="shared" si="363"/>
        <v>0</v>
      </c>
      <c r="K3332" s="70">
        <f>IF(CurrentMtgRatesDataTable8[[#This Row],[WA CC]]&lt;&gt;0,C3331-CurrentMtgRatesDataTable8[[#This Row],[WA CC]],0)</f>
        <v>0</v>
      </c>
      <c r="L3332" s="70">
        <f>IF(CurrentMtgRatesDataTable8[[#This Row],[Servicing Spread]]&lt;=0,L3331,CurrentMtgRatesDataTable8[[#This Row],[Servicing Spread]])</f>
        <v>0.85260067426625152</v>
      </c>
      <c r="M3332" s="70">
        <f>CurrentMtgRatesDataTable8[[#This Row],[Servicing Spread Non-Zero]]-L3331</f>
        <v>0</v>
      </c>
      <c r="N3332" s="70">
        <f>IF(J3331&lt;&gt;0,CurrentMtgRatesDataTable8[[#This Row],[Rate]]-C3331,N3331)</f>
        <v>-6.9999999999999396E-2</v>
      </c>
    </row>
    <row r="3333" spans="1:14">
      <c r="A3333" s="67" t="s">
        <v>1297</v>
      </c>
      <c r="B3333" s="68">
        <v>3.1691629122543801</v>
      </c>
      <c r="C3333" s="69">
        <v>4.1050000000000004</v>
      </c>
      <c r="D3333" s="70">
        <f t="shared" ref="D3333:D3392" si="364">WEEKDAY(A3333,14)</f>
        <v>6</v>
      </c>
      <c r="E3333" s="70">
        <f t="shared" ref="E3333:E3396" si="365">VLOOKUP(D3333,Q$5:R$11,2,FALSE)</f>
        <v>0.2</v>
      </c>
      <c r="F3333" s="70">
        <f t="shared" ref="F3333:F3392" si="366">IF(AND(D3333&gt;D3332,F3332&lt;6),F3332+1,1)</f>
        <v>4</v>
      </c>
      <c r="G3333" s="70">
        <f t="shared" ref="G3333:G3396" si="367">IF(F3333&gt;F3332,G3332+B3333*E3333,B3333*E3333)</f>
        <v>2.5765526720729701</v>
      </c>
      <c r="H3333" s="70">
        <f t="shared" ref="H3333:H3392" si="368">IF(AND(F3333&lt;6,F3333&gt;F3332),E3333+H3332,E3333)</f>
        <v>0.8</v>
      </c>
      <c r="I3333" s="70">
        <f t="shared" ref="I3333:I3392" si="369">IF(F3333&gt;F3334,1,0)</f>
        <v>0</v>
      </c>
      <c r="J3333" s="70">
        <f t="shared" ref="J3333:J3392" si="370">IF(F3333&gt;F3334,G3333/H3333,0)</f>
        <v>0</v>
      </c>
      <c r="K3333" s="70">
        <f>IF(CurrentMtgRatesDataTable8[[#This Row],[WA CC]]&lt;&gt;0,C3332-CurrentMtgRatesDataTable8[[#This Row],[WA CC]],0)</f>
        <v>0</v>
      </c>
      <c r="L3333" s="70">
        <f>IF(CurrentMtgRatesDataTable8[[#This Row],[Servicing Spread]]&lt;=0,L3332,CurrentMtgRatesDataTable8[[#This Row],[Servicing Spread]])</f>
        <v>0.85260067426625152</v>
      </c>
      <c r="M3333" s="70">
        <f>CurrentMtgRatesDataTable8[[#This Row],[Servicing Spread Non-Zero]]-L3332</f>
        <v>0</v>
      </c>
      <c r="N3333" s="70">
        <f>IF(J3332&lt;&gt;0,CurrentMtgRatesDataTable8[[#This Row],[Rate]]-C3332,N3332)</f>
        <v>-6.9999999999999396E-2</v>
      </c>
    </row>
    <row r="3334" spans="1:14">
      <c r="A3334" s="67" t="s">
        <v>1298</v>
      </c>
      <c r="B3334" s="68">
        <v>3.13601308669194</v>
      </c>
      <c r="C3334" s="69">
        <v>4.1050000000000004</v>
      </c>
      <c r="D3334" s="70">
        <f t="shared" si="364"/>
        <v>7</v>
      </c>
      <c r="E3334" s="70">
        <f t="shared" si="365"/>
        <v>0.2</v>
      </c>
      <c r="F3334" s="70">
        <f t="shared" si="366"/>
        <v>5</v>
      </c>
      <c r="G3334" s="70">
        <f t="shared" si="367"/>
        <v>3.2037552894113581</v>
      </c>
      <c r="H3334" s="70">
        <f t="shared" si="368"/>
        <v>1</v>
      </c>
      <c r="I3334" s="70">
        <f t="shared" si="369"/>
        <v>1</v>
      </c>
      <c r="J3334" s="70">
        <f t="shared" si="370"/>
        <v>3.2037552894113581</v>
      </c>
      <c r="K3334" s="70">
        <f>IF(CurrentMtgRatesDataTable8[[#This Row],[WA CC]]&lt;&gt;0,C3333-CurrentMtgRatesDataTable8[[#This Row],[WA CC]],0)</f>
        <v>0.90124471058864231</v>
      </c>
      <c r="L3334" s="70">
        <f>IF(CurrentMtgRatesDataTable8[[#This Row],[Servicing Spread]]&lt;=0,L3333,CurrentMtgRatesDataTable8[[#This Row],[Servicing Spread]])</f>
        <v>0.90124471058864231</v>
      </c>
      <c r="M3334" s="70">
        <f>CurrentMtgRatesDataTable8[[#This Row],[Servicing Spread Non-Zero]]-L3333</f>
        <v>4.8644036322390782E-2</v>
      </c>
      <c r="N3334" s="70">
        <f>IF(J3333&lt;&gt;0,CurrentMtgRatesDataTable8[[#This Row],[Rate]]-C3333,N3333)</f>
        <v>-6.9999999999999396E-2</v>
      </c>
    </row>
    <row r="3335" spans="1:14">
      <c r="A3335" s="67" t="s">
        <v>1299</v>
      </c>
      <c r="B3335" s="68">
        <v>3.16228142903738</v>
      </c>
      <c r="C3335" s="69">
        <v>4.0149999999999997</v>
      </c>
      <c r="D3335" s="70">
        <f t="shared" si="364"/>
        <v>1</v>
      </c>
      <c r="E3335" s="70">
        <f t="shared" si="365"/>
        <v>0.2</v>
      </c>
      <c r="F3335" s="70">
        <f t="shared" si="366"/>
        <v>1</v>
      </c>
      <c r="G3335" s="70">
        <f t="shared" si="367"/>
        <v>0.63245628580747604</v>
      </c>
      <c r="H3335" s="70">
        <f t="shared" si="368"/>
        <v>0.2</v>
      </c>
      <c r="I3335" s="70">
        <f t="shared" si="369"/>
        <v>0</v>
      </c>
      <c r="J3335" s="70">
        <f t="shared" si="370"/>
        <v>0</v>
      </c>
      <c r="K3335" s="70">
        <f>IF(CurrentMtgRatesDataTable8[[#This Row],[WA CC]]&lt;&gt;0,C3334-CurrentMtgRatesDataTable8[[#This Row],[WA CC]],0)</f>
        <v>0</v>
      </c>
      <c r="L3335" s="70">
        <f>IF(CurrentMtgRatesDataTable8[[#This Row],[Servicing Spread]]&lt;=0,L3334,CurrentMtgRatesDataTable8[[#This Row],[Servicing Spread]])</f>
        <v>0.90124471058864231</v>
      </c>
      <c r="M3335" s="70">
        <f>CurrentMtgRatesDataTable8[[#This Row],[Servicing Spread Non-Zero]]-L3334</f>
        <v>0</v>
      </c>
      <c r="N3335" s="70">
        <f>IF(J3334&lt;&gt;0,CurrentMtgRatesDataTable8[[#This Row],[Rate]]-C3334,N3334)</f>
        <v>-9.0000000000000746E-2</v>
      </c>
    </row>
    <row r="3336" spans="1:14">
      <c r="A3336" s="67" t="s">
        <v>1300</v>
      </c>
      <c r="B3336" s="68">
        <v>3.1557690807885401</v>
      </c>
      <c r="C3336" s="69">
        <v>4.0149999999999997</v>
      </c>
      <c r="D3336" s="70">
        <f t="shared" si="364"/>
        <v>2</v>
      </c>
      <c r="E3336" s="70">
        <f t="shared" si="365"/>
        <v>0.2</v>
      </c>
      <c r="F3336" s="70">
        <f t="shared" si="366"/>
        <v>2</v>
      </c>
      <c r="G3336" s="70">
        <f t="shared" si="367"/>
        <v>1.2636101019651842</v>
      </c>
      <c r="H3336" s="70">
        <f t="shared" si="368"/>
        <v>0.4</v>
      </c>
      <c r="I3336" s="70">
        <f t="shared" si="369"/>
        <v>0</v>
      </c>
      <c r="J3336" s="70">
        <f t="shared" si="370"/>
        <v>0</v>
      </c>
      <c r="K3336" s="70">
        <f>IF(CurrentMtgRatesDataTable8[[#This Row],[WA CC]]&lt;&gt;0,C3335-CurrentMtgRatesDataTable8[[#This Row],[WA CC]],0)</f>
        <v>0</v>
      </c>
      <c r="L3336" s="70">
        <f>IF(CurrentMtgRatesDataTable8[[#This Row],[Servicing Spread]]&lt;=0,L3335,CurrentMtgRatesDataTable8[[#This Row],[Servicing Spread]])</f>
        <v>0.90124471058864231</v>
      </c>
      <c r="M3336" s="70">
        <f>CurrentMtgRatesDataTable8[[#This Row],[Servicing Spread Non-Zero]]-L3335</f>
        <v>0</v>
      </c>
      <c r="N3336" s="70">
        <f>IF(J3335&lt;&gt;0,CurrentMtgRatesDataTable8[[#This Row],[Rate]]-C3335,N3335)</f>
        <v>-9.0000000000000746E-2</v>
      </c>
    </row>
    <row r="3337" spans="1:14">
      <c r="A3337" s="67" t="s">
        <v>1301</v>
      </c>
      <c r="B3337" s="68">
        <v>3.12573819371962</v>
      </c>
      <c r="C3337" s="69">
        <v>4.0149999999999997</v>
      </c>
      <c r="D3337" s="70">
        <f t="shared" si="364"/>
        <v>5</v>
      </c>
      <c r="E3337" s="70">
        <f t="shared" si="365"/>
        <v>0.2</v>
      </c>
      <c r="F3337" s="70">
        <f t="shared" si="366"/>
        <v>3</v>
      </c>
      <c r="G3337" s="70">
        <f t="shared" si="367"/>
        <v>1.8887577407091083</v>
      </c>
      <c r="H3337" s="70">
        <f t="shared" si="368"/>
        <v>0.60000000000000009</v>
      </c>
      <c r="I3337" s="70">
        <f t="shared" si="369"/>
        <v>0</v>
      </c>
      <c r="J3337" s="70">
        <f t="shared" si="370"/>
        <v>0</v>
      </c>
      <c r="K3337" s="70">
        <f>IF(CurrentMtgRatesDataTable8[[#This Row],[WA CC]]&lt;&gt;0,C3336-CurrentMtgRatesDataTable8[[#This Row],[WA CC]],0)</f>
        <v>0</v>
      </c>
      <c r="L3337" s="70">
        <f>IF(CurrentMtgRatesDataTable8[[#This Row],[Servicing Spread]]&lt;=0,L3336,CurrentMtgRatesDataTable8[[#This Row],[Servicing Spread]])</f>
        <v>0.90124471058864231</v>
      </c>
      <c r="M3337" s="70">
        <f>CurrentMtgRatesDataTable8[[#This Row],[Servicing Spread Non-Zero]]-L3336</f>
        <v>0</v>
      </c>
      <c r="N3337" s="70">
        <f>IF(J3336&lt;&gt;0,CurrentMtgRatesDataTable8[[#This Row],[Rate]]-C3336,N3336)</f>
        <v>-9.0000000000000746E-2</v>
      </c>
    </row>
    <row r="3338" spans="1:14">
      <c r="A3338" s="67" t="s">
        <v>1302</v>
      </c>
      <c r="B3338" s="68">
        <v>3.17921056091257</v>
      </c>
      <c r="C3338" s="69">
        <v>4.0149999999999997</v>
      </c>
      <c r="D3338" s="70">
        <f t="shared" si="364"/>
        <v>6</v>
      </c>
      <c r="E3338" s="70">
        <f t="shared" si="365"/>
        <v>0.2</v>
      </c>
      <c r="F3338" s="70">
        <f t="shared" si="366"/>
        <v>4</v>
      </c>
      <c r="G3338" s="70">
        <f t="shared" si="367"/>
        <v>2.5245998528916225</v>
      </c>
      <c r="H3338" s="70">
        <f t="shared" si="368"/>
        <v>0.8</v>
      </c>
      <c r="I3338" s="70">
        <f t="shared" si="369"/>
        <v>0</v>
      </c>
      <c r="J3338" s="70">
        <f t="shared" si="370"/>
        <v>0</v>
      </c>
      <c r="K3338" s="70">
        <f>IF(CurrentMtgRatesDataTable8[[#This Row],[WA CC]]&lt;&gt;0,C3337-CurrentMtgRatesDataTable8[[#This Row],[WA CC]],0)</f>
        <v>0</v>
      </c>
      <c r="L3338" s="70">
        <f>IF(CurrentMtgRatesDataTable8[[#This Row],[Servicing Spread]]&lt;=0,L3337,CurrentMtgRatesDataTable8[[#This Row],[Servicing Spread]])</f>
        <v>0.90124471058864231</v>
      </c>
      <c r="M3338" s="70">
        <f>CurrentMtgRatesDataTable8[[#This Row],[Servicing Spread Non-Zero]]-L3337</f>
        <v>0</v>
      </c>
      <c r="N3338" s="70">
        <f>IF(J3337&lt;&gt;0,CurrentMtgRatesDataTable8[[#This Row],[Rate]]-C3337,N3337)</f>
        <v>-9.0000000000000746E-2</v>
      </c>
    </row>
    <row r="3339" spans="1:14">
      <c r="A3339" s="67" t="s">
        <v>1303</v>
      </c>
      <c r="B3339" s="68">
        <v>3.14154244535563</v>
      </c>
      <c r="C3339" s="69">
        <v>4.0149999999999997</v>
      </c>
      <c r="D3339" s="70">
        <f t="shared" si="364"/>
        <v>7</v>
      </c>
      <c r="E3339" s="70">
        <f t="shared" si="365"/>
        <v>0.2</v>
      </c>
      <c r="F3339" s="70">
        <f t="shared" si="366"/>
        <v>5</v>
      </c>
      <c r="G3339" s="70">
        <f t="shared" si="367"/>
        <v>3.1529083419627484</v>
      </c>
      <c r="H3339" s="70">
        <f t="shared" si="368"/>
        <v>1</v>
      </c>
      <c r="I3339" s="70">
        <f t="shared" si="369"/>
        <v>1</v>
      </c>
      <c r="J3339" s="70">
        <f t="shared" si="370"/>
        <v>3.1529083419627484</v>
      </c>
      <c r="K3339" s="70">
        <f>IF(CurrentMtgRatesDataTable8[[#This Row],[WA CC]]&lt;&gt;0,C3338-CurrentMtgRatesDataTable8[[#This Row],[WA CC]],0)</f>
        <v>0.8620916580372513</v>
      </c>
      <c r="L3339" s="70">
        <f>IF(CurrentMtgRatesDataTable8[[#This Row],[Servicing Spread]]&lt;=0,L3338,CurrentMtgRatesDataTable8[[#This Row],[Servicing Spread]])</f>
        <v>0.8620916580372513</v>
      </c>
      <c r="M3339" s="70">
        <f>CurrentMtgRatesDataTable8[[#This Row],[Servicing Spread Non-Zero]]-L3338</f>
        <v>-3.915305255139101E-2</v>
      </c>
      <c r="N3339" s="70">
        <f>IF(J3338&lt;&gt;0,CurrentMtgRatesDataTable8[[#This Row],[Rate]]-C3338,N3338)</f>
        <v>-9.0000000000000746E-2</v>
      </c>
    </row>
    <row r="3340" spans="1:14">
      <c r="A3340" s="67" t="s">
        <v>1304</v>
      </c>
      <c r="B3340" s="68">
        <v>3.1654132061037701</v>
      </c>
      <c r="C3340" s="69">
        <v>3.9749999999999996</v>
      </c>
      <c r="D3340" s="70">
        <f t="shared" si="364"/>
        <v>1</v>
      </c>
      <c r="E3340" s="70">
        <f t="shared" si="365"/>
        <v>0.2</v>
      </c>
      <c r="F3340" s="70">
        <f t="shared" si="366"/>
        <v>1</v>
      </c>
      <c r="G3340" s="70">
        <f t="shared" si="367"/>
        <v>0.63308264122075408</v>
      </c>
      <c r="H3340" s="70">
        <f t="shared" si="368"/>
        <v>0.2</v>
      </c>
      <c r="I3340" s="70">
        <f t="shared" si="369"/>
        <v>0</v>
      </c>
      <c r="J3340" s="70">
        <f t="shared" si="370"/>
        <v>0</v>
      </c>
      <c r="K3340" s="70">
        <f>IF(CurrentMtgRatesDataTable8[[#This Row],[WA CC]]&lt;&gt;0,C3339-CurrentMtgRatesDataTable8[[#This Row],[WA CC]],0)</f>
        <v>0</v>
      </c>
      <c r="L3340" s="70">
        <f>IF(CurrentMtgRatesDataTable8[[#This Row],[Servicing Spread]]&lt;=0,L3339,CurrentMtgRatesDataTable8[[#This Row],[Servicing Spread]])</f>
        <v>0.8620916580372513</v>
      </c>
      <c r="M3340" s="70">
        <f>CurrentMtgRatesDataTable8[[#This Row],[Servicing Spread Non-Zero]]-L3339</f>
        <v>0</v>
      </c>
      <c r="N3340" s="70">
        <f>IF(J3339&lt;&gt;0,CurrentMtgRatesDataTable8[[#This Row],[Rate]]-C3339,N3339)</f>
        <v>-4.0000000000000036E-2</v>
      </c>
    </row>
    <row r="3341" spans="1:14">
      <c r="A3341" s="67" t="s">
        <v>1305</v>
      </c>
      <c r="B3341" s="68">
        <v>3.1464660335213801</v>
      </c>
      <c r="C3341" s="69">
        <v>3.9749999999999996</v>
      </c>
      <c r="D3341" s="70">
        <f t="shared" si="364"/>
        <v>2</v>
      </c>
      <c r="E3341" s="70">
        <f t="shared" si="365"/>
        <v>0.2</v>
      </c>
      <c r="F3341" s="70">
        <f t="shared" si="366"/>
        <v>2</v>
      </c>
      <c r="G3341" s="70">
        <f t="shared" si="367"/>
        <v>1.2623758479250302</v>
      </c>
      <c r="H3341" s="70">
        <f t="shared" si="368"/>
        <v>0.4</v>
      </c>
      <c r="I3341" s="70">
        <f t="shared" si="369"/>
        <v>0</v>
      </c>
      <c r="J3341" s="70">
        <f t="shared" si="370"/>
        <v>0</v>
      </c>
      <c r="K3341" s="70">
        <f>IF(CurrentMtgRatesDataTable8[[#This Row],[WA CC]]&lt;&gt;0,C3340-CurrentMtgRatesDataTable8[[#This Row],[WA CC]],0)</f>
        <v>0</v>
      </c>
      <c r="L3341" s="70">
        <f>IF(CurrentMtgRatesDataTable8[[#This Row],[Servicing Spread]]&lt;=0,L3340,CurrentMtgRatesDataTable8[[#This Row],[Servicing Spread]])</f>
        <v>0.8620916580372513</v>
      </c>
      <c r="M3341" s="70">
        <f>CurrentMtgRatesDataTable8[[#This Row],[Servicing Spread Non-Zero]]-L3340</f>
        <v>0</v>
      </c>
      <c r="N3341" s="70">
        <f>IF(J3340&lt;&gt;0,CurrentMtgRatesDataTable8[[#This Row],[Rate]]-C3340,N3340)</f>
        <v>-4.0000000000000036E-2</v>
      </c>
    </row>
    <row r="3342" spans="1:14">
      <c r="A3342" s="67" t="s">
        <v>1306</v>
      </c>
      <c r="B3342" s="68">
        <v>3.0927700686783002</v>
      </c>
      <c r="C3342" s="69">
        <v>3.9749999999999996</v>
      </c>
      <c r="D3342" s="70">
        <f t="shared" si="364"/>
        <v>5</v>
      </c>
      <c r="E3342" s="70">
        <f t="shared" si="365"/>
        <v>0.2</v>
      </c>
      <c r="F3342" s="70">
        <f t="shared" si="366"/>
        <v>3</v>
      </c>
      <c r="G3342" s="70">
        <f t="shared" si="367"/>
        <v>1.8809298616606904</v>
      </c>
      <c r="H3342" s="70">
        <f t="shared" si="368"/>
        <v>0.60000000000000009</v>
      </c>
      <c r="I3342" s="70">
        <f t="shared" si="369"/>
        <v>0</v>
      </c>
      <c r="J3342" s="70">
        <f t="shared" si="370"/>
        <v>0</v>
      </c>
      <c r="K3342" s="70">
        <f>IF(CurrentMtgRatesDataTable8[[#This Row],[WA CC]]&lt;&gt;0,C3341-CurrentMtgRatesDataTable8[[#This Row],[WA CC]],0)</f>
        <v>0</v>
      </c>
      <c r="L3342" s="70">
        <f>IF(CurrentMtgRatesDataTable8[[#This Row],[Servicing Spread]]&lt;=0,L3341,CurrentMtgRatesDataTable8[[#This Row],[Servicing Spread]])</f>
        <v>0.8620916580372513</v>
      </c>
      <c r="M3342" s="70">
        <f>CurrentMtgRatesDataTable8[[#This Row],[Servicing Spread Non-Zero]]-L3341</f>
        <v>0</v>
      </c>
      <c r="N3342" s="70">
        <f>IF(J3341&lt;&gt;0,CurrentMtgRatesDataTable8[[#This Row],[Rate]]-C3341,N3341)</f>
        <v>-4.0000000000000036E-2</v>
      </c>
    </row>
    <row r="3343" spans="1:14">
      <c r="A3343" s="67" t="s">
        <v>1307</v>
      </c>
      <c r="B3343" s="68">
        <v>3.0853787320257</v>
      </c>
      <c r="C3343" s="69">
        <v>3.9749999999999996</v>
      </c>
      <c r="D3343" s="70">
        <f t="shared" si="364"/>
        <v>6</v>
      </c>
      <c r="E3343" s="70">
        <f t="shared" si="365"/>
        <v>0.2</v>
      </c>
      <c r="F3343" s="70">
        <f t="shared" si="366"/>
        <v>4</v>
      </c>
      <c r="G3343" s="70">
        <f t="shared" si="367"/>
        <v>2.4980056080658306</v>
      </c>
      <c r="H3343" s="70">
        <f t="shared" si="368"/>
        <v>0.8</v>
      </c>
      <c r="I3343" s="70">
        <f t="shared" si="369"/>
        <v>0</v>
      </c>
      <c r="J3343" s="70">
        <f t="shared" si="370"/>
        <v>0</v>
      </c>
      <c r="K3343" s="70">
        <f>IF(CurrentMtgRatesDataTable8[[#This Row],[WA CC]]&lt;&gt;0,C3342-CurrentMtgRatesDataTable8[[#This Row],[WA CC]],0)</f>
        <v>0</v>
      </c>
      <c r="L3343" s="70">
        <f>IF(CurrentMtgRatesDataTable8[[#This Row],[Servicing Spread]]&lt;=0,L3342,CurrentMtgRatesDataTable8[[#This Row],[Servicing Spread]])</f>
        <v>0.8620916580372513</v>
      </c>
      <c r="M3343" s="70">
        <f>CurrentMtgRatesDataTable8[[#This Row],[Servicing Spread Non-Zero]]-L3342</f>
        <v>0</v>
      </c>
      <c r="N3343" s="70">
        <f>IF(J3342&lt;&gt;0,CurrentMtgRatesDataTable8[[#This Row],[Rate]]-C3342,N3342)</f>
        <v>-4.0000000000000036E-2</v>
      </c>
    </row>
    <row r="3344" spans="1:14">
      <c r="A3344" s="67" t="s">
        <v>1308</v>
      </c>
      <c r="B3344" s="68">
        <v>3.0998224631634499</v>
      </c>
      <c r="C3344" s="69">
        <v>3.9749999999999996</v>
      </c>
      <c r="D3344" s="70">
        <f t="shared" si="364"/>
        <v>7</v>
      </c>
      <c r="E3344" s="70">
        <f t="shared" si="365"/>
        <v>0.2</v>
      </c>
      <c r="F3344" s="70">
        <f t="shared" si="366"/>
        <v>5</v>
      </c>
      <c r="G3344" s="70">
        <f t="shared" si="367"/>
        <v>3.1179701006985208</v>
      </c>
      <c r="H3344" s="70">
        <f t="shared" si="368"/>
        <v>1</v>
      </c>
      <c r="I3344" s="70">
        <f t="shared" si="369"/>
        <v>1</v>
      </c>
      <c r="J3344" s="70">
        <f t="shared" si="370"/>
        <v>3.1179701006985208</v>
      </c>
      <c r="K3344" s="70">
        <f>IF(CurrentMtgRatesDataTable8[[#This Row],[WA CC]]&lt;&gt;0,C3343-CurrentMtgRatesDataTable8[[#This Row],[WA CC]],0)</f>
        <v>0.85702989930147888</v>
      </c>
      <c r="L3344" s="70">
        <f>IF(CurrentMtgRatesDataTable8[[#This Row],[Servicing Spread]]&lt;=0,L3343,CurrentMtgRatesDataTable8[[#This Row],[Servicing Spread]])</f>
        <v>0.85702989930147888</v>
      </c>
      <c r="M3344" s="70">
        <f>CurrentMtgRatesDataTable8[[#This Row],[Servicing Spread Non-Zero]]-L3343</f>
        <v>-5.0617587357724148E-3</v>
      </c>
      <c r="N3344" s="70">
        <f>IF(J3343&lt;&gt;0,CurrentMtgRatesDataTable8[[#This Row],[Rate]]-C3343,N3343)</f>
        <v>-4.0000000000000036E-2</v>
      </c>
    </row>
    <row r="3345" spans="1:14">
      <c r="A3345" s="67" t="s">
        <v>1309</v>
      </c>
      <c r="B3345" s="68">
        <v>3.0807227057386499</v>
      </c>
      <c r="C3345" s="69">
        <v>3.9550000000000001</v>
      </c>
      <c r="D3345" s="70">
        <f t="shared" si="364"/>
        <v>1</v>
      </c>
      <c r="E3345" s="70">
        <f t="shared" si="365"/>
        <v>0.2</v>
      </c>
      <c r="F3345" s="70">
        <f t="shared" si="366"/>
        <v>1</v>
      </c>
      <c r="G3345" s="70">
        <f t="shared" si="367"/>
        <v>0.61614454114772998</v>
      </c>
      <c r="H3345" s="70">
        <f t="shared" si="368"/>
        <v>0.2</v>
      </c>
      <c r="I3345" s="70">
        <f t="shared" si="369"/>
        <v>0</v>
      </c>
      <c r="J3345" s="70">
        <f t="shared" si="370"/>
        <v>0</v>
      </c>
      <c r="K3345" s="70">
        <f>IF(CurrentMtgRatesDataTable8[[#This Row],[WA CC]]&lt;&gt;0,C3344-CurrentMtgRatesDataTable8[[#This Row],[WA CC]],0)</f>
        <v>0</v>
      </c>
      <c r="L3345" s="70">
        <f>IF(CurrentMtgRatesDataTable8[[#This Row],[Servicing Spread]]&lt;=0,L3344,CurrentMtgRatesDataTable8[[#This Row],[Servicing Spread]])</f>
        <v>0.85702989930147888</v>
      </c>
      <c r="M3345" s="70">
        <f>CurrentMtgRatesDataTable8[[#This Row],[Servicing Spread Non-Zero]]-L3344</f>
        <v>0</v>
      </c>
      <c r="N3345" s="70">
        <f>IF(J3344&lt;&gt;0,CurrentMtgRatesDataTable8[[#This Row],[Rate]]-C3344,N3344)</f>
        <v>-1.9999999999999574E-2</v>
      </c>
    </row>
    <row r="3346" spans="1:14">
      <c r="A3346" s="67" t="s">
        <v>1310</v>
      </c>
      <c r="B3346" s="68">
        <v>3.1209189236978601</v>
      </c>
      <c r="C3346" s="69">
        <v>3.9550000000000001</v>
      </c>
      <c r="D3346" s="70">
        <f t="shared" si="364"/>
        <v>2</v>
      </c>
      <c r="E3346" s="70">
        <f t="shared" si="365"/>
        <v>0.2</v>
      </c>
      <c r="F3346" s="70">
        <f t="shared" si="366"/>
        <v>2</v>
      </c>
      <c r="G3346" s="70">
        <f t="shared" si="367"/>
        <v>1.2403283258873019</v>
      </c>
      <c r="H3346" s="70">
        <f t="shared" si="368"/>
        <v>0.4</v>
      </c>
      <c r="I3346" s="70">
        <f t="shared" si="369"/>
        <v>0</v>
      </c>
      <c r="J3346" s="70">
        <f t="shared" si="370"/>
        <v>0</v>
      </c>
      <c r="K3346" s="70">
        <f>IF(CurrentMtgRatesDataTable8[[#This Row],[WA CC]]&lt;&gt;0,C3345-CurrentMtgRatesDataTable8[[#This Row],[WA CC]],0)</f>
        <v>0</v>
      </c>
      <c r="L3346" s="70">
        <f>IF(CurrentMtgRatesDataTable8[[#This Row],[Servicing Spread]]&lt;=0,L3345,CurrentMtgRatesDataTable8[[#This Row],[Servicing Spread]])</f>
        <v>0.85702989930147888</v>
      </c>
      <c r="M3346" s="70">
        <f>CurrentMtgRatesDataTable8[[#This Row],[Servicing Spread Non-Zero]]-L3345</f>
        <v>0</v>
      </c>
      <c r="N3346" s="70">
        <f>IF(J3345&lt;&gt;0,CurrentMtgRatesDataTable8[[#This Row],[Rate]]-C3345,N3345)</f>
        <v>-1.9999999999999574E-2</v>
      </c>
    </row>
    <row r="3347" spans="1:14">
      <c r="A3347" s="67" t="s">
        <v>1311</v>
      </c>
      <c r="B3347" s="68">
        <v>3.1141964081853302</v>
      </c>
      <c r="C3347" s="69">
        <v>3.9550000000000001</v>
      </c>
      <c r="D3347" s="70">
        <f t="shared" si="364"/>
        <v>5</v>
      </c>
      <c r="E3347" s="70">
        <f t="shared" si="365"/>
        <v>0.2</v>
      </c>
      <c r="F3347" s="70">
        <f t="shared" si="366"/>
        <v>3</v>
      </c>
      <c r="G3347" s="70">
        <f t="shared" si="367"/>
        <v>1.8631676075243679</v>
      </c>
      <c r="H3347" s="70">
        <f t="shared" si="368"/>
        <v>0.60000000000000009</v>
      </c>
      <c r="I3347" s="70">
        <f t="shared" si="369"/>
        <v>0</v>
      </c>
      <c r="J3347" s="70">
        <f t="shared" si="370"/>
        <v>0</v>
      </c>
      <c r="K3347" s="70">
        <f>IF(CurrentMtgRatesDataTable8[[#This Row],[WA CC]]&lt;&gt;0,C3346-CurrentMtgRatesDataTable8[[#This Row],[WA CC]],0)</f>
        <v>0</v>
      </c>
      <c r="L3347" s="70">
        <f>IF(CurrentMtgRatesDataTable8[[#This Row],[Servicing Spread]]&lt;=0,L3346,CurrentMtgRatesDataTable8[[#This Row],[Servicing Spread]])</f>
        <v>0.85702989930147888</v>
      </c>
      <c r="M3347" s="70">
        <f>CurrentMtgRatesDataTable8[[#This Row],[Servicing Spread Non-Zero]]-L3346</f>
        <v>0</v>
      </c>
      <c r="N3347" s="70">
        <f>IF(J3346&lt;&gt;0,CurrentMtgRatesDataTable8[[#This Row],[Rate]]-C3346,N3346)</f>
        <v>-1.9999999999999574E-2</v>
      </c>
    </row>
    <row r="3348" spans="1:14">
      <c r="A3348" s="67" t="s">
        <v>1312</v>
      </c>
      <c r="B3348" s="68">
        <v>3.0374940248305098</v>
      </c>
      <c r="C3348" s="69">
        <v>3.9550000000000001</v>
      </c>
      <c r="D3348" s="70">
        <f t="shared" si="364"/>
        <v>6</v>
      </c>
      <c r="E3348" s="70">
        <f t="shared" si="365"/>
        <v>0.2</v>
      </c>
      <c r="F3348" s="70">
        <f t="shared" si="366"/>
        <v>4</v>
      </c>
      <c r="G3348" s="70">
        <f t="shared" si="367"/>
        <v>2.4706664124904698</v>
      </c>
      <c r="H3348" s="70">
        <f t="shared" si="368"/>
        <v>0.8</v>
      </c>
      <c r="I3348" s="70">
        <f t="shared" si="369"/>
        <v>0</v>
      </c>
      <c r="J3348" s="70">
        <f t="shared" si="370"/>
        <v>0</v>
      </c>
      <c r="K3348" s="70">
        <f>IF(CurrentMtgRatesDataTable8[[#This Row],[WA CC]]&lt;&gt;0,C3347-CurrentMtgRatesDataTable8[[#This Row],[WA CC]],0)</f>
        <v>0</v>
      </c>
      <c r="L3348" s="70">
        <f>IF(CurrentMtgRatesDataTable8[[#This Row],[Servicing Spread]]&lt;=0,L3347,CurrentMtgRatesDataTable8[[#This Row],[Servicing Spread]])</f>
        <v>0.85702989930147888</v>
      </c>
      <c r="M3348" s="70">
        <f>CurrentMtgRatesDataTable8[[#This Row],[Servicing Spread Non-Zero]]-L3347</f>
        <v>0</v>
      </c>
      <c r="N3348" s="70">
        <f>IF(J3347&lt;&gt;0,CurrentMtgRatesDataTable8[[#This Row],[Rate]]-C3347,N3347)</f>
        <v>-1.9999999999999574E-2</v>
      </c>
    </row>
    <row r="3349" spans="1:14">
      <c r="A3349" s="67" t="s">
        <v>1313</v>
      </c>
      <c r="B3349" s="68">
        <v>3.0385942417440401</v>
      </c>
      <c r="C3349" s="69">
        <v>3.9550000000000001</v>
      </c>
      <c r="D3349" s="70">
        <f t="shared" si="364"/>
        <v>7</v>
      </c>
      <c r="E3349" s="70">
        <f t="shared" si="365"/>
        <v>0.2</v>
      </c>
      <c r="F3349" s="70">
        <f t="shared" si="366"/>
        <v>5</v>
      </c>
      <c r="G3349" s="70">
        <f t="shared" si="367"/>
        <v>3.0783852608392781</v>
      </c>
      <c r="H3349" s="70">
        <f t="shared" si="368"/>
        <v>1</v>
      </c>
      <c r="I3349" s="70">
        <f t="shared" si="369"/>
        <v>1</v>
      </c>
      <c r="J3349" s="70">
        <f t="shared" si="370"/>
        <v>3.0783852608392781</v>
      </c>
      <c r="K3349" s="70">
        <f>IF(CurrentMtgRatesDataTable8[[#This Row],[WA CC]]&lt;&gt;0,C3348-CurrentMtgRatesDataTable8[[#This Row],[WA CC]],0)</f>
        <v>0.87661473916072197</v>
      </c>
      <c r="L3349" s="70">
        <f>IF(CurrentMtgRatesDataTable8[[#This Row],[Servicing Spread]]&lt;=0,L3348,CurrentMtgRatesDataTable8[[#This Row],[Servicing Spread]])</f>
        <v>0.87661473916072197</v>
      </c>
      <c r="M3349" s="70">
        <f>CurrentMtgRatesDataTable8[[#This Row],[Servicing Spread Non-Zero]]-L3348</f>
        <v>1.9584839859243086E-2</v>
      </c>
      <c r="N3349" s="70">
        <f>IF(J3348&lt;&gt;0,CurrentMtgRatesDataTable8[[#This Row],[Rate]]-C3348,N3348)</f>
        <v>-1.9999999999999574E-2</v>
      </c>
    </row>
    <row r="3350" spans="1:14">
      <c r="A3350" s="67" t="s">
        <v>1314</v>
      </c>
      <c r="B3350" s="68">
        <v>2.9754212603526402</v>
      </c>
      <c r="C3350" s="69">
        <v>3.8450000000000002</v>
      </c>
      <c r="D3350" s="70">
        <f t="shared" si="364"/>
        <v>1</v>
      </c>
      <c r="E3350" s="70">
        <f t="shared" si="365"/>
        <v>0.2</v>
      </c>
      <c r="F3350" s="70">
        <f t="shared" si="366"/>
        <v>1</v>
      </c>
      <c r="G3350" s="70">
        <f t="shared" si="367"/>
        <v>0.59508425207052806</v>
      </c>
      <c r="H3350" s="70">
        <f t="shared" si="368"/>
        <v>0.2</v>
      </c>
      <c r="I3350" s="70">
        <f t="shared" si="369"/>
        <v>0</v>
      </c>
      <c r="J3350" s="70">
        <f t="shared" si="370"/>
        <v>0</v>
      </c>
      <c r="K3350" s="70">
        <f>IF(CurrentMtgRatesDataTable8[[#This Row],[WA CC]]&lt;&gt;0,C3349-CurrentMtgRatesDataTable8[[#This Row],[WA CC]],0)</f>
        <v>0</v>
      </c>
      <c r="L3350" s="70">
        <f>IF(CurrentMtgRatesDataTable8[[#This Row],[Servicing Spread]]&lt;=0,L3349,CurrentMtgRatesDataTable8[[#This Row],[Servicing Spread]])</f>
        <v>0.87661473916072197</v>
      </c>
      <c r="M3350" s="70">
        <f>CurrentMtgRatesDataTable8[[#This Row],[Servicing Spread Non-Zero]]-L3349</f>
        <v>0</v>
      </c>
      <c r="N3350" s="70">
        <f>IF(J3349&lt;&gt;0,CurrentMtgRatesDataTable8[[#This Row],[Rate]]-C3349,N3349)</f>
        <v>-0.10999999999999988</v>
      </c>
    </row>
    <row r="3351" spans="1:14">
      <c r="A3351" s="67" t="s">
        <v>1315</v>
      </c>
      <c r="B3351" s="68">
        <v>2.98409934955184</v>
      </c>
      <c r="C3351" s="69">
        <v>3.8450000000000002</v>
      </c>
      <c r="D3351" s="70">
        <f t="shared" si="364"/>
        <v>5</v>
      </c>
      <c r="E3351" s="70">
        <f t="shared" si="365"/>
        <v>0.2</v>
      </c>
      <c r="F3351" s="70">
        <f t="shared" si="366"/>
        <v>2</v>
      </c>
      <c r="G3351" s="70">
        <f t="shared" si="367"/>
        <v>1.1919041219808961</v>
      </c>
      <c r="H3351" s="70">
        <f t="shared" si="368"/>
        <v>0.4</v>
      </c>
      <c r="I3351" s="70">
        <f t="shared" si="369"/>
        <v>0</v>
      </c>
      <c r="J3351" s="70">
        <f t="shared" si="370"/>
        <v>0</v>
      </c>
      <c r="K3351" s="70">
        <f>IF(CurrentMtgRatesDataTable8[[#This Row],[WA CC]]&lt;&gt;0,C3350-CurrentMtgRatesDataTable8[[#This Row],[WA CC]],0)</f>
        <v>0</v>
      </c>
      <c r="L3351" s="70">
        <f>IF(CurrentMtgRatesDataTable8[[#This Row],[Servicing Spread]]&lt;=0,L3350,CurrentMtgRatesDataTable8[[#This Row],[Servicing Spread]])</f>
        <v>0.87661473916072197</v>
      </c>
      <c r="M3351" s="70">
        <f>CurrentMtgRatesDataTable8[[#This Row],[Servicing Spread Non-Zero]]-L3350</f>
        <v>0</v>
      </c>
      <c r="N3351" s="70">
        <f>IF(J3350&lt;&gt;0,CurrentMtgRatesDataTable8[[#This Row],[Rate]]-C3350,N3350)</f>
        <v>-0.10999999999999988</v>
      </c>
    </row>
    <row r="3352" spans="1:14">
      <c r="A3352" s="67" t="s">
        <v>1316</v>
      </c>
      <c r="B3352" s="68">
        <v>2.9250473100689098</v>
      </c>
      <c r="C3352" s="69">
        <v>3.8450000000000002</v>
      </c>
      <c r="D3352" s="70">
        <f t="shared" si="364"/>
        <v>6</v>
      </c>
      <c r="E3352" s="70">
        <f t="shared" si="365"/>
        <v>0.2</v>
      </c>
      <c r="F3352" s="70">
        <f t="shared" si="366"/>
        <v>3</v>
      </c>
      <c r="G3352" s="70">
        <f t="shared" si="367"/>
        <v>1.7769135839946781</v>
      </c>
      <c r="H3352" s="70">
        <f t="shared" si="368"/>
        <v>0.60000000000000009</v>
      </c>
      <c r="I3352" s="70">
        <f t="shared" si="369"/>
        <v>0</v>
      </c>
      <c r="J3352" s="70">
        <f t="shared" si="370"/>
        <v>0</v>
      </c>
      <c r="K3352" s="70">
        <f>IF(CurrentMtgRatesDataTable8[[#This Row],[WA CC]]&lt;&gt;0,C3351-CurrentMtgRatesDataTable8[[#This Row],[WA CC]],0)</f>
        <v>0</v>
      </c>
      <c r="L3352" s="70">
        <f>IF(CurrentMtgRatesDataTable8[[#This Row],[Servicing Spread]]&lt;=0,L3351,CurrentMtgRatesDataTable8[[#This Row],[Servicing Spread]])</f>
        <v>0.87661473916072197</v>
      </c>
      <c r="M3352" s="70">
        <f>CurrentMtgRatesDataTable8[[#This Row],[Servicing Spread Non-Zero]]-L3351</f>
        <v>0</v>
      </c>
      <c r="N3352" s="70">
        <f>IF(J3351&lt;&gt;0,CurrentMtgRatesDataTable8[[#This Row],[Rate]]-C3351,N3351)</f>
        <v>-0.10999999999999988</v>
      </c>
    </row>
    <row r="3353" spans="1:14">
      <c r="A3353" s="67" t="s">
        <v>1317</v>
      </c>
      <c r="B3353" s="68">
        <v>2.9490872231359599</v>
      </c>
      <c r="C3353" s="69">
        <v>3.8450000000000002</v>
      </c>
      <c r="D3353" s="70">
        <f t="shared" si="364"/>
        <v>7</v>
      </c>
      <c r="E3353" s="70">
        <f t="shared" si="365"/>
        <v>0.2</v>
      </c>
      <c r="F3353" s="70">
        <f t="shared" si="366"/>
        <v>4</v>
      </c>
      <c r="G3353" s="70">
        <f t="shared" si="367"/>
        <v>2.3667310286218699</v>
      </c>
      <c r="H3353" s="70">
        <f t="shared" si="368"/>
        <v>0.8</v>
      </c>
      <c r="I3353" s="70">
        <f t="shared" si="369"/>
        <v>1</v>
      </c>
      <c r="J3353" s="70">
        <f t="shared" si="370"/>
        <v>2.9584137857773372</v>
      </c>
      <c r="K3353" s="70">
        <f>IF(CurrentMtgRatesDataTable8[[#This Row],[WA CC]]&lt;&gt;0,C3352-CurrentMtgRatesDataTable8[[#This Row],[WA CC]],0)</f>
        <v>0.88658621422266304</v>
      </c>
      <c r="L3353" s="70">
        <f>IF(CurrentMtgRatesDataTable8[[#This Row],[Servicing Spread]]&lt;=0,L3352,CurrentMtgRatesDataTable8[[#This Row],[Servicing Spread]])</f>
        <v>0.88658621422266304</v>
      </c>
      <c r="M3353" s="70">
        <f>CurrentMtgRatesDataTable8[[#This Row],[Servicing Spread Non-Zero]]-L3352</f>
        <v>9.9714750619410708E-3</v>
      </c>
      <c r="N3353" s="70">
        <f>IF(J3352&lt;&gt;0,CurrentMtgRatesDataTable8[[#This Row],[Rate]]-C3352,N3352)</f>
        <v>-0.10999999999999988</v>
      </c>
    </row>
    <row r="3354" spans="1:14">
      <c r="A3354" s="67" t="s">
        <v>1318</v>
      </c>
      <c r="B3354" s="68">
        <v>2.98817605273842</v>
      </c>
      <c r="C3354" s="69">
        <v>3.9050000000000002</v>
      </c>
      <c r="D3354" s="70">
        <f t="shared" si="364"/>
        <v>1</v>
      </c>
      <c r="E3354" s="70">
        <f t="shared" si="365"/>
        <v>0.2</v>
      </c>
      <c r="F3354" s="70">
        <f t="shared" si="366"/>
        <v>1</v>
      </c>
      <c r="G3354" s="70">
        <f t="shared" si="367"/>
        <v>0.59763521054768398</v>
      </c>
      <c r="H3354" s="70">
        <f t="shared" si="368"/>
        <v>0.2</v>
      </c>
      <c r="I3354" s="70">
        <f t="shared" si="369"/>
        <v>0</v>
      </c>
      <c r="J3354" s="70">
        <f t="shared" si="370"/>
        <v>0</v>
      </c>
      <c r="K3354" s="70">
        <f>IF(CurrentMtgRatesDataTable8[[#This Row],[WA CC]]&lt;&gt;0,C3353-CurrentMtgRatesDataTable8[[#This Row],[WA CC]],0)</f>
        <v>0</v>
      </c>
      <c r="L3354" s="70">
        <f>IF(CurrentMtgRatesDataTable8[[#This Row],[Servicing Spread]]&lt;=0,L3353,CurrentMtgRatesDataTable8[[#This Row],[Servicing Spread]])</f>
        <v>0.88658621422266304</v>
      </c>
      <c r="M3354" s="70">
        <f>CurrentMtgRatesDataTable8[[#This Row],[Servicing Spread Non-Zero]]-L3353</f>
        <v>0</v>
      </c>
      <c r="N3354" s="70">
        <f>IF(J3353&lt;&gt;0,CurrentMtgRatesDataTable8[[#This Row],[Rate]]-C3353,N3353)</f>
        <v>6.0000000000000053E-2</v>
      </c>
    </row>
    <row r="3355" spans="1:14">
      <c r="A3355" s="67" t="s">
        <v>1319</v>
      </c>
      <c r="B3355" s="68">
        <v>2.9809859854313698</v>
      </c>
      <c r="C3355" s="69">
        <v>3.9050000000000002</v>
      </c>
      <c r="D3355" s="70">
        <f t="shared" si="364"/>
        <v>2</v>
      </c>
      <c r="E3355" s="70">
        <f t="shared" si="365"/>
        <v>0.2</v>
      </c>
      <c r="F3355" s="70">
        <f t="shared" si="366"/>
        <v>2</v>
      </c>
      <c r="G3355" s="70">
        <f t="shared" si="367"/>
        <v>1.1938324076339579</v>
      </c>
      <c r="H3355" s="70">
        <f t="shared" si="368"/>
        <v>0.4</v>
      </c>
      <c r="I3355" s="70">
        <f t="shared" si="369"/>
        <v>0</v>
      </c>
      <c r="J3355" s="70">
        <f t="shared" si="370"/>
        <v>0</v>
      </c>
      <c r="K3355" s="70">
        <f>IF(CurrentMtgRatesDataTable8[[#This Row],[WA CC]]&lt;&gt;0,C3354-CurrentMtgRatesDataTable8[[#This Row],[WA CC]],0)</f>
        <v>0</v>
      </c>
      <c r="L3355" s="70">
        <f>IF(CurrentMtgRatesDataTable8[[#This Row],[Servicing Spread]]&lt;=0,L3354,CurrentMtgRatesDataTable8[[#This Row],[Servicing Spread]])</f>
        <v>0.88658621422266304</v>
      </c>
      <c r="M3355" s="70">
        <f>CurrentMtgRatesDataTable8[[#This Row],[Servicing Spread Non-Zero]]-L3354</f>
        <v>0</v>
      </c>
      <c r="N3355" s="70">
        <f>IF(J3354&lt;&gt;0,CurrentMtgRatesDataTable8[[#This Row],[Rate]]-C3354,N3354)</f>
        <v>6.0000000000000053E-2</v>
      </c>
    </row>
    <row r="3356" spans="1:14">
      <c r="A3356" s="67" t="s">
        <v>1320</v>
      </c>
      <c r="B3356" s="68">
        <v>3.0169909715329202</v>
      </c>
      <c r="C3356" s="69">
        <v>3.9050000000000002</v>
      </c>
      <c r="D3356" s="70">
        <f t="shared" si="364"/>
        <v>5</v>
      </c>
      <c r="E3356" s="70">
        <f t="shared" si="365"/>
        <v>0.2</v>
      </c>
      <c r="F3356" s="70">
        <f t="shared" si="366"/>
        <v>3</v>
      </c>
      <c r="G3356" s="70">
        <f t="shared" si="367"/>
        <v>1.797230601940542</v>
      </c>
      <c r="H3356" s="70">
        <f t="shared" si="368"/>
        <v>0.60000000000000009</v>
      </c>
      <c r="I3356" s="70">
        <f t="shared" si="369"/>
        <v>0</v>
      </c>
      <c r="J3356" s="70">
        <f t="shared" si="370"/>
        <v>0</v>
      </c>
      <c r="K3356" s="70">
        <f>IF(CurrentMtgRatesDataTable8[[#This Row],[WA CC]]&lt;&gt;0,C3355-CurrentMtgRatesDataTable8[[#This Row],[WA CC]],0)</f>
        <v>0</v>
      </c>
      <c r="L3356" s="70">
        <f>IF(CurrentMtgRatesDataTable8[[#This Row],[Servicing Spread]]&lt;=0,L3355,CurrentMtgRatesDataTable8[[#This Row],[Servicing Spread]])</f>
        <v>0.88658621422266304</v>
      </c>
      <c r="M3356" s="70">
        <f>CurrentMtgRatesDataTable8[[#This Row],[Servicing Spread Non-Zero]]-L3355</f>
        <v>0</v>
      </c>
      <c r="N3356" s="70">
        <f>IF(J3355&lt;&gt;0,CurrentMtgRatesDataTable8[[#This Row],[Rate]]-C3355,N3355)</f>
        <v>6.0000000000000053E-2</v>
      </c>
    </row>
    <row r="3357" spans="1:14">
      <c r="A3357" s="67" t="s">
        <v>1321</v>
      </c>
      <c r="B3357" s="68">
        <v>3.0874346795919401</v>
      </c>
      <c r="C3357" s="69">
        <v>3.9050000000000002</v>
      </c>
      <c r="D3357" s="70">
        <f t="shared" si="364"/>
        <v>6</v>
      </c>
      <c r="E3357" s="70">
        <f t="shared" si="365"/>
        <v>0.2</v>
      </c>
      <c r="F3357" s="70">
        <f t="shared" si="366"/>
        <v>4</v>
      </c>
      <c r="G3357" s="70">
        <f t="shared" si="367"/>
        <v>2.4147175378589303</v>
      </c>
      <c r="H3357" s="70">
        <f t="shared" si="368"/>
        <v>0.8</v>
      </c>
      <c r="I3357" s="70">
        <f t="shared" si="369"/>
        <v>0</v>
      </c>
      <c r="J3357" s="70">
        <f t="shared" si="370"/>
        <v>0</v>
      </c>
      <c r="K3357" s="70">
        <f>IF(CurrentMtgRatesDataTable8[[#This Row],[WA CC]]&lt;&gt;0,C3356-CurrentMtgRatesDataTable8[[#This Row],[WA CC]],0)</f>
        <v>0</v>
      </c>
      <c r="L3357" s="70">
        <f>IF(CurrentMtgRatesDataTable8[[#This Row],[Servicing Spread]]&lt;=0,L3356,CurrentMtgRatesDataTable8[[#This Row],[Servicing Spread]])</f>
        <v>0.88658621422266304</v>
      </c>
      <c r="M3357" s="70">
        <f>CurrentMtgRatesDataTable8[[#This Row],[Servicing Spread Non-Zero]]-L3356</f>
        <v>0</v>
      </c>
      <c r="N3357" s="70">
        <f>IF(J3356&lt;&gt;0,CurrentMtgRatesDataTable8[[#This Row],[Rate]]-C3356,N3356)</f>
        <v>6.0000000000000053E-2</v>
      </c>
    </row>
    <row r="3358" spans="1:14">
      <c r="A3358" s="67" t="s">
        <v>1322</v>
      </c>
      <c r="B3358" s="68">
        <v>3.0602135791338601</v>
      </c>
      <c r="C3358" s="69">
        <v>3.9050000000000002</v>
      </c>
      <c r="D3358" s="70">
        <f t="shared" si="364"/>
        <v>7</v>
      </c>
      <c r="E3358" s="70">
        <f t="shared" si="365"/>
        <v>0.2</v>
      </c>
      <c r="F3358" s="70">
        <f t="shared" si="366"/>
        <v>5</v>
      </c>
      <c r="G3358" s="70">
        <f t="shared" si="367"/>
        <v>3.0267602536857021</v>
      </c>
      <c r="H3358" s="70">
        <f t="shared" si="368"/>
        <v>1</v>
      </c>
      <c r="I3358" s="70">
        <f t="shared" si="369"/>
        <v>1</v>
      </c>
      <c r="J3358" s="70">
        <f t="shared" si="370"/>
        <v>3.0267602536857021</v>
      </c>
      <c r="K3358" s="70">
        <f>IF(CurrentMtgRatesDataTable8[[#This Row],[WA CC]]&lt;&gt;0,C3357-CurrentMtgRatesDataTable8[[#This Row],[WA CC]],0)</f>
        <v>0.87823974631429813</v>
      </c>
      <c r="L3358" s="70">
        <f>IF(CurrentMtgRatesDataTable8[[#This Row],[Servicing Spread]]&lt;=0,L3357,CurrentMtgRatesDataTable8[[#This Row],[Servicing Spread]])</f>
        <v>0.87823974631429813</v>
      </c>
      <c r="M3358" s="70">
        <f>CurrentMtgRatesDataTable8[[#This Row],[Servicing Spread Non-Zero]]-L3357</f>
        <v>-8.3464679083649074E-3</v>
      </c>
      <c r="N3358" s="70">
        <f>IF(J3357&lt;&gt;0,CurrentMtgRatesDataTable8[[#This Row],[Rate]]-C3357,N3357)</f>
        <v>6.0000000000000053E-2</v>
      </c>
    </row>
    <row r="3359" spans="1:14">
      <c r="A3359" s="67" t="s">
        <v>1323</v>
      </c>
      <c r="B3359" s="68">
        <v>3.0345757133158</v>
      </c>
      <c r="C3359" s="69">
        <v>3.8949999999999996</v>
      </c>
      <c r="D3359" s="70">
        <f t="shared" si="364"/>
        <v>1</v>
      </c>
      <c r="E3359" s="70">
        <f t="shared" si="365"/>
        <v>0.2</v>
      </c>
      <c r="F3359" s="70">
        <f t="shared" si="366"/>
        <v>1</v>
      </c>
      <c r="G3359" s="70">
        <f t="shared" si="367"/>
        <v>0.60691514266316005</v>
      </c>
      <c r="H3359" s="70">
        <f t="shared" si="368"/>
        <v>0.2</v>
      </c>
      <c r="I3359" s="70">
        <f t="shared" si="369"/>
        <v>0</v>
      </c>
      <c r="J3359" s="70">
        <f t="shared" si="370"/>
        <v>0</v>
      </c>
      <c r="K3359" s="70">
        <f>IF(CurrentMtgRatesDataTable8[[#This Row],[WA CC]]&lt;&gt;0,C3358-CurrentMtgRatesDataTable8[[#This Row],[WA CC]],0)</f>
        <v>0</v>
      </c>
      <c r="L3359" s="70">
        <f>IF(CurrentMtgRatesDataTable8[[#This Row],[Servicing Spread]]&lt;=0,L3358,CurrentMtgRatesDataTable8[[#This Row],[Servicing Spread]])</f>
        <v>0.87823974631429813</v>
      </c>
      <c r="M3359" s="70">
        <f>CurrentMtgRatesDataTable8[[#This Row],[Servicing Spread Non-Zero]]-L3358</f>
        <v>0</v>
      </c>
      <c r="N3359" s="70">
        <f>IF(J3358&lt;&gt;0,CurrentMtgRatesDataTable8[[#This Row],[Rate]]-C3358,N3358)</f>
        <v>-1.0000000000000675E-2</v>
      </c>
    </row>
    <row r="3360" spans="1:14">
      <c r="A3360" s="67" t="s">
        <v>1324</v>
      </c>
      <c r="B3360" s="68">
        <v>3.0168102354422901</v>
      </c>
      <c r="C3360" s="69">
        <v>3.8949999999999996</v>
      </c>
      <c r="D3360" s="70">
        <f t="shared" si="364"/>
        <v>2</v>
      </c>
      <c r="E3360" s="70">
        <f t="shared" si="365"/>
        <v>0.2</v>
      </c>
      <c r="F3360" s="70">
        <f t="shared" si="366"/>
        <v>2</v>
      </c>
      <c r="G3360" s="70">
        <f t="shared" si="367"/>
        <v>1.210277189751618</v>
      </c>
      <c r="H3360" s="70">
        <f t="shared" si="368"/>
        <v>0.4</v>
      </c>
      <c r="I3360" s="70">
        <f t="shared" si="369"/>
        <v>0</v>
      </c>
      <c r="J3360" s="70">
        <f t="shared" si="370"/>
        <v>0</v>
      </c>
      <c r="K3360" s="70">
        <f>IF(CurrentMtgRatesDataTable8[[#This Row],[WA CC]]&lt;&gt;0,C3359-CurrentMtgRatesDataTable8[[#This Row],[WA CC]],0)</f>
        <v>0</v>
      </c>
      <c r="L3360" s="70">
        <f>IF(CurrentMtgRatesDataTable8[[#This Row],[Servicing Spread]]&lt;=0,L3359,CurrentMtgRatesDataTable8[[#This Row],[Servicing Spread]])</f>
        <v>0.87823974631429813</v>
      </c>
      <c r="M3360" s="70">
        <f>CurrentMtgRatesDataTable8[[#This Row],[Servicing Spread Non-Zero]]-L3359</f>
        <v>0</v>
      </c>
      <c r="N3360" s="70">
        <f>IF(J3359&lt;&gt;0,CurrentMtgRatesDataTable8[[#This Row],[Rate]]-C3359,N3359)</f>
        <v>-1.0000000000000675E-2</v>
      </c>
    </row>
    <row r="3361" spans="1:14">
      <c r="A3361" s="67" t="s">
        <v>1325</v>
      </c>
      <c r="B3361" s="68">
        <v>3.0580560556291201</v>
      </c>
      <c r="C3361" s="69">
        <v>3.8949999999999996</v>
      </c>
      <c r="D3361" s="70">
        <f t="shared" si="364"/>
        <v>5</v>
      </c>
      <c r="E3361" s="70">
        <f t="shared" si="365"/>
        <v>0.2</v>
      </c>
      <c r="F3361" s="70">
        <f t="shared" si="366"/>
        <v>3</v>
      </c>
      <c r="G3361" s="70">
        <f t="shared" si="367"/>
        <v>1.8218884008774421</v>
      </c>
      <c r="H3361" s="70">
        <f t="shared" si="368"/>
        <v>0.60000000000000009</v>
      </c>
      <c r="I3361" s="70">
        <f t="shared" si="369"/>
        <v>0</v>
      </c>
      <c r="J3361" s="70">
        <f t="shared" si="370"/>
        <v>0</v>
      </c>
      <c r="K3361" s="70">
        <f>IF(CurrentMtgRatesDataTable8[[#This Row],[WA CC]]&lt;&gt;0,C3360-CurrentMtgRatesDataTable8[[#This Row],[WA CC]],0)</f>
        <v>0</v>
      </c>
      <c r="L3361" s="70">
        <f>IF(CurrentMtgRatesDataTable8[[#This Row],[Servicing Spread]]&lt;=0,L3360,CurrentMtgRatesDataTable8[[#This Row],[Servicing Spread]])</f>
        <v>0.87823974631429813</v>
      </c>
      <c r="M3361" s="70">
        <f>CurrentMtgRatesDataTable8[[#This Row],[Servicing Spread Non-Zero]]-L3360</f>
        <v>0</v>
      </c>
      <c r="N3361" s="70">
        <f>IF(J3360&lt;&gt;0,CurrentMtgRatesDataTable8[[#This Row],[Rate]]-C3360,N3360)</f>
        <v>-1.0000000000000675E-2</v>
      </c>
    </row>
    <row r="3362" spans="1:14">
      <c r="A3362" s="67" t="s">
        <v>1326</v>
      </c>
      <c r="B3362" s="68">
        <v>3.02195489821497</v>
      </c>
      <c r="C3362" s="69">
        <v>3.8949999999999996</v>
      </c>
      <c r="D3362" s="70">
        <f t="shared" si="364"/>
        <v>6</v>
      </c>
      <c r="E3362" s="70">
        <f t="shared" si="365"/>
        <v>0.2</v>
      </c>
      <c r="F3362" s="70">
        <f t="shared" si="366"/>
        <v>4</v>
      </c>
      <c r="G3362" s="70">
        <f t="shared" si="367"/>
        <v>2.4262793805204361</v>
      </c>
      <c r="H3362" s="70">
        <f t="shared" si="368"/>
        <v>0.8</v>
      </c>
      <c r="I3362" s="70">
        <f t="shared" si="369"/>
        <v>0</v>
      </c>
      <c r="J3362" s="70">
        <f t="shared" si="370"/>
        <v>0</v>
      </c>
      <c r="K3362" s="70">
        <f>IF(CurrentMtgRatesDataTable8[[#This Row],[WA CC]]&lt;&gt;0,C3361-CurrentMtgRatesDataTable8[[#This Row],[WA CC]],0)</f>
        <v>0</v>
      </c>
      <c r="L3362" s="70">
        <f>IF(CurrentMtgRatesDataTable8[[#This Row],[Servicing Spread]]&lt;=0,L3361,CurrentMtgRatesDataTable8[[#This Row],[Servicing Spread]])</f>
        <v>0.87823974631429813</v>
      </c>
      <c r="M3362" s="70">
        <f>CurrentMtgRatesDataTable8[[#This Row],[Servicing Spread Non-Zero]]-L3361</f>
        <v>0</v>
      </c>
      <c r="N3362" s="70">
        <f>IF(J3361&lt;&gt;0,CurrentMtgRatesDataTable8[[#This Row],[Rate]]-C3361,N3361)</f>
        <v>-1.0000000000000675E-2</v>
      </c>
    </row>
    <row r="3363" spans="1:14">
      <c r="A3363" s="67" t="s">
        <v>1327</v>
      </c>
      <c r="B3363" s="68">
        <v>3.04669100104817</v>
      </c>
      <c r="C3363" s="69">
        <v>3.8949999999999996</v>
      </c>
      <c r="D3363" s="70">
        <f t="shared" si="364"/>
        <v>7</v>
      </c>
      <c r="E3363" s="70">
        <f t="shared" si="365"/>
        <v>0.2</v>
      </c>
      <c r="F3363" s="70">
        <f t="shared" si="366"/>
        <v>5</v>
      </c>
      <c r="G3363" s="70">
        <f t="shared" si="367"/>
        <v>3.03561758073007</v>
      </c>
      <c r="H3363" s="70">
        <f t="shared" si="368"/>
        <v>1</v>
      </c>
      <c r="I3363" s="70">
        <f t="shared" si="369"/>
        <v>1</v>
      </c>
      <c r="J3363" s="70">
        <f t="shared" si="370"/>
        <v>3.03561758073007</v>
      </c>
      <c r="K3363" s="70">
        <f>IF(CurrentMtgRatesDataTable8[[#This Row],[WA CC]]&lt;&gt;0,C3362-CurrentMtgRatesDataTable8[[#This Row],[WA CC]],0)</f>
        <v>0.85938241926992953</v>
      </c>
      <c r="L3363" s="70">
        <f>IF(CurrentMtgRatesDataTable8[[#This Row],[Servicing Spread]]&lt;=0,L3362,CurrentMtgRatesDataTable8[[#This Row],[Servicing Spread]])</f>
        <v>0.85938241926992953</v>
      </c>
      <c r="M3363" s="70">
        <f>CurrentMtgRatesDataTable8[[#This Row],[Servicing Spread Non-Zero]]-L3362</f>
        <v>-1.8857327044368599E-2</v>
      </c>
      <c r="N3363" s="70">
        <f>IF(J3362&lt;&gt;0,CurrentMtgRatesDataTable8[[#This Row],[Rate]]-C3362,N3362)</f>
        <v>-1.0000000000000675E-2</v>
      </c>
    </row>
    <row r="3364" spans="1:14">
      <c r="A3364" s="67" t="s">
        <v>1328</v>
      </c>
      <c r="B3364" s="68">
        <v>3.0837456473004301</v>
      </c>
      <c r="C3364" s="69">
        <v>3.9249999999999998</v>
      </c>
      <c r="D3364" s="70">
        <f t="shared" si="364"/>
        <v>1</v>
      </c>
      <c r="E3364" s="70">
        <f t="shared" si="365"/>
        <v>0.2</v>
      </c>
      <c r="F3364" s="70">
        <f t="shared" si="366"/>
        <v>1</v>
      </c>
      <c r="G3364" s="70">
        <f t="shared" si="367"/>
        <v>0.61674912946008609</v>
      </c>
      <c r="H3364" s="70">
        <f t="shared" si="368"/>
        <v>0.2</v>
      </c>
      <c r="I3364" s="70">
        <f t="shared" si="369"/>
        <v>0</v>
      </c>
      <c r="J3364" s="70">
        <f t="shared" si="370"/>
        <v>0</v>
      </c>
      <c r="K3364" s="70">
        <f>IF(CurrentMtgRatesDataTable8[[#This Row],[WA CC]]&lt;&gt;0,C3363-CurrentMtgRatesDataTable8[[#This Row],[WA CC]],0)</f>
        <v>0</v>
      </c>
      <c r="L3364" s="70">
        <f>IF(CurrentMtgRatesDataTable8[[#This Row],[Servicing Spread]]&lt;=0,L3363,CurrentMtgRatesDataTable8[[#This Row],[Servicing Spread]])</f>
        <v>0.85938241926992953</v>
      </c>
      <c r="M3364" s="70">
        <f>CurrentMtgRatesDataTable8[[#This Row],[Servicing Spread Non-Zero]]-L3363</f>
        <v>0</v>
      </c>
      <c r="N3364" s="70">
        <f>IF(J3363&lt;&gt;0,CurrentMtgRatesDataTable8[[#This Row],[Rate]]-C3363,N3363)</f>
        <v>3.0000000000000249E-2</v>
      </c>
    </row>
    <row r="3365" spans="1:14">
      <c r="A3365" s="67" t="s">
        <v>1329</v>
      </c>
      <c r="B3365" s="68">
        <v>3.07550277889916</v>
      </c>
      <c r="C3365" s="69">
        <v>3.9249999999999998</v>
      </c>
      <c r="D3365" s="70">
        <f t="shared" si="364"/>
        <v>2</v>
      </c>
      <c r="E3365" s="70">
        <f t="shared" si="365"/>
        <v>0.2</v>
      </c>
      <c r="F3365" s="70">
        <f t="shared" si="366"/>
        <v>2</v>
      </c>
      <c r="G3365" s="70">
        <f t="shared" si="367"/>
        <v>1.2318496852399181</v>
      </c>
      <c r="H3365" s="70">
        <f t="shared" si="368"/>
        <v>0.4</v>
      </c>
      <c r="I3365" s="70">
        <f t="shared" si="369"/>
        <v>0</v>
      </c>
      <c r="J3365" s="70">
        <f t="shared" si="370"/>
        <v>0</v>
      </c>
      <c r="K3365" s="70">
        <f>IF(CurrentMtgRatesDataTable8[[#This Row],[WA CC]]&lt;&gt;0,C3364-CurrentMtgRatesDataTable8[[#This Row],[WA CC]],0)</f>
        <v>0</v>
      </c>
      <c r="L3365" s="70">
        <f>IF(CurrentMtgRatesDataTable8[[#This Row],[Servicing Spread]]&lt;=0,L3364,CurrentMtgRatesDataTable8[[#This Row],[Servicing Spread]])</f>
        <v>0.85938241926992953</v>
      </c>
      <c r="M3365" s="70">
        <f>CurrentMtgRatesDataTable8[[#This Row],[Servicing Spread Non-Zero]]-L3364</f>
        <v>0</v>
      </c>
      <c r="N3365" s="70">
        <f>IF(J3364&lt;&gt;0,CurrentMtgRatesDataTable8[[#This Row],[Rate]]-C3364,N3364)</f>
        <v>3.0000000000000249E-2</v>
      </c>
    </row>
    <row r="3366" spans="1:14">
      <c r="A3366" s="67" t="s">
        <v>1330</v>
      </c>
      <c r="B3366" s="68">
        <v>3.0924935285971999</v>
      </c>
      <c r="C3366" s="69">
        <v>3.9249999999999998</v>
      </c>
      <c r="D3366" s="70">
        <f t="shared" si="364"/>
        <v>5</v>
      </c>
      <c r="E3366" s="70">
        <f t="shared" si="365"/>
        <v>0.2</v>
      </c>
      <c r="F3366" s="70">
        <f t="shared" si="366"/>
        <v>3</v>
      </c>
      <c r="G3366" s="70">
        <f t="shared" si="367"/>
        <v>1.8503483909593581</v>
      </c>
      <c r="H3366" s="70">
        <f t="shared" si="368"/>
        <v>0.60000000000000009</v>
      </c>
      <c r="I3366" s="70">
        <f t="shared" si="369"/>
        <v>0</v>
      </c>
      <c r="J3366" s="70">
        <f t="shared" si="370"/>
        <v>0</v>
      </c>
      <c r="K3366" s="70">
        <f>IF(CurrentMtgRatesDataTable8[[#This Row],[WA CC]]&lt;&gt;0,C3365-CurrentMtgRatesDataTable8[[#This Row],[WA CC]],0)</f>
        <v>0</v>
      </c>
      <c r="L3366" s="70">
        <f>IF(CurrentMtgRatesDataTable8[[#This Row],[Servicing Spread]]&lt;=0,L3365,CurrentMtgRatesDataTable8[[#This Row],[Servicing Spread]])</f>
        <v>0.85938241926992953</v>
      </c>
      <c r="M3366" s="70">
        <f>CurrentMtgRatesDataTable8[[#This Row],[Servicing Spread Non-Zero]]-L3365</f>
        <v>0</v>
      </c>
      <c r="N3366" s="70">
        <f>IF(J3365&lt;&gt;0,CurrentMtgRatesDataTable8[[#This Row],[Rate]]-C3365,N3365)</f>
        <v>3.0000000000000249E-2</v>
      </c>
    </row>
    <row r="3367" spans="1:14">
      <c r="A3367" s="67" t="s">
        <v>1331</v>
      </c>
      <c r="B3367" s="68">
        <v>3.1238691664051901</v>
      </c>
      <c r="C3367" s="69">
        <v>3.9249999999999998</v>
      </c>
      <c r="D3367" s="70">
        <f t="shared" si="364"/>
        <v>6</v>
      </c>
      <c r="E3367" s="70">
        <f t="shared" si="365"/>
        <v>0.2</v>
      </c>
      <c r="F3367" s="70">
        <f t="shared" si="366"/>
        <v>4</v>
      </c>
      <c r="G3367" s="70">
        <f t="shared" si="367"/>
        <v>2.4751222242403963</v>
      </c>
      <c r="H3367" s="70">
        <f t="shared" si="368"/>
        <v>0.8</v>
      </c>
      <c r="I3367" s="70">
        <f t="shared" si="369"/>
        <v>0</v>
      </c>
      <c r="J3367" s="70">
        <f t="shared" si="370"/>
        <v>0</v>
      </c>
      <c r="K3367" s="70">
        <f>IF(CurrentMtgRatesDataTable8[[#This Row],[WA CC]]&lt;&gt;0,C3366-CurrentMtgRatesDataTable8[[#This Row],[WA CC]],0)</f>
        <v>0</v>
      </c>
      <c r="L3367" s="70">
        <f>IF(CurrentMtgRatesDataTable8[[#This Row],[Servicing Spread]]&lt;=0,L3366,CurrentMtgRatesDataTable8[[#This Row],[Servicing Spread]])</f>
        <v>0.85938241926992953</v>
      </c>
      <c r="M3367" s="70">
        <f>CurrentMtgRatesDataTable8[[#This Row],[Servicing Spread Non-Zero]]-L3366</f>
        <v>0</v>
      </c>
      <c r="N3367" s="70">
        <f>IF(J3366&lt;&gt;0,CurrentMtgRatesDataTable8[[#This Row],[Rate]]-C3366,N3366)</f>
        <v>3.0000000000000249E-2</v>
      </c>
    </row>
    <row r="3368" spans="1:14">
      <c r="A3368" s="67" t="s">
        <v>1332</v>
      </c>
      <c r="B3368" s="68">
        <v>3.1370226273665902</v>
      </c>
      <c r="C3368" s="69">
        <v>3.9249999999999998</v>
      </c>
      <c r="D3368" s="70">
        <f t="shared" si="364"/>
        <v>7</v>
      </c>
      <c r="E3368" s="70">
        <f t="shared" si="365"/>
        <v>0.2</v>
      </c>
      <c r="F3368" s="70">
        <f t="shared" si="366"/>
        <v>5</v>
      </c>
      <c r="G3368" s="70">
        <f t="shared" si="367"/>
        <v>3.1025267497137143</v>
      </c>
      <c r="H3368" s="70">
        <f t="shared" si="368"/>
        <v>1</v>
      </c>
      <c r="I3368" s="70">
        <f t="shared" si="369"/>
        <v>1</v>
      </c>
      <c r="J3368" s="70">
        <f t="shared" si="370"/>
        <v>3.1025267497137143</v>
      </c>
      <c r="K3368" s="70">
        <f>IF(CurrentMtgRatesDataTable8[[#This Row],[WA CC]]&lt;&gt;0,C3367-CurrentMtgRatesDataTable8[[#This Row],[WA CC]],0)</f>
        <v>0.82247325028628548</v>
      </c>
      <c r="L3368" s="70">
        <f>IF(CurrentMtgRatesDataTable8[[#This Row],[Servicing Spread]]&lt;=0,L3367,CurrentMtgRatesDataTable8[[#This Row],[Servicing Spread]])</f>
        <v>0.82247325028628548</v>
      </c>
      <c r="M3368" s="70">
        <f>CurrentMtgRatesDataTable8[[#This Row],[Servicing Spread Non-Zero]]-L3367</f>
        <v>-3.6909168983644047E-2</v>
      </c>
      <c r="N3368" s="70">
        <f>IF(J3367&lt;&gt;0,CurrentMtgRatesDataTable8[[#This Row],[Rate]]-C3367,N3367)</f>
        <v>3.0000000000000249E-2</v>
      </c>
    </row>
    <row r="3369" spans="1:14">
      <c r="A3369" s="67" t="s">
        <v>1333</v>
      </c>
      <c r="B3369" s="68">
        <v>3.13354455783506</v>
      </c>
      <c r="C3369" s="69">
        <v>3.8949999999999996</v>
      </c>
      <c r="D3369" s="70">
        <f t="shared" si="364"/>
        <v>1</v>
      </c>
      <c r="E3369" s="70">
        <f t="shared" si="365"/>
        <v>0.2</v>
      </c>
      <c r="F3369" s="70">
        <f t="shared" si="366"/>
        <v>1</v>
      </c>
      <c r="G3369" s="70">
        <f t="shared" si="367"/>
        <v>0.62670891156701203</v>
      </c>
      <c r="H3369" s="70">
        <f t="shared" si="368"/>
        <v>0.2</v>
      </c>
      <c r="I3369" s="70">
        <f t="shared" si="369"/>
        <v>0</v>
      </c>
      <c r="J3369" s="70">
        <f t="shared" si="370"/>
        <v>0</v>
      </c>
      <c r="K3369" s="70">
        <f>IF(CurrentMtgRatesDataTable8[[#This Row],[WA CC]]&lt;&gt;0,C3368-CurrentMtgRatesDataTable8[[#This Row],[WA CC]],0)</f>
        <v>0</v>
      </c>
      <c r="L3369" s="70">
        <f>IF(CurrentMtgRatesDataTable8[[#This Row],[Servicing Spread]]&lt;=0,L3368,CurrentMtgRatesDataTable8[[#This Row],[Servicing Spread]])</f>
        <v>0.82247325028628548</v>
      </c>
      <c r="M3369" s="70">
        <f>CurrentMtgRatesDataTable8[[#This Row],[Servicing Spread Non-Zero]]-L3368</f>
        <v>0</v>
      </c>
      <c r="N3369" s="70">
        <f>IF(J3368&lt;&gt;0,CurrentMtgRatesDataTable8[[#This Row],[Rate]]-C3368,N3368)</f>
        <v>-3.0000000000000249E-2</v>
      </c>
    </row>
    <row r="3370" spans="1:14">
      <c r="A3370" s="67" t="s">
        <v>1334</v>
      </c>
      <c r="B3370" s="68">
        <v>3.0503961031254101</v>
      </c>
      <c r="C3370" s="69">
        <v>3.8949999999999996</v>
      </c>
      <c r="D3370" s="70">
        <f t="shared" si="364"/>
        <v>2</v>
      </c>
      <c r="E3370" s="70">
        <f t="shared" si="365"/>
        <v>0.2</v>
      </c>
      <c r="F3370" s="70">
        <f t="shared" si="366"/>
        <v>2</v>
      </c>
      <c r="G3370" s="70">
        <f t="shared" si="367"/>
        <v>1.2367881321920939</v>
      </c>
      <c r="H3370" s="70">
        <f t="shared" si="368"/>
        <v>0.4</v>
      </c>
      <c r="I3370" s="70">
        <f t="shared" si="369"/>
        <v>0</v>
      </c>
      <c r="J3370" s="70">
        <f t="shared" si="370"/>
        <v>0</v>
      </c>
      <c r="K3370" s="70">
        <f>IF(CurrentMtgRatesDataTable8[[#This Row],[WA CC]]&lt;&gt;0,C3369-CurrentMtgRatesDataTable8[[#This Row],[WA CC]],0)</f>
        <v>0</v>
      </c>
      <c r="L3370" s="70">
        <f>IF(CurrentMtgRatesDataTable8[[#This Row],[Servicing Spread]]&lt;=0,L3369,CurrentMtgRatesDataTable8[[#This Row],[Servicing Spread]])</f>
        <v>0.82247325028628548</v>
      </c>
      <c r="M3370" s="70">
        <f>CurrentMtgRatesDataTable8[[#This Row],[Servicing Spread Non-Zero]]-L3369</f>
        <v>0</v>
      </c>
      <c r="N3370" s="70">
        <f>IF(J3369&lt;&gt;0,CurrentMtgRatesDataTable8[[#This Row],[Rate]]-C3369,N3369)</f>
        <v>-3.0000000000000249E-2</v>
      </c>
    </row>
    <row r="3371" spans="1:14">
      <c r="A3371" s="67" t="s">
        <v>1335</v>
      </c>
      <c r="B3371" s="68">
        <v>3.0540256886172599</v>
      </c>
      <c r="C3371" s="69">
        <v>3.8949999999999996</v>
      </c>
      <c r="D3371" s="70">
        <f t="shared" si="364"/>
        <v>5</v>
      </c>
      <c r="E3371" s="70">
        <f t="shared" si="365"/>
        <v>0.2</v>
      </c>
      <c r="F3371" s="70">
        <f t="shared" si="366"/>
        <v>3</v>
      </c>
      <c r="G3371" s="70">
        <f t="shared" si="367"/>
        <v>1.847593269915546</v>
      </c>
      <c r="H3371" s="70">
        <f t="shared" si="368"/>
        <v>0.60000000000000009</v>
      </c>
      <c r="I3371" s="70">
        <f t="shared" si="369"/>
        <v>0</v>
      </c>
      <c r="J3371" s="70">
        <f t="shared" si="370"/>
        <v>0</v>
      </c>
      <c r="K3371" s="70">
        <f>IF(CurrentMtgRatesDataTable8[[#This Row],[WA CC]]&lt;&gt;0,C3370-CurrentMtgRatesDataTable8[[#This Row],[WA CC]],0)</f>
        <v>0</v>
      </c>
      <c r="L3371" s="70">
        <f>IF(CurrentMtgRatesDataTable8[[#This Row],[Servicing Spread]]&lt;=0,L3370,CurrentMtgRatesDataTable8[[#This Row],[Servicing Spread]])</f>
        <v>0.82247325028628548</v>
      </c>
      <c r="M3371" s="70">
        <f>CurrentMtgRatesDataTable8[[#This Row],[Servicing Spread Non-Zero]]-L3370</f>
        <v>0</v>
      </c>
      <c r="N3371" s="70">
        <f>IF(J3370&lt;&gt;0,CurrentMtgRatesDataTable8[[#This Row],[Rate]]-C3370,N3370)</f>
        <v>-3.0000000000000249E-2</v>
      </c>
    </row>
    <row r="3372" spans="1:14">
      <c r="A3372" s="67" t="s">
        <v>1336</v>
      </c>
      <c r="B3372" s="68">
        <v>3.0367748690923499</v>
      </c>
      <c r="C3372" s="69">
        <v>3.8949999999999996</v>
      </c>
      <c r="D3372" s="70">
        <f t="shared" si="364"/>
        <v>6</v>
      </c>
      <c r="E3372" s="70">
        <f t="shared" si="365"/>
        <v>0.2</v>
      </c>
      <c r="F3372" s="70">
        <f t="shared" si="366"/>
        <v>4</v>
      </c>
      <c r="G3372" s="70">
        <f t="shared" si="367"/>
        <v>2.454948243734016</v>
      </c>
      <c r="H3372" s="70">
        <f t="shared" si="368"/>
        <v>0.8</v>
      </c>
      <c r="I3372" s="70">
        <f t="shared" si="369"/>
        <v>0</v>
      </c>
      <c r="J3372" s="70">
        <f t="shared" si="370"/>
        <v>0</v>
      </c>
      <c r="K3372" s="70">
        <f>IF(CurrentMtgRatesDataTable8[[#This Row],[WA CC]]&lt;&gt;0,C3371-CurrentMtgRatesDataTable8[[#This Row],[WA CC]],0)</f>
        <v>0</v>
      </c>
      <c r="L3372" s="70">
        <f>IF(CurrentMtgRatesDataTable8[[#This Row],[Servicing Spread]]&lt;=0,L3371,CurrentMtgRatesDataTable8[[#This Row],[Servicing Spread]])</f>
        <v>0.82247325028628548</v>
      </c>
      <c r="M3372" s="70">
        <f>CurrentMtgRatesDataTable8[[#This Row],[Servicing Spread Non-Zero]]-L3371</f>
        <v>0</v>
      </c>
      <c r="N3372" s="70">
        <f>IF(J3371&lt;&gt;0,CurrentMtgRatesDataTable8[[#This Row],[Rate]]-C3371,N3371)</f>
        <v>-3.0000000000000249E-2</v>
      </c>
    </row>
    <row r="3373" spans="1:14">
      <c r="A3373" s="67" t="s">
        <v>1337</v>
      </c>
      <c r="B3373" s="68">
        <v>2.9255759416218798</v>
      </c>
      <c r="C3373" s="69">
        <v>3.8949999999999996</v>
      </c>
      <c r="D3373" s="70">
        <f t="shared" si="364"/>
        <v>7</v>
      </c>
      <c r="E3373" s="70">
        <f t="shared" si="365"/>
        <v>0.2</v>
      </c>
      <c r="F3373" s="70">
        <f t="shared" si="366"/>
        <v>5</v>
      </c>
      <c r="G3373" s="70">
        <f t="shared" si="367"/>
        <v>3.0400634320583921</v>
      </c>
      <c r="H3373" s="70">
        <f t="shared" si="368"/>
        <v>1</v>
      </c>
      <c r="I3373" s="70">
        <f t="shared" si="369"/>
        <v>1</v>
      </c>
      <c r="J3373" s="70">
        <f t="shared" si="370"/>
        <v>3.0400634320583921</v>
      </c>
      <c r="K3373" s="70">
        <f>IF(CurrentMtgRatesDataTable8[[#This Row],[WA CC]]&lt;&gt;0,C3372-CurrentMtgRatesDataTable8[[#This Row],[WA CC]],0)</f>
        <v>0.85493656794160744</v>
      </c>
      <c r="L3373" s="70">
        <f>IF(CurrentMtgRatesDataTable8[[#This Row],[Servicing Spread]]&lt;=0,L3372,CurrentMtgRatesDataTable8[[#This Row],[Servicing Spread]])</f>
        <v>0.85493656794160744</v>
      </c>
      <c r="M3373" s="70">
        <f>CurrentMtgRatesDataTable8[[#This Row],[Servicing Spread Non-Zero]]-L3372</f>
        <v>3.2463317655321955E-2</v>
      </c>
      <c r="N3373" s="70">
        <f>IF(J3372&lt;&gt;0,CurrentMtgRatesDataTable8[[#This Row],[Rate]]-C3372,N3372)</f>
        <v>-3.0000000000000249E-2</v>
      </c>
    </row>
    <row r="3374" spans="1:14">
      <c r="A3374" s="67" t="s">
        <v>1338</v>
      </c>
      <c r="B3374" s="68">
        <v>2.96077919351512</v>
      </c>
      <c r="C3374" s="69">
        <v>3.8250000000000002</v>
      </c>
      <c r="D3374" s="70">
        <f t="shared" si="364"/>
        <v>1</v>
      </c>
      <c r="E3374" s="70">
        <f t="shared" si="365"/>
        <v>0.2</v>
      </c>
      <c r="F3374" s="70">
        <f t="shared" si="366"/>
        <v>1</v>
      </c>
      <c r="G3374" s="70">
        <f t="shared" si="367"/>
        <v>0.59215583870302402</v>
      </c>
      <c r="H3374" s="70">
        <f t="shared" si="368"/>
        <v>0.2</v>
      </c>
      <c r="I3374" s="70">
        <f t="shared" si="369"/>
        <v>0</v>
      </c>
      <c r="J3374" s="70">
        <f t="shared" si="370"/>
        <v>0</v>
      </c>
      <c r="K3374" s="70">
        <f>IF(CurrentMtgRatesDataTable8[[#This Row],[WA CC]]&lt;&gt;0,C3373-CurrentMtgRatesDataTable8[[#This Row],[WA CC]],0)</f>
        <v>0</v>
      </c>
      <c r="L3374" s="70">
        <f>IF(CurrentMtgRatesDataTable8[[#This Row],[Servicing Spread]]&lt;=0,L3373,CurrentMtgRatesDataTable8[[#This Row],[Servicing Spread]])</f>
        <v>0.85493656794160744</v>
      </c>
      <c r="M3374" s="70">
        <f>CurrentMtgRatesDataTable8[[#This Row],[Servicing Spread Non-Zero]]-L3373</f>
        <v>0</v>
      </c>
      <c r="N3374" s="70">
        <f>IF(J3373&lt;&gt;0,CurrentMtgRatesDataTable8[[#This Row],[Rate]]-C3373,N3373)</f>
        <v>-6.9999999999999396E-2</v>
      </c>
    </row>
    <row r="3375" spans="1:14">
      <c r="A3375" s="67" t="s">
        <v>1339</v>
      </c>
      <c r="B3375" s="68">
        <v>2.9772059927121801</v>
      </c>
      <c r="C3375" s="69">
        <v>3.8250000000000002</v>
      </c>
      <c r="D3375" s="70">
        <f t="shared" si="364"/>
        <v>2</v>
      </c>
      <c r="E3375" s="70">
        <f t="shared" si="365"/>
        <v>0.2</v>
      </c>
      <c r="F3375" s="70">
        <f t="shared" si="366"/>
        <v>2</v>
      </c>
      <c r="G3375" s="70">
        <f t="shared" si="367"/>
        <v>1.1875970372454601</v>
      </c>
      <c r="H3375" s="70">
        <f t="shared" si="368"/>
        <v>0.4</v>
      </c>
      <c r="I3375" s="70">
        <f t="shared" si="369"/>
        <v>0</v>
      </c>
      <c r="J3375" s="70">
        <f t="shared" si="370"/>
        <v>0</v>
      </c>
      <c r="K3375" s="70">
        <f>IF(CurrentMtgRatesDataTable8[[#This Row],[WA CC]]&lt;&gt;0,C3374-CurrentMtgRatesDataTable8[[#This Row],[WA CC]],0)</f>
        <v>0</v>
      </c>
      <c r="L3375" s="70">
        <f>IF(CurrentMtgRatesDataTable8[[#This Row],[Servicing Spread]]&lt;=0,L3374,CurrentMtgRatesDataTable8[[#This Row],[Servicing Spread]])</f>
        <v>0.85493656794160744</v>
      </c>
      <c r="M3375" s="70">
        <f>CurrentMtgRatesDataTable8[[#This Row],[Servicing Spread Non-Zero]]-L3374</f>
        <v>0</v>
      </c>
      <c r="N3375" s="70">
        <f>IF(J3374&lt;&gt;0,CurrentMtgRatesDataTable8[[#This Row],[Rate]]-C3374,N3374)</f>
        <v>-6.9999999999999396E-2</v>
      </c>
    </row>
    <row r="3376" spans="1:14">
      <c r="A3376" s="67" t="s">
        <v>1340</v>
      </c>
      <c r="B3376" s="68">
        <v>2.98253297919802</v>
      </c>
      <c r="C3376" s="69">
        <v>3.8250000000000002</v>
      </c>
      <c r="D3376" s="70">
        <f t="shared" si="364"/>
        <v>5</v>
      </c>
      <c r="E3376" s="70">
        <f t="shared" si="365"/>
        <v>0.2</v>
      </c>
      <c r="F3376" s="70">
        <f t="shared" si="366"/>
        <v>3</v>
      </c>
      <c r="G3376" s="70">
        <f t="shared" si="367"/>
        <v>1.7841036330850639</v>
      </c>
      <c r="H3376" s="70">
        <f t="shared" si="368"/>
        <v>0.60000000000000009</v>
      </c>
      <c r="I3376" s="70">
        <f t="shared" si="369"/>
        <v>0</v>
      </c>
      <c r="J3376" s="70">
        <f t="shared" si="370"/>
        <v>0</v>
      </c>
      <c r="K3376" s="70">
        <f>IF(CurrentMtgRatesDataTable8[[#This Row],[WA CC]]&lt;&gt;0,C3375-CurrentMtgRatesDataTable8[[#This Row],[WA CC]],0)</f>
        <v>0</v>
      </c>
      <c r="L3376" s="70">
        <f>IF(CurrentMtgRatesDataTable8[[#This Row],[Servicing Spread]]&lt;=0,L3375,CurrentMtgRatesDataTable8[[#This Row],[Servicing Spread]])</f>
        <v>0.85493656794160744</v>
      </c>
      <c r="M3376" s="70">
        <f>CurrentMtgRatesDataTable8[[#This Row],[Servicing Spread Non-Zero]]-L3375</f>
        <v>0</v>
      </c>
      <c r="N3376" s="70">
        <f>IF(J3375&lt;&gt;0,CurrentMtgRatesDataTable8[[#This Row],[Rate]]-C3375,N3375)</f>
        <v>-6.9999999999999396E-2</v>
      </c>
    </row>
    <row r="3377" spans="1:14">
      <c r="A3377" s="67" t="s">
        <v>1341</v>
      </c>
      <c r="B3377" s="68">
        <v>3.0058699919752301</v>
      </c>
      <c r="C3377" s="69">
        <v>3.8250000000000002</v>
      </c>
      <c r="D3377" s="70">
        <f t="shared" si="364"/>
        <v>6</v>
      </c>
      <c r="E3377" s="70">
        <f t="shared" si="365"/>
        <v>0.2</v>
      </c>
      <c r="F3377" s="70">
        <f t="shared" si="366"/>
        <v>4</v>
      </c>
      <c r="G3377" s="70">
        <f t="shared" si="367"/>
        <v>2.3852776314801099</v>
      </c>
      <c r="H3377" s="70">
        <f t="shared" si="368"/>
        <v>0.8</v>
      </c>
      <c r="I3377" s="70">
        <f t="shared" si="369"/>
        <v>0</v>
      </c>
      <c r="J3377" s="70">
        <f t="shared" si="370"/>
        <v>0</v>
      </c>
      <c r="K3377" s="70">
        <f>IF(CurrentMtgRatesDataTable8[[#This Row],[WA CC]]&lt;&gt;0,C3376-CurrentMtgRatesDataTable8[[#This Row],[WA CC]],0)</f>
        <v>0</v>
      </c>
      <c r="L3377" s="70">
        <f>IF(CurrentMtgRatesDataTable8[[#This Row],[Servicing Spread]]&lt;=0,L3376,CurrentMtgRatesDataTable8[[#This Row],[Servicing Spread]])</f>
        <v>0.85493656794160744</v>
      </c>
      <c r="M3377" s="70">
        <f>CurrentMtgRatesDataTable8[[#This Row],[Servicing Spread Non-Zero]]-L3376</f>
        <v>0</v>
      </c>
      <c r="N3377" s="70">
        <f>IF(J3376&lt;&gt;0,CurrentMtgRatesDataTable8[[#This Row],[Rate]]-C3376,N3376)</f>
        <v>-6.9999999999999396E-2</v>
      </c>
    </row>
    <row r="3378" spans="1:14">
      <c r="A3378" s="67" t="s">
        <v>1342</v>
      </c>
      <c r="B3378" s="68">
        <v>2.9850094443117499</v>
      </c>
      <c r="C3378" s="69">
        <v>3.8250000000000002</v>
      </c>
      <c r="D3378" s="70">
        <f t="shared" si="364"/>
        <v>7</v>
      </c>
      <c r="E3378" s="70">
        <f t="shared" si="365"/>
        <v>0.2</v>
      </c>
      <c r="F3378" s="70">
        <f t="shared" si="366"/>
        <v>5</v>
      </c>
      <c r="G3378" s="70">
        <f t="shared" si="367"/>
        <v>2.9822795203424599</v>
      </c>
      <c r="H3378" s="70">
        <f t="shared" si="368"/>
        <v>1</v>
      </c>
      <c r="I3378" s="70">
        <f t="shared" si="369"/>
        <v>1</v>
      </c>
      <c r="J3378" s="70">
        <f t="shared" si="370"/>
        <v>2.9822795203424599</v>
      </c>
      <c r="K3378" s="70">
        <f>IF(CurrentMtgRatesDataTable8[[#This Row],[WA CC]]&lt;&gt;0,C3377-CurrentMtgRatesDataTable8[[#This Row],[WA CC]],0)</f>
        <v>0.84272047965754027</v>
      </c>
      <c r="L3378" s="70">
        <f>IF(CurrentMtgRatesDataTable8[[#This Row],[Servicing Spread]]&lt;=0,L3377,CurrentMtgRatesDataTable8[[#This Row],[Servicing Spread]])</f>
        <v>0.84272047965754027</v>
      </c>
      <c r="M3378" s="70">
        <f>CurrentMtgRatesDataTable8[[#This Row],[Servicing Spread Non-Zero]]-L3377</f>
        <v>-1.2216088284067173E-2</v>
      </c>
      <c r="N3378" s="70">
        <f>IF(J3377&lt;&gt;0,CurrentMtgRatesDataTable8[[#This Row],[Rate]]-C3377,N3377)</f>
        <v>-6.9999999999999396E-2</v>
      </c>
    </row>
    <row r="3379" spans="1:14">
      <c r="A3379" s="67" t="s">
        <v>1343</v>
      </c>
      <c r="B3379" s="68">
        <v>2.9655991684288501</v>
      </c>
      <c r="C3379" s="69">
        <v>3.8149999999999999</v>
      </c>
      <c r="D3379" s="70">
        <f t="shared" si="364"/>
        <v>1</v>
      </c>
      <c r="E3379" s="70">
        <f t="shared" si="365"/>
        <v>0.2</v>
      </c>
      <c r="F3379" s="70">
        <f t="shared" si="366"/>
        <v>1</v>
      </c>
      <c r="G3379" s="70">
        <f t="shared" si="367"/>
        <v>0.59311983368577004</v>
      </c>
      <c r="H3379" s="70">
        <f t="shared" si="368"/>
        <v>0.2</v>
      </c>
      <c r="I3379" s="70">
        <f t="shared" si="369"/>
        <v>0</v>
      </c>
      <c r="J3379" s="70">
        <f t="shared" si="370"/>
        <v>0</v>
      </c>
      <c r="K3379" s="70">
        <f>IF(CurrentMtgRatesDataTable8[[#This Row],[WA CC]]&lt;&gt;0,C3378-CurrentMtgRatesDataTable8[[#This Row],[WA CC]],0)</f>
        <v>0</v>
      </c>
      <c r="L3379" s="70">
        <f>IF(CurrentMtgRatesDataTable8[[#This Row],[Servicing Spread]]&lt;=0,L3378,CurrentMtgRatesDataTable8[[#This Row],[Servicing Spread]])</f>
        <v>0.84272047965754027</v>
      </c>
      <c r="M3379" s="70">
        <f>CurrentMtgRatesDataTable8[[#This Row],[Servicing Spread Non-Zero]]-L3378</f>
        <v>0</v>
      </c>
      <c r="N3379" s="70">
        <f>IF(J3378&lt;&gt;0,CurrentMtgRatesDataTable8[[#This Row],[Rate]]-C3378,N3378)</f>
        <v>-1.0000000000000231E-2</v>
      </c>
    </row>
    <row r="3380" spans="1:14">
      <c r="A3380" s="67" t="s">
        <v>1344</v>
      </c>
      <c r="B3380" s="68">
        <v>2.9675370068735298</v>
      </c>
      <c r="C3380" s="69">
        <v>3.8149999999999999</v>
      </c>
      <c r="D3380" s="70">
        <f t="shared" si="364"/>
        <v>2</v>
      </c>
      <c r="E3380" s="70">
        <f t="shared" si="365"/>
        <v>0.2</v>
      </c>
      <c r="F3380" s="70">
        <f t="shared" si="366"/>
        <v>2</v>
      </c>
      <c r="G3380" s="70">
        <f t="shared" si="367"/>
        <v>1.1866272350604761</v>
      </c>
      <c r="H3380" s="70">
        <f t="shared" si="368"/>
        <v>0.4</v>
      </c>
      <c r="I3380" s="70">
        <f t="shared" si="369"/>
        <v>0</v>
      </c>
      <c r="J3380" s="70">
        <f t="shared" si="370"/>
        <v>0</v>
      </c>
      <c r="K3380" s="70">
        <f>IF(CurrentMtgRatesDataTable8[[#This Row],[WA CC]]&lt;&gt;0,C3379-CurrentMtgRatesDataTable8[[#This Row],[WA CC]],0)</f>
        <v>0</v>
      </c>
      <c r="L3380" s="70">
        <f>IF(CurrentMtgRatesDataTable8[[#This Row],[Servicing Spread]]&lt;=0,L3379,CurrentMtgRatesDataTable8[[#This Row],[Servicing Spread]])</f>
        <v>0.84272047965754027</v>
      </c>
      <c r="M3380" s="70">
        <f>CurrentMtgRatesDataTable8[[#This Row],[Servicing Spread Non-Zero]]-L3379</f>
        <v>0</v>
      </c>
      <c r="N3380" s="70">
        <f>IF(J3379&lt;&gt;0,CurrentMtgRatesDataTable8[[#This Row],[Rate]]-C3379,N3379)</f>
        <v>-1.0000000000000231E-2</v>
      </c>
    </row>
    <row r="3381" spans="1:14">
      <c r="A3381" s="67" t="s">
        <v>1345</v>
      </c>
      <c r="B3381" s="68">
        <v>2.9372545764826601</v>
      </c>
      <c r="C3381" s="69">
        <v>3.8149999999999999</v>
      </c>
      <c r="D3381" s="70">
        <f t="shared" si="364"/>
        <v>6</v>
      </c>
      <c r="E3381" s="70">
        <f t="shared" si="365"/>
        <v>0.2</v>
      </c>
      <c r="F3381" s="70">
        <f t="shared" si="366"/>
        <v>3</v>
      </c>
      <c r="G3381" s="70">
        <f t="shared" si="367"/>
        <v>1.774078150357008</v>
      </c>
      <c r="H3381" s="70">
        <f t="shared" si="368"/>
        <v>0.60000000000000009</v>
      </c>
      <c r="I3381" s="70">
        <f t="shared" si="369"/>
        <v>0</v>
      </c>
      <c r="J3381" s="70">
        <f t="shared" si="370"/>
        <v>0</v>
      </c>
      <c r="K3381" s="70">
        <f>IF(CurrentMtgRatesDataTable8[[#This Row],[WA CC]]&lt;&gt;0,C3380-CurrentMtgRatesDataTable8[[#This Row],[WA CC]],0)</f>
        <v>0</v>
      </c>
      <c r="L3381" s="70">
        <f>IF(CurrentMtgRatesDataTable8[[#This Row],[Servicing Spread]]&lt;=0,L3380,CurrentMtgRatesDataTable8[[#This Row],[Servicing Spread]])</f>
        <v>0.84272047965754027</v>
      </c>
      <c r="M3381" s="70">
        <f>CurrentMtgRatesDataTable8[[#This Row],[Servicing Spread Non-Zero]]-L3380</f>
        <v>0</v>
      </c>
      <c r="N3381" s="70">
        <f>IF(J3380&lt;&gt;0,CurrentMtgRatesDataTable8[[#This Row],[Rate]]-C3380,N3380)</f>
        <v>-1.0000000000000231E-2</v>
      </c>
    </row>
    <row r="3382" spans="1:14">
      <c r="A3382" s="67" t="s">
        <v>1346</v>
      </c>
      <c r="B3382" s="68">
        <v>2.9230211048442398</v>
      </c>
      <c r="C3382" s="69">
        <v>3.8149999999999999</v>
      </c>
      <c r="D3382" s="70">
        <f t="shared" si="364"/>
        <v>7</v>
      </c>
      <c r="E3382" s="70">
        <f t="shared" si="365"/>
        <v>0.2</v>
      </c>
      <c r="F3382" s="70">
        <f t="shared" si="366"/>
        <v>4</v>
      </c>
      <c r="G3382" s="70">
        <f t="shared" si="367"/>
        <v>2.3586823713258562</v>
      </c>
      <c r="H3382" s="70">
        <f t="shared" si="368"/>
        <v>0.8</v>
      </c>
      <c r="I3382" s="70">
        <f t="shared" si="369"/>
        <v>1</v>
      </c>
      <c r="J3382" s="70">
        <f t="shared" si="370"/>
        <v>2.9483529641573201</v>
      </c>
      <c r="K3382" s="70">
        <f>IF(CurrentMtgRatesDataTable8[[#This Row],[WA CC]]&lt;&gt;0,C3381-CurrentMtgRatesDataTable8[[#This Row],[WA CC]],0)</f>
        <v>0.86664703584267988</v>
      </c>
      <c r="L3382" s="70">
        <f>IF(CurrentMtgRatesDataTable8[[#This Row],[Servicing Spread]]&lt;=0,L3381,CurrentMtgRatesDataTable8[[#This Row],[Servicing Spread]])</f>
        <v>0.86664703584267988</v>
      </c>
      <c r="M3382" s="70">
        <f>CurrentMtgRatesDataTable8[[#This Row],[Servicing Spread Non-Zero]]-L3381</f>
        <v>2.3926556185139614E-2</v>
      </c>
      <c r="N3382" s="70">
        <f>IF(J3381&lt;&gt;0,CurrentMtgRatesDataTable8[[#This Row],[Rate]]-C3381,N3381)</f>
        <v>-1.0000000000000231E-2</v>
      </c>
    </row>
    <row r="3383" spans="1:14">
      <c r="A3383" s="67" t="s">
        <v>1347</v>
      </c>
      <c r="B3383" s="68">
        <v>2.9488855063004098</v>
      </c>
      <c r="C3383" s="69">
        <v>3.7650000000000001</v>
      </c>
      <c r="D3383" s="70">
        <f t="shared" si="364"/>
        <v>1</v>
      </c>
      <c r="E3383" s="70">
        <f t="shared" si="365"/>
        <v>0.2</v>
      </c>
      <c r="F3383" s="70">
        <f t="shared" si="366"/>
        <v>1</v>
      </c>
      <c r="G3383" s="70">
        <f t="shared" si="367"/>
        <v>0.58977710126008198</v>
      </c>
      <c r="H3383" s="70">
        <f t="shared" si="368"/>
        <v>0.2</v>
      </c>
      <c r="I3383" s="70">
        <f t="shared" si="369"/>
        <v>0</v>
      </c>
      <c r="J3383" s="70">
        <f t="shared" si="370"/>
        <v>0</v>
      </c>
      <c r="K3383" s="70">
        <f>IF(CurrentMtgRatesDataTable8[[#This Row],[WA CC]]&lt;&gt;0,C3382-CurrentMtgRatesDataTable8[[#This Row],[WA CC]],0)</f>
        <v>0</v>
      </c>
      <c r="L3383" s="70">
        <f>IF(CurrentMtgRatesDataTable8[[#This Row],[Servicing Spread]]&lt;=0,L3382,CurrentMtgRatesDataTable8[[#This Row],[Servicing Spread]])</f>
        <v>0.86664703584267988</v>
      </c>
      <c r="M3383" s="70">
        <f>CurrentMtgRatesDataTable8[[#This Row],[Servicing Spread Non-Zero]]-L3382</f>
        <v>0</v>
      </c>
      <c r="N3383" s="70">
        <f>IF(J3382&lt;&gt;0,CurrentMtgRatesDataTable8[[#This Row],[Rate]]-C3382,N3382)</f>
        <v>-4.9999999999999822E-2</v>
      </c>
    </row>
    <row r="3384" spans="1:14">
      <c r="A3384" s="67" t="s">
        <v>1348</v>
      </c>
      <c r="B3384" s="68">
        <v>2.90078451779174</v>
      </c>
      <c r="C3384" s="69">
        <v>3.7650000000000001</v>
      </c>
      <c r="D3384" s="70">
        <f t="shared" si="364"/>
        <v>2</v>
      </c>
      <c r="E3384" s="70">
        <f t="shared" si="365"/>
        <v>0.2</v>
      </c>
      <c r="F3384" s="70">
        <f t="shared" si="366"/>
        <v>2</v>
      </c>
      <c r="G3384" s="70">
        <f t="shared" si="367"/>
        <v>1.1699340048184301</v>
      </c>
      <c r="H3384" s="70">
        <f t="shared" si="368"/>
        <v>0.4</v>
      </c>
      <c r="I3384" s="70">
        <f t="shared" si="369"/>
        <v>0</v>
      </c>
      <c r="J3384" s="70">
        <f t="shared" si="370"/>
        <v>0</v>
      </c>
      <c r="K3384" s="70">
        <f>IF(CurrentMtgRatesDataTable8[[#This Row],[WA CC]]&lt;&gt;0,C3383-CurrentMtgRatesDataTable8[[#This Row],[WA CC]],0)</f>
        <v>0</v>
      </c>
      <c r="L3384" s="70">
        <f>IF(CurrentMtgRatesDataTable8[[#This Row],[Servicing Spread]]&lt;=0,L3383,CurrentMtgRatesDataTable8[[#This Row],[Servicing Spread]])</f>
        <v>0.86664703584267988</v>
      </c>
      <c r="M3384" s="70">
        <f>CurrentMtgRatesDataTable8[[#This Row],[Servicing Spread Non-Zero]]-L3383</f>
        <v>0</v>
      </c>
      <c r="N3384" s="70">
        <f>IF(J3383&lt;&gt;0,CurrentMtgRatesDataTable8[[#This Row],[Rate]]-C3383,N3383)</f>
        <v>-4.9999999999999822E-2</v>
      </c>
    </row>
    <row r="3385" spans="1:14">
      <c r="A3385" s="67" t="s">
        <v>1349</v>
      </c>
      <c r="B3385" s="68">
        <v>2.9134061518930401</v>
      </c>
      <c r="C3385" s="69">
        <v>3.7650000000000001</v>
      </c>
      <c r="D3385" s="70">
        <f t="shared" si="364"/>
        <v>5</v>
      </c>
      <c r="E3385" s="70">
        <f t="shared" si="365"/>
        <v>0.2</v>
      </c>
      <c r="F3385" s="70">
        <f t="shared" si="366"/>
        <v>3</v>
      </c>
      <c r="G3385" s="70">
        <f t="shared" si="367"/>
        <v>1.7526152351970383</v>
      </c>
      <c r="H3385" s="70">
        <f t="shared" si="368"/>
        <v>0.60000000000000009</v>
      </c>
      <c r="I3385" s="70">
        <f t="shared" si="369"/>
        <v>0</v>
      </c>
      <c r="J3385" s="70">
        <f t="shared" si="370"/>
        <v>0</v>
      </c>
      <c r="K3385" s="70">
        <f>IF(CurrentMtgRatesDataTable8[[#This Row],[WA CC]]&lt;&gt;0,C3384-CurrentMtgRatesDataTable8[[#This Row],[WA CC]],0)</f>
        <v>0</v>
      </c>
      <c r="L3385" s="70">
        <f>IF(CurrentMtgRatesDataTable8[[#This Row],[Servicing Spread]]&lt;=0,L3384,CurrentMtgRatesDataTable8[[#This Row],[Servicing Spread]])</f>
        <v>0.86664703584267988</v>
      </c>
      <c r="M3385" s="70">
        <f>CurrentMtgRatesDataTable8[[#This Row],[Servicing Spread Non-Zero]]-L3384</f>
        <v>0</v>
      </c>
      <c r="N3385" s="70">
        <f>IF(J3384&lt;&gt;0,CurrentMtgRatesDataTable8[[#This Row],[Rate]]-C3384,N3384)</f>
        <v>-4.9999999999999822E-2</v>
      </c>
    </row>
    <row r="3386" spans="1:14">
      <c r="A3386" s="67" t="s">
        <v>1350</v>
      </c>
      <c r="B3386" s="68">
        <v>2.87725867553146</v>
      </c>
      <c r="C3386" s="69">
        <v>3.7650000000000001</v>
      </c>
      <c r="D3386" s="70">
        <f t="shared" si="364"/>
        <v>6</v>
      </c>
      <c r="E3386" s="70">
        <f t="shared" si="365"/>
        <v>0.2</v>
      </c>
      <c r="F3386" s="70">
        <f t="shared" si="366"/>
        <v>4</v>
      </c>
      <c r="G3386" s="70">
        <f t="shared" si="367"/>
        <v>2.3280669703033303</v>
      </c>
      <c r="H3386" s="70">
        <f t="shared" si="368"/>
        <v>0.8</v>
      </c>
      <c r="I3386" s="70">
        <f t="shared" si="369"/>
        <v>0</v>
      </c>
      <c r="J3386" s="70">
        <f t="shared" si="370"/>
        <v>0</v>
      </c>
      <c r="K3386" s="70">
        <f>IF(CurrentMtgRatesDataTable8[[#This Row],[WA CC]]&lt;&gt;0,C3385-CurrentMtgRatesDataTable8[[#This Row],[WA CC]],0)</f>
        <v>0</v>
      </c>
      <c r="L3386" s="70">
        <f>IF(CurrentMtgRatesDataTable8[[#This Row],[Servicing Spread]]&lt;=0,L3385,CurrentMtgRatesDataTable8[[#This Row],[Servicing Spread]])</f>
        <v>0.86664703584267988</v>
      </c>
      <c r="M3386" s="70">
        <f>CurrentMtgRatesDataTable8[[#This Row],[Servicing Spread Non-Zero]]-L3385</f>
        <v>0</v>
      </c>
      <c r="N3386" s="70">
        <f>IF(J3385&lt;&gt;0,CurrentMtgRatesDataTable8[[#This Row],[Rate]]-C3385,N3385)</f>
        <v>-4.9999999999999822E-2</v>
      </c>
    </row>
    <row r="3387" spans="1:14">
      <c r="A3387" s="67" t="s">
        <v>1351</v>
      </c>
      <c r="B3387" s="68">
        <v>2.9007963657703</v>
      </c>
      <c r="C3387" s="69">
        <v>3.7650000000000001</v>
      </c>
      <c r="D3387" s="70">
        <f t="shared" si="364"/>
        <v>7</v>
      </c>
      <c r="E3387" s="70">
        <f t="shared" si="365"/>
        <v>0.2</v>
      </c>
      <c r="F3387" s="70">
        <f t="shared" si="366"/>
        <v>5</v>
      </c>
      <c r="G3387" s="70">
        <f t="shared" si="367"/>
        <v>2.9082262434573902</v>
      </c>
      <c r="H3387" s="70">
        <f t="shared" si="368"/>
        <v>1</v>
      </c>
      <c r="I3387" s="70">
        <f t="shared" si="369"/>
        <v>1</v>
      </c>
      <c r="J3387" s="70">
        <f t="shared" si="370"/>
        <v>2.9082262434573902</v>
      </c>
      <c r="K3387" s="70">
        <f>IF(CurrentMtgRatesDataTable8[[#This Row],[WA CC]]&lt;&gt;0,C3386-CurrentMtgRatesDataTable8[[#This Row],[WA CC]],0)</f>
        <v>0.8567737565426099</v>
      </c>
      <c r="L3387" s="70">
        <f>IF(CurrentMtgRatesDataTable8[[#This Row],[Servicing Spread]]&lt;=0,L3386,CurrentMtgRatesDataTable8[[#This Row],[Servicing Spread]])</f>
        <v>0.8567737565426099</v>
      </c>
      <c r="M3387" s="70">
        <f>CurrentMtgRatesDataTable8[[#This Row],[Servicing Spread Non-Zero]]-L3386</f>
        <v>-9.8732793000699814E-3</v>
      </c>
      <c r="N3387" s="70">
        <f>IF(J3386&lt;&gt;0,CurrentMtgRatesDataTable8[[#This Row],[Rate]]-C3386,N3386)</f>
        <v>-4.9999999999999822E-2</v>
      </c>
    </row>
    <row r="3388" spans="1:14">
      <c r="A3388" s="67" t="s">
        <v>1352</v>
      </c>
      <c r="B3388" s="68">
        <v>2.90843617288568</v>
      </c>
      <c r="C3388" s="69">
        <v>3.7850000000000001</v>
      </c>
      <c r="D3388" s="70">
        <f t="shared" si="364"/>
        <v>1</v>
      </c>
      <c r="E3388" s="70">
        <f t="shared" si="365"/>
        <v>0.2</v>
      </c>
      <c r="F3388" s="70">
        <f t="shared" si="366"/>
        <v>1</v>
      </c>
      <c r="G3388" s="70">
        <f t="shared" si="367"/>
        <v>0.581687234577136</v>
      </c>
      <c r="H3388" s="70">
        <f t="shared" si="368"/>
        <v>0.2</v>
      </c>
      <c r="I3388" s="70">
        <f t="shared" si="369"/>
        <v>0</v>
      </c>
      <c r="J3388" s="70">
        <f t="shared" si="370"/>
        <v>0</v>
      </c>
      <c r="K3388" s="70">
        <f>IF(CurrentMtgRatesDataTable8[[#This Row],[WA CC]]&lt;&gt;0,C3387-CurrentMtgRatesDataTable8[[#This Row],[WA CC]],0)</f>
        <v>0</v>
      </c>
      <c r="L3388" s="70">
        <f>IF(CurrentMtgRatesDataTable8[[#This Row],[Servicing Spread]]&lt;=0,L3387,CurrentMtgRatesDataTable8[[#This Row],[Servicing Spread]])</f>
        <v>0.8567737565426099</v>
      </c>
      <c r="M3388" s="70">
        <f>CurrentMtgRatesDataTable8[[#This Row],[Servicing Spread Non-Zero]]-L3387</f>
        <v>0</v>
      </c>
      <c r="N3388" s="70">
        <f>IF(J3387&lt;&gt;0,CurrentMtgRatesDataTable8[[#This Row],[Rate]]-C3387,N3387)</f>
        <v>2.0000000000000018E-2</v>
      </c>
    </row>
    <row r="3389" spans="1:14">
      <c r="A3389" s="67" t="s">
        <v>1353</v>
      </c>
      <c r="B3389" s="68">
        <v>2.9249537323478201</v>
      </c>
      <c r="C3389" s="69">
        <v>3.7850000000000001</v>
      </c>
      <c r="D3389" s="70">
        <f t="shared" si="364"/>
        <v>2</v>
      </c>
      <c r="E3389" s="70">
        <f t="shared" si="365"/>
        <v>0.2</v>
      </c>
      <c r="F3389" s="70">
        <f t="shared" si="366"/>
        <v>2</v>
      </c>
      <c r="G3389" s="70">
        <f t="shared" si="367"/>
        <v>1.1666779810467001</v>
      </c>
      <c r="H3389" s="70">
        <f t="shared" si="368"/>
        <v>0.4</v>
      </c>
      <c r="I3389" s="70">
        <f t="shared" si="369"/>
        <v>0</v>
      </c>
      <c r="J3389" s="70">
        <f t="shared" si="370"/>
        <v>0</v>
      </c>
      <c r="K3389" s="70">
        <f>IF(CurrentMtgRatesDataTable8[[#This Row],[WA CC]]&lt;&gt;0,C3388-CurrentMtgRatesDataTable8[[#This Row],[WA CC]],0)</f>
        <v>0</v>
      </c>
      <c r="L3389" s="70">
        <f>IF(CurrentMtgRatesDataTable8[[#This Row],[Servicing Spread]]&lt;=0,L3388,CurrentMtgRatesDataTable8[[#This Row],[Servicing Spread]])</f>
        <v>0.8567737565426099</v>
      </c>
      <c r="M3389" s="70">
        <f>CurrentMtgRatesDataTable8[[#This Row],[Servicing Spread Non-Zero]]-L3388</f>
        <v>0</v>
      </c>
      <c r="N3389" s="70">
        <f>IF(J3388&lt;&gt;0,CurrentMtgRatesDataTable8[[#This Row],[Rate]]-C3388,N3388)</f>
        <v>2.0000000000000018E-2</v>
      </c>
    </row>
    <row r="3390" spans="1:14">
      <c r="A3390" s="67" t="s">
        <v>1354</v>
      </c>
      <c r="B3390" s="68">
        <v>2.94258560480931</v>
      </c>
      <c r="C3390" s="69">
        <v>3.7850000000000001</v>
      </c>
      <c r="D3390" s="70">
        <f t="shared" si="364"/>
        <v>5</v>
      </c>
      <c r="E3390" s="70">
        <f t="shared" si="365"/>
        <v>0.2</v>
      </c>
      <c r="F3390" s="70">
        <f t="shared" si="366"/>
        <v>3</v>
      </c>
      <c r="G3390" s="70">
        <f t="shared" si="367"/>
        <v>1.7551951020085621</v>
      </c>
      <c r="H3390" s="70">
        <f t="shared" si="368"/>
        <v>0.60000000000000009</v>
      </c>
      <c r="I3390" s="70">
        <f t="shared" si="369"/>
        <v>0</v>
      </c>
      <c r="J3390" s="70">
        <f t="shared" si="370"/>
        <v>0</v>
      </c>
      <c r="K3390" s="70">
        <f>IF(CurrentMtgRatesDataTable8[[#This Row],[WA CC]]&lt;&gt;0,C3389-CurrentMtgRatesDataTable8[[#This Row],[WA CC]],0)</f>
        <v>0</v>
      </c>
      <c r="L3390" s="70">
        <f>IF(CurrentMtgRatesDataTable8[[#This Row],[Servicing Spread]]&lt;=0,L3389,CurrentMtgRatesDataTable8[[#This Row],[Servicing Spread]])</f>
        <v>0.8567737565426099</v>
      </c>
      <c r="M3390" s="70">
        <f>CurrentMtgRatesDataTable8[[#This Row],[Servicing Spread Non-Zero]]-L3389</f>
        <v>0</v>
      </c>
      <c r="N3390" s="70">
        <f>IF(J3389&lt;&gt;0,CurrentMtgRatesDataTable8[[#This Row],[Rate]]-C3389,N3389)</f>
        <v>2.0000000000000018E-2</v>
      </c>
    </row>
    <row r="3391" spans="1:14">
      <c r="A3391" s="67" t="s">
        <v>1355</v>
      </c>
      <c r="B3391" s="68">
        <v>2.9398654916265299</v>
      </c>
      <c r="C3391" s="69">
        <v>3.7850000000000001</v>
      </c>
      <c r="D3391" s="70">
        <f t="shared" si="364"/>
        <v>6</v>
      </c>
      <c r="E3391" s="70">
        <f t="shared" si="365"/>
        <v>0.2</v>
      </c>
      <c r="F3391" s="70">
        <f t="shared" si="366"/>
        <v>4</v>
      </c>
      <c r="G3391" s="70">
        <f t="shared" si="367"/>
        <v>2.3431682003338681</v>
      </c>
      <c r="H3391" s="70">
        <f t="shared" si="368"/>
        <v>0.8</v>
      </c>
      <c r="I3391" s="70">
        <f t="shared" si="369"/>
        <v>0</v>
      </c>
      <c r="J3391" s="70">
        <f t="shared" si="370"/>
        <v>0</v>
      </c>
      <c r="K3391" s="70">
        <f>IF(CurrentMtgRatesDataTable8[[#This Row],[WA CC]]&lt;&gt;0,C3390-CurrentMtgRatesDataTable8[[#This Row],[WA CC]],0)</f>
        <v>0</v>
      </c>
      <c r="L3391" s="70">
        <f>IF(CurrentMtgRatesDataTable8[[#This Row],[Servicing Spread]]&lt;=0,L3390,CurrentMtgRatesDataTable8[[#This Row],[Servicing Spread]])</f>
        <v>0.8567737565426099</v>
      </c>
      <c r="M3391" s="70">
        <f>CurrentMtgRatesDataTable8[[#This Row],[Servicing Spread Non-Zero]]-L3390</f>
        <v>0</v>
      </c>
      <c r="N3391" s="70">
        <f>IF(J3390&lt;&gt;0,CurrentMtgRatesDataTable8[[#This Row],[Rate]]-C3390,N3390)</f>
        <v>2.0000000000000018E-2</v>
      </c>
    </row>
    <row r="3392" spans="1:14">
      <c r="A3392" s="67" t="s">
        <v>1356</v>
      </c>
      <c r="B3392" s="68">
        <v>2.8752948215848</v>
      </c>
      <c r="C3392" s="69">
        <v>3.7850000000000001</v>
      </c>
      <c r="D3392" s="70">
        <f t="shared" si="364"/>
        <v>7</v>
      </c>
      <c r="E3392" s="70">
        <f t="shared" si="365"/>
        <v>0.2</v>
      </c>
      <c r="F3392" s="70">
        <f t="shared" si="366"/>
        <v>5</v>
      </c>
      <c r="G3392" s="70">
        <f t="shared" si="367"/>
        <v>2.918227164650828</v>
      </c>
      <c r="H3392" s="70">
        <f t="shared" si="368"/>
        <v>1</v>
      </c>
      <c r="I3392" s="70">
        <f t="shared" si="369"/>
        <v>1</v>
      </c>
      <c r="J3392" s="70">
        <f t="shared" si="370"/>
        <v>2.918227164650828</v>
      </c>
      <c r="K3392" s="70">
        <f>IF(CurrentMtgRatesDataTable8[[#This Row],[WA CC]]&lt;&gt;0,C3391-CurrentMtgRatesDataTable8[[#This Row],[WA CC]],0)</f>
        <v>0.86677283534917215</v>
      </c>
      <c r="L3392" s="70">
        <f>IF(CurrentMtgRatesDataTable8[[#This Row],[Servicing Spread]]&lt;=0,L3391,CurrentMtgRatesDataTable8[[#This Row],[Servicing Spread]])</f>
        <v>0.86677283534917215</v>
      </c>
      <c r="M3392" s="70">
        <f>CurrentMtgRatesDataTable8[[#This Row],[Servicing Spread Non-Zero]]-L3391</f>
        <v>9.999078806562256E-3</v>
      </c>
      <c r="N3392" s="70">
        <f>IF(J3391&lt;&gt;0,CurrentMtgRatesDataTable8[[#This Row],[Rate]]-C3391,N3391)</f>
        <v>2.0000000000000018E-2</v>
      </c>
    </row>
    <row r="3393" spans="1:4">
      <c r="A3393" s="7"/>
      <c r="B3393" s="7"/>
      <c r="C3393" s="7"/>
      <c r="D3393" s="7"/>
    </row>
    <row r="3394" spans="1:4">
      <c r="A3394" s="7"/>
      <c r="B3394" s="7"/>
      <c r="C3394" s="7"/>
      <c r="D3394" s="7"/>
    </row>
    <row r="3395" spans="1:4">
      <c r="A3395" s="7"/>
      <c r="B3395" s="7"/>
      <c r="C3395" s="7"/>
      <c r="D3395" s="7"/>
    </row>
    <row r="3396" spans="1:4">
      <c r="A3396" s="7"/>
      <c r="B3396" s="7"/>
      <c r="C3396" s="7"/>
      <c r="D3396" s="7"/>
    </row>
    <row r="3397" spans="1:4">
      <c r="A3397" s="7"/>
      <c r="B3397" s="7"/>
      <c r="C3397" s="7"/>
      <c r="D3397" s="7"/>
    </row>
    <row r="3398" spans="1:4">
      <c r="A3398" s="7"/>
      <c r="B3398" s="7"/>
      <c r="C3398" s="7"/>
      <c r="D3398" s="7"/>
    </row>
    <row r="3399" spans="1:4">
      <c r="A3399" s="7"/>
      <c r="B3399" s="7"/>
      <c r="C3399" s="7"/>
      <c r="D3399" s="7"/>
    </row>
    <row r="3400" spans="1:4">
      <c r="A3400" s="7"/>
      <c r="B3400" s="7"/>
      <c r="C3400" s="7"/>
      <c r="D3400" s="7"/>
    </row>
    <row r="3401" spans="1:4">
      <c r="A3401" s="7"/>
      <c r="B3401" s="7"/>
      <c r="C3401" s="7"/>
      <c r="D3401" s="7"/>
    </row>
    <row r="3402" spans="1:4">
      <c r="A3402" s="7"/>
      <c r="B3402" s="7"/>
      <c r="C3402" s="7"/>
      <c r="D3402" s="7"/>
    </row>
    <row r="3403" spans="1:4">
      <c r="A3403" s="7"/>
      <c r="B3403" s="7"/>
      <c r="C3403" s="7"/>
      <c r="D3403" s="7"/>
    </row>
    <row r="3404" spans="1:4">
      <c r="A3404" s="7"/>
      <c r="B3404" s="7"/>
      <c r="C3404" s="7"/>
      <c r="D3404" s="7"/>
    </row>
    <row r="3405" spans="1:4">
      <c r="A3405" s="7"/>
      <c r="B3405" s="7"/>
      <c r="C3405" s="7"/>
      <c r="D3405" s="7"/>
    </row>
    <row r="3406" spans="1:4">
      <c r="A3406" s="7"/>
      <c r="B3406" s="7"/>
      <c r="C3406" s="7"/>
      <c r="D3406" s="7"/>
    </row>
    <row r="3407" spans="1:4">
      <c r="A3407" s="7"/>
      <c r="B3407" s="7"/>
      <c r="C3407" s="7"/>
      <c r="D3407" s="7"/>
    </row>
    <row r="3408" spans="1:4">
      <c r="A3408" s="7"/>
      <c r="B3408" s="7"/>
      <c r="C3408" s="7"/>
      <c r="D3408" s="7"/>
    </row>
    <row r="3409" spans="1:4">
      <c r="A3409" s="7"/>
      <c r="B3409" s="7"/>
      <c r="C3409" s="7"/>
      <c r="D3409" s="7"/>
    </row>
    <row r="3410" spans="1:4">
      <c r="A3410" s="7"/>
      <c r="B3410" s="7"/>
      <c r="C3410" s="7"/>
      <c r="D3410" s="7"/>
    </row>
    <row r="3411" spans="1:4">
      <c r="A3411" s="7"/>
      <c r="B3411" s="7"/>
      <c r="C3411" s="7"/>
      <c r="D3411" s="7"/>
    </row>
    <row r="3412" spans="1:4">
      <c r="A3412" s="7"/>
      <c r="B3412" s="7"/>
      <c r="C3412" s="7"/>
      <c r="D3412" s="7"/>
    </row>
    <row r="3413" spans="1:4">
      <c r="A3413" s="7"/>
      <c r="B3413" s="7"/>
      <c r="C3413" s="7"/>
      <c r="D3413" s="7"/>
    </row>
    <row r="3414" spans="1:4">
      <c r="A3414" s="7"/>
      <c r="B3414" s="7"/>
      <c r="C3414" s="7"/>
      <c r="D3414" s="7"/>
    </row>
    <row r="3415" spans="1:4">
      <c r="A3415" s="7"/>
      <c r="B3415" s="7"/>
      <c r="C3415" s="7"/>
      <c r="D3415" s="7"/>
    </row>
    <row r="3416" spans="1:4">
      <c r="A3416" s="7"/>
      <c r="B3416" s="7"/>
      <c r="C3416" s="7"/>
      <c r="D3416" s="7"/>
    </row>
    <row r="3417" spans="1:4">
      <c r="A3417" s="7"/>
      <c r="B3417" s="7"/>
      <c r="C3417" s="7"/>
      <c r="D3417" s="7"/>
    </row>
    <row r="3418" spans="1:4">
      <c r="A3418" s="7"/>
      <c r="B3418" s="7"/>
      <c r="C3418" s="7"/>
      <c r="D3418" s="7"/>
    </row>
    <row r="3419" spans="1:4">
      <c r="A3419" s="7"/>
      <c r="B3419" s="7"/>
      <c r="C3419" s="7"/>
      <c r="D3419" s="7"/>
    </row>
    <row r="3420" spans="1:4">
      <c r="A3420" s="7"/>
      <c r="B3420" s="7"/>
      <c r="C3420" s="7"/>
      <c r="D3420" s="7"/>
    </row>
    <row r="3421" spans="1:4">
      <c r="A3421" s="7"/>
      <c r="B3421" s="7"/>
      <c r="C3421" s="7"/>
      <c r="D3421" s="7"/>
    </row>
    <row r="3422" spans="1:4">
      <c r="A3422" s="7"/>
      <c r="B3422" s="7"/>
      <c r="C3422" s="7"/>
      <c r="D3422" s="7"/>
    </row>
    <row r="3423" spans="1:4">
      <c r="A3423" s="7"/>
      <c r="B3423" s="7"/>
      <c r="C3423" s="7"/>
      <c r="D3423" s="7"/>
    </row>
    <row r="3424" spans="1:4">
      <c r="A3424" s="7"/>
      <c r="B3424" s="7"/>
      <c r="C3424" s="7"/>
      <c r="D3424" s="7"/>
    </row>
    <row r="3425" spans="1:4">
      <c r="A3425" s="7"/>
      <c r="B3425" s="7"/>
      <c r="C3425" s="7"/>
      <c r="D3425" s="7"/>
    </row>
    <row r="3426" spans="1:4">
      <c r="A3426" s="7"/>
      <c r="B3426" s="7"/>
      <c r="C3426" s="7"/>
      <c r="D3426" s="7"/>
    </row>
    <row r="3427" spans="1:4">
      <c r="A3427" s="7"/>
      <c r="B3427" s="7"/>
      <c r="C3427" s="7"/>
      <c r="D3427" s="7"/>
    </row>
    <row r="3428" spans="1:4">
      <c r="A3428" s="7"/>
      <c r="B3428" s="7"/>
      <c r="C3428" s="7"/>
      <c r="D3428" s="7"/>
    </row>
    <row r="3429" spans="1:4">
      <c r="A3429" s="7"/>
      <c r="B3429" s="7"/>
      <c r="C3429" s="7"/>
      <c r="D3429" s="7"/>
    </row>
    <row r="3430" spans="1:4">
      <c r="A3430" s="7"/>
      <c r="B3430" s="7"/>
      <c r="C3430" s="7"/>
      <c r="D3430" s="7"/>
    </row>
    <row r="3431" spans="1:4">
      <c r="A3431" s="7"/>
      <c r="B3431" s="7"/>
      <c r="C3431" s="7"/>
      <c r="D3431" s="7"/>
    </row>
    <row r="3432" spans="1:4">
      <c r="A3432" s="7"/>
      <c r="B3432" s="7"/>
      <c r="C3432" s="7"/>
      <c r="D3432" s="7"/>
    </row>
    <row r="3433" spans="1:4">
      <c r="A3433" s="7"/>
      <c r="B3433" s="7"/>
      <c r="C3433" s="7"/>
      <c r="D3433" s="9"/>
    </row>
    <row r="3434" spans="1:4">
      <c r="A3434" s="9"/>
      <c r="B3434" s="9"/>
      <c r="C3434" s="9"/>
      <c r="D3434" s="9"/>
    </row>
    <row r="3435" spans="1:4">
      <c r="A3435" s="9"/>
      <c r="B3435" s="9"/>
      <c r="C3435" s="9"/>
      <c r="D3435" s="9"/>
    </row>
    <row r="3436" spans="1:4">
      <c r="A3436" s="9"/>
      <c r="B3436" s="9"/>
      <c r="C3436" s="9"/>
      <c r="D3436" s="9"/>
    </row>
    <row r="3437" spans="1:4">
      <c r="A3437" s="9"/>
      <c r="B3437" s="9"/>
      <c r="C3437" s="9"/>
      <c r="D3437" s="9"/>
    </row>
    <row r="3438" spans="1:4">
      <c r="A3438" s="9"/>
      <c r="B3438" s="9"/>
      <c r="C3438" s="9"/>
      <c r="D3438" s="9"/>
    </row>
    <row r="3439" spans="1:4">
      <c r="A3439" s="9"/>
      <c r="B3439" s="9"/>
      <c r="C3439" s="9"/>
      <c r="D3439" s="9"/>
    </row>
    <row r="3440" spans="1:4">
      <c r="A3440" s="9"/>
      <c r="B3440" s="9"/>
      <c r="C3440" s="9"/>
      <c r="D3440" s="9"/>
    </row>
    <row r="3441" spans="1:4">
      <c r="A3441" s="9"/>
      <c r="B3441" s="9"/>
      <c r="C3441" s="9"/>
      <c r="D3441" s="9"/>
    </row>
    <row r="3442" spans="1:4">
      <c r="A3442" s="9"/>
      <c r="B3442" s="9"/>
      <c r="C3442" s="9"/>
      <c r="D3442" s="9"/>
    </row>
    <row r="3443" spans="1:4">
      <c r="A3443" s="9"/>
      <c r="B3443" s="9"/>
      <c r="C3443" s="9"/>
      <c r="D3443" s="9"/>
    </row>
    <row r="3444" spans="1:4">
      <c r="A3444" s="9"/>
      <c r="B3444" s="9"/>
      <c r="C3444" s="9"/>
      <c r="D3444" s="9"/>
    </row>
    <row r="3445" spans="1:4">
      <c r="A3445" s="9"/>
      <c r="B3445" s="9"/>
      <c r="C3445" s="9"/>
      <c r="D3445" s="9"/>
    </row>
    <row r="3446" spans="1:4">
      <c r="A3446" s="9"/>
      <c r="B3446" s="9"/>
      <c r="C3446" s="9"/>
      <c r="D3446" s="9"/>
    </row>
    <row r="3447" spans="1:4">
      <c r="A3447" s="9"/>
      <c r="B3447" s="9"/>
      <c r="C3447" s="9"/>
      <c r="D3447" s="9"/>
    </row>
    <row r="3448" spans="1:4">
      <c r="A3448" s="9"/>
      <c r="B3448" s="9"/>
      <c r="C3448" s="9"/>
      <c r="D3448" s="9"/>
    </row>
    <row r="3449" spans="1:4">
      <c r="A3449" s="9"/>
      <c r="B3449" s="9"/>
      <c r="C3449" s="9"/>
      <c r="D3449" s="9"/>
    </row>
    <row r="3450" spans="1:4">
      <c r="A3450" s="9"/>
      <c r="B3450" s="9"/>
      <c r="C3450" s="9"/>
      <c r="D3450" s="9"/>
    </row>
    <row r="3451" spans="1:4">
      <c r="A3451" s="9"/>
      <c r="B3451" s="9"/>
      <c r="C3451" s="9"/>
      <c r="D3451" s="9"/>
    </row>
    <row r="3452" spans="1:4">
      <c r="A3452" s="9"/>
      <c r="B3452" s="9"/>
      <c r="C3452" s="9"/>
      <c r="D3452" s="9"/>
    </row>
    <row r="3453" spans="1:4">
      <c r="A3453" s="9"/>
      <c r="B3453" s="9"/>
      <c r="C3453" s="9"/>
      <c r="D3453" s="9"/>
    </row>
    <row r="3454" spans="1:4">
      <c r="A3454" s="9"/>
      <c r="B3454" s="9"/>
      <c r="C3454" s="9"/>
      <c r="D3454" s="9"/>
    </row>
    <row r="3455" spans="1:4">
      <c r="A3455" s="9"/>
      <c r="B3455" s="9"/>
      <c r="C3455" s="9"/>
      <c r="D3455" s="9"/>
    </row>
    <row r="3456" spans="1:4">
      <c r="A3456" s="9"/>
      <c r="B3456" s="9"/>
      <c r="C3456" s="9"/>
      <c r="D3456" s="9"/>
    </row>
    <row r="3457" spans="1:4">
      <c r="A3457" s="9"/>
      <c r="B3457" s="9"/>
      <c r="C3457" s="9"/>
      <c r="D3457" s="9"/>
    </row>
    <row r="3458" spans="1:4">
      <c r="A3458" s="9"/>
      <c r="B3458" s="9"/>
      <c r="C3458" s="9"/>
      <c r="D3458" s="9"/>
    </row>
    <row r="3459" spans="1:4">
      <c r="A3459" s="9"/>
      <c r="B3459" s="9"/>
      <c r="C3459" s="9"/>
      <c r="D3459" s="9"/>
    </row>
    <row r="3460" spans="1:4">
      <c r="A3460" s="9"/>
      <c r="B3460" s="9"/>
      <c r="C3460" s="9"/>
      <c r="D3460" s="9"/>
    </row>
    <row r="3461" spans="1:4">
      <c r="A3461" s="9"/>
      <c r="B3461" s="9"/>
      <c r="C3461" s="9"/>
      <c r="D3461" s="9"/>
    </row>
    <row r="3462" spans="1:4">
      <c r="A3462" s="9"/>
      <c r="B3462" s="9"/>
      <c r="C3462" s="9"/>
      <c r="D3462" s="9"/>
    </row>
    <row r="3463" spans="1:4">
      <c r="A3463" s="9"/>
      <c r="B3463" s="9"/>
      <c r="C3463" s="9"/>
      <c r="D3463" s="9"/>
    </row>
    <row r="3464" spans="1:4">
      <c r="A3464" s="9"/>
      <c r="B3464" s="9"/>
      <c r="C3464" s="9"/>
      <c r="D3464" s="9"/>
    </row>
    <row r="3465" spans="1:4">
      <c r="A3465" s="9"/>
      <c r="B3465" s="9"/>
      <c r="C3465" s="9"/>
      <c r="D3465" s="9"/>
    </row>
    <row r="3466" spans="1:4">
      <c r="A3466" s="9"/>
      <c r="B3466" s="9"/>
      <c r="C3466" s="9"/>
      <c r="D3466" s="9"/>
    </row>
    <row r="3467" spans="1:4">
      <c r="A3467" s="9"/>
      <c r="B3467" s="9"/>
      <c r="C3467" s="9"/>
      <c r="D3467" s="9"/>
    </row>
    <row r="3468" spans="1:4">
      <c r="A3468" s="9"/>
      <c r="B3468" s="9"/>
      <c r="C3468" s="9"/>
      <c r="D3468" s="9"/>
    </row>
    <row r="3469" spans="1:4">
      <c r="A3469" s="9"/>
      <c r="B3469" s="9"/>
      <c r="C3469" s="9"/>
      <c r="D3469" s="9"/>
    </row>
    <row r="3470" spans="1:4">
      <c r="A3470" s="9"/>
      <c r="B3470" s="9"/>
      <c r="C3470" s="9"/>
      <c r="D3470" s="9"/>
    </row>
    <row r="3471" spans="1:4">
      <c r="A3471" s="9"/>
      <c r="B3471" s="9"/>
      <c r="C3471" s="9"/>
      <c r="D3471" s="9"/>
    </row>
    <row r="3472" spans="1:4">
      <c r="A3472" s="9"/>
      <c r="B3472" s="9"/>
      <c r="C3472" s="9"/>
      <c r="D3472" s="9"/>
    </row>
    <row r="3473" spans="1:4">
      <c r="A3473" s="9"/>
      <c r="B3473" s="9"/>
      <c r="C3473" s="9"/>
      <c r="D3473" s="9"/>
    </row>
    <row r="3474" spans="1:4">
      <c r="A3474" s="9"/>
      <c r="B3474" s="9"/>
      <c r="C3474" s="9"/>
      <c r="D3474" s="9"/>
    </row>
    <row r="3475" spans="1:4">
      <c r="A3475" s="9"/>
      <c r="B3475" s="9"/>
      <c r="C3475" s="9"/>
      <c r="D3475" s="9"/>
    </row>
    <row r="3476" spans="1:4">
      <c r="A3476" s="9"/>
      <c r="B3476" s="9"/>
      <c r="C3476" s="9"/>
      <c r="D3476" s="9"/>
    </row>
    <row r="3477" spans="1:4">
      <c r="A3477" s="9"/>
      <c r="B3477" s="9"/>
      <c r="C3477" s="9"/>
      <c r="D3477" s="9"/>
    </row>
    <row r="3478" spans="1:4">
      <c r="A3478" s="9"/>
      <c r="B3478" s="9"/>
      <c r="C3478" s="9"/>
      <c r="D3478" s="9"/>
    </row>
    <row r="3479" spans="1:4">
      <c r="A3479" s="9"/>
      <c r="B3479" s="9"/>
      <c r="C3479" s="9"/>
      <c r="D3479" s="9"/>
    </row>
    <row r="3480" spans="1:4">
      <c r="A3480" s="9"/>
      <c r="B3480" s="9"/>
      <c r="C3480" s="9"/>
      <c r="D3480" s="9"/>
    </row>
    <row r="3481" spans="1:4">
      <c r="A3481" s="9"/>
      <c r="B3481" s="9"/>
      <c r="C3481" s="9"/>
      <c r="D3481" s="9"/>
    </row>
    <row r="3482" spans="1:4">
      <c r="A3482" s="9"/>
      <c r="B3482" s="9"/>
      <c r="C3482" s="9"/>
      <c r="D3482" s="9"/>
    </row>
    <row r="3483" spans="1:4">
      <c r="A3483" s="9"/>
      <c r="B3483" s="9"/>
      <c r="C3483" s="9"/>
      <c r="D3483" s="9"/>
    </row>
    <row r="3484" spans="1:4">
      <c r="A3484" s="9"/>
      <c r="B3484" s="9"/>
      <c r="C3484" s="9"/>
      <c r="D3484" s="9"/>
    </row>
    <row r="3485" spans="1:4">
      <c r="A3485" s="9"/>
      <c r="B3485" s="9"/>
      <c r="C3485" s="9"/>
      <c r="D3485" s="9"/>
    </row>
    <row r="3486" spans="1:4">
      <c r="A3486" s="9"/>
      <c r="B3486" s="9"/>
      <c r="C3486" s="9"/>
      <c r="D3486" s="9"/>
    </row>
    <row r="3487" spans="1:4">
      <c r="A3487" s="9"/>
      <c r="B3487" s="9"/>
      <c r="C3487" s="9"/>
      <c r="D3487" s="9"/>
    </row>
    <row r="3488" spans="1:4">
      <c r="A3488" s="9"/>
      <c r="B3488" s="9"/>
      <c r="C3488" s="9"/>
      <c r="D3488" s="9"/>
    </row>
    <row r="3489" spans="1:4">
      <c r="A3489" s="9"/>
      <c r="B3489" s="9"/>
      <c r="C3489" s="9"/>
      <c r="D3489" s="9"/>
    </row>
    <row r="3490" spans="1:4">
      <c r="A3490" s="9"/>
      <c r="B3490" s="9"/>
      <c r="C3490" s="9"/>
      <c r="D3490" s="9"/>
    </row>
    <row r="3491" spans="1:4">
      <c r="A3491" s="9"/>
      <c r="B3491" s="9"/>
      <c r="C3491" s="9"/>
      <c r="D3491" s="9"/>
    </row>
    <row r="3492" spans="1:4">
      <c r="A3492" s="9"/>
      <c r="B3492" s="9"/>
      <c r="C3492" s="9"/>
      <c r="D3492" s="9"/>
    </row>
    <row r="3493" spans="1:4">
      <c r="A3493" s="9"/>
      <c r="B3493" s="9"/>
      <c r="C3493" s="9"/>
      <c r="D3493" s="9"/>
    </row>
    <row r="3494" spans="1:4">
      <c r="A3494" s="9"/>
      <c r="B3494" s="9"/>
      <c r="C3494" s="9"/>
      <c r="D3494" s="9"/>
    </row>
    <row r="3495" spans="1:4">
      <c r="A3495" s="9"/>
      <c r="B3495" s="9"/>
      <c r="C3495" s="9"/>
      <c r="D3495" s="9"/>
    </row>
    <row r="3496" spans="1:4">
      <c r="A3496" s="9"/>
      <c r="B3496" s="9"/>
      <c r="C3496" s="9"/>
      <c r="D3496" s="9"/>
    </row>
    <row r="3497" spans="1:4">
      <c r="A3497" s="9"/>
      <c r="B3497" s="9"/>
      <c r="C3497" s="9"/>
      <c r="D3497" s="9"/>
    </row>
    <row r="3498" spans="1:4">
      <c r="A3498" s="9"/>
      <c r="B3498" s="9"/>
      <c r="C3498" s="9"/>
      <c r="D3498" s="9"/>
    </row>
    <row r="3499" spans="1:4">
      <c r="A3499" s="9"/>
      <c r="B3499" s="9"/>
      <c r="C3499" s="9"/>
      <c r="D3499" s="9"/>
    </row>
    <row r="3500" spans="1:4">
      <c r="A3500" s="9"/>
      <c r="B3500" s="9"/>
      <c r="C3500" s="9"/>
      <c r="D3500" s="9"/>
    </row>
    <row r="3501" spans="1:4">
      <c r="A3501" s="9"/>
      <c r="B3501" s="9"/>
      <c r="C3501" s="9"/>
      <c r="D3501" s="9"/>
    </row>
    <row r="3502" spans="1:4">
      <c r="A3502" s="9"/>
      <c r="B3502" s="9"/>
      <c r="C3502" s="9"/>
      <c r="D3502" s="9"/>
    </row>
    <row r="3503" spans="1:4">
      <c r="A3503" s="9"/>
      <c r="B3503" s="9"/>
      <c r="C3503" s="9"/>
      <c r="D3503" s="9"/>
    </row>
    <row r="3504" spans="1:4">
      <c r="A3504" s="9"/>
      <c r="B3504" s="9"/>
      <c r="C3504" s="9"/>
      <c r="D3504" s="9"/>
    </row>
    <row r="3505" spans="1:4">
      <c r="A3505" s="9"/>
      <c r="B3505" s="9"/>
      <c r="C3505" s="9"/>
      <c r="D3505" s="9"/>
    </row>
    <row r="3506" spans="1:4">
      <c r="A3506" s="9"/>
      <c r="B3506" s="9"/>
      <c r="C3506" s="9"/>
    </row>
  </sheetData>
  <conditionalFormatting sqref="G51:G61 K62:M92">
    <cfRule type="cellIs" dxfId="14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75"/>
  <sheetViews>
    <sheetView workbookViewId="0">
      <selection activeCell="F8" sqref="F8"/>
    </sheetView>
  </sheetViews>
  <sheetFormatPr defaultRowHeight="15"/>
  <cols>
    <col min="1" max="1" width="11.28515625" customWidth="1"/>
    <col min="2" max="2" width="18.28515625" bestFit="1" customWidth="1"/>
    <col min="3" max="3" width="23.7109375" bestFit="1" customWidth="1"/>
    <col min="4" max="4" width="17.28515625" bestFit="1" customWidth="1"/>
    <col min="5" max="5" width="6" bestFit="1" customWidth="1"/>
    <col min="6" max="6" width="13.140625" bestFit="1" customWidth="1"/>
    <col min="7" max="7" width="15" customWidth="1"/>
    <col min="8" max="8" width="19.28515625" bestFit="1" customWidth="1"/>
    <col min="9" max="9" width="4" bestFit="1" customWidth="1"/>
    <col min="10" max="13" width="6" bestFit="1" customWidth="1"/>
    <col min="14" max="14" width="9.5703125" bestFit="1" customWidth="1"/>
    <col min="15" max="15" width="10.42578125" bestFit="1" customWidth="1"/>
    <col min="16" max="16" width="5.5703125" bestFit="1" customWidth="1"/>
    <col min="17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16">
      <c r="A1" s="17" t="s">
        <v>1199</v>
      </c>
      <c r="B1" s="18">
        <v>1</v>
      </c>
      <c r="F1" s="17" t="s">
        <v>1199</v>
      </c>
      <c r="G1" s="18">
        <v>1</v>
      </c>
    </row>
    <row r="3" spans="1:16">
      <c r="B3" t="s">
        <v>731</v>
      </c>
      <c r="C3" t="s">
        <v>786</v>
      </c>
      <c r="F3" s="17" t="s">
        <v>776</v>
      </c>
      <c r="G3" t="s">
        <v>781</v>
      </c>
      <c r="H3" t="s">
        <v>777</v>
      </c>
      <c r="N3" t="s">
        <v>862</v>
      </c>
      <c r="O3" s="10" t="str">
        <f>TEXT(LastAvailableDate,"yyyy-mm-dd")</f>
        <v>2017-06-14</v>
      </c>
      <c r="P3">
        <f>VLOOKUP(O3,'Time Series Query'!A:K,10,0)</f>
        <v>2.918227164650828</v>
      </c>
    </row>
    <row r="4" spans="1:16">
      <c r="A4" s="18" t="s">
        <v>20</v>
      </c>
      <c r="B4" s="19">
        <v>3.8049999999999997</v>
      </c>
      <c r="C4" s="19">
        <v>0.85740605792428326</v>
      </c>
      <c r="F4" s="18" t="s">
        <v>1356</v>
      </c>
      <c r="G4" s="19">
        <v>2.0000000000000018E-2</v>
      </c>
      <c r="H4" s="19">
        <v>9.999078806562256E-3</v>
      </c>
    </row>
    <row r="5" spans="1:16">
      <c r="A5" s="18" t="s">
        <v>21</v>
      </c>
      <c r="B5" s="19">
        <v>3.85</v>
      </c>
      <c r="C5" s="19">
        <v>0.90892898726938398</v>
      </c>
      <c r="F5" s="18" t="s">
        <v>1351</v>
      </c>
      <c r="G5" s="19">
        <v>-4.9999999999999822E-2</v>
      </c>
      <c r="H5" s="19">
        <v>-9.8732793000699814E-3</v>
      </c>
    </row>
    <row r="6" spans="1:16">
      <c r="A6" s="18" t="s">
        <v>22</v>
      </c>
      <c r="B6" s="19">
        <v>3.8049999999999997</v>
      </c>
      <c r="C6" s="19">
        <v>0.90800277596573187</v>
      </c>
      <c r="F6" s="18" t="s">
        <v>1346</v>
      </c>
      <c r="G6" s="19">
        <v>-1.0000000000000231E-2</v>
      </c>
      <c r="H6" s="19">
        <v>2.3926556185139614E-2</v>
      </c>
    </row>
    <row r="7" spans="1:16">
      <c r="A7" s="18" t="s">
        <v>23</v>
      </c>
      <c r="B7" s="19">
        <v>3.79</v>
      </c>
      <c r="C7" s="19">
        <v>0.91262067011153603</v>
      </c>
      <c r="F7" s="18" t="s">
        <v>1342</v>
      </c>
      <c r="G7" s="19">
        <v>-6.9999999999999396E-2</v>
      </c>
      <c r="H7" s="19">
        <v>-1.2216088284067173E-2</v>
      </c>
    </row>
    <row r="8" spans="1:16">
      <c r="A8" s="18" t="s">
        <v>24</v>
      </c>
      <c r="B8" s="19">
        <v>3.7549999999999999</v>
      </c>
      <c r="C8" s="19">
        <v>0.90097138481057204</v>
      </c>
      <c r="F8" s="18" t="s">
        <v>1337</v>
      </c>
      <c r="G8" s="19">
        <v>-3.0000000000000249E-2</v>
      </c>
      <c r="H8" s="19">
        <v>3.2463317655321955E-2</v>
      </c>
    </row>
    <row r="9" spans="1:16">
      <c r="A9" s="18" t="s">
        <v>25</v>
      </c>
      <c r="B9" s="19">
        <v>3.7149999999999999</v>
      </c>
      <c r="C9" s="19">
        <v>0.93226042608146331</v>
      </c>
      <c r="F9" s="18" t="s">
        <v>1332</v>
      </c>
      <c r="G9" s="19">
        <v>3.0000000000000249E-2</v>
      </c>
      <c r="H9" s="19">
        <v>-3.6909168983644047E-2</v>
      </c>
    </row>
    <row r="10" spans="1:16">
      <c r="A10" s="18" t="s">
        <v>26</v>
      </c>
      <c r="B10" s="19">
        <v>3.73</v>
      </c>
      <c r="C10" s="19">
        <v>1.0123684617614601</v>
      </c>
      <c r="F10" s="18" t="s">
        <v>1327</v>
      </c>
      <c r="G10" s="19">
        <v>-1.0000000000000675E-2</v>
      </c>
      <c r="H10" s="19">
        <v>-1.8857327044368599E-2</v>
      </c>
    </row>
    <row r="11" spans="1:16">
      <c r="A11" s="18" t="s">
        <v>27</v>
      </c>
      <c r="B11" s="19">
        <v>3.7</v>
      </c>
      <c r="C11" s="19">
        <v>0.9549130523202578</v>
      </c>
      <c r="F11" s="18" t="s">
        <v>1322</v>
      </c>
      <c r="G11" s="19">
        <v>6.0000000000000053E-2</v>
      </c>
      <c r="H11" s="19">
        <v>-8.3464679083649074E-3</v>
      </c>
    </row>
    <row r="12" spans="1:16">
      <c r="A12" s="18" t="s">
        <v>28</v>
      </c>
      <c r="B12" s="19">
        <v>3.5949999999999998</v>
      </c>
      <c r="C12" s="19">
        <v>0.95912365236317143</v>
      </c>
      <c r="F12" s="18" t="s">
        <v>1317</v>
      </c>
      <c r="G12" s="19">
        <v>-0.10999999999999988</v>
      </c>
      <c r="H12" s="19">
        <v>9.9714750619410708E-3</v>
      </c>
    </row>
    <row r="13" spans="1:16">
      <c r="A13" s="18" t="s">
        <v>29</v>
      </c>
      <c r="B13" s="19">
        <v>3.6349999999999998</v>
      </c>
      <c r="C13" s="19">
        <v>0.96597913618116982</v>
      </c>
      <c r="F13" s="18" t="s">
        <v>1313</v>
      </c>
      <c r="G13" s="19">
        <v>-1.9999999999999574E-2</v>
      </c>
      <c r="H13" s="19">
        <v>1.9584839859243086E-2</v>
      </c>
    </row>
    <row r="14" spans="1:16">
      <c r="A14" s="18" t="s">
        <v>30</v>
      </c>
      <c r="B14" s="19">
        <v>3.585</v>
      </c>
      <c r="C14" s="19">
        <v>0.96884999094910818</v>
      </c>
      <c r="F14" s="18" t="s">
        <v>1308</v>
      </c>
      <c r="G14" s="19">
        <v>-4.0000000000000036E-2</v>
      </c>
      <c r="H14" s="19">
        <v>-5.0617587357724148E-3</v>
      </c>
    </row>
    <row r="15" spans="1:16">
      <c r="A15" s="18" t="s">
        <v>31</v>
      </c>
      <c r="B15" s="19">
        <v>3.585</v>
      </c>
      <c r="C15" s="19">
        <v>0.97184038648178994</v>
      </c>
      <c r="F15" s="18" t="s">
        <v>1303</v>
      </c>
      <c r="G15" s="19">
        <v>-9.0000000000000746E-2</v>
      </c>
      <c r="H15" s="19">
        <v>-3.915305255139101E-2</v>
      </c>
    </row>
    <row r="16" spans="1:16">
      <c r="A16" s="18" t="s">
        <v>177</v>
      </c>
      <c r="B16" s="19">
        <v>3.5700000000000003</v>
      </c>
      <c r="C16" s="19">
        <v>0.99417922391653057</v>
      </c>
      <c r="F16" s="18" t="s">
        <v>1298</v>
      </c>
      <c r="G16" s="19">
        <v>-6.9999999999999396E-2</v>
      </c>
      <c r="H16" s="19">
        <v>4.8644036322390782E-2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1293</v>
      </c>
      <c r="G17" s="19">
        <v>8.9999999999999858E-2</v>
      </c>
      <c r="H17" s="19">
        <v>1.0933422400750015E-2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1288</v>
      </c>
      <c r="G18" s="19">
        <v>0.11000000000000032</v>
      </c>
      <c r="H18" s="19">
        <v>-1.5683186328386167E-2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1283</v>
      </c>
      <c r="G19" s="19">
        <v>-6.0000000000000497E-2</v>
      </c>
      <c r="H19" s="19">
        <v>-2.3724919936257471E-2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1278</v>
      </c>
      <c r="G20" s="19">
        <v>9.9999999999997868E-3</v>
      </c>
      <c r="H20" s="19">
        <v>1.2331215544990837E-2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1274</v>
      </c>
      <c r="G21" s="19">
        <v>5.0000000000007816E-3</v>
      </c>
      <c r="H21" s="19">
        <v>-1.7762682732349155E-2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1269</v>
      </c>
      <c r="G22" s="19">
        <v>-4.5000000000000817E-2</v>
      </c>
      <c r="H22" s="19">
        <v>1.0893689140491603E-2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1264</v>
      </c>
      <c r="G23" s="19">
        <v>2.5000000000000355E-2</v>
      </c>
      <c r="H23" s="19">
        <v>1.5262983829197996E-2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1259</v>
      </c>
      <c r="G24" s="19">
        <v>7.5000000000000178E-2</v>
      </c>
      <c r="H24" s="19">
        <v>-3.1622830551468972E-2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1254</v>
      </c>
      <c r="G25" s="19">
        <v>-3.0000000000000249E-2</v>
      </c>
      <c r="H25" s="19">
        <v>-3.2881481024741088E-2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1250</v>
      </c>
      <c r="G26" s="19">
        <v>-8.0000000000000071E-2</v>
      </c>
      <c r="H26" s="19">
        <v>-2.2561621560378775E-2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1245</v>
      </c>
      <c r="G27" s="19">
        <v>-0.12000000000000011</v>
      </c>
      <c r="H27" s="19">
        <v>1.0864133549493005E-4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1241</v>
      </c>
      <c r="G28" s="19">
        <v>2.0000000000000462E-2</v>
      </c>
      <c r="H28" s="19">
        <v>6.3599359123875931E-2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1237</v>
      </c>
      <c r="G29" s="19">
        <v>0.13999999999999968</v>
      </c>
      <c r="H29" s="19">
        <v>-5.2294375855344022E-3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1232</v>
      </c>
      <c r="G30" s="19">
        <v>3.0000000000000249E-2</v>
      </c>
      <c r="H30" s="19">
        <v>-3.2915899331543486E-2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1227</v>
      </c>
      <c r="G31" s="19">
        <v>4.9999999999999822E-2</v>
      </c>
      <c r="H31" s="19">
        <v>1.6605748637262163E-2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1222</v>
      </c>
      <c r="G32" s="19">
        <v>4.9999999999999822E-2</v>
      </c>
      <c r="H32" s="19">
        <v>2.7935050251221227E-2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1218</v>
      </c>
      <c r="G33" s="19">
        <v>9.0000000000000302E-2</v>
      </c>
      <c r="H33" s="19">
        <v>-3.042159818704615E-2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1213</v>
      </c>
      <c r="G34" s="19">
        <v>0.37000000000000011</v>
      </c>
      <c r="H34" s="19">
        <v>4.9260859495858789E-2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1209</v>
      </c>
      <c r="G35" s="19">
        <v>2.9999999999999805E-2</v>
      </c>
      <c r="H35" s="19">
        <v>-2.6407242398544639E-2</v>
      </c>
    </row>
    <row r="36" spans="1:8">
      <c r="A36" s="18" t="s">
        <v>981</v>
      </c>
      <c r="B36" s="19">
        <v>3.2349999999999999</v>
      </c>
      <c r="C36" s="19">
        <v>1.1284005640703798</v>
      </c>
      <c r="F36" s="18" t="s">
        <v>1204</v>
      </c>
      <c r="G36" s="19">
        <v>4.4999999999999929E-2</v>
      </c>
      <c r="H36" s="19">
        <v>-2.0238955619433785E-2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1198</v>
      </c>
      <c r="G37" s="19">
        <v>-2.4999999999999911E-2</v>
      </c>
      <c r="H37" s="19">
        <v>-1.4690125183085989E-2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1193</v>
      </c>
      <c r="G38" s="19">
        <v>2.4999999999999911E-2</v>
      </c>
      <c r="H38" s="19">
        <v>1.3921832211515106E-2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1188</v>
      </c>
      <c r="G39" s="19">
        <v>7.5000000000000178E-2</v>
      </c>
      <c r="H39" s="19">
        <v>-2.0317211872340479E-2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1184</v>
      </c>
      <c r="G40" s="19">
        <v>0</v>
      </c>
      <c r="H40" s="19">
        <v>-2.5036356229242163E-2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1179</v>
      </c>
      <c r="G41" s="19">
        <v>-8.4999999999999964E-2</v>
      </c>
      <c r="H41" s="19">
        <v>3.0089812143153427E-2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1174</v>
      </c>
      <c r="G42" s="19">
        <v>4.9999999999998934E-3</v>
      </c>
      <c r="H42" s="19">
        <v>-1.4716480874641835E-2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1169</v>
      </c>
      <c r="G43" s="19">
        <v>3.5000000000000142E-2</v>
      </c>
      <c r="H43" s="19">
        <v>-3.6221274709428375E-2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1164</v>
      </c>
      <c r="G44" s="19">
        <v>4.9999999999998934E-3</v>
      </c>
      <c r="H44" s="19">
        <v>7.0066122986864876E-3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1160</v>
      </c>
      <c r="G45" s="19">
        <v>4.9999999999998934E-3</v>
      </c>
      <c r="H45" s="19">
        <v>-1.6636787715593737E-2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1155</v>
      </c>
      <c r="G46" s="19">
        <v>2.4999999999999911E-2</v>
      </c>
      <c r="H46" s="19">
        <v>1.967072138654391E-2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1150</v>
      </c>
      <c r="G47" s="19">
        <v>-2.0000000000000018E-2</v>
      </c>
      <c r="H47" s="19">
        <v>-3.2475528706856327E-2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1145</v>
      </c>
      <c r="G48" s="19">
        <v>2.0000000000000018E-2</v>
      </c>
      <c r="H48" s="19">
        <v>-2.1257078750700487E-3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1140</v>
      </c>
      <c r="G49" s="19">
        <v>-4.9999999999999822E-2</v>
      </c>
      <c r="H49" s="19">
        <v>9.4144355389240708E-3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1135</v>
      </c>
      <c r="G50" s="19">
        <v>2.9999999999999805E-2</v>
      </c>
      <c r="H50" s="19">
        <v>2.5455540614220951E-3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1130</v>
      </c>
      <c r="G51" s="19">
        <v>3.0000000000000249E-2</v>
      </c>
      <c r="H51" s="19">
        <v>-5.3107288726875979E-2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1125</v>
      </c>
      <c r="G52" s="19">
        <v>9.9999999999997868E-3</v>
      </c>
      <c r="H52" s="19">
        <v>-3.5768518476933409E-2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1120</v>
      </c>
      <c r="G53" s="19">
        <v>-6.999999999999984E-2</v>
      </c>
      <c r="H53" s="19">
        <v>8.3376384287233485E-2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1116</v>
      </c>
      <c r="G54" s="19">
        <v>-0.10499999999999998</v>
      </c>
      <c r="H54" s="19">
        <v>1.8109108452244005E-2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1111</v>
      </c>
      <c r="G55" s="19">
        <v>4.4999999999999929E-2</v>
      </c>
      <c r="H55" s="19">
        <v>2.3554676227259819E-2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1106</v>
      </c>
      <c r="G56" s="19">
        <v>-6.0000000000000053E-2</v>
      </c>
      <c r="H56" s="19">
        <v>-3.6572906718714826E-3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1101</v>
      </c>
      <c r="G57" s="19">
        <v>-6.0000000000000053E-2</v>
      </c>
      <c r="H57" s="19">
        <v>1.6984431271736877E-2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1096</v>
      </c>
      <c r="G58" s="19">
        <v>2.0000000000000018E-2</v>
      </c>
      <c r="H58" s="19">
        <v>4.0576309830424595E-2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1092</v>
      </c>
      <c r="G59" s="19">
        <v>3.5000000000000142E-2</v>
      </c>
      <c r="H59" s="19">
        <v>-3.6749106149427835E-2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1087</v>
      </c>
      <c r="G60" s="19">
        <v>3.5000000000000142E-2</v>
      </c>
      <c r="H60" s="19">
        <v>-2.1725990268173234E-5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1082</v>
      </c>
      <c r="G61" s="19">
        <v>-6.4999999999999947E-2</v>
      </c>
      <c r="H61" s="19">
        <v>-7.6216524280035003E-3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1077</v>
      </c>
      <c r="G62" s="19">
        <v>-5.0000000000000266E-2</v>
      </c>
      <c r="H62" s="19">
        <v>3.1655458545985837E-2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1072</v>
      </c>
      <c r="G63" s="19">
        <v>7.0000000000000284E-2</v>
      </c>
      <c r="H63" s="19">
        <v>-4.0988411671169622E-2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1067</v>
      </c>
      <c r="G64" s="19">
        <v>3.4999999999999698E-2</v>
      </c>
      <c r="H64" s="19">
        <v>-1.4124747313760455E-2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1062</v>
      </c>
      <c r="G65" s="19">
        <v>-9.9999999999997868E-3</v>
      </c>
      <c r="H65" s="19">
        <v>2.0170763140892944E-2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1057</v>
      </c>
      <c r="G66" s="19">
        <v>-0.12000000000000011</v>
      </c>
      <c r="H66" s="19">
        <v>-6.2061715418142427E-3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1052</v>
      </c>
      <c r="G67" s="19">
        <v>0</v>
      </c>
      <c r="H67" s="19">
        <v>3.9328483357251365E-2</v>
      </c>
    </row>
    <row r="68" spans="1:8">
      <c r="A68" s="18" t="s">
        <v>982</v>
      </c>
      <c r="B68" s="19">
        <v>4.2149999999999999</v>
      </c>
      <c r="C68" s="19">
        <v>0.89324065283713949</v>
      </c>
      <c r="F68" s="18" t="s">
        <v>1048</v>
      </c>
      <c r="G68" s="19">
        <v>-2.0000000000000018E-2</v>
      </c>
      <c r="H68" s="19">
        <v>2.9753767963885736E-2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1043</v>
      </c>
      <c r="G69" s="19">
        <v>4.9999999999999822E-2</v>
      </c>
      <c r="H69" s="19">
        <v>-2.3467995970869904E-2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1038</v>
      </c>
      <c r="G70" s="19">
        <v>4.0000000000000036E-2</v>
      </c>
      <c r="H70" s="19">
        <v>-4.6092011145236089E-2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1033</v>
      </c>
      <c r="G71" s="19">
        <v>-4.9999999999998934E-3</v>
      </c>
      <c r="H71" s="19">
        <v>-3.1914616159288034E-2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1028</v>
      </c>
      <c r="G72" s="19">
        <v>-4.9999999999998934E-3</v>
      </c>
      <c r="H72" s="19">
        <v>-6.58988444099462E-3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1023</v>
      </c>
      <c r="G73" s="19">
        <v>0</v>
      </c>
      <c r="H73" s="19">
        <v>1.1899808437661363E-2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1019</v>
      </c>
      <c r="G74" s="19">
        <v>-9.5000000000000195E-2</v>
      </c>
      <c r="H74" s="19">
        <v>1.4598960355743262E-2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1014</v>
      </c>
      <c r="G75" s="19">
        <v>-6.999999999999984E-2</v>
      </c>
      <c r="H75" s="19">
        <v>2.891113950662616E-2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1009</v>
      </c>
      <c r="G76" s="19">
        <v>-2.0000000000000018E-2</v>
      </c>
      <c r="H76" s="19">
        <v>6.2329010825190601E-3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1004</v>
      </c>
      <c r="G77" s="19">
        <v>-0.10999999999999988</v>
      </c>
      <c r="H77" s="19">
        <v>-2.4050748303181102E-2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1000</v>
      </c>
      <c r="G78" s="19">
        <v>-5.0000000000000266E-2</v>
      </c>
      <c r="H78" s="19">
        <v>6.174301503707591E-2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995</v>
      </c>
      <c r="G79" s="19">
        <v>-3.9999999999999591E-2</v>
      </c>
      <c r="H79" s="19">
        <v>1.2252400448296008E-2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991</v>
      </c>
      <c r="G80" s="19">
        <v>4.9999999999999822E-2</v>
      </c>
      <c r="H80" s="19">
        <v>1.4459608847396055E-2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987</v>
      </c>
      <c r="G81" s="19">
        <v>-1.0000000000000231E-2</v>
      </c>
      <c r="H81" s="19">
        <v>-1.1543214245306022E-2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976</v>
      </c>
      <c r="G82" s="19">
        <v>2.0000000000000018E-2</v>
      </c>
      <c r="H82" s="19">
        <v>9.8564510039258479E-3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971</v>
      </c>
      <c r="G83" s="19">
        <v>2.0000000000000018E-2</v>
      </c>
      <c r="H83" s="19">
        <v>-3.6481147091743882E-2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966</v>
      </c>
      <c r="G84" s="19">
        <v>-4.4999999999999929E-2</v>
      </c>
      <c r="H84" s="19">
        <v>-4.266003550703612E-3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986</v>
      </c>
      <c r="G85" s="19">
        <v>4.9999999999998934E-3</v>
      </c>
      <c r="H85" s="19">
        <v>3.4512366561713304E-2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958</v>
      </c>
      <c r="G86" s="19">
        <v>-9.9999999999997868E-3</v>
      </c>
      <c r="H86" s="19">
        <v>-6.8703893560102536E-3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953</v>
      </c>
      <c r="G87" s="19">
        <v>0.10999999999999988</v>
      </c>
      <c r="H87" s="19">
        <v>-1.0191180015131529E-2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949</v>
      </c>
      <c r="G88" s="19">
        <v>0.11000000000000032</v>
      </c>
      <c r="H88" s="19">
        <v>-2.0715350028827295E-2</v>
      </c>
    </row>
    <row r="89" spans="1:8">
      <c r="A89" s="18" t="s">
        <v>983</v>
      </c>
      <c r="B89" s="19">
        <v>4.2149999999999999</v>
      </c>
      <c r="C89" s="19">
        <v>0.83041220042444985</v>
      </c>
      <c r="F89" s="18" t="s">
        <v>944</v>
      </c>
      <c r="G89" s="19">
        <v>-3.0000000000000249E-2</v>
      </c>
      <c r="H89" s="19">
        <v>-3.9512471786852466E-2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939</v>
      </c>
      <c r="G90" s="19">
        <v>-2.9999999999999805E-2</v>
      </c>
      <c r="H90" s="19">
        <v>8.8390587057620706E-3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934</v>
      </c>
      <c r="G91" s="19">
        <v>6.0000000000000053E-2</v>
      </c>
      <c r="H91" s="19">
        <v>3.9534847117252081E-2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930</v>
      </c>
      <c r="G92" s="19">
        <v>-9.0000000000000302E-2</v>
      </c>
      <c r="H92" s="19">
        <v>-3.9188789963020554E-3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925</v>
      </c>
      <c r="G93" s="19">
        <v>-3.4999999999999698E-2</v>
      </c>
      <c r="H93" s="19">
        <v>-7.0604349812959377E-3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920</v>
      </c>
      <c r="G94" s="19">
        <v>-2.5000000000000355E-2</v>
      </c>
      <c r="H94" s="19">
        <v>4.7272506635689382E-2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915</v>
      </c>
      <c r="G95" s="19">
        <v>1.0000000000000231E-2</v>
      </c>
      <c r="H95" s="19">
        <v>-3.6743661025303798E-2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910</v>
      </c>
      <c r="G96" s="19">
        <v>9.9999999999997868E-3</v>
      </c>
      <c r="H96" s="19">
        <v>2.9059980787692119E-2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906</v>
      </c>
      <c r="G97" s="19">
        <v>5.0000000000000266E-2</v>
      </c>
      <c r="H97" s="19">
        <v>-9.476982897301589E-3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901</v>
      </c>
      <c r="G98" s="19">
        <v>-9.0000000000000302E-2</v>
      </c>
      <c r="H98" s="19">
        <v>-1.3028636282660599E-2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896</v>
      </c>
      <c r="G99" s="19">
        <v>-9.9999999999997868E-3</v>
      </c>
      <c r="H99" s="19">
        <v>-1.8511412775929603E-2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891</v>
      </c>
      <c r="G100" s="19">
        <v>2.9999999999999805E-2</v>
      </c>
      <c r="H100" s="19">
        <v>5.3503720163694091E-2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886</v>
      </c>
      <c r="G101" s="19">
        <v>-6.999999999999984E-2</v>
      </c>
      <c r="H101" s="19">
        <v>-3.2324584839858339E-2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881</v>
      </c>
      <c r="G102" s="19">
        <v>-6.0000000000000053E-2</v>
      </c>
      <c r="H102" s="19">
        <v>2.3673689710257406E-4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876</v>
      </c>
      <c r="G103" s="19">
        <v>-4.9999999999999822E-2</v>
      </c>
      <c r="H103" s="19">
        <v>2.528125881871901E-3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871</v>
      </c>
      <c r="G104" s="19">
        <v>4.9999999999999822E-2</v>
      </c>
      <c r="H104" s="19">
        <v>-1.2530072008425819E-2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866</v>
      </c>
      <c r="G105" s="19">
        <v>-4.0000000000000036E-2</v>
      </c>
      <c r="H105" s="19">
        <v>4.7152387135401597E-2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861</v>
      </c>
      <c r="G106" s="19">
        <v>3.5000000000000586E-2</v>
      </c>
      <c r="H106" s="19">
        <v>-2.9210476155082876E-2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856</v>
      </c>
      <c r="G107" s="19">
        <v>1.9999999999999574E-2</v>
      </c>
      <c r="H107" s="19">
        <v>2.4092884957021443E-2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851</v>
      </c>
      <c r="G108" s="19">
        <v>-1.5000000000000124E-2</v>
      </c>
      <c r="H108" s="19">
        <v>2.4456070852163059E-2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846</v>
      </c>
      <c r="G109" s="19">
        <v>0.16999999999999993</v>
      </c>
      <c r="H109" s="19">
        <v>-2.1840425541437725E-2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841</v>
      </c>
      <c r="G110" s="19">
        <v>0</v>
      </c>
      <c r="H110" s="19">
        <v>-5.3468289754485809E-2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836</v>
      </c>
      <c r="G111" s="19">
        <v>5.0000000000003375E-3</v>
      </c>
      <c r="H111" s="19">
        <v>3.4011064223236076E-2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832</v>
      </c>
      <c r="G112" s="19">
        <v>1.499999999999968E-2</v>
      </c>
      <c r="H112" s="19">
        <v>2.1433680318719617E-2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827</v>
      </c>
      <c r="G113" s="19">
        <v>5.0000000000000266E-2</v>
      </c>
      <c r="H113" s="19">
        <v>-9.1423908149113053E-3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822</v>
      </c>
      <c r="G114" s="19">
        <v>0.11999999999999966</v>
      </c>
      <c r="H114" s="19">
        <v>-4.3117266426378364E-2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817</v>
      </c>
      <c r="G115" s="19">
        <v>3.0000000000000249E-2</v>
      </c>
      <c r="H115" s="19">
        <v>-3.7201580549312219E-2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812</v>
      </c>
      <c r="G116" s="19">
        <v>-4.4999999999999929E-2</v>
      </c>
      <c r="H116" s="19">
        <v>-2.5302885990095447E-2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807</v>
      </c>
      <c r="G117" s="19">
        <v>3.4999999999999698E-2</v>
      </c>
      <c r="H117" s="19">
        <v>3.2449304119709144E-2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802</v>
      </c>
      <c r="G118" s="19">
        <v>-4.0000000000000036E-2</v>
      </c>
      <c r="H118" s="19">
        <v>1.4242501976801769E-2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797</v>
      </c>
      <c r="G119" s="19">
        <v>1.0000000000000231E-2</v>
      </c>
      <c r="H119" s="19">
        <v>-6.7099163604633638E-3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792</v>
      </c>
      <c r="G120" s="19">
        <v>-8.9999999999999858E-2</v>
      </c>
      <c r="H120" s="19">
        <v>3.9067306347228214E-2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774</v>
      </c>
      <c r="G121" s="19">
        <v>-8.0000000000000071E-2</v>
      </c>
      <c r="H121" s="19">
        <v>-7.1799748182201917E-3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769</v>
      </c>
      <c r="G122" s="19">
        <v>0.10999999999999988</v>
      </c>
      <c r="H122" s="19">
        <v>3.5703880667461441E-2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761</v>
      </c>
      <c r="G123" s="19">
        <v>-4.9999999999999822E-2</v>
      </c>
      <c r="H123" s="19">
        <v>-4.8620875157359134E-2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756</v>
      </c>
      <c r="G124" s="19">
        <v>4.0000000000000036E-2</v>
      </c>
      <c r="H124" s="19">
        <v>3.2729826256769456E-2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751</v>
      </c>
      <c r="G125" s="19">
        <v>6.999999999999984E-2</v>
      </c>
      <c r="H125" s="19">
        <v>-3.3556807616253792E-2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747</v>
      </c>
      <c r="G126" s="19">
        <v>7.5000000000000178E-2</v>
      </c>
      <c r="H126" s="19">
        <v>-0.10189752633130356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164</v>
      </c>
      <c r="G127" s="19">
        <v>-4.5000000000000373E-2</v>
      </c>
      <c r="H127" s="19">
        <v>2.6283023103494951E-2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163</v>
      </c>
      <c r="G128" s="19">
        <v>5.0000000000003375E-3</v>
      </c>
      <c r="H128" s="19">
        <v>-2.8431060654417806E-2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162</v>
      </c>
      <c r="G129" s="19">
        <v>-5.0000000000003375E-3</v>
      </c>
      <c r="H129" s="19">
        <v>5.0921216654950641E-2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161</v>
      </c>
      <c r="G130" s="19">
        <v>-6.999999999999984E-2</v>
      </c>
      <c r="H130" s="19">
        <v>1.3140726006696024E-2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160</v>
      </c>
      <c r="G131" s="19">
        <v>-0.14000000000000012</v>
      </c>
      <c r="H131" s="19">
        <v>3.8790936563230627E-2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985</v>
      </c>
      <c r="G132" s="19">
        <v>4.0000000000000036E-2</v>
      </c>
      <c r="H132" s="19">
        <v>4.8016553768753134E-2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719</v>
      </c>
      <c r="G133" s="19">
        <v>3.0000000000000249E-2</v>
      </c>
      <c r="H133" s="19">
        <v>-1.4020990550285717E-2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157</v>
      </c>
      <c r="G134" s="19">
        <v>-0.10500000000000043</v>
      </c>
      <c r="H134" s="19">
        <v>-2.7830391003344612E-2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156</v>
      </c>
      <c r="G135" s="19">
        <v>4.0000000000000036E-2</v>
      </c>
      <c r="H135" s="19">
        <v>3.0643791231621975E-2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155</v>
      </c>
      <c r="G136" s="19">
        <v>-8.0000000000000071E-2</v>
      </c>
      <c r="H136" s="19">
        <v>-3.4594806635166009E-2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984</v>
      </c>
      <c r="G137" s="19">
        <v>-2.0000000000000018E-2</v>
      </c>
      <c r="H137" s="19">
        <v>4.1805266828916388E-2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153</v>
      </c>
      <c r="G138" s="19">
        <v>-1.9999999999999574E-2</v>
      </c>
      <c r="H138" s="19">
        <v>1.3007061578107937E-2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152</v>
      </c>
      <c r="G139" s="19">
        <v>-9.9999999999997868E-3</v>
      </c>
      <c r="H139" s="19">
        <v>-1.4723382008365427E-2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151</v>
      </c>
      <c r="G140" s="19">
        <v>3.9999999999999591E-2</v>
      </c>
      <c r="H140" s="19">
        <v>-1.5419225252286672E-2</v>
      </c>
    </row>
    <row r="141" spans="1:8">
      <c r="A141" s="18" t="s">
        <v>984</v>
      </c>
      <c r="B141" s="19">
        <v>3.8450000000000002</v>
      </c>
      <c r="C141" s="19">
        <v>0.90826415378847614</v>
      </c>
      <c r="F141" s="18" t="s">
        <v>150</v>
      </c>
      <c r="G141" s="19">
        <v>6.0000000000000053E-2</v>
      </c>
      <c r="H141" s="19">
        <v>-1.1517117320877901E-2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149</v>
      </c>
      <c r="G142" s="19">
        <v>-5.0000000000000266E-2</v>
      </c>
      <c r="H142" s="19">
        <v>-1.6695337164583268E-2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148</v>
      </c>
      <c r="G143" s="19">
        <v>-0.14999999999999991</v>
      </c>
      <c r="H143" s="19">
        <v>9.6078656952731656E-3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147</v>
      </c>
      <c r="G144" s="19">
        <v>-4.4999999999999929E-2</v>
      </c>
      <c r="H144" s="19">
        <v>4.8440855573574026E-2</v>
      </c>
    </row>
    <row r="145" spans="1:8">
      <c r="A145" s="18" t="s">
        <v>719</v>
      </c>
      <c r="B145" s="19">
        <v>3.73</v>
      </c>
      <c r="C145" s="19">
        <v>0.86246175683130177</v>
      </c>
      <c r="F145" s="18" t="s">
        <v>146</v>
      </c>
      <c r="G145" s="19">
        <v>-3.5000000000000142E-2</v>
      </c>
      <c r="H145" s="19">
        <v>2.9028577473623862E-2</v>
      </c>
    </row>
    <row r="146" spans="1:8">
      <c r="A146" s="18" t="s">
        <v>985</v>
      </c>
      <c r="B146" s="19">
        <v>3.77</v>
      </c>
      <c r="C146" s="19">
        <v>0.91047831060005491</v>
      </c>
      <c r="F146" s="18" t="s">
        <v>145</v>
      </c>
      <c r="G146" s="19">
        <v>-3.0000000000000249E-2</v>
      </c>
      <c r="H146" s="19">
        <v>-1.4274107511340617E-3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144</v>
      </c>
      <c r="G147" s="19">
        <v>0.11000000000000032</v>
      </c>
      <c r="H147" s="19">
        <v>1.9362092086152138E-2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143</v>
      </c>
      <c r="G148" s="19">
        <v>2.0000000000000462E-2</v>
      </c>
      <c r="H148" s="19">
        <v>-6.3884014026703628E-2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142</v>
      </c>
      <c r="G149" s="19">
        <v>0</v>
      </c>
      <c r="H149" s="19">
        <v>3.0572452667806171E-2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141</v>
      </c>
      <c r="G150" s="19">
        <v>0</v>
      </c>
      <c r="H150" s="19">
        <v>9.3529953362581075E-3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140</v>
      </c>
      <c r="G151" s="19">
        <v>-4.5000000000000817E-2</v>
      </c>
      <c r="H151" s="19">
        <v>-1.1366560826386873E-2</v>
      </c>
    </row>
    <row r="152" spans="1:8">
      <c r="A152" s="18" t="s">
        <v>747</v>
      </c>
      <c r="B152" s="19">
        <v>3.59</v>
      </c>
      <c r="C152" s="19">
        <v>0.90928562594270579</v>
      </c>
      <c r="F152" s="18" t="s">
        <v>139</v>
      </c>
      <c r="G152" s="19">
        <v>-4.4999999999999041E-2</v>
      </c>
      <c r="H152" s="19">
        <v>8.2161416576109758E-3</v>
      </c>
    </row>
    <row r="153" spans="1:8">
      <c r="A153" s="18" t="s">
        <v>751</v>
      </c>
      <c r="B153" s="19">
        <v>3.6599999999999997</v>
      </c>
      <c r="C153" s="19">
        <v>0.875728818326452</v>
      </c>
      <c r="F153" s="18" t="s">
        <v>138</v>
      </c>
      <c r="G153" s="19">
        <v>4.4999999999999041E-2</v>
      </c>
      <c r="H153" s="19">
        <v>3.0020777715549229E-2</v>
      </c>
    </row>
    <row r="154" spans="1:8">
      <c r="A154" s="18" t="s">
        <v>756</v>
      </c>
      <c r="B154" s="19">
        <v>3.6999999999999997</v>
      </c>
      <c r="C154" s="19">
        <v>0.90845864458322145</v>
      </c>
      <c r="F154" s="18" t="s">
        <v>137</v>
      </c>
      <c r="G154" s="19">
        <v>-9.9999999999997868E-3</v>
      </c>
      <c r="H154" s="19">
        <v>-4.5525403937607845E-2</v>
      </c>
    </row>
    <row r="155" spans="1:8">
      <c r="A155" s="18" t="s">
        <v>761</v>
      </c>
      <c r="B155" s="19">
        <v>3.65</v>
      </c>
      <c r="C155" s="19">
        <v>0.85983776942586232</v>
      </c>
      <c r="F155" s="18" t="s">
        <v>136</v>
      </c>
      <c r="G155" s="19">
        <v>0</v>
      </c>
      <c r="H155" s="19">
        <v>3.5577487850185996E-2</v>
      </c>
    </row>
    <row r="156" spans="1:8">
      <c r="A156" s="18" t="s">
        <v>769</v>
      </c>
      <c r="B156" s="19">
        <v>3.76</v>
      </c>
      <c r="C156" s="19">
        <v>0.89554165009332376</v>
      </c>
      <c r="F156" s="18" t="s">
        <v>135</v>
      </c>
      <c r="G156" s="19">
        <v>-4.4999999999999929E-2</v>
      </c>
      <c r="H156" s="19">
        <v>-1.1263146021996739E-2</v>
      </c>
    </row>
    <row r="157" spans="1:8">
      <c r="A157" s="18" t="s">
        <v>774</v>
      </c>
      <c r="B157" s="19">
        <v>3.6799999999999997</v>
      </c>
      <c r="C157" s="19">
        <v>0.88836167527510357</v>
      </c>
      <c r="F157" s="18" t="s">
        <v>134</v>
      </c>
      <c r="G157" s="19">
        <v>8.0000000000000071E-2</v>
      </c>
      <c r="H157" s="19">
        <v>2.4447674433158983E-2</v>
      </c>
    </row>
    <row r="158" spans="1:8">
      <c r="A158" s="18" t="s">
        <v>792</v>
      </c>
      <c r="B158" s="19">
        <v>3.59</v>
      </c>
      <c r="C158" s="19">
        <v>0.92742898162233178</v>
      </c>
      <c r="F158" s="18" t="s">
        <v>133</v>
      </c>
      <c r="G158" s="19">
        <v>-1.9999999999999574E-2</v>
      </c>
      <c r="H158" s="19">
        <v>1.2519428020127954E-2</v>
      </c>
    </row>
    <row r="159" spans="1:8">
      <c r="A159" s="18" t="s">
        <v>797</v>
      </c>
      <c r="B159" s="19">
        <v>3.6</v>
      </c>
      <c r="C159" s="19">
        <v>0.92071906526186842</v>
      </c>
      <c r="F159" s="18" t="s">
        <v>132</v>
      </c>
      <c r="G159" s="19">
        <v>-5.5000000000000604E-2</v>
      </c>
      <c r="H159" s="19">
        <v>-2.5632263055054505E-2</v>
      </c>
    </row>
    <row r="160" spans="1:8">
      <c r="A160" s="18" t="s">
        <v>802</v>
      </c>
      <c r="B160" s="19">
        <v>3.56</v>
      </c>
      <c r="C160" s="19">
        <v>0.93496156723867019</v>
      </c>
      <c r="F160" s="18" t="s">
        <v>131</v>
      </c>
      <c r="G160" s="19">
        <v>-3.0000000000000249E-2</v>
      </c>
      <c r="H160" s="19">
        <v>-2.1830811245084014E-2</v>
      </c>
    </row>
    <row r="161" spans="1:8">
      <c r="A161" s="18" t="s">
        <v>807</v>
      </c>
      <c r="B161" s="19">
        <v>3.5949999999999998</v>
      </c>
      <c r="C161" s="19">
        <v>0.96741087135837933</v>
      </c>
      <c r="F161" s="18" t="s">
        <v>130</v>
      </c>
      <c r="G161" s="19">
        <v>8.5000000000000853E-2</v>
      </c>
      <c r="H161" s="19">
        <v>1.7996847946860406E-2</v>
      </c>
    </row>
    <row r="162" spans="1:8">
      <c r="A162" s="18" t="s">
        <v>812</v>
      </c>
      <c r="B162" s="19">
        <v>3.55</v>
      </c>
      <c r="C162" s="19">
        <v>0.94210798536828388</v>
      </c>
      <c r="F162" s="18" t="s">
        <v>129</v>
      </c>
      <c r="G162" s="19">
        <v>-5.0000000000007816E-3</v>
      </c>
      <c r="H162" s="19">
        <v>-2.6497987701573855E-2</v>
      </c>
    </row>
    <row r="163" spans="1:8">
      <c r="A163" s="18" t="s">
        <v>817</v>
      </c>
      <c r="B163" s="19">
        <v>3.58</v>
      </c>
      <c r="C163" s="19">
        <v>0.90490640481897167</v>
      </c>
      <c r="F163" s="18" t="s">
        <v>128</v>
      </c>
      <c r="G163" s="19">
        <v>-1.9999999999999574E-2</v>
      </c>
      <c r="H163" s="19">
        <v>4.621511468835493E-3</v>
      </c>
    </row>
    <row r="164" spans="1:8">
      <c r="A164" s="18" t="s">
        <v>822</v>
      </c>
      <c r="B164" s="19">
        <v>3.6999999999999997</v>
      </c>
      <c r="C164" s="19">
        <v>0.8617891383925933</v>
      </c>
      <c r="F164" s="18" t="s">
        <v>127</v>
      </c>
      <c r="G164" s="19">
        <v>-6.0000000000000497E-2</v>
      </c>
      <c r="H164" s="19">
        <v>-7.7785001467902681E-3</v>
      </c>
    </row>
    <row r="165" spans="1:8">
      <c r="A165" s="18" t="s">
        <v>827</v>
      </c>
      <c r="B165" s="19">
        <v>3.75</v>
      </c>
      <c r="C165" s="19">
        <v>0.852646747577682</v>
      </c>
      <c r="F165" s="18" t="s">
        <v>126</v>
      </c>
      <c r="G165" s="19">
        <v>-9.9999999999997868E-3</v>
      </c>
      <c r="H165" s="19">
        <v>8.4679503274944778E-3</v>
      </c>
    </row>
    <row r="166" spans="1:8">
      <c r="A166" s="18" t="s">
        <v>832</v>
      </c>
      <c r="B166" s="19">
        <v>3.7649999999999997</v>
      </c>
      <c r="C166" s="19">
        <v>0.87408042789640161</v>
      </c>
      <c r="F166" s="18" t="s">
        <v>125</v>
      </c>
      <c r="G166" s="19">
        <v>-0.10499999999999954</v>
      </c>
      <c r="H166" s="19">
        <v>-2.3889735080817598E-2</v>
      </c>
    </row>
    <row r="167" spans="1:8">
      <c r="A167" s="18" t="s">
        <v>836</v>
      </c>
      <c r="B167" s="19">
        <v>3.77</v>
      </c>
      <c r="C167" s="19">
        <v>0.90809149211963769</v>
      </c>
      <c r="F167" s="18" t="s">
        <v>124</v>
      </c>
      <c r="G167" s="19">
        <v>-1.5000000000000568E-2</v>
      </c>
      <c r="H167" s="19">
        <v>3.6816663511710424E-2</v>
      </c>
    </row>
    <row r="168" spans="1:8">
      <c r="A168" s="18" t="s">
        <v>841</v>
      </c>
      <c r="B168" s="19">
        <v>3.77</v>
      </c>
      <c r="C168" s="19">
        <v>0.85462320236515188</v>
      </c>
      <c r="F168" s="18" t="s">
        <v>123</v>
      </c>
      <c r="G168" s="19">
        <v>3.500000000000103E-2</v>
      </c>
      <c r="H168" s="19">
        <v>-3.6895271762006132E-2</v>
      </c>
    </row>
    <row r="169" spans="1:8">
      <c r="A169" s="18" t="s">
        <v>846</v>
      </c>
      <c r="B169" s="19">
        <v>3.94</v>
      </c>
      <c r="C169" s="19">
        <v>0.83278277682371415</v>
      </c>
      <c r="F169" s="18" t="s">
        <v>122</v>
      </c>
      <c r="G169" s="19">
        <v>-7.0000000000000284E-2</v>
      </c>
      <c r="H169" s="19">
        <v>9.1408869663434089E-3</v>
      </c>
    </row>
    <row r="170" spans="1:8">
      <c r="A170" s="18" t="s">
        <v>851</v>
      </c>
      <c r="B170" s="19">
        <v>3.9249999999999998</v>
      </c>
      <c r="C170" s="19">
        <v>0.85723884767587721</v>
      </c>
      <c r="F170" s="18" t="s">
        <v>121</v>
      </c>
      <c r="G170" s="19">
        <v>-7.0000000000000284E-2</v>
      </c>
      <c r="H170" s="19">
        <v>-2.8979306808500027E-2</v>
      </c>
    </row>
    <row r="171" spans="1:8">
      <c r="A171" s="18" t="s">
        <v>856</v>
      </c>
      <c r="B171" s="19">
        <v>3.9449999999999994</v>
      </c>
      <c r="C171" s="19">
        <v>0.88133173263289866</v>
      </c>
      <c r="F171" s="18" t="s">
        <v>120</v>
      </c>
      <c r="G171" s="19">
        <v>3.4999999999999254E-2</v>
      </c>
      <c r="H171" s="19">
        <v>3.5495259894141817E-2</v>
      </c>
    </row>
    <row r="172" spans="1:8">
      <c r="A172" s="18" t="s">
        <v>861</v>
      </c>
      <c r="B172" s="19">
        <v>3.98</v>
      </c>
      <c r="C172" s="19">
        <v>0.85212125647781578</v>
      </c>
      <c r="F172" s="18" t="s">
        <v>119</v>
      </c>
      <c r="G172" s="19">
        <v>8.0000000000000071E-2</v>
      </c>
      <c r="H172" s="19">
        <v>2.6297027333629597E-2</v>
      </c>
    </row>
    <row r="173" spans="1:8">
      <c r="A173" s="18" t="s">
        <v>866</v>
      </c>
      <c r="B173" s="19">
        <v>3.94</v>
      </c>
      <c r="C173" s="19">
        <v>0.89927364361321738</v>
      </c>
      <c r="F173" s="18" t="s">
        <v>118</v>
      </c>
      <c r="G173" s="19">
        <v>-4.9999999999999822E-2</v>
      </c>
      <c r="H173" s="19">
        <v>-1.2389960288145652E-2</v>
      </c>
    </row>
    <row r="174" spans="1:8">
      <c r="A174" s="18" t="s">
        <v>871</v>
      </c>
      <c r="B174" s="19">
        <v>3.9899999999999998</v>
      </c>
      <c r="C174" s="19">
        <v>0.88674357160479156</v>
      </c>
      <c r="F174" s="18" t="s">
        <v>117</v>
      </c>
      <c r="G174" s="19">
        <v>6.5000000000000391E-2</v>
      </c>
      <c r="H174" s="19">
        <v>-9.087769227671405E-3</v>
      </c>
    </row>
    <row r="175" spans="1:8">
      <c r="A175" s="18" t="s">
        <v>876</v>
      </c>
      <c r="B175" s="19">
        <v>3.94</v>
      </c>
      <c r="C175" s="19">
        <v>0.88927169748666346</v>
      </c>
      <c r="F175" s="18" t="s">
        <v>116</v>
      </c>
      <c r="G175" s="19">
        <v>-8.9999999999999858E-2</v>
      </c>
      <c r="H175" s="19">
        <v>-4.6170856830296092E-2</v>
      </c>
    </row>
    <row r="176" spans="1:8">
      <c r="A176" s="18" t="s">
        <v>881</v>
      </c>
      <c r="B176" s="19">
        <v>3.88</v>
      </c>
      <c r="C176" s="19">
        <v>0.88950843438376603</v>
      </c>
      <c r="F176" s="18" t="s">
        <v>115</v>
      </c>
      <c r="G176" s="19">
        <v>4.0000000000000036E-2</v>
      </c>
      <c r="H176" s="19">
        <v>4.4324944305945468E-2</v>
      </c>
    </row>
    <row r="177" spans="1:8">
      <c r="A177" s="18" t="s">
        <v>886</v>
      </c>
      <c r="B177" s="19">
        <v>3.81</v>
      </c>
      <c r="C177" s="19">
        <v>0.85718384954390769</v>
      </c>
      <c r="F177" s="18" t="s">
        <v>114</v>
      </c>
      <c r="G177" s="19">
        <v>4.9999999999999822E-2</v>
      </c>
      <c r="H177" s="19">
        <v>1.8063181535842077E-2</v>
      </c>
    </row>
    <row r="178" spans="1:8">
      <c r="A178" s="18" t="s">
        <v>891</v>
      </c>
      <c r="B178" s="19">
        <v>3.84</v>
      </c>
      <c r="C178" s="19">
        <v>0.91068756970760179</v>
      </c>
      <c r="F178" s="18" t="s">
        <v>113</v>
      </c>
      <c r="G178" s="19">
        <v>4.9999999999999822E-2</v>
      </c>
      <c r="H178" s="19">
        <v>1.5293039135779729E-3</v>
      </c>
    </row>
    <row r="179" spans="1:8">
      <c r="A179" s="18" t="s">
        <v>896</v>
      </c>
      <c r="B179" s="19">
        <v>3.83</v>
      </c>
      <c r="C179" s="19">
        <v>0.89217615693167218</v>
      </c>
      <c r="F179" s="18" t="s">
        <v>112</v>
      </c>
      <c r="G179" s="19">
        <v>-8.9999999999999858E-2</v>
      </c>
      <c r="H179" s="19">
        <v>-1.8699077640140338E-2</v>
      </c>
    </row>
    <row r="180" spans="1:8">
      <c r="A180" s="18" t="s">
        <v>901</v>
      </c>
      <c r="B180" s="19">
        <v>3.7399999999999998</v>
      </c>
      <c r="C180" s="19">
        <v>0.87914752064901158</v>
      </c>
      <c r="F180" s="18" t="s">
        <v>111</v>
      </c>
      <c r="G180" s="19">
        <v>-6.9999999999999396E-2</v>
      </c>
      <c r="H180" s="19">
        <v>-2.0260584025963979E-2</v>
      </c>
    </row>
    <row r="181" spans="1:8">
      <c r="A181" s="18" t="s">
        <v>906</v>
      </c>
      <c r="B181" s="19">
        <v>3.79</v>
      </c>
      <c r="C181" s="19">
        <v>0.86967053775170999</v>
      </c>
      <c r="F181" s="18" t="s">
        <v>110</v>
      </c>
      <c r="G181" s="19">
        <v>-2.0000000000000462E-2</v>
      </c>
      <c r="H181" s="19">
        <v>1.8771448758036602E-2</v>
      </c>
    </row>
    <row r="182" spans="1:8">
      <c r="A182" s="18" t="s">
        <v>910</v>
      </c>
      <c r="B182" s="19">
        <v>3.8</v>
      </c>
      <c r="C182" s="19">
        <v>0.89873051853940211</v>
      </c>
      <c r="F182" s="18" t="s">
        <v>109</v>
      </c>
      <c r="G182" s="19">
        <v>-9.9999999999999645E-2</v>
      </c>
      <c r="H182" s="19">
        <v>-6.5815485208013946E-3</v>
      </c>
    </row>
    <row r="183" spans="1:8">
      <c r="A183" s="18" t="s">
        <v>915</v>
      </c>
      <c r="B183" s="19">
        <v>3.81</v>
      </c>
      <c r="C183" s="19">
        <v>0.86198685751409831</v>
      </c>
      <c r="F183" s="18" t="s">
        <v>108</v>
      </c>
      <c r="G183" s="19">
        <v>-4.5000000000000817E-2</v>
      </c>
      <c r="H183" s="19">
        <v>-3.1663158163439231E-2</v>
      </c>
    </row>
    <row r="184" spans="1:8">
      <c r="A184" s="18" t="s">
        <v>920</v>
      </c>
      <c r="B184" s="19">
        <v>3.7849999999999997</v>
      </c>
      <c r="C184" s="19">
        <v>0.9092593641497877</v>
      </c>
      <c r="F184" s="18" t="s">
        <v>252</v>
      </c>
      <c r="G184" s="19">
        <v>7.5000000000000178E-2</v>
      </c>
      <c r="H184" s="19">
        <v>4.3581124125422033E-2</v>
      </c>
    </row>
    <row r="185" spans="1:8">
      <c r="A185" s="18" t="s">
        <v>925</v>
      </c>
      <c r="B185" s="19">
        <v>3.75</v>
      </c>
      <c r="C185" s="19">
        <v>0.90219892916849176</v>
      </c>
      <c r="F185" s="18" t="s">
        <v>251</v>
      </c>
      <c r="G185" s="19">
        <v>1.0000000000000675E-2</v>
      </c>
      <c r="H185" s="19">
        <v>-2.6673395159870772E-2</v>
      </c>
    </row>
    <row r="186" spans="1:8">
      <c r="A186" s="18" t="s">
        <v>930</v>
      </c>
      <c r="B186" s="19">
        <v>3.6599999999999997</v>
      </c>
      <c r="C186" s="19">
        <v>0.8982800501721897</v>
      </c>
      <c r="F186" s="18" t="s">
        <v>107</v>
      </c>
      <c r="G186" s="19">
        <v>4.9999999999999822E-2</v>
      </c>
      <c r="H186" s="19">
        <v>3.5619355308655454E-2</v>
      </c>
    </row>
    <row r="187" spans="1:8">
      <c r="A187" s="18" t="s">
        <v>934</v>
      </c>
      <c r="B187" s="19">
        <v>3.7199999999999998</v>
      </c>
      <c r="C187" s="19">
        <v>0.93781489728944178</v>
      </c>
      <c r="F187" s="18" t="s">
        <v>106</v>
      </c>
      <c r="G187" s="19">
        <v>9.9999999999997868E-3</v>
      </c>
      <c r="H187" s="19">
        <v>-2.5076681831756265E-2</v>
      </c>
    </row>
    <row r="188" spans="1:8">
      <c r="A188" s="18" t="s">
        <v>939</v>
      </c>
      <c r="B188" s="19">
        <v>3.69</v>
      </c>
      <c r="C188" s="19">
        <v>0.94665395599520386</v>
      </c>
      <c r="F188" s="18" t="s">
        <v>105</v>
      </c>
      <c r="G188" s="19">
        <v>0.12000000000000011</v>
      </c>
      <c r="H188" s="19">
        <v>2.5096275849040062E-2</v>
      </c>
    </row>
    <row r="189" spans="1:8">
      <c r="A189" s="18" t="s">
        <v>944</v>
      </c>
      <c r="B189" s="19">
        <v>3.6599999999999997</v>
      </c>
      <c r="C189" s="19">
        <v>0.90714148420835139</v>
      </c>
      <c r="F189" s="18" t="s">
        <v>983</v>
      </c>
      <c r="G189" s="19">
        <v>7.0000000000000284E-2</v>
      </c>
      <c r="H189" s="19">
        <v>1.9696618164752433E-2</v>
      </c>
    </row>
    <row r="190" spans="1:8">
      <c r="A190" s="18" t="s">
        <v>949</v>
      </c>
      <c r="B190" s="19">
        <v>3.77</v>
      </c>
      <c r="C190" s="19">
        <v>0.88642613417952409</v>
      </c>
      <c r="F190" s="18" t="s">
        <v>103</v>
      </c>
      <c r="G190" s="19">
        <v>-0.12999999999999989</v>
      </c>
      <c r="H190" s="19">
        <v>-8.4200748565309791E-2</v>
      </c>
    </row>
    <row r="191" spans="1:8">
      <c r="A191" s="18" t="s">
        <v>953</v>
      </c>
      <c r="B191" s="19">
        <v>3.88</v>
      </c>
      <c r="C191" s="19">
        <v>0.87623495416439257</v>
      </c>
      <c r="F191" s="18" t="s">
        <v>102</v>
      </c>
      <c r="G191" s="19">
        <v>0.16499999999999915</v>
      </c>
      <c r="H191" s="19">
        <v>4.2944677020646971E-2</v>
      </c>
    </row>
    <row r="192" spans="1:8">
      <c r="A192" s="18" t="s">
        <v>958</v>
      </c>
      <c r="B192" s="19">
        <v>3.87</v>
      </c>
      <c r="C192" s="19">
        <v>0.86936456480838231</v>
      </c>
      <c r="F192" s="18" t="s">
        <v>101</v>
      </c>
      <c r="G192" s="19">
        <v>8.5000000000000853E-2</v>
      </c>
      <c r="H192" s="19">
        <v>-1.2201134658569313E-2</v>
      </c>
    </row>
    <row r="193" spans="1:8">
      <c r="A193" s="18" t="s">
        <v>986</v>
      </c>
      <c r="B193" s="19">
        <v>3.875</v>
      </c>
      <c r="C193" s="19">
        <v>0.90387693137009562</v>
      </c>
      <c r="F193" s="18" t="s">
        <v>100</v>
      </c>
      <c r="G193" s="19">
        <v>-5.5000000000000604E-2</v>
      </c>
      <c r="H193" s="19">
        <v>1.0566183220405811E-2</v>
      </c>
    </row>
    <row r="194" spans="1:8">
      <c r="A194" s="18" t="s">
        <v>966</v>
      </c>
      <c r="B194" s="19">
        <v>3.83</v>
      </c>
      <c r="C194" s="19">
        <v>0.899610927819392</v>
      </c>
      <c r="F194" s="18" t="s">
        <v>99</v>
      </c>
      <c r="G194" s="19">
        <v>-0.125</v>
      </c>
      <c r="H194" s="19">
        <v>6.0748870241318365E-3</v>
      </c>
    </row>
    <row r="195" spans="1:8">
      <c r="A195" s="18" t="s">
        <v>971</v>
      </c>
      <c r="B195" s="19">
        <v>3.85</v>
      </c>
      <c r="C195" s="19">
        <v>0.86312978072764812</v>
      </c>
      <c r="F195" s="18" t="s">
        <v>98</v>
      </c>
      <c r="G195" s="19">
        <v>4.9999999999999822E-2</v>
      </c>
      <c r="H195" s="19">
        <v>7.5126620338439309E-3</v>
      </c>
    </row>
    <row r="196" spans="1:8">
      <c r="A196" s="18" t="s">
        <v>976</v>
      </c>
      <c r="B196" s="19">
        <v>3.87</v>
      </c>
      <c r="C196" s="19">
        <v>0.87298623173157397</v>
      </c>
      <c r="F196" s="18" t="s">
        <v>97</v>
      </c>
      <c r="G196" s="19">
        <v>1.0000000000000675E-2</v>
      </c>
      <c r="H196" s="19">
        <v>2.3790643302703529E-3</v>
      </c>
    </row>
    <row r="197" spans="1:8">
      <c r="A197" s="18" t="s">
        <v>987</v>
      </c>
      <c r="B197" s="19">
        <v>3.86</v>
      </c>
      <c r="C197" s="19">
        <v>0.86144301748626795</v>
      </c>
      <c r="F197" s="18" t="s">
        <v>96</v>
      </c>
      <c r="G197" s="19">
        <v>-0.10000000000000053</v>
      </c>
      <c r="H197" s="19">
        <v>-2.8391843229846447E-2</v>
      </c>
    </row>
    <row r="198" spans="1:8">
      <c r="A198" s="18" t="s">
        <v>991</v>
      </c>
      <c r="B198" s="19">
        <v>3.9099999999999997</v>
      </c>
      <c r="C198" s="19">
        <v>0.875902626333664</v>
      </c>
      <c r="F198" s="18" t="s">
        <v>95</v>
      </c>
      <c r="G198" s="19">
        <v>-0.17999999999999972</v>
      </c>
      <c r="H198" s="19">
        <v>2.352408752862889E-2</v>
      </c>
    </row>
    <row r="199" spans="1:8">
      <c r="A199" s="18" t="s">
        <v>995</v>
      </c>
      <c r="B199" s="19">
        <v>3.87</v>
      </c>
      <c r="C199" s="19">
        <v>0.88815502678196001</v>
      </c>
      <c r="F199" s="18" t="s">
        <v>94</v>
      </c>
      <c r="G199" s="19">
        <v>-9.5000000000000639E-2</v>
      </c>
      <c r="H199" s="19">
        <v>2.7939906329887076E-2</v>
      </c>
    </row>
    <row r="200" spans="1:8">
      <c r="A200" s="18" t="s">
        <v>1000</v>
      </c>
      <c r="B200" s="19">
        <v>3.82</v>
      </c>
      <c r="C200" s="19">
        <v>0.94989804181903592</v>
      </c>
      <c r="F200" s="18" t="s">
        <v>93</v>
      </c>
      <c r="G200" s="19">
        <v>2.5000000000000355E-2</v>
      </c>
      <c r="H200" s="19">
        <v>-9.6153000518981457E-2</v>
      </c>
    </row>
    <row r="201" spans="1:8">
      <c r="A201" s="18" t="s">
        <v>1004</v>
      </c>
      <c r="B201" s="19">
        <v>3.71</v>
      </c>
      <c r="C201" s="19">
        <v>0.92584729351585482</v>
      </c>
      <c r="F201" s="18" t="s">
        <v>92</v>
      </c>
      <c r="G201" s="19">
        <v>6.0000000000000497E-2</v>
      </c>
      <c r="H201" s="19">
        <v>6.2946709263988154E-2</v>
      </c>
    </row>
    <row r="202" spans="1:8">
      <c r="A202" s="18" t="s">
        <v>1009</v>
      </c>
      <c r="B202" s="19">
        <v>3.69</v>
      </c>
      <c r="C202" s="19">
        <v>0.93208019459837388</v>
      </c>
      <c r="F202" s="18" t="s">
        <v>91</v>
      </c>
      <c r="G202" s="19">
        <v>-9.5000000000000639E-2</v>
      </c>
      <c r="H202" s="19">
        <v>-4.3613062932018831E-2</v>
      </c>
    </row>
    <row r="203" spans="1:8">
      <c r="A203" s="18" t="s">
        <v>1014</v>
      </c>
      <c r="B203" s="19">
        <v>3.62</v>
      </c>
      <c r="C203" s="19">
        <v>0.96099133410500004</v>
      </c>
      <c r="F203" s="18" t="s">
        <v>90</v>
      </c>
      <c r="G203" s="19">
        <v>0.20500000000000007</v>
      </c>
      <c r="H203" s="19">
        <v>-1.3611023990441673E-2</v>
      </c>
    </row>
    <row r="204" spans="1:8">
      <c r="A204" s="18" t="s">
        <v>1019</v>
      </c>
      <c r="B204" s="19">
        <v>3.5249999999999999</v>
      </c>
      <c r="C204" s="19">
        <v>0.9755902944607433</v>
      </c>
      <c r="F204" s="18" t="s">
        <v>89</v>
      </c>
      <c r="G204" s="19">
        <v>0</v>
      </c>
      <c r="H204" s="19">
        <v>2.1371237328701831E-2</v>
      </c>
    </row>
    <row r="205" spans="1:8">
      <c r="A205" s="18" t="s">
        <v>1023</v>
      </c>
      <c r="B205" s="19">
        <v>3.5249999999999999</v>
      </c>
      <c r="C205" s="19">
        <v>0.98749010289840466</v>
      </c>
      <c r="F205" s="18" t="s">
        <v>88</v>
      </c>
      <c r="G205" s="19">
        <v>1.0000000000000675E-2</v>
      </c>
      <c r="H205" s="19">
        <v>-1.5295127085029225E-2</v>
      </c>
    </row>
    <row r="206" spans="1:8">
      <c r="A206" s="18" t="s">
        <v>1028</v>
      </c>
      <c r="B206" s="19">
        <v>3.52</v>
      </c>
      <c r="C206" s="19">
        <v>0.98090021845741004</v>
      </c>
      <c r="F206" s="18" t="s">
        <v>87</v>
      </c>
      <c r="G206" s="19">
        <v>5.4999999999999716E-2</v>
      </c>
      <c r="H206" s="19">
        <v>6.1025799745038078E-3</v>
      </c>
    </row>
    <row r="207" spans="1:8">
      <c r="A207" s="18" t="s">
        <v>1033</v>
      </c>
      <c r="B207" s="19">
        <v>3.5150000000000001</v>
      </c>
      <c r="C207" s="19">
        <v>0.94898560229812201</v>
      </c>
      <c r="F207" s="18" t="s">
        <v>86</v>
      </c>
      <c r="G207" s="19">
        <v>-3.5000000000000142E-2</v>
      </c>
      <c r="H207" s="19">
        <v>1.4451422004711834E-2</v>
      </c>
    </row>
    <row r="208" spans="1:8">
      <c r="A208" s="18" t="s">
        <v>1038</v>
      </c>
      <c r="B208" s="19">
        <v>3.5550000000000002</v>
      </c>
      <c r="C208" s="19">
        <v>0.90289359115288592</v>
      </c>
      <c r="F208" s="18" t="s">
        <v>85</v>
      </c>
      <c r="G208" s="19">
        <v>-0.16500000000000004</v>
      </c>
      <c r="H208" s="19">
        <v>-8.8122502050165252E-3</v>
      </c>
    </row>
    <row r="209" spans="1:8">
      <c r="A209" s="18" t="s">
        <v>1043</v>
      </c>
      <c r="B209" s="19">
        <v>3.605</v>
      </c>
      <c r="C209" s="19">
        <v>0.87942559518201602</v>
      </c>
      <c r="F209" s="18" t="s">
        <v>84</v>
      </c>
      <c r="G209" s="19">
        <v>0.24500000000000011</v>
      </c>
      <c r="H209" s="19">
        <v>-6.0602954519493046E-3</v>
      </c>
    </row>
    <row r="210" spans="1:8">
      <c r="A210" s="18" t="s">
        <v>1048</v>
      </c>
      <c r="B210" s="19">
        <v>3.585</v>
      </c>
      <c r="C210" s="19">
        <v>0.90917936314590175</v>
      </c>
      <c r="F210" s="18" t="s">
        <v>982</v>
      </c>
      <c r="G210" s="19">
        <v>-0.19500000000000028</v>
      </c>
      <c r="H210" s="19">
        <v>-9.1323099763036542E-2</v>
      </c>
    </row>
    <row r="211" spans="1:8">
      <c r="A211" s="18" t="s">
        <v>1052</v>
      </c>
      <c r="B211" s="19">
        <v>3.585</v>
      </c>
      <c r="C211" s="19">
        <v>0.94850784650315312</v>
      </c>
      <c r="F211" s="18" t="s">
        <v>82</v>
      </c>
      <c r="G211" s="19">
        <v>0.5299999999999998</v>
      </c>
      <c r="H211" s="19">
        <v>0.10390468847599399</v>
      </c>
    </row>
    <row r="212" spans="1:8">
      <c r="A212" s="18" t="s">
        <v>1057</v>
      </c>
      <c r="B212" s="19">
        <v>3.4649999999999999</v>
      </c>
      <c r="C212" s="19">
        <v>0.94230167496133888</v>
      </c>
      <c r="F212" s="18" t="s">
        <v>81</v>
      </c>
      <c r="G212" s="19">
        <v>-2.4999999999999467E-2</v>
      </c>
      <c r="H212" s="19">
        <v>-3.3504556540371322E-2</v>
      </c>
    </row>
    <row r="213" spans="1:8">
      <c r="A213" s="18" t="s">
        <v>1062</v>
      </c>
      <c r="B213" s="19">
        <v>3.4550000000000001</v>
      </c>
      <c r="C213" s="19">
        <v>0.96247243810223182</v>
      </c>
      <c r="F213" s="18" t="s">
        <v>80</v>
      </c>
      <c r="G213" s="19">
        <v>6.999999999999984E-2</v>
      </c>
      <c r="H213" s="19">
        <v>3.6311864719709597E-2</v>
      </c>
    </row>
    <row r="214" spans="1:8">
      <c r="A214" s="18" t="s">
        <v>1067</v>
      </c>
      <c r="B214" s="19">
        <v>3.4899999999999998</v>
      </c>
      <c r="C214" s="19">
        <v>0.94834769078847136</v>
      </c>
      <c r="F214" s="18" t="s">
        <v>79</v>
      </c>
      <c r="G214" s="19">
        <v>7.4999999999999734E-2</v>
      </c>
      <c r="H214" s="19">
        <v>-7.0150426967292567E-3</v>
      </c>
    </row>
    <row r="215" spans="1:8">
      <c r="A215" s="18" t="s">
        <v>1072</v>
      </c>
      <c r="B215" s="19">
        <v>3.56</v>
      </c>
      <c r="C215" s="19">
        <v>0.90735927911730174</v>
      </c>
      <c r="F215" s="18" t="s">
        <v>78</v>
      </c>
      <c r="G215" s="19">
        <v>0.24500000000000055</v>
      </c>
      <c r="H215" s="19">
        <v>5.2974896741901034E-2</v>
      </c>
    </row>
    <row r="216" spans="1:8">
      <c r="A216" s="18" t="s">
        <v>1077</v>
      </c>
      <c r="B216" s="19">
        <v>3.51</v>
      </c>
      <c r="C216" s="19">
        <v>0.93901473766328758</v>
      </c>
      <c r="F216" s="18" t="s">
        <v>77</v>
      </c>
      <c r="G216" s="19">
        <v>8.0000000000000071E-2</v>
      </c>
      <c r="H216" s="19">
        <v>2.7124009259984483E-3</v>
      </c>
    </row>
    <row r="217" spans="1:8">
      <c r="A217" s="18" t="s">
        <v>1082</v>
      </c>
      <c r="B217" s="19">
        <v>3.4449999999999998</v>
      </c>
      <c r="C217" s="19">
        <v>0.93139308523528408</v>
      </c>
      <c r="F217" s="18" t="s">
        <v>76</v>
      </c>
      <c r="G217" s="19">
        <v>8.9999999999999858E-2</v>
      </c>
      <c r="H217" s="19">
        <v>-6.9411438102702228E-2</v>
      </c>
    </row>
    <row r="218" spans="1:8">
      <c r="A218" s="18" t="s">
        <v>1087</v>
      </c>
      <c r="B218" s="19">
        <v>3.48</v>
      </c>
      <c r="C218" s="19">
        <v>0.93137135924501591</v>
      </c>
      <c r="F218" s="18" t="s">
        <v>75</v>
      </c>
      <c r="G218" s="19">
        <v>6.999999999999984E-2</v>
      </c>
      <c r="H218" s="19">
        <v>-6.363868716046106E-3</v>
      </c>
    </row>
    <row r="219" spans="1:8">
      <c r="A219" s="18" t="s">
        <v>1092</v>
      </c>
      <c r="B219" s="19">
        <v>3.5150000000000001</v>
      </c>
      <c r="C219" s="19">
        <v>0.89462225309558807</v>
      </c>
      <c r="F219" s="18" t="s">
        <v>74</v>
      </c>
      <c r="G219" s="19">
        <v>-7.5000000000000178E-2</v>
      </c>
      <c r="H219" s="19">
        <v>-5.891221939620106E-3</v>
      </c>
    </row>
    <row r="220" spans="1:8">
      <c r="A220" s="18" t="s">
        <v>1096</v>
      </c>
      <c r="B220" s="19">
        <v>3.5350000000000001</v>
      </c>
      <c r="C220" s="19">
        <v>0.93519856292601267</v>
      </c>
      <c r="F220" s="18" t="s">
        <v>73</v>
      </c>
      <c r="G220" s="19">
        <v>1.5000000000000124E-2</v>
      </c>
      <c r="H220" s="19">
        <v>3.7181223280854159E-2</v>
      </c>
    </row>
    <row r="221" spans="1:8">
      <c r="A221" s="18" t="s">
        <v>1101</v>
      </c>
      <c r="B221" s="19">
        <v>3.4750000000000001</v>
      </c>
      <c r="C221" s="19">
        <v>0.95218299419774954</v>
      </c>
      <c r="F221" s="18" t="s">
        <v>72</v>
      </c>
      <c r="G221" s="19">
        <v>-4.5000000000000373E-2</v>
      </c>
      <c r="H221" s="19">
        <v>-2.3460030847256341E-2</v>
      </c>
    </row>
    <row r="222" spans="1:8">
      <c r="A222" s="18" t="s">
        <v>1106</v>
      </c>
      <c r="B222" s="19">
        <v>3.415</v>
      </c>
      <c r="C222" s="19">
        <v>0.94852570352587806</v>
      </c>
      <c r="F222" s="18" t="s">
        <v>71</v>
      </c>
      <c r="G222" s="19">
        <v>-0.10999999999999988</v>
      </c>
      <c r="H222" s="19">
        <v>3.2200698081092938E-3</v>
      </c>
    </row>
    <row r="223" spans="1:8">
      <c r="A223" s="18" t="s">
        <v>1111</v>
      </c>
      <c r="B223" s="19">
        <v>3.46</v>
      </c>
      <c r="C223" s="19">
        <v>0.97208037975313788</v>
      </c>
      <c r="F223" s="18" t="s">
        <v>70</v>
      </c>
      <c r="G223" s="19">
        <v>-2.9999999999999805E-2</v>
      </c>
      <c r="H223" s="19">
        <v>1.54772041123592E-2</v>
      </c>
    </row>
    <row r="224" spans="1:8">
      <c r="A224" s="18" t="s">
        <v>1116</v>
      </c>
      <c r="B224" s="19">
        <v>3.355</v>
      </c>
      <c r="C224" s="19">
        <v>0.99018948820538188</v>
      </c>
      <c r="F224" s="18" t="s">
        <v>69</v>
      </c>
      <c r="G224" s="19">
        <v>2.9999999999999805E-2</v>
      </c>
      <c r="H224" s="19">
        <v>3.9081107923121472E-2</v>
      </c>
    </row>
    <row r="225" spans="1:8">
      <c r="A225" s="18" t="s">
        <v>1120</v>
      </c>
      <c r="B225" s="19">
        <v>3.2850000000000001</v>
      </c>
      <c r="C225" s="19">
        <v>1.0735658724926154</v>
      </c>
      <c r="F225" s="18" t="s">
        <v>68</v>
      </c>
      <c r="G225" s="19">
        <v>-8.9999999999999858E-2</v>
      </c>
      <c r="H225" s="19">
        <v>-2.623323303379177E-2</v>
      </c>
    </row>
    <row r="226" spans="1:8">
      <c r="A226" s="18" t="s">
        <v>1125</v>
      </c>
      <c r="B226" s="19">
        <v>3.2949999999999999</v>
      </c>
      <c r="C226" s="19">
        <v>1.037797354015682</v>
      </c>
      <c r="F226" s="18" t="s">
        <v>67</v>
      </c>
      <c r="G226" s="19">
        <v>0.13500000000000023</v>
      </c>
      <c r="H226" s="19">
        <v>-2.0649839990721564E-2</v>
      </c>
    </row>
    <row r="227" spans="1:8">
      <c r="A227" s="18" t="s">
        <v>1130</v>
      </c>
      <c r="B227" s="19">
        <v>3.3250000000000002</v>
      </c>
      <c r="C227" s="19">
        <v>0.98469006528880598</v>
      </c>
      <c r="F227" s="18" t="s">
        <v>66</v>
      </c>
      <c r="G227" s="19">
        <v>-1.5000000000000124E-2</v>
      </c>
      <c r="H227" s="19">
        <v>1.0412750135500026E-2</v>
      </c>
    </row>
    <row r="228" spans="1:8">
      <c r="A228" s="18" t="s">
        <v>1135</v>
      </c>
      <c r="B228" s="19">
        <v>3.355</v>
      </c>
      <c r="C228" s="19">
        <v>0.98723561935022808</v>
      </c>
      <c r="F228" s="18" t="s">
        <v>65</v>
      </c>
      <c r="G228" s="19">
        <v>-5.0000000000000266E-2</v>
      </c>
      <c r="H228" s="19">
        <v>-7.8518353129148899E-3</v>
      </c>
    </row>
    <row r="229" spans="1:8">
      <c r="A229" s="18" t="s">
        <v>1140</v>
      </c>
      <c r="B229" s="19">
        <v>3.3050000000000002</v>
      </c>
      <c r="C229" s="19">
        <v>0.99665005488915215</v>
      </c>
      <c r="F229" s="18" t="s">
        <v>64</v>
      </c>
      <c r="G229" s="19">
        <v>3.0000000000000249E-2</v>
      </c>
      <c r="H229" s="19">
        <v>-6.215769860735243E-3</v>
      </c>
    </row>
    <row r="230" spans="1:8">
      <c r="A230" s="18" t="s">
        <v>1145</v>
      </c>
      <c r="B230" s="19">
        <v>3.3250000000000002</v>
      </c>
      <c r="C230" s="19">
        <v>0.9945243470140821</v>
      </c>
      <c r="F230" s="18" t="s">
        <v>63</v>
      </c>
      <c r="G230" s="19">
        <v>0</v>
      </c>
      <c r="H230" s="19">
        <v>-1.3965243528286209E-2</v>
      </c>
    </row>
    <row r="231" spans="1:8">
      <c r="A231" s="18" t="s">
        <v>1150</v>
      </c>
      <c r="B231" s="19">
        <v>3.3050000000000002</v>
      </c>
      <c r="C231" s="19">
        <v>0.96204881830722577</v>
      </c>
      <c r="F231" s="18" t="s">
        <v>62</v>
      </c>
      <c r="G231" s="19">
        <v>2.5000000000000355E-2</v>
      </c>
      <c r="H231" s="19">
        <v>-4.1316893595105597E-2</v>
      </c>
    </row>
    <row r="232" spans="1:8">
      <c r="A232" s="18" t="s">
        <v>1155</v>
      </c>
      <c r="B232" s="19">
        <v>3.33</v>
      </c>
      <c r="C232" s="19">
        <v>0.98171953969376968</v>
      </c>
      <c r="F232" s="18" t="s">
        <v>61</v>
      </c>
      <c r="G232" s="19">
        <v>0.10999999999999988</v>
      </c>
      <c r="H232" s="19">
        <v>-4.6155828307700375E-2</v>
      </c>
    </row>
    <row r="233" spans="1:8">
      <c r="A233" s="18" t="s">
        <v>1160</v>
      </c>
      <c r="B233" s="19">
        <v>3.335</v>
      </c>
      <c r="C233" s="19">
        <v>0.96508275197817595</v>
      </c>
      <c r="F233" s="18" t="s">
        <v>60</v>
      </c>
      <c r="G233" s="19">
        <v>4.0000000000000036E-2</v>
      </c>
      <c r="H233" s="19">
        <v>-2.2848657538059758E-2</v>
      </c>
    </row>
    <row r="234" spans="1:8">
      <c r="A234" s="18" t="s">
        <v>1164</v>
      </c>
      <c r="B234" s="19">
        <v>3.34</v>
      </c>
      <c r="C234" s="19">
        <v>0.97208936427686243</v>
      </c>
      <c r="F234" s="18" t="s">
        <v>59</v>
      </c>
      <c r="G234" s="19">
        <v>-2.0000000000000018E-2</v>
      </c>
      <c r="H234" s="19">
        <v>-4.2385436517378139E-4</v>
      </c>
    </row>
    <row r="235" spans="1:8">
      <c r="A235" s="18" t="s">
        <v>1169</v>
      </c>
      <c r="B235" s="19">
        <v>3.375</v>
      </c>
      <c r="C235" s="19">
        <v>0.93586808956743406</v>
      </c>
      <c r="F235" s="18" t="s">
        <v>58</v>
      </c>
      <c r="G235" s="19">
        <v>6.0000000000000053E-2</v>
      </c>
      <c r="H235" s="19">
        <v>-9.2364655979246368E-2</v>
      </c>
    </row>
    <row r="236" spans="1:8">
      <c r="A236" s="18" t="s">
        <v>1174</v>
      </c>
      <c r="B236" s="19">
        <v>3.38</v>
      </c>
      <c r="C236" s="19">
        <v>0.92115160869279222</v>
      </c>
      <c r="F236" s="18" t="s">
        <v>57</v>
      </c>
      <c r="G236" s="19">
        <v>-1.0000000000000231E-2</v>
      </c>
      <c r="H236" s="19">
        <v>5.9149788305967732E-4</v>
      </c>
    </row>
    <row r="237" spans="1:8">
      <c r="A237" s="18" t="s">
        <v>1179</v>
      </c>
      <c r="B237" s="19">
        <v>3.2949999999999999</v>
      </c>
      <c r="C237" s="19">
        <v>0.95124142083594565</v>
      </c>
      <c r="F237" s="18" t="s">
        <v>56</v>
      </c>
      <c r="G237" s="19">
        <v>-2.0000000000000018E-2</v>
      </c>
      <c r="H237" s="19">
        <v>1.2079462896374515E-2</v>
      </c>
    </row>
    <row r="238" spans="1:8">
      <c r="A238" s="18" t="s">
        <v>1184</v>
      </c>
      <c r="B238" s="19">
        <v>3.2949999999999999</v>
      </c>
      <c r="C238" s="19">
        <v>0.92620506460670349</v>
      </c>
      <c r="F238" s="18" t="s">
        <v>55</v>
      </c>
      <c r="G238" s="19">
        <v>5.0000000000000266E-2</v>
      </c>
      <c r="H238" s="19">
        <v>-1.1416186517132054E-2</v>
      </c>
    </row>
    <row r="239" spans="1:8">
      <c r="A239" s="18" t="s">
        <v>1188</v>
      </c>
      <c r="B239" s="19">
        <v>3.37</v>
      </c>
      <c r="C239" s="19">
        <v>0.90588785273436301</v>
      </c>
      <c r="F239" s="18" t="s">
        <v>54</v>
      </c>
      <c r="G239" s="19">
        <v>-2.0000000000000018E-2</v>
      </c>
      <c r="H239" s="19">
        <v>-8.3500915316224056E-2</v>
      </c>
    </row>
    <row r="240" spans="1:8">
      <c r="A240" s="18" t="s">
        <v>1193</v>
      </c>
      <c r="B240" s="19">
        <v>3.395</v>
      </c>
      <c r="C240" s="19">
        <v>0.91980968494587811</v>
      </c>
      <c r="F240" s="18" t="s">
        <v>53</v>
      </c>
      <c r="G240" s="19">
        <v>-5.0000000000003375E-3</v>
      </c>
      <c r="H240" s="19">
        <v>2.6502258713524185E-2</v>
      </c>
    </row>
    <row r="241" spans="1:8">
      <c r="A241" s="18" t="s">
        <v>1198</v>
      </c>
      <c r="B241" s="19">
        <v>3.37</v>
      </c>
      <c r="C241" s="19">
        <v>0.90511955976279213</v>
      </c>
      <c r="F241" s="18" t="s">
        <v>52</v>
      </c>
      <c r="G241" s="19">
        <v>3.5000000000000142E-2</v>
      </c>
      <c r="H241" s="19">
        <v>3.4302835101107654E-2</v>
      </c>
    </row>
    <row r="242" spans="1:8">
      <c r="A242" s="18" t="s">
        <v>1204</v>
      </c>
      <c r="B242" s="19">
        <v>3.415</v>
      </c>
      <c r="C242" s="19">
        <v>0.88488060414335834</v>
      </c>
      <c r="F242" s="18" t="s">
        <v>981</v>
      </c>
      <c r="G242" s="19">
        <v>-2.9999999999999805E-2</v>
      </c>
      <c r="H242" s="19">
        <v>-5.4976444712972583E-2</v>
      </c>
    </row>
    <row r="243" spans="1:8">
      <c r="A243" s="18" t="s">
        <v>1209</v>
      </c>
      <c r="B243" s="19">
        <v>3.4449999999999998</v>
      </c>
      <c r="C243" s="19">
        <v>0.8584733617448137</v>
      </c>
      <c r="F243" s="18" t="s">
        <v>50</v>
      </c>
      <c r="G243" s="19">
        <v>-6.0000000000000053E-2</v>
      </c>
      <c r="H243" s="19">
        <v>4.1610162704350806E-2</v>
      </c>
    </row>
    <row r="244" spans="1:8">
      <c r="A244" s="18" t="s">
        <v>1213</v>
      </c>
      <c r="B244" s="19">
        <v>3.8149999999999999</v>
      </c>
      <c r="C244" s="19">
        <v>0.90773422124067249</v>
      </c>
      <c r="F244" s="18" t="s">
        <v>49</v>
      </c>
      <c r="G244" s="19">
        <v>9.9999999999997868E-3</v>
      </c>
      <c r="H244" s="19">
        <v>2.7263984230214255E-2</v>
      </c>
    </row>
    <row r="245" spans="1:8">
      <c r="A245" s="18" t="s">
        <v>1218</v>
      </c>
      <c r="B245" s="19">
        <v>3.9050000000000002</v>
      </c>
      <c r="C245" s="19">
        <v>0.87731262305362634</v>
      </c>
      <c r="F245" s="18" t="s">
        <v>48</v>
      </c>
      <c r="G245" s="19">
        <v>-2.0000000000000018E-2</v>
      </c>
      <c r="H245" s="19">
        <v>-1.4965345548092479E-2</v>
      </c>
    </row>
    <row r="246" spans="1:8">
      <c r="A246" s="18" t="s">
        <v>1222</v>
      </c>
      <c r="B246" s="19">
        <v>3.9550000000000001</v>
      </c>
      <c r="C246" s="19">
        <v>0.90524767330484757</v>
      </c>
      <c r="F246" s="18" t="s">
        <v>47</v>
      </c>
      <c r="G246" s="19">
        <v>4.0000000000000036E-2</v>
      </c>
      <c r="H246" s="19">
        <v>-9.2064425735708166E-2</v>
      </c>
    </row>
    <row r="247" spans="1:8">
      <c r="A247" s="18" t="s">
        <v>1227</v>
      </c>
      <c r="B247" s="19">
        <v>4.0049999999999999</v>
      </c>
      <c r="C247" s="19">
        <v>0.92185342194210973</v>
      </c>
      <c r="F247" s="18" t="s">
        <v>46</v>
      </c>
      <c r="G247" s="19">
        <v>-2.0000000000000018E-2</v>
      </c>
      <c r="H247" s="19">
        <v>-9.7932950605241764E-3</v>
      </c>
    </row>
    <row r="248" spans="1:8">
      <c r="A248" s="18" t="s">
        <v>1232</v>
      </c>
      <c r="B248" s="19">
        <v>4.0350000000000001</v>
      </c>
      <c r="C248" s="19">
        <v>0.88893752261056624</v>
      </c>
      <c r="F248" s="18" t="s">
        <v>45</v>
      </c>
      <c r="G248" s="19">
        <v>5.500000000000016E-2</v>
      </c>
      <c r="H248" s="19">
        <v>-3.9932378332077523E-2</v>
      </c>
    </row>
    <row r="249" spans="1:8">
      <c r="A249" s="18" t="s">
        <v>1237</v>
      </c>
      <c r="B249" s="19">
        <v>4.1749999999999998</v>
      </c>
      <c r="C249" s="19">
        <v>0.88370808502503184</v>
      </c>
      <c r="F249" s="18" t="s">
        <v>44</v>
      </c>
      <c r="G249" s="19">
        <v>-4.0000000000000036E-2</v>
      </c>
      <c r="H249" s="19">
        <v>2.3898615520334232E-2</v>
      </c>
    </row>
    <row r="250" spans="1:8">
      <c r="A250" s="18" t="s">
        <v>1241</v>
      </c>
      <c r="B250" s="19">
        <v>4.1950000000000003</v>
      </c>
      <c r="C250" s="19">
        <v>0.94730744414890777</v>
      </c>
      <c r="F250" s="18" t="s">
        <v>43</v>
      </c>
      <c r="G250" s="19">
        <v>-9.0000000000000302E-2</v>
      </c>
      <c r="H250" s="19">
        <v>0.10445627365387544</v>
      </c>
    </row>
    <row r="251" spans="1:8">
      <c r="A251" s="18" t="s">
        <v>1245</v>
      </c>
      <c r="B251" s="19">
        <v>4.0750000000000002</v>
      </c>
      <c r="C251" s="19">
        <v>0.9474160854844027</v>
      </c>
      <c r="F251" s="18" t="s">
        <v>42</v>
      </c>
      <c r="G251" s="19">
        <v>-5.9999999999999609E-2</v>
      </c>
      <c r="H251" s="19">
        <v>9.9040217172706502E-2</v>
      </c>
    </row>
    <row r="252" spans="1:8">
      <c r="A252" s="18" t="s">
        <v>1250</v>
      </c>
      <c r="B252" s="19">
        <v>3.9950000000000001</v>
      </c>
      <c r="C252" s="19">
        <v>0.92485446392402393</v>
      </c>
      <c r="F252" s="18" t="s">
        <v>41</v>
      </c>
      <c r="G252" s="19">
        <v>-2.4999999999999911E-2</v>
      </c>
      <c r="H252" s="19">
        <v>-3.5611811809371119E-2</v>
      </c>
    </row>
    <row r="253" spans="1:8">
      <c r="A253" s="18" t="s">
        <v>1254</v>
      </c>
      <c r="B253" s="19">
        <v>3.9649999999999999</v>
      </c>
      <c r="C253" s="19">
        <v>0.89197298289928284</v>
      </c>
      <c r="F253" s="18" t="s">
        <v>40</v>
      </c>
      <c r="G253" s="19">
        <v>-1.5000000000000124E-2</v>
      </c>
      <c r="H253" s="19">
        <v>3.7749756067351203E-2</v>
      </c>
    </row>
    <row r="254" spans="1:8">
      <c r="A254" s="18" t="s">
        <v>1259</v>
      </c>
      <c r="B254" s="19">
        <v>4.04</v>
      </c>
      <c r="C254" s="19">
        <v>0.86035015234781387</v>
      </c>
      <c r="F254" s="18" t="s">
        <v>39</v>
      </c>
      <c r="G254" s="19">
        <v>-9.5000000000000195E-2</v>
      </c>
      <c r="H254" s="19">
        <v>6.9899374988171559E-2</v>
      </c>
    </row>
    <row r="255" spans="1:8">
      <c r="A255" s="18" t="s">
        <v>1264</v>
      </c>
      <c r="B255" s="19">
        <v>4.0650000000000004</v>
      </c>
      <c r="C255" s="19">
        <v>0.87561313617701186</v>
      </c>
      <c r="F255" s="18" t="s">
        <v>38</v>
      </c>
      <c r="G255" s="19">
        <v>6.4999999999999947E-2</v>
      </c>
      <c r="H255" s="19">
        <v>-5.4477831103928231E-2</v>
      </c>
    </row>
    <row r="256" spans="1:8">
      <c r="A256" s="18" t="s">
        <v>1269</v>
      </c>
      <c r="B256" s="19">
        <v>4.0199999999999996</v>
      </c>
      <c r="C256" s="19">
        <v>0.88650682531750347</v>
      </c>
      <c r="F256" s="18" t="s">
        <v>37</v>
      </c>
      <c r="G256" s="19">
        <v>3.0000000000000249E-2</v>
      </c>
      <c r="H256" s="19">
        <v>-4.5238848591617753E-2</v>
      </c>
    </row>
    <row r="257" spans="1:8">
      <c r="A257" s="18" t="s">
        <v>1274</v>
      </c>
      <c r="B257" s="19">
        <v>4.0250000000000004</v>
      </c>
      <c r="C257" s="19">
        <v>0.86874414258515431</v>
      </c>
      <c r="F257" s="18" t="s">
        <v>36</v>
      </c>
      <c r="G257" s="19">
        <v>1.5000000000000124E-2</v>
      </c>
      <c r="H257" s="19">
        <v>-4.8794455748534027E-2</v>
      </c>
    </row>
    <row r="258" spans="1:8">
      <c r="A258" s="18" t="s">
        <v>1278</v>
      </c>
      <c r="B258" s="19">
        <v>4.0350000000000001</v>
      </c>
      <c r="C258" s="19">
        <v>0.88107535813014515</v>
      </c>
      <c r="F258" s="18" t="s">
        <v>35</v>
      </c>
      <c r="G258" s="19">
        <v>5.9999999999999609E-2</v>
      </c>
      <c r="H258" s="19">
        <v>6.5090149921398499E-3</v>
      </c>
    </row>
    <row r="259" spans="1:8">
      <c r="A259" s="18" t="s">
        <v>1283</v>
      </c>
      <c r="B259" s="19">
        <v>3.9749999999999996</v>
      </c>
      <c r="C259" s="19">
        <v>0.85735043819388768</v>
      </c>
      <c r="F259" s="18" t="s">
        <v>34</v>
      </c>
      <c r="G259" s="19">
        <v>-3.9999999999999591E-2</v>
      </c>
      <c r="H259" s="19">
        <v>7.2971579319910607E-2</v>
      </c>
    </row>
    <row r="260" spans="1:8">
      <c r="A260" s="18" t="s">
        <v>1288</v>
      </c>
      <c r="B260" s="19">
        <v>4.085</v>
      </c>
      <c r="C260" s="19">
        <v>0.84166725186550151</v>
      </c>
      <c r="F260" s="18" t="s">
        <v>33</v>
      </c>
      <c r="G260" s="19">
        <v>-3.0000000000000249E-2</v>
      </c>
      <c r="H260" s="19">
        <v>1.9230793906715782E-2</v>
      </c>
    </row>
    <row r="261" spans="1:8">
      <c r="A261" s="18" t="s">
        <v>1293</v>
      </c>
      <c r="B261" s="19">
        <v>4.1749999999999998</v>
      </c>
      <c r="C261" s="19">
        <v>0.85260067426625152</v>
      </c>
      <c r="F261" s="18" t="s">
        <v>32</v>
      </c>
      <c r="G261" s="19">
        <v>-8.5000000000000409E-2</v>
      </c>
      <c r="H261" s="19">
        <v>2.7446404240905053E-2</v>
      </c>
    </row>
    <row r="262" spans="1:8">
      <c r="A262" s="18" t="s">
        <v>1298</v>
      </c>
      <c r="B262" s="19">
        <v>4.1050000000000004</v>
      </c>
      <c r="C262" s="19">
        <v>0.90124471058864231</v>
      </c>
      <c r="F262" s="18" t="s">
        <v>177</v>
      </c>
      <c r="G262" s="19">
        <v>-1.499999999999968E-2</v>
      </c>
      <c r="H262" s="19">
        <v>2.2338837434740633E-2</v>
      </c>
    </row>
    <row r="263" spans="1:8">
      <c r="A263" s="18" t="s">
        <v>1303</v>
      </c>
      <c r="B263" s="19">
        <v>4.0149999999999997</v>
      </c>
      <c r="C263" s="19">
        <v>0.8620916580372513</v>
      </c>
      <c r="F263" s="18" t="s">
        <v>31</v>
      </c>
      <c r="G263" s="19">
        <v>0</v>
      </c>
      <c r="H263" s="19">
        <v>2.9903955326817666E-3</v>
      </c>
    </row>
    <row r="264" spans="1:8">
      <c r="A264" s="18" t="s">
        <v>1308</v>
      </c>
      <c r="B264" s="19">
        <v>3.9749999999999996</v>
      </c>
      <c r="C264" s="19">
        <v>0.85702989930147888</v>
      </c>
      <c r="F264" s="18" t="s">
        <v>30</v>
      </c>
      <c r="G264" s="19">
        <v>-4.9999999999999822E-2</v>
      </c>
      <c r="H264" s="19">
        <v>2.8708547679383578E-3</v>
      </c>
    </row>
    <row r="265" spans="1:8">
      <c r="A265" s="18" t="s">
        <v>1313</v>
      </c>
      <c r="B265" s="19">
        <v>3.9550000000000001</v>
      </c>
      <c r="C265" s="19">
        <v>0.87661473916072197</v>
      </c>
      <c r="F265" s="18" t="s">
        <v>29</v>
      </c>
      <c r="G265" s="19">
        <v>4.0000000000000036E-2</v>
      </c>
      <c r="H265" s="19">
        <v>6.8554838179983868E-3</v>
      </c>
    </row>
    <row r="266" spans="1:8">
      <c r="A266" s="18" t="s">
        <v>1317</v>
      </c>
      <c r="B266" s="19">
        <v>3.8450000000000002</v>
      </c>
      <c r="C266" s="19">
        <v>0.88658621422266304</v>
      </c>
      <c r="F266" s="18" t="s">
        <v>28</v>
      </c>
      <c r="G266" s="19">
        <v>-0.10500000000000043</v>
      </c>
      <c r="H266" s="19">
        <v>4.2106000429136259E-3</v>
      </c>
    </row>
    <row r="267" spans="1:8">
      <c r="A267" s="18" t="s">
        <v>1322</v>
      </c>
      <c r="B267" s="19">
        <v>3.9050000000000002</v>
      </c>
      <c r="C267" s="19">
        <v>0.87823974631429813</v>
      </c>
      <c r="F267" s="18" t="s">
        <v>27</v>
      </c>
      <c r="G267" s="19">
        <v>-2.9999999999999805E-2</v>
      </c>
      <c r="H267" s="19">
        <v>-5.745540944120231E-2</v>
      </c>
    </row>
    <row r="268" spans="1:8">
      <c r="A268" s="18" t="s">
        <v>1327</v>
      </c>
      <c r="B268" s="19">
        <v>3.8949999999999996</v>
      </c>
      <c r="C268" s="19">
        <v>0.85938241926992953</v>
      </c>
      <c r="F268" s="18" t="s">
        <v>26</v>
      </c>
      <c r="G268" s="19">
        <v>1.5000000000000124E-2</v>
      </c>
      <c r="H268" s="19">
        <v>8.0108035679996803E-2</v>
      </c>
    </row>
    <row r="269" spans="1:8">
      <c r="A269" s="18" t="s">
        <v>1332</v>
      </c>
      <c r="B269" s="19">
        <v>3.9249999999999998</v>
      </c>
      <c r="C269" s="19">
        <v>0.82247325028628548</v>
      </c>
      <c r="F269" s="18" t="s">
        <v>25</v>
      </c>
      <c r="G269" s="19">
        <v>-4.0000000000000036E-2</v>
      </c>
      <c r="H269" s="19">
        <v>3.1289041270891271E-2</v>
      </c>
    </row>
    <row r="270" spans="1:8">
      <c r="A270" s="18" t="s">
        <v>1337</v>
      </c>
      <c r="B270" s="19">
        <v>3.8949999999999996</v>
      </c>
      <c r="C270" s="19">
        <v>0.85493656794160744</v>
      </c>
      <c r="F270" s="18" t="s">
        <v>24</v>
      </c>
      <c r="G270" s="19">
        <v>-3.5000000000000142E-2</v>
      </c>
      <c r="H270" s="19">
        <v>-1.1649285300963985E-2</v>
      </c>
    </row>
    <row r="271" spans="1:8">
      <c r="A271" s="18" t="s">
        <v>1342</v>
      </c>
      <c r="B271" s="19">
        <v>3.8250000000000002</v>
      </c>
      <c r="C271" s="19">
        <v>0.84272047965754027</v>
      </c>
      <c r="F271" s="18" t="s">
        <v>23</v>
      </c>
      <c r="G271" s="19">
        <v>-1.499999999999968E-2</v>
      </c>
      <c r="H271" s="19">
        <v>4.6178941458041578E-3</v>
      </c>
    </row>
    <row r="272" spans="1:8">
      <c r="A272" s="18" t="s">
        <v>1346</v>
      </c>
      <c r="B272" s="19">
        <v>3.8149999999999999</v>
      </c>
      <c r="C272" s="19">
        <v>0.86664703584267988</v>
      </c>
      <c r="F272" s="18" t="s">
        <v>22</v>
      </c>
      <c r="G272" s="19">
        <v>-4.5000000000000373E-2</v>
      </c>
      <c r="H272" s="19">
        <v>-9.2621130365211357E-4</v>
      </c>
    </row>
    <row r="273" spans="1:8">
      <c r="A273" s="18" t="s">
        <v>1351</v>
      </c>
      <c r="B273" s="19">
        <v>3.7650000000000001</v>
      </c>
      <c r="C273" s="19">
        <v>0.8567737565426099</v>
      </c>
      <c r="F273" s="18" t="s">
        <v>21</v>
      </c>
      <c r="G273" s="19">
        <v>4.5000000000000373E-2</v>
      </c>
      <c r="H273" s="19">
        <v>5.1522929345100721E-2</v>
      </c>
    </row>
    <row r="274" spans="1:8">
      <c r="A274" s="18" t="s">
        <v>1356</v>
      </c>
      <c r="B274" s="19">
        <v>3.7850000000000001</v>
      </c>
      <c r="C274" s="19">
        <v>0.86677283534917215</v>
      </c>
      <c r="F274" s="18" t="s">
        <v>20</v>
      </c>
      <c r="G274" s="19" t="e">
        <v>#VALUE!</v>
      </c>
      <c r="H274" s="19" t="e">
        <v>#VALUE!</v>
      </c>
    </row>
    <row r="275" spans="1:8">
      <c r="A275" s="18" t="s">
        <v>726</v>
      </c>
      <c r="B275" s="19">
        <v>3.7839483394833948</v>
      </c>
      <c r="C275" s="19">
        <v>0.91534856990310687</v>
      </c>
      <c r="F275" s="18" t="s">
        <v>726</v>
      </c>
      <c r="G275" s="19" t="e">
        <v>#VALUE!</v>
      </c>
      <c r="H275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18"/>
  <sheetViews>
    <sheetView workbookViewId="0">
      <selection activeCell="G14" sqref="G14"/>
    </sheetView>
  </sheetViews>
  <sheetFormatPr defaultRowHeight="15"/>
  <cols>
    <col min="2" max="9" width="17" customWidth="1"/>
  </cols>
  <sheetData>
    <row r="1" spans="2:9">
      <c r="G1" s="10"/>
    </row>
    <row r="2" spans="2:9">
      <c r="D2" s="10">
        <f>LastAvailableDate</f>
        <v>42900</v>
      </c>
      <c r="E2" s="10">
        <f>WORKDAY(LastAvailableDate,-5,)</f>
        <v>42893</v>
      </c>
      <c r="F2" s="10">
        <f>WORKDAY(LastAvailableDate,-21,0)+1</f>
        <v>42872</v>
      </c>
      <c r="G2" s="10">
        <f>WORKDAY(LastAvailableDate,-66,0) +1</f>
        <v>42809</v>
      </c>
      <c r="H2" s="10">
        <f>WORKDAY(LastAvailableDate,-110,0)</f>
        <v>42746</v>
      </c>
      <c r="I2" s="10">
        <f>WORKDAY(LastAvailableDate,-235,0)</f>
        <v>42571</v>
      </c>
    </row>
    <row r="3" spans="2:9">
      <c r="B3" s="22"/>
      <c r="C3" s="22" t="s">
        <v>18</v>
      </c>
      <c r="D3" s="26" t="s">
        <v>738</v>
      </c>
      <c r="E3" s="27" t="s">
        <v>739</v>
      </c>
      <c r="F3" s="29" t="s">
        <v>740</v>
      </c>
      <c r="G3" s="30" t="s">
        <v>741</v>
      </c>
      <c r="H3" s="27" t="s">
        <v>742</v>
      </c>
      <c r="I3" s="22" t="s">
        <v>743</v>
      </c>
    </row>
    <row r="4" spans="2:9">
      <c r="B4" s="25" t="s">
        <v>731</v>
      </c>
      <c r="C4" s="31">
        <f>VLOOKUP(TEXT(LastAvailableDate,"yyyy-mm-dd"),CurrentMtgRatesDataTable8[#All],3,0)</f>
        <v>3.7850000000000001</v>
      </c>
      <c r="D4" s="28">
        <f>IF(ISNA(VLOOKUP(TEXT(D2,"yyyy-mm-dd"),CurrentMtgRatesDataTable8[#All],3,0)),VLOOKUP(TEXT(D2-1,"yyyy-mm-dd"),CurrentMtgRatesDataTable8[#All],3,0),VLOOKUP(TEXT(D2,"yyyy-mm-dd"),CurrentMtgRatesDataTable8[#All],3,0))</f>
        <v>3.7850000000000001</v>
      </c>
      <c r="E4" s="28">
        <f>IF(ISNA(VLOOKUP(TEXT(E2,"yyyy-mm-dd"),CurrentMtgRatesDataTable8[#All],3,0)),VLOOKUP(TEXT(E2-1,"yyyy-mm-dd"),CurrentMtgRatesDataTable8[#All],3,0),VLOOKUP(TEXT(E2,"yyyy-mm-dd"),CurrentMtgRatesDataTable8[#All],3,0))</f>
        <v>3.7650000000000001</v>
      </c>
      <c r="F4" s="28">
        <f>IF(ISNA(VLOOKUP(TEXT(F2,"yyyy-mm-dd"),CurrentMtgRatesDataTable8[#All],3,0)),VLOOKUP(TEXT(F2-1,"yyyy-mm-dd"),CurrentMtgRatesDataTable8[#All],3,0),VLOOKUP(TEXT(F2,"yyyy-mm-dd"),CurrentMtgRatesDataTable8[#All],3,0))</f>
        <v>3.8949999999999996</v>
      </c>
      <c r="G4" s="28">
        <f>IF(ISNA(VLOOKUP(TEXT(G2,"yyyy-mm-dd"),CurrentMtgRatesDataTable8[#All],3,0)),VLOOKUP(TEXT(G2-1,"yyyy-mm-dd"),CurrentMtgRatesDataTable8[#All],3,0),VLOOKUP(TEXT(G2,"yyyy-mm-dd"),CurrentMtgRatesDataTable8[#All],3,0))</f>
        <v>4.1749999999999998</v>
      </c>
      <c r="H4" s="28">
        <f>IF(ISNA(VLOOKUP(TEXT(H2,"yyyy-mm-dd"),CurrentMtgRatesDataTable8[#All],3,0)),VLOOKUP(TEXT(H2-1,"yyyy-mm-dd"),CurrentMtgRatesDataTable8[#All],3,0),VLOOKUP(TEXT(H2,"yyyy-mm-dd"),CurrentMtgRatesDataTable8[#All],3,0))</f>
        <v>3.9950000000000001</v>
      </c>
      <c r="I4" s="28">
        <f>IF(ISNA(VLOOKUP(TEXT(I2,"yyyy-mm-dd"),CurrentMtgRatesDataTable8[#All],3,0)),VLOOKUP(TEXT(I2-1,"yyyy-mm-dd"),CurrentMtgRatesDataTable8[#All],3,0),VLOOKUP(TEXT(I2,"yyyy-mm-dd"),CurrentMtgRatesDataTable8[#All],3,0))</f>
        <v>3.3250000000000002</v>
      </c>
    </row>
    <row r="5" spans="2:9">
      <c r="B5" s="25" t="s">
        <v>730</v>
      </c>
      <c r="C5" s="24">
        <f>VLOOKUP(TEXT(LastAvailableDate,"yyyy-mm-dd"),CurrentMtgRatesDataTable8[#All],11,0)</f>
        <v>0.86677283534917215</v>
      </c>
      <c r="D5" s="28">
        <f>IF(ISNA(VLOOKUP(TEXT(D2,"yyyy-mm-dd"),CurrentMtgRatesDataTable8[#All],11,0)),VLOOKUP(TEXT(D2-1,"yyyy-mm-dd"),CurrentMtgRatesDataTable8[#All],11,0),VLOOKUP(TEXT(D2,"yyyy-mm-dd"),CurrentMtgRatesDataTable8[#All],11,0))</f>
        <v>0.86677283534917215</v>
      </c>
      <c r="E5" s="28">
        <f>IF(ISNA(VLOOKUP(TEXT(E2,"yyyy-mm-dd"),CurrentMtgRatesDataTable8[#All],11,0)),VLOOKUP(TEXT(E2-1,"yyyy-mm-dd"),CurrentMtgRatesDataTable8[#All],11,0),VLOOKUP(TEXT(E2,"yyyy-mm-dd"),CurrentMtgRatesDataTable8[#All],11,0))</f>
        <v>0.8567737565426099</v>
      </c>
      <c r="F5" s="28">
        <f>IF(ISNA(VLOOKUP(TEXT(F2,"yyyy-mm-dd"),CurrentMtgRatesDataTable8[#All],11,0)),VLOOKUP(TEXT(F2-1,"yyyy-mm-dd"),CurrentMtgRatesDataTable8[#All],11,0),VLOOKUP(TEXT(F2,"yyyy-mm-dd"),CurrentMtgRatesDataTable8[#All],11,0))</f>
        <v>0.85493656794160744</v>
      </c>
      <c r="G5" s="28">
        <f>IF(ISNA(VLOOKUP(TEXT(G2,"yyyy-mm-dd"),CurrentMtgRatesDataTable8[#All],11,0)),VLOOKUP(TEXT(G2-1,"yyyy-mm-dd"),CurrentMtgRatesDataTable8[#All],11,0),VLOOKUP(TEXT(G2,"yyyy-mm-dd"),CurrentMtgRatesDataTable8[#All],11,0))</f>
        <v>0.85260067426625152</v>
      </c>
      <c r="H5" s="28">
        <f>IF(ISNA(VLOOKUP(TEXT(H2,"yyyy-mm-dd"),CurrentMtgRatesDataTable8[#All],11,0)),VLOOKUP(TEXT(H2-1,"yyyy-mm-dd"),CurrentMtgRatesDataTable8[#All],11,0),VLOOKUP(TEXT(H2,"yyyy-mm-dd"),CurrentMtgRatesDataTable8[#All],11,0))</f>
        <v>0.92485446392402393</v>
      </c>
      <c r="I5" s="28">
        <f>IF(ISNA(VLOOKUP(TEXT(I2,"yyyy-mm-dd"),CurrentMtgRatesDataTable8[#All],11,0)),VLOOKUP(TEXT(I2-1,"yyyy-mm-dd"),CurrentMtgRatesDataTable8[#All],11,0),VLOOKUP(TEXT(I2,"yyyy-mm-dd"),CurrentMtgRatesDataTable8[#All],11,0))</f>
        <v>0.98469006528880598</v>
      </c>
    </row>
    <row r="9" spans="2:9">
      <c r="B9" t="s">
        <v>779</v>
      </c>
      <c r="C9" t="s">
        <v>782</v>
      </c>
      <c r="D9" t="s">
        <v>783</v>
      </c>
    </row>
    <row r="10" spans="2:9">
      <c r="B10" t="str">
        <f>'Dynamic Pivot'!$F$4</f>
        <v>2017-06-14</v>
      </c>
      <c r="C10" s="42">
        <f>'Dynamic Pivot'!$H4*100</f>
        <v>0.9999078806562256</v>
      </c>
      <c r="D10" s="42">
        <f>'Dynamic Pivot'!$G4*100</f>
        <v>2.0000000000000018</v>
      </c>
    </row>
    <row r="11" spans="2:9">
      <c r="B11" t="str">
        <f>'Dynamic Pivot'!$F$5</f>
        <v>2017-06-07</v>
      </c>
      <c r="C11" s="42">
        <f>'Dynamic Pivot'!$H5*100</f>
        <v>-0.98732793000699814</v>
      </c>
      <c r="D11" s="42">
        <f>'Dynamic Pivot'!$G5*100</f>
        <v>-4.9999999999999822</v>
      </c>
    </row>
    <row r="12" spans="2:9">
      <c r="B12" t="str">
        <f>'Dynamic Pivot'!$F$6</f>
        <v>2017-05-31</v>
      </c>
      <c r="C12" s="42">
        <f>'Dynamic Pivot'!$H6*100</f>
        <v>2.3926556185139614</v>
      </c>
      <c r="D12" s="42">
        <f>'Dynamic Pivot'!$G6*100</f>
        <v>-1.0000000000000231</v>
      </c>
    </row>
    <row r="13" spans="2:9">
      <c r="B13" t="str">
        <f>'Dynamic Pivot'!$F$7</f>
        <v>2017-05-24</v>
      </c>
      <c r="C13" s="42">
        <f>'Dynamic Pivot'!$H7*100</f>
        <v>-1.2216088284067173</v>
      </c>
      <c r="D13" s="42">
        <f>'Dynamic Pivot'!$G7*100</f>
        <v>-6.9999999999999396</v>
      </c>
    </row>
    <row r="14" spans="2:9">
      <c r="B14" t="str">
        <f>'Dynamic Pivot'!$F$8</f>
        <v>2017-05-17</v>
      </c>
      <c r="C14" s="42">
        <f>'Dynamic Pivot'!$H8*100</f>
        <v>3.2463317655321955</v>
      </c>
      <c r="D14" s="42">
        <f>'Dynamic Pivot'!$G8*100</f>
        <v>-3.0000000000000249</v>
      </c>
    </row>
    <row r="15" spans="2:9">
      <c r="B15" t="str">
        <f>'Dynamic Pivot'!$F$9</f>
        <v>2017-05-10</v>
      </c>
      <c r="C15" s="42">
        <f>'Dynamic Pivot'!$H9*100</f>
        <v>-3.6909168983644047</v>
      </c>
      <c r="D15" s="42">
        <f>'Dynamic Pivot'!$G9*100</f>
        <v>3.0000000000000249</v>
      </c>
    </row>
    <row r="16" spans="2:9">
      <c r="B16" t="str">
        <f>'Dynamic Pivot'!$F$10</f>
        <v>2017-05-03</v>
      </c>
      <c r="C16" s="42">
        <f>'Dynamic Pivot'!$H10*100</f>
        <v>-1.8857327044368599</v>
      </c>
      <c r="D16" s="42">
        <f>'Dynamic Pivot'!$G10*100</f>
        <v>-1.0000000000000675</v>
      </c>
    </row>
    <row r="17" spans="2:4">
      <c r="B17" t="str">
        <f>'Dynamic Pivot'!$F$11</f>
        <v>2017-04-26</v>
      </c>
      <c r="C17" s="42">
        <f>'Dynamic Pivot'!$H11*100</f>
        <v>-0.83464679083649074</v>
      </c>
      <c r="D17" s="42">
        <f>'Dynamic Pivot'!$G11*100</f>
        <v>6.0000000000000053</v>
      </c>
    </row>
    <row r="18" spans="2:4">
      <c r="B18" t="str">
        <f>'Dynamic Pivot'!$F$12</f>
        <v>2017-04-19</v>
      </c>
      <c r="C18" s="42">
        <f>'Dynamic Pivot'!$H12*100</f>
        <v>0.99714750619410708</v>
      </c>
      <c r="D18" s="42">
        <f>'Dynamic Pivot'!$G12*100</f>
        <v>-10.999999999999988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newDataPoint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Neo</cp:lastModifiedBy>
  <cp:lastPrinted>2017-06-22T15:22:34Z</cp:lastPrinted>
  <dcterms:created xsi:type="dcterms:W3CDTF">2013-04-04T19:42:48Z</dcterms:created>
  <dcterms:modified xsi:type="dcterms:W3CDTF">2018-04-11T14:59:00Z</dcterms:modified>
</cp:coreProperties>
</file>