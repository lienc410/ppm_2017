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105" windowWidth="14805" windowHeight="8010" activeTab="3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8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Query!#REF!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Query!$I$2:$J$567</definedName>
    <definedName name="Query_from_Agency_14" localSheetId="3" hidden="1">'Function Of Rate'!$F$11:$P$12</definedName>
    <definedName name="Query_from_Agency_14" localSheetId="1" hidden="1">Query!$O$2:$P$563</definedName>
    <definedName name="Query_from_Agency_15" localSheetId="3" hidden="1">'Function Of Rate'!$F$31:$P$32</definedName>
    <definedName name="Query_from_Agency_15" localSheetId="1" hidden="1">Query!$S$2:$T$558</definedName>
    <definedName name="Query_from_Agency_6" localSheetId="1" hidden="1">Query!$B$2:$C$465</definedName>
    <definedName name="Query_from_Agency_7" localSheetId="4" hidden="1">'Current Coupon'!$S$4:$U$6</definedName>
    <definedName name="Query_from_Agency_7" localSheetId="1" hidden="1">Query!#REF!</definedName>
    <definedName name="Query_from_Agency_8" localSheetId="4" hidden="1">'Current Coupon'!$A$4:$C$35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ServSpread">'Function Of Rate'!$C$9</definedName>
    <definedName name="SPREAD_DATE">'Function Of Rate'!$B$9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52511"/>
</workbook>
</file>

<file path=xl/calcChain.xml><?xml version="1.0" encoding="utf-8"?>
<calcChain xmlns="http://schemas.openxmlformats.org/spreadsheetml/2006/main">
  <c r="B9" i="27" l="1"/>
  <c r="K3" i="18" l="1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L360" i="18"/>
  <c r="L361" i="18"/>
  <c r="L362" i="18"/>
  <c r="L363" i="18"/>
  <c r="L364" i="18"/>
  <c r="L365" i="18"/>
  <c r="L366" i="18"/>
  <c r="L367" i="18"/>
  <c r="L368" i="18"/>
  <c r="L369" i="18"/>
  <c r="L370" i="18"/>
  <c r="L371" i="18"/>
  <c r="L372" i="18"/>
  <c r="L373" i="18"/>
  <c r="L374" i="18"/>
  <c r="L375" i="18"/>
  <c r="L376" i="18"/>
  <c r="L377" i="18"/>
  <c r="L378" i="18"/>
  <c r="L379" i="18"/>
  <c r="L380" i="18"/>
  <c r="L381" i="18"/>
  <c r="L382" i="18"/>
  <c r="L383" i="18"/>
  <c r="L384" i="18"/>
  <c r="L385" i="18"/>
  <c r="L386" i="18"/>
  <c r="L387" i="18"/>
  <c r="L388" i="18"/>
  <c r="L389" i="18"/>
  <c r="L390" i="18"/>
  <c r="L391" i="18"/>
  <c r="L392" i="18"/>
  <c r="L393" i="18"/>
  <c r="L394" i="18"/>
  <c r="L395" i="18"/>
  <c r="L396" i="18"/>
  <c r="L397" i="18"/>
  <c r="L398" i="18"/>
  <c r="L399" i="18"/>
  <c r="L400" i="18"/>
  <c r="L401" i="18"/>
  <c r="L402" i="18"/>
  <c r="L403" i="18"/>
  <c r="L404" i="18"/>
  <c r="L405" i="18"/>
  <c r="L406" i="18"/>
  <c r="L407" i="18"/>
  <c r="L408" i="18"/>
  <c r="L409" i="18"/>
  <c r="L410" i="18"/>
  <c r="L411" i="18"/>
  <c r="L412" i="18"/>
  <c r="L413" i="18"/>
  <c r="L414" i="18"/>
  <c r="L415" i="18"/>
  <c r="L416" i="18"/>
  <c r="L417" i="18"/>
  <c r="L418" i="18"/>
  <c r="L419" i="18"/>
  <c r="L420" i="18"/>
  <c r="L421" i="18"/>
  <c r="L422" i="18"/>
  <c r="L423" i="18"/>
  <c r="L424" i="18"/>
  <c r="L425" i="18"/>
  <c r="L426" i="18"/>
  <c r="L427" i="18"/>
  <c r="L428" i="18"/>
  <c r="L429" i="18"/>
  <c r="L430" i="18"/>
  <c r="L431" i="18"/>
  <c r="L432" i="18"/>
  <c r="L433" i="18"/>
  <c r="L434" i="18"/>
  <c r="L435" i="18"/>
  <c r="L436" i="18"/>
  <c r="L437" i="18"/>
  <c r="L438" i="18"/>
  <c r="L439" i="18"/>
  <c r="L440" i="18"/>
  <c r="L441" i="18"/>
  <c r="L442" i="18"/>
  <c r="L443" i="18"/>
  <c r="L444" i="18"/>
  <c r="L445" i="18"/>
  <c r="L446" i="18"/>
  <c r="L447" i="18"/>
  <c r="L448" i="18"/>
  <c r="L449" i="18"/>
  <c r="L450" i="18"/>
  <c r="L451" i="18"/>
  <c r="L452" i="18"/>
  <c r="L453" i="18"/>
  <c r="L454" i="18"/>
  <c r="L455" i="18"/>
  <c r="L456" i="18"/>
  <c r="L457" i="18"/>
  <c r="L458" i="18"/>
  <c r="L459" i="18"/>
  <c r="L460" i="18"/>
  <c r="L461" i="18"/>
  <c r="L462" i="18"/>
  <c r="L463" i="18"/>
  <c r="L464" i="18"/>
  <c r="L465" i="18"/>
  <c r="L466" i="18"/>
  <c r="L467" i="18"/>
  <c r="L468" i="18"/>
  <c r="L469" i="18"/>
  <c r="L470" i="18"/>
  <c r="L471" i="18"/>
  <c r="L472" i="18"/>
  <c r="L473" i="18"/>
  <c r="L474" i="18"/>
  <c r="L475" i="18"/>
  <c r="L476" i="18"/>
  <c r="L477" i="18"/>
  <c r="L478" i="18"/>
  <c r="L479" i="18"/>
  <c r="L480" i="18"/>
  <c r="L481" i="18"/>
  <c r="L482" i="18"/>
  <c r="L483" i="18"/>
  <c r="L484" i="18"/>
  <c r="L485" i="18"/>
  <c r="L486" i="18"/>
  <c r="L487" i="18"/>
  <c r="L488" i="18"/>
  <c r="L489" i="18"/>
  <c r="L490" i="18"/>
  <c r="L491" i="18"/>
  <c r="L492" i="18"/>
  <c r="L493" i="18"/>
  <c r="L494" i="18"/>
  <c r="L495" i="18"/>
  <c r="L496" i="18"/>
  <c r="L497" i="18"/>
  <c r="L498" i="18"/>
  <c r="L499" i="18"/>
  <c r="L500" i="18"/>
  <c r="L501" i="18"/>
  <c r="L502" i="18"/>
  <c r="L503" i="18"/>
  <c r="L504" i="18"/>
  <c r="L505" i="18"/>
  <c r="L506" i="18"/>
  <c r="L507" i="18"/>
  <c r="L508" i="18"/>
  <c r="L509" i="18"/>
  <c r="L510" i="18"/>
  <c r="L511" i="18"/>
  <c r="L512" i="18"/>
  <c r="L513" i="18"/>
  <c r="L514" i="18"/>
  <c r="L515" i="18"/>
  <c r="L516" i="18"/>
  <c r="L517" i="18"/>
  <c r="L518" i="18"/>
  <c r="L519" i="18"/>
  <c r="L520" i="18"/>
  <c r="L521" i="18"/>
  <c r="L522" i="18"/>
  <c r="L523" i="18"/>
  <c r="L524" i="18"/>
  <c r="L525" i="18"/>
  <c r="L526" i="18"/>
  <c r="L527" i="18"/>
  <c r="L528" i="18"/>
  <c r="L529" i="18"/>
  <c r="L530" i="18"/>
  <c r="L531" i="18"/>
  <c r="L532" i="18"/>
  <c r="L533" i="18"/>
  <c r="L534" i="18"/>
  <c r="L535" i="18"/>
  <c r="L536" i="18"/>
  <c r="L537" i="18"/>
  <c r="L538" i="18"/>
  <c r="L539" i="18"/>
  <c r="L540" i="18"/>
  <c r="L541" i="18"/>
  <c r="L542" i="18"/>
  <c r="L543" i="18"/>
  <c r="L544" i="18"/>
  <c r="L545" i="18"/>
  <c r="L546" i="18"/>
  <c r="L547" i="18"/>
  <c r="L548" i="18"/>
  <c r="L549" i="18"/>
  <c r="L550" i="18"/>
  <c r="L551" i="18"/>
  <c r="L552" i="18"/>
  <c r="L553" i="18"/>
  <c r="L554" i="18"/>
  <c r="L555" i="18"/>
  <c r="L556" i="18"/>
  <c r="L557" i="18"/>
  <c r="L558" i="18"/>
  <c r="L559" i="18"/>
  <c r="L560" i="18"/>
  <c r="L561" i="18"/>
  <c r="L562" i="18"/>
  <c r="L563" i="18"/>
  <c r="L564" i="18"/>
  <c r="L565" i="18"/>
  <c r="L566" i="18"/>
  <c r="L567" i="18"/>
  <c r="D5" i="28"/>
  <c r="F5" i="28" s="1"/>
  <c r="D6" i="28"/>
  <c r="E6" i="28" s="1"/>
  <c r="D7" i="28"/>
  <c r="E7" i="28" s="1"/>
  <c r="D8" i="28"/>
  <c r="E8" i="28" s="1"/>
  <c r="D9" i="28"/>
  <c r="D10" i="28"/>
  <c r="E10" i="28" s="1"/>
  <c r="D11" i="28"/>
  <c r="E11" i="28" s="1"/>
  <c r="D12" i="28"/>
  <c r="D13" i="28"/>
  <c r="D14" i="28"/>
  <c r="E14" i="28" s="1"/>
  <c r="D15" i="28"/>
  <c r="D16" i="28"/>
  <c r="E16" i="28" s="1"/>
  <c r="D17" i="28"/>
  <c r="D18" i="28"/>
  <c r="E18" i="28" s="1"/>
  <c r="D19" i="28"/>
  <c r="E19" i="28" s="1"/>
  <c r="D20" i="28"/>
  <c r="D21" i="28"/>
  <c r="E21" i="28" s="1"/>
  <c r="D22" i="28"/>
  <c r="E22" i="28" s="1"/>
  <c r="D23" i="28"/>
  <c r="D24" i="28"/>
  <c r="E24" i="28" s="1"/>
  <c r="D25" i="28"/>
  <c r="D26" i="28"/>
  <c r="E26" i="28" s="1"/>
  <c r="D27" i="28"/>
  <c r="E27" i="28" s="1"/>
  <c r="D28" i="28"/>
  <c r="D29" i="28"/>
  <c r="D30" i="28"/>
  <c r="E30" i="28" s="1"/>
  <c r="D31" i="28"/>
  <c r="E31" i="28" s="1"/>
  <c r="D32" i="28"/>
  <c r="E32" i="28" s="1"/>
  <c r="D33" i="28"/>
  <c r="D34" i="28"/>
  <c r="E34" i="28" s="1"/>
  <c r="D35" i="28"/>
  <c r="E35" i="28" s="1"/>
  <c r="E13" i="28"/>
  <c r="E15" i="28"/>
  <c r="E23" i="28"/>
  <c r="E29" i="28"/>
  <c r="M5" i="28"/>
  <c r="F6" i="28" l="1"/>
  <c r="I5" i="28" s="1"/>
  <c r="E5" i="28"/>
  <c r="H5" i="28" s="1"/>
  <c r="E28" i="28"/>
  <c r="E20" i="28"/>
  <c r="E12" i="28"/>
  <c r="G5" i="28"/>
  <c r="G6" i="28" s="1"/>
  <c r="E33" i="28"/>
  <c r="E25" i="28"/>
  <c r="E17" i="28"/>
  <c r="E9" i="28"/>
  <c r="M6" i="28" l="1"/>
  <c r="J5" i="28"/>
  <c r="K5" i="28" s="1"/>
  <c r="L5" i="28" s="1"/>
  <c r="F7" i="28"/>
  <c r="I7" i="28" s="1"/>
  <c r="H6" i="28"/>
  <c r="F8" i="28"/>
  <c r="G7" i="28"/>
  <c r="F16" i="27"/>
  <c r="G16" i="27"/>
  <c r="H16" i="27"/>
  <c r="I16" i="27"/>
  <c r="J16" i="27"/>
  <c r="F17" i="27"/>
  <c r="G17" i="27"/>
  <c r="H17" i="27"/>
  <c r="I17" i="27"/>
  <c r="J17" i="27"/>
  <c r="F18" i="27"/>
  <c r="G18" i="27"/>
  <c r="H18" i="27"/>
  <c r="I18" i="27"/>
  <c r="J18" i="27"/>
  <c r="F19" i="27"/>
  <c r="G19" i="27"/>
  <c r="H19" i="27"/>
  <c r="I19" i="27"/>
  <c r="J19" i="27"/>
  <c r="I6" i="28" l="1"/>
  <c r="H7" i="28"/>
  <c r="M7" i="28"/>
  <c r="J6" i="28"/>
  <c r="K6" i="28" s="1"/>
  <c r="M8" i="28"/>
  <c r="J7" i="28"/>
  <c r="G8" i="28"/>
  <c r="H8" i="28"/>
  <c r="F9" i="28"/>
  <c r="H51" i="16"/>
  <c r="H50" i="16"/>
  <c r="H49" i="16"/>
  <c r="H48" i="16"/>
  <c r="H47" i="16"/>
  <c r="H46" i="16"/>
  <c r="H45" i="16"/>
  <c r="H44" i="16"/>
  <c r="H43" i="16"/>
  <c r="H42" i="16"/>
  <c r="I51" i="16"/>
  <c r="I50" i="16"/>
  <c r="I49" i="16"/>
  <c r="I48" i="16"/>
  <c r="I47" i="16"/>
  <c r="I46" i="16"/>
  <c r="I45" i="16"/>
  <c r="I44" i="16"/>
  <c r="I43" i="16"/>
  <c r="I42" i="16"/>
  <c r="E51" i="16"/>
  <c r="E50" i="16"/>
  <c r="E49" i="16"/>
  <c r="E48" i="16"/>
  <c r="E47" i="16"/>
  <c r="E46" i="16"/>
  <c r="E45" i="16"/>
  <c r="E44" i="16"/>
  <c r="E43" i="16"/>
  <c r="E42" i="16"/>
  <c r="F51" i="16"/>
  <c r="F50" i="16"/>
  <c r="F49" i="16"/>
  <c r="F48" i="16"/>
  <c r="F47" i="16"/>
  <c r="F46" i="16"/>
  <c r="F45" i="16"/>
  <c r="F44" i="16"/>
  <c r="F43" i="16"/>
  <c r="F42" i="16"/>
  <c r="K7" i="28" l="1"/>
  <c r="L7" i="28"/>
  <c r="L6" i="28"/>
  <c r="H9" i="28"/>
  <c r="G9" i="28"/>
  <c r="F10" i="28"/>
  <c r="I8" i="28"/>
  <c r="J51" i="16"/>
  <c r="J50" i="16"/>
  <c r="J49" i="16"/>
  <c r="J48" i="16"/>
  <c r="J47" i="16"/>
  <c r="J46" i="16"/>
  <c r="J45" i="16"/>
  <c r="J44" i="16"/>
  <c r="J43" i="16"/>
  <c r="J42" i="16"/>
  <c r="G51" i="16"/>
  <c r="G50" i="16"/>
  <c r="G49" i="16"/>
  <c r="G48" i="16"/>
  <c r="G47" i="16"/>
  <c r="G46" i="16"/>
  <c r="G45" i="16"/>
  <c r="G44" i="16"/>
  <c r="G43" i="16"/>
  <c r="G42" i="16"/>
  <c r="D51" i="16"/>
  <c r="D50" i="16"/>
  <c r="D49" i="16"/>
  <c r="D48" i="16"/>
  <c r="D47" i="16"/>
  <c r="D46" i="16"/>
  <c r="D45" i="16"/>
  <c r="D44" i="16"/>
  <c r="D43" i="16"/>
  <c r="D42" i="16"/>
  <c r="C51" i="16"/>
  <c r="C50" i="16"/>
  <c r="C49" i="16"/>
  <c r="C48" i="16"/>
  <c r="C47" i="16"/>
  <c r="C46" i="16"/>
  <c r="C45" i="16"/>
  <c r="C44" i="16"/>
  <c r="C43" i="16"/>
  <c r="C42" i="16"/>
  <c r="R42" i="16"/>
  <c r="R49" i="16"/>
  <c r="R52" i="16"/>
  <c r="R51" i="16"/>
  <c r="R50" i="16"/>
  <c r="R48" i="16"/>
  <c r="R47" i="16"/>
  <c r="R46" i="16"/>
  <c r="R45" i="16"/>
  <c r="R44" i="16"/>
  <c r="R43" i="16"/>
  <c r="M9" i="28" l="1"/>
  <c r="J8" i="28"/>
  <c r="K8" i="28" s="1"/>
  <c r="H10" i="28"/>
  <c r="G10" i="28"/>
  <c r="F11" i="28"/>
  <c r="I10" i="28" s="1"/>
  <c r="I9" i="28"/>
  <c r="AA13" i="16"/>
  <c r="K18" i="27"/>
  <c r="L18" i="27"/>
  <c r="M18" i="27"/>
  <c r="N18" i="27"/>
  <c r="O18" i="27"/>
  <c r="P18" i="27"/>
  <c r="K19" i="27"/>
  <c r="L19" i="27"/>
  <c r="M19" i="27"/>
  <c r="N19" i="27"/>
  <c r="O19" i="27"/>
  <c r="P19" i="27"/>
  <c r="J10" i="28" l="1"/>
  <c r="L8" i="28"/>
  <c r="M10" i="28"/>
  <c r="M11" i="28" s="1"/>
  <c r="J9" i="28"/>
  <c r="K9" i="28" s="1"/>
  <c r="L9" i="28" s="1"/>
  <c r="H11" i="28"/>
  <c r="G11" i="28"/>
  <c r="F12" i="2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D446" i="18"/>
  <c r="D447" i="18"/>
  <c r="D448" i="18"/>
  <c r="D449" i="18"/>
  <c r="D450" i="18"/>
  <c r="D451" i="18"/>
  <c r="D452" i="18"/>
  <c r="D453" i="18"/>
  <c r="D454" i="18"/>
  <c r="D455" i="18"/>
  <c r="D456" i="18"/>
  <c r="D457" i="18"/>
  <c r="D458" i="18"/>
  <c r="D459" i="18"/>
  <c r="D460" i="18"/>
  <c r="D461" i="18"/>
  <c r="D462" i="18"/>
  <c r="D463" i="18"/>
  <c r="D464" i="18"/>
  <c r="D465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B2" i="19"/>
  <c r="I11" i="28" l="1"/>
  <c r="M10" i="18"/>
  <c r="M18" i="18"/>
  <c r="M26" i="18"/>
  <c r="M34" i="18"/>
  <c r="M42" i="18"/>
  <c r="M50" i="18"/>
  <c r="M58" i="18"/>
  <c r="M66" i="18"/>
  <c r="M74" i="18"/>
  <c r="M82" i="18"/>
  <c r="M90" i="18"/>
  <c r="M98" i="18"/>
  <c r="M106" i="18"/>
  <c r="M114" i="18"/>
  <c r="M122" i="18"/>
  <c r="M130" i="18"/>
  <c r="M138" i="18"/>
  <c r="M146" i="18"/>
  <c r="M154" i="18"/>
  <c r="M162" i="18"/>
  <c r="M170" i="18"/>
  <c r="M178" i="18"/>
  <c r="M186" i="18"/>
  <c r="M194" i="18"/>
  <c r="M202" i="18"/>
  <c r="M210" i="18"/>
  <c r="M218" i="18"/>
  <c r="M226" i="18"/>
  <c r="M234" i="18"/>
  <c r="M242" i="18"/>
  <c r="M250" i="18"/>
  <c r="M258" i="18"/>
  <c r="M266" i="18"/>
  <c r="M274" i="18"/>
  <c r="M282" i="18"/>
  <c r="M290" i="18"/>
  <c r="M298" i="18"/>
  <c r="M306" i="18"/>
  <c r="M314" i="18"/>
  <c r="M322" i="18"/>
  <c r="M330" i="18"/>
  <c r="M338" i="18"/>
  <c r="M346" i="18"/>
  <c r="M354" i="18"/>
  <c r="M362" i="18"/>
  <c r="M370" i="18"/>
  <c r="M378" i="18"/>
  <c r="M386" i="18"/>
  <c r="M394" i="18"/>
  <c r="M402" i="18"/>
  <c r="M410" i="18"/>
  <c r="M418" i="18"/>
  <c r="M426" i="18"/>
  <c r="M434" i="18"/>
  <c r="M442" i="18"/>
  <c r="M450" i="18"/>
  <c r="M458" i="18"/>
  <c r="M466" i="18"/>
  <c r="M474" i="18"/>
  <c r="M482" i="18"/>
  <c r="M490" i="18"/>
  <c r="M498" i="18"/>
  <c r="M506" i="18"/>
  <c r="M514" i="18"/>
  <c r="M522" i="18"/>
  <c r="M530" i="18"/>
  <c r="M538" i="18"/>
  <c r="M546" i="18"/>
  <c r="M554" i="18"/>
  <c r="M562" i="18"/>
  <c r="M60" i="18"/>
  <c r="M76" i="18"/>
  <c r="M92" i="18"/>
  <c r="M108" i="18"/>
  <c r="M124" i="18"/>
  <c r="M140" i="18"/>
  <c r="M156" i="18"/>
  <c r="M172" i="18"/>
  <c r="M3" i="18"/>
  <c r="K42" i="16" s="1"/>
  <c r="M11" i="18"/>
  <c r="M19" i="18"/>
  <c r="M27" i="18"/>
  <c r="M35" i="18"/>
  <c r="M43" i="18"/>
  <c r="M51" i="18"/>
  <c r="M59" i="18"/>
  <c r="M67" i="18"/>
  <c r="M75" i="18"/>
  <c r="M83" i="18"/>
  <c r="M91" i="18"/>
  <c r="M99" i="18"/>
  <c r="M107" i="18"/>
  <c r="M115" i="18"/>
  <c r="M123" i="18"/>
  <c r="M131" i="18"/>
  <c r="M139" i="18"/>
  <c r="M147" i="18"/>
  <c r="M155" i="18"/>
  <c r="M163" i="18"/>
  <c r="M171" i="18"/>
  <c r="M179" i="18"/>
  <c r="M187" i="18"/>
  <c r="M195" i="18"/>
  <c r="M203" i="18"/>
  <c r="M211" i="18"/>
  <c r="M219" i="18"/>
  <c r="M227" i="18"/>
  <c r="M235" i="18"/>
  <c r="M243" i="18"/>
  <c r="M251" i="18"/>
  <c r="M259" i="18"/>
  <c r="M267" i="18"/>
  <c r="M275" i="18"/>
  <c r="M283" i="18"/>
  <c r="M291" i="18"/>
  <c r="M299" i="18"/>
  <c r="M307" i="18"/>
  <c r="M315" i="18"/>
  <c r="M323" i="18"/>
  <c r="M331" i="18"/>
  <c r="M339" i="18"/>
  <c r="M347" i="18"/>
  <c r="M355" i="18"/>
  <c r="M363" i="18"/>
  <c r="M371" i="18"/>
  <c r="M379" i="18"/>
  <c r="M387" i="18"/>
  <c r="M395" i="18"/>
  <c r="M403" i="18"/>
  <c r="M411" i="18"/>
  <c r="M419" i="18"/>
  <c r="M427" i="18"/>
  <c r="M435" i="18"/>
  <c r="M443" i="18"/>
  <c r="M451" i="18"/>
  <c r="M459" i="18"/>
  <c r="M467" i="18"/>
  <c r="M475" i="18"/>
  <c r="M483" i="18"/>
  <c r="M491" i="18"/>
  <c r="M499" i="18"/>
  <c r="M507" i="18"/>
  <c r="M515" i="18"/>
  <c r="M523" i="18"/>
  <c r="M531" i="18"/>
  <c r="M539" i="18"/>
  <c r="M547" i="18"/>
  <c r="M555" i="18"/>
  <c r="M563" i="18"/>
  <c r="M4" i="18"/>
  <c r="M12" i="18"/>
  <c r="M20" i="18"/>
  <c r="M28" i="18"/>
  <c r="M36" i="18"/>
  <c r="M44" i="18"/>
  <c r="M52" i="18"/>
  <c r="M68" i="18"/>
  <c r="M84" i="18"/>
  <c r="M100" i="18"/>
  <c r="M116" i="18"/>
  <c r="M132" i="18"/>
  <c r="M148" i="18"/>
  <c r="M164" i="18"/>
  <c r="M6" i="18"/>
  <c r="M14" i="18"/>
  <c r="M22" i="18"/>
  <c r="M30" i="18"/>
  <c r="M38" i="18"/>
  <c r="M46" i="18"/>
  <c r="M54" i="18"/>
  <c r="M62" i="18"/>
  <c r="M70" i="18"/>
  <c r="M78" i="18"/>
  <c r="M86" i="18"/>
  <c r="M94" i="18"/>
  <c r="M102" i="18"/>
  <c r="M110" i="18"/>
  <c r="M118" i="18"/>
  <c r="M126" i="18"/>
  <c r="M134" i="18"/>
  <c r="M142" i="18"/>
  <c r="M150" i="18"/>
  <c r="M158" i="18"/>
  <c r="M166" i="18"/>
  <c r="M174" i="18"/>
  <c r="M182" i="18"/>
  <c r="M190" i="18"/>
  <c r="M198" i="18"/>
  <c r="M206" i="18"/>
  <c r="M214" i="18"/>
  <c r="M222" i="18"/>
  <c r="M230" i="18"/>
  <c r="M238" i="18"/>
  <c r="M246" i="18"/>
  <c r="M254" i="18"/>
  <c r="M262" i="18"/>
  <c r="M270" i="18"/>
  <c r="M278" i="18"/>
  <c r="M286" i="18"/>
  <c r="M294" i="18"/>
  <c r="M302" i="18"/>
  <c r="M310" i="18"/>
  <c r="M318" i="18"/>
  <c r="M326" i="18"/>
  <c r="M334" i="18"/>
  <c r="M342" i="18"/>
  <c r="M350" i="18"/>
  <c r="M358" i="18"/>
  <c r="M366" i="18"/>
  <c r="M374" i="18"/>
  <c r="M382" i="18"/>
  <c r="M390" i="18"/>
  <c r="M398" i="18"/>
  <c r="M406" i="18"/>
  <c r="M414" i="18"/>
  <c r="M422" i="18"/>
  <c r="M430" i="18"/>
  <c r="M438" i="18"/>
  <c r="M446" i="18"/>
  <c r="M454" i="18"/>
  <c r="M462" i="18"/>
  <c r="M470" i="18"/>
  <c r="M478" i="18"/>
  <c r="M486" i="18"/>
  <c r="M494" i="18"/>
  <c r="M502" i="18"/>
  <c r="M510" i="18"/>
  <c r="M518" i="18"/>
  <c r="M526" i="18"/>
  <c r="M534" i="18"/>
  <c r="M542" i="18"/>
  <c r="M550" i="18"/>
  <c r="M558" i="18"/>
  <c r="M566" i="18"/>
  <c r="M8" i="18"/>
  <c r="M16" i="18"/>
  <c r="M24" i="18"/>
  <c r="M32" i="18"/>
  <c r="M40" i="18"/>
  <c r="M48" i="18"/>
  <c r="M56" i="18"/>
  <c r="M64" i="18"/>
  <c r="M72" i="18"/>
  <c r="M80" i="18"/>
  <c r="M88" i="18"/>
  <c r="M96" i="18"/>
  <c r="M104" i="18"/>
  <c r="M112" i="18"/>
  <c r="M120" i="18"/>
  <c r="M128" i="18"/>
  <c r="M136" i="18"/>
  <c r="M144" i="18"/>
  <c r="M152" i="18"/>
  <c r="M160" i="18"/>
  <c r="M168" i="18"/>
  <c r="M176" i="18"/>
  <c r="M184" i="18"/>
  <c r="M192" i="18"/>
  <c r="M200" i="18"/>
  <c r="M208" i="18"/>
  <c r="M216" i="18"/>
  <c r="M224" i="18"/>
  <c r="M232" i="18"/>
  <c r="M240" i="18"/>
  <c r="M248" i="18"/>
  <c r="M256" i="18"/>
  <c r="M264" i="18"/>
  <c r="M272" i="18"/>
  <c r="M280" i="18"/>
  <c r="M288" i="18"/>
  <c r="M296" i="18"/>
  <c r="M304" i="18"/>
  <c r="M312" i="18"/>
  <c r="M320" i="18"/>
  <c r="M328" i="18"/>
  <c r="M336" i="18"/>
  <c r="M344" i="18"/>
  <c r="M352" i="18"/>
  <c r="M360" i="18"/>
  <c r="M368" i="18"/>
  <c r="M376" i="18"/>
  <c r="M384" i="18"/>
  <c r="M392" i="18"/>
  <c r="M400" i="18"/>
  <c r="M408" i="18"/>
  <c r="M416" i="18"/>
  <c r="M424" i="18"/>
  <c r="M432" i="18"/>
  <c r="M440" i="18"/>
  <c r="M448" i="18"/>
  <c r="M456" i="18"/>
  <c r="M464" i="18"/>
  <c r="M472" i="18"/>
  <c r="M480" i="18"/>
  <c r="M488" i="18"/>
  <c r="M496" i="18"/>
  <c r="M504" i="18"/>
  <c r="M512" i="18"/>
  <c r="M520" i="18"/>
  <c r="M528" i="18"/>
  <c r="M536" i="18"/>
  <c r="M544" i="18"/>
  <c r="M552" i="18"/>
  <c r="M560" i="18"/>
  <c r="M23" i="18"/>
  <c r="M45" i="18"/>
  <c r="M65" i="18"/>
  <c r="M87" i="18"/>
  <c r="M109" i="18"/>
  <c r="M129" i="18"/>
  <c r="M151" i="18"/>
  <c r="M173" i="18"/>
  <c r="M189" i="18"/>
  <c r="M205" i="18"/>
  <c r="M221" i="18"/>
  <c r="M237" i="18"/>
  <c r="M253" i="18"/>
  <c r="M269" i="18"/>
  <c r="M285" i="18"/>
  <c r="M301" i="18"/>
  <c r="M317" i="18"/>
  <c r="M333" i="18"/>
  <c r="M349" i="18"/>
  <c r="M365" i="18"/>
  <c r="M381" i="18"/>
  <c r="M397" i="18"/>
  <c r="M413" i="18"/>
  <c r="M429" i="18"/>
  <c r="M445" i="18"/>
  <c r="M461" i="18"/>
  <c r="M477" i="18"/>
  <c r="M493" i="18"/>
  <c r="M509" i="18"/>
  <c r="M525" i="18"/>
  <c r="M541" i="18"/>
  <c r="M557" i="18"/>
  <c r="M7" i="18"/>
  <c r="M49" i="18"/>
  <c r="M113" i="18"/>
  <c r="M157" i="18"/>
  <c r="M193" i="18"/>
  <c r="M225" i="18"/>
  <c r="M257" i="18"/>
  <c r="M289" i="18"/>
  <c r="M321" i="18"/>
  <c r="M353" i="18"/>
  <c r="M385" i="18"/>
  <c r="M417" i="18"/>
  <c r="M449" i="18"/>
  <c r="M481" i="18"/>
  <c r="M513" i="18"/>
  <c r="M545" i="18"/>
  <c r="M137" i="18"/>
  <c r="M212" i="18"/>
  <c r="M260" i="18"/>
  <c r="M324" i="18"/>
  <c r="M372" i="18"/>
  <c r="M420" i="18"/>
  <c r="M468" i="18"/>
  <c r="M516" i="18"/>
  <c r="M564" i="18"/>
  <c r="M15" i="18"/>
  <c r="M79" i="18"/>
  <c r="M121" i="18"/>
  <c r="M165" i="18"/>
  <c r="M199" i="18"/>
  <c r="M231" i="18"/>
  <c r="M263" i="18"/>
  <c r="M295" i="18"/>
  <c r="M343" i="18"/>
  <c r="M375" i="18"/>
  <c r="M391" i="18"/>
  <c r="M455" i="18"/>
  <c r="M503" i="18"/>
  <c r="M567" i="18"/>
  <c r="M17" i="18"/>
  <c r="M145" i="18"/>
  <c r="M233" i="18"/>
  <c r="M297" i="18"/>
  <c r="M361" i="18"/>
  <c r="M425" i="18"/>
  <c r="M473" i="18"/>
  <c r="M521" i="18"/>
  <c r="M127" i="18"/>
  <c r="M188" i="18"/>
  <c r="M252" i="18"/>
  <c r="M300" i="18"/>
  <c r="M364" i="18"/>
  <c r="M428" i="18"/>
  <c r="M5" i="18"/>
  <c r="K44" i="16" s="1"/>
  <c r="M25" i="18"/>
  <c r="M47" i="18"/>
  <c r="M69" i="18"/>
  <c r="M89" i="18"/>
  <c r="M111" i="18"/>
  <c r="M133" i="18"/>
  <c r="M153" i="18"/>
  <c r="M175" i="18"/>
  <c r="M191" i="18"/>
  <c r="M207" i="18"/>
  <c r="M223" i="18"/>
  <c r="M239" i="18"/>
  <c r="M255" i="18"/>
  <c r="M271" i="18"/>
  <c r="M287" i="18"/>
  <c r="M303" i="18"/>
  <c r="M319" i="18"/>
  <c r="M335" i="18"/>
  <c r="M351" i="18"/>
  <c r="M367" i="18"/>
  <c r="M383" i="18"/>
  <c r="M399" i="18"/>
  <c r="M415" i="18"/>
  <c r="M431" i="18"/>
  <c r="M447" i="18"/>
  <c r="M463" i="18"/>
  <c r="M479" i="18"/>
  <c r="M495" i="18"/>
  <c r="M511" i="18"/>
  <c r="M527" i="18"/>
  <c r="M543" i="18"/>
  <c r="M559" i="18"/>
  <c r="M29" i="18"/>
  <c r="M71" i="18"/>
  <c r="M93" i="18"/>
  <c r="M135" i="18"/>
  <c r="M177" i="18"/>
  <c r="M209" i="18"/>
  <c r="M241" i="18"/>
  <c r="M273" i="18"/>
  <c r="M305" i="18"/>
  <c r="M337" i="18"/>
  <c r="M369" i="18"/>
  <c r="M401" i="18"/>
  <c r="M433" i="18"/>
  <c r="M465" i="18"/>
  <c r="M497" i="18"/>
  <c r="M529" i="18"/>
  <c r="M561" i="18"/>
  <c r="M9" i="18"/>
  <c r="M53" i="18"/>
  <c r="M73" i="18"/>
  <c r="M117" i="18"/>
  <c r="M180" i="18"/>
  <c r="M228" i="18"/>
  <c r="M276" i="18"/>
  <c r="M308" i="18"/>
  <c r="M356" i="18"/>
  <c r="M404" i="18"/>
  <c r="M452" i="18"/>
  <c r="M500" i="18"/>
  <c r="M548" i="18"/>
  <c r="M423" i="18"/>
  <c r="M551" i="18"/>
  <c r="M39" i="18"/>
  <c r="M103" i="18"/>
  <c r="M185" i="18"/>
  <c r="M265" i="18"/>
  <c r="M329" i="18"/>
  <c r="M393" i="18"/>
  <c r="M457" i="18"/>
  <c r="M537" i="18"/>
  <c r="M21" i="18"/>
  <c r="M63" i="18"/>
  <c r="M105" i="18"/>
  <c r="M169" i="18"/>
  <c r="M220" i="18"/>
  <c r="M268" i="18"/>
  <c r="M332" i="18"/>
  <c r="M380" i="18"/>
  <c r="M444" i="18"/>
  <c r="M31" i="18"/>
  <c r="M95" i="18"/>
  <c r="M159" i="18"/>
  <c r="M196" i="18"/>
  <c r="M244" i="18"/>
  <c r="M292" i="18"/>
  <c r="M340" i="18"/>
  <c r="M388" i="18"/>
  <c r="M436" i="18"/>
  <c r="M484" i="18"/>
  <c r="M532" i="18"/>
  <c r="M327" i="18"/>
  <c r="M439" i="18"/>
  <c r="M487" i="18"/>
  <c r="M535" i="18"/>
  <c r="M61" i="18"/>
  <c r="M125" i="18"/>
  <c r="M201" i="18"/>
  <c r="M249" i="18"/>
  <c r="M313" i="18"/>
  <c r="M377" i="18"/>
  <c r="M441" i="18"/>
  <c r="M505" i="18"/>
  <c r="M316" i="18"/>
  <c r="M412" i="18"/>
  <c r="M13" i="18"/>
  <c r="M33" i="18"/>
  <c r="M55" i="18"/>
  <c r="M77" i="18"/>
  <c r="M97" i="18"/>
  <c r="M119" i="18"/>
  <c r="M141" i="18"/>
  <c r="M161" i="18"/>
  <c r="M181" i="18"/>
  <c r="M197" i="18"/>
  <c r="M213" i="18"/>
  <c r="M229" i="18"/>
  <c r="M245" i="18"/>
  <c r="M261" i="18"/>
  <c r="M277" i="18"/>
  <c r="M293" i="18"/>
  <c r="M309" i="18"/>
  <c r="M325" i="18"/>
  <c r="M341" i="18"/>
  <c r="M357" i="18"/>
  <c r="M373" i="18"/>
  <c r="M389" i="18"/>
  <c r="M405" i="18"/>
  <c r="M421" i="18"/>
  <c r="M437" i="18"/>
  <c r="M453" i="18"/>
  <c r="M469" i="18"/>
  <c r="M485" i="18"/>
  <c r="M501" i="18"/>
  <c r="M517" i="18"/>
  <c r="M533" i="18"/>
  <c r="M549" i="18"/>
  <c r="M565" i="18"/>
  <c r="M37" i="18"/>
  <c r="M57" i="18"/>
  <c r="M101" i="18"/>
  <c r="M143" i="18"/>
  <c r="M183" i="18"/>
  <c r="M215" i="18"/>
  <c r="M247" i="18"/>
  <c r="M279" i="18"/>
  <c r="M311" i="18"/>
  <c r="M359" i="18"/>
  <c r="M407" i="18"/>
  <c r="M471" i="18"/>
  <c r="M519" i="18"/>
  <c r="M81" i="18"/>
  <c r="M167" i="18"/>
  <c r="M217" i="18"/>
  <c r="M281" i="18"/>
  <c r="M345" i="18"/>
  <c r="M409" i="18"/>
  <c r="M489" i="18"/>
  <c r="M553" i="18"/>
  <c r="M41" i="18"/>
  <c r="M85" i="18"/>
  <c r="M149" i="18"/>
  <c r="M204" i="18"/>
  <c r="M236" i="18"/>
  <c r="M284" i="18"/>
  <c r="M348" i="18"/>
  <c r="M396" i="18"/>
  <c r="M460" i="18"/>
  <c r="M476" i="18"/>
  <c r="M492" i="18"/>
  <c r="M508" i="18"/>
  <c r="M524" i="18"/>
  <c r="M540" i="18"/>
  <c r="M556" i="18"/>
  <c r="K10" i="28"/>
  <c r="L10" i="28" s="1"/>
  <c r="J11" i="28"/>
  <c r="K11" i="28" s="1"/>
  <c r="L11" i="28" s="1"/>
  <c r="M12" i="28"/>
  <c r="I12" i="28"/>
  <c r="H12" i="28"/>
  <c r="G12" i="28"/>
  <c r="F13" i="28"/>
  <c r="F5" i="18"/>
  <c r="F13" i="18"/>
  <c r="F21" i="18"/>
  <c r="F29" i="18"/>
  <c r="F37" i="18"/>
  <c r="F45" i="18"/>
  <c r="F53" i="18"/>
  <c r="F61" i="18"/>
  <c r="F69" i="18"/>
  <c r="F77" i="18"/>
  <c r="F85" i="18"/>
  <c r="F93" i="18"/>
  <c r="F101" i="18"/>
  <c r="F109" i="18"/>
  <c r="F117" i="18"/>
  <c r="F125" i="18"/>
  <c r="F133" i="18"/>
  <c r="F141" i="18"/>
  <c r="F149" i="18"/>
  <c r="F157" i="18"/>
  <c r="F165" i="18"/>
  <c r="F173" i="18"/>
  <c r="F181" i="18"/>
  <c r="F189" i="18"/>
  <c r="F197" i="18"/>
  <c r="F205" i="18"/>
  <c r="F213" i="18"/>
  <c r="F221" i="18"/>
  <c r="F229" i="18"/>
  <c r="F237" i="18"/>
  <c r="F245" i="18"/>
  <c r="F253" i="18"/>
  <c r="F261" i="18"/>
  <c r="F269" i="18"/>
  <c r="F277" i="18"/>
  <c r="F285" i="18"/>
  <c r="F293" i="18"/>
  <c r="F301" i="18"/>
  <c r="F309" i="18"/>
  <c r="F317" i="18"/>
  <c r="F325" i="18"/>
  <c r="F333" i="18"/>
  <c r="F341" i="18"/>
  <c r="F349" i="18"/>
  <c r="F357" i="18"/>
  <c r="F365" i="18"/>
  <c r="F373" i="18"/>
  <c r="F381" i="18"/>
  <c r="F389" i="18"/>
  <c r="F397" i="18"/>
  <c r="F405" i="18"/>
  <c r="F413" i="18"/>
  <c r="F421" i="18"/>
  <c r="F429" i="18"/>
  <c r="F437" i="18"/>
  <c r="F445" i="18"/>
  <c r="F453" i="18"/>
  <c r="F461" i="18"/>
  <c r="F46" i="18"/>
  <c r="F70" i="18"/>
  <c r="F86" i="18"/>
  <c r="F102" i="18"/>
  <c r="F118" i="18"/>
  <c r="F134" i="18"/>
  <c r="F150" i="18"/>
  <c r="F166" i="18"/>
  <c r="F182" i="18"/>
  <c r="F198" i="18"/>
  <c r="F214" i="18"/>
  <c r="F230" i="18"/>
  <c r="F246" i="18"/>
  <c r="F262" i="18"/>
  <c r="F278" i="18"/>
  <c r="F294" i="18"/>
  <c r="F310" i="18"/>
  <c r="F326" i="18"/>
  <c r="F342" i="18"/>
  <c r="F350" i="18"/>
  <c r="F366" i="18"/>
  <c r="F390" i="18"/>
  <c r="F406" i="18"/>
  <c r="F422" i="18"/>
  <c r="F438" i="18"/>
  <c r="F454" i="18"/>
  <c r="F95" i="18"/>
  <c r="F6" i="18"/>
  <c r="F14" i="18"/>
  <c r="F22" i="18"/>
  <c r="F30" i="18"/>
  <c r="F38" i="18"/>
  <c r="F54" i="18"/>
  <c r="F62" i="18"/>
  <c r="F78" i="18"/>
  <c r="F94" i="18"/>
  <c r="F110" i="18"/>
  <c r="F126" i="18"/>
  <c r="F142" i="18"/>
  <c r="F158" i="18"/>
  <c r="F174" i="18"/>
  <c r="F190" i="18"/>
  <c r="F206" i="18"/>
  <c r="F222" i="18"/>
  <c r="F238" i="18"/>
  <c r="F254" i="18"/>
  <c r="F270" i="18"/>
  <c r="F286" i="18"/>
  <c r="F302" i="18"/>
  <c r="F318" i="18"/>
  <c r="F334" i="18"/>
  <c r="F358" i="18"/>
  <c r="F374" i="18"/>
  <c r="F382" i="18"/>
  <c r="F398" i="18"/>
  <c r="F414" i="18"/>
  <c r="F430" i="18"/>
  <c r="F446" i="18"/>
  <c r="F462" i="18"/>
  <c r="F7" i="18"/>
  <c r="F15" i="18"/>
  <c r="F23" i="18"/>
  <c r="F31" i="18"/>
  <c r="F39" i="18"/>
  <c r="F47" i="18"/>
  <c r="F55" i="18"/>
  <c r="F63" i="18"/>
  <c r="F71" i="18"/>
  <c r="F79" i="18"/>
  <c r="F87" i="18"/>
  <c r="F103" i="18"/>
  <c r="F111" i="18"/>
  <c r="F9" i="18"/>
  <c r="F17" i="18"/>
  <c r="F25" i="18"/>
  <c r="F33" i="18"/>
  <c r="F41" i="18"/>
  <c r="F49" i="18"/>
  <c r="F57" i="18"/>
  <c r="F65" i="18"/>
  <c r="F73" i="18"/>
  <c r="F81" i="18"/>
  <c r="F89" i="18"/>
  <c r="F97" i="18"/>
  <c r="F105" i="18"/>
  <c r="F113" i="18"/>
  <c r="F121" i="18"/>
  <c r="F129" i="18"/>
  <c r="F137" i="18"/>
  <c r="F145" i="18"/>
  <c r="F153" i="18"/>
  <c r="F161" i="18"/>
  <c r="F169" i="18"/>
  <c r="F177" i="18"/>
  <c r="F185" i="18"/>
  <c r="F193" i="18"/>
  <c r="F201" i="18"/>
  <c r="F209" i="18"/>
  <c r="F217" i="18"/>
  <c r="F225" i="18"/>
  <c r="F233" i="18"/>
  <c r="F241" i="18"/>
  <c r="F249" i="18"/>
  <c r="F257" i="18"/>
  <c r="F265" i="18"/>
  <c r="F273" i="18"/>
  <c r="F281" i="18"/>
  <c r="F289" i="18"/>
  <c r="F297" i="18"/>
  <c r="F305" i="18"/>
  <c r="F313" i="18"/>
  <c r="F321" i="18"/>
  <c r="F329" i="18"/>
  <c r="F337" i="18"/>
  <c r="F345" i="18"/>
  <c r="F353" i="18"/>
  <c r="F361" i="18"/>
  <c r="F369" i="18"/>
  <c r="F377" i="18"/>
  <c r="F385" i="18"/>
  <c r="F393" i="18"/>
  <c r="F401" i="18"/>
  <c r="F409" i="18"/>
  <c r="F417" i="18"/>
  <c r="F425" i="18"/>
  <c r="F433" i="18"/>
  <c r="F441" i="18"/>
  <c r="F449" i="18"/>
  <c r="F457" i="18"/>
  <c r="F465" i="18"/>
  <c r="F3" i="18"/>
  <c r="F11" i="18"/>
  <c r="F19" i="18"/>
  <c r="F27" i="18"/>
  <c r="F35" i="18"/>
  <c r="F43" i="18"/>
  <c r="F51" i="18"/>
  <c r="F59" i="18"/>
  <c r="F67" i="18"/>
  <c r="F75" i="18"/>
  <c r="F83" i="18"/>
  <c r="F91" i="18"/>
  <c r="F99" i="18"/>
  <c r="F107" i="18"/>
  <c r="F115" i="18"/>
  <c r="F123" i="18"/>
  <c r="F131" i="18"/>
  <c r="F139" i="18"/>
  <c r="F147" i="18"/>
  <c r="F155" i="18"/>
  <c r="F163" i="18"/>
  <c r="F171" i="18"/>
  <c r="F179" i="18"/>
  <c r="F187" i="18"/>
  <c r="F195" i="18"/>
  <c r="F203" i="18"/>
  <c r="F211" i="18"/>
  <c r="F219" i="18"/>
  <c r="F227" i="18"/>
  <c r="F235" i="18"/>
  <c r="F243" i="18"/>
  <c r="F251" i="18"/>
  <c r="F259" i="18"/>
  <c r="F267" i="18"/>
  <c r="F275" i="18"/>
  <c r="F283" i="18"/>
  <c r="F291" i="18"/>
  <c r="F299" i="18"/>
  <c r="F307" i="18"/>
  <c r="F315" i="18"/>
  <c r="F323" i="18"/>
  <c r="F331" i="18"/>
  <c r="F339" i="18"/>
  <c r="F347" i="18"/>
  <c r="F355" i="18"/>
  <c r="F363" i="18"/>
  <c r="F371" i="18"/>
  <c r="F379" i="18"/>
  <c r="F387" i="18"/>
  <c r="F395" i="18"/>
  <c r="F403" i="18"/>
  <c r="F411" i="18"/>
  <c r="F419" i="18"/>
  <c r="F427" i="18"/>
  <c r="F435" i="18"/>
  <c r="F443" i="18"/>
  <c r="F451" i="18"/>
  <c r="F459" i="18"/>
  <c r="F10" i="18"/>
  <c r="F32" i="18"/>
  <c r="F52" i="18"/>
  <c r="F74" i="18"/>
  <c r="F96" i="18"/>
  <c r="F116" i="18"/>
  <c r="F132" i="18"/>
  <c r="F148" i="18"/>
  <c r="F164" i="18"/>
  <c r="F180" i="18"/>
  <c r="F196" i="18"/>
  <c r="F212" i="18"/>
  <c r="F228" i="18"/>
  <c r="F244" i="18"/>
  <c r="F260" i="18"/>
  <c r="F276" i="18"/>
  <c r="F292" i="18"/>
  <c r="F308" i="18"/>
  <c r="F324" i="18"/>
  <c r="F340" i="18"/>
  <c r="F356" i="18"/>
  <c r="F372" i="18"/>
  <c r="F388" i="18"/>
  <c r="F404" i="18"/>
  <c r="F420" i="18"/>
  <c r="F436" i="18"/>
  <c r="F452" i="18"/>
  <c r="F108" i="18"/>
  <c r="F191" i="18"/>
  <c r="F239" i="18"/>
  <c r="F303" i="18"/>
  <c r="F351" i="18"/>
  <c r="F415" i="18"/>
  <c r="F12" i="18"/>
  <c r="F34" i="18"/>
  <c r="F56" i="18"/>
  <c r="F76" i="18"/>
  <c r="F98" i="18"/>
  <c r="F119" i="18"/>
  <c r="F135" i="18"/>
  <c r="F151" i="18"/>
  <c r="F167" i="18"/>
  <c r="F183" i="18"/>
  <c r="F199" i="18"/>
  <c r="F215" i="18"/>
  <c r="F231" i="18"/>
  <c r="F247" i="18"/>
  <c r="F263" i="18"/>
  <c r="F279" i="18"/>
  <c r="F295" i="18"/>
  <c r="F311" i="18"/>
  <c r="F327" i="18"/>
  <c r="F343" i="18"/>
  <c r="F359" i="18"/>
  <c r="F375" i="18"/>
  <c r="F391" i="18"/>
  <c r="F407" i="18"/>
  <c r="F423" i="18"/>
  <c r="F439" i="18"/>
  <c r="F455" i="18"/>
  <c r="F202" i="18"/>
  <c r="F250" i="18"/>
  <c r="F282" i="18"/>
  <c r="F314" i="18"/>
  <c r="F346" i="18"/>
  <c r="F378" i="18"/>
  <c r="F426" i="18"/>
  <c r="F458" i="18"/>
  <c r="F42" i="18"/>
  <c r="F84" i="18"/>
  <c r="F124" i="18"/>
  <c r="F156" i="18"/>
  <c r="F172" i="18"/>
  <c r="F204" i="18"/>
  <c r="F236" i="18"/>
  <c r="F252" i="18"/>
  <c r="F268" i="18"/>
  <c r="F284" i="18"/>
  <c r="F300" i="18"/>
  <c r="F316" i="18"/>
  <c r="F332" i="18"/>
  <c r="F348" i="18"/>
  <c r="F364" i="18"/>
  <c r="F380" i="18"/>
  <c r="F396" i="18"/>
  <c r="F412" i="18"/>
  <c r="F428" i="18"/>
  <c r="F444" i="18"/>
  <c r="F460" i="18"/>
  <c r="F24" i="18"/>
  <c r="F44" i="18"/>
  <c r="F66" i="18"/>
  <c r="F88" i="18"/>
  <c r="F143" i="18"/>
  <c r="F159" i="18"/>
  <c r="F207" i="18"/>
  <c r="F255" i="18"/>
  <c r="F319" i="18"/>
  <c r="F367" i="18"/>
  <c r="F431" i="18"/>
  <c r="F16" i="18"/>
  <c r="F36" i="18"/>
  <c r="F58" i="18"/>
  <c r="F80" i="18"/>
  <c r="F100" i="18"/>
  <c r="F120" i="18"/>
  <c r="F136" i="18"/>
  <c r="F152" i="18"/>
  <c r="F168" i="18"/>
  <c r="F184" i="18"/>
  <c r="F200" i="18"/>
  <c r="F216" i="18"/>
  <c r="F232" i="18"/>
  <c r="F248" i="18"/>
  <c r="F264" i="18"/>
  <c r="F280" i="18"/>
  <c r="F296" i="18"/>
  <c r="F312" i="18"/>
  <c r="F328" i="18"/>
  <c r="F344" i="18"/>
  <c r="F360" i="18"/>
  <c r="F376" i="18"/>
  <c r="F392" i="18"/>
  <c r="F408" i="18"/>
  <c r="F424" i="18"/>
  <c r="F440" i="18"/>
  <c r="F456" i="18"/>
  <c r="F18" i="18"/>
  <c r="F40" i="18"/>
  <c r="F60" i="18"/>
  <c r="F82" i="18"/>
  <c r="F104" i="18"/>
  <c r="F122" i="18"/>
  <c r="F138" i="18"/>
  <c r="F154" i="18"/>
  <c r="F170" i="18"/>
  <c r="F186" i="18"/>
  <c r="F218" i="18"/>
  <c r="F234" i="18"/>
  <c r="F266" i="18"/>
  <c r="F298" i="18"/>
  <c r="F330" i="18"/>
  <c r="F362" i="18"/>
  <c r="F394" i="18"/>
  <c r="F410" i="18"/>
  <c r="F442" i="18"/>
  <c r="F20" i="18"/>
  <c r="F64" i="18"/>
  <c r="F106" i="18"/>
  <c r="F140" i="18"/>
  <c r="F188" i="18"/>
  <c r="F220" i="18"/>
  <c r="F127" i="18"/>
  <c r="F175" i="18"/>
  <c r="F223" i="18"/>
  <c r="F271" i="18"/>
  <c r="F335" i="18"/>
  <c r="F399" i="18"/>
  <c r="F463" i="18"/>
  <c r="F4" i="18"/>
  <c r="F26" i="18"/>
  <c r="F48" i="18"/>
  <c r="F68" i="18"/>
  <c r="F90" i="18"/>
  <c r="F112" i="18"/>
  <c r="F128" i="18"/>
  <c r="F144" i="18"/>
  <c r="F160" i="18"/>
  <c r="F176" i="18"/>
  <c r="F192" i="18"/>
  <c r="F208" i="18"/>
  <c r="F224" i="18"/>
  <c r="F240" i="18"/>
  <c r="F256" i="18"/>
  <c r="F272" i="18"/>
  <c r="F288" i="18"/>
  <c r="F304" i="18"/>
  <c r="F320" i="18"/>
  <c r="F336" i="18"/>
  <c r="F352" i="18"/>
  <c r="F368" i="18"/>
  <c r="F384" i="18"/>
  <c r="F400" i="18"/>
  <c r="F416" i="18"/>
  <c r="F432" i="18"/>
  <c r="F448" i="18"/>
  <c r="F464" i="18"/>
  <c r="F8" i="18"/>
  <c r="F28" i="18"/>
  <c r="F50" i="18"/>
  <c r="F72" i="18"/>
  <c r="F92" i="18"/>
  <c r="F114" i="18"/>
  <c r="F130" i="18"/>
  <c r="F146" i="18"/>
  <c r="F162" i="18"/>
  <c r="F178" i="18"/>
  <c r="F194" i="18"/>
  <c r="F210" i="18"/>
  <c r="F226" i="18"/>
  <c r="F242" i="18"/>
  <c r="F258" i="18"/>
  <c r="F274" i="18"/>
  <c r="F290" i="18"/>
  <c r="F306" i="18"/>
  <c r="F322" i="18"/>
  <c r="F338" i="18"/>
  <c r="F354" i="18"/>
  <c r="F370" i="18"/>
  <c r="F386" i="18"/>
  <c r="F402" i="18"/>
  <c r="F418" i="18"/>
  <c r="F434" i="18"/>
  <c r="F450" i="18"/>
  <c r="F287" i="18"/>
  <c r="F383" i="18"/>
  <c r="F447" i="18"/>
  <c r="H13" i="28" l="1"/>
  <c r="F14" i="28"/>
  <c r="I13" i="28" s="1"/>
  <c r="G13" i="28"/>
  <c r="J12" i="28"/>
  <c r="K12" i="28" s="1"/>
  <c r="L12" i="28" s="1"/>
  <c r="M13" i="28"/>
  <c r="M50" i="16"/>
  <c r="L46" i="16"/>
  <c r="M51" i="16"/>
  <c r="L45" i="16"/>
  <c r="M46" i="16"/>
  <c r="L49" i="16"/>
  <c r="K45" i="16"/>
  <c r="L44" i="16"/>
  <c r="L50" i="16"/>
  <c r="M45" i="16"/>
  <c r="L48" i="16"/>
  <c r="L51" i="16"/>
  <c r="M44" i="16"/>
  <c r="L47" i="16"/>
  <c r="L43" i="16"/>
  <c r="M43" i="16"/>
  <c r="K43" i="16"/>
  <c r="L42" i="16"/>
  <c r="M49" i="16"/>
  <c r="M47" i="16"/>
  <c r="M48" i="16"/>
  <c r="M42" i="16"/>
  <c r="K47" i="16"/>
  <c r="K51" i="16"/>
  <c r="K50" i="16"/>
  <c r="K49" i="16"/>
  <c r="K48" i="16"/>
  <c r="K46" i="16"/>
  <c r="K17" i="27"/>
  <c r="L17" i="27"/>
  <c r="M17" i="27"/>
  <c r="N17" i="27"/>
  <c r="O17" i="27"/>
  <c r="P17" i="27"/>
  <c r="M14" i="28" l="1"/>
  <c r="J13" i="28"/>
  <c r="K13" i="28" s="1"/>
  <c r="L13" i="28" s="1"/>
  <c r="H14" i="28"/>
  <c r="G14" i="28"/>
  <c r="F15" i="28"/>
  <c r="T39" i="16"/>
  <c r="B8" i="27"/>
  <c r="C8" i="27" s="1"/>
  <c r="Q38" i="16" s="1"/>
  <c r="F16" i="28" l="1"/>
  <c r="G15" i="28"/>
  <c r="H15" i="28"/>
  <c r="I14" i="28"/>
  <c r="K39" i="16"/>
  <c r="G16" i="28" l="1"/>
  <c r="H16" i="28"/>
  <c r="F17" i="28"/>
  <c r="M15" i="28"/>
  <c r="J14" i="28"/>
  <c r="K14" i="28" s="1"/>
  <c r="I15" i="28"/>
  <c r="AA9" i="16"/>
  <c r="L14" i="28" l="1"/>
  <c r="J15" i="28"/>
  <c r="K15" i="28" s="1"/>
  <c r="L15" i="28" s="1"/>
  <c r="M16" i="28"/>
  <c r="H17" i="28"/>
  <c r="G17" i="28"/>
  <c r="F18" i="28"/>
  <c r="I16" i="28"/>
  <c r="T43" i="16"/>
  <c r="T44" i="16"/>
  <c r="T45" i="16"/>
  <c r="T46" i="16"/>
  <c r="T47" i="16"/>
  <c r="T48" i="16"/>
  <c r="T49" i="16"/>
  <c r="T50" i="16"/>
  <c r="T51" i="16"/>
  <c r="T52" i="16"/>
  <c r="T42" i="16"/>
  <c r="H18" i="28" l="1"/>
  <c r="G18" i="28"/>
  <c r="F19" i="28"/>
  <c r="I18" i="28" s="1"/>
  <c r="M17" i="28"/>
  <c r="J16" i="28"/>
  <c r="K16" i="28" s="1"/>
  <c r="L16" i="28" s="1"/>
  <c r="I17" i="28"/>
  <c r="AA4" i="16"/>
  <c r="J18" i="28" l="1"/>
  <c r="M18" i="28"/>
  <c r="M19" i="28" s="1"/>
  <c r="J17" i="28"/>
  <c r="K17" i="28" s="1"/>
  <c r="L17" i="28"/>
  <c r="H19" i="28"/>
  <c r="G19" i="28"/>
  <c r="F20" i="28"/>
  <c r="I19" i="28" s="1"/>
  <c r="M39" i="16"/>
  <c r="P43" i="16"/>
  <c r="P44" i="16"/>
  <c r="P45" i="16"/>
  <c r="P46" i="16"/>
  <c r="P47" i="16"/>
  <c r="P48" i="16"/>
  <c r="P49" i="16"/>
  <c r="P50" i="16"/>
  <c r="P51" i="16"/>
  <c r="P52" i="16"/>
  <c r="P42" i="16"/>
  <c r="B5" i="27"/>
  <c r="K16" i="27"/>
  <c r="L16" i="27"/>
  <c r="M16" i="27"/>
  <c r="N16" i="27"/>
  <c r="O16" i="27"/>
  <c r="P16" i="27"/>
  <c r="C5" i="27"/>
  <c r="AA10" i="16"/>
  <c r="F81" i="16"/>
  <c r="K18" i="28" l="1"/>
  <c r="J19" i="28"/>
  <c r="K19" i="28" s="1"/>
  <c r="L19" i="28" s="1"/>
  <c r="M20" i="28"/>
  <c r="H20" i="28"/>
  <c r="G20" i="28"/>
  <c r="F21" i="28"/>
  <c r="L18" i="28"/>
  <c r="Q52" i="16"/>
  <c r="Q51" i="16"/>
  <c r="Q50" i="16"/>
  <c r="Q43" i="16"/>
  <c r="Q48" i="16"/>
  <c r="Q46" i="16"/>
  <c r="Q44" i="16"/>
  <c r="Q49" i="16"/>
  <c r="Q42" i="16"/>
  <c r="Q45" i="16"/>
  <c r="S52" i="16"/>
  <c r="S51" i="16"/>
  <c r="S49" i="16"/>
  <c r="S50" i="16"/>
  <c r="S48" i="16"/>
  <c r="S43" i="16"/>
  <c r="S46" i="16"/>
  <c r="S44" i="16"/>
  <c r="S42" i="16"/>
  <c r="S45" i="16"/>
  <c r="H21" i="28" l="1"/>
  <c r="F22" i="28"/>
  <c r="G21" i="28"/>
  <c r="I20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I21" i="28" l="1"/>
  <c r="J21" i="28" s="1"/>
  <c r="K21" i="28" s="1"/>
  <c r="M22" i="28"/>
  <c r="J20" i="28"/>
  <c r="K20" i="28" s="1"/>
  <c r="M21" i="28"/>
  <c r="H22" i="28"/>
  <c r="G22" i="28"/>
  <c r="F23" i="28"/>
  <c r="F24" i="28" l="1"/>
  <c r="I23" i="28" s="1"/>
  <c r="G23" i="28"/>
  <c r="H23" i="28"/>
  <c r="I22" i="28"/>
  <c r="L21" i="28"/>
  <c r="L20" i="28"/>
  <c r="J23" i="28" l="1"/>
  <c r="M23" i="28"/>
  <c r="M24" i="28" s="1"/>
  <c r="J22" i="28"/>
  <c r="K22" i="28" s="1"/>
  <c r="G24" i="28"/>
  <c r="H24" i="28"/>
  <c r="F25" i="28"/>
  <c r="L22" i="28" l="1"/>
  <c r="H25" i="28"/>
  <c r="G25" i="28"/>
  <c r="F26" i="28"/>
  <c r="I25" i="28" s="1"/>
  <c r="I24" i="28"/>
  <c r="K23" i="28"/>
  <c r="L23" i="28" s="1"/>
  <c r="M25" i="28" l="1"/>
  <c r="M26" i="28" s="1"/>
  <c r="J24" i="28"/>
  <c r="K24" i="28" s="1"/>
  <c r="L24" i="28" s="1"/>
  <c r="H26" i="28"/>
  <c r="G26" i="28"/>
  <c r="F27" i="28"/>
  <c r="J25" i="28"/>
  <c r="K25" i="28" s="1"/>
  <c r="I26" i="28" l="1"/>
  <c r="M27" i="28" s="1"/>
  <c r="J26" i="28"/>
  <c r="K26" i="28" s="1"/>
  <c r="L26" i="28" s="1"/>
  <c r="H27" i="28"/>
  <c r="G27" i="28"/>
  <c r="F28" i="28"/>
  <c r="I27" i="28" s="1"/>
  <c r="L25" i="28"/>
  <c r="J27" i="28" l="1"/>
  <c r="K27" i="28" s="1"/>
  <c r="L27" i="28" s="1"/>
  <c r="M28" i="28"/>
  <c r="G28" i="28"/>
  <c r="H28" i="28"/>
  <c r="F29" i="28"/>
  <c r="I28" i="28" s="1"/>
  <c r="H29" i="28" l="1"/>
  <c r="F30" i="28"/>
  <c r="I29" i="28" s="1"/>
  <c r="G29" i="28"/>
  <c r="J28" i="28"/>
  <c r="K28" i="28" s="1"/>
  <c r="L28" i="28" s="1"/>
  <c r="M29" i="28"/>
  <c r="H30" i="28" l="1"/>
  <c r="G30" i="28"/>
  <c r="F31" i="28"/>
  <c r="M30" i="28"/>
  <c r="J29" i="28"/>
  <c r="K29" i="28" s="1"/>
  <c r="L29" i="28" s="1"/>
  <c r="F32" i="28" l="1"/>
  <c r="I31" i="28" s="1"/>
  <c r="G31" i="28"/>
  <c r="H31" i="28"/>
  <c r="I30" i="28"/>
  <c r="M31" i="28" l="1"/>
  <c r="M32" i="28" s="1"/>
  <c r="J30" i="28"/>
  <c r="K30" i="28" s="1"/>
  <c r="J31" i="28"/>
  <c r="G32" i="28"/>
  <c r="H32" i="28"/>
  <c r="F33" i="28"/>
  <c r="I32" i="28" s="1"/>
  <c r="H33" i="28" l="1"/>
  <c r="G33" i="28"/>
  <c r="F34" i="28"/>
  <c r="I33" i="28" s="1"/>
  <c r="L30" i="28"/>
  <c r="M33" i="28"/>
  <c r="J32" i="28"/>
  <c r="K31" i="28"/>
  <c r="M34" i="28" l="1"/>
  <c r="J33" i="28"/>
  <c r="K32" i="28"/>
  <c r="L32" i="28" s="1"/>
  <c r="L31" i="28"/>
  <c r="H34" i="28"/>
  <c r="G34" i="28"/>
  <c r="F35" i="28"/>
  <c r="I34" i="28" s="1"/>
  <c r="K33" i="28" l="1"/>
  <c r="L33" i="28" s="1"/>
  <c r="M35" i="28"/>
  <c r="J34" i="28"/>
  <c r="H35" i="28"/>
  <c r="G35" i="28"/>
  <c r="I35" i="28" s="1"/>
  <c r="J35" i="28" s="1"/>
  <c r="K35" i="28" s="1"/>
  <c r="C9" i="27" s="1"/>
  <c r="L34" i="28" l="1"/>
  <c r="K34" i="28"/>
  <c r="T38" i="16"/>
  <c r="C10" i="27"/>
  <c r="L35" i="28"/>
  <c r="K15" i="27" l="1"/>
  <c r="O47" i="16" s="1"/>
  <c r="Q39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Yr' and m.category = 'MTG' and AsOfDate &lt;= '2018-10-19' and AsOfDate&gt;= '2018-09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Yr' and m.category = 'MTG' and AsOfDate &lt;= '2018-10-19' and AsOfDate&gt;= '2018-10-18' order by d.AsOfDate"/>
  </connection>
  <connection id="3" name="FunctionOfRatesLoanQuery" type="1" refreshedVersion="4" savePassword="1" saveData="1">
    <dbPr connection="DSN=Agency" command="exec RefinancibleUniverse_FunctionOfRates_Loan  4.79578232789157, '2018-09-01', '2018-10-19'"/>
  </connection>
  <connection id="4" name="FunctionOfRatesLoanWithLowestRateQuery" type="1" refreshedVersion="4" savePassword="1" saveData="1">
    <dbPr connection="DSN=Agency" command="exec RefinancibleUniverse_FunctionOfRates_LowestRate_Loan 4.79578232789157, '2018-09-01', '2018-10-19', '2018-10-18'"/>
  </connection>
  <connection id="5" name="FunctionOfRatesLoanWithMediaEffectQuery" type="1" refreshedVersion="4" savePassword="1" saveData="1">
    <dbPr connection="DSN=Agency" command="exec RefinancibleUniverse_FunctionOfRates_MediaEffect_Loan 4.79578232789157, '2018-09-01', '2018-10-19', '2018-10-18'"/>
  </connection>
  <connection id="6" name="FunctionOfRatesPoolQuery" type="1" refreshedVersion="4" savePassword="1" saveData="1">
    <dbPr connection="DSN=Agency" command="exec RefinancibleUniverse_FunctionOfRates  3.93100639619244, '2016-10-01', '2016-11-28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and ModelType = 'ScaleMediaEffectModel v4.0' and asofdate &gt;= '2008-01-01' order by asofdate desc "/>
  </connection>
  <connection id="8" name="LoanLevelLowestRateQuery" type="1" refreshedVersion="4" savePassword="1" saveData="1">
    <dbPr connection="DSN=Agency" command="select asofdate, SeriesNumValue from TimeSeriesMeta meta join TimeSeries ts on meta.TimeSeriesMetaId = ts.TimeSeriesMetaId where SeriesType = 'WEEKLY_LOWEST_RATE_PCT_REFI' and TickerName = 'CONVENTIONAL_30YR_COMBINED'and ModelType = 'ScaleMediaEffectModel v4.0' and asofdate &gt;= '2008-01-01' order by asofdate desc "/>
  </connection>
  <connection id="9" name="Loan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COMBINED' and ModelType = 'ScaleMediaEffectModel v4.0' and asofdate &gt;= '2008-01-01' order by asofdate desc "/>
  </connection>
  <connection id="10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2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3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4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5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PMMSQuery" type="1" refreshedVersion="4" savePassword="1" saveData="1">
    <dbPr connection="DSN=Agency" command="commit; select top 1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&lt;= '2018-10-19' group by AsOfDate order by AsOfDate desc "/>
  </connection>
  <connection id="17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 order by asofdate desc"/>
  </connection>
  <connection id="18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2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3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4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<sst xmlns="http://schemas.openxmlformats.org/spreadsheetml/2006/main" count="216" uniqueCount="148">
  <si>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</si>
  <si>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</si>
  <si>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</si>
  <si>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</si>
  <si>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</si>
  <si>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</si>
  <si>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</si>
  <si>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</si>
  <si>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</si>
  <si>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</si>
  <si>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</si>
  <si>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</si>
  <si>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</si>
  <si>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</si>
  <si>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</si>
  <si>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</si>
  <si>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</si>
  <si>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</si>
  <si>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</si>
  <si>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</si>
  <si>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</si>
  <si>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</si>
  <si>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</si>
  <si>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</si>
  <si>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</si>
  <si>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</si>
  <si>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</si>
  <si>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</si>
  <si>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</si>
  <si>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</si>
  <si>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</si>
  <si>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</si>
  <si>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</si>
  <si>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</si>
  <si>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</si>
  <si>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</si>
  <si>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</si>
  <si>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</si>
  <si>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</si>
  <si>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</si>
  <si>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</si>
  <si>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</si>
  <si>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</si>
  <si>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-20 bps</t>
  </si>
  <si>
    <t>-40 bps</t>
  </si>
  <si>
    <t>+20 bps</t>
  </si>
  <si>
    <t>+40 bps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</si>
  <si>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</si>
  <si>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</si>
  <si>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</si>
  <si>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</si>
  <si>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</si>
  <si>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</si>
  <si>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</si>
  <si>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</si>
  <si>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</si>
  <si>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</si>
  <si>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</si>
  <si>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</si>
  <si>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</si>
  <si>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</si>
  <si>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</si>
  <si>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</si>
  <si>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</si>
  <si>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</si>
  <si>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</si>
  <si>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</si>
  <si>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</si>
  <si>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</si>
  <si>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</si>
  <si>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</si>
  <si>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</si>
  <si>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</si>
  <si>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</si>
  <si>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</si>
  <si>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</si>
  <si>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</si>
  <si>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</si>
  <si>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</si>
  <si>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</si>
  <si>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</si>
  <si>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</si>
  <si>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</si>
  <si>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</si>
  <si>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</si>
  <si>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</si>
  <si>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</si>
  <si>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</si>
  <si>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</si>
  <si>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12 Weeks Scenario</t>
  </si>
  <si>
    <t>asofdate</t>
  </si>
  <si>
    <t>12 Weeks</t>
  </si>
  <si>
    <t>refinanceable1</t>
  </si>
  <si>
    <t>refinanceable2</t>
  </si>
  <si>
    <t>refinanceable3</t>
  </si>
  <si>
    <t>refinanceable4</t>
  </si>
  <si>
    <t>refinanceable5</t>
  </si>
  <si>
    <t>refinanceable6</t>
  </si>
  <si>
    <t>refinanceable7</t>
  </si>
  <si>
    <t>refinanceable8</t>
  </si>
  <si>
    <t>refinanceable9</t>
  </si>
  <si>
    <t>refinanceable10</t>
  </si>
  <si>
    <t>refinanceable11</t>
  </si>
  <si>
    <t>Last Survey Rate Date</t>
  </si>
  <si>
    <t>Refinacneable %</t>
  </si>
  <si>
    <t>12 Weeks Scenario:  1) 50 bps in the money;  2) At or below this rate for less than 3 months (12 weeks) over its history</t>
  </si>
  <si>
    <t>Refinanceable %</t>
  </si>
  <si>
    <t>1W Chg</t>
  </si>
  <si>
    <t>-60 bps</t>
  </si>
  <si>
    <t>-80 bps</t>
  </si>
  <si>
    <t>-100 bps</t>
  </si>
  <si>
    <t>+60 bps</t>
  </si>
  <si>
    <t>+80 bps</t>
  </si>
  <si>
    <t>+100 bps</t>
  </si>
  <si>
    <t>S:\IT\Production\Daily Reports\Primary Market\2018-07\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</si>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</sst>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  <border>
      <left/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50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64" fontId="8" fillId="7" borderId="43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3" xfId="1" applyNumberFormat="1" applyFont="1" applyBorder="1" applyAlignment="1">
      <alignment horizontal="center" vertic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7" xfId="0" applyNumberFormat="1" applyFont="1" applyFill="1" applyBorder="1" applyAlignment="1">
      <alignment horizontal="center"/>
    </xf>
    <xf numFmtId="164" fontId="8" fillId="7" borderId="48" xfId="0" applyNumberFormat="1" applyFont="1" applyFill="1" applyBorder="1" applyAlignment="1">
      <alignment horizontal="center"/>
    </xf>
    <xf numFmtId="194" fontId="7" fillId="0" borderId="50" xfId="1" applyNumberFormat="1" applyFont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7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" fontId="7" fillId="0" borderId="47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2" fontId="4" fillId="67" borderId="47" xfId="0" applyNumberFormat="1" applyFont="1" applyFill="1" applyBorder="1" applyAlignment="1">
      <alignment horizontal="center" vertical="center"/>
    </xf>
    <xf numFmtId="194" fontId="4" fillId="67" borderId="48" xfId="1" quotePrefix="1" applyNumberFormat="1" applyFont="1" applyFill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4" fillId="67" borderId="47" xfId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6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3" xfId="0" applyFont="1" applyBorder="1"/>
    <xf numFmtId="10" fontId="7" fillId="0" borderId="43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94" fontId="7" fillId="0" borderId="40" xfId="0" applyNumberFormat="1" applyFont="1" applyBorder="1" applyAlignment="1">
      <alignment horizontal="center" vertical="center"/>
    </xf>
    <xf numFmtId="194" fontId="7" fillId="0" borderId="61" xfId="0" applyNumberFormat="1" applyFont="1" applyBorder="1" applyAlignment="1">
      <alignment horizontal="center" vertical="center"/>
    </xf>
    <xf numFmtId="14" fontId="143" fillId="0" borderId="0" xfId="0" applyNumberFormat="1" applyFont="1"/>
    <xf numFmtId="10" fontId="143" fillId="0" borderId="0" xfId="1" applyNumberFormat="1" applyFont="1"/>
    <xf numFmtId="2" fontId="143" fillId="0" borderId="0" xfId="1" applyNumberFormat="1" applyFont="1"/>
    <xf numFmtId="14" fontId="144" fillId="0" borderId="0" xfId="0" applyNumberFormat="1" applyFont="1"/>
    <xf numFmtId="10" fontId="144" fillId="0" borderId="0" xfId="1" applyNumberFormat="1" applyFont="1"/>
    <xf numFmtId="2" fontId="144" fillId="0" borderId="0" xfId="1" applyNumberFormat="1" applyFont="1"/>
    <xf numFmtId="9" fontId="7" fillId="0" borderId="0" xfId="1" applyFont="1"/>
    <xf numFmtId="14" fontId="145" fillId="0" borderId="0" xfId="0" applyNumberFormat="1" applyFont="1"/>
    <xf numFmtId="10" fontId="145" fillId="0" borderId="0" xfId="1" applyNumberFormat="1" applyFont="1"/>
    <xf numFmtId="2" fontId="145" fillId="0" borderId="0" xfId="1" applyNumberFormat="1" applyFont="1"/>
    <xf numFmtId="14" fontId="146" fillId="0" borderId="0" xfId="0" applyNumberFormat="1" applyFont="1"/>
    <xf numFmtId="10" fontId="146" fillId="0" borderId="0" xfId="1" applyNumberFormat="1" applyFont="1"/>
    <xf numFmtId="2" fontId="146" fillId="0" borderId="0" xfId="1" applyNumberFormat="1" applyFont="1"/>
    <xf numFmtId="14" fontId="147" fillId="0" borderId="0" xfId="0" applyNumberFormat="1" applyFont="1"/>
    <xf numFmtId="10" fontId="147" fillId="0" borderId="0" xfId="1" applyNumberFormat="1" applyFont="1"/>
    <xf numFmtId="2" fontId="147" fillId="0" borderId="0" xfId="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9" fontId="148" fillId="0" borderId="0" xfId="1" applyFont="1"/>
    <xf numFmtId="9" fontId="0" fillId="0" borderId="0" xfId="1" applyFont="1"/>
    <xf numFmtId="10" fontId="0" fillId="0" borderId="0" xfId="1" applyNumberFormat="1" applyFont="1"/>
    <xf numFmtId="14" fontId="149" fillId="0" borderId="0" xfId="0" applyNumberFormat="1" applyFont="1"/>
    <xf numFmtId="10" fontId="149" fillId="0" borderId="0" xfId="1" applyNumberFormat="1" applyFont="1"/>
    <xf numFmtId="2" fontId="149" fillId="0" borderId="0" xfId="1" applyNumberFormat="1" applyFont="1"/>
    <xf numFmtId="14" fontId="150" fillId="0" borderId="0" xfId="0" applyNumberFormat="1" applyFont="1"/>
    <xf numFmtId="10" fontId="150" fillId="0" borderId="0" xfId="1" applyNumberFormat="1" applyFont="1"/>
    <xf numFmtId="2" fontId="150" fillId="0" borderId="0" xfId="1" applyNumberFormat="1" applyFont="1"/>
    <xf numFmtId="14" fontId="151" fillId="0" borderId="0" xfId="0" applyNumberFormat="1" applyFont="1"/>
    <xf numFmtId="10" fontId="151" fillId="0" borderId="0" xfId="1" applyNumberFormat="1" applyFont="1"/>
    <xf numFmtId="2" fontId="151" fillId="0" borderId="0" xfId="1" applyNumberFormat="1" applyFont="1"/>
    <xf numFmtId="14" fontId="152" fillId="0" borderId="0" xfId="0" applyNumberFormat="1" applyFont="1"/>
    <xf numFmtId="10" fontId="152" fillId="0" borderId="0" xfId="1" applyNumberFormat="1" applyFont="1"/>
    <xf numFmtId="2" fontId="152" fillId="0" borderId="0" xfId="1" applyNumberFormat="1" applyFont="1"/>
    <xf numFmtId="0" fontId="153" fillId="41" borderId="0" xfId="351" applyNumberFormat="1" applyFont="1"/>
    <xf numFmtId="14" fontId="154" fillId="0" borderId="0" xfId="0" applyNumberFormat="1" applyFont="1"/>
    <xf numFmtId="10" fontId="154" fillId="0" borderId="0" xfId="1" applyNumberFormat="1" applyFont="1"/>
    <xf numFmtId="2" fontId="154" fillId="0" borderId="0" xfId="1" applyNumberFormat="1" applyFont="1"/>
    <xf numFmtId="14" fontId="153" fillId="68" borderId="0" xfId="351" applyNumberFormat="1" applyFont="1" applyFill="1"/>
    <xf numFmtId="0" fontId="154" fillId="68" borderId="0" xfId="0" applyFont="1" applyFill="1"/>
    <xf numFmtId="0" fontId="154" fillId="0" borderId="0" xfId="0" applyFont="1"/>
    <xf numFmtId="0" fontId="155" fillId="0" borderId="0" xfId="0" applyFont="1"/>
    <xf numFmtId="14" fontId="34" fillId="68" borderId="0" xfId="351" applyNumberFormat="1" applyFont="1" applyFill="1"/>
    <xf numFmtId="0" fontId="7" fillId="68" borderId="0" xfId="0" applyFont="1" applyFill="1"/>
    <xf numFmtId="164" fontId="8" fillId="7" borderId="52" xfId="0" applyNumberFormat="1" applyFont="1" applyFill="1" applyBorder="1" applyAlignment="1">
      <alignment vertical="center"/>
    </xf>
    <xf numFmtId="0" fontId="156" fillId="0" borderId="0" xfId="0" applyFont="1"/>
    <xf numFmtId="14" fontId="156" fillId="0" borderId="0" xfId="0" applyNumberFormat="1" applyFont="1"/>
    <xf numFmtId="9" fontId="156" fillId="0" borderId="0" xfId="1" applyFont="1"/>
    <xf numFmtId="14" fontId="7" fillId="0" borderId="47" xfId="0" quotePrefix="1" applyNumberFormat="1" applyFont="1" applyBorder="1" applyAlignment="1">
      <alignment horizontal="center" vertical="center"/>
    </xf>
    <xf numFmtId="14" fontId="7" fillId="0" borderId="49" xfId="0" quotePrefix="1" applyNumberFormat="1" applyFont="1" applyBorder="1" applyAlignment="1">
      <alignment horizontal="center" vertical="center"/>
    </xf>
    <xf numFmtId="0" fontId="157" fillId="0" borderId="0" xfId="0" applyFont="1"/>
    <xf numFmtId="14" fontId="157" fillId="0" borderId="0" xfId="0" applyNumberFormat="1" applyFont="1"/>
    <xf numFmtId="9" fontId="157" fillId="0" borderId="0" xfId="1" applyFont="1"/>
    <xf numFmtId="14" fontId="158" fillId="0" borderId="0" xfId="0" applyNumberFormat="1" applyFont="1"/>
    <xf numFmtId="9" fontId="158" fillId="0" borderId="0" xfId="1" applyFont="1"/>
    <xf numFmtId="0" fontId="158" fillId="0" borderId="0" xfId="0" applyFont="1"/>
    <xf numFmtId="0" fontId="138" fillId="0" borderId="59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7" xfId="0" applyNumberFormat="1" applyFont="1" applyFill="1" applyBorder="1" applyAlignment="1">
      <alignment horizontal="center" vertical="center" wrapText="1"/>
    </xf>
    <xf numFmtId="164" fontId="8" fillId="7" borderId="58" xfId="0" applyNumberFormat="1" applyFont="1" applyFill="1" applyBorder="1" applyAlignment="1">
      <alignment horizontal="center" vertical="center" wrapText="1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62" xfId="0" applyNumberFormat="1" applyFont="1" applyFill="1" applyBorder="1" applyAlignment="1">
      <alignment horizontal="center" vertical="center"/>
    </xf>
    <xf numFmtId="164" fontId="8" fillId="7" borderId="60" xfId="0" applyNumberFormat="1" applyFont="1" applyFill="1" applyBorder="1" applyAlignment="1">
      <alignment horizontal="center" vertical="center"/>
    </xf>
    <xf numFmtId="164" fontId="8" fillId="7" borderId="45" xfId="0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12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8A60"/>
      <color rgb="FFAD275C"/>
      <color rgb="FF2E398A"/>
      <color rgb="FFC7732D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'Function Of Rate'!$F$15:$P$15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#N/A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0.39922062781382683</c:v>
                </c:pt>
                <c:pt idx="1">
                  <c:v>0.2458037873389366</c:v>
                </c:pt>
                <c:pt idx="2">
                  <c:v>0.15151259025291497</c:v>
                </c:pt>
                <c:pt idx="3">
                  <c:v>9.6804984707274833E-2</c:v>
                </c:pt>
                <c:pt idx="4">
                  <c:v>6.6660040233705295E-2</c:v>
                </c:pt>
                <c:pt idx="5">
                  <c:v>5.5949576964922698E-2</c:v>
                </c:pt>
                <c:pt idx="6">
                  <c:v>4.3266934140984474E-2</c:v>
                </c:pt>
                <c:pt idx="7">
                  <c:v>3.6731843806699853E-2</c:v>
                </c:pt>
                <c:pt idx="8">
                  <c:v>2.8052960052356374E-2</c:v>
                </c:pt>
                <c:pt idx="9">
                  <c:v>2.1026309856569381E-2</c:v>
                </c:pt>
                <c:pt idx="10">
                  <c:v>1.7046457458110453E-2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#N/A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8.4710088764851463E-2</c:v>
                </c:pt>
                <c:pt idx="1">
                  <c:v>4.0368668966316849E-2</c:v>
                </c:pt>
                <c:pt idx="2">
                  <c:v>1.2311010374278897E-2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Rate'!$E$19</c:f>
              <c:strCache>
                <c:ptCount val="1"/>
                <c:pt idx="0">
                  <c:v>12 Weeks Scenario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val>
            <c:numRef>
              <c:f>'Function Of Rate'!$F$19:$P$19</c:f>
              <c:numCache>
                <c:formatCode>0.00%</c:formatCode>
                <c:ptCount val="11"/>
                <c:pt idx="0">
                  <c:v>8.4710088764851463E-2</c:v>
                </c:pt>
                <c:pt idx="1">
                  <c:v>4.0368668966316849E-2</c:v>
                </c:pt>
                <c:pt idx="2">
                  <c:v>1.2311010374278897E-2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60328"/>
        <c:axId val="1036811624"/>
      </c:lineChart>
      <c:catAx>
        <c:axId val="7662603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36811624"/>
        <c:crosses val="autoZero"/>
        <c:auto val="1"/>
        <c:lblAlgn val="ctr"/>
        <c:lblOffset val="100"/>
        <c:noMultiLvlLbl val="0"/>
      </c:catAx>
      <c:valAx>
        <c:axId val="10368116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66260328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2"/>
          <c:tx>
            <c:strRef>
              <c:f>Query!$K$2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2E8A60"/>
            </a:solidFill>
            <a:ln w="19050">
              <a:solidFill>
                <a:srgbClr val="2E8A60"/>
              </a:solidFill>
            </a:ln>
          </c:spPr>
          <c:invertIfNegative val="0"/>
          <c:cat>
            <c:numRef>
              <c:f>Query!$I$3:$I$567</c:f>
              <c:numCache>
                <c:formatCode>m/d/yyyy</c:formatCode>
                <c:ptCount val="565"/>
                <c:pt idx="0">
                  <c:v>43391</c:v>
                </c:pt>
                <c:pt idx="1">
                  <c:v>43384</c:v>
                </c:pt>
                <c:pt idx="2">
                  <c:v>43377</c:v>
                </c:pt>
                <c:pt idx="3">
                  <c:v>43370</c:v>
                </c:pt>
                <c:pt idx="4">
                  <c:v>43363</c:v>
                </c:pt>
                <c:pt idx="5">
                  <c:v>43356</c:v>
                </c:pt>
                <c:pt idx="6">
                  <c:v>43349</c:v>
                </c:pt>
                <c:pt idx="7">
                  <c:v>43342</c:v>
                </c:pt>
                <c:pt idx="8">
                  <c:v>43335</c:v>
                </c:pt>
                <c:pt idx="9">
                  <c:v>43328</c:v>
                </c:pt>
                <c:pt idx="10">
                  <c:v>43321</c:v>
                </c:pt>
                <c:pt idx="11">
                  <c:v>43314</c:v>
                </c:pt>
                <c:pt idx="12">
                  <c:v>43307</c:v>
                </c:pt>
                <c:pt idx="13">
                  <c:v>43300</c:v>
                </c:pt>
                <c:pt idx="14">
                  <c:v>43293</c:v>
                </c:pt>
                <c:pt idx="15">
                  <c:v>43286</c:v>
                </c:pt>
                <c:pt idx="16">
                  <c:v>43279</c:v>
                </c:pt>
                <c:pt idx="17">
                  <c:v>43272</c:v>
                </c:pt>
                <c:pt idx="18">
                  <c:v>43265</c:v>
                </c:pt>
                <c:pt idx="19">
                  <c:v>43258</c:v>
                </c:pt>
                <c:pt idx="20">
                  <c:v>43251</c:v>
                </c:pt>
                <c:pt idx="21">
                  <c:v>43244</c:v>
                </c:pt>
                <c:pt idx="22">
                  <c:v>43237</c:v>
                </c:pt>
                <c:pt idx="23">
                  <c:v>43230</c:v>
                </c:pt>
                <c:pt idx="24">
                  <c:v>43223</c:v>
                </c:pt>
                <c:pt idx="25">
                  <c:v>43216</c:v>
                </c:pt>
                <c:pt idx="26">
                  <c:v>43209</c:v>
                </c:pt>
                <c:pt idx="27">
                  <c:v>43202</c:v>
                </c:pt>
                <c:pt idx="28">
                  <c:v>43195</c:v>
                </c:pt>
                <c:pt idx="29">
                  <c:v>43188</c:v>
                </c:pt>
                <c:pt idx="30">
                  <c:v>43181</c:v>
                </c:pt>
                <c:pt idx="31">
                  <c:v>43174</c:v>
                </c:pt>
                <c:pt idx="32">
                  <c:v>43167</c:v>
                </c:pt>
                <c:pt idx="33">
                  <c:v>43160</c:v>
                </c:pt>
                <c:pt idx="34">
                  <c:v>43153</c:v>
                </c:pt>
                <c:pt idx="35">
                  <c:v>43146</c:v>
                </c:pt>
                <c:pt idx="36">
                  <c:v>43139</c:v>
                </c:pt>
                <c:pt idx="37">
                  <c:v>43132</c:v>
                </c:pt>
                <c:pt idx="38">
                  <c:v>43125</c:v>
                </c:pt>
                <c:pt idx="39">
                  <c:v>43118</c:v>
                </c:pt>
                <c:pt idx="40">
                  <c:v>43111</c:v>
                </c:pt>
                <c:pt idx="41">
                  <c:v>43104</c:v>
                </c:pt>
                <c:pt idx="42">
                  <c:v>43101</c:v>
                </c:pt>
                <c:pt idx="43">
                  <c:v>43097</c:v>
                </c:pt>
                <c:pt idx="44">
                  <c:v>43090</c:v>
                </c:pt>
                <c:pt idx="45">
                  <c:v>43083</c:v>
                </c:pt>
                <c:pt idx="46">
                  <c:v>43076</c:v>
                </c:pt>
                <c:pt idx="47">
                  <c:v>43069</c:v>
                </c:pt>
                <c:pt idx="48">
                  <c:v>43061</c:v>
                </c:pt>
                <c:pt idx="49">
                  <c:v>43055</c:v>
                </c:pt>
                <c:pt idx="50">
                  <c:v>43048</c:v>
                </c:pt>
                <c:pt idx="51">
                  <c:v>43041</c:v>
                </c:pt>
                <c:pt idx="52">
                  <c:v>43034</c:v>
                </c:pt>
                <c:pt idx="53">
                  <c:v>43027</c:v>
                </c:pt>
                <c:pt idx="54">
                  <c:v>43020</c:v>
                </c:pt>
                <c:pt idx="55">
                  <c:v>43013</c:v>
                </c:pt>
                <c:pt idx="56">
                  <c:v>43006</c:v>
                </c:pt>
                <c:pt idx="57">
                  <c:v>42999</c:v>
                </c:pt>
                <c:pt idx="58">
                  <c:v>42992</c:v>
                </c:pt>
                <c:pt idx="59">
                  <c:v>42985</c:v>
                </c:pt>
                <c:pt idx="60">
                  <c:v>42978</c:v>
                </c:pt>
                <c:pt idx="61">
                  <c:v>42971</c:v>
                </c:pt>
                <c:pt idx="62">
                  <c:v>42964</c:v>
                </c:pt>
                <c:pt idx="63">
                  <c:v>42957</c:v>
                </c:pt>
                <c:pt idx="64">
                  <c:v>42950</c:v>
                </c:pt>
                <c:pt idx="65">
                  <c:v>42943</c:v>
                </c:pt>
                <c:pt idx="66">
                  <c:v>42936</c:v>
                </c:pt>
                <c:pt idx="67">
                  <c:v>42929</c:v>
                </c:pt>
                <c:pt idx="68">
                  <c:v>42922</c:v>
                </c:pt>
                <c:pt idx="69">
                  <c:v>42915</c:v>
                </c:pt>
                <c:pt idx="70">
                  <c:v>42908</c:v>
                </c:pt>
                <c:pt idx="71">
                  <c:v>42901</c:v>
                </c:pt>
                <c:pt idx="72">
                  <c:v>42894</c:v>
                </c:pt>
                <c:pt idx="73">
                  <c:v>42887</c:v>
                </c:pt>
                <c:pt idx="74">
                  <c:v>42880</c:v>
                </c:pt>
                <c:pt idx="75">
                  <c:v>42873</c:v>
                </c:pt>
                <c:pt idx="76">
                  <c:v>42866</c:v>
                </c:pt>
                <c:pt idx="77">
                  <c:v>42859</c:v>
                </c:pt>
                <c:pt idx="78">
                  <c:v>42852</c:v>
                </c:pt>
                <c:pt idx="79">
                  <c:v>42845</c:v>
                </c:pt>
                <c:pt idx="80">
                  <c:v>42838</c:v>
                </c:pt>
                <c:pt idx="81">
                  <c:v>42831</c:v>
                </c:pt>
                <c:pt idx="82">
                  <c:v>42824</c:v>
                </c:pt>
                <c:pt idx="83">
                  <c:v>42817</c:v>
                </c:pt>
                <c:pt idx="84">
                  <c:v>42810</c:v>
                </c:pt>
                <c:pt idx="85">
                  <c:v>42803</c:v>
                </c:pt>
                <c:pt idx="86">
                  <c:v>42796</c:v>
                </c:pt>
                <c:pt idx="87">
                  <c:v>42789</c:v>
                </c:pt>
                <c:pt idx="88">
                  <c:v>42782</c:v>
                </c:pt>
                <c:pt idx="89">
                  <c:v>42775</c:v>
                </c:pt>
                <c:pt idx="90">
                  <c:v>42768</c:v>
                </c:pt>
                <c:pt idx="91">
                  <c:v>42761</c:v>
                </c:pt>
                <c:pt idx="92">
                  <c:v>42754</c:v>
                </c:pt>
                <c:pt idx="93">
                  <c:v>42747</c:v>
                </c:pt>
                <c:pt idx="94">
                  <c:v>42740</c:v>
                </c:pt>
                <c:pt idx="95">
                  <c:v>42733</c:v>
                </c:pt>
                <c:pt idx="96">
                  <c:v>42726</c:v>
                </c:pt>
                <c:pt idx="97">
                  <c:v>42719</c:v>
                </c:pt>
                <c:pt idx="98">
                  <c:v>42712</c:v>
                </c:pt>
                <c:pt idx="99">
                  <c:v>42705</c:v>
                </c:pt>
                <c:pt idx="100">
                  <c:v>42697</c:v>
                </c:pt>
                <c:pt idx="101">
                  <c:v>42691</c:v>
                </c:pt>
                <c:pt idx="102">
                  <c:v>42684</c:v>
                </c:pt>
                <c:pt idx="103">
                  <c:v>42677</c:v>
                </c:pt>
                <c:pt idx="104">
                  <c:v>42670</c:v>
                </c:pt>
                <c:pt idx="105">
                  <c:v>42663</c:v>
                </c:pt>
                <c:pt idx="106">
                  <c:v>42656</c:v>
                </c:pt>
                <c:pt idx="107">
                  <c:v>42649</c:v>
                </c:pt>
                <c:pt idx="108">
                  <c:v>42642</c:v>
                </c:pt>
                <c:pt idx="109">
                  <c:v>42635</c:v>
                </c:pt>
                <c:pt idx="110">
                  <c:v>42628</c:v>
                </c:pt>
                <c:pt idx="111">
                  <c:v>42621</c:v>
                </c:pt>
                <c:pt idx="112">
                  <c:v>42614</c:v>
                </c:pt>
                <c:pt idx="113">
                  <c:v>42606</c:v>
                </c:pt>
                <c:pt idx="114">
                  <c:v>42600</c:v>
                </c:pt>
                <c:pt idx="115">
                  <c:v>42593</c:v>
                </c:pt>
                <c:pt idx="116">
                  <c:v>42586</c:v>
                </c:pt>
                <c:pt idx="117">
                  <c:v>42579</c:v>
                </c:pt>
                <c:pt idx="118">
                  <c:v>42572</c:v>
                </c:pt>
                <c:pt idx="119">
                  <c:v>42565</c:v>
                </c:pt>
                <c:pt idx="120">
                  <c:v>42558</c:v>
                </c:pt>
                <c:pt idx="121">
                  <c:v>42551</c:v>
                </c:pt>
                <c:pt idx="122">
                  <c:v>42544</c:v>
                </c:pt>
                <c:pt idx="123">
                  <c:v>42537</c:v>
                </c:pt>
                <c:pt idx="124">
                  <c:v>42530</c:v>
                </c:pt>
                <c:pt idx="125">
                  <c:v>42523</c:v>
                </c:pt>
                <c:pt idx="126">
                  <c:v>42516</c:v>
                </c:pt>
                <c:pt idx="127">
                  <c:v>42509</c:v>
                </c:pt>
                <c:pt idx="128">
                  <c:v>42502</c:v>
                </c:pt>
                <c:pt idx="129">
                  <c:v>42495</c:v>
                </c:pt>
                <c:pt idx="130">
                  <c:v>42488</c:v>
                </c:pt>
                <c:pt idx="131">
                  <c:v>42481</c:v>
                </c:pt>
                <c:pt idx="132">
                  <c:v>42474</c:v>
                </c:pt>
                <c:pt idx="133">
                  <c:v>42467</c:v>
                </c:pt>
                <c:pt idx="134">
                  <c:v>42460</c:v>
                </c:pt>
                <c:pt idx="135">
                  <c:v>42453</c:v>
                </c:pt>
                <c:pt idx="136">
                  <c:v>42446</c:v>
                </c:pt>
                <c:pt idx="137">
                  <c:v>42439</c:v>
                </c:pt>
                <c:pt idx="138">
                  <c:v>42432</c:v>
                </c:pt>
                <c:pt idx="139">
                  <c:v>42425</c:v>
                </c:pt>
                <c:pt idx="140">
                  <c:v>42418</c:v>
                </c:pt>
                <c:pt idx="141">
                  <c:v>42411</c:v>
                </c:pt>
                <c:pt idx="142">
                  <c:v>42404</c:v>
                </c:pt>
                <c:pt idx="143">
                  <c:v>42397</c:v>
                </c:pt>
                <c:pt idx="144">
                  <c:v>42390</c:v>
                </c:pt>
                <c:pt idx="145">
                  <c:v>42383</c:v>
                </c:pt>
                <c:pt idx="146">
                  <c:v>42376</c:v>
                </c:pt>
                <c:pt idx="147">
                  <c:v>42369</c:v>
                </c:pt>
                <c:pt idx="148">
                  <c:v>42362</c:v>
                </c:pt>
                <c:pt idx="149">
                  <c:v>42355</c:v>
                </c:pt>
                <c:pt idx="150">
                  <c:v>42348</c:v>
                </c:pt>
                <c:pt idx="151">
                  <c:v>42341</c:v>
                </c:pt>
                <c:pt idx="152">
                  <c:v>42333</c:v>
                </c:pt>
                <c:pt idx="153">
                  <c:v>42327</c:v>
                </c:pt>
                <c:pt idx="154">
                  <c:v>42320</c:v>
                </c:pt>
                <c:pt idx="155">
                  <c:v>42313</c:v>
                </c:pt>
                <c:pt idx="156">
                  <c:v>42306</c:v>
                </c:pt>
                <c:pt idx="157">
                  <c:v>42299</c:v>
                </c:pt>
                <c:pt idx="158">
                  <c:v>42292</c:v>
                </c:pt>
                <c:pt idx="159">
                  <c:v>42285</c:v>
                </c:pt>
                <c:pt idx="160">
                  <c:v>42278</c:v>
                </c:pt>
                <c:pt idx="161">
                  <c:v>42271</c:v>
                </c:pt>
                <c:pt idx="162">
                  <c:v>42264</c:v>
                </c:pt>
                <c:pt idx="163">
                  <c:v>42257</c:v>
                </c:pt>
                <c:pt idx="164">
                  <c:v>42250</c:v>
                </c:pt>
                <c:pt idx="165">
                  <c:v>42243</c:v>
                </c:pt>
                <c:pt idx="166">
                  <c:v>42236</c:v>
                </c:pt>
                <c:pt idx="167">
                  <c:v>42229</c:v>
                </c:pt>
                <c:pt idx="168">
                  <c:v>42222</c:v>
                </c:pt>
                <c:pt idx="169">
                  <c:v>42215</c:v>
                </c:pt>
                <c:pt idx="170">
                  <c:v>42208</c:v>
                </c:pt>
                <c:pt idx="171">
                  <c:v>42201</c:v>
                </c:pt>
                <c:pt idx="172">
                  <c:v>42194</c:v>
                </c:pt>
                <c:pt idx="173">
                  <c:v>42187</c:v>
                </c:pt>
                <c:pt idx="174">
                  <c:v>42180</c:v>
                </c:pt>
                <c:pt idx="175">
                  <c:v>42173</c:v>
                </c:pt>
                <c:pt idx="176">
                  <c:v>42166</c:v>
                </c:pt>
                <c:pt idx="177">
                  <c:v>42159</c:v>
                </c:pt>
                <c:pt idx="178">
                  <c:v>42152</c:v>
                </c:pt>
                <c:pt idx="179">
                  <c:v>42145</c:v>
                </c:pt>
                <c:pt idx="180">
                  <c:v>42138</c:v>
                </c:pt>
                <c:pt idx="181">
                  <c:v>42131</c:v>
                </c:pt>
                <c:pt idx="182">
                  <c:v>42124</c:v>
                </c:pt>
                <c:pt idx="183">
                  <c:v>42117</c:v>
                </c:pt>
                <c:pt idx="184">
                  <c:v>42110</c:v>
                </c:pt>
                <c:pt idx="185">
                  <c:v>42103</c:v>
                </c:pt>
                <c:pt idx="186">
                  <c:v>42096</c:v>
                </c:pt>
                <c:pt idx="187">
                  <c:v>42089</c:v>
                </c:pt>
                <c:pt idx="188">
                  <c:v>42082</c:v>
                </c:pt>
                <c:pt idx="189">
                  <c:v>42075</c:v>
                </c:pt>
                <c:pt idx="190">
                  <c:v>42068</c:v>
                </c:pt>
                <c:pt idx="191">
                  <c:v>42061</c:v>
                </c:pt>
                <c:pt idx="192">
                  <c:v>42054</c:v>
                </c:pt>
                <c:pt idx="193">
                  <c:v>42047</c:v>
                </c:pt>
                <c:pt idx="194">
                  <c:v>42040</c:v>
                </c:pt>
                <c:pt idx="195">
                  <c:v>42033</c:v>
                </c:pt>
                <c:pt idx="196">
                  <c:v>42026</c:v>
                </c:pt>
                <c:pt idx="197">
                  <c:v>42019</c:v>
                </c:pt>
                <c:pt idx="198">
                  <c:v>42012</c:v>
                </c:pt>
                <c:pt idx="199">
                  <c:v>42004</c:v>
                </c:pt>
                <c:pt idx="200">
                  <c:v>41997</c:v>
                </c:pt>
                <c:pt idx="201">
                  <c:v>41991</c:v>
                </c:pt>
                <c:pt idx="202">
                  <c:v>41984</c:v>
                </c:pt>
                <c:pt idx="203">
                  <c:v>41977</c:v>
                </c:pt>
                <c:pt idx="204">
                  <c:v>41969</c:v>
                </c:pt>
                <c:pt idx="205">
                  <c:v>41963</c:v>
                </c:pt>
                <c:pt idx="206">
                  <c:v>41956</c:v>
                </c:pt>
                <c:pt idx="207">
                  <c:v>41949</c:v>
                </c:pt>
                <c:pt idx="208">
                  <c:v>41942</c:v>
                </c:pt>
                <c:pt idx="209">
                  <c:v>41935</c:v>
                </c:pt>
                <c:pt idx="210">
                  <c:v>41928</c:v>
                </c:pt>
                <c:pt idx="211">
                  <c:v>41921</c:v>
                </c:pt>
                <c:pt idx="212">
                  <c:v>41914</c:v>
                </c:pt>
                <c:pt idx="213">
                  <c:v>41907</c:v>
                </c:pt>
                <c:pt idx="214">
                  <c:v>41900</c:v>
                </c:pt>
                <c:pt idx="215">
                  <c:v>41893</c:v>
                </c:pt>
                <c:pt idx="216">
                  <c:v>41886</c:v>
                </c:pt>
                <c:pt idx="217">
                  <c:v>41879</c:v>
                </c:pt>
                <c:pt idx="218">
                  <c:v>41872</c:v>
                </c:pt>
                <c:pt idx="219">
                  <c:v>41865</c:v>
                </c:pt>
                <c:pt idx="220">
                  <c:v>41858</c:v>
                </c:pt>
                <c:pt idx="221">
                  <c:v>41851</c:v>
                </c:pt>
                <c:pt idx="222">
                  <c:v>41844</c:v>
                </c:pt>
                <c:pt idx="223">
                  <c:v>41837</c:v>
                </c:pt>
                <c:pt idx="224">
                  <c:v>41830</c:v>
                </c:pt>
                <c:pt idx="225">
                  <c:v>41823</c:v>
                </c:pt>
                <c:pt idx="226">
                  <c:v>41816</c:v>
                </c:pt>
                <c:pt idx="227">
                  <c:v>41809</c:v>
                </c:pt>
                <c:pt idx="228">
                  <c:v>41802</c:v>
                </c:pt>
                <c:pt idx="229">
                  <c:v>41795</c:v>
                </c:pt>
                <c:pt idx="230">
                  <c:v>41788</c:v>
                </c:pt>
                <c:pt idx="231">
                  <c:v>41781</c:v>
                </c:pt>
                <c:pt idx="232">
                  <c:v>41774</c:v>
                </c:pt>
                <c:pt idx="233">
                  <c:v>41767</c:v>
                </c:pt>
                <c:pt idx="234">
                  <c:v>41760</c:v>
                </c:pt>
                <c:pt idx="235">
                  <c:v>41753</c:v>
                </c:pt>
                <c:pt idx="236">
                  <c:v>41746</c:v>
                </c:pt>
                <c:pt idx="237">
                  <c:v>41739</c:v>
                </c:pt>
                <c:pt idx="238">
                  <c:v>41732</c:v>
                </c:pt>
                <c:pt idx="239">
                  <c:v>41725</c:v>
                </c:pt>
                <c:pt idx="240">
                  <c:v>41718</c:v>
                </c:pt>
                <c:pt idx="241">
                  <c:v>41711</c:v>
                </c:pt>
                <c:pt idx="242">
                  <c:v>41704</c:v>
                </c:pt>
                <c:pt idx="243">
                  <c:v>41697</c:v>
                </c:pt>
                <c:pt idx="244">
                  <c:v>41690</c:v>
                </c:pt>
                <c:pt idx="245">
                  <c:v>41683</c:v>
                </c:pt>
                <c:pt idx="246">
                  <c:v>41676</c:v>
                </c:pt>
                <c:pt idx="247">
                  <c:v>41669</c:v>
                </c:pt>
                <c:pt idx="248">
                  <c:v>41662</c:v>
                </c:pt>
                <c:pt idx="249">
                  <c:v>41655</c:v>
                </c:pt>
                <c:pt idx="250">
                  <c:v>41648</c:v>
                </c:pt>
                <c:pt idx="251">
                  <c:v>41641</c:v>
                </c:pt>
                <c:pt idx="252">
                  <c:v>41634</c:v>
                </c:pt>
                <c:pt idx="253">
                  <c:v>41627</c:v>
                </c:pt>
                <c:pt idx="254">
                  <c:v>41620</c:v>
                </c:pt>
                <c:pt idx="255">
                  <c:v>41613</c:v>
                </c:pt>
                <c:pt idx="256">
                  <c:v>41605</c:v>
                </c:pt>
                <c:pt idx="257">
                  <c:v>41599</c:v>
                </c:pt>
                <c:pt idx="258">
                  <c:v>41592</c:v>
                </c:pt>
                <c:pt idx="259">
                  <c:v>41585</c:v>
                </c:pt>
                <c:pt idx="260">
                  <c:v>41578</c:v>
                </c:pt>
                <c:pt idx="261">
                  <c:v>41571</c:v>
                </c:pt>
                <c:pt idx="262">
                  <c:v>41564</c:v>
                </c:pt>
                <c:pt idx="263">
                  <c:v>41557</c:v>
                </c:pt>
                <c:pt idx="264">
                  <c:v>41550</c:v>
                </c:pt>
                <c:pt idx="265">
                  <c:v>41543</c:v>
                </c:pt>
                <c:pt idx="266">
                  <c:v>41536</c:v>
                </c:pt>
                <c:pt idx="267">
                  <c:v>41529</c:v>
                </c:pt>
                <c:pt idx="268">
                  <c:v>41522</c:v>
                </c:pt>
                <c:pt idx="269">
                  <c:v>41515</c:v>
                </c:pt>
                <c:pt idx="270">
                  <c:v>41508</c:v>
                </c:pt>
                <c:pt idx="271">
                  <c:v>41501</c:v>
                </c:pt>
                <c:pt idx="272">
                  <c:v>41494</c:v>
                </c:pt>
                <c:pt idx="273">
                  <c:v>41487</c:v>
                </c:pt>
                <c:pt idx="274">
                  <c:v>41480</c:v>
                </c:pt>
                <c:pt idx="275">
                  <c:v>41473</c:v>
                </c:pt>
                <c:pt idx="276">
                  <c:v>41466</c:v>
                </c:pt>
                <c:pt idx="277">
                  <c:v>41458</c:v>
                </c:pt>
                <c:pt idx="278">
                  <c:v>41452</c:v>
                </c:pt>
                <c:pt idx="279">
                  <c:v>41445</c:v>
                </c:pt>
                <c:pt idx="280">
                  <c:v>41438</c:v>
                </c:pt>
                <c:pt idx="281">
                  <c:v>41431</c:v>
                </c:pt>
                <c:pt idx="282">
                  <c:v>41424</c:v>
                </c:pt>
                <c:pt idx="283">
                  <c:v>41417</c:v>
                </c:pt>
                <c:pt idx="284">
                  <c:v>41410</c:v>
                </c:pt>
                <c:pt idx="285">
                  <c:v>41403</c:v>
                </c:pt>
                <c:pt idx="286">
                  <c:v>41396</c:v>
                </c:pt>
                <c:pt idx="287">
                  <c:v>41389</c:v>
                </c:pt>
                <c:pt idx="288">
                  <c:v>41382</c:v>
                </c:pt>
                <c:pt idx="289">
                  <c:v>41375</c:v>
                </c:pt>
                <c:pt idx="290">
                  <c:v>41368</c:v>
                </c:pt>
                <c:pt idx="291">
                  <c:v>41361</c:v>
                </c:pt>
                <c:pt idx="292">
                  <c:v>41354</c:v>
                </c:pt>
                <c:pt idx="293">
                  <c:v>41347</c:v>
                </c:pt>
                <c:pt idx="294">
                  <c:v>41340</c:v>
                </c:pt>
                <c:pt idx="295">
                  <c:v>41333</c:v>
                </c:pt>
                <c:pt idx="296">
                  <c:v>41326</c:v>
                </c:pt>
                <c:pt idx="297">
                  <c:v>41319</c:v>
                </c:pt>
                <c:pt idx="298">
                  <c:v>41312</c:v>
                </c:pt>
                <c:pt idx="299">
                  <c:v>41305</c:v>
                </c:pt>
                <c:pt idx="300">
                  <c:v>41298</c:v>
                </c:pt>
                <c:pt idx="301">
                  <c:v>41291</c:v>
                </c:pt>
                <c:pt idx="302">
                  <c:v>41284</c:v>
                </c:pt>
                <c:pt idx="303">
                  <c:v>41277</c:v>
                </c:pt>
                <c:pt idx="304">
                  <c:v>41270</c:v>
                </c:pt>
                <c:pt idx="305">
                  <c:v>41263</c:v>
                </c:pt>
                <c:pt idx="306">
                  <c:v>41256</c:v>
                </c:pt>
                <c:pt idx="307">
                  <c:v>41249</c:v>
                </c:pt>
                <c:pt idx="308">
                  <c:v>41242</c:v>
                </c:pt>
                <c:pt idx="309">
                  <c:v>41234</c:v>
                </c:pt>
                <c:pt idx="310">
                  <c:v>41228</c:v>
                </c:pt>
                <c:pt idx="311">
                  <c:v>41221</c:v>
                </c:pt>
                <c:pt idx="312">
                  <c:v>41214</c:v>
                </c:pt>
                <c:pt idx="313">
                  <c:v>41207</c:v>
                </c:pt>
                <c:pt idx="314">
                  <c:v>41200</c:v>
                </c:pt>
                <c:pt idx="315">
                  <c:v>41193</c:v>
                </c:pt>
                <c:pt idx="316">
                  <c:v>41186</c:v>
                </c:pt>
                <c:pt idx="317">
                  <c:v>41179</c:v>
                </c:pt>
                <c:pt idx="318">
                  <c:v>41172</c:v>
                </c:pt>
                <c:pt idx="319">
                  <c:v>41165</c:v>
                </c:pt>
                <c:pt idx="320">
                  <c:v>41158</c:v>
                </c:pt>
                <c:pt idx="321">
                  <c:v>41151</c:v>
                </c:pt>
                <c:pt idx="322">
                  <c:v>41144</c:v>
                </c:pt>
                <c:pt idx="323">
                  <c:v>41137</c:v>
                </c:pt>
                <c:pt idx="324">
                  <c:v>41130</c:v>
                </c:pt>
                <c:pt idx="325">
                  <c:v>41123</c:v>
                </c:pt>
                <c:pt idx="326">
                  <c:v>41116</c:v>
                </c:pt>
                <c:pt idx="327">
                  <c:v>41109</c:v>
                </c:pt>
                <c:pt idx="328">
                  <c:v>41102</c:v>
                </c:pt>
                <c:pt idx="329">
                  <c:v>41095</c:v>
                </c:pt>
                <c:pt idx="330">
                  <c:v>41088</c:v>
                </c:pt>
                <c:pt idx="331">
                  <c:v>41081</c:v>
                </c:pt>
                <c:pt idx="332">
                  <c:v>41074</c:v>
                </c:pt>
                <c:pt idx="333">
                  <c:v>41067</c:v>
                </c:pt>
                <c:pt idx="334">
                  <c:v>41060</c:v>
                </c:pt>
                <c:pt idx="335">
                  <c:v>41053</c:v>
                </c:pt>
                <c:pt idx="336">
                  <c:v>41046</c:v>
                </c:pt>
                <c:pt idx="337">
                  <c:v>41039</c:v>
                </c:pt>
                <c:pt idx="338">
                  <c:v>41032</c:v>
                </c:pt>
                <c:pt idx="339">
                  <c:v>41025</c:v>
                </c:pt>
                <c:pt idx="340">
                  <c:v>41018</c:v>
                </c:pt>
                <c:pt idx="341">
                  <c:v>41011</c:v>
                </c:pt>
                <c:pt idx="342">
                  <c:v>41004</c:v>
                </c:pt>
                <c:pt idx="343">
                  <c:v>40997</c:v>
                </c:pt>
                <c:pt idx="344">
                  <c:v>40990</c:v>
                </c:pt>
                <c:pt idx="345">
                  <c:v>40983</c:v>
                </c:pt>
                <c:pt idx="346">
                  <c:v>40976</c:v>
                </c:pt>
                <c:pt idx="347">
                  <c:v>40969</c:v>
                </c:pt>
                <c:pt idx="348">
                  <c:v>40962</c:v>
                </c:pt>
                <c:pt idx="349">
                  <c:v>40955</c:v>
                </c:pt>
                <c:pt idx="350">
                  <c:v>40948</c:v>
                </c:pt>
                <c:pt idx="351">
                  <c:v>40941</c:v>
                </c:pt>
                <c:pt idx="352">
                  <c:v>40934</c:v>
                </c:pt>
                <c:pt idx="353">
                  <c:v>40927</c:v>
                </c:pt>
                <c:pt idx="354">
                  <c:v>40920</c:v>
                </c:pt>
                <c:pt idx="355">
                  <c:v>40913</c:v>
                </c:pt>
                <c:pt idx="356">
                  <c:v>40906</c:v>
                </c:pt>
                <c:pt idx="357">
                  <c:v>40899</c:v>
                </c:pt>
                <c:pt idx="358">
                  <c:v>40892</c:v>
                </c:pt>
                <c:pt idx="359">
                  <c:v>40885</c:v>
                </c:pt>
                <c:pt idx="360">
                  <c:v>40878</c:v>
                </c:pt>
                <c:pt idx="361">
                  <c:v>40870</c:v>
                </c:pt>
                <c:pt idx="362">
                  <c:v>40864</c:v>
                </c:pt>
                <c:pt idx="363">
                  <c:v>40857</c:v>
                </c:pt>
                <c:pt idx="364">
                  <c:v>40850</c:v>
                </c:pt>
                <c:pt idx="365">
                  <c:v>40843</c:v>
                </c:pt>
                <c:pt idx="366">
                  <c:v>40836</c:v>
                </c:pt>
                <c:pt idx="367">
                  <c:v>40829</c:v>
                </c:pt>
                <c:pt idx="368">
                  <c:v>40822</c:v>
                </c:pt>
                <c:pt idx="369">
                  <c:v>40815</c:v>
                </c:pt>
                <c:pt idx="370">
                  <c:v>40808</c:v>
                </c:pt>
                <c:pt idx="371">
                  <c:v>40801</c:v>
                </c:pt>
                <c:pt idx="372">
                  <c:v>40794</c:v>
                </c:pt>
                <c:pt idx="373">
                  <c:v>40787</c:v>
                </c:pt>
                <c:pt idx="374">
                  <c:v>40780</c:v>
                </c:pt>
                <c:pt idx="375">
                  <c:v>40773</c:v>
                </c:pt>
                <c:pt idx="376">
                  <c:v>40766</c:v>
                </c:pt>
                <c:pt idx="377">
                  <c:v>40759</c:v>
                </c:pt>
                <c:pt idx="378">
                  <c:v>40752</c:v>
                </c:pt>
                <c:pt idx="379">
                  <c:v>40745</c:v>
                </c:pt>
                <c:pt idx="380">
                  <c:v>40738</c:v>
                </c:pt>
                <c:pt idx="381">
                  <c:v>40731</c:v>
                </c:pt>
                <c:pt idx="382">
                  <c:v>40724</c:v>
                </c:pt>
                <c:pt idx="383">
                  <c:v>40717</c:v>
                </c:pt>
                <c:pt idx="384">
                  <c:v>40710</c:v>
                </c:pt>
                <c:pt idx="385">
                  <c:v>40703</c:v>
                </c:pt>
                <c:pt idx="386">
                  <c:v>40696</c:v>
                </c:pt>
                <c:pt idx="387">
                  <c:v>40689</c:v>
                </c:pt>
                <c:pt idx="388">
                  <c:v>40682</c:v>
                </c:pt>
                <c:pt idx="389">
                  <c:v>40675</c:v>
                </c:pt>
                <c:pt idx="390">
                  <c:v>40668</c:v>
                </c:pt>
                <c:pt idx="391">
                  <c:v>40661</c:v>
                </c:pt>
                <c:pt idx="392">
                  <c:v>40654</c:v>
                </c:pt>
                <c:pt idx="393">
                  <c:v>40647</c:v>
                </c:pt>
                <c:pt idx="394">
                  <c:v>40640</c:v>
                </c:pt>
                <c:pt idx="395">
                  <c:v>40633</c:v>
                </c:pt>
                <c:pt idx="396">
                  <c:v>40626</c:v>
                </c:pt>
                <c:pt idx="397">
                  <c:v>40619</c:v>
                </c:pt>
                <c:pt idx="398">
                  <c:v>40612</c:v>
                </c:pt>
                <c:pt idx="399">
                  <c:v>40605</c:v>
                </c:pt>
                <c:pt idx="400">
                  <c:v>40598</c:v>
                </c:pt>
                <c:pt idx="401">
                  <c:v>40591</c:v>
                </c:pt>
                <c:pt idx="402">
                  <c:v>40584</c:v>
                </c:pt>
                <c:pt idx="403">
                  <c:v>40577</c:v>
                </c:pt>
                <c:pt idx="404">
                  <c:v>40570</c:v>
                </c:pt>
                <c:pt idx="405">
                  <c:v>40563</c:v>
                </c:pt>
                <c:pt idx="406">
                  <c:v>40556</c:v>
                </c:pt>
                <c:pt idx="407">
                  <c:v>40549</c:v>
                </c:pt>
                <c:pt idx="408">
                  <c:v>40542</c:v>
                </c:pt>
                <c:pt idx="409">
                  <c:v>40535</c:v>
                </c:pt>
                <c:pt idx="410">
                  <c:v>40528</c:v>
                </c:pt>
                <c:pt idx="411">
                  <c:v>40521</c:v>
                </c:pt>
                <c:pt idx="412">
                  <c:v>40514</c:v>
                </c:pt>
                <c:pt idx="413">
                  <c:v>40506</c:v>
                </c:pt>
                <c:pt idx="414">
                  <c:v>40500</c:v>
                </c:pt>
                <c:pt idx="415">
                  <c:v>40493</c:v>
                </c:pt>
                <c:pt idx="416">
                  <c:v>40486</c:v>
                </c:pt>
                <c:pt idx="417">
                  <c:v>40479</c:v>
                </c:pt>
                <c:pt idx="418">
                  <c:v>40472</c:v>
                </c:pt>
                <c:pt idx="419">
                  <c:v>40465</c:v>
                </c:pt>
                <c:pt idx="420">
                  <c:v>40458</c:v>
                </c:pt>
                <c:pt idx="421">
                  <c:v>40451</c:v>
                </c:pt>
                <c:pt idx="422">
                  <c:v>40444</c:v>
                </c:pt>
                <c:pt idx="423">
                  <c:v>40437</c:v>
                </c:pt>
                <c:pt idx="424">
                  <c:v>40430</c:v>
                </c:pt>
                <c:pt idx="425">
                  <c:v>40423</c:v>
                </c:pt>
                <c:pt idx="426">
                  <c:v>40416</c:v>
                </c:pt>
                <c:pt idx="427">
                  <c:v>40409</c:v>
                </c:pt>
                <c:pt idx="428">
                  <c:v>40402</c:v>
                </c:pt>
                <c:pt idx="429">
                  <c:v>40395</c:v>
                </c:pt>
                <c:pt idx="430">
                  <c:v>40388</c:v>
                </c:pt>
                <c:pt idx="431">
                  <c:v>40381</c:v>
                </c:pt>
                <c:pt idx="432">
                  <c:v>40374</c:v>
                </c:pt>
                <c:pt idx="433">
                  <c:v>40367</c:v>
                </c:pt>
                <c:pt idx="434">
                  <c:v>40360</c:v>
                </c:pt>
                <c:pt idx="435">
                  <c:v>40353</c:v>
                </c:pt>
                <c:pt idx="436">
                  <c:v>40346</c:v>
                </c:pt>
                <c:pt idx="437">
                  <c:v>40339</c:v>
                </c:pt>
                <c:pt idx="438">
                  <c:v>40332</c:v>
                </c:pt>
                <c:pt idx="439">
                  <c:v>40325</c:v>
                </c:pt>
                <c:pt idx="440">
                  <c:v>40318</c:v>
                </c:pt>
                <c:pt idx="441">
                  <c:v>40311</c:v>
                </c:pt>
                <c:pt idx="442">
                  <c:v>40304</c:v>
                </c:pt>
                <c:pt idx="443">
                  <c:v>40297</c:v>
                </c:pt>
                <c:pt idx="444">
                  <c:v>40290</c:v>
                </c:pt>
                <c:pt idx="445">
                  <c:v>40283</c:v>
                </c:pt>
                <c:pt idx="446">
                  <c:v>40276</c:v>
                </c:pt>
                <c:pt idx="447">
                  <c:v>40269</c:v>
                </c:pt>
                <c:pt idx="448">
                  <c:v>40262</c:v>
                </c:pt>
                <c:pt idx="449">
                  <c:v>40255</c:v>
                </c:pt>
                <c:pt idx="450">
                  <c:v>40248</c:v>
                </c:pt>
                <c:pt idx="451">
                  <c:v>40241</c:v>
                </c:pt>
                <c:pt idx="452">
                  <c:v>40234</c:v>
                </c:pt>
                <c:pt idx="453">
                  <c:v>40227</c:v>
                </c:pt>
                <c:pt idx="454">
                  <c:v>40220</c:v>
                </c:pt>
                <c:pt idx="455">
                  <c:v>40213</c:v>
                </c:pt>
                <c:pt idx="456">
                  <c:v>40206</c:v>
                </c:pt>
                <c:pt idx="457">
                  <c:v>40199</c:v>
                </c:pt>
                <c:pt idx="458">
                  <c:v>40192</c:v>
                </c:pt>
                <c:pt idx="459">
                  <c:v>40185</c:v>
                </c:pt>
                <c:pt idx="460">
                  <c:v>40178</c:v>
                </c:pt>
                <c:pt idx="461">
                  <c:v>40171</c:v>
                </c:pt>
                <c:pt idx="462">
                  <c:v>40164</c:v>
                </c:pt>
                <c:pt idx="463">
                  <c:v>40157</c:v>
                </c:pt>
                <c:pt idx="464">
                  <c:v>40150</c:v>
                </c:pt>
                <c:pt idx="465">
                  <c:v>40142</c:v>
                </c:pt>
                <c:pt idx="466">
                  <c:v>40136</c:v>
                </c:pt>
                <c:pt idx="467">
                  <c:v>40129</c:v>
                </c:pt>
                <c:pt idx="468">
                  <c:v>40122</c:v>
                </c:pt>
                <c:pt idx="469">
                  <c:v>40115</c:v>
                </c:pt>
                <c:pt idx="470">
                  <c:v>40108</c:v>
                </c:pt>
                <c:pt idx="471">
                  <c:v>40101</c:v>
                </c:pt>
                <c:pt idx="472">
                  <c:v>40094</c:v>
                </c:pt>
                <c:pt idx="473">
                  <c:v>40087</c:v>
                </c:pt>
                <c:pt idx="474">
                  <c:v>40080</c:v>
                </c:pt>
                <c:pt idx="475">
                  <c:v>40073</c:v>
                </c:pt>
                <c:pt idx="476">
                  <c:v>40066</c:v>
                </c:pt>
                <c:pt idx="477">
                  <c:v>40059</c:v>
                </c:pt>
                <c:pt idx="478">
                  <c:v>40052</c:v>
                </c:pt>
                <c:pt idx="479">
                  <c:v>40045</c:v>
                </c:pt>
                <c:pt idx="480">
                  <c:v>40038</c:v>
                </c:pt>
                <c:pt idx="481">
                  <c:v>40031</c:v>
                </c:pt>
                <c:pt idx="482">
                  <c:v>40024</c:v>
                </c:pt>
                <c:pt idx="483">
                  <c:v>40017</c:v>
                </c:pt>
                <c:pt idx="484">
                  <c:v>40010</c:v>
                </c:pt>
                <c:pt idx="485">
                  <c:v>40003</c:v>
                </c:pt>
                <c:pt idx="486">
                  <c:v>39996</c:v>
                </c:pt>
                <c:pt idx="487">
                  <c:v>39989</c:v>
                </c:pt>
                <c:pt idx="488">
                  <c:v>39982</c:v>
                </c:pt>
                <c:pt idx="489">
                  <c:v>39975</c:v>
                </c:pt>
                <c:pt idx="490">
                  <c:v>39968</c:v>
                </c:pt>
                <c:pt idx="491">
                  <c:v>39961</c:v>
                </c:pt>
                <c:pt idx="492">
                  <c:v>39954</c:v>
                </c:pt>
                <c:pt idx="493">
                  <c:v>39947</c:v>
                </c:pt>
                <c:pt idx="494">
                  <c:v>39940</c:v>
                </c:pt>
                <c:pt idx="495">
                  <c:v>39933</c:v>
                </c:pt>
                <c:pt idx="496">
                  <c:v>39926</c:v>
                </c:pt>
                <c:pt idx="497">
                  <c:v>39919</c:v>
                </c:pt>
                <c:pt idx="498">
                  <c:v>39912</c:v>
                </c:pt>
                <c:pt idx="499">
                  <c:v>39905</c:v>
                </c:pt>
                <c:pt idx="500">
                  <c:v>39898</c:v>
                </c:pt>
                <c:pt idx="501">
                  <c:v>39891</c:v>
                </c:pt>
                <c:pt idx="502">
                  <c:v>39884</c:v>
                </c:pt>
                <c:pt idx="503">
                  <c:v>39877</c:v>
                </c:pt>
                <c:pt idx="504">
                  <c:v>39870</c:v>
                </c:pt>
                <c:pt idx="505">
                  <c:v>39863</c:v>
                </c:pt>
                <c:pt idx="506">
                  <c:v>39856</c:v>
                </c:pt>
                <c:pt idx="507">
                  <c:v>39849</c:v>
                </c:pt>
                <c:pt idx="508">
                  <c:v>39842</c:v>
                </c:pt>
                <c:pt idx="509">
                  <c:v>39835</c:v>
                </c:pt>
                <c:pt idx="510">
                  <c:v>39828</c:v>
                </c:pt>
                <c:pt idx="511">
                  <c:v>39821</c:v>
                </c:pt>
                <c:pt idx="512">
                  <c:v>39813</c:v>
                </c:pt>
                <c:pt idx="513">
                  <c:v>39806</c:v>
                </c:pt>
                <c:pt idx="514">
                  <c:v>39800</c:v>
                </c:pt>
                <c:pt idx="515">
                  <c:v>39793</c:v>
                </c:pt>
                <c:pt idx="516">
                  <c:v>39786</c:v>
                </c:pt>
                <c:pt idx="517">
                  <c:v>39778</c:v>
                </c:pt>
                <c:pt idx="518">
                  <c:v>39772</c:v>
                </c:pt>
                <c:pt idx="519">
                  <c:v>39765</c:v>
                </c:pt>
                <c:pt idx="520">
                  <c:v>39758</c:v>
                </c:pt>
                <c:pt idx="521">
                  <c:v>39751</c:v>
                </c:pt>
                <c:pt idx="522">
                  <c:v>39744</c:v>
                </c:pt>
                <c:pt idx="523">
                  <c:v>39737</c:v>
                </c:pt>
                <c:pt idx="524">
                  <c:v>39730</c:v>
                </c:pt>
                <c:pt idx="525">
                  <c:v>39723</c:v>
                </c:pt>
                <c:pt idx="526">
                  <c:v>39716</c:v>
                </c:pt>
                <c:pt idx="527">
                  <c:v>39709</c:v>
                </c:pt>
                <c:pt idx="528">
                  <c:v>39702</c:v>
                </c:pt>
                <c:pt idx="529">
                  <c:v>39695</c:v>
                </c:pt>
                <c:pt idx="530">
                  <c:v>39688</c:v>
                </c:pt>
                <c:pt idx="531">
                  <c:v>39681</c:v>
                </c:pt>
                <c:pt idx="532">
                  <c:v>39674</c:v>
                </c:pt>
                <c:pt idx="533">
                  <c:v>39667</c:v>
                </c:pt>
                <c:pt idx="534">
                  <c:v>39660</c:v>
                </c:pt>
                <c:pt idx="535">
                  <c:v>39653</c:v>
                </c:pt>
                <c:pt idx="536">
                  <c:v>39646</c:v>
                </c:pt>
                <c:pt idx="537">
                  <c:v>39639</c:v>
                </c:pt>
                <c:pt idx="538">
                  <c:v>39632</c:v>
                </c:pt>
                <c:pt idx="539">
                  <c:v>39625</c:v>
                </c:pt>
                <c:pt idx="540">
                  <c:v>39618</c:v>
                </c:pt>
                <c:pt idx="541">
                  <c:v>39611</c:v>
                </c:pt>
                <c:pt idx="542">
                  <c:v>39604</c:v>
                </c:pt>
                <c:pt idx="543">
                  <c:v>39597</c:v>
                </c:pt>
                <c:pt idx="544">
                  <c:v>39590</c:v>
                </c:pt>
                <c:pt idx="545">
                  <c:v>39583</c:v>
                </c:pt>
                <c:pt idx="546">
                  <c:v>39576</c:v>
                </c:pt>
                <c:pt idx="547">
                  <c:v>39569</c:v>
                </c:pt>
                <c:pt idx="548">
                  <c:v>39562</c:v>
                </c:pt>
                <c:pt idx="549">
                  <c:v>39555</c:v>
                </c:pt>
                <c:pt idx="550">
                  <c:v>39548</c:v>
                </c:pt>
                <c:pt idx="551">
                  <c:v>39541</c:v>
                </c:pt>
                <c:pt idx="552">
                  <c:v>39534</c:v>
                </c:pt>
                <c:pt idx="553">
                  <c:v>39527</c:v>
                </c:pt>
                <c:pt idx="554">
                  <c:v>39520</c:v>
                </c:pt>
                <c:pt idx="555">
                  <c:v>39513</c:v>
                </c:pt>
                <c:pt idx="556">
                  <c:v>39506</c:v>
                </c:pt>
                <c:pt idx="557">
                  <c:v>39499</c:v>
                </c:pt>
                <c:pt idx="558">
                  <c:v>39492</c:v>
                </c:pt>
                <c:pt idx="559">
                  <c:v>39485</c:v>
                </c:pt>
                <c:pt idx="560">
                  <c:v>39478</c:v>
                </c:pt>
                <c:pt idx="561">
                  <c:v>39471</c:v>
                </c:pt>
                <c:pt idx="562">
                  <c:v>39464</c:v>
                </c:pt>
                <c:pt idx="563">
                  <c:v>39457</c:v>
                </c:pt>
                <c:pt idx="564">
                  <c:v>39450</c:v>
                </c:pt>
              </c:numCache>
            </c:numRef>
          </c:cat>
          <c:val>
            <c:numRef>
              <c:f>Query!$K$3:$K$567</c:f>
              <c:numCache>
                <c:formatCode>0%</c:formatCode>
                <c:ptCount val="5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9.6603209999999995E-4</c:v>
                </c:pt>
                <c:pt idx="14">
                  <c:v>9.6047000000000005E-4</c:v>
                </c:pt>
                <c:pt idx="15">
                  <c:v>9.2765139999999996E-4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1.523486E-4</c:v>
                </c:pt>
                <c:pt idx="28">
                  <c:v>1.295562E-4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#N/A</c:v>
                </c:pt>
                <c:pt idx="42">
                  <c:v>#N/A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#N/A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#N/A</c:v>
                </c:pt>
                <c:pt idx="59">
                  <c:v>5.0327190299999998E-2</c:v>
                </c:pt>
                <c:pt idx="60">
                  <c:v>4.3751089999999999E-2</c:v>
                </c:pt>
                <c:pt idx="61">
                  <c:v>3.19234189E-2</c:v>
                </c:pt>
                <c:pt idx="62">
                  <c:v>2.9296780800000002E-2</c:v>
                </c:pt>
                <c:pt idx="63">
                  <c:v>2.4704237E-3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4.3832189999999998E-3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1.9878407000000001E-3</c:v>
                </c:pt>
                <c:pt idx="80">
                  <c:v>1.0131796000000001E-3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1.8017740000000003E-4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2.3667114000000002E-3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0.39575124179999999</c:v>
                </c:pt>
                <c:pt idx="121">
                  <c:v>0.37290090110000002</c:v>
                </c:pt>
                <c:pt idx="122">
                  <c:v>0</c:v>
                </c:pt>
                <c:pt idx="123">
                  <c:v>0.35031567409999997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0.33007062529999998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0.2788781783</c:v>
                </c:pt>
                <c:pt idx="133">
                  <c:v>0.27253231280000001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5.5801485800000002E-2</c:v>
                </c:pt>
                <c:pt idx="139">
                  <c:v>5.0858111800000001E-2</c:v>
                </c:pt>
                <c:pt idx="140">
                  <c:v>0</c:v>
                </c:pt>
                <c:pt idx="141">
                  <c:v>4.8343193800000003E-2</c:v>
                </c:pt>
                <c:pt idx="142">
                  <c:v>1.78798693E-2</c:v>
                </c:pt>
                <c:pt idx="143">
                  <c:v>8.078181E-4</c:v>
                </c:pt>
                <c:pt idx="144">
                  <c:v>5.5489060000000004E-4</c:v>
                </c:pt>
                <c:pt idx="145">
                  <c:v>1.810394E-4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5.7876810999999998E-3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9.6845079999999999E-4</c:v>
                </c:pt>
                <c:pt idx="166">
                  <c:v>0</c:v>
                </c:pt>
                <c:pt idx="167">
                  <c:v>0</c:v>
                </c:pt>
                <c:pt idx="168">
                  <c:v>1.5500520000000001E-4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4.1584634000000004E-3</c:v>
                </c:pt>
                <c:pt idx="184">
                  <c:v>0</c:v>
                </c:pt>
                <c:pt idx="185">
                  <c:v>4.0821104999999996E-3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0.20776882469999999</c:v>
                </c:pt>
                <c:pt idx="195">
                  <c:v>0</c:v>
                </c:pt>
                <c:pt idx="196">
                  <c:v>0.17658139750000001</c:v>
                </c:pt>
                <c:pt idx="197">
                  <c:v>0.1747402414</c:v>
                </c:pt>
                <c:pt idx="198">
                  <c:v>0.158042924</c:v>
                </c:pt>
                <c:pt idx="199">
                  <c:v>0</c:v>
                </c:pt>
                <c:pt idx="200">
                  <c:v>0</c:v>
                </c:pt>
                <c:pt idx="201">
                  <c:v>0.13948579750000001</c:v>
                </c:pt>
                <c:pt idx="202">
                  <c:v>0</c:v>
                </c:pt>
                <c:pt idx="203">
                  <c:v>0.1239261992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0.1067407335</c:v>
                </c:pt>
                <c:pt idx="210">
                  <c:v>9.0941540799999998E-2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5.6382015600000002E-2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5.0225323500000002E-2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4.1968812299999998E-2</c:v>
                </c:pt>
                <c:pt idx="230">
                  <c:v>3.7512081500000002E-2</c:v>
                </c:pt>
                <c:pt idx="231">
                  <c:v>1.6812280499999999E-2</c:v>
                </c:pt>
                <c:pt idx="232">
                  <c:v>1.29267215E-2</c:v>
                </c:pt>
                <c:pt idx="233">
                  <c:v>1.0366637499999999E-2</c:v>
                </c:pt>
                <c:pt idx="234">
                  <c:v>0</c:v>
                </c:pt>
                <c:pt idx="235">
                  <c:v>0</c:v>
                </c:pt>
                <c:pt idx="236">
                  <c:v>7.6359979999999995E-4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2.0799059999999999E-3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3.3518586999999999E-3</c:v>
                </c:pt>
                <c:pt idx="261">
                  <c:v>1.9650497000000002E-3</c:v>
                </c:pt>
                <c:pt idx="262">
                  <c:v>0</c:v>
                </c:pt>
                <c:pt idx="263">
                  <c:v>0</c:v>
                </c:pt>
                <c:pt idx="264">
                  <c:v>1.4037641999999999E-3</c:v>
                </c:pt>
                <c:pt idx="265">
                  <c:v>9.52758E-5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7.8608971E-3</c:v>
                </c:pt>
                <c:pt idx="287">
                  <c:v>0</c:v>
                </c:pt>
                <c:pt idx="288">
                  <c:v>2.5658018000000002E-3</c:v>
                </c:pt>
                <c:pt idx="289">
                  <c:v>1.5861026E-3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2.9706090000000001E-4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0.95117179910000005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0.96391063649999997</c:v>
                </c:pt>
                <c:pt idx="317">
                  <c:v>0.97577079150000001</c:v>
                </c:pt>
                <c:pt idx="318">
                  <c:v>0.94388842360000003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0.94697268489999997</c:v>
                </c:pt>
                <c:pt idx="327">
                  <c:v>0.91750686770000001</c:v>
                </c:pt>
                <c:pt idx="328">
                  <c:v>0.9082403416</c:v>
                </c:pt>
                <c:pt idx="329">
                  <c:v>0.88806616589999998</c:v>
                </c:pt>
                <c:pt idx="330">
                  <c:v>0</c:v>
                </c:pt>
                <c:pt idx="331">
                  <c:v>0.90056993169999999</c:v>
                </c:pt>
                <c:pt idx="332">
                  <c:v>0</c:v>
                </c:pt>
                <c:pt idx="333">
                  <c:v>0.89965355550000004</c:v>
                </c:pt>
                <c:pt idx="334">
                  <c:v>0.89147575489999997</c:v>
                </c:pt>
                <c:pt idx="335">
                  <c:v>0</c:v>
                </c:pt>
                <c:pt idx="336">
                  <c:v>0.88764435050000001</c:v>
                </c:pt>
                <c:pt idx="337">
                  <c:v>0.87491870630000013</c:v>
                </c:pt>
                <c:pt idx="338">
                  <c:v>0.86072182939999997</c:v>
                </c:pt>
                <c:pt idx="339">
                  <c:v>0</c:v>
                </c:pt>
                <c:pt idx="340">
                  <c:v>0</c:v>
                </c:pt>
                <c:pt idx="341">
                  <c:v>0.86343855660000002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0.90340695429999995</c:v>
                </c:pt>
                <c:pt idx="355">
                  <c:v>0</c:v>
                </c:pt>
                <c:pt idx="356">
                  <c:v>0</c:v>
                </c:pt>
                <c:pt idx="357">
                  <c:v>0.90856036139999996</c:v>
                </c:pt>
                <c:pt idx="358">
                  <c:v>2.1295367999999999E-3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0.90100497800000001</c:v>
                </c:pt>
                <c:pt idx="369">
                  <c:v>0.88001209170000005</c:v>
                </c:pt>
                <c:pt idx="370">
                  <c:v>0</c:v>
                </c:pt>
                <c:pt idx="371">
                  <c:v>0.831236211</c:v>
                </c:pt>
                <c:pt idx="372">
                  <c:v>0.82037518990000002</c:v>
                </c:pt>
                <c:pt idx="373">
                  <c:v>0</c:v>
                </c:pt>
                <c:pt idx="374">
                  <c:v>0</c:v>
                </c:pt>
                <c:pt idx="375">
                  <c:v>0.80075088969999997</c:v>
                </c:pt>
                <c:pt idx="376">
                  <c:v>3.3696033799999997E-2</c:v>
                </c:pt>
                <c:pt idx="377">
                  <c:v>2.1094077400000001E-2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5.7928765000000004E-3</c:v>
                </c:pt>
                <c:pt idx="386">
                  <c:v>5.3362211999999996E-3</c:v>
                </c:pt>
                <c:pt idx="387">
                  <c:v>2.1978653999999999E-3</c:v>
                </c:pt>
                <c:pt idx="388">
                  <c:v>2.0857753999999999E-3</c:v>
                </c:pt>
                <c:pt idx="389">
                  <c:v>1.9728544000000002E-3</c:v>
                </c:pt>
                <c:pt idx="390">
                  <c:v>1.4407029E-3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1.41212E-5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0.90048259500000005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0.91601505240000003</c:v>
                </c:pt>
                <c:pt idx="420">
                  <c:v>0.87946502350000011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0.88755630019999998</c:v>
                </c:pt>
                <c:pt idx="426">
                  <c:v>0.88325854640000001</c:v>
                </c:pt>
                <c:pt idx="427">
                  <c:v>0.8330450452</c:v>
                </c:pt>
                <c:pt idx="428">
                  <c:v>0.80647081030000001</c:v>
                </c:pt>
                <c:pt idx="429">
                  <c:v>0.75111371059999998</c:v>
                </c:pt>
                <c:pt idx="430">
                  <c:v>0.74030109779999997</c:v>
                </c:pt>
                <c:pt idx="431">
                  <c:v>0.73388789970000001</c:v>
                </c:pt>
                <c:pt idx="432">
                  <c:v>0</c:v>
                </c:pt>
                <c:pt idx="433">
                  <c:v>0.73176841469999998</c:v>
                </c:pt>
                <c:pt idx="434">
                  <c:v>0.72765926940000003</c:v>
                </c:pt>
                <c:pt idx="435">
                  <c:v>0.70872060439999995</c:v>
                </c:pt>
                <c:pt idx="436">
                  <c:v>0</c:v>
                </c:pt>
                <c:pt idx="437">
                  <c:v>9.2313932999999997E-3</c:v>
                </c:pt>
                <c:pt idx="438">
                  <c:v>0</c:v>
                </c:pt>
                <c:pt idx="439">
                  <c:v>3.1171343999999998E-3</c:v>
                </c:pt>
                <c:pt idx="440">
                  <c:v>1.466572E-3</c:v>
                </c:pt>
                <c:pt idx="441">
                  <c:v>1.5816730000000001E-4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2.6308169999999999E-4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0.78598206920000002</c:v>
                </c:pt>
                <c:pt idx="465">
                  <c:v>3.3409616699999999E-2</c:v>
                </c:pt>
                <c:pt idx="466">
                  <c:v>2.0156244399999999E-2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1.35183553E-2</c:v>
                </c:pt>
                <c:pt idx="473">
                  <c:v>6.9745071E-3</c:v>
                </c:pt>
                <c:pt idx="474">
                  <c:v>4.8863613000000002E-3</c:v>
                </c:pt>
                <c:pt idx="475">
                  <c:v>4.7932620000000004E-3</c:v>
                </c:pt>
                <c:pt idx="476">
                  <c:v>4.6539607999999998E-3</c:v>
                </c:pt>
                <c:pt idx="477">
                  <c:v>4.6251838E-3</c:v>
                </c:pt>
                <c:pt idx="478">
                  <c:v>0</c:v>
                </c:pt>
                <c:pt idx="479">
                  <c:v>3.7743525000000001E-3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0.83775849089999999</c:v>
                </c:pt>
                <c:pt idx="500">
                  <c:v>0.8543621911</c:v>
                </c:pt>
                <c:pt idx="501">
                  <c:v>2.8863549000000001E-3</c:v>
                </c:pt>
                <c:pt idx="502">
                  <c:v>2.7616621999999999E-3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0.78571065689999997</c:v>
                </c:pt>
                <c:pt idx="511">
                  <c:v>0.75691413649999995</c:v>
                </c:pt>
                <c:pt idx="512">
                  <c:v>0.66704160810000002</c:v>
                </c:pt>
                <c:pt idx="513">
                  <c:v>0.47694247830000003</c:v>
                </c:pt>
                <c:pt idx="514">
                  <c:v>0.45238799110000005</c:v>
                </c:pt>
                <c:pt idx="515">
                  <c:v>4.4117748999999998E-2</c:v>
                </c:pt>
                <c:pt idx="516">
                  <c:v>3.6398030800000002E-2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7.3541411999999999E-3</c:v>
                </c:pt>
                <c:pt idx="528">
                  <c:v>2.3293948000000001E-3</c:v>
                </c:pt>
                <c:pt idx="529">
                  <c:v>2.9967600000000001E-5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0.46526884610000002</c:v>
                </c:pt>
                <c:pt idx="562">
                  <c:v>0.2635860558</c:v>
                </c:pt>
                <c:pt idx="563">
                  <c:v>0.17222513690000002</c:v>
                </c:pt>
                <c:pt idx="564">
                  <c:v>0</c:v>
                </c:pt>
              </c:numCache>
            </c:numRef>
          </c:val>
        </c:ser>
        <c:ser>
          <c:idx val="2"/>
          <c:order val="3"/>
          <c:tx>
            <c:strRef>
              <c:f>Query!$L$2</c:f>
              <c:strCache>
                <c:ptCount val="1"/>
                <c:pt idx="0">
                  <c:v>12 Weeks Scenario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</c:spPr>
          <c:invertIfNegative val="0"/>
          <c:dPt>
            <c:idx val="132"/>
            <c:invertIfNegative val="0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solidFill>
                  <a:srgbClr val="C7732D"/>
                </a:solidFill>
              </a:ln>
            </c:spPr>
          </c:dPt>
          <c:cat>
            <c:numRef>
              <c:f>Query!$I$3:$I$567</c:f>
              <c:numCache>
                <c:formatCode>m/d/yyyy</c:formatCode>
                <c:ptCount val="565"/>
                <c:pt idx="0">
                  <c:v>43391</c:v>
                </c:pt>
                <c:pt idx="1">
                  <c:v>43384</c:v>
                </c:pt>
                <c:pt idx="2">
                  <c:v>43377</c:v>
                </c:pt>
                <c:pt idx="3">
                  <c:v>43370</c:v>
                </c:pt>
                <c:pt idx="4">
                  <c:v>43363</c:v>
                </c:pt>
                <c:pt idx="5">
                  <c:v>43356</c:v>
                </c:pt>
                <c:pt idx="6">
                  <c:v>43349</c:v>
                </c:pt>
                <c:pt idx="7">
                  <c:v>43342</c:v>
                </c:pt>
                <c:pt idx="8">
                  <c:v>43335</c:v>
                </c:pt>
                <c:pt idx="9">
                  <c:v>43328</c:v>
                </c:pt>
                <c:pt idx="10">
                  <c:v>43321</c:v>
                </c:pt>
                <c:pt idx="11">
                  <c:v>43314</c:v>
                </c:pt>
                <c:pt idx="12">
                  <c:v>43307</c:v>
                </c:pt>
                <c:pt idx="13">
                  <c:v>43300</c:v>
                </c:pt>
                <c:pt idx="14">
                  <c:v>43293</c:v>
                </c:pt>
                <c:pt idx="15">
                  <c:v>43286</c:v>
                </c:pt>
                <c:pt idx="16">
                  <c:v>43279</c:v>
                </c:pt>
                <c:pt idx="17">
                  <c:v>43272</c:v>
                </c:pt>
                <c:pt idx="18">
                  <c:v>43265</c:v>
                </c:pt>
                <c:pt idx="19">
                  <c:v>43258</c:v>
                </c:pt>
                <c:pt idx="20">
                  <c:v>43251</c:v>
                </c:pt>
                <c:pt idx="21">
                  <c:v>43244</c:v>
                </c:pt>
                <c:pt idx="22">
                  <c:v>43237</c:v>
                </c:pt>
                <c:pt idx="23">
                  <c:v>43230</c:v>
                </c:pt>
                <c:pt idx="24">
                  <c:v>43223</c:v>
                </c:pt>
                <c:pt idx="25">
                  <c:v>43216</c:v>
                </c:pt>
                <c:pt idx="26">
                  <c:v>43209</c:v>
                </c:pt>
                <c:pt idx="27">
                  <c:v>43202</c:v>
                </c:pt>
                <c:pt idx="28">
                  <c:v>43195</c:v>
                </c:pt>
                <c:pt idx="29">
                  <c:v>43188</c:v>
                </c:pt>
                <c:pt idx="30">
                  <c:v>43181</c:v>
                </c:pt>
                <c:pt idx="31">
                  <c:v>43174</c:v>
                </c:pt>
                <c:pt idx="32">
                  <c:v>43167</c:v>
                </c:pt>
                <c:pt idx="33">
                  <c:v>43160</c:v>
                </c:pt>
                <c:pt idx="34">
                  <c:v>43153</c:v>
                </c:pt>
                <c:pt idx="35">
                  <c:v>43146</c:v>
                </c:pt>
                <c:pt idx="36">
                  <c:v>43139</c:v>
                </c:pt>
                <c:pt idx="37">
                  <c:v>43132</c:v>
                </c:pt>
                <c:pt idx="38">
                  <c:v>43125</c:v>
                </c:pt>
                <c:pt idx="39">
                  <c:v>43118</c:v>
                </c:pt>
                <c:pt idx="40">
                  <c:v>43111</c:v>
                </c:pt>
                <c:pt idx="41">
                  <c:v>43104</c:v>
                </c:pt>
                <c:pt idx="42">
                  <c:v>43101</c:v>
                </c:pt>
                <c:pt idx="43">
                  <c:v>43097</c:v>
                </c:pt>
                <c:pt idx="44">
                  <c:v>43090</c:v>
                </c:pt>
                <c:pt idx="45">
                  <c:v>43083</c:v>
                </c:pt>
                <c:pt idx="46">
                  <c:v>43076</c:v>
                </c:pt>
                <c:pt idx="47">
                  <c:v>43069</c:v>
                </c:pt>
                <c:pt idx="48">
                  <c:v>43061</c:v>
                </c:pt>
                <c:pt idx="49">
                  <c:v>43055</c:v>
                </c:pt>
                <c:pt idx="50">
                  <c:v>43048</c:v>
                </c:pt>
                <c:pt idx="51">
                  <c:v>43041</c:v>
                </c:pt>
                <c:pt idx="52">
                  <c:v>43034</c:v>
                </c:pt>
                <c:pt idx="53">
                  <c:v>43027</c:v>
                </c:pt>
                <c:pt idx="54">
                  <c:v>43020</c:v>
                </c:pt>
                <c:pt idx="55">
                  <c:v>43013</c:v>
                </c:pt>
                <c:pt idx="56">
                  <c:v>43006</c:v>
                </c:pt>
                <c:pt idx="57">
                  <c:v>42999</c:v>
                </c:pt>
                <c:pt idx="58">
                  <c:v>42992</c:v>
                </c:pt>
                <c:pt idx="59">
                  <c:v>42985</c:v>
                </c:pt>
                <c:pt idx="60">
                  <c:v>42978</c:v>
                </c:pt>
                <c:pt idx="61">
                  <c:v>42971</c:v>
                </c:pt>
                <c:pt idx="62">
                  <c:v>42964</c:v>
                </c:pt>
                <c:pt idx="63">
                  <c:v>42957</c:v>
                </c:pt>
                <c:pt idx="64">
                  <c:v>42950</c:v>
                </c:pt>
                <c:pt idx="65">
                  <c:v>42943</c:v>
                </c:pt>
                <c:pt idx="66">
                  <c:v>42936</c:v>
                </c:pt>
                <c:pt idx="67">
                  <c:v>42929</c:v>
                </c:pt>
                <c:pt idx="68">
                  <c:v>42922</c:v>
                </c:pt>
                <c:pt idx="69">
                  <c:v>42915</c:v>
                </c:pt>
                <c:pt idx="70">
                  <c:v>42908</c:v>
                </c:pt>
                <c:pt idx="71">
                  <c:v>42901</c:v>
                </c:pt>
                <c:pt idx="72">
                  <c:v>42894</c:v>
                </c:pt>
                <c:pt idx="73">
                  <c:v>42887</c:v>
                </c:pt>
                <c:pt idx="74">
                  <c:v>42880</c:v>
                </c:pt>
                <c:pt idx="75">
                  <c:v>42873</c:v>
                </c:pt>
                <c:pt idx="76">
                  <c:v>42866</c:v>
                </c:pt>
                <c:pt idx="77">
                  <c:v>42859</c:v>
                </c:pt>
                <c:pt idx="78">
                  <c:v>42852</c:v>
                </c:pt>
                <c:pt idx="79">
                  <c:v>42845</c:v>
                </c:pt>
                <c:pt idx="80">
                  <c:v>42838</c:v>
                </c:pt>
                <c:pt idx="81">
                  <c:v>42831</c:v>
                </c:pt>
                <c:pt idx="82">
                  <c:v>42824</c:v>
                </c:pt>
                <c:pt idx="83">
                  <c:v>42817</c:v>
                </c:pt>
                <c:pt idx="84">
                  <c:v>42810</c:v>
                </c:pt>
                <c:pt idx="85">
                  <c:v>42803</c:v>
                </c:pt>
                <c:pt idx="86">
                  <c:v>42796</c:v>
                </c:pt>
                <c:pt idx="87">
                  <c:v>42789</c:v>
                </c:pt>
                <c:pt idx="88">
                  <c:v>42782</c:v>
                </c:pt>
                <c:pt idx="89">
                  <c:v>42775</c:v>
                </c:pt>
                <c:pt idx="90">
                  <c:v>42768</c:v>
                </c:pt>
                <c:pt idx="91">
                  <c:v>42761</c:v>
                </c:pt>
                <c:pt idx="92">
                  <c:v>42754</c:v>
                </c:pt>
                <c:pt idx="93">
                  <c:v>42747</c:v>
                </c:pt>
                <c:pt idx="94">
                  <c:v>42740</c:v>
                </c:pt>
                <c:pt idx="95">
                  <c:v>42733</c:v>
                </c:pt>
                <c:pt idx="96">
                  <c:v>42726</c:v>
                </c:pt>
                <c:pt idx="97">
                  <c:v>42719</c:v>
                </c:pt>
                <c:pt idx="98">
                  <c:v>42712</c:v>
                </c:pt>
                <c:pt idx="99">
                  <c:v>42705</c:v>
                </c:pt>
                <c:pt idx="100">
                  <c:v>42697</c:v>
                </c:pt>
                <c:pt idx="101">
                  <c:v>42691</c:v>
                </c:pt>
                <c:pt idx="102">
                  <c:v>42684</c:v>
                </c:pt>
                <c:pt idx="103">
                  <c:v>42677</c:v>
                </c:pt>
                <c:pt idx="104">
                  <c:v>42670</c:v>
                </c:pt>
                <c:pt idx="105">
                  <c:v>42663</c:v>
                </c:pt>
                <c:pt idx="106">
                  <c:v>42656</c:v>
                </c:pt>
                <c:pt idx="107">
                  <c:v>42649</c:v>
                </c:pt>
                <c:pt idx="108">
                  <c:v>42642</c:v>
                </c:pt>
                <c:pt idx="109">
                  <c:v>42635</c:v>
                </c:pt>
                <c:pt idx="110">
                  <c:v>42628</c:v>
                </c:pt>
                <c:pt idx="111">
                  <c:v>42621</c:v>
                </c:pt>
                <c:pt idx="112">
                  <c:v>42614</c:v>
                </c:pt>
                <c:pt idx="113">
                  <c:v>42606</c:v>
                </c:pt>
                <c:pt idx="114">
                  <c:v>42600</c:v>
                </c:pt>
                <c:pt idx="115">
                  <c:v>42593</c:v>
                </c:pt>
                <c:pt idx="116">
                  <c:v>42586</c:v>
                </c:pt>
                <c:pt idx="117">
                  <c:v>42579</c:v>
                </c:pt>
                <c:pt idx="118">
                  <c:v>42572</c:v>
                </c:pt>
                <c:pt idx="119">
                  <c:v>42565</c:v>
                </c:pt>
                <c:pt idx="120">
                  <c:v>42558</c:v>
                </c:pt>
                <c:pt idx="121">
                  <c:v>42551</c:v>
                </c:pt>
                <c:pt idx="122">
                  <c:v>42544</c:v>
                </c:pt>
                <c:pt idx="123">
                  <c:v>42537</c:v>
                </c:pt>
                <c:pt idx="124">
                  <c:v>42530</c:v>
                </c:pt>
                <c:pt idx="125">
                  <c:v>42523</c:v>
                </c:pt>
                <c:pt idx="126">
                  <c:v>42516</c:v>
                </c:pt>
                <c:pt idx="127">
                  <c:v>42509</c:v>
                </c:pt>
                <c:pt idx="128">
                  <c:v>42502</c:v>
                </c:pt>
                <c:pt idx="129">
                  <c:v>42495</c:v>
                </c:pt>
                <c:pt idx="130">
                  <c:v>42488</c:v>
                </c:pt>
                <c:pt idx="131">
                  <c:v>42481</c:v>
                </c:pt>
                <c:pt idx="132">
                  <c:v>42474</c:v>
                </c:pt>
                <c:pt idx="133">
                  <c:v>42467</c:v>
                </c:pt>
                <c:pt idx="134">
                  <c:v>42460</c:v>
                </c:pt>
                <c:pt idx="135">
                  <c:v>42453</c:v>
                </c:pt>
                <c:pt idx="136">
                  <c:v>42446</c:v>
                </c:pt>
                <c:pt idx="137">
                  <c:v>42439</c:v>
                </c:pt>
                <c:pt idx="138">
                  <c:v>42432</c:v>
                </c:pt>
                <c:pt idx="139">
                  <c:v>42425</c:v>
                </c:pt>
                <c:pt idx="140">
                  <c:v>42418</c:v>
                </c:pt>
                <c:pt idx="141">
                  <c:v>42411</c:v>
                </c:pt>
                <c:pt idx="142">
                  <c:v>42404</c:v>
                </c:pt>
                <c:pt idx="143">
                  <c:v>42397</c:v>
                </c:pt>
                <c:pt idx="144">
                  <c:v>42390</c:v>
                </c:pt>
                <c:pt idx="145">
                  <c:v>42383</c:v>
                </c:pt>
                <c:pt idx="146">
                  <c:v>42376</c:v>
                </c:pt>
                <c:pt idx="147">
                  <c:v>42369</c:v>
                </c:pt>
                <c:pt idx="148">
                  <c:v>42362</c:v>
                </c:pt>
                <c:pt idx="149">
                  <c:v>42355</c:v>
                </c:pt>
                <c:pt idx="150">
                  <c:v>42348</c:v>
                </c:pt>
                <c:pt idx="151">
                  <c:v>42341</c:v>
                </c:pt>
                <c:pt idx="152">
                  <c:v>42333</c:v>
                </c:pt>
                <c:pt idx="153">
                  <c:v>42327</c:v>
                </c:pt>
                <c:pt idx="154">
                  <c:v>42320</c:v>
                </c:pt>
                <c:pt idx="155">
                  <c:v>42313</c:v>
                </c:pt>
                <c:pt idx="156">
                  <c:v>42306</c:v>
                </c:pt>
                <c:pt idx="157">
                  <c:v>42299</c:v>
                </c:pt>
                <c:pt idx="158">
                  <c:v>42292</c:v>
                </c:pt>
                <c:pt idx="159">
                  <c:v>42285</c:v>
                </c:pt>
                <c:pt idx="160">
                  <c:v>42278</c:v>
                </c:pt>
                <c:pt idx="161">
                  <c:v>42271</c:v>
                </c:pt>
                <c:pt idx="162">
                  <c:v>42264</c:v>
                </c:pt>
                <c:pt idx="163">
                  <c:v>42257</c:v>
                </c:pt>
                <c:pt idx="164">
                  <c:v>42250</c:v>
                </c:pt>
                <c:pt idx="165">
                  <c:v>42243</c:v>
                </c:pt>
                <c:pt idx="166">
                  <c:v>42236</c:v>
                </c:pt>
                <c:pt idx="167">
                  <c:v>42229</c:v>
                </c:pt>
                <c:pt idx="168">
                  <c:v>42222</c:v>
                </c:pt>
                <c:pt idx="169">
                  <c:v>42215</c:v>
                </c:pt>
                <c:pt idx="170">
                  <c:v>42208</c:v>
                </c:pt>
                <c:pt idx="171">
                  <c:v>42201</c:v>
                </c:pt>
                <c:pt idx="172">
                  <c:v>42194</c:v>
                </c:pt>
                <c:pt idx="173">
                  <c:v>42187</c:v>
                </c:pt>
                <c:pt idx="174">
                  <c:v>42180</c:v>
                </c:pt>
                <c:pt idx="175">
                  <c:v>42173</c:v>
                </c:pt>
                <c:pt idx="176">
                  <c:v>42166</c:v>
                </c:pt>
                <c:pt idx="177">
                  <c:v>42159</c:v>
                </c:pt>
                <c:pt idx="178">
                  <c:v>42152</c:v>
                </c:pt>
                <c:pt idx="179">
                  <c:v>42145</c:v>
                </c:pt>
                <c:pt idx="180">
                  <c:v>42138</c:v>
                </c:pt>
                <c:pt idx="181">
                  <c:v>42131</c:v>
                </c:pt>
                <c:pt idx="182">
                  <c:v>42124</c:v>
                </c:pt>
                <c:pt idx="183">
                  <c:v>42117</c:v>
                </c:pt>
                <c:pt idx="184">
                  <c:v>42110</c:v>
                </c:pt>
                <c:pt idx="185">
                  <c:v>42103</c:v>
                </c:pt>
                <c:pt idx="186">
                  <c:v>42096</c:v>
                </c:pt>
                <c:pt idx="187">
                  <c:v>42089</c:v>
                </c:pt>
                <c:pt idx="188">
                  <c:v>42082</c:v>
                </c:pt>
                <c:pt idx="189">
                  <c:v>42075</c:v>
                </c:pt>
                <c:pt idx="190">
                  <c:v>42068</c:v>
                </c:pt>
                <c:pt idx="191">
                  <c:v>42061</c:v>
                </c:pt>
                <c:pt idx="192">
                  <c:v>42054</c:v>
                </c:pt>
                <c:pt idx="193">
                  <c:v>42047</c:v>
                </c:pt>
                <c:pt idx="194">
                  <c:v>42040</c:v>
                </c:pt>
                <c:pt idx="195">
                  <c:v>42033</c:v>
                </c:pt>
                <c:pt idx="196">
                  <c:v>42026</c:v>
                </c:pt>
                <c:pt idx="197">
                  <c:v>42019</c:v>
                </c:pt>
                <c:pt idx="198">
                  <c:v>42012</c:v>
                </c:pt>
                <c:pt idx="199">
                  <c:v>42004</c:v>
                </c:pt>
                <c:pt idx="200">
                  <c:v>41997</c:v>
                </c:pt>
                <c:pt idx="201">
                  <c:v>41991</c:v>
                </c:pt>
                <c:pt idx="202">
                  <c:v>41984</c:v>
                </c:pt>
                <c:pt idx="203">
                  <c:v>41977</c:v>
                </c:pt>
                <c:pt idx="204">
                  <c:v>41969</c:v>
                </c:pt>
                <c:pt idx="205">
                  <c:v>41963</c:v>
                </c:pt>
                <c:pt idx="206">
                  <c:v>41956</c:v>
                </c:pt>
                <c:pt idx="207">
                  <c:v>41949</c:v>
                </c:pt>
                <c:pt idx="208">
                  <c:v>41942</c:v>
                </c:pt>
                <c:pt idx="209">
                  <c:v>41935</c:v>
                </c:pt>
                <c:pt idx="210">
                  <c:v>41928</c:v>
                </c:pt>
                <c:pt idx="211">
                  <c:v>41921</c:v>
                </c:pt>
                <c:pt idx="212">
                  <c:v>41914</c:v>
                </c:pt>
                <c:pt idx="213">
                  <c:v>41907</c:v>
                </c:pt>
                <c:pt idx="214">
                  <c:v>41900</c:v>
                </c:pt>
                <c:pt idx="215">
                  <c:v>41893</c:v>
                </c:pt>
                <c:pt idx="216">
                  <c:v>41886</c:v>
                </c:pt>
                <c:pt idx="217">
                  <c:v>41879</c:v>
                </c:pt>
                <c:pt idx="218">
                  <c:v>41872</c:v>
                </c:pt>
                <c:pt idx="219">
                  <c:v>41865</c:v>
                </c:pt>
                <c:pt idx="220">
                  <c:v>41858</c:v>
                </c:pt>
                <c:pt idx="221">
                  <c:v>41851</c:v>
                </c:pt>
                <c:pt idx="222">
                  <c:v>41844</c:v>
                </c:pt>
                <c:pt idx="223">
                  <c:v>41837</c:v>
                </c:pt>
                <c:pt idx="224">
                  <c:v>41830</c:v>
                </c:pt>
                <c:pt idx="225">
                  <c:v>41823</c:v>
                </c:pt>
                <c:pt idx="226">
                  <c:v>41816</c:v>
                </c:pt>
                <c:pt idx="227">
                  <c:v>41809</c:v>
                </c:pt>
                <c:pt idx="228">
                  <c:v>41802</c:v>
                </c:pt>
                <c:pt idx="229">
                  <c:v>41795</c:v>
                </c:pt>
                <c:pt idx="230">
                  <c:v>41788</c:v>
                </c:pt>
                <c:pt idx="231">
                  <c:v>41781</c:v>
                </c:pt>
                <c:pt idx="232">
                  <c:v>41774</c:v>
                </c:pt>
                <c:pt idx="233">
                  <c:v>41767</c:v>
                </c:pt>
                <c:pt idx="234">
                  <c:v>41760</c:v>
                </c:pt>
                <c:pt idx="235">
                  <c:v>41753</c:v>
                </c:pt>
                <c:pt idx="236">
                  <c:v>41746</c:v>
                </c:pt>
                <c:pt idx="237">
                  <c:v>41739</c:v>
                </c:pt>
                <c:pt idx="238">
                  <c:v>41732</c:v>
                </c:pt>
                <c:pt idx="239">
                  <c:v>41725</c:v>
                </c:pt>
                <c:pt idx="240">
                  <c:v>41718</c:v>
                </c:pt>
                <c:pt idx="241">
                  <c:v>41711</c:v>
                </c:pt>
                <c:pt idx="242">
                  <c:v>41704</c:v>
                </c:pt>
                <c:pt idx="243">
                  <c:v>41697</c:v>
                </c:pt>
                <c:pt idx="244">
                  <c:v>41690</c:v>
                </c:pt>
                <c:pt idx="245">
                  <c:v>41683</c:v>
                </c:pt>
                <c:pt idx="246">
                  <c:v>41676</c:v>
                </c:pt>
                <c:pt idx="247">
                  <c:v>41669</c:v>
                </c:pt>
                <c:pt idx="248">
                  <c:v>41662</c:v>
                </c:pt>
                <c:pt idx="249">
                  <c:v>41655</c:v>
                </c:pt>
                <c:pt idx="250">
                  <c:v>41648</c:v>
                </c:pt>
                <c:pt idx="251">
                  <c:v>41641</c:v>
                </c:pt>
                <c:pt idx="252">
                  <c:v>41634</c:v>
                </c:pt>
                <c:pt idx="253">
                  <c:v>41627</c:v>
                </c:pt>
                <c:pt idx="254">
                  <c:v>41620</c:v>
                </c:pt>
                <c:pt idx="255">
                  <c:v>41613</c:v>
                </c:pt>
                <c:pt idx="256">
                  <c:v>41605</c:v>
                </c:pt>
                <c:pt idx="257">
                  <c:v>41599</c:v>
                </c:pt>
                <c:pt idx="258">
                  <c:v>41592</c:v>
                </c:pt>
                <c:pt idx="259">
                  <c:v>41585</c:v>
                </c:pt>
                <c:pt idx="260">
                  <c:v>41578</c:v>
                </c:pt>
                <c:pt idx="261">
                  <c:v>41571</c:v>
                </c:pt>
                <c:pt idx="262">
                  <c:v>41564</c:v>
                </c:pt>
                <c:pt idx="263">
                  <c:v>41557</c:v>
                </c:pt>
                <c:pt idx="264">
                  <c:v>41550</c:v>
                </c:pt>
                <c:pt idx="265">
                  <c:v>41543</c:v>
                </c:pt>
                <c:pt idx="266">
                  <c:v>41536</c:v>
                </c:pt>
                <c:pt idx="267">
                  <c:v>41529</c:v>
                </c:pt>
                <c:pt idx="268">
                  <c:v>41522</c:v>
                </c:pt>
                <c:pt idx="269">
                  <c:v>41515</c:v>
                </c:pt>
                <c:pt idx="270">
                  <c:v>41508</c:v>
                </c:pt>
                <c:pt idx="271">
                  <c:v>41501</c:v>
                </c:pt>
                <c:pt idx="272">
                  <c:v>41494</c:v>
                </c:pt>
                <c:pt idx="273">
                  <c:v>41487</c:v>
                </c:pt>
                <c:pt idx="274">
                  <c:v>41480</c:v>
                </c:pt>
                <c:pt idx="275">
                  <c:v>41473</c:v>
                </c:pt>
                <c:pt idx="276">
                  <c:v>41466</c:v>
                </c:pt>
                <c:pt idx="277">
                  <c:v>41458</c:v>
                </c:pt>
                <c:pt idx="278">
                  <c:v>41452</c:v>
                </c:pt>
                <c:pt idx="279">
                  <c:v>41445</c:v>
                </c:pt>
                <c:pt idx="280">
                  <c:v>41438</c:v>
                </c:pt>
                <c:pt idx="281">
                  <c:v>41431</c:v>
                </c:pt>
                <c:pt idx="282">
                  <c:v>41424</c:v>
                </c:pt>
                <c:pt idx="283">
                  <c:v>41417</c:v>
                </c:pt>
                <c:pt idx="284">
                  <c:v>41410</c:v>
                </c:pt>
                <c:pt idx="285">
                  <c:v>41403</c:v>
                </c:pt>
                <c:pt idx="286">
                  <c:v>41396</c:v>
                </c:pt>
                <c:pt idx="287">
                  <c:v>41389</c:v>
                </c:pt>
                <c:pt idx="288">
                  <c:v>41382</c:v>
                </c:pt>
                <c:pt idx="289">
                  <c:v>41375</c:v>
                </c:pt>
                <c:pt idx="290">
                  <c:v>41368</c:v>
                </c:pt>
                <c:pt idx="291">
                  <c:v>41361</c:v>
                </c:pt>
                <c:pt idx="292">
                  <c:v>41354</c:v>
                </c:pt>
                <c:pt idx="293">
                  <c:v>41347</c:v>
                </c:pt>
                <c:pt idx="294">
                  <c:v>41340</c:v>
                </c:pt>
                <c:pt idx="295">
                  <c:v>41333</c:v>
                </c:pt>
                <c:pt idx="296">
                  <c:v>41326</c:v>
                </c:pt>
                <c:pt idx="297">
                  <c:v>41319</c:v>
                </c:pt>
                <c:pt idx="298">
                  <c:v>41312</c:v>
                </c:pt>
                <c:pt idx="299">
                  <c:v>41305</c:v>
                </c:pt>
                <c:pt idx="300">
                  <c:v>41298</c:v>
                </c:pt>
                <c:pt idx="301">
                  <c:v>41291</c:v>
                </c:pt>
                <c:pt idx="302">
                  <c:v>41284</c:v>
                </c:pt>
                <c:pt idx="303">
                  <c:v>41277</c:v>
                </c:pt>
                <c:pt idx="304">
                  <c:v>41270</c:v>
                </c:pt>
                <c:pt idx="305">
                  <c:v>41263</c:v>
                </c:pt>
                <c:pt idx="306">
                  <c:v>41256</c:v>
                </c:pt>
                <c:pt idx="307">
                  <c:v>41249</c:v>
                </c:pt>
                <c:pt idx="308">
                  <c:v>41242</c:v>
                </c:pt>
                <c:pt idx="309">
                  <c:v>41234</c:v>
                </c:pt>
                <c:pt idx="310">
                  <c:v>41228</c:v>
                </c:pt>
                <c:pt idx="311">
                  <c:v>41221</c:v>
                </c:pt>
                <c:pt idx="312">
                  <c:v>41214</c:v>
                </c:pt>
                <c:pt idx="313">
                  <c:v>41207</c:v>
                </c:pt>
                <c:pt idx="314">
                  <c:v>41200</c:v>
                </c:pt>
                <c:pt idx="315">
                  <c:v>41193</c:v>
                </c:pt>
                <c:pt idx="316">
                  <c:v>41186</c:v>
                </c:pt>
                <c:pt idx="317">
                  <c:v>41179</c:v>
                </c:pt>
                <c:pt idx="318">
                  <c:v>41172</c:v>
                </c:pt>
                <c:pt idx="319">
                  <c:v>41165</c:v>
                </c:pt>
                <c:pt idx="320">
                  <c:v>41158</c:v>
                </c:pt>
                <c:pt idx="321">
                  <c:v>41151</c:v>
                </c:pt>
                <c:pt idx="322">
                  <c:v>41144</c:v>
                </c:pt>
                <c:pt idx="323">
                  <c:v>41137</c:v>
                </c:pt>
                <c:pt idx="324">
                  <c:v>41130</c:v>
                </c:pt>
                <c:pt idx="325">
                  <c:v>41123</c:v>
                </c:pt>
                <c:pt idx="326">
                  <c:v>41116</c:v>
                </c:pt>
                <c:pt idx="327">
                  <c:v>41109</c:v>
                </c:pt>
                <c:pt idx="328">
                  <c:v>41102</c:v>
                </c:pt>
                <c:pt idx="329">
                  <c:v>41095</c:v>
                </c:pt>
                <c:pt idx="330">
                  <c:v>41088</c:v>
                </c:pt>
                <c:pt idx="331">
                  <c:v>41081</c:v>
                </c:pt>
                <c:pt idx="332">
                  <c:v>41074</c:v>
                </c:pt>
                <c:pt idx="333">
                  <c:v>41067</c:v>
                </c:pt>
                <c:pt idx="334">
                  <c:v>41060</c:v>
                </c:pt>
                <c:pt idx="335">
                  <c:v>41053</c:v>
                </c:pt>
                <c:pt idx="336">
                  <c:v>41046</c:v>
                </c:pt>
                <c:pt idx="337">
                  <c:v>41039</c:v>
                </c:pt>
                <c:pt idx="338">
                  <c:v>41032</c:v>
                </c:pt>
                <c:pt idx="339">
                  <c:v>41025</c:v>
                </c:pt>
                <c:pt idx="340">
                  <c:v>41018</c:v>
                </c:pt>
                <c:pt idx="341">
                  <c:v>41011</c:v>
                </c:pt>
                <c:pt idx="342">
                  <c:v>41004</c:v>
                </c:pt>
                <c:pt idx="343">
                  <c:v>40997</c:v>
                </c:pt>
                <c:pt idx="344">
                  <c:v>40990</c:v>
                </c:pt>
                <c:pt idx="345">
                  <c:v>40983</c:v>
                </c:pt>
                <c:pt idx="346">
                  <c:v>40976</c:v>
                </c:pt>
                <c:pt idx="347">
                  <c:v>40969</c:v>
                </c:pt>
                <c:pt idx="348">
                  <c:v>40962</c:v>
                </c:pt>
                <c:pt idx="349">
                  <c:v>40955</c:v>
                </c:pt>
                <c:pt idx="350">
                  <c:v>40948</c:v>
                </c:pt>
                <c:pt idx="351">
                  <c:v>40941</c:v>
                </c:pt>
                <c:pt idx="352">
                  <c:v>40934</c:v>
                </c:pt>
                <c:pt idx="353">
                  <c:v>40927</c:v>
                </c:pt>
                <c:pt idx="354">
                  <c:v>40920</c:v>
                </c:pt>
                <c:pt idx="355">
                  <c:v>40913</c:v>
                </c:pt>
                <c:pt idx="356">
                  <c:v>40906</c:v>
                </c:pt>
                <c:pt idx="357">
                  <c:v>40899</c:v>
                </c:pt>
                <c:pt idx="358">
                  <c:v>40892</c:v>
                </c:pt>
                <c:pt idx="359">
                  <c:v>40885</c:v>
                </c:pt>
                <c:pt idx="360">
                  <c:v>40878</c:v>
                </c:pt>
                <c:pt idx="361">
                  <c:v>40870</c:v>
                </c:pt>
                <c:pt idx="362">
                  <c:v>40864</c:v>
                </c:pt>
                <c:pt idx="363">
                  <c:v>40857</c:v>
                </c:pt>
                <c:pt idx="364">
                  <c:v>40850</c:v>
                </c:pt>
                <c:pt idx="365">
                  <c:v>40843</c:v>
                </c:pt>
                <c:pt idx="366">
                  <c:v>40836</c:v>
                </c:pt>
                <c:pt idx="367">
                  <c:v>40829</c:v>
                </c:pt>
                <c:pt idx="368">
                  <c:v>40822</c:v>
                </c:pt>
                <c:pt idx="369">
                  <c:v>40815</c:v>
                </c:pt>
                <c:pt idx="370">
                  <c:v>40808</c:v>
                </c:pt>
                <c:pt idx="371">
                  <c:v>40801</c:v>
                </c:pt>
                <c:pt idx="372">
                  <c:v>40794</c:v>
                </c:pt>
                <c:pt idx="373">
                  <c:v>40787</c:v>
                </c:pt>
                <c:pt idx="374">
                  <c:v>40780</c:v>
                </c:pt>
                <c:pt idx="375">
                  <c:v>40773</c:v>
                </c:pt>
                <c:pt idx="376">
                  <c:v>40766</c:v>
                </c:pt>
                <c:pt idx="377">
                  <c:v>40759</c:v>
                </c:pt>
                <c:pt idx="378">
                  <c:v>40752</c:v>
                </c:pt>
                <c:pt idx="379">
                  <c:v>40745</c:v>
                </c:pt>
                <c:pt idx="380">
                  <c:v>40738</c:v>
                </c:pt>
                <c:pt idx="381">
                  <c:v>40731</c:v>
                </c:pt>
                <c:pt idx="382">
                  <c:v>40724</c:v>
                </c:pt>
                <c:pt idx="383">
                  <c:v>40717</c:v>
                </c:pt>
                <c:pt idx="384">
                  <c:v>40710</c:v>
                </c:pt>
                <c:pt idx="385">
                  <c:v>40703</c:v>
                </c:pt>
                <c:pt idx="386">
                  <c:v>40696</c:v>
                </c:pt>
                <c:pt idx="387">
                  <c:v>40689</c:v>
                </c:pt>
                <c:pt idx="388">
                  <c:v>40682</c:v>
                </c:pt>
                <c:pt idx="389">
                  <c:v>40675</c:v>
                </c:pt>
                <c:pt idx="390">
                  <c:v>40668</c:v>
                </c:pt>
                <c:pt idx="391">
                  <c:v>40661</c:v>
                </c:pt>
                <c:pt idx="392">
                  <c:v>40654</c:v>
                </c:pt>
                <c:pt idx="393">
                  <c:v>40647</c:v>
                </c:pt>
                <c:pt idx="394">
                  <c:v>40640</c:v>
                </c:pt>
                <c:pt idx="395">
                  <c:v>40633</c:v>
                </c:pt>
                <c:pt idx="396">
                  <c:v>40626</c:v>
                </c:pt>
                <c:pt idx="397">
                  <c:v>40619</c:v>
                </c:pt>
                <c:pt idx="398">
                  <c:v>40612</c:v>
                </c:pt>
                <c:pt idx="399">
                  <c:v>40605</c:v>
                </c:pt>
                <c:pt idx="400">
                  <c:v>40598</c:v>
                </c:pt>
                <c:pt idx="401">
                  <c:v>40591</c:v>
                </c:pt>
                <c:pt idx="402">
                  <c:v>40584</c:v>
                </c:pt>
                <c:pt idx="403">
                  <c:v>40577</c:v>
                </c:pt>
                <c:pt idx="404">
                  <c:v>40570</c:v>
                </c:pt>
                <c:pt idx="405">
                  <c:v>40563</c:v>
                </c:pt>
                <c:pt idx="406">
                  <c:v>40556</c:v>
                </c:pt>
                <c:pt idx="407">
                  <c:v>40549</c:v>
                </c:pt>
                <c:pt idx="408">
                  <c:v>40542</c:v>
                </c:pt>
                <c:pt idx="409">
                  <c:v>40535</c:v>
                </c:pt>
                <c:pt idx="410">
                  <c:v>40528</c:v>
                </c:pt>
                <c:pt idx="411">
                  <c:v>40521</c:v>
                </c:pt>
                <c:pt idx="412">
                  <c:v>40514</c:v>
                </c:pt>
                <c:pt idx="413">
                  <c:v>40506</c:v>
                </c:pt>
                <c:pt idx="414">
                  <c:v>40500</c:v>
                </c:pt>
                <c:pt idx="415">
                  <c:v>40493</c:v>
                </c:pt>
                <c:pt idx="416">
                  <c:v>40486</c:v>
                </c:pt>
                <c:pt idx="417">
                  <c:v>40479</c:v>
                </c:pt>
                <c:pt idx="418">
                  <c:v>40472</c:v>
                </c:pt>
                <c:pt idx="419">
                  <c:v>40465</c:v>
                </c:pt>
                <c:pt idx="420">
                  <c:v>40458</c:v>
                </c:pt>
                <c:pt idx="421">
                  <c:v>40451</c:v>
                </c:pt>
                <c:pt idx="422">
                  <c:v>40444</c:v>
                </c:pt>
                <c:pt idx="423">
                  <c:v>40437</c:v>
                </c:pt>
                <c:pt idx="424">
                  <c:v>40430</c:v>
                </c:pt>
                <c:pt idx="425">
                  <c:v>40423</c:v>
                </c:pt>
                <c:pt idx="426">
                  <c:v>40416</c:v>
                </c:pt>
                <c:pt idx="427">
                  <c:v>40409</c:v>
                </c:pt>
                <c:pt idx="428">
                  <c:v>40402</c:v>
                </c:pt>
                <c:pt idx="429">
                  <c:v>40395</c:v>
                </c:pt>
                <c:pt idx="430">
                  <c:v>40388</c:v>
                </c:pt>
                <c:pt idx="431">
                  <c:v>40381</c:v>
                </c:pt>
                <c:pt idx="432">
                  <c:v>40374</c:v>
                </c:pt>
                <c:pt idx="433">
                  <c:v>40367</c:v>
                </c:pt>
                <c:pt idx="434">
                  <c:v>40360</c:v>
                </c:pt>
                <c:pt idx="435">
                  <c:v>40353</c:v>
                </c:pt>
                <c:pt idx="436">
                  <c:v>40346</c:v>
                </c:pt>
                <c:pt idx="437">
                  <c:v>40339</c:v>
                </c:pt>
                <c:pt idx="438">
                  <c:v>40332</c:v>
                </c:pt>
                <c:pt idx="439">
                  <c:v>40325</c:v>
                </c:pt>
                <c:pt idx="440">
                  <c:v>40318</c:v>
                </c:pt>
                <c:pt idx="441">
                  <c:v>40311</c:v>
                </c:pt>
                <c:pt idx="442">
                  <c:v>40304</c:v>
                </c:pt>
                <c:pt idx="443">
                  <c:v>40297</c:v>
                </c:pt>
                <c:pt idx="444">
                  <c:v>40290</c:v>
                </c:pt>
                <c:pt idx="445">
                  <c:v>40283</c:v>
                </c:pt>
                <c:pt idx="446">
                  <c:v>40276</c:v>
                </c:pt>
                <c:pt idx="447">
                  <c:v>40269</c:v>
                </c:pt>
                <c:pt idx="448">
                  <c:v>40262</c:v>
                </c:pt>
                <c:pt idx="449">
                  <c:v>40255</c:v>
                </c:pt>
                <c:pt idx="450">
                  <c:v>40248</c:v>
                </c:pt>
                <c:pt idx="451">
                  <c:v>40241</c:v>
                </c:pt>
                <c:pt idx="452">
                  <c:v>40234</c:v>
                </c:pt>
                <c:pt idx="453">
                  <c:v>40227</c:v>
                </c:pt>
                <c:pt idx="454">
                  <c:v>40220</c:v>
                </c:pt>
                <c:pt idx="455">
                  <c:v>40213</c:v>
                </c:pt>
                <c:pt idx="456">
                  <c:v>40206</c:v>
                </c:pt>
                <c:pt idx="457">
                  <c:v>40199</c:v>
                </c:pt>
                <c:pt idx="458">
                  <c:v>40192</c:v>
                </c:pt>
                <c:pt idx="459">
                  <c:v>40185</c:v>
                </c:pt>
                <c:pt idx="460">
                  <c:v>40178</c:v>
                </c:pt>
                <c:pt idx="461">
                  <c:v>40171</c:v>
                </c:pt>
                <c:pt idx="462">
                  <c:v>40164</c:v>
                </c:pt>
                <c:pt idx="463">
                  <c:v>40157</c:v>
                </c:pt>
                <c:pt idx="464">
                  <c:v>40150</c:v>
                </c:pt>
                <c:pt idx="465">
                  <c:v>40142</c:v>
                </c:pt>
                <c:pt idx="466">
                  <c:v>40136</c:v>
                </c:pt>
                <c:pt idx="467">
                  <c:v>40129</c:v>
                </c:pt>
                <c:pt idx="468">
                  <c:v>40122</c:v>
                </c:pt>
                <c:pt idx="469">
                  <c:v>40115</c:v>
                </c:pt>
                <c:pt idx="470">
                  <c:v>40108</c:v>
                </c:pt>
                <c:pt idx="471">
                  <c:v>40101</c:v>
                </c:pt>
                <c:pt idx="472">
                  <c:v>40094</c:v>
                </c:pt>
                <c:pt idx="473">
                  <c:v>40087</c:v>
                </c:pt>
                <c:pt idx="474">
                  <c:v>40080</c:v>
                </c:pt>
                <c:pt idx="475">
                  <c:v>40073</c:v>
                </c:pt>
                <c:pt idx="476">
                  <c:v>40066</c:v>
                </c:pt>
                <c:pt idx="477">
                  <c:v>40059</c:v>
                </c:pt>
                <c:pt idx="478">
                  <c:v>40052</c:v>
                </c:pt>
                <c:pt idx="479">
                  <c:v>40045</c:v>
                </c:pt>
                <c:pt idx="480">
                  <c:v>40038</c:v>
                </c:pt>
                <c:pt idx="481">
                  <c:v>40031</c:v>
                </c:pt>
                <c:pt idx="482">
                  <c:v>40024</c:v>
                </c:pt>
                <c:pt idx="483">
                  <c:v>40017</c:v>
                </c:pt>
                <c:pt idx="484">
                  <c:v>40010</c:v>
                </c:pt>
                <c:pt idx="485">
                  <c:v>40003</c:v>
                </c:pt>
                <c:pt idx="486">
                  <c:v>39996</c:v>
                </c:pt>
                <c:pt idx="487">
                  <c:v>39989</c:v>
                </c:pt>
                <c:pt idx="488">
                  <c:v>39982</c:v>
                </c:pt>
                <c:pt idx="489">
                  <c:v>39975</c:v>
                </c:pt>
                <c:pt idx="490">
                  <c:v>39968</c:v>
                </c:pt>
                <c:pt idx="491">
                  <c:v>39961</c:v>
                </c:pt>
                <c:pt idx="492">
                  <c:v>39954</c:v>
                </c:pt>
                <c:pt idx="493">
                  <c:v>39947</c:v>
                </c:pt>
                <c:pt idx="494">
                  <c:v>39940</c:v>
                </c:pt>
                <c:pt idx="495">
                  <c:v>39933</c:v>
                </c:pt>
                <c:pt idx="496">
                  <c:v>39926</c:v>
                </c:pt>
                <c:pt idx="497">
                  <c:v>39919</c:v>
                </c:pt>
                <c:pt idx="498">
                  <c:v>39912</c:v>
                </c:pt>
                <c:pt idx="499">
                  <c:v>39905</c:v>
                </c:pt>
                <c:pt idx="500">
                  <c:v>39898</c:v>
                </c:pt>
                <c:pt idx="501">
                  <c:v>39891</c:v>
                </c:pt>
                <c:pt idx="502">
                  <c:v>39884</c:v>
                </c:pt>
                <c:pt idx="503">
                  <c:v>39877</c:v>
                </c:pt>
                <c:pt idx="504">
                  <c:v>39870</c:v>
                </c:pt>
                <c:pt idx="505">
                  <c:v>39863</c:v>
                </c:pt>
                <c:pt idx="506">
                  <c:v>39856</c:v>
                </c:pt>
                <c:pt idx="507">
                  <c:v>39849</c:v>
                </c:pt>
                <c:pt idx="508">
                  <c:v>39842</c:v>
                </c:pt>
                <c:pt idx="509">
                  <c:v>39835</c:v>
                </c:pt>
                <c:pt idx="510">
                  <c:v>39828</c:v>
                </c:pt>
                <c:pt idx="511">
                  <c:v>39821</c:v>
                </c:pt>
                <c:pt idx="512">
                  <c:v>39813</c:v>
                </c:pt>
                <c:pt idx="513">
                  <c:v>39806</c:v>
                </c:pt>
                <c:pt idx="514">
                  <c:v>39800</c:v>
                </c:pt>
                <c:pt idx="515">
                  <c:v>39793</c:v>
                </c:pt>
                <c:pt idx="516">
                  <c:v>39786</c:v>
                </c:pt>
                <c:pt idx="517">
                  <c:v>39778</c:v>
                </c:pt>
                <c:pt idx="518">
                  <c:v>39772</c:v>
                </c:pt>
                <c:pt idx="519">
                  <c:v>39765</c:v>
                </c:pt>
                <c:pt idx="520">
                  <c:v>39758</c:v>
                </c:pt>
                <c:pt idx="521">
                  <c:v>39751</c:v>
                </c:pt>
                <c:pt idx="522">
                  <c:v>39744</c:v>
                </c:pt>
                <c:pt idx="523">
                  <c:v>39737</c:v>
                </c:pt>
                <c:pt idx="524">
                  <c:v>39730</c:v>
                </c:pt>
                <c:pt idx="525">
                  <c:v>39723</c:v>
                </c:pt>
                <c:pt idx="526">
                  <c:v>39716</c:v>
                </c:pt>
                <c:pt idx="527">
                  <c:v>39709</c:v>
                </c:pt>
                <c:pt idx="528">
                  <c:v>39702</c:v>
                </c:pt>
                <c:pt idx="529">
                  <c:v>39695</c:v>
                </c:pt>
                <c:pt idx="530">
                  <c:v>39688</c:v>
                </c:pt>
                <c:pt idx="531">
                  <c:v>39681</c:v>
                </c:pt>
                <c:pt idx="532">
                  <c:v>39674</c:v>
                </c:pt>
                <c:pt idx="533">
                  <c:v>39667</c:v>
                </c:pt>
                <c:pt idx="534">
                  <c:v>39660</c:v>
                </c:pt>
                <c:pt idx="535">
                  <c:v>39653</c:v>
                </c:pt>
                <c:pt idx="536">
                  <c:v>39646</c:v>
                </c:pt>
                <c:pt idx="537">
                  <c:v>39639</c:v>
                </c:pt>
                <c:pt idx="538">
                  <c:v>39632</c:v>
                </c:pt>
                <c:pt idx="539">
                  <c:v>39625</c:v>
                </c:pt>
                <c:pt idx="540">
                  <c:v>39618</c:v>
                </c:pt>
                <c:pt idx="541">
                  <c:v>39611</c:v>
                </c:pt>
                <c:pt idx="542">
                  <c:v>39604</c:v>
                </c:pt>
                <c:pt idx="543">
                  <c:v>39597</c:v>
                </c:pt>
                <c:pt idx="544">
                  <c:v>39590</c:v>
                </c:pt>
                <c:pt idx="545">
                  <c:v>39583</c:v>
                </c:pt>
                <c:pt idx="546">
                  <c:v>39576</c:v>
                </c:pt>
                <c:pt idx="547">
                  <c:v>39569</c:v>
                </c:pt>
                <c:pt idx="548">
                  <c:v>39562</c:v>
                </c:pt>
                <c:pt idx="549">
                  <c:v>39555</c:v>
                </c:pt>
                <c:pt idx="550">
                  <c:v>39548</c:v>
                </c:pt>
                <c:pt idx="551">
                  <c:v>39541</c:v>
                </c:pt>
                <c:pt idx="552">
                  <c:v>39534</c:v>
                </c:pt>
                <c:pt idx="553">
                  <c:v>39527</c:v>
                </c:pt>
                <c:pt idx="554">
                  <c:v>39520</c:v>
                </c:pt>
                <c:pt idx="555">
                  <c:v>39513</c:v>
                </c:pt>
                <c:pt idx="556">
                  <c:v>39506</c:v>
                </c:pt>
                <c:pt idx="557">
                  <c:v>39499</c:v>
                </c:pt>
                <c:pt idx="558">
                  <c:v>39492</c:v>
                </c:pt>
                <c:pt idx="559">
                  <c:v>39485</c:v>
                </c:pt>
                <c:pt idx="560">
                  <c:v>39478</c:v>
                </c:pt>
                <c:pt idx="561">
                  <c:v>39471</c:v>
                </c:pt>
                <c:pt idx="562">
                  <c:v>39464</c:v>
                </c:pt>
                <c:pt idx="563">
                  <c:v>39457</c:v>
                </c:pt>
                <c:pt idx="564">
                  <c:v>39450</c:v>
                </c:pt>
              </c:numCache>
            </c:numRef>
          </c:cat>
          <c:val>
            <c:numRef>
              <c:f>Query!$L$3:$L$567</c:f>
              <c:numCache>
                <c:formatCode>0%</c:formatCode>
                <c:ptCount val="565"/>
                <c:pt idx="0">
                  <c:v>8.31521E-5</c:v>
                </c:pt>
                <c:pt idx="1">
                  <c:v>5.95944E-5</c:v>
                </c:pt>
                <c:pt idx="2">
                  <c:v>3.0684730000000001E-4</c:v>
                </c:pt>
                <c:pt idx="3">
                  <c:v>2.357336E-4</c:v>
                </c:pt>
                <c:pt idx="4">
                  <c:v>4.1564040000000003E-4</c:v>
                </c:pt>
                <c:pt idx="5">
                  <c:v>1.2566888E-3</c:v>
                </c:pt>
                <c:pt idx="6">
                  <c:v>2.2650897999999999E-3</c:v>
                </c:pt>
                <c:pt idx="7">
                  <c:v>3.7952707000000001E-3</c:v>
                </c:pt>
                <c:pt idx="8">
                  <c:v>4.3696046000000002E-3</c:v>
                </c:pt>
                <c:pt idx="9">
                  <c:v>4.0914293000000003E-3</c:v>
                </c:pt>
                <c:pt idx="10">
                  <c:v>9.4595210000000005E-4</c:v>
                </c:pt>
                <c:pt idx="11">
                  <c:v>1.7967946E-3</c:v>
                </c:pt>
                <c:pt idx="12">
                  <c:v>9.6972349999999998E-4</c:v>
                </c:pt>
                <c:pt idx="13">
                  <c:v>1.4891463000000001E-3</c:v>
                </c:pt>
                <c:pt idx="14">
                  <c:v>1.4664210999999999E-3</c:v>
                </c:pt>
                <c:pt idx="15">
                  <c:v>1.3533925000000001E-3</c:v>
                </c:pt>
                <c:pt idx="16">
                  <c:v>5.6867820000000005E-4</c:v>
                </c:pt>
                <c:pt idx="17">
                  <c:v>5.5325220000000002E-4</c:v>
                </c:pt>
                <c:pt idx="18">
                  <c:v>4.6994470000000005E-4</c:v>
                </c:pt>
                <c:pt idx="19">
                  <c:v>8.3690230000000004E-4</c:v>
                </c:pt>
                <c:pt idx="20">
                  <c:v>3.0319180000000002E-4</c:v>
                </c:pt>
                <c:pt idx="21">
                  <c:v>8.7734700000000006E-5</c:v>
                </c:pt>
                <c:pt idx="22">
                  <c:v>1.8930120000000002E-4</c:v>
                </c:pt>
                <c:pt idx="23">
                  <c:v>2.3689499999999999E-4</c:v>
                </c:pt>
                <c:pt idx="24">
                  <c:v>2.3689499999999999E-4</c:v>
                </c:pt>
                <c:pt idx="25">
                  <c:v>5.6957999999999999E-5</c:v>
                </c:pt>
                <c:pt idx="26">
                  <c:v>1.742267E-4</c:v>
                </c:pt>
                <c:pt idx="27">
                  <c:v>3.7439289999999996E-4</c:v>
                </c:pt>
                <c:pt idx="28">
                  <c:v>7.6027340000000003E-4</c:v>
                </c:pt>
                <c:pt idx="29">
                  <c:v>3.0857269999999993E-4</c:v>
                </c:pt>
                <c:pt idx="30">
                  <c:v>1.2646249999999999E-4</c:v>
                </c:pt>
                <c:pt idx="31">
                  <c:v>1.2935379999999999E-4</c:v>
                </c:pt>
                <c:pt idx="32">
                  <c:v>1.2560800000000001E-4</c:v>
                </c:pt>
                <c:pt idx="33">
                  <c:v>1.3935790000000001E-4</c:v>
                </c:pt>
                <c:pt idx="34">
                  <c:v>1.357707E-4</c:v>
                </c:pt>
                <c:pt idx="35">
                  <c:v>1.35103E-4</c:v>
                </c:pt>
                <c:pt idx="36">
                  <c:v>1.502214E-4</c:v>
                </c:pt>
                <c:pt idx="37">
                  <c:v>2.415219E-4</c:v>
                </c:pt>
                <c:pt idx="38">
                  <c:v>1.334691E-4</c:v>
                </c:pt>
                <c:pt idx="39">
                  <c:v>5.4831460000000004E-4</c:v>
                </c:pt>
                <c:pt idx="40">
                  <c:v>1.0917952000000001E-3</c:v>
                </c:pt>
                <c:pt idx="41">
                  <c:v>#N/A</c:v>
                </c:pt>
                <c:pt idx="42">
                  <c:v>1.0356037833333335E-3</c:v>
                </c:pt>
                <c:pt idx="43">
                  <c:v>5.0279459999999997E-4</c:v>
                </c:pt>
                <c:pt idx="44">
                  <c:v>1.4412273000000001E-3</c:v>
                </c:pt>
                <c:pt idx="45">
                  <c:v>2.5348091999999999E-3</c:v>
                </c:pt>
                <c:pt idx="46">
                  <c:v>1.4412273000000001E-3</c:v>
                </c:pt>
                <c:pt idx="47">
                  <c:v>4.9353019000000003E-3</c:v>
                </c:pt>
                <c:pt idx="48">
                  <c:v>#N/A</c:v>
                </c:pt>
                <c:pt idx="49">
                  <c:v>1.7806547E-3</c:v>
                </c:pt>
                <c:pt idx="50">
                  <c:v>3.7489542399999999E-2</c:v>
                </c:pt>
                <c:pt idx="51">
                  <c:v>1.6221444E-3</c:v>
                </c:pt>
                <c:pt idx="52">
                  <c:v>6.9238850000000001E-4</c:v>
                </c:pt>
                <c:pt idx="53">
                  <c:v>3.3087595499999997E-2</c:v>
                </c:pt>
                <c:pt idx="54">
                  <c:v>3.5648575E-3</c:v>
                </c:pt>
                <c:pt idx="55">
                  <c:v>4.4150887600000001E-2</c:v>
                </c:pt>
                <c:pt idx="56">
                  <c:v>3.4009393899999997E-2</c:v>
                </c:pt>
                <c:pt idx="57">
                  <c:v>4.0616660499999999E-2</c:v>
                </c:pt>
                <c:pt idx="58">
                  <c:v>#N/A</c:v>
                </c:pt>
                <c:pt idx="59">
                  <c:v>5.11958598E-2</c:v>
                </c:pt>
                <c:pt idx="60">
                  <c:v>#N/A</c:v>
                </c:pt>
                <c:pt idx="61">
                  <c:v>3.26105426E-2</c:v>
                </c:pt>
                <c:pt idx="62">
                  <c:v>2.9975939600000001E-2</c:v>
                </c:pt>
                <c:pt idx="63">
                  <c:v>1.77647937E-2</c:v>
                </c:pt>
                <c:pt idx="64">
                  <c:v>1.247027E-2</c:v>
                </c:pt>
                <c:pt idx="65">
                  <c:v>1.02685104E-2</c:v>
                </c:pt>
                <c:pt idx="66">
                  <c:v>6.1743472999999998E-3</c:v>
                </c:pt>
                <c:pt idx="67">
                  <c:v>4.6002244000000001E-3</c:v>
                </c:pt>
                <c:pt idx="68">
                  <c:v>6.1743472999999998E-3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4.7519707999999997E-3</c:v>
                </c:pt>
                <c:pt idx="75">
                  <c:v>2.3469675999999999E-3</c:v>
                </c:pt>
                <c:pt idx="76">
                  <c:v>1.9610073E-3</c:v>
                </c:pt>
                <c:pt idx="77">
                  <c:v>2.3469675999999999E-3</c:v>
                </c:pt>
                <c:pt idx="78">
                  <c:v>1.7019555E-3</c:v>
                </c:pt>
                <c:pt idx="79">
                  <c:v>2.3635277000000001E-3</c:v>
                </c:pt>
                <c:pt idx="80">
                  <c:v>1.429921E-3</c:v>
                </c:pt>
                <c:pt idx="81">
                  <c:v>1.2181243E-3</c:v>
                </c:pt>
                <c:pt idx="82">
                  <c:v>5.8299049999999998E-4</c:v>
                </c:pt>
                <c:pt idx="83">
                  <c:v>1.7532029999999999E-4</c:v>
                </c:pt>
                <c:pt idx="84">
                  <c:v>1.3556239999999999E-4</c:v>
                </c:pt>
                <c:pt idx="85">
                  <c:v>2.0390370000000001E-4</c:v>
                </c:pt>
                <c:pt idx="86">
                  <c:v>6.8027349999999996E-4</c:v>
                </c:pt>
                <c:pt idx="87">
                  <c:v>3.7116980000000003E-4</c:v>
                </c:pt>
                <c:pt idx="88">
                  <c:v>4.5993679999999998E-4</c:v>
                </c:pt>
                <c:pt idx="89">
                  <c:v>4.6443549999999998E-4</c:v>
                </c:pt>
                <c:pt idx="90">
                  <c:v>4.3456929999999999E-4</c:v>
                </c:pt>
                <c:pt idx="91">
                  <c:v>3.9659270142690243E-4</c:v>
                </c:pt>
                <c:pt idx="92">
                  <c:v>5.2544060000000005E-4</c:v>
                </c:pt>
                <c:pt idx="93">
                  <c:v>3.9651119999999996E-4</c:v>
                </c:pt>
                <c:pt idx="94">
                  <c:v>3.5158179999999995E-4</c:v>
                </c:pt>
                <c:pt idx="95">
                  <c:v>2.7917330000000001E-4</c:v>
                </c:pt>
                <c:pt idx="96">
                  <c:v>2.9591909999999999E-4</c:v>
                </c:pt>
                <c:pt idx="97">
                  <c:v>3.3883600000000002E-5</c:v>
                </c:pt>
                <c:pt idx="98">
                  <c:v>3.4422199999999997E-5</c:v>
                </c:pt>
                <c:pt idx="99">
                  <c:v>0</c:v>
                </c:pt>
                <c:pt idx="100">
                  <c:v>6.7874100000000001E-5</c:v>
                </c:pt>
                <c:pt idx="101">
                  <c:v>1.4478970000000001E-4</c:v>
                </c:pt>
                <c:pt idx="102">
                  <c:v>1.5197448E-3</c:v>
                </c:pt>
                <c:pt idx="103">
                  <c:v>2.2118737999999999E-3</c:v>
                </c:pt>
                <c:pt idx="104">
                  <c:v>4.2344032000000004E-3</c:v>
                </c:pt>
                <c:pt idx="105">
                  <c:v>2.0252616999999998E-3</c:v>
                </c:pt>
                <c:pt idx="106">
                  <c:v>5.0343918000000003E-3</c:v>
                </c:pt>
                <c:pt idx="107">
                  <c:v>0.40546247959999998</c:v>
                </c:pt>
                <c:pt idx="108">
                  <c:v>0.4169632331</c:v>
                </c:pt>
                <c:pt idx="109">
                  <c:v>2.9637528999999999E-3</c:v>
                </c:pt>
                <c:pt idx="110">
                  <c:v>0.3600573796</c:v>
                </c:pt>
                <c:pt idx="111">
                  <c:v>0.38676437499999999</c:v>
                </c:pt>
                <c:pt idx="112">
                  <c:v>0.39018724980000002</c:v>
                </c:pt>
                <c:pt idx="113">
                  <c:v>0.39574476260000002</c:v>
                </c:pt>
                <c:pt idx="114">
                  <c:v>0.40906577170000002</c:v>
                </c:pt>
                <c:pt idx="115">
                  <c:v>0.398519501</c:v>
                </c:pt>
                <c:pt idx="116">
                  <c:v>0.410755869</c:v>
                </c:pt>
                <c:pt idx="117">
                  <c:v>0.38799957070000002</c:v>
                </c:pt>
                <c:pt idx="118">
                  <c:v>0.40258376019999997</c:v>
                </c:pt>
                <c:pt idx="119">
                  <c:v>0.42414991569999999</c:v>
                </c:pt>
                <c:pt idx="120">
                  <c:v>0.78196125989999998</c:v>
                </c:pt>
                <c:pt idx="121">
                  <c:v>0.38767394170000002</c:v>
                </c:pt>
                <c:pt idx="122">
                  <c:v>0.32925974279999998</c:v>
                </c:pt>
                <c:pt idx="123">
                  <c:v>0.36170338489999998</c:v>
                </c:pt>
                <c:pt idx="124">
                  <c:v>0.31918544409999999</c:v>
                </c:pt>
                <c:pt idx="125">
                  <c:v>8.4448169099999998E-2</c:v>
                </c:pt>
                <c:pt idx="126">
                  <c:v>0.27158017379999999</c:v>
                </c:pt>
                <c:pt idx="127">
                  <c:v>0.30644693740000001</c:v>
                </c:pt>
                <c:pt idx="128">
                  <c:v>0.33980352229999999</c:v>
                </c:pt>
                <c:pt idx="129">
                  <c:v>0.28077464060000001</c:v>
                </c:pt>
                <c:pt idx="130">
                  <c:v>4.62882867E-2</c:v>
                </c:pt>
                <c:pt idx="131">
                  <c:v>0.26416370960000002</c:v>
                </c:pt>
                <c:pt idx="132">
                  <c:v>0.28723288749999998</c:v>
                </c:pt>
                <c:pt idx="133">
                  <c:v>0.28007581799999998</c:v>
                </c:pt>
                <c:pt idx="134">
                  <c:v>3.7230127299999999E-2</c:v>
                </c:pt>
                <c:pt idx="135">
                  <c:v>3.9066185599999997E-2</c:v>
                </c:pt>
                <c:pt idx="136">
                  <c:v>2.8685484099999999E-2</c:v>
                </c:pt>
                <c:pt idx="137">
                  <c:v>0.22123234250000001</c:v>
                </c:pt>
                <c:pt idx="138">
                  <c:v>0.24462782150000001</c:v>
                </c:pt>
                <c:pt idx="139">
                  <c:v>0.24141967689999999</c:v>
                </c:pt>
                <c:pt idx="140">
                  <c:v>0.23731871830000001</c:v>
                </c:pt>
                <c:pt idx="141">
                  <c:v>0.23788511640000004</c:v>
                </c:pt>
                <c:pt idx="142">
                  <c:v>0.1920379116</c:v>
                </c:pt>
                <c:pt idx="143">
                  <c:v>1.2975247800000001E-2</c:v>
                </c:pt>
                <c:pt idx="144">
                  <c:v>1.05298592E-2</c:v>
                </c:pt>
                <c:pt idx="145">
                  <c:v>2.6066667999999999E-3</c:v>
                </c:pt>
                <c:pt idx="146">
                  <c:v>7.0099330000000001E-4</c:v>
                </c:pt>
                <c:pt idx="147">
                  <c:v>2.586709E-4</c:v>
                </c:pt>
                <c:pt idx="148">
                  <c:v>9.522981E-4</c:v>
                </c:pt>
                <c:pt idx="149">
                  <c:v>7.7737930000000002E-4</c:v>
                </c:pt>
                <c:pt idx="150">
                  <c:v>1.1273816E-3</c:v>
                </c:pt>
                <c:pt idx="151">
                  <c:v>1.6904094000000001E-3</c:v>
                </c:pt>
                <c:pt idx="152">
                  <c:v>4.6152300000000003E-4</c:v>
                </c:pt>
                <c:pt idx="153">
                  <c:v>5.7837199999999996E-4</c:v>
                </c:pt>
                <c:pt idx="154">
                  <c:v>5.5940250000000003E-4</c:v>
                </c:pt>
                <c:pt idx="155">
                  <c:v>4.4682766000000004E-3</c:v>
                </c:pt>
                <c:pt idx="156">
                  <c:v>1.25988144E-2</c:v>
                </c:pt>
                <c:pt idx="157">
                  <c:v>9.994256E-3</c:v>
                </c:pt>
                <c:pt idx="158">
                  <c:v>7.0689237000000002E-3</c:v>
                </c:pt>
                <c:pt idx="159">
                  <c:v>1.42463513E-2</c:v>
                </c:pt>
                <c:pt idx="160">
                  <c:v>5.3348190000000002E-3</c:v>
                </c:pt>
                <c:pt idx="161">
                  <c:v>2.3921606000000002E-3</c:v>
                </c:pt>
                <c:pt idx="162">
                  <c:v>1.7581392E-3</c:v>
                </c:pt>
                <c:pt idx="163">
                  <c:v>2.1829420999999998E-3</c:v>
                </c:pt>
                <c:pt idx="164">
                  <c:v>2.3660437000000002E-3</c:v>
                </c:pt>
                <c:pt idx="165">
                  <c:v>4.1198983E-3</c:v>
                </c:pt>
                <c:pt idx="166">
                  <c:v>1.1244787E-3</c:v>
                </c:pt>
                <c:pt idx="167">
                  <c:v>1.0769498000000001E-3</c:v>
                </c:pt>
                <c:pt idx="168">
                  <c:v>1.4956543E-3</c:v>
                </c:pt>
                <c:pt idx="169">
                  <c:v>9.2205249999999998E-4</c:v>
                </c:pt>
                <c:pt idx="170">
                  <c:v>3.9537799999999994E-4</c:v>
                </c:pt>
                <c:pt idx="171">
                  <c:v>1.389746E-4</c:v>
                </c:pt>
                <c:pt idx="172">
                  <c:v>4.4374600000000002E-4</c:v>
                </c:pt>
                <c:pt idx="173">
                  <c:v>1.903912E-4</c:v>
                </c:pt>
                <c:pt idx="174">
                  <c:v>1.9310449999999999E-4</c:v>
                </c:pt>
                <c:pt idx="175">
                  <c:v>3.9650180000000001E-4</c:v>
                </c:pt>
                <c:pt idx="176">
                  <c:v>3.7143129999999997E-4</c:v>
                </c:pt>
                <c:pt idx="177">
                  <c:v>1.10224E-3</c:v>
                </c:pt>
                <c:pt idx="178">
                  <c:v>6.8662390000000001E-4</c:v>
                </c:pt>
                <c:pt idx="179">
                  <c:v>9.2324639999999999E-4</c:v>
                </c:pt>
                <c:pt idx="180">
                  <c:v>2.1647323E-3</c:v>
                </c:pt>
                <c:pt idx="181">
                  <c:v>3.5595009E-3</c:v>
                </c:pt>
                <c:pt idx="182">
                  <c:v>0.197289092</c:v>
                </c:pt>
                <c:pt idx="183">
                  <c:v>0.20635886780000001</c:v>
                </c:pt>
                <c:pt idx="184">
                  <c:v>0.1929948675</c:v>
                </c:pt>
                <c:pt idx="185">
                  <c:v>0.2036454261</c:v>
                </c:pt>
                <c:pt idx="186">
                  <c:v>0.1920001559</c:v>
                </c:pt>
                <c:pt idx="187">
                  <c:v>0.19417233710000001</c:v>
                </c:pt>
                <c:pt idx="188">
                  <c:v>0.16825353979999999</c:v>
                </c:pt>
                <c:pt idx="189">
                  <c:v>0.14233795430000001</c:v>
                </c:pt>
                <c:pt idx="190">
                  <c:v>0.17940538610000001</c:v>
                </c:pt>
                <c:pt idx="191">
                  <c:v>0.15760086139999999</c:v>
                </c:pt>
                <c:pt idx="192">
                  <c:v>0.17324059850000001</c:v>
                </c:pt>
                <c:pt idx="193">
                  <c:v>0.19041053059999999</c:v>
                </c:pt>
                <c:pt idx="194">
                  <c:v>0.21297168389999999</c:v>
                </c:pt>
                <c:pt idx="195">
                  <c:v>0.17760994400000002</c:v>
                </c:pt>
                <c:pt idx="196">
                  <c:v>0.18014806389999999</c:v>
                </c:pt>
                <c:pt idx="197">
                  <c:v>0.1782234425</c:v>
                </c:pt>
                <c:pt idx="198">
                  <c:v>0.16003373060000001</c:v>
                </c:pt>
                <c:pt idx="199">
                  <c:v>0.12286840740000002</c:v>
                </c:pt>
                <c:pt idx="200">
                  <c:v>0.13221724330000001</c:v>
                </c:pt>
                <c:pt idx="201">
                  <c:v>0.14076586999999999</c:v>
                </c:pt>
                <c:pt idx="202">
                  <c:v>0.109679964</c:v>
                </c:pt>
                <c:pt idx="203">
                  <c:v>0.1249601078</c:v>
                </c:pt>
                <c:pt idx="204">
                  <c:v>9.39508857E-2</c:v>
                </c:pt>
                <c:pt idx="205">
                  <c:v>8.7498527500000006E-2</c:v>
                </c:pt>
                <c:pt idx="206">
                  <c:v>8.3061247399999996E-2</c:v>
                </c:pt>
                <c:pt idx="207">
                  <c:v>8.10522303E-2</c:v>
                </c:pt>
                <c:pt idx="208">
                  <c:v>8.7667770899999997E-2</c:v>
                </c:pt>
                <c:pt idx="209">
                  <c:v>0.10771013190000001</c:v>
                </c:pt>
                <c:pt idx="210">
                  <c:v>9.1745245399999995E-2</c:v>
                </c:pt>
                <c:pt idx="211">
                  <c:v>5.4818035000000001E-2</c:v>
                </c:pt>
                <c:pt idx="212">
                  <c:v>3.4644764999999999E-3</c:v>
                </c:pt>
                <c:pt idx="213">
                  <c:v>7.5124030000000002E-4</c:v>
                </c:pt>
                <c:pt idx="214">
                  <c:v>6.8108419999999995E-4</c:v>
                </c:pt>
                <c:pt idx="215">
                  <c:v>5.4217214299999997E-2</c:v>
                </c:pt>
                <c:pt idx="216">
                  <c:v>5.8857294800000001E-2</c:v>
                </c:pt>
                <c:pt idx="217">
                  <c:v>5.6811517800000003E-2</c:v>
                </c:pt>
                <c:pt idx="218">
                  <c:v>5.6832027E-2</c:v>
                </c:pt>
                <c:pt idx="219">
                  <c:v>4.7093181200000001E-2</c:v>
                </c:pt>
                <c:pt idx="220">
                  <c:v>3.5272750800000002E-2</c:v>
                </c:pt>
                <c:pt idx="221">
                  <c:v>4.5236248999999999E-2</c:v>
                </c:pt>
                <c:pt idx="222">
                  <c:v>4.19359511E-2</c:v>
                </c:pt>
                <c:pt idx="223">
                  <c:v>4.2003712700000001E-2</c:v>
                </c:pt>
                <c:pt idx="224">
                  <c:v>3.2938917200000001E-2</c:v>
                </c:pt>
                <c:pt idx="225">
                  <c:v>5.0675053300000002E-2</c:v>
                </c:pt>
                <c:pt idx="226">
                  <c:v>4.2385715300000001E-2</c:v>
                </c:pt>
                <c:pt idx="227">
                  <c:v>3.2087155200000002E-2</c:v>
                </c:pt>
                <c:pt idx="228">
                  <c:v>2.79290697E-2</c:v>
                </c:pt>
                <c:pt idx="229">
                  <c:v>4.2401298400000002E-2</c:v>
                </c:pt>
                <c:pt idx="230">
                  <c:v>3.7940806000000001E-2</c:v>
                </c:pt>
                <c:pt idx="231">
                  <c:v>3.3073318099999999E-2</c:v>
                </c:pt>
                <c:pt idx="232">
                  <c:v>2.62401162E-2</c:v>
                </c:pt>
                <c:pt idx="233">
                  <c:v>2.4445514099999999E-2</c:v>
                </c:pt>
                <c:pt idx="234">
                  <c:v>9.0355721999999996E-3</c:v>
                </c:pt>
                <c:pt idx="235">
                  <c:v>5.8541816000000002E-3</c:v>
                </c:pt>
                <c:pt idx="236">
                  <c:v>1.186662E-2</c:v>
                </c:pt>
                <c:pt idx="237">
                  <c:v>3.9653767000000003E-3</c:v>
                </c:pt>
                <c:pt idx="238">
                  <c:v>1.1512785000000001E-3</c:v>
                </c:pt>
                <c:pt idx="239">
                  <c:v>1.9502941E-3</c:v>
                </c:pt>
                <c:pt idx="240">
                  <c:v>8.9060293999999995E-3</c:v>
                </c:pt>
                <c:pt idx="241">
                  <c:v>3.6059919000000001E-3</c:v>
                </c:pt>
                <c:pt idx="242">
                  <c:v>1.0246143500000001E-2</c:v>
                </c:pt>
                <c:pt idx="243">
                  <c:v>2.8263563E-3</c:v>
                </c:pt>
                <c:pt idx="244">
                  <c:v>4.1966609000000004E-3</c:v>
                </c:pt>
                <c:pt idx="245">
                  <c:v>9.5964789000000002E-3</c:v>
                </c:pt>
                <c:pt idx="246">
                  <c:v>1.45802793E-2</c:v>
                </c:pt>
                <c:pt idx="247">
                  <c:v>5.9617189000000003E-3</c:v>
                </c:pt>
                <c:pt idx="248">
                  <c:v>4.0923797E-3</c:v>
                </c:pt>
                <c:pt idx="249">
                  <c:v>3.4307642999999999E-3</c:v>
                </c:pt>
                <c:pt idx="250">
                  <c:v>1.2482529999999999E-3</c:v>
                </c:pt>
                <c:pt idx="251">
                  <c:v>9.2338459999999995E-4</c:v>
                </c:pt>
                <c:pt idx="252">
                  <c:v>7.1407139999999996E-4</c:v>
                </c:pt>
                <c:pt idx="253">
                  <c:v>9.0418129999999999E-4</c:v>
                </c:pt>
                <c:pt idx="254">
                  <c:v>2.2168977E-3</c:v>
                </c:pt>
                <c:pt idx="255">
                  <c:v>2.4384408999999999E-3</c:v>
                </c:pt>
                <c:pt idx="256">
                  <c:v>2.3111908000000001E-3</c:v>
                </c:pt>
                <c:pt idx="257">
                  <c:v>4.5124129000000002E-3</c:v>
                </c:pt>
                <c:pt idx="258">
                  <c:v>1.8064753000000002E-3</c:v>
                </c:pt>
                <c:pt idx="259">
                  <c:v>5.3303695999999999E-3</c:v>
                </c:pt>
                <c:pt idx="260">
                  <c:v>3.8090733000000002E-3</c:v>
                </c:pt>
                <c:pt idx="261">
                  <c:v>2.3834327999999998E-3</c:v>
                </c:pt>
                <c:pt idx="262">
                  <c:v>1.4588393000000001E-3</c:v>
                </c:pt>
                <c:pt idx="263">
                  <c:v>1.7559447E-3</c:v>
                </c:pt>
                <c:pt idx="264">
                  <c:v>1.7942005000000001E-3</c:v>
                </c:pt>
                <c:pt idx="265">
                  <c:v>3.5615879999999992E-4</c:v>
                </c:pt>
                <c:pt idx="266">
                  <c:v>3.9033699999999999E-5</c:v>
                </c:pt>
                <c:pt idx="267">
                  <c:v>7.9574999999999996E-6</c:v>
                </c:pt>
                <c:pt idx="268">
                  <c:v>1.0965000000000001E-5</c:v>
                </c:pt>
                <c:pt idx="269">
                  <c:v>3.4419499999999998E-5</c:v>
                </c:pt>
                <c:pt idx="270">
                  <c:v>7.0003999999999999E-6</c:v>
                </c:pt>
                <c:pt idx="271">
                  <c:v>8.679750000000001E-5</c:v>
                </c:pt>
                <c:pt idx="272">
                  <c:v>1.107294E-4</c:v>
                </c:pt>
                <c:pt idx="273">
                  <c:v>1.352185E-4</c:v>
                </c:pt>
                <c:pt idx="274">
                  <c:v>2.023177E-4</c:v>
                </c:pt>
                <c:pt idx="275">
                  <c:v>1.2801840000000001E-4</c:v>
                </c:pt>
                <c:pt idx="276">
                  <c:v>1.222629E-4</c:v>
                </c:pt>
                <c:pt idx="277">
                  <c:v>2.7504040000000002E-4</c:v>
                </c:pt>
                <c:pt idx="278">
                  <c:v>8.4635999999999997E-6</c:v>
                </c:pt>
                <c:pt idx="279">
                  <c:v>1.2545979999999999E-4</c:v>
                </c:pt>
                <c:pt idx="280">
                  <c:v>1.249992E-4</c:v>
                </c:pt>
                <c:pt idx="281">
                  <c:v>2.0488080000000001E-4</c:v>
                </c:pt>
                <c:pt idx="282">
                  <c:v>1.7424779999999999E-4</c:v>
                </c:pt>
                <c:pt idx="283">
                  <c:v>1.1954248999999999E-3</c:v>
                </c:pt>
                <c:pt idx="284">
                  <c:v>4.4378305E-3</c:v>
                </c:pt>
                <c:pt idx="285">
                  <c:v>8.7258123E-3</c:v>
                </c:pt>
                <c:pt idx="286">
                  <c:v>0.81360955030000004</c:v>
                </c:pt>
                <c:pt idx="287">
                  <c:v>7.0176487999999999E-3</c:v>
                </c:pt>
                <c:pt idx="288">
                  <c:v>9.5136501999999994E-3</c:v>
                </c:pt>
                <c:pt idx="289">
                  <c:v>6.9407106999999999E-3</c:v>
                </c:pt>
                <c:pt idx="290">
                  <c:v>1.8688454E-3</c:v>
                </c:pt>
                <c:pt idx="291">
                  <c:v>9.7998170000000002E-4</c:v>
                </c:pt>
                <c:pt idx="292">
                  <c:v>1.4126936E-3</c:v>
                </c:pt>
                <c:pt idx="293">
                  <c:v>7.1408029999999996E-4</c:v>
                </c:pt>
                <c:pt idx="294">
                  <c:v>3.8147166999999999E-3</c:v>
                </c:pt>
                <c:pt idx="295">
                  <c:v>1.4245869999999999E-3</c:v>
                </c:pt>
                <c:pt idx="296">
                  <c:v>3.3442260000000001E-4</c:v>
                </c:pt>
                <c:pt idx="297">
                  <c:v>8.7137320000000001E-4</c:v>
                </c:pt>
                <c:pt idx="298">
                  <c:v>1.3334338E-3</c:v>
                </c:pt>
                <c:pt idx="299">
                  <c:v>1.2742845E-3</c:v>
                </c:pt>
                <c:pt idx="300">
                  <c:v>2.8666654000000001E-3</c:v>
                </c:pt>
                <c:pt idx="301">
                  <c:v>0.88850224960000002</c:v>
                </c:pt>
                <c:pt idx="302">
                  <c:v>5.0019145999999999E-3</c:v>
                </c:pt>
                <c:pt idx="303">
                  <c:v>0.89544960439999999</c:v>
                </c:pt>
                <c:pt idx="304">
                  <c:v>0.92945619069999996</c:v>
                </c:pt>
                <c:pt idx="305">
                  <c:v>0.92642668650000004</c:v>
                </c:pt>
                <c:pt idx="306">
                  <c:v>0.93299427479999997</c:v>
                </c:pt>
                <c:pt idx="307">
                  <c:v>0.93076775830000003</c:v>
                </c:pt>
                <c:pt idx="308">
                  <c:v>0.94703350890000004</c:v>
                </c:pt>
                <c:pt idx="309">
                  <c:v>0.95117179910000005</c:v>
                </c:pt>
                <c:pt idx="310">
                  <c:v>0.94764473760000001</c:v>
                </c:pt>
                <c:pt idx="311">
                  <c:v>0.93751383690000001</c:v>
                </c:pt>
                <c:pt idx="312">
                  <c:v>0.94063017010000005</c:v>
                </c:pt>
                <c:pt idx="313">
                  <c:v>0.95333243560000003</c:v>
                </c:pt>
                <c:pt idx="314">
                  <c:v>0.96111804349999996</c:v>
                </c:pt>
                <c:pt idx="315">
                  <c:v>0.95793030359999998</c:v>
                </c:pt>
                <c:pt idx="316">
                  <c:v>0.96391063649999997</c:v>
                </c:pt>
                <c:pt idx="317">
                  <c:v>0.97577079150000001</c:v>
                </c:pt>
                <c:pt idx="318">
                  <c:v>0.94388842360000003</c:v>
                </c:pt>
                <c:pt idx="319">
                  <c:v>0.89785737050000003</c:v>
                </c:pt>
                <c:pt idx="320">
                  <c:v>0.88724887119999996</c:v>
                </c:pt>
                <c:pt idx="321">
                  <c:v>0.89536140639999995</c:v>
                </c:pt>
                <c:pt idx="322">
                  <c:v>0.87256868290000011</c:v>
                </c:pt>
                <c:pt idx="323">
                  <c:v>0.88542201710000001</c:v>
                </c:pt>
                <c:pt idx="324">
                  <c:v>0.89536140639999995</c:v>
                </c:pt>
                <c:pt idx="325">
                  <c:v>0.90025451170000004</c:v>
                </c:pt>
                <c:pt idx="326">
                  <c:v>0.94697268489999997</c:v>
                </c:pt>
                <c:pt idx="327">
                  <c:v>0.91750686770000001</c:v>
                </c:pt>
                <c:pt idx="328">
                  <c:v>0.9082403416</c:v>
                </c:pt>
                <c:pt idx="329">
                  <c:v>0.88806616589999998</c:v>
                </c:pt>
                <c:pt idx="330">
                  <c:v>0.90056993169999999</c:v>
                </c:pt>
                <c:pt idx="331">
                  <c:v>0.90056993169999999</c:v>
                </c:pt>
                <c:pt idx="332">
                  <c:v>0.89438488940000005</c:v>
                </c:pt>
                <c:pt idx="333">
                  <c:v>0.89965355550000004</c:v>
                </c:pt>
                <c:pt idx="334">
                  <c:v>0.89147575489999997</c:v>
                </c:pt>
                <c:pt idx="335">
                  <c:v>0.88226737840000002</c:v>
                </c:pt>
                <c:pt idx="336">
                  <c:v>0.88764435050000001</c:v>
                </c:pt>
                <c:pt idx="337">
                  <c:v>0.87491870630000013</c:v>
                </c:pt>
                <c:pt idx="338">
                  <c:v>0.86072182939999997</c:v>
                </c:pt>
                <c:pt idx="339">
                  <c:v>0.86343855660000002</c:v>
                </c:pt>
                <c:pt idx="340">
                  <c:v>0.83823138939999997</c:v>
                </c:pt>
                <c:pt idx="341">
                  <c:v>0.86343855660000002</c:v>
                </c:pt>
                <c:pt idx="342">
                  <c:v>2.2369636E-3</c:v>
                </c:pt>
                <c:pt idx="343">
                  <c:v>8.9014110000000003E-4</c:v>
                </c:pt>
                <c:pt idx="344">
                  <c:v>4.8966139999999999E-4</c:v>
                </c:pt>
                <c:pt idx="345">
                  <c:v>0.84200202440000005</c:v>
                </c:pt>
                <c:pt idx="346">
                  <c:v>0.86329348699999997</c:v>
                </c:pt>
                <c:pt idx="347">
                  <c:v>0.85264363980000002</c:v>
                </c:pt>
                <c:pt idx="348">
                  <c:v>0.83966457679999995</c:v>
                </c:pt>
                <c:pt idx="349">
                  <c:v>0.88255785369999995</c:v>
                </c:pt>
                <c:pt idx="350">
                  <c:v>0.88255785369999995</c:v>
                </c:pt>
                <c:pt idx="351">
                  <c:v>0.88255785369999995</c:v>
                </c:pt>
                <c:pt idx="352">
                  <c:v>0.85669883179999995</c:v>
                </c:pt>
                <c:pt idx="353">
                  <c:v>0.89665887389999999</c:v>
                </c:pt>
                <c:pt idx="354">
                  <c:v>0.90340695429999995</c:v>
                </c:pt>
                <c:pt idx="355">
                  <c:v>0.87957384130000005</c:v>
                </c:pt>
                <c:pt idx="356">
                  <c:v>0.88875460100000003</c:v>
                </c:pt>
                <c:pt idx="357">
                  <c:v>0.90856036139999996</c:v>
                </c:pt>
                <c:pt idx="358">
                  <c:v>0.8790605144000001</c:v>
                </c:pt>
                <c:pt idx="359">
                  <c:v>0.86690141399999998</c:v>
                </c:pt>
                <c:pt idx="360">
                  <c:v>0.86220381319999995</c:v>
                </c:pt>
                <c:pt idx="361">
                  <c:v>0.88385887949999997</c:v>
                </c:pt>
                <c:pt idx="362">
                  <c:v>0.87513643740000013</c:v>
                </c:pt>
                <c:pt idx="363">
                  <c:v>0.87891463359999999</c:v>
                </c:pt>
                <c:pt idx="364">
                  <c:v>0.87513643740000013</c:v>
                </c:pt>
                <c:pt idx="365">
                  <c:v>0.81612702500000001</c:v>
                </c:pt>
                <c:pt idx="366">
                  <c:v>0.81272689200000003</c:v>
                </c:pt>
                <c:pt idx="367">
                  <c:v>0.80733350429999995</c:v>
                </c:pt>
                <c:pt idx="368">
                  <c:v>0.90100497800000001</c:v>
                </c:pt>
                <c:pt idx="369">
                  <c:v>0.88001209170000005</c:v>
                </c:pt>
                <c:pt idx="370">
                  <c:v>0.831236211</c:v>
                </c:pt>
                <c:pt idx="371">
                  <c:v>0.831236211</c:v>
                </c:pt>
                <c:pt idx="372">
                  <c:v>0.82037518990000002</c:v>
                </c:pt>
                <c:pt idx="373">
                  <c:v>0.77548742429999995</c:v>
                </c:pt>
                <c:pt idx="374">
                  <c:v>0.77244133800000003</c:v>
                </c:pt>
                <c:pt idx="375">
                  <c:v>0.80075088969999997</c:v>
                </c:pt>
                <c:pt idx="376">
                  <c:v>0.72841106899999997</c:v>
                </c:pt>
                <c:pt idx="377">
                  <c:v>2.5203096299999998E-2</c:v>
                </c:pt>
                <c:pt idx="378">
                  <c:v>6.1472135999999997E-3</c:v>
                </c:pt>
                <c:pt idx="379">
                  <c:v>8.0481497999999995E-3</c:v>
                </c:pt>
                <c:pt idx="380">
                  <c:v>8.3016954999999993E-3</c:v>
                </c:pt>
                <c:pt idx="381">
                  <c:v>5.7767790000000001E-3</c:v>
                </c:pt>
                <c:pt idx="382">
                  <c:v>6.1511036999999996E-3</c:v>
                </c:pt>
                <c:pt idx="383">
                  <c:v>5.8316946000000003E-3</c:v>
                </c:pt>
                <c:pt idx="384">
                  <c:v>6.5643847000000002E-3</c:v>
                </c:pt>
                <c:pt idx="385">
                  <c:v>6.9230252000000003E-3</c:v>
                </c:pt>
                <c:pt idx="386">
                  <c:v>6.2673104E-3</c:v>
                </c:pt>
                <c:pt idx="387">
                  <c:v>2.8843078999999999E-3</c:v>
                </c:pt>
                <c:pt idx="388">
                  <c:v>2.6665942000000001E-3</c:v>
                </c:pt>
                <c:pt idx="389">
                  <c:v>2.4742539999999999E-3</c:v>
                </c:pt>
                <c:pt idx="390">
                  <c:v>1.6943696E-3</c:v>
                </c:pt>
                <c:pt idx="391">
                  <c:v>2.8816740000000001E-4</c:v>
                </c:pt>
                <c:pt idx="392">
                  <c:v>2.3286269999999999E-4</c:v>
                </c:pt>
                <c:pt idx="393">
                  <c:v>1.5167900000000001E-5</c:v>
                </c:pt>
                <c:pt idx="394">
                  <c:v>2.5645300000000003E-5</c:v>
                </c:pt>
                <c:pt idx="395">
                  <c:v>2.5315599999999999E-5</c:v>
                </c:pt>
                <c:pt idx="396">
                  <c:v>7.5156700000000005E-5</c:v>
                </c:pt>
                <c:pt idx="397">
                  <c:v>2.2559910000000003E-4</c:v>
                </c:pt>
                <c:pt idx="398">
                  <c:v>2.9412900000000004E-5</c:v>
                </c:pt>
                <c:pt idx="399">
                  <c:v>3.6921900000000003E-5</c:v>
                </c:pt>
                <c:pt idx="400">
                  <c:v>2.1940100000000004E-5</c:v>
                </c:pt>
                <c:pt idx="401">
                  <c:v>1.7796E-5</c:v>
                </c:pt>
                <c:pt idx="402">
                  <c:v>1.6871399999999999E-5</c:v>
                </c:pt>
                <c:pt idx="403">
                  <c:v>6.2100799999999993E-5</c:v>
                </c:pt>
                <c:pt idx="404">
                  <c:v>9.6974700000000005E-5</c:v>
                </c:pt>
                <c:pt idx="405">
                  <c:v>1.593423E-4</c:v>
                </c:pt>
                <c:pt idx="406">
                  <c:v>2.4933440000000001E-4</c:v>
                </c:pt>
                <c:pt idx="407">
                  <c:v>1.7898729999999999E-4</c:v>
                </c:pt>
                <c:pt idx="408">
                  <c:v>3.6737799999999999E-5</c:v>
                </c:pt>
                <c:pt idx="409">
                  <c:v>1.213132E-4</c:v>
                </c:pt>
                <c:pt idx="410">
                  <c:v>1.112416E-4</c:v>
                </c:pt>
                <c:pt idx="411">
                  <c:v>6.3271439999999985E-4</c:v>
                </c:pt>
                <c:pt idx="412">
                  <c:v>1.4771345999999999E-3</c:v>
                </c:pt>
                <c:pt idx="413">
                  <c:v>3.1745479000000001E-3</c:v>
                </c:pt>
                <c:pt idx="414">
                  <c:v>2.0625931999999998E-3</c:v>
                </c:pt>
                <c:pt idx="415">
                  <c:v>0.90048259500000005</c:v>
                </c:pt>
                <c:pt idx="416">
                  <c:v>0.86893230779999997</c:v>
                </c:pt>
                <c:pt idx="417">
                  <c:v>0.90034081519999998</c:v>
                </c:pt>
                <c:pt idx="418">
                  <c:v>0.90597183219999999</c:v>
                </c:pt>
                <c:pt idx="419">
                  <c:v>0.91601505240000003</c:v>
                </c:pt>
                <c:pt idx="420">
                  <c:v>0.87946502350000011</c:v>
                </c:pt>
                <c:pt idx="421">
                  <c:v>0.87557742200000011</c:v>
                </c:pt>
                <c:pt idx="422">
                  <c:v>0.86331369599999996</c:v>
                </c:pt>
                <c:pt idx="423">
                  <c:v>0.86331369599999996</c:v>
                </c:pt>
                <c:pt idx="424">
                  <c:v>0.87380200559999999</c:v>
                </c:pt>
                <c:pt idx="425">
                  <c:v>0.88755630019999998</c:v>
                </c:pt>
                <c:pt idx="426">
                  <c:v>0.88325854640000001</c:v>
                </c:pt>
                <c:pt idx="427">
                  <c:v>0.8330450452</c:v>
                </c:pt>
                <c:pt idx="428">
                  <c:v>0.80647081030000001</c:v>
                </c:pt>
                <c:pt idx="429">
                  <c:v>0.75111371059999998</c:v>
                </c:pt>
                <c:pt idx="430">
                  <c:v>0.74030109779999997</c:v>
                </c:pt>
                <c:pt idx="431">
                  <c:v>0.73388789970000001</c:v>
                </c:pt>
                <c:pt idx="432">
                  <c:v>0.73176841469999998</c:v>
                </c:pt>
                <c:pt idx="433">
                  <c:v>0.73176841469999998</c:v>
                </c:pt>
                <c:pt idx="434">
                  <c:v>0.72765926940000003</c:v>
                </c:pt>
                <c:pt idx="435">
                  <c:v>0.70872060439999995</c:v>
                </c:pt>
                <c:pt idx="436">
                  <c:v>0.69895495169999999</c:v>
                </c:pt>
                <c:pt idx="437">
                  <c:v>0.70378359310000005</c:v>
                </c:pt>
                <c:pt idx="438">
                  <c:v>0.68326283840000002</c:v>
                </c:pt>
                <c:pt idx="439">
                  <c:v>0.70494764590000003</c:v>
                </c:pt>
                <c:pt idx="440">
                  <c:v>0.68891456210000002</c:v>
                </c:pt>
                <c:pt idx="441">
                  <c:v>2.1312832800000001E-2</c:v>
                </c:pt>
                <c:pt idx="442">
                  <c:v>8.1619750000000001E-4</c:v>
                </c:pt>
                <c:pt idx="443">
                  <c:v>1.799669E-4</c:v>
                </c:pt>
                <c:pt idx="444">
                  <c:v>1.794144E-4</c:v>
                </c:pt>
                <c:pt idx="445">
                  <c:v>5.2332259999999999E-4</c:v>
                </c:pt>
                <c:pt idx="446">
                  <c:v>1.3278009999999999E-4</c:v>
                </c:pt>
                <c:pt idx="447">
                  <c:v>3.2273609999999999E-4</c:v>
                </c:pt>
                <c:pt idx="448">
                  <c:v>1.47073E-3</c:v>
                </c:pt>
                <c:pt idx="449">
                  <c:v>1.654476E-3</c:v>
                </c:pt>
                <c:pt idx="450">
                  <c:v>1.35149255E-2</c:v>
                </c:pt>
                <c:pt idx="451">
                  <c:v>1.6151982E-3</c:v>
                </c:pt>
                <c:pt idx="452">
                  <c:v>4.467742E-4</c:v>
                </c:pt>
                <c:pt idx="453">
                  <c:v>2.47944202E-2</c:v>
                </c:pt>
                <c:pt idx="454">
                  <c:v>1.31800658E-2</c:v>
                </c:pt>
                <c:pt idx="455">
                  <c:v>1.1516606000000001E-3</c:v>
                </c:pt>
                <c:pt idx="456">
                  <c:v>1.7011112299999999E-2</c:v>
                </c:pt>
                <c:pt idx="457">
                  <c:v>1.2819516099999999E-2</c:v>
                </c:pt>
                <c:pt idx="458">
                  <c:v>6.0872379999999998E-4</c:v>
                </c:pt>
                <c:pt idx="459">
                  <c:v>5.7247799999999996E-4</c:v>
                </c:pt>
                <c:pt idx="460">
                  <c:v>2.2812280000000001E-4</c:v>
                </c:pt>
                <c:pt idx="461">
                  <c:v>4.4284819999999999E-4</c:v>
                </c:pt>
                <c:pt idx="462">
                  <c:v>2.09038348E-2</c:v>
                </c:pt>
                <c:pt idx="463">
                  <c:v>0.77311783690000002</c:v>
                </c:pt>
                <c:pt idx="464">
                  <c:v>0.78598206920000002</c:v>
                </c:pt>
                <c:pt idx="465">
                  <c:v>0.78751503860000005</c:v>
                </c:pt>
                <c:pt idx="466">
                  <c:v>0.77666407749999999</c:v>
                </c:pt>
                <c:pt idx="467">
                  <c:v>0.75449881259999996</c:v>
                </c:pt>
                <c:pt idx="468">
                  <c:v>2.3916227700000001E-2</c:v>
                </c:pt>
                <c:pt idx="469">
                  <c:v>1.9711743300000001E-2</c:v>
                </c:pt>
                <c:pt idx="470">
                  <c:v>2.1340739800000001E-2</c:v>
                </c:pt>
                <c:pt idx="471">
                  <c:v>0.76568934349999995</c:v>
                </c:pt>
                <c:pt idx="472">
                  <c:v>0.78237517369999998</c:v>
                </c:pt>
                <c:pt idx="473">
                  <c:v>0.75690898120000005</c:v>
                </c:pt>
                <c:pt idx="474">
                  <c:v>2.7087106400000002E-2</c:v>
                </c:pt>
                <c:pt idx="475">
                  <c:v>2.0708186600000001E-2</c:v>
                </c:pt>
                <c:pt idx="476">
                  <c:v>1.9824576300000001E-2</c:v>
                </c:pt>
                <c:pt idx="477">
                  <c:v>1.9639758100000002E-2</c:v>
                </c:pt>
                <c:pt idx="478">
                  <c:v>1.6696162699999999E-2</c:v>
                </c:pt>
                <c:pt idx="479">
                  <c:v>1.76281379E-2</c:v>
                </c:pt>
                <c:pt idx="480">
                  <c:v>1.3656680799999999E-2</c:v>
                </c:pt>
                <c:pt idx="481">
                  <c:v>1.49150958E-2</c:v>
                </c:pt>
                <c:pt idx="482">
                  <c:v>1.11021872E-2</c:v>
                </c:pt>
                <c:pt idx="483">
                  <c:v>1.1335169799999999E-2</c:v>
                </c:pt>
                <c:pt idx="484">
                  <c:v>1.50328931E-2</c:v>
                </c:pt>
                <c:pt idx="485">
                  <c:v>1.18982415E-2</c:v>
                </c:pt>
                <c:pt idx="486">
                  <c:v>1.1155979599999999E-2</c:v>
                </c:pt>
                <c:pt idx="487">
                  <c:v>3.544008E-4</c:v>
                </c:pt>
                <c:pt idx="488">
                  <c:v>5.0652529999999996E-4</c:v>
                </c:pt>
                <c:pt idx="489">
                  <c:v>2.2892569999999999E-4</c:v>
                </c:pt>
                <c:pt idx="490">
                  <c:v>8.2170629999999995E-4</c:v>
                </c:pt>
                <c:pt idx="491">
                  <c:v>0.70473024299999998</c:v>
                </c:pt>
                <c:pt idx="492">
                  <c:v>0.77935234330000003</c:v>
                </c:pt>
                <c:pt idx="493">
                  <c:v>0.76480644919999996</c:v>
                </c:pt>
                <c:pt idx="494">
                  <c:v>0.76076246589999996</c:v>
                </c:pt>
                <c:pt idx="495">
                  <c:v>0.83775849089999999</c:v>
                </c:pt>
                <c:pt idx="496">
                  <c:v>0.8258986626</c:v>
                </c:pt>
                <c:pt idx="497">
                  <c:v>0.8287808096</c:v>
                </c:pt>
                <c:pt idx="498">
                  <c:v>0.77255753680000006</c:v>
                </c:pt>
                <c:pt idx="499">
                  <c:v>0.83775849089999999</c:v>
                </c:pt>
                <c:pt idx="500">
                  <c:v>0.8543621911</c:v>
                </c:pt>
                <c:pt idx="501">
                  <c:v>0.73680964289999995</c:v>
                </c:pt>
                <c:pt idx="502">
                  <c:v>0.6788054349</c:v>
                </c:pt>
                <c:pt idx="503">
                  <c:v>0.54436837059999998</c:v>
                </c:pt>
                <c:pt idx="504">
                  <c:v>0.6537198045</c:v>
                </c:pt>
                <c:pt idx="505">
                  <c:v>0.68671656270000003</c:v>
                </c:pt>
                <c:pt idx="506">
                  <c:v>0.55065217109999998</c:v>
                </c:pt>
                <c:pt idx="507">
                  <c:v>0.4404151416</c:v>
                </c:pt>
                <c:pt idx="508">
                  <c:v>0.62636965899999997</c:v>
                </c:pt>
                <c:pt idx="509">
                  <c:v>0.60365680929999999</c:v>
                </c:pt>
                <c:pt idx="510">
                  <c:v>0.78571065689999997</c:v>
                </c:pt>
                <c:pt idx="511">
                  <c:v>0.75691413649999995</c:v>
                </c:pt>
                <c:pt idx="512">
                  <c:v>0.66704160810000002</c:v>
                </c:pt>
                <c:pt idx="513">
                  <c:v>0.59193800299999999</c:v>
                </c:pt>
                <c:pt idx="514">
                  <c:v>0.56807156729999997</c:v>
                </c:pt>
                <c:pt idx="515">
                  <c:v>0.20199171890000001</c:v>
                </c:pt>
                <c:pt idx="516">
                  <c:v>0.15968597579999999</c:v>
                </c:pt>
                <c:pt idx="517">
                  <c:v>6.0873977000000003E-3</c:v>
                </c:pt>
                <c:pt idx="518">
                  <c:v>3.2520636000000001E-3</c:v>
                </c:pt>
                <c:pt idx="519">
                  <c:v>1.7029307000000001E-3</c:v>
                </c:pt>
                <c:pt idx="520">
                  <c:v>1.3361821E-3</c:v>
                </c:pt>
                <c:pt idx="521">
                  <c:v>1.111391E-4</c:v>
                </c:pt>
                <c:pt idx="522">
                  <c:v>2.3994377000000002E-3</c:v>
                </c:pt>
                <c:pt idx="523">
                  <c:v>1.6806980000000002E-4</c:v>
                </c:pt>
                <c:pt idx="524">
                  <c:v>5.9527321000000001E-3</c:v>
                </c:pt>
                <c:pt idx="525">
                  <c:v>1.8615459999999999E-3</c:v>
                </c:pt>
                <c:pt idx="526">
                  <c:v>1.4572347E-3</c:v>
                </c:pt>
                <c:pt idx="527">
                  <c:v>7.3487690600000016E-2</c:v>
                </c:pt>
                <c:pt idx="528">
                  <c:v>6.4545161999999996E-3</c:v>
                </c:pt>
                <c:pt idx="529">
                  <c:v>6.4623770000000005E-4</c:v>
                </c:pt>
                <c:pt idx="530">
                  <c:v>5.9199399999999998E-4</c:v>
                </c:pt>
                <c:pt idx="531">
                  <c:v>3.215871E-4</c:v>
                </c:pt>
                <c:pt idx="532">
                  <c:v>1.602691E-4</c:v>
                </c:pt>
                <c:pt idx="533">
                  <c:v>1.8008930000000002E-4</c:v>
                </c:pt>
                <c:pt idx="534">
                  <c:v>8.0714899999999995E-5</c:v>
                </c:pt>
                <c:pt idx="535">
                  <c:v>6.0108200000000002E-5</c:v>
                </c:pt>
                <c:pt idx="536">
                  <c:v>7.3772349999999998E-4</c:v>
                </c:pt>
                <c:pt idx="537">
                  <c:v>4.7629619999999998E-4</c:v>
                </c:pt>
                <c:pt idx="538">
                  <c:v>5.2854110000000003E-4</c:v>
                </c:pt>
                <c:pt idx="539">
                  <c:v>9.5259600000000005E-5</c:v>
                </c:pt>
                <c:pt idx="540">
                  <c:v>1.270129E-4</c:v>
                </c:pt>
                <c:pt idx="541">
                  <c:v>2.5984819999999998E-4</c:v>
                </c:pt>
                <c:pt idx="542">
                  <c:v>8.8649300000000002E-4</c:v>
                </c:pt>
                <c:pt idx="543">
                  <c:v>9.1030539999999995E-4</c:v>
                </c:pt>
                <c:pt idx="544">
                  <c:v>3.2277302999999999E-3</c:v>
                </c:pt>
                <c:pt idx="545">
                  <c:v>2.1601873000000001E-3</c:v>
                </c:pt>
                <c:pt idx="546">
                  <c:v>3.1021744000000002E-3</c:v>
                </c:pt>
                <c:pt idx="547">
                  <c:v>2.2659869000000001E-3</c:v>
                </c:pt>
                <c:pt idx="548">
                  <c:v>5.4422016E-3</c:v>
                </c:pt>
                <c:pt idx="549">
                  <c:v>0.10389722949999999</c:v>
                </c:pt>
                <c:pt idx="550">
                  <c:v>0.10399127699999999</c:v>
                </c:pt>
                <c:pt idx="551">
                  <c:v>9.3635841900000003E-2</c:v>
                </c:pt>
                <c:pt idx="552">
                  <c:v>0.15843654560000001</c:v>
                </c:pt>
                <c:pt idx="553">
                  <c:v>0.1377145454</c:v>
                </c:pt>
                <c:pt idx="554">
                  <c:v>3.0424444000000002E-3</c:v>
                </c:pt>
                <c:pt idx="555">
                  <c:v>7.6628726300000005E-2</c:v>
                </c:pt>
                <c:pt idx="556">
                  <c:v>1.3651870999999999E-3</c:v>
                </c:pt>
                <c:pt idx="557">
                  <c:v>7.2861358600000009E-2</c:v>
                </c:pt>
                <c:pt idx="558">
                  <c:v>0.2574577435</c:v>
                </c:pt>
                <c:pt idx="559">
                  <c:v>0.31830290589999999</c:v>
                </c:pt>
                <c:pt idx="560">
                  <c:v>0.31679338880000002</c:v>
                </c:pt>
                <c:pt idx="561">
                  <c:v>0.65391784860000002</c:v>
                </c:pt>
                <c:pt idx="562">
                  <c:v>0.27125555950000002</c:v>
                </c:pt>
                <c:pt idx="563">
                  <c:v>0.174722249</c:v>
                </c:pt>
                <c:pt idx="564">
                  <c:v>7.7695956600000005E-2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22480"/>
        <c:axId val="850425424"/>
      </c:barChart>
      <c:lineChart>
        <c:grouping val="standard"/>
        <c:varyColors val="0"/>
        <c:ser>
          <c:idx val="0"/>
          <c:order val="0"/>
          <c:tx>
            <c:v>Refinanceable %</c:v>
          </c:tx>
          <c:spPr>
            <a:ln w="19050"/>
          </c:spPr>
          <c:marker>
            <c:symbol val="none"/>
          </c:marker>
          <c:cat>
            <c:numRef>
              <c:f>Query!$I$3:$I$567</c:f>
              <c:numCache>
                <c:formatCode>m/d/yyyy</c:formatCode>
                <c:ptCount val="565"/>
                <c:pt idx="0">
                  <c:v>43391</c:v>
                </c:pt>
                <c:pt idx="1">
                  <c:v>43384</c:v>
                </c:pt>
                <c:pt idx="2">
                  <c:v>43377</c:v>
                </c:pt>
                <c:pt idx="3">
                  <c:v>43370</c:v>
                </c:pt>
                <c:pt idx="4">
                  <c:v>43363</c:v>
                </c:pt>
                <c:pt idx="5">
                  <c:v>43356</c:v>
                </c:pt>
                <c:pt idx="6">
                  <c:v>43349</c:v>
                </c:pt>
                <c:pt idx="7">
                  <c:v>43342</c:v>
                </c:pt>
                <c:pt idx="8">
                  <c:v>43335</c:v>
                </c:pt>
                <c:pt idx="9">
                  <c:v>43328</c:v>
                </c:pt>
                <c:pt idx="10">
                  <c:v>43321</c:v>
                </c:pt>
                <c:pt idx="11">
                  <c:v>43314</c:v>
                </c:pt>
                <c:pt idx="12">
                  <c:v>43307</c:v>
                </c:pt>
                <c:pt idx="13">
                  <c:v>43300</c:v>
                </c:pt>
                <c:pt idx="14">
                  <c:v>43293</c:v>
                </c:pt>
                <c:pt idx="15">
                  <c:v>43286</c:v>
                </c:pt>
                <c:pt idx="16">
                  <c:v>43279</c:v>
                </c:pt>
                <c:pt idx="17">
                  <c:v>43272</c:v>
                </c:pt>
                <c:pt idx="18">
                  <c:v>43265</c:v>
                </c:pt>
                <c:pt idx="19">
                  <c:v>43258</c:v>
                </c:pt>
                <c:pt idx="20">
                  <c:v>43251</c:v>
                </c:pt>
                <c:pt idx="21">
                  <c:v>43244</c:v>
                </c:pt>
                <c:pt idx="22">
                  <c:v>43237</c:v>
                </c:pt>
                <c:pt idx="23">
                  <c:v>43230</c:v>
                </c:pt>
                <c:pt idx="24">
                  <c:v>43223</c:v>
                </c:pt>
                <c:pt idx="25">
                  <c:v>43216</c:v>
                </c:pt>
                <c:pt idx="26">
                  <c:v>43209</c:v>
                </c:pt>
                <c:pt idx="27">
                  <c:v>43202</c:v>
                </c:pt>
                <c:pt idx="28">
                  <c:v>43195</c:v>
                </c:pt>
                <c:pt idx="29">
                  <c:v>43188</c:v>
                </c:pt>
                <c:pt idx="30">
                  <c:v>43181</c:v>
                </c:pt>
                <c:pt idx="31">
                  <c:v>43174</c:v>
                </c:pt>
                <c:pt idx="32">
                  <c:v>43167</c:v>
                </c:pt>
                <c:pt idx="33">
                  <c:v>43160</c:v>
                </c:pt>
                <c:pt idx="34">
                  <c:v>43153</c:v>
                </c:pt>
                <c:pt idx="35">
                  <c:v>43146</c:v>
                </c:pt>
                <c:pt idx="36">
                  <c:v>43139</c:v>
                </c:pt>
                <c:pt idx="37">
                  <c:v>43132</c:v>
                </c:pt>
                <c:pt idx="38">
                  <c:v>43125</c:v>
                </c:pt>
                <c:pt idx="39">
                  <c:v>43118</c:v>
                </c:pt>
                <c:pt idx="40">
                  <c:v>43111</c:v>
                </c:pt>
                <c:pt idx="41">
                  <c:v>43104</c:v>
                </c:pt>
                <c:pt idx="42">
                  <c:v>43101</c:v>
                </c:pt>
                <c:pt idx="43">
                  <c:v>43097</c:v>
                </c:pt>
                <c:pt idx="44">
                  <c:v>43090</c:v>
                </c:pt>
                <c:pt idx="45">
                  <c:v>43083</c:v>
                </c:pt>
                <c:pt idx="46">
                  <c:v>43076</c:v>
                </c:pt>
                <c:pt idx="47">
                  <c:v>43069</c:v>
                </c:pt>
                <c:pt idx="48">
                  <c:v>43061</c:v>
                </c:pt>
                <c:pt idx="49">
                  <c:v>43055</c:v>
                </c:pt>
                <c:pt idx="50">
                  <c:v>43048</c:v>
                </c:pt>
                <c:pt idx="51">
                  <c:v>43041</c:v>
                </c:pt>
                <c:pt idx="52">
                  <c:v>43034</c:v>
                </c:pt>
                <c:pt idx="53">
                  <c:v>43027</c:v>
                </c:pt>
                <c:pt idx="54">
                  <c:v>43020</c:v>
                </c:pt>
                <c:pt idx="55">
                  <c:v>43013</c:v>
                </c:pt>
                <c:pt idx="56">
                  <c:v>43006</c:v>
                </c:pt>
                <c:pt idx="57">
                  <c:v>42999</c:v>
                </c:pt>
                <c:pt idx="58">
                  <c:v>42992</c:v>
                </c:pt>
                <c:pt idx="59">
                  <c:v>42985</c:v>
                </c:pt>
                <c:pt idx="60">
                  <c:v>42978</c:v>
                </c:pt>
                <c:pt idx="61">
                  <c:v>42971</c:v>
                </c:pt>
                <c:pt idx="62">
                  <c:v>42964</c:v>
                </c:pt>
                <c:pt idx="63">
                  <c:v>42957</c:v>
                </c:pt>
                <c:pt idx="64">
                  <c:v>42950</c:v>
                </c:pt>
                <c:pt idx="65">
                  <c:v>42943</c:v>
                </c:pt>
                <c:pt idx="66">
                  <c:v>42936</c:v>
                </c:pt>
                <c:pt idx="67">
                  <c:v>42929</c:v>
                </c:pt>
                <c:pt idx="68">
                  <c:v>42922</c:v>
                </c:pt>
                <c:pt idx="69">
                  <c:v>42915</c:v>
                </c:pt>
                <c:pt idx="70">
                  <c:v>42908</c:v>
                </c:pt>
                <c:pt idx="71">
                  <c:v>42901</c:v>
                </c:pt>
                <c:pt idx="72">
                  <c:v>42894</c:v>
                </c:pt>
                <c:pt idx="73">
                  <c:v>42887</c:v>
                </c:pt>
                <c:pt idx="74">
                  <c:v>42880</c:v>
                </c:pt>
                <c:pt idx="75">
                  <c:v>42873</c:v>
                </c:pt>
                <c:pt idx="76">
                  <c:v>42866</c:v>
                </c:pt>
                <c:pt idx="77">
                  <c:v>42859</c:v>
                </c:pt>
                <c:pt idx="78">
                  <c:v>42852</c:v>
                </c:pt>
                <c:pt idx="79">
                  <c:v>42845</c:v>
                </c:pt>
                <c:pt idx="80">
                  <c:v>42838</c:v>
                </c:pt>
                <c:pt idx="81">
                  <c:v>42831</c:v>
                </c:pt>
                <c:pt idx="82">
                  <c:v>42824</c:v>
                </c:pt>
                <c:pt idx="83">
                  <c:v>42817</c:v>
                </c:pt>
                <c:pt idx="84">
                  <c:v>42810</c:v>
                </c:pt>
                <c:pt idx="85">
                  <c:v>42803</c:v>
                </c:pt>
                <c:pt idx="86">
                  <c:v>42796</c:v>
                </c:pt>
                <c:pt idx="87">
                  <c:v>42789</c:v>
                </c:pt>
                <c:pt idx="88">
                  <c:v>42782</c:v>
                </c:pt>
                <c:pt idx="89">
                  <c:v>42775</c:v>
                </c:pt>
                <c:pt idx="90">
                  <c:v>42768</c:v>
                </c:pt>
                <c:pt idx="91">
                  <c:v>42761</c:v>
                </c:pt>
                <c:pt idx="92">
                  <c:v>42754</c:v>
                </c:pt>
                <c:pt idx="93">
                  <c:v>42747</c:v>
                </c:pt>
                <c:pt idx="94">
                  <c:v>42740</c:v>
                </c:pt>
                <c:pt idx="95">
                  <c:v>42733</c:v>
                </c:pt>
                <c:pt idx="96">
                  <c:v>42726</c:v>
                </c:pt>
                <c:pt idx="97">
                  <c:v>42719</c:v>
                </c:pt>
                <c:pt idx="98">
                  <c:v>42712</c:v>
                </c:pt>
                <c:pt idx="99">
                  <c:v>42705</c:v>
                </c:pt>
                <c:pt idx="100">
                  <c:v>42697</c:v>
                </c:pt>
                <c:pt idx="101">
                  <c:v>42691</c:v>
                </c:pt>
                <c:pt idx="102">
                  <c:v>42684</c:v>
                </c:pt>
                <c:pt idx="103">
                  <c:v>42677</c:v>
                </c:pt>
                <c:pt idx="104">
                  <c:v>42670</c:v>
                </c:pt>
                <c:pt idx="105">
                  <c:v>42663</c:v>
                </c:pt>
                <c:pt idx="106">
                  <c:v>42656</c:v>
                </c:pt>
                <c:pt idx="107">
                  <c:v>42649</c:v>
                </c:pt>
                <c:pt idx="108">
                  <c:v>42642</c:v>
                </c:pt>
                <c:pt idx="109">
                  <c:v>42635</c:v>
                </c:pt>
                <c:pt idx="110">
                  <c:v>42628</c:v>
                </c:pt>
                <c:pt idx="111">
                  <c:v>42621</c:v>
                </c:pt>
                <c:pt idx="112">
                  <c:v>42614</c:v>
                </c:pt>
                <c:pt idx="113">
                  <c:v>42606</c:v>
                </c:pt>
                <c:pt idx="114">
                  <c:v>42600</c:v>
                </c:pt>
                <c:pt idx="115">
                  <c:v>42593</c:v>
                </c:pt>
                <c:pt idx="116">
                  <c:v>42586</c:v>
                </c:pt>
                <c:pt idx="117">
                  <c:v>42579</c:v>
                </c:pt>
                <c:pt idx="118">
                  <c:v>42572</c:v>
                </c:pt>
                <c:pt idx="119">
                  <c:v>42565</c:v>
                </c:pt>
                <c:pt idx="120">
                  <c:v>42558</c:v>
                </c:pt>
                <c:pt idx="121">
                  <c:v>42551</c:v>
                </c:pt>
                <c:pt idx="122">
                  <c:v>42544</c:v>
                </c:pt>
                <c:pt idx="123">
                  <c:v>42537</c:v>
                </c:pt>
                <c:pt idx="124">
                  <c:v>42530</c:v>
                </c:pt>
                <c:pt idx="125">
                  <c:v>42523</c:v>
                </c:pt>
                <c:pt idx="126">
                  <c:v>42516</c:v>
                </c:pt>
                <c:pt idx="127">
                  <c:v>42509</c:v>
                </c:pt>
                <c:pt idx="128">
                  <c:v>42502</c:v>
                </c:pt>
                <c:pt idx="129">
                  <c:v>42495</c:v>
                </c:pt>
                <c:pt idx="130">
                  <c:v>42488</c:v>
                </c:pt>
                <c:pt idx="131">
                  <c:v>42481</c:v>
                </c:pt>
                <c:pt idx="132">
                  <c:v>42474</c:v>
                </c:pt>
                <c:pt idx="133">
                  <c:v>42467</c:v>
                </c:pt>
                <c:pt idx="134">
                  <c:v>42460</c:v>
                </c:pt>
                <c:pt idx="135">
                  <c:v>42453</c:v>
                </c:pt>
                <c:pt idx="136">
                  <c:v>42446</c:v>
                </c:pt>
                <c:pt idx="137">
                  <c:v>42439</c:v>
                </c:pt>
                <c:pt idx="138">
                  <c:v>42432</c:v>
                </c:pt>
                <c:pt idx="139">
                  <c:v>42425</c:v>
                </c:pt>
                <c:pt idx="140">
                  <c:v>42418</c:v>
                </c:pt>
                <c:pt idx="141">
                  <c:v>42411</c:v>
                </c:pt>
                <c:pt idx="142">
                  <c:v>42404</c:v>
                </c:pt>
                <c:pt idx="143">
                  <c:v>42397</c:v>
                </c:pt>
                <c:pt idx="144">
                  <c:v>42390</c:v>
                </c:pt>
                <c:pt idx="145">
                  <c:v>42383</c:v>
                </c:pt>
                <c:pt idx="146">
                  <c:v>42376</c:v>
                </c:pt>
                <c:pt idx="147">
                  <c:v>42369</c:v>
                </c:pt>
                <c:pt idx="148">
                  <c:v>42362</c:v>
                </c:pt>
                <c:pt idx="149">
                  <c:v>42355</c:v>
                </c:pt>
                <c:pt idx="150">
                  <c:v>42348</c:v>
                </c:pt>
                <c:pt idx="151">
                  <c:v>42341</c:v>
                </c:pt>
                <c:pt idx="152">
                  <c:v>42333</c:v>
                </c:pt>
                <c:pt idx="153">
                  <c:v>42327</c:v>
                </c:pt>
                <c:pt idx="154">
                  <c:v>42320</c:v>
                </c:pt>
                <c:pt idx="155">
                  <c:v>42313</c:v>
                </c:pt>
                <c:pt idx="156">
                  <c:v>42306</c:v>
                </c:pt>
                <c:pt idx="157">
                  <c:v>42299</c:v>
                </c:pt>
                <c:pt idx="158">
                  <c:v>42292</c:v>
                </c:pt>
                <c:pt idx="159">
                  <c:v>42285</c:v>
                </c:pt>
                <c:pt idx="160">
                  <c:v>42278</c:v>
                </c:pt>
                <c:pt idx="161">
                  <c:v>42271</c:v>
                </c:pt>
                <c:pt idx="162">
                  <c:v>42264</c:v>
                </c:pt>
                <c:pt idx="163">
                  <c:v>42257</c:v>
                </c:pt>
                <c:pt idx="164">
                  <c:v>42250</c:v>
                </c:pt>
                <c:pt idx="165">
                  <c:v>42243</c:v>
                </c:pt>
                <c:pt idx="166">
                  <c:v>42236</c:v>
                </c:pt>
                <c:pt idx="167">
                  <c:v>42229</c:v>
                </c:pt>
                <c:pt idx="168">
                  <c:v>42222</c:v>
                </c:pt>
                <c:pt idx="169">
                  <c:v>42215</c:v>
                </c:pt>
                <c:pt idx="170">
                  <c:v>42208</c:v>
                </c:pt>
                <c:pt idx="171">
                  <c:v>42201</c:v>
                </c:pt>
                <c:pt idx="172">
                  <c:v>42194</c:v>
                </c:pt>
                <c:pt idx="173">
                  <c:v>42187</c:v>
                </c:pt>
                <c:pt idx="174">
                  <c:v>42180</c:v>
                </c:pt>
                <c:pt idx="175">
                  <c:v>42173</c:v>
                </c:pt>
                <c:pt idx="176">
                  <c:v>42166</c:v>
                </c:pt>
                <c:pt idx="177">
                  <c:v>42159</c:v>
                </c:pt>
                <c:pt idx="178">
                  <c:v>42152</c:v>
                </c:pt>
                <c:pt idx="179">
                  <c:v>42145</c:v>
                </c:pt>
                <c:pt idx="180">
                  <c:v>42138</c:v>
                </c:pt>
                <c:pt idx="181">
                  <c:v>42131</c:v>
                </c:pt>
                <c:pt idx="182">
                  <c:v>42124</c:v>
                </c:pt>
                <c:pt idx="183">
                  <c:v>42117</c:v>
                </c:pt>
                <c:pt idx="184">
                  <c:v>42110</c:v>
                </c:pt>
                <c:pt idx="185">
                  <c:v>42103</c:v>
                </c:pt>
                <c:pt idx="186">
                  <c:v>42096</c:v>
                </c:pt>
                <c:pt idx="187">
                  <c:v>42089</c:v>
                </c:pt>
                <c:pt idx="188">
                  <c:v>42082</c:v>
                </c:pt>
                <c:pt idx="189">
                  <c:v>42075</c:v>
                </c:pt>
                <c:pt idx="190">
                  <c:v>42068</c:v>
                </c:pt>
                <c:pt idx="191">
                  <c:v>42061</c:v>
                </c:pt>
                <c:pt idx="192">
                  <c:v>42054</c:v>
                </c:pt>
                <c:pt idx="193">
                  <c:v>42047</c:v>
                </c:pt>
                <c:pt idx="194">
                  <c:v>42040</c:v>
                </c:pt>
                <c:pt idx="195">
                  <c:v>42033</c:v>
                </c:pt>
                <c:pt idx="196">
                  <c:v>42026</c:v>
                </c:pt>
                <c:pt idx="197">
                  <c:v>42019</c:v>
                </c:pt>
                <c:pt idx="198">
                  <c:v>42012</c:v>
                </c:pt>
                <c:pt idx="199">
                  <c:v>42004</c:v>
                </c:pt>
                <c:pt idx="200">
                  <c:v>41997</c:v>
                </c:pt>
                <c:pt idx="201">
                  <c:v>41991</c:v>
                </c:pt>
                <c:pt idx="202">
                  <c:v>41984</c:v>
                </c:pt>
                <c:pt idx="203">
                  <c:v>41977</c:v>
                </c:pt>
                <c:pt idx="204">
                  <c:v>41969</c:v>
                </c:pt>
                <c:pt idx="205">
                  <c:v>41963</c:v>
                </c:pt>
                <c:pt idx="206">
                  <c:v>41956</c:v>
                </c:pt>
                <c:pt idx="207">
                  <c:v>41949</c:v>
                </c:pt>
                <c:pt idx="208">
                  <c:v>41942</c:v>
                </c:pt>
                <c:pt idx="209">
                  <c:v>41935</c:v>
                </c:pt>
                <c:pt idx="210">
                  <c:v>41928</c:v>
                </c:pt>
                <c:pt idx="211">
                  <c:v>41921</c:v>
                </c:pt>
                <c:pt idx="212">
                  <c:v>41914</c:v>
                </c:pt>
                <c:pt idx="213">
                  <c:v>41907</c:v>
                </c:pt>
                <c:pt idx="214">
                  <c:v>41900</c:v>
                </c:pt>
                <c:pt idx="215">
                  <c:v>41893</c:v>
                </c:pt>
                <c:pt idx="216">
                  <c:v>41886</c:v>
                </c:pt>
                <c:pt idx="217">
                  <c:v>41879</c:v>
                </c:pt>
                <c:pt idx="218">
                  <c:v>41872</c:v>
                </c:pt>
                <c:pt idx="219">
                  <c:v>41865</c:v>
                </c:pt>
                <c:pt idx="220">
                  <c:v>41858</c:v>
                </c:pt>
                <c:pt idx="221">
                  <c:v>41851</c:v>
                </c:pt>
                <c:pt idx="222">
                  <c:v>41844</c:v>
                </c:pt>
                <c:pt idx="223">
                  <c:v>41837</c:v>
                </c:pt>
                <c:pt idx="224">
                  <c:v>41830</c:v>
                </c:pt>
                <c:pt idx="225">
                  <c:v>41823</c:v>
                </c:pt>
                <c:pt idx="226">
                  <c:v>41816</c:v>
                </c:pt>
                <c:pt idx="227">
                  <c:v>41809</c:v>
                </c:pt>
                <c:pt idx="228">
                  <c:v>41802</c:v>
                </c:pt>
                <c:pt idx="229">
                  <c:v>41795</c:v>
                </c:pt>
                <c:pt idx="230">
                  <c:v>41788</c:v>
                </c:pt>
                <c:pt idx="231">
                  <c:v>41781</c:v>
                </c:pt>
                <c:pt idx="232">
                  <c:v>41774</c:v>
                </c:pt>
                <c:pt idx="233">
                  <c:v>41767</c:v>
                </c:pt>
                <c:pt idx="234">
                  <c:v>41760</c:v>
                </c:pt>
                <c:pt idx="235">
                  <c:v>41753</c:v>
                </c:pt>
                <c:pt idx="236">
                  <c:v>41746</c:v>
                </c:pt>
                <c:pt idx="237">
                  <c:v>41739</c:v>
                </c:pt>
                <c:pt idx="238">
                  <c:v>41732</c:v>
                </c:pt>
                <c:pt idx="239">
                  <c:v>41725</c:v>
                </c:pt>
                <c:pt idx="240">
                  <c:v>41718</c:v>
                </c:pt>
                <c:pt idx="241">
                  <c:v>41711</c:v>
                </c:pt>
                <c:pt idx="242">
                  <c:v>41704</c:v>
                </c:pt>
                <c:pt idx="243">
                  <c:v>41697</c:v>
                </c:pt>
                <c:pt idx="244">
                  <c:v>41690</c:v>
                </c:pt>
                <c:pt idx="245">
                  <c:v>41683</c:v>
                </c:pt>
                <c:pt idx="246">
                  <c:v>41676</c:v>
                </c:pt>
                <c:pt idx="247">
                  <c:v>41669</c:v>
                </c:pt>
                <c:pt idx="248">
                  <c:v>41662</c:v>
                </c:pt>
                <c:pt idx="249">
                  <c:v>41655</c:v>
                </c:pt>
                <c:pt idx="250">
                  <c:v>41648</c:v>
                </c:pt>
                <c:pt idx="251">
                  <c:v>41641</c:v>
                </c:pt>
                <c:pt idx="252">
                  <c:v>41634</c:v>
                </c:pt>
                <c:pt idx="253">
                  <c:v>41627</c:v>
                </c:pt>
                <c:pt idx="254">
                  <c:v>41620</c:v>
                </c:pt>
                <c:pt idx="255">
                  <c:v>41613</c:v>
                </c:pt>
                <c:pt idx="256">
                  <c:v>41605</c:v>
                </c:pt>
                <c:pt idx="257">
                  <c:v>41599</c:v>
                </c:pt>
                <c:pt idx="258">
                  <c:v>41592</c:v>
                </c:pt>
                <c:pt idx="259">
                  <c:v>41585</c:v>
                </c:pt>
                <c:pt idx="260">
                  <c:v>41578</c:v>
                </c:pt>
                <c:pt idx="261">
                  <c:v>41571</c:v>
                </c:pt>
                <c:pt idx="262">
                  <c:v>41564</c:v>
                </c:pt>
                <c:pt idx="263">
                  <c:v>41557</c:v>
                </c:pt>
                <c:pt idx="264">
                  <c:v>41550</c:v>
                </c:pt>
                <c:pt idx="265">
                  <c:v>41543</c:v>
                </c:pt>
                <c:pt idx="266">
                  <c:v>41536</c:v>
                </c:pt>
                <c:pt idx="267">
                  <c:v>41529</c:v>
                </c:pt>
                <c:pt idx="268">
                  <c:v>41522</c:v>
                </c:pt>
                <c:pt idx="269">
                  <c:v>41515</c:v>
                </c:pt>
                <c:pt idx="270">
                  <c:v>41508</c:v>
                </c:pt>
                <c:pt idx="271">
                  <c:v>41501</c:v>
                </c:pt>
                <c:pt idx="272">
                  <c:v>41494</c:v>
                </c:pt>
                <c:pt idx="273">
                  <c:v>41487</c:v>
                </c:pt>
                <c:pt idx="274">
                  <c:v>41480</c:v>
                </c:pt>
                <c:pt idx="275">
                  <c:v>41473</c:v>
                </c:pt>
                <c:pt idx="276">
                  <c:v>41466</c:v>
                </c:pt>
                <c:pt idx="277">
                  <c:v>41458</c:v>
                </c:pt>
                <c:pt idx="278">
                  <c:v>41452</c:v>
                </c:pt>
                <c:pt idx="279">
                  <c:v>41445</c:v>
                </c:pt>
                <c:pt idx="280">
                  <c:v>41438</c:v>
                </c:pt>
                <c:pt idx="281">
                  <c:v>41431</c:v>
                </c:pt>
                <c:pt idx="282">
                  <c:v>41424</c:v>
                </c:pt>
                <c:pt idx="283">
                  <c:v>41417</c:v>
                </c:pt>
                <c:pt idx="284">
                  <c:v>41410</c:v>
                </c:pt>
                <c:pt idx="285">
                  <c:v>41403</c:v>
                </c:pt>
                <c:pt idx="286">
                  <c:v>41396</c:v>
                </c:pt>
                <c:pt idx="287">
                  <c:v>41389</c:v>
                </c:pt>
                <c:pt idx="288">
                  <c:v>41382</c:v>
                </c:pt>
                <c:pt idx="289">
                  <c:v>41375</c:v>
                </c:pt>
                <c:pt idx="290">
                  <c:v>41368</c:v>
                </c:pt>
                <c:pt idx="291">
                  <c:v>41361</c:v>
                </c:pt>
                <c:pt idx="292">
                  <c:v>41354</c:v>
                </c:pt>
                <c:pt idx="293">
                  <c:v>41347</c:v>
                </c:pt>
                <c:pt idx="294">
                  <c:v>41340</c:v>
                </c:pt>
                <c:pt idx="295">
                  <c:v>41333</c:v>
                </c:pt>
                <c:pt idx="296">
                  <c:v>41326</c:v>
                </c:pt>
                <c:pt idx="297">
                  <c:v>41319</c:v>
                </c:pt>
                <c:pt idx="298">
                  <c:v>41312</c:v>
                </c:pt>
                <c:pt idx="299">
                  <c:v>41305</c:v>
                </c:pt>
                <c:pt idx="300">
                  <c:v>41298</c:v>
                </c:pt>
                <c:pt idx="301">
                  <c:v>41291</c:v>
                </c:pt>
                <c:pt idx="302">
                  <c:v>41284</c:v>
                </c:pt>
                <c:pt idx="303">
                  <c:v>41277</c:v>
                </c:pt>
                <c:pt idx="304">
                  <c:v>41270</c:v>
                </c:pt>
                <c:pt idx="305">
                  <c:v>41263</c:v>
                </c:pt>
                <c:pt idx="306">
                  <c:v>41256</c:v>
                </c:pt>
                <c:pt idx="307">
                  <c:v>41249</c:v>
                </c:pt>
                <c:pt idx="308">
                  <c:v>41242</c:v>
                </c:pt>
                <c:pt idx="309">
                  <c:v>41234</c:v>
                </c:pt>
                <c:pt idx="310">
                  <c:v>41228</c:v>
                </c:pt>
                <c:pt idx="311">
                  <c:v>41221</c:v>
                </c:pt>
                <c:pt idx="312">
                  <c:v>41214</c:v>
                </c:pt>
                <c:pt idx="313">
                  <c:v>41207</c:v>
                </c:pt>
                <c:pt idx="314">
                  <c:v>41200</c:v>
                </c:pt>
                <c:pt idx="315">
                  <c:v>41193</c:v>
                </c:pt>
                <c:pt idx="316">
                  <c:v>41186</c:v>
                </c:pt>
                <c:pt idx="317">
                  <c:v>41179</c:v>
                </c:pt>
                <c:pt idx="318">
                  <c:v>41172</c:v>
                </c:pt>
                <c:pt idx="319">
                  <c:v>41165</c:v>
                </c:pt>
                <c:pt idx="320">
                  <c:v>41158</c:v>
                </c:pt>
                <c:pt idx="321">
                  <c:v>41151</c:v>
                </c:pt>
                <c:pt idx="322">
                  <c:v>41144</c:v>
                </c:pt>
                <c:pt idx="323">
                  <c:v>41137</c:v>
                </c:pt>
                <c:pt idx="324">
                  <c:v>41130</c:v>
                </c:pt>
                <c:pt idx="325">
                  <c:v>41123</c:v>
                </c:pt>
                <c:pt idx="326">
                  <c:v>41116</c:v>
                </c:pt>
                <c:pt idx="327">
                  <c:v>41109</c:v>
                </c:pt>
                <c:pt idx="328">
                  <c:v>41102</c:v>
                </c:pt>
                <c:pt idx="329">
                  <c:v>41095</c:v>
                </c:pt>
                <c:pt idx="330">
                  <c:v>41088</c:v>
                </c:pt>
                <c:pt idx="331">
                  <c:v>41081</c:v>
                </c:pt>
                <c:pt idx="332">
                  <c:v>41074</c:v>
                </c:pt>
                <c:pt idx="333">
                  <c:v>41067</c:v>
                </c:pt>
                <c:pt idx="334">
                  <c:v>41060</c:v>
                </c:pt>
                <c:pt idx="335">
                  <c:v>41053</c:v>
                </c:pt>
                <c:pt idx="336">
                  <c:v>41046</c:v>
                </c:pt>
                <c:pt idx="337">
                  <c:v>41039</c:v>
                </c:pt>
                <c:pt idx="338">
                  <c:v>41032</c:v>
                </c:pt>
                <c:pt idx="339">
                  <c:v>41025</c:v>
                </c:pt>
                <c:pt idx="340">
                  <c:v>41018</c:v>
                </c:pt>
                <c:pt idx="341">
                  <c:v>41011</c:v>
                </c:pt>
                <c:pt idx="342">
                  <c:v>41004</c:v>
                </c:pt>
                <c:pt idx="343">
                  <c:v>40997</c:v>
                </c:pt>
                <c:pt idx="344">
                  <c:v>40990</c:v>
                </c:pt>
                <c:pt idx="345">
                  <c:v>40983</c:v>
                </c:pt>
                <c:pt idx="346">
                  <c:v>40976</c:v>
                </c:pt>
                <c:pt idx="347">
                  <c:v>40969</c:v>
                </c:pt>
                <c:pt idx="348">
                  <c:v>40962</c:v>
                </c:pt>
                <c:pt idx="349">
                  <c:v>40955</c:v>
                </c:pt>
                <c:pt idx="350">
                  <c:v>40948</c:v>
                </c:pt>
                <c:pt idx="351">
                  <c:v>40941</c:v>
                </c:pt>
                <c:pt idx="352">
                  <c:v>40934</c:v>
                </c:pt>
                <c:pt idx="353">
                  <c:v>40927</c:v>
                </c:pt>
                <c:pt idx="354">
                  <c:v>40920</c:v>
                </c:pt>
                <c:pt idx="355">
                  <c:v>40913</c:v>
                </c:pt>
                <c:pt idx="356">
                  <c:v>40906</c:v>
                </c:pt>
                <c:pt idx="357">
                  <c:v>40899</c:v>
                </c:pt>
                <c:pt idx="358">
                  <c:v>40892</c:v>
                </c:pt>
                <c:pt idx="359">
                  <c:v>40885</c:v>
                </c:pt>
                <c:pt idx="360">
                  <c:v>40878</c:v>
                </c:pt>
                <c:pt idx="361">
                  <c:v>40870</c:v>
                </c:pt>
                <c:pt idx="362">
                  <c:v>40864</c:v>
                </c:pt>
                <c:pt idx="363">
                  <c:v>40857</c:v>
                </c:pt>
                <c:pt idx="364">
                  <c:v>40850</c:v>
                </c:pt>
                <c:pt idx="365">
                  <c:v>40843</c:v>
                </c:pt>
                <c:pt idx="366">
                  <c:v>40836</c:v>
                </c:pt>
                <c:pt idx="367">
                  <c:v>40829</c:v>
                </c:pt>
                <c:pt idx="368">
                  <c:v>40822</c:v>
                </c:pt>
                <c:pt idx="369">
                  <c:v>40815</c:v>
                </c:pt>
                <c:pt idx="370">
                  <c:v>40808</c:v>
                </c:pt>
                <c:pt idx="371">
                  <c:v>40801</c:v>
                </c:pt>
                <c:pt idx="372">
                  <c:v>40794</c:v>
                </c:pt>
                <c:pt idx="373">
                  <c:v>40787</c:v>
                </c:pt>
                <c:pt idx="374">
                  <c:v>40780</c:v>
                </c:pt>
                <c:pt idx="375">
                  <c:v>40773</c:v>
                </c:pt>
                <c:pt idx="376">
                  <c:v>40766</c:v>
                </c:pt>
                <c:pt idx="377">
                  <c:v>40759</c:v>
                </c:pt>
                <c:pt idx="378">
                  <c:v>40752</c:v>
                </c:pt>
                <c:pt idx="379">
                  <c:v>40745</c:v>
                </c:pt>
                <c:pt idx="380">
                  <c:v>40738</c:v>
                </c:pt>
                <c:pt idx="381">
                  <c:v>40731</c:v>
                </c:pt>
                <c:pt idx="382">
                  <c:v>40724</c:v>
                </c:pt>
                <c:pt idx="383">
                  <c:v>40717</c:v>
                </c:pt>
                <c:pt idx="384">
                  <c:v>40710</c:v>
                </c:pt>
                <c:pt idx="385">
                  <c:v>40703</c:v>
                </c:pt>
                <c:pt idx="386">
                  <c:v>40696</c:v>
                </c:pt>
                <c:pt idx="387">
                  <c:v>40689</c:v>
                </c:pt>
                <c:pt idx="388">
                  <c:v>40682</c:v>
                </c:pt>
                <c:pt idx="389">
                  <c:v>40675</c:v>
                </c:pt>
                <c:pt idx="390">
                  <c:v>40668</c:v>
                </c:pt>
                <c:pt idx="391">
                  <c:v>40661</c:v>
                </c:pt>
                <c:pt idx="392">
                  <c:v>40654</c:v>
                </c:pt>
                <c:pt idx="393">
                  <c:v>40647</c:v>
                </c:pt>
                <c:pt idx="394">
                  <c:v>40640</c:v>
                </c:pt>
                <c:pt idx="395">
                  <c:v>40633</c:v>
                </c:pt>
                <c:pt idx="396">
                  <c:v>40626</c:v>
                </c:pt>
                <c:pt idx="397">
                  <c:v>40619</c:v>
                </c:pt>
                <c:pt idx="398">
                  <c:v>40612</c:v>
                </c:pt>
                <c:pt idx="399">
                  <c:v>40605</c:v>
                </c:pt>
                <c:pt idx="400">
                  <c:v>40598</c:v>
                </c:pt>
                <c:pt idx="401">
                  <c:v>40591</c:v>
                </c:pt>
                <c:pt idx="402">
                  <c:v>40584</c:v>
                </c:pt>
                <c:pt idx="403">
                  <c:v>40577</c:v>
                </c:pt>
                <c:pt idx="404">
                  <c:v>40570</c:v>
                </c:pt>
                <c:pt idx="405">
                  <c:v>40563</c:v>
                </c:pt>
                <c:pt idx="406">
                  <c:v>40556</c:v>
                </c:pt>
                <c:pt idx="407">
                  <c:v>40549</c:v>
                </c:pt>
                <c:pt idx="408">
                  <c:v>40542</c:v>
                </c:pt>
                <c:pt idx="409">
                  <c:v>40535</c:v>
                </c:pt>
                <c:pt idx="410">
                  <c:v>40528</c:v>
                </c:pt>
                <c:pt idx="411">
                  <c:v>40521</c:v>
                </c:pt>
                <c:pt idx="412">
                  <c:v>40514</c:v>
                </c:pt>
                <c:pt idx="413">
                  <c:v>40506</c:v>
                </c:pt>
                <c:pt idx="414">
                  <c:v>40500</c:v>
                </c:pt>
                <c:pt idx="415">
                  <c:v>40493</c:v>
                </c:pt>
                <c:pt idx="416">
                  <c:v>40486</c:v>
                </c:pt>
                <c:pt idx="417">
                  <c:v>40479</c:v>
                </c:pt>
                <c:pt idx="418">
                  <c:v>40472</c:v>
                </c:pt>
                <c:pt idx="419">
                  <c:v>40465</c:v>
                </c:pt>
                <c:pt idx="420">
                  <c:v>40458</c:v>
                </c:pt>
                <c:pt idx="421">
                  <c:v>40451</c:v>
                </c:pt>
                <c:pt idx="422">
                  <c:v>40444</c:v>
                </c:pt>
                <c:pt idx="423">
                  <c:v>40437</c:v>
                </c:pt>
                <c:pt idx="424">
                  <c:v>40430</c:v>
                </c:pt>
                <c:pt idx="425">
                  <c:v>40423</c:v>
                </c:pt>
                <c:pt idx="426">
                  <c:v>40416</c:v>
                </c:pt>
                <c:pt idx="427">
                  <c:v>40409</c:v>
                </c:pt>
                <c:pt idx="428">
                  <c:v>40402</c:v>
                </c:pt>
                <c:pt idx="429">
                  <c:v>40395</c:v>
                </c:pt>
                <c:pt idx="430">
                  <c:v>40388</c:v>
                </c:pt>
                <c:pt idx="431">
                  <c:v>40381</c:v>
                </c:pt>
                <c:pt idx="432">
                  <c:v>40374</c:v>
                </c:pt>
                <c:pt idx="433">
                  <c:v>40367</c:v>
                </c:pt>
                <c:pt idx="434">
                  <c:v>40360</c:v>
                </c:pt>
                <c:pt idx="435">
                  <c:v>40353</c:v>
                </c:pt>
                <c:pt idx="436">
                  <c:v>40346</c:v>
                </c:pt>
                <c:pt idx="437">
                  <c:v>40339</c:v>
                </c:pt>
                <c:pt idx="438">
                  <c:v>40332</c:v>
                </c:pt>
                <c:pt idx="439">
                  <c:v>40325</c:v>
                </c:pt>
                <c:pt idx="440">
                  <c:v>40318</c:v>
                </c:pt>
                <c:pt idx="441">
                  <c:v>40311</c:v>
                </c:pt>
                <c:pt idx="442">
                  <c:v>40304</c:v>
                </c:pt>
                <c:pt idx="443">
                  <c:v>40297</c:v>
                </c:pt>
                <c:pt idx="444">
                  <c:v>40290</c:v>
                </c:pt>
                <c:pt idx="445">
                  <c:v>40283</c:v>
                </c:pt>
                <c:pt idx="446">
                  <c:v>40276</c:v>
                </c:pt>
                <c:pt idx="447">
                  <c:v>40269</c:v>
                </c:pt>
                <c:pt idx="448">
                  <c:v>40262</c:v>
                </c:pt>
                <c:pt idx="449">
                  <c:v>40255</c:v>
                </c:pt>
                <c:pt idx="450">
                  <c:v>40248</c:v>
                </c:pt>
                <c:pt idx="451">
                  <c:v>40241</c:v>
                </c:pt>
                <c:pt idx="452">
                  <c:v>40234</c:v>
                </c:pt>
                <c:pt idx="453">
                  <c:v>40227</c:v>
                </c:pt>
                <c:pt idx="454">
                  <c:v>40220</c:v>
                </c:pt>
                <c:pt idx="455">
                  <c:v>40213</c:v>
                </c:pt>
                <c:pt idx="456">
                  <c:v>40206</c:v>
                </c:pt>
                <c:pt idx="457">
                  <c:v>40199</c:v>
                </c:pt>
                <c:pt idx="458">
                  <c:v>40192</c:v>
                </c:pt>
                <c:pt idx="459">
                  <c:v>40185</c:v>
                </c:pt>
                <c:pt idx="460">
                  <c:v>40178</c:v>
                </c:pt>
                <c:pt idx="461">
                  <c:v>40171</c:v>
                </c:pt>
                <c:pt idx="462">
                  <c:v>40164</c:v>
                </c:pt>
                <c:pt idx="463">
                  <c:v>40157</c:v>
                </c:pt>
                <c:pt idx="464">
                  <c:v>40150</c:v>
                </c:pt>
                <c:pt idx="465">
                  <c:v>40142</c:v>
                </c:pt>
                <c:pt idx="466">
                  <c:v>40136</c:v>
                </c:pt>
                <c:pt idx="467">
                  <c:v>40129</c:v>
                </c:pt>
                <c:pt idx="468">
                  <c:v>40122</c:v>
                </c:pt>
                <c:pt idx="469">
                  <c:v>40115</c:v>
                </c:pt>
                <c:pt idx="470">
                  <c:v>40108</c:v>
                </c:pt>
                <c:pt idx="471">
                  <c:v>40101</c:v>
                </c:pt>
                <c:pt idx="472">
                  <c:v>40094</c:v>
                </c:pt>
                <c:pt idx="473">
                  <c:v>40087</c:v>
                </c:pt>
                <c:pt idx="474">
                  <c:v>40080</c:v>
                </c:pt>
                <c:pt idx="475">
                  <c:v>40073</c:v>
                </c:pt>
                <c:pt idx="476">
                  <c:v>40066</c:v>
                </c:pt>
                <c:pt idx="477">
                  <c:v>40059</c:v>
                </c:pt>
                <c:pt idx="478">
                  <c:v>40052</c:v>
                </c:pt>
                <c:pt idx="479">
                  <c:v>40045</c:v>
                </c:pt>
                <c:pt idx="480">
                  <c:v>40038</c:v>
                </c:pt>
                <c:pt idx="481">
                  <c:v>40031</c:v>
                </c:pt>
                <c:pt idx="482">
                  <c:v>40024</c:v>
                </c:pt>
                <c:pt idx="483">
                  <c:v>40017</c:v>
                </c:pt>
                <c:pt idx="484">
                  <c:v>40010</c:v>
                </c:pt>
                <c:pt idx="485">
                  <c:v>40003</c:v>
                </c:pt>
                <c:pt idx="486">
                  <c:v>39996</c:v>
                </c:pt>
                <c:pt idx="487">
                  <c:v>39989</c:v>
                </c:pt>
                <c:pt idx="488">
                  <c:v>39982</c:v>
                </c:pt>
                <c:pt idx="489">
                  <c:v>39975</c:v>
                </c:pt>
                <c:pt idx="490">
                  <c:v>39968</c:v>
                </c:pt>
                <c:pt idx="491">
                  <c:v>39961</c:v>
                </c:pt>
                <c:pt idx="492">
                  <c:v>39954</c:v>
                </c:pt>
                <c:pt idx="493">
                  <c:v>39947</c:v>
                </c:pt>
                <c:pt idx="494">
                  <c:v>39940</c:v>
                </c:pt>
                <c:pt idx="495">
                  <c:v>39933</c:v>
                </c:pt>
                <c:pt idx="496">
                  <c:v>39926</c:v>
                </c:pt>
                <c:pt idx="497">
                  <c:v>39919</c:v>
                </c:pt>
                <c:pt idx="498">
                  <c:v>39912</c:v>
                </c:pt>
                <c:pt idx="499">
                  <c:v>39905</c:v>
                </c:pt>
                <c:pt idx="500">
                  <c:v>39898</c:v>
                </c:pt>
                <c:pt idx="501">
                  <c:v>39891</c:v>
                </c:pt>
                <c:pt idx="502">
                  <c:v>39884</c:v>
                </c:pt>
                <c:pt idx="503">
                  <c:v>39877</c:v>
                </c:pt>
                <c:pt idx="504">
                  <c:v>39870</c:v>
                </c:pt>
                <c:pt idx="505">
                  <c:v>39863</c:v>
                </c:pt>
                <c:pt idx="506">
                  <c:v>39856</c:v>
                </c:pt>
                <c:pt idx="507">
                  <c:v>39849</c:v>
                </c:pt>
                <c:pt idx="508">
                  <c:v>39842</c:v>
                </c:pt>
                <c:pt idx="509">
                  <c:v>39835</c:v>
                </c:pt>
                <c:pt idx="510">
                  <c:v>39828</c:v>
                </c:pt>
                <c:pt idx="511">
                  <c:v>39821</c:v>
                </c:pt>
                <c:pt idx="512">
                  <c:v>39813</c:v>
                </c:pt>
                <c:pt idx="513">
                  <c:v>39806</c:v>
                </c:pt>
                <c:pt idx="514">
                  <c:v>39800</c:v>
                </c:pt>
                <c:pt idx="515">
                  <c:v>39793</c:v>
                </c:pt>
                <c:pt idx="516">
                  <c:v>39786</c:v>
                </c:pt>
                <c:pt idx="517">
                  <c:v>39778</c:v>
                </c:pt>
                <c:pt idx="518">
                  <c:v>39772</c:v>
                </c:pt>
                <c:pt idx="519">
                  <c:v>39765</c:v>
                </c:pt>
                <c:pt idx="520">
                  <c:v>39758</c:v>
                </c:pt>
                <c:pt idx="521">
                  <c:v>39751</c:v>
                </c:pt>
                <c:pt idx="522">
                  <c:v>39744</c:v>
                </c:pt>
                <c:pt idx="523">
                  <c:v>39737</c:v>
                </c:pt>
                <c:pt idx="524">
                  <c:v>39730</c:v>
                </c:pt>
                <c:pt idx="525">
                  <c:v>39723</c:v>
                </c:pt>
                <c:pt idx="526">
                  <c:v>39716</c:v>
                </c:pt>
                <c:pt idx="527">
                  <c:v>39709</c:v>
                </c:pt>
                <c:pt idx="528">
                  <c:v>39702</c:v>
                </c:pt>
                <c:pt idx="529">
                  <c:v>39695</c:v>
                </c:pt>
                <c:pt idx="530">
                  <c:v>39688</c:v>
                </c:pt>
                <c:pt idx="531">
                  <c:v>39681</c:v>
                </c:pt>
                <c:pt idx="532">
                  <c:v>39674</c:v>
                </c:pt>
                <c:pt idx="533">
                  <c:v>39667</c:v>
                </c:pt>
                <c:pt idx="534">
                  <c:v>39660</c:v>
                </c:pt>
                <c:pt idx="535">
                  <c:v>39653</c:v>
                </c:pt>
                <c:pt idx="536">
                  <c:v>39646</c:v>
                </c:pt>
                <c:pt idx="537">
                  <c:v>39639</c:v>
                </c:pt>
                <c:pt idx="538">
                  <c:v>39632</c:v>
                </c:pt>
                <c:pt idx="539">
                  <c:v>39625</c:v>
                </c:pt>
                <c:pt idx="540">
                  <c:v>39618</c:v>
                </c:pt>
                <c:pt idx="541">
                  <c:v>39611</c:v>
                </c:pt>
                <c:pt idx="542">
                  <c:v>39604</c:v>
                </c:pt>
                <c:pt idx="543">
                  <c:v>39597</c:v>
                </c:pt>
                <c:pt idx="544">
                  <c:v>39590</c:v>
                </c:pt>
                <c:pt idx="545">
                  <c:v>39583</c:v>
                </c:pt>
                <c:pt idx="546">
                  <c:v>39576</c:v>
                </c:pt>
                <c:pt idx="547">
                  <c:v>39569</c:v>
                </c:pt>
                <c:pt idx="548">
                  <c:v>39562</c:v>
                </c:pt>
                <c:pt idx="549">
                  <c:v>39555</c:v>
                </c:pt>
                <c:pt idx="550">
                  <c:v>39548</c:v>
                </c:pt>
                <c:pt idx="551">
                  <c:v>39541</c:v>
                </c:pt>
                <c:pt idx="552">
                  <c:v>39534</c:v>
                </c:pt>
                <c:pt idx="553">
                  <c:v>39527</c:v>
                </c:pt>
                <c:pt idx="554">
                  <c:v>39520</c:v>
                </c:pt>
                <c:pt idx="555">
                  <c:v>39513</c:v>
                </c:pt>
                <c:pt idx="556">
                  <c:v>39506</c:v>
                </c:pt>
                <c:pt idx="557">
                  <c:v>39499</c:v>
                </c:pt>
                <c:pt idx="558">
                  <c:v>39492</c:v>
                </c:pt>
                <c:pt idx="559">
                  <c:v>39485</c:v>
                </c:pt>
                <c:pt idx="560">
                  <c:v>39478</c:v>
                </c:pt>
                <c:pt idx="561">
                  <c:v>39471</c:v>
                </c:pt>
                <c:pt idx="562">
                  <c:v>39464</c:v>
                </c:pt>
                <c:pt idx="563">
                  <c:v>39457</c:v>
                </c:pt>
                <c:pt idx="564">
                  <c:v>39450</c:v>
                </c:pt>
              </c:numCache>
            </c:numRef>
          </c:cat>
          <c:val>
            <c:numRef>
              <c:f>Query!$J$3:$J$567</c:f>
              <c:numCache>
                <c:formatCode>0%</c:formatCode>
                <c:ptCount val="565"/>
                <c:pt idx="0">
                  <c:v>6.0208946499999999E-2</c:v>
                </c:pt>
                <c:pt idx="1">
                  <c:v>5.7351883200000002E-2</c:v>
                </c:pt>
                <c:pt idx="2">
                  <c:v>6.8958800599999995E-2</c:v>
                </c:pt>
                <c:pt idx="3">
                  <c:v>6.8849031199999994E-2</c:v>
                </c:pt>
                <c:pt idx="4">
                  <c:v>7.3996180900000014E-2</c:v>
                </c:pt>
                <c:pt idx="5">
                  <c:v>8.0976341499999993E-2</c:v>
                </c:pt>
                <c:pt idx="6">
                  <c:v>9.3500025700000003E-2</c:v>
                </c:pt>
                <c:pt idx="7">
                  <c:v>0.1190768962</c:v>
                </c:pt>
                <c:pt idx="8">
                  <c:v>0.12191448520000001</c:v>
                </c:pt>
                <c:pt idx="9">
                  <c:v>0.1165550816</c:v>
                </c:pt>
                <c:pt idx="10">
                  <c:v>9.9022627399999993E-2</c:v>
                </c:pt>
                <c:pt idx="11">
                  <c:v>0.102898673</c:v>
                </c:pt>
                <c:pt idx="12">
                  <c:v>0.1128481858</c:v>
                </c:pt>
                <c:pt idx="13">
                  <c:v>0.1241460053</c:v>
                </c:pt>
                <c:pt idx="14">
                  <c:v>0.12164557210000002</c:v>
                </c:pt>
                <c:pt idx="15">
                  <c:v>0.1177657664</c:v>
                </c:pt>
                <c:pt idx="16">
                  <c:v>0.1098084941</c:v>
                </c:pt>
                <c:pt idx="17">
                  <c:v>0.10430653970000001</c:v>
                </c:pt>
                <c:pt idx="18">
                  <c:v>9.7064189100000003E-2</c:v>
                </c:pt>
                <c:pt idx="19">
                  <c:v>0.11245217239999999</c:v>
                </c:pt>
                <c:pt idx="20">
                  <c:v>0.11429891520000002</c:v>
                </c:pt>
                <c:pt idx="21">
                  <c:v>8.8390129600000006E-2</c:v>
                </c:pt>
                <c:pt idx="22">
                  <c:v>9.9689578599999995E-2</c:v>
                </c:pt>
                <c:pt idx="23">
                  <c:v>0.1096416092</c:v>
                </c:pt>
                <c:pt idx="24">
                  <c:v>0.1096058618</c:v>
                </c:pt>
                <c:pt idx="25">
                  <c:v>0.1010231989</c:v>
                </c:pt>
                <c:pt idx="26">
                  <c:v>0.12862153670000001</c:v>
                </c:pt>
                <c:pt idx="27">
                  <c:v>0.14707365720000001</c:v>
                </c:pt>
                <c:pt idx="28">
                  <c:v>0.14592478989999999</c:v>
                </c:pt>
                <c:pt idx="29">
                  <c:v>0.14108133179999999</c:v>
                </c:pt>
                <c:pt idx="30">
                  <c:v>0.13880850180000001</c:v>
                </c:pt>
                <c:pt idx="31">
                  <c:v>0.1363733764</c:v>
                </c:pt>
                <c:pt idx="32">
                  <c:v>0.13216112729999999</c:v>
                </c:pt>
                <c:pt idx="33">
                  <c:v>0.13928089260000001</c:v>
                </c:pt>
                <c:pt idx="34">
                  <c:v>0.1492506348</c:v>
                </c:pt>
                <c:pt idx="35">
                  <c:v>0.1350403916</c:v>
                </c:pt>
                <c:pt idx="36">
                  <c:v>0.1471622149</c:v>
                </c:pt>
                <c:pt idx="37">
                  <c:v>0.1838964568</c:v>
                </c:pt>
                <c:pt idx="38">
                  <c:v>0.21585389029999999</c:v>
                </c:pt>
                <c:pt idx="39">
                  <c:v>0.2511293913</c:v>
                </c:pt>
                <c:pt idx="40">
                  <c:v>0.28593812969999999</c:v>
                </c:pt>
                <c:pt idx="41">
                  <c:v>0.30876228020000002</c:v>
                </c:pt>
                <c:pt idx="42">
                  <c:v>0.28462709223749999</c:v>
                </c:pt>
                <c:pt idx="43">
                  <c:v>0.28361352090000003</c:v>
                </c:pt>
                <c:pt idx="44">
                  <c:v>0.30891657</c:v>
                </c:pt>
                <c:pt idx="45">
                  <c:v>0.31388638549999998</c:v>
                </c:pt>
                <c:pt idx="46">
                  <c:v>0.30891657</c:v>
                </c:pt>
                <c:pt idx="47">
                  <c:v>0.34080326389999999</c:v>
                </c:pt>
                <c:pt idx="48">
                  <c:v>0.3275762451</c:v>
                </c:pt>
                <c:pt idx="49">
                  <c:v>0.3104641159</c:v>
                </c:pt>
                <c:pt idx="50">
                  <c:v>0.36164943189999998</c:v>
                </c:pt>
                <c:pt idx="51">
                  <c:v>0.31752581769999999</c:v>
                </c:pt>
                <c:pt idx="52">
                  <c:v>0.32296657829999997</c:v>
                </c:pt>
                <c:pt idx="53">
                  <c:v>0.36355898780000001</c:v>
                </c:pt>
                <c:pt idx="54">
                  <c:v>0.34243439040000001</c:v>
                </c:pt>
                <c:pt idx="55">
                  <c:v>0.38898236629999999</c:v>
                </c:pt>
                <c:pt idx="56">
                  <c:v>0.36498888089999998</c:v>
                </c:pt>
                <c:pt idx="57">
                  <c:v>0.38554765660000001</c:v>
                </c:pt>
                <c:pt idx="58">
                  <c:v>0.4201896524</c:v>
                </c:pt>
                <c:pt idx="59">
                  <c:v>0.4201896524</c:v>
                </c:pt>
                <c:pt idx="60">
                  <c:v>0.39795284749999998</c:v>
                </c:pt>
                <c:pt idx="61">
                  <c:v>0.36610150200000002</c:v>
                </c:pt>
                <c:pt idx="62">
                  <c:v>0.36168819470000002</c:v>
                </c:pt>
                <c:pt idx="63">
                  <c:v>0.33630493049999999</c:v>
                </c:pt>
                <c:pt idx="64">
                  <c:v>0.31831604200000002</c:v>
                </c:pt>
                <c:pt idx="65">
                  <c:v>0.32795338680000002</c:v>
                </c:pt>
                <c:pt idx="66">
                  <c:v>0.30256531079999999</c:v>
                </c:pt>
                <c:pt idx="67">
                  <c:v>0.28412835069999998</c:v>
                </c:pt>
                <c:pt idx="68">
                  <c:v>0.30256531079999999</c:v>
                </c:pt>
                <c:pt idx="69">
                  <c:v>0.3576532583</c:v>
                </c:pt>
                <c:pt idx="70">
                  <c:v>0.34317670880000001</c:v>
                </c:pt>
                <c:pt idx="71">
                  <c:v>0.3372459277</c:v>
                </c:pt>
                <c:pt idx="72">
                  <c:v>0.34916759450000001</c:v>
                </c:pt>
                <c:pt idx="73">
                  <c:v>0.32260606209999998</c:v>
                </c:pt>
                <c:pt idx="74">
                  <c:v>0.32041726640000001</c:v>
                </c:pt>
                <c:pt idx="75">
                  <c:v>0.2932169523</c:v>
                </c:pt>
                <c:pt idx="76">
                  <c:v>0.28119765860000001</c:v>
                </c:pt>
                <c:pt idx="77">
                  <c:v>0.2932169523</c:v>
                </c:pt>
                <c:pt idx="78">
                  <c:v>0.29291125699999998</c:v>
                </c:pt>
                <c:pt idx="79">
                  <c:v>0.315036227</c:v>
                </c:pt>
                <c:pt idx="80">
                  <c:v>0.27329291729999999</c:v>
                </c:pt>
                <c:pt idx="81">
                  <c:v>0.26406374469999999</c:v>
                </c:pt>
                <c:pt idx="82">
                  <c:v>0.25173263029999998</c:v>
                </c:pt>
                <c:pt idx="83">
                  <c:v>0.21076282330000001</c:v>
                </c:pt>
                <c:pt idx="84">
                  <c:v>0.1890700703</c:v>
                </c:pt>
                <c:pt idx="85">
                  <c:v>0.21936727240000001</c:v>
                </c:pt>
                <c:pt idx="86">
                  <c:v>0.26983536829999999</c:v>
                </c:pt>
                <c:pt idx="87">
                  <c:v>0.2475439566</c:v>
                </c:pt>
                <c:pt idx="88">
                  <c:v>0.2523060157</c:v>
                </c:pt>
                <c:pt idx="89">
                  <c:v>0.2546990945</c:v>
                </c:pt>
                <c:pt idx="90">
                  <c:v>0.2338480134</c:v>
                </c:pt>
                <c:pt idx="91">
                  <c:v>0.25166278199999997</c:v>
                </c:pt>
                <c:pt idx="92">
                  <c:v>0.28654174700000001</c:v>
                </c:pt>
                <c:pt idx="93">
                  <c:v>0.2721075114</c:v>
                </c:pt>
                <c:pt idx="94">
                  <c:v>0.23473304710000004</c:v>
                </c:pt>
                <c:pt idx="95">
                  <c:v>0.19918468080000001</c:v>
                </c:pt>
                <c:pt idx="96">
                  <c:v>0.20410730939999999</c:v>
                </c:pt>
                <c:pt idx="97">
                  <c:v>0.2623933832</c:v>
                </c:pt>
                <c:pt idx="98">
                  <c:v>0.27594336940000003</c:v>
                </c:pt>
                <c:pt idx="99">
                  <c:v>0.30066712919999999</c:v>
                </c:pt>
                <c:pt idx="100">
                  <c:v>0.33001883370000001</c:v>
                </c:pt>
                <c:pt idx="101">
                  <c:v>0.36510066740000002</c:v>
                </c:pt>
                <c:pt idx="102">
                  <c:v>0.63483189419999997</c:v>
                </c:pt>
                <c:pt idx="103">
                  <c:v>0.65213089479999997</c:v>
                </c:pt>
                <c:pt idx="104">
                  <c:v>0.69656005160000001</c:v>
                </c:pt>
                <c:pt idx="105">
                  <c:v>0.68103409550000005</c:v>
                </c:pt>
                <c:pt idx="106">
                  <c:v>0.69656005160000001</c:v>
                </c:pt>
                <c:pt idx="107">
                  <c:v>0.73255988459999999</c:v>
                </c:pt>
                <c:pt idx="108">
                  <c:v>0.74908598390000003</c:v>
                </c:pt>
                <c:pt idx="109">
                  <c:v>0.70692629240000004</c:v>
                </c:pt>
                <c:pt idx="110">
                  <c:v>0.71121339630000002</c:v>
                </c:pt>
                <c:pt idx="111">
                  <c:v>0.72924696990000004</c:v>
                </c:pt>
                <c:pt idx="112">
                  <c:v>0.73132982150000003</c:v>
                </c:pt>
                <c:pt idx="113">
                  <c:v>0.74897725719999997</c:v>
                </c:pt>
                <c:pt idx="114">
                  <c:v>0.7593242724</c:v>
                </c:pt>
                <c:pt idx="115">
                  <c:v>0.75198333319999999</c:v>
                </c:pt>
                <c:pt idx="116">
                  <c:v>0.7593242724</c:v>
                </c:pt>
                <c:pt idx="117">
                  <c:v>0.74899178590000004</c:v>
                </c:pt>
                <c:pt idx="118">
                  <c:v>0.7633497092</c:v>
                </c:pt>
                <c:pt idx="119">
                  <c:v>0.7752705017</c:v>
                </c:pt>
                <c:pt idx="120">
                  <c:v>0.78006753620000002</c:v>
                </c:pt>
                <c:pt idx="121">
                  <c:v>0.75833449649999995</c:v>
                </c:pt>
                <c:pt idx="122">
                  <c:v>0.69211153680000004</c:v>
                </c:pt>
                <c:pt idx="123">
                  <c:v>0.72701900929999996</c:v>
                </c:pt>
                <c:pt idx="124">
                  <c:v>0.67929191759999996</c:v>
                </c:pt>
                <c:pt idx="125">
                  <c:v>0.61361583630000005</c:v>
                </c:pt>
                <c:pt idx="126">
                  <c:v>0.64311608799999997</c:v>
                </c:pt>
                <c:pt idx="127">
                  <c:v>0.67832950000000003</c:v>
                </c:pt>
                <c:pt idx="128">
                  <c:v>0.71380323440000004</c:v>
                </c:pt>
                <c:pt idx="129">
                  <c:v>0.64752859969999998</c:v>
                </c:pt>
                <c:pt idx="130">
                  <c:v>0.56515105990000003</c:v>
                </c:pt>
                <c:pt idx="131">
                  <c:v>0.64500935260000003</c:v>
                </c:pt>
                <c:pt idx="132">
                  <c:v>0.68040202120000004</c:v>
                </c:pt>
                <c:pt idx="133">
                  <c:v>0.67085801509999998</c:v>
                </c:pt>
                <c:pt idx="134">
                  <c:v>0.55149474060000003</c:v>
                </c:pt>
                <c:pt idx="135">
                  <c:v>0.55149474060000003</c:v>
                </c:pt>
                <c:pt idx="136">
                  <c:v>0.53334613259999997</c:v>
                </c:pt>
                <c:pt idx="137">
                  <c:v>0.57707010329999997</c:v>
                </c:pt>
                <c:pt idx="138">
                  <c:v>0.61984185000000003</c:v>
                </c:pt>
                <c:pt idx="139">
                  <c:v>0.61717910330000003</c:v>
                </c:pt>
                <c:pt idx="140">
                  <c:v>0.61098584639999998</c:v>
                </c:pt>
                <c:pt idx="141">
                  <c:v>0.61098584639999998</c:v>
                </c:pt>
                <c:pt idx="142">
                  <c:v>0.52562530080000003</c:v>
                </c:pt>
                <c:pt idx="143">
                  <c:v>0.4917004049</c:v>
                </c:pt>
                <c:pt idx="144">
                  <c:v>0.48244597830000002</c:v>
                </c:pt>
                <c:pt idx="145">
                  <c:v>0.4357861308</c:v>
                </c:pt>
                <c:pt idx="146">
                  <c:v>0.4167154481</c:v>
                </c:pt>
                <c:pt idx="147">
                  <c:v>0.4036545278</c:v>
                </c:pt>
                <c:pt idx="148">
                  <c:v>0.42845102359999998</c:v>
                </c:pt>
                <c:pt idx="149">
                  <c:v>0.42453496470000002</c:v>
                </c:pt>
                <c:pt idx="150">
                  <c:v>0.43219208009999999</c:v>
                </c:pt>
                <c:pt idx="151">
                  <c:v>0.44078213119999998</c:v>
                </c:pt>
                <c:pt idx="152">
                  <c:v>0.42883055539999998</c:v>
                </c:pt>
                <c:pt idx="153">
                  <c:v>0.43067577779999999</c:v>
                </c:pt>
                <c:pt idx="154">
                  <c:v>0.42568796469999998</c:v>
                </c:pt>
                <c:pt idx="155">
                  <c:v>0.47060114770000006</c:v>
                </c:pt>
                <c:pt idx="156">
                  <c:v>0.53404427570000002</c:v>
                </c:pt>
                <c:pt idx="157">
                  <c:v>0.51551907210000003</c:v>
                </c:pt>
                <c:pt idx="158">
                  <c:v>0.5001191411</c:v>
                </c:pt>
                <c:pt idx="159">
                  <c:v>0.53404427570000002</c:v>
                </c:pt>
                <c:pt idx="160">
                  <c:v>0.48691854000000001</c:v>
                </c:pt>
                <c:pt idx="161">
                  <c:v>0.47896225580000007</c:v>
                </c:pt>
                <c:pt idx="162">
                  <c:v>0.46867173429999998</c:v>
                </c:pt>
                <c:pt idx="163">
                  <c:v>0.47320351910000003</c:v>
                </c:pt>
                <c:pt idx="164">
                  <c:v>0.47697419829999999</c:v>
                </c:pt>
                <c:pt idx="165">
                  <c:v>0.5041978131</c:v>
                </c:pt>
                <c:pt idx="166">
                  <c:v>0.46923579520000003</c:v>
                </c:pt>
                <c:pt idx="167">
                  <c:v>0.46486339789999997</c:v>
                </c:pt>
                <c:pt idx="168">
                  <c:v>0.47665542830000007</c:v>
                </c:pt>
                <c:pt idx="169">
                  <c:v>0.457838246</c:v>
                </c:pt>
                <c:pt idx="170">
                  <c:v>0.42251660730000001</c:v>
                </c:pt>
                <c:pt idx="171">
                  <c:v>0.3834563862</c:v>
                </c:pt>
                <c:pt idx="172">
                  <c:v>0.42251660730000001</c:v>
                </c:pt>
                <c:pt idx="173">
                  <c:v>0.39081741889999999</c:v>
                </c:pt>
                <c:pt idx="174">
                  <c:v>0.4235134518</c:v>
                </c:pt>
                <c:pt idx="175">
                  <c:v>0.4402914228</c:v>
                </c:pt>
                <c:pt idx="176">
                  <c:v>0.4287190474</c:v>
                </c:pt>
                <c:pt idx="177">
                  <c:v>0.51058617240000004</c:v>
                </c:pt>
                <c:pt idx="178">
                  <c:v>0.51796522560000002</c:v>
                </c:pt>
                <c:pt idx="179">
                  <c:v>0.51964795649999995</c:v>
                </c:pt>
                <c:pt idx="180">
                  <c:v>0.52683586439999996</c:v>
                </c:pt>
                <c:pt idx="181">
                  <c:v>0.55026050680000005</c:v>
                </c:pt>
                <c:pt idx="182">
                  <c:v>0.61605337270000005</c:v>
                </c:pt>
                <c:pt idx="183">
                  <c:v>0.63736160289999999</c:v>
                </c:pt>
                <c:pt idx="184">
                  <c:v>0.60738700199999995</c:v>
                </c:pt>
                <c:pt idx="185">
                  <c:v>0.62935005160000002</c:v>
                </c:pt>
                <c:pt idx="186">
                  <c:v>0.60501671479999997</c:v>
                </c:pt>
                <c:pt idx="187">
                  <c:v>0.62083950509999997</c:v>
                </c:pt>
                <c:pt idx="188">
                  <c:v>0.5766638637</c:v>
                </c:pt>
                <c:pt idx="189">
                  <c:v>0.53932614629999998</c:v>
                </c:pt>
                <c:pt idx="190">
                  <c:v>0.59153182719999997</c:v>
                </c:pt>
                <c:pt idx="191">
                  <c:v>0.57039989609999997</c:v>
                </c:pt>
                <c:pt idx="192">
                  <c:v>0.59309494760000003</c:v>
                </c:pt>
                <c:pt idx="193">
                  <c:v>0.62613297749999997</c:v>
                </c:pt>
                <c:pt idx="194">
                  <c:v>0.6836252759</c:v>
                </c:pt>
                <c:pt idx="195">
                  <c:v>0.63394777120000001</c:v>
                </c:pt>
                <c:pt idx="196">
                  <c:v>0.63869747509999997</c:v>
                </c:pt>
                <c:pt idx="197">
                  <c:v>0.63394777120000001</c:v>
                </c:pt>
                <c:pt idx="198">
                  <c:v>0.590485221</c:v>
                </c:pt>
                <c:pt idx="199">
                  <c:v>0.54181851560000005</c:v>
                </c:pt>
                <c:pt idx="200">
                  <c:v>0.55774327000000001</c:v>
                </c:pt>
                <c:pt idx="201">
                  <c:v>0.56856104429999998</c:v>
                </c:pt>
                <c:pt idx="202">
                  <c:v>0.52586900160000005</c:v>
                </c:pt>
                <c:pt idx="203">
                  <c:v>0.54419146029999999</c:v>
                </c:pt>
                <c:pt idx="204">
                  <c:v>0.51298244240000002</c:v>
                </c:pt>
                <c:pt idx="205">
                  <c:v>0.50247090809999995</c:v>
                </c:pt>
                <c:pt idx="206">
                  <c:v>0.49075057599999999</c:v>
                </c:pt>
                <c:pt idx="207">
                  <c:v>0.4848394103</c:v>
                </c:pt>
                <c:pt idx="208">
                  <c:v>0.51332521600000003</c:v>
                </c:pt>
                <c:pt idx="209">
                  <c:v>0.54295058770000004</c:v>
                </c:pt>
                <c:pt idx="210">
                  <c:v>0.51925752069999997</c:v>
                </c:pt>
                <c:pt idx="211">
                  <c:v>0.42877989420000001</c:v>
                </c:pt>
                <c:pt idx="212">
                  <c:v>0.40204481939999998</c:v>
                </c:pt>
                <c:pt idx="213">
                  <c:v>0.38946480909999998</c:v>
                </c:pt>
                <c:pt idx="214">
                  <c:v>0.3756230418</c:v>
                </c:pt>
                <c:pt idx="215">
                  <c:v>0.43596182500000003</c:v>
                </c:pt>
                <c:pt idx="216">
                  <c:v>0.44900036679999999</c:v>
                </c:pt>
                <c:pt idx="217">
                  <c:v>0.45591843170000002</c:v>
                </c:pt>
                <c:pt idx="218">
                  <c:v>0.45591843170000002</c:v>
                </c:pt>
                <c:pt idx="219">
                  <c:v>0.42798435280000002</c:v>
                </c:pt>
                <c:pt idx="220">
                  <c:v>0.40236429289999998</c:v>
                </c:pt>
                <c:pt idx="221">
                  <c:v>0.43438894760000002</c:v>
                </c:pt>
                <c:pt idx="222">
                  <c:v>0.42889808010000002</c:v>
                </c:pt>
                <c:pt idx="223">
                  <c:v>0.42889808010000002</c:v>
                </c:pt>
                <c:pt idx="224">
                  <c:v>0.40364873099999998</c:v>
                </c:pt>
                <c:pt idx="225">
                  <c:v>0.44852017890000001</c:v>
                </c:pt>
                <c:pt idx="226">
                  <c:v>0.44052877880000002</c:v>
                </c:pt>
                <c:pt idx="227">
                  <c:v>0.41062004839999999</c:v>
                </c:pt>
                <c:pt idx="228">
                  <c:v>0.39654607469999997</c:v>
                </c:pt>
                <c:pt idx="229">
                  <c:v>0.44052877880000002</c:v>
                </c:pt>
                <c:pt idx="230">
                  <c:v>0.43809869820000003</c:v>
                </c:pt>
                <c:pt idx="231">
                  <c:v>0.42775616290000001</c:v>
                </c:pt>
                <c:pt idx="232">
                  <c:v>0.39909263750000001</c:v>
                </c:pt>
                <c:pt idx="233">
                  <c:v>0.39567978650000002</c:v>
                </c:pt>
                <c:pt idx="234">
                  <c:v>0.36147964030000002</c:v>
                </c:pt>
                <c:pt idx="235">
                  <c:v>0.35925935930000003</c:v>
                </c:pt>
                <c:pt idx="236">
                  <c:v>0.36804761009999998</c:v>
                </c:pt>
                <c:pt idx="237">
                  <c:v>0.34892888589999999</c:v>
                </c:pt>
                <c:pt idx="238">
                  <c:v>0.32289856220000002</c:v>
                </c:pt>
                <c:pt idx="239">
                  <c:v>0.34074595169999999</c:v>
                </c:pt>
                <c:pt idx="240">
                  <c:v>0.36665532429999997</c:v>
                </c:pt>
                <c:pt idx="241">
                  <c:v>0.35258512050000002</c:v>
                </c:pt>
                <c:pt idx="242">
                  <c:v>0.37041409980000001</c:v>
                </c:pt>
                <c:pt idx="243">
                  <c:v>0.34826916330000002</c:v>
                </c:pt>
                <c:pt idx="244">
                  <c:v>0.36217707719999997</c:v>
                </c:pt>
                <c:pt idx="245">
                  <c:v>0.3759638455</c:v>
                </c:pt>
                <c:pt idx="246">
                  <c:v>0.39240165840000002</c:v>
                </c:pt>
                <c:pt idx="247">
                  <c:v>0.37160384639999999</c:v>
                </c:pt>
                <c:pt idx="248">
                  <c:v>0.34288730480000001</c:v>
                </c:pt>
                <c:pt idx="249">
                  <c:v>0.32994605420000001</c:v>
                </c:pt>
                <c:pt idx="250">
                  <c:v>0.26791092160000002</c:v>
                </c:pt>
                <c:pt idx="251">
                  <c:v>0.2548342576</c:v>
                </c:pt>
                <c:pt idx="252">
                  <c:v>0.2967784208</c:v>
                </c:pt>
                <c:pt idx="253">
                  <c:v>0.30245288370000001</c:v>
                </c:pt>
                <c:pt idx="254">
                  <c:v>0.34160698439999998</c:v>
                </c:pt>
                <c:pt idx="255">
                  <c:v>0.34761858340000001</c:v>
                </c:pt>
                <c:pt idx="256">
                  <c:v>0.40375202440000002</c:v>
                </c:pt>
                <c:pt idx="257">
                  <c:v>0.42100343439999999</c:v>
                </c:pt>
                <c:pt idx="258">
                  <c:v>0.3867191411</c:v>
                </c:pt>
                <c:pt idx="259">
                  <c:v>0.42692957390000003</c:v>
                </c:pt>
                <c:pt idx="260">
                  <c:v>0.45384249900000007</c:v>
                </c:pt>
                <c:pt idx="261">
                  <c:v>0.43662093299999999</c:v>
                </c:pt>
                <c:pt idx="262">
                  <c:v>0.41459249570000001</c:v>
                </c:pt>
                <c:pt idx="263">
                  <c:v>0.42456374670000002</c:v>
                </c:pt>
                <c:pt idx="264">
                  <c:v>0.4263110786</c:v>
                </c:pt>
                <c:pt idx="265">
                  <c:v>0.41632010079999998</c:v>
                </c:pt>
                <c:pt idx="266">
                  <c:v>0.31066711050000001</c:v>
                </c:pt>
                <c:pt idx="267">
                  <c:v>0.28537209140000003</c:v>
                </c:pt>
                <c:pt idx="268">
                  <c:v>0.29028109590000001</c:v>
                </c:pt>
                <c:pt idx="269">
                  <c:v>0.31811704870000002</c:v>
                </c:pt>
                <c:pt idx="270">
                  <c:v>0.29567177890000002</c:v>
                </c:pt>
                <c:pt idx="271">
                  <c:v>0.39637014929999997</c:v>
                </c:pt>
                <c:pt idx="272">
                  <c:v>0.39637014929999997</c:v>
                </c:pt>
                <c:pt idx="273">
                  <c:v>0.40307329619999999</c:v>
                </c:pt>
                <c:pt idx="274">
                  <c:v>0.44344400090000002</c:v>
                </c:pt>
                <c:pt idx="275">
                  <c:v>0.42843391609999998</c:v>
                </c:pt>
                <c:pt idx="276">
                  <c:v>0.32178905419999998</c:v>
                </c:pt>
                <c:pt idx="277">
                  <c:v>0.45589266750000002</c:v>
                </c:pt>
                <c:pt idx="278">
                  <c:v>0.34869473950000002</c:v>
                </c:pt>
                <c:pt idx="279">
                  <c:v>0.57161882750000004</c:v>
                </c:pt>
                <c:pt idx="280">
                  <c:v>0.56083719949999999</c:v>
                </c:pt>
                <c:pt idx="281">
                  <c:v>0.59131864460000005</c:v>
                </c:pt>
                <c:pt idx="282">
                  <c:v>0.63737094370000003</c:v>
                </c:pt>
                <c:pt idx="283">
                  <c:v>0.68080591260000001</c:v>
                </c:pt>
                <c:pt idx="284">
                  <c:v>0.71934472250000003</c:v>
                </c:pt>
                <c:pt idx="285">
                  <c:v>0.77767292639999996</c:v>
                </c:pt>
                <c:pt idx="286">
                  <c:v>0.79251870479999997</c:v>
                </c:pt>
                <c:pt idx="287">
                  <c:v>0.79320287570000003</c:v>
                </c:pt>
                <c:pt idx="288">
                  <c:v>0.79694583320000001</c:v>
                </c:pt>
                <c:pt idx="289">
                  <c:v>0.77689333410000005</c:v>
                </c:pt>
                <c:pt idx="290">
                  <c:v>0.70768632149999999</c:v>
                </c:pt>
                <c:pt idx="291">
                  <c:v>0.71863117889999995</c:v>
                </c:pt>
                <c:pt idx="292">
                  <c:v>0.72909402059999995</c:v>
                </c:pt>
                <c:pt idx="293">
                  <c:v>0.70505270409999998</c:v>
                </c:pt>
                <c:pt idx="294">
                  <c:v>0.74627659830000004</c:v>
                </c:pt>
                <c:pt idx="295">
                  <c:v>0.76272506819999997</c:v>
                </c:pt>
                <c:pt idx="296">
                  <c:v>0.74383609159999997</c:v>
                </c:pt>
                <c:pt idx="297">
                  <c:v>0.7547700705</c:v>
                </c:pt>
                <c:pt idx="298">
                  <c:v>0.7547700705</c:v>
                </c:pt>
                <c:pt idx="299">
                  <c:v>0.78743165179999997</c:v>
                </c:pt>
                <c:pt idx="300">
                  <c:v>0.86285938809999996</c:v>
                </c:pt>
                <c:pt idx="301">
                  <c:v>0.87397197670000004</c:v>
                </c:pt>
                <c:pt idx="302">
                  <c:v>0.8688248542</c:v>
                </c:pt>
                <c:pt idx="303">
                  <c:v>0.88091727740000003</c:v>
                </c:pt>
                <c:pt idx="304">
                  <c:v>0.8981205901</c:v>
                </c:pt>
                <c:pt idx="305">
                  <c:v>0.89478707570000005</c:v>
                </c:pt>
                <c:pt idx="306">
                  <c:v>0.90240670249999999</c:v>
                </c:pt>
                <c:pt idx="307">
                  <c:v>0.89941495390000004</c:v>
                </c:pt>
                <c:pt idx="308">
                  <c:v>0.92991451790000001</c:v>
                </c:pt>
                <c:pt idx="309">
                  <c:v>0.93453427170000003</c:v>
                </c:pt>
                <c:pt idx="310">
                  <c:v>0.93053132520000004</c:v>
                </c:pt>
                <c:pt idx="311">
                  <c:v>0.91937499810000001</c:v>
                </c:pt>
                <c:pt idx="312">
                  <c:v>0.922474672</c:v>
                </c:pt>
                <c:pt idx="313">
                  <c:v>0.9359022441</c:v>
                </c:pt>
                <c:pt idx="314">
                  <c:v>0.94525388960000001</c:v>
                </c:pt>
                <c:pt idx="315">
                  <c:v>0.94115662570000003</c:v>
                </c:pt>
                <c:pt idx="316">
                  <c:v>0.94881667510000001</c:v>
                </c:pt>
                <c:pt idx="317">
                  <c:v>0.96124609490000001</c:v>
                </c:pt>
                <c:pt idx="318">
                  <c:v>0.92474856360000002</c:v>
                </c:pt>
                <c:pt idx="319">
                  <c:v>0.87852119600000012</c:v>
                </c:pt>
                <c:pt idx="320">
                  <c:v>0.86805265789999997</c:v>
                </c:pt>
                <c:pt idx="321">
                  <c:v>0.88209078110000005</c:v>
                </c:pt>
                <c:pt idx="322">
                  <c:v>0.85858558409999997</c:v>
                </c:pt>
                <c:pt idx="323">
                  <c:v>0.87150671830000004</c:v>
                </c:pt>
                <c:pt idx="324">
                  <c:v>0.88209078110000005</c:v>
                </c:pt>
                <c:pt idx="325">
                  <c:v>0.88725227120000005</c:v>
                </c:pt>
                <c:pt idx="326">
                  <c:v>0.93847461560000001</c:v>
                </c:pt>
                <c:pt idx="327">
                  <c:v>0.90802151959999999</c:v>
                </c:pt>
                <c:pt idx="328">
                  <c:v>0.89776124300000004</c:v>
                </c:pt>
                <c:pt idx="329">
                  <c:v>0.87620102830000013</c:v>
                </c:pt>
                <c:pt idx="330">
                  <c:v>0.8872665985</c:v>
                </c:pt>
                <c:pt idx="331">
                  <c:v>0.8872665985</c:v>
                </c:pt>
                <c:pt idx="332">
                  <c:v>0.88079307399999995</c:v>
                </c:pt>
                <c:pt idx="333">
                  <c:v>0.88629215419999996</c:v>
                </c:pt>
                <c:pt idx="334">
                  <c:v>0.8796629078</c:v>
                </c:pt>
                <c:pt idx="335">
                  <c:v>0.87056098630000012</c:v>
                </c:pt>
                <c:pt idx="336">
                  <c:v>0.87586418210000017</c:v>
                </c:pt>
                <c:pt idx="337">
                  <c:v>0.86299280540000001</c:v>
                </c:pt>
                <c:pt idx="338">
                  <c:v>0.84895101809999995</c:v>
                </c:pt>
                <c:pt idx="339">
                  <c:v>0.84203358969999997</c:v>
                </c:pt>
                <c:pt idx="340">
                  <c:v>0.8169023769</c:v>
                </c:pt>
                <c:pt idx="341">
                  <c:v>0.84203358969999997</c:v>
                </c:pt>
                <c:pt idx="342">
                  <c:v>0.7851091738</c:v>
                </c:pt>
                <c:pt idx="343">
                  <c:v>0.80252882640000001</c:v>
                </c:pt>
                <c:pt idx="344">
                  <c:v>0.72921469539999995</c:v>
                </c:pt>
                <c:pt idx="345">
                  <c:v>0.82679193510000004</c:v>
                </c:pt>
                <c:pt idx="346">
                  <c:v>0.84815029040000001</c:v>
                </c:pt>
                <c:pt idx="347">
                  <c:v>0.83762040559999995</c:v>
                </c:pt>
                <c:pt idx="348">
                  <c:v>0.82770309959999999</c:v>
                </c:pt>
                <c:pt idx="349">
                  <c:v>0.87084424800000004</c:v>
                </c:pt>
                <c:pt idx="350">
                  <c:v>0.87084424800000004</c:v>
                </c:pt>
                <c:pt idx="351">
                  <c:v>0.87084424800000004</c:v>
                </c:pt>
                <c:pt idx="352">
                  <c:v>0.84121601030000004</c:v>
                </c:pt>
                <c:pt idx="353">
                  <c:v>0.88083441149999997</c:v>
                </c:pt>
                <c:pt idx="354">
                  <c:v>0.88784291530000004</c:v>
                </c:pt>
                <c:pt idx="355">
                  <c:v>0.86358150460000005</c:v>
                </c:pt>
                <c:pt idx="356">
                  <c:v>0.87669613120000012</c:v>
                </c:pt>
                <c:pt idx="357">
                  <c:v>0.8972684339</c:v>
                </c:pt>
                <c:pt idx="358">
                  <c:v>0.86830268310000003</c:v>
                </c:pt>
                <c:pt idx="359">
                  <c:v>0.85509350650000004</c:v>
                </c:pt>
                <c:pt idx="360">
                  <c:v>0.85039925940000005</c:v>
                </c:pt>
                <c:pt idx="361">
                  <c:v>0.87619222510000005</c:v>
                </c:pt>
                <c:pt idx="362">
                  <c:v>0.86704241309999996</c:v>
                </c:pt>
                <c:pt idx="363">
                  <c:v>0.87112333040000012</c:v>
                </c:pt>
                <c:pt idx="364">
                  <c:v>0.86704241309999996</c:v>
                </c:pt>
                <c:pt idx="365">
                  <c:v>0.81039755680000003</c:v>
                </c:pt>
                <c:pt idx="366">
                  <c:v>0.80686109110000004</c:v>
                </c:pt>
                <c:pt idx="367">
                  <c:v>0.80164173949999995</c:v>
                </c:pt>
                <c:pt idx="368">
                  <c:v>0.89829081580000003</c:v>
                </c:pt>
                <c:pt idx="369">
                  <c:v>0.87872018210000014</c:v>
                </c:pt>
                <c:pt idx="370">
                  <c:v>0.82856300979999997</c:v>
                </c:pt>
                <c:pt idx="371">
                  <c:v>0.82856300979999997</c:v>
                </c:pt>
                <c:pt idx="372">
                  <c:v>0.81764657090000004</c:v>
                </c:pt>
                <c:pt idx="373">
                  <c:v>0.77153651899999998</c:v>
                </c:pt>
                <c:pt idx="374">
                  <c:v>0.77161547419999998</c:v>
                </c:pt>
                <c:pt idx="375">
                  <c:v>0.79952569529999984</c:v>
                </c:pt>
                <c:pt idx="376">
                  <c:v>0.72632980079999998</c:v>
                </c:pt>
                <c:pt idx="377">
                  <c:v>0.65053350860000003</c:v>
                </c:pt>
                <c:pt idx="378">
                  <c:v>0.54432073979999995</c:v>
                </c:pt>
                <c:pt idx="379">
                  <c:v>0.55918012260000005</c:v>
                </c:pt>
                <c:pt idx="380">
                  <c:v>0.56220388160000001</c:v>
                </c:pt>
                <c:pt idx="381">
                  <c:v>0.53820071309999995</c:v>
                </c:pt>
                <c:pt idx="382">
                  <c:v>0.56651090520000003</c:v>
                </c:pt>
                <c:pt idx="383">
                  <c:v>0.56197467800000001</c:v>
                </c:pt>
                <c:pt idx="384">
                  <c:v>0.56999729939999999</c:v>
                </c:pt>
                <c:pt idx="385">
                  <c:v>0.57291401109999995</c:v>
                </c:pt>
                <c:pt idx="386">
                  <c:v>0.56197467800000001</c:v>
                </c:pt>
                <c:pt idx="387">
                  <c:v>0.54764811759999998</c:v>
                </c:pt>
                <c:pt idx="388">
                  <c:v>0.54603826860000004</c:v>
                </c:pt>
                <c:pt idx="389">
                  <c:v>0.54221432739999997</c:v>
                </c:pt>
                <c:pt idx="390">
                  <c:v>0.53113117949999999</c:v>
                </c:pt>
                <c:pt idx="391">
                  <c:v>0.52581130980000002</c:v>
                </c:pt>
                <c:pt idx="392">
                  <c:v>0.52310990459999995</c:v>
                </c:pt>
                <c:pt idx="393">
                  <c:v>0.50364009850000002</c:v>
                </c:pt>
                <c:pt idx="394">
                  <c:v>0.50728918290000002</c:v>
                </c:pt>
                <c:pt idx="395">
                  <c:v>0.52237835990000003</c:v>
                </c:pt>
                <c:pt idx="396">
                  <c:v>0.53454574259999998</c:v>
                </c:pt>
                <c:pt idx="397">
                  <c:v>0.54454366379999997</c:v>
                </c:pt>
                <c:pt idx="398">
                  <c:v>0.51807053449999996</c:v>
                </c:pt>
                <c:pt idx="399">
                  <c:v>0.52047797910000004</c:v>
                </c:pt>
                <c:pt idx="400">
                  <c:v>0.51506264049999995</c:v>
                </c:pt>
                <c:pt idx="401">
                  <c:v>0.48401341949999999</c:v>
                </c:pt>
                <c:pt idx="402">
                  <c:v>0.46375610119999999</c:v>
                </c:pt>
                <c:pt idx="403">
                  <c:v>0.54338459610000001</c:v>
                </c:pt>
                <c:pt idx="404">
                  <c:v>0.56878827759999995</c:v>
                </c:pt>
                <c:pt idx="405">
                  <c:v>0.5766237595</c:v>
                </c:pt>
                <c:pt idx="406">
                  <c:v>0.58529572480000003</c:v>
                </c:pt>
                <c:pt idx="407">
                  <c:v>0.56939272330000001</c:v>
                </c:pt>
                <c:pt idx="408">
                  <c:v>0.56442342980000004</c:v>
                </c:pt>
                <c:pt idx="409">
                  <c:v>0.585569852</c:v>
                </c:pt>
                <c:pt idx="410">
                  <c:v>0.57860148239999998</c:v>
                </c:pt>
                <c:pt idx="411">
                  <c:v>0.62729770029999998</c:v>
                </c:pt>
                <c:pt idx="412">
                  <c:v>0.66795706239999997</c:v>
                </c:pt>
                <c:pt idx="413">
                  <c:v>0.76325170980000001</c:v>
                </c:pt>
                <c:pt idx="414">
                  <c:v>0.74182961960000005</c:v>
                </c:pt>
                <c:pt idx="415">
                  <c:v>0.88698423449999997</c:v>
                </c:pt>
                <c:pt idx="416">
                  <c:v>0.85631432519999995</c:v>
                </c:pt>
                <c:pt idx="417">
                  <c:v>0.88744349030000003</c:v>
                </c:pt>
                <c:pt idx="418">
                  <c:v>0.8934209823</c:v>
                </c:pt>
                <c:pt idx="419">
                  <c:v>0.90382021010000002</c:v>
                </c:pt>
                <c:pt idx="420">
                  <c:v>0.86622730449999996</c:v>
                </c:pt>
                <c:pt idx="421">
                  <c:v>0.86877485379999997</c:v>
                </c:pt>
                <c:pt idx="422">
                  <c:v>0.85480675930000005</c:v>
                </c:pt>
                <c:pt idx="423">
                  <c:v>0.85480675930000005</c:v>
                </c:pt>
                <c:pt idx="424">
                  <c:v>0.86764971609999997</c:v>
                </c:pt>
                <c:pt idx="425">
                  <c:v>0.8810827349</c:v>
                </c:pt>
                <c:pt idx="426">
                  <c:v>0.88163845220000003</c:v>
                </c:pt>
                <c:pt idx="427">
                  <c:v>0.82832098099999996</c:v>
                </c:pt>
                <c:pt idx="428">
                  <c:v>0.80055479750000003</c:v>
                </c:pt>
                <c:pt idx="429">
                  <c:v>0.74247622059999996</c:v>
                </c:pt>
                <c:pt idx="430">
                  <c:v>0.73524042300000003</c:v>
                </c:pt>
                <c:pt idx="431">
                  <c:v>0.72892549139999996</c:v>
                </c:pt>
                <c:pt idx="432">
                  <c:v>0.72671387840000001</c:v>
                </c:pt>
                <c:pt idx="433">
                  <c:v>0.72671387840000001</c:v>
                </c:pt>
                <c:pt idx="434">
                  <c:v>0.72367057499999998</c:v>
                </c:pt>
                <c:pt idx="435">
                  <c:v>0.70138216229999994</c:v>
                </c:pt>
                <c:pt idx="436">
                  <c:v>0.69108496269999997</c:v>
                </c:pt>
                <c:pt idx="437">
                  <c:v>0.69610032779999997</c:v>
                </c:pt>
                <c:pt idx="438">
                  <c:v>0.6738654583</c:v>
                </c:pt>
                <c:pt idx="439">
                  <c:v>0.69456761649999998</c:v>
                </c:pt>
                <c:pt idx="440">
                  <c:v>0.67768762419999995</c:v>
                </c:pt>
                <c:pt idx="441">
                  <c:v>0.6468283038</c:v>
                </c:pt>
                <c:pt idx="442">
                  <c:v>0.60766821969999996</c:v>
                </c:pt>
                <c:pt idx="443">
                  <c:v>0.58976950910000003</c:v>
                </c:pt>
                <c:pt idx="444">
                  <c:v>0.58485987679999996</c:v>
                </c:pt>
                <c:pt idx="445">
                  <c:v>0.59695209530000004</c:v>
                </c:pt>
                <c:pt idx="446">
                  <c:v>0.53331550019999996</c:v>
                </c:pt>
                <c:pt idx="447">
                  <c:v>0.57889581359999998</c:v>
                </c:pt>
                <c:pt idx="448">
                  <c:v>0.65506788930000004</c:v>
                </c:pt>
                <c:pt idx="449">
                  <c:v>0.65776975140000005</c:v>
                </c:pt>
                <c:pt idx="450">
                  <c:v>0.66654590979999995</c:v>
                </c:pt>
                <c:pt idx="451">
                  <c:v>0.65250306709999994</c:v>
                </c:pt>
                <c:pt idx="452">
                  <c:v>0.62448061389999998</c:v>
                </c:pt>
                <c:pt idx="453">
                  <c:v>0.69111712089999999</c:v>
                </c:pt>
                <c:pt idx="454">
                  <c:v>0.66582456170000004</c:v>
                </c:pt>
                <c:pt idx="455">
                  <c:v>0.64576793740000005</c:v>
                </c:pt>
                <c:pt idx="456">
                  <c:v>0.68991820079999999</c:v>
                </c:pt>
                <c:pt idx="457">
                  <c:v>0.66885528780000003</c:v>
                </c:pt>
                <c:pt idx="458">
                  <c:v>0.63297551340000002</c:v>
                </c:pt>
                <c:pt idx="459">
                  <c:v>0.61615044070000002</c:v>
                </c:pt>
                <c:pt idx="460">
                  <c:v>0.60551975010000003</c:v>
                </c:pt>
                <c:pt idx="461">
                  <c:v>0.65321657889999996</c:v>
                </c:pt>
                <c:pt idx="462">
                  <c:v>0.71636738960000002</c:v>
                </c:pt>
                <c:pt idx="463">
                  <c:v>0.7620794085</c:v>
                </c:pt>
                <c:pt idx="464">
                  <c:v>0.77640701599999995</c:v>
                </c:pt>
                <c:pt idx="465">
                  <c:v>0.77700815050000005</c:v>
                </c:pt>
                <c:pt idx="466">
                  <c:v>0.76580420940000005</c:v>
                </c:pt>
                <c:pt idx="467">
                  <c:v>0.74162504559999998</c:v>
                </c:pt>
                <c:pt idx="468">
                  <c:v>0.70148640669999995</c:v>
                </c:pt>
                <c:pt idx="469">
                  <c:v>0.68724873819999999</c:v>
                </c:pt>
                <c:pt idx="470">
                  <c:v>0.70448450740000002</c:v>
                </c:pt>
                <c:pt idx="471">
                  <c:v>0.74985199540000003</c:v>
                </c:pt>
                <c:pt idx="472">
                  <c:v>0.76805153579999996</c:v>
                </c:pt>
                <c:pt idx="473">
                  <c:v>0.7410248988</c:v>
                </c:pt>
                <c:pt idx="474">
                  <c:v>0.70958591199999999</c:v>
                </c:pt>
                <c:pt idx="475">
                  <c:v>0.69634310190000004</c:v>
                </c:pt>
                <c:pt idx="476">
                  <c:v>0.6810097799</c:v>
                </c:pt>
                <c:pt idx="477">
                  <c:v>0.67341536420000003</c:v>
                </c:pt>
                <c:pt idx="478">
                  <c:v>0.6619085374</c:v>
                </c:pt>
                <c:pt idx="479">
                  <c:v>0.67531565459999998</c:v>
                </c:pt>
                <c:pt idx="480">
                  <c:v>0.58262538230000005</c:v>
                </c:pt>
                <c:pt idx="481">
                  <c:v>0.63622339660000005</c:v>
                </c:pt>
                <c:pt idx="482">
                  <c:v>0.63391183470000001</c:v>
                </c:pt>
                <c:pt idx="483">
                  <c:v>0.65636377079999997</c:v>
                </c:pt>
                <c:pt idx="484">
                  <c:v>0.68647824840000005</c:v>
                </c:pt>
                <c:pt idx="485">
                  <c:v>0.65636377079999997</c:v>
                </c:pt>
                <c:pt idx="486">
                  <c:v>0.58620935620000003</c:v>
                </c:pt>
                <c:pt idx="487">
                  <c:v>0.2398027435</c:v>
                </c:pt>
                <c:pt idx="488">
                  <c:v>0.2680729623</c:v>
                </c:pt>
                <c:pt idx="489">
                  <c:v>0.13785707820000001</c:v>
                </c:pt>
                <c:pt idx="490">
                  <c:v>0.32790025519999999</c:v>
                </c:pt>
                <c:pt idx="491">
                  <c:v>0.6818046405</c:v>
                </c:pt>
                <c:pt idx="492">
                  <c:v>0.75493924980000005</c:v>
                </c:pt>
                <c:pt idx="493">
                  <c:v>0.74059132800000005</c:v>
                </c:pt>
                <c:pt idx="494">
                  <c:v>0.73672094740000005</c:v>
                </c:pt>
                <c:pt idx="495">
                  <c:v>0.80634665979999998</c:v>
                </c:pt>
                <c:pt idx="496">
                  <c:v>0.79472057519999995</c:v>
                </c:pt>
                <c:pt idx="497">
                  <c:v>0.79788501109999999</c:v>
                </c:pt>
                <c:pt idx="498">
                  <c:v>0.74233991889999995</c:v>
                </c:pt>
                <c:pt idx="499">
                  <c:v>0.80634665979999998</c:v>
                </c:pt>
                <c:pt idx="500">
                  <c:v>0.83957519380000001</c:v>
                </c:pt>
                <c:pt idx="501">
                  <c:v>0.72356305889999994</c:v>
                </c:pt>
                <c:pt idx="502">
                  <c:v>0.66635796189999996</c:v>
                </c:pt>
                <c:pt idx="503">
                  <c:v>0.53291699650000002</c:v>
                </c:pt>
                <c:pt idx="504">
                  <c:v>0.65155391819999997</c:v>
                </c:pt>
                <c:pt idx="505">
                  <c:v>0.68430447510000003</c:v>
                </c:pt>
                <c:pt idx="506">
                  <c:v>0.54913095410000001</c:v>
                </c:pt>
                <c:pt idx="507">
                  <c:v>0.43864910670000001</c:v>
                </c:pt>
                <c:pt idx="508">
                  <c:v>0.6304206523</c:v>
                </c:pt>
                <c:pt idx="509">
                  <c:v>0.60798130920000004</c:v>
                </c:pt>
                <c:pt idx="510">
                  <c:v>0.787776425</c:v>
                </c:pt>
                <c:pt idx="511">
                  <c:v>0.75905560480000001</c:v>
                </c:pt>
                <c:pt idx="512">
                  <c:v>0.66889975800000001</c:v>
                </c:pt>
                <c:pt idx="513">
                  <c:v>0.59388959610000003</c:v>
                </c:pt>
                <c:pt idx="514">
                  <c:v>0.57028598239999995</c:v>
                </c:pt>
                <c:pt idx="515">
                  <c:v>0.28837877309999999</c:v>
                </c:pt>
                <c:pt idx="516">
                  <c:v>0.2375856516</c:v>
                </c:pt>
                <c:pt idx="517">
                  <c:v>8.2893799300000001E-2</c:v>
                </c:pt>
                <c:pt idx="518">
                  <c:v>6.9579419700000006E-2</c:v>
                </c:pt>
                <c:pt idx="519">
                  <c:v>5.4223515399999998E-2</c:v>
                </c:pt>
                <c:pt idx="520">
                  <c:v>4.8326507999999997E-2</c:v>
                </c:pt>
                <c:pt idx="521">
                  <c:v>3.1499426800000001E-2</c:v>
                </c:pt>
                <c:pt idx="522">
                  <c:v>7.7522901199999994E-2</c:v>
                </c:pt>
                <c:pt idx="523">
                  <c:v>3.4194882699999998E-2</c:v>
                </c:pt>
                <c:pt idx="524">
                  <c:v>0.1021384378</c:v>
                </c:pt>
                <c:pt idx="525">
                  <c:v>6.6788235200000004E-2</c:v>
                </c:pt>
                <c:pt idx="526">
                  <c:v>6.55043233E-2</c:v>
                </c:pt>
                <c:pt idx="527">
                  <c:v>0.15659098739999999</c:v>
                </c:pt>
                <c:pt idx="528">
                  <c:v>9.8266921300000004E-2</c:v>
                </c:pt>
                <c:pt idx="529">
                  <c:v>4.0833947600000003E-2</c:v>
                </c:pt>
                <c:pt idx="530">
                  <c:v>4.0593434800000001E-2</c:v>
                </c:pt>
                <c:pt idx="531">
                  <c:v>3.2563606199999998E-2</c:v>
                </c:pt>
                <c:pt idx="532">
                  <c:v>2.8888612099999999E-2</c:v>
                </c:pt>
                <c:pt idx="533">
                  <c:v>2.8888612099999999E-2</c:v>
                </c:pt>
                <c:pt idx="534">
                  <c:v>2.9823958099999999E-2</c:v>
                </c:pt>
                <c:pt idx="535">
                  <c:v>2.41562468E-2</c:v>
                </c:pt>
                <c:pt idx="536">
                  <c:v>5.27520036E-2</c:v>
                </c:pt>
                <c:pt idx="537">
                  <c:v>4.3910250200000001E-2</c:v>
                </c:pt>
                <c:pt idx="538">
                  <c:v>4.5773592100000003E-2</c:v>
                </c:pt>
                <c:pt idx="539">
                  <c:v>3.95007182E-2</c:v>
                </c:pt>
                <c:pt idx="540">
                  <c:v>3.9958427800000001E-2</c:v>
                </c:pt>
                <c:pt idx="541">
                  <c:v>4.7779173100000003E-2</c:v>
                </c:pt>
                <c:pt idx="542">
                  <c:v>7.9995444900000018E-2</c:v>
                </c:pt>
                <c:pt idx="543">
                  <c:v>8.6679300099999995E-2</c:v>
                </c:pt>
                <c:pt idx="544">
                  <c:v>0.12363966749999999</c:v>
                </c:pt>
                <c:pt idx="545">
                  <c:v>0.1053775911</c:v>
                </c:pt>
                <c:pt idx="546">
                  <c:v>0.11673117360000002</c:v>
                </c:pt>
                <c:pt idx="547">
                  <c:v>9.8725131300000005E-2</c:v>
                </c:pt>
                <c:pt idx="548">
                  <c:v>0.1336468687</c:v>
                </c:pt>
                <c:pt idx="549">
                  <c:v>0.19095543770000001</c:v>
                </c:pt>
                <c:pt idx="550">
                  <c:v>0.19095543770000001</c:v>
                </c:pt>
                <c:pt idx="551">
                  <c:v>0.17670393410000002</c:v>
                </c:pt>
                <c:pt idx="552">
                  <c:v>0.2583567665</c:v>
                </c:pt>
                <c:pt idx="553">
                  <c:v>0.23330619250000001</c:v>
                </c:pt>
                <c:pt idx="554">
                  <c:v>0.1107471168</c:v>
                </c:pt>
                <c:pt idx="555">
                  <c:v>0.1521886693</c:v>
                </c:pt>
                <c:pt idx="556">
                  <c:v>8.6016081800000005E-2</c:v>
                </c:pt>
                <c:pt idx="557">
                  <c:v>0.1470851702</c:v>
                </c:pt>
                <c:pt idx="558">
                  <c:v>0.38632447559999999</c:v>
                </c:pt>
                <c:pt idx="559">
                  <c:v>0.44045303489999998</c:v>
                </c:pt>
                <c:pt idx="560">
                  <c:v>0.44604021789999998</c:v>
                </c:pt>
                <c:pt idx="561">
                  <c:v>0.66174734660000001</c:v>
                </c:pt>
                <c:pt idx="562">
                  <c:v>0.4085214882</c:v>
                </c:pt>
                <c:pt idx="563">
                  <c:v>0.28786242080000002</c:v>
                </c:pt>
                <c:pt idx="564">
                  <c:v>0.15573114290000001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022480"/>
        <c:axId val="850425424"/>
      </c:lineChart>
      <c:lineChart>
        <c:grouping val="standard"/>
        <c:varyColors val="0"/>
        <c:ser>
          <c:idx val="3"/>
          <c:order val="1"/>
          <c:tx>
            <c:strRef>
              <c:f>Query!$M$2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Query!$I$3:$I$567</c:f>
              <c:numCache>
                <c:formatCode>m/d/yyyy</c:formatCode>
                <c:ptCount val="565"/>
                <c:pt idx="0">
                  <c:v>43391</c:v>
                </c:pt>
                <c:pt idx="1">
                  <c:v>43384</c:v>
                </c:pt>
                <c:pt idx="2">
                  <c:v>43377</c:v>
                </c:pt>
                <c:pt idx="3">
                  <c:v>43370</c:v>
                </c:pt>
                <c:pt idx="4">
                  <c:v>43363</c:v>
                </c:pt>
                <c:pt idx="5">
                  <c:v>43356</c:v>
                </c:pt>
                <c:pt idx="6">
                  <c:v>43349</c:v>
                </c:pt>
                <c:pt idx="7">
                  <c:v>43342</c:v>
                </c:pt>
                <c:pt idx="8">
                  <c:v>43335</c:v>
                </c:pt>
                <c:pt idx="9">
                  <c:v>43328</c:v>
                </c:pt>
                <c:pt idx="10">
                  <c:v>43321</c:v>
                </c:pt>
                <c:pt idx="11">
                  <c:v>43314</c:v>
                </c:pt>
                <c:pt idx="12">
                  <c:v>43307</c:v>
                </c:pt>
                <c:pt idx="13">
                  <c:v>43300</c:v>
                </c:pt>
                <c:pt idx="14">
                  <c:v>43293</c:v>
                </c:pt>
                <c:pt idx="15">
                  <c:v>43286</c:v>
                </c:pt>
                <c:pt idx="16">
                  <c:v>43279</c:v>
                </c:pt>
                <c:pt idx="17">
                  <c:v>43272</c:v>
                </c:pt>
                <c:pt idx="18">
                  <c:v>43265</c:v>
                </c:pt>
                <c:pt idx="19">
                  <c:v>43258</c:v>
                </c:pt>
                <c:pt idx="20">
                  <c:v>43251</c:v>
                </c:pt>
                <c:pt idx="21">
                  <c:v>43244</c:v>
                </c:pt>
                <c:pt idx="22">
                  <c:v>43237</c:v>
                </c:pt>
                <c:pt idx="23">
                  <c:v>43230</c:v>
                </c:pt>
                <c:pt idx="24">
                  <c:v>43223</c:v>
                </c:pt>
                <c:pt idx="25">
                  <c:v>43216</c:v>
                </c:pt>
                <c:pt idx="26">
                  <c:v>43209</c:v>
                </c:pt>
                <c:pt idx="27">
                  <c:v>43202</c:v>
                </c:pt>
                <c:pt idx="28">
                  <c:v>43195</c:v>
                </c:pt>
                <c:pt idx="29">
                  <c:v>43188</c:v>
                </c:pt>
                <c:pt idx="30">
                  <c:v>43181</c:v>
                </c:pt>
                <c:pt idx="31">
                  <c:v>43174</c:v>
                </c:pt>
                <c:pt idx="32">
                  <c:v>43167</c:v>
                </c:pt>
                <c:pt idx="33">
                  <c:v>43160</c:v>
                </c:pt>
                <c:pt idx="34">
                  <c:v>43153</c:v>
                </c:pt>
                <c:pt idx="35">
                  <c:v>43146</c:v>
                </c:pt>
                <c:pt idx="36">
                  <c:v>43139</c:v>
                </c:pt>
                <c:pt idx="37">
                  <c:v>43132</c:v>
                </c:pt>
                <c:pt idx="38">
                  <c:v>43125</c:v>
                </c:pt>
                <c:pt idx="39">
                  <c:v>43118</c:v>
                </c:pt>
                <c:pt idx="40">
                  <c:v>43111</c:v>
                </c:pt>
                <c:pt idx="41">
                  <c:v>43104</c:v>
                </c:pt>
                <c:pt idx="42">
                  <c:v>43101</c:v>
                </c:pt>
                <c:pt idx="43">
                  <c:v>43097</c:v>
                </c:pt>
                <c:pt idx="44">
                  <c:v>43090</c:v>
                </c:pt>
                <c:pt idx="45">
                  <c:v>43083</c:v>
                </c:pt>
                <c:pt idx="46">
                  <c:v>43076</c:v>
                </c:pt>
                <c:pt idx="47">
                  <c:v>43069</c:v>
                </c:pt>
                <c:pt idx="48">
                  <c:v>43061</c:v>
                </c:pt>
                <c:pt idx="49">
                  <c:v>43055</c:v>
                </c:pt>
                <c:pt idx="50">
                  <c:v>43048</c:v>
                </c:pt>
                <c:pt idx="51">
                  <c:v>43041</c:v>
                </c:pt>
                <c:pt idx="52">
                  <c:v>43034</c:v>
                </c:pt>
                <c:pt idx="53">
                  <c:v>43027</c:v>
                </c:pt>
                <c:pt idx="54">
                  <c:v>43020</c:v>
                </c:pt>
                <c:pt idx="55">
                  <c:v>43013</c:v>
                </c:pt>
                <c:pt idx="56">
                  <c:v>43006</c:v>
                </c:pt>
                <c:pt idx="57">
                  <c:v>42999</c:v>
                </c:pt>
                <c:pt idx="58">
                  <c:v>42992</c:v>
                </c:pt>
                <c:pt idx="59">
                  <c:v>42985</c:v>
                </c:pt>
                <c:pt idx="60">
                  <c:v>42978</c:v>
                </c:pt>
                <c:pt idx="61">
                  <c:v>42971</c:v>
                </c:pt>
                <c:pt idx="62">
                  <c:v>42964</c:v>
                </c:pt>
                <c:pt idx="63">
                  <c:v>42957</c:v>
                </c:pt>
                <c:pt idx="64">
                  <c:v>42950</c:v>
                </c:pt>
                <c:pt idx="65">
                  <c:v>42943</c:v>
                </c:pt>
                <c:pt idx="66">
                  <c:v>42936</c:v>
                </c:pt>
                <c:pt idx="67">
                  <c:v>42929</c:v>
                </c:pt>
                <c:pt idx="68">
                  <c:v>42922</c:v>
                </c:pt>
                <c:pt idx="69">
                  <c:v>42915</c:v>
                </c:pt>
                <c:pt idx="70">
                  <c:v>42908</c:v>
                </c:pt>
                <c:pt idx="71">
                  <c:v>42901</c:v>
                </c:pt>
                <c:pt idx="72">
                  <c:v>42894</c:v>
                </c:pt>
                <c:pt idx="73">
                  <c:v>42887</c:v>
                </c:pt>
                <c:pt idx="74">
                  <c:v>42880</c:v>
                </c:pt>
                <c:pt idx="75">
                  <c:v>42873</c:v>
                </c:pt>
                <c:pt idx="76">
                  <c:v>42866</c:v>
                </c:pt>
                <c:pt idx="77">
                  <c:v>42859</c:v>
                </c:pt>
                <c:pt idx="78">
                  <c:v>42852</c:v>
                </c:pt>
                <c:pt idx="79">
                  <c:v>42845</c:v>
                </c:pt>
                <c:pt idx="80">
                  <c:v>42838</c:v>
                </c:pt>
                <c:pt idx="81">
                  <c:v>42831</c:v>
                </c:pt>
                <c:pt idx="82">
                  <c:v>42824</c:v>
                </c:pt>
                <c:pt idx="83">
                  <c:v>42817</c:v>
                </c:pt>
                <c:pt idx="84">
                  <c:v>42810</c:v>
                </c:pt>
                <c:pt idx="85">
                  <c:v>42803</c:v>
                </c:pt>
                <c:pt idx="86">
                  <c:v>42796</c:v>
                </c:pt>
                <c:pt idx="87">
                  <c:v>42789</c:v>
                </c:pt>
                <c:pt idx="88">
                  <c:v>42782</c:v>
                </c:pt>
                <c:pt idx="89">
                  <c:v>42775</c:v>
                </c:pt>
                <c:pt idx="90">
                  <c:v>42768</c:v>
                </c:pt>
                <c:pt idx="91">
                  <c:v>42761</c:v>
                </c:pt>
                <c:pt idx="92">
                  <c:v>42754</c:v>
                </c:pt>
                <c:pt idx="93">
                  <c:v>42747</c:v>
                </c:pt>
                <c:pt idx="94">
                  <c:v>42740</c:v>
                </c:pt>
                <c:pt idx="95">
                  <c:v>42733</c:v>
                </c:pt>
                <c:pt idx="96">
                  <c:v>42726</c:v>
                </c:pt>
                <c:pt idx="97">
                  <c:v>42719</c:v>
                </c:pt>
                <c:pt idx="98">
                  <c:v>42712</c:v>
                </c:pt>
                <c:pt idx="99">
                  <c:v>42705</c:v>
                </c:pt>
                <c:pt idx="100">
                  <c:v>42697</c:v>
                </c:pt>
                <c:pt idx="101">
                  <c:v>42691</c:v>
                </c:pt>
                <c:pt idx="102">
                  <c:v>42684</c:v>
                </c:pt>
                <c:pt idx="103">
                  <c:v>42677</c:v>
                </c:pt>
                <c:pt idx="104">
                  <c:v>42670</c:v>
                </c:pt>
                <c:pt idx="105">
                  <c:v>42663</c:v>
                </c:pt>
                <c:pt idx="106">
                  <c:v>42656</c:v>
                </c:pt>
                <c:pt idx="107">
                  <c:v>42649</c:v>
                </c:pt>
                <c:pt idx="108">
                  <c:v>42642</c:v>
                </c:pt>
                <c:pt idx="109">
                  <c:v>42635</c:v>
                </c:pt>
                <c:pt idx="110">
                  <c:v>42628</c:v>
                </c:pt>
                <c:pt idx="111">
                  <c:v>42621</c:v>
                </c:pt>
                <c:pt idx="112">
                  <c:v>42614</c:v>
                </c:pt>
                <c:pt idx="113">
                  <c:v>42606</c:v>
                </c:pt>
                <c:pt idx="114">
                  <c:v>42600</c:v>
                </c:pt>
                <c:pt idx="115">
                  <c:v>42593</c:v>
                </c:pt>
                <c:pt idx="116">
                  <c:v>42586</c:v>
                </c:pt>
                <c:pt idx="117">
                  <c:v>42579</c:v>
                </c:pt>
                <c:pt idx="118">
                  <c:v>42572</c:v>
                </c:pt>
                <c:pt idx="119">
                  <c:v>42565</c:v>
                </c:pt>
                <c:pt idx="120">
                  <c:v>42558</c:v>
                </c:pt>
                <c:pt idx="121">
                  <c:v>42551</c:v>
                </c:pt>
                <c:pt idx="122">
                  <c:v>42544</c:v>
                </c:pt>
                <c:pt idx="123">
                  <c:v>42537</c:v>
                </c:pt>
                <c:pt idx="124">
                  <c:v>42530</c:v>
                </c:pt>
                <c:pt idx="125">
                  <c:v>42523</c:v>
                </c:pt>
                <c:pt idx="126">
                  <c:v>42516</c:v>
                </c:pt>
                <c:pt idx="127">
                  <c:v>42509</c:v>
                </c:pt>
                <c:pt idx="128">
                  <c:v>42502</c:v>
                </c:pt>
                <c:pt idx="129">
                  <c:v>42495</c:v>
                </c:pt>
                <c:pt idx="130">
                  <c:v>42488</c:v>
                </c:pt>
                <c:pt idx="131">
                  <c:v>42481</c:v>
                </c:pt>
                <c:pt idx="132">
                  <c:v>42474</c:v>
                </c:pt>
                <c:pt idx="133">
                  <c:v>42467</c:v>
                </c:pt>
                <c:pt idx="134">
                  <c:v>42460</c:v>
                </c:pt>
                <c:pt idx="135">
                  <c:v>42453</c:v>
                </c:pt>
                <c:pt idx="136">
                  <c:v>42446</c:v>
                </c:pt>
                <c:pt idx="137">
                  <c:v>42439</c:v>
                </c:pt>
                <c:pt idx="138">
                  <c:v>42432</c:v>
                </c:pt>
                <c:pt idx="139">
                  <c:v>42425</c:v>
                </c:pt>
                <c:pt idx="140">
                  <c:v>42418</c:v>
                </c:pt>
                <c:pt idx="141">
                  <c:v>42411</c:v>
                </c:pt>
                <c:pt idx="142">
                  <c:v>42404</c:v>
                </c:pt>
                <c:pt idx="143">
                  <c:v>42397</c:v>
                </c:pt>
                <c:pt idx="144">
                  <c:v>42390</c:v>
                </c:pt>
                <c:pt idx="145">
                  <c:v>42383</c:v>
                </c:pt>
                <c:pt idx="146">
                  <c:v>42376</c:v>
                </c:pt>
                <c:pt idx="147">
                  <c:v>42369</c:v>
                </c:pt>
                <c:pt idx="148">
                  <c:v>42362</c:v>
                </c:pt>
                <c:pt idx="149">
                  <c:v>42355</c:v>
                </c:pt>
                <c:pt idx="150">
                  <c:v>42348</c:v>
                </c:pt>
                <c:pt idx="151">
                  <c:v>42341</c:v>
                </c:pt>
                <c:pt idx="152">
                  <c:v>42333</c:v>
                </c:pt>
                <c:pt idx="153">
                  <c:v>42327</c:v>
                </c:pt>
                <c:pt idx="154">
                  <c:v>42320</c:v>
                </c:pt>
                <c:pt idx="155">
                  <c:v>42313</c:v>
                </c:pt>
                <c:pt idx="156">
                  <c:v>42306</c:v>
                </c:pt>
                <c:pt idx="157">
                  <c:v>42299</c:v>
                </c:pt>
                <c:pt idx="158">
                  <c:v>42292</c:v>
                </c:pt>
                <c:pt idx="159">
                  <c:v>42285</c:v>
                </c:pt>
                <c:pt idx="160">
                  <c:v>42278</c:v>
                </c:pt>
                <c:pt idx="161">
                  <c:v>42271</c:v>
                </c:pt>
                <c:pt idx="162">
                  <c:v>42264</c:v>
                </c:pt>
                <c:pt idx="163">
                  <c:v>42257</c:v>
                </c:pt>
                <c:pt idx="164">
                  <c:v>42250</c:v>
                </c:pt>
                <c:pt idx="165">
                  <c:v>42243</c:v>
                </c:pt>
                <c:pt idx="166">
                  <c:v>42236</c:v>
                </c:pt>
                <c:pt idx="167">
                  <c:v>42229</c:v>
                </c:pt>
                <c:pt idx="168">
                  <c:v>42222</c:v>
                </c:pt>
                <c:pt idx="169">
                  <c:v>42215</c:v>
                </c:pt>
                <c:pt idx="170">
                  <c:v>42208</c:v>
                </c:pt>
                <c:pt idx="171">
                  <c:v>42201</c:v>
                </c:pt>
                <c:pt idx="172">
                  <c:v>42194</c:v>
                </c:pt>
                <c:pt idx="173">
                  <c:v>42187</c:v>
                </c:pt>
                <c:pt idx="174">
                  <c:v>42180</c:v>
                </c:pt>
                <c:pt idx="175">
                  <c:v>42173</c:v>
                </c:pt>
                <c:pt idx="176">
                  <c:v>42166</c:v>
                </c:pt>
                <c:pt idx="177">
                  <c:v>42159</c:v>
                </c:pt>
                <c:pt idx="178">
                  <c:v>42152</c:v>
                </c:pt>
                <c:pt idx="179">
                  <c:v>42145</c:v>
                </c:pt>
                <c:pt idx="180">
                  <c:v>42138</c:v>
                </c:pt>
                <c:pt idx="181">
                  <c:v>42131</c:v>
                </c:pt>
                <c:pt idx="182">
                  <c:v>42124</c:v>
                </c:pt>
                <c:pt idx="183">
                  <c:v>42117</c:v>
                </c:pt>
                <c:pt idx="184">
                  <c:v>42110</c:v>
                </c:pt>
                <c:pt idx="185">
                  <c:v>42103</c:v>
                </c:pt>
                <c:pt idx="186">
                  <c:v>42096</c:v>
                </c:pt>
                <c:pt idx="187">
                  <c:v>42089</c:v>
                </c:pt>
                <c:pt idx="188">
                  <c:v>42082</c:v>
                </c:pt>
                <c:pt idx="189">
                  <c:v>42075</c:v>
                </c:pt>
                <c:pt idx="190">
                  <c:v>42068</c:v>
                </c:pt>
                <c:pt idx="191">
                  <c:v>42061</c:v>
                </c:pt>
                <c:pt idx="192">
                  <c:v>42054</c:v>
                </c:pt>
                <c:pt idx="193">
                  <c:v>42047</c:v>
                </c:pt>
                <c:pt idx="194">
                  <c:v>42040</c:v>
                </c:pt>
                <c:pt idx="195">
                  <c:v>42033</c:v>
                </c:pt>
                <c:pt idx="196">
                  <c:v>42026</c:v>
                </c:pt>
                <c:pt idx="197">
                  <c:v>42019</c:v>
                </c:pt>
                <c:pt idx="198">
                  <c:v>42012</c:v>
                </c:pt>
                <c:pt idx="199">
                  <c:v>42004</c:v>
                </c:pt>
                <c:pt idx="200">
                  <c:v>41997</c:v>
                </c:pt>
                <c:pt idx="201">
                  <c:v>41991</c:v>
                </c:pt>
                <c:pt idx="202">
                  <c:v>41984</c:v>
                </c:pt>
                <c:pt idx="203">
                  <c:v>41977</c:v>
                </c:pt>
                <c:pt idx="204">
                  <c:v>41969</c:v>
                </c:pt>
                <c:pt idx="205">
                  <c:v>41963</c:v>
                </c:pt>
                <c:pt idx="206">
                  <c:v>41956</c:v>
                </c:pt>
                <c:pt idx="207">
                  <c:v>41949</c:v>
                </c:pt>
                <c:pt idx="208">
                  <c:v>41942</c:v>
                </c:pt>
                <c:pt idx="209">
                  <c:v>41935</c:v>
                </c:pt>
                <c:pt idx="210">
                  <c:v>41928</c:v>
                </c:pt>
                <c:pt idx="211">
                  <c:v>41921</c:v>
                </c:pt>
                <c:pt idx="212">
                  <c:v>41914</c:v>
                </c:pt>
                <c:pt idx="213">
                  <c:v>41907</c:v>
                </c:pt>
                <c:pt idx="214">
                  <c:v>41900</c:v>
                </c:pt>
                <c:pt idx="215">
                  <c:v>41893</c:v>
                </c:pt>
                <c:pt idx="216">
                  <c:v>41886</c:v>
                </c:pt>
                <c:pt idx="217">
                  <c:v>41879</c:v>
                </c:pt>
                <c:pt idx="218">
                  <c:v>41872</c:v>
                </c:pt>
                <c:pt idx="219">
                  <c:v>41865</c:v>
                </c:pt>
                <c:pt idx="220">
                  <c:v>41858</c:v>
                </c:pt>
                <c:pt idx="221">
                  <c:v>41851</c:v>
                </c:pt>
                <c:pt idx="222">
                  <c:v>41844</c:v>
                </c:pt>
                <c:pt idx="223">
                  <c:v>41837</c:v>
                </c:pt>
                <c:pt idx="224">
                  <c:v>41830</c:v>
                </c:pt>
                <c:pt idx="225">
                  <c:v>41823</c:v>
                </c:pt>
                <c:pt idx="226">
                  <c:v>41816</c:v>
                </c:pt>
                <c:pt idx="227">
                  <c:v>41809</c:v>
                </c:pt>
                <c:pt idx="228">
                  <c:v>41802</c:v>
                </c:pt>
                <c:pt idx="229">
                  <c:v>41795</c:v>
                </c:pt>
                <c:pt idx="230">
                  <c:v>41788</c:v>
                </c:pt>
                <c:pt idx="231">
                  <c:v>41781</c:v>
                </c:pt>
                <c:pt idx="232">
                  <c:v>41774</c:v>
                </c:pt>
                <c:pt idx="233">
                  <c:v>41767</c:v>
                </c:pt>
                <c:pt idx="234">
                  <c:v>41760</c:v>
                </c:pt>
                <c:pt idx="235">
                  <c:v>41753</c:v>
                </c:pt>
                <c:pt idx="236">
                  <c:v>41746</c:v>
                </c:pt>
                <c:pt idx="237">
                  <c:v>41739</c:v>
                </c:pt>
                <c:pt idx="238">
                  <c:v>41732</c:v>
                </c:pt>
                <c:pt idx="239">
                  <c:v>41725</c:v>
                </c:pt>
                <c:pt idx="240">
                  <c:v>41718</c:v>
                </c:pt>
                <c:pt idx="241">
                  <c:v>41711</c:v>
                </c:pt>
                <c:pt idx="242">
                  <c:v>41704</c:v>
                </c:pt>
                <c:pt idx="243">
                  <c:v>41697</c:v>
                </c:pt>
                <c:pt idx="244">
                  <c:v>41690</c:v>
                </c:pt>
                <c:pt idx="245">
                  <c:v>41683</c:v>
                </c:pt>
                <c:pt idx="246">
                  <c:v>41676</c:v>
                </c:pt>
                <c:pt idx="247">
                  <c:v>41669</c:v>
                </c:pt>
                <c:pt idx="248">
                  <c:v>41662</c:v>
                </c:pt>
                <c:pt idx="249">
                  <c:v>41655</c:v>
                </c:pt>
                <c:pt idx="250">
                  <c:v>41648</c:v>
                </c:pt>
                <c:pt idx="251">
                  <c:v>41641</c:v>
                </c:pt>
                <c:pt idx="252">
                  <c:v>41634</c:v>
                </c:pt>
                <c:pt idx="253">
                  <c:v>41627</c:v>
                </c:pt>
                <c:pt idx="254">
                  <c:v>41620</c:v>
                </c:pt>
                <c:pt idx="255">
                  <c:v>41613</c:v>
                </c:pt>
                <c:pt idx="256">
                  <c:v>41605</c:v>
                </c:pt>
                <c:pt idx="257">
                  <c:v>41599</c:v>
                </c:pt>
                <c:pt idx="258">
                  <c:v>41592</c:v>
                </c:pt>
                <c:pt idx="259">
                  <c:v>41585</c:v>
                </c:pt>
                <c:pt idx="260">
                  <c:v>41578</c:v>
                </c:pt>
                <c:pt idx="261">
                  <c:v>41571</c:v>
                </c:pt>
                <c:pt idx="262">
                  <c:v>41564</c:v>
                </c:pt>
                <c:pt idx="263">
                  <c:v>41557</c:v>
                </c:pt>
                <c:pt idx="264">
                  <c:v>41550</c:v>
                </c:pt>
                <c:pt idx="265">
                  <c:v>41543</c:v>
                </c:pt>
                <c:pt idx="266">
                  <c:v>41536</c:v>
                </c:pt>
                <c:pt idx="267">
                  <c:v>41529</c:v>
                </c:pt>
                <c:pt idx="268">
                  <c:v>41522</c:v>
                </c:pt>
                <c:pt idx="269">
                  <c:v>41515</c:v>
                </c:pt>
                <c:pt idx="270">
                  <c:v>41508</c:v>
                </c:pt>
                <c:pt idx="271">
                  <c:v>41501</c:v>
                </c:pt>
                <c:pt idx="272">
                  <c:v>41494</c:v>
                </c:pt>
                <c:pt idx="273">
                  <c:v>41487</c:v>
                </c:pt>
                <c:pt idx="274">
                  <c:v>41480</c:v>
                </c:pt>
                <c:pt idx="275">
                  <c:v>41473</c:v>
                </c:pt>
                <c:pt idx="276">
                  <c:v>41466</c:v>
                </c:pt>
                <c:pt idx="277">
                  <c:v>41458</c:v>
                </c:pt>
                <c:pt idx="278">
                  <c:v>41452</c:v>
                </c:pt>
                <c:pt idx="279">
                  <c:v>41445</c:v>
                </c:pt>
                <c:pt idx="280">
                  <c:v>41438</c:v>
                </c:pt>
                <c:pt idx="281">
                  <c:v>41431</c:v>
                </c:pt>
                <c:pt idx="282">
                  <c:v>41424</c:v>
                </c:pt>
                <c:pt idx="283">
                  <c:v>41417</c:v>
                </c:pt>
                <c:pt idx="284">
                  <c:v>41410</c:v>
                </c:pt>
                <c:pt idx="285">
                  <c:v>41403</c:v>
                </c:pt>
                <c:pt idx="286">
                  <c:v>41396</c:v>
                </c:pt>
                <c:pt idx="287">
                  <c:v>41389</c:v>
                </c:pt>
                <c:pt idx="288">
                  <c:v>41382</c:v>
                </c:pt>
                <c:pt idx="289">
                  <c:v>41375</c:v>
                </c:pt>
                <c:pt idx="290">
                  <c:v>41368</c:v>
                </c:pt>
                <c:pt idx="291">
                  <c:v>41361</c:v>
                </c:pt>
                <c:pt idx="292">
                  <c:v>41354</c:v>
                </c:pt>
                <c:pt idx="293">
                  <c:v>41347</c:v>
                </c:pt>
                <c:pt idx="294">
                  <c:v>41340</c:v>
                </c:pt>
                <c:pt idx="295">
                  <c:v>41333</c:v>
                </c:pt>
                <c:pt idx="296">
                  <c:v>41326</c:v>
                </c:pt>
                <c:pt idx="297">
                  <c:v>41319</c:v>
                </c:pt>
                <c:pt idx="298">
                  <c:v>41312</c:v>
                </c:pt>
                <c:pt idx="299">
                  <c:v>41305</c:v>
                </c:pt>
                <c:pt idx="300">
                  <c:v>41298</c:v>
                </c:pt>
                <c:pt idx="301">
                  <c:v>41291</c:v>
                </c:pt>
                <c:pt idx="302">
                  <c:v>41284</c:v>
                </c:pt>
                <c:pt idx="303">
                  <c:v>41277</c:v>
                </c:pt>
                <c:pt idx="304">
                  <c:v>41270</c:v>
                </c:pt>
                <c:pt idx="305">
                  <c:v>41263</c:v>
                </c:pt>
                <c:pt idx="306">
                  <c:v>41256</c:v>
                </c:pt>
                <c:pt idx="307">
                  <c:v>41249</c:v>
                </c:pt>
                <c:pt idx="308">
                  <c:v>41242</c:v>
                </c:pt>
                <c:pt idx="309">
                  <c:v>41234</c:v>
                </c:pt>
                <c:pt idx="310">
                  <c:v>41228</c:v>
                </c:pt>
                <c:pt idx="311">
                  <c:v>41221</c:v>
                </c:pt>
                <c:pt idx="312">
                  <c:v>41214</c:v>
                </c:pt>
                <c:pt idx="313">
                  <c:v>41207</c:v>
                </c:pt>
                <c:pt idx="314">
                  <c:v>41200</c:v>
                </c:pt>
                <c:pt idx="315">
                  <c:v>41193</c:v>
                </c:pt>
                <c:pt idx="316">
                  <c:v>41186</c:v>
                </c:pt>
                <c:pt idx="317">
                  <c:v>41179</c:v>
                </c:pt>
                <c:pt idx="318">
                  <c:v>41172</c:v>
                </c:pt>
                <c:pt idx="319">
                  <c:v>41165</c:v>
                </c:pt>
                <c:pt idx="320">
                  <c:v>41158</c:v>
                </c:pt>
                <c:pt idx="321">
                  <c:v>41151</c:v>
                </c:pt>
                <c:pt idx="322">
                  <c:v>41144</c:v>
                </c:pt>
                <c:pt idx="323">
                  <c:v>41137</c:v>
                </c:pt>
                <c:pt idx="324">
                  <c:v>41130</c:v>
                </c:pt>
                <c:pt idx="325">
                  <c:v>41123</c:v>
                </c:pt>
                <c:pt idx="326">
                  <c:v>41116</c:v>
                </c:pt>
                <c:pt idx="327">
                  <c:v>41109</c:v>
                </c:pt>
                <c:pt idx="328">
                  <c:v>41102</c:v>
                </c:pt>
                <c:pt idx="329">
                  <c:v>41095</c:v>
                </c:pt>
                <c:pt idx="330">
                  <c:v>41088</c:v>
                </c:pt>
                <c:pt idx="331">
                  <c:v>41081</c:v>
                </c:pt>
                <c:pt idx="332">
                  <c:v>41074</c:v>
                </c:pt>
                <c:pt idx="333">
                  <c:v>41067</c:v>
                </c:pt>
                <c:pt idx="334">
                  <c:v>41060</c:v>
                </c:pt>
                <c:pt idx="335">
                  <c:v>41053</c:v>
                </c:pt>
                <c:pt idx="336">
                  <c:v>41046</c:v>
                </c:pt>
                <c:pt idx="337">
                  <c:v>41039</c:v>
                </c:pt>
                <c:pt idx="338">
                  <c:v>41032</c:v>
                </c:pt>
                <c:pt idx="339">
                  <c:v>41025</c:v>
                </c:pt>
                <c:pt idx="340">
                  <c:v>41018</c:v>
                </c:pt>
                <c:pt idx="341">
                  <c:v>41011</c:v>
                </c:pt>
                <c:pt idx="342">
                  <c:v>41004</c:v>
                </c:pt>
                <c:pt idx="343">
                  <c:v>40997</c:v>
                </c:pt>
                <c:pt idx="344">
                  <c:v>40990</c:v>
                </c:pt>
                <c:pt idx="345">
                  <c:v>40983</c:v>
                </c:pt>
                <c:pt idx="346">
                  <c:v>40976</c:v>
                </c:pt>
                <c:pt idx="347">
                  <c:v>40969</c:v>
                </c:pt>
                <c:pt idx="348">
                  <c:v>40962</c:v>
                </c:pt>
                <c:pt idx="349">
                  <c:v>40955</c:v>
                </c:pt>
                <c:pt idx="350">
                  <c:v>40948</c:v>
                </c:pt>
                <c:pt idx="351">
                  <c:v>40941</c:v>
                </c:pt>
                <c:pt idx="352">
                  <c:v>40934</c:v>
                </c:pt>
                <c:pt idx="353">
                  <c:v>40927</c:v>
                </c:pt>
                <c:pt idx="354">
                  <c:v>40920</c:v>
                </c:pt>
                <c:pt idx="355">
                  <c:v>40913</c:v>
                </c:pt>
                <c:pt idx="356">
                  <c:v>40906</c:v>
                </c:pt>
                <c:pt idx="357">
                  <c:v>40899</c:v>
                </c:pt>
                <c:pt idx="358">
                  <c:v>40892</c:v>
                </c:pt>
                <c:pt idx="359">
                  <c:v>40885</c:v>
                </c:pt>
                <c:pt idx="360">
                  <c:v>40878</c:v>
                </c:pt>
                <c:pt idx="361">
                  <c:v>40870</c:v>
                </c:pt>
                <c:pt idx="362">
                  <c:v>40864</c:v>
                </c:pt>
                <c:pt idx="363">
                  <c:v>40857</c:v>
                </c:pt>
                <c:pt idx="364">
                  <c:v>40850</c:v>
                </c:pt>
                <c:pt idx="365">
                  <c:v>40843</c:v>
                </c:pt>
                <c:pt idx="366">
                  <c:v>40836</c:v>
                </c:pt>
                <c:pt idx="367">
                  <c:v>40829</c:v>
                </c:pt>
                <c:pt idx="368">
                  <c:v>40822</c:v>
                </c:pt>
                <c:pt idx="369">
                  <c:v>40815</c:v>
                </c:pt>
                <c:pt idx="370">
                  <c:v>40808</c:v>
                </c:pt>
                <c:pt idx="371">
                  <c:v>40801</c:v>
                </c:pt>
                <c:pt idx="372">
                  <c:v>40794</c:v>
                </c:pt>
                <c:pt idx="373">
                  <c:v>40787</c:v>
                </c:pt>
                <c:pt idx="374">
                  <c:v>40780</c:v>
                </c:pt>
                <c:pt idx="375">
                  <c:v>40773</c:v>
                </c:pt>
                <c:pt idx="376">
                  <c:v>40766</c:v>
                </c:pt>
                <c:pt idx="377">
                  <c:v>40759</c:v>
                </c:pt>
                <c:pt idx="378">
                  <c:v>40752</c:v>
                </c:pt>
                <c:pt idx="379">
                  <c:v>40745</c:v>
                </c:pt>
                <c:pt idx="380">
                  <c:v>40738</c:v>
                </c:pt>
                <c:pt idx="381">
                  <c:v>40731</c:v>
                </c:pt>
                <c:pt idx="382">
                  <c:v>40724</c:v>
                </c:pt>
                <c:pt idx="383">
                  <c:v>40717</c:v>
                </c:pt>
                <c:pt idx="384">
                  <c:v>40710</c:v>
                </c:pt>
                <c:pt idx="385">
                  <c:v>40703</c:v>
                </c:pt>
                <c:pt idx="386">
                  <c:v>40696</c:v>
                </c:pt>
                <c:pt idx="387">
                  <c:v>40689</c:v>
                </c:pt>
                <c:pt idx="388">
                  <c:v>40682</c:v>
                </c:pt>
                <c:pt idx="389">
                  <c:v>40675</c:v>
                </c:pt>
                <c:pt idx="390">
                  <c:v>40668</c:v>
                </c:pt>
                <c:pt idx="391">
                  <c:v>40661</c:v>
                </c:pt>
                <c:pt idx="392">
                  <c:v>40654</c:v>
                </c:pt>
                <c:pt idx="393">
                  <c:v>40647</c:v>
                </c:pt>
                <c:pt idx="394">
                  <c:v>40640</c:v>
                </c:pt>
                <c:pt idx="395">
                  <c:v>40633</c:v>
                </c:pt>
                <c:pt idx="396">
                  <c:v>40626</c:v>
                </c:pt>
                <c:pt idx="397">
                  <c:v>40619</c:v>
                </c:pt>
                <c:pt idx="398">
                  <c:v>40612</c:v>
                </c:pt>
                <c:pt idx="399">
                  <c:v>40605</c:v>
                </c:pt>
                <c:pt idx="400">
                  <c:v>40598</c:v>
                </c:pt>
                <c:pt idx="401">
                  <c:v>40591</c:v>
                </c:pt>
                <c:pt idx="402">
                  <c:v>40584</c:v>
                </c:pt>
                <c:pt idx="403">
                  <c:v>40577</c:v>
                </c:pt>
                <c:pt idx="404">
                  <c:v>40570</c:v>
                </c:pt>
                <c:pt idx="405">
                  <c:v>40563</c:v>
                </c:pt>
                <c:pt idx="406">
                  <c:v>40556</c:v>
                </c:pt>
                <c:pt idx="407">
                  <c:v>40549</c:v>
                </c:pt>
                <c:pt idx="408">
                  <c:v>40542</c:v>
                </c:pt>
                <c:pt idx="409">
                  <c:v>40535</c:v>
                </c:pt>
                <c:pt idx="410">
                  <c:v>40528</c:v>
                </c:pt>
                <c:pt idx="411">
                  <c:v>40521</c:v>
                </c:pt>
                <c:pt idx="412">
                  <c:v>40514</c:v>
                </c:pt>
                <c:pt idx="413">
                  <c:v>40506</c:v>
                </c:pt>
                <c:pt idx="414">
                  <c:v>40500</c:v>
                </c:pt>
                <c:pt idx="415">
                  <c:v>40493</c:v>
                </c:pt>
                <c:pt idx="416">
                  <c:v>40486</c:v>
                </c:pt>
                <c:pt idx="417">
                  <c:v>40479</c:v>
                </c:pt>
                <c:pt idx="418">
                  <c:v>40472</c:v>
                </c:pt>
                <c:pt idx="419">
                  <c:v>40465</c:v>
                </c:pt>
                <c:pt idx="420">
                  <c:v>40458</c:v>
                </c:pt>
                <c:pt idx="421">
                  <c:v>40451</c:v>
                </c:pt>
                <c:pt idx="422">
                  <c:v>40444</c:v>
                </c:pt>
                <c:pt idx="423">
                  <c:v>40437</c:v>
                </c:pt>
                <c:pt idx="424">
                  <c:v>40430</c:v>
                </c:pt>
                <c:pt idx="425">
                  <c:v>40423</c:v>
                </c:pt>
                <c:pt idx="426">
                  <c:v>40416</c:v>
                </c:pt>
                <c:pt idx="427">
                  <c:v>40409</c:v>
                </c:pt>
                <c:pt idx="428">
                  <c:v>40402</c:v>
                </c:pt>
                <c:pt idx="429">
                  <c:v>40395</c:v>
                </c:pt>
                <c:pt idx="430">
                  <c:v>40388</c:v>
                </c:pt>
                <c:pt idx="431">
                  <c:v>40381</c:v>
                </c:pt>
                <c:pt idx="432">
                  <c:v>40374</c:v>
                </c:pt>
                <c:pt idx="433">
                  <c:v>40367</c:v>
                </c:pt>
                <c:pt idx="434">
                  <c:v>40360</c:v>
                </c:pt>
                <c:pt idx="435">
                  <c:v>40353</c:v>
                </c:pt>
                <c:pt idx="436">
                  <c:v>40346</c:v>
                </c:pt>
                <c:pt idx="437">
                  <c:v>40339</c:v>
                </c:pt>
                <c:pt idx="438">
                  <c:v>40332</c:v>
                </c:pt>
                <c:pt idx="439">
                  <c:v>40325</c:v>
                </c:pt>
                <c:pt idx="440">
                  <c:v>40318</c:v>
                </c:pt>
                <c:pt idx="441">
                  <c:v>40311</c:v>
                </c:pt>
                <c:pt idx="442">
                  <c:v>40304</c:v>
                </c:pt>
                <c:pt idx="443">
                  <c:v>40297</c:v>
                </c:pt>
                <c:pt idx="444">
                  <c:v>40290</c:v>
                </c:pt>
                <c:pt idx="445">
                  <c:v>40283</c:v>
                </c:pt>
                <c:pt idx="446">
                  <c:v>40276</c:v>
                </c:pt>
                <c:pt idx="447">
                  <c:v>40269</c:v>
                </c:pt>
                <c:pt idx="448">
                  <c:v>40262</c:v>
                </c:pt>
                <c:pt idx="449">
                  <c:v>40255</c:v>
                </c:pt>
                <c:pt idx="450">
                  <c:v>40248</c:v>
                </c:pt>
                <c:pt idx="451">
                  <c:v>40241</c:v>
                </c:pt>
                <c:pt idx="452">
                  <c:v>40234</c:v>
                </c:pt>
                <c:pt idx="453">
                  <c:v>40227</c:v>
                </c:pt>
                <c:pt idx="454">
                  <c:v>40220</c:v>
                </c:pt>
                <c:pt idx="455">
                  <c:v>40213</c:v>
                </c:pt>
                <c:pt idx="456">
                  <c:v>40206</c:v>
                </c:pt>
                <c:pt idx="457">
                  <c:v>40199</c:v>
                </c:pt>
                <c:pt idx="458">
                  <c:v>40192</c:v>
                </c:pt>
                <c:pt idx="459">
                  <c:v>40185</c:v>
                </c:pt>
                <c:pt idx="460">
                  <c:v>40178</c:v>
                </c:pt>
                <c:pt idx="461">
                  <c:v>40171</c:v>
                </c:pt>
                <c:pt idx="462">
                  <c:v>40164</c:v>
                </c:pt>
                <c:pt idx="463">
                  <c:v>40157</c:v>
                </c:pt>
                <c:pt idx="464">
                  <c:v>40150</c:v>
                </c:pt>
                <c:pt idx="465">
                  <c:v>40142</c:v>
                </c:pt>
                <c:pt idx="466">
                  <c:v>40136</c:v>
                </c:pt>
                <c:pt idx="467">
                  <c:v>40129</c:v>
                </c:pt>
                <c:pt idx="468">
                  <c:v>40122</c:v>
                </c:pt>
                <c:pt idx="469">
                  <c:v>40115</c:v>
                </c:pt>
                <c:pt idx="470">
                  <c:v>40108</c:v>
                </c:pt>
                <c:pt idx="471">
                  <c:v>40101</c:v>
                </c:pt>
                <c:pt idx="472">
                  <c:v>40094</c:v>
                </c:pt>
                <c:pt idx="473">
                  <c:v>40087</c:v>
                </c:pt>
                <c:pt idx="474">
                  <c:v>40080</c:v>
                </c:pt>
                <c:pt idx="475">
                  <c:v>40073</c:v>
                </c:pt>
                <c:pt idx="476">
                  <c:v>40066</c:v>
                </c:pt>
                <c:pt idx="477">
                  <c:v>40059</c:v>
                </c:pt>
                <c:pt idx="478">
                  <c:v>40052</c:v>
                </c:pt>
                <c:pt idx="479">
                  <c:v>40045</c:v>
                </c:pt>
                <c:pt idx="480">
                  <c:v>40038</c:v>
                </c:pt>
                <c:pt idx="481">
                  <c:v>40031</c:v>
                </c:pt>
                <c:pt idx="482">
                  <c:v>40024</c:v>
                </c:pt>
                <c:pt idx="483">
                  <c:v>40017</c:v>
                </c:pt>
                <c:pt idx="484">
                  <c:v>40010</c:v>
                </c:pt>
                <c:pt idx="485">
                  <c:v>40003</c:v>
                </c:pt>
                <c:pt idx="486">
                  <c:v>39996</c:v>
                </c:pt>
                <c:pt idx="487">
                  <c:v>39989</c:v>
                </c:pt>
                <c:pt idx="488">
                  <c:v>39982</c:v>
                </c:pt>
                <c:pt idx="489">
                  <c:v>39975</c:v>
                </c:pt>
                <c:pt idx="490">
                  <c:v>39968</c:v>
                </c:pt>
                <c:pt idx="491">
                  <c:v>39961</c:v>
                </c:pt>
                <c:pt idx="492">
                  <c:v>39954</c:v>
                </c:pt>
                <c:pt idx="493">
                  <c:v>39947</c:v>
                </c:pt>
                <c:pt idx="494">
                  <c:v>39940</c:v>
                </c:pt>
                <c:pt idx="495">
                  <c:v>39933</c:v>
                </c:pt>
                <c:pt idx="496">
                  <c:v>39926</c:v>
                </c:pt>
                <c:pt idx="497">
                  <c:v>39919</c:v>
                </c:pt>
                <c:pt idx="498">
                  <c:v>39912</c:v>
                </c:pt>
                <c:pt idx="499">
                  <c:v>39905</c:v>
                </c:pt>
                <c:pt idx="500">
                  <c:v>39898</c:v>
                </c:pt>
                <c:pt idx="501">
                  <c:v>39891</c:v>
                </c:pt>
                <c:pt idx="502">
                  <c:v>39884</c:v>
                </c:pt>
                <c:pt idx="503">
                  <c:v>39877</c:v>
                </c:pt>
                <c:pt idx="504">
                  <c:v>39870</c:v>
                </c:pt>
                <c:pt idx="505">
                  <c:v>39863</c:v>
                </c:pt>
                <c:pt idx="506">
                  <c:v>39856</c:v>
                </c:pt>
                <c:pt idx="507">
                  <c:v>39849</c:v>
                </c:pt>
                <c:pt idx="508">
                  <c:v>39842</c:v>
                </c:pt>
                <c:pt idx="509">
                  <c:v>39835</c:v>
                </c:pt>
                <c:pt idx="510">
                  <c:v>39828</c:v>
                </c:pt>
                <c:pt idx="511">
                  <c:v>39821</c:v>
                </c:pt>
                <c:pt idx="512">
                  <c:v>39813</c:v>
                </c:pt>
                <c:pt idx="513">
                  <c:v>39806</c:v>
                </c:pt>
                <c:pt idx="514">
                  <c:v>39800</c:v>
                </c:pt>
                <c:pt idx="515">
                  <c:v>39793</c:v>
                </c:pt>
                <c:pt idx="516">
                  <c:v>39786</c:v>
                </c:pt>
                <c:pt idx="517">
                  <c:v>39778</c:v>
                </c:pt>
                <c:pt idx="518">
                  <c:v>39772</c:v>
                </c:pt>
                <c:pt idx="519">
                  <c:v>39765</c:v>
                </c:pt>
                <c:pt idx="520">
                  <c:v>39758</c:v>
                </c:pt>
                <c:pt idx="521">
                  <c:v>39751</c:v>
                </c:pt>
                <c:pt idx="522">
                  <c:v>39744</c:v>
                </c:pt>
                <c:pt idx="523">
                  <c:v>39737</c:v>
                </c:pt>
                <c:pt idx="524">
                  <c:v>39730</c:v>
                </c:pt>
                <c:pt idx="525">
                  <c:v>39723</c:v>
                </c:pt>
                <c:pt idx="526">
                  <c:v>39716</c:v>
                </c:pt>
                <c:pt idx="527">
                  <c:v>39709</c:v>
                </c:pt>
                <c:pt idx="528">
                  <c:v>39702</c:v>
                </c:pt>
                <c:pt idx="529">
                  <c:v>39695</c:v>
                </c:pt>
                <c:pt idx="530">
                  <c:v>39688</c:v>
                </c:pt>
                <c:pt idx="531">
                  <c:v>39681</c:v>
                </c:pt>
                <c:pt idx="532">
                  <c:v>39674</c:v>
                </c:pt>
                <c:pt idx="533">
                  <c:v>39667</c:v>
                </c:pt>
                <c:pt idx="534">
                  <c:v>39660</c:v>
                </c:pt>
                <c:pt idx="535">
                  <c:v>39653</c:v>
                </c:pt>
                <c:pt idx="536">
                  <c:v>39646</c:v>
                </c:pt>
                <c:pt idx="537">
                  <c:v>39639</c:v>
                </c:pt>
                <c:pt idx="538">
                  <c:v>39632</c:v>
                </c:pt>
                <c:pt idx="539">
                  <c:v>39625</c:v>
                </c:pt>
                <c:pt idx="540">
                  <c:v>39618</c:v>
                </c:pt>
                <c:pt idx="541">
                  <c:v>39611</c:v>
                </c:pt>
                <c:pt idx="542">
                  <c:v>39604</c:v>
                </c:pt>
                <c:pt idx="543">
                  <c:v>39597</c:v>
                </c:pt>
                <c:pt idx="544">
                  <c:v>39590</c:v>
                </c:pt>
                <c:pt idx="545">
                  <c:v>39583</c:v>
                </c:pt>
                <c:pt idx="546">
                  <c:v>39576</c:v>
                </c:pt>
                <c:pt idx="547">
                  <c:v>39569</c:v>
                </c:pt>
                <c:pt idx="548">
                  <c:v>39562</c:v>
                </c:pt>
                <c:pt idx="549">
                  <c:v>39555</c:v>
                </c:pt>
                <c:pt idx="550">
                  <c:v>39548</c:v>
                </c:pt>
                <c:pt idx="551">
                  <c:v>39541</c:v>
                </c:pt>
                <c:pt idx="552">
                  <c:v>39534</c:v>
                </c:pt>
                <c:pt idx="553">
                  <c:v>39527</c:v>
                </c:pt>
                <c:pt idx="554">
                  <c:v>39520</c:v>
                </c:pt>
                <c:pt idx="555">
                  <c:v>39513</c:v>
                </c:pt>
                <c:pt idx="556">
                  <c:v>39506</c:v>
                </c:pt>
                <c:pt idx="557">
                  <c:v>39499</c:v>
                </c:pt>
                <c:pt idx="558">
                  <c:v>39492</c:v>
                </c:pt>
                <c:pt idx="559">
                  <c:v>39485</c:v>
                </c:pt>
                <c:pt idx="560">
                  <c:v>39478</c:v>
                </c:pt>
                <c:pt idx="561">
                  <c:v>39471</c:v>
                </c:pt>
                <c:pt idx="562">
                  <c:v>39464</c:v>
                </c:pt>
                <c:pt idx="563">
                  <c:v>39457</c:v>
                </c:pt>
                <c:pt idx="564">
                  <c:v>39450</c:v>
                </c:pt>
              </c:numCache>
            </c:numRef>
          </c:cat>
          <c:val>
            <c:numRef>
              <c:f>Query!$M$3:$M$567</c:f>
              <c:numCache>
                <c:formatCode>General</c:formatCode>
                <c:ptCount val="5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968.5</c:v>
                </c:pt>
                <c:pt idx="13">
                  <c:v>999.6</c:v>
                </c:pt>
                <c:pt idx="14">
                  <c:v>981.7</c:v>
                </c:pt>
                <c:pt idx="15">
                  <c:v>959.5</c:v>
                </c:pt>
                <c:pt idx="16">
                  <c:v>996.4</c:v>
                </c:pt>
                <c:pt idx="17">
                  <c:v>1021.3</c:v>
                </c:pt>
                <c:pt idx="18">
                  <c:v>1070.5999999999999</c:v>
                </c:pt>
                <c:pt idx="19">
                  <c:v>1000.6</c:v>
                </c:pt>
                <c:pt idx="20">
                  <c:v>1031.4000000000001</c:v>
                </c:pt>
                <c:pt idx="21">
                  <c:v>992.7</c:v>
                </c:pt>
                <c:pt idx="22">
                  <c:v>1035.7</c:v>
                </c:pt>
                <c:pt idx="23">
                  <c:v>1066.8</c:v>
                </c:pt>
                <c:pt idx="24">
                  <c:v>1117.7</c:v>
                </c:pt>
                <c:pt idx="25">
                  <c:v>1116.9000000000001</c:v>
                </c:pt>
                <c:pt idx="26">
                  <c:v>1158.9000000000001</c:v>
                </c:pt>
                <c:pt idx="27">
                  <c:v>1164.8</c:v>
                </c:pt>
                <c:pt idx="28">
                  <c:v>1099.7</c:v>
                </c:pt>
                <c:pt idx="29">
                  <c:v>1146.4000000000001</c:v>
                </c:pt>
                <c:pt idx="30">
                  <c:v>1215</c:v>
                </c:pt>
                <c:pt idx="31">
                  <c:v>1112.3</c:v>
                </c:pt>
                <c:pt idx="32">
                  <c:v>1170.7</c:v>
                </c:pt>
                <c:pt idx="33">
                  <c:v>1208.4000000000001</c:v>
                </c:pt>
                <c:pt idx="34">
                  <c:v>1171.9000000000001</c:v>
                </c:pt>
                <c:pt idx="35">
                  <c:v>1202.5</c:v>
                </c:pt>
                <c:pt idx="36">
                  <c:v>1282.3</c:v>
                </c:pt>
                <c:pt idx="37">
                  <c:v>1291.0999999999999</c:v>
                </c:pt>
                <c:pt idx="38">
                  <c:v>1271.0999999999999</c:v>
                </c:pt>
                <c:pt idx="39">
                  <c:v>1276</c:v>
                </c:pt>
                <c:pt idx="40">
                  <c:v>1258.5</c:v>
                </c:pt>
                <c:pt idx="41">
                  <c:v>1209</c:v>
                </c:pt>
                <c:pt idx="42">
                  <c:v>#N/A</c:v>
                </c:pt>
                <c:pt idx="43">
                  <c:v>1110.2</c:v>
                </c:pt>
                <c:pt idx="44">
                  <c:v>1095.7</c:v>
                </c:pt>
                <c:pt idx="45">
                  <c:v>1167.8</c:v>
                </c:pt>
                <c:pt idx="46">
                  <c:v>1206.7</c:v>
                </c:pt>
                <c:pt idx="47">
                  <c:v>1247.2</c:v>
                </c:pt>
                <c:pt idx="48">
                  <c:v>#N/A</c:v>
                </c:pt>
                <c:pt idx="49">
                  <c:v>1252</c:v>
                </c:pt>
                <c:pt idx="50">
                  <c:v>1330.2</c:v>
                </c:pt>
                <c:pt idx="51">
                  <c:v>1254.0999999999999</c:v>
                </c:pt>
                <c:pt idx="52">
                  <c:v>1268</c:v>
                </c:pt>
                <c:pt idx="53">
                  <c:v>1337.3</c:v>
                </c:pt>
                <c:pt idx="54">
                  <c:v>1358.9</c:v>
                </c:pt>
                <c:pt idx="55">
                  <c:v>1309.3</c:v>
                </c:pt>
                <c:pt idx="56">
                  <c:v>1409.8</c:v>
                </c:pt>
                <c:pt idx="57">
                  <c:v>1431.2</c:v>
                </c:pt>
                <c:pt idx="58">
                  <c:v>1472.2</c:v>
                </c:pt>
                <c:pt idx="59">
                  <c:v>1612.6</c:v>
                </c:pt>
                <c:pt idx="60">
                  <c:v>1499.8</c:v>
                </c:pt>
                <c:pt idx="61">
                  <c:v>1425.8</c:v>
                </c:pt>
                <c:pt idx="62">
                  <c:v>1441</c:v>
                </c:pt>
                <c:pt idx="63">
                  <c:v>1428.7</c:v>
                </c:pt>
                <c:pt idx="64">
                  <c:v>1395.5</c:v>
                </c:pt>
                <c:pt idx="65">
                  <c:v>1349.5</c:v>
                </c:pt>
                <c:pt idx="66">
                  <c:v>1395.7</c:v>
                </c:pt>
                <c:pt idx="67">
                  <c:v>1333.5</c:v>
                </c:pt>
                <c:pt idx="68">
                  <c:v>1182.7</c:v>
                </c:pt>
                <c:pt idx="69">
                  <c:v>1371.7</c:v>
                </c:pt>
                <c:pt idx="70">
                  <c:v>1371.7</c:v>
                </c:pt>
                <c:pt idx="71">
                  <c:v>1488.8</c:v>
                </c:pt>
                <c:pt idx="72">
                  <c:v>1420.3</c:v>
                </c:pt>
                <c:pt idx="73">
                  <c:v>1332.6</c:v>
                </c:pt>
                <c:pt idx="74">
                  <c:v>1292.7</c:v>
                </c:pt>
                <c:pt idx="75">
                  <c:v>1366.1</c:v>
                </c:pt>
                <c:pt idx="76">
                  <c:v>1244.5999999999999</c:v>
                </c:pt>
                <c:pt idx="77">
                  <c:v>1324.5</c:v>
                </c:pt>
                <c:pt idx="78">
                  <c:v>1284.4000000000001</c:v>
                </c:pt>
                <c:pt idx="79">
                  <c:v>1354</c:v>
                </c:pt>
                <c:pt idx="80">
                  <c:v>1258.0999999999999</c:v>
                </c:pt>
                <c:pt idx="81">
                  <c:v>1262.8</c:v>
                </c:pt>
                <c:pt idx="82">
                  <c:v>1259.5</c:v>
                </c:pt>
                <c:pt idx="83">
                  <c:v>1324.1</c:v>
                </c:pt>
                <c:pt idx="84">
                  <c:v>1380</c:v>
                </c:pt>
                <c:pt idx="85">
                  <c:v>1401.1</c:v>
                </c:pt>
                <c:pt idx="86">
                  <c:v>1310</c:v>
                </c:pt>
                <c:pt idx="87">
                  <c:v>1229.3</c:v>
                </c:pt>
                <c:pt idx="88">
                  <c:v>1172.9000000000001</c:v>
                </c:pt>
                <c:pt idx="89">
                  <c:v>1184.0999999999999</c:v>
                </c:pt>
                <c:pt idx="90">
                  <c:v>1192.5</c:v>
                </c:pt>
                <c:pt idx="91">
                  <c:v>1169.2</c:v>
                </c:pt>
                <c:pt idx="92">
                  <c:v>1154.3</c:v>
                </c:pt>
                <c:pt idx="93">
                  <c:v>1169.8</c:v>
                </c:pt>
                <c:pt idx="94">
                  <c:v>1127.5999999999999</c:v>
                </c:pt>
                <c:pt idx="95">
                  <c:v>1098</c:v>
                </c:pt>
                <c:pt idx="96">
                  <c:v>1074.7</c:v>
                </c:pt>
                <c:pt idx="97">
                  <c:v>1361.1</c:v>
                </c:pt>
                <c:pt idx="98">
                  <c:v>1328.9</c:v>
                </c:pt>
                <c:pt idx="99">
                  <c:v>1380.8</c:v>
                </c:pt>
                <c:pt idx="100">
                  <c:v>1422.7</c:v>
                </c:pt>
                <c:pt idx="101">
                  <c:v>1620.2</c:v>
                </c:pt>
                <c:pt idx="102">
                  <c:v>1648</c:v>
                </c:pt>
                <c:pt idx="103">
                  <c:v>1883</c:v>
                </c:pt>
                <c:pt idx="104">
                  <c:v>1937.8</c:v>
                </c:pt>
                <c:pt idx="105">
                  <c:v>1972.5</c:v>
                </c:pt>
                <c:pt idx="106">
                  <c:v>2006.9</c:v>
                </c:pt>
                <c:pt idx="107">
                  <c:v>2075.9</c:v>
                </c:pt>
                <c:pt idx="108">
                  <c:v>2301.9</c:v>
                </c:pt>
                <c:pt idx="109">
                  <c:v>2170.3000000000002</c:v>
                </c:pt>
                <c:pt idx="110">
                  <c:v>2217.4</c:v>
                </c:pt>
                <c:pt idx="111">
                  <c:v>2424.5</c:v>
                </c:pt>
                <c:pt idx="112">
                  <c:v>2382.1999999999998</c:v>
                </c:pt>
                <c:pt idx="113">
                  <c:v>2329.9</c:v>
                </c:pt>
                <c:pt idx="114">
                  <c:v>2296.5</c:v>
                </c:pt>
                <c:pt idx="115">
                  <c:v>2302.4</c:v>
                </c:pt>
                <c:pt idx="116">
                  <c:v>2386.3000000000002</c:v>
                </c:pt>
                <c:pt idx="117">
                  <c:v>2254.9</c:v>
                </c:pt>
                <c:pt idx="118">
                  <c:v>2333.1999999999998</c:v>
                </c:pt>
                <c:pt idx="119">
                  <c:v>2783.1</c:v>
                </c:pt>
                <c:pt idx="120">
                  <c:v>2771.6</c:v>
                </c:pt>
                <c:pt idx="121">
                  <c:v>2474.3000000000002</c:v>
                </c:pt>
                <c:pt idx="122">
                  <c:v>2037</c:v>
                </c:pt>
                <c:pt idx="123">
                  <c:v>2081.1999999999998</c:v>
                </c:pt>
                <c:pt idx="124">
                  <c:v>1967.5</c:v>
                </c:pt>
                <c:pt idx="125">
                  <c:v>1922.8</c:v>
                </c:pt>
                <c:pt idx="126">
                  <c:v>1770.1</c:v>
                </c:pt>
                <c:pt idx="127">
                  <c:v>1866.3</c:v>
                </c:pt>
                <c:pt idx="128">
                  <c:v>1849.7</c:v>
                </c:pt>
                <c:pt idx="129">
                  <c:v>1812</c:v>
                </c:pt>
                <c:pt idx="130">
                  <c:v>1791.9</c:v>
                </c:pt>
                <c:pt idx="131">
                  <c:v>1910.1</c:v>
                </c:pt>
                <c:pt idx="132">
                  <c:v>2072.6</c:v>
                </c:pt>
                <c:pt idx="133">
                  <c:v>2061.1</c:v>
                </c:pt>
                <c:pt idx="134">
                  <c:v>1815.4</c:v>
                </c:pt>
                <c:pt idx="135">
                  <c:v>1671.6</c:v>
                </c:pt>
                <c:pt idx="136">
                  <c:v>1743.3</c:v>
                </c:pt>
                <c:pt idx="137">
                  <c:v>1841.2</c:v>
                </c:pt>
                <c:pt idx="138">
                  <c:v>1928</c:v>
                </c:pt>
                <c:pt idx="139">
                  <c:v>1992.9</c:v>
                </c:pt>
                <c:pt idx="140">
                  <c:v>2099.9</c:v>
                </c:pt>
                <c:pt idx="141">
                  <c:v>2341.5</c:v>
                </c:pt>
                <c:pt idx="142">
                  <c:v>2015.4</c:v>
                </c:pt>
                <c:pt idx="143">
                  <c:v>1726.6</c:v>
                </c:pt>
                <c:pt idx="144">
                  <c:v>1734.4</c:v>
                </c:pt>
                <c:pt idx="145">
                  <c:v>1544.6</c:v>
                </c:pt>
                <c:pt idx="146">
                  <c:v>1273.8</c:v>
                </c:pt>
                <c:pt idx="147">
                  <c:v>1020.5</c:v>
                </c:pt>
                <c:pt idx="148">
                  <c:v>1174.0999999999999</c:v>
                </c:pt>
                <c:pt idx="149">
                  <c:v>1667.4</c:v>
                </c:pt>
                <c:pt idx="150">
                  <c:v>1470.6</c:v>
                </c:pt>
                <c:pt idx="151">
                  <c:v>1451.5</c:v>
                </c:pt>
                <c:pt idx="152">
                  <c:v>1410.2</c:v>
                </c:pt>
                <c:pt idx="153">
                  <c:v>1489</c:v>
                </c:pt>
                <c:pt idx="154">
                  <c:v>1528.7</c:v>
                </c:pt>
                <c:pt idx="155">
                  <c:v>1514.1</c:v>
                </c:pt>
                <c:pt idx="156">
                  <c:v>1548.6</c:v>
                </c:pt>
                <c:pt idx="157">
                  <c:v>1544.8</c:v>
                </c:pt>
                <c:pt idx="158">
                  <c:v>1575.3</c:v>
                </c:pt>
                <c:pt idx="159">
                  <c:v>1534.5</c:v>
                </c:pt>
                <c:pt idx="160">
                  <c:v>2071.6</c:v>
                </c:pt>
                <c:pt idx="161">
                  <c:v>1589.5</c:v>
                </c:pt>
                <c:pt idx="162">
                  <c:v>1759.9</c:v>
                </c:pt>
                <c:pt idx="163">
                  <c:v>1473.7</c:v>
                </c:pt>
                <c:pt idx="164">
                  <c:v>1626.9</c:v>
                </c:pt>
                <c:pt idx="165">
                  <c:v>1857.7</c:v>
                </c:pt>
                <c:pt idx="166">
                  <c:v>1545.5</c:v>
                </c:pt>
                <c:pt idx="167">
                  <c:v>1561.2</c:v>
                </c:pt>
                <c:pt idx="168">
                  <c:v>1455.2</c:v>
                </c:pt>
                <c:pt idx="169">
                  <c:v>1418</c:v>
                </c:pt>
                <c:pt idx="170">
                  <c:v>1339.9</c:v>
                </c:pt>
                <c:pt idx="171">
                  <c:v>1305.5999999999999</c:v>
                </c:pt>
                <c:pt idx="172">
                  <c:v>1332.4</c:v>
                </c:pt>
                <c:pt idx="173">
                  <c:v>1299.9000000000001</c:v>
                </c:pt>
                <c:pt idx="174">
                  <c:v>1246.0999999999999</c:v>
                </c:pt>
                <c:pt idx="175">
                  <c:v>1318.3</c:v>
                </c:pt>
                <c:pt idx="176">
                  <c:v>1273.4000000000001</c:v>
                </c:pt>
                <c:pt idx="177">
                  <c:v>1342.4</c:v>
                </c:pt>
                <c:pt idx="178">
                  <c:v>1233.9000000000001</c:v>
                </c:pt>
                <c:pt idx="179">
                  <c:v>1408.1</c:v>
                </c:pt>
                <c:pt idx="180">
                  <c:v>1448.8</c:v>
                </c:pt>
                <c:pt idx="181">
                  <c:v>1477.8</c:v>
                </c:pt>
                <c:pt idx="182">
                  <c:v>1559.4</c:v>
                </c:pt>
                <c:pt idx="183">
                  <c:v>1723</c:v>
                </c:pt>
                <c:pt idx="184">
                  <c:v>1817</c:v>
                </c:pt>
                <c:pt idx="185">
                  <c:v>1804.6</c:v>
                </c:pt>
                <c:pt idx="186">
                  <c:v>1854.7</c:v>
                </c:pt>
                <c:pt idx="187">
                  <c:v>1941.6</c:v>
                </c:pt>
                <c:pt idx="188">
                  <c:v>1860.8</c:v>
                </c:pt>
                <c:pt idx="189">
                  <c:v>1623.6</c:v>
                </c:pt>
                <c:pt idx="190">
                  <c:v>1685.7</c:v>
                </c:pt>
                <c:pt idx="191">
                  <c:v>1740.3</c:v>
                </c:pt>
                <c:pt idx="192">
                  <c:v>1703.1</c:v>
                </c:pt>
                <c:pt idx="193">
                  <c:v>1904.2</c:v>
                </c:pt>
                <c:pt idx="194">
                  <c:v>2291.3000000000002</c:v>
                </c:pt>
                <c:pt idx="195">
                  <c:v>2584.8000000000002</c:v>
                </c:pt>
                <c:pt idx="196">
                  <c:v>2572.3000000000002</c:v>
                </c:pt>
                <c:pt idx="197">
                  <c:v>2799.3</c:v>
                </c:pt>
                <c:pt idx="198">
                  <c:v>2271.5</c:v>
                </c:pt>
                <c:pt idx="199">
                  <c:v>1347.6</c:v>
                </c:pt>
                <c:pt idx="200">
                  <c:v>1164.2</c:v>
                </c:pt>
                <c:pt idx="201">
                  <c:v>1538.7</c:v>
                </c:pt>
                <c:pt idx="202">
                  <c:v>1518.8</c:v>
                </c:pt>
                <c:pt idx="203">
                  <c:v>1548.6</c:v>
                </c:pt>
                <c:pt idx="204">
                  <c:v>#N/A</c:v>
                </c:pt>
                <c:pt idx="205">
                  <c:v>1547.9</c:v>
                </c:pt>
                <c:pt idx="206">
                  <c:v>1563.2</c:v>
                </c:pt>
                <c:pt idx="207">
                  <c:v>1565.3</c:v>
                </c:pt>
                <c:pt idx="208">
                  <c:v>1604.8</c:v>
                </c:pt>
                <c:pt idx="209">
                  <c:v>1713.6</c:v>
                </c:pt>
                <c:pt idx="210">
                  <c:v>1898.2</c:v>
                </c:pt>
                <c:pt idx="211">
                  <c:v>1560.6</c:v>
                </c:pt>
                <c:pt idx="212">
                  <c:v>1387.1</c:v>
                </c:pt>
                <c:pt idx="213">
                  <c:v>1326.2</c:v>
                </c:pt>
                <c:pt idx="214">
                  <c:v>1335.1</c:v>
                </c:pt>
                <c:pt idx="215">
                  <c:v>1398.4</c:v>
                </c:pt>
                <c:pt idx="216">
                  <c:v>1275.8</c:v>
                </c:pt>
                <c:pt idx="217">
                  <c:v>1436</c:v>
                </c:pt>
                <c:pt idx="218">
                  <c:v>1439.4</c:v>
                </c:pt>
                <c:pt idx="219">
                  <c:v>1404.9</c:v>
                </c:pt>
                <c:pt idx="220">
                  <c:v>1342.6</c:v>
                </c:pt>
                <c:pt idx="221">
                  <c:v>1373.9</c:v>
                </c:pt>
                <c:pt idx="222">
                  <c:v>1327.5</c:v>
                </c:pt>
                <c:pt idx="223">
                  <c:v>1400.7</c:v>
                </c:pt>
                <c:pt idx="224">
                  <c:v>1329.7</c:v>
                </c:pt>
                <c:pt idx="225">
                  <c:v>1346.8</c:v>
                </c:pt>
                <c:pt idx="226">
                  <c:v>1341.8</c:v>
                </c:pt>
                <c:pt idx="227">
                  <c:v>1333.5</c:v>
                </c:pt>
                <c:pt idx="228">
                  <c:v>1321.3</c:v>
                </c:pt>
                <c:pt idx="229">
                  <c:v>1516.9</c:v>
                </c:pt>
                <c:pt idx="230">
                  <c:v>1382.6</c:v>
                </c:pt>
                <c:pt idx="231">
                  <c:v>1453.4</c:v>
                </c:pt>
                <c:pt idx="232">
                  <c:v>1460.6</c:v>
                </c:pt>
                <c:pt idx="233">
                  <c:v>1400.9</c:v>
                </c:pt>
                <c:pt idx="234">
                  <c:v>1323.9</c:v>
                </c:pt>
                <c:pt idx="235">
                  <c:v>1298.0999999999999</c:v>
                </c:pt>
                <c:pt idx="236">
                  <c:v>1370.9</c:v>
                </c:pt>
                <c:pt idx="237">
                  <c:v>1429.9</c:v>
                </c:pt>
                <c:pt idx="238">
                  <c:v>1324.7</c:v>
                </c:pt>
                <c:pt idx="239">
                  <c:v>1383.5</c:v>
                </c:pt>
                <c:pt idx="240">
                  <c:v>1426.3</c:v>
                </c:pt>
                <c:pt idx="241">
                  <c:v>1552.1</c:v>
                </c:pt>
                <c:pt idx="242">
                  <c:v>1528</c:v>
                </c:pt>
                <c:pt idx="243">
                  <c:v>1600.6</c:v>
                </c:pt>
                <c:pt idx="244">
                  <c:v>1442.3</c:v>
                </c:pt>
                <c:pt idx="245">
                  <c:v>1650.6</c:v>
                </c:pt>
                <c:pt idx="246">
                  <c:v>1674.2</c:v>
                </c:pt>
                <c:pt idx="247">
                  <c:v>1667.5</c:v>
                </c:pt>
                <c:pt idx="248">
                  <c:v>1601.2</c:v>
                </c:pt>
                <c:pt idx="249">
                  <c:v>1675.8</c:v>
                </c:pt>
                <c:pt idx="250">
                  <c:v>1507</c:v>
                </c:pt>
                <c:pt idx="251">
                  <c:v>1352.7</c:v>
                </c:pt>
                <c:pt idx="252">
                  <c:v>1277.8</c:v>
                </c:pt>
                <c:pt idx="253">
                  <c:v>1426.7</c:v>
                </c:pt>
                <c:pt idx="254">
                  <c:v>1529.8</c:v>
                </c:pt>
                <c:pt idx="255">
                  <c:v>1599.4</c:v>
                </c:pt>
                <c:pt idx="256">
                  <c:v>#N/A</c:v>
                </c:pt>
                <c:pt idx="257">
                  <c:v>1917.2</c:v>
                </c:pt>
                <c:pt idx="258">
                  <c:v>1903.5</c:v>
                </c:pt>
                <c:pt idx="259">
                  <c:v>2056.9</c:v>
                </c:pt>
                <c:pt idx="260">
                  <c:v>2105.6</c:v>
                </c:pt>
                <c:pt idx="261">
                  <c:v>2211.8000000000002</c:v>
                </c:pt>
                <c:pt idx="262">
                  <c:v>2033.7</c:v>
                </c:pt>
                <c:pt idx="263">
                  <c:v>2102.6999999999998</c:v>
                </c:pt>
                <c:pt idx="264">
                  <c:v>2025.3</c:v>
                </c:pt>
                <c:pt idx="265">
                  <c:v>1956.6</c:v>
                </c:pt>
                <c:pt idx="266">
                  <c:v>1922.9</c:v>
                </c:pt>
                <c:pt idx="267">
                  <c:v>1814</c:v>
                </c:pt>
                <c:pt idx="268">
                  <c:v>1512.9</c:v>
                </c:pt>
                <c:pt idx="269">
                  <c:v>1909</c:v>
                </c:pt>
                <c:pt idx="270">
                  <c:v>1842.6</c:v>
                </c:pt>
                <c:pt idx="271">
                  <c:v>1935.1</c:v>
                </c:pt>
                <c:pt idx="272">
                  <c:v>2110.6</c:v>
                </c:pt>
                <c:pt idx="273">
                  <c:v>2228.9</c:v>
                </c:pt>
                <c:pt idx="274">
                  <c:v>2218.3000000000002</c:v>
                </c:pt>
                <c:pt idx="275">
                  <c:v>2288</c:v>
                </c:pt>
                <c:pt idx="276">
                  <c:v>2242.1999999999998</c:v>
                </c:pt>
                <c:pt idx="277">
                  <c:v>#N/A</c:v>
                </c:pt>
                <c:pt idx="278">
                  <c:v>2573.4</c:v>
                </c:pt>
                <c:pt idx="279">
                  <c:v>3040.1</c:v>
                </c:pt>
                <c:pt idx="280">
                  <c:v>3214.4</c:v>
                </c:pt>
                <c:pt idx="281">
                  <c:v>3339.8</c:v>
                </c:pt>
                <c:pt idx="282">
                  <c:v>3163.6</c:v>
                </c:pt>
                <c:pt idx="283">
                  <c:v>3709.4</c:v>
                </c:pt>
                <c:pt idx="284">
                  <c:v>4241.5</c:v>
                </c:pt>
                <c:pt idx="285">
                  <c:v>4797.2</c:v>
                </c:pt>
                <c:pt idx="286">
                  <c:v>5279.9</c:v>
                </c:pt>
                <c:pt idx="287">
                  <c:v>4854.1000000000004</c:v>
                </c:pt>
                <c:pt idx="288">
                  <c:v>4672.1000000000004</c:v>
                </c:pt>
                <c:pt idx="289">
                  <c:v>4726.8999999999996</c:v>
                </c:pt>
                <c:pt idx="290">
                  <c:v>4528.8999999999996</c:v>
                </c:pt>
                <c:pt idx="291">
                  <c:v>4119.2</c:v>
                </c:pt>
                <c:pt idx="292">
                  <c:v>4412.8999999999996</c:v>
                </c:pt>
                <c:pt idx="293">
                  <c:v>4111.3</c:v>
                </c:pt>
                <c:pt idx="294">
                  <c:v>4485.2</c:v>
                </c:pt>
                <c:pt idx="295">
                  <c:v>4724.8999999999996</c:v>
                </c:pt>
                <c:pt idx="296">
                  <c:v>4136.3</c:v>
                </c:pt>
                <c:pt idx="297">
                  <c:v>4261.8</c:v>
                </c:pt>
                <c:pt idx="298">
                  <c:v>4284.3</c:v>
                </c:pt>
                <c:pt idx="299">
                  <c:v>4579</c:v>
                </c:pt>
                <c:pt idx="300">
                  <c:v>4433.6000000000004</c:v>
                </c:pt>
                <c:pt idx="301">
                  <c:v>4937.3999999999996</c:v>
                </c:pt>
                <c:pt idx="302">
                  <c:v>4554.3999999999996</c:v>
                </c:pt>
                <c:pt idx="303">
                  <c:v>3896.4</c:v>
                </c:pt>
                <c:pt idx="304">
                  <c:v>3488.9</c:v>
                </c:pt>
                <c:pt idx="305">
                  <c:v>3983.2</c:v>
                </c:pt>
                <c:pt idx="306">
                  <c:v>4564.3999999999996</c:v>
                </c:pt>
                <c:pt idx="307">
                  <c:v>5368.1</c:v>
                </c:pt>
                <c:pt idx="308">
                  <c:v>4943</c:v>
                </c:pt>
                <c:pt idx="309">
                  <c:v>#N/A</c:v>
                </c:pt>
                <c:pt idx="310">
                  <c:v>4702.3999999999996</c:v>
                </c:pt>
                <c:pt idx="311">
                  <c:v>4856.1000000000004</c:v>
                </c:pt>
                <c:pt idx="312">
                  <c:v>4297.7</c:v>
                </c:pt>
                <c:pt idx="313">
                  <c:v>4550.7</c:v>
                </c:pt>
                <c:pt idx="314">
                  <c:v>4847.2</c:v>
                </c:pt>
                <c:pt idx="315">
                  <c:v>5572.2</c:v>
                </c:pt>
                <c:pt idx="316">
                  <c:v>5892.5</c:v>
                </c:pt>
                <c:pt idx="317">
                  <c:v>5965.5</c:v>
                </c:pt>
                <c:pt idx="318">
                  <c:v>4979</c:v>
                </c:pt>
                <c:pt idx="319">
                  <c:v>4823.3</c:v>
                </c:pt>
                <c:pt idx="320">
                  <c:v>4779.1000000000004</c:v>
                </c:pt>
                <c:pt idx="321">
                  <c:v>4274.8</c:v>
                </c:pt>
                <c:pt idx="322">
                  <c:v>4414.6000000000004</c:v>
                </c:pt>
                <c:pt idx="323">
                  <c:v>4671.1000000000004</c:v>
                </c:pt>
                <c:pt idx="324">
                  <c:v>5172.2</c:v>
                </c:pt>
                <c:pt idx="325">
                  <c:v>5444.3</c:v>
                </c:pt>
                <c:pt idx="326">
                  <c:v>5492.1</c:v>
                </c:pt>
                <c:pt idx="327">
                  <c:v>5383.1</c:v>
                </c:pt>
                <c:pt idx="328">
                  <c:v>5246.8</c:v>
                </c:pt>
                <c:pt idx="329">
                  <c:v>4267.8999999999996</c:v>
                </c:pt>
                <c:pt idx="330">
                  <c:v>4372.2</c:v>
                </c:pt>
                <c:pt idx="331">
                  <c:v>4585.8</c:v>
                </c:pt>
                <c:pt idx="332">
                  <c:v>4719.6000000000004</c:v>
                </c:pt>
                <c:pt idx="333">
                  <c:v>5590</c:v>
                </c:pt>
                <c:pt idx="334">
                  <c:v>4736</c:v>
                </c:pt>
                <c:pt idx="335">
                  <c:v>4675.8999999999996</c:v>
                </c:pt>
                <c:pt idx="336">
                  <c:v>4732</c:v>
                </c:pt>
                <c:pt idx="337">
                  <c:v>4482</c:v>
                </c:pt>
                <c:pt idx="338">
                  <c:v>3924.4</c:v>
                </c:pt>
                <c:pt idx="339">
                  <c:v>3856</c:v>
                </c:pt>
                <c:pt idx="340">
                  <c:v>3892.2</c:v>
                </c:pt>
                <c:pt idx="341">
                  <c:v>4144.3</c:v>
                </c:pt>
                <c:pt idx="342">
                  <c:v>3549.3</c:v>
                </c:pt>
                <c:pt idx="343">
                  <c:v>3699.5</c:v>
                </c:pt>
                <c:pt idx="344">
                  <c:v>3588.4</c:v>
                </c:pt>
                <c:pt idx="345">
                  <c:v>3715.2</c:v>
                </c:pt>
                <c:pt idx="346">
                  <c:v>4063.4</c:v>
                </c:pt>
                <c:pt idx="347">
                  <c:v>4277.6000000000004</c:v>
                </c:pt>
                <c:pt idx="348">
                  <c:v>4379.1000000000004</c:v>
                </c:pt>
                <c:pt idx="349">
                  <c:v>4466.8999999999996</c:v>
                </c:pt>
                <c:pt idx="350">
                  <c:v>4716.1000000000004</c:v>
                </c:pt>
                <c:pt idx="351">
                  <c:v>4617.1000000000004</c:v>
                </c:pt>
                <c:pt idx="352">
                  <c:v>4184.3</c:v>
                </c:pt>
                <c:pt idx="353">
                  <c:v>4326.3999999999996</c:v>
                </c:pt>
                <c:pt idx="354">
                  <c:v>4626.5</c:v>
                </c:pt>
                <c:pt idx="355">
                  <c:v>3668.3</c:v>
                </c:pt>
                <c:pt idx="356">
                  <c:v>3608.1</c:v>
                </c:pt>
                <c:pt idx="357">
                  <c:v>3684.5</c:v>
                </c:pt>
                <c:pt idx="358">
                  <c:v>3676.1</c:v>
                </c:pt>
                <c:pt idx="359">
                  <c:v>3708.6</c:v>
                </c:pt>
                <c:pt idx="360">
                  <c:v>3394.7</c:v>
                </c:pt>
                <c:pt idx="361">
                  <c:v>#N/A</c:v>
                </c:pt>
                <c:pt idx="362">
                  <c:v>3466.8</c:v>
                </c:pt>
                <c:pt idx="363">
                  <c:v>3664.5</c:v>
                </c:pt>
                <c:pt idx="364">
                  <c:v>4137.6000000000004</c:v>
                </c:pt>
                <c:pt idx="365">
                  <c:v>3695</c:v>
                </c:pt>
                <c:pt idx="366">
                  <c:v>3719.3</c:v>
                </c:pt>
                <c:pt idx="367">
                  <c:v>3553.2</c:v>
                </c:pt>
                <c:pt idx="368">
                  <c:v>4251.1000000000004</c:v>
                </c:pt>
                <c:pt idx="369">
                  <c:v>4241.8</c:v>
                </c:pt>
                <c:pt idx="370">
                  <c:v>4512.1000000000004</c:v>
                </c:pt>
                <c:pt idx="371">
                  <c:v>4033.8</c:v>
                </c:pt>
                <c:pt idx="372">
                  <c:v>3571.7</c:v>
                </c:pt>
                <c:pt idx="373">
                  <c:v>3372</c:v>
                </c:pt>
                <c:pt idx="374">
                  <c:v>3601.3</c:v>
                </c:pt>
                <c:pt idx="375">
                  <c:v>4110.8</c:v>
                </c:pt>
                <c:pt idx="376">
                  <c:v>4184.3999999999996</c:v>
                </c:pt>
                <c:pt idx="377">
                  <c:v>3880.9</c:v>
                </c:pt>
                <c:pt idx="378">
                  <c:v>2974.1</c:v>
                </c:pt>
                <c:pt idx="379">
                  <c:v>2769.6</c:v>
                </c:pt>
                <c:pt idx="380">
                  <c:v>2923.8</c:v>
                </c:pt>
                <c:pt idx="381">
                  <c:v>2362.6999999999998</c:v>
                </c:pt>
                <c:pt idx="382">
                  <c:v>2527.5</c:v>
                </c:pt>
                <c:pt idx="383">
                  <c:v>2809.5</c:v>
                </c:pt>
                <c:pt idx="384">
                  <c:v>2857.9</c:v>
                </c:pt>
                <c:pt idx="385">
                  <c:v>3101.7</c:v>
                </c:pt>
                <c:pt idx="386">
                  <c:v>2648</c:v>
                </c:pt>
                <c:pt idx="387">
                  <c:v>2619.6999999999998</c:v>
                </c:pt>
                <c:pt idx="388">
                  <c:v>2764.6</c:v>
                </c:pt>
                <c:pt idx="389">
                  <c:v>2742.2</c:v>
                </c:pt>
                <c:pt idx="390">
                  <c:v>2414.9</c:v>
                </c:pt>
                <c:pt idx="391">
                  <c:v>2220.1</c:v>
                </c:pt>
                <c:pt idx="392">
                  <c:v>2091.4</c:v>
                </c:pt>
                <c:pt idx="393">
                  <c:v>2065.3000000000002</c:v>
                </c:pt>
                <c:pt idx="394">
                  <c:v>2010.6</c:v>
                </c:pt>
                <c:pt idx="395">
                  <c:v>2194.4</c:v>
                </c:pt>
                <c:pt idx="396">
                  <c:v>2350.6999999999998</c:v>
                </c:pt>
                <c:pt idx="397">
                  <c:v>2620.8000000000002</c:v>
                </c:pt>
                <c:pt idx="398">
                  <c:v>2563.6</c:v>
                </c:pt>
                <c:pt idx="399">
                  <c:v>2539.4</c:v>
                </c:pt>
                <c:pt idx="400">
                  <c:v>2155.5</c:v>
                </c:pt>
                <c:pt idx="401">
                  <c:v>2325.3000000000002</c:v>
                </c:pt>
                <c:pt idx="402">
                  <c:v>1953.2</c:v>
                </c:pt>
                <c:pt idx="403">
                  <c:v>2190.4</c:v>
                </c:pt>
                <c:pt idx="404">
                  <c:v>2371.1</c:v>
                </c:pt>
                <c:pt idx="405">
                  <c:v>2129.6999999999998</c:v>
                </c:pt>
                <c:pt idx="406">
                  <c:v>2528.6999999999998</c:v>
                </c:pt>
                <c:pt idx="407">
                  <c:v>2344.3000000000002</c:v>
                </c:pt>
                <c:pt idx="408">
                  <c:v>2249.6</c:v>
                </c:pt>
                <c:pt idx="409">
                  <c:v>2185.5</c:v>
                </c:pt>
                <c:pt idx="410">
                  <c:v>2319.9</c:v>
                </c:pt>
                <c:pt idx="411">
                  <c:v>3067.3</c:v>
                </c:pt>
                <c:pt idx="412">
                  <c:v>3066.2</c:v>
                </c:pt>
                <c:pt idx="413">
                  <c:v>#N/A</c:v>
                </c:pt>
                <c:pt idx="414">
                  <c:v>4009.2</c:v>
                </c:pt>
                <c:pt idx="415">
                  <c:v>4015.2</c:v>
                </c:pt>
                <c:pt idx="416">
                  <c:v>4836.3999999999996</c:v>
                </c:pt>
                <c:pt idx="417">
                  <c:v>4568.1000000000004</c:v>
                </c:pt>
                <c:pt idx="418">
                  <c:v>4904.2</c:v>
                </c:pt>
                <c:pt idx="419">
                  <c:v>4768.6000000000004</c:v>
                </c:pt>
                <c:pt idx="420">
                  <c:v>5455.4</c:v>
                </c:pt>
                <c:pt idx="421">
                  <c:v>4395.5</c:v>
                </c:pt>
                <c:pt idx="422">
                  <c:v>4549.3</c:v>
                </c:pt>
                <c:pt idx="423">
                  <c:v>4624.6000000000004</c:v>
                </c:pt>
                <c:pt idx="424">
                  <c:v>4663.8</c:v>
                </c:pt>
                <c:pt idx="425">
                  <c:v>5214.6000000000004</c:v>
                </c:pt>
                <c:pt idx="426">
                  <c:v>5431.5</c:v>
                </c:pt>
                <c:pt idx="427">
                  <c:v>5260.7</c:v>
                </c:pt>
                <c:pt idx="428">
                  <c:v>4940.8999999999996</c:v>
                </c:pt>
                <c:pt idx="429">
                  <c:v>4147.1000000000004</c:v>
                </c:pt>
                <c:pt idx="430">
                  <c:v>4155.5</c:v>
                </c:pt>
                <c:pt idx="431">
                  <c:v>4097.3</c:v>
                </c:pt>
                <c:pt idx="432">
                  <c:v>4345.3999999999996</c:v>
                </c:pt>
                <c:pt idx="433">
                  <c:v>3925.8</c:v>
                </c:pt>
                <c:pt idx="434">
                  <c:v>3925.9</c:v>
                </c:pt>
                <c:pt idx="435">
                  <c:v>3546.2</c:v>
                </c:pt>
                <c:pt idx="436">
                  <c:v>3107.1</c:v>
                </c:pt>
                <c:pt idx="437">
                  <c:v>3387.8</c:v>
                </c:pt>
                <c:pt idx="438">
                  <c:v>2781.6</c:v>
                </c:pt>
                <c:pt idx="439">
                  <c:v>3239.2</c:v>
                </c:pt>
                <c:pt idx="440">
                  <c:v>3154.9</c:v>
                </c:pt>
                <c:pt idx="441">
                  <c:v>2668.6</c:v>
                </c:pt>
                <c:pt idx="442">
                  <c:v>2303.6</c:v>
                </c:pt>
                <c:pt idx="443">
                  <c:v>1953.3</c:v>
                </c:pt>
                <c:pt idx="444">
                  <c:v>1984.5</c:v>
                </c:pt>
                <c:pt idx="445">
                  <c:v>2217</c:v>
                </c:pt>
                <c:pt idx="446">
                  <c:v>1892.5</c:v>
                </c:pt>
                <c:pt idx="447">
                  <c:v>2051.3000000000002</c:v>
                </c:pt>
                <c:pt idx="448">
                  <c:v>2577.1999999999998</c:v>
                </c:pt>
                <c:pt idx="449">
                  <c:v>2617.6999999999998</c:v>
                </c:pt>
                <c:pt idx="450">
                  <c:v>2847.2</c:v>
                </c:pt>
                <c:pt idx="451">
                  <c:v>2937.6</c:v>
                </c:pt>
                <c:pt idx="452">
                  <c:v>2971.5</c:v>
                </c:pt>
                <c:pt idx="453">
                  <c:v>2474.9</c:v>
                </c:pt>
                <c:pt idx="454">
                  <c:v>2781.2</c:v>
                </c:pt>
                <c:pt idx="455">
                  <c:v>2807.8</c:v>
                </c:pt>
                <c:pt idx="456">
                  <c:v>2763.6</c:v>
                </c:pt>
                <c:pt idx="457">
                  <c:v>2192.1</c:v>
                </c:pt>
                <c:pt idx="458">
                  <c:v>2638.2</c:v>
                </c:pt>
                <c:pt idx="459">
                  <c:v>2430</c:v>
                </c:pt>
                <c:pt idx="460">
                  <c:v>2021.1</c:v>
                </c:pt>
                <c:pt idx="461">
                  <c:v>2038.4</c:v>
                </c:pt>
                <c:pt idx="462">
                  <c:v>2988.7</c:v>
                </c:pt>
                <c:pt idx="463">
                  <c:v>3354</c:v>
                </c:pt>
                <c:pt idx="464">
                  <c:v>3312.7</c:v>
                </c:pt>
                <c:pt idx="465">
                  <c:v>#N/A</c:v>
                </c:pt>
                <c:pt idx="466">
                  <c:v>2815.1</c:v>
                </c:pt>
                <c:pt idx="467">
                  <c:v>3117</c:v>
                </c:pt>
                <c:pt idx="468">
                  <c:v>2996</c:v>
                </c:pt>
                <c:pt idx="469">
                  <c:v>2715.2</c:v>
                </c:pt>
                <c:pt idx="470">
                  <c:v>2304</c:v>
                </c:pt>
                <c:pt idx="471">
                  <c:v>2774.7</c:v>
                </c:pt>
                <c:pt idx="472">
                  <c:v>3280.3</c:v>
                </c:pt>
                <c:pt idx="473">
                  <c:v>3230.9</c:v>
                </c:pt>
                <c:pt idx="474">
                  <c:v>2655.8</c:v>
                </c:pt>
                <c:pt idx="475">
                  <c:v>2632.2</c:v>
                </c:pt>
                <c:pt idx="476">
                  <c:v>2216.3000000000002</c:v>
                </c:pt>
                <c:pt idx="477">
                  <c:v>2383.6999999999998</c:v>
                </c:pt>
                <c:pt idx="478">
                  <c:v>1955.9</c:v>
                </c:pt>
                <c:pt idx="479">
                  <c:v>1983.2</c:v>
                </c:pt>
                <c:pt idx="480">
                  <c:v>1782.2</c:v>
                </c:pt>
                <c:pt idx="481">
                  <c:v>1659.1</c:v>
                </c:pt>
                <c:pt idx="482">
                  <c:v>1826</c:v>
                </c:pt>
                <c:pt idx="483">
                  <c:v>1702.7</c:v>
                </c:pt>
                <c:pt idx="484">
                  <c:v>1982.8</c:v>
                </c:pt>
                <c:pt idx="485">
                  <c:v>1915.5</c:v>
                </c:pt>
                <c:pt idx="486">
                  <c:v>1583.5</c:v>
                </c:pt>
                <c:pt idx="487">
                  <c:v>1328.1</c:v>
                </c:pt>
                <c:pt idx="488">
                  <c:v>1504.6</c:v>
                </c:pt>
                <c:pt idx="489">
                  <c:v>1482.7</c:v>
                </c:pt>
                <c:pt idx="490">
                  <c:v>2156.5</c:v>
                </c:pt>
                <c:pt idx="491">
                  <c:v>2583</c:v>
                </c:pt>
                <c:pt idx="492">
                  <c:v>3590.1</c:v>
                </c:pt>
                <c:pt idx="493">
                  <c:v>4586.2</c:v>
                </c:pt>
                <c:pt idx="494">
                  <c:v>4353.1000000000004</c:v>
                </c:pt>
                <c:pt idx="495">
                  <c:v>5084.2</c:v>
                </c:pt>
                <c:pt idx="496">
                  <c:v>4957.8999999999996</c:v>
                </c:pt>
                <c:pt idx="497">
                  <c:v>6547.2</c:v>
                </c:pt>
                <c:pt idx="498">
                  <c:v>6127.3</c:v>
                </c:pt>
                <c:pt idx="499">
                  <c:v>6734.2</c:v>
                </c:pt>
                <c:pt idx="500">
                  <c:v>6522</c:v>
                </c:pt>
                <c:pt idx="501">
                  <c:v>6374.7</c:v>
                </c:pt>
                <c:pt idx="502">
                  <c:v>4428.1000000000004</c:v>
                </c:pt>
                <c:pt idx="503">
                  <c:v>3352.8</c:v>
                </c:pt>
                <c:pt idx="504">
                  <c:v>2945.5</c:v>
                </c:pt>
                <c:pt idx="505">
                  <c:v>3531.5</c:v>
                </c:pt>
                <c:pt idx="506">
                  <c:v>4564.5</c:v>
                </c:pt>
                <c:pt idx="507">
                  <c:v>2611.1</c:v>
                </c:pt>
                <c:pt idx="508">
                  <c:v>3871.3</c:v>
                </c:pt>
                <c:pt idx="509">
                  <c:v>3300.6</c:v>
                </c:pt>
                <c:pt idx="510">
                  <c:v>6768.6</c:v>
                </c:pt>
                <c:pt idx="511">
                  <c:v>7842.7</c:v>
                </c:pt>
                <c:pt idx="512">
                  <c:v>#N/A</c:v>
                </c:pt>
                <c:pt idx="513">
                  <c:v>#N/A</c:v>
                </c:pt>
                <c:pt idx="514">
                  <c:v>7098.9</c:v>
                </c:pt>
                <c:pt idx="515">
                  <c:v>4013.2</c:v>
                </c:pt>
                <c:pt idx="516">
                  <c:v>3746.9</c:v>
                </c:pt>
                <c:pt idx="517">
                  <c:v>#N/A</c:v>
                </c:pt>
                <c:pt idx="518">
                  <c:v>896.8</c:v>
                </c:pt>
                <c:pt idx="519">
                  <c:v>927.3</c:v>
                </c:pt>
                <c:pt idx="520">
                  <c:v>907.7</c:v>
                </c:pt>
                <c:pt idx="521">
                  <c:v>688.8</c:v>
                </c:pt>
                <c:pt idx="522">
                  <c:v>1135.5999999999999</c:v>
                </c:pt>
                <c:pt idx="523">
                  <c:v>798</c:v>
                </c:pt>
                <c:pt idx="524">
                  <c:v>1190.8</c:v>
                </c:pt>
                <c:pt idx="525">
                  <c:v>999.6</c:v>
                </c:pt>
                <c:pt idx="526">
                  <c:v>1026</c:v>
                </c:pt>
                <c:pt idx="527">
                  <c:v>1756.8</c:v>
                </c:pt>
                <c:pt idx="528">
                  <c:v>2068.5</c:v>
                </c:pt>
                <c:pt idx="529">
                  <c:v>998.3</c:v>
                </c:pt>
                <c:pt idx="530">
                  <c:v>825</c:v>
                </c:pt>
                <c:pt idx="531">
                  <c:v>793.9</c:v>
                </c:pt>
                <c:pt idx="532">
                  <c:v>815.2</c:v>
                </c:pt>
                <c:pt idx="533">
                  <c:v>853.1</c:v>
                </c:pt>
                <c:pt idx="534">
                  <c:v>897.7</c:v>
                </c:pt>
                <c:pt idx="535">
                  <c:v>874.1</c:v>
                </c:pt>
                <c:pt idx="536">
                  <c:v>1213.9000000000001</c:v>
                </c:pt>
                <c:pt idx="537">
                  <c:v>1270.5999999999999</c:v>
                </c:pt>
                <c:pt idx="538">
                  <c:v>1166.5</c:v>
                </c:pt>
                <c:pt idx="539">
                  <c:v>1111.3</c:v>
                </c:pt>
                <c:pt idx="540">
                  <c:v>1044.5999999999999</c:v>
                </c:pt>
                <c:pt idx="541">
                  <c:v>1219.7</c:v>
                </c:pt>
                <c:pt idx="542">
                  <c:v>1477.5</c:v>
                </c:pt>
                <c:pt idx="543">
                  <c:v>1387.8</c:v>
                </c:pt>
                <c:pt idx="544">
                  <c:v>1930.4</c:v>
                </c:pt>
                <c:pt idx="545">
                  <c:v>2135.8000000000002</c:v>
                </c:pt>
                <c:pt idx="546">
                  <c:v>2388.8000000000002</c:v>
                </c:pt>
                <c:pt idx="547">
                  <c:v>2195</c:v>
                </c:pt>
                <c:pt idx="548">
                  <c:v>1809.5</c:v>
                </c:pt>
                <c:pt idx="549">
                  <c:v>2215.6999999999998</c:v>
                </c:pt>
                <c:pt idx="550">
                  <c:v>2880.7</c:v>
                </c:pt>
                <c:pt idx="551">
                  <c:v>2709.1</c:v>
                </c:pt>
                <c:pt idx="552">
                  <c:v>2653.2</c:v>
                </c:pt>
                <c:pt idx="553">
                  <c:v>4468.3999999999996</c:v>
                </c:pt>
                <c:pt idx="554">
                  <c:v>2338.8000000000002</c:v>
                </c:pt>
                <c:pt idx="555">
                  <c:v>2519.4</c:v>
                </c:pt>
                <c:pt idx="556">
                  <c:v>2667.8</c:v>
                </c:pt>
                <c:pt idx="557">
                  <c:v>2571.6</c:v>
                </c:pt>
                <c:pt idx="558">
                  <c:v>3784.1</c:v>
                </c:pt>
                <c:pt idx="559">
                  <c:v>5362.6</c:v>
                </c:pt>
                <c:pt idx="560">
                  <c:v>5523.9</c:v>
                </c:pt>
                <c:pt idx="561">
                  <c:v>5682.2</c:v>
                </c:pt>
                <c:pt idx="562">
                  <c:v>4588.3999999999996</c:v>
                </c:pt>
                <c:pt idx="563">
                  <c:v>3923.5</c:v>
                </c:pt>
                <c:pt idx="564">
                  <c:v>2729.3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15928"/>
        <c:axId val="980562400"/>
      </c:lineChart>
      <c:dateAx>
        <c:axId val="1023022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50425424"/>
        <c:crosses val="autoZero"/>
        <c:auto val="1"/>
        <c:lblOffset val="100"/>
        <c:baseTimeUnit val="days"/>
        <c:majorUnit val="12"/>
        <c:majorTimeUnit val="months"/>
      </c:dateAx>
      <c:valAx>
        <c:axId val="85042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23022480"/>
        <c:crosses val="autoZero"/>
        <c:crossBetween val="between"/>
      </c:valAx>
      <c:valAx>
        <c:axId val="9805624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59915928"/>
        <c:crosses val="max"/>
        <c:crossBetween val="between"/>
      </c:valAx>
      <c:dateAx>
        <c:axId val="2599159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0562400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#N/A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0.39922062781382683</c:v>
                </c:pt>
                <c:pt idx="1">
                  <c:v>0.2458037873389366</c:v>
                </c:pt>
                <c:pt idx="2">
                  <c:v>0.15151259025291497</c:v>
                </c:pt>
                <c:pt idx="3">
                  <c:v>9.6804984707274833E-2</c:v>
                </c:pt>
                <c:pt idx="4">
                  <c:v>6.6660040233705295E-2</c:v>
                </c:pt>
                <c:pt idx="5">
                  <c:v>5.5949576964922698E-2</c:v>
                </c:pt>
                <c:pt idx="6">
                  <c:v>4.3266934140984474E-2</c:v>
                </c:pt>
                <c:pt idx="7">
                  <c:v>3.6731843806699853E-2</c:v>
                </c:pt>
                <c:pt idx="8">
                  <c:v>2.8052960052356374E-2</c:v>
                </c:pt>
                <c:pt idx="9">
                  <c:v>2.1026309856569381E-2</c:v>
                </c:pt>
                <c:pt idx="10">
                  <c:v>1.7046457458110453E-2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#N/A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8.4710088764851463E-2</c:v>
                </c:pt>
                <c:pt idx="1">
                  <c:v>4.0368668966316849E-2</c:v>
                </c:pt>
                <c:pt idx="2">
                  <c:v>1.2311010374278897E-2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Rate'!$E$19</c:f>
              <c:strCache>
                <c:ptCount val="1"/>
                <c:pt idx="0">
                  <c:v>12 Weeks Scenario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#N/A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Rate'!$F$19:$P$19</c:f>
              <c:numCache>
                <c:formatCode>0.00%</c:formatCode>
                <c:ptCount val="11"/>
                <c:pt idx="0">
                  <c:v>8.4710088764851463E-2</c:v>
                </c:pt>
                <c:pt idx="1">
                  <c:v>4.0368668966316849E-2</c:v>
                </c:pt>
                <c:pt idx="2">
                  <c:v>1.2311010374278897E-2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09944"/>
        <c:axId val="769024280"/>
      </c:lineChart>
      <c:catAx>
        <c:axId val="7770099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69024280"/>
        <c:crosses val="autoZero"/>
        <c:auto val="1"/>
        <c:lblAlgn val="ctr"/>
        <c:lblOffset val="100"/>
        <c:noMultiLvlLbl val="0"/>
      </c:catAx>
      <c:valAx>
        <c:axId val="7690242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77009944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171449</xdr:colOff>
      <xdr:row>34</xdr:row>
      <xdr:rowOff>161924</xdr:rowOff>
    </xdr:from>
    <xdr:to>
      <xdr:col>13</xdr:col>
      <xdr:colOff>9525</xdr:colOff>
      <xdr:row>37</xdr:row>
      <xdr:rowOff>114300</xdr:rowOff>
    </xdr:to>
    <xdr:sp macro="" textlink="">
      <xdr:nvSpPr>
        <xdr:cNvPr id="4" name="TextBox 3"/>
        <xdr:cNvSpPr txBox="1"/>
      </xdr:nvSpPr>
      <xdr:spPr>
        <a:xfrm>
          <a:off x="5448299" y="5667374"/>
          <a:ext cx="3219451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7" autoFormatId="16" applyNumberFormats="0" applyBorderFormats="0" applyFontFormats="0" applyPatternFormats="0" applyAlignmentFormats="0" applyWidthHeightFormats="0">
  <queryTableRefresh nextId="80" unboundColumnsRight="3">
    <queryTableFields count="5">
      <queryTableField id="62" name="AsOfDate" tableColumnId="1"/>
      <queryTableField id="79" name="SeriesNumValu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3" backgroundRefresh="0" adjustColumnWidth="0" connectionId="9" autoFormatId="16" applyNumberFormats="0" applyBorderFormats="0" applyFontFormats="0" applyPatternFormats="0" applyAlignmentFormats="0" applyWidthHeightFormats="0">
  <queryTableRefresh nextId="82" unboundColumnsRight="3">
    <queryTableFields count="5">
      <queryTableField id="62" name="AsOfDate" tableColumnId="1"/>
      <queryTableField id="78" name="SeriesNumValue" tableColumnId="2"/>
      <queryTableField id="80" dataBound="0" tableColumnId="3"/>
      <queryTableField id="81" dataBound="0" tableColumnId="5"/>
      <queryTableField id="79" dataBound="0" tableColumnId="4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4" backgroundRefresh="0" adjustColumnWidth="0" connectionId="8" autoFormatId="16" applyNumberFormats="0" applyBorderFormats="0" applyFontFormats="0" applyPatternFormats="0" applyAlignmentFormats="0" applyWidthHeightFormats="0">
  <queryTableRefresh nextId="81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1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23">
    <queryTableFields count="11">
      <queryTableField id="112" name="refinanceable1" tableColumnId="1"/>
      <queryTableField id="113" name="refinanceable2" tableColumnId="2"/>
      <queryTableField id="114" name="refinanceable3" tableColumnId="3"/>
      <queryTableField id="115" name="refinanceable4" tableColumnId="4"/>
      <queryTableField id="116" name="refinanceable5" tableColumnId="5"/>
      <queryTableField id="117" name="refinanceable6" tableColumnId="6"/>
      <queryTableField id="118" name="refinanceable7" tableColumnId="7"/>
      <queryTableField id="119" name="refinanceable8" tableColumnId="8"/>
      <queryTableField id="120" name="refinanceable9" tableColumnId="9"/>
      <queryTableField id="121" name="refinanceable10" tableColumnId="10"/>
      <queryTableField id="122" name="refinanceable11" tableColumnId="11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23">
    <queryTableFields count="11">
      <queryTableField id="112" name="refinanceable1" tableColumnId="1"/>
      <queryTableField id="113" name="refinanceable2" tableColumnId="2"/>
      <queryTableField id="114" name="refinanceable3" tableColumnId="3"/>
      <queryTableField id="115" name="refinanceable4" tableColumnId="4"/>
      <queryTableField id="116" name="refinanceable5" tableColumnId="5"/>
      <queryTableField id="117" name="refinanceable6" tableColumnId="6"/>
      <queryTableField id="118" name="refinanceable7" tableColumnId="7"/>
      <queryTableField id="119" name="refinanceable8" tableColumnId="8"/>
      <queryTableField id="120" name="refinanceable9" tableColumnId="9"/>
      <queryTableField id="121" name="refinanceable10" tableColumnId="10"/>
      <queryTableField id="122" name="refinancea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465" tableType="queryTable" totalsRowShown="0" headerRowDxfId="96" dataDxfId="95">
  <tableColumns count="5">
    <tableColumn id="1" uniqueName="1" name="asofdate" queryTableFieldId="62" dataDxfId="94"/>
    <tableColumn id="3" uniqueName="3" name="SeriesNumValue" queryTableFieldId="79" dataDxfId="93" dataCellStyle="Percent"/>
    <tableColumn id="5" uniqueName="5" name="Loan Level" queryTableFieldId="76" dataDxfId="92" dataCellStyle="Percent">
      <calculatedColumnFormula>VLOOKUP(CurrentMtgRatesDataTable825[[#This Row],[asofdate]],I:J,2,0)</calculatedColumnFormula>
    </tableColumn>
    <tableColumn id="2" uniqueName="2" name="With Lowest Rate" queryTableFieldId="78" dataDxfId="91" dataCellStyle="Percent">
      <calculatedColumnFormula>VLOOKUP(CurrentMtgRatesDataTable825[[#This Row],[asofdate]],O:P,2,0)</calculatedColumnFormula>
    </tableColumn>
    <tableColumn id="6" uniqueName="6" name="Refi Index" queryTableFieldId="77" dataDxfId="90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7" name="CurrentMtgRatesDataTable82527141518" displayName="CurrentMtgRatesDataTable82527141518" ref="I2:M567" tableType="queryTable" totalsRowShown="0" headerRowDxfId="89" dataDxfId="88">
  <tableColumns count="5">
    <tableColumn id="1" uniqueName="1" name="asofdate" queryTableFieldId="62" dataDxfId="87"/>
    <tableColumn id="2" uniqueName="2" name="SeriesNumValue" queryTableFieldId="78" dataDxfId="86" dataCellStyle="Percent"/>
    <tableColumn id="3" uniqueName="3" name="With Lowest Rate" queryTableFieldId="80" dataDxfId="85" dataCellStyle="Percent">
      <calculatedColumnFormula>VLOOKUP(CurrentMtgRatesDataTable82527141518[[#This Row],[asofdate]],O:P,2,0)</calculatedColumnFormula>
    </tableColumn>
    <tableColumn id="5" uniqueName="5" name="12 Weeks Scenario" queryTableFieldId="81" dataDxfId="84" dataCellStyle="Percent">
      <calculatedColumnFormula>VLOOKUP(CurrentMtgRatesDataTable82527141518[[#This Row],[asofdate]],S:T,2,0)</calculatedColumnFormula>
    </tableColumn>
    <tableColumn id="4" uniqueName="4" name="Refi Index" queryTableFieldId="79" dataDxfId="83">
      <calculatedColumnFormula>VLOOKUP(CurrentMtgRatesDataTable82527141518[[#This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8" name="CurrentMtgRatesDataTable82527141619" displayName="CurrentMtgRatesDataTable82527141619" ref="O2:P563" tableType="queryTable" totalsRowShown="0" headerRowDxfId="82" dataDxfId="81">
  <tableColumns count="2">
    <tableColumn id="1" uniqueName="1" name="asofdate" queryTableFieldId="62" dataDxfId="80"/>
    <tableColumn id="2" uniqueName="2" name="SeriesNumValue" queryTableFieldId="78" dataDxfId="79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9" name="CurrentMtgRatesDataTable82527141720" displayName="CurrentMtgRatesDataTable82527141720" ref="S2:T558" tableType="queryTable" totalsRowShown="0" headerRowDxfId="78" dataDxfId="77">
  <tableColumns count="2">
    <tableColumn id="1" uniqueName="1" name="asofdate" queryTableFieldId="62" dataDxfId="76"/>
    <tableColumn id="2" uniqueName="2" name="SeriesNumValue" queryTableFieldId="78" dataDxfId="75" dataCellStyle="Perc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523" displayName="CurrentMtgRatesDataTable82523" ref="B2:C3" tableType="queryTable" totalsRowShown="0" headerRowDxfId="74" dataDxfId="73">
  <tableColumns count="2">
    <tableColumn id="1" uniqueName="1" name="AsOfDate" queryTableFieldId="62" dataDxfId="72"/>
    <tableColumn id="6" uniqueName="6" name="SeriesNumValue" queryTableFieldId="77" dataDxfId="7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5234" displayName="CurrentMtgRatesDataTable825234" ref="F2:P3" tableType="queryTable" totalsRowShown="0" headerRowDxfId="70" dataDxfId="69">
  <tableColumns count="11">
    <tableColumn id="7" uniqueName="7" name="refinancible1" queryTableFieldId="78" dataDxfId="68"/>
    <tableColumn id="8" uniqueName="8" name="refinancible2" queryTableFieldId="79" dataDxfId="67"/>
    <tableColumn id="9" uniqueName="9" name="refinancible3" queryTableFieldId="80" dataDxfId="66"/>
    <tableColumn id="10" uniqueName="10" name="refinancible4" queryTableFieldId="81" dataDxfId="65"/>
    <tableColumn id="11" uniqueName="11" name="refinancible5" queryTableFieldId="82" dataDxfId="64"/>
    <tableColumn id="12" uniqueName="12" name="refinancible6" queryTableFieldId="83" dataDxfId="63"/>
    <tableColumn id="13" uniqueName="13" name="refinancible7" queryTableFieldId="84" dataDxfId="62"/>
    <tableColumn id="14" uniqueName="14" name="refinancible8" queryTableFieldId="85" dataDxfId="61"/>
    <tableColumn id="15" uniqueName="15" name="refinancible9" queryTableFieldId="86" dataDxfId="60"/>
    <tableColumn id="16" uniqueName="16" name="refinancible10" queryTableFieldId="87" dataDxfId="59"/>
    <tableColumn id="17" uniqueName="17" name="refinancible11" queryTableFieldId="88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CurrentMtgRatesDataTable8252346" displayName="CurrentMtgRatesDataTable8252346" ref="F7:P8" tableType="queryTable" totalsRowShown="0" headerRowDxfId="57" dataDxfId="56" dataCellStyle="Percent">
  <tableColumns count="11">
    <tableColumn id="1" uniqueName="1" name="refinancible1" queryTableFieldId="101" dataDxfId="55" dataCellStyle="Percent"/>
    <tableColumn id="2" uniqueName="2" name="refinancible2" queryTableFieldId="102" dataDxfId="54" dataCellStyle="Percent"/>
    <tableColumn id="3" uniqueName="3" name="refinancible3" queryTableFieldId="103" dataDxfId="53" dataCellStyle="Percent"/>
    <tableColumn id="4" uniqueName="4" name="refinancible4" queryTableFieldId="104" dataDxfId="52" dataCellStyle="Percent"/>
    <tableColumn id="5" uniqueName="5" name="refinancible5" queryTableFieldId="105" dataDxfId="51" dataCellStyle="Percent"/>
    <tableColumn id="6" uniqueName="6" name="refinancible6" queryTableFieldId="106" dataDxfId="50" dataCellStyle="Percent"/>
    <tableColumn id="7" uniqueName="7" name="refinancible7" queryTableFieldId="107" dataDxfId="49" dataCellStyle="Percent"/>
    <tableColumn id="8" uniqueName="8" name="refinancible8" queryTableFieldId="108" dataDxfId="48" dataCellStyle="Percent"/>
    <tableColumn id="9" uniqueName="9" name="refinancible9" queryTableFieldId="109" dataDxfId="47" dataCellStyle="Percent"/>
    <tableColumn id="10" uniqueName="10" name="refinancible10" queryTableFieldId="110" dataDxfId="46" dataCellStyle="Percent"/>
    <tableColumn id="11" uniqueName="11" name="refinancible11" queryTableFieldId="111" dataDxfId="45" dataCellStyle="Percent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44" dataDxfId="43" dataCellStyle="Percent">
  <tableColumns count="11">
    <tableColumn id="1" uniqueName="1" name="refinanceable1" queryTableFieldId="112" dataDxfId="42" dataCellStyle="Percent"/>
    <tableColumn id="2" uniqueName="2" name="refinanceable2" queryTableFieldId="113" dataDxfId="41" dataCellStyle="Percent"/>
    <tableColumn id="3" uniqueName="3" name="refinanceable3" queryTableFieldId="114" dataDxfId="40" dataCellStyle="Percent"/>
    <tableColumn id="4" uniqueName="4" name="refinanceable4" queryTableFieldId="115" dataDxfId="39" dataCellStyle="Percent"/>
    <tableColumn id="5" uniqueName="5" name="refinanceable5" queryTableFieldId="116" dataDxfId="38" dataCellStyle="Percent"/>
    <tableColumn id="6" uniqueName="6" name="refinanceable6" queryTableFieldId="117" dataDxfId="37" dataCellStyle="Percent"/>
    <tableColumn id="7" uniqueName="7" name="refinanceable7" queryTableFieldId="118" dataDxfId="36" dataCellStyle="Percent"/>
    <tableColumn id="8" uniqueName="8" name="refinanceable8" queryTableFieldId="119" dataDxfId="35" dataCellStyle="Percent"/>
    <tableColumn id="9" uniqueName="9" name="refinanceable9" queryTableFieldId="120" dataDxfId="34" dataCellStyle="Percent"/>
    <tableColumn id="10" uniqueName="10" name="refinanceable10" queryTableFieldId="121" dataDxfId="33" dataCellStyle="Percent"/>
    <tableColumn id="11" uniqueName="11" name="refinanceable11" queryTableFieldId="122" dataDxfId="32" dataCellStyle="Percent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1" name="CurrentMtgRatesDataTable825234682" displayName="CurrentMtgRatesDataTable825234682" ref="F31:P32" tableType="queryTable" totalsRowShown="0" headerRowDxfId="31" dataCellStyle="Percent">
  <tableColumns count="11">
    <tableColumn id="1" uniqueName="1" name="refinanceable1" queryTableFieldId="112" dataDxfId="30" dataCellStyle="Percent"/>
    <tableColumn id="2" uniqueName="2" name="refinanceable2" queryTableFieldId="113" dataDxfId="29" dataCellStyle="Percent"/>
    <tableColumn id="3" uniqueName="3" name="refinanceable3" queryTableFieldId="114" dataDxfId="28" dataCellStyle="Percent"/>
    <tableColumn id="4" uniqueName="4" name="refinanceable4" queryTableFieldId="115" dataDxfId="27" dataCellStyle="Percent"/>
    <tableColumn id="5" uniqueName="5" name="refinanceable5" queryTableFieldId="116" dataDxfId="26" dataCellStyle="Percent"/>
    <tableColumn id="6" uniqueName="6" name="refinanceable6" queryTableFieldId="117" dataDxfId="25" dataCellStyle="Percent"/>
    <tableColumn id="7" uniqueName="7" name="refinanceable7" queryTableFieldId="118" dataDxfId="24" dataCellStyle="Percent"/>
    <tableColumn id="8" uniqueName="8" name="refinanceable8" queryTableFieldId="119" dataDxfId="23" dataCellStyle="Percent"/>
    <tableColumn id="9" uniqueName="9" name="refinanceable9" queryTableFieldId="120" dataDxfId="22" dataCellStyle="Percent"/>
    <tableColumn id="10" uniqueName="10" name="refinanceable10" queryTableFieldId="121" dataDxfId="21" dataCellStyle="Percent"/>
    <tableColumn id="11" uniqueName="11" name="refinanceable11" queryTableFieldId="122" dataDxfId="20" dataCellStyle="Percent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9" name="CurrentMtgRatesDataTable810" displayName="CurrentMtgRatesDataTable810" ref="S4:U6" tableType="queryTable" totalsRowShown="0" headerRowDxfId="19" dataDxfId="18">
  <tableColumns count="3">
    <tableColumn id="10" uniqueName="10" name="AsOfDate" queryTableFieldId="51" dataDxfId="17" dataCellStyle="Normal 2 7"/>
    <tableColumn id="5" uniqueName="5" name="SeriesNumValue" queryTableFieldId="68" dataDxfId="16" dataCellStyle="Normal 2 7"/>
    <tableColumn id="1" uniqueName="1" name="TickerName" queryTableFieldId="82" dataDxfId="15" dataCellStyle="Normal 2 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0" name="CurrentMtgRatesDataTable811" displayName="CurrentMtgRatesDataTable811" ref="A4:M35" tableType="queryTable" totalsRowShown="0" headerRowDxfId="14" dataDxfId="13">
  <tableColumns count="13">
    <tableColumn id="10" uniqueName="10" name="AsOfDate" queryTableFieldId="51" dataDxfId="12" dataCellStyle="Normal 2 7"/>
    <tableColumn id="5" uniqueName="5" name="SeriesNumValue" queryTableFieldId="68" dataDxfId="11"/>
    <tableColumn id="1" uniqueName="1" name="Rate" queryTableFieldId="69" dataDxfId="10"/>
    <tableColumn id="2" uniqueName="2" name="Weekday" queryTableFieldId="70" dataDxfId="9" dataCellStyle="Normal 2 7">
      <calculatedColumnFormula>WEEKDAY(A5,14)</calculatedColumnFormula>
    </tableColumn>
    <tableColumn id="3" uniqueName="3" name="Weight" queryTableFieldId="75" dataDxfId="8" dataCellStyle="Normal 2 7">
      <calculatedColumnFormula>VLOOKUP(D5,P$5:Q$11,2,FALSE)</calculatedColumnFormula>
    </tableColumn>
    <tableColumn id="4" uniqueName="4" name="Counter" queryTableFieldId="74" dataDxfId="7" dataCellStyle="Normal 2 7">
      <calculatedColumnFormula>IF(AND(D5&gt;D4,F4&lt;6),F4+1,1)</calculatedColumnFormula>
    </tableColumn>
    <tableColumn id="6" uniqueName="6" name="Accumulated Weighted CC" queryTableFieldId="73" dataDxfId="6" dataCellStyle="Normal 2 7">
      <calculatedColumnFormula>IF(F5&gt;F4,G4+B5*E5,B5*E5)</calculatedColumnFormula>
    </tableColumn>
    <tableColumn id="7" uniqueName="7" name="AccumulatedWeight" queryTableFieldId="72" dataDxfId="5" dataCellStyle="Normal 2 7">
      <calculatedColumnFormula>IF(AND(F5&lt;6,F5&gt;F4),E5+H4,E5)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2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1" dataCellStyle="Normal 2 7">
      <calculatedColumnFormula>CurrentMtgRatesDataTable811[[#This Row],[Servicing Spread Non-Zero]]-K4</calculatedColumnFormula>
    </tableColumn>
    <tableColumn id="15" uniqueName="15" name="Survey Rate 1m chg" queryTableFieldId="81" dataDxfId="0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opLeftCell="V1" zoomScaleNormal="100" workbookViewId="0">
      <selection activeCell="AA10" sqref="AA10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43392</v>
      </c>
    </row>
    <row r="3" spans="3:29">
      <c r="Z3" s="2" t="s">
        <v>18</v>
      </c>
      <c r="AA3" s="19" t="s">
        <v>114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Market\2018-07\Refinancible Universe 2018-10-19.pdf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14</v>
      </c>
      <c r="AA9" s="13">
        <f>IF(DAY(CurrentCloseDate)&lt;0,(CurrentCloseDate-DAY(CurrentCloseDate))-DAY((CurrentCloseDate-DAY(CurrentCloseDate)))+1,CurrentCloseDate-DAY(CurrentCloseDate)+1)</f>
        <v>43374</v>
      </c>
      <c r="AB9" s="63" t="s">
        <v>60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15</v>
      </c>
      <c r="AA10" s="14">
        <f>(AA9-1)-DAY((AA9-1))+1</f>
        <v>43344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103</v>
      </c>
      <c r="AA13" s="14">
        <f>CurrentMtgRatesDataTable82523[AsOfDate]</f>
        <v>43446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5" spans="3:28">
      <c r="AA35" s="18"/>
      <c r="AB35" s="32"/>
    </row>
    <row r="38" spans="3:28">
      <c r="O38" s="36" t="s">
        <v>86</v>
      </c>
      <c r="P38" s="36"/>
      <c r="Q38" s="75">
        <f>'Function Of Rate'!C8</f>
        <v>4.0160317420062004</v>
      </c>
      <c r="S38" s="37" t="s">
        <v>87</v>
      </c>
      <c r="T38" s="75" t="e">
        <f>'Function Of Rate'!C9</f>
        <v>#N/A</v>
      </c>
    </row>
    <row r="39" spans="3:28" ht="15.75" thickBot="1">
      <c r="C39" s="5" t="s">
        <v>29</v>
      </c>
      <c r="E39" s="26"/>
      <c r="F39" s="27"/>
      <c r="J39" s="37" t="s">
        <v>61</v>
      </c>
      <c r="K39" s="77">
        <f>CurrentMtgRatesDataTable82523[SeriesNumValue]</f>
        <v>4.7249999999999996</v>
      </c>
      <c r="L39" s="37" t="s">
        <v>51</v>
      </c>
      <c r="M39" s="56">
        <f>CurrentMtgRatesDataTable82523[AsOfDate]</f>
        <v>43446</v>
      </c>
      <c r="O39" s="36" t="s">
        <v>88</v>
      </c>
      <c r="P39" s="36"/>
      <c r="Q39" s="76" t="e">
        <f>ImpliedRate</f>
        <v>#N/A</v>
      </c>
      <c r="S39" s="37" t="s">
        <v>51</v>
      </c>
      <c r="T39" s="64">
        <f>CurrentCloseDate</f>
        <v>43392</v>
      </c>
    </row>
    <row r="40" spans="3:28" s="33" customFormat="1" ht="13.5" customHeight="1">
      <c r="C40" s="41"/>
      <c r="D40" s="142" t="s">
        <v>106</v>
      </c>
      <c r="E40" s="143"/>
      <c r="F40" s="144"/>
      <c r="G40" s="145" t="s">
        <v>89</v>
      </c>
      <c r="H40" s="146"/>
      <c r="I40" s="147"/>
      <c r="J40" s="57" t="s">
        <v>58</v>
      </c>
      <c r="K40" s="148" t="s">
        <v>27</v>
      </c>
      <c r="L40" s="146"/>
      <c r="M40" s="147"/>
      <c r="O40" s="126"/>
      <c r="P40" s="148" t="s">
        <v>104</v>
      </c>
      <c r="Q40" s="147"/>
      <c r="R40" s="148" t="s">
        <v>89</v>
      </c>
      <c r="S40" s="147"/>
      <c r="T40" s="140" t="s">
        <v>58</v>
      </c>
    </row>
    <row r="41" spans="3:28" s="33" customFormat="1" ht="13.5" customHeight="1">
      <c r="C41" s="42" t="s">
        <v>28</v>
      </c>
      <c r="D41" s="38" t="s">
        <v>26</v>
      </c>
      <c r="E41" s="28" t="s">
        <v>107</v>
      </c>
      <c r="F41" s="39" t="s">
        <v>12</v>
      </c>
      <c r="G41" s="79" t="s">
        <v>26</v>
      </c>
      <c r="H41" s="28" t="s">
        <v>107</v>
      </c>
      <c r="I41" s="39" t="s">
        <v>12</v>
      </c>
      <c r="J41" s="58" t="s">
        <v>59</v>
      </c>
      <c r="K41" s="38" t="s">
        <v>26</v>
      </c>
      <c r="L41" s="28" t="s">
        <v>107</v>
      </c>
      <c r="M41" s="39" t="s">
        <v>12</v>
      </c>
      <c r="O41" s="38" t="s">
        <v>47</v>
      </c>
      <c r="P41" s="38" t="s">
        <v>48</v>
      </c>
      <c r="Q41" s="39" t="s">
        <v>49</v>
      </c>
      <c r="R41" s="38" t="s">
        <v>48</v>
      </c>
      <c r="S41" s="39" t="s">
        <v>49</v>
      </c>
      <c r="T41" s="141"/>
    </row>
    <row r="42" spans="3:28" s="33" customFormat="1" ht="13.5" customHeight="1">
      <c r="C42" s="43">
        <f>Query!I3</f>
        <v>43391</v>
      </c>
      <c r="D42" s="45">
        <f>Query!J3</f>
        <v>6.0208946499999999E-2</v>
      </c>
      <c r="E42" s="34">
        <f>Query!J3-Query!J4</f>
        <v>2.857063299999997E-3</v>
      </c>
      <c r="F42" s="46">
        <f>Query!J3-Query!J7</f>
        <v>-1.3787234400000015E-2</v>
      </c>
      <c r="G42" s="80">
        <f>Query!L3</f>
        <v>8.31521E-5</v>
      </c>
      <c r="H42" s="34">
        <f>Query!L3-Query!L4</f>
        <v>2.35577E-5</v>
      </c>
      <c r="I42" s="46">
        <f>Query!L3-Query!L7</f>
        <v>-3.3248830000000003E-4</v>
      </c>
      <c r="J42" s="46">
        <f>Query!K3</f>
        <v>0</v>
      </c>
      <c r="K42" s="49" t="e">
        <f ca="1">Query!M3</f>
        <v>#N/A</v>
      </c>
      <c r="L42" s="34" t="e">
        <f ca="1">(Query!M4-Query!M3)/Query!M3</f>
        <v>#N/A</v>
      </c>
      <c r="M42" s="46" t="e">
        <f ca="1">(Query!M7-Query!M3)/Query!M3</f>
        <v>#N/A</v>
      </c>
      <c r="O42" s="130" t="s">
        <v>110</v>
      </c>
      <c r="P42" s="53">
        <f>'Function Of Rate'!F$17</f>
        <v>0.39922062781382683</v>
      </c>
      <c r="Q42" s="46">
        <f>P42-$P$47</f>
        <v>0.34327105084890414</v>
      </c>
      <c r="R42" s="53">
        <f>CurrentMtgRatesDataTable825234682[refinanceable1]</f>
        <v>8.4710088764851463E-2</v>
      </c>
      <c r="S42" s="46">
        <f>P42-$P$47</f>
        <v>0.34327105084890414</v>
      </c>
      <c r="T42" s="46">
        <f>'Function Of Rate'!F18</f>
        <v>8.4710088764851463E-2</v>
      </c>
    </row>
    <row r="43" spans="3:28" s="33" customFormat="1" ht="13.5" customHeight="1">
      <c r="C43" s="43">
        <f>Query!I4</f>
        <v>43384</v>
      </c>
      <c r="D43" s="45">
        <f>Query!J4</f>
        <v>5.7351883200000002E-2</v>
      </c>
      <c r="E43" s="34">
        <f>Query!J4-Query!J5</f>
        <v>-1.1606917399999993E-2</v>
      </c>
      <c r="F43" s="46">
        <f>Query!J4-Query!J8</f>
        <v>-2.3624458299999991E-2</v>
      </c>
      <c r="G43" s="80">
        <f>Query!L4</f>
        <v>5.95944E-5</v>
      </c>
      <c r="H43" s="34">
        <f>Query!L4-Query!L5</f>
        <v>-2.4725289999999998E-4</v>
      </c>
      <c r="I43" s="46">
        <f>Query!L4-Query!L8</f>
        <v>-1.1970944E-3</v>
      </c>
      <c r="J43" s="59">
        <f>Query!K4</f>
        <v>0</v>
      </c>
      <c r="K43" s="49" t="e">
        <f ca="1">Query!M4</f>
        <v>#N/A</v>
      </c>
      <c r="L43" s="34" t="e">
        <f ca="1">(Query!M5-Query!M4)/Query!M4</f>
        <v>#N/A</v>
      </c>
      <c r="M43" s="46" t="e">
        <f ca="1">(Query!M8-Query!M4)/Query!M4</f>
        <v>#N/A</v>
      </c>
      <c r="O43" s="130" t="s">
        <v>109</v>
      </c>
      <c r="P43" s="53">
        <f>'Function Of Rate'!G$17</f>
        <v>0.2458037873389366</v>
      </c>
      <c r="Q43" s="46">
        <f t="shared" ref="Q43:Q46" si="0">P43-$P$47</f>
        <v>0.1898542103740139</v>
      </c>
      <c r="R43" s="53">
        <f>CurrentMtgRatesDataTable825234682[refinanceable2]</f>
        <v>4.0368668966316849E-2</v>
      </c>
      <c r="S43" s="46">
        <f>P43-$P$47</f>
        <v>0.1898542103740139</v>
      </c>
      <c r="T43" s="46">
        <f>'Function Of Rate'!G18</f>
        <v>4.0368668966316849E-2</v>
      </c>
    </row>
    <row r="44" spans="3:28" s="33" customFormat="1" ht="13.5" customHeight="1">
      <c r="C44" s="43">
        <f>Query!I5</f>
        <v>43377</v>
      </c>
      <c r="D44" s="45">
        <f>Query!J5</f>
        <v>6.8958800599999995E-2</v>
      </c>
      <c r="E44" s="34">
        <f>Query!J5-Query!J6</f>
        <v>1.0976940000000102E-4</v>
      </c>
      <c r="F44" s="46">
        <f>Query!J5-Query!J9</f>
        <v>-2.4541225100000008E-2</v>
      </c>
      <c r="G44" s="80">
        <f>Query!L5</f>
        <v>3.0684730000000001E-4</v>
      </c>
      <c r="H44" s="34">
        <f>Query!L5-Query!L6</f>
        <v>7.1113700000000003E-5</v>
      </c>
      <c r="I44" s="46">
        <f>Query!L5-Query!L9</f>
        <v>-1.9582425E-3</v>
      </c>
      <c r="J44" s="59">
        <f>Query!K5</f>
        <v>0</v>
      </c>
      <c r="K44" s="49" t="e">
        <f ca="1">Query!M5</f>
        <v>#N/A</v>
      </c>
      <c r="L44" s="34" t="e">
        <f ca="1">(Query!M6-Query!M5)/Query!M5</f>
        <v>#N/A</v>
      </c>
      <c r="M44" s="46" t="e">
        <f ca="1">(Query!M9-Query!M5)/Query!M5</f>
        <v>#N/A</v>
      </c>
      <c r="O44" s="130" t="s">
        <v>108</v>
      </c>
      <c r="P44" s="53">
        <f>'Function Of Rate'!H$17</f>
        <v>0.15151259025291497</v>
      </c>
      <c r="Q44" s="46">
        <f t="shared" si="0"/>
        <v>9.5563013287992271E-2</v>
      </c>
      <c r="R44" s="53">
        <f>CurrentMtgRatesDataTable825234682[refinanceable3]</f>
        <v>1.2311010374278897E-2</v>
      </c>
      <c r="S44" s="46">
        <f>P44-$P$47</f>
        <v>9.5563013287992271E-2</v>
      </c>
      <c r="T44" s="46">
        <f>'Function Of Rate'!H18</f>
        <v>1.2311010374278897E-2</v>
      </c>
    </row>
    <row r="45" spans="3:28" s="33" customFormat="1" ht="13.5" customHeight="1">
      <c r="C45" s="43">
        <f>Query!I6</f>
        <v>43370</v>
      </c>
      <c r="D45" s="45">
        <f>Query!J6</f>
        <v>6.8849031199999994E-2</v>
      </c>
      <c r="E45" s="34">
        <f>Query!J6-Query!J7</f>
        <v>-5.1471497000000199E-3</v>
      </c>
      <c r="F45" s="46">
        <f>Query!J6-Query!J10</f>
        <v>-5.022786500000001E-2</v>
      </c>
      <c r="G45" s="80">
        <f>Query!L6</f>
        <v>2.357336E-4</v>
      </c>
      <c r="H45" s="34">
        <f>Query!L6-Query!L7</f>
        <v>-1.7990680000000002E-4</v>
      </c>
      <c r="I45" s="46">
        <f>Query!L6-Query!L10</f>
        <v>-3.5595371000000002E-3</v>
      </c>
      <c r="J45" s="59">
        <f>Query!K6</f>
        <v>0</v>
      </c>
      <c r="K45" s="49" t="e">
        <f ca="1">Query!M6</f>
        <v>#N/A</v>
      </c>
      <c r="L45" s="34" t="e">
        <f ca="1">(Query!M7-Query!M6)/Query!M6</f>
        <v>#N/A</v>
      </c>
      <c r="M45" s="46" t="e">
        <f ca="1">(Query!M10-Query!M6)/Query!M6</f>
        <v>#N/A</v>
      </c>
      <c r="O45" s="130" t="s">
        <v>44</v>
      </c>
      <c r="P45" s="53">
        <f>'Function Of Rate'!I$17</f>
        <v>9.6804984707274833E-2</v>
      </c>
      <c r="Q45" s="46">
        <f t="shared" si="0"/>
        <v>4.0855407742352134E-2</v>
      </c>
      <c r="R45" s="53">
        <f>CurrentMtgRatesDataTable825234682[refinanceable4]</f>
        <v>0</v>
      </c>
      <c r="S45" s="46">
        <f>P45-$P$47</f>
        <v>4.0855407742352134E-2</v>
      </c>
      <c r="T45" s="46">
        <f>'Function Of Rate'!I18</f>
        <v>0</v>
      </c>
    </row>
    <row r="46" spans="3:28" s="33" customFormat="1" ht="13.5" customHeight="1">
      <c r="C46" s="43">
        <f>Query!I7</f>
        <v>43363</v>
      </c>
      <c r="D46" s="45">
        <f>Query!J7</f>
        <v>7.3996180900000014E-2</v>
      </c>
      <c r="E46" s="34">
        <f>Query!J7-Query!J8</f>
        <v>-6.9801605999999794E-3</v>
      </c>
      <c r="F46" s="46">
        <f>Query!J7-Query!J11</f>
        <v>-4.7918304299999992E-2</v>
      </c>
      <c r="G46" s="80">
        <f>Query!L7</f>
        <v>4.1564040000000003E-4</v>
      </c>
      <c r="H46" s="34">
        <f>Query!L7-Query!L8</f>
        <v>-8.4104839999999998E-4</v>
      </c>
      <c r="I46" s="46">
        <f>Query!L7-Query!L11</f>
        <v>-3.9539642E-3</v>
      </c>
      <c r="J46" s="59">
        <f>Query!K7</f>
        <v>0</v>
      </c>
      <c r="K46" s="49" t="e">
        <f ca="1">Query!M7</f>
        <v>#N/A</v>
      </c>
      <c r="L46" s="34" t="e">
        <f ca="1">(Query!M8-Query!M7)/Query!M7</f>
        <v>#N/A</v>
      </c>
      <c r="M46" s="46" t="e">
        <f ca="1">(Query!M11-Query!M7)/Query!M7</f>
        <v>#N/A</v>
      </c>
      <c r="O46" s="130" t="s">
        <v>43</v>
      </c>
      <c r="P46" s="53">
        <f>'Function Of Rate'!J$17</f>
        <v>6.6660040233705295E-2</v>
      </c>
      <c r="Q46" s="46">
        <f t="shared" si="0"/>
        <v>1.0710463268782597E-2</v>
      </c>
      <c r="R46" s="53">
        <f>CurrentMtgRatesDataTable825234682[refinanceable5]</f>
        <v>0</v>
      </c>
      <c r="S46" s="46">
        <f>P46-$P$47</f>
        <v>1.0710463268782597E-2</v>
      </c>
      <c r="T46" s="46">
        <f>'Function Of Rate'!J18</f>
        <v>0</v>
      </c>
    </row>
    <row r="47" spans="3:28" s="33" customFormat="1" ht="13.5" customHeight="1">
      <c r="C47" s="43">
        <f>Query!I8</f>
        <v>43356</v>
      </c>
      <c r="D47" s="45">
        <f>Query!J8</f>
        <v>8.0976341499999993E-2</v>
      </c>
      <c r="E47" s="34">
        <f>Query!J8-Query!J9</f>
        <v>-1.252368420000001E-2</v>
      </c>
      <c r="F47" s="46">
        <f>Query!J8-Query!J12</f>
        <v>-3.5578740100000006E-2</v>
      </c>
      <c r="G47" s="80">
        <f>Query!L8</f>
        <v>1.2566888E-3</v>
      </c>
      <c r="H47" s="34">
        <f>Query!L8-Query!L9</f>
        <v>-1.0084009999999999E-3</v>
      </c>
      <c r="I47" s="46">
        <f>Query!L8-Query!L12</f>
        <v>-2.8347405000000003E-3</v>
      </c>
      <c r="J47" s="59">
        <f>Query!K8</f>
        <v>0</v>
      </c>
      <c r="K47" s="49" t="e">
        <f ca="1">Query!M8</f>
        <v>#N/A</v>
      </c>
      <c r="L47" s="34" t="e">
        <f ca="1">(Query!M9-Query!M8)/Query!M8</f>
        <v>#N/A</v>
      </c>
      <c r="M47" s="46" t="e">
        <f ca="1">(Query!M12-Query!M8)/Query!M8</f>
        <v>#N/A</v>
      </c>
      <c r="O47" s="51" t="e">
        <f>'Function Of Rate'!$K$15</f>
        <v>#N/A</v>
      </c>
      <c r="P47" s="54">
        <f>'Function Of Rate'!K$17</f>
        <v>5.5949576964922698E-2</v>
      </c>
      <c r="Q47" s="52" t="s">
        <v>50</v>
      </c>
      <c r="R47" s="54">
        <f>CurrentMtgRatesDataTable825234682[refinanceable6]</f>
        <v>0</v>
      </c>
      <c r="S47" s="52" t="s">
        <v>50</v>
      </c>
      <c r="T47" s="52">
        <f>'Function Of Rate'!K18</f>
        <v>0</v>
      </c>
    </row>
    <row r="48" spans="3:28" s="33" customFormat="1" ht="13.5" customHeight="1">
      <c r="C48" s="43">
        <f>Query!I9</f>
        <v>43349</v>
      </c>
      <c r="D48" s="45">
        <f>Query!J9</f>
        <v>9.3500025700000003E-2</v>
      </c>
      <c r="E48" s="34">
        <f>Query!J9-Query!J10</f>
        <v>-2.5576870500000001E-2</v>
      </c>
      <c r="F48" s="46">
        <f>Query!J9-Query!J13</f>
        <v>-5.5226016999999905E-3</v>
      </c>
      <c r="G48" s="80">
        <f>Query!L9</f>
        <v>2.2650897999999999E-3</v>
      </c>
      <c r="H48" s="34">
        <f>Query!L9-Query!L10</f>
        <v>-1.5301809000000002E-3</v>
      </c>
      <c r="I48" s="46">
        <f>Query!L9-Query!L13</f>
        <v>1.3191377E-3</v>
      </c>
      <c r="J48" s="59">
        <f>Query!K9</f>
        <v>0</v>
      </c>
      <c r="K48" s="49" t="e">
        <f ca="1">Query!M9</f>
        <v>#N/A</v>
      </c>
      <c r="L48" s="34" t="e">
        <f ca="1">(Query!M10-Query!M9)/Query!M9</f>
        <v>#N/A</v>
      </c>
      <c r="M48" s="46" t="e">
        <f ca="1">(Query!M13-Query!M9)/Query!M9</f>
        <v>#N/A</v>
      </c>
      <c r="O48" s="130" t="s">
        <v>45</v>
      </c>
      <c r="P48" s="53">
        <f>'Function Of Rate'!L$17</f>
        <v>4.3266934140984474E-2</v>
      </c>
      <c r="Q48" s="46">
        <f t="shared" ref="Q48:Q52" si="1">P48-$P$47</f>
        <v>-1.2682642823938224E-2</v>
      </c>
      <c r="R48" s="53">
        <f>CurrentMtgRatesDataTable825234682[refinanceable7]</f>
        <v>0</v>
      </c>
      <c r="S48" s="46">
        <f>P48-$P$47</f>
        <v>-1.2682642823938224E-2</v>
      </c>
      <c r="T48" s="46">
        <f>'Function Of Rate'!L18</f>
        <v>0</v>
      </c>
    </row>
    <row r="49" spans="3:20" s="33" customFormat="1" ht="13.5" customHeight="1">
      <c r="C49" s="43">
        <f>Query!I10</f>
        <v>43342</v>
      </c>
      <c r="D49" s="45">
        <f>Query!J10</f>
        <v>0.1190768962</v>
      </c>
      <c r="E49" s="34">
        <f>Query!J10-Query!J11</f>
        <v>-2.8375890000000015E-3</v>
      </c>
      <c r="F49" s="46">
        <f>Query!J10-Query!J14</f>
        <v>1.6178223200000008E-2</v>
      </c>
      <c r="G49" s="80">
        <f>Query!L10</f>
        <v>3.7952707000000001E-3</v>
      </c>
      <c r="H49" s="34">
        <f>Query!L10-Query!L11</f>
        <v>-5.743339000000001E-4</v>
      </c>
      <c r="I49" s="46">
        <f>Query!L10-Query!L14</f>
        <v>1.9984761000000004E-3</v>
      </c>
      <c r="J49" s="59">
        <f>Query!K10</f>
        <v>0</v>
      </c>
      <c r="K49" s="49" t="e">
        <f ca="1">Query!M10</f>
        <v>#N/A</v>
      </c>
      <c r="L49" s="34" t="e">
        <f ca="1">(Query!M11-Query!M10)/Query!M10</f>
        <v>#N/A</v>
      </c>
      <c r="M49" s="46" t="e">
        <f ca="1">(Query!M14-Query!M10)/Query!M10</f>
        <v>#N/A</v>
      </c>
      <c r="O49" s="130" t="s">
        <v>46</v>
      </c>
      <c r="P49" s="53">
        <f>'Function Of Rate'!M$17</f>
        <v>3.6731843806699853E-2</v>
      </c>
      <c r="Q49" s="46">
        <f t="shared" si="1"/>
        <v>-1.9217733158222845E-2</v>
      </c>
      <c r="R49" s="53">
        <f>CurrentMtgRatesDataTable825234682[refinanceable8]</f>
        <v>0</v>
      </c>
      <c r="S49" s="46">
        <f>P49-$P$47</f>
        <v>-1.9217733158222845E-2</v>
      </c>
      <c r="T49" s="46">
        <f>'Function Of Rate'!M18</f>
        <v>0</v>
      </c>
    </row>
    <row r="50" spans="3:20" s="33" customFormat="1" ht="13.5" customHeight="1">
      <c r="C50" s="43">
        <f>Query!I11</f>
        <v>43335</v>
      </c>
      <c r="D50" s="45">
        <f>Query!J11</f>
        <v>0.12191448520000001</v>
      </c>
      <c r="E50" s="34">
        <f>Query!J11-Query!J12</f>
        <v>5.3594036000000067E-3</v>
      </c>
      <c r="F50" s="46">
        <f>Query!J11-Query!J15</f>
        <v>9.0662994000000052E-3</v>
      </c>
      <c r="G50" s="80">
        <f>Query!L11</f>
        <v>4.3696046000000002E-3</v>
      </c>
      <c r="H50" s="34">
        <f>Query!L11-Query!L12</f>
        <v>2.7817529999999997E-4</v>
      </c>
      <c r="I50" s="46">
        <f>Query!L11-Query!L15</f>
        <v>3.3998811E-3</v>
      </c>
      <c r="J50" s="59">
        <f>Query!K11</f>
        <v>0</v>
      </c>
      <c r="K50" s="49" t="e">
        <f ca="1">Query!M11</f>
        <v>#N/A</v>
      </c>
      <c r="L50" s="34" t="e">
        <f ca="1">(Query!M12-Query!M11)/Query!M11</f>
        <v>#N/A</v>
      </c>
      <c r="M50" s="46" t="e">
        <f ca="1">(Query!M15-Query!M11)/Query!M11</f>
        <v>#N/A</v>
      </c>
      <c r="O50" s="130" t="s">
        <v>111</v>
      </c>
      <c r="P50" s="53">
        <f>'Function Of Rate'!N$17</f>
        <v>2.8052960052356374E-2</v>
      </c>
      <c r="Q50" s="46">
        <f t="shared" si="1"/>
        <v>-2.7896616912566324E-2</v>
      </c>
      <c r="R50" s="53">
        <f>CurrentMtgRatesDataTable825234682[refinanceable9]</f>
        <v>0</v>
      </c>
      <c r="S50" s="46">
        <f>P50-$P$47</f>
        <v>-2.7896616912566324E-2</v>
      </c>
      <c r="T50" s="46">
        <f>'Function Of Rate'!N18</f>
        <v>0</v>
      </c>
    </row>
    <row r="51" spans="3:20" s="33" customFormat="1" ht="13.5" customHeight="1" thickBot="1">
      <c r="C51" s="44">
        <f>Query!I12</f>
        <v>43328</v>
      </c>
      <c r="D51" s="47">
        <f>Query!J12</f>
        <v>0.1165550816</v>
      </c>
      <c r="E51" s="40">
        <f>Query!J12-Query!J13</f>
        <v>1.7532454200000006E-2</v>
      </c>
      <c r="F51" s="48">
        <f>Query!J12-Query!J16</f>
        <v>-7.5909237000000018E-3</v>
      </c>
      <c r="G51" s="81">
        <f>Query!L12</f>
        <v>4.0914293000000003E-3</v>
      </c>
      <c r="H51" s="40">
        <f>Query!L12-Query!L13</f>
        <v>3.1454772000000003E-3</v>
      </c>
      <c r="I51" s="48">
        <f>Query!L12-Query!L16</f>
        <v>2.6022830000000004E-3</v>
      </c>
      <c r="J51" s="60">
        <f>Query!K12</f>
        <v>0</v>
      </c>
      <c r="K51" s="50" t="e">
        <f ca="1">Query!M12</f>
        <v>#N/A</v>
      </c>
      <c r="L51" s="40" t="e">
        <f ca="1">(Query!M13-Query!M12)/Query!M12</f>
        <v>#N/A</v>
      </c>
      <c r="M51" s="48" t="e">
        <f ca="1">(Query!M16-Query!M12)/Query!M12</f>
        <v>#N/A</v>
      </c>
      <c r="O51" s="130" t="s">
        <v>112</v>
      </c>
      <c r="P51" s="53">
        <f>'Function Of Rate'!O$17</f>
        <v>2.1026309856569381E-2</v>
      </c>
      <c r="Q51" s="46">
        <f t="shared" si="1"/>
        <v>-3.492326710835332E-2</v>
      </c>
      <c r="R51" s="53">
        <f>CurrentMtgRatesDataTable825234682[refinanceable10]</f>
        <v>0</v>
      </c>
      <c r="S51" s="46">
        <f>P51-$P$47</f>
        <v>-3.492326710835332E-2</v>
      </c>
      <c r="T51" s="46">
        <f>'Function Of Rate'!O18</f>
        <v>0</v>
      </c>
    </row>
    <row r="52" spans="3:20" ht="13.5" customHeight="1" thickBot="1">
      <c r="C52" s="35" t="s">
        <v>53</v>
      </c>
      <c r="H52"/>
      <c r="I52"/>
      <c r="J52"/>
      <c r="L52"/>
      <c r="M52" s="78" t="s">
        <v>55</v>
      </c>
      <c r="O52" s="131" t="s">
        <v>113</v>
      </c>
      <c r="P52" s="55">
        <f>'Function Of Rate'!P$17</f>
        <v>1.7046457458110453E-2</v>
      </c>
      <c r="Q52" s="48">
        <f t="shared" si="1"/>
        <v>-3.8903119506812245E-2</v>
      </c>
      <c r="R52" s="55">
        <f>CurrentMtgRatesDataTable825234682[refinanceable11]</f>
        <v>0</v>
      </c>
      <c r="S52" s="48">
        <f>P52-$P$47</f>
        <v>-3.8903119506812245E-2</v>
      </c>
      <c r="T52" s="48">
        <f>'Function Of Rate'!P18</f>
        <v>0</v>
      </c>
    </row>
    <row r="53" spans="3:20" ht="12" customHeight="1">
      <c r="C53" s="35" t="s">
        <v>52</v>
      </c>
      <c r="O53" s="138" t="s">
        <v>85</v>
      </c>
      <c r="P53" s="138"/>
      <c r="Q53" s="138"/>
      <c r="R53" s="138"/>
      <c r="S53" s="138"/>
      <c r="T53" s="138"/>
    </row>
    <row r="54" spans="3:20">
      <c r="C54" s="149" t="s">
        <v>105</v>
      </c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O54" s="139"/>
      <c r="P54" s="139"/>
      <c r="Q54" s="139"/>
      <c r="R54" s="139"/>
      <c r="S54" s="139"/>
      <c r="T54" s="139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17</v>
      </c>
      <c r="E81" s="26" t="s">
        <v>20</v>
      </c>
      <c r="F81" s="27">
        <f>AA56</f>
        <v>0</v>
      </c>
    </row>
    <row r="82" spans="3:23">
      <c r="C82" s="20" t="s">
        <v>0</v>
      </c>
      <c r="D82" s="21" t="s">
        <v>16</v>
      </c>
      <c r="E82" s="21" t="s">
        <v>13</v>
      </c>
      <c r="F82" s="22" t="s">
        <v>19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8">
    <mergeCell ref="O53:T54"/>
    <mergeCell ref="T40:T41"/>
    <mergeCell ref="D40:F40"/>
    <mergeCell ref="G40:I40"/>
    <mergeCell ref="K40:M40"/>
    <mergeCell ref="P40:Q40"/>
    <mergeCell ref="R40:S40"/>
    <mergeCell ref="C54:M54"/>
  </mergeCells>
  <conditionalFormatting sqref="E42:F51 S42 P42">
    <cfRule type="cellIs" dxfId="123" priority="37" operator="lessThan">
      <formula>0</formula>
    </cfRule>
  </conditionalFormatting>
  <conditionalFormatting sqref="H42:H51">
    <cfRule type="cellIs" dxfId="122" priority="36" operator="lessThan">
      <formula>0</formula>
    </cfRule>
  </conditionalFormatting>
  <conditionalFormatting sqref="L42:L51">
    <cfRule type="cellIs" dxfId="121" priority="35" operator="lessThan">
      <formula>0</formula>
    </cfRule>
  </conditionalFormatting>
  <conditionalFormatting sqref="I42:J51">
    <cfRule type="cellIs" dxfId="120" priority="34" operator="lessThan">
      <formula>0</formula>
    </cfRule>
  </conditionalFormatting>
  <conditionalFormatting sqref="M42:M51">
    <cfRule type="cellIs" dxfId="119" priority="33" operator="lessThan">
      <formula>0</formula>
    </cfRule>
  </conditionalFormatting>
  <conditionalFormatting sqref="D42:M51 S42 P42">
    <cfRule type="containsErrors" dxfId="118" priority="31">
      <formula>ISERROR(D42)</formula>
    </cfRule>
    <cfRule type="containsErrors" priority="32">
      <formula>ISERROR(D42)</formula>
    </cfRule>
  </conditionalFormatting>
  <conditionalFormatting sqref="Q42:Q52">
    <cfRule type="cellIs" dxfId="117" priority="30" operator="lessThan">
      <formula>0</formula>
    </cfRule>
  </conditionalFormatting>
  <conditionalFormatting sqref="Q42:Q52">
    <cfRule type="containsErrors" dxfId="116" priority="28">
      <formula>ISERROR(Q42)</formula>
    </cfRule>
    <cfRule type="containsErrors" priority="29">
      <formula>ISERROR(Q42)</formula>
    </cfRule>
  </conditionalFormatting>
  <conditionalFormatting sqref="Q42">
    <cfRule type="cellIs" dxfId="115" priority="27" operator="lessThan">
      <formula>0</formula>
    </cfRule>
  </conditionalFormatting>
  <conditionalFormatting sqref="Q42">
    <cfRule type="containsErrors" dxfId="114" priority="25">
      <formula>ISERROR(Q42)</formula>
    </cfRule>
    <cfRule type="containsErrors" priority="26">
      <formula>ISERROR(Q42)</formula>
    </cfRule>
  </conditionalFormatting>
  <conditionalFormatting sqref="P43:P52">
    <cfRule type="containsErrors" dxfId="113" priority="19">
      <formula>ISERROR(P43)</formula>
    </cfRule>
    <cfRule type="containsErrors" priority="20">
      <formula>ISERROR(P43)</formula>
    </cfRule>
  </conditionalFormatting>
  <conditionalFormatting sqref="S42:S52">
    <cfRule type="cellIs" dxfId="112" priority="24" operator="lessThan">
      <formula>0</formula>
    </cfRule>
  </conditionalFormatting>
  <conditionalFormatting sqref="S42:S52">
    <cfRule type="containsErrors" dxfId="111" priority="22">
      <formula>ISERROR(S42)</formula>
    </cfRule>
    <cfRule type="containsErrors" priority="23">
      <formula>ISERROR(S42)</formula>
    </cfRule>
  </conditionalFormatting>
  <conditionalFormatting sqref="P43:P52">
    <cfRule type="cellIs" dxfId="110" priority="21" operator="lessThan">
      <formula>0</formula>
    </cfRule>
  </conditionalFormatting>
  <conditionalFormatting sqref="T42">
    <cfRule type="containsErrors" dxfId="109" priority="12">
      <formula>ISERROR(T42)</formula>
    </cfRule>
    <cfRule type="containsErrors" priority="13">
      <formula>ISERROR(T42)</formula>
    </cfRule>
  </conditionalFormatting>
  <conditionalFormatting sqref="T42:T52">
    <cfRule type="cellIs" dxfId="108" priority="17" operator="lessThan">
      <formula>0</formula>
    </cfRule>
  </conditionalFormatting>
  <conditionalFormatting sqref="T42:T52">
    <cfRule type="containsErrors" dxfId="107" priority="15">
      <formula>ISERROR(T42)</formula>
    </cfRule>
    <cfRule type="containsErrors" priority="16">
      <formula>ISERROR(T42)</formula>
    </cfRule>
  </conditionalFormatting>
  <conditionalFormatting sqref="T42">
    <cfRule type="cellIs" dxfId="106" priority="14" operator="lessThan">
      <formula>0</formula>
    </cfRule>
  </conditionalFormatting>
  <conditionalFormatting sqref="M42:M50">
    <cfRule type="cellIs" dxfId="105" priority="11" operator="lessThan">
      <formula>0</formula>
    </cfRule>
  </conditionalFormatting>
  <conditionalFormatting sqref="H42:H51">
    <cfRule type="cellIs" dxfId="104" priority="10" operator="lessThan">
      <formula>0</formula>
    </cfRule>
  </conditionalFormatting>
  <conditionalFormatting sqref="K42">
    <cfRule type="cellIs" dxfId="103" priority="9" operator="lessThan">
      <formula>0</formula>
    </cfRule>
  </conditionalFormatting>
  <conditionalFormatting sqref="L42">
    <cfRule type="cellIs" dxfId="102" priority="8" operator="lessThan">
      <formula>0</formula>
    </cfRule>
  </conditionalFormatting>
  <conditionalFormatting sqref="K42">
    <cfRule type="cellIs" dxfId="101" priority="7" operator="lessThan">
      <formula>0</formula>
    </cfRule>
  </conditionalFormatting>
  <conditionalFormatting sqref="R42">
    <cfRule type="cellIs" dxfId="100" priority="6" operator="lessThan">
      <formula>0</formula>
    </cfRule>
  </conditionalFormatting>
  <conditionalFormatting sqref="R42">
    <cfRule type="containsErrors" dxfId="99" priority="4">
      <formula>ISERROR(R42)</formula>
    </cfRule>
    <cfRule type="containsErrors" priority="5">
      <formula>ISERROR(R42)</formula>
    </cfRule>
  </conditionalFormatting>
  <conditionalFormatting sqref="R43:R52">
    <cfRule type="containsErrors" dxfId="98" priority="1">
      <formula>ISERROR(R43)</formula>
    </cfRule>
    <cfRule type="containsErrors" priority="2">
      <formula>ISERROR(R43)</formula>
    </cfRule>
  </conditionalFormatting>
  <conditionalFormatting sqref="R43:R52">
    <cfRule type="cellIs" dxfId="97" priority="3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10/19/2018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1191"/>
  <sheetViews>
    <sheetView zoomScaleNormal="100" workbookViewId="0">
      <selection activeCell="K11" sqref="K11"/>
    </sheetView>
  </sheetViews>
  <sheetFormatPr defaultRowHeight="15"/>
  <cols>
    <col min="2" max="2" width="10.42578125" hidden="1" customWidth="1"/>
    <col min="3" max="3" width="10.42578125" style="103" hidden="1" customWidth="1"/>
    <col min="4" max="6" width="0" hidden="1" customWidth="1"/>
    <col min="7" max="7" width="10.7109375" hidden="1" customWidth="1"/>
    <col min="8" max="8" width="17.5703125" bestFit="1" customWidth="1"/>
    <col min="9" max="9" width="10.42578125" bestFit="1" customWidth="1"/>
    <col min="10" max="12" width="9.140625" style="102"/>
    <col min="16" max="18" width="9.140625" style="102"/>
    <col min="22" max="22" width="9.140625" style="102"/>
  </cols>
  <sheetData>
    <row r="1" spans="2:22">
      <c r="B1" t="s">
        <v>24</v>
      </c>
      <c r="I1" t="s">
        <v>23</v>
      </c>
      <c r="O1" t="s">
        <v>58</v>
      </c>
      <c r="S1" t="s">
        <v>91</v>
      </c>
    </row>
    <row r="2" spans="2:22">
      <c r="B2" s="6" t="s">
        <v>90</v>
      </c>
      <c r="C2" s="29" t="s">
        <v>31</v>
      </c>
      <c r="D2" s="6" t="s">
        <v>21</v>
      </c>
      <c r="E2" s="6" t="s">
        <v>56</v>
      </c>
      <c r="F2" s="6" t="s">
        <v>54</v>
      </c>
      <c r="I2" t="s">
        <v>90</v>
      </c>
      <c r="J2" s="88" t="s">
        <v>31</v>
      </c>
      <c r="K2" s="88" t="s">
        <v>56</v>
      </c>
      <c r="L2" s="102" t="s">
        <v>89</v>
      </c>
      <c r="M2" s="6" t="s">
        <v>54</v>
      </c>
      <c r="N2" s="6"/>
      <c r="O2" s="6" t="s">
        <v>90</v>
      </c>
      <c r="P2" s="88" t="s">
        <v>31</v>
      </c>
      <c r="Q2" s="88"/>
      <c r="R2" s="88"/>
      <c r="S2" s="6" t="s">
        <v>90</v>
      </c>
      <c r="T2" s="88" t="s">
        <v>31</v>
      </c>
      <c r="V2"/>
    </row>
    <row r="3" spans="2:22">
      <c r="B3" s="18">
        <v>42691</v>
      </c>
      <c r="C3" s="29">
        <v>0.4060261711</v>
      </c>
      <c r="D3" s="29">
        <f>VLOOKUP(CurrentMtgRatesDataTable825[[#This Row],[asofdate]],I:J,2,0)</f>
        <v>0.36510066740000002</v>
      </c>
      <c r="E3" s="29">
        <f>VLOOKUP(CurrentMtgRatesDataTable825[[#This Row],[asofdate]],O:P,2,0)</f>
        <v>0</v>
      </c>
      <c r="F3" s="31">
        <f ca="1">VLOOKUP(CurrentMtgRatesDataTable825[[#This Row],[asofdate]]+1,Bloomberg!B:C,2,0)</f>
        <v>1620.2</v>
      </c>
      <c r="I3" s="18">
        <v>43391</v>
      </c>
      <c r="J3" s="101">
        <v>6.0208946499999999E-2</v>
      </c>
      <c r="K3" s="88">
        <f>VLOOKUP(CurrentMtgRatesDataTable82527141518[[#This Row],[asofdate]],O:P,2,0)</f>
        <v>0</v>
      </c>
      <c r="L3" s="88">
        <f>VLOOKUP(CurrentMtgRatesDataTable82527141518[[#This Row],[asofdate]],S:T,2,0)</f>
        <v>8.31521E-5</v>
      </c>
      <c r="M3" s="6" t="e">
        <f ca="1">VLOOKUP(CurrentMtgRatesDataTable82527141518[[#This Row],[asofdate]]+1,Bloomberg!B:C,2,0)</f>
        <v>#N/A</v>
      </c>
      <c r="N3" s="6"/>
      <c r="O3" s="18">
        <v>43391</v>
      </c>
      <c r="P3" s="101">
        <v>0</v>
      </c>
      <c r="Q3" s="101"/>
      <c r="R3" s="101"/>
      <c r="S3" s="18">
        <v>43391</v>
      </c>
      <c r="T3" s="101">
        <v>8.31521E-5</v>
      </c>
      <c r="V3"/>
    </row>
    <row r="4" spans="2:22">
      <c r="B4" s="82">
        <v>42684</v>
      </c>
      <c r="C4" s="83">
        <v>0.6707544755</v>
      </c>
      <c r="D4" s="83">
        <f>VLOOKUP(CurrentMtgRatesDataTable825[[#This Row],[asofdate]],I:J,2,0)</f>
        <v>0.63483189419999997</v>
      </c>
      <c r="E4" s="83">
        <f>VLOOKUP(CurrentMtgRatesDataTable825[[#This Row],[asofdate]],O:P,2,0)</f>
        <v>0</v>
      </c>
      <c r="F4" s="84">
        <f ca="1">VLOOKUP(CurrentMtgRatesDataTable825[[#This Row],[asofdate]]+1,Bloomberg!B:C,2,0)</f>
        <v>1648</v>
      </c>
      <c r="I4" s="18">
        <v>43384</v>
      </c>
      <c r="J4" s="88">
        <v>5.7351883200000002E-2</v>
      </c>
      <c r="K4" s="88">
        <f>VLOOKUP(CurrentMtgRatesDataTable82527141518[[#This Row],[asofdate]],O:P,2,0)</f>
        <v>0</v>
      </c>
      <c r="L4" s="88">
        <f>VLOOKUP(CurrentMtgRatesDataTable82527141518[[#This Row],[asofdate]],S:T,2,0)</f>
        <v>5.95944E-5</v>
      </c>
      <c r="M4" s="6" t="e">
        <f ca="1">VLOOKUP(CurrentMtgRatesDataTable82527141518[[#This Row],[asofdate]]+1,Bloomberg!B:C,2,0)</f>
        <v>#N/A</v>
      </c>
      <c r="N4" s="6"/>
      <c r="O4" s="18">
        <v>43384</v>
      </c>
      <c r="P4" s="88">
        <v>0</v>
      </c>
      <c r="Q4" s="101"/>
      <c r="R4" s="101"/>
      <c r="S4" s="18">
        <v>43384</v>
      </c>
      <c r="T4" s="88">
        <v>5.95944E-5</v>
      </c>
      <c r="V4"/>
    </row>
    <row r="5" spans="2:22">
      <c r="B5" s="82">
        <v>42677</v>
      </c>
      <c r="C5" s="83">
        <v>0.68895440220000004</v>
      </c>
      <c r="D5" s="83">
        <f>VLOOKUP(CurrentMtgRatesDataTable825[[#This Row],[asofdate]],I:J,2,0)</f>
        <v>0.65213089479999997</v>
      </c>
      <c r="E5" s="83">
        <f>VLOOKUP(CurrentMtgRatesDataTable825[[#This Row],[asofdate]],O:P,2,0)</f>
        <v>0</v>
      </c>
      <c r="F5" s="84">
        <f ca="1">VLOOKUP(CurrentMtgRatesDataTable825[[#This Row],[asofdate]]+1,Bloomberg!B:C,2,0)</f>
        <v>1883</v>
      </c>
      <c r="I5" s="18">
        <v>43377</v>
      </c>
      <c r="J5" s="88">
        <v>6.8958800599999995E-2</v>
      </c>
      <c r="K5" s="88">
        <f>VLOOKUP(CurrentMtgRatesDataTable82527141518[[#This Row],[asofdate]],O:P,2,0)</f>
        <v>0</v>
      </c>
      <c r="L5" s="88">
        <f>VLOOKUP(CurrentMtgRatesDataTable82527141518[[#This Row],[asofdate]],S:T,2,0)</f>
        <v>3.0684730000000001E-4</v>
      </c>
      <c r="M5" s="6" t="e">
        <f ca="1">VLOOKUP(CurrentMtgRatesDataTable82527141518[[#This Row],[asofdate]]+1,Bloomberg!B:C,2,0)</f>
        <v>#N/A</v>
      </c>
      <c r="N5" s="6"/>
      <c r="O5" s="18">
        <v>43377</v>
      </c>
      <c r="P5" s="88">
        <v>0</v>
      </c>
      <c r="Q5" s="101"/>
      <c r="R5" s="101"/>
      <c r="S5" s="18">
        <v>43377</v>
      </c>
      <c r="T5" s="88">
        <v>3.0684730000000001E-4</v>
      </c>
      <c r="V5"/>
    </row>
    <row r="6" spans="2:22">
      <c r="B6" s="82">
        <v>42670</v>
      </c>
      <c r="C6" s="83">
        <v>0.72616169269999997</v>
      </c>
      <c r="D6" s="83">
        <f>VLOOKUP(CurrentMtgRatesDataTable825[[#This Row],[asofdate]],I:J,2,0)</f>
        <v>0.69656005160000001</v>
      </c>
      <c r="E6" s="83">
        <f>VLOOKUP(CurrentMtgRatesDataTable825[[#This Row],[asofdate]],O:P,2,0)</f>
        <v>0</v>
      </c>
      <c r="F6" s="84">
        <f ca="1">VLOOKUP(CurrentMtgRatesDataTable825[[#This Row],[asofdate]]+1,Bloomberg!B:C,2,0)</f>
        <v>1937.8</v>
      </c>
      <c r="I6" s="18">
        <v>43370</v>
      </c>
      <c r="J6" s="88">
        <v>6.8849031199999994E-2</v>
      </c>
      <c r="K6" s="88">
        <f>VLOOKUP(CurrentMtgRatesDataTable82527141518[[#This Row],[asofdate]],O:P,2,0)</f>
        <v>0</v>
      </c>
      <c r="L6" s="88">
        <f>VLOOKUP(CurrentMtgRatesDataTable82527141518[[#This Row],[asofdate]],S:T,2,0)</f>
        <v>2.357336E-4</v>
      </c>
      <c r="M6" s="6" t="e">
        <f ca="1">VLOOKUP(CurrentMtgRatesDataTable82527141518[[#This Row],[asofdate]]+1,Bloomberg!B:C,2,0)</f>
        <v>#N/A</v>
      </c>
      <c r="N6" s="6"/>
      <c r="O6" s="18">
        <v>43370</v>
      </c>
      <c r="P6" s="88">
        <v>0</v>
      </c>
      <c r="Q6" s="101"/>
      <c r="R6" s="101"/>
      <c r="S6" s="18">
        <v>43370</v>
      </c>
      <c r="T6" s="88">
        <v>2.357336E-4</v>
      </c>
      <c r="V6"/>
    </row>
    <row r="7" spans="2:22">
      <c r="B7" s="82">
        <v>42663</v>
      </c>
      <c r="C7" s="83">
        <v>0.71783683799999998</v>
      </c>
      <c r="D7" s="83">
        <f>VLOOKUP(CurrentMtgRatesDataTable825[[#This Row],[asofdate]],I:J,2,0)</f>
        <v>0.68103409550000005</v>
      </c>
      <c r="E7" s="83">
        <f>VLOOKUP(CurrentMtgRatesDataTable825[[#This Row],[asofdate]],O:P,2,0)</f>
        <v>0</v>
      </c>
      <c r="F7" s="84">
        <f ca="1">VLOOKUP(CurrentMtgRatesDataTable825[[#This Row],[asofdate]]+1,Bloomberg!B:C,2,0)</f>
        <v>1972.5</v>
      </c>
      <c r="I7" s="18">
        <v>43363</v>
      </c>
      <c r="J7" s="88">
        <v>7.3996180900000014E-2</v>
      </c>
      <c r="K7" s="88">
        <f>VLOOKUP(CurrentMtgRatesDataTable82527141518[[#This Row],[asofdate]],O:P,2,0)</f>
        <v>0</v>
      </c>
      <c r="L7" s="88">
        <f>VLOOKUP(CurrentMtgRatesDataTable82527141518[[#This Row],[asofdate]],S:T,2,0)</f>
        <v>4.1564040000000003E-4</v>
      </c>
      <c r="M7" s="6" t="e">
        <f ca="1">VLOOKUP(CurrentMtgRatesDataTable82527141518[[#This Row],[asofdate]]+1,Bloomberg!B:C,2,0)</f>
        <v>#N/A</v>
      </c>
      <c r="N7" s="6"/>
      <c r="O7" s="18">
        <v>43363</v>
      </c>
      <c r="P7" s="88">
        <v>0</v>
      </c>
      <c r="Q7" s="101"/>
      <c r="R7" s="101"/>
      <c r="S7" s="18">
        <v>43363</v>
      </c>
      <c r="T7" s="88">
        <v>4.1564040000000003E-4</v>
      </c>
      <c r="V7"/>
    </row>
    <row r="8" spans="2:22">
      <c r="B8" s="82">
        <v>42649</v>
      </c>
      <c r="C8" s="83">
        <v>0.75526650819999996</v>
      </c>
      <c r="D8" s="83">
        <f>VLOOKUP(CurrentMtgRatesDataTable825[[#This Row],[asofdate]],I:J,2,0)</f>
        <v>0.73255988459999999</v>
      </c>
      <c r="E8" s="83">
        <f>VLOOKUP(CurrentMtgRatesDataTable825[[#This Row],[asofdate]],O:P,2,0)</f>
        <v>0</v>
      </c>
      <c r="F8" s="84">
        <f ca="1">VLOOKUP(CurrentMtgRatesDataTable825[[#This Row],[asofdate]]+1,Bloomberg!B:C,2,0)</f>
        <v>2075.9</v>
      </c>
      <c r="I8" s="18">
        <v>43356</v>
      </c>
      <c r="J8" s="88">
        <v>8.0976341499999993E-2</v>
      </c>
      <c r="K8" s="88">
        <f>VLOOKUP(CurrentMtgRatesDataTable82527141518[[#This Row],[asofdate]],O:P,2,0)</f>
        <v>0</v>
      </c>
      <c r="L8" s="88">
        <f>VLOOKUP(CurrentMtgRatesDataTable82527141518[[#This Row],[asofdate]],S:T,2,0)</f>
        <v>1.2566888E-3</v>
      </c>
      <c r="M8" s="6" t="e">
        <f ca="1">VLOOKUP(CurrentMtgRatesDataTable82527141518[[#This Row],[asofdate]]+1,Bloomberg!B:C,2,0)</f>
        <v>#N/A</v>
      </c>
      <c r="N8" s="6"/>
      <c r="O8" s="18">
        <v>43356</v>
      </c>
      <c r="P8" s="88">
        <v>0</v>
      </c>
      <c r="Q8" s="101"/>
      <c r="R8" s="101"/>
      <c r="S8" s="18">
        <v>43356</v>
      </c>
      <c r="T8" s="88">
        <v>1.2566888E-3</v>
      </c>
      <c r="V8"/>
    </row>
    <row r="9" spans="2:22">
      <c r="B9" s="82">
        <v>42642</v>
      </c>
      <c r="C9" s="83">
        <v>0.76584412719999995</v>
      </c>
      <c r="D9" s="83">
        <f>VLOOKUP(CurrentMtgRatesDataTable825[[#This Row],[asofdate]],I:J,2,0)</f>
        <v>0.74908598390000003</v>
      </c>
      <c r="E9" s="83">
        <f>VLOOKUP(CurrentMtgRatesDataTable825[[#This Row],[asofdate]],O:P,2,0)</f>
        <v>2.3667114000000002E-3</v>
      </c>
      <c r="F9" s="84">
        <f ca="1">VLOOKUP(CurrentMtgRatesDataTable825[[#This Row],[asofdate]]+1,Bloomberg!B:C,2,0)</f>
        <v>2301.9</v>
      </c>
      <c r="I9" s="18">
        <v>43349</v>
      </c>
      <c r="J9" s="88">
        <v>9.3500025700000003E-2</v>
      </c>
      <c r="K9" s="88">
        <f>VLOOKUP(CurrentMtgRatesDataTable82527141518[[#This Row],[asofdate]],O:P,2,0)</f>
        <v>0</v>
      </c>
      <c r="L9" s="88">
        <f>VLOOKUP(CurrentMtgRatesDataTable82527141518[[#This Row],[asofdate]],S:T,2,0)</f>
        <v>2.2650897999999999E-3</v>
      </c>
      <c r="M9" s="6" t="e">
        <f ca="1">VLOOKUP(CurrentMtgRatesDataTable82527141518[[#This Row],[asofdate]]+1,Bloomberg!B:C,2,0)</f>
        <v>#N/A</v>
      </c>
      <c r="N9" s="6"/>
      <c r="O9" s="18">
        <v>43349</v>
      </c>
      <c r="P9" s="88">
        <v>0</v>
      </c>
      <c r="Q9" s="101"/>
      <c r="R9" s="101"/>
      <c r="S9" s="18">
        <v>43349</v>
      </c>
      <c r="T9" s="88">
        <v>2.2650897999999999E-3</v>
      </c>
      <c r="V9"/>
    </row>
    <row r="10" spans="2:22">
      <c r="B10" s="82">
        <v>42635</v>
      </c>
      <c r="C10" s="83">
        <v>0.73718828079999998</v>
      </c>
      <c r="D10" s="83">
        <f>VLOOKUP(CurrentMtgRatesDataTable825[[#This Row],[asofdate]],I:J,2,0)</f>
        <v>0.70692629240000004</v>
      </c>
      <c r="E10" s="83">
        <f>VLOOKUP(CurrentMtgRatesDataTable825[[#This Row],[asofdate]],O:P,2,0)</f>
        <v>0</v>
      </c>
      <c r="F10" s="84">
        <f ca="1">VLOOKUP(CurrentMtgRatesDataTable825[[#This Row],[asofdate]]+1,Bloomberg!B:C,2,0)</f>
        <v>2170.3000000000002</v>
      </c>
      <c r="I10" s="18">
        <v>43342</v>
      </c>
      <c r="J10" s="88">
        <v>0.1190768962</v>
      </c>
      <c r="K10" s="88">
        <f>VLOOKUP(CurrentMtgRatesDataTable82527141518[[#This Row],[asofdate]],O:P,2,0)</f>
        <v>0</v>
      </c>
      <c r="L10" s="88">
        <f>VLOOKUP(CurrentMtgRatesDataTable82527141518[[#This Row],[asofdate]],S:T,2,0)</f>
        <v>3.7952707000000001E-3</v>
      </c>
      <c r="M10" s="6" t="e">
        <f ca="1">VLOOKUP(CurrentMtgRatesDataTable82527141518[[#This Row],[asofdate]]+1,Bloomberg!B:C,2,0)</f>
        <v>#N/A</v>
      </c>
      <c r="N10" s="6"/>
      <c r="O10" s="18">
        <v>43342</v>
      </c>
      <c r="P10" s="88">
        <v>0</v>
      </c>
      <c r="Q10" s="101"/>
      <c r="R10" s="101"/>
      <c r="S10" s="18">
        <v>43342</v>
      </c>
      <c r="T10" s="88">
        <v>3.7952707000000001E-3</v>
      </c>
      <c r="V10"/>
    </row>
    <row r="11" spans="2:22">
      <c r="B11" s="82">
        <v>42628</v>
      </c>
      <c r="C11" s="83">
        <v>0.73933698849999996</v>
      </c>
      <c r="D11" s="83">
        <f>VLOOKUP(CurrentMtgRatesDataTable825[[#This Row],[asofdate]],I:J,2,0)</f>
        <v>0.71121339630000002</v>
      </c>
      <c r="E11" s="83">
        <f>VLOOKUP(CurrentMtgRatesDataTable825[[#This Row],[asofdate]],O:P,2,0)</f>
        <v>0</v>
      </c>
      <c r="F11" s="84">
        <f ca="1">VLOOKUP(CurrentMtgRatesDataTable825[[#This Row],[asofdate]]+1,Bloomberg!B:C,2,0)</f>
        <v>2217.4</v>
      </c>
      <c r="I11" s="18">
        <v>43335</v>
      </c>
      <c r="J11" s="88">
        <v>0.12191448520000001</v>
      </c>
      <c r="K11" s="88">
        <f>VLOOKUP(CurrentMtgRatesDataTable82527141518[[#This Row],[asofdate]],O:P,2,0)</f>
        <v>0</v>
      </c>
      <c r="L11" s="88">
        <f>VLOOKUP(CurrentMtgRatesDataTable82527141518[[#This Row],[asofdate]],S:T,2,0)</f>
        <v>4.3696046000000002E-3</v>
      </c>
      <c r="M11" s="6" t="e">
        <f ca="1">VLOOKUP(CurrentMtgRatesDataTable82527141518[[#This Row],[asofdate]]+1,Bloomberg!B:C,2,0)</f>
        <v>#N/A</v>
      </c>
      <c r="N11" s="6"/>
      <c r="O11" s="18">
        <v>43335</v>
      </c>
      <c r="P11" s="88">
        <v>0</v>
      </c>
      <c r="Q11" s="101"/>
      <c r="R11" s="101"/>
      <c r="S11" s="18">
        <v>43335</v>
      </c>
      <c r="T11" s="88">
        <v>4.3696046000000002E-3</v>
      </c>
      <c r="V11"/>
    </row>
    <row r="12" spans="2:22">
      <c r="B12" s="82">
        <v>42621</v>
      </c>
      <c r="C12" s="83">
        <v>0.75420412839999995</v>
      </c>
      <c r="D12" s="83">
        <f>VLOOKUP(CurrentMtgRatesDataTable825[[#This Row],[asofdate]],I:J,2,0)</f>
        <v>0.72924696990000004</v>
      </c>
      <c r="E12" s="83">
        <f>VLOOKUP(CurrentMtgRatesDataTable825[[#This Row],[asofdate]],O:P,2,0)</f>
        <v>0</v>
      </c>
      <c r="F12" s="84">
        <f ca="1">VLOOKUP(CurrentMtgRatesDataTable825[[#This Row],[asofdate]]+1,Bloomberg!B:C,2,0)</f>
        <v>2424.5</v>
      </c>
      <c r="I12" s="18">
        <v>43328</v>
      </c>
      <c r="J12" s="88">
        <v>0.1165550816</v>
      </c>
      <c r="K12" s="88">
        <f>VLOOKUP(CurrentMtgRatesDataTable82527141518[[#This Row],[asofdate]],O:P,2,0)</f>
        <v>0</v>
      </c>
      <c r="L12" s="88">
        <f>VLOOKUP(CurrentMtgRatesDataTable82527141518[[#This Row],[asofdate]],S:T,2,0)</f>
        <v>4.0914293000000003E-3</v>
      </c>
      <c r="M12" s="6" t="e">
        <f ca="1">VLOOKUP(CurrentMtgRatesDataTable82527141518[[#This Row],[asofdate]]+1,Bloomberg!B:C,2,0)</f>
        <v>#N/A</v>
      </c>
      <c r="N12" s="6"/>
      <c r="O12" s="18">
        <v>43328</v>
      </c>
      <c r="P12" s="88">
        <v>0</v>
      </c>
      <c r="Q12" s="101"/>
      <c r="R12" s="101"/>
      <c r="S12" s="18">
        <v>43328</v>
      </c>
      <c r="T12" s="88">
        <v>4.0914293000000003E-3</v>
      </c>
      <c r="V12"/>
    </row>
    <row r="13" spans="2:22">
      <c r="B13" s="82">
        <v>42614</v>
      </c>
      <c r="C13" s="83">
        <v>0.75536947659999998</v>
      </c>
      <c r="D13" s="83">
        <f>VLOOKUP(CurrentMtgRatesDataTable825[[#This Row],[asofdate]],I:J,2,0)</f>
        <v>0.73132982150000003</v>
      </c>
      <c r="E13" s="83">
        <f>VLOOKUP(CurrentMtgRatesDataTable825[[#This Row],[asofdate]],O:P,2,0)</f>
        <v>0</v>
      </c>
      <c r="F13" s="84">
        <f ca="1">VLOOKUP(CurrentMtgRatesDataTable825[[#This Row],[asofdate]]+1,Bloomberg!B:C,2,0)</f>
        <v>2382.1999999999998</v>
      </c>
      <c r="I13" s="18">
        <v>43321</v>
      </c>
      <c r="J13" s="88">
        <v>9.9022627399999993E-2</v>
      </c>
      <c r="K13" s="88">
        <f>VLOOKUP(CurrentMtgRatesDataTable82527141518[[#This Row],[asofdate]],O:P,2,0)</f>
        <v>0</v>
      </c>
      <c r="L13" s="88">
        <f>VLOOKUP(CurrentMtgRatesDataTable82527141518[[#This Row],[asofdate]],S:T,2,0)</f>
        <v>9.4595210000000005E-4</v>
      </c>
      <c r="M13" s="6" t="e">
        <f ca="1">VLOOKUP(CurrentMtgRatesDataTable82527141518[[#This Row],[asofdate]]+1,Bloomberg!B:C,2,0)</f>
        <v>#N/A</v>
      </c>
      <c r="N13" s="6"/>
      <c r="O13" s="18">
        <v>43321</v>
      </c>
      <c r="P13" s="88">
        <v>0</v>
      </c>
      <c r="Q13" s="101"/>
      <c r="R13" s="101"/>
      <c r="S13" s="18">
        <v>43321</v>
      </c>
      <c r="T13" s="88">
        <v>9.4595210000000005E-4</v>
      </c>
      <c r="V13"/>
    </row>
    <row r="14" spans="2:22">
      <c r="B14" s="82">
        <v>42606</v>
      </c>
      <c r="C14" s="83">
        <v>0.76877242759999997</v>
      </c>
      <c r="D14" s="83">
        <f>VLOOKUP(CurrentMtgRatesDataTable825[[#This Row],[asofdate]],I:J,2,0)</f>
        <v>0.74897725719999997</v>
      </c>
      <c r="E14" s="83">
        <f>VLOOKUP(CurrentMtgRatesDataTable825[[#This Row],[asofdate]],O:P,2,0)</f>
        <v>0</v>
      </c>
      <c r="F14" s="84">
        <f ca="1">VLOOKUP(CurrentMtgRatesDataTable825[[#This Row],[asofdate]]+1,Bloomberg!B:C,2,0)</f>
        <v>2329.9</v>
      </c>
      <c r="I14" s="18">
        <v>43314</v>
      </c>
      <c r="J14" s="88">
        <v>0.102898673</v>
      </c>
      <c r="K14" s="88">
        <f>VLOOKUP(CurrentMtgRatesDataTable82527141518[[#This Row],[asofdate]],O:P,2,0)</f>
        <v>0</v>
      </c>
      <c r="L14" s="88">
        <f>VLOOKUP(CurrentMtgRatesDataTable82527141518[[#This Row],[asofdate]],S:T,2,0)</f>
        <v>1.7967946E-3</v>
      </c>
      <c r="M14" s="6" t="e">
        <f ca="1">VLOOKUP(CurrentMtgRatesDataTable82527141518[[#This Row],[asofdate]]+1,Bloomberg!B:C,2,0)</f>
        <v>#N/A</v>
      </c>
      <c r="N14" s="6"/>
      <c r="O14" s="18">
        <v>43314</v>
      </c>
      <c r="P14" s="88">
        <v>0</v>
      </c>
      <c r="Q14" s="101"/>
      <c r="R14" s="101"/>
      <c r="S14" s="18">
        <v>43314</v>
      </c>
      <c r="T14" s="88">
        <v>1.7967946E-3</v>
      </c>
      <c r="V14"/>
    </row>
    <row r="15" spans="2:22">
      <c r="B15" s="82">
        <v>42600</v>
      </c>
      <c r="C15" s="83">
        <v>0.77541171040000001</v>
      </c>
      <c r="D15" s="83">
        <f>VLOOKUP(CurrentMtgRatesDataTable825[[#This Row],[asofdate]],I:J,2,0)</f>
        <v>0.7593242724</v>
      </c>
      <c r="E15" s="83">
        <f>VLOOKUP(CurrentMtgRatesDataTable825[[#This Row],[asofdate]],O:P,2,0)</f>
        <v>0</v>
      </c>
      <c r="F15" s="84">
        <f ca="1">VLOOKUP(CurrentMtgRatesDataTable825[[#This Row],[asofdate]]+1,Bloomberg!B:C,2,0)</f>
        <v>2296.5</v>
      </c>
      <c r="I15" s="18">
        <v>43307</v>
      </c>
      <c r="J15" s="88">
        <v>0.1128481858</v>
      </c>
      <c r="K15" s="88">
        <f>VLOOKUP(CurrentMtgRatesDataTable82527141518[[#This Row],[asofdate]],O:P,2,0)</f>
        <v>0</v>
      </c>
      <c r="L15" s="88">
        <f>VLOOKUP(CurrentMtgRatesDataTable82527141518[[#This Row],[asofdate]],S:T,2,0)</f>
        <v>9.6972349999999998E-4</v>
      </c>
      <c r="M15" s="6">
        <f ca="1">VLOOKUP(CurrentMtgRatesDataTable82527141518[[#This Row],[asofdate]]+1,Bloomberg!B:C,2,0)</f>
        <v>968.5</v>
      </c>
      <c r="N15" s="6"/>
      <c r="O15" s="18">
        <v>43307</v>
      </c>
      <c r="P15" s="88">
        <v>0</v>
      </c>
      <c r="Q15" s="101"/>
      <c r="R15" s="101"/>
      <c r="S15" s="18">
        <v>43307</v>
      </c>
      <c r="T15" s="88">
        <v>9.6972349999999998E-4</v>
      </c>
      <c r="V15"/>
    </row>
    <row r="16" spans="2:22">
      <c r="B16" s="82">
        <v>42593</v>
      </c>
      <c r="C16" s="83">
        <v>0.76978437820000001</v>
      </c>
      <c r="D16" s="83">
        <f>VLOOKUP(CurrentMtgRatesDataTable825[[#This Row],[asofdate]],I:J,2,0)</f>
        <v>0.75198333319999999</v>
      </c>
      <c r="E16" s="83">
        <f>VLOOKUP(CurrentMtgRatesDataTable825[[#This Row],[asofdate]],O:P,2,0)</f>
        <v>0</v>
      </c>
      <c r="F16" s="84">
        <f ca="1">VLOOKUP(CurrentMtgRatesDataTable825[[#This Row],[asofdate]]+1,Bloomberg!B:C,2,0)</f>
        <v>2302.4</v>
      </c>
      <c r="I16" s="18">
        <v>43300</v>
      </c>
      <c r="J16" s="88">
        <v>0.1241460053</v>
      </c>
      <c r="K16" s="88">
        <f>VLOOKUP(CurrentMtgRatesDataTable82527141518[[#This Row],[asofdate]],O:P,2,0)</f>
        <v>9.6603209999999995E-4</v>
      </c>
      <c r="L16" s="88">
        <f>VLOOKUP(CurrentMtgRatesDataTable82527141518[[#This Row],[asofdate]],S:T,2,0)</f>
        <v>1.4891463000000001E-3</v>
      </c>
      <c r="M16" s="6">
        <f ca="1">VLOOKUP(CurrentMtgRatesDataTable82527141518[[#This Row],[asofdate]]+1,Bloomberg!B:C,2,0)</f>
        <v>999.6</v>
      </c>
      <c r="N16" s="6"/>
      <c r="O16" s="18">
        <v>43300</v>
      </c>
      <c r="P16" s="88">
        <v>9.6603209999999995E-4</v>
      </c>
      <c r="Q16" s="101"/>
      <c r="R16" s="101"/>
      <c r="S16" s="18">
        <v>43300</v>
      </c>
      <c r="T16" s="88">
        <v>1.4891463000000001E-3</v>
      </c>
      <c r="V16"/>
    </row>
    <row r="17" spans="2:22">
      <c r="B17" s="82">
        <v>42586</v>
      </c>
      <c r="C17" s="83">
        <v>0.77541171040000001</v>
      </c>
      <c r="D17" s="83">
        <f>VLOOKUP(CurrentMtgRatesDataTable825[[#This Row],[asofdate]],I:J,2,0)</f>
        <v>0.7593242724</v>
      </c>
      <c r="E17" s="83">
        <f>VLOOKUP(CurrentMtgRatesDataTable825[[#This Row],[asofdate]],O:P,2,0)</f>
        <v>0</v>
      </c>
      <c r="F17" s="84">
        <f ca="1">VLOOKUP(CurrentMtgRatesDataTable825[[#This Row],[asofdate]]+1,Bloomberg!B:C,2,0)</f>
        <v>2386.3000000000002</v>
      </c>
      <c r="I17" s="18">
        <v>43293</v>
      </c>
      <c r="J17" s="88">
        <v>0.12164557210000002</v>
      </c>
      <c r="K17" s="88">
        <f>VLOOKUP(CurrentMtgRatesDataTable82527141518[[#This Row],[asofdate]],O:P,2,0)</f>
        <v>9.6047000000000005E-4</v>
      </c>
      <c r="L17" s="88">
        <f>VLOOKUP(CurrentMtgRatesDataTable82527141518[[#This Row],[asofdate]],S:T,2,0)</f>
        <v>1.4664210999999999E-3</v>
      </c>
      <c r="M17" s="6">
        <f ca="1">VLOOKUP(CurrentMtgRatesDataTable82527141518[[#This Row],[asofdate]]+1,Bloomberg!B:C,2,0)</f>
        <v>981.7</v>
      </c>
      <c r="N17" s="6"/>
      <c r="O17" s="18">
        <v>43293</v>
      </c>
      <c r="P17" s="88">
        <v>9.6047000000000005E-4</v>
      </c>
      <c r="Q17" s="101"/>
      <c r="R17" s="101"/>
      <c r="S17" s="18">
        <v>43293</v>
      </c>
      <c r="T17" s="88">
        <v>1.4664210999999999E-3</v>
      </c>
      <c r="V17"/>
    </row>
    <row r="18" spans="2:22">
      <c r="B18" s="82">
        <v>42579</v>
      </c>
      <c r="C18" s="83">
        <v>0.75670920239999995</v>
      </c>
      <c r="D18" s="83">
        <f>VLOOKUP(CurrentMtgRatesDataTable825[[#This Row],[asofdate]],I:J,2,0)</f>
        <v>0.74899178590000004</v>
      </c>
      <c r="E18" s="83">
        <f>VLOOKUP(CurrentMtgRatesDataTable825[[#This Row],[asofdate]],O:P,2,0)</f>
        <v>0</v>
      </c>
      <c r="F18" s="84">
        <f ca="1">VLOOKUP(CurrentMtgRatesDataTable825[[#This Row],[asofdate]]+1,Bloomberg!B:C,2,0)</f>
        <v>2254.9</v>
      </c>
      <c r="I18" s="18">
        <v>43286</v>
      </c>
      <c r="J18" s="88">
        <v>0.1177657664</v>
      </c>
      <c r="K18" s="88">
        <f>VLOOKUP(CurrentMtgRatesDataTable82527141518[[#This Row],[asofdate]],O:P,2,0)</f>
        <v>9.2765139999999996E-4</v>
      </c>
      <c r="L18" s="88">
        <f>VLOOKUP(CurrentMtgRatesDataTable82527141518[[#This Row],[asofdate]],S:T,2,0)</f>
        <v>1.3533925000000001E-3</v>
      </c>
      <c r="M18" s="6">
        <f ca="1">VLOOKUP(CurrentMtgRatesDataTable82527141518[[#This Row],[asofdate]]+1,Bloomberg!B:C,2,0)</f>
        <v>959.5</v>
      </c>
      <c r="N18" s="6"/>
      <c r="O18" s="18">
        <v>43286</v>
      </c>
      <c r="P18" s="88">
        <v>9.2765139999999996E-4</v>
      </c>
      <c r="Q18" s="101"/>
      <c r="R18" s="101"/>
      <c r="S18" s="18">
        <v>43286</v>
      </c>
      <c r="T18" s="88">
        <v>1.3533925000000001E-3</v>
      </c>
      <c r="V18"/>
    </row>
    <row r="19" spans="2:22">
      <c r="B19" s="82">
        <v>42572</v>
      </c>
      <c r="C19" s="83">
        <v>0.76434424749999996</v>
      </c>
      <c r="D19" s="83">
        <f>VLOOKUP(CurrentMtgRatesDataTable825[[#This Row],[asofdate]],I:J,2,0)</f>
        <v>0.7633497092</v>
      </c>
      <c r="E19" s="83">
        <f>VLOOKUP(CurrentMtgRatesDataTable825[[#This Row],[asofdate]],O:P,2,0)</f>
        <v>0</v>
      </c>
      <c r="F19" s="84">
        <f ca="1">VLOOKUP(CurrentMtgRatesDataTable825[[#This Row],[asofdate]]+1,Bloomberg!B:C,2,0)</f>
        <v>2333.1999999999998</v>
      </c>
      <c r="I19" s="18">
        <v>43279</v>
      </c>
      <c r="J19" s="88">
        <v>0.1098084941</v>
      </c>
      <c r="K19" s="88">
        <f>VLOOKUP(CurrentMtgRatesDataTable82527141518[[#This Row],[asofdate]],O:P,2,0)</f>
        <v>0</v>
      </c>
      <c r="L19" s="88">
        <f>VLOOKUP(CurrentMtgRatesDataTable82527141518[[#This Row],[asofdate]],S:T,2,0)</f>
        <v>5.6867820000000005E-4</v>
      </c>
      <c r="M19" s="6">
        <f ca="1">VLOOKUP(CurrentMtgRatesDataTable82527141518[[#This Row],[asofdate]]+1,Bloomberg!B:C,2,0)</f>
        <v>996.4</v>
      </c>
      <c r="N19" s="6"/>
      <c r="O19" s="18">
        <v>43279</v>
      </c>
      <c r="P19" s="88">
        <v>0</v>
      </c>
      <c r="Q19" s="101"/>
      <c r="R19" s="101"/>
      <c r="S19" s="18">
        <v>43279</v>
      </c>
      <c r="T19" s="88">
        <v>5.6867820000000005E-4</v>
      </c>
      <c r="V19"/>
    </row>
    <row r="20" spans="2:22">
      <c r="B20" s="82">
        <v>42565</v>
      </c>
      <c r="C20" s="83">
        <v>0.77197328470000004</v>
      </c>
      <c r="D20" s="83">
        <f>VLOOKUP(CurrentMtgRatesDataTable825[[#This Row],[asofdate]],I:J,2,0)</f>
        <v>0.7752705017</v>
      </c>
      <c r="E20" s="83">
        <f>VLOOKUP(CurrentMtgRatesDataTable825[[#This Row],[asofdate]],O:P,2,0)</f>
        <v>0</v>
      </c>
      <c r="F20" s="84">
        <f ca="1">VLOOKUP(CurrentMtgRatesDataTable825[[#This Row],[asofdate]]+1,Bloomberg!B:C,2,0)</f>
        <v>2783.1</v>
      </c>
      <c r="I20" s="18">
        <v>43272</v>
      </c>
      <c r="J20" s="88">
        <v>0.10430653970000001</v>
      </c>
      <c r="K20" s="88">
        <f>VLOOKUP(CurrentMtgRatesDataTable82527141518[[#This Row],[asofdate]],O:P,2,0)</f>
        <v>0</v>
      </c>
      <c r="L20" s="88">
        <f>VLOOKUP(CurrentMtgRatesDataTable82527141518[[#This Row],[asofdate]],S:T,2,0)</f>
        <v>5.5325220000000002E-4</v>
      </c>
      <c r="M20" s="6">
        <f ca="1">VLOOKUP(CurrentMtgRatesDataTable82527141518[[#This Row],[asofdate]]+1,Bloomberg!B:C,2,0)</f>
        <v>1021.3</v>
      </c>
      <c r="N20" s="6"/>
      <c r="O20" s="18">
        <v>43272</v>
      </c>
      <c r="P20" s="88">
        <v>0</v>
      </c>
      <c r="Q20" s="101"/>
      <c r="R20" s="101"/>
      <c r="S20" s="18">
        <v>43272</v>
      </c>
      <c r="T20" s="88">
        <v>5.5325220000000002E-4</v>
      </c>
      <c r="V20"/>
    </row>
    <row r="21" spans="2:22">
      <c r="B21" s="82">
        <v>42558</v>
      </c>
      <c r="C21" s="83">
        <v>0.77565743450000002</v>
      </c>
      <c r="D21" s="83">
        <f>VLOOKUP(CurrentMtgRatesDataTable825[[#This Row],[asofdate]],I:J,2,0)</f>
        <v>0.78006753620000002</v>
      </c>
      <c r="E21" s="83">
        <f>VLOOKUP(CurrentMtgRatesDataTable825[[#This Row],[asofdate]],O:P,2,0)</f>
        <v>0.39575124179999999</v>
      </c>
      <c r="F21" s="84">
        <f ca="1">VLOOKUP(CurrentMtgRatesDataTable825[[#This Row],[asofdate]]+1,Bloomberg!B:C,2,0)</f>
        <v>2771.6</v>
      </c>
      <c r="I21" s="18">
        <v>43265</v>
      </c>
      <c r="J21" s="88">
        <v>9.7064189100000003E-2</v>
      </c>
      <c r="K21" s="88">
        <f>VLOOKUP(CurrentMtgRatesDataTable82527141518[[#This Row],[asofdate]],O:P,2,0)</f>
        <v>0</v>
      </c>
      <c r="L21" s="88">
        <f>VLOOKUP(CurrentMtgRatesDataTable82527141518[[#This Row],[asofdate]],S:T,2,0)</f>
        <v>4.6994470000000005E-4</v>
      </c>
      <c r="M21" s="6">
        <f ca="1">VLOOKUP(CurrentMtgRatesDataTable82527141518[[#This Row],[asofdate]]+1,Bloomberg!B:C,2,0)</f>
        <v>1070.5999999999999</v>
      </c>
      <c r="N21" s="6"/>
      <c r="O21" s="18">
        <v>43265</v>
      </c>
      <c r="P21" s="88">
        <v>0</v>
      </c>
      <c r="Q21" s="101"/>
      <c r="R21" s="101"/>
      <c r="S21" s="18">
        <v>43265</v>
      </c>
      <c r="T21" s="88">
        <v>4.6994470000000005E-4</v>
      </c>
      <c r="V21"/>
    </row>
    <row r="22" spans="2:22">
      <c r="B22" s="82">
        <v>42551</v>
      </c>
      <c r="C22" s="83">
        <v>0.76587515090000002</v>
      </c>
      <c r="D22" s="83">
        <f>VLOOKUP(CurrentMtgRatesDataTable825[[#This Row],[asofdate]],I:J,2,0)</f>
        <v>0.75833449649999995</v>
      </c>
      <c r="E22" s="83">
        <f>VLOOKUP(CurrentMtgRatesDataTable825[[#This Row],[asofdate]],O:P,2,0)</f>
        <v>0.37290090110000002</v>
      </c>
      <c r="F22" s="84">
        <f ca="1">VLOOKUP(CurrentMtgRatesDataTable825[[#This Row],[asofdate]]+1,Bloomberg!B:C,2,0)</f>
        <v>2474.3000000000002</v>
      </c>
      <c r="I22" s="18">
        <v>43258</v>
      </c>
      <c r="J22" s="88">
        <v>0.11245217239999999</v>
      </c>
      <c r="K22" s="88">
        <f>VLOOKUP(CurrentMtgRatesDataTable82527141518[[#This Row],[asofdate]],O:P,2,0)</f>
        <v>0</v>
      </c>
      <c r="L22" s="88">
        <f>VLOOKUP(CurrentMtgRatesDataTable82527141518[[#This Row],[asofdate]],S:T,2,0)</f>
        <v>8.3690230000000004E-4</v>
      </c>
      <c r="M22" s="6">
        <f ca="1">VLOOKUP(CurrentMtgRatesDataTable82527141518[[#This Row],[asofdate]]+1,Bloomberg!B:C,2,0)</f>
        <v>1000.6</v>
      </c>
      <c r="N22" s="6"/>
      <c r="O22" s="18">
        <v>43258</v>
      </c>
      <c r="P22" s="88">
        <v>0</v>
      </c>
      <c r="Q22" s="101"/>
      <c r="R22" s="101"/>
      <c r="S22" s="18">
        <v>43258</v>
      </c>
      <c r="T22" s="88">
        <v>8.3690230000000004E-4</v>
      </c>
      <c r="V22"/>
    </row>
    <row r="23" spans="2:22">
      <c r="B23" s="82">
        <v>42544</v>
      </c>
      <c r="C23" s="83">
        <v>0.69110725210000001</v>
      </c>
      <c r="D23" s="83">
        <f>VLOOKUP(CurrentMtgRatesDataTable825[[#This Row],[asofdate]],I:J,2,0)</f>
        <v>0.69211153680000004</v>
      </c>
      <c r="E23" s="83">
        <f>VLOOKUP(CurrentMtgRatesDataTable825[[#This Row],[asofdate]],O:P,2,0)</f>
        <v>0</v>
      </c>
      <c r="F23" s="84">
        <f ca="1">VLOOKUP(CurrentMtgRatesDataTable825[[#This Row],[asofdate]]+1,Bloomberg!B:C,2,0)</f>
        <v>2037</v>
      </c>
      <c r="I23" s="18">
        <v>43251</v>
      </c>
      <c r="J23" s="88">
        <v>0.11429891520000002</v>
      </c>
      <c r="K23" s="88">
        <f>VLOOKUP(CurrentMtgRatesDataTable82527141518[[#This Row],[asofdate]],O:P,2,0)</f>
        <v>0</v>
      </c>
      <c r="L23" s="88">
        <f>VLOOKUP(CurrentMtgRatesDataTable82527141518[[#This Row],[asofdate]],S:T,2,0)</f>
        <v>3.0319180000000002E-4</v>
      </c>
      <c r="M23" s="6">
        <f ca="1">VLOOKUP(CurrentMtgRatesDataTable82527141518[[#This Row],[asofdate]]+1,Bloomberg!B:C,2,0)</f>
        <v>1031.4000000000001</v>
      </c>
      <c r="N23" s="6"/>
      <c r="O23" s="18">
        <v>43251</v>
      </c>
      <c r="P23" s="88">
        <v>0</v>
      </c>
      <c r="Q23" s="101"/>
      <c r="R23" s="101"/>
      <c r="S23" s="18">
        <v>43251</v>
      </c>
      <c r="T23" s="88">
        <v>3.0319180000000002E-4</v>
      </c>
      <c r="V23"/>
    </row>
    <row r="24" spans="2:22">
      <c r="B24" s="82">
        <v>42537</v>
      </c>
      <c r="C24" s="83">
        <v>0.73739072439999997</v>
      </c>
      <c r="D24" s="83">
        <f>VLOOKUP(CurrentMtgRatesDataTable825[[#This Row],[asofdate]],I:J,2,0)</f>
        <v>0.72701900929999996</v>
      </c>
      <c r="E24" s="83">
        <f>VLOOKUP(CurrentMtgRatesDataTable825[[#This Row],[asofdate]],O:P,2,0)</f>
        <v>0.35031567409999997</v>
      </c>
      <c r="F24" s="84">
        <f ca="1">VLOOKUP(CurrentMtgRatesDataTable825[[#This Row],[asofdate]]+1,Bloomberg!B:C,2,0)</f>
        <v>2081.1999999999998</v>
      </c>
      <c r="I24" s="18">
        <v>43244</v>
      </c>
      <c r="J24" s="88">
        <v>8.8390129600000006E-2</v>
      </c>
      <c r="K24" s="88">
        <f>VLOOKUP(CurrentMtgRatesDataTable82527141518[[#This Row],[asofdate]],O:P,2,0)</f>
        <v>0</v>
      </c>
      <c r="L24" s="88">
        <f>VLOOKUP(CurrentMtgRatesDataTable82527141518[[#This Row],[asofdate]],S:T,2,0)</f>
        <v>8.7734700000000006E-5</v>
      </c>
      <c r="M24" s="6">
        <f ca="1">VLOOKUP(CurrentMtgRatesDataTable82527141518[[#This Row],[asofdate]]+1,Bloomberg!B:C,2,0)</f>
        <v>992.7</v>
      </c>
      <c r="N24" s="6"/>
      <c r="O24" s="18">
        <v>43244</v>
      </c>
      <c r="P24" s="88">
        <v>0</v>
      </c>
      <c r="Q24" s="101"/>
      <c r="R24" s="101"/>
      <c r="S24" s="18">
        <v>43244</v>
      </c>
      <c r="T24" s="88">
        <v>8.7734700000000006E-5</v>
      </c>
      <c r="V24"/>
    </row>
    <row r="25" spans="2:22">
      <c r="B25" s="82">
        <v>42530</v>
      </c>
      <c r="C25" s="83">
        <v>0.66438425379999999</v>
      </c>
      <c r="D25" s="83">
        <f>VLOOKUP(CurrentMtgRatesDataTable825[[#This Row],[asofdate]],I:J,2,0)</f>
        <v>0.67929191759999996</v>
      </c>
      <c r="E25" s="83">
        <f>VLOOKUP(CurrentMtgRatesDataTable825[[#This Row],[asofdate]],O:P,2,0)</f>
        <v>0</v>
      </c>
      <c r="F25" s="84">
        <f ca="1">VLOOKUP(CurrentMtgRatesDataTable825[[#This Row],[asofdate]]+1,Bloomberg!B:C,2,0)</f>
        <v>1967.5</v>
      </c>
      <c r="I25" s="18">
        <v>43237</v>
      </c>
      <c r="J25" s="88">
        <v>9.9689578599999995E-2</v>
      </c>
      <c r="K25" s="88">
        <f>VLOOKUP(CurrentMtgRatesDataTable82527141518[[#This Row],[asofdate]],O:P,2,0)</f>
        <v>0</v>
      </c>
      <c r="L25" s="88">
        <f>VLOOKUP(CurrentMtgRatesDataTable82527141518[[#This Row],[asofdate]],S:T,2,0)</f>
        <v>1.8930120000000002E-4</v>
      </c>
      <c r="M25" s="6">
        <f ca="1">VLOOKUP(CurrentMtgRatesDataTable82527141518[[#This Row],[asofdate]]+1,Bloomberg!B:C,2,0)</f>
        <v>1035.7</v>
      </c>
      <c r="N25" s="6"/>
      <c r="O25" s="18">
        <v>43237</v>
      </c>
      <c r="P25" s="88">
        <v>0</v>
      </c>
      <c r="Q25" s="101"/>
      <c r="R25" s="101"/>
      <c r="S25" s="18">
        <v>43237</v>
      </c>
      <c r="T25" s="88">
        <v>1.8930120000000002E-4</v>
      </c>
      <c r="V25"/>
    </row>
    <row r="26" spans="2:22">
      <c r="B26" s="82">
        <v>42523</v>
      </c>
      <c r="C26" s="83">
        <v>0.58526010230000003</v>
      </c>
      <c r="D26" s="83">
        <f>VLOOKUP(CurrentMtgRatesDataTable825[[#This Row],[asofdate]],I:J,2,0)</f>
        <v>0.61361583630000005</v>
      </c>
      <c r="E26" s="83">
        <f>VLOOKUP(CurrentMtgRatesDataTable825[[#This Row],[asofdate]],O:P,2,0)</f>
        <v>0</v>
      </c>
      <c r="F26" s="84">
        <f ca="1">VLOOKUP(CurrentMtgRatesDataTable825[[#This Row],[asofdate]]+1,Bloomberg!B:C,2,0)</f>
        <v>1922.8</v>
      </c>
      <c r="I26" s="18">
        <v>43230</v>
      </c>
      <c r="J26" s="88">
        <v>0.1096416092</v>
      </c>
      <c r="K26" s="88">
        <f>VLOOKUP(CurrentMtgRatesDataTable82527141518[[#This Row],[asofdate]],O:P,2,0)</f>
        <v>0</v>
      </c>
      <c r="L26" s="88">
        <f>VLOOKUP(CurrentMtgRatesDataTable82527141518[[#This Row],[asofdate]],S:T,2,0)</f>
        <v>2.3689499999999999E-4</v>
      </c>
      <c r="M26" s="6">
        <f ca="1">VLOOKUP(CurrentMtgRatesDataTable82527141518[[#This Row],[asofdate]]+1,Bloomberg!B:C,2,0)</f>
        <v>1066.8</v>
      </c>
      <c r="N26" s="6"/>
      <c r="O26" s="18">
        <v>43230</v>
      </c>
      <c r="P26" s="88">
        <v>0</v>
      </c>
      <c r="Q26" s="101"/>
      <c r="R26" s="101"/>
      <c r="S26" s="18">
        <v>43230</v>
      </c>
      <c r="T26" s="88">
        <v>2.3689499999999999E-4</v>
      </c>
      <c r="V26"/>
    </row>
    <row r="27" spans="2:22">
      <c r="B27" s="82">
        <v>42516</v>
      </c>
      <c r="C27" s="83">
        <v>0.62190941929999999</v>
      </c>
      <c r="D27" s="83">
        <f>VLOOKUP(CurrentMtgRatesDataTable825[[#This Row],[asofdate]],I:J,2,0)</f>
        <v>0.64311608799999997</v>
      </c>
      <c r="E27" s="83">
        <f>VLOOKUP(CurrentMtgRatesDataTable825[[#This Row],[asofdate]],O:P,2,0)</f>
        <v>0</v>
      </c>
      <c r="F27" s="84">
        <f ca="1">VLOOKUP(CurrentMtgRatesDataTable825[[#This Row],[asofdate]]+1,Bloomberg!B:C,2,0)</f>
        <v>1770.1</v>
      </c>
      <c r="I27" s="18">
        <v>43223</v>
      </c>
      <c r="J27" s="88">
        <v>0.1096058618</v>
      </c>
      <c r="K27" s="88">
        <f>VLOOKUP(CurrentMtgRatesDataTable82527141518[[#This Row],[asofdate]],O:P,2,0)</f>
        <v>0</v>
      </c>
      <c r="L27" s="88">
        <f>VLOOKUP(CurrentMtgRatesDataTable82527141518[[#This Row],[asofdate]],S:T,2,0)</f>
        <v>2.3689499999999999E-4</v>
      </c>
      <c r="M27" s="6">
        <f ca="1">VLOOKUP(CurrentMtgRatesDataTable82527141518[[#This Row],[asofdate]]+1,Bloomberg!B:C,2,0)</f>
        <v>1117.7</v>
      </c>
      <c r="N27" s="6"/>
      <c r="O27" s="18">
        <v>43223</v>
      </c>
      <c r="P27" s="88">
        <v>0</v>
      </c>
      <c r="Q27" s="101"/>
      <c r="R27" s="101"/>
      <c r="S27" s="18">
        <v>43223</v>
      </c>
      <c r="T27" s="88">
        <v>2.3689499999999999E-4</v>
      </c>
      <c r="V27"/>
    </row>
    <row r="28" spans="2:22">
      <c r="B28" s="82">
        <v>42509</v>
      </c>
      <c r="C28" s="83">
        <v>0.66521365170000002</v>
      </c>
      <c r="D28" s="83">
        <f>VLOOKUP(CurrentMtgRatesDataTable825[[#This Row],[asofdate]],I:J,2,0)</f>
        <v>0.67832950000000003</v>
      </c>
      <c r="E28" s="83">
        <f>VLOOKUP(CurrentMtgRatesDataTable825[[#This Row],[asofdate]],O:P,2,0)</f>
        <v>0</v>
      </c>
      <c r="F28" s="84">
        <f ca="1">VLOOKUP(CurrentMtgRatesDataTable825[[#This Row],[asofdate]]+1,Bloomberg!B:C,2,0)</f>
        <v>1866.3</v>
      </c>
      <c r="I28" s="18">
        <v>43216</v>
      </c>
      <c r="J28" s="88">
        <v>0.1010231989</v>
      </c>
      <c r="K28" s="88">
        <f>VLOOKUP(CurrentMtgRatesDataTable82527141518[[#This Row],[asofdate]],O:P,2,0)</f>
        <v>0</v>
      </c>
      <c r="L28" s="88">
        <f>VLOOKUP(CurrentMtgRatesDataTable82527141518[[#This Row],[asofdate]],S:T,2,0)</f>
        <v>5.6957999999999999E-5</v>
      </c>
      <c r="M28" s="6">
        <f ca="1">VLOOKUP(CurrentMtgRatesDataTable82527141518[[#This Row],[asofdate]]+1,Bloomberg!B:C,2,0)</f>
        <v>1116.9000000000001</v>
      </c>
      <c r="N28" s="6"/>
      <c r="O28" s="18">
        <v>43216</v>
      </c>
      <c r="P28" s="88">
        <v>0</v>
      </c>
      <c r="Q28" s="101"/>
      <c r="R28" s="101"/>
      <c r="S28" s="18">
        <v>43216</v>
      </c>
      <c r="T28" s="88">
        <v>5.6957999999999999E-5</v>
      </c>
      <c r="V28"/>
    </row>
    <row r="29" spans="2:22">
      <c r="B29" s="82">
        <v>42502</v>
      </c>
      <c r="C29" s="83">
        <v>0.71267394809999995</v>
      </c>
      <c r="D29" s="83">
        <f>VLOOKUP(CurrentMtgRatesDataTable825[[#This Row],[asofdate]],I:J,2,0)</f>
        <v>0.71380323440000004</v>
      </c>
      <c r="E29" s="83">
        <f>VLOOKUP(CurrentMtgRatesDataTable825[[#This Row],[asofdate]],O:P,2,0)</f>
        <v>0.33007062529999998</v>
      </c>
      <c r="F29" s="84">
        <f ca="1">VLOOKUP(CurrentMtgRatesDataTable825[[#This Row],[asofdate]]+1,Bloomberg!B:C,2,0)</f>
        <v>1849.7</v>
      </c>
      <c r="I29" s="18">
        <v>43209</v>
      </c>
      <c r="J29" s="88">
        <v>0.12862153670000001</v>
      </c>
      <c r="K29" s="88">
        <f>VLOOKUP(CurrentMtgRatesDataTable82527141518[[#This Row],[asofdate]],O:P,2,0)</f>
        <v>0</v>
      </c>
      <c r="L29" s="88">
        <f>VLOOKUP(CurrentMtgRatesDataTable82527141518[[#This Row],[asofdate]],S:T,2,0)</f>
        <v>1.742267E-4</v>
      </c>
      <c r="M29" s="6">
        <f ca="1">VLOOKUP(CurrentMtgRatesDataTable82527141518[[#This Row],[asofdate]]+1,Bloomberg!B:C,2,0)</f>
        <v>1158.9000000000001</v>
      </c>
      <c r="N29" s="6"/>
      <c r="O29" s="18">
        <v>43209</v>
      </c>
      <c r="P29" s="88">
        <v>0</v>
      </c>
      <c r="Q29" s="101"/>
      <c r="R29" s="101"/>
      <c r="S29" s="18">
        <v>43209</v>
      </c>
      <c r="T29" s="88">
        <v>1.742267E-4</v>
      </c>
      <c r="V29"/>
    </row>
    <row r="30" spans="2:22">
      <c r="B30" s="82">
        <v>42495</v>
      </c>
      <c r="C30" s="83">
        <v>0.62371322269999996</v>
      </c>
      <c r="D30" s="83">
        <f>VLOOKUP(CurrentMtgRatesDataTable825[[#This Row],[asofdate]],I:J,2,0)</f>
        <v>0.64752859969999998</v>
      </c>
      <c r="E30" s="83">
        <f>VLOOKUP(CurrentMtgRatesDataTable825[[#This Row],[asofdate]],O:P,2,0)</f>
        <v>0</v>
      </c>
      <c r="F30" s="84">
        <f ca="1">VLOOKUP(CurrentMtgRatesDataTable825[[#This Row],[asofdate]]+1,Bloomberg!B:C,2,0)</f>
        <v>1812</v>
      </c>
      <c r="I30" s="18">
        <v>43202</v>
      </c>
      <c r="J30" s="88">
        <v>0.14707365720000001</v>
      </c>
      <c r="K30" s="88">
        <f>VLOOKUP(CurrentMtgRatesDataTable82527141518[[#This Row],[asofdate]],O:P,2,0)</f>
        <v>1.523486E-4</v>
      </c>
      <c r="L30" s="88">
        <f>VLOOKUP(CurrentMtgRatesDataTable82527141518[[#This Row],[asofdate]],S:T,2,0)</f>
        <v>3.7439289999999996E-4</v>
      </c>
      <c r="M30" s="6">
        <f ca="1">VLOOKUP(CurrentMtgRatesDataTable82527141518[[#This Row],[asofdate]]+1,Bloomberg!B:C,2,0)</f>
        <v>1164.8</v>
      </c>
      <c r="N30" s="6"/>
      <c r="O30" s="18">
        <v>43202</v>
      </c>
      <c r="P30" s="88">
        <v>1.523486E-4</v>
      </c>
      <c r="Q30" s="101"/>
      <c r="R30" s="101"/>
      <c r="S30" s="18">
        <v>43202</v>
      </c>
      <c r="T30" s="88">
        <v>3.7439289999999996E-4</v>
      </c>
      <c r="V30"/>
    </row>
    <row r="31" spans="2:22">
      <c r="B31" s="82">
        <v>42488</v>
      </c>
      <c r="C31" s="83">
        <v>0.57406643820000003</v>
      </c>
      <c r="D31" s="83">
        <f>VLOOKUP(CurrentMtgRatesDataTable825[[#This Row],[asofdate]],I:J,2,0)</f>
        <v>0.56515105990000003</v>
      </c>
      <c r="E31" s="83">
        <f>VLOOKUP(CurrentMtgRatesDataTable825[[#This Row],[asofdate]],O:P,2,0)</f>
        <v>0</v>
      </c>
      <c r="F31" s="84">
        <f ca="1">VLOOKUP(CurrentMtgRatesDataTable825[[#This Row],[asofdate]]+1,Bloomberg!B:C,2,0)</f>
        <v>1791.9</v>
      </c>
      <c r="I31" s="18">
        <v>43195</v>
      </c>
      <c r="J31" s="88">
        <v>0.14592478989999999</v>
      </c>
      <c r="K31" s="88">
        <f>VLOOKUP(CurrentMtgRatesDataTable82527141518[[#This Row],[asofdate]],O:P,2,0)</f>
        <v>1.295562E-4</v>
      </c>
      <c r="L31" s="88">
        <f>VLOOKUP(CurrentMtgRatesDataTable82527141518[[#This Row],[asofdate]],S:T,2,0)</f>
        <v>7.6027340000000003E-4</v>
      </c>
      <c r="M31" s="6">
        <f ca="1">VLOOKUP(CurrentMtgRatesDataTable82527141518[[#This Row],[asofdate]]+1,Bloomberg!B:C,2,0)</f>
        <v>1099.7</v>
      </c>
      <c r="N31" s="6"/>
      <c r="O31" s="18">
        <v>43195</v>
      </c>
      <c r="P31" s="88">
        <v>1.295562E-4</v>
      </c>
      <c r="Q31" s="101"/>
      <c r="R31" s="101"/>
      <c r="S31" s="18">
        <v>43195</v>
      </c>
      <c r="T31" s="88">
        <v>7.6027340000000003E-4</v>
      </c>
      <c r="V31"/>
    </row>
    <row r="32" spans="2:22">
      <c r="B32" s="82">
        <v>42481</v>
      </c>
      <c r="C32" s="83">
        <v>0.64436269310000005</v>
      </c>
      <c r="D32" s="83">
        <f>VLOOKUP(CurrentMtgRatesDataTable825[[#This Row],[asofdate]],I:J,2,0)</f>
        <v>0.64500935260000003</v>
      </c>
      <c r="E32" s="83">
        <f>VLOOKUP(CurrentMtgRatesDataTable825[[#This Row],[asofdate]],O:P,2,0)</f>
        <v>0</v>
      </c>
      <c r="F32" s="84">
        <f ca="1">VLOOKUP(CurrentMtgRatesDataTable825[[#This Row],[asofdate]]+1,Bloomberg!B:C,2,0)</f>
        <v>1910.1</v>
      </c>
      <c r="I32" s="18">
        <v>43188</v>
      </c>
      <c r="J32" s="88">
        <v>0.14108133179999999</v>
      </c>
      <c r="K32" s="88">
        <f>VLOOKUP(CurrentMtgRatesDataTable82527141518[[#This Row],[asofdate]],O:P,2,0)</f>
        <v>0</v>
      </c>
      <c r="L32" s="88">
        <f>VLOOKUP(CurrentMtgRatesDataTable82527141518[[#This Row],[asofdate]],S:T,2,0)</f>
        <v>3.0857269999999993E-4</v>
      </c>
      <c r="M32" s="6">
        <f ca="1">VLOOKUP(CurrentMtgRatesDataTable82527141518[[#This Row],[asofdate]]+1,Bloomberg!B:C,2,0)</f>
        <v>1146.4000000000001</v>
      </c>
      <c r="N32" s="6"/>
      <c r="O32" s="18">
        <v>43188</v>
      </c>
      <c r="P32" s="88">
        <v>0</v>
      </c>
      <c r="Q32" s="101"/>
      <c r="R32" s="101"/>
      <c r="S32" s="18">
        <v>43188</v>
      </c>
      <c r="T32" s="88">
        <v>3.0857269999999993E-4</v>
      </c>
      <c r="V32"/>
    </row>
    <row r="33" spans="2:22">
      <c r="B33" s="82">
        <v>42474</v>
      </c>
      <c r="C33" s="83">
        <v>0.69672383459999998</v>
      </c>
      <c r="D33" s="83">
        <f>VLOOKUP(CurrentMtgRatesDataTable825[[#This Row],[asofdate]],I:J,2,0)</f>
        <v>0.68040202120000004</v>
      </c>
      <c r="E33" s="83">
        <f>VLOOKUP(CurrentMtgRatesDataTable825[[#This Row],[asofdate]],O:P,2,0)</f>
        <v>0.2788781783</v>
      </c>
      <c r="F33" s="84">
        <f ca="1">VLOOKUP(CurrentMtgRatesDataTable825[[#This Row],[asofdate]]+1,Bloomberg!B:C,2,0)</f>
        <v>2072.6</v>
      </c>
      <c r="I33" s="18">
        <v>43181</v>
      </c>
      <c r="J33" s="88">
        <v>0.13880850180000001</v>
      </c>
      <c r="K33" s="88">
        <f>VLOOKUP(CurrentMtgRatesDataTable82527141518[[#This Row],[asofdate]],O:P,2,0)</f>
        <v>0</v>
      </c>
      <c r="L33" s="88">
        <f>VLOOKUP(CurrentMtgRatesDataTable82527141518[[#This Row],[asofdate]],S:T,2,0)</f>
        <v>1.2646249999999999E-4</v>
      </c>
      <c r="M33" s="6">
        <f ca="1">VLOOKUP(CurrentMtgRatesDataTable82527141518[[#This Row],[asofdate]]+1,Bloomberg!B:C,2,0)</f>
        <v>1215</v>
      </c>
      <c r="N33" s="6"/>
      <c r="O33" s="18">
        <v>43181</v>
      </c>
      <c r="P33" s="88">
        <v>0</v>
      </c>
      <c r="Q33" s="101"/>
      <c r="R33" s="101"/>
      <c r="S33" s="18">
        <v>43181</v>
      </c>
      <c r="T33" s="88">
        <v>1.2646249999999999E-4</v>
      </c>
      <c r="V33"/>
    </row>
    <row r="34" spans="2:22">
      <c r="B34" s="82">
        <v>42467</v>
      </c>
      <c r="C34" s="83">
        <v>0.68664584439999998</v>
      </c>
      <c r="D34" s="83">
        <f>VLOOKUP(CurrentMtgRatesDataTable825[[#This Row],[asofdate]],I:J,2,0)</f>
        <v>0.67085801509999998</v>
      </c>
      <c r="E34" s="83">
        <f>VLOOKUP(CurrentMtgRatesDataTable825[[#This Row],[asofdate]],O:P,2,0)</f>
        <v>0.27253231280000001</v>
      </c>
      <c r="F34" s="84">
        <f ca="1">VLOOKUP(CurrentMtgRatesDataTable825[[#This Row],[asofdate]]+1,Bloomberg!B:C,2,0)</f>
        <v>2061.1</v>
      </c>
      <c r="I34" s="18">
        <v>43174</v>
      </c>
      <c r="J34" s="88">
        <v>0.1363733764</v>
      </c>
      <c r="K34" s="88">
        <f>VLOOKUP(CurrentMtgRatesDataTable82527141518[[#This Row],[asofdate]],O:P,2,0)</f>
        <v>0</v>
      </c>
      <c r="L34" s="88">
        <f>VLOOKUP(CurrentMtgRatesDataTable82527141518[[#This Row],[asofdate]],S:T,2,0)</f>
        <v>1.2935379999999999E-4</v>
      </c>
      <c r="M34" s="6">
        <f ca="1">VLOOKUP(CurrentMtgRatesDataTable82527141518[[#This Row],[asofdate]]+1,Bloomberg!B:C,2,0)</f>
        <v>1112.3</v>
      </c>
      <c r="N34" s="6"/>
      <c r="O34" s="18">
        <v>43174</v>
      </c>
      <c r="P34" s="88">
        <v>0</v>
      </c>
      <c r="Q34" s="101"/>
      <c r="R34" s="101"/>
      <c r="S34" s="18">
        <v>43174</v>
      </c>
      <c r="T34" s="88">
        <v>1.2935379999999999E-4</v>
      </c>
      <c r="V34"/>
    </row>
    <row r="35" spans="2:22">
      <c r="B35" s="82">
        <v>42460</v>
      </c>
      <c r="C35" s="83">
        <v>0.56749132749999998</v>
      </c>
      <c r="D35" s="83">
        <f>VLOOKUP(CurrentMtgRatesDataTable825[[#This Row],[asofdate]],I:J,2,0)</f>
        <v>0.55149474060000003</v>
      </c>
      <c r="E35" s="83">
        <f>VLOOKUP(CurrentMtgRatesDataTable825[[#This Row],[asofdate]],O:P,2,0)</f>
        <v>0</v>
      </c>
      <c r="F35" s="84">
        <f ca="1">VLOOKUP(CurrentMtgRatesDataTable825[[#This Row],[asofdate]]+1,Bloomberg!B:C,2,0)</f>
        <v>1815.4</v>
      </c>
      <c r="I35" s="18">
        <v>43167</v>
      </c>
      <c r="J35" s="88">
        <v>0.13216112729999999</v>
      </c>
      <c r="K35" s="88">
        <f>VLOOKUP(CurrentMtgRatesDataTable82527141518[[#This Row],[asofdate]],O:P,2,0)</f>
        <v>0</v>
      </c>
      <c r="L35" s="88">
        <f>VLOOKUP(CurrentMtgRatesDataTable82527141518[[#This Row],[asofdate]],S:T,2,0)</f>
        <v>1.2560800000000001E-4</v>
      </c>
      <c r="M35" s="6">
        <f ca="1">VLOOKUP(CurrentMtgRatesDataTable82527141518[[#This Row],[asofdate]]+1,Bloomberg!B:C,2,0)</f>
        <v>1170.7</v>
      </c>
      <c r="N35" s="6"/>
      <c r="O35" s="18">
        <v>43167</v>
      </c>
      <c r="P35" s="88">
        <v>0</v>
      </c>
      <c r="Q35" s="101"/>
      <c r="R35" s="101"/>
      <c r="S35" s="18">
        <v>43167</v>
      </c>
      <c r="T35" s="88">
        <v>1.2560800000000001E-4</v>
      </c>
      <c r="V35"/>
    </row>
    <row r="36" spans="2:22">
      <c r="B36" s="82">
        <v>42453</v>
      </c>
      <c r="C36" s="83">
        <v>0.56749132749999998</v>
      </c>
      <c r="D36" s="83">
        <f>VLOOKUP(CurrentMtgRatesDataTable825[[#This Row],[asofdate]],I:J,2,0)</f>
        <v>0.55149474060000003</v>
      </c>
      <c r="E36" s="83">
        <f>VLOOKUP(CurrentMtgRatesDataTable825[[#This Row],[asofdate]],O:P,2,0)</f>
        <v>0</v>
      </c>
      <c r="F36" s="84">
        <f ca="1">VLOOKUP(CurrentMtgRatesDataTable825[[#This Row],[asofdate]]+1,Bloomberg!B:C,2,0)</f>
        <v>1671.6</v>
      </c>
      <c r="I36" s="18">
        <v>43160</v>
      </c>
      <c r="J36" s="88">
        <v>0.13928089260000001</v>
      </c>
      <c r="K36" s="88">
        <f>VLOOKUP(CurrentMtgRatesDataTable82527141518[[#This Row],[asofdate]],O:P,2,0)</f>
        <v>0</v>
      </c>
      <c r="L36" s="88">
        <f>VLOOKUP(CurrentMtgRatesDataTable82527141518[[#This Row],[asofdate]],S:T,2,0)</f>
        <v>1.3935790000000001E-4</v>
      </c>
      <c r="M36" s="6">
        <f ca="1">VLOOKUP(CurrentMtgRatesDataTable82527141518[[#This Row],[asofdate]]+1,Bloomberg!B:C,2,0)</f>
        <v>1208.4000000000001</v>
      </c>
      <c r="N36" s="6"/>
      <c r="O36" s="18">
        <v>43160</v>
      </c>
      <c r="P36" s="88">
        <v>0</v>
      </c>
      <c r="Q36" s="101"/>
      <c r="R36" s="101"/>
      <c r="S36" s="18">
        <v>43160</v>
      </c>
      <c r="T36" s="88">
        <v>1.3935790000000001E-4</v>
      </c>
      <c r="V36"/>
    </row>
    <row r="37" spans="2:22">
      <c r="B37" s="82">
        <v>42446</v>
      </c>
      <c r="C37" s="83">
        <v>0.54737976219999995</v>
      </c>
      <c r="D37" s="83">
        <f>VLOOKUP(CurrentMtgRatesDataTable825[[#This Row],[asofdate]],I:J,2,0)</f>
        <v>0.53334613259999997</v>
      </c>
      <c r="E37" s="83">
        <f>VLOOKUP(CurrentMtgRatesDataTable825[[#This Row],[asofdate]],O:P,2,0)</f>
        <v>0</v>
      </c>
      <c r="F37" s="84">
        <f ca="1">VLOOKUP(CurrentMtgRatesDataTable825[[#This Row],[asofdate]]+1,Bloomberg!B:C,2,0)</f>
        <v>1743.3</v>
      </c>
      <c r="I37" s="18">
        <v>43153</v>
      </c>
      <c r="J37" s="88">
        <v>0.1492506348</v>
      </c>
      <c r="K37" s="88">
        <f>VLOOKUP(CurrentMtgRatesDataTable82527141518[[#This Row],[asofdate]],O:P,2,0)</f>
        <v>0</v>
      </c>
      <c r="L37" s="88">
        <f>VLOOKUP(CurrentMtgRatesDataTable82527141518[[#This Row],[asofdate]],S:T,2,0)</f>
        <v>1.357707E-4</v>
      </c>
      <c r="M37" s="6">
        <f ca="1">VLOOKUP(CurrentMtgRatesDataTable82527141518[[#This Row],[asofdate]]+1,Bloomberg!B:C,2,0)</f>
        <v>1171.9000000000001</v>
      </c>
      <c r="N37" s="6"/>
      <c r="O37" s="18">
        <v>43153</v>
      </c>
      <c r="P37" s="88">
        <v>0</v>
      </c>
      <c r="Q37" s="101"/>
      <c r="R37" s="101"/>
      <c r="S37" s="18">
        <v>43153</v>
      </c>
      <c r="T37" s="88">
        <v>1.357707E-4</v>
      </c>
      <c r="V37"/>
    </row>
    <row r="38" spans="2:22">
      <c r="B38" s="82">
        <v>42439</v>
      </c>
      <c r="C38" s="83">
        <v>0.58587521639999995</v>
      </c>
      <c r="D38" s="83">
        <f>VLOOKUP(CurrentMtgRatesDataTable825[[#This Row],[asofdate]],I:J,2,0)</f>
        <v>0.57707010329999997</v>
      </c>
      <c r="E38" s="83">
        <f>VLOOKUP(CurrentMtgRatesDataTable825[[#This Row],[asofdate]],O:P,2,0)</f>
        <v>0</v>
      </c>
      <c r="F38" s="84">
        <f ca="1">VLOOKUP(CurrentMtgRatesDataTable825[[#This Row],[asofdate]]+1,Bloomberg!B:C,2,0)</f>
        <v>1841.2</v>
      </c>
      <c r="I38" s="18">
        <v>43146</v>
      </c>
      <c r="J38" s="88">
        <v>0.1350403916</v>
      </c>
      <c r="K38" s="88">
        <f>VLOOKUP(CurrentMtgRatesDataTable82527141518[[#This Row],[asofdate]],O:P,2,0)</f>
        <v>0</v>
      </c>
      <c r="L38" s="88">
        <f>VLOOKUP(CurrentMtgRatesDataTable82527141518[[#This Row],[asofdate]],S:T,2,0)</f>
        <v>1.35103E-4</v>
      </c>
      <c r="M38" s="6">
        <f ca="1">VLOOKUP(CurrentMtgRatesDataTable82527141518[[#This Row],[asofdate]]+1,Bloomberg!B:C,2,0)</f>
        <v>1202.5</v>
      </c>
      <c r="N38" s="6"/>
      <c r="O38" s="18">
        <v>43146</v>
      </c>
      <c r="P38" s="88">
        <v>0</v>
      </c>
      <c r="Q38" s="101"/>
      <c r="R38" s="101"/>
      <c r="S38" s="18">
        <v>43146</v>
      </c>
      <c r="T38" s="88">
        <v>1.35103E-4</v>
      </c>
      <c r="V38"/>
    </row>
    <row r="39" spans="2:22">
      <c r="B39" s="82">
        <v>42432</v>
      </c>
      <c r="C39" s="83">
        <v>0.62315819090000002</v>
      </c>
      <c r="D39" s="83">
        <f>VLOOKUP(CurrentMtgRatesDataTable825[[#This Row],[asofdate]],I:J,2,0)</f>
        <v>0.61984185000000003</v>
      </c>
      <c r="E39" s="83">
        <f>VLOOKUP(CurrentMtgRatesDataTable825[[#This Row],[asofdate]],O:P,2,0)</f>
        <v>5.5801485800000002E-2</v>
      </c>
      <c r="F39" s="84">
        <f ca="1">VLOOKUP(CurrentMtgRatesDataTable825[[#This Row],[asofdate]]+1,Bloomberg!B:C,2,0)</f>
        <v>1928</v>
      </c>
      <c r="I39" s="18">
        <v>43139</v>
      </c>
      <c r="J39" s="88">
        <v>0.1471622149</v>
      </c>
      <c r="K39" s="88">
        <f>VLOOKUP(CurrentMtgRatesDataTable82527141518[[#This Row],[asofdate]],O:P,2,0)</f>
        <v>0</v>
      </c>
      <c r="L39" s="88">
        <f>VLOOKUP(CurrentMtgRatesDataTable82527141518[[#This Row],[asofdate]],S:T,2,0)</f>
        <v>1.502214E-4</v>
      </c>
      <c r="M39" s="6">
        <f ca="1">VLOOKUP(CurrentMtgRatesDataTable82527141518[[#This Row],[asofdate]]+1,Bloomberg!B:C,2,0)</f>
        <v>1282.3</v>
      </c>
      <c r="N39" s="6"/>
      <c r="O39" s="18">
        <v>43139</v>
      </c>
      <c r="P39" s="88">
        <v>0</v>
      </c>
      <c r="Q39" s="101"/>
      <c r="R39" s="101"/>
      <c r="S39" s="18">
        <v>43139</v>
      </c>
      <c r="T39" s="88">
        <v>1.502214E-4</v>
      </c>
      <c r="V39"/>
    </row>
    <row r="40" spans="2:22">
      <c r="B40" s="82">
        <v>42425</v>
      </c>
      <c r="C40" s="83">
        <v>0.62152081729999997</v>
      </c>
      <c r="D40" s="83">
        <f>VLOOKUP(CurrentMtgRatesDataTable825[[#This Row],[asofdate]],I:J,2,0)</f>
        <v>0.61717910330000003</v>
      </c>
      <c r="E40" s="83">
        <f>VLOOKUP(CurrentMtgRatesDataTable825[[#This Row],[asofdate]],O:P,2,0)</f>
        <v>5.0858111800000001E-2</v>
      </c>
      <c r="F40" s="84">
        <f ca="1">VLOOKUP(CurrentMtgRatesDataTable825[[#This Row],[asofdate]]+1,Bloomberg!B:C,2,0)</f>
        <v>1992.9</v>
      </c>
      <c r="I40" s="18">
        <v>43132</v>
      </c>
      <c r="J40" s="88">
        <v>0.1838964568</v>
      </c>
      <c r="K40" s="88">
        <f>VLOOKUP(CurrentMtgRatesDataTable82527141518[[#This Row],[asofdate]],O:P,2,0)</f>
        <v>0</v>
      </c>
      <c r="L40" s="88">
        <f>VLOOKUP(CurrentMtgRatesDataTable82527141518[[#This Row],[asofdate]],S:T,2,0)</f>
        <v>2.415219E-4</v>
      </c>
      <c r="M40" s="6">
        <f ca="1">VLOOKUP(CurrentMtgRatesDataTable82527141518[[#This Row],[asofdate]]+1,Bloomberg!B:C,2,0)</f>
        <v>1291.0999999999999</v>
      </c>
      <c r="N40" s="6"/>
      <c r="O40" s="18">
        <v>43132</v>
      </c>
      <c r="P40" s="88">
        <v>0</v>
      </c>
      <c r="Q40" s="101"/>
      <c r="R40" s="101"/>
      <c r="S40" s="18">
        <v>43132</v>
      </c>
      <c r="T40" s="88">
        <v>2.415219E-4</v>
      </c>
      <c r="V40"/>
    </row>
    <row r="41" spans="2:22">
      <c r="B41" s="82">
        <v>42418</v>
      </c>
      <c r="C41" s="83">
        <v>0.61975450249999997</v>
      </c>
      <c r="D41" s="83">
        <f>VLOOKUP(CurrentMtgRatesDataTable825[[#This Row],[asofdate]],I:J,2,0)</f>
        <v>0.61098584639999998</v>
      </c>
      <c r="E41" s="83">
        <f>VLOOKUP(CurrentMtgRatesDataTable825[[#This Row],[asofdate]],O:P,2,0)</f>
        <v>0</v>
      </c>
      <c r="F41" s="84">
        <f ca="1">VLOOKUP(CurrentMtgRatesDataTable825[[#This Row],[asofdate]]+1,Bloomberg!B:C,2,0)</f>
        <v>2099.9</v>
      </c>
      <c r="I41" s="18">
        <v>43125</v>
      </c>
      <c r="J41" s="88">
        <v>0.21585389029999999</v>
      </c>
      <c r="K41" s="88">
        <f>VLOOKUP(CurrentMtgRatesDataTable82527141518[[#This Row],[asofdate]],O:P,2,0)</f>
        <v>0</v>
      </c>
      <c r="L41" s="88">
        <f>VLOOKUP(CurrentMtgRatesDataTable82527141518[[#This Row],[asofdate]],S:T,2,0)</f>
        <v>1.334691E-4</v>
      </c>
      <c r="M41" s="6">
        <f ca="1">VLOOKUP(CurrentMtgRatesDataTable82527141518[[#This Row],[asofdate]]+1,Bloomberg!B:C,2,0)</f>
        <v>1271.0999999999999</v>
      </c>
      <c r="N41" s="6"/>
      <c r="O41" s="18">
        <v>43125</v>
      </c>
      <c r="P41" s="88">
        <v>0</v>
      </c>
      <c r="Q41" s="101"/>
      <c r="R41" s="101"/>
      <c r="S41" s="18">
        <v>43125</v>
      </c>
      <c r="T41" s="88">
        <v>1.334691E-4</v>
      </c>
      <c r="V41"/>
    </row>
    <row r="42" spans="2:22">
      <c r="B42" s="82">
        <v>42411</v>
      </c>
      <c r="C42" s="83">
        <v>0.61975450249999997</v>
      </c>
      <c r="D42" s="83">
        <f>VLOOKUP(CurrentMtgRatesDataTable825[[#This Row],[asofdate]],I:J,2,0)</f>
        <v>0.61098584639999998</v>
      </c>
      <c r="E42" s="83">
        <f>VLOOKUP(CurrentMtgRatesDataTable825[[#This Row],[asofdate]],O:P,2,0)</f>
        <v>4.8343193800000003E-2</v>
      </c>
      <c r="F42" s="84">
        <f ca="1">VLOOKUP(CurrentMtgRatesDataTable825[[#This Row],[asofdate]]+1,Bloomberg!B:C,2,0)</f>
        <v>2341.5</v>
      </c>
      <c r="I42" s="18">
        <v>43118</v>
      </c>
      <c r="J42" s="88">
        <v>0.2511293913</v>
      </c>
      <c r="K42" s="88">
        <f>VLOOKUP(CurrentMtgRatesDataTable82527141518[[#This Row],[asofdate]],O:P,2,0)</f>
        <v>0</v>
      </c>
      <c r="L42" s="88">
        <f>VLOOKUP(CurrentMtgRatesDataTable82527141518[[#This Row],[asofdate]],S:T,2,0)</f>
        <v>5.4831460000000004E-4</v>
      </c>
      <c r="M42" s="6">
        <f ca="1">VLOOKUP(CurrentMtgRatesDataTable82527141518[[#This Row],[asofdate]]+1,Bloomberg!B:C,2,0)</f>
        <v>1276</v>
      </c>
      <c r="N42" s="6"/>
      <c r="O42" s="18">
        <v>43118</v>
      </c>
      <c r="P42" s="88">
        <v>0</v>
      </c>
      <c r="Q42" s="101"/>
      <c r="R42" s="101"/>
      <c r="S42" s="18">
        <v>43118</v>
      </c>
      <c r="T42" s="88">
        <v>5.4831460000000004E-4</v>
      </c>
      <c r="V42"/>
    </row>
    <row r="43" spans="2:22">
      <c r="B43" s="82">
        <v>42404</v>
      </c>
      <c r="C43" s="83">
        <v>0.53918901320000001</v>
      </c>
      <c r="D43" s="83">
        <f>VLOOKUP(CurrentMtgRatesDataTable825[[#This Row],[asofdate]],I:J,2,0)</f>
        <v>0.52562530080000003</v>
      </c>
      <c r="E43" s="83">
        <f>VLOOKUP(CurrentMtgRatesDataTable825[[#This Row],[asofdate]],O:P,2,0)</f>
        <v>1.78798693E-2</v>
      </c>
      <c r="F43" s="84">
        <f ca="1">VLOOKUP(CurrentMtgRatesDataTable825[[#This Row],[asofdate]]+1,Bloomberg!B:C,2,0)</f>
        <v>2015.4</v>
      </c>
      <c r="I43" s="18">
        <v>43111</v>
      </c>
      <c r="J43" s="88">
        <v>0.28593812969999999</v>
      </c>
      <c r="K43" s="88">
        <f>VLOOKUP(CurrentMtgRatesDataTable82527141518[[#This Row],[asofdate]],O:P,2,0)</f>
        <v>0</v>
      </c>
      <c r="L43" s="88">
        <f>VLOOKUP(CurrentMtgRatesDataTable82527141518[[#This Row],[asofdate]],S:T,2,0)</f>
        <v>1.0917952000000001E-3</v>
      </c>
      <c r="M43" s="6">
        <f ca="1">VLOOKUP(CurrentMtgRatesDataTable82527141518[[#This Row],[asofdate]]+1,Bloomberg!B:C,2,0)</f>
        <v>1258.5</v>
      </c>
      <c r="N43" s="6"/>
      <c r="O43" s="18">
        <v>43111</v>
      </c>
      <c r="P43" s="88">
        <v>0</v>
      </c>
      <c r="Q43" s="101"/>
      <c r="R43" s="101"/>
      <c r="S43" s="18">
        <v>43111</v>
      </c>
      <c r="T43" s="88">
        <v>1.0917952000000001E-3</v>
      </c>
      <c r="V43"/>
    </row>
    <row r="44" spans="2:22">
      <c r="B44" s="82">
        <v>42397</v>
      </c>
      <c r="C44" s="83">
        <v>0.50272537399999995</v>
      </c>
      <c r="D44" s="83">
        <f>VLOOKUP(CurrentMtgRatesDataTable825[[#This Row],[asofdate]],I:J,2,0)</f>
        <v>0.4917004049</v>
      </c>
      <c r="E44" s="83">
        <f>VLOOKUP(CurrentMtgRatesDataTable825[[#This Row],[asofdate]],O:P,2,0)</f>
        <v>8.078181E-4</v>
      </c>
      <c r="F44" s="84">
        <f ca="1">VLOOKUP(CurrentMtgRatesDataTable825[[#This Row],[asofdate]]+1,Bloomberg!B:C,2,0)</f>
        <v>1726.6</v>
      </c>
      <c r="I44" s="18">
        <v>43104</v>
      </c>
      <c r="J44" s="88">
        <v>0.30876228020000002</v>
      </c>
      <c r="K44" s="88" t="e">
        <f>VLOOKUP(CurrentMtgRatesDataTable82527141518[[#This Row],[asofdate]],O:P,2,0)</f>
        <v>#N/A</v>
      </c>
      <c r="L44" s="88" t="e">
        <f>VLOOKUP(CurrentMtgRatesDataTable82527141518[[#This Row],[asofdate]],S:T,2,0)</f>
        <v>#N/A</v>
      </c>
      <c r="M44" s="6">
        <f ca="1">VLOOKUP(CurrentMtgRatesDataTable82527141518[[#This Row],[asofdate]]+1,Bloomberg!B:C,2,0)</f>
        <v>1209</v>
      </c>
      <c r="N44" s="6"/>
      <c r="O44" s="18">
        <v>43097</v>
      </c>
      <c r="P44" s="88">
        <v>0</v>
      </c>
      <c r="Q44" s="101"/>
      <c r="R44" s="101"/>
      <c r="S44" s="18">
        <v>43101</v>
      </c>
      <c r="T44" s="88">
        <v>1.0356037833333335E-3</v>
      </c>
      <c r="V44"/>
    </row>
    <row r="45" spans="2:22">
      <c r="B45" s="82">
        <v>42390</v>
      </c>
      <c r="C45" s="83">
        <v>0.49753910080000002</v>
      </c>
      <c r="D45" s="83">
        <f>VLOOKUP(CurrentMtgRatesDataTable825[[#This Row],[asofdate]],I:J,2,0)</f>
        <v>0.48244597830000002</v>
      </c>
      <c r="E45" s="83">
        <f>VLOOKUP(CurrentMtgRatesDataTable825[[#This Row],[asofdate]],O:P,2,0)</f>
        <v>5.5489060000000004E-4</v>
      </c>
      <c r="F45" s="84">
        <f ca="1">VLOOKUP(CurrentMtgRatesDataTable825[[#This Row],[asofdate]]+1,Bloomberg!B:C,2,0)</f>
        <v>1734.4</v>
      </c>
      <c r="I45" s="18">
        <v>43101</v>
      </c>
      <c r="J45" s="88">
        <v>0.28462709223749999</v>
      </c>
      <c r="K45" s="88" t="e">
        <f>VLOOKUP(CurrentMtgRatesDataTable82527141518[[#This Row],[asofdate]],O:P,2,0)</f>
        <v>#N/A</v>
      </c>
      <c r="L45" s="88">
        <f>VLOOKUP(CurrentMtgRatesDataTable82527141518[[#This Row],[asofdate]],S:T,2,0)</f>
        <v>1.0356037833333335E-3</v>
      </c>
      <c r="M45" s="6" t="e">
        <f ca="1">VLOOKUP(CurrentMtgRatesDataTable82527141518[[#This Row],[asofdate]]+1,Bloomberg!B:C,2,0)</f>
        <v>#N/A</v>
      </c>
      <c r="N45" s="6"/>
      <c r="O45" s="18">
        <v>43090</v>
      </c>
      <c r="P45" s="88">
        <v>0</v>
      </c>
      <c r="Q45" s="101"/>
      <c r="R45" s="101"/>
      <c r="S45" s="18">
        <v>43097</v>
      </c>
      <c r="T45" s="88">
        <v>5.0279459999999997E-4</v>
      </c>
      <c r="V45"/>
    </row>
    <row r="46" spans="2:22">
      <c r="B46" s="82">
        <v>42383</v>
      </c>
      <c r="C46" s="83">
        <v>0.46815197920000007</v>
      </c>
      <c r="D46" s="83">
        <f>VLOOKUP(CurrentMtgRatesDataTable825[[#This Row],[asofdate]],I:J,2,0)</f>
        <v>0.4357861308</v>
      </c>
      <c r="E46" s="83">
        <f>VLOOKUP(CurrentMtgRatesDataTable825[[#This Row],[asofdate]],O:P,2,0)</f>
        <v>1.810394E-4</v>
      </c>
      <c r="F46" s="84">
        <f ca="1">VLOOKUP(CurrentMtgRatesDataTable825[[#This Row],[asofdate]]+1,Bloomberg!B:C,2,0)</f>
        <v>1544.6</v>
      </c>
      <c r="I46" s="18">
        <v>43097</v>
      </c>
      <c r="J46" s="88">
        <v>0.28361352090000003</v>
      </c>
      <c r="K46" s="88">
        <f>VLOOKUP(CurrentMtgRatesDataTable82527141518[[#This Row],[asofdate]],O:P,2,0)</f>
        <v>0</v>
      </c>
      <c r="L46" s="88">
        <f>VLOOKUP(CurrentMtgRatesDataTable82527141518[[#This Row],[asofdate]],S:T,2,0)</f>
        <v>5.0279459999999997E-4</v>
      </c>
      <c r="M46" s="6">
        <f ca="1">VLOOKUP(CurrentMtgRatesDataTable82527141518[[#This Row],[asofdate]]+1,Bloomberg!B:C,2,0)</f>
        <v>1110.2</v>
      </c>
      <c r="N46" s="6"/>
      <c r="O46" s="18">
        <v>43083</v>
      </c>
      <c r="P46" s="88">
        <v>0</v>
      </c>
      <c r="Q46" s="101"/>
      <c r="R46" s="101"/>
      <c r="S46" s="18">
        <v>43090</v>
      </c>
      <c r="T46" s="88">
        <v>1.4412273000000001E-3</v>
      </c>
      <c r="V46"/>
    </row>
    <row r="47" spans="2:22">
      <c r="B47" s="82">
        <v>42376</v>
      </c>
      <c r="C47" s="83">
        <v>0.44756382090000002</v>
      </c>
      <c r="D47" s="83">
        <f>VLOOKUP(CurrentMtgRatesDataTable825[[#This Row],[asofdate]],I:J,2,0)</f>
        <v>0.4167154481</v>
      </c>
      <c r="E47" s="83">
        <f>VLOOKUP(CurrentMtgRatesDataTable825[[#This Row],[asofdate]],O:P,2,0)</f>
        <v>0</v>
      </c>
      <c r="F47" s="84">
        <f ca="1">VLOOKUP(CurrentMtgRatesDataTable825[[#This Row],[asofdate]]+1,Bloomberg!B:C,2,0)</f>
        <v>1273.8</v>
      </c>
      <c r="I47" s="18">
        <v>43090</v>
      </c>
      <c r="J47" s="88">
        <v>0.30891657</v>
      </c>
      <c r="K47" s="88">
        <f>VLOOKUP(CurrentMtgRatesDataTable82527141518[[#This Row],[asofdate]],O:P,2,0)</f>
        <v>0</v>
      </c>
      <c r="L47" s="88">
        <f>VLOOKUP(CurrentMtgRatesDataTable82527141518[[#This Row],[asofdate]],S:T,2,0)</f>
        <v>1.4412273000000001E-3</v>
      </c>
      <c r="M47" s="6">
        <f ca="1">VLOOKUP(CurrentMtgRatesDataTable82527141518[[#This Row],[asofdate]]+1,Bloomberg!B:C,2,0)</f>
        <v>1095.7</v>
      </c>
      <c r="N47" s="6"/>
      <c r="O47" s="18">
        <v>43076</v>
      </c>
      <c r="P47" s="88">
        <v>0</v>
      </c>
      <c r="Q47" s="101"/>
      <c r="R47" s="101"/>
      <c r="S47" s="18">
        <v>43083</v>
      </c>
      <c r="T47" s="88">
        <v>2.5348091999999999E-3</v>
      </c>
      <c r="V47"/>
    </row>
    <row r="48" spans="2:22">
      <c r="B48" s="82">
        <v>42369</v>
      </c>
      <c r="C48" s="83">
        <v>0.43826473589999998</v>
      </c>
      <c r="D48" s="83">
        <f>VLOOKUP(CurrentMtgRatesDataTable825[[#This Row],[asofdate]],I:J,2,0)</f>
        <v>0.4036545278</v>
      </c>
      <c r="E48" s="83">
        <f>VLOOKUP(CurrentMtgRatesDataTable825[[#This Row],[asofdate]],O:P,2,0)</f>
        <v>0</v>
      </c>
      <c r="F48" s="84">
        <f ca="1">VLOOKUP(CurrentMtgRatesDataTable825[[#This Row],[asofdate]]+1,Bloomberg!B:C,2,0)</f>
        <v>1020.5</v>
      </c>
      <c r="I48" s="18">
        <v>43083</v>
      </c>
      <c r="J48" s="88">
        <v>0.31388638549999998</v>
      </c>
      <c r="K48" s="88">
        <f>VLOOKUP(CurrentMtgRatesDataTable82527141518[[#This Row],[asofdate]],O:P,2,0)</f>
        <v>0</v>
      </c>
      <c r="L48" s="88">
        <f>VLOOKUP(CurrentMtgRatesDataTable82527141518[[#This Row],[asofdate]],S:T,2,0)</f>
        <v>2.5348091999999999E-3</v>
      </c>
      <c r="M48" s="6">
        <f ca="1">VLOOKUP(CurrentMtgRatesDataTable82527141518[[#This Row],[asofdate]]+1,Bloomberg!B:C,2,0)</f>
        <v>1167.8</v>
      </c>
      <c r="N48" s="6"/>
      <c r="O48" s="18">
        <v>43069</v>
      </c>
      <c r="P48" s="88">
        <v>0</v>
      </c>
      <c r="Q48" s="101"/>
      <c r="R48" s="101"/>
      <c r="S48" s="18">
        <v>43076</v>
      </c>
      <c r="T48" s="88">
        <v>1.4412273000000001E-3</v>
      </c>
      <c r="V48"/>
    </row>
    <row r="49" spans="2:22">
      <c r="B49" s="82">
        <v>42362</v>
      </c>
      <c r="C49" s="83">
        <v>0.4601935942</v>
      </c>
      <c r="D49" s="83">
        <f>VLOOKUP(CurrentMtgRatesDataTable825[[#This Row],[asofdate]],I:J,2,0)</f>
        <v>0.42845102359999998</v>
      </c>
      <c r="E49" s="83">
        <f>VLOOKUP(CurrentMtgRatesDataTable825[[#This Row],[asofdate]],O:P,2,0)</f>
        <v>0</v>
      </c>
      <c r="F49" s="84">
        <f ca="1">VLOOKUP(CurrentMtgRatesDataTable825[[#This Row],[asofdate]]+1,Bloomberg!B:C,2,0)</f>
        <v>1174.0999999999999</v>
      </c>
      <c r="I49" s="18">
        <v>43076</v>
      </c>
      <c r="J49" s="88">
        <v>0.30891657</v>
      </c>
      <c r="K49" s="88">
        <f>VLOOKUP(CurrentMtgRatesDataTable82527141518[[#This Row],[asofdate]],O:P,2,0)</f>
        <v>0</v>
      </c>
      <c r="L49" s="88">
        <f>VLOOKUP(CurrentMtgRatesDataTable82527141518[[#This Row],[asofdate]],S:T,2,0)</f>
        <v>1.4412273000000001E-3</v>
      </c>
      <c r="M49" s="6">
        <f ca="1">VLOOKUP(CurrentMtgRatesDataTable82527141518[[#This Row],[asofdate]]+1,Bloomberg!B:C,2,0)</f>
        <v>1206.7</v>
      </c>
      <c r="N49" s="6"/>
      <c r="O49" s="18">
        <v>43055</v>
      </c>
      <c r="P49" s="88">
        <v>0</v>
      </c>
      <c r="Q49" s="101"/>
      <c r="R49" s="101"/>
      <c r="S49" s="18">
        <v>43069</v>
      </c>
      <c r="T49" s="88">
        <v>4.9353019000000003E-3</v>
      </c>
      <c r="V49"/>
    </row>
    <row r="50" spans="2:22">
      <c r="B50" s="82">
        <v>42355</v>
      </c>
      <c r="C50" s="83">
        <v>0.45605562830000002</v>
      </c>
      <c r="D50" s="83">
        <f>VLOOKUP(CurrentMtgRatesDataTable825[[#This Row],[asofdate]],I:J,2,0)</f>
        <v>0.42453496470000002</v>
      </c>
      <c r="E50" s="83">
        <f>VLOOKUP(CurrentMtgRatesDataTable825[[#This Row],[asofdate]],O:P,2,0)</f>
        <v>0</v>
      </c>
      <c r="F50" s="84">
        <f ca="1">VLOOKUP(CurrentMtgRatesDataTable825[[#This Row],[asofdate]]+1,Bloomberg!B:C,2,0)</f>
        <v>1667.4</v>
      </c>
      <c r="I50" s="18">
        <v>43069</v>
      </c>
      <c r="J50" s="88">
        <v>0.34080326389999999</v>
      </c>
      <c r="K50" s="88">
        <f>VLOOKUP(CurrentMtgRatesDataTable82527141518[[#This Row],[asofdate]],O:P,2,0)</f>
        <v>0</v>
      </c>
      <c r="L50" s="88">
        <f>VLOOKUP(CurrentMtgRatesDataTable82527141518[[#This Row],[asofdate]],S:T,2,0)</f>
        <v>4.9353019000000003E-3</v>
      </c>
      <c r="M50" s="6">
        <f ca="1">VLOOKUP(CurrentMtgRatesDataTable82527141518[[#This Row],[asofdate]]+1,Bloomberg!B:C,2,0)</f>
        <v>1247.2</v>
      </c>
      <c r="N50" s="6"/>
      <c r="O50" s="18">
        <v>43048</v>
      </c>
      <c r="P50" s="88">
        <v>0</v>
      </c>
      <c r="Q50" s="101"/>
      <c r="R50" s="101"/>
      <c r="S50" s="18">
        <v>43055</v>
      </c>
      <c r="T50" s="88">
        <v>1.7806547E-3</v>
      </c>
      <c r="V50"/>
    </row>
    <row r="51" spans="2:22">
      <c r="B51" s="82">
        <v>42348</v>
      </c>
      <c r="C51" s="83">
        <v>0.46652962419999999</v>
      </c>
      <c r="D51" s="83">
        <f>VLOOKUP(CurrentMtgRatesDataTable825[[#This Row],[asofdate]],I:J,2,0)</f>
        <v>0.43219208009999999</v>
      </c>
      <c r="E51" s="83">
        <f>VLOOKUP(CurrentMtgRatesDataTable825[[#This Row],[asofdate]],O:P,2,0)</f>
        <v>0</v>
      </c>
      <c r="F51" s="84">
        <f ca="1">VLOOKUP(CurrentMtgRatesDataTable825[[#This Row],[asofdate]]+1,Bloomberg!B:C,2,0)</f>
        <v>1470.6</v>
      </c>
      <c r="I51" s="18">
        <v>43061</v>
      </c>
      <c r="J51" s="88">
        <v>0.3275762451</v>
      </c>
      <c r="K51" s="88" t="e">
        <f>VLOOKUP(CurrentMtgRatesDataTable82527141518[[#This Row],[asofdate]],O:P,2,0)</f>
        <v>#N/A</v>
      </c>
      <c r="L51" s="88" t="e">
        <f>VLOOKUP(CurrentMtgRatesDataTable82527141518[[#This Row],[asofdate]],S:T,2,0)</f>
        <v>#N/A</v>
      </c>
      <c r="M51" s="6" t="e">
        <f ca="1">VLOOKUP(CurrentMtgRatesDataTable82527141518[[#This Row],[asofdate]]+1,Bloomberg!B:C,2,0)</f>
        <v>#N/A</v>
      </c>
      <c r="N51" s="6"/>
      <c r="O51" s="18">
        <v>43041</v>
      </c>
      <c r="P51" s="88">
        <v>0</v>
      </c>
      <c r="Q51" s="101"/>
      <c r="R51" s="101"/>
      <c r="S51" s="18">
        <v>43048</v>
      </c>
      <c r="T51" s="88">
        <v>3.7489542399999999E-2</v>
      </c>
      <c r="V51"/>
    </row>
    <row r="52" spans="2:22">
      <c r="B52" s="82">
        <v>42341</v>
      </c>
      <c r="C52" s="83">
        <v>0.47347711400000003</v>
      </c>
      <c r="D52" s="83">
        <f>VLOOKUP(CurrentMtgRatesDataTable825[[#This Row],[asofdate]],I:J,2,0)</f>
        <v>0.44078213119999998</v>
      </c>
      <c r="E52" s="83">
        <f>VLOOKUP(CurrentMtgRatesDataTable825[[#This Row],[asofdate]],O:P,2,0)</f>
        <v>0</v>
      </c>
      <c r="F52" s="84">
        <f ca="1">VLOOKUP(CurrentMtgRatesDataTable825[[#This Row],[asofdate]]+1,Bloomberg!B:C,2,0)</f>
        <v>1451.5</v>
      </c>
      <c r="I52" s="18">
        <v>43055</v>
      </c>
      <c r="J52" s="88">
        <v>0.3104641159</v>
      </c>
      <c r="K52" s="88">
        <f>VLOOKUP(CurrentMtgRatesDataTable82527141518[[#This Row],[asofdate]],O:P,2,0)</f>
        <v>0</v>
      </c>
      <c r="L52" s="88">
        <f>VLOOKUP(CurrentMtgRatesDataTable82527141518[[#This Row],[asofdate]],S:T,2,0)</f>
        <v>1.7806547E-3</v>
      </c>
      <c r="M52" s="6">
        <f ca="1">VLOOKUP(CurrentMtgRatesDataTable82527141518[[#This Row],[asofdate]]+1,Bloomberg!B:C,2,0)</f>
        <v>1252</v>
      </c>
      <c r="N52" s="6"/>
      <c r="O52" s="18">
        <v>43034</v>
      </c>
      <c r="P52" s="88">
        <v>0</v>
      </c>
      <c r="Q52" s="101"/>
      <c r="R52" s="101"/>
      <c r="S52" s="18">
        <v>43041</v>
      </c>
      <c r="T52" s="88">
        <v>1.6221444E-3</v>
      </c>
      <c r="V52"/>
    </row>
    <row r="53" spans="2:22">
      <c r="B53" s="82">
        <v>42333</v>
      </c>
      <c r="C53" s="83">
        <v>0.46308653259999999</v>
      </c>
      <c r="D53" s="83">
        <f>VLOOKUP(CurrentMtgRatesDataTable825[[#This Row],[asofdate]],I:J,2,0)</f>
        <v>0.42883055539999998</v>
      </c>
      <c r="E53" s="83">
        <f>VLOOKUP(CurrentMtgRatesDataTable825[[#This Row],[asofdate]],O:P,2,0)</f>
        <v>0</v>
      </c>
      <c r="F53" s="84">
        <f ca="1">VLOOKUP(CurrentMtgRatesDataTable825[[#This Row],[asofdate]]+1,Bloomberg!B:C,2,0)</f>
        <v>1410.2</v>
      </c>
      <c r="I53" s="18">
        <v>43048</v>
      </c>
      <c r="J53" s="88">
        <v>0.36164943189999998</v>
      </c>
      <c r="K53" s="88">
        <f>VLOOKUP(CurrentMtgRatesDataTable82527141518[[#This Row],[asofdate]],O:P,2,0)</f>
        <v>0</v>
      </c>
      <c r="L53" s="88">
        <f>VLOOKUP(CurrentMtgRatesDataTable82527141518[[#This Row],[asofdate]],S:T,2,0)</f>
        <v>3.7489542399999999E-2</v>
      </c>
      <c r="M53" s="6">
        <f ca="1">VLOOKUP(CurrentMtgRatesDataTable82527141518[[#This Row],[asofdate]]+1,Bloomberg!B:C,2,0)</f>
        <v>1330.2</v>
      </c>
      <c r="N53" s="6"/>
      <c r="O53" s="18">
        <v>43027</v>
      </c>
      <c r="P53" s="88">
        <v>0</v>
      </c>
      <c r="Q53" s="101"/>
      <c r="R53" s="101"/>
      <c r="S53" s="18">
        <v>43034</v>
      </c>
      <c r="T53" s="88">
        <v>6.9238850000000001E-4</v>
      </c>
      <c r="V53"/>
    </row>
    <row r="54" spans="2:22">
      <c r="B54" s="82">
        <v>42327</v>
      </c>
      <c r="C54" s="83">
        <v>0.46443630479999998</v>
      </c>
      <c r="D54" s="83">
        <f>VLOOKUP(CurrentMtgRatesDataTable825[[#This Row],[asofdate]],I:J,2,0)</f>
        <v>0.43067577779999999</v>
      </c>
      <c r="E54" s="83">
        <f>VLOOKUP(CurrentMtgRatesDataTable825[[#This Row],[asofdate]],O:P,2,0)</f>
        <v>0</v>
      </c>
      <c r="F54" s="84">
        <f ca="1">VLOOKUP(CurrentMtgRatesDataTable825[[#This Row],[asofdate]]+1,Bloomberg!B:C,2,0)</f>
        <v>1489</v>
      </c>
      <c r="I54" s="18">
        <v>43041</v>
      </c>
      <c r="J54" s="88">
        <v>0.31752581769999999</v>
      </c>
      <c r="K54" s="88">
        <f>VLOOKUP(CurrentMtgRatesDataTable82527141518[[#This Row],[asofdate]],O:P,2,0)</f>
        <v>0</v>
      </c>
      <c r="L54" s="88">
        <f>VLOOKUP(CurrentMtgRatesDataTable82527141518[[#This Row],[asofdate]],S:T,2,0)</f>
        <v>1.6221444E-3</v>
      </c>
      <c r="M54" s="6">
        <f ca="1">VLOOKUP(CurrentMtgRatesDataTable82527141518[[#This Row],[asofdate]]+1,Bloomberg!B:C,2,0)</f>
        <v>1254.0999999999999</v>
      </c>
      <c r="N54" s="6"/>
      <c r="O54" s="18">
        <v>43020</v>
      </c>
      <c r="P54" s="88">
        <v>0</v>
      </c>
      <c r="Q54" s="101"/>
      <c r="R54" s="101"/>
      <c r="S54" s="18">
        <v>43027</v>
      </c>
      <c r="T54" s="88">
        <v>3.3087595499999997E-2</v>
      </c>
      <c r="V54"/>
    </row>
    <row r="55" spans="2:22">
      <c r="B55" s="82">
        <v>42320</v>
      </c>
      <c r="C55" s="83">
        <v>0.45997040150000001</v>
      </c>
      <c r="D55" s="83">
        <f>VLOOKUP(CurrentMtgRatesDataTable825[[#This Row],[asofdate]],I:J,2,0)</f>
        <v>0.42568796469999998</v>
      </c>
      <c r="E55" s="83">
        <f>VLOOKUP(CurrentMtgRatesDataTable825[[#This Row],[asofdate]],O:P,2,0)</f>
        <v>0</v>
      </c>
      <c r="F55" s="84">
        <f ca="1">VLOOKUP(CurrentMtgRatesDataTable825[[#This Row],[asofdate]]+1,Bloomberg!B:C,2,0)</f>
        <v>1528.7</v>
      </c>
      <c r="I55" s="18">
        <v>43034</v>
      </c>
      <c r="J55" s="88">
        <v>0.32296657829999997</v>
      </c>
      <c r="K55" s="88">
        <f>VLOOKUP(CurrentMtgRatesDataTable82527141518[[#This Row],[asofdate]],O:P,2,0)</f>
        <v>0</v>
      </c>
      <c r="L55" s="88">
        <f>VLOOKUP(CurrentMtgRatesDataTable82527141518[[#This Row],[asofdate]],S:T,2,0)</f>
        <v>6.9238850000000001E-4</v>
      </c>
      <c r="M55" s="6">
        <f ca="1">VLOOKUP(CurrentMtgRatesDataTable82527141518[[#This Row],[asofdate]]+1,Bloomberg!B:C,2,0)</f>
        <v>1268</v>
      </c>
      <c r="N55" s="6"/>
      <c r="O55" s="18">
        <v>43013</v>
      </c>
      <c r="P55" s="88">
        <v>0</v>
      </c>
      <c r="Q55" s="101"/>
      <c r="R55" s="101"/>
      <c r="S55" s="18">
        <v>43020</v>
      </c>
      <c r="T55" s="88">
        <v>3.5648575E-3</v>
      </c>
      <c r="V55"/>
    </row>
    <row r="56" spans="2:22">
      <c r="B56" s="82">
        <v>42313</v>
      </c>
      <c r="C56" s="83">
        <v>0.49677707599999998</v>
      </c>
      <c r="D56" s="83">
        <f>VLOOKUP(CurrentMtgRatesDataTable825[[#This Row],[asofdate]],I:J,2,0)</f>
        <v>0.47060114770000006</v>
      </c>
      <c r="E56" s="83">
        <f>VLOOKUP(CurrentMtgRatesDataTable825[[#This Row],[asofdate]],O:P,2,0)</f>
        <v>0</v>
      </c>
      <c r="F56" s="84">
        <f ca="1">VLOOKUP(CurrentMtgRatesDataTable825[[#This Row],[asofdate]]+1,Bloomberg!B:C,2,0)</f>
        <v>1514.1</v>
      </c>
      <c r="I56" s="18">
        <v>43027</v>
      </c>
      <c r="J56" s="88">
        <v>0.36355898780000001</v>
      </c>
      <c r="K56" s="88">
        <f>VLOOKUP(CurrentMtgRatesDataTable82527141518[[#This Row],[asofdate]],O:P,2,0)</f>
        <v>0</v>
      </c>
      <c r="L56" s="88">
        <f>VLOOKUP(CurrentMtgRatesDataTable82527141518[[#This Row],[asofdate]],S:T,2,0)</f>
        <v>3.3087595499999997E-2</v>
      </c>
      <c r="M56" s="6">
        <f ca="1">VLOOKUP(CurrentMtgRatesDataTable82527141518[[#This Row],[asofdate]]+1,Bloomberg!B:C,2,0)</f>
        <v>1337.3</v>
      </c>
      <c r="N56" s="6"/>
      <c r="O56" s="18">
        <v>43006</v>
      </c>
      <c r="P56" s="88">
        <v>0</v>
      </c>
      <c r="Q56" s="101"/>
      <c r="R56" s="101"/>
      <c r="S56" s="18">
        <v>43013</v>
      </c>
      <c r="T56" s="88">
        <v>4.4150887600000001E-2</v>
      </c>
      <c r="V56"/>
    </row>
    <row r="57" spans="2:22">
      <c r="B57" s="82">
        <v>42306</v>
      </c>
      <c r="C57" s="83">
        <v>0.55261651649999999</v>
      </c>
      <c r="D57" s="83">
        <f>VLOOKUP(CurrentMtgRatesDataTable825[[#This Row],[asofdate]],I:J,2,0)</f>
        <v>0.53404427570000002</v>
      </c>
      <c r="E57" s="83">
        <f>VLOOKUP(CurrentMtgRatesDataTable825[[#This Row],[asofdate]],O:P,2,0)</f>
        <v>0</v>
      </c>
      <c r="F57" s="84">
        <f ca="1">VLOOKUP(CurrentMtgRatesDataTable825[[#This Row],[asofdate]]+1,Bloomberg!B:C,2,0)</f>
        <v>1548.6</v>
      </c>
      <c r="I57" s="18">
        <v>43020</v>
      </c>
      <c r="J57" s="88">
        <v>0.34243439040000001</v>
      </c>
      <c r="K57" s="88">
        <f>VLOOKUP(CurrentMtgRatesDataTable82527141518[[#This Row],[asofdate]],O:P,2,0)</f>
        <v>0</v>
      </c>
      <c r="L57" s="88">
        <f>VLOOKUP(CurrentMtgRatesDataTable82527141518[[#This Row],[asofdate]],S:T,2,0)</f>
        <v>3.5648575E-3</v>
      </c>
      <c r="M57" s="6">
        <f ca="1">VLOOKUP(CurrentMtgRatesDataTable82527141518[[#This Row],[asofdate]]+1,Bloomberg!B:C,2,0)</f>
        <v>1358.9</v>
      </c>
      <c r="N57" s="6"/>
      <c r="O57" s="18">
        <v>42999</v>
      </c>
      <c r="P57" s="88">
        <v>0</v>
      </c>
      <c r="Q57" s="101"/>
      <c r="R57" s="101"/>
      <c r="S57" s="18">
        <v>43006</v>
      </c>
      <c r="T57" s="88">
        <v>3.4009393899999997E-2</v>
      </c>
      <c r="V57"/>
    </row>
    <row r="58" spans="2:22">
      <c r="B58" s="82">
        <v>42299</v>
      </c>
      <c r="C58" s="83">
        <v>0.52706745170000002</v>
      </c>
      <c r="D58" s="83">
        <f>VLOOKUP(CurrentMtgRatesDataTable825[[#This Row],[asofdate]],I:J,2,0)</f>
        <v>0.51551907210000003</v>
      </c>
      <c r="E58" s="83">
        <f>VLOOKUP(CurrentMtgRatesDataTable825[[#This Row],[asofdate]],O:P,2,0)</f>
        <v>0</v>
      </c>
      <c r="F58" s="84">
        <f ca="1">VLOOKUP(CurrentMtgRatesDataTable825[[#This Row],[asofdate]]+1,Bloomberg!B:C,2,0)</f>
        <v>1544.8</v>
      </c>
      <c r="I58" s="18">
        <v>43013</v>
      </c>
      <c r="J58" s="88">
        <v>0.38898236629999999</v>
      </c>
      <c r="K58" s="88">
        <f>VLOOKUP(CurrentMtgRatesDataTable82527141518[[#This Row],[asofdate]],O:P,2,0)</f>
        <v>0</v>
      </c>
      <c r="L58" s="88">
        <f>VLOOKUP(CurrentMtgRatesDataTable82527141518[[#This Row],[asofdate]],S:T,2,0)</f>
        <v>4.4150887600000001E-2</v>
      </c>
      <c r="M58" s="6">
        <f ca="1">VLOOKUP(CurrentMtgRatesDataTable82527141518[[#This Row],[asofdate]]+1,Bloomberg!B:C,2,0)</f>
        <v>1309.3</v>
      </c>
      <c r="N58" s="6"/>
      <c r="O58" s="18">
        <v>42985</v>
      </c>
      <c r="P58" s="88">
        <v>5.0327190299999998E-2</v>
      </c>
      <c r="Q58" s="101"/>
      <c r="R58" s="101"/>
      <c r="S58" s="18">
        <v>42999</v>
      </c>
      <c r="T58" s="88">
        <v>4.0616660499999999E-2</v>
      </c>
      <c r="V58"/>
    </row>
    <row r="59" spans="2:22">
      <c r="B59" s="82">
        <v>42292</v>
      </c>
      <c r="C59" s="83">
        <v>0.52130362860000001</v>
      </c>
      <c r="D59" s="83">
        <f>VLOOKUP(CurrentMtgRatesDataTable825[[#This Row],[asofdate]],I:J,2,0)</f>
        <v>0.5001191411</v>
      </c>
      <c r="E59" s="83">
        <f>VLOOKUP(CurrentMtgRatesDataTable825[[#This Row],[asofdate]],O:P,2,0)</f>
        <v>0</v>
      </c>
      <c r="F59" s="84">
        <f ca="1">VLOOKUP(CurrentMtgRatesDataTable825[[#This Row],[asofdate]]+1,Bloomberg!B:C,2,0)</f>
        <v>1575.3</v>
      </c>
      <c r="I59" s="18">
        <v>43006</v>
      </c>
      <c r="J59" s="88">
        <v>0.36498888089999998</v>
      </c>
      <c r="K59" s="88">
        <f>VLOOKUP(CurrentMtgRatesDataTable82527141518[[#This Row],[asofdate]],O:P,2,0)</f>
        <v>0</v>
      </c>
      <c r="L59" s="88">
        <f>VLOOKUP(CurrentMtgRatesDataTable82527141518[[#This Row],[asofdate]],S:T,2,0)</f>
        <v>3.4009393899999997E-2</v>
      </c>
      <c r="M59" s="6">
        <f ca="1">VLOOKUP(CurrentMtgRatesDataTable82527141518[[#This Row],[asofdate]]+1,Bloomberg!B:C,2,0)</f>
        <v>1409.8</v>
      </c>
      <c r="N59" s="6"/>
      <c r="O59" s="18">
        <v>42978</v>
      </c>
      <c r="P59" s="88">
        <v>4.3751089999999999E-2</v>
      </c>
      <c r="Q59" s="101"/>
      <c r="R59" s="101"/>
      <c r="S59" s="18">
        <v>42985</v>
      </c>
      <c r="T59" s="88">
        <v>5.11958598E-2</v>
      </c>
      <c r="V59"/>
    </row>
    <row r="60" spans="2:22">
      <c r="B60" s="82">
        <v>42285</v>
      </c>
      <c r="C60" s="83">
        <v>0.55261651649999999</v>
      </c>
      <c r="D60" s="83">
        <f>VLOOKUP(CurrentMtgRatesDataTable825[[#This Row],[asofdate]],I:J,2,0)</f>
        <v>0.53404427570000002</v>
      </c>
      <c r="E60" s="83">
        <f>VLOOKUP(CurrentMtgRatesDataTable825[[#This Row],[asofdate]],O:P,2,0)</f>
        <v>5.7876810999999998E-3</v>
      </c>
      <c r="F60" s="84">
        <f ca="1">VLOOKUP(CurrentMtgRatesDataTable825[[#This Row],[asofdate]]+1,Bloomberg!B:C,2,0)</f>
        <v>1534.5</v>
      </c>
      <c r="I60" s="18">
        <v>42999</v>
      </c>
      <c r="J60" s="88">
        <v>0.38554765660000001</v>
      </c>
      <c r="K60" s="88">
        <f>VLOOKUP(CurrentMtgRatesDataTable82527141518[[#This Row],[asofdate]],O:P,2,0)</f>
        <v>0</v>
      </c>
      <c r="L60" s="88">
        <f>VLOOKUP(CurrentMtgRatesDataTable82527141518[[#This Row],[asofdate]],S:T,2,0)</f>
        <v>4.0616660499999999E-2</v>
      </c>
      <c r="M60" s="6">
        <f ca="1">VLOOKUP(CurrentMtgRatesDataTable82527141518[[#This Row],[asofdate]]+1,Bloomberg!B:C,2,0)</f>
        <v>1431.2</v>
      </c>
      <c r="N60" s="6"/>
      <c r="O60" s="18">
        <v>42971</v>
      </c>
      <c r="P60" s="88">
        <v>3.19234189E-2</v>
      </c>
      <c r="Q60" s="101"/>
      <c r="R60" s="101"/>
      <c r="S60" s="18">
        <v>42971</v>
      </c>
      <c r="T60" s="88">
        <v>3.26105426E-2</v>
      </c>
      <c r="V60"/>
    </row>
    <row r="61" spans="2:22">
      <c r="B61" s="82">
        <v>42278</v>
      </c>
      <c r="C61" s="83">
        <v>0.51208600950000005</v>
      </c>
      <c r="D61" s="83">
        <f>VLOOKUP(CurrentMtgRatesDataTable825[[#This Row],[asofdate]],I:J,2,0)</f>
        <v>0.48691854000000001</v>
      </c>
      <c r="E61" s="83">
        <f>VLOOKUP(CurrentMtgRatesDataTable825[[#This Row],[asofdate]],O:P,2,0)</f>
        <v>0</v>
      </c>
      <c r="F61" s="84">
        <f ca="1">VLOOKUP(CurrentMtgRatesDataTable825[[#This Row],[asofdate]]+1,Bloomberg!B:C,2,0)</f>
        <v>2071.6</v>
      </c>
      <c r="I61" s="18">
        <v>42992</v>
      </c>
      <c r="J61" s="88">
        <v>0.4201896524</v>
      </c>
      <c r="K61" s="88" t="e">
        <f>VLOOKUP(CurrentMtgRatesDataTable82527141518[[#This Row],[asofdate]],O:P,2,0)</f>
        <v>#N/A</v>
      </c>
      <c r="L61" s="88" t="e">
        <f>VLOOKUP(CurrentMtgRatesDataTable82527141518[[#This Row],[asofdate]],S:T,2,0)</f>
        <v>#N/A</v>
      </c>
      <c r="M61" s="6">
        <f ca="1">VLOOKUP(CurrentMtgRatesDataTable82527141518[[#This Row],[asofdate]]+1,Bloomberg!B:C,2,0)</f>
        <v>1472.2</v>
      </c>
      <c r="N61" s="6"/>
      <c r="O61" s="18">
        <v>42964</v>
      </c>
      <c r="P61" s="88">
        <v>2.9296780800000002E-2</v>
      </c>
      <c r="Q61" s="101"/>
      <c r="R61" s="101"/>
      <c r="S61" s="18">
        <v>42964</v>
      </c>
      <c r="T61" s="88">
        <v>2.9975939600000001E-2</v>
      </c>
      <c r="V61"/>
    </row>
    <row r="62" spans="2:22">
      <c r="B62" s="82">
        <v>42271</v>
      </c>
      <c r="C62" s="83">
        <v>0.51399076759999995</v>
      </c>
      <c r="D62" s="83">
        <f>VLOOKUP(CurrentMtgRatesDataTable825[[#This Row],[asofdate]],I:J,2,0)</f>
        <v>0.47896225580000007</v>
      </c>
      <c r="E62" s="83">
        <f>VLOOKUP(CurrentMtgRatesDataTable825[[#This Row],[asofdate]],O:P,2,0)</f>
        <v>0</v>
      </c>
      <c r="F62" s="84">
        <f ca="1">VLOOKUP(CurrentMtgRatesDataTable825[[#This Row],[asofdate]]+1,Bloomberg!B:C,2,0)</f>
        <v>1589.5</v>
      </c>
      <c r="I62" s="18">
        <v>42985</v>
      </c>
      <c r="J62" s="88">
        <v>0.4201896524</v>
      </c>
      <c r="K62" s="88">
        <f>VLOOKUP(CurrentMtgRatesDataTable82527141518[[#This Row],[asofdate]],O:P,2,0)</f>
        <v>5.0327190299999998E-2</v>
      </c>
      <c r="L62" s="88">
        <f>VLOOKUP(CurrentMtgRatesDataTable82527141518[[#This Row],[asofdate]],S:T,2,0)</f>
        <v>5.11958598E-2</v>
      </c>
      <c r="M62" s="6">
        <f ca="1">VLOOKUP(CurrentMtgRatesDataTable82527141518[[#This Row],[asofdate]]+1,Bloomberg!B:C,2,0)</f>
        <v>1612.6</v>
      </c>
      <c r="N62" s="6"/>
      <c r="O62" s="18">
        <v>42957</v>
      </c>
      <c r="P62" s="88">
        <v>2.4704237E-3</v>
      </c>
      <c r="Q62" s="101"/>
      <c r="R62" s="101"/>
      <c r="S62" s="18">
        <v>42957</v>
      </c>
      <c r="T62" s="88">
        <v>1.77647937E-2</v>
      </c>
      <c r="V62"/>
    </row>
    <row r="63" spans="2:22">
      <c r="B63" s="82">
        <v>42264</v>
      </c>
      <c r="C63" s="83">
        <v>0.5083323126</v>
      </c>
      <c r="D63" s="83">
        <f>VLOOKUP(CurrentMtgRatesDataTable825[[#This Row],[asofdate]],I:J,2,0)</f>
        <v>0.46867173429999998</v>
      </c>
      <c r="E63" s="83">
        <f>VLOOKUP(CurrentMtgRatesDataTable825[[#This Row],[asofdate]],O:P,2,0)</f>
        <v>0</v>
      </c>
      <c r="F63" s="84">
        <f ca="1">VLOOKUP(CurrentMtgRatesDataTable825[[#This Row],[asofdate]]+1,Bloomberg!B:C,2,0)</f>
        <v>1759.9</v>
      </c>
      <c r="I63" s="18">
        <v>42978</v>
      </c>
      <c r="J63" s="88">
        <v>0.39795284749999998</v>
      </c>
      <c r="K63" s="88">
        <f>VLOOKUP(CurrentMtgRatesDataTable82527141518[[#This Row],[asofdate]],O:P,2,0)</f>
        <v>4.3751089999999999E-2</v>
      </c>
      <c r="L63" s="88" t="e">
        <f>VLOOKUP(CurrentMtgRatesDataTable82527141518[[#This Row],[asofdate]],S:T,2,0)</f>
        <v>#N/A</v>
      </c>
      <c r="M63" s="6">
        <f ca="1">VLOOKUP(CurrentMtgRatesDataTable82527141518[[#This Row],[asofdate]]+1,Bloomberg!B:C,2,0)</f>
        <v>1499.8</v>
      </c>
      <c r="N63" s="6"/>
      <c r="O63" s="18">
        <v>42950</v>
      </c>
      <c r="P63" s="88">
        <v>0</v>
      </c>
      <c r="Q63" s="101"/>
      <c r="R63" s="101"/>
      <c r="S63" s="18">
        <v>42950</v>
      </c>
      <c r="T63" s="88">
        <v>1.247027E-2</v>
      </c>
      <c r="V63"/>
    </row>
    <row r="64" spans="2:22">
      <c r="B64" s="82">
        <v>42257</v>
      </c>
      <c r="C64" s="83">
        <v>0.51043465129999999</v>
      </c>
      <c r="D64" s="83">
        <f>VLOOKUP(CurrentMtgRatesDataTable825[[#This Row],[asofdate]],I:J,2,0)</f>
        <v>0.47320351910000003</v>
      </c>
      <c r="E64" s="83">
        <f>VLOOKUP(CurrentMtgRatesDataTable825[[#This Row],[asofdate]],O:P,2,0)</f>
        <v>0</v>
      </c>
      <c r="F64" s="84">
        <f ca="1">VLOOKUP(CurrentMtgRatesDataTable825[[#This Row],[asofdate]]+1,Bloomberg!B:C,2,0)</f>
        <v>1473.7</v>
      </c>
      <c r="I64" s="18">
        <v>42971</v>
      </c>
      <c r="J64" s="88">
        <v>0.36610150200000002</v>
      </c>
      <c r="K64" s="88">
        <f>VLOOKUP(CurrentMtgRatesDataTable82527141518[[#This Row],[asofdate]],O:P,2,0)</f>
        <v>3.19234189E-2</v>
      </c>
      <c r="L64" s="88">
        <f>VLOOKUP(CurrentMtgRatesDataTable82527141518[[#This Row],[asofdate]],S:T,2,0)</f>
        <v>3.26105426E-2</v>
      </c>
      <c r="M64" s="6">
        <f ca="1">VLOOKUP(CurrentMtgRatesDataTable82527141518[[#This Row],[asofdate]]+1,Bloomberg!B:C,2,0)</f>
        <v>1425.8</v>
      </c>
      <c r="N64" s="6"/>
      <c r="O64" s="18">
        <v>42943</v>
      </c>
      <c r="P64" s="88">
        <v>0</v>
      </c>
      <c r="Q64" s="101"/>
      <c r="R64" s="101"/>
      <c r="S64" s="18">
        <v>42943</v>
      </c>
      <c r="T64" s="88">
        <v>1.02685104E-2</v>
      </c>
      <c r="V64"/>
    </row>
    <row r="65" spans="2:22">
      <c r="B65" s="82">
        <v>42250</v>
      </c>
      <c r="C65" s="83">
        <v>0.5127782193</v>
      </c>
      <c r="D65" s="83">
        <f>VLOOKUP(CurrentMtgRatesDataTable825[[#This Row],[asofdate]],I:J,2,0)</f>
        <v>0.47697419829999999</v>
      </c>
      <c r="E65" s="83">
        <f>VLOOKUP(CurrentMtgRatesDataTable825[[#This Row],[asofdate]],O:P,2,0)</f>
        <v>0</v>
      </c>
      <c r="F65" s="84">
        <f ca="1">VLOOKUP(CurrentMtgRatesDataTable825[[#This Row],[asofdate]]+1,Bloomberg!B:C,2,0)</f>
        <v>1626.9</v>
      </c>
      <c r="I65" s="18">
        <v>42964</v>
      </c>
      <c r="J65" s="88">
        <v>0.36168819470000002</v>
      </c>
      <c r="K65" s="88">
        <f>VLOOKUP(CurrentMtgRatesDataTable82527141518[[#This Row],[asofdate]],O:P,2,0)</f>
        <v>2.9296780800000002E-2</v>
      </c>
      <c r="L65" s="88">
        <f>VLOOKUP(CurrentMtgRatesDataTable82527141518[[#This Row],[asofdate]],S:T,2,0)</f>
        <v>2.9975939600000001E-2</v>
      </c>
      <c r="M65" s="6">
        <f ca="1">VLOOKUP(CurrentMtgRatesDataTable82527141518[[#This Row],[asofdate]]+1,Bloomberg!B:C,2,0)</f>
        <v>1441</v>
      </c>
      <c r="N65" s="6"/>
      <c r="O65" s="18">
        <v>42936</v>
      </c>
      <c r="P65" s="88">
        <v>0</v>
      </c>
      <c r="Q65" s="101"/>
      <c r="R65" s="101"/>
      <c r="S65" s="18">
        <v>42936</v>
      </c>
      <c r="T65" s="88">
        <v>6.1743472999999998E-3</v>
      </c>
      <c r="V65"/>
    </row>
    <row r="66" spans="2:22">
      <c r="B66" s="82">
        <v>42243</v>
      </c>
      <c r="C66" s="83">
        <v>0.53856859050000006</v>
      </c>
      <c r="D66" s="83">
        <f>VLOOKUP(CurrentMtgRatesDataTable825[[#This Row],[asofdate]],I:J,2,0)</f>
        <v>0.5041978131</v>
      </c>
      <c r="E66" s="83">
        <f>VLOOKUP(CurrentMtgRatesDataTable825[[#This Row],[asofdate]],O:P,2,0)</f>
        <v>9.6845079999999999E-4</v>
      </c>
      <c r="F66" s="84">
        <f ca="1">VLOOKUP(CurrentMtgRatesDataTable825[[#This Row],[asofdate]]+1,Bloomberg!B:C,2,0)</f>
        <v>1857.7</v>
      </c>
      <c r="I66" s="18">
        <v>42957</v>
      </c>
      <c r="J66" s="88">
        <v>0.33630493049999999</v>
      </c>
      <c r="K66" s="88">
        <f>VLOOKUP(CurrentMtgRatesDataTable82527141518[[#This Row],[asofdate]],O:P,2,0)</f>
        <v>2.4704237E-3</v>
      </c>
      <c r="L66" s="88">
        <f>VLOOKUP(CurrentMtgRatesDataTable82527141518[[#This Row],[asofdate]],S:T,2,0)</f>
        <v>1.77647937E-2</v>
      </c>
      <c r="M66" s="6">
        <f ca="1">VLOOKUP(CurrentMtgRatesDataTable82527141518[[#This Row],[asofdate]]+1,Bloomberg!B:C,2,0)</f>
        <v>1428.7</v>
      </c>
      <c r="N66" s="6"/>
      <c r="O66" s="18">
        <v>42929</v>
      </c>
      <c r="P66" s="88">
        <v>0</v>
      </c>
      <c r="Q66" s="101"/>
      <c r="R66" s="101"/>
      <c r="S66" s="18">
        <v>42929</v>
      </c>
      <c r="T66" s="88">
        <v>4.6002244000000001E-3</v>
      </c>
      <c r="V66"/>
    </row>
    <row r="67" spans="2:22">
      <c r="B67" s="82">
        <v>42236</v>
      </c>
      <c r="C67" s="83">
        <v>0.51646033650000001</v>
      </c>
      <c r="D67" s="83">
        <f>VLOOKUP(CurrentMtgRatesDataTable825[[#This Row],[asofdate]],I:J,2,0)</f>
        <v>0.46923579520000003</v>
      </c>
      <c r="E67" s="83">
        <f>VLOOKUP(CurrentMtgRatesDataTable825[[#This Row],[asofdate]],O:P,2,0)</f>
        <v>0</v>
      </c>
      <c r="F67" s="84">
        <f ca="1">VLOOKUP(CurrentMtgRatesDataTable825[[#This Row],[asofdate]]+1,Bloomberg!B:C,2,0)</f>
        <v>1545.5</v>
      </c>
      <c r="I67" s="18">
        <v>42950</v>
      </c>
      <c r="J67" s="88">
        <v>0.31831604200000002</v>
      </c>
      <c r="K67" s="88">
        <f>VLOOKUP(CurrentMtgRatesDataTable82527141518[[#This Row],[asofdate]],O:P,2,0)</f>
        <v>0</v>
      </c>
      <c r="L67" s="88">
        <f>VLOOKUP(CurrentMtgRatesDataTable82527141518[[#This Row],[asofdate]],S:T,2,0)</f>
        <v>1.247027E-2</v>
      </c>
      <c r="M67" s="6">
        <f ca="1">VLOOKUP(CurrentMtgRatesDataTable82527141518[[#This Row],[asofdate]]+1,Bloomberg!B:C,2,0)</f>
        <v>1395.5</v>
      </c>
      <c r="N67" s="6"/>
      <c r="O67" s="18">
        <v>42922</v>
      </c>
      <c r="P67" s="88">
        <v>0</v>
      </c>
      <c r="Q67" s="101"/>
      <c r="R67" s="101"/>
      <c r="S67" s="18">
        <v>42922</v>
      </c>
      <c r="T67" s="88">
        <v>6.1743472999999998E-3</v>
      </c>
      <c r="V67"/>
    </row>
    <row r="68" spans="2:22">
      <c r="B68" s="82">
        <v>42229</v>
      </c>
      <c r="C68" s="83">
        <v>0.51316667250000003</v>
      </c>
      <c r="D68" s="83">
        <f>VLOOKUP(CurrentMtgRatesDataTable825[[#This Row],[asofdate]],I:J,2,0)</f>
        <v>0.46486339789999997</v>
      </c>
      <c r="E68" s="83">
        <f>VLOOKUP(CurrentMtgRatesDataTable825[[#This Row],[asofdate]],O:P,2,0)</f>
        <v>0</v>
      </c>
      <c r="F68" s="84">
        <f ca="1">VLOOKUP(CurrentMtgRatesDataTable825[[#This Row],[asofdate]]+1,Bloomberg!B:C,2,0)</f>
        <v>1561.2</v>
      </c>
      <c r="I68" s="18">
        <v>42943</v>
      </c>
      <c r="J68" s="88">
        <v>0.32795338680000002</v>
      </c>
      <c r="K68" s="88">
        <f>VLOOKUP(CurrentMtgRatesDataTable82527141518[[#This Row],[asofdate]],O:P,2,0)</f>
        <v>0</v>
      </c>
      <c r="L68" s="88">
        <f>VLOOKUP(CurrentMtgRatesDataTable82527141518[[#This Row],[asofdate]],S:T,2,0)</f>
        <v>1.02685104E-2</v>
      </c>
      <c r="M68" s="6">
        <f ca="1">VLOOKUP(CurrentMtgRatesDataTable82527141518[[#This Row],[asofdate]]+1,Bloomberg!B:C,2,0)</f>
        <v>1349.5</v>
      </c>
      <c r="N68" s="6"/>
      <c r="O68" s="18">
        <v>42915</v>
      </c>
      <c r="P68" s="88">
        <v>0</v>
      </c>
      <c r="Q68" s="101"/>
      <c r="R68" s="101"/>
      <c r="S68" s="18">
        <v>42880</v>
      </c>
      <c r="T68" s="88">
        <v>4.7519707999999997E-3</v>
      </c>
      <c r="V68"/>
    </row>
    <row r="69" spans="2:22">
      <c r="B69" s="82">
        <v>42222</v>
      </c>
      <c r="C69" s="83">
        <v>0.52075028860000006</v>
      </c>
      <c r="D69" s="83">
        <f>VLOOKUP(CurrentMtgRatesDataTable825[[#This Row],[asofdate]],I:J,2,0)</f>
        <v>0.47665542830000007</v>
      </c>
      <c r="E69" s="83">
        <f>VLOOKUP(CurrentMtgRatesDataTable825[[#This Row],[asofdate]],O:P,2,0)</f>
        <v>1.5500520000000001E-4</v>
      </c>
      <c r="F69" s="84">
        <f ca="1">VLOOKUP(CurrentMtgRatesDataTable825[[#This Row],[asofdate]]+1,Bloomberg!B:C,2,0)</f>
        <v>1455.2</v>
      </c>
      <c r="I69" s="18">
        <v>42936</v>
      </c>
      <c r="J69" s="88">
        <v>0.30256531079999999</v>
      </c>
      <c r="K69" s="88">
        <f>VLOOKUP(CurrentMtgRatesDataTable82527141518[[#This Row],[asofdate]],O:P,2,0)</f>
        <v>0</v>
      </c>
      <c r="L69" s="88">
        <f>VLOOKUP(CurrentMtgRatesDataTable82527141518[[#This Row],[asofdate]],S:T,2,0)</f>
        <v>6.1743472999999998E-3</v>
      </c>
      <c r="M69" s="6">
        <f ca="1">VLOOKUP(CurrentMtgRatesDataTable82527141518[[#This Row],[asofdate]]+1,Bloomberg!B:C,2,0)</f>
        <v>1395.7</v>
      </c>
      <c r="N69" s="6"/>
      <c r="O69" s="18">
        <v>42908</v>
      </c>
      <c r="P69" s="88">
        <v>0</v>
      </c>
      <c r="Q69" s="101"/>
      <c r="R69" s="101"/>
      <c r="S69" s="18">
        <v>42873</v>
      </c>
      <c r="T69" s="88">
        <v>2.3469675999999999E-3</v>
      </c>
      <c r="V69"/>
    </row>
    <row r="70" spans="2:22">
      <c r="B70" s="82">
        <v>42215</v>
      </c>
      <c r="C70" s="83">
        <v>0.50568140959999996</v>
      </c>
      <c r="D70" s="83">
        <f>VLOOKUP(CurrentMtgRatesDataTable825[[#This Row],[asofdate]],I:J,2,0)</f>
        <v>0.457838246</v>
      </c>
      <c r="E70" s="83">
        <f>VLOOKUP(CurrentMtgRatesDataTable825[[#This Row],[asofdate]],O:P,2,0)</f>
        <v>0</v>
      </c>
      <c r="F70" s="84">
        <f ca="1">VLOOKUP(CurrentMtgRatesDataTable825[[#This Row],[asofdate]]+1,Bloomberg!B:C,2,0)</f>
        <v>1418</v>
      </c>
      <c r="I70" s="18">
        <v>42929</v>
      </c>
      <c r="J70" s="88">
        <v>0.28412835069999998</v>
      </c>
      <c r="K70" s="88">
        <f>VLOOKUP(CurrentMtgRatesDataTable82527141518[[#This Row],[asofdate]],O:P,2,0)</f>
        <v>0</v>
      </c>
      <c r="L70" s="88">
        <f>VLOOKUP(CurrentMtgRatesDataTable82527141518[[#This Row],[asofdate]],S:T,2,0)</f>
        <v>4.6002244000000001E-3</v>
      </c>
      <c r="M70" s="6">
        <f ca="1">VLOOKUP(CurrentMtgRatesDataTable82527141518[[#This Row],[asofdate]]+1,Bloomberg!B:C,2,0)</f>
        <v>1333.5</v>
      </c>
      <c r="N70" s="6"/>
      <c r="O70" s="18">
        <v>42901</v>
      </c>
      <c r="P70" s="88">
        <v>0</v>
      </c>
      <c r="Q70" s="101"/>
      <c r="R70" s="101"/>
      <c r="S70" s="18">
        <v>42866</v>
      </c>
      <c r="T70" s="88">
        <v>1.9610073E-3</v>
      </c>
      <c r="V70"/>
    </row>
    <row r="71" spans="2:22">
      <c r="B71" s="82">
        <v>42208</v>
      </c>
      <c r="C71" s="83">
        <v>0.47440443860000003</v>
      </c>
      <c r="D71" s="83">
        <f>VLOOKUP(CurrentMtgRatesDataTable825[[#This Row],[asofdate]],I:J,2,0)</f>
        <v>0.42251660730000001</v>
      </c>
      <c r="E71" s="83">
        <f>VLOOKUP(CurrentMtgRatesDataTable825[[#This Row],[asofdate]],O:P,2,0)</f>
        <v>0</v>
      </c>
      <c r="F71" s="84">
        <f ca="1">VLOOKUP(CurrentMtgRatesDataTable825[[#This Row],[asofdate]]+1,Bloomberg!B:C,2,0)</f>
        <v>1339.9</v>
      </c>
      <c r="I71" s="18">
        <v>42922</v>
      </c>
      <c r="J71" s="88">
        <v>0.30256531079999999</v>
      </c>
      <c r="K71" s="88">
        <f>VLOOKUP(CurrentMtgRatesDataTable82527141518[[#This Row],[asofdate]],O:P,2,0)</f>
        <v>0</v>
      </c>
      <c r="L71" s="88">
        <f>VLOOKUP(CurrentMtgRatesDataTable82527141518[[#This Row],[asofdate]],S:T,2,0)</f>
        <v>6.1743472999999998E-3</v>
      </c>
      <c r="M71" s="6">
        <f ca="1">VLOOKUP(CurrentMtgRatesDataTable82527141518[[#This Row],[asofdate]]+1,Bloomberg!B:C,2,0)</f>
        <v>1182.7</v>
      </c>
      <c r="N71" s="6"/>
      <c r="O71" s="18">
        <v>42894</v>
      </c>
      <c r="P71" s="88">
        <v>0</v>
      </c>
      <c r="Q71" s="101"/>
      <c r="R71" s="101"/>
      <c r="S71" s="18">
        <v>42859</v>
      </c>
      <c r="T71" s="88">
        <v>2.3469675999999999E-3</v>
      </c>
      <c r="V71"/>
    </row>
    <row r="72" spans="2:22">
      <c r="B72" s="82">
        <v>42201</v>
      </c>
      <c r="C72" s="83">
        <v>0.43913389889999999</v>
      </c>
      <c r="D72" s="83">
        <f>VLOOKUP(CurrentMtgRatesDataTable825[[#This Row],[asofdate]],I:J,2,0)</f>
        <v>0.3834563862</v>
      </c>
      <c r="E72" s="83">
        <f>VLOOKUP(CurrentMtgRatesDataTable825[[#This Row],[asofdate]],O:P,2,0)</f>
        <v>0</v>
      </c>
      <c r="F72" s="84">
        <f ca="1">VLOOKUP(CurrentMtgRatesDataTable825[[#This Row],[asofdate]]+1,Bloomberg!B:C,2,0)</f>
        <v>1305.5999999999999</v>
      </c>
      <c r="I72" s="18">
        <v>42915</v>
      </c>
      <c r="J72" s="88">
        <v>0.3576532583</v>
      </c>
      <c r="K72" s="88">
        <f>VLOOKUP(CurrentMtgRatesDataTable82527141518[[#This Row],[asofdate]],O:P,2,0)</f>
        <v>0</v>
      </c>
      <c r="L72" s="88" t="e">
        <f>VLOOKUP(CurrentMtgRatesDataTable82527141518[[#This Row],[asofdate]],S:T,2,0)</f>
        <v>#N/A</v>
      </c>
      <c r="M72" s="6">
        <f ca="1">VLOOKUP(CurrentMtgRatesDataTable82527141518[[#This Row],[asofdate]]+1,Bloomberg!B:C,2,0)</f>
        <v>1371.7</v>
      </c>
      <c r="N72" s="6"/>
      <c r="O72" s="18">
        <v>42887</v>
      </c>
      <c r="P72" s="88">
        <v>0</v>
      </c>
      <c r="Q72" s="101"/>
      <c r="R72" s="101"/>
      <c r="S72" s="18">
        <v>42852</v>
      </c>
      <c r="T72" s="88">
        <v>1.7019555E-3</v>
      </c>
      <c r="V72"/>
    </row>
    <row r="73" spans="2:22">
      <c r="B73" s="82">
        <v>42194</v>
      </c>
      <c r="C73" s="83">
        <v>0.47440443860000003</v>
      </c>
      <c r="D73" s="83">
        <f>VLOOKUP(CurrentMtgRatesDataTable825[[#This Row],[asofdate]],I:J,2,0)</f>
        <v>0.42251660730000001</v>
      </c>
      <c r="E73" s="83">
        <f>VLOOKUP(CurrentMtgRatesDataTable825[[#This Row],[asofdate]],O:P,2,0)</f>
        <v>0</v>
      </c>
      <c r="F73" s="84">
        <f ca="1">VLOOKUP(CurrentMtgRatesDataTable825[[#This Row],[asofdate]]+1,Bloomberg!B:C,2,0)</f>
        <v>1332.4</v>
      </c>
      <c r="I73" s="18">
        <v>42908</v>
      </c>
      <c r="J73" s="88">
        <v>0.34317670880000001</v>
      </c>
      <c r="K73" s="88">
        <f>VLOOKUP(CurrentMtgRatesDataTable82527141518[[#This Row],[asofdate]],O:P,2,0)</f>
        <v>0</v>
      </c>
      <c r="L73" s="88" t="e">
        <f>VLOOKUP(CurrentMtgRatesDataTable82527141518[[#This Row],[asofdate]],S:T,2,0)</f>
        <v>#N/A</v>
      </c>
      <c r="M73" s="6">
        <f ca="1">VLOOKUP(CurrentMtgRatesDataTable82527141518[[#This Row],[asofdate]]+1,Bloomberg!B:C,2,0)</f>
        <v>1371.7</v>
      </c>
      <c r="N73" s="6"/>
      <c r="O73" s="18">
        <v>42880</v>
      </c>
      <c r="P73" s="88">
        <v>4.3832189999999998E-3</v>
      </c>
      <c r="Q73" s="101"/>
      <c r="R73" s="101"/>
      <c r="S73" s="18">
        <v>42845</v>
      </c>
      <c r="T73" s="88">
        <v>2.3635277000000001E-3</v>
      </c>
      <c r="V73"/>
    </row>
    <row r="74" spans="2:22">
      <c r="B74" s="82">
        <v>42187</v>
      </c>
      <c r="C74" s="83">
        <v>0.44790079249999998</v>
      </c>
      <c r="D74" s="83">
        <f>VLOOKUP(CurrentMtgRatesDataTable825[[#This Row],[asofdate]],I:J,2,0)</f>
        <v>0.39081741889999999</v>
      </c>
      <c r="E74" s="83">
        <f>VLOOKUP(CurrentMtgRatesDataTable825[[#This Row],[asofdate]],O:P,2,0)</f>
        <v>0</v>
      </c>
      <c r="F74" s="84">
        <f ca="1">VLOOKUP(CurrentMtgRatesDataTable825[[#This Row],[asofdate]]+1,Bloomberg!B:C,2,0)</f>
        <v>1299.9000000000001</v>
      </c>
      <c r="I74" s="18">
        <v>42901</v>
      </c>
      <c r="J74" s="88">
        <v>0.3372459277</v>
      </c>
      <c r="K74" s="88">
        <f>VLOOKUP(CurrentMtgRatesDataTable82527141518[[#This Row],[asofdate]],O:P,2,0)</f>
        <v>0</v>
      </c>
      <c r="L74" s="88" t="e">
        <f>VLOOKUP(CurrentMtgRatesDataTable82527141518[[#This Row],[asofdate]],S:T,2,0)</f>
        <v>#N/A</v>
      </c>
      <c r="M74" s="6">
        <f ca="1">VLOOKUP(CurrentMtgRatesDataTable82527141518[[#This Row],[asofdate]]+1,Bloomberg!B:C,2,0)</f>
        <v>1488.8</v>
      </c>
      <c r="N74" s="6"/>
      <c r="O74" s="18">
        <v>42873</v>
      </c>
      <c r="P74" s="88">
        <v>0</v>
      </c>
      <c r="Q74" s="101"/>
      <c r="R74" s="101"/>
      <c r="S74" s="18">
        <v>42838</v>
      </c>
      <c r="T74" s="88">
        <v>1.429921E-3</v>
      </c>
      <c r="V74"/>
    </row>
    <row r="75" spans="2:22">
      <c r="B75" s="82">
        <v>42180</v>
      </c>
      <c r="C75" s="83">
        <v>0.48073830760000003</v>
      </c>
      <c r="D75" s="83">
        <f>VLOOKUP(CurrentMtgRatesDataTable825[[#This Row],[asofdate]],I:J,2,0)</f>
        <v>0.4235134518</v>
      </c>
      <c r="E75" s="83">
        <f>VLOOKUP(CurrentMtgRatesDataTable825[[#This Row],[asofdate]],O:P,2,0)</f>
        <v>0</v>
      </c>
      <c r="F75" s="84">
        <f ca="1">VLOOKUP(CurrentMtgRatesDataTable825[[#This Row],[asofdate]]+1,Bloomberg!B:C,2,0)</f>
        <v>1246.0999999999999</v>
      </c>
      <c r="I75" s="18">
        <v>42894</v>
      </c>
      <c r="J75" s="88">
        <v>0.34916759450000001</v>
      </c>
      <c r="K75" s="88">
        <f>VLOOKUP(CurrentMtgRatesDataTable82527141518[[#This Row],[asofdate]],O:P,2,0)</f>
        <v>0</v>
      </c>
      <c r="L75" s="88" t="e">
        <f>VLOOKUP(CurrentMtgRatesDataTable82527141518[[#This Row],[asofdate]],S:T,2,0)</f>
        <v>#N/A</v>
      </c>
      <c r="M75" s="6">
        <f ca="1">VLOOKUP(CurrentMtgRatesDataTable82527141518[[#This Row],[asofdate]]+1,Bloomberg!B:C,2,0)</f>
        <v>1420.3</v>
      </c>
      <c r="N75" s="6"/>
      <c r="O75" s="18">
        <v>42866</v>
      </c>
      <c r="P75" s="88">
        <v>0</v>
      </c>
      <c r="Q75" s="101"/>
      <c r="R75" s="101"/>
      <c r="S75" s="18">
        <v>42831</v>
      </c>
      <c r="T75" s="88">
        <v>1.2181243E-3</v>
      </c>
      <c r="V75"/>
    </row>
    <row r="76" spans="2:22">
      <c r="B76" s="82">
        <v>42173</v>
      </c>
      <c r="C76" s="83">
        <v>0.49111985940000003</v>
      </c>
      <c r="D76" s="83">
        <f>VLOOKUP(CurrentMtgRatesDataTable825[[#This Row],[asofdate]],I:J,2,0)</f>
        <v>0.4402914228</v>
      </c>
      <c r="E76" s="83">
        <f>VLOOKUP(CurrentMtgRatesDataTable825[[#This Row],[asofdate]],O:P,2,0)</f>
        <v>0</v>
      </c>
      <c r="F76" s="84">
        <f ca="1">VLOOKUP(CurrentMtgRatesDataTable825[[#This Row],[asofdate]]+1,Bloomberg!B:C,2,0)</f>
        <v>1318.3</v>
      </c>
      <c r="I76" s="18">
        <v>42887</v>
      </c>
      <c r="J76" s="88">
        <v>0.32260606209999998</v>
      </c>
      <c r="K76" s="88">
        <f>VLOOKUP(CurrentMtgRatesDataTable82527141518[[#This Row],[asofdate]],O:P,2,0)</f>
        <v>0</v>
      </c>
      <c r="L76" s="88" t="e">
        <f>VLOOKUP(CurrentMtgRatesDataTable82527141518[[#This Row],[asofdate]],S:T,2,0)</f>
        <v>#N/A</v>
      </c>
      <c r="M76" s="6">
        <f ca="1">VLOOKUP(CurrentMtgRatesDataTable82527141518[[#This Row],[asofdate]]+1,Bloomberg!B:C,2,0)</f>
        <v>1332.6</v>
      </c>
      <c r="N76" s="6"/>
      <c r="O76" s="18">
        <v>42859</v>
      </c>
      <c r="P76" s="88">
        <v>0</v>
      </c>
      <c r="Q76" s="101"/>
      <c r="R76" s="101"/>
      <c r="S76" s="18">
        <v>42824</v>
      </c>
      <c r="T76" s="88">
        <v>5.8299049999999998E-4</v>
      </c>
      <c r="V76"/>
    </row>
    <row r="77" spans="2:22">
      <c r="B77" s="82">
        <v>42166</v>
      </c>
      <c r="C77" s="83">
        <v>0.48288613810000003</v>
      </c>
      <c r="D77" s="83">
        <f>VLOOKUP(CurrentMtgRatesDataTable825[[#This Row],[asofdate]],I:J,2,0)</f>
        <v>0.4287190474</v>
      </c>
      <c r="E77" s="83">
        <f>VLOOKUP(CurrentMtgRatesDataTable825[[#This Row],[asofdate]],O:P,2,0)</f>
        <v>0</v>
      </c>
      <c r="F77" s="84">
        <f ca="1">VLOOKUP(CurrentMtgRatesDataTable825[[#This Row],[asofdate]]+1,Bloomberg!B:C,2,0)</f>
        <v>1273.4000000000001</v>
      </c>
      <c r="I77" s="18">
        <v>42880</v>
      </c>
      <c r="J77" s="88">
        <v>0.32041726640000001</v>
      </c>
      <c r="K77" s="88">
        <f>VLOOKUP(CurrentMtgRatesDataTable82527141518[[#This Row],[asofdate]],O:P,2,0)</f>
        <v>4.3832189999999998E-3</v>
      </c>
      <c r="L77" s="88">
        <f>VLOOKUP(CurrentMtgRatesDataTable82527141518[[#This Row],[asofdate]],S:T,2,0)</f>
        <v>4.7519707999999997E-3</v>
      </c>
      <c r="M77" s="6">
        <f ca="1">VLOOKUP(CurrentMtgRatesDataTable82527141518[[#This Row],[asofdate]]+1,Bloomberg!B:C,2,0)</f>
        <v>1292.7</v>
      </c>
      <c r="N77" s="6"/>
      <c r="O77" s="18">
        <v>42852</v>
      </c>
      <c r="P77" s="88">
        <v>0</v>
      </c>
      <c r="Q77" s="101"/>
      <c r="R77" s="101"/>
      <c r="S77" s="18">
        <v>42817</v>
      </c>
      <c r="T77" s="88">
        <v>1.7532029999999999E-4</v>
      </c>
      <c r="V77"/>
    </row>
    <row r="78" spans="2:22">
      <c r="B78" s="82">
        <v>42159</v>
      </c>
      <c r="C78" s="83">
        <v>0.55088825549999998</v>
      </c>
      <c r="D78" s="83">
        <f>VLOOKUP(CurrentMtgRatesDataTable825[[#This Row],[asofdate]],I:J,2,0)</f>
        <v>0.51058617240000004</v>
      </c>
      <c r="E78" s="83">
        <f>VLOOKUP(CurrentMtgRatesDataTable825[[#This Row],[asofdate]],O:P,2,0)</f>
        <v>0</v>
      </c>
      <c r="F78" s="84">
        <f ca="1">VLOOKUP(CurrentMtgRatesDataTable825[[#This Row],[asofdate]]+1,Bloomberg!B:C,2,0)</f>
        <v>1342.4</v>
      </c>
      <c r="I78" s="18">
        <v>42873</v>
      </c>
      <c r="J78" s="88">
        <v>0.2932169523</v>
      </c>
      <c r="K78" s="88">
        <f>VLOOKUP(CurrentMtgRatesDataTable82527141518[[#This Row],[asofdate]],O:P,2,0)</f>
        <v>0</v>
      </c>
      <c r="L78" s="88">
        <f>VLOOKUP(CurrentMtgRatesDataTable82527141518[[#This Row],[asofdate]],S:T,2,0)</f>
        <v>2.3469675999999999E-3</v>
      </c>
      <c r="M78" s="6">
        <f ca="1">VLOOKUP(CurrentMtgRatesDataTable82527141518[[#This Row],[asofdate]]+1,Bloomberg!B:C,2,0)</f>
        <v>1366.1</v>
      </c>
      <c r="N78" s="6"/>
      <c r="O78" s="18">
        <v>42845</v>
      </c>
      <c r="P78" s="88">
        <v>1.9878407000000001E-3</v>
      </c>
      <c r="Q78" s="101"/>
      <c r="R78" s="101"/>
      <c r="S78" s="18">
        <v>42810</v>
      </c>
      <c r="T78" s="88">
        <v>1.3556239999999999E-4</v>
      </c>
      <c r="V78"/>
    </row>
    <row r="79" spans="2:22">
      <c r="B79" s="82">
        <v>42152</v>
      </c>
      <c r="C79" s="83">
        <v>0.55937409220000001</v>
      </c>
      <c r="D79" s="83">
        <f>VLOOKUP(CurrentMtgRatesDataTable825[[#This Row],[asofdate]],I:J,2,0)</f>
        <v>0.51796522560000002</v>
      </c>
      <c r="E79" s="83">
        <f>VLOOKUP(CurrentMtgRatesDataTable825[[#This Row],[asofdate]],O:P,2,0)</f>
        <v>0</v>
      </c>
      <c r="F79" s="84">
        <f ca="1">VLOOKUP(CurrentMtgRatesDataTable825[[#This Row],[asofdate]]+1,Bloomberg!B:C,2,0)</f>
        <v>1233.9000000000001</v>
      </c>
      <c r="I79" s="18">
        <v>42866</v>
      </c>
      <c r="J79" s="88">
        <v>0.28119765860000001</v>
      </c>
      <c r="K79" s="88">
        <f>VLOOKUP(CurrentMtgRatesDataTable82527141518[[#This Row],[asofdate]],O:P,2,0)</f>
        <v>0</v>
      </c>
      <c r="L79" s="88">
        <f>VLOOKUP(CurrentMtgRatesDataTable82527141518[[#This Row],[asofdate]],S:T,2,0)</f>
        <v>1.9610073E-3</v>
      </c>
      <c r="M79" s="6">
        <f ca="1">VLOOKUP(CurrentMtgRatesDataTable82527141518[[#This Row],[asofdate]]+1,Bloomberg!B:C,2,0)</f>
        <v>1244.5999999999999</v>
      </c>
      <c r="N79" s="6"/>
      <c r="O79" s="18">
        <v>42838</v>
      </c>
      <c r="P79" s="88">
        <v>1.0131796000000001E-3</v>
      </c>
      <c r="Q79" s="101"/>
      <c r="R79" s="101"/>
      <c r="S79" s="18">
        <v>42803</v>
      </c>
      <c r="T79" s="88">
        <v>2.0390370000000001E-4</v>
      </c>
      <c r="V79"/>
    </row>
    <row r="80" spans="2:22">
      <c r="B80" s="82">
        <v>42145</v>
      </c>
      <c r="C80" s="83">
        <v>0.56072373549999999</v>
      </c>
      <c r="D80" s="83">
        <f>VLOOKUP(CurrentMtgRatesDataTable825[[#This Row],[asofdate]],I:J,2,0)</f>
        <v>0.51964795649999995</v>
      </c>
      <c r="E80" s="83">
        <f>VLOOKUP(CurrentMtgRatesDataTable825[[#This Row],[asofdate]],O:P,2,0)</f>
        <v>0</v>
      </c>
      <c r="F80" s="84">
        <f ca="1">VLOOKUP(CurrentMtgRatesDataTable825[[#This Row],[asofdate]]+1,Bloomberg!B:C,2,0)</f>
        <v>1408.1</v>
      </c>
      <c r="I80" s="18">
        <v>42859</v>
      </c>
      <c r="J80" s="88">
        <v>0.2932169523</v>
      </c>
      <c r="K80" s="88">
        <f>VLOOKUP(CurrentMtgRatesDataTable82527141518[[#This Row],[asofdate]],O:P,2,0)</f>
        <v>0</v>
      </c>
      <c r="L80" s="88">
        <f>VLOOKUP(CurrentMtgRatesDataTable82527141518[[#This Row],[asofdate]],S:T,2,0)</f>
        <v>2.3469675999999999E-3</v>
      </c>
      <c r="M80" s="6">
        <f ca="1">VLOOKUP(CurrentMtgRatesDataTable82527141518[[#This Row],[asofdate]]+1,Bloomberg!B:C,2,0)</f>
        <v>1324.5</v>
      </c>
      <c r="N80" s="6"/>
      <c r="O80" s="18">
        <v>42831</v>
      </c>
      <c r="P80" s="88">
        <v>0</v>
      </c>
      <c r="Q80" s="101"/>
      <c r="R80" s="101"/>
      <c r="S80" s="18">
        <v>42796</v>
      </c>
      <c r="T80" s="88">
        <v>6.8027349999999996E-4</v>
      </c>
      <c r="V80"/>
    </row>
    <row r="81" spans="2:22">
      <c r="B81" s="82">
        <v>42138</v>
      </c>
      <c r="C81" s="83">
        <v>0.56853067779999999</v>
      </c>
      <c r="D81" s="83">
        <f>VLOOKUP(CurrentMtgRatesDataTable825[[#This Row],[asofdate]],I:J,2,0)</f>
        <v>0.52683586439999996</v>
      </c>
      <c r="E81" s="83">
        <f>VLOOKUP(CurrentMtgRatesDataTable825[[#This Row],[asofdate]],O:P,2,0)</f>
        <v>0</v>
      </c>
      <c r="F81" s="84">
        <f ca="1">VLOOKUP(CurrentMtgRatesDataTable825[[#This Row],[asofdate]]+1,Bloomberg!B:C,2,0)</f>
        <v>1448.8</v>
      </c>
      <c r="I81" s="18">
        <v>42852</v>
      </c>
      <c r="J81" s="88">
        <v>0.29291125699999998</v>
      </c>
      <c r="K81" s="88">
        <f>VLOOKUP(CurrentMtgRatesDataTable82527141518[[#This Row],[asofdate]],O:P,2,0)</f>
        <v>0</v>
      </c>
      <c r="L81" s="88">
        <f>VLOOKUP(CurrentMtgRatesDataTable82527141518[[#This Row],[asofdate]],S:T,2,0)</f>
        <v>1.7019555E-3</v>
      </c>
      <c r="M81" s="6">
        <f ca="1">VLOOKUP(CurrentMtgRatesDataTable82527141518[[#This Row],[asofdate]]+1,Bloomberg!B:C,2,0)</f>
        <v>1284.4000000000001</v>
      </c>
      <c r="N81" s="6"/>
      <c r="O81" s="18">
        <v>42824</v>
      </c>
      <c r="P81" s="88">
        <v>0</v>
      </c>
      <c r="Q81" s="101"/>
      <c r="R81" s="101"/>
      <c r="S81" s="18">
        <v>42789</v>
      </c>
      <c r="T81" s="88">
        <v>3.7116980000000003E-4</v>
      </c>
      <c r="V81"/>
    </row>
    <row r="82" spans="2:22">
      <c r="B82" s="82">
        <v>42131</v>
      </c>
      <c r="C82" s="83">
        <v>0.58376029039999999</v>
      </c>
      <c r="D82" s="83">
        <f>VLOOKUP(CurrentMtgRatesDataTable825[[#This Row],[asofdate]],I:J,2,0)</f>
        <v>0.55026050680000005</v>
      </c>
      <c r="E82" s="83">
        <f>VLOOKUP(CurrentMtgRatesDataTable825[[#This Row],[asofdate]],O:P,2,0)</f>
        <v>0</v>
      </c>
      <c r="F82" s="84">
        <f ca="1">VLOOKUP(CurrentMtgRatesDataTable825[[#This Row],[asofdate]]+1,Bloomberg!B:C,2,0)</f>
        <v>1477.8</v>
      </c>
      <c r="I82" s="18">
        <v>42845</v>
      </c>
      <c r="J82" s="88">
        <v>0.315036227</v>
      </c>
      <c r="K82" s="88">
        <f>VLOOKUP(CurrentMtgRatesDataTable82527141518[[#This Row],[asofdate]],O:P,2,0)</f>
        <v>1.9878407000000001E-3</v>
      </c>
      <c r="L82" s="88">
        <f>VLOOKUP(CurrentMtgRatesDataTable82527141518[[#This Row],[asofdate]],S:T,2,0)</f>
        <v>2.3635277000000001E-3</v>
      </c>
      <c r="M82" s="6">
        <f ca="1">VLOOKUP(CurrentMtgRatesDataTable82527141518[[#This Row],[asofdate]]+1,Bloomberg!B:C,2,0)</f>
        <v>1354</v>
      </c>
      <c r="N82" s="6"/>
      <c r="O82" s="18">
        <v>42817</v>
      </c>
      <c r="P82" s="88">
        <v>0</v>
      </c>
      <c r="Q82" s="101"/>
      <c r="R82" s="101"/>
      <c r="S82" s="18">
        <v>42782</v>
      </c>
      <c r="T82" s="88">
        <v>4.5993679999999998E-4</v>
      </c>
      <c r="V82"/>
    </row>
    <row r="83" spans="2:22">
      <c r="B83" s="82">
        <v>42124</v>
      </c>
      <c r="C83" s="83">
        <v>0.66572470230000003</v>
      </c>
      <c r="D83" s="83">
        <f>VLOOKUP(CurrentMtgRatesDataTable825[[#This Row],[asofdate]],I:J,2,0)</f>
        <v>0.61605337270000005</v>
      </c>
      <c r="E83" s="83">
        <f>VLOOKUP(CurrentMtgRatesDataTable825[[#This Row],[asofdate]],O:P,2,0)</f>
        <v>0</v>
      </c>
      <c r="F83" s="84">
        <f ca="1">VLOOKUP(CurrentMtgRatesDataTable825[[#This Row],[asofdate]]+1,Bloomberg!B:C,2,0)</f>
        <v>1559.4</v>
      </c>
      <c r="I83" s="18">
        <v>42838</v>
      </c>
      <c r="J83" s="88">
        <v>0.27329291729999999</v>
      </c>
      <c r="K83" s="88">
        <f>VLOOKUP(CurrentMtgRatesDataTable82527141518[[#This Row],[asofdate]],O:P,2,0)</f>
        <v>1.0131796000000001E-3</v>
      </c>
      <c r="L83" s="88">
        <f>VLOOKUP(CurrentMtgRatesDataTable82527141518[[#This Row],[asofdate]],S:T,2,0)</f>
        <v>1.429921E-3</v>
      </c>
      <c r="M83" s="6">
        <f ca="1">VLOOKUP(CurrentMtgRatesDataTable82527141518[[#This Row],[asofdate]]+1,Bloomberg!B:C,2,0)</f>
        <v>1258.0999999999999</v>
      </c>
      <c r="N83" s="6"/>
      <c r="O83" s="18">
        <v>42810</v>
      </c>
      <c r="P83" s="88">
        <v>0</v>
      </c>
      <c r="Q83" s="101"/>
      <c r="R83" s="101"/>
      <c r="S83" s="18">
        <v>42775</v>
      </c>
      <c r="T83" s="88">
        <v>4.6443549999999998E-4</v>
      </c>
      <c r="V83"/>
    </row>
    <row r="84" spans="2:22">
      <c r="B84" s="82">
        <v>42117</v>
      </c>
      <c r="C84" s="83">
        <v>0.67757498279999995</v>
      </c>
      <c r="D84" s="83">
        <f>VLOOKUP(CurrentMtgRatesDataTable825[[#This Row],[asofdate]],I:J,2,0)</f>
        <v>0.63736160289999999</v>
      </c>
      <c r="E84" s="83">
        <f>VLOOKUP(CurrentMtgRatesDataTable825[[#This Row],[asofdate]],O:P,2,0)</f>
        <v>4.1584634000000004E-3</v>
      </c>
      <c r="F84" s="84">
        <f ca="1">VLOOKUP(CurrentMtgRatesDataTable825[[#This Row],[asofdate]]+1,Bloomberg!B:C,2,0)</f>
        <v>1723</v>
      </c>
      <c r="I84" s="18">
        <v>42831</v>
      </c>
      <c r="J84" s="88">
        <v>0.26406374469999999</v>
      </c>
      <c r="K84" s="88">
        <f>VLOOKUP(CurrentMtgRatesDataTable82527141518[[#This Row],[asofdate]],O:P,2,0)</f>
        <v>0</v>
      </c>
      <c r="L84" s="88">
        <f>VLOOKUP(CurrentMtgRatesDataTable82527141518[[#This Row],[asofdate]],S:T,2,0)</f>
        <v>1.2181243E-3</v>
      </c>
      <c r="M84" s="6">
        <f ca="1">VLOOKUP(CurrentMtgRatesDataTable82527141518[[#This Row],[asofdate]]+1,Bloomberg!B:C,2,0)</f>
        <v>1262.8</v>
      </c>
      <c r="N84" s="6"/>
      <c r="O84" s="18">
        <v>42803</v>
      </c>
      <c r="P84" s="88">
        <v>0</v>
      </c>
      <c r="Q84" s="101"/>
      <c r="R84" s="101"/>
      <c r="S84" s="18">
        <v>42768</v>
      </c>
      <c r="T84" s="88">
        <v>4.3456929999999999E-4</v>
      </c>
      <c r="V84"/>
    </row>
    <row r="85" spans="2:22">
      <c r="B85" s="82">
        <v>42110</v>
      </c>
      <c r="C85" s="83">
        <v>0.65561679309999998</v>
      </c>
      <c r="D85" s="83">
        <f>VLOOKUP(CurrentMtgRatesDataTable825[[#This Row],[asofdate]],I:J,2,0)</f>
        <v>0.60738700199999995</v>
      </c>
      <c r="E85" s="83">
        <f>VLOOKUP(CurrentMtgRatesDataTable825[[#This Row],[asofdate]],O:P,2,0)</f>
        <v>0</v>
      </c>
      <c r="F85" s="84">
        <f ca="1">VLOOKUP(CurrentMtgRatesDataTable825[[#This Row],[asofdate]]+1,Bloomberg!B:C,2,0)</f>
        <v>1817</v>
      </c>
      <c r="I85" s="18">
        <v>42824</v>
      </c>
      <c r="J85" s="88">
        <v>0.25173263029999998</v>
      </c>
      <c r="K85" s="88">
        <f>VLOOKUP(CurrentMtgRatesDataTable82527141518[[#This Row],[asofdate]],O:P,2,0)</f>
        <v>0</v>
      </c>
      <c r="L85" s="88">
        <f>VLOOKUP(CurrentMtgRatesDataTable82527141518[[#This Row],[asofdate]],S:T,2,0)</f>
        <v>5.8299049999999998E-4</v>
      </c>
      <c r="M85" s="6">
        <f ca="1">VLOOKUP(CurrentMtgRatesDataTable82527141518[[#This Row],[asofdate]]+1,Bloomberg!B:C,2,0)</f>
        <v>1259.5</v>
      </c>
      <c r="N85" s="6"/>
      <c r="O85" s="18">
        <v>42796</v>
      </c>
      <c r="P85" s="88">
        <v>1.8017740000000003E-4</v>
      </c>
      <c r="Q85" s="101"/>
      <c r="R85" s="101"/>
      <c r="S85" s="18">
        <v>42761</v>
      </c>
      <c r="T85" s="88">
        <v>3.9659270142690243E-4</v>
      </c>
      <c r="V85"/>
    </row>
    <row r="86" spans="2:22">
      <c r="B86" s="82">
        <v>42103</v>
      </c>
      <c r="C86" s="83">
        <v>0.6753411037</v>
      </c>
      <c r="D86" s="83">
        <f>VLOOKUP(CurrentMtgRatesDataTable825[[#This Row],[asofdate]],I:J,2,0)</f>
        <v>0.62935005160000002</v>
      </c>
      <c r="E86" s="83">
        <f>VLOOKUP(CurrentMtgRatesDataTable825[[#This Row],[asofdate]],O:P,2,0)</f>
        <v>4.0821104999999996E-3</v>
      </c>
      <c r="F86" s="84">
        <f ca="1">VLOOKUP(CurrentMtgRatesDataTable825[[#This Row],[asofdate]]+1,Bloomberg!B:C,2,0)</f>
        <v>1804.6</v>
      </c>
      <c r="I86" s="18">
        <v>42817</v>
      </c>
      <c r="J86" s="88">
        <v>0.21076282330000001</v>
      </c>
      <c r="K86" s="88">
        <f>VLOOKUP(CurrentMtgRatesDataTable82527141518[[#This Row],[asofdate]],O:P,2,0)</f>
        <v>0</v>
      </c>
      <c r="L86" s="88">
        <f>VLOOKUP(CurrentMtgRatesDataTable82527141518[[#This Row],[asofdate]],S:T,2,0)</f>
        <v>1.7532029999999999E-4</v>
      </c>
      <c r="M86" s="6">
        <f ca="1">VLOOKUP(CurrentMtgRatesDataTable82527141518[[#This Row],[asofdate]]+1,Bloomberg!B:C,2,0)</f>
        <v>1324.1</v>
      </c>
      <c r="N86" s="6"/>
      <c r="O86" s="18">
        <v>42789</v>
      </c>
      <c r="P86" s="88">
        <v>0</v>
      </c>
      <c r="Q86" s="101"/>
      <c r="R86" s="101"/>
      <c r="S86" s="18">
        <v>42754</v>
      </c>
      <c r="T86" s="88">
        <v>5.2544060000000005E-4</v>
      </c>
      <c r="V86"/>
    </row>
    <row r="87" spans="2:22">
      <c r="B87" s="82">
        <v>42096</v>
      </c>
      <c r="C87" s="83">
        <v>0.64494356100000005</v>
      </c>
      <c r="D87" s="83">
        <f>VLOOKUP(CurrentMtgRatesDataTable825[[#This Row],[asofdate]],I:J,2,0)</f>
        <v>0.60501671479999997</v>
      </c>
      <c r="E87" s="83">
        <f>VLOOKUP(CurrentMtgRatesDataTable825[[#This Row],[asofdate]],O:P,2,0)</f>
        <v>0</v>
      </c>
      <c r="F87" s="84">
        <f ca="1">VLOOKUP(CurrentMtgRatesDataTable825[[#This Row],[asofdate]]+1,Bloomberg!B:C,2,0)</f>
        <v>1854.7</v>
      </c>
      <c r="I87" s="18">
        <v>42810</v>
      </c>
      <c r="J87" s="88">
        <v>0.1890700703</v>
      </c>
      <c r="K87" s="88">
        <f>VLOOKUP(CurrentMtgRatesDataTable82527141518[[#This Row],[asofdate]],O:P,2,0)</f>
        <v>0</v>
      </c>
      <c r="L87" s="88">
        <f>VLOOKUP(CurrentMtgRatesDataTable82527141518[[#This Row],[asofdate]],S:T,2,0)</f>
        <v>1.3556239999999999E-4</v>
      </c>
      <c r="M87" s="6">
        <f ca="1">VLOOKUP(CurrentMtgRatesDataTable82527141518[[#This Row],[asofdate]]+1,Bloomberg!B:C,2,0)</f>
        <v>1380</v>
      </c>
      <c r="N87" s="6"/>
      <c r="O87" s="18">
        <v>42782</v>
      </c>
      <c r="P87" s="88">
        <v>0</v>
      </c>
      <c r="Q87" s="101"/>
      <c r="R87" s="101"/>
      <c r="S87" s="18">
        <v>42747</v>
      </c>
      <c r="T87" s="88">
        <v>3.9651119999999996E-4</v>
      </c>
      <c r="V87"/>
    </row>
    <row r="88" spans="2:22">
      <c r="B88" s="82">
        <v>42089</v>
      </c>
      <c r="C88" s="83">
        <v>0.66455052820000005</v>
      </c>
      <c r="D88" s="83">
        <f>VLOOKUP(CurrentMtgRatesDataTable825[[#This Row],[asofdate]],I:J,2,0)</f>
        <v>0.62083950509999997</v>
      </c>
      <c r="E88" s="83">
        <f>VLOOKUP(CurrentMtgRatesDataTable825[[#This Row],[asofdate]],O:P,2,0)</f>
        <v>0</v>
      </c>
      <c r="F88" s="84">
        <f ca="1">VLOOKUP(CurrentMtgRatesDataTable825[[#This Row],[asofdate]]+1,Bloomberg!B:C,2,0)</f>
        <v>1941.6</v>
      </c>
      <c r="I88" s="18">
        <v>42803</v>
      </c>
      <c r="J88" s="88">
        <v>0.21936727240000001</v>
      </c>
      <c r="K88" s="88">
        <f>VLOOKUP(CurrentMtgRatesDataTable82527141518[[#This Row],[asofdate]],O:P,2,0)</f>
        <v>0</v>
      </c>
      <c r="L88" s="88">
        <f>VLOOKUP(CurrentMtgRatesDataTable82527141518[[#This Row],[asofdate]],S:T,2,0)</f>
        <v>2.0390370000000001E-4</v>
      </c>
      <c r="M88" s="6">
        <f ca="1">VLOOKUP(CurrentMtgRatesDataTable82527141518[[#This Row],[asofdate]]+1,Bloomberg!B:C,2,0)</f>
        <v>1401.1</v>
      </c>
      <c r="N88" s="6"/>
      <c r="O88" s="18">
        <v>42775</v>
      </c>
      <c r="P88" s="88">
        <v>0</v>
      </c>
      <c r="Q88" s="101"/>
      <c r="R88" s="101"/>
      <c r="S88" s="18">
        <v>42740</v>
      </c>
      <c r="T88" s="88">
        <v>3.5158179999999995E-4</v>
      </c>
      <c r="V88"/>
    </row>
    <row r="89" spans="2:22">
      <c r="B89" s="82">
        <v>42082</v>
      </c>
      <c r="C89" s="83">
        <v>0.60650027699999998</v>
      </c>
      <c r="D89" s="83">
        <f>VLOOKUP(CurrentMtgRatesDataTable825[[#This Row],[asofdate]],I:J,2,0)</f>
        <v>0.5766638637</v>
      </c>
      <c r="E89" s="83">
        <f>VLOOKUP(CurrentMtgRatesDataTable825[[#This Row],[asofdate]],O:P,2,0)</f>
        <v>0</v>
      </c>
      <c r="F89" s="84">
        <f ca="1">VLOOKUP(CurrentMtgRatesDataTable825[[#This Row],[asofdate]]+1,Bloomberg!B:C,2,0)</f>
        <v>1860.8</v>
      </c>
      <c r="I89" s="18">
        <v>42796</v>
      </c>
      <c r="J89" s="88">
        <v>0.26983536829999999</v>
      </c>
      <c r="K89" s="88">
        <f>VLOOKUP(CurrentMtgRatesDataTable82527141518[[#This Row],[asofdate]],O:P,2,0)</f>
        <v>1.8017740000000003E-4</v>
      </c>
      <c r="L89" s="88">
        <f>VLOOKUP(CurrentMtgRatesDataTable82527141518[[#This Row],[asofdate]],S:T,2,0)</f>
        <v>6.8027349999999996E-4</v>
      </c>
      <c r="M89" s="6">
        <f ca="1">VLOOKUP(CurrentMtgRatesDataTable82527141518[[#This Row],[asofdate]]+1,Bloomberg!B:C,2,0)</f>
        <v>1310</v>
      </c>
      <c r="N89" s="6"/>
      <c r="O89" s="18">
        <v>42768</v>
      </c>
      <c r="P89" s="88">
        <v>0</v>
      </c>
      <c r="Q89" s="101"/>
      <c r="R89" s="101"/>
      <c r="S89" s="18">
        <v>42733</v>
      </c>
      <c r="T89" s="88">
        <v>2.7917330000000001E-4</v>
      </c>
      <c r="V89"/>
    </row>
    <row r="90" spans="2:22">
      <c r="B90" s="82">
        <v>42075</v>
      </c>
      <c r="C90" s="83">
        <v>0.57938694099999999</v>
      </c>
      <c r="D90" s="83">
        <f>VLOOKUP(CurrentMtgRatesDataTable825[[#This Row],[asofdate]],I:J,2,0)</f>
        <v>0.53932614629999998</v>
      </c>
      <c r="E90" s="83">
        <f>VLOOKUP(CurrentMtgRatesDataTable825[[#This Row],[asofdate]],O:P,2,0)</f>
        <v>0</v>
      </c>
      <c r="F90" s="84">
        <f ca="1">VLOOKUP(CurrentMtgRatesDataTable825[[#This Row],[asofdate]]+1,Bloomberg!B:C,2,0)</f>
        <v>1623.6</v>
      </c>
      <c r="I90" s="18">
        <v>42789</v>
      </c>
      <c r="J90" s="88">
        <v>0.2475439566</v>
      </c>
      <c r="K90" s="88">
        <f>VLOOKUP(CurrentMtgRatesDataTable82527141518[[#This Row],[asofdate]],O:P,2,0)</f>
        <v>0</v>
      </c>
      <c r="L90" s="88">
        <f>VLOOKUP(CurrentMtgRatesDataTable82527141518[[#This Row],[asofdate]],S:T,2,0)</f>
        <v>3.7116980000000003E-4</v>
      </c>
      <c r="M90" s="6">
        <f ca="1">VLOOKUP(CurrentMtgRatesDataTable82527141518[[#This Row],[asofdate]]+1,Bloomberg!B:C,2,0)</f>
        <v>1229.3</v>
      </c>
      <c r="N90" s="6"/>
      <c r="O90" s="18">
        <v>42761</v>
      </c>
      <c r="P90" s="88">
        <v>0</v>
      </c>
      <c r="Q90" s="101"/>
      <c r="R90" s="101"/>
      <c r="S90" s="18">
        <v>42726</v>
      </c>
      <c r="T90" s="88">
        <v>2.9591909999999999E-4</v>
      </c>
      <c r="V90"/>
    </row>
    <row r="91" spans="2:22">
      <c r="B91" s="82">
        <v>42068</v>
      </c>
      <c r="C91" s="83">
        <v>0.6189085366</v>
      </c>
      <c r="D91" s="83">
        <f>VLOOKUP(CurrentMtgRatesDataTable825[[#This Row],[asofdate]],I:J,2,0)</f>
        <v>0.59153182719999997</v>
      </c>
      <c r="E91" s="83">
        <f>VLOOKUP(CurrentMtgRatesDataTable825[[#This Row],[asofdate]],O:P,2,0)</f>
        <v>0</v>
      </c>
      <c r="F91" s="84">
        <f ca="1">VLOOKUP(CurrentMtgRatesDataTable825[[#This Row],[asofdate]]+1,Bloomberg!B:C,2,0)</f>
        <v>1685.7</v>
      </c>
      <c r="I91" s="18">
        <v>42782</v>
      </c>
      <c r="J91" s="88">
        <v>0.2523060157</v>
      </c>
      <c r="K91" s="88">
        <f>VLOOKUP(CurrentMtgRatesDataTable82527141518[[#This Row],[asofdate]],O:P,2,0)</f>
        <v>0</v>
      </c>
      <c r="L91" s="88">
        <f>VLOOKUP(CurrentMtgRatesDataTable82527141518[[#This Row],[asofdate]],S:T,2,0)</f>
        <v>4.5993679999999998E-4</v>
      </c>
      <c r="M91" s="6">
        <f ca="1">VLOOKUP(CurrentMtgRatesDataTable82527141518[[#This Row],[asofdate]]+1,Bloomberg!B:C,2,0)</f>
        <v>1172.9000000000001</v>
      </c>
      <c r="N91" s="6"/>
      <c r="O91" s="18">
        <v>42754</v>
      </c>
      <c r="P91" s="88">
        <v>0</v>
      </c>
      <c r="Q91" s="101"/>
      <c r="R91" s="101"/>
      <c r="S91" s="18">
        <v>42719</v>
      </c>
      <c r="T91" s="88">
        <v>3.3883600000000002E-5</v>
      </c>
      <c r="V91"/>
    </row>
    <row r="92" spans="2:22">
      <c r="B92" s="82">
        <v>42061</v>
      </c>
      <c r="C92" s="83">
        <v>0.60790429349999997</v>
      </c>
      <c r="D92" s="83">
        <f>VLOOKUP(CurrentMtgRatesDataTable825[[#This Row],[asofdate]],I:J,2,0)</f>
        <v>0.57039989609999997</v>
      </c>
      <c r="E92" s="83">
        <f>VLOOKUP(CurrentMtgRatesDataTable825[[#This Row],[asofdate]],O:P,2,0)</f>
        <v>0</v>
      </c>
      <c r="F92" s="84">
        <f ca="1">VLOOKUP(CurrentMtgRatesDataTable825[[#This Row],[asofdate]]+1,Bloomberg!B:C,2,0)</f>
        <v>1740.3</v>
      </c>
      <c r="I92" s="18">
        <v>42775</v>
      </c>
      <c r="J92" s="88">
        <v>0.2546990945</v>
      </c>
      <c r="K92" s="88">
        <f>VLOOKUP(CurrentMtgRatesDataTable82527141518[[#This Row],[asofdate]],O:P,2,0)</f>
        <v>0</v>
      </c>
      <c r="L92" s="88">
        <f>VLOOKUP(CurrentMtgRatesDataTable82527141518[[#This Row],[asofdate]],S:T,2,0)</f>
        <v>4.6443549999999998E-4</v>
      </c>
      <c r="M92" s="6">
        <f ca="1">VLOOKUP(CurrentMtgRatesDataTable82527141518[[#This Row],[asofdate]]+1,Bloomberg!B:C,2,0)</f>
        <v>1184.0999999999999</v>
      </c>
      <c r="N92" s="6"/>
      <c r="O92" s="18">
        <v>42747</v>
      </c>
      <c r="P92" s="88">
        <v>0</v>
      </c>
      <c r="Q92" s="101"/>
      <c r="R92" s="101"/>
      <c r="S92" s="18">
        <v>42712</v>
      </c>
      <c r="T92" s="88">
        <v>3.4422199999999997E-5</v>
      </c>
      <c r="V92"/>
    </row>
    <row r="93" spans="2:22">
      <c r="B93" s="82">
        <v>42054</v>
      </c>
      <c r="C93" s="83">
        <v>0.6216344452</v>
      </c>
      <c r="D93" s="83">
        <f>VLOOKUP(CurrentMtgRatesDataTable825[[#This Row],[asofdate]],I:J,2,0)</f>
        <v>0.59309494760000003</v>
      </c>
      <c r="E93" s="83">
        <f>VLOOKUP(CurrentMtgRatesDataTable825[[#This Row],[asofdate]],O:P,2,0)</f>
        <v>0</v>
      </c>
      <c r="F93" s="84">
        <f ca="1">VLOOKUP(CurrentMtgRatesDataTable825[[#This Row],[asofdate]]+1,Bloomberg!B:C,2,0)</f>
        <v>1703.1</v>
      </c>
      <c r="I93" s="18">
        <v>42768</v>
      </c>
      <c r="J93" s="88">
        <v>0.2338480134</v>
      </c>
      <c r="K93" s="88">
        <f>VLOOKUP(CurrentMtgRatesDataTable82527141518[[#This Row],[asofdate]],O:P,2,0)</f>
        <v>0</v>
      </c>
      <c r="L93" s="88">
        <f>VLOOKUP(CurrentMtgRatesDataTable82527141518[[#This Row],[asofdate]],S:T,2,0)</f>
        <v>4.3456929999999999E-4</v>
      </c>
      <c r="M93" s="6">
        <f ca="1">VLOOKUP(CurrentMtgRatesDataTable82527141518[[#This Row],[asofdate]]+1,Bloomberg!B:C,2,0)</f>
        <v>1192.5</v>
      </c>
      <c r="N93" s="6"/>
      <c r="O93" s="18">
        <v>42740</v>
      </c>
      <c r="P93" s="88">
        <v>0</v>
      </c>
      <c r="Q93" s="101"/>
      <c r="R93" s="101"/>
      <c r="S93" s="18">
        <v>42705</v>
      </c>
      <c r="T93" s="88">
        <v>0</v>
      </c>
      <c r="V93"/>
    </row>
    <row r="94" spans="2:22">
      <c r="B94" s="82">
        <v>42047</v>
      </c>
      <c r="C94" s="83">
        <v>0.66744400930000003</v>
      </c>
      <c r="D94" s="83">
        <f>VLOOKUP(CurrentMtgRatesDataTable825[[#This Row],[asofdate]],I:J,2,0)</f>
        <v>0.62613297749999997</v>
      </c>
      <c r="E94" s="83">
        <f>VLOOKUP(CurrentMtgRatesDataTable825[[#This Row],[asofdate]],O:P,2,0)</f>
        <v>0</v>
      </c>
      <c r="F94" s="84">
        <f ca="1">VLOOKUP(CurrentMtgRatesDataTable825[[#This Row],[asofdate]]+1,Bloomberg!B:C,2,0)</f>
        <v>1904.2</v>
      </c>
      <c r="I94" s="18">
        <v>42761</v>
      </c>
      <c r="J94" s="88">
        <v>0.25166278199999997</v>
      </c>
      <c r="K94" s="88">
        <f>VLOOKUP(CurrentMtgRatesDataTable82527141518[[#This Row],[asofdate]],O:P,2,0)</f>
        <v>0</v>
      </c>
      <c r="L94" s="88">
        <f>VLOOKUP(CurrentMtgRatesDataTable82527141518[[#This Row],[asofdate]],S:T,2,0)</f>
        <v>3.9659270142690243E-4</v>
      </c>
      <c r="M94" s="6">
        <f ca="1">VLOOKUP(CurrentMtgRatesDataTable82527141518[[#This Row],[asofdate]]+1,Bloomberg!B:C,2,0)</f>
        <v>1169.2</v>
      </c>
      <c r="N94" s="6"/>
      <c r="O94" s="18">
        <v>42733</v>
      </c>
      <c r="P94" s="88">
        <v>0</v>
      </c>
      <c r="Q94" s="101"/>
      <c r="R94" s="101"/>
      <c r="S94" s="18">
        <v>42697</v>
      </c>
      <c r="T94" s="88">
        <v>6.7874100000000001E-5</v>
      </c>
      <c r="V94"/>
    </row>
    <row r="95" spans="2:22">
      <c r="B95" s="82">
        <v>42040</v>
      </c>
      <c r="C95" s="83">
        <v>0.70511625659999999</v>
      </c>
      <c r="D95" s="83">
        <f>VLOOKUP(CurrentMtgRatesDataTable825[[#This Row],[asofdate]],I:J,2,0)</f>
        <v>0.6836252759</v>
      </c>
      <c r="E95" s="83">
        <f>VLOOKUP(CurrentMtgRatesDataTable825[[#This Row],[asofdate]],O:P,2,0)</f>
        <v>0.20776882469999999</v>
      </c>
      <c r="F95" s="84">
        <f ca="1">VLOOKUP(CurrentMtgRatesDataTable825[[#This Row],[asofdate]]+1,Bloomberg!B:C,2,0)</f>
        <v>2291.3000000000002</v>
      </c>
      <c r="I95" s="18">
        <v>42754</v>
      </c>
      <c r="J95" s="88">
        <v>0.28654174700000001</v>
      </c>
      <c r="K95" s="88">
        <f>VLOOKUP(CurrentMtgRatesDataTable82527141518[[#This Row],[asofdate]],O:P,2,0)</f>
        <v>0</v>
      </c>
      <c r="L95" s="88">
        <f>VLOOKUP(CurrentMtgRatesDataTable82527141518[[#This Row],[asofdate]],S:T,2,0)</f>
        <v>5.2544060000000005E-4</v>
      </c>
      <c r="M95" s="6">
        <f ca="1">VLOOKUP(CurrentMtgRatesDataTable82527141518[[#This Row],[asofdate]]+1,Bloomberg!B:C,2,0)</f>
        <v>1154.3</v>
      </c>
      <c r="N95" s="6"/>
      <c r="O95" s="18">
        <v>42726</v>
      </c>
      <c r="P95" s="88">
        <v>0</v>
      </c>
      <c r="Q95" s="101"/>
      <c r="R95" s="101"/>
      <c r="S95" s="18">
        <v>42691</v>
      </c>
      <c r="T95" s="88">
        <v>1.4478970000000001E-4</v>
      </c>
      <c r="V95"/>
    </row>
    <row r="96" spans="2:22">
      <c r="B96" s="82">
        <v>42033</v>
      </c>
      <c r="C96" s="83">
        <v>0.65188653600000002</v>
      </c>
      <c r="D96" s="83">
        <f>VLOOKUP(CurrentMtgRatesDataTable825[[#This Row],[asofdate]],I:J,2,0)</f>
        <v>0.63394777120000001</v>
      </c>
      <c r="E96" s="83">
        <f>VLOOKUP(CurrentMtgRatesDataTable825[[#This Row],[asofdate]],O:P,2,0)</f>
        <v>0</v>
      </c>
      <c r="F96" s="84">
        <f ca="1">VLOOKUP(CurrentMtgRatesDataTable825[[#This Row],[asofdate]]+1,Bloomberg!B:C,2,0)</f>
        <v>2584.8000000000002</v>
      </c>
      <c r="I96" s="18">
        <v>42747</v>
      </c>
      <c r="J96" s="88">
        <v>0.2721075114</v>
      </c>
      <c r="K96" s="88">
        <f>VLOOKUP(CurrentMtgRatesDataTable82527141518[[#This Row],[asofdate]],O:P,2,0)</f>
        <v>0</v>
      </c>
      <c r="L96" s="88">
        <f>VLOOKUP(CurrentMtgRatesDataTable82527141518[[#This Row],[asofdate]],S:T,2,0)</f>
        <v>3.9651119999999996E-4</v>
      </c>
      <c r="M96" s="6">
        <f ca="1">VLOOKUP(CurrentMtgRatesDataTable82527141518[[#This Row],[asofdate]]+1,Bloomberg!B:C,2,0)</f>
        <v>1169.8</v>
      </c>
      <c r="N96" s="6"/>
      <c r="O96" s="18">
        <v>42719</v>
      </c>
      <c r="P96" s="88">
        <v>0</v>
      </c>
      <c r="Q96" s="101"/>
      <c r="R96" s="101"/>
      <c r="S96" s="18">
        <v>42684</v>
      </c>
      <c r="T96" s="88">
        <v>1.5197448E-3</v>
      </c>
      <c r="V96"/>
    </row>
    <row r="97" spans="2:22">
      <c r="B97" s="82">
        <v>42026</v>
      </c>
      <c r="C97" s="83">
        <v>0.65294239229999995</v>
      </c>
      <c r="D97" s="83">
        <f>VLOOKUP(CurrentMtgRatesDataTable825[[#This Row],[asofdate]],I:J,2,0)</f>
        <v>0.63869747509999997</v>
      </c>
      <c r="E97" s="83">
        <f>VLOOKUP(CurrentMtgRatesDataTable825[[#This Row],[asofdate]],O:P,2,0)</f>
        <v>0.17658139750000001</v>
      </c>
      <c r="F97" s="84">
        <f ca="1">VLOOKUP(CurrentMtgRatesDataTable825[[#This Row],[asofdate]]+1,Bloomberg!B:C,2,0)</f>
        <v>2572.3000000000002</v>
      </c>
      <c r="I97" s="18">
        <v>42740</v>
      </c>
      <c r="J97" s="88">
        <v>0.23473304710000004</v>
      </c>
      <c r="K97" s="88">
        <f>VLOOKUP(CurrentMtgRatesDataTable82527141518[[#This Row],[asofdate]],O:P,2,0)</f>
        <v>0</v>
      </c>
      <c r="L97" s="88">
        <f>VLOOKUP(CurrentMtgRatesDataTable82527141518[[#This Row],[asofdate]],S:T,2,0)</f>
        <v>3.5158179999999995E-4</v>
      </c>
      <c r="M97" s="6">
        <f ca="1">VLOOKUP(CurrentMtgRatesDataTable82527141518[[#This Row],[asofdate]]+1,Bloomberg!B:C,2,0)</f>
        <v>1127.5999999999999</v>
      </c>
      <c r="N97" s="6"/>
      <c r="O97" s="18">
        <v>42712</v>
      </c>
      <c r="P97" s="88">
        <v>0</v>
      </c>
      <c r="Q97" s="101"/>
      <c r="R97" s="101"/>
      <c r="S97" s="18">
        <v>42677</v>
      </c>
      <c r="T97" s="88">
        <v>2.2118737999999999E-3</v>
      </c>
      <c r="V97"/>
    </row>
    <row r="98" spans="2:22">
      <c r="B98" s="82">
        <v>42019</v>
      </c>
      <c r="C98" s="83">
        <v>0.65188653600000002</v>
      </c>
      <c r="D98" s="83">
        <f>VLOOKUP(CurrentMtgRatesDataTable825[[#This Row],[asofdate]],I:J,2,0)</f>
        <v>0.63394777120000001</v>
      </c>
      <c r="E98" s="83">
        <f>VLOOKUP(CurrentMtgRatesDataTable825[[#This Row],[asofdate]],O:P,2,0)</f>
        <v>0.1747402414</v>
      </c>
      <c r="F98" s="84">
        <f ca="1">VLOOKUP(CurrentMtgRatesDataTable825[[#This Row],[asofdate]]+1,Bloomberg!B:C,2,0)</f>
        <v>2799.3</v>
      </c>
      <c r="I98" s="18">
        <v>42733</v>
      </c>
      <c r="J98" s="88">
        <v>0.19918468080000001</v>
      </c>
      <c r="K98" s="88">
        <f>VLOOKUP(CurrentMtgRatesDataTable82527141518[[#This Row],[asofdate]],O:P,2,0)</f>
        <v>0</v>
      </c>
      <c r="L98" s="88">
        <f>VLOOKUP(CurrentMtgRatesDataTable82527141518[[#This Row],[asofdate]],S:T,2,0)</f>
        <v>2.7917330000000001E-4</v>
      </c>
      <c r="M98" s="6">
        <f ca="1">VLOOKUP(CurrentMtgRatesDataTable82527141518[[#This Row],[asofdate]]+1,Bloomberg!B:C,2,0)</f>
        <v>1098</v>
      </c>
      <c r="N98" s="6"/>
      <c r="O98" s="18">
        <v>42705</v>
      </c>
      <c r="P98" s="88">
        <v>0</v>
      </c>
      <c r="Q98" s="101"/>
      <c r="R98" s="101"/>
      <c r="S98" s="18">
        <v>42670</v>
      </c>
      <c r="T98" s="88">
        <v>4.2344032000000004E-3</v>
      </c>
      <c r="V98"/>
    </row>
    <row r="99" spans="2:22">
      <c r="B99" s="82">
        <v>42012</v>
      </c>
      <c r="C99" s="83">
        <v>0.62245046879999999</v>
      </c>
      <c r="D99" s="83">
        <f>VLOOKUP(CurrentMtgRatesDataTable825[[#This Row],[asofdate]],I:J,2,0)</f>
        <v>0.590485221</v>
      </c>
      <c r="E99" s="83">
        <f>VLOOKUP(CurrentMtgRatesDataTable825[[#This Row],[asofdate]],O:P,2,0)</f>
        <v>0.158042924</v>
      </c>
      <c r="F99" s="84">
        <f ca="1">VLOOKUP(CurrentMtgRatesDataTable825[[#This Row],[asofdate]]+1,Bloomberg!B:C,2,0)</f>
        <v>2271.5</v>
      </c>
      <c r="I99" s="18">
        <v>42726</v>
      </c>
      <c r="J99" s="88">
        <v>0.20410730939999999</v>
      </c>
      <c r="K99" s="88">
        <f>VLOOKUP(CurrentMtgRatesDataTable82527141518[[#This Row],[asofdate]],O:P,2,0)</f>
        <v>0</v>
      </c>
      <c r="L99" s="88">
        <f>VLOOKUP(CurrentMtgRatesDataTable82527141518[[#This Row],[asofdate]],S:T,2,0)</f>
        <v>2.9591909999999999E-4</v>
      </c>
      <c r="M99" s="6">
        <f ca="1">VLOOKUP(CurrentMtgRatesDataTable82527141518[[#This Row],[asofdate]]+1,Bloomberg!B:C,2,0)</f>
        <v>1074.7</v>
      </c>
      <c r="N99" s="6"/>
      <c r="O99" s="18">
        <v>42697</v>
      </c>
      <c r="P99" s="88">
        <v>0</v>
      </c>
      <c r="Q99" s="101"/>
      <c r="R99" s="101"/>
      <c r="S99" s="18">
        <v>42663</v>
      </c>
      <c r="T99" s="88">
        <v>2.0252616999999998E-3</v>
      </c>
      <c r="V99"/>
    </row>
    <row r="100" spans="2:22">
      <c r="B100" s="82">
        <v>42004</v>
      </c>
      <c r="C100" s="83">
        <v>0.57197514790000004</v>
      </c>
      <c r="D100" s="83">
        <f>VLOOKUP(CurrentMtgRatesDataTable825[[#This Row],[asofdate]],I:J,2,0)</f>
        <v>0.54181851560000005</v>
      </c>
      <c r="E100" s="83">
        <f>VLOOKUP(CurrentMtgRatesDataTable825[[#This Row],[asofdate]],O:P,2,0)</f>
        <v>0</v>
      </c>
      <c r="F100" s="84">
        <f ca="1">VLOOKUP(CurrentMtgRatesDataTable825[[#This Row],[asofdate]]+1,Bloomberg!B:C,2,0)</f>
        <v>1347.6</v>
      </c>
      <c r="I100" s="18">
        <v>42719</v>
      </c>
      <c r="J100" s="88">
        <v>0.2623933832</v>
      </c>
      <c r="K100" s="88">
        <f>VLOOKUP(CurrentMtgRatesDataTable82527141518[[#This Row],[asofdate]],O:P,2,0)</f>
        <v>0</v>
      </c>
      <c r="L100" s="88">
        <f>VLOOKUP(CurrentMtgRatesDataTable82527141518[[#This Row],[asofdate]],S:T,2,0)</f>
        <v>3.3883600000000002E-5</v>
      </c>
      <c r="M100" s="6">
        <f ca="1">VLOOKUP(CurrentMtgRatesDataTable82527141518[[#This Row],[asofdate]]+1,Bloomberg!B:C,2,0)</f>
        <v>1361.1</v>
      </c>
      <c r="N100" s="6"/>
      <c r="O100" s="18">
        <v>42691</v>
      </c>
      <c r="P100" s="88">
        <v>0</v>
      </c>
      <c r="Q100" s="101"/>
      <c r="R100" s="101"/>
      <c r="S100" s="18">
        <v>42656</v>
      </c>
      <c r="T100" s="88">
        <v>5.0343918000000003E-3</v>
      </c>
      <c r="V100"/>
    </row>
    <row r="101" spans="2:22">
      <c r="B101" s="82">
        <v>41997</v>
      </c>
      <c r="C101" s="83">
        <v>0.58686510540000003</v>
      </c>
      <c r="D101" s="83">
        <f>VLOOKUP(CurrentMtgRatesDataTable825[[#This Row],[asofdate]],I:J,2,0)</f>
        <v>0.55774327000000001</v>
      </c>
      <c r="E101" s="83">
        <f>VLOOKUP(CurrentMtgRatesDataTable825[[#This Row],[asofdate]],O:P,2,0)</f>
        <v>0</v>
      </c>
      <c r="F101" s="84">
        <f ca="1">VLOOKUP(CurrentMtgRatesDataTable825[[#This Row],[asofdate]]+1,Bloomberg!B:C,2,0)</f>
        <v>1164.2</v>
      </c>
      <c r="I101" s="18">
        <v>42712</v>
      </c>
      <c r="J101" s="88">
        <v>0.27594336940000003</v>
      </c>
      <c r="K101" s="88">
        <f>VLOOKUP(CurrentMtgRatesDataTable82527141518[[#This Row],[asofdate]],O:P,2,0)</f>
        <v>0</v>
      </c>
      <c r="L101" s="88">
        <f>VLOOKUP(CurrentMtgRatesDataTable82527141518[[#This Row],[asofdate]],S:T,2,0)</f>
        <v>3.4422199999999997E-5</v>
      </c>
      <c r="M101" s="6">
        <f ca="1">VLOOKUP(CurrentMtgRatesDataTable82527141518[[#This Row],[asofdate]]+1,Bloomberg!B:C,2,0)</f>
        <v>1328.9</v>
      </c>
      <c r="N101" s="6"/>
      <c r="O101" s="18">
        <v>42684</v>
      </c>
      <c r="P101" s="88">
        <v>0</v>
      </c>
      <c r="Q101" s="101"/>
      <c r="R101" s="101"/>
      <c r="S101" s="18">
        <v>42649</v>
      </c>
      <c r="T101" s="88">
        <v>0.40546247959999998</v>
      </c>
      <c r="V101"/>
    </row>
    <row r="102" spans="2:22">
      <c r="B102" s="82">
        <v>41991</v>
      </c>
      <c r="C102" s="83">
        <v>0.60122657710000005</v>
      </c>
      <c r="D102" s="83">
        <f>VLOOKUP(CurrentMtgRatesDataTable825[[#This Row],[asofdate]],I:J,2,0)</f>
        <v>0.56856104429999998</v>
      </c>
      <c r="E102" s="83">
        <f>VLOOKUP(CurrentMtgRatesDataTable825[[#This Row],[asofdate]],O:P,2,0)</f>
        <v>0.13948579750000001</v>
      </c>
      <c r="F102" s="84">
        <f ca="1">VLOOKUP(CurrentMtgRatesDataTable825[[#This Row],[asofdate]]+1,Bloomberg!B:C,2,0)</f>
        <v>1538.7</v>
      </c>
      <c r="I102" s="18">
        <v>42705</v>
      </c>
      <c r="J102" s="88">
        <v>0.30066712919999999</v>
      </c>
      <c r="K102" s="88">
        <f>VLOOKUP(CurrentMtgRatesDataTable82527141518[[#This Row],[asofdate]],O:P,2,0)</f>
        <v>0</v>
      </c>
      <c r="L102" s="88">
        <f>VLOOKUP(CurrentMtgRatesDataTable82527141518[[#This Row],[asofdate]],S:T,2,0)</f>
        <v>0</v>
      </c>
      <c r="M102" s="6">
        <f ca="1">VLOOKUP(CurrentMtgRatesDataTable82527141518[[#This Row],[asofdate]]+1,Bloomberg!B:C,2,0)</f>
        <v>1380.8</v>
      </c>
      <c r="N102" s="6"/>
      <c r="O102" s="18">
        <v>42677</v>
      </c>
      <c r="P102" s="88">
        <v>0</v>
      </c>
      <c r="Q102" s="101"/>
      <c r="R102" s="101"/>
      <c r="S102" s="18">
        <v>42642</v>
      </c>
      <c r="T102" s="88">
        <v>0.4169632331</v>
      </c>
      <c r="V102"/>
    </row>
    <row r="103" spans="2:22">
      <c r="B103" s="82">
        <v>41984</v>
      </c>
      <c r="C103" s="83">
        <v>0.55996065370000003</v>
      </c>
      <c r="D103" s="83">
        <f>VLOOKUP(CurrentMtgRatesDataTable825[[#This Row],[asofdate]],I:J,2,0)</f>
        <v>0.52586900160000005</v>
      </c>
      <c r="E103" s="83">
        <f>VLOOKUP(CurrentMtgRatesDataTable825[[#This Row],[asofdate]],O:P,2,0)</f>
        <v>0</v>
      </c>
      <c r="F103" s="84">
        <f ca="1">VLOOKUP(CurrentMtgRatesDataTable825[[#This Row],[asofdate]]+1,Bloomberg!B:C,2,0)</f>
        <v>1518.8</v>
      </c>
      <c r="I103" s="18">
        <v>42697</v>
      </c>
      <c r="J103" s="88">
        <v>0.33001883370000001</v>
      </c>
      <c r="K103" s="88">
        <f>VLOOKUP(CurrentMtgRatesDataTable82527141518[[#This Row],[asofdate]],O:P,2,0)</f>
        <v>0</v>
      </c>
      <c r="L103" s="88">
        <f>VLOOKUP(CurrentMtgRatesDataTable82527141518[[#This Row],[asofdate]],S:T,2,0)</f>
        <v>6.7874100000000001E-5</v>
      </c>
      <c r="M103" s="6">
        <f ca="1">VLOOKUP(CurrentMtgRatesDataTable82527141518[[#This Row],[asofdate]]+1,Bloomberg!B:C,2,0)</f>
        <v>1422.7</v>
      </c>
      <c r="N103" s="6"/>
      <c r="O103" s="18">
        <v>42670</v>
      </c>
      <c r="P103" s="88">
        <v>0</v>
      </c>
      <c r="Q103" s="101"/>
      <c r="R103" s="101"/>
      <c r="S103" s="18">
        <v>42635</v>
      </c>
      <c r="T103" s="88">
        <v>2.9637528999999999E-3</v>
      </c>
      <c r="V103"/>
    </row>
    <row r="104" spans="2:22">
      <c r="B104" s="82">
        <v>41977</v>
      </c>
      <c r="C104" s="83">
        <v>0.57286099140000002</v>
      </c>
      <c r="D104" s="83">
        <f>VLOOKUP(CurrentMtgRatesDataTable825[[#This Row],[asofdate]],I:J,2,0)</f>
        <v>0.54419146029999999</v>
      </c>
      <c r="E104" s="83">
        <f>VLOOKUP(CurrentMtgRatesDataTable825[[#This Row],[asofdate]],O:P,2,0)</f>
        <v>0.1239261992</v>
      </c>
      <c r="F104" s="84">
        <f ca="1">VLOOKUP(CurrentMtgRatesDataTable825[[#This Row],[asofdate]]+1,Bloomberg!B:C,2,0)</f>
        <v>1548.6</v>
      </c>
      <c r="I104" s="18">
        <v>42691</v>
      </c>
      <c r="J104" s="88">
        <v>0.36510066740000002</v>
      </c>
      <c r="K104" s="88">
        <f>VLOOKUP(CurrentMtgRatesDataTable82527141518[[#This Row],[asofdate]],O:P,2,0)</f>
        <v>0</v>
      </c>
      <c r="L104" s="88">
        <f>VLOOKUP(CurrentMtgRatesDataTable82527141518[[#This Row],[asofdate]],S:T,2,0)</f>
        <v>1.4478970000000001E-4</v>
      </c>
      <c r="M104" s="6">
        <f ca="1">VLOOKUP(CurrentMtgRatesDataTable82527141518[[#This Row],[asofdate]]+1,Bloomberg!B:C,2,0)</f>
        <v>1620.2</v>
      </c>
      <c r="N104" s="6"/>
      <c r="O104" s="18">
        <v>42663</v>
      </c>
      <c r="P104" s="88">
        <v>0</v>
      </c>
      <c r="Q104" s="101"/>
      <c r="R104" s="101"/>
      <c r="S104" s="18">
        <v>42628</v>
      </c>
      <c r="T104" s="88">
        <v>0.3600573796</v>
      </c>
      <c r="V104"/>
    </row>
    <row r="105" spans="2:22">
      <c r="B105" s="82">
        <v>41969</v>
      </c>
      <c r="C105" s="83">
        <v>0.55246831159999998</v>
      </c>
      <c r="D105" s="83">
        <f>VLOOKUP(CurrentMtgRatesDataTable825[[#This Row],[asofdate]],I:J,2,0)</f>
        <v>0.51298244240000002</v>
      </c>
      <c r="E105" s="83">
        <f>VLOOKUP(CurrentMtgRatesDataTable825[[#This Row],[asofdate]],O:P,2,0)</f>
        <v>0</v>
      </c>
      <c r="F105" s="84" t="e">
        <f ca="1">VLOOKUP(CurrentMtgRatesDataTable825[[#This Row],[asofdate]]+1,Bloomberg!B:C,2,0)</f>
        <v>#N/A</v>
      </c>
      <c r="I105" s="18">
        <v>42684</v>
      </c>
      <c r="J105" s="88">
        <v>0.63483189419999997</v>
      </c>
      <c r="K105" s="88">
        <f>VLOOKUP(CurrentMtgRatesDataTable82527141518[[#This Row],[asofdate]],O:P,2,0)</f>
        <v>0</v>
      </c>
      <c r="L105" s="88">
        <f>VLOOKUP(CurrentMtgRatesDataTable82527141518[[#This Row],[asofdate]],S:T,2,0)</f>
        <v>1.5197448E-3</v>
      </c>
      <c r="M105" s="6">
        <f ca="1">VLOOKUP(CurrentMtgRatesDataTable82527141518[[#This Row],[asofdate]]+1,Bloomberg!B:C,2,0)</f>
        <v>1648</v>
      </c>
      <c r="N105" s="6"/>
      <c r="O105" s="18">
        <v>42656</v>
      </c>
      <c r="P105" s="88">
        <v>0</v>
      </c>
      <c r="Q105" s="101"/>
      <c r="R105" s="101"/>
      <c r="S105" s="18">
        <v>42621</v>
      </c>
      <c r="T105" s="88">
        <v>0.38676437499999999</v>
      </c>
      <c r="V105"/>
    </row>
    <row r="106" spans="2:22">
      <c r="B106" s="82">
        <v>41963</v>
      </c>
      <c r="C106" s="83">
        <v>0.53954613890000003</v>
      </c>
      <c r="D106" s="83">
        <f>VLOOKUP(CurrentMtgRatesDataTable825[[#This Row],[asofdate]],I:J,2,0)</f>
        <v>0.50247090809999995</v>
      </c>
      <c r="E106" s="83">
        <f>VLOOKUP(CurrentMtgRatesDataTable825[[#This Row],[asofdate]],O:P,2,0)</f>
        <v>0</v>
      </c>
      <c r="F106" s="84">
        <f ca="1">VLOOKUP(CurrentMtgRatesDataTable825[[#This Row],[asofdate]]+1,Bloomberg!B:C,2,0)</f>
        <v>1547.9</v>
      </c>
      <c r="I106" s="18">
        <v>42677</v>
      </c>
      <c r="J106" s="88">
        <v>0.65213089479999997</v>
      </c>
      <c r="K106" s="88">
        <f>VLOOKUP(CurrentMtgRatesDataTable82527141518[[#This Row],[asofdate]],O:P,2,0)</f>
        <v>0</v>
      </c>
      <c r="L106" s="88">
        <f>VLOOKUP(CurrentMtgRatesDataTable82527141518[[#This Row],[asofdate]],S:T,2,0)</f>
        <v>2.2118737999999999E-3</v>
      </c>
      <c r="M106" s="6">
        <f ca="1">VLOOKUP(CurrentMtgRatesDataTable82527141518[[#This Row],[asofdate]]+1,Bloomberg!B:C,2,0)</f>
        <v>1883</v>
      </c>
      <c r="N106" s="6"/>
      <c r="O106" s="18">
        <v>42649</v>
      </c>
      <c r="P106" s="88">
        <v>0</v>
      </c>
      <c r="Q106" s="101"/>
      <c r="R106" s="101"/>
      <c r="S106" s="18">
        <v>42614</v>
      </c>
      <c r="T106" s="88">
        <v>0.39018724980000002</v>
      </c>
      <c r="V106"/>
    </row>
    <row r="107" spans="2:22">
      <c r="B107" s="82">
        <v>41956</v>
      </c>
      <c r="C107" s="83">
        <v>0.5252620683</v>
      </c>
      <c r="D107" s="83">
        <f>VLOOKUP(CurrentMtgRatesDataTable825[[#This Row],[asofdate]],I:J,2,0)</f>
        <v>0.49075057599999999</v>
      </c>
      <c r="E107" s="83">
        <f>VLOOKUP(CurrentMtgRatesDataTable825[[#This Row],[asofdate]],O:P,2,0)</f>
        <v>0</v>
      </c>
      <c r="F107" s="84">
        <f ca="1">VLOOKUP(CurrentMtgRatesDataTable825[[#This Row],[asofdate]]+1,Bloomberg!B:C,2,0)</f>
        <v>1563.2</v>
      </c>
      <c r="I107" s="18">
        <v>42670</v>
      </c>
      <c r="J107" s="88">
        <v>0.69656005160000001</v>
      </c>
      <c r="K107" s="88">
        <f>VLOOKUP(CurrentMtgRatesDataTable82527141518[[#This Row],[asofdate]],O:P,2,0)</f>
        <v>0</v>
      </c>
      <c r="L107" s="88">
        <f>VLOOKUP(CurrentMtgRatesDataTable82527141518[[#This Row],[asofdate]],S:T,2,0)</f>
        <v>4.2344032000000004E-3</v>
      </c>
      <c r="M107" s="6">
        <f ca="1">VLOOKUP(CurrentMtgRatesDataTable82527141518[[#This Row],[asofdate]]+1,Bloomberg!B:C,2,0)</f>
        <v>1937.8</v>
      </c>
      <c r="N107" s="6"/>
      <c r="O107" s="18">
        <v>42642</v>
      </c>
      <c r="P107" s="88">
        <v>2.3667114000000002E-3</v>
      </c>
      <c r="Q107" s="101"/>
      <c r="R107" s="101"/>
      <c r="S107" s="18">
        <v>42606</v>
      </c>
      <c r="T107" s="88">
        <v>0.39574476260000002</v>
      </c>
      <c r="V107"/>
    </row>
    <row r="108" spans="2:22">
      <c r="B108" s="82">
        <v>41949</v>
      </c>
      <c r="C108" s="83">
        <v>0.52046110349999997</v>
      </c>
      <c r="D108" s="83">
        <f>VLOOKUP(CurrentMtgRatesDataTable825[[#This Row],[asofdate]],I:J,2,0)</f>
        <v>0.4848394103</v>
      </c>
      <c r="E108" s="83">
        <f>VLOOKUP(CurrentMtgRatesDataTable825[[#This Row],[asofdate]],O:P,2,0)</f>
        <v>0</v>
      </c>
      <c r="F108" s="84">
        <f ca="1">VLOOKUP(CurrentMtgRatesDataTable825[[#This Row],[asofdate]]+1,Bloomberg!B:C,2,0)</f>
        <v>1565.3</v>
      </c>
      <c r="I108" s="18">
        <v>42663</v>
      </c>
      <c r="J108" s="88">
        <v>0.68103409550000005</v>
      </c>
      <c r="K108" s="88">
        <f>VLOOKUP(CurrentMtgRatesDataTable82527141518[[#This Row],[asofdate]],O:P,2,0)</f>
        <v>0</v>
      </c>
      <c r="L108" s="88">
        <f>VLOOKUP(CurrentMtgRatesDataTable82527141518[[#This Row],[asofdate]],S:T,2,0)</f>
        <v>2.0252616999999998E-3</v>
      </c>
      <c r="M108" s="6">
        <f ca="1">VLOOKUP(CurrentMtgRatesDataTable82527141518[[#This Row],[asofdate]]+1,Bloomberg!B:C,2,0)</f>
        <v>1972.5</v>
      </c>
      <c r="N108" s="6"/>
      <c r="O108" s="18">
        <v>42635</v>
      </c>
      <c r="P108" s="88">
        <v>0</v>
      </c>
      <c r="Q108" s="101"/>
      <c r="R108" s="101"/>
      <c r="S108" s="18">
        <v>42600</v>
      </c>
      <c r="T108" s="88">
        <v>0.40906577170000002</v>
      </c>
      <c r="V108"/>
    </row>
    <row r="109" spans="2:22">
      <c r="B109" s="82">
        <v>41942</v>
      </c>
      <c r="C109" s="83">
        <v>0.55654596300000003</v>
      </c>
      <c r="D109" s="83">
        <f>VLOOKUP(CurrentMtgRatesDataTable825[[#This Row],[asofdate]],I:J,2,0)</f>
        <v>0.51332521600000003</v>
      </c>
      <c r="E109" s="83">
        <f>VLOOKUP(CurrentMtgRatesDataTable825[[#This Row],[asofdate]],O:P,2,0)</f>
        <v>0</v>
      </c>
      <c r="F109" s="84">
        <f ca="1">VLOOKUP(CurrentMtgRatesDataTable825[[#This Row],[asofdate]]+1,Bloomberg!B:C,2,0)</f>
        <v>1604.8</v>
      </c>
      <c r="I109" s="18">
        <v>42656</v>
      </c>
      <c r="J109" s="88">
        <v>0.69656005160000001</v>
      </c>
      <c r="K109" s="88">
        <f>VLOOKUP(CurrentMtgRatesDataTable82527141518[[#This Row],[asofdate]],O:P,2,0)</f>
        <v>0</v>
      </c>
      <c r="L109" s="88">
        <f>VLOOKUP(CurrentMtgRatesDataTable82527141518[[#This Row],[asofdate]],S:T,2,0)</f>
        <v>5.0343918000000003E-3</v>
      </c>
      <c r="M109" s="6">
        <f ca="1">VLOOKUP(CurrentMtgRatesDataTable82527141518[[#This Row],[asofdate]]+1,Bloomberg!B:C,2,0)</f>
        <v>2006.9</v>
      </c>
      <c r="N109" s="6"/>
      <c r="O109" s="18">
        <v>42628</v>
      </c>
      <c r="P109" s="88">
        <v>0</v>
      </c>
      <c r="Q109" s="101"/>
      <c r="R109" s="101"/>
      <c r="S109" s="18">
        <v>42593</v>
      </c>
      <c r="T109" s="88">
        <v>0.398519501</v>
      </c>
      <c r="V109"/>
    </row>
    <row r="110" spans="2:22">
      <c r="B110" s="82">
        <v>41935</v>
      </c>
      <c r="C110" s="83">
        <v>0.58478850640000002</v>
      </c>
      <c r="D110" s="83">
        <f>VLOOKUP(CurrentMtgRatesDataTable825[[#This Row],[asofdate]],I:J,2,0)</f>
        <v>0.54295058770000004</v>
      </c>
      <c r="E110" s="83">
        <f>VLOOKUP(CurrentMtgRatesDataTable825[[#This Row],[asofdate]],O:P,2,0)</f>
        <v>0.1067407335</v>
      </c>
      <c r="F110" s="84">
        <f ca="1">VLOOKUP(CurrentMtgRatesDataTable825[[#This Row],[asofdate]]+1,Bloomberg!B:C,2,0)</f>
        <v>1713.6</v>
      </c>
      <c r="I110" s="18">
        <v>42649</v>
      </c>
      <c r="J110" s="88">
        <v>0.73255988459999999</v>
      </c>
      <c r="K110" s="88">
        <f>VLOOKUP(CurrentMtgRatesDataTable82527141518[[#This Row],[asofdate]],O:P,2,0)</f>
        <v>0</v>
      </c>
      <c r="L110" s="88">
        <f>VLOOKUP(CurrentMtgRatesDataTable82527141518[[#This Row],[asofdate]],S:T,2,0)</f>
        <v>0.40546247959999998</v>
      </c>
      <c r="M110" s="6">
        <f ca="1">VLOOKUP(CurrentMtgRatesDataTable82527141518[[#This Row],[asofdate]]+1,Bloomberg!B:C,2,0)</f>
        <v>2075.9</v>
      </c>
      <c r="N110" s="6"/>
      <c r="O110" s="18">
        <v>42621</v>
      </c>
      <c r="P110" s="88">
        <v>0</v>
      </c>
      <c r="Q110" s="101"/>
      <c r="R110" s="101"/>
      <c r="S110" s="18">
        <v>42586</v>
      </c>
      <c r="T110" s="88">
        <v>0.410755869</v>
      </c>
      <c r="V110"/>
    </row>
    <row r="111" spans="2:22">
      <c r="B111" s="82">
        <v>41928</v>
      </c>
      <c r="C111" s="83">
        <v>0.56305944959999998</v>
      </c>
      <c r="D111" s="83">
        <f>VLOOKUP(CurrentMtgRatesDataTable825[[#This Row],[asofdate]],I:J,2,0)</f>
        <v>0.51925752069999997</v>
      </c>
      <c r="E111" s="83">
        <f>VLOOKUP(CurrentMtgRatesDataTable825[[#This Row],[asofdate]],O:P,2,0)</f>
        <v>9.0941540799999998E-2</v>
      </c>
      <c r="F111" s="84">
        <f ca="1">VLOOKUP(CurrentMtgRatesDataTable825[[#This Row],[asofdate]]+1,Bloomberg!B:C,2,0)</f>
        <v>1898.2</v>
      </c>
      <c r="I111" s="18">
        <v>42642</v>
      </c>
      <c r="J111" s="88">
        <v>0.74908598390000003</v>
      </c>
      <c r="K111" s="88">
        <f>VLOOKUP(CurrentMtgRatesDataTable82527141518[[#This Row],[asofdate]],O:P,2,0)</f>
        <v>2.3667114000000002E-3</v>
      </c>
      <c r="L111" s="88">
        <f>VLOOKUP(CurrentMtgRatesDataTable82527141518[[#This Row],[asofdate]],S:T,2,0)</f>
        <v>0.4169632331</v>
      </c>
      <c r="M111" s="6">
        <f ca="1">VLOOKUP(CurrentMtgRatesDataTable82527141518[[#This Row],[asofdate]]+1,Bloomberg!B:C,2,0)</f>
        <v>2301.9</v>
      </c>
      <c r="N111" s="6"/>
      <c r="O111" s="18">
        <v>42614</v>
      </c>
      <c r="P111" s="88">
        <v>0</v>
      </c>
      <c r="Q111" s="101"/>
      <c r="R111" s="101"/>
      <c r="S111" s="18">
        <v>42579</v>
      </c>
      <c r="T111" s="88">
        <v>0.38799957070000002</v>
      </c>
      <c r="V111"/>
    </row>
    <row r="112" spans="2:22">
      <c r="B112" s="82">
        <v>41921</v>
      </c>
      <c r="C112" s="83">
        <v>0.45280738259999997</v>
      </c>
      <c r="D112" s="83">
        <f>VLOOKUP(CurrentMtgRatesDataTable825[[#This Row],[asofdate]],I:J,2,0)</f>
        <v>0.42877989420000001</v>
      </c>
      <c r="E112" s="83">
        <f>VLOOKUP(CurrentMtgRatesDataTable825[[#This Row],[asofdate]],O:P,2,0)</f>
        <v>0</v>
      </c>
      <c r="F112" s="84">
        <f ca="1">VLOOKUP(CurrentMtgRatesDataTable825[[#This Row],[asofdate]]+1,Bloomberg!B:C,2,0)</f>
        <v>1560.6</v>
      </c>
      <c r="I112" s="18">
        <v>42635</v>
      </c>
      <c r="J112" s="88">
        <v>0.70692629240000004</v>
      </c>
      <c r="K112" s="88">
        <f>VLOOKUP(CurrentMtgRatesDataTable82527141518[[#This Row],[asofdate]],O:P,2,0)</f>
        <v>0</v>
      </c>
      <c r="L112" s="88">
        <f>VLOOKUP(CurrentMtgRatesDataTable82527141518[[#This Row],[asofdate]],S:T,2,0)</f>
        <v>2.9637528999999999E-3</v>
      </c>
      <c r="M112" s="6">
        <f ca="1">VLOOKUP(CurrentMtgRatesDataTable82527141518[[#This Row],[asofdate]]+1,Bloomberg!B:C,2,0)</f>
        <v>2170.3000000000002</v>
      </c>
      <c r="N112" s="6"/>
      <c r="O112" s="18">
        <v>42606</v>
      </c>
      <c r="P112" s="88">
        <v>0</v>
      </c>
      <c r="Q112" s="101"/>
      <c r="R112" s="101"/>
      <c r="S112" s="18">
        <v>42572</v>
      </c>
      <c r="T112" s="88">
        <v>0.40258376019999997</v>
      </c>
      <c r="V112"/>
    </row>
    <row r="113" spans="2:22">
      <c r="B113" s="82">
        <v>41914</v>
      </c>
      <c r="C113" s="83">
        <v>0.4272770092</v>
      </c>
      <c r="D113" s="83">
        <f>VLOOKUP(CurrentMtgRatesDataTable825[[#This Row],[asofdate]],I:J,2,0)</f>
        <v>0.40204481939999998</v>
      </c>
      <c r="E113" s="83">
        <f>VLOOKUP(CurrentMtgRatesDataTable825[[#This Row],[asofdate]],O:P,2,0)</f>
        <v>0</v>
      </c>
      <c r="F113" s="84">
        <f ca="1">VLOOKUP(CurrentMtgRatesDataTable825[[#This Row],[asofdate]]+1,Bloomberg!B:C,2,0)</f>
        <v>1387.1</v>
      </c>
      <c r="I113" s="18">
        <v>42628</v>
      </c>
      <c r="J113" s="88">
        <v>0.71121339630000002</v>
      </c>
      <c r="K113" s="88">
        <f>VLOOKUP(CurrentMtgRatesDataTable82527141518[[#This Row],[asofdate]],O:P,2,0)</f>
        <v>0</v>
      </c>
      <c r="L113" s="88">
        <f>VLOOKUP(CurrentMtgRatesDataTable82527141518[[#This Row],[asofdate]],S:T,2,0)</f>
        <v>0.3600573796</v>
      </c>
      <c r="M113" s="6">
        <f ca="1">VLOOKUP(CurrentMtgRatesDataTable82527141518[[#This Row],[asofdate]]+1,Bloomberg!B:C,2,0)</f>
        <v>2217.4</v>
      </c>
      <c r="N113" s="6"/>
      <c r="O113" s="18">
        <v>42600</v>
      </c>
      <c r="P113" s="88">
        <v>0</v>
      </c>
      <c r="Q113" s="101"/>
      <c r="R113" s="101"/>
      <c r="S113" s="18">
        <v>42565</v>
      </c>
      <c r="T113" s="88">
        <v>0.42414991569999999</v>
      </c>
      <c r="V113"/>
    </row>
    <row r="114" spans="2:22">
      <c r="B114" s="82">
        <v>41907</v>
      </c>
      <c r="C114" s="83">
        <v>0.42206701070000002</v>
      </c>
      <c r="D114" s="83">
        <f>VLOOKUP(CurrentMtgRatesDataTable825[[#This Row],[asofdate]],I:J,2,0)</f>
        <v>0.38946480909999998</v>
      </c>
      <c r="E114" s="83">
        <f>VLOOKUP(CurrentMtgRatesDataTable825[[#This Row],[asofdate]],O:P,2,0)</f>
        <v>0</v>
      </c>
      <c r="F114" s="84">
        <f ca="1">VLOOKUP(CurrentMtgRatesDataTable825[[#This Row],[asofdate]]+1,Bloomberg!B:C,2,0)</f>
        <v>1326.2</v>
      </c>
      <c r="I114" s="18">
        <v>42621</v>
      </c>
      <c r="J114" s="88">
        <v>0.72924696990000004</v>
      </c>
      <c r="K114" s="88">
        <f>VLOOKUP(CurrentMtgRatesDataTable82527141518[[#This Row],[asofdate]],O:P,2,0)</f>
        <v>0</v>
      </c>
      <c r="L114" s="88">
        <f>VLOOKUP(CurrentMtgRatesDataTable82527141518[[#This Row],[asofdate]],S:T,2,0)</f>
        <v>0.38676437499999999</v>
      </c>
      <c r="M114" s="6">
        <f ca="1">VLOOKUP(CurrentMtgRatesDataTable82527141518[[#This Row],[asofdate]]+1,Bloomberg!B:C,2,0)</f>
        <v>2424.5</v>
      </c>
      <c r="N114" s="6"/>
      <c r="O114" s="18">
        <v>42593</v>
      </c>
      <c r="P114" s="88">
        <v>0</v>
      </c>
      <c r="Q114" s="101"/>
      <c r="R114" s="101"/>
      <c r="S114" s="18">
        <v>42558</v>
      </c>
      <c r="T114" s="88">
        <v>0.78196125989999998</v>
      </c>
      <c r="V114"/>
    </row>
    <row r="115" spans="2:22">
      <c r="B115" s="82">
        <v>41900</v>
      </c>
      <c r="C115" s="83">
        <v>0.41612475189999998</v>
      </c>
      <c r="D115" s="83">
        <f>VLOOKUP(CurrentMtgRatesDataTable825[[#This Row],[asofdate]],I:J,2,0)</f>
        <v>0.3756230418</v>
      </c>
      <c r="E115" s="83">
        <f>VLOOKUP(CurrentMtgRatesDataTable825[[#This Row],[asofdate]],O:P,2,0)</f>
        <v>0</v>
      </c>
      <c r="F115" s="84">
        <f ca="1">VLOOKUP(CurrentMtgRatesDataTable825[[#This Row],[asofdate]]+1,Bloomberg!B:C,2,0)</f>
        <v>1335.1</v>
      </c>
      <c r="I115" s="18">
        <v>42614</v>
      </c>
      <c r="J115" s="88">
        <v>0.73132982150000003</v>
      </c>
      <c r="K115" s="88">
        <f>VLOOKUP(CurrentMtgRatesDataTable82527141518[[#This Row],[asofdate]],O:P,2,0)</f>
        <v>0</v>
      </c>
      <c r="L115" s="88">
        <f>VLOOKUP(CurrentMtgRatesDataTable82527141518[[#This Row],[asofdate]],S:T,2,0)</f>
        <v>0.39018724980000002</v>
      </c>
      <c r="M115" s="6">
        <f ca="1">VLOOKUP(CurrentMtgRatesDataTable82527141518[[#This Row],[asofdate]]+1,Bloomberg!B:C,2,0)</f>
        <v>2382.1999999999998</v>
      </c>
      <c r="N115" s="6"/>
      <c r="O115" s="18">
        <v>42586</v>
      </c>
      <c r="P115" s="88">
        <v>0</v>
      </c>
      <c r="Q115" s="101"/>
      <c r="R115" s="101"/>
      <c r="S115" s="18">
        <v>42551</v>
      </c>
      <c r="T115" s="88">
        <v>0.38767394170000002</v>
      </c>
      <c r="V115"/>
    </row>
    <row r="116" spans="2:22">
      <c r="B116" s="82">
        <v>41893</v>
      </c>
      <c r="C116" s="83">
        <v>0.4603927558</v>
      </c>
      <c r="D116" s="83">
        <f>VLOOKUP(CurrentMtgRatesDataTable825[[#This Row],[asofdate]],I:J,2,0)</f>
        <v>0.43596182500000003</v>
      </c>
      <c r="E116" s="83">
        <f>VLOOKUP(CurrentMtgRatesDataTable825[[#This Row],[asofdate]],O:P,2,0)</f>
        <v>0</v>
      </c>
      <c r="F116" s="84">
        <f ca="1">VLOOKUP(CurrentMtgRatesDataTable825[[#This Row],[asofdate]]+1,Bloomberg!B:C,2,0)</f>
        <v>1398.4</v>
      </c>
      <c r="I116" s="18">
        <v>42606</v>
      </c>
      <c r="J116" s="88">
        <v>0.74897725719999997</v>
      </c>
      <c r="K116" s="88">
        <f>VLOOKUP(CurrentMtgRatesDataTable82527141518[[#This Row],[asofdate]],O:P,2,0)</f>
        <v>0</v>
      </c>
      <c r="L116" s="88">
        <f>VLOOKUP(CurrentMtgRatesDataTable82527141518[[#This Row],[asofdate]],S:T,2,0)</f>
        <v>0.39574476260000002</v>
      </c>
      <c r="M116" s="6">
        <f ca="1">VLOOKUP(CurrentMtgRatesDataTable82527141518[[#This Row],[asofdate]]+1,Bloomberg!B:C,2,0)</f>
        <v>2329.9</v>
      </c>
      <c r="N116" s="6"/>
      <c r="O116" s="18">
        <v>42579</v>
      </c>
      <c r="P116" s="88">
        <v>0</v>
      </c>
      <c r="Q116" s="101"/>
      <c r="R116" s="101"/>
      <c r="S116" s="18">
        <v>42544</v>
      </c>
      <c r="T116" s="88">
        <v>0.32925974279999998</v>
      </c>
      <c r="V116"/>
    </row>
    <row r="117" spans="2:22">
      <c r="B117" s="82">
        <v>41886</v>
      </c>
      <c r="C117" s="83">
        <v>0.47501733540000002</v>
      </c>
      <c r="D117" s="83">
        <f>VLOOKUP(CurrentMtgRatesDataTable825[[#This Row],[asofdate]],I:J,2,0)</f>
        <v>0.44900036679999999</v>
      </c>
      <c r="E117" s="83">
        <f>VLOOKUP(CurrentMtgRatesDataTable825[[#This Row],[asofdate]],O:P,2,0)</f>
        <v>0</v>
      </c>
      <c r="F117" s="84">
        <f ca="1">VLOOKUP(CurrentMtgRatesDataTable825[[#This Row],[asofdate]]+1,Bloomberg!B:C,2,0)</f>
        <v>1275.8</v>
      </c>
      <c r="I117" s="18">
        <v>42600</v>
      </c>
      <c r="J117" s="88">
        <v>0.7593242724</v>
      </c>
      <c r="K117" s="88">
        <f>VLOOKUP(CurrentMtgRatesDataTable82527141518[[#This Row],[asofdate]],O:P,2,0)</f>
        <v>0</v>
      </c>
      <c r="L117" s="88">
        <f>VLOOKUP(CurrentMtgRatesDataTable82527141518[[#This Row],[asofdate]],S:T,2,0)</f>
        <v>0.40906577170000002</v>
      </c>
      <c r="M117" s="6">
        <f ca="1">VLOOKUP(CurrentMtgRatesDataTable82527141518[[#This Row],[asofdate]]+1,Bloomberg!B:C,2,0)</f>
        <v>2296.5</v>
      </c>
      <c r="N117" s="6"/>
      <c r="O117" s="18">
        <v>42572</v>
      </c>
      <c r="P117" s="88">
        <v>0</v>
      </c>
      <c r="Q117" s="101"/>
      <c r="R117" s="101"/>
      <c r="S117" s="18">
        <v>42537</v>
      </c>
      <c r="T117" s="88">
        <v>0.36170338489999998</v>
      </c>
      <c r="V117"/>
    </row>
    <row r="118" spans="2:22">
      <c r="B118" s="82">
        <v>41879</v>
      </c>
      <c r="C118" s="83">
        <v>0.47917420760000007</v>
      </c>
      <c r="D118" s="83">
        <f>VLOOKUP(CurrentMtgRatesDataTable825[[#This Row],[asofdate]],I:J,2,0)</f>
        <v>0.45591843170000002</v>
      </c>
      <c r="E118" s="83">
        <f>VLOOKUP(CurrentMtgRatesDataTable825[[#This Row],[asofdate]],O:P,2,0)</f>
        <v>0</v>
      </c>
      <c r="F118" s="84">
        <f ca="1">VLOOKUP(CurrentMtgRatesDataTable825[[#This Row],[asofdate]]+1,Bloomberg!B:C,2,0)</f>
        <v>1436</v>
      </c>
      <c r="I118" s="18">
        <v>42593</v>
      </c>
      <c r="J118" s="88">
        <v>0.75198333319999999</v>
      </c>
      <c r="K118" s="88">
        <f>VLOOKUP(CurrentMtgRatesDataTable82527141518[[#This Row],[asofdate]],O:P,2,0)</f>
        <v>0</v>
      </c>
      <c r="L118" s="88">
        <f>VLOOKUP(CurrentMtgRatesDataTable82527141518[[#This Row],[asofdate]],S:T,2,0)</f>
        <v>0.398519501</v>
      </c>
      <c r="M118" s="6">
        <f ca="1">VLOOKUP(CurrentMtgRatesDataTable82527141518[[#This Row],[asofdate]]+1,Bloomberg!B:C,2,0)</f>
        <v>2302.4</v>
      </c>
      <c r="N118" s="6"/>
      <c r="O118" s="18">
        <v>42565</v>
      </c>
      <c r="P118" s="88">
        <v>0</v>
      </c>
      <c r="Q118" s="101"/>
      <c r="R118" s="101"/>
      <c r="S118" s="18">
        <v>42530</v>
      </c>
      <c r="T118" s="88">
        <v>0.31918544409999999</v>
      </c>
      <c r="V118"/>
    </row>
    <row r="119" spans="2:22">
      <c r="B119" s="82">
        <v>41872</v>
      </c>
      <c r="C119" s="83">
        <v>0.47917420760000007</v>
      </c>
      <c r="D119" s="83">
        <f>VLOOKUP(CurrentMtgRatesDataTable825[[#This Row],[asofdate]],I:J,2,0)</f>
        <v>0.45591843170000002</v>
      </c>
      <c r="E119" s="83">
        <f>VLOOKUP(CurrentMtgRatesDataTable825[[#This Row],[asofdate]],O:P,2,0)</f>
        <v>5.6382015600000002E-2</v>
      </c>
      <c r="F119" s="84">
        <f ca="1">VLOOKUP(CurrentMtgRatesDataTable825[[#This Row],[asofdate]]+1,Bloomberg!B:C,2,0)</f>
        <v>1439.4</v>
      </c>
      <c r="I119" s="18">
        <v>42586</v>
      </c>
      <c r="J119" s="88">
        <v>0.7593242724</v>
      </c>
      <c r="K119" s="88">
        <f>VLOOKUP(CurrentMtgRatesDataTable82527141518[[#This Row],[asofdate]],O:P,2,0)</f>
        <v>0</v>
      </c>
      <c r="L119" s="88">
        <f>VLOOKUP(CurrentMtgRatesDataTable82527141518[[#This Row],[asofdate]],S:T,2,0)</f>
        <v>0.410755869</v>
      </c>
      <c r="M119" s="6">
        <f ca="1">VLOOKUP(CurrentMtgRatesDataTable82527141518[[#This Row],[asofdate]]+1,Bloomberg!B:C,2,0)</f>
        <v>2386.3000000000002</v>
      </c>
      <c r="N119" s="6"/>
      <c r="O119" s="18">
        <v>42558</v>
      </c>
      <c r="P119" s="88">
        <v>0.39575124179999999</v>
      </c>
      <c r="Q119" s="101"/>
      <c r="R119" s="101"/>
      <c r="S119" s="18">
        <v>42523</v>
      </c>
      <c r="T119" s="88">
        <v>8.4448169099999998E-2</v>
      </c>
      <c r="V119"/>
    </row>
    <row r="120" spans="2:22">
      <c r="B120" s="82">
        <v>41865</v>
      </c>
      <c r="C120" s="83">
        <v>0.45188748220000008</v>
      </c>
      <c r="D120" s="83">
        <f>VLOOKUP(CurrentMtgRatesDataTable825[[#This Row],[asofdate]],I:J,2,0)</f>
        <v>0.42798435280000002</v>
      </c>
      <c r="E120" s="83">
        <f>VLOOKUP(CurrentMtgRatesDataTable825[[#This Row],[asofdate]],O:P,2,0)</f>
        <v>0</v>
      </c>
      <c r="F120" s="84">
        <f ca="1">VLOOKUP(CurrentMtgRatesDataTable825[[#This Row],[asofdate]]+1,Bloomberg!B:C,2,0)</f>
        <v>1404.9</v>
      </c>
      <c r="I120" s="18">
        <v>42579</v>
      </c>
      <c r="J120" s="88">
        <v>0.74899178590000004</v>
      </c>
      <c r="K120" s="88">
        <f>VLOOKUP(CurrentMtgRatesDataTable82527141518[[#This Row],[asofdate]],O:P,2,0)</f>
        <v>0</v>
      </c>
      <c r="L120" s="88">
        <f>VLOOKUP(CurrentMtgRatesDataTable82527141518[[#This Row],[asofdate]],S:T,2,0)</f>
        <v>0.38799957070000002</v>
      </c>
      <c r="M120" s="6">
        <f ca="1">VLOOKUP(CurrentMtgRatesDataTable82527141518[[#This Row],[asofdate]]+1,Bloomberg!B:C,2,0)</f>
        <v>2254.9</v>
      </c>
      <c r="N120" s="6"/>
      <c r="O120" s="18">
        <v>42551</v>
      </c>
      <c r="P120" s="88">
        <v>0.37290090110000002</v>
      </c>
      <c r="Q120" s="101"/>
      <c r="R120" s="101"/>
      <c r="S120" s="18">
        <v>42516</v>
      </c>
      <c r="T120" s="88">
        <v>0.27158017379999999</v>
      </c>
      <c r="V120"/>
    </row>
    <row r="121" spans="2:22">
      <c r="B121" s="82">
        <v>41858</v>
      </c>
      <c r="C121" s="83">
        <v>0.43261818860000001</v>
      </c>
      <c r="D121" s="83">
        <f>VLOOKUP(CurrentMtgRatesDataTable825[[#This Row],[asofdate]],I:J,2,0)</f>
        <v>0.40236429289999998</v>
      </c>
      <c r="E121" s="83">
        <f>VLOOKUP(CurrentMtgRatesDataTable825[[#This Row],[asofdate]],O:P,2,0)</f>
        <v>0</v>
      </c>
      <c r="F121" s="84">
        <f ca="1">VLOOKUP(CurrentMtgRatesDataTable825[[#This Row],[asofdate]]+1,Bloomberg!B:C,2,0)</f>
        <v>1342.6</v>
      </c>
      <c r="I121" s="18">
        <v>42572</v>
      </c>
      <c r="J121" s="88">
        <v>0.7633497092</v>
      </c>
      <c r="K121" s="88">
        <f>VLOOKUP(CurrentMtgRatesDataTable82527141518[[#This Row],[asofdate]],O:P,2,0)</f>
        <v>0</v>
      </c>
      <c r="L121" s="88">
        <f>VLOOKUP(CurrentMtgRatesDataTable82527141518[[#This Row],[asofdate]],S:T,2,0)</f>
        <v>0.40258376019999997</v>
      </c>
      <c r="M121" s="6">
        <f ca="1">VLOOKUP(CurrentMtgRatesDataTable82527141518[[#This Row],[asofdate]]+1,Bloomberg!B:C,2,0)</f>
        <v>2333.1999999999998</v>
      </c>
      <c r="N121" s="6"/>
      <c r="O121" s="18">
        <v>42544</v>
      </c>
      <c r="P121" s="88">
        <v>0</v>
      </c>
      <c r="Q121" s="101"/>
      <c r="R121" s="101"/>
      <c r="S121" s="18">
        <v>42509</v>
      </c>
      <c r="T121" s="88">
        <v>0.30644693740000001</v>
      </c>
      <c r="V121"/>
    </row>
    <row r="122" spans="2:22">
      <c r="B122" s="82">
        <v>41851</v>
      </c>
      <c r="C122" s="83">
        <v>0.45832464029999997</v>
      </c>
      <c r="D122" s="83">
        <f>VLOOKUP(CurrentMtgRatesDataTable825[[#This Row],[asofdate]],I:J,2,0)</f>
        <v>0.43438894760000002</v>
      </c>
      <c r="E122" s="83">
        <f>VLOOKUP(CurrentMtgRatesDataTable825[[#This Row],[asofdate]],O:P,2,0)</f>
        <v>0</v>
      </c>
      <c r="F122" s="84">
        <f ca="1">VLOOKUP(CurrentMtgRatesDataTable825[[#This Row],[asofdate]]+1,Bloomberg!B:C,2,0)</f>
        <v>1373.9</v>
      </c>
      <c r="I122" s="18">
        <v>42565</v>
      </c>
      <c r="J122" s="88">
        <v>0.7752705017</v>
      </c>
      <c r="K122" s="88">
        <f>VLOOKUP(CurrentMtgRatesDataTable82527141518[[#This Row],[asofdate]],O:P,2,0)</f>
        <v>0</v>
      </c>
      <c r="L122" s="88">
        <f>VLOOKUP(CurrentMtgRatesDataTable82527141518[[#This Row],[asofdate]],S:T,2,0)</f>
        <v>0.42414991569999999</v>
      </c>
      <c r="M122" s="6">
        <f ca="1">VLOOKUP(CurrentMtgRatesDataTable82527141518[[#This Row],[asofdate]]+1,Bloomberg!B:C,2,0)</f>
        <v>2783.1</v>
      </c>
      <c r="N122" s="6"/>
      <c r="O122" s="18">
        <v>42537</v>
      </c>
      <c r="P122" s="88">
        <v>0.35031567409999997</v>
      </c>
      <c r="Q122" s="101"/>
      <c r="R122" s="101"/>
      <c r="S122" s="18">
        <v>42502</v>
      </c>
      <c r="T122" s="88">
        <v>0.33980352229999999</v>
      </c>
      <c r="V122"/>
    </row>
    <row r="123" spans="2:22">
      <c r="B123" s="82">
        <v>41844</v>
      </c>
      <c r="C123" s="83">
        <v>0.45300038799999998</v>
      </c>
      <c r="D123" s="83">
        <f>VLOOKUP(CurrentMtgRatesDataTable825[[#This Row],[asofdate]],I:J,2,0)</f>
        <v>0.42889808010000002</v>
      </c>
      <c r="E123" s="83">
        <f>VLOOKUP(CurrentMtgRatesDataTable825[[#This Row],[asofdate]],O:P,2,0)</f>
        <v>0</v>
      </c>
      <c r="F123" s="84">
        <f ca="1">VLOOKUP(CurrentMtgRatesDataTable825[[#This Row],[asofdate]]+1,Bloomberg!B:C,2,0)</f>
        <v>1327.5</v>
      </c>
      <c r="I123" s="18">
        <v>42558</v>
      </c>
      <c r="J123" s="88">
        <v>0.78006753620000002</v>
      </c>
      <c r="K123" s="88">
        <f>VLOOKUP(CurrentMtgRatesDataTable82527141518[[#This Row],[asofdate]],O:P,2,0)</f>
        <v>0.39575124179999999</v>
      </c>
      <c r="L123" s="88">
        <f>VLOOKUP(CurrentMtgRatesDataTable82527141518[[#This Row],[asofdate]],S:T,2,0)</f>
        <v>0.78196125989999998</v>
      </c>
      <c r="M123" s="6">
        <f ca="1">VLOOKUP(CurrentMtgRatesDataTable82527141518[[#This Row],[asofdate]]+1,Bloomberg!B:C,2,0)</f>
        <v>2771.6</v>
      </c>
      <c r="N123" s="6"/>
      <c r="O123" s="18">
        <v>42530</v>
      </c>
      <c r="P123" s="88">
        <v>0</v>
      </c>
      <c r="Q123" s="101"/>
      <c r="R123" s="101"/>
      <c r="S123" s="18">
        <v>42495</v>
      </c>
      <c r="T123" s="88">
        <v>0.28077464060000001</v>
      </c>
      <c r="V123"/>
    </row>
    <row r="124" spans="2:22">
      <c r="B124" s="82">
        <v>41837</v>
      </c>
      <c r="C124" s="83">
        <v>0.45300038799999998</v>
      </c>
      <c r="D124" s="83">
        <f>VLOOKUP(CurrentMtgRatesDataTable825[[#This Row],[asofdate]],I:J,2,0)</f>
        <v>0.42889808010000002</v>
      </c>
      <c r="E124" s="83">
        <f>VLOOKUP(CurrentMtgRatesDataTable825[[#This Row],[asofdate]],O:P,2,0)</f>
        <v>0</v>
      </c>
      <c r="F124" s="84">
        <f ca="1">VLOOKUP(CurrentMtgRatesDataTable825[[#This Row],[asofdate]]+1,Bloomberg!B:C,2,0)</f>
        <v>1400.7</v>
      </c>
      <c r="I124" s="18">
        <v>42551</v>
      </c>
      <c r="J124" s="88">
        <v>0.75833449649999995</v>
      </c>
      <c r="K124" s="88">
        <f>VLOOKUP(CurrentMtgRatesDataTable82527141518[[#This Row],[asofdate]],O:P,2,0)</f>
        <v>0.37290090110000002</v>
      </c>
      <c r="L124" s="88">
        <f>VLOOKUP(CurrentMtgRatesDataTable82527141518[[#This Row],[asofdate]],S:T,2,0)</f>
        <v>0.38767394170000002</v>
      </c>
      <c r="M124" s="6">
        <f ca="1">VLOOKUP(CurrentMtgRatesDataTable82527141518[[#This Row],[asofdate]]+1,Bloomberg!B:C,2,0)</f>
        <v>2474.3000000000002</v>
      </c>
      <c r="N124" s="6"/>
      <c r="O124" s="18">
        <v>42523</v>
      </c>
      <c r="P124" s="88">
        <v>0</v>
      </c>
      <c r="Q124" s="101"/>
      <c r="R124" s="101"/>
      <c r="S124" s="18">
        <v>42488</v>
      </c>
      <c r="T124" s="88">
        <v>4.62882867E-2</v>
      </c>
      <c r="V124"/>
    </row>
    <row r="125" spans="2:22">
      <c r="B125" s="82">
        <v>41830</v>
      </c>
      <c r="C125" s="83">
        <v>0.43581013750000003</v>
      </c>
      <c r="D125" s="83">
        <f>VLOOKUP(CurrentMtgRatesDataTable825[[#This Row],[asofdate]],I:J,2,0)</f>
        <v>0.40364873099999998</v>
      </c>
      <c r="E125" s="83">
        <f>VLOOKUP(CurrentMtgRatesDataTable825[[#This Row],[asofdate]],O:P,2,0)</f>
        <v>0</v>
      </c>
      <c r="F125" s="84">
        <f ca="1">VLOOKUP(CurrentMtgRatesDataTable825[[#This Row],[asofdate]]+1,Bloomberg!B:C,2,0)</f>
        <v>1329.7</v>
      </c>
      <c r="I125" s="18">
        <v>42544</v>
      </c>
      <c r="J125" s="88">
        <v>0.69211153680000004</v>
      </c>
      <c r="K125" s="88">
        <f>VLOOKUP(CurrentMtgRatesDataTable82527141518[[#This Row],[asofdate]],O:P,2,0)</f>
        <v>0</v>
      </c>
      <c r="L125" s="88">
        <f>VLOOKUP(CurrentMtgRatesDataTable82527141518[[#This Row],[asofdate]],S:T,2,0)</f>
        <v>0.32925974279999998</v>
      </c>
      <c r="M125" s="6">
        <f ca="1">VLOOKUP(CurrentMtgRatesDataTable82527141518[[#This Row],[asofdate]]+1,Bloomberg!B:C,2,0)</f>
        <v>2037</v>
      </c>
      <c r="N125" s="6"/>
      <c r="O125" s="18">
        <v>42516</v>
      </c>
      <c r="P125" s="88">
        <v>0</v>
      </c>
      <c r="Q125" s="101"/>
      <c r="R125" s="101"/>
      <c r="S125" s="18">
        <v>42481</v>
      </c>
      <c r="T125" s="88">
        <v>0.26416370960000002</v>
      </c>
      <c r="V125"/>
    </row>
    <row r="126" spans="2:22">
      <c r="B126" s="82">
        <v>41823</v>
      </c>
      <c r="C126" s="83">
        <v>0.47300173340000007</v>
      </c>
      <c r="D126" s="83">
        <f>VLOOKUP(CurrentMtgRatesDataTable825[[#This Row],[asofdate]],I:J,2,0)</f>
        <v>0.44852017890000001</v>
      </c>
      <c r="E126" s="83">
        <f>VLOOKUP(CurrentMtgRatesDataTable825[[#This Row],[asofdate]],O:P,2,0)</f>
        <v>5.0225323500000002E-2</v>
      </c>
      <c r="F126" s="84">
        <f ca="1">VLOOKUP(CurrentMtgRatesDataTable825[[#This Row],[asofdate]]+1,Bloomberg!B:C,2,0)</f>
        <v>1346.8</v>
      </c>
      <c r="I126" s="18">
        <v>42537</v>
      </c>
      <c r="J126" s="88">
        <v>0.72701900929999996</v>
      </c>
      <c r="K126" s="88">
        <f>VLOOKUP(CurrentMtgRatesDataTable82527141518[[#This Row],[asofdate]],O:P,2,0)</f>
        <v>0.35031567409999997</v>
      </c>
      <c r="L126" s="88">
        <f>VLOOKUP(CurrentMtgRatesDataTable82527141518[[#This Row],[asofdate]],S:T,2,0)</f>
        <v>0.36170338489999998</v>
      </c>
      <c r="M126" s="6">
        <f ca="1">VLOOKUP(CurrentMtgRatesDataTable82527141518[[#This Row],[asofdate]]+1,Bloomberg!B:C,2,0)</f>
        <v>2081.1999999999998</v>
      </c>
      <c r="N126" s="6"/>
      <c r="O126" s="18">
        <v>42509</v>
      </c>
      <c r="P126" s="88">
        <v>0</v>
      </c>
      <c r="Q126" s="101"/>
      <c r="R126" s="101"/>
      <c r="S126" s="18">
        <v>42474</v>
      </c>
      <c r="T126" s="88">
        <v>0.28723288749999998</v>
      </c>
      <c r="V126"/>
    </row>
    <row r="127" spans="2:22">
      <c r="B127" s="82">
        <v>41816</v>
      </c>
      <c r="C127" s="83">
        <v>0.46249723409999999</v>
      </c>
      <c r="D127" s="83">
        <f>VLOOKUP(CurrentMtgRatesDataTable825[[#This Row],[asofdate]],I:J,2,0)</f>
        <v>0.44052877880000002</v>
      </c>
      <c r="E127" s="83">
        <f>VLOOKUP(CurrentMtgRatesDataTable825[[#This Row],[asofdate]],O:P,2,0)</f>
        <v>0</v>
      </c>
      <c r="F127" s="84">
        <f ca="1">VLOOKUP(CurrentMtgRatesDataTable825[[#This Row],[asofdate]]+1,Bloomberg!B:C,2,0)</f>
        <v>1341.8</v>
      </c>
      <c r="I127" s="18">
        <v>42530</v>
      </c>
      <c r="J127" s="88">
        <v>0.67929191759999996</v>
      </c>
      <c r="K127" s="88">
        <f>VLOOKUP(CurrentMtgRatesDataTable82527141518[[#This Row],[asofdate]],O:P,2,0)</f>
        <v>0</v>
      </c>
      <c r="L127" s="88">
        <f>VLOOKUP(CurrentMtgRatesDataTable82527141518[[#This Row],[asofdate]],S:T,2,0)</f>
        <v>0.31918544409999999</v>
      </c>
      <c r="M127" s="6">
        <f ca="1">VLOOKUP(CurrentMtgRatesDataTable82527141518[[#This Row],[asofdate]]+1,Bloomberg!B:C,2,0)</f>
        <v>1967.5</v>
      </c>
      <c r="N127" s="6"/>
      <c r="O127" s="18">
        <v>42502</v>
      </c>
      <c r="P127" s="88">
        <v>0.33007062529999998</v>
      </c>
      <c r="Q127" s="101"/>
      <c r="R127" s="101"/>
      <c r="S127" s="18">
        <v>42467</v>
      </c>
      <c r="T127" s="88">
        <v>0.28007581799999998</v>
      </c>
      <c r="V127"/>
    </row>
    <row r="128" spans="2:22">
      <c r="B128" s="82">
        <v>41809</v>
      </c>
      <c r="C128" s="83">
        <v>0.43961901780000001</v>
      </c>
      <c r="D128" s="83">
        <f>VLOOKUP(CurrentMtgRatesDataTable825[[#This Row],[asofdate]],I:J,2,0)</f>
        <v>0.41062004839999999</v>
      </c>
      <c r="E128" s="83">
        <f>VLOOKUP(CurrentMtgRatesDataTable825[[#This Row],[asofdate]],O:P,2,0)</f>
        <v>0</v>
      </c>
      <c r="F128" s="84">
        <f ca="1">VLOOKUP(CurrentMtgRatesDataTable825[[#This Row],[asofdate]]+1,Bloomberg!B:C,2,0)</f>
        <v>1333.5</v>
      </c>
      <c r="I128" s="18">
        <v>42523</v>
      </c>
      <c r="J128" s="88">
        <v>0.61361583630000005</v>
      </c>
      <c r="K128" s="88">
        <f>VLOOKUP(CurrentMtgRatesDataTable82527141518[[#This Row],[asofdate]],O:P,2,0)</f>
        <v>0</v>
      </c>
      <c r="L128" s="88">
        <f>VLOOKUP(CurrentMtgRatesDataTable82527141518[[#This Row],[asofdate]],S:T,2,0)</f>
        <v>8.4448169099999998E-2</v>
      </c>
      <c r="M128" s="6">
        <f ca="1">VLOOKUP(CurrentMtgRatesDataTable82527141518[[#This Row],[asofdate]]+1,Bloomberg!B:C,2,0)</f>
        <v>1922.8</v>
      </c>
      <c r="N128" s="6"/>
      <c r="O128" s="18">
        <v>42495</v>
      </c>
      <c r="P128" s="88">
        <v>0</v>
      </c>
      <c r="Q128" s="101"/>
      <c r="R128" s="101"/>
      <c r="S128" s="18">
        <v>42460</v>
      </c>
      <c r="T128" s="88">
        <v>3.7230127299999999E-2</v>
      </c>
      <c r="V128"/>
    </row>
    <row r="129" spans="2:22">
      <c r="B129" s="82">
        <v>41802</v>
      </c>
      <c r="C129" s="83">
        <v>0.4340808639</v>
      </c>
      <c r="D129" s="83">
        <f>VLOOKUP(CurrentMtgRatesDataTable825[[#This Row],[asofdate]],I:J,2,0)</f>
        <v>0.39654607469999997</v>
      </c>
      <c r="E129" s="83">
        <f>VLOOKUP(CurrentMtgRatesDataTable825[[#This Row],[asofdate]],O:P,2,0)</f>
        <v>0</v>
      </c>
      <c r="F129" s="84">
        <f ca="1">VLOOKUP(CurrentMtgRatesDataTable825[[#This Row],[asofdate]]+1,Bloomberg!B:C,2,0)</f>
        <v>1321.3</v>
      </c>
      <c r="I129" s="18">
        <v>42516</v>
      </c>
      <c r="J129" s="88">
        <v>0.64311608799999997</v>
      </c>
      <c r="K129" s="88">
        <f>VLOOKUP(CurrentMtgRatesDataTable82527141518[[#This Row],[asofdate]],O:P,2,0)</f>
        <v>0</v>
      </c>
      <c r="L129" s="88">
        <f>VLOOKUP(CurrentMtgRatesDataTable82527141518[[#This Row],[asofdate]],S:T,2,0)</f>
        <v>0.27158017379999999</v>
      </c>
      <c r="M129" s="6">
        <f ca="1">VLOOKUP(CurrentMtgRatesDataTable82527141518[[#This Row],[asofdate]]+1,Bloomberg!B:C,2,0)</f>
        <v>1770.1</v>
      </c>
      <c r="N129" s="6"/>
      <c r="O129" s="18">
        <v>42488</v>
      </c>
      <c r="P129" s="88">
        <v>0</v>
      </c>
      <c r="Q129" s="101"/>
      <c r="R129" s="101"/>
      <c r="S129" s="18">
        <v>42453</v>
      </c>
      <c r="T129" s="88">
        <v>3.9066185599999997E-2</v>
      </c>
      <c r="V129"/>
    </row>
    <row r="130" spans="2:22">
      <c r="B130" s="82">
        <v>41795</v>
      </c>
      <c r="C130" s="83">
        <v>0.46249723409999999</v>
      </c>
      <c r="D130" s="83">
        <f>VLOOKUP(CurrentMtgRatesDataTable825[[#This Row],[asofdate]],I:J,2,0)</f>
        <v>0.44052877880000002</v>
      </c>
      <c r="E130" s="83">
        <f>VLOOKUP(CurrentMtgRatesDataTable825[[#This Row],[asofdate]],O:P,2,0)</f>
        <v>4.1968812299999998E-2</v>
      </c>
      <c r="F130" s="84">
        <f ca="1">VLOOKUP(CurrentMtgRatesDataTable825[[#This Row],[asofdate]]+1,Bloomberg!B:C,2,0)</f>
        <v>1516.9</v>
      </c>
      <c r="I130" s="18">
        <v>42509</v>
      </c>
      <c r="J130" s="88">
        <v>0.67832950000000003</v>
      </c>
      <c r="K130" s="88">
        <f>VLOOKUP(CurrentMtgRatesDataTable82527141518[[#This Row],[asofdate]],O:P,2,0)</f>
        <v>0</v>
      </c>
      <c r="L130" s="88">
        <f>VLOOKUP(CurrentMtgRatesDataTable82527141518[[#This Row],[asofdate]],S:T,2,0)</f>
        <v>0.30644693740000001</v>
      </c>
      <c r="M130" s="6">
        <f ca="1">VLOOKUP(CurrentMtgRatesDataTable82527141518[[#This Row],[asofdate]]+1,Bloomberg!B:C,2,0)</f>
        <v>1866.3</v>
      </c>
      <c r="N130" s="6"/>
      <c r="O130" s="18">
        <v>42481</v>
      </c>
      <c r="P130" s="88">
        <v>0</v>
      </c>
      <c r="Q130" s="101"/>
      <c r="R130" s="101"/>
      <c r="S130" s="18">
        <v>42446</v>
      </c>
      <c r="T130" s="88">
        <v>2.8685484099999999E-2</v>
      </c>
      <c r="V130"/>
    </row>
    <row r="131" spans="2:22">
      <c r="B131" s="82">
        <v>41788</v>
      </c>
      <c r="C131" s="83">
        <v>0.4603570615</v>
      </c>
      <c r="D131" s="83">
        <f>VLOOKUP(CurrentMtgRatesDataTable825[[#This Row],[asofdate]],I:J,2,0)</f>
        <v>0.43809869820000003</v>
      </c>
      <c r="E131" s="83">
        <f>VLOOKUP(CurrentMtgRatesDataTable825[[#This Row],[asofdate]],O:P,2,0)</f>
        <v>3.7512081500000002E-2</v>
      </c>
      <c r="F131" s="84">
        <f ca="1">VLOOKUP(CurrentMtgRatesDataTable825[[#This Row],[asofdate]]+1,Bloomberg!B:C,2,0)</f>
        <v>1382.6</v>
      </c>
      <c r="I131" s="18">
        <v>42502</v>
      </c>
      <c r="J131" s="88">
        <v>0.71380323440000004</v>
      </c>
      <c r="K131" s="88">
        <f>VLOOKUP(CurrentMtgRatesDataTable82527141518[[#This Row],[asofdate]],O:P,2,0)</f>
        <v>0.33007062529999998</v>
      </c>
      <c r="L131" s="88">
        <f>VLOOKUP(CurrentMtgRatesDataTable82527141518[[#This Row],[asofdate]],S:T,2,0)</f>
        <v>0.33980352229999999</v>
      </c>
      <c r="M131" s="6">
        <f ca="1">VLOOKUP(CurrentMtgRatesDataTable82527141518[[#This Row],[asofdate]]+1,Bloomberg!B:C,2,0)</f>
        <v>1849.7</v>
      </c>
      <c r="N131" s="6"/>
      <c r="O131" s="18">
        <v>42474</v>
      </c>
      <c r="P131" s="88">
        <v>0.2788781783</v>
      </c>
      <c r="Q131" s="101"/>
      <c r="R131" s="101"/>
      <c r="S131" s="18">
        <v>42439</v>
      </c>
      <c r="T131" s="88">
        <v>0.22123234250000001</v>
      </c>
      <c r="V131"/>
    </row>
    <row r="132" spans="2:22">
      <c r="B132" s="82">
        <v>41781</v>
      </c>
      <c r="C132" s="83">
        <v>0.45250652359999999</v>
      </c>
      <c r="D132" s="83">
        <f>VLOOKUP(CurrentMtgRatesDataTable825[[#This Row],[asofdate]],I:J,2,0)</f>
        <v>0.42775616290000001</v>
      </c>
      <c r="E132" s="83">
        <f>VLOOKUP(CurrentMtgRatesDataTable825[[#This Row],[asofdate]],O:P,2,0)</f>
        <v>1.6812280499999999E-2</v>
      </c>
      <c r="F132" s="84">
        <f ca="1">VLOOKUP(CurrentMtgRatesDataTable825[[#This Row],[asofdate]]+1,Bloomberg!B:C,2,0)</f>
        <v>1453.4</v>
      </c>
      <c r="I132" s="18">
        <v>42495</v>
      </c>
      <c r="J132" s="88">
        <v>0.64752859969999998</v>
      </c>
      <c r="K132" s="88">
        <f>VLOOKUP(CurrentMtgRatesDataTable82527141518[[#This Row],[asofdate]],O:P,2,0)</f>
        <v>0</v>
      </c>
      <c r="L132" s="88">
        <f>VLOOKUP(CurrentMtgRatesDataTable82527141518[[#This Row],[asofdate]],S:T,2,0)</f>
        <v>0.28077464060000001</v>
      </c>
      <c r="M132" s="6">
        <f ca="1">VLOOKUP(CurrentMtgRatesDataTable82527141518[[#This Row],[asofdate]]+1,Bloomberg!B:C,2,0)</f>
        <v>1812</v>
      </c>
      <c r="N132" s="6"/>
      <c r="O132" s="18">
        <v>42467</v>
      </c>
      <c r="P132" s="88">
        <v>0.27253231280000001</v>
      </c>
      <c r="Q132" s="101"/>
      <c r="R132" s="101"/>
      <c r="S132" s="18">
        <v>42432</v>
      </c>
      <c r="T132" s="88">
        <v>0.24462782150000001</v>
      </c>
      <c r="V132"/>
    </row>
    <row r="133" spans="2:22">
      <c r="B133" s="82">
        <v>41774</v>
      </c>
      <c r="C133" s="83">
        <v>0.4365815019</v>
      </c>
      <c r="D133" s="83">
        <f>VLOOKUP(CurrentMtgRatesDataTable825[[#This Row],[asofdate]],I:J,2,0)</f>
        <v>0.39909263750000001</v>
      </c>
      <c r="E133" s="83">
        <f>VLOOKUP(CurrentMtgRatesDataTable825[[#This Row],[asofdate]],O:P,2,0)</f>
        <v>1.29267215E-2</v>
      </c>
      <c r="F133" s="84">
        <f ca="1">VLOOKUP(CurrentMtgRatesDataTable825[[#This Row],[asofdate]]+1,Bloomberg!B:C,2,0)</f>
        <v>1460.6</v>
      </c>
      <c r="I133" s="18">
        <v>42488</v>
      </c>
      <c r="J133" s="88">
        <v>0.56515105990000003</v>
      </c>
      <c r="K133" s="88">
        <f>VLOOKUP(CurrentMtgRatesDataTable82527141518[[#This Row],[asofdate]],O:P,2,0)</f>
        <v>0</v>
      </c>
      <c r="L133" s="88">
        <f>VLOOKUP(CurrentMtgRatesDataTable82527141518[[#This Row],[asofdate]],S:T,2,0)</f>
        <v>4.62882867E-2</v>
      </c>
      <c r="M133" s="6">
        <f ca="1">VLOOKUP(CurrentMtgRatesDataTable82527141518[[#This Row],[asofdate]]+1,Bloomberg!B:C,2,0)</f>
        <v>1791.9</v>
      </c>
      <c r="N133" s="6"/>
      <c r="O133" s="18">
        <v>42460</v>
      </c>
      <c r="P133" s="88">
        <v>0</v>
      </c>
      <c r="Q133" s="101"/>
      <c r="R133" s="101"/>
      <c r="S133" s="18">
        <v>42425</v>
      </c>
      <c r="T133" s="88">
        <v>0.24141967689999999</v>
      </c>
      <c r="V133"/>
    </row>
    <row r="134" spans="2:22">
      <c r="B134" s="82">
        <v>41767</v>
      </c>
      <c r="C134" s="83">
        <v>0.4351546436</v>
      </c>
      <c r="D134" s="83">
        <f>VLOOKUP(CurrentMtgRatesDataTable825[[#This Row],[asofdate]],I:J,2,0)</f>
        <v>0.39567978650000002</v>
      </c>
      <c r="E134" s="83">
        <f>VLOOKUP(CurrentMtgRatesDataTable825[[#This Row],[asofdate]],O:P,2,0)</f>
        <v>1.0366637499999999E-2</v>
      </c>
      <c r="F134" s="84">
        <f ca="1">VLOOKUP(CurrentMtgRatesDataTable825[[#This Row],[asofdate]]+1,Bloomberg!B:C,2,0)</f>
        <v>1400.9</v>
      </c>
      <c r="I134" s="18">
        <v>42481</v>
      </c>
      <c r="J134" s="88">
        <v>0.64500935260000003</v>
      </c>
      <c r="K134" s="88">
        <f>VLOOKUP(CurrentMtgRatesDataTable82527141518[[#This Row],[asofdate]],O:P,2,0)</f>
        <v>0</v>
      </c>
      <c r="L134" s="88">
        <f>VLOOKUP(CurrentMtgRatesDataTable82527141518[[#This Row],[asofdate]],S:T,2,0)</f>
        <v>0.26416370960000002</v>
      </c>
      <c r="M134" s="6">
        <f ca="1">VLOOKUP(CurrentMtgRatesDataTable82527141518[[#This Row],[asofdate]]+1,Bloomberg!B:C,2,0)</f>
        <v>1910.1</v>
      </c>
      <c r="N134" s="6"/>
      <c r="O134" s="18">
        <v>42453</v>
      </c>
      <c r="P134" s="88">
        <v>0</v>
      </c>
      <c r="Q134" s="101"/>
      <c r="R134" s="101"/>
      <c r="S134" s="18">
        <v>42418</v>
      </c>
      <c r="T134" s="88">
        <v>0.23731871830000001</v>
      </c>
      <c r="V134"/>
    </row>
    <row r="135" spans="2:22">
      <c r="B135" s="82">
        <v>41760</v>
      </c>
      <c r="C135" s="83">
        <v>0.41818183310000001</v>
      </c>
      <c r="D135" s="83">
        <f>VLOOKUP(CurrentMtgRatesDataTable825[[#This Row],[asofdate]],I:J,2,0)</f>
        <v>0.36147964030000002</v>
      </c>
      <c r="E135" s="83">
        <f>VLOOKUP(CurrentMtgRatesDataTable825[[#This Row],[asofdate]],O:P,2,0)</f>
        <v>0</v>
      </c>
      <c r="F135" s="84">
        <f ca="1">VLOOKUP(CurrentMtgRatesDataTable825[[#This Row],[asofdate]]+1,Bloomberg!B:C,2,0)</f>
        <v>1323.9</v>
      </c>
      <c r="I135" s="18">
        <v>42474</v>
      </c>
      <c r="J135" s="88">
        <v>0.68040202120000004</v>
      </c>
      <c r="K135" s="88">
        <f>VLOOKUP(CurrentMtgRatesDataTable82527141518[[#This Row],[asofdate]],O:P,2,0)</f>
        <v>0.2788781783</v>
      </c>
      <c r="L135" s="88">
        <f>VLOOKUP(CurrentMtgRatesDataTable82527141518[[#This Row],[asofdate]],S:T,2,0)</f>
        <v>0.28723288749999998</v>
      </c>
      <c r="M135" s="6">
        <f ca="1">VLOOKUP(CurrentMtgRatesDataTable82527141518[[#This Row],[asofdate]]+1,Bloomberg!B:C,2,0)</f>
        <v>2072.6</v>
      </c>
      <c r="N135" s="6"/>
      <c r="O135" s="18">
        <v>42446</v>
      </c>
      <c r="P135" s="88">
        <v>0</v>
      </c>
      <c r="Q135" s="101"/>
      <c r="R135" s="101"/>
      <c r="S135" s="18">
        <v>42411</v>
      </c>
      <c r="T135" s="88">
        <v>0.23788511640000004</v>
      </c>
      <c r="V135"/>
    </row>
    <row r="136" spans="2:22">
      <c r="B136" s="82">
        <v>41753</v>
      </c>
      <c r="C136" s="83">
        <v>0.41633136129999998</v>
      </c>
      <c r="D136" s="83">
        <f>VLOOKUP(CurrentMtgRatesDataTable825[[#This Row],[asofdate]],I:J,2,0)</f>
        <v>0.35925935930000003</v>
      </c>
      <c r="E136" s="83">
        <f>VLOOKUP(CurrentMtgRatesDataTable825[[#This Row],[asofdate]],O:P,2,0)</f>
        <v>0</v>
      </c>
      <c r="F136" s="84">
        <f ca="1">VLOOKUP(CurrentMtgRatesDataTable825[[#This Row],[asofdate]]+1,Bloomberg!B:C,2,0)</f>
        <v>1298.0999999999999</v>
      </c>
      <c r="I136" s="18">
        <v>42467</v>
      </c>
      <c r="J136" s="88">
        <v>0.67085801509999998</v>
      </c>
      <c r="K136" s="88">
        <f>VLOOKUP(CurrentMtgRatesDataTable82527141518[[#This Row],[asofdate]],O:P,2,0)</f>
        <v>0.27253231280000001</v>
      </c>
      <c r="L136" s="88">
        <f>VLOOKUP(CurrentMtgRatesDataTable82527141518[[#This Row],[asofdate]],S:T,2,0)</f>
        <v>0.28007581799999998</v>
      </c>
      <c r="M136" s="6">
        <f ca="1">VLOOKUP(CurrentMtgRatesDataTable82527141518[[#This Row],[asofdate]]+1,Bloomberg!B:C,2,0)</f>
        <v>2061.1</v>
      </c>
      <c r="N136" s="6"/>
      <c r="O136" s="18">
        <v>42439</v>
      </c>
      <c r="P136" s="88">
        <v>0</v>
      </c>
      <c r="Q136" s="101"/>
      <c r="R136" s="101"/>
      <c r="S136" s="18">
        <v>42404</v>
      </c>
      <c r="T136" s="88">
        <v>0.1920379116</v>
      </c>
      <c r="V136"/>
    </row>
    <row r="137" spans="2:22">
      <c r="B137" s="82">
        <v>41746</v>
      </c>
      <c r="C137" s="83">
        <v>0.42192053759999998</v>
      </c>
      <c r="D137" s="83">
        <f>VLOOKUP(CurrentMtgRatesDataTable825[[#This Row],[asofdate]],I:J,2,0)</f>
        <v>0.36804761009999998</v>
      </c>
      <c r="E137" s="83">
        <f>VLOOKUP(CurrentMtgRatesDataTable825[[#This Row],[asofdate]],O:P,2,0)</f>
        <v>7.6359979999999995E-4</v>
      </c>
      <c r="F137" s="84">
        <f ca="1">VLOOKUP(CurrentMtgRatesDataTable825[[#This Row],[asofdate]]+1,Bloomberg!B:C,2,0)</f>
        <v>1370.9</v>
      </c>
      <c r="I137" s="18">
        <v>42460</v>
      </c>
      <c r="J137" s="88">
        <v>0.55149474060000003</v>
      </c>
      <c r="K137" s="88">
        <f>VLOOKUP(CurrentMtgRatesDataTable82527141518[[#This Row],[asofdate]],O:P,2,0)</f>
        <v>0</v>
      </c>
      <c r="L137" s="88">
        <f>VLOOKUP(CurrentMtgRatesDataTable82527141518[[#This Row],[asofdate]],S:T,2,0)</f>
        <v>3.7230127299999999E-2</v>
      </c>
      <c r="M137" s="6">
        <f ca="1">VLOOKUP(CurrentMtgRatesDataTable82527141518[[#This Row],[asofdate]]+1,Bloomberg!B:C,2,0)</f>
        <v>1815.4</v>
      </c>
      <c r="N137" s="6"/>
      <c r="O137" s="18">
        <v>42432</v>
      </c>
      <c r="P137" s="88">
        <v>5.5801485800000002E-2</v>
      </c>
      <c r="Q137" s="101"/>
      <c r="R137" s="101"/>
      <c r="S137" s="18">
        <v>42397</v>
      </c>
      <c r="T137" s="88">
        <v>1.2975247800000001E-2</v>
      </c>
      <c r="V137"/>
    </row>
    <row r="138" spans="2:22">
      <c r="B138" s="82">
        <v>41739</v>
      </c>
      <c r="C138" s="83">
        <v>0.405089643</v>
      </c>
      <c r="D138" s="83">
        <f>VLOOKUP(CurrentMtgRatesDataTable825[[#This Row],[asofdate]],I:J,2,0)</f>
        <v>0.34892888589999999</v>
      </c>
      <c r="E138" s="83">
        <f>VLOOKUP(CurrentMtgRatesDataTable825[[#This Row],[asofdate]],O:P,2,0)</f>
        <v>0</v>
      </c>
      <c r="F138" s="84">
        <f ca="1">VLOOKUP(CurrentMtgRatesDataTable825[[#This Row],[asofdate]]+1,Bloomberg!B:C,2,0)</f>
        <v>1429.9</v>
      </c>
      <c r="I138" s="18">
        <v>42453</v>
      </c>
      <c r="J138" s="88">
        <v>0.55149474060000003</v>
      </c>
      <c r="K138" s="88">
        <f>VLOOKUP(CurrentMtgRatesDataTable82527141518[[#This Row],[asofdate]],O:P,2,0)</f>
        <v>0</v>
      </c>
      <c r="L138" s="88">
        <f>VLOOKUP(CurrentMtgRatesDataTable82527141518[[#This Row],[asofdate]],S:T,2,0)</f>
        <v>3.9066185599999997E-2</v>
      </c>
      <c r="M138" s="6">
        <f ca="1">VLOOKUP(CurrentMtgRatesDataTable82527141518[[#This Row],[asofdate]]+1,Bloomberg!B:C,2,0)</f>
        <v>1671.6</v>
      </c>
      <c r="N138" s="6"/>
      <c r="O138" s="18">
        <v>42425</v>
      </c>
      <c r="P138" s="88">
        <v>5.0858111800000001E-2</v>
      </c>
      <c r="Q138" s="101"/>
      <c r="R138" s="101"/>
      <c r="S138" s="18">
        <v>42390</v>
      </c>
      <c r="T138" s="88">
        <v>1.05298592E-2</v>
      </c>
      <c r="V138"/>
    </row>
    <row r="139" spans="2:22">
      <c r="B139" s="82">
        <v>41732</v>
      </c>
      <c r="C139" s="83">
        <v>0.36524447539999999</v>
      </c>
      <c r="D139" s="83">
        <f>VLOOKUP(CurrentMtgRatesDataTable825[[#This Row],[asofdate]],I:J,2,0)</f>
        <v>0.32289856220000002</v>
      </c>
      <c r="E139" s="83">
        <f>VLOOKUP(CurrentMtgRatesDataTable825[[#This Row],[asofdate]],O:P,2,0)</f>
        <v>0</v>
      </c>
      <c r="F139" s="84">
        <f ca="1">VLOOKUP(CurrentMtgRatesDataTable825[[#This Row],[asofdate]]+1,Bloomberg!B:C,2,0)</f>
        <v>1324.7</v>
      </c>
      <c r="I139" s="18">
        <v>42446</v>
      </c>
      <c r="J139" s="88">
        <v>0.53334613259999997</v>
      </c>
      <c r="K139" s="88">
        <f>VLOOKUP(CurrentMtgRatesDataTable82527141518[[#This Row],[asofdate]],O:P,2,0)</f>
        <v>0</v>
      </c>
      <c r="L139" s="88">
        <f>VLOOKUP(CurrentMtgRatesDataTable82527141518[[#This Row],[asofdate]],S:T,2,0)</f>
        <v>2.8685484099999999E-2</v>
      </c>
      <c r="M139" s="6">
        <f ca="1">VLOOKUP(CurrentMtgRatesDataTable82527141518[[#This Row],[asofdate]]+1,Bloomberg!B:C,2,0)</f>
        <v>1743.3</v>
      </c>
      <c r="N139" s="6"/>
      <c r="O139" s="18">
        <v>42418</v>
      </c>
      <c r="P139" s="88">
        <v>0</v>
      </c>
      <c r="Q139" s="101"/>
      <c r="R139" s="101"/>
      <c r="S139" s="18">
        <v>42383</v>
      </c>
      <c r="T139" s="88">
        <v>2.6066667999999999E-3</v>
      </c>
      <c r="V139"/>
    </row>
    <row r="140" spans="2:22">
      <c r="B140" s="82">
        <v>41725</v>
      </c>
      <c r="C140" s="83">
        <v>0.39560129970000002</v>
      </c>
      <c r="D140" s="83">
        <f>VLOOKUP(CurrentMtgRatesDataTable825[[#This Row],[asofdate]],I:J,2,0)</f>
        <v>0.34074595169999999</v>
      </c>
      <c r="E140" s="83">
        <f>VLOOKUP(CurrentMtgRatesDataTable825[[#This Row],[asofdate]],O:P,2,0)</f>
        <v>0</v>
      </c>
      <c r="F140" s="84">
        <f ca="1">VLOOKUP(CurrentMtgRatesDataTable825[[#This Row],[asofdate]]+1,Bloomberg!B:C,2,0)</f>
        <v>1383.5</v>
      </c>
      <c r="I140" s="18">
        <v>42439</v>
      </c>
      <c r="J140" s="88">
        <v>0.57707010329999997</v>
      </c>
      <c r="K140" s="88">
        <f>VLOOKUP(CurrentMtgRatesDataTable82527141518[[#This Row],[asofdate]],O:P,2,0)</f>
        <v>0</v>
      </c>
      <c r="L140" s="88">
        <f>VLOOKUP(CurrentMtgRatesDataTable82527141518[[#This Row],[asofdate]],S:T,2,0)</f>
        <v>0.22123234250000001</v>
      </c>
      <c r="M140" s="6">
        <f ca="1">VLOOKUP(CurrentMtgRatesDataTable82527141518[[#This Row],[asofdate]]+1,Bloomberg!B:C,2,0)</f>
        <v>1841.2</v>
      </c>
      <c r="N140" s="6"/>
      <c r="O140" s="18">
        <v>42411</v>
      </c>
      <c r="P140" s="88">
        <v>4.8343193800000003E-2</v>
      </c>
      <c r="Q140" s="101"/>
      <c r="R140" s="101"/>
      <c r="S140" s="18">
        <v>42376</v>
      </c>
      <c r="T140" s="88">
        <v>7.0099330000000001E-4</v>
      </c>
      <c r="V140"/>
    </row>
    <row r="141" spans="2:22">
      <c r="B141" s="82">
        <v>41718</v>
      </c>
      <c r="C141" s="83">
        <v>0.42429527379999998</v>
      </c>
      <c r="D141" s="83">
        <f>VLOOKUP(CurrentMtgRatesDataTable825[[#This Row],[asofdate]],I:J,2,0)</f>
        <v>0.36665532429999997</v>
      </c>
      <c r="E141" s="83">
        <f>VLOOKUP(CurrentMtgRatesDataTable825[[#This Row],[asofdate]],O:P,2,0)</f>
        <v>0</v>
      </c>
      <c r="F141" s="84">
        <f ca="1">VLOOKUP(CurrentMtgRatesDataTable825[[#This Row],[asofdate]]+1,Bloomberg!B:C,2,0)</f>
        <v>1426.3</v>
      </c>
      <c r="I141" s="18">
        <v>42432</v>
      </c>
      <c r="J141" s="88">
        <v>0.61984185000000003</v>
      </c>
      <c r="K141" s="88">
        <f>VLOOKUP(CurrentMtgRatesDataTable82527141518[[#This Row],[asofdate]],O:P,2,0)</f>
        <v>5.5801485800000002E-2</v>
      </c>
      <c r="L141" s="88">
        <f>VLOOKUP(CurrentMtgRatesDataTable82527141518[[#This Row],[asofdate]],S:T,2,0)</f>
        <v>0.24462782150000001</v>
      </c>
      <c r="M141" s="6">
        <f ca="1">VLOOKUP(CurrentMtgRatesDataTable82527141518[[#This Row],[asofdate]]+1,Bloomberg!B:C,2,0)</f>
        <v>1928</v>
      </c>
      <c r="N141" s="6"/>
      <c r="O141" s="18">
        <v>42404</v>
      </c>
      <c r="P141" s="88">
        <v>1.78798693E-2</v>
      </c>
      <c r="Q141" s="101"/>
      <c r="R141" s="101"/>
      <c r="S141" s="18">
        <v>42369</v>
      </c>
      <c r="T141" s="88">
        <v>2.586709E-4</v>
      </c>
      <c r="V141"/>
    </row>
    <row r="142" spans="2:22">
      <c r="B142" s="82">
        <v>41711</v>
      </c>
      <c r="C142" s="83">
        <v>0.4093796113</v>
      </c>
      <c r="D142" s="83">
        <f>VLOOKUP(CurrentMtgRatesDataTable825[[#This Row],[asofdate]],I:J,2,0)</f>
        <v>0.35258512050000002</v>
      </c>
      <c r="E142" s="83">
        <f>VLOOKUP(CurrentMtgRatesDataTable825[[#This Row],[asofdate]],O:P,2,0)</f>
        <v>0</v>
      </c>
      <c r="F142" s="84">
        <f ca="1">VLOOKUP(CurrentMtgRatesDataTable825[[#This Row],[asofdate]]+1,Bloomberg!B:C,2,0)</f>
        <v>1552.1</v>
      </c>
      <c r="I142" s="18">
        <v>42425</v>
      </c>
      <c r="J142" s="88">
        <v>0.61717910330000003</v>
      </c>
      <c r="K142" s="88">
        <f>VLOOKUP(CurrentMtgRatesDataTable82527141518[[#This Row],[asofdate]],O:P,2,0)</f>
        <v>5.0858111800000001E-2</v>
      </c>
      <c r="L142" s="88">
        <f>VLOOKUP(CurrentMtgRatesDataTable82527141518[[#This Row],[asofdate]],S:T,2,0)</f>
        <v>0.24141967689999999</v>
      </c>
      <c r="M142" s="6">
        <f ca="1">VLOOKUP(CurrentMtgRatesDataTable82527141518[[#This Row],[asofdate]]+1,Bloomberg!B:C,2,0)</f>
        <v>1992.9</v>
      </c>
      <c r="N142" s="6"/>
      <c r="O142" s="18">
        <v>42397</v>
      </c>
      <c r="P142" s="88">
        <v>8.078181E-4</v>
      </c>
      <c r="Q142" s="101"/>
      <c r="R142" s="101"/>
      <c r="S142" s="18">
        <v>42362</v>
      </c>
      <c r="T142" s="88">
        <v>9.522981E-4</v>
      </c>
      <c r="V142"/>
    </row>
    <row r="143" spans="2:22">
      <c r="B143" s="82">
        <v>41704</v>
      </c>
      <c r="C143" s="83">
        <v>0.42657243919999999</v>
      </c>
      <c r="D143" s="83">
        <f>VLOOKUP(CurrentMtgRatesDataTable825[[#This Row],[asofdate]],I:J,2,0)</f>
        <v>0.37041409980000001</v>
      </c>
      <c r="E143" s="83">
        <f>VLOOKUP(CurrentMtgRatesDataTable825[[#This Row],[asofdate]],O:P,2,0)</f>
        <v>0</v>
      </c>
      <c r="F143" s="84">
        <f ca="1">VLOOKUP(CurrentMtgRatesDataTable825[[#This Row],[asofdate]]+1,Bloomberg!B:C,2,0)</f>
        <v>1528</v>
      </c>
      <c r="I143" s="18">
        <v>42418</v>
      </c>
      <c r="J143" s="88">
        <v>0.61098584639999998</v>
      </c>
      <c r="K143" s="88">
        <f>VLOOKUP(CurrentMtgRatesDataTable82527141518[[#This Row],[asofdate]],O:P,2,0)</f>
        <v>0</v>
      </c>
      <c r="L143" s="88">
        <f>VLOOKUP(CurrentMtgRatesDataTable82527141518[[#This Row],[asofdate]],S:T,2,0)</f>
        <v>0.23731871830000001</v>
      </c>
      <c r="M143" s="6">
        <f ca="1">VLOOKUP(CurrentMtgRatesDataTable82527141518[[#This Row],[asofdate]]+1,Bloomberg!B:C,2,0)</f>
        <v>2099.9</v>
      </c>
      <c r="N143" s="6"/>
      <c r="O143" s="18">
        <v>42390</v>
      </c>
      <c r="P143" s="88">
        <v>5.5489060000000004E-4</v>
      </c>
      <c r="Q143" s="101"/>
      <c r="R143" s="101"/>
      <c r="S143" s="18">
        <v>42355</v>
      </c>
      <c r="T143" s="88">
        <v>7.7737930000000002E-4</v>
      </c>
      <c r="V143"/>
    </row>
    <row r="144" spans="2:22">
      <c r="B144" s="82">
        <v>41697</v>
      </c>
      <c r="C144" s="83">
        <v>0.40589301350000001</v>
      </c>
      <c r="D144" s="83">
        <f>VLOOKUP(CurrentMtgRatesDataTable825[[#This Row],[asofdate]],I:J,2,0)</f>
        <v>0.34826916330000002</v>
      </c>
      <c r="E144" s="83">
        <f>VLOOKUP(CurrentMtgRatesDataTable825[[#This Row],[asofdate]],O:P,2,0)</f>
        <v>0</v>
      </c>
      <c r="F144" s="84">
        <f ca="1">VLOOKUP(CurrentMtgRatesDataTable825[[#This Row],[asofdate]]+1,Bloomberg!B:C,2,0)</f>
        <v>1600.6</v>
      </c>
      <c r="I144" s="18">
        <v>42411</v>
      </c>
      <c r="J144" s="88">
        <v>0.61098584639999998</v>
      </c>
      <c r="K144" s="88">
        <f>VLOOKUP(CurrentMtgRatesDataTable82527141518[[#This Row],[asofdate]],O:P,2,0)</f>
        <v>4.8343193800000003E-2</v>
      </c>
      <c r="L144" s="88">
        <f>VLOOKUP(CurrentMtgRatesDataTable82527141518[[#This Row],[asofdate]],S:T,2,0)</f>
        <v>0.23788511640000004</v>
      </c>
      <c r="M144" s="6">
        <f ca="1">VLOOKUP(CurrentMtgRatesDataTable82527141518[[#This Row],[asofdate]]+1,Bloomberg!B:C,2,0)</f>
        <v>2341.5</v>
      </c>
      <c r="N144" s="6"/>
      <c r="O144" s="18">
        <v>42383</v>
      </c>
      <c r="P144" s="88">
        <v>1.810394E-4</v>
      </c>
      <c r="Q144" s="101"/>
      <c r="R144" s="101"/>
      <c r="S144" s="18">
        <v>42348</v>
      </c>
      <c r="T144" s="88">
        <v>1.1273816E-3</v>
      </c>
      <c r="V144"/>
    </row>
    <row r="145" spans="2:22">
      <c r="B145" s="82">
        <v>41690</v>
      </c>
      <c r="C145" s="83">
        <v>0.42341179159999998</v>
      </c>
      <c r="D145" s="83">
        <f>VLOOKUP(CurrentMtgRatesDataTable825[[#This Row],[asofdate]],I:J,2,0)</f>
        <v>0.36217707719999997</v>
      </c>
      <c r="E145" s="83">
        <f>VLOOKUP(CurrentMtgRatesDataTable825[[#This Row],[asofdate]],O:P,2,0)</f>
        <v>0</v>
      </c>
      <c r="F145" s="84">
        <f ca="1">VLOOKUP(CurrentMtgRatesDataTable825[[#This Row],[asofdate]]+1,Bloomberg!B:C,2,0)</f>
        <v>1442.3</v>
      </c>
      <c r="I145" s="18">
        <v>42404</v>
      </c>
      <c r="J145" s="88">
        <v>0.52562530080000003</v>
      </c>
      <c r="K145" s="88">
        <f>VLOOKUP(CurrentMtgRatesDataTable82527141518[[#This Row],[asofdate]],O:P,2,0)</f>
        <v>1.78798693E-2</v>
      </c>
      <c r="L145" s="88">
        <f>VLOOKUP(CurrentMtgRatesDataTable82527141518[[#This Row],[asofdate]],S:T,2,0)</f>
        <v>0.1920379116</v>
      </c>
      <c r="M145" s="6">
        <f ca="1">VLOOKUP(CurrentMtgRatesDataTable82527141518[[#This Row],[asofdate]]+1,Bloomberg!B:C,2,0)</f>
        <v>2015.4</v>
      </c>
      <c r="N145" s="6"/>
      <c r="O145" s="18">
        <v>42376</v>
      </c>
      <c r="P145" s="88">
        <v>0</v>
      </c>
      <c r="Q145" s="101"/>
      <c r="R145" s="101"/>
      <c r="S145" s="18">
        <v>42341</v>
      </c>
      <c r="T145" s="88">
        <v>1.6904094000000001E-3</v>
      </c>
      <c r="V145"/>
    </row>
    <row r="146" spans="2:22">
      <c r="B146" s="82">
        <v>41683</v>
      </c>
      <c r="C146" s="83">
        <v>0.43449214590000002</v>
      </c>
      <c r="D146" s="83">
        <f>VLOOKUP(CurrentMtgRatesDataTable825[[#This Row],[asofdate]],I:J,2,0)</f>
        <v>0.3759638455</v>
      </c>
      <c r="E146" s="83">
        <f>VLOOKUP(CurrentMtgRatesDataTable825[[#This Row],[asofdate]],O:P,2,0)</f>
        <v>0</v>
      </c>
      <c r="F146" s="84">
        <f ca="1">VLOOKUP(CurrentMtgRatesDataTable825[[#This Row],[asofdate]]+1,Bloomberg!B:C,2,0)</f>
        <v>1650.6</v>
      </c>
      <c r="I146" s="18">
        <v>42397</v>
      </c>
      <c r="J146" s="88">
        <v>0.4917004049</v>
      </c>
      <c r="K146" s="88">
        <f>VLOOKUP(CurrentMtgRatesDataTable82527141518[[#This Row],[asofdate]],O:P,2,0)</f>
        <v>8.078181E-4</v>
      </c>
      <c r="L146" s="88">
        <f>VLOOKUP(CurrentMtgRatesDataTable82527141518[[#This Row],[asofdate]],S:T,2,0)</f>
        <v>1.2975247800000001E-2</v>
      </c>
      <c r="M146" s="6">
        <f ca="1">VLOOKUP(CurrentMtgRatesDataTable82527141518[[#This Row],[asofdate]]+1,Bloomberg!B:C,2,0)</f>
        <v>1726.6</v>
      </c>
      <c r="N146" s="6"/>
      <c r="O146" s="18">
        <v>42369</v>
      </c>
      <c r="P146" s="88">
        <v>0</v>
      </c>
      <c r="Q146" s="101"/>
      <c r="R146" s="101"/>
      <c r="S146" s="18">
        <v>42333</v>
      </c>
      <c r="T146" s="88">
        <v>4.6152300000000003E-4</v>
      </c>
      <c r="V146"/>
    </row>
    <row r="147" spans="2:22">
      <c r="B147" s="82">
        <v>41676</v>
      </c>
      <c r="C147" s="83">
        <v>0.44358880369999998</v>
      </c>
      <c r="D147" s="83">
        <f>VLOOKUP(CurrentMtgRatesDataTable825[[#This Row],[asofdate]],I:J,2,0)</f>
        <v>0.39240165840000002</v>
      </c>
      <c r="E147" s="83">
        <f>VLOOKUP(CurrentMtgRatesDataTable825[[#This Row],[asofdate]],O:P,2,0)</f>
        <v>2.0799059999999999E-3</v>
      </c>
      <c r="F147" s="84">
        <f ca="1">VLOOKUP(CurrentMtgRatesDataTable825[[#This Row],[asofdate]]+1,Bloomberg!B:C,2,0)</f>
        <v>1674.2</v>
      </c>
      <c r="I147" s="18">
        <v>42390</v>
      </c>
      <c r="J147" s="88">
        <v>0.48244597830000002</v>
      </c>
      <c r="K147" s="88">
        <f>VLOOKUP(CurrentMtgRatesDataTable82527141518[[#This Row],[asofdate]],O:P,2,0)</f>
        <v>5.5489060000000004E-4</v>
      </c>
      <c r="L147" s="88">
        <f>VLOOKUP(CurrentMtgRatesDataTable82527141518[[#This Row],[asofdate]],S:T,2,0)</f>
        <v>1.05298592E-2</v>
      </c>
      <c r="M147" s="6">
        <f ca="1">VLOOKUP(CurrentMtgRatesDataTable82527141518[[#This Row],[asofdate]]+1,Bloomberg!B:C,2,0)</f>
        <v>1734.4</v>
      </c>
      <c r="N147" s="6"/>
      <c r="O147" s="18">
        <v>42362</v>
      </c>
      <c r="P147" s="88">
        <v>0</v>
      </c>
      <c r="Q147" s="101"/>
      <c r="R147" s="101"/>
      <c r="S147" s="18">
        <v>42327</v>
      </c>
      <c r="T147" s="88">
        <v>5.7837199999999996E-4</v>
      </c>
      <c r="V147"/>
    </row>
    <row r="148" spans="2:22">
      <c r="B148" s="82">
        <v>41669</v>
      </c>
      <c r="C148" s="83">
        <v>0.43663152700000002</v>
      </c>
      <c r="D148" s="83">
        <f>VLOOKUP(CurrentMtgRatesDataTable825[[#This Row],[asofdate]],I:J,2,0)</f>
        <v>0.37160384639999999</v>
      </c>
      <c r="E148" s="83">
        <f>VLOOKUP(CurrentMtgRatesDataTable825[[#This Row],[asofdate]],O:P,2,0)</f>
        <v>0</v>
      </c>
      <c r="F148" s="84">
        <f ca="1">VLOOKUP(CurrentMtgRatesDataTable825[[#This Row],[asofdate]]+1,Bloomberg!B:C,2,0)</f>
        <v>1667.5</v>
      </c>
      <c r="I148" s="18">
        <v>42383</v>
      </c>
      <c r="J148" s="88">
        <v>0.4357861308</v>
      </c>
      <c r="K148" s="88">
        <f>VLOOKUP(CurrentMtgRatesDataTable82527141518[[#This Row],[asofdate]],O:P,2,0)</f>
        <v>1.810394E-4</v>
      </c>
      <c r="L148" s="88">
        <f>VLOOKUP(CurrentMtgRatesDataTable82527141518[[#This Row],[asofdate]],S:T,2,0)</f>
        <v>2.6066667999999999E-3</v>
      </c>
      <c r="M148" s="6">
        <f ca="1">VLOOKUP(CurrentMtgRatesDataTable82527141518[[#This Row],[asofdate]]+1,Bloomberg!B:C,2,0)</f>
        <v>1544.6</v>
      </c>
      <c r="N148" s="6"/>
      <c r="O148" s="18">
        <v>42355</v>
      </c>
      <c r="P148" s="88">
        <v>0</v>
      </c>
      <c r="Q148" s="101"/>
      <c r="R148" s="101"/>
      <c r="S148" s="18">
        <v>42320</v>
      </c>
      <c r="T148" s="88">
        <v>5.5940250000000003E-4</v>
      </c>
      <c r="V148"/>
    </row>
    <row r="149" spans="2:22">
      <c r="B149" s="82">
        <v>41662</v>
      </c>
      <c r="C149" s="83">
        <v>0.40374447559999999</v>
      </c>
      <c r="D149" s="83">
        <f>VLOOKUP(CurrentMtgRatesDataTable825[[#This Row],[asofdate]],I:J,2,0)</f>
        <v>0.34288730480000001</v>
      </c>
      <c r="E149" s="83">
        <f>VLOOKUP(CurrentMtgRatesDataTable825[[#This Row],[asofdate]],O:P,2,0)</f>
        <v>0</v>
      </c>
      <c r="F149" s="84">
        <f ca="1">VLOOKUP(CurrentMtgRatesDataTable825[[#This Row],[asofdate]]+1,Bloomberg!B:C,2,0)</f>
        <v>1601.2</v>
      </c>
      <c r="I149" s="18">
        <v>42376</v>
      </c>
      <c r="J149" s="88">
        <v>0.4167154481</v>
      </c>
      <c r="K149" s="88">
        <f>VLOOKUP(CurrentMtgRatesDataTable82527141518[[#This Row],[asofdate]],O:P,2,0)</f>
        <v>0</v>
      </c>
      <c r="L149" s="88">
        <f>VLOOKUP(CurrentMtgRatesDataTable82527141518[[#This Row],[asofdate]],S:T,2,0)</f>
        <v>7.0099330000000001E-4</v>
      </c>
      <c r="M149" s="6">
        <f ca="1">VLOOKUP(CurrentMtgRatesDataTable82527141518[[#This Row],[asofdate]]+1,Bloomberg!B:C,2,0)</f>
        <v>1273.8</v>
      </c>
      <c r="N149" s="6"/>
      <c r="O149" s="18">
        <v>42348</v>
      </c>
      <c r="P149" s="88">
        <v>0</v>
      </c>
      <c r="Q149" s="101"/>
      <c r="R149" s="101"/>
      <c r="S149" s="18">
        <v>42313</v>
      </c>
      <c r="T149" s="88">
        <v>4.4682766000000004E-3</v>
      </c>
      <c r="V149"/>
    </row>
    <row r="150" spans="2:22">
      <c r="B150" s="82">
        <v>41655</v>
      </c>
      <c r="C150" s="83">
        <v>0.38746977710000002</v>
      </c>
      <c r="D150" s="83">
        <f>VLOOKUP(CurrentMtgRatesDataTable825[[#This Row],[asofdate]],I:J,2,0)</f>
        <v>0.32994605420000001</v>
      </c>
      <c r="E150" s="83">
        <f>VLOOKUP(CurrentMtgRatesDataTable825[[#This Row],[asofdate]],O:P,2,0)</f>
        <v>0</v>
      </c>
      <c r="F150" s="84">
        <f ca="1">VLOOKUP(CurrentMtgRatesDataTable825[[#This Row],[asofdate]]+1,Bloomberg!B:C,2,0)</f>
        <v>1675.8</v>
      </c>
      <c r="I150" s="18">
        <v>42369</v>
      </c>
      <c r="J150" s="88">
        <v>0.4036545278</v>
      </c>
      <c r="K150" s="88">
        <f>VLOOKUP(CurrentMtgRatesDataTable82527141518[[#This Row],[asofdate]],O:P,2,0)</f>
        <v>0</v>
      </c>
      <c r="L150" s="88">
        <f>VLOOKUP(CurrentMtgRatesDataTable82527141518[[#This Row],[asofdate]],S:T,2,0)</f>
        <v>2.586709E-4</v>
      </c>
      <c r="M150" s="6">
        <f ca="1">VLOOKUP(CurrentMtgRatesDataTable82527141518[[#This Row],[asofdate]]+1,Bloomberg!B:C,2,0)</f>
        <v>1020.5</v>
      </c>
      <c r="N150" s="6"/>
      <c r="O150" s="18">
        <v>42341</v>
      </c>
      <c r="P150" s="88">
        <v>0</v>
      </c>
      <c r="Q150" s="101"/>
      <c r="R150" s="101"/>
      <c r="S150" s="18">
        <v>42306</v>
      </c>
      <c r="T150" s="88">
        <v>1.25988144E-2</v>
      </c>
      <c r="V150"/>
    </row>
    <row r="151" spans="2:22">
      <c r="B151" s="82">
        <v>41648</v>
      </c>
      <c r="C151" s="83">
        <v>0.3220703956</v>
      </c>
      <c r="D151" s="83">
        <f>VLOOKUP(CurrentMtgRatesDataTable825[[#This Row],[asofdate]],I:J,2,0)</f>
        <v>0.26791092160000002</v>
      </c>
      <c r="E151" s="83">
        <f>VLOOKUP(CurrentMtgRatesDataTable825[[#This Row],[asofdate]],O:P,2,0)</f>
        <v>0</v>
      </c>
      <c r="F151" s="84">
        <f ca="1">VLOOKUP(CurrentMtgRatesDataTable825[[#This Row],[asofdate]]+1,Bloomberg!B:C,2,0)</f>
        <v>1507</v>
      </c>
      <c r="I151" s="18">
        <v>42362</v>
      </c>
      <c r="J151" s="88">
        <v>0.42845102359999998</v>
      </c>
      <c r="K151" s="88">
        <f>VLOOKUP(CurrentMtgRatesDataTable82527141518[[#This Row],[asofdate]],O:P,2,0)</f>
        <v>0</v>
      </c>
      <c r="L151" s="88">
        <f>VLOOKUP(CurrentMtgRatesDataTable82527141518[[#This Row],[asofdate]],S:T,2,0)</f>
        <v>9.522981E-4</v>
      </c>
      <c r="M151" s="6">
        <f ca="1">VLOOKUP(CurrentMtgRatesDataTable82527141518[[#This Row],[asofdate]]+1,Bloomberg!B:C,2,0)</f>
        <v>1174.0999999999999</v>
      </c>
      <c r="N151" s="6"/>
      <c r="O151" s="18">
        <v>42333</v>
      </c>
      <c r="P151" s="88">
        <v>0</v>
      </c>
      <c r="Q151" s="101"/>
      <c r="R151" s="101"/>
      <c r="S151" s="18">
        <v>42299</v>
      </c>
      <c r="T151" s="88">
        <v>9.994256E-3</v>
      </c>
      <c r="V151"/>
    </row>
    <row r="152" spans="2:22">
      <c r="B152" s="82">
        <v>41641</v>
      </c>
      <c r="C152" s="83">
        <v>0.30843777030000002</v>
      </c>
      <c r="D152" s="83">
        <f>VLOOKUP(CurrentMtgRatesDataTable825[[#This Row],[asofdate]],I:J,2,0)</f>
        <v>0.2548342576</v>
      </c>
      <c r="E152" s="83">
        <f>VLOOKUP(CurrentMtgRatesDataTable825[[#This Row],[asofdate]],O:P,2,0)</f>
        <v>0</v>
      </c>
      <c r="F152" s="84">
        <f ca="1">VLOOKUP(CurrentMtgRatesDataTable825[[#This Row],[asofdate]]+1,Bloomberg!B:C,2,0)</f>
        <v>1352.7</v>
      </c>
      <c r="I152" s="18">
        <v>42355</v>
      </c>
      <c r="J152" s="88">
        <v>0.42453496470000002</v>
      </c>
      <c r="K152" s="88">
        <f>VLOOKUP(CurrentMtgRatesDataTable82527141518[[#This Row],[asofdate]],O:P,2,0)</f>
        <v>0</v>
      </c>
      <c r="L152" s="88">
        <f>VLOOKUP(CurrentMtgRatesDataTable82527141518[[#This Row],[asofdate]],S:T,2,0)</f>
        <v>7.7737930000000002E-4</v>
      </c>
      <c r="M152" s="6">
        <f ca="1">VLOOKUP(CurrentMtgRatesDataTable82527141518[[#This Row],[asofdate]]+1,Bloomberg!B:C,2,0)</f>
        <v>1667.4</v>
      </c>
      <c r="N152" s="6"/>
      <c r="O152" s="18">
        <v>42327</v>
      </c>
      <c r="P152" s="88">
        <v>0</v>
      </c>
      <c r="Q152" s="101"/>
      <c r="R152" s="101"/>
      <c r="S152" s="18">
        <v>42292</v>
      </c>
      <c r="T152" s="88">
        <v>7.0689237000000002E-3</v>
      </c>
      <c r="V152"/>
    </row>
    <row r="153" spans="2:22">
      <c r="B153" s="82">
        <v>41634</v>
      </c>
      <c r="C153" s="83">
        <v>0.34940203609999998</v>
      </c>
      <c r="D153" s="83">
        <f>VLOOKUP(CurrentMtgRatesDataTable825[[#This Row],[asofdate]],I:J,2,0)</f>
        <v>0.2967784208</v>
      </c>
      <c r="E153" s="83">
        <f>VLOOKUP(CurrentMtgRatesDataTable825[[#This Row],[asofdate]],O:P,2,0)</f>
        <v>0</v>
      </c>
      <c r="F153" s="84">
        <f ca="1">VLOOKUP(CurrentMtgRatesDataTable825[[#This Row],[asofdate]]+1,Bloomberg!B:C,2,0)</f>
        <v>1277.8</v>
      </c>
      <c r="I153" s="18">
        <v>42348</v>
      </c>
      <c r="J153" s="88">
        <v>0.43219208009999999</v>
      </c>
      <c r="K153" s="88">
        <f>VLOOKUP(CurrentMtgRatesDataTable82527141518[[#This Row],[asofdate]],O:P,2,0)</f>
        <v>0</v>
      </c>
      <c r="L153" s="88">
        <f>VLOOKUP(CurrentMtgRatesDataTable82527141518[[#This Row],[asofdate]],S:T,2,0)</f>
        <v>1.1273816E-3</v>
      </c>
      <c r="M153" s="6">
        <f ca="1">VLOOKUP(CurrentMtgRatesDataTable82527141518[[#This Row],[asofdate]]+1,Bloomberg!B:C,2,0)</f>
        <v>1470.6</v>
      </c>
      <c r="N153" s="6"/>
      <c r="O153" s="18">
        <v>42320</v>
      </c>
      <c r="P153" s="88">
        <v>0</v>
      </c>
      <c r="Q153" s="101"/>
      <c r="R153" s="101"/>
      <c r="S153" s="18">
        <v>42285</v>
      </c>
      <c r="T153" s="88">
        <v>1.42463513E-2</v>
      </c>
      <c r="V153"/>
    </row>
    <row r="154" spans="2:22">
      <c r="B154" s="82">
        <v>41627</v>
      </c>
      <c r="C154" s="83">
        <v>0.35812637130000002</v>
      </c>
      <c r="D154" s="83">
        <f>VLOOKUP(CurrentMtgRatesDataTable825[[#This Row],[asofdate]],I:J,2,0)</f>
        <v>0.30245288370000001</v>
      </c>
      <c r="E154" s="83">
        <f>VLOOKUP(CurrentMtgRatesDataTable825[[#This Row],[asofdate]],O:P,2,0)</f>
        <v>0</v>
      </c>
      <c r="F154" s="84">
        <f ca="1">VLOOKUP(CurrentMtgRatesDataTable825[[#This Row],[asofdate]]+1,Bloomberg!B:C,2,0)</f>
        <v>1426.7</v>
      </c>
      <c r="I154" s="18">
        <v>42341</v>
      </c>
      <c r="J154" s="88">
        <v>0.44078213119999998</v>
      </c>
      <c r="K154" s="88">
        <f>VLOOKUP(CurrentMtgRatesDataTable82527141518[[#This Row],[asofdate]],O:P,2,0)</f>
        <v>0</v>
      </c>
      <c r="L154" s="88">
        <f>VLOOKUP(CurrentMtgRatesDataTable82527141518[[#This Row],[asofdate]],S:T,2,0)</f>
        <v>1.6904094000000001E-3</v>
      </c>
      <c r="M154" s="6">
        <f ca="1">VLOOKUP(CurrentMtgRatesDataTable82527141518[[#This Row],[asofdate]]+1,Bloomberg!B:C,2,0)</f>
        <v>1451.5</v>
      </c>
      <c r="N154" s="6"/>
      <c r="O154" s="18">
        <v>42313</v>
      </c>
      <c r="P154" s="88">
        <v>0</v>
      </c>
      <c r="Q154" s="101"/>
      <c r="R154" s="101"/>
      <c r="S154" s="18">
        <v>42278</v>
      </c>
      <c r="T154" s="88">
        <v>5.3348190000000002E-3</v>
      </c>
      <c r="V154"/>
    </row>
    <row r="155" spans="2:22">
      <c r="B155" s="82">
        <v>41620</v>
      </c>
      <c r="C155" s="83">
        <v>0.39281664100000002</v>
      </c>
      <c r="D155" s="83">
        <f>VLOOKUP(CurrentMtgRatesDataTable825[[#This Row],[asofdate]],I:J,2,0)</f>
        <v>0.34160698439999998</v>
      </c>
      <c r="E155" s="83">
        <f>VLOOKUP(CurrentMtgRatesDataTable825[[#This Row],[asofdate]],O:P,2,0)</f>
        <v>0</v>
      </c>
      <c r="F155" s="84">
        <f ca="1">VLOOKUP(CurrentMtgRatesDataTable825[[#This Row],[asofdate]]+1,Bloomberg!B:C,2,0)</f>
        <v>1529.8</v>
      </c>
      <c r="I155" s="18">
        <v>42333</v>
      </c>
      <c r="J155" s="88">
        <v>0.42883055539999998</v>
      </c>
      <c r="K155" s="88">
        <f>VLOOKUP(CurrentMtgRatesDataTable82527141518[[#This Row],[asofdate]],O:P,2,0)</f>
        <v>0</v>
      </c>
      <c r="L155" s="88">
        <f>VLOOKUP(CurrentMtgRatesDataTable82527141518[[#This Row],[asofdate]],S:T,2,0)</f>
        <v>4.6152300000000003E-4</v>
      </c>
      <c r="M155" s="6">
        <f ca="1">VLOOKUP(CurrentMtgRatesDataTable82527141518[[#This Row],[asofdate]]+1,Bloomberg!B:C,2,0)</f>
        <v>1410.2</v>
      </c>
      <c r="N155" s="6"/>
      <c r="O155" s="18">
        <v>42306</v>
      </c>
      <c r="P155" s="88">
        <v>0</v>
      </c>
      <c r="Q155" s="101"/>
      <c r="R155" s="101"/>
      <c r="S155" s="18">
        <v>42271</v>
      </c>
      <c r="T155" s="88">
        <v>2.3921606000000002E-3</v>
      </c>
      <c r="V155"/>
    </row>
    <row r="156" spans="2:22">
      <c r="B156" s="82">
        <v>41613</v>
      </c>
      <c r="C156" s="83">
        <v>0.4009432476</v>
      </c>
      <c r="D156" s="83">
        <f>VLOOKUP(CurrentMtgRatesDataTable825[[#This Row],[asofdate]],I:J,2,0)</f>
        <v>0.34761858340000001</v>
      </c>
      <c r="E156" s="83">
        <f>VLOOKUP(CurrentMtgRatesDataTable825[[#This Row],[asofdate]],O:P,2,0)</f>
        <v>0</v>
      </c>
      <c r="F156" s="84">
        <f ca="1">VLOOKUP(CurrentMtgRatesDataTable825[[#This Row],[asofdate]]+1,Bloomberg!B:C,2,0)</f>
        <v>1599.4</v>
      </c>
      <c r="I156" s="18">
        <v>42327</v>
      </c>
      <c r="J156" s="88">
        <v>0.43067577779999999</v>
      </c>
      <c r="K156" s="88">
        <f>VLOOKUP(CurrentMtgRatesDataTable82527141518[[#This Row],[asofdate]],O:P,2,0)</f>
        <v>0</v>
      </c>
      <c r="L156" s="88">
        <f>VLOOKUP(CurrentMtgRatesDataTable82527141518[[#This Row],[asofdate]],S:T,2,0)</f>
        <v>5.7837199999999996E-4</v>
      </c>
      <c r="M156" s="6">
        <f ca="1">VLOOKUP(CurrentMtgRatesDataTable82527141518[[#This Row],[asofdate]]+1,Bloomberg!B:C,2,0)</f>
        <v>1489</v>
      </c>
      <c r="N156" s="6"/>
      <c r="O156" s="18">
        <v>42299</v>
      </c>
      <c r="P156" s="88">
        <v>0</v>
      </c>
      <c r="Q156" s="101"/>
      <c r="R156" s="101"/>
      <c r="S156" s="18">
        <v>42264</v>
      </c>
      <c r="T156" s="88">
        <v>1.7581392E-3</v>
      </c>
      <c r="V156"/>
    </row>
    <row r="157" spans="2:22">
      <c r="B157" s="82">
        <v>41605</v>
      </c>
      <c r="C157" s="83">
        <v>0.4676333728</v>
      </c>
      <c r="D157" s="83">
        <f>VLOOKUP(CurrentMtgRatesDataTable825[[#This Row],[asofdate]],I:J,2,0)</f>
        <v>0.40375202440000002</v>
      </c>
      <c r="E157" s="83">
        <f>VLOOKUP(CurrentMtgRatesDataTable825[[#This Row],[asofdate]],O:P,2,0)</f>
        <v>0</v>
      </c>
      <c r="F157" s="84" t="e">
        <f ca="1">VLOOKUP(CurrentMtgRatesDataTable825[[#This Row],[asofdate]]+1,Bloomberg!B:C,2,0)</f>
        <v>#N/A</v>
      </c>
      <c r="I157" s="18">
        <v>42320</v>
      </c>
      <c r="J157" s="88">
        <v>0.42568796469999998</v>
      </c>
      <c r="K157" s="88">
        <f>VLOOKUP(CurrentMtgRatesDataTable82527141518[[#This Row],[asofdate]],O:P,2,0)</f>
        <v>0</v>
      </c>
      <c r="L157" s="88">
        <f>VLOOKUP(CurrentMtgRatesDataTable82527141518[[#This Row],[asofdate]],S:T,2,0)</f>
        <v>5.5940250000000003E-4</v>
      </c>
      <c r="M157" s="6">
        <f ca="1">VLOOKUP(CurrentMtgRatesDataTable82527141518[[#This Row],[asofdate]]+1,Bloomberg!B:C,2,0)</f>
        <v>1528.7</v>
      </c>
      <c r="N157" s="6"/>
      <c r="O157" s="18">
        <v>42292</v>
      </c>
      <c r="P157" s="88">
        <v>0</v>
      </c>
      <c r="Q157" s="101"/>
      <c r="R157" s="101"/>
      <c r="S157" s="18">
        <v>42257</v>
      </c>
      <c r="T157" s="88">
        <v>2.1829420999999998E-3</v>
      </c>
      <c r="V157"/>
    </row>
    <row r="158" spans="2:22">
      <c r="B158" s="82">
        <v>41599</v>
      </c>
      <c r="C158" s="83">
        <v>0.48126520820000007</v>
      </c>
      <c r="D158" s="83">
        <f>VLOOKUP(CurrentMtgRatesDataTable825[[#This Row],[asofdate]],I:J,2,0)</f>
        <v>0.42100343439999999</v>
      </c>
      <c r="E158" s="83">
        <f>VLOOKUP(CurrentMtgRatesDataTable825[[#This Row],[asofdate]],O:P,2,0)</f>
        <v>0</v>
      </c>
      <c r="F158" s="84">
        <f ca="1">VLOOKUP(CurrentMtgRatesDataTable825[[#This Row],[asofdate]]+1,Bloomberg!B:C,2,0)</f>
        <v>1917.2</v>
      </c>
      <c r="I158" s="18">
        <v>42313</v>
      </c>
      <c r="J158" s="88">
        <v>0.47060114770000006</v>
      </c>
      <c r="K158" s="88">
        <f>VLOOKUP(CurrentMtgRatesDataTable82527141518[[#This Row],[asofdate]],O:P,2,0)</f>
        <v>0</v>
      </c>
      <c r="L158" s="88">
        <f>VLOOKUP(CurrentMtgRatesDataTable82527141518[[#This Row],[asofdate]],S:T,2,0)</f>
        <v>4.4682766000000004E-3</v>
      </c>
      <c r="M158" s="6">
        <f ca="1">VLOOKUP(CurrentMtgRatesDataTable82527141518[[#This Row],[asofdate]]+1,Bloomberg!B:C,2,0)</f>
        <v>1514.1</v>
      </c>
      <c r="N158" s="6"/>
      <c r="O158" s="18">
        <v>42285</v>
      </c>
      <c r="P158" s="88">
        <v>5.7876810999999998E-3</v>
      </c>
      <c r="Q158" s="101"/>
      <c r="R158" s="101"/>
      <c r="S158" s="18">
        <v>42250</v>
      </c>
      <c r="T158" s="88">
        <v>2.3660437000000002E-3</v>
      </c>
      <c r="V158"/>
    </row>
    <row r="159" spans="2:22">
      <c r="B159" s="82">
        <v>41592</v>
      </c>
      <c r="C159" s="83">
        <v>0.44823077639999998</v>
      </c>
      <c r="D159" s="83">
        <f>VLOOKUP(CurrentMtgRatesDataTable825[[#This Row],[asofdate]],I:J,2,0)</f>
        <v>0.3867191411</v>
      </c>
      <c r="E159" s="83">
        <f>VLOOKUP(CurrentMtgRatesDataTable825[[#This Row],[asofdate]],O:P,2,0)</f>
        <v>0</v>
      </c>
      <c r="F159" s="84">
        <f ca="1">VLOOKUP(CurrentMtgRatesDataTable825[[#This Row],[asofdate]]+1,Bloomberg!B:C,2,0)</f>
        <v>1903.5</v>
      </c>
      <c r="I159" s="18">
        <v>42306</v>
      </c>
      <c r="J159" s="88">
        <v>0.53404427570000002</v>
      </c>
      <c r="K159" s="88">
        <f>VLOOKUP(CurrentMtgRatesDataTable82527141518[[#This Row],[asofdate]],O:P,2,0)</f>
        <v>0</v>
      </c>
      <c r="L159" s="88">
        <f>VLOOKUP(CurrentMtgRatesDataTable82527141518[[#This Row],[asofdate]],S:T,2,0)</f>
        <v>1.25988144E-2</v>
      </c>
      <c r="M159" s="6">
        <f ca="1">VLOOKUP(CurrentMtgRatesDataTable82527141518[[#This Row],[asofdate]]+1,Bloomberg!B:C,2,0)</f>
        <v>1548.6</v>
      </c>
      <c r="N159" s="6"/>
      <c r="O159" s="18">
        <v>42278</v>
      </c>
      <c r="P159" s="88">
        <v>0</v>
      </c>
      <c r="Q159" s="101"/>
      <c r="R159" s="101"/>
      <c r="S159" s="18">
        <v>42243</v>
      </c>
      <c r="T159" s="88">
        <v>4.1198983E-3</v>
      </c>
      <c r="V159"/>
    </row>
    <row r="160" spans="2:22">
      <c r="B160" s="82">
        <v>41585</v>
      </c>
      <c r="C160" s="83">
        <v>0.48554576319999998</v>
      </c>
      <c r="D160" s="83">
        <f>VLOOKUP(CurrentMtgRatesDataTable825[[#This Row],[asofdate]],I:J,2,0)</f>
        <v>0.42692957390000003</v>
      </c>
      <c r="E160" s="83">
        <f>VLOOKUP(CurrentMtgRatesDataTable825[[#This Row],[asofdate]],O:P,2,0)</f>
        <v>0</v>
      </c>
      <c r="F160" s="84">
        <f ca="1">VLOOKUP(CurrentMtgRatesDataTable825[[#This Row],[asofdate]]+1,Bloomberg!B:C,2,0)</f>
        <v>2056.9</v>
      </c>
      <c r="I160" s="18">
        <v>42299</v>
      </c>
      <c r="J160" s="88">
        <v>0.51551907210000003</v>
      </c>
      <c r="K160" s="88">
        <f>VLOOKUP(CurrentMtgRatesDataTable82527141518[[#This Row],[asofdate]],O:P,2,0)</f>
        <v>0</v>
      </c>
      <c r="L160" s="88">
        <f>VLOOKUP(CurrentMtgRatesDataTable82527141518[[#This Row],[asofdate]],S:T,2,0)</f>
        <v>9.994256E-3</v>
      </c>
      <c r="M160" s="6">
        <f ca="1">VLOOKUP(CurrentMtgRatesDataTable82527141518[[#This Row],[asofdate]]+1,Bloomberg!B:C,2,0)</f>
        <v>1544.8</v>
      </c>
      <c r="N160" s="6"/>
      <c r="O160" s="18">
        <v>42271</v>
      </c>
      <c r="P160" s="88">
        <v>0</v>
      </c>
      <c r="Q160" s="101"/>
      <c r="R160" s="101"/>
      <c r="S160" s="18">
        <v>42236</v>
      </c>
      <c r="T160" s="88">
        <v>1.1244787E-3</v>
      </c>
      <c r="V160"/>
    </row>
    <row r="161" spans="2:22">
      <c r="B161" s="82">
        <v>41578</v>
      </c>
      <c r="C161" s="83">
        <v>0.51712393739999996</v>
      </c>
      <c r="D161" s="83">
        <f>VLOOKUP(CurrentMtgRatesDataTable825[[#This Row],[asofdate]],I:J,2,0)</f>
        <v>0.45384249900000007</v>
      </c>
      <c r="E161" s="83">
        <f>VLOOKUP(CurrentMtgRatesDataTable825[[#This Row],[asofdate]],O:P,2,0)</f>
        <v>3.3518586999999999E-3</v>
      </c>
      <c r="F161" s="84">
        <f ca="1">VLOOKUP(CurrentMtgRatesDataTable825[[#This Row],[asofdate]]+1,Bloomberg!B:C,2,0)</f>
        <v>2105.6</v>
      </c>
      <c r="I161" s="18">
        <v>42292</v>
      </c>
      <c r="J161" s="88">
        <v>0.5001191411</v>
      </c>
      <c r="K161" s="88">
        <f>VLOOKUP(CurrentMtgRatesDataTable82527141518[[#This Row],[asofdate]],O:P,2,0)</f>
        <v>0</v>
      </c>
      <c r="L161" s="88">
        <f>VLOOKUP(CurrentMtgRatesDataTable82527141518[[#This Row],[asofdate]],S:T,2,0)</f>
        <v>7.0689237000000002E-3</v>
      </c>
      <c r="M161" s="6">
        <f ca="1">VLOOKUP(CurrentMtgRatesDataTable82527141518[[#This Row],[asofdate]]+1,Bloomberg!B:C,2,0)</f>
        <v>1575.3</v>
      </c>
      <c r="N161" s="6"/>
      <c r="O161" s="18">
        <v>42264</v>
      </c>
      <c r="P161" s="88">
        <v>0</v>
      </c>
      <c r="Q161" s="101"/>
      <c r="R161" s="101"/>
      <c r="S161" s="18">
        <v>42229</v>
      </c>
      <c r="T161" s="88">
        <v>1.0769498000000001E-3</v>
      </c>
      <c r="V161"/>
    </row>
    <row r="162" spans="2:22">
      <c r="B162" s="82">
        <v>41571</v>
      </c>
      <c r="C162" s="83">
        <v>0.50130776170000002</v>
      </c>
      <c r="D162" s="83">
        <f>VLOOKUP(CurrentMtgRatesDataTable825[[#This Row],[asofdate]],I:J,2,0)</f>
        <v>0.43662093299999999</v>
      </c>
      <c r="E162" s="83">
        <f>VLOOKUP(CurrentMtgRatesDataTable825[[#This Row],[asofdate]],O:P,2,0)</f>
        <v>1.9650497000000002E-3</v>
      </c>
      <c r="F162" s="84">
        <f ca="1">VLOOKUP(CurrentMtgRatesDataTable825[[#This Row],[asofdate]]+1,Bloomberg!B:C,2,0)</f>
        <v>2211.8000000000002</v>
      </c>
      <c r="I162" s="18">
        <v>42285</v>
      </c>
      <c r="J162" s="88">
        <v>0.53404427570000002</v>
      </c>
      <c r="K162" s="88">
        <f>VLOOKUP(CurrentMtgRatesDataTable82527141518[[#This Row],[asofdate]],O:P,2,0)</f>
        <v>5.7876810999999998E-3</v>
      </c>
      <c r="L162" s="88">
        <f>VLOOKUP(CurrentMtgRatesDataTable82527141518[[#This Row],[asofdate]],S:T,2,0)</f>
        <v>1.42463513E-2</v>
      </c>
      <c r="M162" s="6">
        <f ca="1">VLOOKUP(CurrentMtgRatesDataTable82527141518[[#This Row],[asofdate]]+1,Bloomberg!B:C,2,0)</f>
        <v>1534.5</v>
      </c>
      <c r="N162" s="6"/>
      <c r="O162" s="18">
        <v>42257</v>
      </c>
      <c r="P162" s="88">
        <v>0</v>
      </c>
      <c r="Q162" s="101"/>
      <c r="R162" s="101"/>
      <c r="S162" s="18">
        <v>42222</v>
      </c>
      <c r="T162" s="88">
        <v>1.4956543E-3</v>
      </c>
      <c r="V162"/>
    </row>
    <row r="163" spans="2:22">
      <c r="B163" s="82">
        <v>41564</v>
      </c>
      <c r="C163" s="83">
        <v>0.48108700180000008</v>
      </c>
      <c r="D163" s="83">
        <f>VLOOKUP(CurrentMtgRatesDataTable825[[#This Row],[asofdate]],I:J,2,0)</f>
        <v>0.41459249570000001</v>
      </c>
      <c r="E163" s="83">
        <f>VLOOKUP(CurrentMtgRatesDataTable825[[#This Row],[asofdate]],O:P,2,0)</f>
        <v>0</v>
      </c>
      <c r="F163" s="84">
        <f ca="1">VLOOKUP(CurrentMtgRatesDataTable825[[#This Row],[asofdate]]+1,Bloomberg!B:C,2,0)</f>
        <v>2033.7</v>
      </c>
      <c r="I163" s="18">
        <v>42278</v>
      </c>
      <c r="J163" s="88">
        <v>0.48691854000000001</v>
      </c>
      <c r="K163" s="88">
        <f>VLOOKUP(CurrentMtgRatesDataTable82527141518[[#This Row],[asofdate]],O:P,2,0)</f>
        <v>0</v>
      </c>
      <c r="L163" s="88">
        <f>VLOOKUP(CurrentMtgRatesDataTable82527141518[[#This Row],[asofdate]],S:T,2,0)</f>
        <v>5.3348190000000002E-3</v>
      </c>
      <c r="M163" s="6">
        <f ca="1">VLOOKUP(CurrentMtgRatesDataTable82527141518[[#This Row],[asofdate]]+1,Bloomberg!B:C,2,0)</f>
        <v>2071.6</v>
      </c>
      <c r="N163" s="6"/>
      <c r="O163" s="18">
        <v>42250</v>
      </c>
      <c r="P163" s="88">
        <v>0</v>
      </c>
      <c r="Q163" s="101"/>
      <c r="R163" s="101"/>
      <c r="S163" s="18">
        <v>42215</v>
      </c>
      <c r="T163" s="88">
        <v>9.2205249999999998E-4</v>
      </c>
      <c r="V163"/>
    </row>
    <row r="164" spans="2:22">
      <c r="B164" s="82">
        <v>41557</v>
      </c>
      <c r="C164" s="83">
        <v>0.49111867190000003</v>
      </c>
      <c r="D164" s="83">
        <f>VLOOKUP(CurrentMtgRatesDataTable825[[#This Row],[asofdate]],I:J,2,0)</f>
        <v>0.42456374670000002</v>
      </c>
      <c r="E164" s="83">
        <f>VLOOKUP(CurrentMtgRatesDataTable825[[#This Row],[asofdate]],O:P,2,0)</f>
        <v>0</v>
      </c>
      <c r="F164" s="84">
        <f ca="1">VLOOKUP(CurrentMtgRatesDataTable825[[#This Row],[asofdate]]+1,Bloomberg!B:C,2,0)</f>
        <v>2102.6999999999998</v>
      </c>
      <c r="I164" s="18">
        <v>42271</v>
      </c>
      <c r="J164" s="88">
        <v>0.47896225580000007</v>
      </c>
      <c r="K164" s="88">
        <f>VLOOKUP(CurrentMtgRatesDataTable82527141518[[#This Row],[asofdate]],O:P,2,0)</f>
        <v>0</v>
      </c>
      <c r="L164" s="88">
        <f>VLOOKUP(CurrentMtgRatesDataTable82527141518[[#This Row],[asofdate]],S:T,2,0)</f>
        <v>2.3921606000000002E-3</v>
      </c>
      <c r="M164" s="6">
        <f ca="1">VLOOKUP(CurrentMtgRatesDataTable82527141518[[#This Row],[asofdate]]+1,Bloomberg!B:C,2,0)</f>
        <v>1589.5</v>
      </c>
      <c r="N164" s="6"/>
      <c r="O164" s="18">
        <v>42243</v>
      </c>
      <c r="P164" s="88">
        <v>9.6845079999999999E-4</v>
      </c>
      <c r="Q164" s="101"/>
      <c r="R164" s="101"/>
      <c r="S164" s="18">
        <v>42208</v>
      </c>
      <c r="T164" s="88">
        <v>3.9537799999999994E-4</v>
      </c>
      <c r="V164"/>
    </row>
    <row r="165" spans="2:22">
      <c r="B165" s="82">
        <v>41550</v>
      </c>
      <c r="C165" s="83">
        <v>0.49244499819999998</v>
      </c>
      <c r="D165" s="83">
        <f>VLOOKUP(CurrentMtgRatesDataTable825[[#This Row],[asofdate]],I:J,2,0)</f>
        <v>0.4263110786</v>
      </c>
      <c r="E165" s="83">
        <f>VLOOKUP(CurrentMtgRatesDataTable825[[#This Row],[asofdate]],O:P,2,0)</f>
        <v>1.4037641999999999E-3</v>
      </c>
      <c r="F165" s="84">
        <f ca="1">VLOOKUP(CurrentMtgRatesDataTable825[[#This Row],[asofdate]]+1,Bloomberg!B:C,2,0)</f>
        <v>2025.3</v>
      </c>
      <c r="I165" s="18">
        <v>42264</v>
      </c>
      <c r="J165" s="88">
        <v>0.46867173429999998</v>
      </c>
      <c r="K165" s="88">
        <f>VLOOKUP(CurrentMtgRatesDataTable82527141518[[#This Row],[asofdate]],O:P,2,0)</f>
        <v>0</v>
      </c>
      <c r="L165" s="88">
        <f>VLOOKUP(CurrentMtgRatesDataTable82527141518[[#This Row],[asofdate]],S:T,2,0)</f>
        <v>1.7581392E-3</v>
      </c>
      <c r="M165" s="6">
        <f ca="1">VLOOKUP(CurrentMtgRatesDataTable82527141518[[#This Row],[asofdate]]+1,Bloomberg!B:C,2,0)</f>
        <v>1759.9</v>
      </c>
      <c r="N165" s="6"/>
      <c r="O165" s="18">
        <v>42236</v>
      </c>
      <c r="P165" s="88">
        <v>0</v>
      </c>
      <c r="Q165" s="101"/>
      <c r="R165" s="101"/>
      <c r="S165" s="18">
        <v>42201</v>
      </c>
      <c r="T165" s="88">
        <v>1.389746E-4</v>
      </c>
      <c r="V165"/>
    </row>
    <row r="166" spans="2:22">
      <c r="B166" s="82">
        <v>41543</v>
      </c>
      <c r="C166" s="83">
        <v>0.48977048720000005</v>
      </c>
      <c r="D166" s="83">
        <f>VLOOKUP(CurrentMtgRatesDataTable825[[#This Row],[asofdate]],I:J,2,0)</f>
        <v>0.41632010079999998</v>
      </c>
      <c r="E166" s="83">
        <f>VLOOKUP(CurrentMtgRatesDataTable825[[#This Row],[asofdate]],O:P,2,0)</f>
        <v>9.52758E-5</v>
      </c>
      <c r="F166" s="84">
        <f ca="1">VLOOKUP(CurrentMtgRatesDataTable825[[#This Row],[asofdate]]+1,Bloomberg!B:C,2,0)</f>
        <v>1956.6</v>
      </c>
      <c r="I166" s="18">
        <v>42257</v>
      </c>
      <c r="J166" s="88">
        <v>0.47320351910000003</v>
      </c>
      <c r="K166" s="88">
        <f>VLOOKUP(CurrentMtgRatesDataTable82527141518[[#This Row],[asofdate]],O:P,2,0)</f>
        <v>0</v>
      </c>
      <c r="L166" s="88">
        <f>VLOOKUP(CurrentMtgRatesDataTable82527141518[[#This Row],[asofdate]],S:T,2,0)</f>
        <v>2.1829420999999998E-3</v>
      </c>
      <c r="M166" s="6">
        <f ca="1">VLOOKUP(CurrentMtgRatesDataTable82527141518[[#This Row],[asofdate]]+1,Bloomberg!B:C,2,0)</f>
        <v>1473.7</v>
      </c>
      <c r="N166" s="6"/>
      <c r="O166" s="18">
        <v>42229</v>
      </c>
      <c r="P166" s="88">
        <v>0</v>
      </c>
      <c r="Q166" s="101"/>
      <c r="R166" s="101"/>
      <c r="S166" s="18">
        <v>42194</v>
      </c>
      <c r="T166" s="88">
        <v>4.4374600000000002E-4</v>
      </c>
      <c r="V166"/>
    </row>
    <row r="167" spans="2:22">
      <c r="B167" s="82">
        <v>41536</v>
      </c>
      <c r="C167" s="83">
        <v>0.37065214549999997</v>
      </c>
      <c r="D167" s="83">
        <f>VLOOKUP(CurrentMtgRatesDataTable825[[#This Row],[asofdate]],I:J,2,0)</f>
        <v>0.31066711050000001</v>
      </c>
      <c r="E167" s="83">
        <f>VLOOKUP(CurrentMtgRatesDataTable825[[#This Row],[asofdate]],O:P,2,0)</f>
        <v>0</v>
      </c>
      <c r="F167" s="84">
        <f ca="1">VLOOKUP(CurrentMtgRatesDataTable825[[#This Row],[asofdate]]+1,Bloomberg!B:C,2,0)</f>
        <v>1922.9</v>
      </c>
      <c r="I167" s="18">
        <v>42250</v>
      </c>
      <c r="J167" s="88">
        <v>0.47697419829999999</v>
      </c>
      <c r="K167" s="88">
        <f>VLOOKUP(CurrentMtgRatesDataTable82527141518[[#This Row],[asofdate]],O:P,2,0)</f>
        <v>0</v>
      </c>
      <c r="L167" s="88">
        <f>VLOOKUP(CurrentMtgRatesDataTable82527141518[[#This Row],[asofdate]],S:T,2,0)</f>
        <v>2.3660437000000002E-3</v>
      </c>
      <c r="M167" s="6">
        <f ca="1">VLOOKUP(CurrentMtgRatesDataTable82527141518[[#This Row],[asofdate]]+1,Bloomberg!B:C,2,0)</f>
        <v>1626.9</v>
      </c>
      <c r="N167" s="6"/>
      <c r="O167" s="18">
        <v>42222</v>
      </c>
      <c r="P167" s="88">
        <v>1.5500520000000001E-4</v>
      </c>
      <c r="Q167" s="101"/>
      <c r="R167" s="101"/>
      <c r="S167" s="18">
        <v>42187</v>
      </c>
      <c r="T167" s="88">
        <v>1.903912E-4</v>
      </c>
      <c r="V167"/>
    </row>
    <row r="168" spans="2:22">
      <c r="B168" s="82">
        <v>41529</v>
      </c>
      <c r="C168" s="83">
        <v>0.3430871942</v>
      </c>
      <c r="D168" s="83">
        <f>VLOOKUP(CurrentMtgRatesDataTable825[[#This Row],[asofdate]],I:J,2,0)</f>
        <v>0.28537209140000003</v>
      </c>
      <c r="E168" s="83">
        <f>VLOOKUP(CurrentMtgRatesDataTable825[[#This Row],[asofdate]],O:P,2,0)</f>
        <v>0</v>
      </c>
      <c r="F168" s="84">
        <f ca="1">VLOOKUP(CurrentMtgRatesDataTable825[[#This Row],[asofdate]]+1,Bloomberg!B:C,2,0)</f>
        <v>1814</v>
      </c>
      <c r="I168" s="18">
        <v>42243</v>
      </c>
      <c r="J168" s="88">
        <v>0.5041978131</v>
      </c>
      <c r="K168" s="88">
        <f>VLOOKUP(CurrentMtgRatesDataTable82527141518[[#This Row],[asofdate]],O:P,2,0)</f>
        <v>9.6845079999999999E-4</v>
      </c>
      <c r="L168" s="88">
        <f>VLOOKUP(CurrentMtgRatesDataTable82527141518[[#This Row],[asofdate]],S:T,2,0)</f>
        <v>4.1198983E-3</v>
      </c>
      <c r="M168" s="6">
        <f ca="1">VLOOKUP(CurrentMtgRatesDataTable82527141518[[#This Row],[asofdate]]+1,Bloomberg!B:C,2,0)</f>
        <v>1857.7</v>
      </c>
      <c r="N168" s="6"/>
      <c r="O168" s="18">
        <v>42215</v>
      </c>
      <c r="P168" s="88">
        <v>0</v>
      </c>
      <c r="Q168" s="101"/>
      <c r="R168" s="101"/>
      <c r="S168" s="18">
        <v>42180</v>
      </c>
      <c r="T168" s="88">
        <v>1.9310449999999999E-4</v>
      </c>
      <c r="V168"/>
    </row>
    <row r="169" spans="2:22">
      <c r="B169" s="82">
        <v>41522</v>
      </c>
      <c r="C169" s="83">
        <v>0.34744397290000001</v>
      </c>
      <c r="D169" s="83">
        <f>VLOOKUP(CurrentMtgRatesDataTable825[[#This Row],[asofdate]],I:J,2,0)</f>
        <v>0.29028109590000001</v>
      </c>
      <c r="E169" s="83">
        <f>VLOOKUP(CurrentMtgRatesDataTable825[[#This Row],[asofdate]],O:P,2,0)</f>
        <v>0</v>
      </c>
      <c r="F169" s="84">
        <f ca="1">VLOOKUP(CurrentMtgRatesDataTable825[[#This Row],[asofdate]]+1,Bloomberg!B:C,2,0)</f>
        <v>1512.9</v>
      </c>
      <c r="I169" s="18">
        <v>42236</v>
      </c>
      <c r="J169" s="88">
        <v>0.46923579520000003</v>
      </c>
      <c r="K169" s="88">
        <f>VLOOKUP(CurrentMtgRatesDataTable82527141518[[#This Row],[asofdate]],O:P,2,0)</f>
        <v>0</v>
      </c>
      <c r="L169" s="88">
        <f>VLOOKUP(CurrentMtgRatesDataTable82527141518[[#This Row],[asofdate]],S:T,2,0)</f>
        <v>1.1244787E-3</v>
      </c>
      <c r="M169" s="6">
        <f ca="1">VLOOKUP(CurrentMtgRatesDataTable82527141518[[#This Row],[asofdate]]+1,Bloomberg!B:C,2,0)</f>
        <v>1545.5</v>
      </c>
      <c r="N169" s="6"/>
      <c r="O169" s="18">
        <v>42208</v>
      </c>
      <c r="P169" s="88">
        <v>0</v>
      </c>
      <c r="Q169" s="101"/>
      <c r="R169" s="101"/>
      <c r="S169" s="18">
        <v>42173</v>
      </c>
      <c r="T169" s="88">
        <v>3.9650180000000001E-4</v>
      </c>
      <c r="V169"/>
    </row>
    <row r="170" spans="2:22">
      <c r="B170" s="82">
        <v>41515</v>
      </c>
      <c r="C170" s="83">
        <v>0.3789545641</v>
      </c>
      <c r="D170" s="83">
        <f>VLOOKUP(CurrentMtgRatesDataTable825[[#This Row],[asofdate]],I:J,2,0)</f>
        <v>0.31811704870000002</v>
      </c>
      <c r="E170" s="83">
        <f>VLOOKUP(CurrentMtgRatesDataTable825[[#This Row],[asofdate]],O:P,2,0)</f>
        <v>0</v>
      </c>
      <c r="F170" s="84">
        <f ca="1">VLOOKUP(CurrentMtgRatesDataTable825[[#This Row],[asofdate]]+1,Bloomberg!B:C,2,0)</f>
        <v>1909</v>
      </c>
      <c r="I170" s="18">
        <v>42229</v>
      </c>
      <c r="J170" s="88">
        <v>0.46486339789999997</v>
      </c>
      <c r="K170" s="88">
        <f>VLOOKUP(CurrentMtgRatesDataTable82527141518[[#This Row],[asofdate]],O:P,2,0)</f>
        <v>0</v>
      </c>
      <c r="L170" s="88">
        <f>VLOOKUP(CurrentMtgRatesDataTable82527141518[[#This Row],[asofdate]],S:T,2,0)</f>
        <v>1.0769498000000001E-3</v>
      </c>
      <c r="M170" s="6">
        <f ca="1">VLOOKUP(CurrentMtgRatesDataTable82527141518[[#This Row],[asofdate]]+1,Bloomberg!B:C,2,0)</f>
        <v>1561.2</v>
      </c>
      <c r="N170" s="6"/>
      <c r="O170" s="18">
        <v>42201</v>
      </c>
      <c r="P170" s="88">
        <v>0</v>
      </c>
      <c r="Q170" s="101"/>
      <c r="R170" s="101"/>
      <c r="S170" s="18">
        <v>42166</v>
      </c>
      <c r="T170" s="88">
        <v>3.7143129999999997E-4</v>
      </c>
      <c r="V170"/>
    </row>
    <row r="171" spans="2:22">
      <c r="B171" s="82">
        <v>41508</v>
      </c>
      <c r="C171" s="83">
        <v>0.35381697849999999</v>
      </c>
      <c r="D171" s="83">
        <f>VLOOKUP(CurrentMtgRatesDataTable825[[#This Row],[asofdate]],I:J,2,0)</f>
        <v>0.29567177890000002</v>
      </c>
      <c r="E171" s="83">
        <f>VLOOKUP(CurrentMtgRatesDataTable825[[#This Row],[asofdate]],O:P,2,0)</f>
        <v>0</v>
      </c>
      <c r="F171" s="84">
        <f ca="1">VLOOKUP(CurrentMtgRatesDataTable825[[#This Row],[asofdate]]+1,Bloomberg!B:C,2,0)</f>
        <v>1842.6</v>
      </c>
      <c r="I171" s="18">
        <v>42222</v>
      </c>
      <c r="J171" s="88">
        <v>0.47665542830000007</v>
      </c>
      <c r="K171" s="88">
        <f>VLOOKUP(CurrentMtgRatesDataTable82527141518[[#This Row],[asofdate]],O:P,2,0)</f>
        <v>1.5500520000000001E-4</v>
      </c>
      <c r="L171" s="88">
        <f>VLOOKUP(CurrentMtgRatesDataTable82527141518[[#This Row],[asofdate]],S:T,2,0)</f>
        <v>1.4956543E-3</v>
      </c>
      <c r="M171" s="6">
        <f ca="1">VLOOKUP(CurrentMtgRatesDataTable82527141518[[#This Row],[asofdate]]+1,Bloomberg!B:C,2,0)</f>
        <v>1455.2</v>
      </c>
      <c r="N171" s="6"/>
      <c r="O171" s="18">
        <v>42194</v>
      </c>
      <c r="P171" s="88">
        <v>0</v>
      </c>
      <c r="Q171" s="101"/>
      <c r="R171" s="101"/>
      <c r="S171" s="18">
        <v>42159</v>
      </c>
      <c r="T171" s="88">
        <v>1.10224E-3</v>
      </c>
      <c r="V171"/>
    </row>
    <row r="172" spans="2:22">
      <c r="B172" s="82">
        <v>41501</v>
      </c>
      <c r="C172" s="83">
        <v>0.46056392039999999</v>
      </c>
      <c r="D172" s="83">
        <f>VLOOKUP(CurrentMtgRatesDataTable825[[#This Row],[asofdate]],I:J,2,0)</f>
        <v>0.39637014929999997</v>
      </c>
      <c r="E172" s="83">
        <f>VLOOKUP(CurrentMtgRatesDataTable825[[#This Row],[asofdate]],O:P,2,0)</f>
        <v>0</v>
      </c>
      <c r="F172" s="84">
        <f ca="1">VLOOKUP(CurrentMtgRatesDataTable825[[#This Row],[asofdate]]+1,Bloomberg!B:C,2,0)</f>
        <v>1935.1</v>
      </c>
      <c r="I172" s="18">
        <v>42215</v>
      </c>
      <c r="J172" s="88">
        <v>0.457838246</v>
      </c>
      <c r="K172" s="88">
        <f>VLOOKUP(CurrentMtgRatesDataTable82527141518[[#This Row],[asofdate]],O:P,2,0)</f>
        <v>0</v>
      </c>
      <c r="L172" s="88">
        <f>VLOOKUP(CurrentMtgRatesDataTable82527141518[[#This Row],[asofdate]],S:T,2,0)</f>
        <v>9.2205249999999998E-4</v>
      </c>
      <c r="M172" s="6">
        <f ca="1">VLOOKUP(CurrentMtgRatesDataTable82527141518[[#This Row],[asofdate]]+1,Bloomberg!B:C,2,0)</f>
        <v>1418</v>
      </c>
      <c r="N172" s="6"/>
      <c r="O172" s="18">
        <v>42187</v>
      </c>
      <c r="P172" s="88">
        <v>0</v>
      </c>
      <c r="Q172" s="101"/>
      <c r="R172" s="101"/>
      <c r="S172" s="18">
        <v>42152</v>
      </c>
      <c r="T172" s="88">
        <v>6.8662390000000001E-4</v>
      </c>
      <c r="V172"/>
    </row>
    <row r="173" spans="2:22">
      <c r="B173" s="82">
        <v>41494</v>
      </c>
      <c r="C173" s="83">
        <v>0.46056392039999999</v>
      </c>
      <c r="D173" s="83">
        <f>VLOOKUP(CurrentMtgRatesDataTable825[[#This Row],[asofdate]],I:J,2,0)</f>
        <v>0.39637014929999997</v>
      </c>
      <c r="E173" s="83">
        <f>VLOOKUP(CurrentMtgRatesDataTable825[[#This Row],[asofdate]],O:P,2,0)</f>
        <v>0</v>
      </c>
      <c r="F173" s="84">
        <f ca="1">VLOOKUP(CurrentMtgRatesDataTable825[[#This Row],[asofdate]]+1,Bloomberg!B:C,2,0)</f>
        <v>2110.6</v>
      </c>
      <c r="I173" s="18">
        <v>42208</v>
      </c>
      <c r="J173" s="88">
        <v>0.42251660730000001</v>
      </c>
      <c r="K173" s="88">
        <f>VLOOKUP(CurrentMtgRatesDataTable82527141518[[#This Row],[asofdate]],O:P,2,0)</f>
        <v>0</v>
      </c>
      <c r="L173" s="88">
        <f>VLOOKUP(CurrentMtgRatesDataTable82527141518[[#This Row],[asofdate]],S:T,2,0)</f>
        <v>3.9537799999999994E-4</v>
      </c>
      <c r="M173" s="6">
        <f ca="1">VLOOKUP(CurrentMtgRatesDataTable82527141518[[#This Row],[asofdate]]+1,Bloomberg!B:C,2,0)</f>
        <v>1339.9</v>
      </c>
      <c r="N173" s="6"/>
      <c r="O173" s="18">
        <v>42180</v>
      </c>
      <c r="P173" s="88">
        <v>0</v>
      </c>
      <c r="Q173" s="101"/>
      <c r="R173" s="101"/>
      <c r="S173" s="18">
        <v>42145</v>
      </c>
      <c r="T173" s="88">
        <v>9.2324639999999999E-4</v>
      </c>
      <c r="V173"/>
    </row>
    <row r="174" spans="2:22">
      <c r="B174" s="82">
        <v>41487</v>
      </c>
      <c r="C174" s="83">
        <v>0.47029827790000001</v>
      </c>
      <c r="D174" s="83">
        <f>VLOOKUP(CurrentMtgRatesDataTable825[[#This Row],[asofdate]],I:J,2,0)</f>
        <v>0.40307329619999999</v>
      </c>
      <c r="E174" s="83">
        <f>VLOOKUP(CurrentMtgRatesDataTable825[[#This Row],[asofdate]],O:P,2,0)</f>
        <v>0</v>
      </c>
      <c r="F174" s="84">
        <f ca="1">VLOOKUP(CurrentMtgRatesDataTable825[[#This Row],[asofdate]]+1,Bloomberg!B:C,2,0)</f>
        <v>2228.9</v>
      </c>
      <c r="I174" s="18">
        <v>42201</v>
      </c>
      <c r="J174" s="88">
        <v>0.3834563862</v>
      </c>
      <c r="K174" s="88">
        <f>VLOOKUP(CurrentMtgRatesDataTable82527141518[[#This Row],[asofdate]],O:P,2,0)</f>
        <v>0</v>
      </c>
      <c r="L174" s="88">
        <f>VLOOKUP(CurrentMtgRatesDataTable82527141518[[#This Row],[asofdate]],S:T,2,0)</f>
        <v>1.389746E-4</v>
      </c>
      <c r="M174" s="6">
        <f ca="1">VLOOKUP(CurrentMtgRatesDataTable82527141518[[#This Row],[asofdate]]+1,Bloomberg!B:C,2,0)</f>
        <v>1305.5999999999999</v>
      </c>
      <c r="N174" s="6"/>
      <c r="O174" s="18">
        <v>42173</v>
      </c>
      <c r="P174" s="88">
        <v>0</v>
      </c>
      <c r="Q174" s="101"/>
      <c r="R174" s="101"/>
      <c r="S174" s="18">
        <v>42138</v>
      </c>
      <c r="T174" s="88">
        <v>2.1647323E-3</v>
      </c>
      <c r="V174"/>
    </row>
    <row r="175" spans="2:22">
      <c r="B175" s="82">
        <v>41480</v>
      </c>
      <c r="C175" s="83">
        <v>0.5197386289</v>
      </c>
      <c r="D175" s="83">
        <f>VLOOKUP(CurrentMtgRatesDataTable825[[#This Row],[asofdate]],I:J,2,0)</f>
        <v>0.44344400090000002</v>
      </c>
      <c r="E175" s="83">
        <f>VLOOKUP(CurrentMtgRatesDataTable825[[#This Row],[asofdate]],O:P,2,0)</f>
        <v>0</v>
      </c>
      <c r="F175" s="84">
        <f ca="1">VLOOKUP(CurrentMtgRatesDataTable825[[#This Row],[asofdate]]+1,Bloomberg!B:C,2,0)</f>
        <v>2218.3000000000002</v>
      </c>
      <c r="I175" s="18">
        <v>42194</v>
      </c>
      <c r="J175" s="88">
        <v>0.42251660730000001</v>
      </c>
      <c r="K175" s="88">
        <f>VLOOKUP(CurrentMtgRatesDataTable82527141518[[#This Row],[asofdate]],O:P,2,0)</f>
        <v>0</v>
      </c>
      <c r="L175" s="88">
        <f>VLOOKUP(CurrentMtgRatesDataTable82527141518[[#This Row],[asofdate]],S:T,2,0)</f>
        <v>4.4374600000000002E-4</v>
      </c>
      <c r="M175" s="6">
        <f ca="1">VLOOKUP(CurrentMtgRatesDataTable82527141518[[#This Row],[asofdate]]+1,Bloomberg!B:C,2,0)</f>
        <v>1332.4</v>
      </c>
      <c r="N175" s="6"/>
      <c r="O175" s="18">
        <v>42166</v>
      </c>
      <c r="P175" s="88">
        <v>0</v>
      </c>
      <c r="Q175" s="101"/>
      <c r="R175" s="101"/>
      <c r="S175" s="18">
        <v>42131</v>
      </c>
      <c r="T175" s="88">
        <v>3.5595009E-3</v>
      </c>
      <c r="V175"/>
    </row>
    <row r="176" spans="2:22">
      <c r="B176" s="82">
        <v>41473</v>
      </c>
      <c r="C176" s="83">
        <v>0.50054843439999996</v>
      </c>
      <c r="D176" s="83">
        <f>VLOOKUP(CurrentMtgRatesDataTable825[[#This Row],[asofdate]],I:J,2,0)</f>
        <v>0.42843391609999998</v>
      </c>
      <c r="E176" s="83">
        <f>VLOOKUP(CurrentMtgRatesDataTable825[[#This Row],[asofdate]],O:P,2,0)</f>
        <v>0</v>
      </c>
      <c r="F176" s="84">
        <f ca="1">VLOOKUP(CurrentMtgRatesDataTable825[[#This Row],[asofdate]]+1,Bloomberg!B:C,2,0)</f>
        <v>2288</v>
      </c>
      <c r="I176" s="18">
        <v>42187</v>
      </c>
      <c r="J176" s="88">
        <v>0.39081741889999999</v>
      </c>
      <c r="K176" s="88">
        <f>VLOOKUP(CurrentMtgRatesDataTable82527141518[[#This Row],[asofdate]],O:P,2,0)</f>
        <v>0</v>
      </c>
      <c r="L176" s="88">
        <f>VLOOKUP(CurrentMtgRatesDataTable82527141518[[#This Row],[asofdate]],S:T,2,0)</f>
        <v>1.903912E-4</v>
      </c>
      <c r="M176" s="6">
        <f ca="1">VLOOKUP(CurrentMtgRatesDataTable82527141518[[#This Row],[asofdate]]+1,Bloomberg!B:C,2,0)</f>
        <v>1299.9000000000001</v>
      </c>
      <c r="N176" s="6"/>
      <c r="O176" s="18">
        <v>42159</v>
      </c>
      <c r="P176" s="88">
        <v>0</v>
      </c>
      <c r="Q176" s="101"/>
      <c r="R176" s="101"/>
      <c r="S176" s="18">
        <v>42124</v>
      </c>
      <c r="T176" s="88">
        <v>0.197289092</v>
      </c>
      <c r="V176"/>
    </row>
    <row r="177" spans="2:22">
      <c r="B177" s="82">
        <v>41466</v>
      </c>
      <c r="C177" s="83">
        <v>0.38419434810000003</v>
      </c>
      <c r="D177" s="83">
        <f>VLOOKUP(CurrentMtgRatesDataTable825[[#This Row],[asofdate]],I:J,2,0)</f>
        <v>0.32178905419999998</v>
      </c>
      <c r="E177" s="83">
        <f>VLOOKUP(CurrentMtgRatesDataTable825[[#This Row],[asofdate]],O:P,2,0)</f>
        <v>0</v>
      </c>
      <c r="F177" s="84">
        <f ca="1">VLOOKUP(CurrentMtgRatesDataTable825[[#This Row],[asofdate]]+1,Bloomberg!B:C,2,0)</f>
        <v>2242.1999999999998</v>
      </c>
      <c r="I177" s="18">
        <v>42180</v>
      </c>
      <c r="J177" s="88">
        <v>0.4235134518</v>
      </c>
      <c r="K177" s="88">
        <f>VLOOKUP(CurrentMtgRatesDataTable82527141518[[#This Row],[asofdate]],O:P,2,0)</f>
        <v>0</v>
      </c>
      <c r="L177" s="88">
        <f>VLOOKUP(CurrentMtgRatesDataTable82527141518[[#This Row],[asofdate]],S:T,2,0)</f>
        <v>1.9310449999999999E-4</v>
      </c>
      <c r="M177" s="6">
        <f ca="1">VLOOKUP(CurrentMtgRatesDataTable82527141518[[#This Row],[asofdate]]+1,Bloomberg!B:C,2,0)</f>
        <v>1246.0999999999999</v>
      </c>
      <c r="N177" s="6"/>
      <c r="O177" s="18">
        <v>42152</v>
      </c>
      <c r="P177" s="88">
        <v>0</v>
      </c>
      <c r="Q177" s="101"/>
      <c r="R177" s="101"/>
      <c r="S177" s="18">
        <v>42117</v>
      </c>
      <c r="T177" s="88">
        <v>0.20635886780000001</v>
      </c>
      <c r="V177"/>
    </row>
    <row r="178" spans="2:22">
      <c r="B178" s="82">
        <v>41458</v>
      </c>
      <c r="C178" s="83">
        <v>0.53319254169999997</v>
      </c>
      <c r="D178" s="83">
        <f>VLOOKUP(CurrentMtgRatesDataTable825[[#This Row],[asofdate]],I:J,2,0)</f>
        <v>0.45589266750000002</v>
      </c>
      <c r="E178" s="83">
        <f>VLOOKUP(CurrentMtgRatesDataTable825[[#This Row],[asofdate]],O:P,2,0)</f>
        <v>0</v>
      </c>
      <c r="F178" s="84" t="e">
        <f ca="1">VLOOKUP(CurrentMtgRatesDataTable825[[#This Row],[asofdate]]+1,Bloomberg!B:C,2,0)</f>
        <v>#N/A</v>
      </c>
      <c r="I178" s="18">
        <v>42173</v>
      </c>
      <c r="J178" s="88">
        <v>0.4402914228</v>
      </c>
      <c r="K178" s="88">
        <f>VLOOKUP(CurrentMtgRatesDataTable82527141518[[#This Row],[asofdate]],O:P,2,0)</f>
        <v>0</v>
      </c>
      <c r="L178" s="88">
        <f>VLOOKUP(CurrentMtgRatesDataTable82527141518[[#This Row],[asofdate]],S:T,2,0)</f>
        <v>3.9650180000000001E-4</v>
      </c>
      <c r="M178" s="6">
        <f ca="1">VLOOKUP(CurrentMtgRatesDataTable82527141518[[#This Row],[asofdate]]+1,Bloomberg!B:C,2,0)</f>
        <v>1318.3</v>
      </c>
      <c r="N178" s="6"/>
      <c r="O178" s="18">
        <v>42145</v>
      </c>
      <c r="P178" s="88">
        <v>0</v>
      </c>
      <c r="Q178" s="101"/>
      <c r="R178" s="101"/>
      <c r="S178" s="18">
        <v>42110</v>
      </c>
      <c r="T178" s="88">
        <v>0.1929948675</v>
      </c>
      <c r="V178"/>
    </row>
    <row r="179" spans="2:22">
      <c r="B179" s="82">
        <v>41452</v>
      </c>
      <c r="C179" s="83">
        <v>0.41905135049999997</v>
      </c>
      <c r="D179" s="83">
        <f>VLOOKUP(CurrentMtgRatesDataTable825[[#This Row],[asofdate]],I:J,2,0)</f>
        <v>0.34869473950000002</v>
      </c>
      <c r="E179" s="83">
        <f>VLOOKUP(CurrentMtgRatesDataTable825[[#This Row],[asofdate]],O:P,2,0)</f>
        <v>0</v>
      </c>
      <c r="F179" s="84">
        <f ca="1">VLOOKUP(CurrentMtgRatesDataTable825[[#This Row],[asofdate]]+1,Bloomberg!B:C,2,0)</f>
        <v>2573.4</v>
      </c>
      <c r="I179" s="18">
        <v>42166</v>
      </c>
      <c r="J179" s="88">
        <v>0.4287190474</v>
      </c>
      <c r="K179" s="88">
        <f>VLOOKUP(CurrentMtgRatesDataTable82527141518[[#This Row],[asofdate]],O:P,2,0)</f>
        <v>0</v>
      </c>
      <c r="L179" s="88">
        <f>VLOOKUP(CurrentMtgRatesDataTable82527141518[[#This Row],[asofdate]],S:T,2,0)</f>
        <v>3.7143129999999997E-4</v>
      </c>
      <c r="M179" s="6">
        <f ca="1">VLOOKUP(CurrentMtgRatesDataTable82527141518[[#This Row],[asofdate]]+1,Bloomberg!B:C,2,0)</f>
        <v>1273.4000000000001</v>
      </c>
      <c r="N179" s="6"/>
      <c r="O179" s="18">
        <v>42138</v>
      </c>
      <c r="P179" s="88">
        <v>0</v>
      </c>
      <c r="Q179" s="101"/>
      <c r="R179" s="101"/>
      <c r="S179" s="18">
        <v>42103</v>
      </c>
      <c r="T179" s="88">
        <v>0.2036454261</v>
      </c>
      <c r="V179"/>
    </row>
    <row r="180" spans="2:22">
      <c r="B180" s="82">
        <v>41445</v>
      </c>
      <c r="C180" s="83">
        <v>0.64225059019999997</v>
      </c>
      <c r="D180" s="83">
        <f>VLOOKUP(CurrentMtgRatesDataTable825[[#This Row],[asofdate]],I:J,2,0)</f>
        <v>0.57161882750000004</v>
      </c>
      <c r="E180" s="83">
        <f>VLOOKUP(CurrentMtgRatesDataTable825[[#This Row],[asofdate]],O:P,2,0)</f>
        <v>0</v>
      </c>
      <c r="F180" s="84">
        <f ca="1">VLOOKUP(CurrentMtgRatesDataTable825[[#This Row],[asofdate]]+1,Bloomberg!B:C,2,0)</f>
        <v>3040.1</v>
      </c>
      <c r="I180" s="18">
        <v>42159</v>
      </c>
      <c r="J180" s="88">
        <v>0.51058617240000004</v>
      </c>
      <c r="K180" s="88">
        <f>VLOOKUP(CurrentMtgRatesDataTable82527141518[[#This Row],[asofdate]],O:P,2,0)</f>
        <v>0</v>
      </c>
      <c r="L180" s="88">
        <f>VLOOKUP(CurrentMtgRatesDataTable82527141518[[#This Row],[asofdate]],S:T,2,0)</f>
        <v>1.10224E-3</v>
      </c>
      <c r="M180" s="6">
        <f ca="1">VLOOKUP(CurrentMtgRatesDataTable82527141518[[#This Row],[asofdate]]+1,Bloomberg!B:C,2,0)</f>
        <v>1342.4</v>
      </c>
      <c r="N180" s="6"/>
      <c r="O180" s="18">
        <v>42131</v>
      </c>
      <c r="P180" s="88">
        <v>0</v>
      </c>
      <c r="Q180" s="101"/>
      <c r="R180" s="101"/>
      <c r="S180" s="18">
        <v>42096</v>
      </c>
      <c r="T180" s="88">
        <v>0.1920001559</v>
      </c>
      <c r="V180"/>
    </row>
    <row r="181" spans="2:22">
      <c r="B181" s="82">
        <v>41438</v>
      </c>
      <c r="C181" s="83">
        <v>0.63399052840000003</v>
      </c>
      <c r="D181" s="83">
        <f>VLOOKUP(CurrentMtgRatesDataTable825[[#This Row],[asofdate]],I:J,2,0)</f>
        <v>0.56083719949999999</v>
      </c>
      <c r="E181" s="83">
        <f>VLOOKUP(CurrentMtgRatesDataTable825[[#This Row],[asofdate]],O:P,2,0)</f>
        <v>0</v>
      </c>
      <c r="F181" s="84">
        <f ca="1">VLOOKUP(CurrentMtgRatesDataTable825[[#This Row],[asofdate]]+1,Bloomberg!B:C,2,0)</f>
        <v>3214.4</v>
      </c>
      <c r="I181" s="18">
        <v>42152</v>
      </c>
      <c r="J181" s="88">
        <v>0.51796522560000002</v>
      </c>
      <c r="K181" s="88">
        <f>VLOOKUP(CurrentMtgRatesDataTable82527141518[[#This Row],[asofdate]],O:P,2,0)</f>
        <v>0</v>
      </c>
      <c r="L181" s="88">
        <f>VLOOKUP(CurrentMtgRatesDataTable82527141518[[#This Row],[asofdate]],S:T,2,0)</f>
        <v>6.8662390000000001E-4</v>
      </c>
      <c r="M181" s="6">
        <f ca="1">VLOOKUP(CurrentMtgRatesDataTable82527141518[[#This Row],[asofdate]]+1,Bloomberg!B:C,2,0)</f>
        <v>1233.9000000000001</v>
      </c>
      <c r="N181" s="6"/>
      <c r="O181" s="18">
        <v>42124</v>
      </c>
      <c r="P181" s="88">
        <v>0</v>
      </c>
      <c r="Q181" s="101"/>
      <c r="R181" s="101"/>
      <c r="S181" s="18">
        <v>42089</v>
      </c>
      <c r="T181" s="88">
        <v>0.19417233710000001</v>
      </c>
      <c r="V181"/>
    </row>
    <row r="182" spans="2:22">
      <c r="B182" s="82">
        <v>41431</v>
      </c>
      <c r="C182" s="83">
        <v>0.65588630510000001</v>
      </c>
      <c r="D182" s="83">
        <f>VLOOKUP(CurrentMtgRatesDataTable825[[#This Row],[asofdate]],I:J,2,0)</f>
        <v>0.59131864460000005</v>
      </c>
      <c r="E182" s="83">
        <f>VLOOKUP(CurrentMtgRatesDataTable825[[#This Row],[asofdate]],O:P,2,0)</f>
        <v>0</v>
      </c>
      <c r="F182" s="84">
        <f ca="1">VLOOKUP(CurrentMtgRatesDataTable825[[#This Row],[asofdate]]+1,Bloomberg!B:C,2,0)</f>
        <v>3339.8</v>
      </c>
      <c r="I182" s="18">
        <v>42145</v>
      </c>
      <c r="J182" s="88">
        <v>0.51964795649999995</v>
      </c>
      <c r="K182" s="88">
        <f>VLOOKUP(CurrentMtgRatesDataTable82527141518[[#This Row],[asofdate]],O:P,2,0)</f>
        <v>0</v>
      </c>
      <c r="L182" s="88">
        <f>VLOOKUP(CurrentMtgRatesDataTable82527141518[[#This Row],[asofdate]],S:T,2,0)</f>
        <v>9.2324639999999999E-4</v>
      </c>
      <c r="M182" s="6">
        <f ca="1">VLOOKUP(CurrentMtgRatesDataTable82527141518[[#This Row],[asofdate]]+1,Bloomberg!B:C,2,0)</f>
        <v>1408.1</v>
      </c>
      <c r="N182" s="6"/>
      <c r="O182" s="18">
        <v>42117</v>
      </c>
      <c r="P182" s="88">
        <v>4.1584634000000004E-3</v>
      </c>
      <c r="Q182" s="101"/>
      <c r="R182" s="101"/>
      <c r="S182" s="18">
        <v>42082</v>
      </c>
      <c r="T182" s="88">
        <v>0.16825353979999999</v>
      </c>
      <c r="V182"/>
    </row>
    <row r="183" spans="2:22">
      <c r="B183" s="82">
        <v>41424</v>
      </c>
      <c r="C183" s="83">
        <v>0.70560329119999998</v>
      </c>
      <c r="D183" s="83">
        <f>VLOOKUP(CurrentMtgRatesDataTable825[[#This Row],[asofdate]],I:J,2,0)</f>
        <v>0.63737094370000003</v>
      </c>
      <c r="E183" s="83">
        <f>VLOOKUP(CurrentMtgRatesDataTable825[[#This Row],[asofdate]],O:P,2,0)</f>
        <v>0</v>
      </c>
      <c r="F183" s="84">
        <f ca="1">VLOOKUP(CurrentMtgRatesDataTable825[[#This Row],[asofdate]]+1,Bloomberg!B:C,2,0)</f>
        <v>3163.6</v>
      </c>
      <c r="I183" s="18">
        <v>42138</v>
      </c>
      <c r="J183" s="88">
        <v>0.52683586439999996</v>
      </c>
      <c r="K183" s="88">
        <f>VLOOKUP(CurrentMtgRatesDataTable82527141518[[#This Row],[asofdate]],O:P,2,0)</f>
        <v>0</v>
      </c>
      <c r="L183" s="88">
        <f>VLOOKUP(CurrentMtgRatesDataTable82527141518[[#This Row],[asofdate]],S:T,2,0)</f>
        <v>2.1647323E-3</v>
      </c>
      <c r="M183" s="6">
        <f ca="1">VLOOKUP(CurrentMtgRatesDataTable82527141518[[#This Row],[asofdate]]+1,Bloomberg!B:C,2,0)</f>
        <v>1448.8</v>
      </c>
      <c r="N183" s="6"/>
      <c r="O183" s="18">
        <v>42110</v>
      </c>
      <c r="P183" s="88">
        <v>0</v>
      </c>
      <c r="Q183" s="101"/>
      <c r="R183" s="101"/>
      <c r="S183" s="18">
        <v>42075</v>
      </c>
      <c r="T183" s="88">
        <v>0.14233795430000001</v>
      </c>
      <c r="V183"/>
    </row>
    <row r="184" spans="2:22">
      <c r="B184" s="82">
        <v>41417</v>
      </c>
      <c r="C184" s="83">
        <v>0.74422638649999995</v>
      </c>
      <c r="D184" s="83">
        <f>VLOOKUP(CurrentMtgRatesDataTable825[[#This Row],[asofdate]],I:J,2,0)</f>
        <v>0.68080591260000001</v>
      </c>
      <c r="E184" s="83">
        <f>VLOOKUP(CurrentMtgRatesDataTable825[[#This Row],[asofdate]],O:P,2,0)</f>
        <v>0</v>
      </c>
      <c r="F184" s="84">
        <f ca="1">VLOOKUP(CurrentMtgRatesDataTable825[[#This Row],[asofdate]]+1,Bloomberg!B:C,2,0)</f>
        <v>3709.4</v>
      </c>
      <c r="I184" s="18">
        <v>42131</v>
      </c>
      <c r="J184" s="88">
        <v>0.55026050680000005</v>
      </c>
      <c r="K184" s="88">
        <f>VLOOKUP(CurrentMtgRatesDataTable82527141518[[#This Row],[asofdate]],O:P,2,0)</f>
        <v>0</v>
      </c>
      <c r="L184" s="88">
        <f>VLOOKUP(CurrentMtgRatesDataTable82527141518[[#This Row],[asofdate]],S:T,2,0)</f>
        <v>3.5595009E-3</v>
      </c>
      <c r="M184" s="6">
        <f ca="1">VLOOKUP(CurrentMtgRatesDataTable82527141518[[#This Row],[asofdate]]+1,Bloomberg!B:C,2,0)</f>
        <v>1477.8</v>
      </c>
      <c r="N184" s="6"/>
      <c r="O184" s="18">
        <v>42103</v>
      </c>
      <c r="P184" s="88">
        <v>4.0821104999999996E-3</v>
      </c>
      <c r="Q184" s="101"/>
      <c r="R184" s="101"/>
      <c r="S184" s="18">
        <v>42068</v>
      </c>
      <c r="T184" s="88">
        <v>0.17940538610000001</v>
      </c>
      <c r="V184"/>
    </row>
    <row r="185" spans="2:22">
      <c r="B185" s="82">
        <v>41410</v>
      </c>
      <c r="C185" s="83">
        <v>0.77052889550000003</v>
      </c>
      <c r="D185" s="83">
        <f>VLOOKUP(CurrentMtgRatesDataTable825[[#This Row],[asofdate]],I:J,2,0)</f>
        <v>0.71934472250000003</v>
      </c>
      <c r="E185" s="83">
        <f>VLOOKUP(CurrentMtgRatesDataTable825[[#This Row],[asofdate]],O:P,2,0)</f>
        <v>0</v>
      </c>
      <c r="F185" s="84">
        <f ca="1">VLOOKUP(CurrentMtgRatesDataTable825[[#This Row],[asofdate]]+1,Bloomberg!B:C,2,0)</f>
        <v>4241.5</v>
      </c>
      <c r="I185" s="18">
        <v>42124</v>
      </c>
      <c r="J185" s="88">
        <v>0.61605337270000005</v>
      </c>
      <c r="K185" s="88">
        <f>VLOOKUP(CurrentMtgRatesDataTable82527141518[[#This Row],[asofdate]],O:P,2,0)</f>
        <v>0</v>
      </c>
      <c r="L185" s="88">
        <f>VLOOKUP(CurrentMtgRatesDataTable82527141518[[#This Row],[asofdate]],S:T,2,0)</f>
        <v>0.197289092</v>
      </c>
      <c r="M185" s="6">
        <f ca="1">VLOOKUP(CurrentMtgRatesDataTable82527141518[[#This Row],[asofdate]]+1,Bloomberg!B:C,2,0)</f>
        <v>1559.4</v>
      </c>
      <c r="N185" s="6"/>
      <c r="O185" s="18">
        <v>42096</v>
      </c>
      <c r="P185" s="88">
        <v>0</v>
      </c>
      <c r="Q185" s="101"/>
      <c r="R185" s="101"/>
      <c r="S185" s="18">
        <v>42061</v>
      </c>
      <c r="T185" s="88">
        <v>0.15760086139999999</v>
      </c>
      <c r="V185"/>
    </row>
    <row r="186" spans="2:22">
      <c r="B186" s="82">
        <v>41403</v>
      </c>
      <c r="C186" s="83">
        <v>0.83206605730000005</v>
      </c>
      <c r="D186" s="83">
        <f>VLOOKUP(CurrentMtgRatesDataTable825[[#This Row],[asofdate]],I:J,2,0)</f>
        <v>0.77767292639999996</v>
      </c>
      <c r="E186" s="83">
        <f>VLOOKUP(CurrentMtgRatesDataTable825[[#This Row],[asofdate]],O:P,2,0)</f>
        <v>0</v>
      </c>
      <c r="F186" s="84">
        <f ca="1">VLOOKUP(CurrentMtgRatesDataTable825[[#This Row],[asofdate]]+1,Bloomberg!B:C,2,0)</f>
        <v>4797.2</v>
      </c>
      <c r="I186" s="18">
        <v>42117</v>
      </c>
      <c r="J186" s="88">
        <v>0.63736160289999999</v>
      </c>
      <c r="K186" s="88">
        <f>VLOOKUP(CurrentMtgRatesDataTable82527141518[[#This Row],[asofdate]],O:P,2,0)</f>
        <v>4.1584634000000004E-3</v>
      </c>
      <c r="L186" s="88">
        <f>VLOOKUP(CurrentMtgRatesDataTable82527141518[[#This Row],[asofdate]],S:T,2,0)</f>
        <v>0.20635886780000001</v>
      </c>
      <c r="M186" s="6">
        <f ca="1">VLOOKUP(CurrentMtgRatesDataTable82527141518[[#This Row],[asofdate]]+1,Bloomberg!B:C,2,0)</f>
        <v>1723</v>
      </c>
      <c r="N186" s="6"/>
      <c r="O186" s="18">
        <v>42089</v>
      </c>
      <c r="P186" s="88">
        <v>0</v>
      </c>
      <c r="Q186" s="101"/>
      <c r="R186" s="101"/>
      <c r="S186" s="18">
        <v>42054</v>
      </c>
      <c r="T186" s="88">
        <v>0.17324059850000001</v>
      </c>
      <c r="V186"/>
    </row>
    <row r="187" spans="2:22">
      <c r="B187" s="82">
        <v>41396</v>
      </c>
      <c r="C187" s="83">
        <v>0.84815010540000002</v>
      </c>
      <c r="D187" s="83">
        <f>VLOOKUP(CurrentMtgRatesDataTable825[[#This Row],[asofdate]],I:J,2,0)</f>
        <v>0.79251870479999997</v>
      </c>
      <c r="E187" s="83">
        <f>VLOOKUP(CurrentMtgRatesDataTable825[[#This Row],[asofdate]],O:P,2,0)</f>
        <v>7.8608971E-3</v>
      </c>
      <c r="F187" s="84">
        <f ca="1">VLOOKUP(CurrentMtgRatesDataTable825[[#This Row],[asofdate]]+1,Bloomberg!B:C,2,0)</f>
        <v>5279.9</v>
      </c>
      <c r="I187" s="18">
        <v>42110</v>
      </c>
      <c r="J187" s="88">
        <v>0.60738700199999995</v>
      </c>
      <c r="K187" s="88">
        <f>VLOOKUP(CurrentMtgRatesDataTable82527141518[[#This Row],[asofdate]],O:P,2,0)</f>
        <v>0</v>
      </c>
      <c r="L187" s="88">
        <f>VLOOKUP(CurrentMtgRatesDataTable82527141518[[#This Row],[asofdate]],S:T,2,0)</f>
        <v>0.1929948675</v>
      </c>
      <c r="M187" s="6">
        <f ca="1">VLOOKUP(CurrentMtgRatesDataTable82527141518[[#This Row],[asofdate]]+1,Bloomberg!B:C,2,0)</f>
        <v>1817</v>
      </c>
      <c r="N187" s="6"/>
      <c r="O187" s="18">
        <v>42082</v>
      </c>
      <c r="P187" s="88">
        <v>0</v>
      </c>
      <c r="Q187" s="101"/>
      <c r="R187" s="101"/>
      <c r="S187" s="18">
        <v>42047</v>
      </c>
      <c r="T187" s="88">
        <v>0.19041053059999999</v>
      </c>
      <c r="V187"/>
    </row>
    <row r="188" spans="2:22">
      <c r="B188" s="82">
        <v>41389</v>
      </c>
      <c r="C188" s="83">
        <v>0.85248188820000004</v>
      </c>
      <c r="D188" s="83">
        <f>VLOOKUP(CurrentMtgRatesDataTable825[[#This Row],[asofdate]],I:J,2,0)</f>
        <v>0.79320287570000003</v>
      </c>
      <c r="E188" s="83">
        <f>VLOOKUP(CurrentMtgRatesDataTable825[[#This Row],[asofdate]],O:P,2,0)</f>
        <v>0</v>
      </c>
      <c r="F188" s="84">
        <f ca="1">VLOOKUP(CurrentMtgRatesDataTable825[[#This Row],[asofdate]]+1,Bloomberg!B:C,2,0)</f>
        <v>4854.1000000000004</v>
      </c>
      <c r="I188" s="18">
        <v>42103</v>
      </c>
      <c r="J188" s="88">
        <v>0.62935005160000002</v>
      </c>
      <c r="K188" s="88">
        <f>VLOOKUP(CurrentMtgRatesDataTable82527141518[[#This Row],[asofdate]],O:P,2,0)</f>
        <v>4.0821104999999996E-3</v>
      </c>
      <c r="L188" s="88">
        <f>VLOOKUP(CurrentMtgRatesDataTable82527141518[[#This Row],[asofdate]],S:T,2,0)</f>
        <v>0.2036454261</v>
      </c>
      <c r="M188" s="6">
        <f ca="1">VLOOKUP(CurrentMtgRatesDataTable82527141518[[#This Row],[asofdate]]+1,Bloomberg!B:C,2,0)</f>
        <v>1804.6</v>
      </c>
      <c r="N188" s="6"/>
      <c r="O188" s="18">
        <v>42075</v>
      </c>
      <c r="P188" s="88">
        <v>0</v>
      </c>
      <c r="Q188" s="101"/>
      <c r="R188" s="101"/>
      <c r="S188" s="18">
        <v>42040</v>
      </c>
      <c r="T188" s="88">
        <v>0.21297168389999999</v>
      </c>
      <c r="V188"/>
    </row>
    <row r="189" spans="2:22">
      <c r="B189" s="82">
        <v>41382</v>
      </c>
      <c r="C189" s="83">
        <v>0.85701176970000004</v>
      </c>
      <c r="D189" s="83">
        <f>VLOOKUP(CurrentMtgRatesDataTable825[[#This Row],[asofdate]],I:J,2,0)</f>
        <v>0.79694583320000001</v>
      </c>
      <c r="E189" s="83">
        <f>VLOOKUP(CurrentMtgRatesDataTable825[[#This Row],[asofdate]],O:P,2,0)</f>
        <v>2.5658018000000002E-3</v>
      </c>
      <c r="F189" s="84">
        <f ca="1">VLOOKUP(CurrentMtgRatesDataTable825[[#This Row],[asofdate]]+1,Bloomberg!B:C,2,0)</f>
        <v>4672.1000000000004</v>
      </c>
      <c r="I189" s="18">
        <v>42096</v>
      </c>
      <c r="J189" s="88">
        <v>0.60501671479999997</v>
      </c>
      <c r="K189" s="88">
        <f>VLOOKUP(CurrentMtgRatesDataTable82527141518[[#This Row],[asofdate]],O:P,2,0)</f>
        <v>0</v>
      </c>
      <c r="L189" s="88">
        <f>VLOOKUP(CurrentMtgRatesDataTable82527141518[[#This Row],[asofdate]],S:T,2,0)</f>
        <v>0.1920001559</v>
      </c>
      <c r="M189" s="6">
        <f ca="1">VLOOKUP(CurrentMtgRatesDataTable82527141518[[#This Row],[asofdate]]+1,Bloomberg!B:C,2,0)</f>
        <v>1854.7</v>
      </c>
      <c r="N189" s="6"/>
      <c r="O189" s="18">
        <v>42068</v>
      </c>
      <c r="P189" s="88">
        <v>0</v>
      </c>
      <c r="Q189" s="101"/>
      <c r="R189" s="101"/>
      <c r="S189" s="18">
        <v>42033</v>
      </c>
      <c r="T189" s="88">
        <v>0.17760994400000002</v>
      </c>
      <c r="V189"/>
    </row>
    <row r="190" spans="2:22">
      <c r="B190" s="82">
        <v>41375</v>
      </c>
      <c r="C190" s="83">
        <v>0.8378961063</v>
      </c>
      <c r="D190" s="83">
        <f>VLOOKUP(CurrentMtgRatesDataTable825[[#This Row],[asofdate]],I:J,2,0)</f>
        <v>0.77689333410000005</v>
      </c>
      <c r="E190" s="83">
        <f>VLOOKUP(CurrentMtgRatesDataTable825[[#This Row],[asofdate]],O:P,2,0)</f>
        <v>1.5861026E-3</v>
      </c>
      <c r="F190" s="84">
        <f ca="1">VLOOKUP(CurrentMtgRatesDataTable825[[#This Row],[asofdate]]+1,Bloomberg!B:C,2,0)</f>
        <v>4726.8999999999996</v>
      </c>
      <c r="I190" s="18">
        <v>42089</v>
      </c>
      <c r="J190" s="88">
        <v>0.62083950509999997</v>
      </c>
      <c r="K190" s="88">
        <f>VLOOKUP(CurrentMtgRatesDataTable82527141518[[#This Row],[asofdate]],O:P,2,0)</f>
        <v>0</v>
      </c>
      <c r="L190" s="88">
        <f>VLOOKUP(CurrentMtgRatesDataTable82527141518[[#This Row],[asofdate]],S:T,2,0)</f>
        <v>0.19417233710000001</v>
      </c>
      <c r="M190" s="6">
        <f ca="1">VLOOKUP(CurrentMtgRatesDataTable82527141518[[#This Row],[asofdate]]+1,Bloomberg!B:C,2,0)</f>
        <v>1941.6</v>
      </c>
      <c r="N190" s="6"/>
      <c r="O190" s="18">
        <v>42061</v>
      </c>
      <c r="P190" s="88">
        <v>0</v>
      </c>
      <c r="Q190" s="101"/>
      <c r="R190" s="101"/>
      <c r="S190" s="18">
        <v>42026</v>
      </c>
      <c r="T190" s="88">
        <v>0.18014806389999999</v>
      </c>
      <c r="V190"/>
    </row>
    <row r="191" spans="2:22">
      <c r="B191" s="82">
        <v>41368</v>
      </c>
      <c r="C191" s="83">
        <v>0.77384529670000002</v>
      </c>
      <c r="D191" s="83">
        <f>VLOOKUP(CurrentMtgRatesDataTable825[[#This Row],[asofdate]],I:J,2,0)</f>
        <v>0.70768632149999999</v>
      </c>
      <c r="E191" s="83">
        <f>VLOOKUP(CurrentMtgRatesDataTable825[[#This Row],[asofdate]],O:P,2,0)</f>
        <v>0</v>
      </c>
      <c r="F191" s="84">
        <f ca="1">VLOOKUP(CurrentMtgRatesDataTable825[[#This Row],[asofdate]]+1,Bloomberg!B:C,2,0)</f>
        <v>4528.8999999999996</v>
      </c>
      <c r="I191" s="18">
        <v>42082</v>
      </c>
      <c r="J191" s="88">
        <v>0.5766638637</v>
      </c>
      <c r="K191" s="88">
        <f>VLOOKUP(CurrentMtgRatesDataTable82527141518[[#This Row],[asofdate]],O:P,2,0)</f>
        <v>0</v>
      </c>
      <c r="L191" s="88">
        <f>VLOOKUP(CurrentMtgRatesDataTable82527141518[[#This Row],[asofdate]],S:T,2,0)</f>
        <v>0.16825353979999999</v>
      </c>
      <c r="M191" s="6">
        <f ca="1">VLOOKUP(CurrentMtgRatesDataTable82527141518[[#This Row],[asofdate]]+1,Bloomberg!B:C,2,0)</f>
        <v>1860.8</v>
      </c>
      <c r="N191" s="6"/>
      <c r="O191" s="18">
        <v>42054</v>
      </c>
      <c r="P191" s="88">
        <v>0</v>
      </c>
      <c r="Q191" s="101"/>
      <c r="R191" s="101"/>
      <c r="S191" s="18">
        <v>42019</v>
      </c>
      <c r="T191" s="88">
        <v>0.1782234425</v>
      </c>
      <c r="V191"/>
    </row>
    <row r="192" spans="2:22">
      <c r="B192" s="82">
        <v>41361</v>
      </c>
      <c r="C192" s="83">
        <v>0.79003622439999999</v>
      </c>
      <c r="D192" s="83">
        <f>VLOOKUP(CurrentMtgRatesDataTable825[[#This Row],[asofdate]],I:J,2,0)</f>
        <v>0.71863117889999995</v>
      </c>
      <c r="E192" s="83">
        <f>VLOOKUP(CurrentMtgRatesDataTable825[[#This Row],[asofdate]],O:P,2,0)</f>
        <v>0</v>
      </c>
      <c r="F192" s="84">
        <f ca="1">VLOOKUP(CurrentMtgRatesDataTable825[[#This Row],[asofdate]]+1,Bloomberg!B:C,2,0)</f>
        <v>4119.2</v>
      </c>
      <c r="I192" s="18">
        <v>42075</v>
      </c>
      <c r="J192" s="88">
        <v>0.53932614629999998</v>
      </c>
      <c r="K192" s="88">
        <f>VLOOKUP(CurrentMtgRatesDataTable82527141518[[#This Row],[asofdate]],O:P,2,0)</f>
        <v>0</v>
      </c>
      <c r="L192" s="88">
        <f>VLOOKUP(CurrentMtgRatesDataTable82527141518[[#This Row],[asofdate]],S:T,2,0)</f>
        <v>0.14233795430000001</v>
      </c>
      <c r="M192" s="6">
        <f ca="1">VLOOKUP(CurrentMtgRatesDataTable82527141518[[#This Row],[asofdate]]+1,Bloomberg!B:C,2,0)</f>
        <v>1623.6</v>
      </c>
      <c r="N192" s="6"/>
      <c r="O192" s="18">
        <v>42047</v>
      </c>
      <c r="P192" s="88">
        <v>0</v>
      </c>
      <c r="Q192" s="101"/>
      <c r="R192" s="101"/>
      <c r="S192" s="18">
        <v>42012</v>
      </c>
      <c r="T192" s="88">
        <v>0.16003373060000001</v>
      </c>
      <c r="V192"/>
    </row>
    <row r="193" spans="2:22">
      <c r="B193" s="82">
        <v>41354</v>
      </c>
      <c r="C193" s="83">
        <v>0.7957816351</v>
      </c>
      <c r="D193" s="83">
        <f>VLOOKUP(CurrentMtgRatesDataTable825[[#This Row],[asofdate]],I:J,2,0)</f>
        <v>0.72909402059999995</v>
      </c>
      <c r="E193" s="83">
        <f>VLOOKUP(CurrentMtgRatesDataTable825[[#This Row],[asofdate]],O:P,2,0)</f>
        <v>0</v>
      </c>
      <c r="F193" s="84">
        <f ca="1">VLOOKUP(CurrentMtgRatesDataTable825[[#This Row],[asofdate]]+1,Bloomberg!B:C,2,0)</f>
        <v>4412.8999999999996</v>
      </c>
      <c r="I193" s="18">
        <v>42068</v>
      </c>
      <c r="J193" s="88">
        <v>0.59153182719999997</v>
      </c>
      <c r="K193" s="88">
        <f>VLOOKUP(CurrentMtgRatesDataTable82527141518[[#This Row],[asofdate]],O:P,2,0)</f>
        <v>0</v>
      </c>
      <c r="L193" s="88">
        <f>VLOOKUP(CurrentMtgRatesDataTable82527141518[[#This Row],[asofdate]],S:T,2,0)</f>
        <v>0.17940538610000001</v>
      </c>
      <c r="M193" s="6">
        <f ca="1">VLOOKUP(CurrentMtgRatesDataTable82527141518[[#This Row],[asofdate]]+1,Bloomberg!B:C,2,0)</f>
        <v>1685.7</v>
      </c>
      <c r="N193" s="6"/>
      <c r="O193" s="18">
        <v>42040</v>
      </c>
      <c r="P193" s="88">
        <v>0.20776882469999999</v>
      </c>
      <c r="Q193" s="101"/>
      <c r="R193" s="101"/>
      <c r="S193" s="18">
        <v>42004</v>
      </c>
      <c r="T193" s="88">
        <v>0.12286840740000002</v>
      </c>
      <c r="V193"/>
    </row>
    <row r="194" spans="2:22">
      <c r="B194" s="82">
        <v>41347</v>
      </c>
      <c r="C194" s="83">
        <v>0.77394611589999995</v>
      </c>
      <c r="D194" s="83">
        <f>VLOOKUP(CurrentMtgRatesDataTable825[[#This Row],[asofdate]],I:J,2,0)</f>
        <v>0.70505270409999998</v>
      </c>
      <c r="E194" s="83">
        <f>VLOOKUP(CurrentMtgRatesDataTable825[[#This Row],[asofdate]],O:P,2,0)</f>
        <v>0</v>
      </c>
      <c r="F194" s="84">
        <f ca="1">VLOOKUP(CurrentMtgRatesDataTable825[[#This Row],[asofdate]]+1,Bloomberg!B:C,2,0)</f>
        <v>4111.3</v>
      </c>
      <c r="I194" s="18">
        <v>42061</v>
      </c>
      <c r="J194" s="88">
        <v>0.57039989609999997</v>
      </c>
      <c r="K194" s="88">
        <f>VLOOKUP(CurrentMtgRatesDataTable82527141518[[#This Row],[asofdate]],O:P,2,0)</f>
        <v>0</v>
      </c>
      <c r="L194" s="88">
        <f>VLOOKUP(CurrentMtgRatesDataTable82527141518[[#This Row],[asofdate]],S:T,2,0)</f>
        <v>0.15760086139999999</v>
      </c>
      <c r="M194" s="6">
        <f ca="1">VLOOKUP(CurrentMtgRatesDataTable82527141518[[#This Row],[asofdate]]+1,Bloomberg!B:C,2,0)</f>
        <v>1740.3</v>
      </c>
      <c r="N194" s="6"/>
      <c r="O194" s="18">
        <v>42033</v>
      </c>
      <c r="P194" s="88">
        <v>0</v>
      </c>
      <c r="Q194" s="101"/>
      <c r="R194" s="101"/>
      <c r="S194" s="18">
        <v>41997</v>
      </c>
      <c r="T194" s="88">
        <v>0.13221724330000001</v>
      </c>
      <c r="V194"/>
    </row>
    <row r="195" spans="2:22">
      <c r="B195" s="82">
        <v>41340</v>
      </c>
      <c r="C195" s="83">
        <v>0.81171450180000004</v>
      </c>
      <c r="D195" s="83">
        <f>VLOOKUP(CurrentMtgRatesDataTable825[[#This Row],[asofdate]],I:J,2,0)</f>
        <v>0.74627659830000004</v>
      </c>
      <c r="E195" s="83">
        <f>VLOOKUP(CurrentMtgRatesDataTable825[[#This Row],[asofdate]],O:P,2,0)</f>
        <v>2.9706090000000001E-4</v>
      </c>
      <c r="F195" s="84">
        <f ca="1">VLOOKUP(CurrentMtgRatesDataTable825[[#This Row],[asofdate]]+1,Bloomberg!B:C,2,0)</f>
        <v>4485.2</v>
      </c>
      <c r="I195" s="18">
        <v>42054</v>
      </c>
      <c r="J195" s="88">
        <v>0.59309494760000003</v>
      </c>
      <c r="K195" s="88">
        <f>VLOOKUP(CurrentMtgRatesDataTable82527141518[[#This Row],[asofdate]],O:P,2,0)</f>
        <v>0</v>
      </c>
      <c r="L195" s="88">
        <f>VLOOKUP(CurrentMtgRatesDataTable82527141518[[#This Row],[asofdate]],S:T,2,0)</f>
        <v>0.17324059850000001</v>
      </c>
      <c r="M195" s="6">
        <f ca="1">VLOOKUP(CurrentMtgRatesDataTable82527141518[[#This Row],[asofdate]]+1,Bloomberg!B:C,2,0)</f>
        <v>1703.1</v>
      </c>
      <c r="N195" s="6"/>
      <c r="O195" s="18">
        <v>42026</v>
      </c>
      <c r="P195" s="88">
        <v>0.17658139750000001</v>
      </c>
      <c r="Q195" s="101"/>
      <c r="R195" s="101"/>
      <c r="S195" s="18">
        <v>41991</v>
      </c>
      <c r="T195" s="88">
        <v>0.14076586999999999</v>
      </c>
      <c r="V195"/>
    </row>
    <row r="196" spans="2:22">
      <c r="B196" s="82">
        <v>41333</v>
      </c>
      <c r="C196" s="83">
        <v>0.8270727792</v>
      </c>
      <c r="D196" s="83">
        <f>VLOOKUP(CurrentMtgRatesDataTable825[[#This Row],[asofdate]],I:J,2,0)</f>
        <v>0.76272506819999997</v>
      </c>
      <c r="E196" s="83">
        <f>VLOOKUP(CurrentMtgRatesDataTable825[[#This Row],[asofdate]],O:P,2,0)</f>
        <v>0</v>
      </c>
      <c r="F196" s="84">
        <f ca="1">VLOOKUP(CurrentMtgRatesDataTable825[[#This Row],[asofdate]]+1,Bloomberg!B:C,2,0)</f>
        <v>4724.8999999999996</v>
      </c>
      <c r="I196" s="18">
        <v>42047</v>
      </c>
      <c r="J196" s="88">
        <v>0.62613297749999997</v>
      </c>
      <c r="K196" s="88">
        <f>VLOOKUP(CurrentMtgRatesDataTable82527141518[[#This Row],[asofdate]],O:P,2,0)</f>
        <v>0</v>
      </c>
      <c r="L196" s="88">
        <f>VLOOKUP(CurrentMtgRatesDataTable82527141518[[#This Row],[asofdate]],S:T,2,0)</f>
        <v>0.19041053059999999</v>
      </c>
      <c r="M196" s="6">
        <f ca="1">VLOOKUP(CurrentMtgRatesDataTable82527141518[[#This Row],[asofdate]]+1,Bloomberg!B:C,2,0)</f>
        <v>1904.2</v>
      </c>
      <c r="N196" s="6"/>
      <c r="O196" s="18">
        <v>42019</v>
      </c>
      <c r="P196" s="88">
        <v>0.1747402414</v>
      </c>
      <c r="Q196" s="101"/>
      <c r="R196" s="101"/>
      <c r="S196" s="18">
        <v>41984</v>
      </c>
      <c r="T196" s="88">
        <v>0.109679964</v>
      </c>
      <c r="V196"/>
    </row>
    <row r="197" spans="2:22">
      <c r="B197" s="82">
        <v>41326</v>
      </c>
      <c r="C197" s="83">
        <v>0.81160085719999997</v>
      </c>
      <c r="D197" s="83">
        <f>VLOOKUP(CurrentMtgRatesDataTable825[[#This Row],[asofdate]],I:J,2,0)</f>
        <v>0.74383609159999997</v>
      </c>
      <c r="E197" s="83">
        <f>VLOOKUP(CurrentMtgRatesDataTable825[[#This Row],[asofdate]],O:P,2,0)</f>
        <v>0</v>
      </c>
      <c r="F197" s="84">
        <f ca="1">VLOOKUP(CurrentMtgRatesDataTable825[[#This Row],[asofdate]]+1,Bloomberg!B:C,2,0)</f>
        <v>4136.3</v>
      </c>
      <c r="I197" s="18">
        <v>42040</v>
      </c>
      <c r="J197" s="88">
        <v>0.6836252759</v>
      </c>
      <c r="K197" s="88">
        <f>VLOOKUP(CurrentMtgRatesDataTable82527141518[[#This Row],[asofdate]],O:P,2,0)</f>
        <v>0.20776882469999999</v>
      </c>
      <c r="L197" s="88">
        <f>VLOOKUP(CurrentMtgRatesDataTable82527141518[[#This Row],[asofdate]],S:T,2,0)</f>
        <v>0.21297168389999999</v>
      </c>
      <c r="M197" s="6">
        <f ca="1">VLOOKUP(CurrentMtgRatesDataTable82527141518[[#This Row],[asofdate]]+1,Bloomberg!B:C,2,0)</f>
        <v>2291.3000000000002</v>
      </c>
      <c r="N197" s="6"/>
      <c r="O197" s="18">
        <v>42012</v>
      </c>
      <c r="P197" s="88">
        <v>0.158042924</v>
      </c>
      <c r="Q197" s="101"/>
      <c r="R197" s="101"/>
      <c r="S197" s="18">
        <v>41977</v>
      </c>
      <c r="T197" s="88">
        <v>0.1249601078</v>
      </c>
      <c r="V197"/>
    </row>
    <row r="198" spans="2:22">
      <c r="B198" s="82">
        <v>41319</v>
      </c>
      <c r="C198" s="83">
        <v>0.81835686620000003</v>
      </c>
      <c r="D198" s="83">
        <f>VLOOKUP(CurrentMtgRatesDataTable825[[#This Row],[asofdate]],I:J,2,0)</f>
        <v>0.7547700705</v>
      </c>
      <c r="E198" s="83">
        <f>VLOOKUP(CurrentMtgRatesDataTable825[[#This Row],[asofdate]],O:P,2,0)</f>
        <v>0</v>
      </c>
      <c r="F198" s="84">
        <f ca="1">VLOOKUP(CurrentMtgRatesDataTable825[[#This Row],[asofdate]]+1,Bloomberg!B:C,2,0)</f>
        <v>4261.8</v>
      </c>
      <c r="I198" s="18">
        <v>42033</v>
      </c>
      <c r="J198" s="88">
        <v>0.63394777120000001</v>
      </c>
      <c r="K198" s="88">
        <f>VLOOKUP(CurrentMtgRatesDataTable82527141518[[#This Row],[asofdate]],O:P,2,0)</f>
        <v>0</v>
      </c>
      <c r="L198" s="88">
        <f>VLOOKUP(CurrentMtgRatesDataTable82527141518[[#This Row],[asofdate]],S:T,2,0)</f>
        <v>0.17760994400000002</v>
      </c>
      <c r="M198" s="6">
        <f ca="1">VLOOKUP(CurrentMtgRatesDataTable82527141518[[#This Row],[asofdate]]+1,Bloomberg!B:C,2,0)</f>
        <v>2584.8000000000002</v>
      </c>
      <c r="N198" s="6"/>
      <c r="O198" s="18">
        <v>42004</v>
      </c>
      <c r="P198" s="88">
        <v>0</v>
      </c>
      <c r="Q198" s="101"/>
      <c r="R198" s="101"/>
      <c r="S198" s="18">
        <v>41969</v>
      </c>
      <c r="T198" s="88">
        <v>9.39508857E-2</v>
      </c>
      <c r="V198"/>
    </row>
    <row r="199" spans="2:22">
      <c r="B199" s="82">
        <v>41312</v>
      </c>
      <c r="C199" s="83">
        <v>0.81835686620000003</v>
      </c>
      <c r="D199" s="83">
        <f>VLOOKUP(CurrentMtgRatesDataTable825[[#This Row],[asofdate]],I:J,2,0)</f>
        <v>0.7547700705</v>
      </c>
      <c r="E199" s="83">
        <f>VLOOKUP(CurrentMtgRatesDataTable825[[#This Row],[asofdate]],O:P,2,0)</f>
        <v>0</v>
      </c>
      <c r="F199" s="84">
        <f ca="1">VLOOKUP(CurrentMtgRatesDataTable825[[#This Row],[asofdate]]+1,Bloomberg!B:C,2,0)</f>
        <v>4284.3</v>
      </c>
      <c r="I199" s="18">
        <v>42026</v>
      </c>
      <c r="J199" s="88">
        <v>0.63869747509999997</v>
      </c>
      <c r="K199" s="88">
        <f>VLOOKUP(CurrentMtgRatesDataTable82527141518[[#This Row],[asofdate]],O:P,2,0)</f>
        <v>0.17658139750000001</v>
      </c>
      <c r="L199" s="88">
        <f>VLOOKUP(CurrentMtgRatesDataTable82527141518[[#This Row],[asofdate]],S:T,2,0)</f>
        <v>0.18014806389999999</v>
      </c>
      <c r="M199" s="6">
        <f ca="1">VLOOKUP(CurrentMtgRatesDataTable82527141518[[#This Row],[asofdate]]+1,Bloomberg!B:C,2,0)</f>
        <v>2572.3000000000002</v>
      </c>
      <c r="N199" s="6"/>
      <c r="O199" s="18">
        <v>41997</v>
      </c>
      <c r="P199" s="88">
        <v>0</v>
      </c>
      <c r="Q199" s="101"/>
      <c r="R199" s="101"/>
      <c r="S199" s="18">
        <v>41963</v>
      </c>
      <c r="T199" s="88">
        <v>8.7498527500000006E-2</v>
      </c>
      <c r="V199"/>
    </row>
    <row r="200" spans="2:22">
      <c r="B200" s="82">
        <v>41305</v>
      </c>
      <c r="C200" s="83">
        <v>0.84241989009999996</v>
      </c>
      <c r="D200" s="83">
        <f>VLOOKUP(CurrentMtgRatesDataTable825[[#This Row],[asofdate]],I:J,2,0)</f>
        <v>0.78743165179999997</v>
      </c>
      <c r="E200" s="83">
        <f>VLOOKUP(CurrentMtgRatesDataTable825[[#This Row],[asofdate]],O:P,2,0)</f>
        <v>0</v>
      </c>
      <c r="F200" s="84">
        <f ca="1">VLOOKUP(CurrentMtgRatesDataTable825[[#This Row],[asofdate]]+1,Bloomberg!B:C,2,0)</f>
        <v>4579</v>
      </c>
      <c r="I200" s="18">
        <v>42019</v>
      </c>
      <c r="J200" s="88">
        <v>0.63394777120000001</v>
      </c>
      <c r="K200" s="88">
        <f>VLOOKUP(CurrentMtgRatesDataTable82527141518[[#This Row],[asofdate]],O:P,2,0)</f>
        <v>0.1747402414</v>
      </c>
      <c r="L200" s="88">
        <f>VLOOKUP(CurrentMtgRatesDataTable82527141518[[#This Row],[asofdate]],S:T,2,0)</f>
        <v>0.1782234425</v>
      </c>
      <c r="M200" s="6">
        <f ca="1">VLOOKUP(CurrentMtgRatesDataTable82527141518[[#This Row],[asofdate]]+1,Bloomberg!B:C,2,0)</f>
        <v>2799.3</v>
      </c>
      <c r="N200" s="6"/>
      <c r="O200" s="18">
        <v>41991</v>
      </c>
      <c r="P200" s="88">
        <v>0.13948579750000001</v>
      </c>
      <c r="Q200" s="101"/>
      <c r="R200" s="101"/>
      <c r="S200" s="18">
        <v>41956</v>
      </c>
      <c r="T200" s="88">
        <v>8.3061247399999996E-2</v>
      </c>
      <c r="V200"/>
    </row>
    <row r="201" spans="2:22">
      <c r="B201" s="82">
        <v>41298</v>
      </c>
      <c r="C201" s="83">
        <v>0.90997267329999998</v>
      </c>
      <c r="D201" s="83">
        <f>VLOOKUP(CurrentMtgRatesDataTable825[[#This Row],[asofdate]],I:J,2,0)</f>
        <v>0.86285938809999996</v>
      </c>
      <c r="E201" s="83">
        <f>VLOOKUP(CurrentMtgRatesDataTable825[[#This Row],[asofdate]],O:P,2,0)</f>
        <v>0</v>
      </c>
      <c r="F201" s="84">
        <f ca="1">VLOOKUP(CurrentMtgRatesDataTable825[[#This Row],[asofdate]]+1,Bloomberg!B:C,2,0)</f>
        <v>4433.6000000000004</v>
      </c>
      <c r="I201" s="18">
        <v>42012</v>
      </c>
      <c r="J201" s="88">
        <v>0.590485221</v>
      </c>
      <c r="K201" s="88">
        <f>VLOOKUP(CurrentMtgRatesDataTable82527141518[[#This Row],[asofdate]],O:P,2,0)</f>
        <v>0.158042924</v>
      </c>
      <c r="L201" s="88">
        <f>VLOOKUP(CurrentMtgRatesDataTable82527141518[[#This Row],[asofdate]],S:T,2,0)</f>
        <v>0.16003373060000001</v>
      </c>
      <c r="M201" s="6">
        <f ca="1">VLOOKUP(CurrentMtgRatesDataTable82527141518[[#This Row],[asofdate]]+1,Bloomberg!B:C,2,0)</f>
        <v>2271.5</v>
      </c>
      <c r="N201" s="6"/>
      <c r="O201" s="18">
        <v>41984</v>
      </c>
      <c r="P201" s="88">
        <v>0</v>
      </c>
      <c r="Q201" s="101"/>
      <c r="R201" s="101"/>
      <c r="S201" s="18">
        <v>41949</v>
      </c>
      <c r="T201" s="88">
        <v>8.10522303E-2</v>
      </c>
      <c r="V201"/>
    </row>
    <row r="202" spans="2:22">
      <c r="B202" s="82">
        <v>41291</v>
      </c>
      <c r="C202" s="83">
        <v>0.923612459</v>
      </c>
      <c r="D202" s="83">
        <f>VLOOKUP(CurrentMtgRatesDataTable825[[#This Row],[asofdate]],I:J,2,0)</f>
        <v>0.87397197670000004</v>
      </c>
      <c r="E202" s="83">
        <f>VLOOKUP(CurrentMtgRatesDataTable825[[#This Row],[asofdate]],O:P,2,0)</f>
        <v>0</v>
      </c>
      <c r="F202" s="84">
        <f ca="1">VLOOKUP(CurrentMtgRatesDataTable825[[#This Row],[asofdate]]+1,Bloomberg!B:C,2,0)</f>
        <v>4937.3999999999996</v>
      </c>
      <c r="I202" s="18">
        <v>42004</v>
      </c>
      <c r="J202" s="88">
        <v>0.54181851560000005</v>
      </c>
      <c r="K202" s="88">
        <f>VLOOKUP(CurrentMtgRatesDataTable82527141518[[#This Row],[asofdate]],O:P,2,0)</f>
        <v>0</v>
      </c>
      <c r="L202" s="88">
        <f>VLOOKUP(CurrentMtgRatesDataTable82527141518[[#This Row],[asofdate]],S:T,2,0)</f>
        <v>0.12286840740000002</v>
      </c>
      <c r="M202" s="6">
        <f ca="1">VLOOKUP(CurrentMtgRatesDataTable82527141518[[#This Row],[asofdate]]+1,Bloomberg!B:C,2,0)</f>
        <v>1347.6</v>
      </c>
      <c r="N202" s="6"/>
      <c r="O202" s="18">
        <v>41977</v>
      </c>
      <c r="P202" s="88">
        <v>0.1239261992</v>
      </c>
      <c r="Q202" s="101"/>
      <c r="R202" s="101"/>
      <c r="S202" s="18">
        <v>41942</v>
      </c>
      <c r="T202" s="88">
        <v>8.7667770899999997E-2</v>
      </c>
      <c r="V202"/>
    </row>
    <row r="203" spans="2:22">
      <c r="B203" s="82">
        <v>41284</v>
      </c>
      <c r="C203" s="83">
        <v>0.91705235539999996</v>
      </c>
      <c r="D203" s="83">
        <f>VLOOKUP(CurrentMtgRatesDataTable825[[#This Row],[asofdate]],I:J,2,0)</f>
        <v>0.8688248542</v>
      </c>
      <c r="E203" s="83">
        <f>VLOOKUP(CurrentMtgRatesDataTable825[[#This Row],[asofdate]],O:P,2,0)</f>
        <v>0</v>
      </c>
      <c r="F203" s="84">
        <f ca="1">VLOOKUP(CurrentMtgRatesDataTable825[[#This Row],[asofdate]]+1,Bloomberg!B:C,2,0)</f>
        <v>4554.3999999999996</v>
      </c>
      <c r="I203" s="18">
        <v>41997</v>
      </c>
      <c r="J203" s="88">
        <v>0.55774327000000001</v>
      </c>
      <c r="K203" s="88">
        <f>VLOOKUP(CurrentMtgRatesDataTable82527141518[[#This Row],[asofdate]],O:P,2,0)</f>
        <v>0</v>
      </c>
      <c r="L203" s="88">
        <f>VLOOKUP(CurrentMtgRatesDataTable82527141518[[#This Row],[asofdate]],S:T,2,0)</f>
        <v>0.13221724330000001</v>
      </c>
      <c r="M203" s="6">
        <f ca="1">VLOOKUP(CurrentMtgRatesDataTable82527141518[[#This Row],[asofdate]]+1,Bloomberg!B:C,2,0)</f>
        <v>1164.2</v>
      </c>
      <c r="N203" s="6"/>
      <c r="O203" s="18">
        <v>41969</v>
      </c>
      <c r="P203" s="88">
        <v>0</v>
      </c>
      <c r="Q203" s="101"/>
      <c r="R203" s="101"/>
      <c r="S203" s="18">
        <v>41935</v>
      </c>
      <c r="T203" s="88">
        <v>0.10771013190000001</v>
      </c>
      <c r="V203"/>
    </row>
    <row r="204" spans="2:22">
      <c r="B204" s="82">
        <v>41277</v>
      </c>
      <c r="C204" s="83">
        <v>0.92991876559999997</v>
      </c>
      <c r="D204" s="83">
        <f>VLOOKUP(CurrentMtgRatesDataTable825[[#This Row],[asofdate]],I:J,2,0)</f>
        <v>0.88091727740000003</v>
      </c>
      <c r="E204" s="83">
        <f>VLOOKUP(CurrentMtgRatesDataTable825[[#This Row],[asofdate]],O:P,2,0)</f>
        <v>0</v>
      </c>
      <c r="F204" s="84">
        <f ca="1">VLOOKUP(CurrentMtgRatesDataTable825[[#This Row],[asofdate]]+1,Bloomberg!B:C,2,0)</f>
        <v>3896.4</v>
      </c>
      <c r="I204" s="18">
        <v>41991</v>
      </c>
      <c r="J204" s="88">
        <v>0.56856104429999998</v>
      </c>
      <c r="K204" s="88">
        <f>VLOOKUP(CurrentMtgRatesDataTable82527141518[[#This Row],[asofdate]],O:P,2,0)</f>
        <v>0.13948579750000001</v>
      </c>
      <c r="L204" s="88">
        <f>VLOOKUP(CurrentMtgRatesDataTable82527141518[[#This Row],[asofdate]],S:T,2,0)</f>
        <v>0.14076586999999999</v>
      </c>
      <c r="M204" s="6">
        <f ca="1">VLOOKUP(CurrentMtgRatesDataTable82527141518[[#This Row],[asofdate]]+1,Bloomberg!B:C,2,0)</f>
        <v>1538.7</v>
      </c>
      <c r="N204" s="6"/>
      <c r="O204" s="18">
        <v>41963</v>
      </c>
      <c r="P204" s="88">
        <v>0</v>
      </c>
      <c r="Q204" s="101"/>
      <c r="R204" s="101"/>
      <c r="S204" s="18">
        <v>41928</v>
      </c>
      <c r="T204" s="88">
        <v>9.1745245399999995E-2</v>
      </c>
      <c r="V204"/>
    </row>
    <row r="205" spans="2:22">
      <c r="B205" s="82">
        <v>41270</v>
      </c>
      <c r="C205" s="83">
        <v>0.9551047989</v>
      </c>
      <c r="D205" s="83">
        <f>VLOOKUP(CurrentMtgRatesDataTable825[[#This Row],[asofdate]],I:J,2,0)</f>
        <v>0.8981205901</v>
      </c>
      <c r="E205" s="83">
        <f>VLOOKUP(CurrentMtgRatesDataTable825[[#This Row],[asofdate]],O:P,2,0)</f>
        <v>0</v>
      </c>
      <c r="F205" s="84">
        <f ca="1">VLOOKUP(CurrentMtgRatesDataTable825[[#This Row],[asofdate]]+1,Bloomberg!B:C,2,0)</f>
        <v>3488.9</v>
      </c>
      <c r="I205" s="18">
        <v>41984</v>
      </c>
      <c r="J205" s="88">
        <v>0.52586900160000005</v>
      </c>
      <c r="K205" s="88">
        <f>VLOOKUP(CurrentMtgRatesDataTable82527141518[[#This Row],[asofdate]],O:P,2,0)</f>
        <v>0</v>
      </c>
      <c r="L205" s="88">
        <f>VLOOKUP(CurrentMtgRatesDataTable82527141518[[#This Row],[asofdate]],S:T,2,0)</f>
        <v>0.109679964</v>
      </c>
      <c r="M205" s="6">
        <f ca="1">VLOOKUP(CurrentMtgRatesDataTable82527141518[[#This Row],[asofdate]]+1,Bloomberg!B:C,2,0)</f>
        <v>1518.8</v>
      </c>
      <c r="N205" s="6"/>
      <c r="O205" s="18">
        <v>41956</v>
      </c>
      <c r="P205" s="88">
        <v>0</v>
      </c>
      <c r="Q205" s="101"/>
      <c r="R205" s="101"/>
      <c r="S205" s="18">
        <v>41921</v>
      </c>
      <c r="T205" s="88">
        <v>5.4818035000000001E-2</v>
      </c>
      <c r="V205"/>
    </row>
    <row r="206" spans="2:22">
      <c r="B206" s="82">
        <v>41263</v>
      </c>
      <c r="C206" s="83">
        <v>0.95216101900000005</v>
      </c>
      <c r="D206" s="83">
        <f>VLOOKUP(CurrentMtgRatesDataTable825[[#This Row],[asofdate]],I:J,2,0)</f>
        <v>0.89478707570000005</v>
      </c>
      <c r="E206" s="83">
        <f>VLOOKUP(CurrentMtgRatesDataTable825[[#This Row],[asofdate]],O:P,2,0)</f>
        <v>0</v>
      </c>
      <c r="F206" s="84">
        <f ca="1">VLOOKUP(CurrentMtgRatesDataTable825[[#This Row],[asofdate]]+1,Bloomberg!B:C,2,0)</f>
        <v>3983.2</v>
      </c>
      <c r="I206" s="18">
        <v>41977</v>
      </c>
      <c r="J206" s="88">
        <v>0.54419146029999999</v>
      </c>
      <c r="K206" s="88">
        <f>VLOOKUP(CurrentMtgRatesDataTable82527141518[[#This Row],[asofdate]],O:P,2,0)</f>
        <v>0.1239261992</v>
      </c>
      <c r="L206" s="88">
        <f>VLOOKUP(CurrentMtgRatesDataTable82527141518[[#This Row],[asofdate]],S:T,2,0)</f>
        <v>0.1249601078</v>
      </c>
      <c r="M206" s="6">
        <f ca="1">VLOOKUP(CurrentMtgRatesDataTable82527141518[[#This Row],[asofdate]]+1,Bloomberg!B:C,2,0)</f>
        <v>1548.6</v>
      </c>
      <c r="N206" s="6"/>
      <c r="O206" s="18">
        <v>41949</v>
      </c>
      <c r="P206" s="88">
        <v>0</v>
      </c>
      <c r="Q206" s="101"/>
      <c r="R206" s="101"/>
      <c r="S206" s="18">
        <v>41914</v>
      </c>
      <c r="T206" s="88">
        <v>3.4644764999999999E-3</v>
      </c>
      <c r="V206"/>
    </row>
    <row r="207" spans="2:22">
      <c r="B207" s="82">
        <v>41256</v>
      </c>
      <c r="C207" s="83">
        <v>0.9571673316</v>
      </c>
      <c r="D207" s="83">
        <f>VLOOKUP(CurrentMtgRatesDataTable825[[#This Row],[asofdate]],I:J,2,0)</f>
        <v>0.90240670249999999</v>
      </c>
      <c r="E207" s="83">
        <f>VLOOKUP(CurrentMtgRatesDataTable825[[#This Row],[asofdate]],O:P,2,0)</f>
        <v>0</v>
      </c>
      <c r="F207" s="84">
        <f ca="1">VLOOKUP(CurrentMtgRatesDataTable825[[#This Row],[asofdate]]+1,Bloomberg!B:C,2,0)</f>
        <v>4564.3999999999996</v>
      </c>
      <c r="I207" s="18">
        <v>41969</v>
      </c>
      <c r="J207" s="88">
        <v>0.51298244240000002</v>
      </c>
      <c r="K207" s="88">
        <f>VLOOKUP(CurrentMtgRatesDataTable82527141518[[#This Row],[asofdate]],O:P,2,0)</f>
        <v>0</v>
      </c>
      <c r="L207" s="88">
        <f>VLOOKUP(CurrentMtgRatesDataTable82527141518[[#This Row],[asofdate]],S:T,2,0)</f>
        <v>9.39508857E-2</v>
      </c>
      <c r="M207" s="6" t="e">
        <f ca="1">VLOOKUP(CurrentMtgRatesDataTable82527141518[[#This Row],[asofdate]]+1,Bloomberg!B:C,2,0)</f>
        <v>#N/A</v>
      </c>
      <c r="N207" s="6"/>
      <c r="O207" s="18">
        <v>41942</v>
      </c>
      <c r="P207" s="88">
        <v>0</v>
      </c>
      <c r="Q207" s="101"/>
      <c r="R207" s="101"/>
      <c r="S207" s="18">
        <v>41907</v>
      </c>
      <c r="T207" s="88">
        <v>7.5124030000000002E-4</v>
      </c>
      <c r="V207"/>
    </row>
    <row r="208" spans="2:22">
      <c r="B208" s="82">
        <v>41249</v>
      </c>
      <c r="C208" s="83">
        <v>0.95613736699999996</v>
      </c>
      <c r="D208" s="83">
        <f>VLOOKUP(CurrentMtgRatesDataTable825[[#This Row],[asofdate]],I:J,2,0)</f>
        <v>0.89941495390000004</v>
      </c>
      <c r="E208" s="83">
        <f>VLOOKUP(CurrentMtgRatesDataTable825[[#This Row],[asofdate]],O:P,2,0)</f>
        <v>0</v>
      </c>
      <c r="F208" s="84">
        <f ca="1">VLOOKUP(CurrentMtgRatesDataTable825[[#This Row],[asofdate]]+1,Bloomberg!B:C,2,0)</f>
        <v>5368.1</v>
      </c>
      <c r="I208" s="18">
        <v>41963</v>
      </c>
      <c r="J208" s="88">
        <v>0.50247090809999995</v>
      </c>
      <c r="K208" s="88">
        <f>VLOOKUP(CurrentMtgRatesDataTable82527141518[[#This Row],[asofdate]],O:P,2,0)</f>
        <v>0</v>
      </c>
      <c r="L208" s="88">
        <f>VLOOKUP(CurrentMtgRatesDataTable82527141518[[#This Row],[asofdate]],S:T,2,0)</f>
        <v>8.7498527500000006E-2</v>
      </c>
      <c r="M208" s="6">
        <f ca="1">VLOOKUP(CurrentMtgRatesDataTable82527141518[[#This Row],[asofdate]]+1,Bloomberg!B:C,2,0)</f>
        <v>1547.9</v>
      </c>
      <c r="N208" s="6"/>
      <c r="O208" s="18">
        <v>41935</v>
      </c>
      <c r="P208" s="88">
        <v>0.1067407335</v>
      </c>
      <c r="Q208" s="101"/>
      <c r="R208" s="101"/>
      <c r="S208" s="18">
        <v>41900</v>
      </c>
      <c r="T208" s="88">
        <v>6.8108419999999995E-4</v>
      </c>
      <c r="V208"/>
    </row>
    <row r="209" spans="2:22">
      <c r="B209" s="82">
        <v>41242</v>
      </c>
      <c r="C209" s="83">
        <v>0.97473352089999998</v>
      </c>
      <c r="D209" s="83">
        <f>VLOOKUP(CurrentMtgRatesDataTable825[[#This Row],[asofdate]],I:J,2,0)</f>
        <v>0.92991451790000001</v>
      </c>
      <c r="E209" s="83">
        <f>VLOOKUP(CurrentMtgRatesDataTable825[[#This Row],[asofdate]],O:P,2,0)</f>
        <v>0</v>
      </c>
      <c r="F209" s="84">
        <f ca="1">VLOOKUP(CurrentMtgRatesDataTable825[[#This Row],[asofdate]]+1,Bloomberg!B:C,2,0)</f>
        <v>4943</v>
      </c>
      <c r="I209" s="18">
        <v>41956</v>
      </c>
      <c r="J209" s="88">
        <v>0.49075057599999999</v>
      </c>
      <c r="K209" s="88">
        <f>VLOOKUP(CurrentMtgRatesDataTable82527141518[[#This Row],[asofdate]],O:P,2,0)</f>
        <v>0</v>
      </c>
      <c r="L209" s="88">
        <f>VLOOKUP(CurrentMtgRatesDataTable82527141518[[#This Row],[asofdate]],S:T,2,0)</f>
        <v>8.3061247399999996E-2</v>
      </c>
      <c r="M209" s="6">
        <f ca="1">VLOOKUP(CurrentMtgRatesDataTable82527141518[[#This Row],[asofdate]]+1,Bloomberg!B:C,2,0)</f>
        <v>1563.2</v>
      </c>
      <c r="N209" s="6"/>
      <c r="O209" s="18">
        <v>41928</v>
      </c>
      <c r="P209" s="88">
        <v>9.0941540799999998E-2</v>
      </c>
      <c r="Q209" s="101"/>
      <c r="R209" s="101"/>
      <c r="S209" s="18">
        <v>41893</v>
      </c>
      <c r="T209" s="88">
        <v>5.4217214299999997E-2</v>
      </c>
      <c r="V209"/>
    </row>
    <row r="210" spans="2:22">
      <c r="B210" s="82">
        <v>41234</v>
      </c>
      <c r="C210" s="83">
        <v>0.9764940312</v>
      </c>
      <c r="D210" s="83">
        <f>VLOOKUP(CurrentMtgRatesDataTable825[[#This Row],[asofdate]],I:J,2,0)</f>
        <v>0.93453427170000003</v>
      </c>
      <c r="E210" s="83">
        <f>VLOOKUP(CurrentMtgRatesDataTable825[[#This Row],[asofdate]],O:P,2,0)</f>
        <v>0.95117179910000005</v>
      </c>
      <c r="F210" s="84" t="e">
        <f ca="1">VLOOKUP(CurrentMtgRatesDataTable825[[#This Row],[asofdate]]+1,Bloomberg!B:C,2,0)</f>
        <v>#N/A</v>
      </c>
      <c r="I210" s="18">
        <v>41949</v>
      </c>
      <c r="J210" s="88">
        <v>0.4848394103</v>
      </c>
      <c r="K210" s="88">
        <f>VLOOKUP(CurrentMtgRatesDataTable82527141518[[#This Row],[asofdate]],O:P,2,0)</f>
        <v>0</v>
      </c>
      <c r="L210" s="88">
        <f>VLOOKUP(CurrentMtgRatesDataTable82527141518[[#This Row],[asofdate]],S:T,2,0)</f>
        <v>8.10522303E-2</v>
      </c>
      <c r="M210" s="6">
        <f ca="1">VLOOKUP(CurrentMtgRatesDataTable82527141518[[#This Row],[asofdate]]+1,Bloomberg!B:C,2,0)</f>
        <v>1565.3</v>
      </c>
      <c r="N210" s="6"/>
      <c r="O210" s="18">
        <v>41921</v>
      </c>
      <c r="P210" s="88">
        <v>0</v>
      </c>
      <c r="Q210" s="101"/>
      <c r="R210" s="101"/>
      <c r="S210" s="18">
        <v>41886</v>
      </c>
      <c r="T210" s="88">
        <v>5.8857294800000001E-2</v>
      </c>
      <c r="V210"/>
    </row>
    <row r="211" spans="2:22">
      <c r="B211" s="82">
        <v>41228</v>
      </c>
      <c r="C211" s="83">
        <v>0.97531301500000001</v>
      </c>
      <c r="D211" s="83">
        <f>VLOOKUP(CurrentMtgRatesDataTable825[[#This Row],[asofdate]],I:J,2,0)</f>
        <v>0.93053132520000004</v>
      </c>
      <c r="E211" s="83">
        <f>VLOOKUP(CurrentMtgRatesDataTable825[[#This Row],[asofdate]],O:P,2,0)</f>
        <v>0</v>
      </c>
      <c r="F211" s="84">
        <f ca="1">VLOOKUP(CurrentMtgRatesDataTable825[[#This Row],[asofdate]]+1,Bloomberg!B:C,2,0)</f>
        <v>4702.3999999999996</v>
      </c>
      <c r="I211" s="18">
        <v>41942</v>
      </c>
      <c r="J211" s="88">
        <v>0.51332521600000003</v>
      </c>
      <c r="K211" s="88">
        <f>VLOOKUP(CurrentMtgRatesDataTable82527141518[[#This Row],[asofdate]],O:P,2,0)</f>
        <v>0</v>
      </c>
      <c r="L211" s="88">
        <f>VLOOKUP(CurrentMtgRatesDataTable82527141518[[#This Row],[asofdate]],S:T,2,0)</f>
        <v>8.7667770899999997E-2</v>
      </c>
      <c r="M211" s="6">
        <f ca="1">VLOOKUP(CurrentMtgRatesDataTable82527141518[[#This Row],[asofdate]]+1,Bloomberg!B:C,2,0)</f>
        <v>1604.8</v>
      </c>
      <c r="N211" s="6"/>
      <c r="O211" s="18">
        <v>41914</v>
      </c>
      <c r="P211" s="88">
        <v>0</v>
      </c>
      <c r="Q211" s="101"/>
      <c r="R211" s="101"/>
      <c r="S211" s="18">
        <v>41879</v>
      </c>
      <c r="T211" s="88">
        <v>5.6811517800000003E-2</v>
      </c>
      <c r="V211"/>
    </row>
    <row r="212" spans="2:22">
      <c r="B212" s="82">
        <v>41221</v>
      </c>
      <c r="C212" s="83">
        <v>0.96601170540000003</v>
      </c>
      <c r="D212" s="83">
        <f>VLOOKUP(CurrentMtgRatesDataTable825[[#This Row],[asofdate]],I:J,2,0)</f>
        <v>0.91937499810000001</v>
      </c>
      <c r="E212" s="83">
        <f>VLOOKUP(CurrentMtgRatesDataTable825[[#This Row],[asofdate]],O:P,2,0)</f>
        <v>0</v>
      </c>
      <c r="F212" s="84">
        <f ca="1">VLOOKUP(CurrentMtgRatesDataTable825[[#This Row],[asofdate]]+1,Bloomberg!B:C,2,0)</f>
        <v>4856.1000000000004</v>
      </c>
      <c r="I212" s="18">
        <v>41935</v>
      </c>
      <c r="J212" s="88">
        <v>0.54295058770000004</v>
      </c>
      <c r="K212" s="88">
        <f>VLOOKUP(CurrentMtgRatesDataTable82527141518[[#This Row],[asofdate]],O:P,2,0)</f>
        <v>0.1067407335</v>
      </c>
      <c r="L212" s="88">
        <f>VLOOKUP(CurrentMtgRatesDataTable82527141518[[#This Row],[asofdate]],S:T,2,0)</f>
        <v>0.10771013190000001</v>
      </c>
      <c r="M212" s="6">
        <f ca="1">VLOOKUP(CurrentMtgRatesDataTable82527141518[[#This Row],[asofdate]]+1,Bloomberg!B:C,2,0)</f>
        <v>1713.6</v>
      </c>
      <c r="N212" s="6"/>
      <c r="O212" s="18">
        <v>41907</v>
      </c>
      <c r="P212" s="88">
        <v>0</v>
      </c>
      <c r="Q212" s="101"/>
      <c r="R212" s="101"/>
      <c r="S212" s="18">
        <v>41872</v>
      </c>
      <c r="T212" s="88">
        <v>5.6832027E-2</v>
      </c>
      <c r="V212"/>
    </row>
    <row r="213" spans="2:22">
      <c r="B213" s="82">
        <v>41214</v>
      </c>
      <c r="C213" s="83">
        <v>0.96726730959999996</v>
      </c>
      <c r="D213" s="83">
        <f>VLOOKUP(CurrentMtgRatesDataTable825[[#This Row],[asofdate]],I:J,2,0)</f>
        <v>0.922474672</v>
      </c>
      <c r="E213" s="83">
        <f>VLOOKUP(CurrentMtgRatesDataTable825[[#This Row],[asofdate]],O:P,2,0)</f>
        <v>0</v>
      </c>
      <c r="F213" s="84">
        <f ca="1">VLOOKUP(CurrentMtgRatesDataTable825[[#This Row],[asofdate]]+1,Bloomberg!B:C,2,0)</f>
        <v>4297.7</v>
      </c>
      <c r="I213" s="18">
        <v>41928</v>
      </c>
      <c r="J213" s="88">
        <v>0.51925752069999997</v>
      </c>
      <c r="K213" s="88">
        <f>VLOOKUP(CurrentMtgRatesDataTable82527141518[[#This Row],[asofdate]],O:P,2,0)</f>
        <v>9.0941540799999998E-2</v>
      </c>
      <c r="L213" s="88">
        <f>VLOOKUP(CurrentMtgRatesDataTable82527141518[[#This Row],[asofdate]],S:T,2,0)</f>
        <v>9.1745245399999995E-2</v>
      </c>
      <c r="M213" s="6">
        <f ca="1">VLOOKUP(CurrentMtgRatesDataTable82527141518[[#This Row],[asofdate]]+1,Bloomberg!B:C,2,0)</f>
        <v>1898.2</v>
      </c>
      <c r="N213" s="6"/>
      <c r="O213" s="18">
        <v>41900</v>
      </c>
      <c r="P213" s="88">
        <v>0</v>
      </c>
      <c r="Q213" s="101"/>
      <c r="R213" s="101"/>
      <c r="S213" s="18">
        <v>41865</v>
      </c>
      <c r="T213" s="88">
        <v>4.7093181200000001E-2</v>
      </c>
      <c r="V213"/>
    </row>
    <row r="214" spans="2:22">
      <c r="B214" s="82">
        <v>41207</v>
      </c>
      <c r="C214" s="83">
        <v>0.97626253559999998</v>
      </c>
      <c r="D214" s="83">
        <f>VLOOKUP(CurrentMtgRatesDataTable825[[#This Row],[asofdate]],I:J,2,0)</f>
        <v>0.9359022441</v>
      </c>
      <c r="E214" s="83">
        <f>VLOOKUP(CurrentMtgRatesDataTable825[[#This Row],[asofdate]],O:P,2,0)</f>
        <v>0</v>
      </c>
      <c r="F214" s="84">
        <f ca="1">VLOOKUP(CurrentMtgRatesDataTable825[[#This Row],[asofdate]]+1,Bloomberg!B:C,2,0)</f>
        <v>4550.7</v>
      </c>
      <c r="I214" s="18">
        <v>41921</v>
      </c>
      <c r="J214" s="88">
        <v>0.42877989420000001</v>
      </c>
      <c r="K214" s="88">
        <f>VLOOKUP(CurrentMtgRatesDataTable82527141518[[#This Row],[asofdate]],O:P,2,0)</f>
        <v>0</v>
      </c>
      <c r="L214" s="88">
        <f>VLOOKUP(CurrentMtgRatesDataTable82527141518[[#This Row],[asofdate]],S:T,2,0)</f>
        <v>5.4818035000000001E-2</v>
      </c>
      <c r="M214" s="6">
        <f ca="1">VLOOKUP(CurrentMtgRatesDataTable82527141518[[#This Row],[asofdate]]+1,Bloomberg!B:C,2,0)</f>
        <v>1560.6</v>
      </c>
      <c r="N214" s="6"/>
      <c r="O214" s="18">
        <v>41893</v>
      </c>
      <c r="P214" s="88">
        <v>0</v>
      </c>
      <c r="Q214" s="101"/>
      <c r="R214" s="101"/>
      <c r="S214" s="18">
        <v>41858</v>
      </c>
      <c r="T214" s="88">
        <v>3.5272750800000002E-2</v>
      </c>
      <c r="V214"/>
    </row>
    <row r="215" spans="2:22">
      <c r="B215" s="82">
        <v>41200</v>
      </c>
      <c r="C215" s="83">
        <v>0.98348944029999996</v>
      </c>
      <c r="D215" s="83">
        <f>VLOOKUP(CurrentMtgRatesDataTable825[[#This Row],[asofdate]],I:J,2,0)</f>
        <v>0.94525388960000001</v>
      </c>
      <c r="E215" s="83">
        <f>VLOOKUP(CurrentMtgRatesDataTable825[[#This Row],[asofdate]],O:P,2,0)</f>
        <v>0</v>
      </c>
      <c r="F215" s="84">
        <f ca="1">VLOOKUP(CurrentMtgRatesDataTable825[[#This Row],[asofdate]]+1,Bloomberg!B:C,2,0)</f>
        <v>4847.2</v>
      </c>
      <c r="I215" s="18">
        <v>41914</v>
      </c>
      <c r="J215" s="88">
        <v>0.40204481939999998</v>
      </c>
      <c r="K215" s="88">
        <f>VLOOKUP(CurrentMtgRatesDataTable82527141518[[#This Row],[asofdate]],O:P,2,0)</f>
        <v>0</v>
      </c>
      <c r="L215" s="88">
        <f>VLOOKUP(CurrentMtgRatesDataTable82527141518[[#This Row],[asofdate]],S:T,2,0)</f>
        <v>3.4644764999999999E-3</v>
      </c>
      <c r="M215" s="6">
        <f ca="1">VLOOKUP(CurrentMtgRatesDataTable82527141518[[#This Row],[asofdate]]+1,Bloomberg!B:C,2,0)</f>
        <v>1387.1</v>
      </c>
      <c r="N215" s="6"/>
      <c r="O215" s="18">
        <v>41886</v>
      </c>
      <c r="P215" s="88">
        <v>0</v>
      </c>
      <c r="Q215" s="101"/>
      <c r="R215" s="101"/>
      <c r="S215" s="18">
        <v>41851</v>
      </c>
      <c r="T215" s="88">
        <v>4.5236248999999999E-2</v>
      </c>
      <c r="V215"/>
    </row>
    <row r="216" spans="2:22">
      <c r="B216" s="82">
        <v>41193</v>
      </c>
      <c r="C216" s="83">
        <v>0.97996203599999998</v>
      </c>
      <c r="D216" s="83">
        <f>VLOOKUP(CurrentMtgRatesDataTable825[[#This Row],[asofdate]],I:J,2,0)</f>
        <v>0.94115662570000003</v>
      </c>
      <c r="E216" s="83">
        <f>VLOOKUP(CurrentMtgRatesDataTable825[[#This Row],[asofdate]],O:P,2,0)</f>
        <v>0</v>
      </c>
      <c r="F216" s="84">
        <f ca="1">VLOOKUP(CurrentMtgRatesDataTable825[[#This Row],[asofdate]]+1,Bloomberg!B:C,2,0)</f>
        <v>5572.2</v>
      </c>
      <c r="I216" s="18">
        <v>41907</v>
      </c>
      <c r="J216" s="88">
        <v>0.38946480909999998</v>
      </c>
      <c r="K216" s="88">
        <f>VLOOKUP(CurrentMtgRatesDataTable82527141518[[#This Row],[asofdate]],O:P,2,0)</f>
        <v>0</v>
      </c>
      <c r="L216" s="88">
        <f>VLOOKUP(CurrentMtgRatesDataTable82527141518[[#This Row],[asofdate]],S:T,2,0)</f>
        <v>7.5124030000000002E-4</v>
      </c>
      <c r="M216" s="6">
        <f ca="1">VLOOKUP(CurrentMtgRatesDataTable82527141518[[#This Row],[asofdate]]+1,Bloomberg!B:C,2,0)</f>
        <v>1326.2</v>
      </c>
      <c r="N216" s="6"/>
      <c r="O216" s="18">
        <v>41879</v>
      </c>
      <c r="P216" s="88">
        <v>0</v>
      </c>
      <c r="Q216" s="101"/>
      <c r="R216" s="101"/>
      <c r="S216" s="18">
        <v>41844</v>
      </c>
      <c r="T216" s="88">
        <v>4.19359511E-2</v>
      </c>
      <c r="V216"/>
    </row>
    <row r="217" spans="2:22">
      <c r="B217" s="82">
        <v>41186</v>
      </c>
      <c r="C217" s="83">
        <v>0.98524810240000005</v>
      </c>
      <c r="D217" s="83">
        <f>VLOOKUP(CurrentMtgRatesDataTable825[[#This Row],[asofdate]],I:J,2,0)</f>
        <v>0.94881667510000001</v>
      </c>
      <c r="E217" s="83">
        <f>VLOOKUP(CurrentMtgRatesDataTable825[[#This Row],[asofdate]],O:P,2,0)</f>
        <v>0.96391063649999997</v>
      </c>
      <c r="F217" s="84">
        <f ca="1">VLOOKUP(CurrentMtgRatesDataTable825[[#This Row],[asofdate]]+1,Bloomberg!B:C,2,0)</f>
        <v>5892.5</v>
      </c>
      <c r="I217" s="18">
        <v>41900</v>
      </c>
      <c r="J217" s="88">
        <v>0.3756230418</v>
      </c>
      <c r="K217" s="88">
        <f>VLOOKUP(CurrentMtgRatesDataTable82527141518[[#This Row],[asofdate]],O:P,2,0)</f>
        <v>0</v>
      </c>
      <c r="L217" s="88">
        <f>VLOOKUP(CurrentMtgRatesDataTable82527141518[[#This Row],[asofdate]],S:T,2,0)</f>
        <v>6.8108419999999995E-4</v>
      </c>
      <c r="M217" s="6">
        <f ca="1">VLOOKUP(CurrentMtgRatesDataTable82527141518[[#This Row],[asofdate]]+1,Bloomberg!B:C,2,0)</f>
        <v>1335.1</v>
      </c>
      <c r="N217" s="6"/>
      <c r="O217" s="18">
        <v>41872</v>
      </c>
      <c r="P217" s="88">
        <v>5.6382015600000002E-2</v>
      </c>
      <c r="Q217" s="101"/>
      <c r="R217" s="101"/>
      <c r="S217" s="18">
        <v>41837</v>
      </c>
      <c r="T217" s="88">
        <v>4.2003712700000001E-2</v>
      </c>
      <c r="V217"/>
    </row>
    <row r="218" spans="2:22">
      <c r="B218" s="82">
        <v>41179</v>
      </c>
      <c r="C218" s="83">
        <v>0.99079643949999996</v>
      </c>
      <c r="D218" s="83">
        <f>VLOOKUP(CurrentMtgRatesDataTable825[[#This Row],[asofdate]],I:J,2,0)</f>
        <v>0.96124609490000001</v>
      </c>
      <c r="E218" s="83">
        <f>VLOOKUP(CurrentMtgRatesDataTable825[[#This Row],[asofdate]],O:P,2,0)</f>
        <v>0.97577079150000001</v>
      </c>
      <c r="F218" s="84">
        <f ca="1">VLOOKUP(CurrentMtgRatesDataTable825[[#This Row],[asofdate]]+1,Bloomberg!B:C,2,0)</f>
        <v>5965.5</v>
      </c>
      <c r="I218" s="18">
        <v>41893</v>
      </c>
      <c r="J218" s="88">
        <v>0.43596182500000003</v>
      </c>
      <c r="K218" s="88">
        <f>VLOOKUP(CurrentMtgRatesDataTable82527141518[[#This Row],[asofdate]],O:P,2,0)</f>
        <v>0</v>
      </c>
      <c r="L218" s="88">
        <f>VLOOKUP(CurrentMtgRatesDataTable82527141518[[#This Row],[asofdate]],S:T,2,0)</f>
        <v>5.4217214299999997E-2</v>
      </c>
      <c r="M218" s="6">
        <f ca="1">VLOOKUP(CurrentMtgRatesDataTable82527141518[[#This Row],[asofdate]]+1,Bloomberg!B:C,2,0)</f>
        <v>1398.4</v>
      </c>
      <c r="N218" s="6"/>
      <c r="O218" s="18">
        <v>41865</v>
      </c>
      <c r="P218" s="88">
        <v>0</v>
      </c>
      <c r="Q218" s="101"/>
      <c r="R218" s="101"/>
      <c r="S218" s="18">
        <v>41830</v>
      </c>
      <c r="T218" s="88">
        <v>3.2938917200000001E-2</v>
      </c>
      <c r="V218"/>
    </row>
    <row r="219" spans="2:22">
      <c r="B219" s="82">
        <v>41172</v>
      </c>
      <c r="C219" s="83">
        <v>0.96606144380000003</v>
      </c>
      <c r="D219" s="83">
        <f>VLOOKUP(CurrentMtgRatesDataTable825[[#This Row],[asofdate]],I:J,2,0)</f>
        <v>0.92474856360000002</v>
      </c>
      <c r="E219" s="83">
        <f>VLOOKUP(CurrentMtgRatesDataTable825[[#This Row],[asofdate]],O:P,2,0)</f>
        <v>0.94388842360000003</v>
      </c>
      <c r="F219" s="84">
        <f ca="1">VLOOKUP(CurrentMtgRatesDataTable825[[#This Row],[asofdate]]+1,Bloomberg!B:C,2,0)</f>
        <v>4979</v>
      </c>
      <c r="I219" s="18">
        <v>41886</v>
      </c>
      <c r="J219" s="88">
        <v>0.44900036679999999</v>
      </c>
      <c r="K219" s="88">
        <f>VLOOKUP(CurrentMtgRatesDataTable82527141518[[#This Row],[asofdate]],O:P,2,0)</f>
        <v>0</v>
      </c>
      <c r="L219" s="88">
        <f>VLOOKUP(CurrentMtgRatesDataTable82527141518[[#This Row],[asofdate]],S:T,2,0)</f>
        <v>5.8857294800000001E-2</v>
      </c>
      <c r="M219" s="6">
        <f ca="1">VLOOKUP(CurrentMtgRatesDataTable82527141518[[#This Row],[asofdate]]+1,Bloomberg!B:C,2,0)</f>
        <v>1275.8</v>
      </c>
      <c r="N219" s="6"/>
      <c r="O219" s="18">
        <v>41858</v>
      </c>
      <c r="P219" s="88">
        <v>0</v>
      </c>
      <c r="Q219" s="101"/>
      <c r="R219" s="101"/>
      <c r="S219" s="18">
        <v>41823</v>
      </c>
      <c r="T219" s="88">
        <v>5.0675053300000002E-2</v>
      </c>
      <c r="V219"/>
    </row>
    <row r="220" spans="2:22">
      <c r="B220" s="82">
        <v>41165</v>
      </c>
      <c r="C220" s="83">
        <v>0.92682323200000005</v>
      </c>
      <c r="D220" s="83">
        <f>VLOOKUP(CurrentMtgRatesDataTable825[[#This Row],[asofdate]],I:J,2,0)</f>
        <v>0.87852119600000012</v>
      </c>
      <c r="E220" s="83">
        <f>VLOOKUP(CurrentMtgRatesDataTable825[[#This Row],[asofdate]],O:P,2,0)</f>
        <v>0</v>
      </c>
      <c r="F220" s="84">
        <f ca="1">VLOOKUP(CurrentMtgRatesDataTable825[[#This Row],[asofdate]]+1,Bloomberg!B:C,2,0)</f>
        <v>4823.3</v>
      </c>
      <c r="I220" s="18">
        <v>41879</v>
      </c>
      <c r="J220" s="88">
        <v>0.45591843170000002</v>
      </c>
      <c r="K220" s="88">
        <f>VLOOKUP(CurrentMtgRatesDataTable82527141518[[#This Row],[asofdate]],O:P,2,0)</f>
        <v>0</v>
      </c>
      <c r="L220" s="88">
        <f>VLOOKUP(CurrentMtgRatesDataTable82527141518[[#This Row],[asofdate]],S:T,2,0)</f>
        <v>5.6811517800000003E-2</v>
      </c>
      <c r="M220" s="6">
        <f ca="1">VLOOKUP(CurrentMtgRatesDataTable82527141518[[#This Row],[asofdate]]+1,Bloomberg!B:C,2,0)</f>
        <v>1436</v>
      </c>
      <c r="N220" s="6"/>
      <c r="O220" s="18">
        <v>41851</v>
      </c>
      <c r="P220" s="88">
        <v>0</v>
      </c>
      <c r="Q220" s="101"/>
      <c r="R220" s="101"/>
      <c r="S220" s="18">
        <v>41816</v>
      </c>
      <c r="T220" s="88">
        <v>4.2385715300000001E-2</v>
      </c>
      <c r="V220"/>
    </row>
    <row r="221" spans="2:22">
      <c r="B221" s="82">
        <v>41158</v>
      </c>
      <c r="C221" s="83">
        <v>0.9200088891</v>
      </c>
      <c r="D221" s="83">
        <f>VLOOKUP(CurrentMtgRatesDataTable825[[#This Row],[asofdate]],I:J,2,0)</f>
        <v>0.86805265789999997</v>
      </c>
      <c r="E221" s="83">
        <f>VLOOKUP(CurrentMtgRatesDataTable825[[#This Row],[asofdate]],O:P,2,0)</f>
        <v>0</v>
      </c>
      <c r="F221" s="84">
        <f ca="1">VLOOKUP(CurrentMtgRatesDataTable825[[#This Row],[asofdate]]+1,Bloomberg!B:C,2,0)</f>
        <v>4779.1000000000004</v>
      </c>
      <c r="I221" s="18">
        <v>41872</v>
      </c>
      <c r="J221" s="88">
        <v>0.45591843170000002</v>
      </c>
      <c r="K221" s="88">
        <f>VLOOKUP(CurrentMtgRatesDataTable82527141518[[#This Row],[asofdate]],O:P,2,0)</f>
        <v>5.6382015600000002E-2</v>
      </c>
      <c r="L221" s="88">
        <f>VLOOKUP(CurrentMtgRatesDataTable82527141518[[#This Row],[asofdate]],S:T,2,0)</f>
        <v>5.6832027E-2</v>
      </c>
      <c r="M221" s="6">
        <f ca="1">VLOOKUP(CurrentMtgRatesDataTable82527141518[[#This Row],[asofdate]]+1,Bloomberg!B:C,2,0)</f>
        <v>1439.4</v>
      </c>
      <c r="N221" s="6"/>
      <c r="O221" s="18">
        <v>41844</v>
      </c>
      <c r="P221" s="88">
        <v>0</v>
      </c>
      <c r="Q221" s="101"/>
      <c r="R221" s="101"/>
      <c r="S221" s="18">
        <v>41809</v>
      </c>
      <c r="T221" s="88">
        <v>3.2087155200000002E-2</v>
      </c>
      <c r="V221"/>
    </row>
    <row r="222" spans="2:22">
      <c r="B222" s="82">
        <v>41151</v>
      </c>
      <c r="C222" s="83">
        <v>0.92614215509999998</v>
      </c>
      <c r="D222" s="83">
        <f>VLOOKUP(CurrentMtgRatesDataTable825[[#This Row],[asofdate]],I:J,2,0)</f>
        <v>0.88209078110000005</v>
      </c>
      <c r="E222" s="83">
        <f>VLOOKUP(CurrentMtgRatesDataTable825[[#This Row],[asofdate]],O:P,2,0)</f>
        <v>0</v>
      </c>
      <c r="F222" s="84">
        <f ca="1">VLOOKUP(CurrentMtgRatesDataTable825[[#This Row],[asofdate]]+1,Bloomberg!B:C,2,0)</f>
        <v>4274.8</v>
      </c>
      <c r="I222" s="18">
        <v>41865</v>
      </c>
      <c r="J222" s="88">
        <v>0.42798435280000002</v>
      </c>
      <c r="K222" s="88">
        <f>VLOOKUP(CurrentMtgRatesDataTable82527141518[[#This Row],[asofdate]],O:P,2,0)</f>
        <v>0</v>
      </c>
      <c r="L222" s="88">
        <f>VLOOKUP(CurrentMtgRatesDataTable82527141518[[#This Row],[asofdate]],S:T,2,0)</f>
        <v>4.7093181200000001E-2</v>
      </c>
      <c r="M222" s="6">
        <f ca="1">VLOOKUP(CurrentMtgRatesDataTable82527141518[[#This Row],[asofdate]]+1,Bloomberg!B:C,2,0)</f>
        <v>1404.9</v>
      </c>
      <c r="N222" s="6"/>
      <c r="O222" s="18">
        <v>41837</v>
      </c>
      <c r="P222" s="88">
        <v>0</v>
      </c>
      <c r="Q222" s="101"/>
      <c r="R222" s="101"/>
      <c r="S222" s="18">
        <v>41802</v>
      </c>
      <c r="T222" s="88">
        <v>2.79290697E-2</v>
      </c>
      <c r="V222"/>
    </row>
    <row r="223" spans="2:22">
      <c r="B223" s="82">
        <v>41144</v>
      </c>
      <c r="C223" s="83">
        <v>0.90777467359999997</v>
      </c>
      <c r="D223" s="83">
        <f>VLOOKUP(CurrentMtgRatesDataTable825[[#This Row],[asofdate]],I:J,2,0)</f>
        <v>0.85858558409999997</v>
      </c>
      <c r="E223" s="83">
        <f>VLOOKUP(CurrentMtgRatesDataTable825[[#This Row],[asofdate]],O:P,2,0)</f>
        <v>0</v>
      </c>
      <c r="F223" s="84">
        <f ca="1">VLOOKUP(CurrentMtgRatesDataTable825[[#This Row],[asofdate]]+1,Bloomberg!B:C,2,0)</f>
        <v>4414.6000000000004</v>
      </c>
      <c r="I223" s="18">
        <v>41858</v>
      </c>
      <c r="J223" s="88">
        <v>0.40236429289999998</v>
      </c>
      <c r="K223" s="88">
        <f>VLOOKUP(CurrentMtgRatesDataTable82527141518[[#This Row],[asofdate]],O:P,2,0)</f>
        <v>0</v>
      </c>
      <c r="L223" s="88">
        <f>VLOOKUP(CurrentMtgRatesDataTable82527141518[[#This Row],[asofdate]],S:T,2,0)</f>
        <v>3.5272750800000002E-2</v>
      </c>
      <c r="M223" s="6">
        <f ca="1">VLOOKUP(CurrentMtgRatesDataTable82527141518[[#This Row],[asofdate]]+1,Bloomberg!B:C,2,0)</f>
        <v>1342.6</v>
      </c>
      <c r="N223" s="6"/>
      <c r="O223" s="18">
        <v>41830</v>
      </c>
      <c r="P223" s="88">
        <v>0</v>
      </c>
      <c r="Q223" s="101"/>
      <c r="R223" s="101"/>
      <c r="S223" s="18">
        <v>41795</v>
      </c>
      <c r="T223" s="88">
        <v>4.2401298400000002E-2</v>
      </c>
      <c r="V223"/>
    </row>
    <row r="224" spans="2:22">
      <c r="B224" s="82">
        <v>41137</v>
      </c>
      <c r="C224" s="83">
        <v>0.92191374270000004</v>
      </c>
      <c r="D224" s="83">
        <f>VLOOKUP(CurrentMtgRatesDataTable825[[#This Row],[asofdate]],I:J,2,0)</f>
        <v>0.87150671830000004</v>
      </c>
      <c r="E224" s="83">
        <f>VLOOKUP(CurrentMtgRatesDataTable825[[#This Row],[asofdate]],O:P,2,0)</f>
        <v>0</v>
      </c>
      <c r="F224" s="84">
        <f ca="1">VLOOKUP(CurrentMtgRatesDataTable825[[#This Row],[asofdate]]+1,Bloomberg!B:C,2,0)</f>
        <v>4671.1000000000004</v>
      </c>
      <c r="I224" s="18">
        <v>41851</v>
      </c>
      <c r="J224" s="88">
        <v>0.43438894760000002</v>
      </c>
      <c r="K224" s="88">
        <f>VLOOKUP(CurrentMtgRatesDataTable82527141518[[#This Row],[asofdate]],O:P,2,0)</f>
        <v>0</v>
      </c>
      <c r="L224" s="88">
        <f>VLOOKUP(CurrentMtgRatesDataTable82527141518[[#This Row],[asofdate]],S:T,2,0)</f>
        <v>4.5236248999999999E-2</v>
      </c>
      <c r="M224" s="6">
        <f ca="1">VLOOKUP(CurrentMtgRatesDataTable82527141518[[#This Row],[asofdate]]+1,Bloomberg!B:C,2,0)</f>
        <v>1373.9</v>
      </c>
      <c r="N224" s="6"/>
      <c r="O224" s="18">
        <v>41823</v>
      </c>
      <c r="P224" s="88">
        <v>5.0225323500000002E-2</v>
      </c>
      <c r="Q224" s="101"/>
      <c r="R224" s="101"/>
      <c r="S224" s="18">
        <v>41788</v>
      </c>
      <c r="T224" s="88">
        <v>3.7940806000000001E-2</v>
      </c>
      <c r="V224"/>
    </row>
    <row r="225" spans="2:22">
      <c r="B225" s="82">
        <v>41130</v>
      </c>
      <c r="C225" s="83">
        <v>0.92614215509999998</v>
      </c>
      <c r="D225" s="83">
        <f>VLOOKUP(CurrentMtgRatesDataTable825[[#This Row],[asofdate]],I:J,2,0)</f>
        <v>0.88209078110000005</v>
      </c>
      <c r="E225" s="83">
        <f>VLOOKUP(CurrentMtgRatesDataTable825[[#This Row],[asofdate]],O:P,2,0)</f>
        <v>0</v>
      </c>
      <c r="F225" s="84">
        <f ca="1">VLOOKUP(CurrentMtgRatesDataTable825[[#This Row],[asofdate]]+1,Bloomberg!B:C,2,0)</f>
        <v>5172.2</v>
      </c>
      <c r="I225" s="18">
        <v>41844</v>
      </c>
      <c r="J225" s="88">
        <v>0.42889808010000002</v>
      </c>
      <c r="K225" s="88">
        <f>VLOOKUP(CurrentMtgRatesDataTable82527141518[[#This Row],[asofdate]],O:P,2,0)</f>
        <v>0</v>
      </c>
      <c r="L225" s="88">
        <f>VLOOKUP(CurrentMtgRatesDataTable82527141518[[#This Row],[asofdate]],S:T,2,0)</f>
        <v>4.19359511E-2</v>
      </c>
      <c r="M225" s="6">
        <f ca="1">VLOOKUP(CurrentMtgRatesDataTable82527141518[[#This Row],[asofdate]]+1,Bloomberg!B:C,2,0)</f>
        <v>1327.5</v>
      </c>
      <c r="N225" s="6"/>
      <c r="O225" s="18">
        <v>41816</v>
      </c>
      <c r="P225" s="88">
        <v>0</v>
      </c>
      <c r="Q225" s="101"/>
      <c r="R225" s="101"/>
      <c r="S225" s="18">
        <v>41781</v>
      </c>
      <c r="T225" s="88">
        <v>3.3073318099999999E-2</v>
      </c>
      <c r="V225"/>
    </row>
    <row r="226" spans="2:22">
      <c r="B226" s="82">
        <v>41123</v>
      </c>
      <c r="C226" s="83">
        <v>0.92974026580000002</v>
      </c>
      <c r="D226" s="83">
        <f>VLOOKUP(CurrentMtgRatesDataTable825[[#This Row],[asofdate]],I:J,2,0)</f>
        <v>0.88725227120000005</v>
      </c>
      <c r="E226" s="83">
        <f>VLOOKUP(CurrentMtgRatesDataTable825[[#This Row],[asofdate]],O:P,2,0)</f>
        <v>0</v>
      </c>
      <c r="F226" s="84">
        <f ca="1">VLOOKUP(CurrentMtgRatesDataTable825[[#This Row],[asofdate]]+1,Bloomberg!B:C,2,0)</f>
        <v>5444.3</v>
      </c>
      <c r="I226" s="18">
        <v>41837</v>
      </c>
      <c r="J226" s="88">
        <v>0.42889808010000002</v>
      </c>
      <c r="K226" s="88">
        <f>VLOOKUP(CurrentMtgRatesDataTable82527141518[[#This Row],[asofdate]],O:P,2,0)</f>
        <v>0</v>
      </c>
      <c r="L226" s="88">
        <f>VLOOKUP(CurrentMtgRatesDataTable82527141518[[#This Row],[asofdate]],S:T,2,0)</f>
        <v>4.2003712700000001E-2</v>
      </c>
      <c r="M226" s="6">
        <f ca="1">VLOOKUP(CurrentMtgRatesDataTable82527141518[[#This Row],[asofdate]]+1,Bloomberg!B:C,2,0)</f>
        <v>1400.7</v>
      </c>
      <c r="N226" s="6"/>
      <c r="O226" s="18">
        <v>41809</v>
      </c>
      <c r="P226" s="88">
        <v>0</v>
      </c>
      <c r="Q226" s="101"/>
      <c r="R226" s="101"/>
      <c r="S226" s="18">
        <v>41774</v>
      </c>
      <c r="T226" s="88">
        <v>2.62401162E-2</v>
      </c>
      <c r="V226"/>
    </row>
    <row r="227" spans="2:22">
      <c r="B227" s="82">
        <v>41116</v>
      </c>
      <c r="C227" s="83">
        <v>0.96472332770000002</v>
      </c>
      <c r="D227" s="83">
        <f>VLOOKUP(CurrentMtgRatesDataTable825[[#This Row],[asofdate]],I:J,2,0)</f>
        <v>0.93847461560000001</v>
      </c>
      <c r="E227" s="83">
        <f>VLOOKUP(CurrentMtgRatesDataTable825[[#This Row],[asofdate]],O:P,2,0)</f>
        <v>0.94697268489999997</v>
      </c>
      <c r="F227" s="84">
        <f ca="1">VLOOKUP(CurrentMtgRatesDataTable825[[#This Row],[asofdate]]+1,Bloomberg!B:C,2,0)</f>
        <v>5492.1</v>
      </c>
      <c r="I227" s="18">
        <v>41830</v>
      </c>
      <c r="J227" s="88">
        <v>0.40364873099999998</v>
      </c>
      <c r="K227" s="88">
        <f>VLOOKUP(CurrentMtgRatesDataTable82527141518[[#This Row],[asofdate]],O:P,2,0)</f>
        <v>0</v>
      </c>
      <c r="L227" s="88">
        <f>VLOOKUP(CurrentMtgRatesDataTable82527141518[[#This Row],[asofdate]],S:T,2,0)</f>
        <v>3.2938917200000001E-2</v>
      </c>
      <c r="M227" s="6">
        <f ca="1">VLOOKUP(CurrentMtgRatesDataTable82527141518[[#This Row],[asofdate]]+1,Bloomberg!B:C,2,0)</f>
        <v>1329.7</v>
      </c>
      <c r="N227" s="6"/>
      <c r="O227" s="18">
        <v>41802</v>
      </c>
      <c r="P227" s="88">
        <v>0</v>
      </c>
      <c r="Q227" s="101"/>
      <c r="R227" s="101"/>
      <c r="S227" s="18">
        <v>41767</v>
      </c>
      <c r="T227" s="88">
        <v>2.4445514099999999E-2</v>
      </c>
      <c r="V227"/>
    </row>
    <row r="228" spans="2:22">
      <c r="B228" s="82">
        <v>41109</v>
      </c>
      <c r="C228" s="83">
        <v>0.94931230209999995</v>
      </c>
      <c r="D228" s="83">
        <f>VLOOKUP(CurrentMtgRatesDataTable825[[#This Row],[asofdate]],I:J,2,0)</f>
        <v>0.90802151959999999</v>
      </c>
      <c r="E228" s="83">
        <f>VLOOKUP(CurrentMtgRatesDataTable825[[#This Row],[asofdate]],O:P,2,0)</f>
        <v>0.91750686770000001</v>
      </c>
      <c r="F228" s="84">
        <f ca="1">VLOOKUP(CurrentMtgRatesDataTable825[[#This Row],[asofdate]]+1,Bloomberg!B:C,2,0)</f>
        <v>5383.1</v>
      </c>
      <c r="I228" s="18">
        <v>41823</v>
      </c>
      <c r="J228" s="88">
        <v>0.44852017890000001</v>
      </c>
      <c r="K228" s="88">
        <f>VLOOKUP(CurrentMtgRatesDataTable82527141518[[#This Row],[asofdate]],O:P,2,0)</f>
        <v>5.0225323500000002E-2</v>
      </c>
      <c r="L228" s="88">
        <f>VLOOKUP(CurrentMtgRatesDataTable82527141518[[#This Row],[asofdate]],S:T,2,0)</f>
        <v>5.0675053300000002E-2</v>
      </c>
      <c r="M228" s="6">
        <f ca="1">VLOOKUP(CurrentMtgRatesDataTable82527141518[[#This Row],[asofdate]]+1,Bloomberg!B:C,2,0)</f>
        <v>1346.8</v>
      </c>
      <c r="N228" s="6"/>
      <c r="O228" s="18">
        <v>41795</v>
      </c>
      <c r="P228" s="88">
        <v>4.1968812299999998E-2</v>
      </c>
      <c r="Q228" s="101"/>
      <c r="R228" s="101"/>
      <c r="S228" s="18">
        <v>41760</v>
      </c>
      <c r="T228" s="88">
        <v>9.0355721999999996E-3</v>
      </c>
      <c r="V228"/>
    </row>
    <row r="229" spans="2:22">
      <c r="B229" s="82">
        <v>41102</v>
      </c>
      <c r="C229" s="83">
        <v>0.94357465549999997</v>
      </c>
      <c r="D229" s="83">
        <f>VLOOKUP(CurrentMtgRatesDataTable825[[#This Row],[asofdate]],I:J,2,0)</f>
        <v>0.89776124300000004</v>
      </c>
      <c r="E229" s="83">
        <f>VLOOKUP(CurrentMtgRatesDataTable825[[#This Row],[asofdate]],O:P,2,0)</f>
        <v>0.9082403416</v>
      </c>
      <c r="F229" s="84">
        <f ca="1">VLOOKUP(CurrentMtgRatesDataTable825[[#This Row],[asofdate]]+1,Bloomberg!B:C,2,0)</f>
        <v>5246.8</v>
      </c>
      <c r="I229" s="18">
        <v>41816</v>
      </c>
      <c r="J229" s="88">
        <v>0.44052877880000002</v>
      </c>
      <c r="K229" s="88">
        <f>VLOOKUP(CurrentMtgRatesDataTable82527141518[[#This Row],[asofdate]],O:P,2,0)</f>
        <v>0</v>
      </c>
      <c r="L229" s="88">
        <f>VLOOKUP(CurrentMtgRatesDataTable82527141518[[#This Row],[asofdate]],S:T,2,0)</f>
        <v>4.2385715300000001E-2</v>
      </c>
      <c r="M229" s="6">
        <f ca="1">VLOOKUP(CurrentMtgRatesDataTable82527141518[[#This Row],[asofdate]]+1,Bloomberg!B:C,2,0)</f>
        <v>1341.8</v>
      </c>
      <c r="N229" s="6"/>
      <c r="O229" s="18">
        <v>41788</v>
      </c>
      <c r="P229" s="88">
        <v>3.7512081500000002E-2</v>
      </c>
      <c r="Q229" s="101"/>
      <c r="R229" s="101"/>
      <c r="S229" s="18">
        <v>41753</v>
      </c>
      <c r="T229" s="88">
        <v>5.8541816000000002E-3</v>
      </c>
      <c r="V229"/>
    </row>
    <row r="230" spans="2:22">
      <c r="B230" s="82">
        <v>41095</v>
      </c>
      <c r="C230" s="83">
        <v>0.92555007190000005</v>
      </c>
      <c r="D230" s="83">
        <f>VLOOKUP(CurrentMtgRatesDataTable825[[#This Row],[asofdate]],I:J,2,0)</f>
        <v>0.87620102830000013</v>
      </c>
      <c r="E230" s="83">
        <f>VLOOKUP(CurrentMtgRatesDataTable825[[#This Row],[asofdate]],O:P,2,0)</f>
        <v>0.88806616589999998</v>
      </c>
      <c r="F230" s="84">
        <f ca="1">VLOOKUP(CurrentMtgRatesDataTable825[[#This Row],[asofdate]]+1,Bloomberg!B:C,2,0)</f>
        <v>4267.8999999999996</v>
      </c>
      <c r="I230" s="18">
        <v>41809</v>
      </c>
      <c r="J230" s="88">
        <v>0.41062004839999999</v>
      </c>
      <c r="K230" s="88">
        <f>VLOOKUP(CurrentMtgRatesDataTable82527141518[[#This Row],[asofdate]],O:P,2,0)</f>
        <v>0</v>
      </c>
      <c r="L230" s="88">
        <f>VLOOKUP(CurrentMtgRatesDataTable82527141518[[#This Row],[asofdate]],S:T,2,0)</f>
        <v>3.2087155200000002E-2</v>
      </c>
      <c r="M230" s="6">
        <f ca="1">VLOOKUP(CurrentMtgRatesDataTable82527141518[[#This Row],[asofdate]]+1,Bloomberg!B:C,2,0)</f>
        <v>1333.5</v>
      </c>
      <c r="N230" s="6"/>
      <c r="O230" s="18">
        <v>41781</v>
      </c>
      <c r="P230" s="88">
        <v>1.6812280499999999E-2</v>
      </c>
      <c r="Q230" s="101"/>
      <c r="R230" s="101"/>
      <c r="S230" s="18">
        <v>41746</v>
      </c>
      <c r="T230" s="88">
        <v>1.186662E-2</v>
      </c>
      <c r="V230"/>
    </row>
    <row r="231" spans="2:22">
      <c r="B231" s="82">
        <v>41088</v>
      </c>
      <c r="C231" s="83">
        <v>0.9311727138</v>
      </c>
      <c r="D231" s="83">
        <f>VLOOKUP(CurrentMtgRatesDataTable825[[#This Row],[asofdate]],I:J,2,0)</f>
        <v>0.8872665985</v>
      </c>
      <c r="E231" s="83">
        <f>VLOOKUP(CurrentMtgRatesDataTable825[[#This Row],[asofdate]],O:P,2,0)</f>
        <v>0</v>
      </c>
      <c r="F231" s="84">
        <f ca="1">VLOOKUP(CurrentMtgRatesDataTable825[[#This Row],[asofdate]]+1,Bloomberg!B:C,2,0)</f>
        <v>4372.2</v>
      </c>
      <c r="I231" s="18">
        <v>41802</v>
      </c>
      <c r="J231" s="88">
        <v>0.39654607469999997</v>
      </c>
      <c r="K231" s="88">
        <f>VLOOKUP(CurrentMtgRatesDataTable82527141518[[#This Row],[asofdate]],O:P,2,0)</f>
        <v>0</v>
      </c>
      <c r="L231" s="88">
        <f>VLOOKUP(CurrentMtgRatesDataTable82527141518[[#This Row],[asofdate]],S:T,2,0)</f>
        <v>2.79290697E-2</v>
      </c>
      <c r="M231" s="6">
        <f ca="1">VLOOKUP(CurrentMtgRatesDataTable82527141518[[#This Row],[asofdate]]+1,Bloomberg!B:C,2,0)</f>
        <v>1321.3</v>
      </c>
      <c r="N231" s="6"/>
      <c r="O231" s="18">
        <v>41774</v>
      </c>
      <c r="P231" s="88">
        <v>1.29267215E-2</v>
      </c>
      <c r="Q231" s="101"/>
      <c r="R231" s="101"/>
      <c r="S231" s="18">
        <v>41739</v>
      </c>
      <c r="T231" s="88">
        <v>3.9653767000000003E-3</v>
      </c>
      <c r="V231"/>
    </row>
    <row r="232" spans="2:22">
      <c r="B232" s="82">
        <v>41081</v>
      </c>
      <c r="C232" s="83">
        <v>0.9311727138</v>
      </c>
      <c r="D232" s="83">
        <f>VLOOKUP(CurrentMtgRatesDataTable825[[#This Row],[asofdate]],I:J,2,0)</f>
        <v>0.8872665985</v>
      </c>
      <c r="E232" s="83">
        <f>VLOOKUP(CurrentMtgRatesDataTable825[[#This Row],[asofdate]],O:P,2,0)</f>
        <v>0.90056993169999999</v>
      </c>
      <c r="F232" s="84">
        <f ca="1">VLOOKUP(CurrentMtgRatesDataTable825[[#This Row],[asofdate]]+1,Bloomberg!B:C,2,0)</f>
        <v>4585.8</v>
      </c>
      <c r="I232" s="18">
        <v>41795</v>
      </c>
      <c r="J232" s="88">
        <v>0.44052877880000002</v>
      </c>
      <c r="K232" s="88">
        <f>VLOOKUP(CurrentMtgRatesDataTable82527141518[[#This Row],[asofdate]],O:P,2,0)</f>
        <v>4.1968812299999998E-2</v>
      </c>
      <c r="L232" s="88">
        <f>VLOOKUP(CurrentMtgRatesDataTable82527141518[[#This Row],[asofdate]],S:T,2,0)</f>
        <v>4.2401298400000002E-2</v>
      </c>
      <c r="M232" s="6">
        <f ca="1">VLOOKUP(CurrentMtgRatesDataTable82527141518[[#This Row],[asofdate]]+1,Bloomberg!B:C,2,0)</f>
        <v>1516.9</v>
      </c>
      <c r="N232" s="6"/>
      <c r="O232" s="18">
        <v>41767</v>
      </c>
      <c r="P232" s="88">
        <v>1.0366637499999999E-2</v>
      </c>
      <c r="Q232" s="101"/>
      <c r="R232" s="101"/>
      <c r="S232" s="18">
        <v>41732</v>
      </c>
      <c r="T232" s="88">
        <v>1.1512785000000001E-3</v>
      </c>
      <c r="V232"/>
    </row>
    <row r="233" spans="2:22">
      <c r="B233" s="82">
        <v>41074</v>
      </c>
      <c r="C233" s="83">
        <v>0.9257422542</v>
      </c>
      <c r="D233" s="83">
        <f>VLOOKUP(CurrentMtgRatesDataTable825[[#This Row],[asofdate]],I:J,2,0)</f>
        <v>0.88079307399999995</v>
      </c>
      <c r="E233" s="83">
        <f>VLOOKUP(CurrentMtgRatesDataTable825[[#This Row],[asofdate]],O:P,2,0)</f>
        <v>0</v>
      </c>
      <c r="F233" s="84">
        <f ca="1">VLOOKUP(CurrentMtgRatesDataTable825[[#This Row],[asofdate]]+1,Bloomberg!B:C,2,0)</f>
        <v>4719.6000000000004</v>
      </c>
      <c r="I233" s="18">
        <v>41788</v>
      </c>
      <c r="J233" s="88">
        <v>0.43809869820000003</v>
      </c>
      <c r="K233" s="88">
        <f>VLOOKUP(CurrentMtgRatesDataTable82527141518[[#This Row],[asofdate]],O:P,2,0)</f>
        <v>3.7512081500000002E-2</v>
      </c>
      <c r="L233" s="88">
        <f>VLOOKUP(CurrentMtgRatesDataTable82527141518[[#This Row],[asofdate]],S:T,2,0)</f>
        <v>3.7940806000000001E-2</v>
      </c>
      <c r="M233" s="6">
        <f ca="1">VLOOKUP(CurrentMtgRatesDataTable82527141518[[#This Row],[asofdate]]+1,Bloomberg!B:C,2,0)</f>
        <v>1382.6</v>
      </c>
      <c r="N233" s="6"/>
      <c r="O233" s="18">
        <v>41760</v>
      </c>
      <c r="P233" s="88">
        <v>0</v>
      </c>
      <c r="Q233" s="101"/>
      <c r="R233" s="101"/>
      <c r="S233" s="18">
        <v>41725</v>
      </c>
      <c r="T233" s="88">
        <v>1.9502941E-3</v>
      </c>
      <c r="V233"/>
    </row>
    <row r="234" spans="2:22">
      <c r="B234" s="82">
        <v>41067</v>
      </c>
      <c r="C234" s="83">
        <v>0.93002670949999999</v>
      </c>
      <c r="D234" s="83">
        <f>VLOOKUP(CurrentMtgRatesDataTable825[[#This Row],[asofdate]],I:J,2,0)</f>
        <v>0.88629215419999996</v>
      </c>
      <c r="E234" s="83">
        <f>VLOOKUP(CurrentMtgRatesDataTable825[[#This Row],[asofdate]],O:P,2,0)</f>
        <v>0.89965355550000004</v>
      </c>
      <c r="F234" s="84">
        <f ca="1">VLOOKUP(CurrentMtgRatesDataTable825[[#This Row],[asofdate]]+1,Bloomberg!B:C,2,0)</f>
        <v>5590</v>
      </c>
      <c r="I234" s="18">
        <v>41781</v>
      </c>
      <c r="J234" s="88">
        <v>0.42775616290000001</v>
      </c>
      <c r="K234" s="88">
        <f>VLOOKUP(CurrentMtgRatesDataTable82527141518[[#This Row],[asofdate]],O:P,2,0)</f>
        <v>1.6812280499999999E-2</v>
      </c>
      <c r="L234" s="88">
        <f>VLOOKUP(CurrentMtgRatesDataTable82527141518[[#This Row],[asofdate]],S:T,2,0)</f>
        <v>3.3073318099999999E-2</v>
      </c>
      <c r="M234" s="6">
        <f ca="1">VLOOKUP(CurrentMtgRatesDataTable82527141518[[#This Row],[asofdate]]+1,Bloomberg!B:C,2,0)</f>
        <v>1453.4</v>
      </c>
      <c r="N234" s="6"/>
      <c r="O234" s="18">
        <v>41753</v>
      </c>
      <c r="P234" s="88">
        <v>0</v>
      </c>
      <c r="Q234" s="101"/>
      <c r="R234" s="101"/>
      <c r="S234" s="18">
        <v>41718</v>
      </c>
      <c r="T234" s="88">
        <v>8.9060293999999995E-3</v>
      </c>
      <c r="V234"/>
    </row>
    <row r="235" spans="2:22">
      <c r="B235" s="82">
        <v>41060</v>
      </c>
      <c r="C235" s="83">
        <v>0.93017900080000004</v>
      </c>
      <c r="D235" s="83">
        <f>VLOOKUP(CurrentMtgRatesDataTable825[[#This Row],[asofdate]],I:J,2,0)</f>
        <v>0.8796629078</v>
      </c>
      <c r="E235" s="83">
        <f>VLOOKUP(CurrentMtgRatesDataTable825[[#This Row],[asofdate]],O:P,2,0)</f>
        <v>0.89147575489999997</v>
      </c>
      <c r="F235" s="84">
        <f ca="1">VLOOKUP(CurrentMtgRatesDataTable825[[#This Row],[asofdate]]+1,Bloomberg!B:C,2,0)</f>
        <v>4736</v>
      </c>
      <c r="I235" s="18">
        <v>41774</v>
      </c>
      <c r="J235" s="88">
        <v>0.39909263750000001</v>
      </c>
      <c r="K235" s="88">
        <f>VLOOKUP(CurrentMtgRatesDataTable82527141518[[#This Row],[asofdate]],O:P,2,0)</f>
        <v>1.29267215E-2</v>
      </c>
      <c r="L235" s="88">
        <f>VLOOKUP(CurrentMtgRatesDataTable82527141518[[#This Row],[asofdate]],S:T,2,0)</f>
        <v>2.62401162E-2</v>
      </c>
      <c r="M235" s="6">
        <f ca="1">VLOOKUP(CurrentMtgRatesDataTable82527141518[[#This Row],[asofdate]]+1,Bloomberg!B:C,2,0)</f>
        <v>1460.6</v>
      </c>
      <c r="N235" s="6"/>
      <c r="O235" s="18">
        <v>41746</v>
      </c>
      <c r="P235" s="88">
        <v>7.6359979999999995E-4</v>
      </c>
      <c r="Q235" s="101"/>
      <c r="R235" s="101"/>
      <c r="S235" s="18">
        <v>41711</v>
      </c>
      <c r="T235" s="88">
        <v>3.6059919000000001E-3</v>
      </c>
      <c r="V235"/>
    </row>
    <row r="236" spans="2:22">
      <c r="B236" s="82">
        <v>41053</v>
      </c>
      <c r="C236" s="83">
        <v>0.92576029410000005</v>
      </c>
      <c r="D236" s="83">
        <f>VLOOKUP(CurrentMtgRatesDataTable825[[#This Row],[asofdate]],I:J,2,0)</f>
        <v>0.87056098630000012</v>
      </c>
      <c r="E236" s="83">
        <f>VLOOKUP(CurrentMtgRatesDataTable825[[#This Row],[asofdate]],O:P,2,0)</f>
        <v>0</v>
      </c>
      <c r="F236" s="84">
        <f ca="1">VLOOKUP(CurrentMtgRatesDataTable825[[#This Row],[asofdate]]+1,Bloomberg!B:C,2,0)</f>
        <v>4675.8999999999996</v>
      </c>
      <c r="I236" s="18">
        <v>41767</v>
      </c>
      <c r="J236" s="88">
        <v>0.39567978650000002</v>
      </c>
      <c r="K236" s="88">
        <f>VLOOKUP(CurrentMtgRatesDataTable82527141518[[#This Row],[asofdate]],O:P,2,0)</f>
        <v>1.0366637499999999E-2</v>
      </c>
      <c r="L236" s="88">
        <f>VLOOKUP(CurrentMtgRatesDataTable82527141518[[#This Row],[asofdate]],S:T,2,0)</f>
        <v>2.4445514099999999E-2</v>
      </c>
      <c r="M236" s="6">
        <f ca="1">VLOOKUP(CurrentMtgRatesDataTable82527141518[[#This Row],[asofdate]]+1,Bloomberg!B:C,2,0)</f>
        <v>1400.9</v>
      </c>
      <c r="N236" s="6"/>
      <c r="O236" s="18">
        <v>41739</v>
      </c>
      <c r="P236" s="88">
        <v>0</v>
      </c>
      <c r="Q236" s="101"/>
      <c r="R236" s="101"/>
      <c r="S236" s="18">
        <v>41704</v>
      </c>
      <c r="T236" s="88">
        <v>1.0246143500000001E-2</v>
      </c>
      <c r="V236"/>
    </row>
    <row r="237" spans="2:22">
      <c r="B237" s="82">
        <v>41046</v>
      </c>
      <c r="C237" s="83">
        <v>0.9281576024</v>
      </c>
      <c r="D237" s="83">
        <f>VLOOKUP(CurrentMtgRatesDataTable825[[#This Row],[asofdate]],I:J,2,0)</f>
        <v>0.87586418210000017</v>
      </c>
      <c r="E237" s="83">
        <f>VLOOKUP(CurrentMtgRatesDataTable825[[#This Row],[asofdate]],O:P,2,0)</f>
        <v>0.88764435050000001</v>
      </c>
      <c r="F237" s="84">
        <f ca="1">VLOOKUP(CurrentMtgRatesDataTable825[[#This Row],[asofdate]]+1,Bloomberg!B:C,2,0)</f>
        <v>4732</v>
      </c>
      <c r="I237" s="18">
        <v>41760</v>
      </c>
      <c r="J237" s="88">
        <v>0.36147964030000002</v>
      </c>
      <c r="K237" s="88">
        <f>VLOOKUP(CurrentMtgRatesDataTable82527141518[[#This Row],[asofdate]],O:P,2,0)</f>
        <v>0</v>
      </c>
      <c r="L237" s="88">
        <f>VLOOKUP(CurrentMtgRatesDataTable82527141518[[#This Row],[asofdate]],S:T,2,0)</f>
        <v>9.0355721999999996E-3</v>
      </c>
      <c r="M237" s="6">
        <f ca="1">VLOOKUP(CurrentMtgRatesDataTable82527141518[[#This Row],[asofdate]]+1,Bloomberg!B:C,2,0)</f>
        <v>1323.9</v>
      </c>
      <c r="N237" s="6"/>
      <c r="O237" s="18">
        <v>41732</v>
      </c>
      <c r="P237" s="88">
        <v>0</v>
      </c>
      <c r="Q237" s="101"/>
      <c r="R237" s="101"/>
      <c r="S237" s="18">
        <v>41697</v>
      </c>
      <c r="T237" s="88">
        <v>2.8263563E-3</v>
      </c>
      <c r="V237"/>
    </row>
    <row r="238" spans="2:22">
      <c r="B238" s="82">
        <v>41039</v>
      </c>
      <c r="C238" s="83">
        <v>0.9223358317</v>
      </c>
      <c r="D238" s="83">
        <f>VLOOKUP(CurrentMtgRatesDataTable825[[#This Row],[asofdate]],I:J,2,0)</f>
        <v>0.86299280540000001</v>
      </c>
      <c r="E238" s="83">
        <f>VLOOKUP(CurrentMtgRatesDataTable825[[#This Row],[asofdate]],O:P,2,0)</f>
        <v>0.87491870630000013</v>
      </c>
      <c r="F238" s="84">
        <f ca="1">VLOOKUP(CurrentMtgRatesDataTable825[[#This Row],[asofdate]]+1,Bloomberg!B:C,2,0)</f>
        <v>4482</v>
      </c>
      <c r="I238" s="18">
        <v>41753</v>
      </c>
      <c r="J238" s="88">
        <v>0.35925935930000003</v>
      </c>
      <c r="K238" s="88">
        <f>VLOOKUP(CurrentMtgRatesDataTable82527141518[[#This Row],[asofdate]],O:P,2,0)</f>
        <v>0</v>
      </c>
      <c r="L238" s="88">
        <f>VLOOKUP(CurrentMtgRatesDataTable82527141518[[#This Row],[asofdate]],S:T,2,0)</f>
        <v>5.8541816000000002E-3</v>
      </c>
      <c r="M238" s="6">
        <f ca="1">VLOOKUP(CurrentMtgRatesDataTable82527141518[[#This Row],[asofdate]]+1,Bloomberg!B:C,2,0)</f>
        <v>1298.0999999999999</v>
      </c>
      <c r="N238" s="6"/>
      <c r="O238" s="18">
        <v>41725</v>
      </c>
      <c r="P238" s="88">
        <v>0</v>
      </c>
      <c r="Q238" s="101"/>
      <c r="R238" s="101"/>
      <c r="S238" s="18">
        <v>41690</v>
      </c>
      <c r="T238" s="88">
        <v>4.1966609000000004E-3</v>
      </c>
      <c r="V238"/>
    </row>
    <row r="239" spans="2:22">
      <c r="B239" s="82">
        <v>41032</v>
      </c>
      <c r="C239" s="83">
        <v>0.91391156110000005</v>
      </c>
      <c r="D239" s="83">
        <f>VLOOKUP(CurrentMtgRatesDataTable825[[#This Row],[asofdate]],I:J,2,0)</f>
        <v>0.84895101809999995</v>
      </c>
      <c r="E239" s="83">
        <f>VLOOKUP(CurrentMtgRatesDataTable825[[#This Row],[asofdate]],O:P,2,0)</f>
        <v>0.86072182939999997</v>
      </c>
      <c r="F239" s="84">
        <f ca="1">VLOOKUP(CurrentMtgRatesDataTable825[[#This Row],[asofdate]]+1,Bloomberg!B:C,2,0)</f>
        <v>3924.4</v>
      </c>
      <c r="I239" s="18">
        <v>41746</v>
      </c>
      <c r="J239" s="88">
        <v>0.36804761009999998</v>
      </c>
      <c r="K239" s="88">
        <f>VLOOKUP(CurrentMtgRatesDataTable82527141518[[#This Row],[asofdate]],O:P,2,0)</f>
        <v>7.6359979999999995E-4</v>
      </c>
      <c r="L239" s="88">
        <f>VLOOKUP(CurrentMtgRatesDataTable82527141518[[#This Row],[asofdate]],S:T,2,0)</f>
        <v>1.186662E-2</v>
      </c>
      <c r="M239" s="6">
        <f ca="1">VLOOKUP(CurrentMtgRatesDataTable82527141518[[#This Row],[asofdate]]+1,Bloomberg!B:C,2,0)</f>
        <v>1370.9</v>
      </c>
      <c r="N239" s="6"/>
      <c r="O239" s="18">
        <v>41718</v>
      </c>
      <c r="P239" s="88">
        <v>0</v>
      </c>
      <c r="Q239" s="101"/>
      <c r="R239" s="101"/>
      <c r="S239" s="18">
        <v>41683</v>
      </c>
      <c r="T239" s="88">
        <v>9.5964789000000002E-3</v>
      </c>
      <c r="V239"/>
    </row>
    <row r="240" spans="2:22">
      <c r="B240" s="82">
        <v>41025</v>
      </c>
      <c r="C240" s="83">
        <v>0.91450049570000003</v>
      </c>
      <c r="D240" s="83">
        <f>VLOOKUP(CurrentMtgRatesDataTable825[[#This Row],[asofdate]],I:J,2,0)</f>
        <v>0.84203358969999997</v>
      </c>
      <c r="E240" s="83">
        <f>VLOOKUP(CurrentMtgRatesDataTable825[[#This Row],[asofdate]],O:P,2,0)</f>
        <v>0</v>
      </c>
      <c r="F240" s="84">
        <f ca="1">VLOOKUP(CurrentMtgRatesDataTable825[[#This Row],[asofdate]]+1,Bloomberg!B:C,2,0)</f>
        <v>3856</v>
      </c>
      <c r="I240" s="18">
        <v>41739</v>
      </c>
      <c r="J240" s="88">
        <v>0.34892888589999999</v>
      </c>
      <c r="K240" s="88">
        <f>VLOOKUP(CurrentMtgRatesDataTable82527141518[[#This Row],[asofdate]],O:P,2,0)</f>
        <v>0</v>
      </c>
      <c r="L240" s="88">
        <f>VLOOKUP(CurrentMtgRatesDataTable82527141518[[#This Row],[asofdate]],S:T,2,0)</f>
        <v>3.9653767000000003E-3</v>
      </c>
      <c r="M240" s="6">
        <f ca="1">VLOOKUP(CurrentMtgRatesDataTable82527141518[[#This Row],[asofdate]]+1,Bloomberg!B:C,2,0)</f>
        <v>1429.9</v>
      </c>
      <c r="N240" s="6"/>
      <c r="O240" s="18">
        <v>41711</v>
      </c>
      <c r="P240" s="88">
        <v>0</v>
      </c>
      <c r="Q240" s="101"/>
      <c r="R240" s="101"/>
      <c r="S240" s="18">
        <v>41676</v>
      </c>
      <c r="T240" s="88">
        <v>1.45802793E-2</v>
      </c>
      <c r="V240"/>
    </row>
    <row r="241" spans="2:22">
      <c r="B241" s="82">
        <v>41018</v>
      </c>
      <c r="C241" s="83">
        <v>0.88678583040000003</v>
      </c>
      <c r="D241" s="83">
        <f>VLOOKUP(CurrentMtgRatesDataTable825[[#This Row],[asofdate]],I:J,2,0)</f>
        <v>0.8169023769</v>
      </c>
      <c r="E241" s="83">
        <f>VLOOKUP(CurrentMtgRatesDataTable825[[#This Row],[asofdate]],O:P,2,0)</f>
        <v>0</v>
      </c>
      <c r="F241" s="84">
        <f ca="1">VLOOKUP(CurrentMtgRatesDataTable825[[#This Row],[asofdate]]+1,Bloomberg!B:C,2,0)</f>
        <v>3892.2</v>
      </c>
      <c r="I241" s="18">
        <v>41732</v>
      </c>
      <c r="J241" s="88">
        <v>0.32289856220000002</v>
      </c>
      <c r="K241" s="88">
        <f>VLOOKUP(CurrentMtgRatesDataTable82527141518[[#This Row],[asofdate]],O:P,2,0)</f>
        <v>0</v>
      </c>
      <c r="L241" s="88">
        <f>VLOOKUP(CurrentMtgRatesDataTable82527141518[[#This Row],[asofdate]],S:T,2,0)</f>
        <v>1.1512785000000001E-3</v>
      </c>
      <c r="M241" s="6">
        <f ca="1">VLOOKUP(CurrentMtgRatesDataTable82527141518[[#This Row],[asofdate]]+1,Bloomberg!B:C,2,0)</f>
        <v>1324.7</v>
      </c>
      <c r="N241" s="6"/>
      <c r="O241" s="18">
        <v>41704</v>
      </c>
      <c r="P241" s="88">
        <v>0</v>
      </c>
      <c r="Q241" s="101"/>
      <c r="R241" s="101"/>
      <c r="S241" s="18">
        <v>41669</v>
      </c>
      <c r="T241" s="88">
        <v>5.9617189000000003E-3</v>
      </c>
      <c r="V241"/>
    </row>
    <row r="242" spans="2:22">
      <c r="B242" s="82">
        <v>41011</v>
      </c>
      <c r="C242" s="83">
        <v>0.91450049570000003</v>
      </c>
      <c r="D242" s="83">
        <f>VLOOKUP(CurrentMtgRatesDataTable825[[#This Row],[asofdate]],I:J,2,0)</f>
        <v>0.84203358969999997</v>
      </c>
      <c r="E242" s="83">
        <f>VLOOKUP(CurrentMtgRatesDataTable825[[#This Row],[asofdate]],O:P,2,0)</f>
        <v>0.86343855660000002</v>
      </c>
      <c r="F242" s="84">
        <f ca="1">VLOOKUP(CurrentMtgRatesDataTable825[[#This Row],[asofdate]]+1,Bloomberg!B:C,2,0)</f>
        <v>4144.3</v>
      </c>
      <c r="I242" s="18">
        <v>41725</v>
      </c>
      <c r="J242" s="88">
        <v>0.34074595169999999</v>
      </c>
      <c r="K242" s="88">
        <f>VLOOKUP(CurrentMtgRatesDataTable82527141518[[#This Row],[asofdate]],O:P,2,0)</f>
        <v>0</v>
      </c>
      <c r="L242" s="88">
        <f>VLOOKUP(CurrentMtgRatesDataTable82527141518[[#This Row],[asofdate]],S:T,2,0)</f>
        <v>1.9502941E-3</v>
      </c>
      <c r="M242" s="6">
        <f ca="1">VLOOKUP(CurrentMtgRatesDataTable82527141518[[#This Row],[asofdate]]+1,Bloomberg!B:C,2,0)</f>
        <v>1383.5</v>
      </c>
      <c r="N242" s="6"/>
      <c r="O242" s="18">
        <v>41697</v>
      </c>
      <c r="P242" s="88">
        <v>0</v>
      </c>
      <c r="Q242" s="101"/>
      <c r="R242" s="101"/>
      <c r="S242" s="18">
        <v>41662</v>
      </c>
      <c r="T242" s="88">
        <v>4.0923797E-3</v>
      </c>
      <c r="V242"/>
    </row>
    <row r="243" spans="2:22">
      <c r="B243" s="82">
        <v>41004</v>
      </c>
      <c r="C243" s="83">
        <v>0.86090378059999995</v>
      </c>
      <c r="D243" s="83">
        <f>VLOOKUP(CurrentMtgRatesDataTable825[[#This Row],[asofdate]],I:J,2,0)</f>
        <v>0.7851091738</v>
      </c>
      <c r="E243" s="83">
        <f>VLOOKUP(CurrentMtgRatesDataTable825[[#This Row],[asofdate]],O:P,2,0)</f>
        <v>0</v>
      </c>
      <c r="F243" s="84">
        <f ca="1">VLOOKUP(CurrentMtgRatesDataTable825[[#This Row],[asofdate]]+1,Bloomberg!B:C,2,0)</f>
        <v>3549.3</v>
      </c>
      <c r="I243" s="18">
        <v>41718</v>
      </c>
      <c r="J243" s="88">
        <v>0.36665532429999997</v>
      </c>
      <c r="K243" s="88">
        <f>VLOOKUP(CurrentMtgRatesDataTable82527141518[[#This Row],[asofdate]],O:P,2,0)</f>
        <v>0</v>
      </c>
      <c r="L243" s="88">
        <f>VLOOKUP(CurrentMtgRatesDataTable82527141518[[#This Row],[asofdate]],S:T,2,0)</f>
        <v>8.9060293999999995E-3</v>
      </c>
      <c r="M243" s="6">
        <f ca="1">VLOOKUP(CurrentMtgRatesDataTable82527141518[[#This Row],[asofdate]]+1,Bloomberg!B:C,2,0)</f>
        <v>1426.3</v>
      </c>
      <c r="N243" s="6"/>
      <c r="O243" s="18">
        <v>41690</v>
      </c>
      <c r="P243" s="88">
        <v>0</v>
      </c>
      <c r="Q243" s="101"/>
      <c r="R243" s="101"/>
      <c r="S243" s="18">
        <v>41655</v>
      </c>
      <c r="T243" s="88">
        <v>3.4307642999999999E-3</v>
      </c>
      <c r="V243"/>
    </row>
    <row r="244" spans="2:22">
      <c r="B244" s="82">
        <v>40997</v>
      </c>
      <c r="C244" s="83">
        <v>0.87346071420000015</v>
      </c>
      <c r="D244" s="83">
        <f>VLOOKUP(CurrentMtgRatesDataTable825[[#This Row],[asofdate]],I:J,2,0)</f>
        <v>0.80252882640000001</v>
      </c>
      <c r="E244" s="83">
        <f>VLOOKUP(CurrentMtgRatesDataTable825[[#This Row],[asofdate]],O:P,2,0)</f>
        <v>0</v>
      </c>
      <c r="F244" s="84">
        <f ca="1">VLOOKUP(CurrentMtgRatesDataTable825[[#This Row],[asofdate]]+1,Bloomberg!B:C,2,0)</f>
        <v>3699.5</v>
      </c>
      <c r="I244" s="18">
        <v>41711</v>
      </c>
      <c r="J244" s="88">
        <v>0.35258512050000002</v>
      </c>
      <c r="K244" s="88">
        <f>VLOOKUP(CurrentMtgRatesDataTable82527141518[[#This Row],[asofdate]],O:P,2,0)</f>
        <v>0</v>
      </c>
      <c r="L244" s="88">
        <f>VLOOKUP(CurrentMtgRatesDataTable82527141518[[#This Row],[asofdate]],S:T,2,0)</f>
        <v>3.6059919000000001E-3</v>
      </c>
      <c r="M244" s="6">
        <f ca="1">VLOOKUP(CurrentMtgRatesDataTable82527141518[[#This Row],[asofdate]]+1,Bloomberg!B:C,2,0)</f>
        <v>1552.1</v>
      </c>
      <c r="N244" s="6"/>
      <c r="O244" s="18">
        <v>41683</v>
      </c>
      <c r="P244" s="88">
        <v>0</v>
      </c>
      <c r="Q244" s="101"/>
      <c r="R244" s="101"/>
      <c r="S244" s="18">
        <v>41648</v>
      </c>
      <c r="T244" s="88">
        <v>1.2482529999999999E-3</v>
      </c>
      <c r="V244"/>
    </row>
    <row r="245" spans="2:22">
      <c r="B245" s="82">
        <v>40990</v>
      </c>
      <c r="C245" s="83">
        <v>0.82287769379999998</v>
      </c>
      <c r="D245" s="83">
        <f>VLOOKUP(CurrentMtgRatesDataTable825[[#This Row],[asofdate]],I:J,2,0)</f>
        <v>0.72921469539999995</v>
      </c>
      <c r="E245" s="83">
        <f>VLOOKUP(CurrentMtgRatesDataTable825[[#This Row],[asofdate]],O:P,2,0)</f>
        <v>0</v>
      </c>
      <c r="F245" s="84">
        <f ca="1">VLOOKUP(CurrentMtgRatesDataTable825[[#This Row],[asofdate]]+1,Bloomberg!B:C,2,0)</f>
        <v>3588.4</v>
      </c>
      <c r="I245" s="18">
        <v>41704</v>
      </c>
      <c r="J245" s="88">
        <v>0.37041409980000001</v>
      </c>
      <c r="K245" s="88">
        <f>VLOOKUP(CurrentMtgRatesDataTable82527141518[[#This Row],[asofdate]],O:P,2,0)</f>
        <v>0</v>
      </c>
      <c r="L245" s="88">
        <f>VLOOKUP(CurrentMtgRatesDataTable82527141518[[#This Row],[asofdate]],S:T,2,0)</f>
        <v>1.0246143500000001E-2</v>
      </c>
      <c r="M245" s="6">
        <f ca="1">VLOOKUP(CurrentMtgRatesDataTable82527141518[[#This Row],[asofdate]]+1,Bloomberg!B:C,2,0)</f>
        <v>1528</v>
      </c>
      <c r="N245" s="6"/>
      <c r="O245" s="18">
        <v>41676</v>
      </c>
      <c r="P245" s="88">
        <v>2.0799059999999999E-3</v>
      </c>
      <c r="Q245" s="101"/>
      <c r="R245" s="101"/>
      <c r="S245" s="18">
        <v>41641</v>
      </c>
      <c r="T245" s="88">
        <v>9.2338459999999995E-4</v>
      </c>
      <c r="V245"/>
    </row>
    <row r="246" spans="2:22">
      <c r="B246" s="82">
        <v>40983</v>
      </c>
      <c r="C246" s="83">
        <v>0.89619507860000003</v>
      </c>
      <c r="D246" s="83">
        <f>VLOOKUP(CurrentMtgRatesDataTable825[[#This Row],[asofdate]],I:J,2,0)</f>
        <v>0.82679193510000004</v>
      </c>
      <c r="E246" s="83">
        <f>VLOOKUP(CurrentMtgRatesDataTable825[[#This Row],[asofdate]],O:P,2,0)</f>
        <v>0</v>
      </c>
      <c r="F246" s="84">
        <f ca="1">VLOOKUP(CurrentMtgRatesDataTable825[[#This Row],[asofdate]]+1,Bloomberg!B:C,2,0)</f>
        <v>3715.2</v>
      </c>
      <c r="I246" s="18">
        <v>41697</v>
      </c>
      <c r="J246" s="88">
        <v>0.34826916330000002</v>
      </c>
      <c r="K246" s="88">
        <f>VLOOKUP(CurrentMtgRatesDataTable82527141518[[#This Row],[asofdate]],O:P,2,0)</f>
        <v>0</v>
      </c>
      <c r="L246" s="88">
        <f>VLOOKUP(CurrentMtgRatesDataTable82527141518[[#This Row],[asofdate]],S:T,2,0)</f>
        <v>2.8263563E-3</v>
      </c>
      <c r="M246" s="6">
        <f ca="1">VLOOKUP(CurrentMtgRatesDataTable82527141518[[#This Row],[asofdate]]+1,Bloomberg!B:C,2,0)</f>
        <v>1600.6</v>
      </c>
      <c r="N246" s="6"/>
      <c r="O246" s="18">
        <v>41669</v>
      </c>
      <c r="P246" s="88">
        <v>0</v>
      </c>
      <c r="Q246" s="101"/>
      <c r="R246" s="101"/>
      <c r="S246" s="18">
        <v>41634</v>
      </c>
      <c r="T246" s="88">
        <v>7.1407139999999996E-4</v>
      </c>
      <c r="V246"/>
    </row>
    <row r="247" spans="2:22">
      <c r="B247" s="82">
        <v>40976</v>
      </c>
      <c r="C247" s="83">
        <v>0.91423594050000001</v>
      </c>
      <c r="D247" s="83">
        <f>VLOOKUP(CurrentMtgRatesDataTable825[[#This Row],[asofdate]],I:J,2,0)</f>
        <v>0.84815029040000001</v>
      </c>
      <c r="E247" s="83">
        <f>VLOOKUP(CurrentMtgRatesDataTable825[[#This Row],[asofdate]],O:P,2,0)</f>
        <v>0</v>
      </c>
      <c r="F247" s="84">
        <f ca="1">VLOOKUP(CurrentMtgRatesDataTable825[[#This Row],[asofdate]]+1,Bloomberg!B:C,2,0)</f>
        <v>4063.4</v>
      </c>
      <c r="I247" s="18">
        <v>41690</v>
      </c>
      <c r="J247" s="88">
        <v>0.36217707719999997</v>
      </c>
      <c r="K247" s="88">
        <f>VLOOKUP(CurrentMtgRatesDataTable82527141518[[#This Row],[asofdate]],O:P,2,0)</f>
        <v>0</v>
      </c>
      <c r="L247" s="88">
        <f>VLOOKUP(CurrentMtgRatesDataTable82527141518[[#This Row],[asofdate]],S:T,2,0)</f>
        <v>4.1966609000000004E-3</v>
      </c>
      <c r="M247" s="6">
        <f ca="1">VLOOKUP(CurrentMtgRatesDataTable82527141518[[#This Row],[asofdate]]+1,Bloomberg!B:C,2,0)</f>
        <v>1442.3</v>
      </c>
      <c r="N247" s="6"/>
      <c r="O247" s="18">
        <v>41662</v>
      </c>
      <c r="P247" s="88">
        <v>0</v>
      </c>
      <c r="Q247" s="101"/>
      <c r="R247" s="101"/>
      <c r="S247" s="18">
        <v>41627</v>
      </c>
      <c r="T247" s="88">
        <v>9.0418129999999999E-4</v>
      </c>
      <c r="V247"/>
    </row>
    <row r="248" spans="2:22">
      <c r="B248" s="82">
        <v>40969</v>
      </c>
      <c r="C248" s="83">
        <v>0.90460748329999996</v>
      </c>
      <c r="D248" s="83">
        <f>VLOOKUP(CurrentMtgRatesDataTable825[[#This Row],[asofdate]],I:J,2,0)</f>
        <v>0.83762040559999995</v>
      </c>
      <c r="E248" s="83">
        <f>VLOOKUP(CurrentMtgRatesDataTable825[[#This Row],[asofdate]],O:P,2,0)</f>
        <v>0</v>
      </c>
      <c r="F248" s="84">
        <f ca="1">VLOOKUP(CurrentMtgRatesDataTable825[[#This Row],[asofdate]]+1,Bloomberg!B:C,2,0)</f>
        <v>4277.6000000000004</v>
      </c>
      <c r="I248" s="18">
        <v>41683</v>
      </c>
      <c r="J248" s="88">
        <v>0.3759638455</v>
      </c>
      <c r="K248" s="88">
        <f>VLOOKUP(CurrentMtgRatesDataTable82527141518[[#This Row],[asofdate]],O:P,2,0)</f>
        <v>0</v>
      </c>
      <c r="L248" s="88">
        <f>VLOOKUP(CurrentMtgRatesDataTable82527141518[[#This Row],[asofdate]],S:T,2,0)</f>
        <v>9.5964789000000002E-3</v>
      </c>
      <c r="M248" s="6">
        <f ca="1">VLOOKUP(CurrentMtgRatesDataTable82527141518[[#This Row],[asofdate]]+1,Bloomberg!B:C,2,0)</f>
        <v>1650.6</v>
      </c>
      <c r="N248" s="6"/>
      <c r="O248" s="18">
        <v>41655</v>
      </c>
      <c r="P248" s="88">
        <v>0</v>
      </c>
      <c r="Q248" s="101"/>
      <c r="R248" s="101"/>
      <c r="S248" s="18">
        <v>41620</v>
      </c>
      <c r="T248" s="88">
        <v>2.2168977E-3</v>
      </c>
      <c r="V248"/>
    </row>
    <row r="249" spans="2:22">
      <c r="B249" s="82">
        <v>40962</v>
      </c>
      <c r="C249" s="83">
        <v>0.89783619709999996</v>
      </c>
      <c r="D249" s="83">
        <f>VLOOKUP(CurrentMtgRatesDataTable825[[#This Row],[asofdate]],I:J,2,0)</f>
        <v>0.82770309959999999</v>
      </c>
      <c r="E249" s="83">
        <f>VLOOKUP(CurrentMtgRatesDataTable825[[#This Row],[asofdate]],O:P,2,0)</f>
        <v>0</v>
      </c>
      <c r="F249" s="84">
        <f ca="1">VLOOKUP(CurrentMtgRatesDataTable825[[#This Row],[asofdate]]+1,Bloomberg!B:C,2,0)</f>
        <v>4379.1000000000004</v>
      </c>
      <c r="I249" s="18">
        <v>41676</v>
      </c>
      <c r="J249" s="88">
        <v>0.39240165840000002</v>
      </c>
      <c r="K249" s="88">
        <f>VLOOKUP(CurrentMtgRatesDataTable82527141518[[#This Row],[asofdate]],O:P,2,0)</f>
        <v>2.0799059999999999E-3</v>
      </c>
      <c r="L249" s="88">
        <f>VLOOKUP(CurrentMtgRatesDataTable82527141518[[#This Row],[asofdate]],S:T,2,0)</f>
        <v>1.45802793E-2</v>
      </c>
      <c r="M249" s="6">
        <f ca="1">VLOOKUP(CurrentMtgRatesDataTable82527141518[[#This Row],[asofdate]]+1,Bloomberg!B:C,2,0)</f>
        <v>1674.2</v>
      </c>
      <c r="N249" s="6"/>
      <c r="O249" s="18">
        <v>41648</v>
      </c>
      <c r="P249" s="88">
        <v>0</v>
      </c>
      <c r="Q249" s="101"/>
      <c r="R249" s="101"/>
      <c r="S249" s="18">
        <v>41613</v>
      </c>
      <c r="T249" s="88">
        <v>2.4384408999999999E-3</v>
      </c>
      <c r="V249"/>
    </row>
    <row r="250" spans="2:22">
      <c r="B250" s="82">
        <v>40955</v>
      </c>
      <c r="C250" s="83">
        <v>0.93603696439999995</v>
      </c>
      <c r="D250" s="83">
        <f>VLOOKUP(CurrentMtgRatesDataTable825[[#This Row],[asofdate]],I:J,2,0)</f>
        <v>0.87084424800000004</v>
      </c>
      <c r="E250" s="83">
        <f>VLOOKUP(CurrentMtgRatesDataTable825[[#This Row],[asofdate]],O:P,2,0)</f>
        <v>0</v>
      </c>
      <c r="F250" s="84">
        <f ca="1">VLOOKUP(CurrentMtgRatesDataTable825[[#This Row],[asofdate]]+1,Bloomberg!B:C,2,0)</f>
        <v>4466.8999999999996</v>
      </c>
      <c r="I250" s="18">
        <v>41669</v>
      </c>
      <c r="J250" s="88">
        <v>0.37160384639999999</v>
      </c>
      <c r="K250" s="88">
        <f>VLOOKUP(CurrentMtgRatesDataTable82527141518[[#This Row],[asofdate]],O:P,2,0)</f>
        <v>0</v>
      </c>
      <c r="L250" s="88">
        <f>VLOOKUP(CurrentMtgRatesDataTable82527141518[[#This Row],[asofdate]],S:T,2,0)</f>
        <v>5.9617189000000003E-3</v>
      </c>
      <c r="M250" s="6">
        <f ca="1">VLOOKUP(CurrentMtgRatesDataTable82527141518[[#This Row],[asofdate]]+1,Bloomberg!B:C,2,0)</f>
        <v>1667.5</v>
      </c>
      <c r="N250" s="6"/>
      <c r="O250" s="18">
        <v>41641</v>
      </c>
      <c r="P250" s="88">
        <v>0</v>
      </c>
      <c r="Q250" s="101"/>
      <c r="R250" s="101"/>
      <c r="S250" s="18">
        <v>41605</v>
      </c>
      <c r="T250" s="88">
        <v>2.3111908000000001E-3</v>
      </c>
      <c r="V250"/>
    </row>
    <row r="251" spans="2:22">
      <c r="B251" s="82">
        <v>40948</v>
      </c>
      <c r="C251" s="83">
        <v>0.93603696439999995</v>
      </c>
      <c r="D251" s="83">
        <f>VLOOKUP(CurrentMtgRatesDataTable825[[#This Row],[asofdate]],I:J,2,0)</f>
        <v>0.87084424800000004</v>
      </c>
      <c r="E251" s="83">
        <f>VLOOKUP(CurrentMtgRatesDataTable825[[#This Row],[asofdate]],O:P,2,0)</f>
        <v>0</v>
      </c>
      <c r="F251" s="84">
        <f ca="1">VLOOKUP(CurrentMtgRatesDataTable825[[#This Row],[asofdate]]+1,Bloomberg!B:C,2,0)</f>
        <v>4716.1000000000004</v>
      </c>
      <c r="I251" s="18">
        <v>41662</v>
      </c>
      <c r="J251" s="88">
        <v>0.34288730480000001</v>
      </c>
      <c r="K251" s="88">
        <f>VLOOKUP(CurrentMtgRatesDataTable82527141518[[#This Row],[asofdate]],O:P,2,0)</f>
        <v>0</v>
      </c>
      <c r="L251" s="88">
        <f>VLOOKUP(CurrentMtgRatesDataTable82527141518[[#This Row],[asofdate]],S:T,2,0)</f>
        <v>4.0923797E-3</v>
      </c>
      <c r="M251" s="6">
        <f ca="1">VLOOKUP(CurrentMtgRatesDataTable82527141518[[#This Row],[asofdate]]+1,Bloomberg!B:C,2,0)</f>
        <v>1601.2</v>
      </c>
      <c r="N251" s="6"/>
      <c r="O251" s="18">
        <v>41634</v>
      </c>
      <c r="P251" s="88">
        <v>0</v>
      </c>
      <c r="Q251" s="101"/>
      <c r="R251" s="101"/>
      <c r="S251" s="18">
        <v>41599</v>
      </c>
      <c r="T251" s="88">
        <v>4.5124129000000002E-3</v>
      </c>
      <c r="V251"/>
    </row>
    <row r="252" spans="2:22">
      <c r="B252" s="82">
        <v>40941</v>
      </c>
      <c r="C252" s="83">
        <v>0.93603696439999995</v>
      </c>
      <c r="D252" s="83">
        <f>VLOOKUP(CurrentMtgRatesDataTable825[[#This Row],[asofdate]],I:J,2,0)</f>
        <v>0.87084424800000004</v>
      </c>
      <c r="E252" s="83">
        <f>VLOOKUP(CurrentMtgRatesDataTable825[[#This Row],[asofdate]],O:P,2,0)</f>
        <v>0</v>
      </c>
      <c r="F252" s="84">
        <f ca="1">VLOOKUP(CurrentMtgRatesDataTable825[[#This Row],[asofdate]]+1,Bloomberg!B:C,2,0)</f>
        <v>4617.1000000000004</v>
      </c>
      <c r="I252" s="18">
        <v>41655</v>
      </c>
      <c r="J252" s="88">
        <v>0.32994605420000001</v>
      </c>
      <c r="K252" s="88">
        <f>VLOOKUP(CurrentMtgRatesDataTable82527141518[[#This Row],[asofdate]],O:P,2,0)</f>
        <v>0</v>
      </c>
      <c r="L252" s="88">
        <f>VLOOKUP(CurrentMtgRatesDataTable82527141518[[#This Row],[asofdate]],S:T,2,0)</f>
        <v>3.4307642999999999E-3</v>
      </c>
      <c r="M252" s="6">
        <f ca="1">VLOOKUP(CurrentMtgRatesDataTable82527141518[[#This Row],[asofdate]]+1,Bloomberg!B:C,2,0)</f>
        <v>1675.8</v>
      </c>
      <c r="N252" s="6"/>
      <c r="O252" s="18">
        <v>41627</v>
      </c>
      <c r="P252" s="88">
        <v>0</v>
      </c>
      <c r="Q252" s="101"/>
      <c r="R252" s="101"/>
      <c r="S252" s="18">
        <v>41592</v>
      </c>
      <c r="T252" s="88">
        <v>1.8064753000000002E-3</v>
      </c>
      <c r="V252"/>
    </row>
    <row r="253" spans="2:22">
      <c r="B253" s="82">
        <v>40934</v>
      </c>
      <c r="C253" s="83">
        <v>0.90360872039999995</v>
      </c>
      <c r="D253" s="83">
        <f>VLOOKUP(CurrentMtgRatesDataTable825[[#This Row],[asofdate]],I:J,2,0)</f>
        <v>0.84121601030000004</v>
      </c>
      <c r="E253" s="83">
        <f>VLOOKUP(CurrentMtgRatesDataTable825[[#This Row],[asofdate]],O:P,2,0)</f>
        <v>0</v>
      </c>
      <c r="F253" s="84">
        <f ca="1">VLOOKUP(CurrentMtgRatesDataTable825[[#This Row],[asofdate]]+1,Bloomberg!B:C,2,0)</f>
        <v>4184.3</v>
      </c>
      <c r="I253" s="18">
        <v>41648</v>
      </c>
      <c r="J253" s="88">
        <v>0.26791092160000002</v>
      </c>
      <c r="K253" s="88">
        <f>VLOOKUP(CurrentMtgRatesDataTable82527141518[[#This Row],[asofdate]],O:P,2,0)</f>
        <v>0</v>
      </c>
      <c r="L253" s="88">
        <f>VLOOKUP(CurrentMtgRatesDataTable82527141518[[#This Row],[asofdate]],S:T,2,0)</f>
        <v>1.2482529999999999E-3</v>
      </c>
      <c r="M253" s="6">
        <f ca="1">VLOOKUP(CurrentMtgRatesDataTable82527141518[[#This Row],[asofdate]]+1,Bloomberg!B:C,2,0)</f>
        <v>1507</v>
      </c>
      <c r="N253" s="6"/>
      <c r="O253" s="18">
        <v>41620</v>
      </c>
      <c r="P253" s="88">
        <v>0</v>
      </c>
      <c r="Q253" s="101"/>
      <c r="R253" s="101"/>
      <c r="S253" s="18">
        <v>41585</v>
      </c>
      <c r="T253" s="88">
        <v>5.3303695999999999E-3</v>
      </c>
      <c r="V253"/>
    </row>
    <row r="254" spans="2:22">
      <c r="B254" s="82">
        <v>40927</v>
      </c>
      <c r="C254" s="83">
        <v>0.93403008239999996</v>
      </c>
      <c r="D254" s="83">
        <f>VLOOKUP(CurrentMtgRatesDataTable825[[#This Row],[asofdate]],I:J,2,0)</f>
        <v>0.88083441149999997</v>
      </c>
      <c r="E254" s="83">
        <f>VLOOKUP(CurrentMtgRatesDataTable825[[#This Row],[asofdate]],O:P,2,0)</f>
        <v>0</v>
      </c>
      <c r="F254" s="84">
        <f ca="1">VLOOKUP(CurrentMtgRatesDataTable825[[#This Row],[asofdate]]+1,Bloomberg!B:C,2,0)</f>
        <v>4326.3999999999996</v>
      </c>
      <c r="I254" s="18">
        <v>41641</v>
      </c>
      <c r="J254" s="88">
        <v>0.2548342576</v>
      </c>
      <c r="K254" s="88">
        <f>VLOOKUP(CurrentMtgRatesDataTable82527141518[[#This Row],[asofdate]],O:P,2,0)</f>
        <v>0</v>
      </c>
      <c r="L254" s="88">
        <f>VLOOKUP(CurrentMtgRatesDataTable82527141518[[#This Row],[asofdate]],S:T,2,0)</f>
        <v>9.2338459999999995E-4</v>
      </c>
      <c r="M254" s="6">
        <f ca="1">VLOOKUP(CurrentMtgRatesDataTable82527141518[[#This Row],[asofdate]]+1,Bloomberg!B:C,2,0)</f>
        <v>1352.7</v>
      </c>
      <c r="N254" s="6"/>
      <c r="O254" s="18">
        <v>41613</v>
      </c>
      <c r="P254" s="88">
        <v>0</v>
      </c>
      <c r="Q254" s="101"/>
      <c r="R254" s="101"/>
      <c r="S254" s="18">
        <v>41578</v>
      </c>
      <c r="T254" s="88">
        <v>3.8090733000000002E-3</v>
      </c>
      <c r="V254"/>
    </row>
    <row r="255" spans="2:22">
      <c r="B255" s="82">
        <v>40920</v>
      </c>
      <c r="C255" s="83">
        <v>0.94694427430000006</v>
      </c>
      <c r="D255" s="83">
        <f>VLOOKUP(CurrentMtgRatesDataTable825[[#This Row],[asofdate]],I:J,2,0)</f>
        <v>0.88784291530000004</v>
      </c>
      <c r="E255" s="83">
        <f>VLOOKUP(CurrentMtgRatesDataTable825[[#This Row],[asofdate]],O:P,2,0)</f>
        <v>0.90340695429999995</v>
      </c>
      <c r="F255" s="84">
        <f ca="1">VLOOKUP(CurrentMtgRatesDataTable825[[#This Row],[asofdate]]+1,Bloomberg!B:C,2,0)</f>
        <v>4626.5</v>
      </c>
      <c r="I255" s="18">
        <v>41634</v>
      </c>
      <c r="J255" s="88">
        <v>0.2967784208</v>
      </c>
      <c r="K255" s="88">
        <f>VLOOKUP(CurrentMtgRatesDataTable82527141518[[#This Row],[asofdate]],O:P,2,0)</f>
        <v>0</v>
      </c>
      <c r="L255" s="88">
        <f>VLOOKUP(CurrentMtgRatesDataTable82527141518[[#This Row],[asofdate]],S:T,2,0)</f>
        <v>7.1407139999999996E-4</v>
      </c>
      <c r="M255" s="6">
        <f ca="1">VLOOKUP(CurrentMtgRatesDataTable82527141518[[#This Row],[asofdate]]+1,Bloomberg!B:C,2,0)</f>
        <v>1277.8</v>
      </c>
      <c r="N255" s="6"/>
      <c r="O255" s="18">
        <v>41605</v>
      </c>
      <c r="P255" s="88">
        <v>0</v>
      </c>
      <c r="Q255" s="101"/>
      <c r="R255" s="101"/>
      <c r="S255" s="18">
        <v>41571</v>
      </c>
      <c r="T255" s="88">
        <v>2.3834327999999998E-3</v>
      </c>
      <c r="V255"/>
    </row>
    <row r="256" spans="2:22">
      <c r="B256" s="82">
        <v>40913</v>
      </c>
      <c r="C256" s="83">
        <v>0.92199370189999996</v>
      </c>
      <c r="D256" s="83">
        <f>VLOOKUP(CurrentMtgRatesDataTable825[[#This Row],[asofdate]],I:J,2,0)</f>
        <v>0.86358150460000005</v>
      </c>
      <c r="E256" s="83">
        <f>VLOOKUP(CurrentMtgRatesDataTable825[[#This Row],[asofdate]],O:P,2,0)</f>
        <v>0</v>
      </c>
      <c r="F256" s="84">
        <f ca="1">VLOOKUP(CurrentMtgRatesDataTable825[[#This Row],[asofdate]]+1,Bloomberg!B:C,2,0)</f>
        <v>3668.3</v>
      </c>
      <c r="I256" s="18">
        <v>41627</v>
      </c>
      <c r="J256" s="88">
        <v>0.30245288370000001</v>
      </c>
      <c r="K256" s="88">
        <f>VLOOKUP(CurrentMtgRatesDataTable82527141518[[#This Row],[asofdate]],O:P,2,0)</f>
        <v>0</v>
      </c>
      <c r="L256" s="88">
        <f>VLOOKUP(CurrentMtgRatesDataTable82527141518[[#This Row],[asofdate]],S:T,2,0)</f>
        <v>9.0418129999999999E-4</v>
      </c>
      <c r="M256" s="6">
        <f ca="1">VLOOKUP(CurrentMtgRatesDataTable82527141518[[#This Row],[asofdate]]+1,Bloomberg!B:C,2,0)</f>
        <v>1426.7</v>
      </c>
      <c r="N256" s="6"/>
      <c r="O256" s="18">
        <v>41599</v>
      </c>
      <c r="P256" s="88">
        <v>0</v>
      </c>
      <c r="Q256" s="101"/>
      <c r="R256" s="101"/>
      <c r="S256" s="18">
        <v>41564</v>
      </c>
      <c r="T256" s="88">
        <v>1.4588393000000001E-3</v>
      </c>
      <c r="V256"/>
    </row>
    <row r="257" spans="2:22">
      <c r="B257" s="82">
        <v>40906</v>
      </c>
      <c r="C257" s="83">
        <v>0.92714012680000002</v>
      </c>
      <c r="D257" s="83">
        <f>VLOOKUP(CurrentMtgRatesDataTable825[[#This Row],[asofdate]],I:J,2,0)</f>
        <v>0.87669613120000012</v>
      </c>
      <c r="E257" s="83">
        <f>VLOOKUP(CurrentMtgRatesDataTable825[[#This Row],[asofdate]],O:P,2,0)</f>
        <v>0</v>
      </c>
      <c r="F257" s="84">
        <f ca="1">VLOOKUP(CurrentMtgRatesDataTable825[[#This Row],[asofdate]]+1,Bloomberg!B:C,2,0)</f>
        <v>3608.1</v>
      </c>
      <c r="I257" s="18">
        <v>41620</v>
      </c>
      <c r="J257" s="88">
        <v>0.34160698439999998</v>
      </c>
      <c r="K257" s="88">
        <f>VLOOKUP(CurrentMtgRatesDataTable82527141518[[#This Row],[asofdate]],O:P,2,0)</f>
        <v>0</v>
      </c>
      <c r="L257" s="88">
        <f>VLOOKUP(CurrentMtgRatesDataTable82527141518[[#This Row],[asofdate]],S:T,2,0)</f>
        <v>2.2168977E-3</v>
      </c>
      <c r="M257" s="6">
        <f ca="1">VLOOKUP(CurrentMtgRatesDataTable82527141518[[#This Row],[asofdate]]+1,Bloomberg!B:C,2,0)</f>
        <v>1529.8</v>
      </c>
      <c r="N257" s="6"/>
      <c r="O257" s="18">
        <v>41592</v>
      </c>
      <c r="P257" s="88">
        <v>0</v>
      </c>
      <c r="Q257" s="101"/>
      <c r="R257" s="101"/>
      <c r="S257" s="18">
        <v>41557</v>
      </c>
      <c r="T257" s="88">
        <v>1.7559447E-3</v>
      </c>
      <c r="V257"/>
    </row>
    <row r="258" spans="2:22">
      <c r="B258" s="82">
        <v>40899</v>
      </c>
      <c r="C258" s="83">
        <v>0.94080842779999996</v>
      </c>
      <c r="D258" s="83">
        <f>VLOOKUP(CurrentMtgRatesDataTable825[[#This Row],[asofdate]],I:J,2,0)</f>
        <v>0.8972684339</v>
      </c>
      <c r="E258" s="83">
        <f>VLOOKUP(CurrentMtgRatesDataTable825[[#This Row],[asofdate]],O:P,2,0)</f>
        <v>0.90856036139999996</v>
      </c>
      <c r="F258" s="84">
        <f ca="1">VLOOKUP(CurrentMtgRatesDataTable825[[#This Row],[asofdate]]+1,Bloomberg!B:C,2,0)</f>
        <v>3684.5</v>
      </c>
      <c r="I258" s="18">
        <v>41613</v>
      </c>
      <c r="J258" s="88">
        <v>0.34761858340000001</v>
      </c>
      <c r="K258" s="88">
        <f>VLOOKUP(CurrentMtgRatesDataTable82527141518[[#This Row],[asofdate]],O:P,2,0)</f>
        <v>0</v>
      </c>
      <c r="L258" s="88">
        <f>VLOOKUP(CurrentMtgRatesDataTable82527141518[[#This Row],[asofdate]],S:T,2,0)</f>
        <v>2.4384408999999999E-3</v>
      </c>
      <c r="M258" s="6">
        <f ca="1">VLOOKUP(CurrentMtgRatesDataTable82527141518[[#This Row],[asofdate]]+1,Bloomberg!B:C,2,0)</f>
        <v>1599.4</v>
      </c>
      <c r="N258" s="6"/>
      <c r="O258" s="18">
        <v>41585</v>
      </c>
      <c r="P258" s="88">
        <v>0</v>
      </c>
      <c r="Q258" s="101"/>
      <c r="R258" s="101"/>
      <c r="S258" s="18">
        <v>41550</v>
      </c>
      <c r="T258" s="88">
        <v>1.7942005000000001E-3</v>
      </c>
      <c r="V258"/>
    </row>
    <row r="259" spans="2:22">
      <c r="B259" s="82">
        <v>40892</v>
      </c>
      <c r="C259" s="83">
        <v>0.92183011619999999</v>
      </c>
      <c r="D259" s="83">
        <f>VLOOKUP(CurrentMtgRatesDataTable825[[#This Row],[asofdate]],I:J,2,0)</f>
        <v>0.86830268310000003</v>
      </c>
      <c r="E259" s="83">
        <f>VLOOKUP(CurrentMtgRatesDataTable825[[#This Row],[asofdate]],O:P,2,0)</f>
        <v>2.1295367999999999E-3</v>
      </c>
      <c r="F259" s="84">
        <f ca="1">VLOOKUP(CurrentMtgRatesDataTable825[[#This Row],[asofdate]]+1,Bloomberg!B:C,2,0)</f>
        <v>3676.1</v>
      </c>
      <c r="I259" s="18">
        <v>41605</v>
      </c>
      <c r="J259" s="88">
        <v>0.40375202440000002</v>
      </c>
      <c r="K259" s="88">
        <f>VLOOKUP(CurrentMtgRatesDataTable82527141518[[#This Row],[asofdate]],O:P,2,0)</f>
        <v>0</v>
      </c>
      <c r="L259" s="88">
        <f>VLOOKUP(CurrentMtgRatesDataTable82527141518[[#This Row],[asofdate]],S:T,2,0)</f>
        <v>2.3111908000000001E-3</v>
      </c>
      <c r="M259" s="6" t="e">
        <f ca="1">VLOOKUP(CurrentMtgRatesDataTable82527141518[[#This Row],[asofdate]]+1,Bloomberg!B:C,2,0)</f>
        <v>#N/A</v>
      </c>
      <c r="N259" s="6"/>
      <c r="O259" s="18">
        <v>41578</v>
      </c>
      <c r="P259" s="88">
        <v>3.3518586999999999E-3</v>
      </c>
      <c r="Q259" s="101"/>
      <c r="R259" s="101"/>
      <c r="S259" s="18">
        <v>41543</v>
      </c>
      <c r="T259" s="88">
        <v>3.5615879999999992E-4</v>
      </c>
      <c r="V259"/>
    </row>
    <row r="260" spans="2:22">
      <c r="B260" s="82">
        <v>40885</v>
      </c>
      <c r="C260" s="83">
        <v>0.90637092699999999</v>
      </c>
      <c r="D260" s="83">
        <f>VLOOKUP(CurrentMtgRatesDataTable825[[#This Row],[asofdate]],I:J,2,0)</f>
        <v>0.85509350650000004</v>
      </c>
      <c r="E260" s="83">
        <f>VLOOKUP(CurrentMtgRatesDataTable825[[#This Row],[asofdate]],O:P,2,0)</f>
        <v>0</v>
      </c>
      <c r="F260" s="84">
        <f ca="1">VLOOKUP(CurrentMtgRatesDataTable825[[#This Row],[asofdate]]+1,Bloomberg!B:C,2,0)</f>
        <v>3708.6</v>
      </c>
      <c r="I260" s="18">
        <v>41599</v>
      </c>
      <c r="J260" s="88">
        <v>0.42100343439999999</v>
      </c>
      <c r="K260" s="88">
        <f>VLOOKUP(CurrentMtgRatesDataTable82527141518[[#This Row],[asofdate]],O:P,2,0)</f>
        <v>0</v>
      </c>
      <c r="L260" s="88">
        <f>VLOOKUP(CurrentMtgRatesDataTable82527141518[[#This Row],[asofdate]],S:T,2,0)</f>
        <v>4.5124129000000002E-3</v>
      </c>
      <c r="M260" s="6">
        <f ca="1">VLOOKUP(CurrentMtgRatesDataTable82527141518[[#This Row],[asofdate]]+1,Bloomberg!B:C,2,0)</f>
        <v>1917.2</v>
      </c>
      <c r="N260" s="6"/>
      <c r="O260" s="18">
        <v>41571</v>
      </c>
      <c r="P260" s="88">
        <v>1.9650497000000002E-3</v>
      </c>
      <c r="Q260" s="101"/>
      <c r="R260" s="101"/>
      <c r="S260" s="18">
        <v>41536</v>
      </c>
      <c r="T260" s="88">
        <v>3.9033699999999999E-5</v>
      </c>
      <c r="V260"/>
    </row>
    <row r="261" spans="2:22">
      <c r="B261" s="82">
        <v>40878</v>
      </c>
      <c r="C261" s="83">
        <v>0.90190909860000001</v>
      </c>
      <c r="D261" s="83">
        <f>VLOOKUP(CurrentMtgRatesDataTable825[[#This Row],[asofdate]],I:J,2,0)</f>
        <v>0.85039925940000005</v>
      </c>
      <c r="E261" s="83">
        <f>VLOOKUP(CurrentMtgRatesDataTable825[[#This Row],[asofdate]],O:P,2,0)</f>
        <v>0</v>
      </c>
      <c r="F261" s="84">
        <f ca="1">VLOOKUP(CurrentMtgRatesDataTable825[[#This Row],[asofdate]]+1,Bloomberg!B:C,2,0)</f>
        <v>3394.7</v>
      </c>
      <c r="I261" s="18">
        <v>41592</v>
      </c>
      <c r="J261" s="88">
        <v>0.3867191411</v>
      </c>
      <c r="K261" s="88">
        <f>VLOOKUP(CurrentMtgRatesDataTable82527141518[[#This Row],[asofdate]],O:P,2,0)</f>
        <v>0</v>
      </c>
      <c r="L261" s="88">
        <f>VLOOKUP(CurrentMtgRatesDataTable82527141518[[#This Row],[asofdate]],S:T,2,0)</f>
        <v>1.8064753000000002E-3</v>
      </c>
      <c r="M261" s="6">
        <f ca="1">VLOOKUP(CurrentMtgRatesDataTable82527141518[[#This Row],[asofdate]]+1,Bloomberg!B:C,2,0)</f>
        <v>1903.5</v>
      </c>
      <c r="N261" s="6"/>
      <c r="O261" s="18">
        <v>41564</v>
      </c>
      <c r="P261" s="88">
        <v>0</v>
      </c>
      <c r="Q261" s="101"/>
      <c r="R261" s="101"/>
      <c r="S261" s="18">
        <v>41529</v>
      </c>
      <c r="T261" s="88">
        <v>7.9574999999999996E-6</v>
      </c>
      <c r="V261"/>
    </row>
    <row r="262" spans="2:22">
      <c r="B262" s="82">
        <v>40870</v>
      </c>
      <c r="C262" s="83">
        <v>0.92150528340000004</v>
      </c>
      <c r="D262" s="83">
        <f>VLOOKUP(CurrentMtgRatesDataTable825[[#This Row],[asofdate]],I:J,2,0)</f>
        <v>0.87619222510000005</v>
      </c>
      <c r="E262" s="83">
        <f>VLOOKUP(CurrentMtgRatesDataTable825[[#This Row],[asofdate]],O:P,2,0)</f>
        <v>0</v>
      </c>
      <c r="F262" s="84" t="e">
        <f ca="1">VLOOKUP(CurrentMtgRatesDataTable825[[#This Row],[asofdate]]+1,Bloomberg!B:C,2,0)</f>
        <v>#N/A</v>
      </c>
      <c r="I262" s="18">
        <v>41585</v>
      </c>
      <c r="J262" s="88">
        <v>0.42692957390000003</v>
      </c>
      <c r="K262" s="88">
        <f>VLOOKUP(CurrentMtgRatesDataTable82527141518[[#This Row],[asofdate]],O:P,2,0)</f>
        <v>0</v>
      </c>
      <c r="L262" s="88">
        <f>VLOOKUP(CurrentMtgRatesDataTable82527141518[[#This Row],[asofdate]],S:T,2,0)</f>
        <v>5.3303695999999999E-3</v>
      </c>
      <c r="M262" s="6">
        <f ca="1">VLOOKUP(CurrentMtgRatesDataTable82527141518[[#This Row],[asofdate]]+1,Bloomberg!B:C,2,0)</f>
        <v>2056.9</v>
      </c>
      <c r="N262" s="6"/>
      <c r="O262" s="18">
        <v>41557</v>
      </c>
      <c r="P262" s="88">
        <v>0</v>
      </c>
      <c r="Q262" s="101"/>
      <c r="R262" s="101"/>
      <c r="S262" s="18">
        <v>41522</v>
      </c>
      <c r="T262" s="88">
        <v>1.0965000000000001E-5</v>
      </c>
      <c r="V262"/>
    </row>
    <row r="263" spans="2:22">
      <c r="B263" s="82">
        <v>40864</v>
      </c>
      <c r="C263" s="83">
        <v>0.9118126714</v>
      </c>
      <c r="D263" s="83">
        <f>VLOOKUP(CurrentMtgRatesDataTable825[[#This Row],[asofdate]],I:J,2,0)</f>
        <v>0.86704241309999996</v>
      </c>
      <c r="E263" s="83">
        <f>VLOOKUP(CurrentMtgRatesDataTable825[[#This Row],[asofdate]],O:P,2,0)</f>
        <v>0</v>
      </c>
      <c r="F263" s="84">
        <f ca="1">VLOOKUP(CurrentMtgRatesDataTable825[[#This Row],[asofdate]]+1,Bloomberg!B:C,2,0)</f>
        <v>3466.8</v>
      </c>
      <c r="I263" s="18">
        <v>41578</v>
      </c>
      <c r="J263" s="88">
        <v>0.45384249900000007</v>
      </c>
      <c r="K263" s="88">
        <f>VLOOKUP(CurrentMtgRatesDataTable82527141518[[#This Row],[asofdate]],O:P,2,0)</f>
        <v>3.3518586999999999E-3</v>
      </c>
      <c r="L263" s="88">
        <f>VLOOKUP(CurrentMtgRatesDataTable82527141518[[#This Row],[asofdate]],S:T,2,0)</f>
        <v>3.8090733000000002E-3</v>
      </c>
      <c r="M263" s="6">
        <f ca="1">VLOOKUP(CurrentMtgRatesDataTable82527141518[[#This Row],[asofdate]]+1,Bloomberg!B:C,2,0)</f>
        <v>2105.6</v>
      </c>
      <c r="N263" s="6"/>
      <c r="O263" s="18">
        <v>41550</v>
      </c>
      <c r="P263" s="88">
        <v>1.4037641999999999E-3</v>
      </c>
      <c r="Q263" s="101"/>
      <c r="R263" s="101"/>
      <c r="S263" s="18">
        <v>41515</v>
      </c>
      <c r="T263" s="88">
        <v>3.4419499999999998E-5</v>
      </c>
      <c r="V263"/>
    </row>
    <row r="264" spans="2:22">
      <c r="B264" s="82">
        <v>40857</v>
      </c>
      <c r="C264" s="83">
        <v>0.91600406219999997</v>
      </c>
      <c r="D264" s="83">
        <f>VLOOKUP(CurrentMtgRatesDataTable825[[#This Row],[asofdate]],I:J,2,0)</f>
        <v>0.87112333040000012</v>
      </c>
      <c r="E264" s="83">
        <f>VLOOKUP(CurrentMtgRatesDataTable825[[#This Row],[asofdate]],O:P,2,0)</f>
        <v>0</v>
      </c>
      <c r="F264" s="84">
        <f ca="1">VLOOKUP(CurrentMtgRatesDataTable825[[#This Row],[asofdate]]+1,Bloomberg!B:C,2,0)</f>
        <v>3664.5</v>
      </c>
      <c r="I264" s="18">
        <v>41571</v>
      </c>
      <c r="J264" s="88">
        <v>0.43662093299999999</v>
      </c>
      <c r="K264" s="88">
        <f>VLOOKUP(CurrentMtgRatesDataTable82527141518[[#This Row],[asofdate]],O:P,2,0)</f>
        <v>1.9650497000000002E-3</v>
      </c>
      <c r="L264" s="88">
        <f>VLOOKUP(CurrentMtgRatesDataTable82527141518[[#This Row],[asofdate]],S:T,2,0)</f>
        <v>2.3834327999999998E-3</v>
      </c>
      <c r="M264" s="6">
        <f ca="1">VLOOKUP(CurrentMtgRatesDataTable82527141518[[#This Row],[asofdate]]+1,Bloomberg!B:C,2,0)</f>
        <v>2211.8000000000002</v>
      </c>
      <c r="N264" s="6"/>
      <c r="O264" s="18">
        <v>41543</v>
      </c>
      <c r="P264" s="88">
        <v>9.52758E-5</v>
      </c>
      <c r="Q264" s="101"/>
      <c r="R264" s="101"/>
      <c r="S264" s="18">
        <v>41508</v>
      </c>
      <c r="T264" s="88">
        <v>7.0003999999999999E-6</v>
      </c>
      <c r="V264"/>
    </row>
    <row r="265" spans="2:22">
      <c r="B265" s="82">
        <v>40850</v>
      </c>
      <c r="C265" s="83">
        <v>0.9118126714</v>
      </c>
      <c r="D265" s="83">
        <f>VLOOKUP(CurrentMtgRatesDataTable825[[#This Row],[asofdate]],I:J,2,0)</f>
        <v>0.86704241309999996</v>
      </c>
      <c r="E265" s="83">
        <f>VLOOKUP(CurrentMtgRatesDataTable825[[#This Row],[asofdate]],O:P,2,0)</f>
        <v>0</v>
      </c>
      <c r="F265" s="84">
        <f ca="1">VLOOKUP(CurrentMtgRatesDataTable825[[#This Row],[asofdate]]+1,Bloomberg!B:C,2,0)</f>
        <v>4137.6000000000004</v>
      </c>
      <c r="I265" s="18">
        <v>41564</v>
      </c>
      <c r="J265" s="88">
        <v>0.41459249570000001</v>
      </c>
      <c r="K265" s="88">
        <f>VLOOKUP(CurrentMtgRatesDataTable82527141518[[#This Row],[asofdate]],O:P,2,0)</f>
        <v>0</v>
      </c>
      <c r="L265" s="88">
        <f>VLOOKUP(CurrentMtgRatesDataTable82527141518[[#This Row],[asofdate]],S:T,2,0)</f>
        <v>1.4588393000000001E-3</v>
      </c>
      <c r="M265" s="6">
        <f ca="1">VLOOKUP(CurrentMtgRatesDataTable82527141518[[#This Row],[asofdate]]+1,Bloomberg!B:C,2,0)</f>
        <v>2033.7</v>
      </c>
      <c r="N265" s="6"/>
      <c r="O265" s="18">
        <v>41536</v>
      </c>
      <c r="P265" s="88">
        <v>0</v>
      </c>
      <c r="Q265" s="101"/>
      <c r="R265" s="101"/>
      <c r="S265" s="18">
        <v>41501</v>
      </c>
      <c r="T265" s="88">
        <v>8.679750000000001E-5</v>
      </c>
      <c r="V265"/>
    </row>
    <row r="266" spans="2:22">
      <c r="B266" s="82">
        <v>40843</v>
      </c>
      <c r="C266" s="83">
        <v>0.87336853640000012</v>
      </c>
      <c r="D266" s="83">
        <f>VLOOKUP(CurrentMtgRatesDataTable825[[#This Row],[asofdate]],I:J,2,0)</f>
        <v>0.81039755680000003</v>
      </c>
      <c r="E266" s="83">
        <f>VLOOKUP(CurrentMtgRatesDataTable825[[#This Row],[asofdate]],O:P,2,0)</f>
        <v>0</v>
      </c>
      <c r="F266" s="84">
        <f ca="1">VLOOKUP(CurrentMtgRatesDataTable825[[#This Row],[asofdate]]+1,Bloomberg!B:C,2,0)</f>
        <v>3695</v>
      </c>
      <c r="I266" s="18">
        <v>41557</v>
      </c>
      <c r="J266" s="88">
        <v>0.42456374670000002</v>
      </c>
      <c r="K266" s="88">
        <f>VLOOKUP(CurrentMtgRatesDataTable82527141518[[#This Row],[asofdate]],O:P,2,0)</f>
        <v>0</v>
      </c>
      <c r="L266" s="88">
        <f>VLOOKUP(CurrentMtgRatesDataTable82527141518[[#This Row],[asofdate]],S:T,2,0)</f>
        <v>1.7559447E-3</v>
      </c>
      <c r="M266" s="6">
        <f ca="1">VLOOKUP(CurrentMtgRatesDataTable82527141518[[#This Row],[asofdate]]+1,Bloomberg!B:C,2,0)</f>
        <v>2102.6999999999998</v>
      </c>
      <c r="N266" s="6"/>
      <c r="O266" s="18">
        <v>41529</v>
      </c>
      <c r="P266" s="88">
        <v>0</v>
      </c>
      <c r="Q266" s="101"/>
      <c r="R266" s="101"/>
      <c r="S266" s="18">
        <v>41494</v>
      </c>
      <c r="T266" s="88">
        <v>1.107294E-4</v>
      </c>
      <c r="V266"/>
    </row>
    <row r="267" spans="2:22">
      <c r="B267" s="82">
        <v>40836</v>
      </c>
      <c r="C267" s="83">
        <v>0.87116842570000008</v>
      </c>
      <c r="D267" s="83">
        <f>VLOOKUP(CurrentMtgRatesDataTable825[[#This Row],[asofdate]],I:J,2,0)</f>
        <v>0.80686109110000004</v>
      </c>
      <c r="E267" s="83">
        <f>VLOOKUP(CurrentMtgRatesDataTable825[[#This Row],[asofdate]],O:P,2,0)</f>
        <v>0</v>
      </c>
      <c r="F267" s="84">
        <f ca="1">VLOOKUP(CurrentMtgRatesDataTable825[[#This Row],[asofdate]]+1,Bloomberg!B:C,2,0)</f>
        <v>3719.3</v>
      </c>
      <c r="I267" s="18">
        <v>41550</v>
      </c>
      <c r="J267" s="88">
        <v>0.4263110786</v>
      </c>
      <c r="K267" s="88">
        <f>VLOOKUP(CurrentMtgRatesDataTable82527141518[[#This Row],[asofdate]],O:P,2,0)</f>
        <v>1.4037641999999999E-3</v>
      </c>
      <c r="L267" s="88">
        <f>VLOOKUP(CurrentMtgRatesDataTable82527141518[[#This Row],[asofdate]],S:T,2,0)</f>
        <v>1.7942005000000001E-3</v>
      </c>
      <c r="M267" s="6">
        <f ca="1">VLOOKUP(CurrentMtgRatesDataTable82527141518[[#This Row],[asofdate]]+1,Bloomberg!B:C,2,0)</f>
        <v>2025.3</v>
      </c>
      <c r="N267" s="6"/>
      <c r="O267" s="18">
        <v>41522</v>
      </c>
      <c r="P267" s="88">
        <v>0</v>
      </c>
      <c r="Q267" s="101"/>
      <c r="R267" s="101"/>
      <c r="S267" s="18">
        <v>41487</v>
      </c>
      <c r="T267" s="88">
        <v>1.352185E-4</v>
      </c>
      <c r="V267"/>
    </row>
    <row r="268" spans="2:22">
      <c r="B268" s="82">
        <v>40829</v>
      </c>
      <c r="C268" s="83">
        <v>0.86920384979999998</v>
      </c>
      <c r="D268" s="83">
        <f>VLOOKUP(CurrentMtgRatesDataTable825[[#This Row],[asofdate]],I:J,2,0)</f>
        <v>0.80164173949999995</v>
      </c>
      <c r="E268" s="83">
        <f>VLOOKUP(CurrentMtgRatesDataTable825[[#This Row],[asofdate]],O:P,2,0)</f>
        <v>0</v>
      </c>
      <c r="F268" s="84">
        <f ca="1">VLOOKUP(CurrentMtgRatesDataTable825[[#This Row],[asofdate]]+1,Bloomberg!B:C,2,0)</f>
        <v>3553.2</v>
      </c>
      <c r="I268" s="18">
        <v>41543</v>
      </c>
      <c r="J268" s="88">
        <v>0.41632010079999998</v>
      </c>
      <c r="K268" s="88">
        <f>VLOOKUP(CurrentMtgRatesDataTable82527141518[[#This Row],[asofdate]],O:P,2,0)</f>
        <v>9.52758E-5</v>
      </c>
      <c r="L268" s="88">
        <f>VLOOKUP(CurrentMtgRatesDataTable82527141518[[#This Row],[asofdate]],S:T,2,0)</f>
        <v>3.5615879999999992E-4</v>
      </c>
      <c r="M268" s="6">
        <f ca="1">VLOOKUP(CurrentMtgRatesDataTable82527141518[[#This Row],[asofdate]]+1,Bloomberg!B:C,2,0)</f>
        <v>1956.6</v>
      </c>
      <c r="N268" s="6"/>
      <c r="O268" s="18">
        <v>41515</v>
      </c>
      <c r="P268" s="88">
        <v>0</v>
      </c>
      <c r="Q268" s="101"/>
      <c r="R268" s="101"/>
      <c r="S268" s="18">
        <v>41480</v>
      </c>
      <c r="T268" s="88">
        <v>2.023177E-4</v>
      </c>
      <c r="V268"/>
    </row>
    <row r="269" spans="2:22">
      <c r="B269" s="82">
        <v>40822</v>
      </c>
      <c r="C269" s="83">
        <v>0.93408887910000005</v>
      </c>
      <c r="D269" s="83">
        <f>VLOOKUP(CurrentMtgRatesDataTable825[[#This Row],[asofdate]],I:J,2,0)</f>
        <v>0.89829081580000003</v>
      </c>
      <c r="E269" s="83">
        <f>VLOOKUP(CurrentMtgRatesDataTable825[[#This Row],[asofdate]],O:P,2,0)</f>
        <v>0.90100497800000001</v>
      </c>
      <c r="F269" s="84">
        <f ca="1">VLOOKUP(CurrentMtgRatesDataTable825[[#This Row],[asofdate]]+1,Bloomberg!B:C,2,0)</f>
        <v>4251.1000000000004</v>
      </c>
      <c r="I269" s="18">
        <v>41536</v>
      </c>
      <c r="J269" s="88">
        <v>0.31066711050000001</v>
      </c>
      <c r="K269" s="88">
        <f>VLOOKUP(CurrentMtgRatesDataTable82527141518[[#This Row],[asofdate]],O:P,2,0)</f>
        <v>0</v>
      </c>
      <c r="L269" s="88">
        <f>VLOOKUP(CurrentMtgRatesDataTable82527141518[[#This Row],[asofdate]],S:T,2,0)</f>
        <v>3.9033699999999999E-5</v>
      </c>
      <c r="M269" s="6">
        <f ca="1">VLOOKUP(CurrentMtgRatesDataTable82527141518[[#This Row],[asofdate]]+1,Bloomberg!B:C,2,0)</f>
        <v>1922.9</v>
      </c>
      <c r="N269" s="6"/>
      <c r="O269" s="18">
        <v>41508</v>
      </c>
      <c r="P269" s="88">
        <v>0</v>
      </c>
      <c r="Q269" s="101"/>
      <c r="R269" s="101"/>
      <c r="S269" s="18">
        <v>41473</v>
      </c>
      <c r="T269" s="88">
        <v>1.2801840000000001E-4</v>
      </c>
      <c r="V269"/>
    </row>
    <row r="270" spans="2:22">
      <c r="B270" s="82">
        <v>40815</v>
      </c>
      <c r="C270" s="83">
        <v>0.91462717179999997</v>
      </c>
      <c r="D270" s="83">
        <f>VLOOKUP(CurrentMtgRatesDataTable825[[#This Row],[asofdate]],I:J,2,0)</f>
        <v>0.87872018210000014</v>
      </c>
      <c r="E270" s="83">
        <f>VLOOKUP(CurrentMtgRatesDataTable825[[#This Row],[asofdate]],O:P,2,0)</f>
        <v>0.88001209170000005</v>
      </c>
      <c r="F270" s="84">
        <f ca="1">VLOOKUP(CurrentMtgRatesDataTable825[[#This Row],[asofdate]]+1,Bloomberg!B:C,2,0)</f>
        <v>4241.8</v>
      </c>
      <c r="I270" s="18">
        <v>41529</v>
      </c>
      <c r="J270" s="88">
        <v>0.28537209140000003</v>
      </c>
      <c r="K270" s="88">
        <f>VLOOKUP(CurrentMtgRatesDataTable82527141518[[#This Row],[asofdate]],O:P,2,0)</f>
        <v>0</v>
      </c>
      <c r="L270" s="88">
        <f>VLOOKUP(CurrentMtgRatesDataTable82527141518[[#This Row],[asofdate]],S:T,2,0)</f>
        <v>7.9574999999999996E-6</v>
      </c>
      <c r="M270" s="6">
        <f ca="1">VLOOKUP(CurrentMtgRatesDataTable82527141518[[#This Row],[asofdate]]+1,Bloomberg!B:C,2,0)</f>
        <v>1814</v>
      </c>
      <c r="N270" s="6"/>
      <c r="O270" s="18">
        <v>41501</v>
      </c>
      <c r="P270" s="88">
        <v>0</v>
      </c>
      <c r="Q270" s="101"/>
      <c r="R270" s="101"/>
      <c r="S270" s="18">
        <v>41466</v>
      </c>
      <c r="T270" s="88">
        <v>1.222629E-4</v>
      </c>
      <c r="V270"/>
    </row>
    <row r="271" spans="2:22">
      <c r="B271" s="82">
        <v>40808</v>
      </c>
      <c r="C271" s="83">
        <v>0.88675076370000006</v>
      </c>
      <c r="D271" s="83">
        <f>VLOOKUP(CurrentMtgRatesDataTable825[[#This Row],[asofdate]],I:J,2,0)</f>
        <v>0.82856300979999997</v>
      </c>
      <c r="E271" s="83">
        <f>VLOOKUP(CurrentMtgRatesDataTable825[[#This Row],[asofdate]],O:P,2,0)</f>
        <v>0</v>
      </c>
      <c r="F271" s="84">
        <f ca="1">VLOOKUP(CurrentMtgRatesDataTable825[[#This Row],[asofdate]]+1,Bloomberg!B:C,2,0)</f>
        <v>4512.1000000000004</v>
      </c>
      <c r="I271" s="18">
        <v>41522</v>
      </c>
      <c r="J271" s="88">
        <v>0.29028109590000001</v>
      </c>
      <c r="K271" s="88">
        <f>VLOOKUP(CurrentMtgRatesDataTable82527141518[[#This Row],[asofdate]],O:P,2,0)</f>
        <v>0</v>
      </c>
      <c r="L271" s="88">
        <f>VLOOKUP(CurrentMtgRatesDataTable82527141518[[#This Row],[asofdate]],S:T,2,0)</f>
        <v>1.0965000000000001E-5</v>
      </c>
      <c r="M271" s="6">
        <f ca="1">VLOOKUP(CurrentMtgRatesDataTable82527141518[[#This Row],[asofdate]]+1,Bloomberg!B:C,2,0)</f>
        <v>1512.9</v>
      </c>
      <c r="N271" s="6"/>
      <c r="O271" s="18">
        <v>41494</v>
      </c>
      <c r="P271" s="88">
        <v>0</v>
      </c>
      <c r="Q271" s="101"/>
      <c r="R271" s="101"/>
      <c r="S271" s="18">
        <v>41458</v>
      </c>
      <c r="T271" s="88">
        <v>2.7504040000000002E-4</v>
      </c>
      <c r="V271"/>
    </row>
    <row r="272" spans="2:22">
      <c r="B272" s="82">
        <v>40801</v>
      </c>
      <c r="C272" s="83">
        <v>0.88675076370000006</v>
      </c>
      <c r="D272" s="83">
        <f>VLOOKUP(CurrentMtgRatesDataTable825[[#This Row],[asofdate]],I:J,2,0)</f>
        <v>0.82856300979999997</v>
      </c>
      <c r="E272" s="83">
        <f>VLOOKUP(CurrentMtgRatesDataTable825[[#This Row],[asofdate]],O:P,2,0)</f>
        <v>0.831236211</v>
      </c>
      <c r="F272" s="84">
        <f ca="1">VLOOKUP(CurrentMtgRatesDataTable825[[#This Row],[asofdate]]+1,Bloomberg!B:C,2,0)</f>
        <v>4033.8</v>
      </c>
      <c r="I272" s="18">
        <v>41515</v>
      </c>
      <c r="J272" s="88">
        <v>0.31811704870000002</v>
      </c>
      <c r="K272" s="88">
        <f>VLOOKUP(CurrentMtgRatesDataTable82527141518[[#This Row],[asofdate]],O:P,2,0)</f>
        <v>0</v>
      </c>
      <c r="L272" s="88">
        <f>VLOOKUP(CurrentMtgRatesDataTable82527141518[[#This Row],[asofdate]],S:T,2,0)</f>
        <v>3.4419499999999998E-5</v>
      </c>
      <c r="M272" s="6">
        <f ca="1">VLOOKUP(CurrentMtgRatesDataTable82527141518[[#This Row],[asofdate]]+1,Bloomberg!B:C,2,0)</f>
        <v>1909</v>
      </c>
      <c r="N272" s="6"/>
      <c r="O272" s="18">
        <v>41487</v>
      </c>
      <c r="P272" s="88">
        <v>0</v>
      </c>
      <c r="Q272" s="101"/>
      <c r="R272" s="101"/>
      <c r="S272" s="18">
        <v>41452</v>
      </c>
      <c r="T272" s="88">
        <v>8.4635999999999997E-6</v>
      </c>
      <c r="V272"/>
    </row>
    <row r="273" spans="2:22">
      <c r="B273" s="82">
        <v>40794</v>
      </c>
      <c r="C273" s="83">
        <v>0.87807825780000015</v>
      </c>
      <c r="D273" s="83">
        <f>VLOOKUP(CurrentMtgRatesDataTable825[[#This Row],[asofdate]],I:J,2,0)</f>
        <v>0.81764657090000004</v>
      </c>
      <c r="E273" s="83">
        <f>VLOOKUP(CurrentMtgRatesDataTable825[[#This Row],[asofdate]],O:P,2,0)</f>
        <v>0.82037518990000002</v>
      </c>
      <c r="F273" s="84">
        <f ca="1">VLOOKUP(CurrentMtgRatesDataTable825[[#This Row],[asofdate]]+1,Bloomberg!B:C,2,0)</f>
        <v>3571.7</v>
      </c>
      <c r="I273" s="18">
        <v>41508</v>
      </c>
      <c r="J273" s="88">
        <v>0.29567177890000002</v>
      </c>
      <c r="K273" s="88">
        <f>VLOOKUP(CurrentMtgRatesDataTable82527141518[[#This Row],[asofdate]],O:P,2,0)</f>
        <v>0</v>
      </c>
      <c r="L273" s="88">
        <f>VLOOKUP(CurrentMtgRatesDataTable82527141518[[#This Row],[asofdate]],S:T,2,0)</f>
        <v>7.0003999999999999E-6</v>
      </c>
      <c r="M273" s="6">
        <f ca="1">VLOOKUP(CurrentMtgRatesDataTable82527141518[[#This Row],[asofdate]]+1,Bloomberg!B:C,2,0)</f>
        <v>1842.6</v>
      </c>
      <c r="N273" s="6"/>
      <c r="O273" s="18">
        <v>41480</v>
      </c>
      <c r="P273" s="88">
        <v>0</v>
      </c>
      <c r="Q273" s="101"/>
      <c r="R273" s="101"/>
      <c r="S273" s="18">
        <v>41445</v>
      </c>
      <c r="T273" s="88">
        <v>1.2545979999999999E-4</v>
      </c>
      <c r="V273"/>
    </row>
    <row r="274" spans="2:22">
      <c r="B274" s="82">
        <v>40787</v>
      </c>
      <c r="C274" s="83">
        <v>0.85485404639999996</v>
      </c>
      <c r="D274" s="83">
        <f>VLOOKUP(CurrentMtgRatesDataTable825[[#This Row],[asofdate]],I:J,2,0)</f>
        <v>0.77153651899999998</v>
      </c>
      <c r="E274" s="83">
        <f>VLOOKUP(CurrentMtgRatesDataTable825[[#This Row],[asofdate]],O:P,2,0)</f>
        <v>0</v>
      </c>
      <c r="F274" s="84">
        <f ca="1">VLOOKUP(CurrentMtgRatesDataTable825[[#This Row],[asofdate]]+1,Bloomberg!B:C,2,0)</f>
        <v>3372</v>
      </c>
      <c r="I274" s="18">
        <v>41501</v>
      </c>
      <c r="J274" s="88">
        <v>0.39637014929999997</v>
      </c>
      <c r="K274" s="88">
        <f>VLOOKUP(CurrentMtgRatesDataTable82527141518[[#This Row],[asofdate]],O:P,2,0)</f>
        <v>0</v>
      </c>
      <c r="L274" s="88">
        <f>VLOOKUP(CurrentMtgRatesDataTable82527141518[[#This Row],[asofdate]],S:T,2,0)</f>
        <v>8.679750000000001E-5</v>
      </c>
      <c r="M274" s="6">
        <f ca="1">VLOOKUP(CurrentMtgRatesDataTable82527141518[[#This Row],[asofdate]]+1,Bloomberg!B:C,2,0)</f>
        <v>1935.1</v>
      </c>
      <c r="N274" s="6"/>
      <c r="O274" s="18">
        <v>41473</v>
      </c>
      <c r="P274" s="88">
        <v>0</v>
      </c>
      <c r="Q274" s="101"/>
      <c r="R274" s="101"/>
      <c r="S274" s="18">
        <v>41438</v>
      </c>
      <c r="T274" s="88">
        <v>1.249992E-4</v>
      </c>
      <c r="V274"/>
    </row>
    <row r="275" spans="2:22">
      <c r="B275" s="82">
        <v>40780</v>
      </c>
      <c r="C275" s="83">
        <v>0.8550708561</v>
      </c>
      <c r="D275" s="83">
        <f>VLOOKUP(CurrentMtgRatesDataTable825[[#This Row],[asofdate]],I:J,2,0)</f>
        <v>0.77161547419999998</v>
      </c>
      <c r="E275" s="83">
        <f>VLOOKUP(CurrentMtgRatesDataTable825[[#This Row],[asofdate]],O:P,2,0)</f>
        <v>0</v>
      </c>
      <c r="F275" s="84">
        <f ca="1">VLOOKUP(CurrentMtgRatesDataTable825[[#This Row],[asofdate]]+1,Bloomberg!B:C,2,0)</f>
        <v>3601.3</v>
      </c>
      <c r="I275" s="18">
        <v>41494</v>
      </c>
      <c r="J275" s="88">
        <v>0.39637014929999997</v>
      </c>
      <c r="K275" s="88">
        <f>VLOOKUP(CurrentMtgRatesDataTable82527141518[[#This Row],[asofdate]],O:P,2,0)</f>
        <v>0</v>
      </c>
      <c r="L275" s="88">
        <f>VLOOKUP(CurrentMtgRatesDataTable82527141518[[#This Row],[asofdate]],S:T,2,0)</f>
        <v>1.107294E-4</v>
      </c>
      <c r="M275" s="6">
        <f ca="1">VLOOKUP(CurrentMtgRatesDataTable82527141518[[#This Row],[asofdate]]+1,Bloomberg!B:C,2,0)</f>
        <v>2110.6</v>
      </c>
      <c r="N275" s="6"/>
      <c r="O275" s="18">
        <v>41466</v>
      </c>
      <c r="P275" s="88">
        <v>0</v>
      </c>
      <c r="Q275" s="101"/>
      <c r="R275" s="101"/>
      <c r="S275" s="18">
        <v>41431</v>
      </c>
      <c r="T275" s="88">
        <v>2.0488080000000001E-4</v>
      </c>
      <c r="V275"/>
    </row>
    <row r="276" spans="2:22">
      <c r="B276" s="82">
        <v>40773</v>
      </c>
      <c r="C276" s="83">
        <v>0.87116807839999999</v>
      </c>
      <c r="D276" s="83">
        <f>VLOOKUP(CurrentMtgRatesDataTable825[[#This Row],[asofdate]],I:J,2,0)</f>
        <v>0.79952569529999984</v>
      </c>
      <c r="E276" s="83">
        <f>VLOOKUP(CurrentMtgRatesDataTable825[[#This Row],[asofdate]],O:P,2,0)</f>
        <v>0.80075088969999997</v>
      </c>
      <c r="F276" s="84">
        <f ca="1">VLOOKUP(CurrentMtgRatesDataTable825[[#This Row],[asofdate]]+1,Bloomberg!B:C,2,0)</f>
        <v>4110.8</v>
      </c>
      <c r="I276" s="18">
        <v>41487</v>
      </c>
      <c r="J276" s="88">
        <v>0.40307329619999999</v>
      </c>
      <c r="K276" s="88">
        <f>VLOOKUP(CurrentMtgRatesDataTable82527141518[[#This Row],[asofdate]],O:P,2,0)</f>
        <v>0</v>
      </c>
      <c r="L276" s="88">
        <f>VLOOKUP(CurrentMtgRatesDataTable82527141518[[#This Row],[asofdate]],S:T,2,0)</f>
        <v>1.352185E-4</v>
      </c>
      <c r="M276" s="6">
        <f ca="1">VLOOKUP(CurrentMtgRatesDataTable82527141518[[#This Row],[asofdate]]+1,Bloomberg!B:C,2,0)</f>
        <v>2228.9</v>
      </c>
      <c r="N276" s="6"/>
      <c r="O276" s="18">
        <v>41458</v>
      </c>
      <c r="P276" s="88">
        <v>0</v>
      </c>
      <c r="Q276" s="101"/>
      <c r="R276" s="101"/>
      <c r="S276" s="18">
        <v>41424</v>
      </c>
      <c r="T276" s="88">
        <v>1.7424779999999999E-4</v>
      </c>
      <c r="V276"/>
    </row>
    <row r="277" spans="2:22">
      <c r="B277" s="82">
        <v>40766</v>
      </c>
      <c r="C277" s="83">
        <v>0.81358477029999998</v>
      </c>
      <c r="D277" s="83">
        <f>VLOOKUP(CurrentMtgRatesDataTable825[[#This Row],[asofdate]],I:J,2,0)</f>
        <v>0.72632980079999998</v>
      </c>
      <c r="E277" s="83">
        <f>VLOOKUP(CurrentMtgRatesDataTable825[[#This Row],[asofdate]],O:P,2,0)</f>
        <v>3.3696033799999997E-2</v>
      </c>
      <c r="F277" s="84">
        <f ca="1">VLOOKUP(CurrentMtgRatesDataTable825[[#This Row],[asofdate]]+1,Bloomberg!B:C,2,0)</f>
        <v>4184.3999999999996</v>
      </c>
      <c r="I277" s="18">
        <v>41480</v>
      </c>
      <c r="J277" s="88">
        <v>0.44344400090000002</v>
      </c>
      <c r="K277" s="88">
        <f>VLOOKUP(CurrentMtgRatesDataTable82527141518[[#This Row],[asofdate]],O:P,2,0)</f>
        <v>0</v>
      </c>
      <c r="L277" s="88">
        <f>VLOOKUP(CurrentMtgRatesDataTable82527141518[[#This Row],[asofdate]],S:T,2,0)</f>
        <v>2.023177E-4</v>
      </c>
      <c r="M277" s="6">
        <f ca="1">VLOOKUP(CurrentMtgRatesDataTable82527141518[[#This Row],[asofdate]]+1,Bloomberg!B:C,2,0)</f>
        <v>2218.3000000000002</v>
      </c>
      <c r="N277" s="6"/>
      <c r="O277" s="18">
        <v>41452</v>
      </c>
      <c r="P277" s="88">
        <v>0</v>
      </c>
      <c r="Q277" s="101"/>
      <c r="R277" s="101"/>
      <c r="S277" s="18">
        <v>41417</v>
      </c>
      <c r="T277" s="88">
        <v>1.1954248999999999E-3</v>
      </c>
      <c r="V277"/>
    </row>
    <row r="278" spans="2:22">
      <c r="B278" s="82">
        <v>40759</v>
      </c>
      <c r="C278" s="83">
        <v>0.70925319720000002</v>
      </c>
      <c r="D278" s="83">
        <f>VLOOKUP(CurrentMtgRatesDataTable825[[#This Row],[asofdate]],I:J,2,0)</f>
        <v>0.65053350860000003</v>
      </c>
      <c r="E278" s="83">
        <f>VLOOKUP(CurrentMtgRatesDataTable825[[#This Row],[asofdate]],O:P,2,0)</f>
        <v>2.1094077400000001E-2</v>
      </c>
      <c r="F278" s="84">
        <f ca="1">VLOOKUP(CurrentMtgRatesDataTable825[[#This Row],[asofdate]]+1,Bloomberg!B:C,2,0)</f>
        <v>3880.9</v>
      </c>
      <c r="I278" s="18">
        <v>41473</v>
      </c>
      <c r="J278" s="88">
        <v>0.42843391609999998</v>
      </c>
      <c r="K278" s="88">
        <f>VLOOKUP(CurrentMtgRatesDataTable82527141518[[#This Row],[asofdate]],O:P,2,0)</f>
        <v>0</v>
      </c>
      <c r="L278" s="88">
        <f>VLOOKUP(CurrentMtgRatesDataTable82527141518[[#This Row],[asofdate]],S:T,2,0)</f>
        <v>1.2801840000000001E-4</v>
      </c>
      <c r="M278" s="6">
        <f ca="1">VLOOKUP(CurrentMtgRatesDataTable82527141518[[#This Row],[asofdate]]+1,Bloomberg!B:C,2,0)</f>
        <v>2288</v>
      </c>
      <c r="N278" s="6"/>
      <c r="O278" s="18">
        <v>41445</v>
      </c>
      <c r="P278" s="88">
        <v>0</v>
      </c>
      <c r="Q278" s="101"/>
      <c r="R278" s="101"/>
      <c r="S278" s="18">
        <v>41410</v>
      </c>
      <c r="T278" s="88">
        <v>4.4378305E-3</v>
      </c>
      <c r="V278"/>
    </row>
    <row r="279" spans="2:22">
      <c r="B279" s="85">
        <v>40752</v>
      </c>
      <c r="C279" s="86">
        <v>0.57395904259999997</v>
      </c>
      <c r="D279" s="86">
        <f>VLOOKUP(CurrentMtgRatesDataTable825[[#This Row],[asofdate]],I:J,2,0)</f>
        <v>0.54432073979999995</v>
      </c>
      <c r="E279" s="86">
        <f>VLOOKUP(CurrentMtgRatesDataTable825[[#This Row],[asofdate]],O:P,2,0)</f>
        <v>0</v>
      </c>
      <c r="F279" s="87">
        <f ca="1">VLOOKUP(CurrentMtgRatesDataTable825[[#This Row],[asofdate]]+1,Bloomberg!B:C,2,0)</f>
        <v>2974.1</v>
      </c>
      <c r="I279" s="18">
        <v>41466</v>
      </c>
      <c r="J279" s="88">
        <v>0.32178905419999998</v>
      </c>
      <c r="K279" s="88">
        <f>VLOOKUP(CurrentMtgRatesDataTable82527141518[[#This Row],[asofdate]],O:P,2,0)</f>
        <v>0</v>
      </c>
      <c r="L279" s="88">
        <f>VLOOKUP(CurrentMtgRatesDataTable82527141518[[#This Row],[asofdate]],S:T,2,0)</f>
        <v>1.222629E-4</v>
      </c>
      <c r="M279" s="6">
        <f ca="1">VLOOKUP(CurrentMtgRatesDataTable82527141518[[#This Row],[asofdate]]+1,Bloomberg!B:C,2,0)</f>
        <v>2242.1999999999998</v>
      </c>
      <c r="N279" s="6"/>
      <c r="O279" s="18">
        <v>41438</v>
      </c>
      <c r="P279" s="88">
        <v>0</v>
      </c>
      <c r="Q279" s="101"/>
      <c r="R279" s="101"/>
      <c r="S279" s="18">
        <v>41403</v>
      </c>
      <c r="T279" s="88">
        <v>8.7258123E-3</v>
      </c>
      <c r="V279"/>
    </row>
    <row r="280" spans="2:22">
      <c r="B280" s="89">
        <v>40745</v>
      </c>
      <c r="C280" s="90">
        <v>0.59331865890000002</v>
      </c>
      <c r="D280" s="90">
        <f>VLOOKUP(CurrentMtgRatesDataTable825[[#This Row],[asofdate]],I:J,2,0)</f>
        <v>0.55918012260000005</v>
      </c>
      <c r="E280" s="90">
        <f>VLOOKUP(CurrentMtgRatesDataTable825[[#This Row],[asofdate]],O:P,2,0)</f>
        <v>0</v>
      </c>
      <c r="F280" s="91">
        <f ca="1">VLOOKUP(CurrentMtgRatesDataTable825[[#This Row],[asofdate]]+1,Bloomberg!B:C,2,0)</f>
        <v>2769.6</v>
      </c>
      <c r="I280" s="18">
        <v>41458</v>
      </c>
      <c r="J280" s="88">
        <v>0.45589266750000002</v>
      </c>
      <c r="K280" s="88">
        <f>VLOOKUP(CurrentMtgRatesDataTable82527141518[[#This Row],[asofdate]],O:P,2,0)</f>
        <v>0</v>
      </c>
      <c r="L280" s="88">
        <f>VLOOKUP(CurrentMtgRatesDataTable82527141518[[#This Row],[asofdate]],S:T,2,0)</f>
        <v>2.7504040000000002E-4</v>
      </c>
      <c r="M280" s="6" t="e">
        <f ca="1">VLOOKUP(CurrentMtgRatesDataTable82527141518[[#This Row],[asofdate]]+1,Bloomberg!B:C,2,0)</f>
        <v>#N/A</v>
      </c>
      <c r="N280" s="6"/>
      <c r="O280" s="18">
        <v>41431</v>
      </c>
      <c r="P280" s="88">
        <v>0</v>
      </c>
      <c r="Q280" s="101"/>
      <c r="R280" s="101"/>
      <c r="S280" s="18">
        <v>41396</v>
      </c>
      <c r="T280" s="88">
        <v>0.81360955030000004</v>
      </c>
      <c r="V280"/>
    </row>
    <row r="281" spans="2:22">
      <c r="B281" s="92">
        <v>40738</v>
      </c>
      <c r="C281" s="93">
        <v>0.5990050468</v>
      </c>
      <c r="D281" s="93">
        <f>VLOOKUP(CurrentMtgRatesDataTable825[[#This Row],[asofdate]],I:J,2,0)</f>
        <v>0.56220388160000001</v>
      </c>
      <c r="E281" s="93">
        <f>VLOOKUP(CurrentMtgRatesDataTable825[[#This Row],[asofdate]],O:P,2,0)</f>
        <v>0</v>
      </c>
      <c r="F281" s="94">
        <f ca="1">VLOOKUP(CurrentMtgRatesDataTable825[[#This Row],[asofdate]]+1,Bloomberg!B:C,2,0)</f>
        <v>2923.8</v>
      </c>
      <c r="I281" s="18">
        <v>41452</v>
      </c>
      <c r="J281" s="88">
        <v>0.34869473950000002</v>
      </c>
      <c r="K281" s="88">
        <f>VLOOKUP(CurrentMtgRatesDataTable82527141518[[#This Row],[asofdate]],O:P,2,0)</f>
        <v>0</v>
      </c>
      <c r="L281" s="88">
        <f>VLOOKUP(CurrentMtgRatesDataTable82527141518[[#This Row],[asofdate]],S:T,2,0)</f>
        <v>8.4635999999999997E-6</v>
      </c>
      <c r="M281" s="6">
        <f ca="1">VLOOKUP(CurrentMtgRatesDataTable82527141518[[#This Row],[asofdate]]+1,Bloomberg!B:C,2,0)</f>
        <v>2573.4</v>
      </c>
      <c r="N281" s="6"/>
      <c r="O281" s="18">
        <v>41424</v>
      </c>
      <c r="P281" s="88">
        <v>0</v>
      </c>
      <c r="Q281" s="101"/>
      <c r="R281" s="101"/>
      <c r="S281" s="18">
        <v>41389</v>
      </c>
      <c r="T281" s="88">
        <v>7.0176487999999999E-3</v>
      </c>
      <c r="V281"/>
    </row>
    <row r="282" spans="2:22">
      <c r="B282" s="92">
        <v>40731</v>
      </c>
      <c r="C282" s="93">
        <v>0.56769820100000001</v>
      </c>
      <c r="D282" s="93">
        <f>VLOOKUP(CurrentMtgRatesDataTable825[[#This Row],[asofdate]],I:J,2,0)</f>
        <v>0.53820071309999995</v>
      </c>
      <c r="E282" s="93">
        <f>VLOOKUP(CurrentMtgRatesDataTable825[[#This Row],[asofdate]],O:P,2,0)</f>
        <v>0</v>
      </c>
      <c r="F282" s="94">
        <f ca="1">VLOOKUP(CurrentMtgRatesDataTable825[[#This Row],[asofdate]]+1,Bloomberg!B:C,2,0)</f>
        <v>2362.6999999999998</v>
      </c>
      <c r="I282" s="18">
        <v>41445</v>
      </c>
      <c r="J282" s="88">
        <v>0.57161882750000004</v>
      </c>
      <c r="K282" s="88">
        <f>VLOOKUP(CurrentMtgRatesDataTable82527141518[[#This Row],[asofdate]],O:P,2,0)</f>
        <v>0</v>
      </c>
      <c r="L282" s="88">
        <f>VLOOKUP(CurrentMtgRatesDataTable82527141518[[#This Row],[asofdate]],S:T,2,0)</f>
        <v>1.2545979999999999E-4</v>
      </c>
      <c r="M282" s="6">
        <f ca="1">VLOOKUP(CurrentMtgRatesDataTable82527141518[[#This Row],[asofdate]]+1,Bloomberg!B:C,2,0)</f>
        <v>3040.1</v>
      </c>
      <c r="N282" s="6"/>
      <c r="O282" s="18">
        <v>41417</v>
      </c>
      <c r="P282" s="88">
        <v>0</v>
      </c>
      <c r="Q282" s="101"/>
      <c r="R282" s="101"/>
      <c r="S282" s="18">
        <v>41382</v>
      </c>
      <c r="T282" s="88">
        <v>9.5136501999999994E-3</v>
      </c>
      <c r="V282"/>
    </row>
    <row r="283" spans="2:22">
      <c r="B283" s="92">
        <v>40724</v>
      </c>
      <c r="C283" s="93">
        <v>0.60115341759999996</v>
      </c>
      <c r="D283" s="93">
        <f>VLOOKUP(CurrentMtgRatesDataTable825[[#This Row],[asofdate]],I:J,2,0)</f>
        <v>0.56651090520000003</v>
      </c>
      <c r="E283" s="93">
        <f>VLOOKUP(CurrentMtgRatesDataTable825[[#This Row],[asofdate]],O:P,2,0)</f>
        <v>0</v>
      </c>
      <c r="F283" s="94">
        <f ca="1">VLOOKUP(CurrentMtgRatesDataTable825[[#This Row],[asofdate]]+1,Bloomberg!B:C,2,0)</f>
        <v>2527.5</v>
      </c>
      <c r="I283" s="18">
        <v>41438</v>
      </c>
      <c r="J283" s="88">
        <v>0.56083719949999999</v>
      </c>
      <c r="K283" s="88">
        <f>VLOOKUP(CurrentMtgRatesDataTable82527141518[[#This Row],[asofdate]],O:P,2,0)</f>
        <v>0</v>
      </c>
      <c r="L283" s="88">
        <f>VLOOKUP(CurrentMtgRatesDataTable82527141518[[#This Row],[asofdate]],S:T,2,0)</f>
        <v>1.249992E-4</v>
      </c>
      <c r="M283" s="6">
        <f ca="1">VLOOKUP(CurrentMtgRatesDataTable82527141518[[#This Row],[asofdate]]+1,Bloomberg!B:C,2,0)</f>
        <v>3214.4</v>
      </c>
      <c r="N283" s="6"/>
      <c r="O283" s="18">
        <v>41410</v>
      </c>
      <c r="P283" s="88">
        <v>0</v>
      </c>
      <c r="Q283" s="101"/>
      <c r="R283" s="101"/>
      <c r="S283" s="18">
        <v>41375</v>
      </c>
      <c r="T283" s="88">
        <v>6.9407106999999999E-3</v>
      </c>
      <c r="V283"/>
    </row>
    <row r="284" spans="2:22">
      <c r="B284" s="92">
        <v>40717</v>
      </c>
      <c r="C284" s="93">
        <v>0.59310645480000002</v>
      </c>
      <c r="D284" s="93">
        <f>VLOOKUP(CurrentMtgRatesDataTable825[[#This Row],[asofdate]],I:J,2,0)</f>
        <v>0.56197467800000001</v>
      </c>
      <c r="E284" s="93">
        <f>VLOOKUP(CurrentMtgRatesDataTable825[[#This Row],[asofdate]],O:P,2,0)</f>
        <v>0</v>
      </c>
      <c r="F284" s="94">
        <f ca="1">VLOOKUP(CurrentMtgRatesDataTable825[[#This Row],[asofdate]]+1,Bloomberg!B:C,2,0)</f>
        <v>2809.5</v>
      </c>
      <c r="I284" s="18">
        <v>41431</v>
      </c>
      <c r="J284" s="88">
        <v>0.59131864460000005</v>
      </c>
      <c r="K284" s="88">
        <f>VLOOKUP(CurrentMtgRatesDataTable82527141518[[#This Row],[asofdate]],O:P,2,0)</f>
        <v>0</v>
      </c>
      <c r="L284" s="88">
        <f>VLOOKUP(CurrentMtgRatesDataTable82527141518[[#This Row],[asofdate]],S:T,2,0)</f>
        <v>2.0488080000000001E-4</v>
      </c>
      <c r="M284" s="6">
        <f ca="1">VLOOKUP(CurrentMtgRatesDataTable82527141518[[#This Row],[asofdate]]+1,Bloomberg!B:C,2,0)</f>
        <v>3339.8</v>
      </c>
      <c r="N284" s="6"/>
      <c r="O284" s="18">
        <v>41403</v>
      </c>
      <c r="P284" s="88">
        <v>0</v>
      </c>
      <c r="Q284" s="101"/>
      <c r="R284" s="101"/>
      <c r="S284" s="18">
        <v>41368</v>
      </c>
      <c r="T284" s="88">
        <v>1.8688454E-3</v>
      </c>
      <c r="V284"/>
    </row>
    <row r="285" spans="2:22">
      <c r="B285" s="95">
        <v>40710</v>
      </c>
      <c r="C285" s="96">
        <v>0.60999447849999999</v>
      </c>
      <c r="D285" s="96">
        <f>VLOOKUP(CurrentMtgRatesDataTable825[[#This Row],[asofdate]],I:J,2,0)</f>
        <v>0.56999729939999999</v>
      </c>
      <c r="E285" s="96">
        <f>VLOOKUP(CurrentMtgRatesDataTable825[[#This Row],[asofdate]],O:P,2,0)</f>
        <v>0</v>
      </c>
      <c r="F285" s="97">
        <f ca="1">VLOOKUP(CurrentMtgRatesDataTable825[[#This Row],[asofdate]]+1,Bloomberg!B:C,2,0)</f>
        <v>2857.9</v>
      </c>
      <c r="I285" s="18">
        <v>41424</v>
      </c>
      <c r="J285" s="88">
        <v>0.63737094370000003</v>
      </c>
      <c r="K285" s="88">
        <f>VLOOKUP(CurrentMtgRatesDataTable82527141518[[#This Row],[asofdate]],O:P,2,0)</f>
        <v>0</v>
      </c>
      <c r="L285" s="88">
        <f>VLOOKUP(CurrentMtgRatesDataTable82527141518[[#This Row],[asofdate]],S:T,2,0)</f>
        <v>1.7424779999999999E-4</v>
      </c>
      <c r="M285" s="6">
        <f ca="1">VLOOKUP(CurrentMtgRatesDataTable82527141518[[#This Row],[asofdate]]+1,Bloomberg!B:C,2,0)</f>
        <v>3163.6</v>
      </c>
      <c r="N285" s="6"/>
      <c r="O285" s="18">
        <v>41396</v>
      </c>
      <c r="P285" s="88">
        <v>7.8608971E-3</v>
      </c>
      <c r="Q285" s="101"/>
      <c r="R285" s="101"/>
      <c r="S285" s="18">
        <v>41361</v>
      </c>
      <c r="T285" s="88">
        <v>9.7998170000000002E-4</v>
      </c>
      <c r="V285"/>
    </row>
    <row r="286" spans="2:22">
      <c r="B286" s="95">
        <v>40703</v>
      </c>
      <c r="C286" s="96">
        <v>0.62022243639999997</v>
      </c>
      <c r="D286" s="96">
        <f>VLOOKUP(CurrentMtgRatesDataTable825[[#This Row],[asofdate]],I:J,2,0)</f>
        <v>0.57291401109999995</v>
      </c>
      <c r="E286" s="96">
        <f>VLOOKUP(CurrentMtgRatesDataTable825[[#This Row],[asofdate]],O:P,2,0)</f>
        <v>5.7928765000000004E-3</v>
      </c>
      <c r="F286" s="97">
        <f ca="1">VLOOKUP(CurrentMtgRatesDataTable825[[#This Row],[asofdate]]+1,Bloomberg!B:C,2,0)</f>
        <v>3101.7</v>
      </c>
      <c r="I286" s="18">
        <v>41417</v>
      </c>
      <c r="J286" s="88">
        <v>0.68080591260000001</v>
      </c>
      <c r="K286" s="88">
        <f>VLOOKUP(CurrentMtgRatesDataTable82527141518[[#This Row],[asofdate]],O:P,2,0)</f>
        <v>0</v>
      </c>
      <c r="L286" s="88">
        <f>VLOOKUP(CurrentMtgRatesDataTable82527141518[[#This Row],[asofdate]],S:T,2,0)</f>
        <v>1.1954248999999999E-3</v>
      </c>
      <c r="M286" s="6">
        <f ca="1">VLOOKUP(CurrentMtgRatesDataTable82527141518[[#This Row],[asofdate]]+1,Bloomberg!B:C,2,0)</f>
        <v>3709.4</v>
      </c>
      <c r="N286" s="6"/>
      <c r="O286" s="18">
        <v>41389</v>
      </c>
      <c r="P286" s="88">
        <v>0</v>
      </c>
      <c r="Q286" s="101"/>
      <c r="R286" s="101"/>
      <c r="S286" s="18">
        <v>41354</v>
      </c>
      <c r="T286" s="88">
        <v>1.4126936E-3</v>
      </c>
      <c r="V286"/>
    </row>
    <row r="287" spans="2:22">
      <c r="B287" s="98">
        <v>40696</v>
      </c>
      <c r="C287" s="99">
        <v>0.59310645480000002</v>
      </c>
      <c r="D287" s="99">
        <f>VLOOKUP(CurrentMtgRatesDataTable825[[#This Row],[asofdate]],I:J,2,0)</f>
        <v>0.56197467800000001</v>
      </c>
      <c r="E287" s="99">
        <f>VLOOKUP(CurrentMtgRatesDataTable825[[#This Row],[asofdate]],O:P,2,0)</f>
        <v>5.3362211999999996E-3</v>
      </c>
      <c r="F287" s="100">
        <f ca="1">VLOOKUP(CurrentMtgRatesDataTable825[[#This Row],[asofdate]]+1,Bloomberg!B:C,2,0)</f>
        <v>2648</v>
      </c>
      <c r="I287" s="18">
        <v>41410</v>
      </c>
      <c r="J287" s="88">
        <v>0.71934472250000003</v>
      </c>
      <c r="K287" s="88">
        <f>VLOOKUP(CurrentMtgRatesDataTable82527141518[[#This Row],[asofdate]],O:P,2,0)</f>
        <v>0</v>
      </c>
      <c r="L287" s="88">
        <f>VLOOKUP(CurrentMtgRatesDataTable82527141518[[#This Row],[asofdate]],S:T,2,0)</f>
        <v>4.4378305E-3</v>
      </c>
      <c r="M287" s="6">
        <f ca="1">VLOOKUP(CurrentMtgRatesDataTable82527141518[[#This Row],[asofdate]]+1,Bloomberg!B:C,2,0)</f>
        <v>4241.5</v>
      </c>
      <c r="N287" s="6"/>
      <c r="O287" s="18">
        <v>41382</v>
      </c>
      <c r="P287" s="88">
        <v>2.5658018000000002E-3</v>
      </c>
      <c r="Q287" s="101"/>
      <c r="R287" s="101"/>
      <c r="S287" s="18">
        <v>41347</v>
      </c>
      <c r="T287" s="88">
        <v>7.1408029999999996E-4</v>
      </c>
      <c r="V287"/>
    </row>
    <row r="288" spans="2:22">
      <c r="B288" s="98">
        <v>40689</v>
      </c>
      <c r="C288" s="99">
        <v>0.57348259489999998</v>
      </c>
      <c r="D288" s="99">
        <f>VLOOKUP(CurrentMtgRatesDataTable825[[#This Row],[asofdate]],I:J,2,0)</f>
        <v>0.54764811759999998</v>
      </c>
      <c r="E288" s="99">
        <f>VLOOKUP(CurrentMtgRatesDataTable825[[#This Row],[asofdate]],O:P,2,0)</f>
        <v>2.1978653999999999E-3</v>
      </c>
      <c r="F288" s="100">
        <f ca="1">VLOOKUP(CurrentMtgRatesDataTable825[[#This Row],[asofdate]]+1,Bloomberg!B:C,2,0)</f>
        <v>2619.6999999999998</v>
      </c>
      <c r="I288" s="18">
        <v>41403</v>
      </c>
      <c r="J288" s="88">
        <v>0.77767292639999996</v>
      </c>
      <c r="K288" s="88">
        <f>VLOOKUP(CurrentMtgRatesDataTable82527141518[[#This Row],[asofdate]],O:P,2,0)</f>
        <v>0</v>
      </c>
      <c r="L288" s="88">
        <f>VLOOKUP(CurrentMtgRatesDataTable82527141518[[#This Row],[asofdate]],S:T,2,0)</f>
        <v>8.7258123E-3</v>
      </c>
      <c r="M288" s="6">
        <f ca="1">VLOOKUP(CurrentMtgRatesDataTable82527141518[[#This Row],[asofdate]]+1,Bloomberg!B:C,2,0)</f>
        <v>4797.2</v>
      </c>
      <c r="N288" s="6"/>
      <c r="O288" s="18">
        <v>41375</v>
      </c>
      <c r="P288" s="88">
        <v>1.5861026E-3</v>
      </c>
      <c r="Q288" s="101"/>
      <c r="R288" s="101"/>
      <c r="S288" s="18">
        <v>41340</v>
      </c>
      <c r="T288" s="88">
        <v>3.8147166999999999E-3</v>
      </c>
      <c r="V288"/>
    </row>
    <row r="289" spans="2:22">
      <c r="B289" s="98">
        <v>40682</v>
      </c>
      <c r="C289" s="99">
        <v>0.5705515565</v>
      </c>
      <c r="D289" s="99">
        <f>VLOOKUP(CurrentMtgRatesDataTable825[[#This Row],[asofdate]],I:J,2,0)</f>
        <v>0.54603826860000004</v>
      </c>
      <c r="E289" s="99">
        <f>VLOOKUP(CurrentMtgRatesDataTable825[[#This Row],[asofdate]],O:P,2,0)</f>
        <v>2.0857753999999999E-3</v>
      </c>
      <c r="F289" s="100">
        <f ca="1">VLOOKUP(CurrentMtgRatesDataTable825[[#This Row],[asofdate]]+1,Bloomberg!B:C,2,0)</f>
        <v>2764.6</v>
      </c>
      <c r="I289" s="18">
        <v>41396</v>
      </c>
      <c r="J289" s="88">
        <v>0.79251870479999997</v>
      </c>
      <c r="K289" s="88">
        <f>VLOOKUP(CurrentMtgRatesDataTable82527141518[[#This Row],[asofdate]],O:P,2,0)</f>
        <v>7.8608971E-3</v>
      </c>
      <c r="L289" s="88">
        <f>VLOOKUP(CurrentMtgRatesDataTable82527141518[[#This Row],[asofdate]],S:T,2,0)</f>
        <v>0.81360955030000004</v>
      </c>
      <c r="M289" s="6">
        <f ca="1">VLOOKUP(CurrentMtgRatesDataTable82527141518[[#This Row],[asofdate]]+1,Bloomberg!B:C,2,0)</f>
        <v>5279.9</v>
      </c>
      <c r="N289" s="6"/>
      <c r="O289" s="18">
        <v>41368</v>
      </c>
      <c r="P289" s="88">
        <v>0</v>
      </c>
      <c r="Q289" s="101"/>
      <c r="R289" s="101"/>
      <c r="S289" s="18">
        <v>41333</v>
      </c>
      <c r="T289" s="88">
        <v>1.4245869999999999E-3</v>
      </c>
      <c r="V289"/>
    </row>
    <row r="290" spans="2:22">
      <c r="B290" s="98">
        <v>40675</v>
      </c>
      <c r="C290" s="99">
        <v>0.56672128300000002</v>
      </c>
      <c r="D290" s="99">
        <f>VLOOKUP(CurrentMtgRatesDataTable825[[#This Row],[asofdate]],I:J,2,0)</f>
        <v>0.54221432739999997</v>
      </c>
      <c r="E290" s="99">
        <f>VLOOKUP(CurrentMtgRatesDataTable825[[#This Row],[asofdate]],O:P,2,0)</f>
        <v>1.9728544000000002E-3</v>
      </c>
      <c r="F290" s="100">
        <f ca="1">VLOOKUP(CurrentMtgRatesDataTable825[[#This Row],[asofdate]]+1,Bloomberg!B:C,2,0)</f>
        <v>2742.2</v>
      </c>
      <c r="I290" s="18">
        <v>41389</v>
      </c>
      <c r="J290" s="88">
        <v>0.79320287570000003</v>
      </c>
      <c r="K290" s="88">
        <f>VLOOKUP(CurrentMtgRatesDataTable82527141518[[#This Row],[asofdate]],O:P,2,0)</f>
        <v>0</v>
      </c>
      <c r="L290" s="88">
        <f>VLOOKUP(CurrentMtgRatesDataTable82527141518[[#This Row],[asofdate]],S:T,2,0)</f>
        <v>7.0176487999999999E-3</v>
      </c>
      <c r="M290" s="6">
        <f ca="1">VLOOKUP(CurrentMtgRatesDataTable82527141518[[#This Row],[asofdate]]+1,Bloomberg!B:C,2,0)</f>
        <v>4854.1000000000004</v>
      </c>
      <c r="N290" s="6"/>
      <c r="O290" s="18">
        <v>41361</v>
      </c>
      <c r="P290" s="88">
        <v>0</v>
      </c>
      <c r="Q290" s="101"/>
      <c r="R290" s="101"/>
      <c r="S290" s="18">
        <v>41326</v>
      </c>
      <c r="T290" s="88">
        <v>3.3442260000000001E-4</v>
      </c>
      <c r="V290"/>
    </row>
    <row r="291" spans="2:22">
      <c r="B291" s="98">
        <v>40668</v>
      </c>
      <c r="C291" s="99">
        <v>0.55010519989999995</v>
      </c>
      <c r="D291" s="99">
        <f>VLOOKUP(CurrentMtgRatesDataTable825[[#This Row],[asofdate]],I:J,2,0)</f>
        <v>0.53113117949999999</v>
      </c>
      <c r="E291" s="99">
        <f>VLOOKUP(CurrentMtgRatesDataTable825[[#This Row],[asofdate]],O:P,2,0)</f>
        <v>1.4407029E-3</v>
      </c>
      <c r="F291" s="100">
        <f ca="1">VLOOKUP(CurrentMtgRatesDataTable825[[#This Row],[asofdate]]+1,Bloomberg!B:C,2,0)</f>
        <v>2414.9</v>
      </c>
      <c r="I291" s="18">
        <v>41382</v>
      </c>
      <c r="J291" s="88">
        <v>0.79694583320000001</v>
      </c>
      <c r="K291" s="88">
        <f>VLOOKUP(CurrentMtgRatesDataTable82527141518[[#This Row],[asofdate]],O:P,2,0)</f>
        <v>2.5658018000000002E-3</v>
      </c>
      <c r="L291" s="88">
        <f>VLOOKUP(CurrentMtgRatesDataTable82527141518[[#This Row],[asofdate]],S:T,2,0)</f>
        <v>9.5136501999999994E-3</v>
      </c>
      <c r="M291" s="6">
        <f ca="1">VLOOKUP(CurrentMtgRatesDataTable82527141518[[#This Row],[asofdate]]+1,Bloomberg!B:C,2,0)</f>
        <v>4672.1000000000004</v>
      </c>
      <c r="N291" s="6"/>
      <c r="O291" s="18">
        <v>41354</v>
      </c>
      <c r="P291" s="88">
        <v>0</v>
      </c>
      <c r="Q291" s="101"/>
      <c r="R291" s="101"/>
      <c r="S291" s="18">
        <v>41319</v>
      </c>
      <c r="T291" s="88">
        <v>8.7137320000000001E-4</v>
      </c>
      <c r="V291"/>
    </row>
    <row r="292" spans="2:22">
      <c r="B292" s="98">
        <v>40661</v>
      </c>
      <c r="C292" s="99">
        <v>0.53473553439999999</v>
      </c>
      <c r="D292" s="99">
        <f>VLOOKUP(CurrentMtgRatesDataTable825[[#This Row],[asofdate]],I:J,2,0)</f>
        <v>0.52581130980000002</v>
      </c>
      <c r="E292" s="99">
        <f>VLOOKUP(CurrentMtgRatesDataTable825[[#This Row],[asofdate]],O:P,2,0)</f>
        <v>0</v>
      </c>
      <c r="F292" s="100">
        <f ca="1">VLOOKUP(CurrentMtgRatesDataTable825[[#This Row],[asofdate]]+1,Bloomberg!B:C,2,0)</f>
        <v>2220.1</v>
      </c>
      <c r="I292" s="18">
        <v>41375</v>
      </c>
      <c r="J292" s="88">
        <v>0.77689333410000005</v>
      </c>
      <c r="K292" s="88">
        <f>VLOOKUP(CurrentMtgRatesDataTable82527141518[[#This Row],[asofdate]],O:P,2,0)</f>
        <v>1.5861026E-3</v>
      </c>
      <c r="L292" s="88">
        <f>VLOOKUP(CurrentMtgRatesDataTable82527141518[[#This Row],[asofdate]],S:T,2,0)</f>
        <v>6.9407106999999999E-3</v>
      </c>
      <c r="M292" s="6">
        <f ca="1">VLOOKUP(CurrentMtgRatesDataTable82527141518[[#This Row],[asofdate]]+1,Bloomberg!B:C,2,0)</f>
        <v>4726.8999999999996</v>
      </c>
      <c r="N292" s="6"/>
      <c r="O292" s="18">
        <v>41347</v>
      </c>
      <c r="P292" s="88">
        <v>0</v>
      </c>
      <c r="Q292" s="101"/>
      <c r="R292" s="101"/>
      <c r="S292" s="18">
        <v>41312</v>
      </c>
      <c r="T292" s="88">
        <v>1.3334338E-3</v>
      </c>
      <c r="V292"/>
    </row>
    <row r="293" spans="2:22">
      <c r="B293" s="98">
        <v>40654</v>
      </c>
      <c r="C293" s="99">
        <v>0.52727126680000003</v>
      </c>
      <c r="D293" s="99">
        <f>VLOOKUP(CurrentMtgRatesDataTable825[[#This Row],[asofdate]],I:J,2,0)</f>
        <v>0.52310990459999995</v>
      </c>
      <c r="E293" s="99">
        <f>VLOOKUP(CurrentMtgRatesDataTable825[[#This Row],[asofdate]],O:P,2,0)</f>
        <v>0</v>
      </c>
      <c r="F293" s="100">
        <f ca="1">VLOOKUP(CurrentMtgRatesDataTable825[[#This Row],[asofdate]]+1,Bloomberg!B:C,2,0)</f>
        <v>2091.4</v>
      </c>
      <c r="I293" s="18">
        <v>41368</v>
      </c>
      <c r="J293" s="88">
        <v>0.70768632149999999</v>
      </c>
      <c r="K293" s="88">
        <f>VLOOKUP(CurrentMtgRatesDataTable82527141518[[#This Row],[asofdate]],O:P,2,0)</f>
        <v>0</v>
      </c>
      <c r="L293" s="88">
        <f>VLOOKUP(CurrentMtgRatesDataTable82527141518[[#This Row],[asofdate]],S:T,2,0)</f>
        <v>1.8688454E-3</v>
      </c>
      <c r="M293" s="6">
        <f ca="1">VLOOKUP(CurrentMtgRatesDataTable82527141518[[#This Row],[asofdate]]+1,Bloomberg!B:C,2,0)</f>
        <v>4528.8999999999996</v>
      </c>
      <c r="N293" s="6"/>
      <c r="O293" s="18">
        <v>41340</v>
      </c>
      <c r="P293" s="88">
        <v>2.9706090000000001E-4</v>
      </c>
      <c r="Q293" s="101"/>
      <c r="R293" s="101"/>
      <c r="S293" s="18">
        <v>41305</v>
      </c>
      <c r="T293" s="88">
        <v>1.2742845E-3</v>
      </c>
      <c r="V293"/>
    </row>
    <row r="294" spans="2:22">
      <c r="B294" s="98">
        <v>40647</v>
      </c>
      <c r="C294" s="99">
        <v>0.49577828569999999</v>
      </c>
      <c r="D294" s="99">
        <f>VLOOKUP(CurrentMtgRatesDataTable825[[#This Row],[asofdate]],I:J,2,0)</f>
        <v>0.50364009850000002</v>
      </c>
      <c r="E294" s="99">
        <f>VLOOKUP(CurrentMtgRatesDataTable825[[#This Row],[asofdate]],O:P,2,0)</f>
        <v>0</v>
      </c>
      <c r="F294" s="100">
        <f ca="1">VLOOKUP(CurrentMtgRatesDataTable825[[#This Row],[asofdate]]+1,Bloomberg!B:C,2,0)</f>
        <v>2065.3000000000002</v>
      </c>
      <c r="I294" s="18">
        <v>41361</v>
      </c>
      <c r="J294" s="88">
        <v>0.71863117889999995</v>
      </c>
      <c r="K294" s="88">
        <f>VLOOKUP(CurrentMtgRatesDataTable82527141518[[#This Row],[asofdate]],O:P,2,0)</f>
        <v>0</v>
      </c>
      <c r="L294" s="88">
        <f>VLOOKUP(CurrentMtgRatesDataTable82527141518[[#This Row],[asofdate]],S:T,2,0)</f>
        <v>9.7998170000000002E-4</v>
      </c>
      <c r="M294" s="6">
        <f ca="1">VLOOKUP(CurrentMtgRatesDataTable82527141518[[#This Row],[asofdate]]+1,Bloomberg!B:C,2,0)</f>
        <v>4119.2</v>
      </c>
      <c r="N294" s="6"/>
      <c r="O294" s="18">
        <v>41333</v>
      </c>
      <c r="P294" s="88">
        <v>0</v>
      </c>
      <c r="Q294" s="101"/>
      <c r="R294" s="101"/>
      <c r="S294" s="18">
        <v>41298</v>
      </c>
      <c r="T294" s="88">
        <v>2.8666654000000001E-3</v>
      </c>
      <c r="V294"/>
    </row>
    <row r="295" spans="2:22">
      <c r="B295" s="98">
        <v>40640</v>
      </c>
      <c r="C295" s="99">
        <v>0.50344599359999997</v>
      </c>
      <c r="D295" s="99">
        <f>VLOOKUP(CurrentMtgRatesDataTable825[[#This Row],[asofdate]],I:J,2,0)</f>
        <v>0.50728918290000002</v>
      </c>
      <c r="E295" s="99">
        <f>VLOOKUP(CurrentMtgRatesDataTable825[[#This Row],[asofdate]],O:P,2,0)</f>
        <v>0</v>
      </c>
      <c r="F295" s="100">
        <f ca="1">VLOOKUP(CurrentMtgRatesDataTable825[[#This Row],[asofdate]]+1,Bloomberg!B:C,2,0)</f>
        <v>2010.6</v>
      </c>
      <c r="I295" s="18">
        <v>41354</v>
      </c>
      <c r="J295" s="88">
        <v>0.72909402059999995</v>
      </c>
      <c r="K295" s="88">
        <f>VLOOKUP(CurrentMtgRatesDataTable82527141518[[#This Row],[asofdate]],O:P,2,0)</f>
        <v>0</v>
      </c>
      <c r="L295" s="88">
        <f>VLOOKUP(CurrentMtgRatesDataTable82527141518[[#This Row],[asofdate]],S:T,2,0)</f>
        <v>1.4126936E-3</v>
      </c>
      <c r="M295" s="6">
        <f ca="1">VLOOKUP(CurrentMtgRatesDataTable82527141518[[#This Row],[asofdate]]+1,Bloomberg!B:C,2,0)</f>
        <v>4412.8999999999996</v>
      </c>
      <c r="N295" s="6"/>
      <c r="O295" s="18">
        <v>41326</v>
      </c>
      <c r="P295" s="88">
        <v>0</v>
      </c>
      <c r="Q295" s="101"/>
      <c r="R295" s="101"/>
      <c r="S295" s="18">
        <v>41291</v>
      </c>
      <c r="T295" s="88">
        <v>0.88850224960000002</v>
      </c>
      <c r="V295"/>
    </row>
    <row r="296" spans="2:22">
      <c r="B296" s="98">
        <v>40633</v>
      </c>
      <c r="C296" s="99">
        <v>0.52375787650000005</v>
      </c>
      <c r="D296" s="99">
        <f>VLOOKUP(CurrentMtgRatesDataTable825[[#This Row],[asofdate]],I:J,2,0)</f>
        <v>0.52237835990000003</v>
      </c>
      <c r="E296" s="99">
        <f>VLOOKUP(CurrentMtgRatesDataTable825[[#This Row],[asofdate]],O:P,2,0)</f>
        <v>0</v>
      </c>
      <c r="F296" s="100">
        <f ca="1">VLOOKUP(CurrentMtgRatesDataTable825[[#This Row],[asofdate]]+1,Bloomberg!B:C,2,0)</f>
        <v>2194.4</v>
      </c>
      <c r="I296" s="18">
        <v>41347</v>
      </c>
      <c r="J296" s="88">
        <v>0.70505270409999998</v>
      </c>
      <c r="K296" s="88">
        <f>VLOOKUP(CurrentMtgRatesDataTable82527141518[[#This Row],[asofdate]],O:P,2,0)</f>
        <v>0</v>
      </c>
      <c r="L296" s="88">
        <f>VLOOKUP(CurrentMtgRatesDataTable82527141518[[#This Row],[asofdate]],S:T,2,0)</f>
        <v>7.1408029999999996E-4</v>
      </c>
      <c r="M296" s="6">
        <f ca="1">VLOOKUP(CurrentMtgRatesDataTable82527141518[[#This Row],[asofdate]]+1,Bloomberg!B:C,2,0)</f>
        <v>4111.3</v>
      </c>
      <c r="N296" s="6"/>
      <c r="O296" s="18">
        <v>41319</v>
      </c>
      <c r="P296" s="88">
        <v>0</v>
      </c>
      <c r="Q296" s="101"/>
      <c r="R296" s="101"/>
      <c r="S296" s="18">
        <v>41284</v>
      </c>
      <c r="T296" s="88">
        <v>5.0019145999999999E-3</v>
      </c>
      <c r="V296"/>
    </row>
    <row r="297" spans="2:22">
      <c r="B297" s="98">
        <v>40626</v>
      </c>
      <c r="C297" s="99">
        <v>0.53978755850000004</v>
      </c>
      <c r="D297" s="99">
        <f>VLOOKUP(CurrentMtgRatesDataTable825[[#This Row],[asofdate]],I:J,2,0)</f>
        <v>0.53454574259999998</v>
      </c>
      <c r="E297" s="99">
        <f>VLOOKUP(CurrentMtgRatesDataTable825[[#This Row],[asofdate]],O:P,2,0)</f>
        <v>0</v>
      </c>
      <c r="F297" s="100">
        <f ca="1">VLOOKUP(CurrentMtgRatesDataTable825[[#This Row],[asofdate]]+1,Bloomberg!B:C,2,0)</f>
        <v>2350.6999999999998</v>
      </c>
      <c r="I297" s="18">
        <v>41340</v>
      </c>
      <c r="J297" s="88">
        <v>0.74627659830000004</v>
      </c>
      <c r="K297" s="88">
        <f>VLOOKUP(CurrentMtgRatesDataTable82527141518[[#This Row],[asofdate]],O:P,2,0)</f>
        <v>2.9706090000000001E-4</v>
      </c>
      <c r="L297" s="88">
        <f>VLOOKUP(CurrentMtgRatesDataTable82527141518[[#This Row],[asofdate]],S:T,2,0)</f>
        <v>3.8147166999999999E-3</v>
      </c>
      <c r="M297" s="6">
        <f ca="1">VLOOKUP(CurrentMtgRatesDataTable82527141518[[#This Row],[asofdate]]+1,Bloomberg!B:C,2,0)</f>
        <v>4485.2</v>
      </c>
      <c r="N297" s="6"/>
      <c r="O297" s="18">
        <v>41312</v>
      </c>
      <c r="P297" s="88">
        <v>0</v>
      </c>
      <c r="Q297" s="101"/>
      <c r="R297" s="101"/>
      <c r="S297" s="18">
        <v>41277</v>
      </c>
      <c r="T297" s="88">
        <v>0.89544960439999999</v>
      </c>
      <c r="V297"/>
    </row>
    <row r="298" spans="2:22">
      <c r="B298" s="98">
        <v>40619</v>
      </c>
      <c r="C298" s="99">
        <v>0.56208097560000003</v>
      </c>
      <c r="D298" s="99">
        <f>VLOOKUP(CurrentMtgRatesDataTable825[[#This Row],[asofdate]],I:J,2,0)</f>
        <v>0.54454366379999997</v>
      </c>
      <c r="E298" s="99">
        <f>VLOOKUP(CurrentMtgRatesDataTable825[[#This Row],[asofdate]],O:P,2,0)</f>
        <v>1.41212E-5</v>
      </c>
      <c r="F298" s="100">
        <f ca="1">VLOOKUP(CurrentMtgRatesDataTable825[[#This Row],[asofdate]]+1,Bloomberg!B:C,2,0)</f>
        <v>2620.8000000000002</v>
      </c>
      <c r="I298" s="18">
        <v>41333</v>
      </c>
      <c r="J298" s="88">
        <v>0.76272506819999997</v>
      </c>
      <c r="K298" s="88">
        <f>VLOOKUP(CurrentMtgRatesDataTable82527141518[[#This Row],[asofdate]],O:P,2,0)</f>
        <v>0</v>
      </c>
      <c r="L298" s="88">
        <f>VLOOKUP(CurrentMtgRatesDataTable82527141518[[#This Row],[asofdate]],S:T,2,0)</f>
        <v>1.4245869999999999E-3</v>
      </c>
      <c r="M298" s="6">
        <f ca="1">VLOOKUP(CurrentMtgRatesDataTable82527141518[[#This Row],[asofdate]]+1,Bloomberg!B:C,2,0)</f>
        <v>4724.8999999999996</v>
      </c>
      <c r="N298" s="6"/>
      <c r="O298" s="18">
        <v>41305</v>
      </c>
      <c r="P298" s="88">
        <v>0</v>
      </c>
      <c r="Q298" s="101"/>
      <c r="R298" s="101"/>
      <c r="S298" s="18">
        <v>41270</v>
      </c>
      <c r="T298" s="88">
        <v>0.92945619069999996</v>
      </c>
      <c r="V298"/>
    </row>
    <row r="299" spans="2:22">
      <c r="B299" s="98">
        <v>40612</v>
      </c>
      <c r="C299" s="99">
        <v>0.5148197189</v>
      </c>
      <c r="D299" s="99">
        <f>VLOOKUP(CurrentMtgRatesDataTable825[[#This Row],[asofdate]],I:J,2,0)</f>
        <v>0.51807053449999996</v>
      </c>
      <c r="E299" s="99">
        <f>VLOOKUP(CurrentMtgRatesDataTable825[[#This Row],[asofdate]],O:P,2,0)</f>
        <v>0</v>
      </c>
      <c r="F299" s="100">
        <f ca="1">VLOOKUP(CurrentMtgRatesDataTable825[[#This Row],[asofdate]]+1,Bloomberg!B:C,2,0)</f>
        <v>2563.6</v>
      </c>
      <c r="I299" s="18">
        <v>41326</v>
      </c>
      <c r="J299" s="88">
        <v>0.74383609159999997</v>
      </c>
      <c r="K299" s="88">
        <f>VLOOKUP(CurrentMtgRatesDataTable82527141518[[#This Row],[asofdate]],O:P,2,0)</f>
        <v>0</v>
      </c>
      <c r="L299" s="88">
        <f>VLOOKUP(CurrentMtgRatesDataTable82527141518[[#This Row],[asofdate]],S:T,2,0)</f>
        <v>3.3442260000000001E-4</v>
      </c>
      <c r="M299" s="6">
        <f ca="1">VLOOKUP(CurrentMtgRatesDataTable82527141518[[#This Row],[asofdate]]+1,Bloomberg!B:C,2,0)</f>
        <v>4136.3</v>
      </c>
      <c r="N299" s="6"/>
      <c r="O299" s="18">
        <v>41298</v>
      </c>
      <c r="P299" s="88">
        <v>0</v>
      </c>
      <c r="Q299" s="101"/>
      <c r="R299" s="101"/>
      <c r="S299" s="18">
        <v>41263</v>
      </c>
      <c r="T299" s="88">
        <v>0.92642668650000004</v>
      </c>
      <c r="V299"/>
    </row>
    <row r="300" spans="2:22">
      <c r="B300" s="98">
        <v>40605</v>
      </c>
      <c r="C300" s="99">
        <v>0.51942399480000001</v>
      </c>
      <c r="D300" s="99">
        <f>VLOOKUP(CurrentMtgRatesDataTable825[[#This Row],[asofdate]],I:J,2,0)</f>
        <v>0.52047797910000004</v>
      </c>
      <c r="E300" s="99">
        <f>VLOOKUP(CurrentMtgRatesDataTable825[[#This Row],[asofdate]],O:P,2,0)</f>
        <v>0</v>
      </c>
      <c r="F300" s="100">
        <f ca="1">VLOOKUP(CurrentMtgRatesDataTable825[[#This Row],[asofdate]]+1,Bloomberg!B:C,2,0)</f>
        <v>2539.4</v>
      </c>
      <c r="I300" s="18">
        <v>41319</v>
      </c>
      <c r="J300" s="88">
        <v>0.7547700705</v>
      </c>
      <c r="K300" s="88">
        <f>VLOOKUP(CurrentMtgRatesDataTable82527141518[[#This Row],[asofdate]],O:P,2,0)</f>
        <v>0</v>
      </c>
      <c r="L300" s="88">
        <f>VLOOKUP(CurrentMtgRatesDataTable82527141518[[#This Row],[asofdate]],S:T,2,0)</f>
        <v>8.7137320000000001E-4</v>
      </c>
      <c r="M300" s="6">
        <f ca="1">VLOOKUP(CurrentMtgRatesDataTable82527141518[[#This Row],[asofdate]]+1,Bloomberg!B:C,2,0)</f>
        <v>4261.8</v>
      </c>
      <c r="N300" s="6"/>
      <c r="O300" s="18">
        <v>41291</v>
      </c>
      <c r="P300" s="88">
        <v>0</v>
      </c>
      <c r="Q300" s="101"/>
      <c r="R300" s="101"/>
      <c r="S300" s="18">
        <v>41256</v>
      </c>
      <c r="T300" s="88">
        <v>0.93299427479999997</v>
      </c>
      <c r="V300"/>
    </row>
    <row r="301" spans="2:22">
      <c r="B301" s="98">
        <v>40598</v>
      </c>
      <c r="C301" s="99">
        <v>0.508720438</v>
      </c>
      <c r="D301" s="99">
        <f>VLOOKUP(CurrentMtgRatesDataTable825[[#This Row],[asofdate]],I:J,2,0)</f>
        <v>0.51506264049999995</v>
      </c>
      <c r="E301" s="99">
        <f>VLOOKUP(CurrentMtgRatesDataTable825[[#This Row],[asofdate]],O:P,2,0)</f>
        <v>0</v>
      </c>
      <c r="F301" s="100">
        <f ca="1">VLOOKUP(CurrentMtgRatesDataTable825[[#This Row],[asofdate]]+1,Bloomberg!B:C,2,0)</f>
        <v>2155.5</v>
      </c>
      <c r="I301" s="18">
        <v>41312</v>
      </c>
      <c r="J301" s="88">
        <v>0.7547700705</v>
      </c>
      <c r="K301" s="88">
        <f>VLOOKUP(CurrentMtgRatesDataTable82527141518[[#This Row],[asofdate]],O:P,2,0)</f>
        <v>0</v>
      </c>
      <c r="L301" s="88">
        <f>VLOOKUP(CurrentMtgRatesDataTable82527141518[[#This Row],[asofdate]],S:T,2,0)</f>
        <v>1.3334338E-3</v>
      </c>
      <c r="M301" s="6">
        <f ca="1">VLOOKUP(CurrentMtgRatesDataTable82527141518[[#This Row],[asofdate]]+1,Bloomberg!B:C,2,0)</f>
        <v>4284.3</v>
      </c>
      <c r="N301" s="6"/>
      <c r="O301" s="18">
        <v>41284</v>
      </c>
      <c r="P301" s="88">
        <v>0</v>
      </c>
      <c r="Q301" s="101"/>
      <c r="R301" s="101"/>
      <c r="S301" s="18">
        <v>41249</v>
      </c>
      <c r="T301" s="88">
        <v>0.93076775830000003</v>
      </c>
      <c r="V301"/>
    </row>
    <row r="302" spans="2:22">
      <c r="B302" s="98">
        <v>40591</v>
      </c>
      <c r="C302" s="99">
        <v>0.47639406890000002</v>
      </c>
      <c r="D302" s="99">
        <f>VLOOKUP(CurrentMtgRatesDataTable825[[#This Row],[asofdate]],I:J,2,0)</f>
        <v>0.48401341949999999</v>
      </c>
      <c r="E302" s="99">
        <f>VLOOKUP(CurrentMtgRatesDataTable825[[#This Row],[asofdate]],O:P,2,0)</f>
        <v>0</v>
      </c>
      <c r="F302" s="100">
        <f ca="1">VLOOKUP(CurrentMtgRatesDataTable825[[#This Row],[asofdate]]+1,Bloomberg!B:C,2,0)</f>
        <v>2325.3000000000002</v>
      </c>
      <c r="I302" s="18">
        <v>41305</v>
      </c>
      <c r="J302" s="88">
        <v>0.78743165179999997</v>
      </c>
      <c r="K302" s="88">
        <f>VLOOKUP(CurrentMtgRatesDataTable82527141518[[#This Row],[asofdate]],O:P,2,0)</f>
        <v>0</v>
      </c>
      <c r="L302" s="88">
        <f>VLOOKUP(CurrentMtgRatesDataTable82527141518[[#This Row],[asofdate]],S:T,2,0)</f>
        <v>1.2742845E-3</v>
      </c>
      <c r="M302" s="6">
        <f ca="1">VLOOKUP(CurrentMtgRatesDataTable82527141518[[#This Row],[asofdate]]+1,Bloomberg!B:C,2,0)</f>
        <v>4579</v>
      </c>
      <c r="N302" s="6"/>
      <c r="O302" s="18">
        <v>41277</v>
      </c>
      <c r="P302" s="88">
        <v>0</v>
      </c>
      <c r="Q302" s="101"/>
      <c r="R302" s="101"/>
      <c r="S302" s="18">
        <v>41242</v>
      </c>
      <c r="T302" s="88">
        <v>0.94703350890000004</v>
      </c>
      <c r="V302"/>
    </row>
    <row r="303" spans="2:22">
      <c r="B303" s="98">
        <v>40584</v>
      </c>
      <c r="C303" s="99">
        <v>0.45403412139999999</v>
      </c>
      <c r="D303" s="99">
        <f>VLOOKUP(CurrentMtgRatesDataTable825[[#This Row],[asofdate]],I:J,2,0)</f>
        <v>0.46375610119999999</v>
      </c>
      <c r="E303" s="99">
        <f>VLOOKUP(CurrentMtgRatesDataTable825[[#This Row],[asofdate]],O:P,2,0)</f>
        <v>0</v>
      </c>
      <c r="F303" s="100">
        <f ca="1">VLOOKUP(CurrentMtgRatesDataTable825[[#This Row],[asofdate]]+1,Bloomberg!B:C,2,0)</f>
        <v>1953.2</v>
      </c>
      <c r="I303" s="18">
        <v>41298</v>
      </c>
      <c r="J303" s="88">
        <v>0.86285938809999996</v>
      </c>
      <c r="K303" s="88">
        <f>VLOOKUP(CurrentMtgRatesDataTable82527141518[[#This Row],[asofdate]],O:P,2,0)</f>
        <v>0</v>
      </c>
      <c r="L303" s="88">
        <f>VLOOKUP(CurrentMtgRatesDataTable82527141518[[#This Row],[asofdate]],S:T,2,0)</f>
        <v>2.8666654000000001E-3</v>
      </c>
      <c r="M303" s="6">
        <f ca="1">VLOOKUP(CurrentMtgRatesDataTable82527141518[[#This Row],[asofdate]]+1,Bloomberg!B:C,2,0)</f>
        <v>4433.6000000000004</v>
      </c>
      <c r="N303" s="6"/>
      <c r="O303" s="18">
        <v>41270</v>
      </c>
      <c r="P303" s="88">
        <v>0</v>
      </c>
      <c r="Q303" s="101"/>
      <c r="R303" s="101"/>
      <c r="S303" s="18">
        <v>41234</v>
      </c>
      <c r="T303" s="88">
        <v>0.95117179910000005</v>
      </c>
      <c r="V303"/>
    </row>
    <row r="304" spans="2:22">
      <c r="B304" s="98">
        <v>40577</v>
      </c>
      <c r="C304" s="99">
        <v>0.5489494976</v>
      </c>
      <c r="D304" s="99">
        <f>VLOOKUP(CurrentMtgRatesDataTable825[[#This Row],[asofdate]],I:J,2,0)</f>
        <v>0.54338459610000001</v>
      </c>
      <c r="E304" s="99">
        <f>VLOOKUP(CurrentMtgRatesDataTable825[[#This Row],[asofdate]],O:P,2,0)</f>
        <v>0</v>
      </c>
      <c r="F304" s="100">
        <f ca="1">VLOOKUP(CurrentMtgRatesDataTable825[[#This Row],[asofdate]]+1,Bloomberg!B:C,2,0)</f>
        <v>2190.4</v>
      </c>
      <c r="I304" s="18">
        <v>41291</v>
      </c>
      <c r="J304" s="88">
        <v>0.87397197670000004</v>
      </c>
      <c r="K304" s="88">
        <f>VLOOKUP(CurrentMtgRatesDataTable82527141518[[#This Row],[asofdate]],O:P,2,0)</f>
        <v>0</v>
      </c>
      <c r="L304" s="88">
        <f>VLOOKUP(CurrentMtgRatesDataTable82527141518[[#This Row],[asofdate]],S:T,2,0)</f>
        <v>0.88850224960000002</v>
      </c>
      <c r="M304" s="6">
        <f ca="1">VLOOKUP(CurrentMtgRatesDataTable82527141518[[#This Row],[asofdate]]+1,Bloomberg!B:C,2,0)</f>
        <v>4937.3999999999996</v>
      </c>
      <c r="N304" s="6"/>
      <c r="O304" s="18">
        <v>41263</v>
      </c>
      <c r="P304" s="88">
        <v>0</v>
      </c>
      <c r="Q304" s="101"/>
      <c r="R304" s="101"/>
      <c r="S304" s="18">
        <v>41228</v>
      </c>
      <c r="T304" s="88">
        <v>0.94764473760000001</v>
      </c>
      <c r="V304"/>
    </row>
    <row r="305" spans="2:22">
      <c r="B305" s="98">
        <v>40570</v>
      </c>
      <c r="C305" s="99">
        <v>0.58888948990000001</v>
      </c>
      <c r="D305" s="99">
        <f>VLOOKUP(CurrentMtgRatesDataTable825[[#This Row],[asofdate]],I:J,2,0)</f>
        <v>0.56878827759999995</v>
      </c>
      <c r="E305" s="99">
        <f>VLOOKUP(CurrentMtgRatesDataTable825[[#This Row],[asofdate]],O:P,2,0)</f>
        <v>0</v>
      </c>
      <c r="F305" s="100">
        <f ca="1">VLOOKUP(CurrentMtgRatesDataTable825[[#This Row],[asofdate]]+1,Bloomberg!B:C,2,0)</f>
        <v>2371.1</v>
      </c>
      <c r="I305" s="18">
        <v>41284</v>
      </c>
      <c r="J305" s="88">
        <v>0.8688248542</v>
      </c>
      <c r="K305" s="88">
        <f>VLOOKUP(CurrentMtgRatesDataTable82527141518[[#This Row],[asofdate]],O:P,2,0)</f>
        <v>0</v>
      </c>
      <c r="L305" s="88">
        <f>VLOOKUP(CurrentMtgRatesDataTable82527141518[[#This Row],[asofdate]],S:T,2,0)</f>
        <v>5.0019145999999999E-3</v>
      </c>
      <c r="M305" s="6">
        <f ca="1">VLOOKUP(CurrentMtgRatesDataTable82527141518[[#This Row],[asofdate]]+1,Bloomberg!B:C,2,0)</f>
        <v>4554.3999999999996</v>
      </c>
      <c r="N305" s="6"/>
      <c r="O305" s="18">
        <v>41256</v>
      </c>
      <c r="P305" s="88">
        <v>0</v>
      </c>
      <c r="Q305" s="101"/>
      <c r="R305" s="101"/>
      <c r="S305" s="18">
        <v>41221</v>
      </c>
      <c r="T305" s="88">
        <v>0.93751383690000001</v>
      </c>
      <c r="V305"/>
    </row>
    <row r="306" spans="2:22">
      <c r="B306" s="98">
        <v>40563</v>
      </c>
      <c r="C306" s="99">
        <v>0.60501972319999997</v>
      </c>
      <c r="D306" s="99">
        <f>VLOOKUP(CurrentMtgRatesDataTable825[[#This Row],[asofdate]],I:J,2,0)</f>
        <v>0.5766237595</v>
      </c>
      <c r="E306" s="99">
        <f>VLOOKUP(CurrentMtgRatesDataTable825[[#This Row],[asofdate]],O:P,2,0)</f>
        <v>0</v>
      </c>
      <c r="F306" s="100">
        <f ca="1">VLOOKUP(CurrentMtgRatesDataTable825[[#This Row],[asofdate]]+1,Bloomberg!B:C,2,0)</f>
        <v>2129.6999999999998</v>
      </c>
      <c r="I306" s="18">
        <v>41277</v>
      </c>
      <c r="J306" s="88">
        <v>0.88091727740000003</v>
      </c>
      <c r="K306" s="88">
        <f>VLOOKUP(CurrentMtgRatesDataTable82527141518[[#This Row],[asofdate]],O:P,2,0)</f>
        <v>0</v>
      </c>
      <c r="L306" s="88">
        <f>VLOOKUP(CurrentMtgRatesDataTable82527141518[[#This Row],[asofdate]],S:T,2,0)</f>
        <v>0.89544960439999999</v>
      </c>
      <c r="M306" s="6">
        <f ca="1">VLOOKUP(CurrentMtgRatesDataTable82527141518[[#This Row],[asofdate]]+1,Bloomberg!B:C,2,0)</f>
        <v>3896.4</v>
      </c>
      <c r="N306" s="6"/>
      <c r="O306" s="18">
        <v>41249</v>
      </c>
      <c r="P306" s="88">
        <v>0</v>
      </c>
      <c r="Q306" s="101"/>
      <c r="R306" s="101"/>
      <c r="S306" s="18">
        <v>41214</v>
      </c>
      <c r="T306" s="88">
        <v>0.94063017010000005</v>
      </c>
      <c r="V306"/>
    </row>
    <row r="307" spans="2:22">
      <c r="B307" s="98">
        <v>40556</v>
      </c>
      <c r="C307" s="99">
        <v>0.6205579832</v>
      </c>
      <c r="D307" s="99">
        <f>VLOOKUP(CurrentMtgRatesDataTable825[[#This Row],[asofdate]],I:J,2,0)</f>
        <v>0.58529572480000003</v>
      </c>
      <c r="E307" s="99">
        <f>VLOOKUP(CurrentMtgRatesDataTable825[[#This Row],[asofdate]],O:P,2,0)</f>
        <v>0</v>
      </c>
      <c r="F307" s="100">
        <f ca="1">VLOOKUP(CurrentMtgRatesDataTable825[[#This Row],[asofdate]]+1,Bloomberg!B:C,2,0)</f>
        <v>2528.6999999999998</v>
      </c>
      <c r="I307" s="18">
        <v>41270</v>
      </c>
      <c r="J307" s="88">
        <v>0.8981205901</v>
      </c>
      <c r="K307" s="88">
        <f>VLOOKUP(CurrentMtgRatesDataTable82527141518[[#This Row],[asofdate]],O:P,2,0)</f>
        <v>0</v>
      </c>
      <c r="L307" s="88">
        <f>VLOOKUP(CurrentMtgRatesDataTable82527141518[[#This Row],[asofdate]],S:T,2,0)</f>
        <v>0.92945619069999996</v>
      </c>
      <c r="M307" s="6">
        <f ca="1">VLOOKUP(CurrentMtgRatesDataTable82527141518[[#This Row],[asofdate]]+1,Bloomberg!B:C,2,0)</f>
        <v>3488.9</v>
      </c>
      <c r="N307" s="6"/>
      <c r="O307" s="18">
        <v>41242</v>
      </c>
      <c r="P307" s="88">
        <v>0</v>
      </c>
      <c r="Q307" s="101"/>
      <c r="R307" s="101"/>
      <c r="S307" s="18">
        <v>41207</v>
      </c>
      <c r="T307" s="88">
        <v>0.95333243560000003</v>
      </c>
      <c r="V307"/>
    </row>
    <row r="308" spans="2:22">
      <c r="B308" s="98">
        <v>40549</v>
      </c>
      <c r="C308" s="99">
        <v>0.59347128179999997</v>
      </c>
      <c r="D308" s="99">
        <f>VLOOKUP(CurrentMtgRatesDataTable825[[#This Row],[asofdate]],I:J,2,0)</f>
        <v>0.56939272330000001</v>
      </c>
      <c r="E308" s="99">
        <f>VLOOKUP(CurrentMtgRatesDataTable825[[#This Row],[asofdate]],O:P,2,0)</f>
        <v>0</v>
      </c>
      <c r="F308" s="100">
        <f ca="1">VLOOKUP(CurrentMtgRatesDataTable825[[#This Row],[asofdate]]+1,Bloomberg!B:C,2,0)</f>
        <v>2344.3000000000002</v>
      </c>
      <c r="I308" s="18">
        <v>41263</v>
      </c>
      <c r="J308" s="88">
        <v>0.89478707570000005</v>
      </c>
      <c r="K308" s="88">
        <f>VLOOKUP(CurrentMtgRatesDataTable82527141518[[#This Row],[asofdate]],O:P,2,0)</f>
        <v>0</v>
      </c>
      <c r="L308" s="88">
        <f>VLOOKUP(CurrentMtgRatesDataTable82527141518[[#This Row],[asofdate]],S:T,2,0)</f>
        <v>0.92642668650000004</v>
      </c>
      <c r="M308" s="6">
        <f ca="1">VLOOKUP(CurrentMtgRatesDataTable82527141518[[#This Row],[asofdate]]+1,Bloomberg!B:C,2,0)</f>
        <v>3983.2</v>
      </c>
      <c r="N308" s="6"/>
      <c r="O308" s="18">
        <v>41234</v>
      </c>
      <c r="P308" s="88">
        <v>0.95117179910000005</v>
      </c>
      <c r="Q308" s="101"/>
      <c r="R308" s="101"/>
      <c r="S308" s="18">
        <v>41200</v>
      </c>
      <c r="T308" s="88">
        <v>0.96111804349999996</v>
      </c>
      <c r="V308"/>
    </row>
    <row r="309" spans="2:22">
      <c r="B309" s="98">
        <v>40542</v>
      </c>
      <c r="C309" s="99">
        <v>0.56063199370000005</v>
      </c>
      <c r="D309" s="99">
        <f>VLOOKUP(CurrentMtgRatesDataTable825[[#This Row],[asofdate]],I:J,2,0)</f>
        <v>0.56442342980000004</v>
      </c>
      <c r="E309" s="99">
        <f>VLOOKUP(CurrentMtgRatesDataTable825[[#This Row],[asofdate]],O:P,2,0)</f>
        <v>0</v>
      </c>
      <c r="F309" s="100">
        <f ca="1">VLOOKUP(CurrentMtgRatesDataTable825[[#This Row],[asofdate]]+1,Bloomberg!B:C,2,0)</f>
        <v>2249.6</v>
      </c>
      <c r="I309" s="18">
        <v>41256</v>
      </c>
      <c r="J309" s="88">
        <v>0.90240670249999999</v>
      </c>
      <c r="K309" s="88">
        <f>VLOOKUP(CurrentMtgRatesDataTable82527141518[[#This Row],[asofdate]],O:P,2,0)</f>
        <v>0</v>
      </c>
      <c r="L309" s="88">
        <f>VLOOKUP(CurrentMtgRatesDataTable82527141518[[#This Row],[asofdate]],S:T,2,0)</f>
        <v>0.93299427479999997</v>
      </c>
      <c r="M309" s="6">
        <f ca="1">VLOOKUP(CurrentMtgRatesDataTable82527141518[[#This Row],[asofdate]]+1,Bloomberg!B:C,2,0)</f>
        <v>4564.3999999999996</v>
      </c>
      <c r="N309" s="6"/>
      <c r="O309" s="18">
        <v>41228</v>
      </c>
      <c r="P309" s="88">
        <v>0</v>
      </c>
      <c r="Q309" s="101"/>
      <c r="R309" s="101"/>
      <c r="S309" s="18">
        <v>41193</v>
      </c>
      <c r="T309" s="88">
        <v>0.95793030359999998</v>
      </c>
      <c r="V309"/>
    </row>
    <row r="310" spans="2:22">
      <c r="B310" s="98">
        <v>40535</v>
      </c>
      <c r="C310" s="99">
        <v>0.60318650750000002</v>
      </c>
      <c r="D310" s="99">
        <f>VLOOKUP(CurrentMtgRatesDataTable825[[#This Row],[asofdate]],I:J,2,0)</f>
        <v>0.585569852</v>
      </c>
      <c r="E310" s="99">
        <f>VLOOKUP(CurrentMtgRatesDataTable825[[#This Row],[asofdate]],O:P,2,0)</f>
        <v>0</v>
      </c>
      <c r="F310" s="100">
        <f ca="1">VLOOKUP(CurrentMtgRatesDataTable825[[#This Row],[asofdate]]+1,Bloomberg!B:C,2,0)</f>
        <v>2185.5</v>
      </c>
      <c r="I310" s="18">
        <v>41249</v>
      </c>
      <c r="J310" s="88">
        <v>0.89941495390000004</v>
      </c>
      <c r="K310" s="88">
        <f>VLOOKUP(CurrentMtgRatesDataTable82527141518[[#This Row],[asofdate]],O:P,2,0)</f>
        <v>0</v>
      </c>
      <c r="L310" s="88">
        <f>VLOOKUP(CurrentMtgRatesDataTable82527141518[[#This Row],[asofdate]],S:T,2,0)</f>
        <v>0.93076775830000003</v>
      </c>
      <c r="M310" s="6">
        <f ca="1">VLOOKUP(CurrentMtgRatesDataTable82527141518[[#This Row],[asofdate]]+1,Bloomberg!B:C,2,0)</f>
        <v>5368.1</v>
      </c>
      <c r="N310" s="6"/>
      <c r="O310" s="18">
        <v>41221</v>
      </c>
      <c r="P310" s="88">
        <v>0</v>
      </c>
      <c r="Q310" s="101"/>
      <c r="R310" s="101"/>
      <c r="S310" s="18">
        <v>41186</v>
      </c>
      <c r="T310" s="88">
        <v>0.96391063649999997</v>
      </c>
      <c r="V310"/>
    </row>
    <row r="311" spans="2:22">
      <c r="B311" s="98">
        <v>40528</v>
      </c>
      <c r="C311" s="99">
        <v>0.58904679879999999</v>
      </c>
      <c r="D311" s="99">
        <f>VLOOKUP(CurrentMtgRatesDataTable825[[#This Row],[asofdate]],I:J,2,0)</f>
        <v>0.57860148239999998</v>
      </c>
      <c r="E311" s="99">
        <f>VLOOKUP(CurrentMtgRatesDataTable825[[#This Row],[asofdate]],O:P,2,0)</f>
        <v>0</v>
      </c>
      <c r="F311" s="100">
        <f ca="1">VLOOKUP(CurrentMtgRatesDataTable825[[#This Row],[asofdate]]+1,Bloomberg!B:C,2,0)</f>
        <v>2319.9</v>
      </c>
      <c r="I311" s="18">
        <v>41242</v>
      </c>
      <c r="J311" s="88">
        <v>0.92991451790000001</v>
      </c>
      <c r="K311" s="88">
        <f>VLOOKUP(CurrentMtgRatesDataTable82527141518[[#This Row],[asofdate]],O:P,2,0)</f>
        <v>0</v>
      </c>
      <c r="L311" s="88">
        <f>VLOOKUP(CurrentMtgRatesDataTable82527141518[[#This Row],[asofdate]],S:T,2,0)</f>
        <v>0.94703350890000004</v>
      </c>
      <c r="M311" s="6">
        <f ca="1">VLOOKUP(CurrentMtgRatesDataTable82527141518[[#This Row],[asofdate]]+1,Bloomberg!B:C,2,0)</f>
        <v>4943</v>
      </c>
      <c r="N311" s="6"/>
      <c r="O311" s="18">
        <v>41214</v>
      </c>
      <c r="P311" s="88">
        <v>0</v>
      </c>
      <c r="Q311" s="101"/>
      <c r="R311" s="101"/>
      <c r="S311" s="18">
        <v>41179</v>
      </c>
      <c r="T311" s="88">
        <v>0.97577079150000001</v>
      </c>
      <c r="V311"/>
    </row>
    <row r="312" spans="2:22">
      <c r="B312" s="98">
        <v>40521</v>
      </c>
      <c r="C312" s="99">
        <v>0.67175467840000003</v>
      </c>
      <c r="D312" s="99">
        <f>VLOOKUP(CurrentMtgRatesDataTable825[[#This Row],[asofdate]],I:J,2,0)</f>
        <v>0.62729770029999998</v>
      </c>
      <c r="E312" s="99">
        <f>VLOOKUP(CurrentMtgRatesDataTable825[[#This Row],[asofdate]],O:P,2,0)</f>
        <v>0</v>
      </c>
      <c r="F312" s="100">
        <f ca="1">VLOOKUP(CurrentMtgRatesDataTable825[[#This Row],[asofdate]]+1,Bloomberg!B:C,2,0)</f>
        <v>3067.3</v>
      </c>
      <c r="I312" s="18">
        <v>41234</v>
      </c>
      <c r="J312" s="88">
        <v>0.93453427170000003</v>
      </c>
      <c r="K312" s="88">
        <f>VLOOKUP(CurrentMtgRatesDataTable82527141518[[#This Row],[asofdate]],O:P,2,0)</f>
        <v>0.95117179910000005</v>
      </c>
      <c r="L312" s="88">
        <f>VLOOKUP(CurrentMtgRatesDataTable82527141518[[#This Row],[asofdate]],S:T,2,0)</f>
        <v>0.95117179910000005</v>
      </c>
      <c r="M312" s="6" t="e">
        <f ca="1">VLOOKUP(CurrentMtgRatesDataTable82527141518[[#This Row],[asofdate]]+1,Bloomberg!B:C,2,0)</f>
        <v>#N/A</v>
      </c>
      <c r="N312" s="6"/>
      <c r="O312" s="18">
        <v>41207</v>
      </c>
      <c r="P312" s="88">
        <v>0</v>
      </c>
      <c r="Q312" s="101"/>
      <c r="R312" s="101"/>
      <c r="S312" s="18">
        <v>41172</v>
      </c>
      <c r="T312" s="88">
        <v>0.94388842360000003</v>
      </c>
      <c r="V312"/>
    </row>
    <row r="313" spans="2:22">
      <c r="B313" s="98">
        <v>40514</v>
      </c>
      <c r="C313" s="99">
        <v>0.73298549680000002</v>
      </c>
      <c r="D313" s="99">
        <f>VLOOKUP(CurrentMtgRatesDataTable825[[#This Row],[asofdate]],I:J,2,0)</f>
        <v>0.66795706239999997</v>
      </c>
      <c r="E313" s="99">
        <f>VLOOKUP(CurrentMtgRatesDataTable825[[#This Row],[asofdate]],O:P,2,0)</f>
        <v>0</v>
      </c>
      <c r="F313" s="100">
        <f ca="1">VLOOKUP(CurrentMtgRatesDataTable825[[#This Row],[asofdate]]+1,Bloomberg!B:C,2,0)</f>
        <v>3066.2</v>
      </c>
      <c r="I313" s="18">
        <v>41228</v>
      </c>
      <c r="J313" s="88">
        <v>0.93053132520000004</v>
      </c>
      <c r="K313" s="88">
        <f>VLOOKUP(CurrentMtgRatesDataTable82527141518[[#This Row],[asofdate]],O:P,2,0)</f>
        <v>0</v>
      </c>
      <c r="L313" s="88">
        <f>VLOOKUP(CurrentMtgRatesDataTable82527141518[[#This Row],[asofdate]],S:T,2,0)</f>
        <v>0.94764473760000001</v>
      </c>
      <c r="M313" s="6">
        <f ca="1">VLOOKUP(CurrentMtgRatesDataTable82527141518[[#This Row],[asofdate]]+1,Bloomberg!B:C,2,0)</f>
        <v>4702.3999999999996</v>
      </c>
      <c r="N313" s="6"/>
      <c r="O313" s="18">
        <v>41200</v>
      </c>
      <c r="P313" s="88">
        <v>0</v>
      </c>
      <c r="Q313" s="101"/>
      <c r="R313" s="101"/>
      <c r="S313" s="18">
        <v>41165</v>
      </c>
      <c r="T313" s="88">
        <v>0.89785737050000003</v>
      </c>
      <c r="V313"/>
    </row>
    <row r="314" spans="2:22">
      <c r="B314" s="98">
        <v>40506</v>
      </c>
      <c r="C314" s="99">
        <v>0.82198260339999996</v>
      </c>
      <c r="D314" s="99">
        <f>VLOOKUP(CurrentMtgRatesDataTable825[[#This Row],[asofdate]],I:J,2,0)</f>
        <v>0.76325170980000001</v>
      </c>
      <c r="E314" s="99">
        <f>VLOOKUP(CurrentMtgRatesDataTable825[[#This Row],[asofdate]],O:P,2,0)</f>
        <v>0</v>
      </c>
      <c r="F314" s="100" t="e">
        <f ca="1">VLOOKUP(CurrentMtgRatesDataTable825[[#This Row],[asofdate]]+1,Bloomberg!B:C,2,0)</f>
        <v>#N/A</v>
      </c>
      <c r="I314" s="18">
        <v>41221</v>
      </c>
      <c r="J314" s="88">
        <v>0.91937499810000001</v>
      </c>
      <c r="K314" s="88">
        <f>VLOOKUP(CurrentMtgRatesDataTable82527141518[[#This Row],[asofdate]],O:P,2,0)</f>
        <v>0</v>
      </c>
      <c r="L314" s="88">
        <f>VLOOKUP(CurrentMtgRatesDataTable82527141518[[#This Row],[asofdate]],S:T,2,0)</f>
        <v>0.93751383690000001</v>
      </c>
      <c r="M314" s="6">
        <f ca="1">VLOOKUP(CurrentMtgRatesDataTable82527141518[[#This Row],[asofdate]]+1,Bloomberg!B:C,2,0)</f>
        <v>4856.1000000000004</v>
      </c>
      <c r="N314" s="6"/>
      <c r="O314" s="18">
        <v>41193</v>
      </c>
      <c r="P314" s="88">
        <v>0</v>
      </c>
      <c r="Q314" s="101"/>
      <c r="R314" s="101"/>
      <c r="S314" s="18">
        <v>41158</v>
      </c>
      <c r="T314" s="88">
        <v>0.88724887119999996</v>
      </c>
      <c r="V314"/>
    </row>
    <row r="315" spans="2:22">
      <c r="B315" s="98">
        <v>40500</v>
      </c>
      <c r="C315" s="99">
        <v>0.79909835509999994</v>
      </c>
      <c r="D315" s="99">
        <f>VLOOKUP(CurrentMtgRatesDataTable825[[#This Row],[asofdate]],I:J,2,0)</f>
        <v>0.74182961960000005</v>
      </c>
      <c r="E315" s="99">
        <f>VLOOKUP(CurrentMtgRatesDataTable825[[#This Row],[asofdate]],O:P,2,0)</f>
        <v>0</v>
      </c>
      <c r="F315" s="100">
        <f ca="1">VLOOKUP(CurrentMtgRatesDataTable825[[#This Row],[asofdate]]+1,Bloomberg!B:C,2,0)</f>
        <v>4009.2</v>
      </c>
      <c r="I315" s="18">
        <v>41214</v>
      </c>
      <c r="J315" s="88">
        <v>0.922474672</v>
      </c>
      <c r="K315" s="88">
        <f>VLOOKUP(CurrentMtgRatesDataTable82527141518[[#This Row],[asofdate]],O:P,2,0)</f>
        <v>0</v>
      </c>
      <c r="L315" s="88">
        <f>VLOOKUP(CurrentMtgRatesDataTable82527141518[[#This Row],[asofdate]],S:T,2,0)</f>
        <v>0.94063017010000005</v>
      </c>
      <c r="M315" s="6">
        <f ca="1">VLOOKUP(CurrentMtgRatesDataTable82527141518[[#This Row],[asofdate]]+1,Bloomberg!B:C,2,0)</f>
        <v>4297.7</v>
      </c>
      <c r="N315" s="6"/>
      <c r="O315" s="18">
        <v>41186</v>
      </c>
      <c r="P315" s="88">
        <v>0.96391063649999997</v>
      </c>
      <c r="Q315" s="101"/>
      <c r="R315" s="101"/>
      <c r="S315" s="18">
        <v>41151</v>
      </c>
      <c r="T315" s="88">
        <v>0.89536140639999995</v>
      </c>
      <c r="V315"/>
    </row>
    <row r="316" spans="2:22">
      <c r="B316" s="98">
        <v>40493</v>
      </c>
      <c r="C316" s="99">
        <v>0.94834647279999995</v>
      </c>
      <c r="D316" s="99">
        <f>VLOOKUP(CurrentMtgRatesDataTable825[[#This Row],[asofdate]],I:J,2,0)</f>
        <v>0.88698423449999997</v>
      </c>
      <c r="E316" s="99">
        <f>VLOOKUP(CurrentMtgRatesDataTable825[[#This Row],[asofdate]],O:P,2,0)</f>
        <v>0.90048259500000005</v>
      </c>
      <c r="F316" s="100">
        <f ca="1">VLOOKUP(CurrentMtgRatesDataTable825[[#This Row],[asofdate]]+1,Bloomberg!B:C,2,0)</f>
        <v>4015.2</v>
      </c>
      <c r="I316" s="18">
        <v>41207</v>
      </c>
      <c r="J316" s="88">
        <v>0.9359022441</v>
      </c>
      <c r="K316" s="88">
        <f>VLOOKUP(CurrentMtgRatesDataTable82527141518[[#This Row],[asofdate]],O:P,2,0)</f>
        <v>0</v>
      </c>
      <c r="L316" s="88">
        <f>VLOOKUP(CurrentMtgRatesDataTable82527141518[[#This Row],[asofdate]],S:T,2,0)</f>
        <v>0.95333243560000003</v>
      </c>
      <c r="M316" s="6">
        <f ca="1">VLOOKUP(CurrentMtgRatesDataTable82527141518[[#This Row],[asofdate]]+1,Bloomberg!B:C,2,0)</f>
        <v>4550.7</v>
      </c>
      <c r="N316" s="6"/>
      <c r="O316" s="18">
        <v>41179</v>
      </c>
      <c r="P316" s="88">
        <v>0.97577079150000001</v>
      </c>
      <c r="Q316" s="101"/>
      <c r="R316" s="101"/>
      <c r="S316" s="18">
        <v>41144</v>
      </c>
      <c r="T316" s="88">
        <v>0.87256868290000011</v>
      </c>
      <c r="V316"/>
    </row>
    <row r="317" spans="2:22">
      <c r="B317" s="98">
        <v>40486</v>
      </c>
      <c r="C317" s="99">
        <v>0.93243236860000001</v>
      </c>
      <c r="D317" s="99">
        <f>VLOOKUP(CurrentMtgRatesDataTable825[[#This Row],[asofdate]],I:J,2,0)</f>
        <v>0.85631432519999995</v>
      </c>
      <c r="E317" s="99">
        <f>VLOOKUP(CurrentMtgRatesDataTable825[[#This Row],[asofdate]],O:P,2,0)</f>
        <v>0</v>
      </c>
      <c r="F317" s="100">
        <f ca="1">VLOOKUP(CurrentMtgRatesDataTable825[[#This Row],[asofdate]]+1,Bloomberg!B:C,2,0)</f>
        <v>4836.3999999999996</v>
      </c>
      <c r="I317" s="18">
        <v>41200</v>
      </c>
      <c r="J317" s="88">
        <v>0.94525388960000001</v>
      </c>
      <c r="K317" s="88">
        <f>VLOOKUP(CurrentMtgRatesDataTable82527141518[[#This Row],[asofdate]],O:P,2,0)</f>
        <v>0</v>
      </c>
      <c r="L317" s="88">
        <f>VLOOKUP(CurrentMtgRatesDataTable82527141518[[#This Row],[asofdate]],S:T,2,0)</f>
        <v>0.96111804349999996</v>
      </c>
      <c r="M317" s="6">
        <f ca="1">VLOOKUP(CurrentMtgRatesDataTable82527141518[[#This Row],[asofdate]]+1,Bloomberg!B:C,2,0)</f>
        <v>4847.2</v>
      </c>
      <c r="N317" s="6"/>
      <c r="O317" s="18">
        <v>41172</v>
      </c>
      <c r="P317" s="88">
        <v>0.94388842360000003</v>
      </c>
      <c r="Q317" s="101"/>
      <c r="R317" s="101"/>
      <c r="S317" s="18">
        <v>41137</v>
      </c>
      <c r="T317" s="88">
        <v>0.88542201710000001</v>
      </c>
      <c r="V317"/>
    </row>
    <row r="318" spans="2:22">
      <c r="B318" s="98">
        <v>40479</v>
      </c>
      <c r="C318" s="99">
        <v>0.95074042540000003</v>
      </c>
      <c r="D318" s="99">
        <f>VLOOKUP(CurrentMtgRatesDataTable825[[#This Row],[asofdate]],I:J,2,0)</f>
        <v>0.88744349030000003</v>
      </c>
      <c r="E318" s="99">
        <f>VLOOKUP(CurrentMtgRatesDataTable825[[#This Row],[asofdate]],O:P,2,0)</f>
        <v>0</v>
      </c>
      <c r="F318" s="100">
        <f ca="1">VLOOKUP(CurrentMtgRatesDataTable825[[#This Row],[asofdate]]+1,Bloomberg!B:C,2,0)</f>
        <v>4568.1000000000004</v>
      </c>
      <c r="I318" s="18">
        <v>41193</v>
      </c>
      <c r="J318" s="88">
        <v>0.94115662570000003</v>
      </c>
      <c r="K318" s="88">
        <f>VLOOKUP(CurrentMtgRatesDataTable82527141518[[#This Row],[asofdate]],O:P,2,0)</f>
        <v>0</v>
      </c>
      <c r="L318" s="88">
        <f>VLOOKUP(CurrentMtgRatesDataTable82527141518[[#This Row],[asofdate]],S:T,2,0)</f>
        <v>0.95793030359999998</v>
      </c>
      <c r="M318" s="6">
        <f ca="1">VLOOKUP(CurrentMtgRatesDataTable82527141518[[#This Row],[asofdate]]+1,Bloomberg!B:C,2,0)</f>
        <v>5572.2</v>
      </c>
      <c r="N318" s="6"/>
      <c r="O318" s="18">
        <v>41165</v>
      </c>
      <c r="P318" s="88">
        <v>0</v>
      </c>
      <c r="Q318" s="101"/>
      <c r="R318" s="101"/>
      <c r="S318" s="18">
        <v>41130</v>
      </c>
      <c r="T318" s="88">
        <v>0.89536140639999995</v>
      </c>
      <c r="V318"/>
    </row>
    <row r="319" spans="2:22">
      <c r="B319" s="98">
        <v>40472</v>
      </c>
      <c r="C319" s="99">
        <v>0.9515616254</v>
      </c>
      <c r="D319" s="99">
        <f>VLOOKUP(CurrentMtgRatesDataTable825[[#This Row],[asofdate]],I:J,2,0)</f>
        <v>0.8934209823</v>
      </c>
      <c r="E319" s="99">
        <f>VLOOKUP(CurrentMtgRatesDataTable825[[#This Row],[asofdate]],O:P,2,0)</f>
        <v>0</v>
      </c>
      <c r="F319" s="100">
        <f ca="1">VLOOKUP(CurrentMtgRatesDataTable825[[#This Row],[asofdate]]+1,Bloomberg!B:C,2,0)</f>
        <v>4904.2</v>
      </c>
      <c r="I319" s="18">
        <v>41186</v>
      </c>
      <c r="J319" s="88">
        <v>0.94881667510000001</v>
      </c>
      <c r="K319" s="88">
        <f>VLOOKUP(CurrentMtgRatesDataTable82527141518[[#This Row],[asofdate]],O:P,2,0)</f>
        <v>0.96391063649999997</v>
      </c>
      <c r="L319" s="88">
        <f>VLOOKUP(CurrentMtgRatesDataTable82527141518[[#This Row],[asofdate]],S:T,2,0)</f>
        <v>0.96391063649999997</v>
      </c>
      <c r="M319" s="6">
        <f ca="1">VLOOKUP(CurrentMtgRatesDataTable82527141518[[#This Row],[asofdate]]+1,Bloomberg!B:C,2,0)</f>
        <v>5892.5</v>
      </c>
      <c r="N319" s="6"/>
      <c r="O319" s="18">
        <v>41158</v>
      </c>
      <c r="P319" s="88">
        <v>0</v>
      </c>
      <c r="Q319" s="101"/>
      <c r="R319" s="101"/>
      <c r="S319" s="18">
        <v>41123</v>
      </c>
      <c r="T319" s="88">
        <v>0.90025451170000004</v>
      </c>
      <c r="V319"/>
    </row>
    <row r="320" spans="2:22">
      <c r="B320" s="98">
        <v>40465</v>
      </c>
      <c r="C320" s="99">
        <v>0.95265037860000001</v>
      </c>
      <c r="D320" s="99">
        <f>VLOOKUP(CurrentMtgRatesDataTable825[[#This Row],[asofdate]],I:J,2,0)</f>
        <v>0.90382021010000002</v>
      </c>
      <c r="E320" s="99">
        <f>VLOOKUP(CurrentMtgRatesDataTable825[[#This Row],[asofdate]],O:P,2,0)</f>
        <v>0.91601505240000003</v>
      </c>
      <c r="F320" s="100">
        <f ca="1">VLOOKUP(CurrentMtgRatesDataTable825[[#This Row],[asofdate]]+1,Bloomberg!B:C,2,0)</f>
        <v>4768.6000000000004</v>
      </c>
      <c r="I320" s="18">
        <v>41179</v>
      </c>
      <c r="J320" s="88">
        <v>0.96124609490000001</v>
      </c>
      <c r="K320" s="88">
        <f>VLOOKUP(CurrentMtgRatesDataTable82527141518[[#This Row],[asofdate]],O:P,2,0)</f>
        <v>0.97577079150000001</v>
      </c>
      <c r="L320" s="88">
        <f>VLOOKUP(CurrentMtgRatesDataTable82527141518[[#This Row],[asofdate]],S:T,2,0)</f>
        <v>0.97577079150000001</v>
      </c>
      <c r="M320" s="6">
        <f ca="1">VLOOKUP(CurrentMtgRatesDataTable82527141518[[#This Row],[asofdate]]+1,Bloomberg!B:C,2,0)</f>
        <v>5965.5</v>
      </c>
      <c r="N320" s="6"/>
      <c r="O320" s="18">
        <v>41151</v>
      </c>
      <c r="P320" s="88">
        <v>0</v>
      </c>
      <c r="Q320" s="101"/>
      <c r="R320" s="101"/>
      <c r="S320" s="18">
        <v>41116</v>
      </c>
      <c r="T320" s="88">
        <v>0.94697268489999997</v>
      </c>
      <c r="V320"/>
    </row>
    <row r="321" spans="2:22">
      <c r="B321" s="98">
        <v>40458</v>
      </c>
      <c r="C321" s="99">
        <v>0.93741406800000004</v>
      </c>
      <c r="D321" s="99">
        <f>VLOOKUP(CurrentMtgRatesDataTable825[[#This Row],[asofdate]],I:J,2,0)</f>
        <v>0.86622730449999996</v>
      </c>
      <c r="E321" s="99">
        <f>VLOOKUP(CurrentMtgRatesDataTable825[[#This Row],[asofdate]],O:P,2,0)</f>
        <v>0.87946502350000011</v>
      </c>
      <c r="F321" s="100">
        <f ca="1">VLOOKUP(CurrentMtgRatesDataTable825[[#This Row],[asofdate]]+1,Bloomberg!B:C,2,0)</f>
        <v>5455.4</v>
      </c>
      <c r="I321" s="18">
        <v>41172</v>
      </c>
      <c r="J321" s="88">
        <v>0.92474856360000002</v>
      </c>
      <c r="K321" s="88">
        <f>VLOOKUP(CurrentMtgRatesDataTable82527141518[[#This Row],[asofdate]],O:P,2,0)</f>
        <v>0.94388842360000003</v>
      </c>
      <c r="L321" s="88">
        <f>VLOOKUP(CurrentMtgRatesDataTable82527141518[[#This Row],[asofdate]],S:T,2,0)</f>
        <v>0.94388842360000003</v>
      </c>
      <c r="M321" s="6">
        <f ca="1">VLOOKUP(CurrentMtgRatesDataTable82527141518[[#This Row],[asofdate]]+1,Bloomberg!B:C,2,0)</f>
        <v>4979</v>
      </c>
      <c r="N321" s="6"/>
      <c r="O321" s="18">
        <v>41144</v>
      </c>
      <c r="P321" s="88">
        <v>0</v>
      </c>
      <c r="Q321" s="101"/>
      <c r="R321" s="101"/>
      <c r="S321" s="18">
        <v>41109</v>
      </c>
      <c r="T321" s="88">
        <v>0.91750686770000001</v>
      </c>
      <c r="V321"/>
    </row>
    <row r="322" spans="2:22">
      <c r="B322" s="98">
        <v>40451</v>
      </c>
      <c r="C322" s="99">
        <v>0.92460704859999998</v>
      </c>
      <c r="D322" s="99">
        <f>VLOOKUP(CurrentMtgRatesDataTable825[[#This Row],[asofdate]],I:J,2,0)</f>
        <v>0.86877485379999997</v>
      </c>
      <c r="E322" s="99">
        <f>VLOOKUP(CurrentMtgRatesDataTable825[[#This Row],[asofdate]],O:P,2,0)</f>
        <v>0</v>
      </c>
      <c r="F322" s="100">
        <f ca="1">VLOOKUP(CurrentMtgRatesDataTable825[[#This Row],[asofdate]]+1,Bloomberg!B:C,2,0)</f>
        <v>4395.5</v>
      </c>
      <c r="I322" s="18">
        <v>41165</v>
      </c>
      <c r="J322" s="88">
        <v>0.87852119600000012</v>
      </c>
      <c r="K322" s="88">
        <f>VLOOKUP(CurrentMtgRatesDataTable82527141518[[#This Row],[asofdate]],O:P,2,0)</f>
        <v>0</v>
      </c>
      <c r="L322" s="88">
        <f>VLOOKUP(CurrentMtgRatesDataTable82527141518[[#This Row],[asofdate]],S:T,2,0)</f>
        <v>0.89785737050000003</v>
      </c>
      <c r="M322" s="6">
        <f ca="1">VLOOKUP(CurrentMtgRatesDataTable82527141518[[#This Row],[asofdate]]+1,Bloomberg!B:C,2,0)</f>
        <v>4823.3</v>
      </c>
      <c r="N322" s="6"/>
      <c r="O322" s="18">
        <v>41137</v>
      </c>
      <c r="P322" s="88">
        <v>0</v>
      </c>
      <c r="Q322" s="101"/>
      <c r="R322" s="101"/>
      <c r="S322" s="18">
        <v>41102</v>
      </c>
      <c r="T322" s="88">
        <v>0.9082403416</v>
      </c>
      <c r="V322"/>
    </row>
    <row r="323" spans="2:22">
      <c r="B323" s="98">
        <v>40444</v>
      </c>
      <c r="C323" s="99">
        <v>0.91580087529999998</v>
      </c>
      <c r="D323" s="99">
        <f>VLOOKUP(CurrentMtgRatesDataTable825[[#This Row],[asofdate]],I:J,2,0)</f>
        <v>0.85480675930000005</v>
      </c>
      <c r="E323" s="99">
        <f>VLOOKUP(CurrentMtgRatesDataTable825[[#This Row],[asofdate]],O:P,2,0)</f>
        <v>0</v>
      </c>
      <c r="F323" s="100">
        <f ca="1">VLOOKUP(CurrentMtgRatesDataTable825[[#This Row],[asofdate]]+1,Bloomberg!B:C,2,0)</f>
        <v>4549.3</v>
      </c>
      <c r="I323" s="18">
        <v>41158</v>
      </c>
      <c r="J323" s="88">
        <v>0.86805265789999997</v>
      </c>
      <c r="K323" s="88">
        <f>VLOOKUP(CurrentMtgRatesDataTable82527141518[[#This Row],[asofdate]],O:P,2,0)</f>
        <v>0</v>
      </c>
      <c r="L323" s="88">
        <f>VLOOKUP(CurrentMtgRatesDataTable82527141518[[#This Row],[asofdate]],S:T,2,0)</f>
        <v>0.88724887119999996</v>
      </c>
      <c r="M323" s="6">
        <f ca="1">VLOOKUP(CurrentMtgRatesDataTable82527141518[[#This Row],[asofdate]]+1,Bloomberg!B:C,2,0)</f>
        <v>4779.1000000000004</v>
      </c>
      <c r="N323" s="6"/>
      <c r="O323" s="18">
        <v>41130</v>
      </c>
      <c r="P323" s="88">
        <v>0</v>
      </c>
      <c r="Q323" s="101"/>
      <c r="R323" s="101"/>
      <c r="S323" s="18">
        <v>41095</v>
      </c>
      <c r="T323" s="88">
        <v>0.88806616589999998</v>
      </c>
      <c r="V323"/>
    </row>
    <row r="324" spans="2:22">
      <c r="B324" s="98">
        <v>40437</v>
      </c>
      <c r="C324" s="99">
        <v>0.91580087529999998</v>
      </c>
      <c r="D324" s="99">
        <f>VLOOKUP(CurrentMtgRatesDataTable825[[#This Row],[asofdate]],I:J,2,0)</f>
        <v>0.85480675930000005</v>
      </c>
      <c r="E324" s="99">
        <f>VLOOKUP(CurrentMtgRatesDataTable825[[#This Row],[asofdate]],O:P,2,0)</f>
        <v>0</v>
      </c>
      <c r="F324" s="100">
        <f ca="1">VLOOKUP(CurrentMtgRatesDataTable825[[#This Row],[asofdate]]+1,Bloomberg!B:C,2,0)</f>
        <v>4624.6000000000004</v>
      </c>
      <c r="I324" s="18">
        <v>41151</v>
      </c>
      <c r="J324" s="88">
        <v>0.88209078110000005</v>
      </c>
      <c r="K324" s="88">
        <f>VLOOKUP(CurrentMtgRatesDataTable82527141518[[#This Row],[asofdate]],O:P,2,0)</f>
        <v>0</v>
      </c>
      <c r="L324" s="88">
        <f>VLOOKUP(CurrentMtgRatesDataTable82527141518[[#This Row],[asofdate]],S:T,2,0)</f>
        <v>0.89536140639999995</v>
      </c>
      <c r="M324" s="6">
        <f ca="1">VLOOKUP(CurrentMtgRatesDataTable82527141518[[#This Row],[asofdate]]+1,Bloomberg!B:C,2,0)</f>
        <v>4274.8</v>
      </c>
      <c r="N324" s="6"/>
      <c r="O324" s="18">
        <v>41123</v>
      </c>
      <c r="P324" s="88">
        <v>0</v>
      </c>
      <c r="Q324" s="101"/>
      <c r="R324" s="101"/>
      <c r="S324" s="18">
        <v>41088</v>
      </c>
      <c r="T324" s="88">
        <v>0.90056993169999999</v>
      </c>
      <c r="V324"/>
    </row>
    <row r="325" spans="2:22">
      <c r="B325" s="98">
        <v>40430</v>
      </c>
      <c r="C325" s="99">
        <v>0.92336794280000001</v>
      </c>
      <c r="D325" s="99">
        <f>VLOOKUP(CurrentMtgRatesDataTable825[[#This Row],[asofdate]],I:J,2,0)</f>
        <v>0.86764971609999997</v>
      </c>
      <c r="E325" s="99">
        <f>VLOOKUP(CurrentMtgRatesDataTable825[[#This Row],[asofdate]],O:P,2,0)</f>
        <v>0</v>
      </c>
      <c r="F325" s="100">
        <f ca="1">VLOOKUP(CurrentMtgRatesDataTable825[[#This Row],[asofdate]]+1,Bloomberg!B:C,2,0)</f>
        <v>4663.8</v>
      </c>
      <c r="I325" s="18">
        <v>41144</v>
      </c>
      <c r="J325" s="88">
        <v>0.85858558409999997</v>
      </c>
      <c r="K325" s="88">
        <f>VLOOKUP(CurrentMtgRatesDataTable82527141518[[#This Row],[asofdate]],O:P,2,0)</f>
        <v>0</v>
      </c>
      <c r="L325" s="88">
        <f>VLOOKUP(CurrentMtgRatesDataTable82527141518[[#This Row],[asofdate]],S:T,2,0)</f>
        <v>0.87256868290000011</v>
      </c>
      <c r="M325" s="6">
        <f ca="1">VLOOKUP(CurrentMtgRatesDataTable82527141518[[#This Row],[asofdate]]+1,Bloomberg!B:C,2,0)</f>
        <v>4414.6000000000004</v>
      </c>
      <c r="N325" s="6"/>
      <c r="O325" s="18">
        <v>41116</v>
      </c>
      <c r="P325" s="88">
        <v>0.94697268489999997</v>
      </c>
      <c r="Q325" s="101"/>
      <c r="R325" s="101"/>
      <c r="S325" s="18">
        <v>41081</v>
      </c>
      <c r="T325" s="88">
        <v>0.90056993169999999</v>
      </c>
      <c r="V325"/>
    </row>
    <row r="326" spans="2:22">
      <c r="B326" s="98">
        <v>40423</v>
      </c>
      <c r="C326" s="99">
        <v>0.93385942560000001</v>
      </c>
      <c r="D326" s="99">
        <f>VLOOKUP(CurrentMtgRatesDataTable825[[#This Row],[asofdate]],I:J,2,0)</f>
        <v>0.8810827349</v>
      </c>
      <c r="E326" s="99">
        <f>VLOOKUP(CurrentMtgRatesDataTable825[[#This Row],[asofdate]],O:P,2,0)</f>
        <v>0.88755630019999998</v>
      </c>
      <c r="F326" s="100">
        <f ca="1">VLOOKUP(CurrentMtgRatesDataTable825[[#This Row],[asofdate]]+1,Bloomberg!B:C,2,0)</f>
        <v>5214.6000000000004</v>
      </c>
      <c r="I326" s="18">
        <v>41137</v>
      </c>
      <c r="J326" s="88">
        <v>0.87150671830000004</v>
      </c>
      <c r="K326" s="88">
        <f>VLOOKUP(CurrentMtgRatesDataTable82527141518[[#This Row],[asofdate]],O:P,2,0)</f>
        <v>0</v>
      </c>
      <c r="L326" s="88">
        <f>VLOOKUP(CurrentMtgRatesDataTable82527141518[[#This Row],[asofdate]],S:T,2,0)</f>
        <v>0.88542201710000001</v>
      </c>
      <c r="M326" s="6">
        <f ca="1">VLOOKUP(CurrentMtgRatesDataTable82527141518[[#This Row],[asofdate]]+1,Bloomberg!B:C,2,0)</f>
        <v>4671.1000000000004</v>
      </c>
      <c r="N326" s="6"/>
      <c r="O326" s="18">
        <v>41109</v>
      </c>
      <c r="P326" s="88">
        <v>0.91750686770000001</v>
      </c>
      <c r="Q326" s="101"/>
      <c r="R326" s="101"/>
      <c r="S326" s="18">
        <v>41074</v>
      </c>
      <c r="T326" s="88">
        <v>0.89438488940000005</v>
      </c>
      <c r="V326"/>
    </row>
    <row r="327" spans="2:22">
      <c r="B327" s="98">
        <v>40416</v>
      </c>
      <c r="C327" s="99">
        <v>0.92103950720000005</v>
      </c>
      <c r="D327" s="99">
        <f>VLOOKUP(CurrentMtgRatesDataTable825[[#This Row],[asofdate]],I:J,2,0)</f>
        <v>0.88163845220000003</v>
      </c>
      <c r="E327" s="99">
        <f>VLOOKUP(CurrentMtgRatesDataTable825[[#This Row],[asofdate]],O:P,2,0)</f>
        <v>0.88325854640000001</v>
      </c>
      <c r="F327" s="100">
        <f ca="1">VLOOKUP(CurrentMtgRatesDataTable825[[#This Row],[asofdate]]+1,Bloomberg!B:C,2,0)</f>
        <v>5431.5</v>
      </c>
      <c r="I327" s="18">
        <v>41130</v>
      </c>
      <c r="J327" s="88">
        <v>0.88209078110000005</v>
      </c>
      <c r="K327" s="88">
        <f>VLOOKUP(CurrentMtgRatesDataTable82527141518[[#This Row],[asofdate]],O:P,2,0)</f>
        <v>0</v>
      </c>
      <c r="L327" s="88">
        <f>VLOOKUP(CurrentMtgRatesDataTable82527141518[[#This Row],[asofdate]],S:T,2,0)</f>
        <v>0.89536140639999995</v>
      </c>
      <c r="M327" s="6">
        <f ca="1">VLOOKUP(CurrentMtgRatesDataTable82527141518[[#This Row],[asofdate]]+1,Bloomberg!B:C,2,0)</f>
        <v>5172.2</v>
      </c>
      <c r="N327" s="6"/>
      <c r="O327" s="18">
        <v>41102</v>
      </c>
      <c r="P327" s="88">
        <v>0.9082403416</v>
      </c>
      <c r="Q327" s="101"/>
      <c r="R327" s="101"/>
      <c r="S327" s="18">
        <v>41067</v>
      </c>
      <c r="T327" s="88">
        <v>0.89965355550000004</v>
      </c>
      <c r="V327"/>
    </row>
    <row r="328" spans="2:22">
      <c r="B328" s="98">
        <v>40409</v>
      </c>
      <c r="C328" s="99">
        <v>0.86898326420000005</v>
      </c>
      <c r="D328" s="99">
        <f>VLOOKUP(CurrentMtgRatesDataTable825[[#This Row],[asofdate]],I:J,2,0)</f>
        <v>0.82832098099999996</v>
      </c>
      <c r="E328" s="99">
        <f>VLOOKUP(CurrentMtgRatesDataTable825[[#This Row],[asofdate]],O:P,2,0)</f>
        <v>0.8330450452</v>
      </c>
      <c r="F328" s="100">
        <f ca="1">VLOOKUP(CurrentMtgRatesDataTable825[[#This Row],[asofdate]]+1,Bloomberg!B:C,2,0)</f>
        <v>5260.7</v>
      </c>
      <c r="I328" s="18">
        <v>41123</v>
      </c>
      <c r="J328" s="88">
        <v>0.88725227120000005</v>
      </c>
      <c r="K328" s="88">
        <f>VLOOKUP(CurrentMtgRatesDataTable82527141518[[#This Row],[asofdate]],O:P,2,0)</f>
        <v>0</v>
      </c>
      <c r="L328" s="88">
        <f>VLOOKUP(CurrentMtgRatesDataTable82527141518[[#This Row],[asofdate]],S:T,2,0)</f>
        <v>0.90025451170000004</v>
      </c>
      <c r="M328" s="6">
        <f ca="1">VLOOKUP(CurrentMtgRatesDataTable82527141518[[#This Row],[asofdate]]+1,Bloomberg!B:C,2,0)</f>
        <v>5444.3</v>
      </c>
      <c r="N328" s="6"/>
      <c r="O328" s="18">
        <v>41095</v>
      </c>
      <c r="P328" s="88">
        <v>0.88806616589999998</v>
      </c>
      <c r="Q328" s="101"/>
      <c r="R328" s="101"/>
      <c r="S328" s="18">
        <v>41060</v>
      </c>
      <c r="T328" s="88">
        <v>0.89147575489999997</v>
      </c>
      <c r="V328"/>
    </row>
    <row r="329" spans="2:22">
      <c r="B329" s="98">
        <v>40402</v>
      </c>
      <c r="C329" s="99">
        <v>0.83410549239999998</v>
      </c>
      <c r="D329" s="99">
        <f>VLOOKUP(CurrentMtgRatesDataTable825[[#This Row],[asofdate]],I:J,2,0)</f>
        <v>0.80055479750000003</v>
      </c>
      <c r="E329" s="99">
        <f>VLOOKUP(CurrentMtgRatesDataTable825[[#This Row],[asofdate]],O:P,2,0)</f>
        <v>0.80647081030000001</v>
      </c>
      <c r="F329" s="100">
        <f ca="1">VLOOKUP(CurrentMtgRatesDataTable825[[#This Row],[asofdate]]+1,Bloomberg!B:C,2,0)</f>
        <v>4940.8999999999996</v>
      </c>
      <c r="I329" s="18">
        <v>41116</v>
      </c>
      <c r="J329" s="88">
        <v>0.93847461560000001</v>
      </c>
      <c r="K329" s="88">
        <f>VLOOKUP(CurrentMtgRatesDataTable82527141518[[#This Row],[asofdate]],O:P,2,0)</f>
        <v>0.94697268489999997</v>
      </c>
      <c r="L329" s="88">
        <f>VLOOKUP(CurrentMtgRatesDataTable82527141518[[#This Row],[asofdate]],S:T,2,0)</f>
        <v>0.94697268489999997</v>
      </c>
      <c r="M329" s="6">
        <f ca="1">VLOOKUP(CurrentMtgRatesDataTable82527141518[[#This Row],[asofdate]]+1,Bloomberg!B:C,2,0)</f>
        <v>5492.1</v>
      </c>
      <c r="N329" s="6"/>
      <c r="O329" s="18">
        <v>41088</v>
      </c>
      <c r="P329" s="88">
        <v>0</v>
      </c>
      <c r="Q329" s="101"/>
      <c r="R329" s="101"/>
      <c r="S329" s="18">
        <v>41053</v>
      </c>
      <c r="T329" s="88">
        <v>0.88226737840000002</v>
      </c>
      <c r="V329"/>
    </row>
    <row r="330" spans="2:22">
      <c r="B330" s="98">
        <v>40395</v>
      </c>
      <c r="C330" s="99">
        <v>0.78585671720000005</v>
      </c>
      <c r="D330" s="99">
        <f>VLOOKUP(CurrentMtgRatesDataTable825[[#This Row],[asofdate]],I:J,2,0)</f>
        <v>0.74247622059999996</v>
      </c>
      <c r="E330" s="99">
        <f>VLOOKUP(CurrentMtgRatesDataTable825[[#This Row],[asofdate]],O:P,2,0)</f>
        <v>0.75111371059999998</v>
      </c>
      <c r="F330" s="100">
        <f ca="1">VLOOKUP(CurrentMtgRatesDataTable825[[#This Row],[asofdate]]+1,Bloomberg!B:C,2,0)</f>
        <v>4147.1000000000004</v>
      </c>
      <c r="I330" s="18">
        <v>41109</v>
      </c>
      <c r="J330" s="88">
        <v>0.90802151959999999</v>
      </c>
      <c r="K330" s="88">
        <f>VLOOKUP(CurrentMtgRatesDataTable82527141518[[#This Row],[asofdate]],O:P,2,0)</f>
        <v>0.91750686770000001</v>
      </c>
      <c r="L330" s="88">
        <f>VLOOKUP(CurrentMtgRatesDataTable82527141518[[#This Row],[asofdate]],S:T,2,0)</f>
        <v>0.91750686770000001</v>
      </c>
      <c r="M330" s="6">
        <f ca="1">VLOOKUP(CurrentMtgRatesDataTable82527141518[[#This Row],[asofdate]]+1,Bloomberg!B:C,2,0)</f>
        <v>5383.1</v>
      </c>
      <c r="N330" s="6"/>
      <c r="O330" s="18">
        <v>41081</v>
      </c>
      <c r="P330" s="88">
        <v>0.90056993169999999</v>
      </c>
      <c r="Q330" s="101"/>
      <c r="R330" s="101"/>
      <c r="S330" s="18">
        <v>41046</v>
      </c>
      <c r="T330" s="88">
        <v>0.88764435050000001</v>
      </c>
      <c r="V330"/>
    </row>
    <row r="331" spans="2:22">
      <c r="B331" s="98">
        <v>40388</v>
      </c>
      <c r="C331" s="99">
        <v>0.75383836250000003</v>
      </c>
      <c r="D331" s="99">
        <f>VLOOKUP(CurrentMtgRatesDataTable825[[#This Row],[asofdate]],I:J,2,0)</f>
        <v>0.73524042300000003</v>
      </c>
      <c r="E331" s="99">
        <f>VLOOKUP(CurrentMtgRatesDataTable825[[#This Row],[asofdate]],O:P,2,0)</f>
        <v>0.74030109779999997</v>
      </c>
      <c r="F331" s="100">
        <f ca="1">VLOOKUP(CurrentMtgRatesDataTable825[[#This Row],[asofdate]]+1,Bloomberg!B:C,2,0)</f>
        <v>4155.5</v>
      </c>
      <c r="I331" s="18">
        <v>41102</v>
      </c>
      <c r="J331" s="88">
        <v>0.89776124300000004</v>
      </c>
      <c r="K331" s="88">
        <f>VLOOKUP(CurrentMtgRatesDataTable82527141518[[#This Row],[asofdate]],O:P,2,0)</f>
        <v>0.9082403416</v>
      </c>
      <c r="L331" s="88">
        <f>VLOOKUP(CurrentMtgRatesDataTable82527141518[[#This Row],[asofdate]],S:T,2,0)</f>
        <v>0.9082403416</v>
      </c>
      <c r="M331" s="6">
        <f ca="1">VLOOKUP(CurrentMtgRatesDataTable82527141518[[#This Row],[asofdate]]+1,Bloomberg!B:C,2,0)</f>
        <v>5246.8</v>
      </c>
      <c r="N331" s="6"/>
      <c r="O331" s="18">
        <v>41074</v>
      </c>
      <c r="P331" s="88">
        <v>0</v>
      </c>
      <c r="Q331" s="101"/>
      <c r="R331" s="101"/>
      <c r="S331" s="18">
        <v>41039</v>
      </c>
      <c r="T331" s="88">
        <v>0.87491870630000013</v>
      </c>
      <c r="V331"/>
    </row>
    <row r="332" spans="2:22">
      <c r="B332" s="98">
        <v>40381</v>
      </c>
      <c r="C332" s="99">
        <v>0.74772968299999998</v>
      </c>
      <c r="D332" s="99">
        <f>VLOOKUP(CurrentMtgRatesDataTable825[[#This Row],[asofdate]],I:J,2,0)</f>
        <v>0.72892549139999996</v>
      </c>
      <c r="E332" s="99">
        <f>VLOOKUP(CurrentMtgRatesDataTable825[[#This Row],[asofdate]],O:P,2,0)</f>
        <v>0.73388789970000001</v>
      </c>
      <c r="F332" s="100">
        <f ca="1">VLOOKUP(CurrentMtgRatesDataTable825[[#This Row],[asofdate]]+1,Bloomberg!B:C,2,0)</f>
        <v>4097.3</v>
      </c>
      <c r="I332" s="18">
        <v>41095</v>
      </c>
      <c r="J332" s="88">
        <v>0.87620102830000013</v>
      </c>
      <c r="K332" s="88">
        <f>VLOOKUP(CurrentMtgRatesDataTable82527141518[[#This Row],[asofdate]],O:P,2,0)</f>
        <v>0.88806616589999998</v>
      </c>
      <c r="L332" s="88">
        <f>VLOOKUP(CurrentMtgRatesDataTable82527141518[[#This Row],[asofdate]],S:T,2,0)</f>
        <v>0.88806616589999998</v>
      </c>
      <c r="M332" s="6">
        <f ca="1">VLOOKUP(CurrentMtgRatesDataTable82527141518[[#This Row],[asofdate]]+1,Bloomberg!B:C,2,0)</f>
        <v>4267.8999999999996</v>
      </c>
      <c r="N332" s="6"/>
      <c r="O332" s="18">
        <v>41067</v>
      </c>
      <c r="P332" s="88">
        <v>0.89965355550000004</v>
      </c>
      <c r="Q332" s="101"/>
      <c r="R332" s="101"/>
      <c r="S332" s="18">
        <v>41032</v>
      </c>
      <c r="T332" s="88">
        <v>0.86072182939999997</v>
      </c>
      <c r="V332"/>
    </row>
    <row r="333" spans="2:22">
      <c r="B333" s="98">
        <v>40374</v>
      </c>
      <c r="C333" s="99">
        <v>0.74536445709999999</v>
      </c>
      <c r="D333" s="99">
        <f>VLOOKUP(CurrentMtgRatesDataTable825[[#This Row],[asofdate]],I:J,2,0)</f>
        <v>0.72671387840000001</v>
      </c>
      <c r="E333" s="99">
        <f>VLOOKUP(CurrentMtgRatesDataTable825[[#This Row],[asofdate]],O:P,2,0)</f>
        <v>0</v>
      </c>
      <c r="F333" s="100">
        <f ca="1">VLOOKUP(CurrentMtgRatesDataTable825[[#This Row],[asofdate]]+1,Bloomberg!B:C,2,0)</f>
        <v>4345.3999999999996</v>
      </c>
      <c r="I333" s="18">
        <v>41088</v>
      </c>
      <c r="J333" s="88">
        <v>0.8872665985</v>
      </c>
      <c r="K333" s="88">
        <f>VLOOKUP(CurrentMtgRatesDataTable82527141518[[#This Row],[asofdate]],O:P,2,0)</f>
        <v>0</v>
      </c>
      <c r="L333" s="88">
        <f>VLOOKUP(CurrentMtgRatesDataTable82527141518[[#This Row],[asofdate]],S:T,2,0)</f>
        <v>0.90056993169999999</v>
      </c>
      <c r="M333" s="6">
        <f ca="1">VLOOKUP(CurrentMtgRatesDataTable82527141518[[#This Row],[asofdate]]+1,Bloomberg!B:C,2,0)</f>
        <v>4372.2</v>
      </c>
      <c r="N333" s="6"/>
      <c r="O333" s="18">
        <v>41060</v>
      </c>
      <c r="P333" s="88">
        <v>0.89147575489999997</v>
      </c>
      <c r="Q333" s="101"/>
      <c r="R333" s="101"/>
      <c r="S333" s="18">
        <v>41025</v>
      </c>
      <c r="T333" s="88">
        <v>0.86343855660000002</v>
      </c>
      <c r="V333"/>
    </row>
    <row r="334" spans="2:22">
      <c r="B334" s="98">
        <v>40367</v>
      </c>
      <c r="C334" s="99">
        <v>0.74536445709999999</v>
      </c>
      <c r="D334" s="99">
        <f>VLOOKUP(CurrentMtgRatesDataTable825[[#This Row],[asofdate]],I:J,2,0)</f>
        <v>0.72671387840000001</v>
      </c>
      <c r="E334" s="99">
        <f>VLOOKUP(CurrentMtgRatesDataTable825[[#This Row],[asofdate]],O:P,2,0)</f>
        <v>0.73176841469999998</v>
      </c>
      <c r="F334" s="100">
        <f ca="1">VLOOKUP(CurrentMtgRatesDataTable825[[#This Row],[asofdate]]+1,Bloomberg!B:C,2,0)</f>
        <v>3925.8</v>
      </c>
      <c r="I334" s="18">
        <v>41081</v>
      </c>
      <c r="J334" s="88">
        <v>0.8872665985</v>
      </c>
      <c r="K334" s="88">
        <f>VLOOKUP(CurrentMtgRatesDataTable82527141518[[#This Row],[asofdate]],O:P,2,0)</f>
        <v>0.90056993169999999</v>
      </c>
      <c r="L334" s="88">
        <f>VLOOKUP(CurrentMtgRatesDataTable82527141518[[#This Row],[asofdate]],S:T,2,0)</f>
        <v>0.90056993169999999</v>
      </c>
      <c r="M334" s="6">
        <f ca="1">VLOOKUP(CurrentMtgRatesDataTable82527141518[[#This Row],[asofdate]]+1,Bloomberg!B:C,2,0)</f>
        <v>4585.8</v>
      </c>
      <c r="N334" s="6"/>
      <c r="O334" s="18">
        <v>41053</v>
      </c>
      <c r="P334" s="88">
        <v>0</v>
      </c>
      <c r="Q334" s="101"/>
      <c r="R334" s="101"/>
      <c r="S334" s="18">
        <v>41018</v>
      </c>
      <c r="T334" s="88">
        <v>0.83823138939999997</v>
      </c>
      <c r="V334"/>
    </row>
    <row r="335" spans="2:22">
      <c r="B335" s="98">
        <v>40360</v>
      </c>
      <c r="C335" s="99">
        <v>0.74344977459999995</v>
      </c>
      <c r="D335" s="99">
        <f>VLOOKUP(CurrentMtgRatesDataTable825[[#This Row],[asofdate]],I:J,2,0)</f>
        <v>0.72367057499999998</v>
      </c>
      <c r="E335" s="99">
        <f>VLOOKUP(CurrentMtgRatesDataTable825[[#This Row],[asofdate]],O:P,2,0)</f>
        <v>0.72765926940000003</v>
      </c>
      <c r="F335" s="100">
        <f ca="1">VLOOKUP(CurrentMtgRatesDataTable825[[#This Row],[asofdate]]+1,Bloomberg!B:C,2,0)</f>
        <v>3925.9</v>
      </c>
      <c r="I335" s="18">
        <v>41074</v>
      </c>
      <c r="J335" s="88">
        <v>0.88079307399999995</v>
      </c>
      <c r="K335" s="88">
        <f>VLOOKUP(CurrentMtgRatesDataTable82527141518[[#This Row],[asofdate]],O:P,2,0)</f>
        <v>0</v>
      </c>
      <c r="L335" s="88">
        <f>VLOOKUP(CurrentMtgRatesDataTable82527141518[[#This Row],[asofdate]],S:T,2,0)</f>
        <v>0.89438488940000005</v>
      </c>
      <c r="M335" s="6">
        <f ca="1">VLOOKUP(CurrentMtgRatesDataTable82527141518[[#This Row],[asofdate]]+1,Bloomberg!B:C,2,0)</f>
        <v>4719.6000000000004</v>
      </c>
      <c r="N335" s="6"/>
      <c r="O335" s="18">
        <v>41046</v>
      </c>
      <c r="P335" s="88">
        <v>0.88764435050000001</v>
      </c>
      <c r="Q335" s="101"/>
      <c r="R335" s="101"/>
      <c r="S335" s="18">
        <v>41011</v>
      </c>
      <c r="T335" s="88">
        <v>0.86343855660000002</v>
      </c>
      <c r="V335"/>
    </row>
    <row r="336" spans="2:22">
      <c r="B336" s="98">
        <v>40353</v>
      </c>
      <c r="C336" s="99">
        <v>0.72851500570000005</v>
      </c>
      <c r="D336" s="99">
        <f>VLOOKUP(CurrentMtgRatesDataTable825[[#This Row],[asofdate]],I:J,2,0)</f>
        <v>0.70138216229999994</v>
      </c>
      <c r="E336" s="99">
        <f>VLOOKUP(CurrentMtgRatesDataTable825[[#This Row],[asofdate]],O:P,2,0)</f>
        <v>0.70872060439999995</v>
      </c>
      <c r="F336" s="100">
        <f ca="1">VLOOKUP(CurrentMtgRatesDataTable825[[#This Row],[asofdate]]+1,Bloomberg!B:C,2,0)</f>
        <v>3546.2</v>
      </c>
      <c r="I336" s="18">
        <v>41067</v>
      </c>
      <c r="J336" s="88">
        <v>0.88629215419999996</v>
      </c>
      <c r="K336" s="88">
        <f>VLOOKUP(CurrentMtgRatesDataTable82527141518[[#This Row],[asofdate]],O:P,2,0)</f>
        <v>0.89965355550000004</v>
      </c>
      <c r="L336" s="88">
        <f>VLOOKUP(CurrentMtgRatesDataTable82527141518[[#This Row],[asofdate]],S:T,2,0)</f>
        <v>0.89965355550000004</v>
      </c>
      <c r="M336" s="6">
        <f ca="1">VLOOKUP(CurrentMtgRatesDataTable82527141518[[#This Row],[asofdate]]+1,Bloomberg!B:C,2,0)</f>
        <v>5590</v>
      </c>
      <c r="N336" s="6"/>
      <c r="O336" s="18">
        <v>41039</v>
      </c>
      <c r="P336" s="88">
        <v>0.87491870630000013</v>
      </c>
      <c r="Q336" s="101"/>
      <c r="R336" s="101"/>
      <c r="S336" s="18">
        <v>41004</v>
      </c>
      <c r="T336" s="88">
        <v>2.2369636E-3</v>
      </c>
      <c r="V336"/>
    </row>
    <row r="337" spans="2:22">
      <c r="B337" s="98">
        <v>40346</v>
      </c>
      <c r="C337" s="99">
        <v>0.71486622489999996</v>
      </c>
      <c r="D337" s="99">
        <f>VLOOKUP(CurrentMtgRatesDataTable825[[#This Row],[asofdate]],I:J,2,0)</f>
        <v>0.69108496269999997</v>
      </c>
      <c r="E337" s="99">
        <f>VLOOKUP(CurrentMtgRatesDataTable825[[#This Row],[asofdate]],O:P,2,0)</f>
        <v>0</v>
      </c>
      <c r="F337" s="100">
        <f ca="1">VLOOKUP(CurrentMtgRatesDataTable825[[#This Row],[asofdate]]+1,Bloomberg!B:C,2,0)</f>
        <v>3107.1</v>
      </c>
      <c r="I337" s="18">
        <v>41060</v>
      </c>
      <c r="J337" s="88">
        <v>0.8796629078</v>
      </c>
      <c r="K337" s="88">
        <f>VLOOKUP(CurrentMtgRatesDataTable82527141518[[#This Row],[asofdate]],O:P,2,0)</f>
        <v>0.89147575489999997</v>
      </c>
      <c r="L337" s="88">
        <f>VLOOKUP(CurrentMtgRatesDataTable82527141518[[#This Row],[asofdate]],S:T,2,0)</f>
        <v>0.89147575489999997</v>
      </c>
      <c r="M337" s="6">
        <f ca="1">VLOOKUP(CurrentMtgRatesDataTable82527141518[[#This Row],[asofdate]]+1,Bloomberg!B:C,2,0)</f>
        <v>4736</v>
      </c>
      <c r="N337" s="6"/>
      <c r="O337" s="18">
        <v>41032</v>
      </c>
      <c r="P337" s="88">
        <v>0.86072182939999997</v>
      </c>
      <c r="Q337" s="101"/>
      <c r="R337" s="101"/>
      <c r="S337" s="18">
        <v>40997</v>
      </c>
      <c r="T337" s="88">
        <v>8.9014110000000003E-4</v>
      </c>
      <c r="V337"/>
    </row>
    <row r="338" spans="2:22">
      <c r="B338" s="98">
        <v>40339</v>
      </c>
      <c r="C338" s="99">
        <v>0.72048233520000005</v>
      </c>
      <c r="D338" s="99">
        <f>VLOOKUP(CurrentMtgRatesDataTable825[[#This Row],[asofdate]],I:J,2,0)</f>
        <v>0.69610032779999997</v>
      </c>
      <c r="E338" s="99">
        <f>VLOOKUP(CurrentMtgRatesDataTable825[[#This Row],[asofdate]],O:P,2,0)</f>
        <v>9.2313932999999997E-3</v>
      </c>
      <c r="F338" s="100">
        <f ca="1">VLOOKUP(CurrentMtgRatesDataTable825[[#This Row],[asofdate]]+1,Bloomberg!B:C,2,0)</f>
        <v>3387.8</v>
      </c>
      <c r="I338" s="18">
        <v>41053</v>
      </c>
      <c r="J338" s="88">
        <v>0.87056098630000012</v>
      </c>
      <c r="K338" s="88">
        <f>VLOOKUP(CurrentMtgRatesDataTable82527141518[[#This Row],[asofdate]],O:P,2,0)</f>
        <v>0</v>
      </c>
      <c r="L338" s="88">
        <f>VLOOKUP(CurrentMtgRatesDataTable82527141518[[#This Row],[asofdate]],S:T,2,0)</f>
        <v>0.88226737840000002</v>
      </c>
      <c r="M338" s="6">
        <f ca="1">VLOOKUP(CurrentMtgRatesDataTable82527141518[[#This Row],[asofdate]]+1,Bloomberg!B:C,2,0)</f>
        <v>4675.8999999999996</v>
      </c>
      <c r="N338" s="6"/>
      <c r="O338" s="18">
        <v>41025</v>
      </c>
      <c r="P338" s="88">
        <v>0</v>
      </c>
      <c r="Q338" s="101"/>
      <c r="R338" s="101"/>
      <c r="S338" s="18">
        <v>40990</v>
      </c>
      <c r="T338" s="88">
        <v>4.8966139999999999E-4</v>
      </c>
      <c r="V338"/>
    </row>
    <row r="339" spans="2:22">
      <c r="B339" s="98">
        <v>40332</v>
      </c>
      <c r="C339" s="99">
        <v>0.68469003900000003</v>
      </c>
      <c r="D339" s="99">
        <f>VLOOKUP(CurrentMtgRatesDataTable825[[#This Row],[asofdate]],I:J,2,0)</f>
        <v>0.6738654583</v>
      </c>
      <c r="E339" s="99">
        <f>VLOOKUP(CurrentMtgRatesDataTable825[[#This Row],[asofdate]],O:P,2,0)</f>
        <v>0</v>
      </c>
      <c r="F339" s="100">
        <f ca="1">VLOOKUP(CurrentMtgRatesDataTable825[[#This Row],[asofdate]]+1,Bloomberg!B:C,2,0)</f>
        <v>2781.6</v>
      </c>
      <c r="I339" s="18">
        <v>41046</v>
      </c>
      <c r="J339" s="88">
        <v>0.87586418210000017</v>
      </c>
      <c r="K339" s="88">
        <f>VLOOKUP(CurrentMtgRatesDataTable82527141518[[#This Row],[asofdate]],O:P,2,0)</f>
        <v>0.88764435050000001</v>
      </c>
      <c r="L339" s="88">
        <f>VLOOKUP(CurrentMtgRatesDataTable82527141518[[#This Row],[asofdate]],S:T,2,0)</f>
        <v>0.88764435050000001</v>
      </c>
      <c r="M339" s="6">
        <f ca="1">VLOOKUP(CurrentMtgRatesDataTable82527141518[[#This Row],[asofdate]]+1,Bloomberg!B:C,2,0)</f>
        <v>4732</v>
      </c>
      <c r="N339" s="6"/>
      <c r="O339" s="18">
        <v>41018</v>
      </c>
      <c r="P339" s="88">
        <v>0</v>
      </c>
      <c r="Q339" s="101"/>
      <c r="R339" s="101"/>
      <c r="S339" s="18">
        <v>40983</v>
      </c>
      <c r="T339" s="88">
        <v>0.84200202440000005</v>
      </c>
      <c r="V339"/>
    </row>
    <row r="340" spans="2:22">
      <c r="B340" s="98">
        <v>40325</v>
      </c>
      <c r="C340" s="99">
        <v>0.70986019460000005</v>
      </c>
      <c r="D340" s="99">
        <f>VLOOKUP(CurrentMtgRatesDataTable825[[#This Row],[asofdate]],I:J,2,0)</f>
        <v>0.69456761649999998</v>
      </c>
      <c r="E340" s="99">
        <f>VLOOKUP(CurrentMtgRatesDataTable825[[#This Row],[asofdate]],O:P,2,0)</f>
        <v>3.1171343999999998E-3</v>
      </c>
      <c r="F340" s="100">
        <f ca="1">VLOOKUP(CurrentMtgRatesDataTable825[[#This Row],[asofdate]]+1,Bloomberg!B:C,2,0)</f>
        <v>3239.2</v>
      </c>
      <c r="I340" s="18">
        <v>41039</v>
      </c>
      <c r="J340" s="88">
        <v>0.86299280540000001</v>
      </c>
      <c r="K340" s="88">
        <f>VLOOKUP(CurrentMtgRatesDataTable82527141518[[#This Row],[asofdate]],O:P,2,0)</f>
        <v>0.87491870630000013</v>
      </c>
      <c r="L340" s="88">
        <f>VLOOKUP(CurrentMtgRatesDataTable82527141518[[#This Row],[asofdate]],S:T,2,0)</f>
        <v>0.87491870630000013</v>
      </c>
      <c r="M340" s="6">
        <f ca="1">VLOOKUP(CurrentMtgRatesDataTable82527141518[[#This Row],[asofdate]]+1,Bloomberg!B:C,2,0)</f>
        <v>4482</v>
      </c>
      <c r="N340" s="6"/>
      <c r="O340" s="18">
        <v>41011</v>
      </c>
      <c r="P340" s="88">
        <v>0.86343855660000002</v>
      </c>
      <c r="Q340" s="101"/>
      <c r="R340" s="101"/>
      <c r="S340" s="18">
        <v>40976</v>
      </c>
      <c r="T340" s="88">
        <v>0.86329348699999997</v>
      </c>
      <c r="V340"/>
    </row>
    <row r="341" spans="2:22">
      <c r="B341" s="98">
        <v>40318</v>
      </c>
      <c r="C341" s="99">
        <v>0.6807497723</v>
      </c>
      <c r="D341" s="99">
        <f>VLOOKUP(CurrentMtgRatesDataTable825[[#This Row],[asofdate]],I:J,2,0)</f>
        <v>0.67768762419999995</v>
      </c>
      <c r="E341" s="99">
        <f>VLOOKUP(CurrentMtgRatesDataTable825[[#This Row],[asofdate]],O:P,2,0)</f>
        <v>1.466572E-3</v>
      </c>
      <c r="F341" s="100">
        <f ca="1">VLOOKUP(CurrentMtgRatesDataTable825[[#This Row],[asofdate]]+1,Bloomberg!B:C,2,0)</f>
        <v>3154.9</v>
      </c>
      <c r="I341" s="18">
        <v>41032</v>
      </c>
      <c r="J341" s="88">
        <v>0.84895101809999995</v>
      </c>
      <c r="K341" s="88">
        <f>VLOOKUP(CurrentMtgRatesDataTable82527141518[[#This Row],[asofdate]],O:P,2,0)</f>
        <v>0.86072182939999997</v>
      </c>
      <c r="L341" s="88">
        <f>VLOOKUP(CurrentMtgRatesDataTable82527141518[[#This Row],[asofdate]],S:T,2,0)</f>
        <v>0.86072182939999997</v>
      </c>
      <c r="M341" s="6">
        <f ca="1">VLOOKUP(CurrentMtgRatesDataTable82527141518[[#This Row],[asofdate]]+1,Bloomberg!B:C,2,0)</f>
        <v>3924.4</v>
      </c>
      <c r="N341" s="6"/>
      <c r="O341" s="18">
        <v>41004</v>
      </c>
      <c r="P341" s="88">
        <v>0</v>
      </c>
      <c r="Q341" s="101"/>
      <c r="R341" s="101"/>
      <c r="S341" s="18">
        <v>40969</v>
      </c>
      <c r="T341" s="88">
        <v>0.85264363980000002</v>
      </c>
      <c r="V341"/>
    </row>
    <row r="342" spans="2:22">
      <c r="B342" s="98">
        <v>40311</v>
      </c>
      <c r="C342" s="99">
        <v>0.63168664299999999</v>
      </c>
      <c r="D342" s="99">
        <f>VLOOKUP(CurrentMtgRatesDataTable825[[#This Row],[asofdate]],I:J,2,0)</f>
        <v>0.6468283038</v>
      </c>
      <c r="E342" s="99">
        <f>VLOOKUP(CurrentMtgRatesDataTable825[[#This Row],[asofdate]],O:P,2,0)</f>
        <v>1.5816730000000001E-4</v>
      </c>
      <c r="F342" s="100">
        <f ca="1">VLOOKUP(CurrentMtgRatesDataTable825[[#This Row],[asofdate]]+1,Bloomberg!B:C,2,0)</f>
        <v>2668.6</v>
      </c>
      <c r="I342" s="18">
        <v>41025</v>
      </c>
      <c r="J342" s="88">
        <v>0.84203358969999997</v>
      </c>
      <c r="K342" s="88">
        <f>VLOOKUP(CurrentMtgRatesDataTable82527141518[[#This Row],[asofdate]],O:P,2,0)</f>
        <v>0</v>
      </c>
      <c r="L342" s="88">
        <f>VLOOKUP(CurrentMtgRatesDataTable82527141518[[#This Row],[asofdate]],S:T,2,0)</f>
        <v>0.86343855660000002</v>
      </c>
      <c r="M342" s="6">
        <f ca="1">VLOOKUP(CurrentMtgRatesDataTable82527141518[[#This Row],[asofdate]]+1,Bloomberg!B:C,2,0)</f>
        <v>3856</v>
      </c>
      <c r="N342" s="6"/>
      <c r="O342" s="18">
        <v>40997</v>
      </c>
      <c r="P342" s="88">
        <v>0</v>
      </c>
      <c r="Q342" s="101"/>
      <c r="R342" s="101"/>
      <c r="S342" s="18">
        <v>40962</v>
      </c>
      <c r="T342" s="88">
        <v>0.83966457679999995</v>
      </c>
      <c r="V342"/>
    </row>
    <row r="343" spans="2:22">
      <c r="B343" s="98">
        <v>40304</v>
      </c>
      <c r="C343" s="99">
        <v>0.58772384690000001</v>
      </c>
      <c r="D343" s="99">
        <f>VLOOKUP(CurrentMtgRatesDataTable825[[#This Row],[asofdate]],I:J,2,0)</f>
        <v>0.60766821969999996</v>
      </c>
      <c r="E343" s="99">
        <f>VLOOKUP(CurrentMtgRatesDataTable825[[#This Row],[asofdate]],O:P,2,0)</f>
        <v>0</v>
      </c>
      <c r="F343" s="100">
        <f ca="1">VLOOKUP(CurrentMtgRatesDataTable825[[#This Row],[asofdate]]+1,Bloomberg!B:C,2,0)</f>
        <v>2303.6</v>
      </c>
      <c r="I343" s="18">
        <v>41018</v>
      </c>
      <c r="J343" s="88">
        <v>0.8169023769</v>
      </c>
      <c r="K343" s="88">
        <f>VLOOKUP(CurrentMtgRatesDataTable82527141518[[#This Row],[asofdate]],O:P,2,0)</f>
        <v>0</v>
      </c>
      <c r="L343" s="88">
        <f>VLOOKUP(CurrentMtgRatesDataTable82527141518[[#This Row],[asofdate]],S:T,2,0)</f>
        <v>0.83823138939999997</v>
      </c>
      <c r="M343" s="6">
        <f ca="1">VLOOKUP(CurrentMtgRatesDataTable82527141518[[#This Row],[asofdate]]+1,Bloomberg!B:C,2,0)</f>
        <v>3892.2</v>
      </c>
      <c r="N343" s="6"/>
      <c r="O343" s="18">
        <v>40990</v>
      </c>
      <c r="P343" s="88">
        <v>0</v>
      </c>
      <c r="Q343" s="101"/>
      <c r="R343" s="101"/>
      <c r="S343" s="18">
        <v>40955</v>
      </c>
      <c r="T343" s="88">
        <v>0.88255785369999995</v>
      </c>
      <c r="V343"/>
    </row>
    <row r="344" spans="2:22">
      <c r="B344" s="98">
        <v>40297</v>
      </c>
      <c r="C344" s="99">
        <v>0.56863720760000003</v>
      </c>
      <c r="D344" s="99">
        <f>VLOOKUP(CurrentMtgRatesDataTable825[[#This Row],[asofdate]],I:J,2,0)</f>
        <v>0.58976950910000003</v>
      </c>
      <c r="E344" s="99">
        <f>VLOOKUP(CurrentMtgRatesDataTable825[[#This Row],[asofdate]],O:P,2,0)</f>
        <v>0</v>
      </c>
      <c r="F344" s="100">
        <f ca="1">VLOOKUP(CurrentMtgRatesDataTable825[[#This Row],[asofdate]]+1,Bloomberg!B:C,2,0)</f>
        <v>1953.3</v>
      </c>
      <c r="I344" s="18">
        <v>41011</v>
      </c>
      <c r="J344" s="88">
        <v>0.84203358969999997</v>
      </c>
      <c r="K344" s="88">
        <f>VLOOKUP(CurrentMtgRatesDataTable82527141518[[#This Row],[asofdate]],O:P,2,0)</f>
        <v>0.86343855660000002</v>
      </c>
      <c r="L344" s="88">
        <f>VLOOKUP(CurrentMtgRatesDataTable82527141518[[#This Row],[asofdate]],S:T,2,0)</f>
        <v>0.86343855660000002</v>
      </c>
      <c r="M344" s="6">
        <f ca="1">VLOOKUP(CurrentMtgRatesDataTable82527141518[[#This Row],[asofdate]]+1,Bloomberg!B:C,2,0)</f>
        <v>4144.3</v>
      </c>
      <c r="N344" s="6"/>
      <c r="O344" s="18">
        <v>40983</v>
      </c>
      <c r="P344" s="88">
        <v>0</v>
      </c>
      <c r="Q344" s="101"/>
      <c r="R344" s="101"/>
      <c r="S344" s="18">
        <v>40948</v>
      </c>
      <c r="T344" s="88">
        <v>0.88255785369999995</v>
      </c>
      <c r="V344"/>
    </row>
    <row r="345" spans="2:22">
      <c r="B345" s="98">
        <v>40290</v>
      </c>
      <c r="C345" s="99">
        <v>0.56287953099999999</v>
      </c>
      <c r="D345" s="99">
        <f>VLOOKUP(CurrentMtgRatesDataTable825[[#This Row],[asofdate]],I:J,2,0)</f>
        <v>0.58485987679999996</v>
      </c>
      <c r="E345" s="99">
        <f>VLOOKUP(CurrentMtgRatesDataTable825[[#This Row],[asofdate]],O:P,2,0)</f>
        <v>0</v>
      </c>
      <c r="F345" s="100">
        <f ca="1">VLOOKUP(CurrentMtgRatesDataTable825[[#This Row],[asofdate]]+1,Bloomberg!B:C,2,0)</f>
        <v>1984.5</v>
      </c>
      <c r="I345" s="18">
        <v>41004</v>
      </c>
      <c r="J345" s="88">
        <v>0.7851091738</v>
      </c>
      <c r="K345" s="88">
        <f>VLOOKUP(CurrentMtgRatesDataTable82527141518[[#This Row],[asofdate]],O:P,2,0)</f>
        <v>0</v>
      </c>
      <c r="L345" s="88">
        <f>VLOOKUP(CurrentMtgRatesDataTable82527141518[[#This Row],[asofdate]],S:T,2,0)</f>
        <v>2.2369636E-3</v>
      </c>
      <c r="M345" s="6">
        <f ca="1">VLOOKUP(CurrentMtgRatesDataTable82527141518[[#This Row],[asofdate]]+1,Bloomberg!B:C,2,0)</f>
        <v>3549.3</v>
      </c>
      <c r="N345" s="6"/>
      <c r="O345" s="18">
        <v>40976</v>
      </c>
      <c r="P345" s="88">
        <v>0</v>
      </c>
      <c r="Q345" s="101"/>
      <c r="R345" s="101"/>
      <c r="S345" s="18">
        <v>40941</v>
      </c>
      <c r="T345" s="88">
        <v>0.88255785369999995</v>
      </c>
      <c r="V345"/>
    </row>
    <row r="346" spans="2:22">
      <c r="B346" s="98">
        <v>40283</v>
      </c>
      <c r="C346" s="99">
        <v>0.57665684220000002</v>
      </c>
      <c r="D346" s="99">
        <f>VLOOKUP(CurrentMtgRatesDataTable825[[#This Row],[asofdate]],I:J,2,0)</f>
        <v>0.59695209530000004</v>
      </c>
      <c r="E346" s="99">
        <f>VLOOKUP(CurrentMtgRatesDataTable825[[#This Row],[asofdate]],O:P,2,0)</f>
        <v>0</v>
      </c>
      <c r="F346" s="100">
        <f ca="1">VLOOKUP(CurrentMtgRatesDataTable825[[#This Row],[asofdate]]+1,Bloomberg!B:C,2,0)</f>
        <v>2217</v>
      </c>
      <c r="I346" s="18">
        <v>40997</v>
      </c>
      <c r="J346" s="88">
        <v>0.80252882640000001</v>
      </c>
      <c r="K346" s="88">
        <f>VLOOKUP(CurrentMtgRatesDataTable82527141518[[#This Row],[asofdate]],O:P,2,0)</f>
        <v>0</v>
      </c>
      <c r="L346" s="88">
        <f>VLOOKUP(CurrentMtgRatesDataTable82527141518[[#This Row],[asofdate]],S:T,2,0)</f>
        <v>8.9014110000000003E-4</v>
      </c>
      <c r="M346" s="6">
        <f ca="1">VLOOKUP(CurrentMtgRatesDataTable82527141518[[#This Row],[asofdate]]+1,Bloomberg!B:C,2,0)</f>
        <v>3699.5</v>
      </c>
      <c r="N346" s="6"/>
      <c r="O346" s="18">
        <v>40969</v>
      </c>
      <c r="P346" s="88">
        <v>0</v>
      </c>
      <c r="Q346" s="101"/>
      <c r="R346" s="101"/>
      <c r="S346" s="18">
        <v>40934</v>
      </c>
      <c r="T346" s="88">
        <v>0.85669883179999995</v>
      </c>
      <c r="V346"/>
    </row>
    <row r="347" spans="2:22">
      <c r="B347" s="98">
        <v>40276</v>
      </c>
      <c r="C347" s="99">
        <v>0.50387103229999997</v>
      </c>
      <c r="D347" s="99">
        <f>VLOOKUP(CurrentMtgRatesDataTable825[[#This Row],[asofdate]],I:J,2,0)</f>
        <v>0.53331550019999996</v>
      </c>
      <c r="E347" s="99">
        <f>VLOOKUP(CurrentMtgRatesDataTable825[[#This Row],[asofdate]],O:P,2,0)</f>
        <v>0</v>
      </c>
      <c r="F347" s="100">
        <f ca="1">VLOOKUP(CurrentMtgRatesDataTable825[[#This Row],[asofdate]]+1,Bloomberg!B:C,2,0)</f>
        <v>1892.5</v>
      </c>
      <c r="I347" s="18">
        <v>40990</v>
      </c>
      <c r="J347" s="88">
        <v>0.72921469539999995</v>
      </c>
      <c r="K347" s="88">
        <f>VLOOKUP(CurrentMtgRatesDataTable82527141518[[#This Row],[asofdate]],O:P,2,0)</f>
        <v>0</v>
      </c>
      <c r="L347" s="88">
        <f>VLOOKUP(CurrentMtgRatesDataTable82527141518[[#This Row],[asofdate]],S:T,2,0)</f>
        <v>4.8966139999999999E-4</v>
      </c>
      <c r="M347" s="6">
        <f ca="1">VLOOKUP(CurrentMtgRatesDataTable82527141518[[#This Row],[asofdate]]+1,Bloomberg!B:C,2,0)</f>
        <v>3588.4</v>
      </c>
      <c r="N347" s="6"/>
      <c r="O347" s="18">
        <v>40962</v>
      </c>
      <c r="P347" s="88">
        <v>0</v>
      </c>
      <c r="Q347" s="101"/>
      <c r="R347" s="101"/>
      <c r="S347" s="18">
        <v>40927</v>
      </c>
      <c r="T347" s="88">
        <v>0.89665887389999999</v>
      </c>
      <c r="V347"/>
    </row>
    <row r="348" spans="2:22">
      <c r="B348" s="98">
        <v>40269</v>
      </c>
      <c r="C348" s="99">
        <v>0.55408346909999995</v>
      </c>
      <c r="D348" s="99">
        <f>VLOOKUP(CurrentMtgRatesDataTable825[[#This Row],[asofdate]],I:J,2,0)</f>
        <v>0.57889581359999998</v>
      </c>
      <c r="E348" s="99">
        <f>VLOOKUP(CurrentMtgRatesDataTable825[[#This Row],[asofdate]],O:P,2,0)</f>
        <v>0</v>
      </c>
      <c r="F348" s="100">
        <f ca="1">VLOOKUP(CurrentMtgRatesDataTable825[[#This Row],[asofdate]]+1,Bloomberg!B:C,2,0)</f>
        <v>2051.3000000000002</v>
      </c>
      <c r="I348" s="18">
        <v>40983</v>
      </c>
      <c r="J348" s="88">
        <v>0.82679193510000004</v>
      </c>
      <c r="K348" s="88">
        <f>VLOOKUP(CurrentMtgRatesDataTable82527141518[[#This Row],[asofdate]],O:P,2,0)</f>
        <v>0</v>
      </c>
      <c r="L348" s="88">
        <f>VLOOKUP(CurrentMtgRatesDataTable82527141518[[#This Row],[asofdate]],S:T,2,0)</f>
        <v>0.84200202440000005</v>
      </c>
      <c r="M348" s="6">
        <f ca="1">VLOOKUP(CurrentMtgRatesDataTable82527141518[[#This Row],[asofdate]]+1,Bloomberg!B:C,2,0)</f>
        <v>3715.2</v>
      </c>
      <c r="N348" s="6"/>
      <c r="O348" s="18">
        <v>40955</v>
      </c>
      <c r="P348" s="88">
        <v>0</v>
      </c>
      <c r="Q348" s="101"/>
      <c r="R348" s="101"/>
      <c r="S348" s="18">
        <v>40920</v>
      </c>
      <c r="T348" s="88">
        <v>0.90340695429999995</v>
      </c>
      <c r="V348"/>
    </row>
    <row r="349" spans="2:22">
      <c r="B349" s="98">
        <v>40262</v>
      </c>
      <c r="C349" s="99">
        <v>0.6445245879</v>
      </c>
      <c r="D349" s="99">
        <f>VLOOKUP(CurrentMtgRatesDataTable825[[#This Row],[asofdate]],I:J,2,0)</f>
        <v>0.65506788930000004</v>
      </c>
      <c r="E349" s="99">
        <f>VLOOKUP(CurrentMtgRatesDataTable825[[#This Row],[asofdate]],O:P,2,0)</f>
        <v>0</v>
      </c>
      <c r="F349" s="100">
        <f ca="1">VLOOKUP(CurrentMtgRatesDataTable825[[#This Row],[asofdate]]+1,Bloomberg!B:C,2,0)</f>
        <v>2577.1999999999998</v>
      </c>
      <c r="I349" s="18">
        <v>40976</v>
      </c>
      <c r="J349" s="88">
        <v>0.84815029040000001</v>
      </c>
      <c r="K349" s="88">
        <f>VLOOKUP(CurrentMtgRatesDataTable82527141518[[#This Row],[asofdate]],O:P,2,0)</f>
        <v>0</v>
      </c>
      <c r="L349" s="88">
        <f>VLOOKUP(CurrentMtgRatesDataTable82527141518[[#This Row],[asofdate]],S:T,2,0)</f>
        <v>0.86329348699999997</v>
      </c>
      <c r="M349" s="6">
        <f ca="1">VLOOKUP(CurrentMtgRatesDataTable82527141518[[#This Row],[asofdate]]+1,Bloomberg!B:C,2,0)</f>
        <v>4063.4</v>
      </c>
      <c r="N349" s="6"/>
      <c r="O349" s="18">
        <v>40948</v>
      </c>
      <c r="P349" s="88">
        <v>0</v>
      </c>
      <c r="Q349" s="101"/>
      <c r="R349" s="101"/>
      <c r="S349" s="18">
        <v>40913</v>
      </c>
      <c r="T349" s="88">
        <v>0.87957384130000005</v>
      </c>
      <c r="V349"/>
    </row>
    <row r="350" spans="2:22">
      <c r="B350" s="98">
        <v>40255</v>
      </c>
      <c r="C350" s="99">
        <v>0.64585810600000004</v>
      </c>
      <c r="D350" s="99">
        <f>VLOOKUP(CurrentMtgRatesDataTable825[[#This Row],[asofdate]],I:J,2,0)</f>
        <v>0.65776975140000005</v>
      </c>
      <c r="E350" s="99">
        <f>VLOOKUP(CurrentMtgRatesDataTable825[[#This Row],[asofdate]],O:P,2,0)</f>
        <v>0</v>
      </c>
      <c r="F350" s="100">
        <f ca="1">VLOOKUP(CurrentMtgRatesDataTable825[[#This Row],[asofdate]]+1,Bloomberg!B:C,2,0)</f>
        <v>2617.6999999999998</v>
      </c>
      <c r="I350" s="18">
        <v>40969</v>
      </c>
      <c r="J350" s="88">
        <v>0.83762040559999995</v>
      </c>
      <c r="K350" s="88">
        <f>VLOOKUP(CurrentMtgRatesDataTable82527141518[[#This Row],[asofdate]],O:P,2,0)</f>
        <v>0</v>
      </c>
      <c r="L350" s="88">
        <f>VLOOKUP(CurrentMtgRatesDataTable82527141518[[#This Row],[asofdate]],S:T,2,0)</f>
        <v>0.85264363980000002</v>
      </c>
      <c r="M350" s="6">
        <f ca="1">VLOOKUP(CurrentMtgRatesDataTable82527141518[[#This Row],[asofdate]]+1,Bloomberg!B:C,2,0)</f>
        <v>4277.6000000000004</v>
      </c>
      <c r="N350" s="6"/>
      <c r="O350" s="18">
        <v>40941</v>
      </c>
      <c r="P350" s="88">
        <v>0</v>
      </c>
      <c r="Q350" s="101"/>
      <c r="R350" s="101"/>
      <c r="S350" s="18">
        <v>40906</v>
      </c>
      <c r="T350" s="88">
        <v>0.88875460100000003</v>
      </c>
      <c r="V350"/>
    </row>
    <row r="351" spans="2:22">
      <c r="B351" s="98">
        <v>40248</v>
      </c>
      <c r="C351" s="99">
        <v>0.65681393619999995</v>
      </c>
      <c r="D351" s="99">
        <f>VLOOKUP(CurrentMtgRatesDataTable825[[#This Row],[asofdate]],I:J,2,0)</f>
        <v>0.66654590979999995</v>
      </c>
      <c r="E351" s="99">
        <f>VLOOKUP(CurrentMtgRatesDataTable825[[#This Row],[asofdate]],O:P,2,0)</f>
        <v>0</v>
      </c>
      <c r="F351" s="100">
        <f ca="1">VLOOKUP(CurrentMtgRatesDataTable825[[#This Row],[asofdate]]+1,Bloomberg!B:C,2,0)</f>
        <v>2847.2</v>
      </c>
      <c r="I351" s="18">
        <v>40962</v>
      </c>
      <c r="J351" s="88">
        <v>0.82770309959999999</v>
      </c>
      <c r="K351" s="88">
        <f>VLOOKUP(CurrentMtgRatesDataTable82527141518[[#This Row],[asofdate]],O:P,2,0)</f>
        <v>0</v>
      </c>
      <c r="L351" s="88">
        <f>VLOOKUP(CurrentMtgRatesDataTable82527141518[[#This Row],[asofdate]],S:T,2,0)</f>
        <v>0.83966457679999995</v>
      </c>
      <c r="M351" s="6">
        <f ca="1">VLOOKUP(CurrentMtgRatesDataTable82527141518[[#This Row],[asofdate]]+1,Bloomberg!B:C,2,0)</f>
        <v>4379.1000000000004</v>
      </c>
      <c r="N351" s="6"/>
      <c r="O351" s="18">
        <v>40934</v>
      </c>
      <c r="P351" s="88">
        <v>0</v>
      </c>
      <c r="Q351" s="101"/>
      <c r="R351" s="101"/>
      <c r="S351" s="18">
        <v>40899</v>
      </c>
      <c r="T351" s="88">
        <v>0.90856036139999996</v>
      </c>
      <c r="V351"/>
    </row>
    <row r="352" spans="2:22">
      <c r="B352" s="98">
        <v>40241</v>
      </c>
      <c r="C352" s="99">
        <v>0.64074062669999998</v>
      </c>
      <c r="D352" s="99">
        <f>VLOOKUP(CurrentMtgRatesDataTable825[[#This Row],[asofdate]],I:J,2,0)</f>
        <v>0.65250306709999994</v>
      </c>
      <c r="E352" s="99">
        <f>VLOOKUP(CurrentMtgRatesDataTable825[[#This Row],[asofdate]],O:P,2,0)</f>
        <v>0</v>
      </c>
      <c r="F352" s="100">
        <f ca="1">VLOOKUP(CurrentMtgRatesDataTable825[[#This Row],[asofdate]]+1,Bloomberg!B:C,2,0)</f>
        <v>2937.6</v>
      </c>
      <c r="I352" s="18">
        <v>40955</v>
      </c>
      <c r="J352" s="88">
        <v>0.87084424800000004</v>
      </c>
      <c r="K352" s="88">
        <f>VLOOKUP(CurrentMtgRatesDataTable82527141518[[#This Row],[asofdate]],O:P,2,0)</f>
        <v>0</v>
      </c>
      <c r="L352" s="88">
        <f>VLOOKUP(CurrentMtgRatesDataTable82527141518[[#This Row],[asofdate]],S:T,2,0)</f>
        <v>0.88255785369999995</v>
      </c>
      <c r="M352" s="6">
        <f ca="1">VLOOKUP(CurrentMtgRatesDataTable82527141518[[#This Row],[asofdate]]+1,Bloomberg!B:C,2,0)</f>
        <v>4466.8999999999996</v>
      </c>
      <c r="N352" s="6"/>
      <c r="O352" s="18">
        <v>40927</v>
      </c>
      <c r="P352" s="88">
        <v>0</v>
      </c>
      <c r="Q352" s="101"/>
      <c r="R352" s="101"/>
      <c r="S352" s="18">
        <v>40892</v>
      </c>
      <c r="T352" s="88">
        <v>0.8790605144000001</v>
      </c>
      <c r="V352"/>
    </row>
    <row r="353" spans="2:22">
      <c r="B353" s="98">
        <v>40234</v>
      </c>
      <c r="C353" s="99">
        <v>0.61413878499999996</v>
      </c>
      <c r="D353" s="99">
        <f>VLOOKUP(CurrentMtgRatesDataTable825[[#This Row],[asofdate]],I:J,2,0)</f>
        <v>0.62448061389999998</v>
      </c>
      <c r="E353" s="99">
        <f>VLOOKUP(CurrentMtgRatesDataTable825[[#This Row],[asofdate]],O:P,2,0)</f>
        <v>0</v>
      </c>
      <c r="F353" s="100">
        <f ca="1">VLOOKUP(CurrentMtgRatesDataTable825[[#This Row],[asofdate]]+1,Bloomberg!B:C,2,0)</f>
        <v>2971.5</v>
      </c>
      <c r="I353" s="18">
        <v>40948</v>
      </c>
      <c r="J353" s="88">
        <v>0.87084424800000004</v>
      </c>
      <c r="K353" s="88">
        <f>VLOOKUP(CurrentMtgRatesDataTable82527141518[[#This Row],[asofdate]],O:P,2,0)</f>
        <v>0</v>
      </c>
      <c r="L353" s="88">
        <f>VLOOKUP(CurrentMtgRatesDataTable82527141518[[#This Row],[asofdate]],S:T,2,0)</f>
        <v>0.88255785369999995</v>
      </c>
      <c r="M353" s="6">
        <f ca="1">VLOOKUP(CurrentMtgRatesDataTable82527141518[[#This Row],[asofdate]]+1,Bloomberg!B:C,2,0)</f>
        <v>4716.1000000000004</v>
      </c>
      <c r="N353" s="6"/>
      <c r="O353" s="18">
        <v>40920</v>
      </c>
      <c r="P353" s="88">
        <v>0.90340695429999995</v>
      </c>
      <c r="Q353" s="101"/>
      <c r="R353" s="101"/>
      <c r="S353" s="18">
        <v>40885</v>
      </c>
      <c r="T353" s="88">
        <v>0.86690141399999998</v>
      </c>
      <c r="V353"/>
    </row>
    <row r="354" spans="2:22">
      <c r="B354" s="98">
        <v>40227</v>
      </c>
      <c r="C354" s="99">
        <v>0.68641483309999995</v>
      </c>
      <c r="D354" s="99">
        <f>VLOOKUP(CurrentMtgRatesDataTable825[[#This Row],[asofdate]],I:J,2,0)</f>
        <v>0.69111712089999999</v>
      </c>
      <c r="E354" s="99">
        <f>VLOOKUP(CurrentMtgRatesDataTable825[[#This Row],[asofdate]],O:P,2,0)</f>
        <v>2.6308169999999999E-4</v>
      </c>
      <c r="F354" s="100">
        <f ca="1">VLOOKUP(CurrentMtgRatesDataTable825[[#This Row],[asofdate]]+1,Bloomberg!B:C,2,0)</f>
        <v>2474.9</v>
      </c>
      <c r="I354" s="18">
        <v>40941</v>
      </c>
      <c r="J354" s="88">
        <v>0.87084424800000004</v>
      </c>
      <c r="K354" s="88">
        <f>VLOOKUP(CurrentMtgRatesDataTable82527141518[[#This Row],[asofdate]],O:P,2,0)</f>
        <v>0</v>
      </c>
      <c r="L354" s="88">
        <f>VLOOKUP(CurrentMtgRatesDataTable82527141518[[#This Row],[asofdate]],S:T,2,0)</f>
        <v>0.88255785369999995</v>
      </c>
      <c r="M354" s="6">
        <f ca="1">VLOOKUP(CurrentMtgRatesDataTable82527141518[[#This Row],[asofdate]]+1,Bloomberg!B:C,2,0)</f>
        <v>4617.1000000000004</v>
      </c>
      <c r="N354" s="6"/>
      <c r="O354" s="18">
        <v>40913</v>
      </c>
      <c r="P354" s="88">
        <v>0</v>
      </c>
      <c r="Q354" s="101"/>
      <c r="R354" s="101"/>
      <c r="S354" s="18">
        <v>40878</v>
      </c>
      <c r="T354" s="88">
        <v>0.86220381319999995</v>
      </c>
      <c r="V354"/>
    </row>
    <row r="355" spans="2:22">
      <c r="B355" s="98">
        <v>40220</v>
      </c>
      <c r="C355" s="99">
        <v>0.65499093070000003</v>
      </c>
      <c r="D355" s="99">
        <f>VLOOKUP(CurrentMtgRatesDataTable825[[#This Row],[asofdate]],I:J,2,0)</f>
        <v>0.66582456170000004</v>
      </c>
      <c r="E355" s="99">
        <f>VLOOKUP(CurrentMtgRatesDataTable825[[#This Row],[asofdate]],O:P,2,0)</f>
        <v>0</v>
      </c>
      <c r="F355" s="100">
        <f ca="1">VLOOKUP(CurrentMtgRatesDataTable825[[#This Row],[asofdate]]+1,Bloomberg!B:C,2,0)</f>
        <v>2781.2</v>
      </c>
      <c r="I355" s="18">
        <v>40934</v>
      </c>
      <c r="J355" s="88">
        <v>0.84121601030000004</v>
      </c>
      <c r="K355" s="88">
        <f>VLOOKUP(CurrentMtgRatesDataTable82527141518[[#This Row],[asofdate]],O:P,2,0)</f>
        <v>0</v>
      </c>
      <c r="L355" s="88">
        <f>VLOOKUP(CurrentMtgRatesDataTable82527141518[[#This Row],[asofdate]],S:T,2,0)</f>
        <v>0.85669883179999995</v>
      </c>
      <c r="M355" s="6">
        <f ca="1">VLOOKUP(CurrentMtgRatesDataTable82527141518[[#This Row],[asofdate]]+1,Bloomberg!B:C,2,0)</f>
        <v>4184.3</v>
      </c>
      <c r="N355" s="6"/>
      <c r="O355" s="18">
        <v>40906</v>
      </c>
      <c r="P355" s="88">
        <v>0</v>
      </c>
      <c r="Q355" s="101"/>
      <c r="R355" s="101"/>
      <c r="S355" s="18">
        <v>40870</v>
      </c>
      <c r="T355" s="88">
        <v>0.88385887949999997</v>
      </c>
      <c r="V355"/>
    </row>
    <row r="356" spans="2:22">
      <c r="B356" s="98">
        <v>40213</v>
      </c>
      <c r="C356" s="99">
        <v>0.63505398229999999</v>
      </c>
      <c r="D356" s="99">
        <f>VLOOKUP(CurrentMtgRatesDataTable825[[#This Row],[asofdate]],I:J,2,0)</f>
        <v>0.64576793740000005</v>
      </c>
      <c r="E356" s="99">
        <f>VLOOKUP(CurrentMtgRatesDataTable825[[#This Row],[asofdate]],O:P,2,0)</f>
        <v>0</v>
      </c>
      <c r="F356" s="100">
        <f ca="1">VLOOKUP(CurrentMtgRatesDataTable825[[#This Row],[asofdate]]+1,Bloomberg!B:C,2,0)</f>
        <v>2807.8</v>
      </c>
      <c r="I356" s="18">
        <v>40927</v>
      </c>
      <c r="J356" s="88">
        <v>0.88083441149999997</v>
      </c>
      <c r="K356" s="88">
        <f>VLOOKUP(CurrentMtgRatesDataTable82527141518[[#This Row],[asofdate]],O:P,2,0)</f>
        <v>0</v>
      </c>
      <c r="L356" s="88">
        <f>VLOOKUP(CurrentMtgRatesDataTable82527141518[[#This Row],[asofdate]],S:T,2,0)</f>
        <v>0.89665887389999999</v>
      </c>
      <c r="M356" s="6">
        <f ca="1">VLOOKUP(CurrentMtgRatesDataTable82527141518[[#This Row],[asofdate]]+1,Bloomberg!B:C,2,0)</f>
        <v>4326.3999999999996</v>
      </c>
      <c r="N356" s="6"/>
      <c r="O356" s="18">
        <v>40899</v>
      </c>
      <c r="P356" s="88">
        <v>0.90856036139999996</v>
      </c>
      <c r="Q356" s="101"/>
      <c r="R356" s="101"/>
      <c r="S356" s="18">
        <v>40864</v>
      </c>
      <c r="T356" s="88">
        <v>0.87513643740000013</v>
      </c>
      <c r="V356"/>
    </row>
    <row r="357" spans="2:22">
      <c r="B357" s="98">
        <v>40206</v>
      </c>
      <c r="C357" s="99">
        <v>0.68432757779999998</v>
      </c>
      <c r="D357" s="99">
        <f>VLOOKUP(CurrentMtgRatesDataTable825[[#This Row],[asofdate]],I:J,2,0)</f>
        <v>0.68991820079999999</v>
      </c>
      <c r="E357" s="99">
        <f>VLOOKUP(CurrentMtgRatesDataTable825[[#This Row],[asofdate]],O:P,2,0)</f>
        <v>0</v>
      </c>
      <c r="F357" s="100">
        <f ca="1">VLOOKUP(CurrentMtgRatesDataTable825[[#This Row],[asofdate]]+1,Bloomberg!B:C,2,0)</f>
        <v>2763.6</v>
      </c>
      <c r="I357" s="18">
        <v>40920</v>
      </c>
      <c r="J357" s="88">
        <v>0.88784291530000004</v>
      </c>
      <c r="K357" s="88">
        <f>VLOOKUP(CurrentMtgRatesDataTable82527141518[[#This Row],[asofdate]],O:P,2,0)</f>
        <v>0.90340695429999995</v>
      </c>
      <c r="L357" s="88">
        <f>VLOOKUP(CurrentMtgRatesDataTable82527141518[[#This Row],[asofdate]],S:T,2,0)</f>
        <v>0.90340695429999995</v>
      </c>
      <c r="M357" s="6">
        <f ca="1">VLOOKUP(CurrentMtgRatesDataTable82527141518[[#This Row],[asofdate]]+1,Bloomberg!B:C,2,0)</f>
        <v>4626.5</v>
      </c>
      <c r="N357" s="6"/>
      <c r="O357" s="18">
        <v>40892</v>
      </c>
      <c r="P357" s="88">
        <v>2.1295367999999999E-3</v>
      </c>
      <c r="Q357" s="101"/>
      <c r="R357" s="101"/>
      <c r="S357" s="18">
        <v>40857</v>
      </c>
      <c r="T357" s="88">
        <v>0.87891463359999999</v>
      </c>
      <c r="V357"/>
    </row>
    <row r="358" spans="2:22">
      <c r="B358" s="98">
        <v>40199</v>
      </c>
      <c r="C358" s="99">
        <v>0.66395755720000005</v>
      </c>
      <c r="D358" s="99">
        <f>VLOOKUP(CurrentMtgRatesDataTable825[[#This Row],[asofdate]],I:J,2,0)</f>
        <v>0.66885528780000003</v>
      </c>
      <c r="E358" s="99">
        <f>VLOOKUP(CurrentMtgRatesDataTable825[[#This Row],[asofdate]],O:P,2,0)</f>
        <v>0</v>
      </c>
      <c r="F358" s="100">
        <f ca="1">VLOOKUP(CurrentMtgRatesDataTable825[[#This Row],[asofdate]]+1,Bloomberg!B:C,2,0)</f>
        <v>2192.1</v>
      </c>
      <c r="I358" s="18">
        <v>40913</v>
      </c>
      <c r="J358" s="88">
        <v>0.86358150460000005</v>
      </c>
      <c r="K358" s="88">
        <f>VLOOKUP(CurrentMtgRatesDataTable82527141518[[#This Row],[asofdate]],O:P,2,0)</f>
        <v>0</v>
      </c>
      <c r="L358" s="88">
        <f>VLOOKUP(CurrentMtgRatesDataTable82527141518[[#This Row],[asofdate]],S:T,2,0)</f>
        <v>0.87957384130000005</v>
      </c>
      <c r="M358" s="6">
        <f ca="1">VLOOKUP(CurrentMtgRatesDataTable82527141518[[#This Row],[asofdate]]+1,Bloomberg!B:C,2,0)</f>
        <v>3668.3</v>
      </c>
      <c r="N358" s="6"/>
      <c r="O358" s="18">
        <v>40885</v>
      </c>
      <c r="P358" s="88">
        <v>0</v>
      </c>
      <c r="Q358" s="101"/>
      <c r="R358" s="101"/>
      <c r="S358" s="18">
        <v>40850</v>
      </c>
      <c r="T358" s="88">
        <v>0.87513643740000013</v>
      </c>
      <c r="V358"/>
    </row>
    <row r="359" spans="2:22">
      <c r="B359" s="98">
        <v>40192</v>
      </c>
      <c r="C359" s="99">
        <v>0.62543256140000003</v>
      </c>
      <c r="D359" s="99">
        <f>VLOOKUP(CurrentMtgRatesDataTable825[[#This Row],[asofdate]],I:J,2,0)</f>
        <v>0.63297551340000002</v>
      </c>
      <c r="E359" s="99">
        <f>VLOOKUP(CurrentMtgRatesDataTable825[[#This Row],[asofdate]],O:P,2,0)</f>
        <v>0</v>
      </c>
      <c r="F359" s="100">
        <f ca="1">VLOOKUP(CurrentMtgRatesDataTable825[[#This Row],[asofdate]]+1,Bloomberg!B:C,2,0)</f>
        <v>2638.2</v>
      </c>
      <c r="I359" s="18">
        <v>40906</v>
      </c>
      <c r="J359" s="88">
        <v>0.87669613120000012</v>
      </c>
      <c r="K359" s="88">
        <f>VLOOKUP(CurrentMtgRatesDataTable82527141518[[#This Row],[asofdate]],O:P,2,0)</f>
        <v>0</v>
      </c>
      <c r="L359" s="88">
        <f>VLOOKUP(CurrentMtgRatesDataTable82527141518[[#This Row],[asofdate]],S:T,2,0)</f>
        <v>0.88875460100000003</v>
      </c>
      <c r="M359" s="6">
        <f ca="1">VLOOKUP(CurrentMtgRatesDataTable82527141518[[#This Row],[asofdate]]+1,Bloomberg!B:C,2,0)</f>
        <v>3608.1</v>
      </c>
      <c r="N359" s="6"/>
      <c r="O359" s="18">
        <v>40878</v>
      </c>
      <c r="P359" s="88">
        <v>0</v>
      </c>
      <c r="Q359" s="101"/>
      <c r="R359" s="101"/>
      <c r="S359" s="18">
        <v>40843</v>
      </c>
      <c r="T359" s="88">
        <v>0.81612702500000001</v>
      </c>
      <c r="V359"/>
    </row>
    <row r="360" spans="2:22">
      <c r="B360" s="98">
        <v>40185</v>
      </c>
      <c r="C360" s="99">
        <v>0.60621552560000003</v>
      </c>
      <c r="D360" s="99">
        <f>VLOOKUP(CurrentMtgRatesDataTable825[[#This Row],[asofdate]],I:J,2,0)</f>
        <v>0.61615044070000002</v>
      </c>
      <c r="E360" s="99">
        <f>VLOOKUP(CurrentMtgRatesDataTable825[[#This Row],[asofdate]],O:P,2,0)</f>
        <v>0</v>
      </c>
      <c r="F360" s="100">
        <f ca="1">VLOOKUP(CurrentMtgRatesDataTable825[[#This Row],[asofdate]]+1,Bloomberg!B:C,2,0)</f>
        <v>2430</v>
      </c>
      <c r="I360" s="18">
        <v>40899</v>
      </c>
      <c r="J360" s="88">
        <v>0.8972684339</v>
      </c>
      <c r="K360" s="88">
        <f>VLOOKUP(CurrentMtgRatesDataTable82527141518[[#This Row],[asofdate]],O:P,2,0)</f>
        <v>0.90856036139999996</v>
      </c>
      <c r="L360" s="88">
        <f>VLOOKUP(CurrentMtgRatesDataTable82527141518[[#This Row],[asofdate]],S:T,2,0)</f>
        <v>0.90856036139999996</v>
      </c>
      <c r="M360" s="6">
        <f ca="1">VLOOKUP(CurrentMtgRatesDataTable82527141518[[#This Row],[asofdate]]+1,Bloomberg!B:C,2,0)</f>
        <v>3684.5</v>
      </c>
      <c r="N360" s="6"/>
      <c r="O360" s="18">
        <v>40870</v>
      </c>
      <c r="P360" s="88">
        <v>0</v>
      </c>
      <c r="Q360" s="101"/>
      <c r="R360" s="101"/>
      <c r="S360" s="18">
        <v>40836</v>
      </c>
      <c r="T360" s="88">
        <v>0.81272689200000003</v>
      </c>
      <c r="V360"/>
    </row>
    <row r="361" spans="2:22">
      <c r="B361" s="98">
        <v>40178</v>
      </c>
      <c r="C361" s="99">
        <v>0.58858815880000004</v>
      </c>
      <c r="D361" s="99">
        <f>VLOOKUP(CurrentMtgRatesDataTable825[[#This Row],[asofdate]],I:J,2,0)</f>
        <v>0.60551975010000003</v>
      </c>
      <c r="E361" s="99">
        <f>VLOOKUP(CurrentMtgRatesDataTable825[[#This Row],[asofdate]],O:P,2,0)</f>
        <v>0</v>
      </c>
      <c r="F361" s="100">
        <f ca="1">VLOOKUP(CurrentMtgRatesDataTable825[[#This Row],[asofdate]]+1,Bloomberg!B:C,2,0)</f>
        <v>2021.1</v>
      </c>
      <c r="I361" s="18">
        <v>40892</v>
      </c>
      <c r="J361" s="88">
        <v>0.86830268310000003</v>
      </c>
      <c r="K361" s="88">
        <f>VLOOKUP(CurrentMtgRatesDataTable82527141518[[#This Row],[asofdate]],O:P,2,0)</f>
        <v>2.1295367999999999E-3</v>
      </c>
      <c r="L361" s="88">
        <f>VLOOKUP(CurrentMtgRatesDataTable82527141518[[#This Row],[asofdate]],S:T,2,0)</f>
        <v>0.8790605144000001</v>
      </c>
      <c r="M361" s="6">
        <f ca="1">VLOOKUP(CurrentMtgRatesDataTable82527141518[[#This Row],[asofdate]]+1,Bloomberg!B:C,2,0)</f>
        <v>3676.1</v>
      </c>
      <c r="N361" s="6"/>
      <c r="O361" s="18">
        <v>40864</v>
      </c>
      <c r="P361" s="88">
        <v>0</v>
      </c>
      <c r="Q361" s="101"/>
      <c r="R361" s="101"/>
      <c r="S361" s="18">
        <v>40829</v>
      </c>
      <c r="T361" s="88">
        <v>0.80733350429999995</v>
      </c>
      <c r="V361"/>
    </row>
    <row r="362" spans="2:22">
      <c r="B362" s="98">
        <v>40171</v>
      </c>
      <c r="C362" s="99">
        <v>0.64531897579999997</v>
      </c>
      <c r="D362" s="99">
        <f>VLOOKUP(CurrentMtgRatesDataTable825[[#This Row],[asofdate]],I:J,2,0)</f>
        <v>0.65321657889999996</v>
      </c>
      <c r="E362" s="99">
        <f>VLOOKUP(CurrentMtgRatesDataTable825[[#This Row],[asofdate]],O:P,2,0)</f>
        <v>0</v>
      </c>
      <c r="F362" s="100">
        <f ca="1">VLOOKUP(CurrentMtgRatesDataTable825[[#This Row],[asofdate]]+1,Bloomberg!B:C,2,0)</f>
        <v>2038.4</v>
      </c>
      <c r="I362" s="18">
        <v>40885</v>
      </c>
      <c r="J362" s="88">
        <v>0.85509350650000004</v>
      </c>
      <c r="K362" s="88">
        <f>VLOOKUP(CurrentMtgRatesDataTable82527141518[[#This Row],[asofdate]],O:P,2,0)</f>
        <v>0</v>
      </c>
      <c r="L362" s="88">
        <f>VLOOKUP(CurrentMtgRatesDataTable82527141518[[#This Row],[asofdate]],S:T,2,0)</f>
        <v>0.86690141399999998</v>
      </c>
      <c r="M362" s="6">
        <f ca="1">VLOOKUP(CurrentMtgRatesDataTable82527141518[[#This Row],[asofdate]]+1,Bloomberg!B:C,2,0)</f>
        <v>3708.6</v>
      </c>
      <c r="N362" s="6"/>
      <c r="O362" s="18">
        <v>40857</v>
      </c>
      <c r="P362" s="88">
        <v>0</v>
      </c>
      <c r="Q362" s="101"/>
      <c r="R362" s="101"/>
      <c r="S362" s="18">
        <v>40822</v>
      </c>
      <c r="T362" s="88">
        <v>0.90100497800000001</v>
      </c>
      <c r="V362"/>
    </row>
    <row r="363" spans="2:22">
      <c r="B363" s="98">
        <v>40164</v>
      </c>
      <c r="C363" s="99">
        <v>0.71195240599999998</v>
      </c>
      <c r="D363" s="99">
        <f>VLOOKUP(CurrentMtgRatesDataTable825[[#This Row],[asofdate]],I:J,2,0)</f>
        <v>0.71636738960000002</v>
      </c>
      <c r="E363" s="99">
        <f>VLOOKUP(CurrentMtgRatesDataTable825[[#This Row],[asofdate]],O:P,2,0)</f>
        <v>0</v>
      </c>
      <c r="F363" s="100">
        <f ca="1">VLOOKUP(CurrentMtgRatesDataTable825[[#This Row],[asofdate]]+1,Bloomberg!B:C,2,0)</f>
        <v>2988.7</v>
      </c>
      <c r="I363" s="18">
        <v>40878</v>
      </c>
      <c r="J363" s="88">
        <v>0.85039925940000005</v>
      </c>
      <c r="K363" s="88">
        <f>VLOOKUP(CurrentMtgRatesDataTable82527141518[[#This Row],[asofdate]],O:P,2,0)</f>
        <v>0</v>
      </c>
      <c r="L363" s="88">
        <f>VLOOKUP(CurrentMtgRatesDataTable82527141518[[#This Row],[asofdate]],S:T,2,0)</f>
        <v>0.86220381319999995</v>
      </c>
      <c r="M363" s="6">
        <f ca="1">VLOOKUP(CurrentMtgRatesDataTable82527141518[[#This Row],[asofdate]]+1,Bloomberg!B:C,2,0)</f>
        <v>3394.7</v>
      </c>
      <c r="N363" s="6"/>
      <c r="O363" s="18">
        <v>40850</v>
      </c>
      <c r="P363" s="88">
        <v>0</v>
      </c>
      <c r="Q363" s="101"/>
      <c r="R363" s="101"/>
      <c r="S363" s="18">
        <v>40815</v>
      </c>
      <c r="T363" s="88">
        <v>0.88001209170000005</v>
      </c>
      <c r="V363"/>
    </row>
    <row r="364" spans="2:22">
      <c r="B364" s="98">
        <v>40157</v>
      </c>
      <c r="C364" s="99">
        <v>0.77762352670000001</v>
      </c>
      <c r="D364" s="99">
        <f>VLOOKUP(CurrentMtgRatesDataTable825[[#This Row],[asofdate]],I:J,2,0)</f>
        <v>0.7620794085</v>
      </c>
      <c r="E364" s="99">
        <f>VLOOKUP(CurrentMtgRatesDataTable825[[#This Row],[asofdate]],O:P,2,0)</f>
        <v>0</v>
      </c>
      <c r="F364" s="100">
        <f ca="1">VLOOKUP(CurrentMtgRatesDataTable825[[#This Row],[asofdate]]+1,Bloomberg!B:C,2,0)</f>
        <v>3354</v>
      </c>
      <c r="I364" s="18">
        <v>40870</v>
      </c>
      <c r="J364" s="88">
        <v>0.87619222510000005</v>
      </c>
      <c r="K364" s="88">
        <f>VLOOKUP(CurrentMtgRatesDataTable82527141518[[#This Row],[asofdate]],O:P,2,0)</f>
        <v>0</v>
      </c>
      <c r="L364" s="88">
        <f>VLOOKUP(CurrentMtgRatesDataTable82527141518[[#This Row],[asofdate]],S:T,2,0)</f>
        <v>0.88385887949999997</v>
      </c>
      <c r="M364" s="6" t="e">
        <f ca="1">VLOOKUP(CurrentMtgRatesDataTable82527141518[[#This Row],[asofdate]]+1,Bloomberg!B:C,2,0)</f>
        <v>#N/A</v>
      </c>
      <c r="N364" s="6"/>
      <c r="O364" s="18">
        <v>40843</v>
      </c>
      <c r="P364" s="88">
        <v>0</v>
      </c>
      <c r="Q364" s="101"/>
      <c r="R364" s="101"/>
      <c r="S364" s="18">
        <v>40808</v>
      </c>
      <c r="T364" s="88">
        <v>0.831236211</v>
      </c>
      <c r="V364"/>
    </row>
    <row r="365" spans="2:22">
      <c r="B365" s="98">
        <v>40150</v>
      </c>
      <c r="C365" s="99">
        <v>0.79405461349999995</v>
      </c>
      <c r="D365" s="99">
        <f>VLOOKUP(CurrentMtgRatesDataTable825[[#This Row],[asofdate]],I:J,2,0)</f>
        <v>0.77640701599999995</v>
      </c>
      <c r="E365" s="99">
        <f>VLOOKUP(CurrentMtgRatesDataTable825[[#This Row],[asofdate]],O:P,2,0)</f>
        <v>0.78598206920000002</v>
      </c>
      <c r="F365" s="100">
        <f ca="1">VLOOKUP(CurrentMtgRatesDataTable825[[#This Row],[asofdate]]+1,Bloomberg!B:C,2,0)</f>
        <v>3312.7</v>
      </c>
      <c r="I365" s="18">
        <v>40864</v>
      </c>
      <c r="J365" s="88">
        <v>0.86704241309999996</v>
      </c>
      <c r="K365" s="88">
        <f>VLOOKUP(CurrentMtgRatesDataTable82527141518[[#This Row],[asofdate]],O:P,2,0)</f>
        <v>0</v>
      </c>
      <c r="L365" s="88">
        <f>VLOOKUP(CurrentMtgRatesDataTable82527141518[[#This Row],[asofdate]],S:T,2,0)</f>
        <v>0.87513643740000013</v>
      </c>
      <c r="M365" s="6">
        <f ca="1">VLOOKUP(CurrentMtgRatesDataTable82527141518[[#This Row],[asofdate]]+1,Bloomberg!B:C,2,0)</f>
        <v>3466.8</v>
      </c>
      <c r="N365" s="6"/>
      <c r="O365" s="18">
        <v>40836</v>
      </c>
      <c r="P365" s="88">
        <v>0</v>
      </c>
      <c r="Q365" s="101"/>
      <c r="R365" s="101"/>
      <c r="S365" s="18">
        <v>40801</v>
      </c>
      <c r="T365" s="88">
        <v>0.831236211</v>
      </c>
      <c r="V365"/>
    </row>
    <row r="366" spans="2:22">
      <c r="B366" s="98">
        <v>40142</v>
      </c>
      <c r="C366" s="99">
        <v>0.78805376930000004</v>
      </c>
      <c r="D366" s="99">
        <f>VLOOKUP(CurrentMtgRatesDataTable825[[#This Row],[asofdate]],I:J,2,0)</f>
        <v>0.77700815050000005</v>
      </c>
      <c r="E366" s="99">
        <f>VLOOKUP(CurrentMtgRatesDataTable825[[#This Row],[asofdate]],O:P,2,0)</f>
        <v>3.3409616699999999E-2</v>
      </c>
      <c r="F366" s="100" t="e">
        <f ca="1">VLOOKUP(CurrentMtgRatesDataTable825[[#This Row],[asofdate]]+1,Bloomberg!B:C,2,0)</f>
        <v>#N/A</v>
      </c>
      <c r="I366" s="18">
        <v>40857</v>
      </c>
      <c r="J366" s="88">
        <v>0.87112333040000012</v>
      </c>
      <c r="K366" s="88">
        <f>VLOOKUP(CurrentMtgRatesDataTable82527141518[[#This Row],[asofdate]],O:P,2,0)</f>
        <v>0</v>
      </c>
      <c r="L366" s="88">
        <f>VLOOKUP(CurrentMtgRatesDataTable82527141518[[#This Row],[asofdate]],S:T,2,0)</f>
        <v>0.87891463359999999</v>
      </c>
      <c r="M366" s="6">
        <f ca="1">VLOOKUP(CurrentMtgRatesDataTable82527141518[[#This Row],[asofdate]]+1,Bloomberg!B:C,2,0)</f>
        <v>3664.5</v>
      </c>
      <c r="N366" s="6"/>
      <c r="O366" s="18">
        <v>40829</v>
      </c>
      <c r="P366" s="88">
        <v>0</v>
      </c>
      <c r="Q366" s="101"/>
      <c r="R366" s="101"/>
      <c r="S366" s="18">
        <v>40794</v>
      </c>
      <c r="T366" s="88">
        <v>0.82037518990000002</v>
      </c>
      <c r="V366"/>
    </row>
    <row r="367" spans="2:22">
      <c r="B367" s="98">
        <v>40136</v>
      </c>
      <c r="C367" s="99">
        <v>0.77244808050000002</v>
      </c>
      <c r="D367" s="99">
        <f>VLOOKUP(CurrentMtgRatesDataTable825[[#This Row],[asofdate]],I:J,2,0)</f>
        <v>0.76580420940000005</v>
      </c>
      <c r="E367" s="99">
        <f>VLOOKUP(CurrentMtgRatesDataTable825[[#This Row],[asofdate]],O:P,2,0)</f>
        <v>2.0156244399999999E-2</v>
      </c>
      <c r="F367" s="100">
        <f ca="1">VLOOKUP(CurrentMtgRatesDataTable825[[#This Row],[asofdate]]+1,Bloomberg!B:C,2,0)</f>
        <v>2815.1</v>
      </c>
      <c r="I367" s="18">
        <v>40850</v>
      </c>
      <c r="J367" s="88">
        <v>0.86704241309999996</v>
      </c>
      <c r="K367" s="88">
        <f>VLOOKUP(CurrentMtgRatesDataTable82527141518[[#This Row],[asofdate]],O:P,2,0)</f>
        <v>0</v>
      </c>
      <c r="L367" s="88">
        <f>VLOOKUP(CurrentMtgRatesDataTable82527141518[[#This Row],[asofdate]],S:T,2,0)</f>
        <v>0.87513643740000013</v>
      </c>
      <c r="M367" s="6">
        <f ca="1">VLOOKUP(CurrentMtgRatesDataTable82527141518[[#This Row],[asofdate]]+1,Bloomberg!B:C,2,0)</f>
        <v>4137.6000000000004</v>
      </c>
      <c r="N367" s="6"/>
      <c r="O367" s="18">
        <v>40822</v>
      </c>
      <c r="P367" s="88">
        <v>0.90100497800000001</v>
      </c>
      <c r="Q367" s="101"/>
      <c r="R367" s="101"/>
      <c r="S367" s="18">
        <v>40787</v>
      </c>
      <c r="T367" s="88">
        <v>0.77548742429999995</v>
      </c>
      <c r="V367"/>
    </row>
    <row r="368" spans="2:22">
      <c r="B368" s="98">
        <v>40129</v>
      </c>
      <c r="C368" s="99">
        <v>0.73860401099999995</v>
      </c>
      <c r="D368" s="99">
        <f>VLOOKUP(CurrentMtgRatesDataTable825[[#This Row],[asofdate]],I:J,2,0)</f>
        <v>0.74162504559999998</v>
      </c>
      <c r="E368" s="99">
        <f>VLOOKUP(CurrentMtgRatesDataTable825[[#This Row],[asofdate]],O:P,2,0)</f>
        <v>0</v>
      </c>
      <c r="F368" s="100">
        <f ca="1">VLOOKUP(CurrentMtgRatesDataTable825[[#This Row],[asofdate]]+1,Bloomberg!B:C,2,0)</f>
        <v>3117</v>
      </c>
      <c r="I368" s="18">
        <v>40843</v>
      </c>
      <c r="J368" s="88">
        <v>0.81039755680000003</v>
      </c>
      <c r="K368" s="88">
        <f>VLOOKUP(CurrentMtgRatesDataTable82527141518[[#This Row],[asofdate]],O:P,2,0)</f>
        <v>0</v>
      </c>
      <c r="L368" s="88">
        <f>VLOOKUP(CurrentMtgRatesDataTable82527141518[[#This Row],[asofdate]],S:T,2,0)</f>
        <v>0.81612702500000001</v>
      </c>
      <c r="M368" s="6">
        <f ca="1">VLOOKUP(CurrentMtgRatesDataTable82527141518[[#This Row],[asofdate]]+1,Bloomberg!B:C,2,0)</f>
        <v>3695</v>
      </c>
      <c r="N368" s="6"/>
      <c r="O368" s="18">
        <v>40815</v>
      </c>
      <c r="P368" s="88">
        <v>0.88001209170000005</v>
      </c>
      <c r="Q368" s="101"/>
      <c r="R368" s="101"/>
      <c r="S368" s="18">
        <v>40780</v>
      </c>
      <c r="T368" s="88">
        <v>0.77244133800000003</v>
      </c>
      <c r="V368"/>
    </row>
    <row r="369" spans="2:22">
      <c r="B369" s="98">
        <v>40122</v>
      </c>
      <c r="C369" s="99">
        <v>0.69334613379999999</v>
      </c>
      <c r="D369" s="99">
        <f>VLOOKUP(CurrentMtgRatesDataTable825[[#This Row],[asofdate]],I:J,2,0)</f>
        <v>0.70148640669999995</v>
      </c>
      <c r="E369" s="99">
        <f>VLOOKUP(CurrentMtgRatesDataTable825[[#This Row],[asofdate]],O:P,2,0)</f>
        <v>0</v>
      </c>
      <c r="F369" s="100">
        <f ca="1">VLOOKUP(CurrentMtgRatesDataTable825[[#This Row],[asofdate]]+1,Bloomberg!B:C,2,0)</f>
        <v>2996</v>
      </c>
      <c r="I369" s="18">
        <v>40836</v>
      </c>
      <c r="J369" s="88">
        <v>0.80686109110000004</v>
      </c>
      <c r="K369" s="88">
        <f>VLOOKUP(CurrentMtgRatesDataTable82527141518[[#This Row],[asofdate]],O:P,2,0)</f>
        <v>0</v>
      </c>
      <c r="L369" s="88">
        <f>VLOOKUP(CurrentMtgRatesDataTable82527141518[[#This Row],[asofdate]],S:T,2,0)</f>
        <v>0.81272689200000003</v>
      </c>
      <c r="M369" s="6">
        <f ca="1">VLOOKUP(CurrentMtgRatesDataTable82527141518[[#This Row],[asofdate]]+1,Bloomberg!B:C,2,0)</f>
        <v>3719.3</v>
      </c>
      <c r="N369" s="6"/>
      <c r="O369" s="18">
        <v>40808</v>
      </c>
      <c r="P369" s="88">
        <v>0</v>
      </c>
      <c r="Q369" s="101"/>
      <c r="R369" s="101"/>
      <c r="S369" s="18">
        <v>40773</v>
      </c>
      <c r="T369" s="88">
        <v>0.80075088969999997</v>
      </c>
      <c r="V369"/>
    </row>
    <row r="370" spans="2:22">
      <c r="B370" s="98">
        <v>40115</v>
      </c>
      <c r="C370" s="99">
        <v>0.68194236509999995</v>
      </c>
      <c r="D370" s="99">
        <f>VLOOKUP(CurrentMtgRatesDataTable825[[#This Row],[asofdate]],I:J,2,0)</f>
        <v>0.68724873819999999</v>
      </c>
      <c r="E370" s="99">
        <f>VLOOKUP(CurrentMtgRatesDataTable825[[#This Row],[asofdate]],O:P,2,0)</f>
        <v>0</v>
      </c>
      <c r="F370" s="100">
        <f ca="1">VLOOKUP(CurrentMtgRatesDataTable825[[#This Row],[asofdate]]+1,Bloomberg!B:C,2,0)</f>
        <v>2715.2</v>
      </c>
      <c r="I370" s="18">
        <v>40829</v>
      </c>
      <c r="J370" s="88">
        <v>0.80164173949999995</v>
      </c>
      <c r="K370" s="88">
        <f>VLOOKUP(CurrentMtgRatesDataTable82527141518[[#This Row],[asofdate]],O:P,2,0)</f>
        <v>0</v>
      </c>
      <c r="L370" s="88">
        <f>VLOOKUP(CurrentMtgRatesDataTable82527141518[[#This Row],[asofdate]],S:T,2,0)</f>
        <v>0.80733350429999995</v>
      </c>
      <c r="M370" s="6">
        <f ca="1">VLOOKUP(CurrentMtgRatesDataTable82527141518[[#This Row],[asofdate]]+1,Bloomberg!B:C,2,0)</f>
        <v>3553.2</v>
      </c>
      <c r="N370" s="6"/>
      <c r="O370" s="18">
        <v>40801</v>
      </c>
      <c r="P370" s="88">
        <v>0.831236211</v>
      </c>
      <c r="Q370" s="101"/>
      <c r="R370" s="101"/>
      <c r="S370" s="18">
        <v>40766</v>
      </c>
      <c r="T370" s="88">
        <v>0.72841106899999997</v>
      </c>
      <c r="V370"/>
    </row>
    <row r="371" spans="2:22">
      <c r="B371" s="98">
        <v>40108</v>
      </c>
      <c r="C371" s="99">
        <v>0.70027208269999996</v>
      </c>
      <c r="D371" s="99">
        <f>VLOOKUP(CurrentMtgRatesDataTable825[[#This Row],[asofdate]],I:J,2,0)</f>
        <v>0.70448450740000002</v>
      </c>
      <c r="E371" s="99">
        <f>VLOOKUP(CurrentMtgRatesDataTable825[[#This Row],[asofdate]],O:P,2,0)</f>
        <v>0</v>
      </c>
      <c r="F371" s="100">
        <f ca="1">VLOOKUP(CurrentMtgRatesDataTable825[[#This Row],[asofdate]]+1,Bloomberg!B:C,2,0)</f>
        <v>2304</v>
      </c>
      <c r="I371" s="18">
        <v>40822</v>
      </c>
      <c r="J371" s="88">
        <v>0.89829081580000003</v>
      </c>
      <c r="K371" s="88">
        <f>VLOOKUP(CurrentMtgRatesDataTable82527141518[[#This Row],[asofdate]],O:P,2,0)</f>
        <v>0.90100497800000001</v>
      </c>
      <c r="L371" s="88">
        <f>VLOOKUP(CurrentMtgRatesDataTable82527141518[[#This Row],[asofdate]],S:T,2,0)</f>
        <v>0.90100497800000001</v>
      </c>
      <c r="M371" s="6">
        <f ca="1">VLOOKUP(CurrentMtgRatesDataTable82527141518[[#This Row],[asofdate]]+1,Bloomberg!B:C,2,0)</f>
        <v>4251.1000000000004</v>
      </c>
      <c r="N371" s="6"/>
      <c r="O371" s="18">
        <v>40794</v>
      </c>
      <c r="P371" s="88">
        <v>0.82037518990000002</v>
      </c>
      <c r="Q371" s="101"/>
      <c r="R371" s="101"/>
      <c r="S371" s="18">
        <v>40759</v>
      </c>
      <c r="T371" s="88">
        <v>2.5203096299999998E-2</v>
      </c>
      <c r="V371"/>
    </row>
    <row r="372" spans="2:22">
      <c r="B372" s="98">
        <v>40101</v>
      </c>
      <c r="C372" s="99">
        <v>0.74934790669999995</v>
      </c>
      <c r="D372" s="99">
        <f>VLOOKUP(CurrentMtgRatesDataTable825[[#This Row],[asofdate]],I:J,2,0)</f>
        <v>0.74985199540000003</v>
      </c>
      <c r="E372" s="99">
        <f>VLOOKUP(CurrentMtgRatesDataTable825[[#This Row],[asofdate]],O:P,2,0)</f>
        <v>0</v>
      </c>
      <c r="F372" s="100">
        <f ca="1">VLOOKUP(CurrentMtgRatesDataTable825[[#This Row],[asofdate]]+1,Bloomberg!B:C,2,0)</f>
        <v>2774.7</v>
      </c>
      <c r="I372" s="18">
        <v>40815</v>
      </c>
      <c r="J372" s="88">
        <v>0.87872018210000014</v>
      </c>
      <c r="K372" s="88">
        <f>VLOOKUP(CurrentMtgRatesDataTable82527141518[[#This Row],[asofdate]],O:P,2,0)</f>
        <v>0.88001209170000005</v>
      </c>
      <c r="L372" s="88">
        <f>VLOOKUP(CurrentMtgRatesDataTable82527141518[[#This Row],[asofdate]],S:T,2,0)</f>
        <v>0.88001209170000005</v>
      </c>
      <c r="M372" s="6">
        <f ca="1">VLOOKUP(CurrentMtgRatesDataTable82527141518[[#This Row],[asofdate]]+1,Bloomberg!B:C,2,0)</f>
        <v>4241.8</v>
      </c>
      <c r="N372" s="6"/>
      <c r="O372" s="18">
        <v>40787</v>
      </c>
      <c r="P372" s="88">
        <v>0</v>
      </c>
      <c r="Q372" s="101"/>
      <c r="R372" s="101"/>
      <c r="S372" s="18">
        <v>40752</v>
      </c>
      <c r="T372" s="88">
        <v>6.1472135999999997E-3</v>
      </c>
      <c r="V372"/>
    </row>
    <row r="373" spans="2:22">
      <c r="B373" s="98">
        <v>40094</v>
      </c>
      <c r="C373" s="99">
        <v>0.77259198549999997</v>
      </c>
      <c r="D373" s="99">
        <f>VLOOKUP(CurrentMtgRatesDataTable825[[#This Row],[asofdate]],I:J,2,0)</f>
        <v>0.76805153579999996</v>
      </c>
      <c r="E373" s="99">
        <f>VLOOKUP(CurrentMtgRatesDataTable825[[#This Row],[asofdate]],O:P,2,0)</f>
        <v>1.35183553E-2</v>
      </c>
      <c r="F373" s="100">
        <f ca="1">VLOOKUP(CurrentMtgRatesDataTable825[[#This Row],[asofdate]]+1,Bloomberg!B:C,2,0)</f>
        <v>3280.3</v>
      </c>
      <c r="I373" s="18">
        <v>40808</v>
      </c>
      <c r="J373" s="88">
        <v>0.82856300979999997</v>
      </c>
      <c r="K373" s="88">
        <f>VLOOKUP(CurrentMtgRatesDataTable82527141518[[#This Row],[asofdate]],O:P,2,0)</f>
        <v>0</v>
      </c>
      <c r="L373" s="88">
        <f>VLOOKUP(CurrentMtgRatesDataTable82527141518[[#This Row],[asofdate]],S:T,2,0)</f>
        <v>0.831236211</v>
      </c>
      <c r="M373" s="6">
        <f ca="1">VLOOKUP(CurrentMtgRatesDataTable82527141518[[#This Row],[asofdate]]+1,Bloomberg!B:C,2,0)</f>
        <v>4512.1000000000004</v>
      </c>
      <c r="N373" s="6"/>
      <c r="O373" s="18">
        <v>40780</v>
      </c>
      <c r="P373" s="88">
        <v>0</v>
      </c>
      <c r="Q373" s="101"/>
      <c r="R373" s="101"/>
      <c r="S373" s="18">
        <v>40745</v>
      </c>
      <c r="T373" s="88">
        <v>8.0481497999999995E-3</v>
      </c>
      <c r="V373"/>
    </row>
    <row r="374" spans="2:22">
      <c r="B374" s="98">
        <v>40087</v>
      </c>
      <c r="C374" s="99">
        <v>0.73905376229999997</v>
      </c>
      <c r="D374" s="99">
        <f>VLOOKUP(CurrentMtgRatesDataTable825[[#This Row],[asofdate]],I:J,2,0)</f>
        <v>0.7410248988</v>
      </c>
      <c r="E374" s="99">
        <f>VLOOKUP(CurrentMtgRatesDataTable825[[#This Row],[asofdate]],O:P,2,0)</f>
        <v>6.9745071E-3</v>
      </c>
      <c r="F374" s="100">
        <f ca="1">VLOOKUP(CurrentMtgRatesDataTable825[[#This Row],[asofdate]]+1,Bloomberg!B:C,2,0)</f>
        <v>3230.9</v>
      </c>
      <c r="I374" s="18">
        <v>40801</v>
      </c>
      <c r="J374" s="88">
        <v>0.82856300979999997</v>
      </c>
      <c r="K374" s="88">
        <f>VLOOKUP(CurrentMtgRatesDataTable82527141518[[#This Row],[asofdate]],O:P,2,0)</f>
        <v>0.831236211</v>
      </c>
      <c r="L374" s="88">
        <f>VLOOKUP(CurrentMtgRatesDataTable82527141518[[#This Row],[asofdate]],S:T,2,0)</f>
        <v>0.831236211</v>
      </c>
      <c r="M374" s="6">
        <f ca="1">VLOOKUP(CurrentMtgRatesDataTable82527141518[[#This Row],[asofdate]]+1,Bloomberg!B:C,2,0)</f>
        <v>4033.8</v>
      </c>
      <c r="N374" s="6"/>
      <c r="O374" s="18">
        <v>40773</v>
      </c>
      <c r="P374" s="88">
        <v>0.80075088969999997</v>
      </c>
      <c r="Q374" s="101"/>
      <c r="R374" s="101"/>
      <c r="S374" s="18">
        <v>40738</v>
      </c>
      <c r="T374" s="88">
        <v>8.3016954999999993E-3</v>
      </c>
      <c r="V374"/>
    </row>
    <row r="375" spans="2:22">
      <c r="B375" s="98">
        <v>40080</v>
      </c>
      <c r="C375" s="99">
        <v>0.7101193495</v>
      </c>
      <c r="D375" s="99">
        <f>VLOOKUP(CurrentMtgRatesDataTable825[[#This Row],[asofdate]],I:J,2,0)</f>
        <v>0.70958591199999999</v>
      </c>
      <c r="E375" s="99">
        <f>VLOOKUP(CurrentMtgRatesDataTable825[[#This Row],[asofdate]],O:P,2,0)</f>
        <v>4.8863613000000002E-3</v>
      </c>
      <c r="F375" s="100">
        <f ca="1">VLOOKUP(CurrentMtgRatesDataTable825[[#This Row],[asofdate]]+1,Bloomberg!B:C,2,0)</f>
        <v>2655.8</v>
      </c>
      <c r="I375" s="18">
        <v>40794</v>
      </c>
      <c r="J375" s="88">
        <v>0.81764657090000004</v>
      </c>
      <c r="K375" s="88">
        <f>VLOOKUP(CurrentMtgRatesDataTable82527141518[[#This Row],[asofdate]],O:P,2,0)</f>
        <v>0.82037518990000002</v>
      </c>
      <c r="L375" s="88">
        <f>VLOOKUP(CurrentMtgRatesDataTable82527141518[[#This Row],[asofdate]],S:T,2,0)</f>
        <v>0.82037518990000002</v>
      </c>
      <c r="M375" s="6">
        <f ca="1">VLOOKUP(CurrentMtgRatesDataTable82527141518[[#This Row],[asofdate]]+1,Bloomberg!B:C,2,0)</f>
        <v>3571.7</v>
      </c>
      <c r="N375" s="6"/>
      <c r="O375" s="18">
        <v>40766</v>
      </c>
      <c r="P375" s="88">
        <v>3.3696033799999997E-2</v>
      </c>
      <c r="Q375" s="101"/>
      <c r="R375" s="101"/>
      <c r="S375" s="18">
        <v>40731</v>
      </c>
      <c r="T375" s="88">
        <v>5.7767790000000001E-3</v>
      </c>
      <c r="V375"/>
    </row>
    <row r="376" spans="2:22">
      <c r="B376" s="98">
        <v>40073</v>
      </c>
      <c r="C376" s="99">
        <v>0.69825520549999998</v>
      </c>
      <c r="D376" s="99">
        <f>VLOOKUP(CurrentMtgRatesDataTable825[[#This Row],[asofdate]],I:J,2,0)</f>
        <v>0.69634310190000004</v>
      </c>
      <c r="E376" s="99">
        <f>VLOOKUP(CurrentMtgRatesDataTable825[[#This Row],[asofdate]],O:P,2,0)</f>
        <v>4.7932620000000004E-3</v>
      </c>
      <c r="F376" s="100">
        <f ca="1">VLOOKUP(CurrentMtgRatesDataTable825[[#This Row],[asofdate]]+1,Bloomberg!B:C,2,0)</f>
        <v>2632.2</v>
      </c>
      <c r="I376" s="18">
        <v>40787</v>
      </c>
      <c r="J376" s="88">
        <v>0.77153651899999998</v>
      </c>
      <c r="K376" s="88">
        <f>VLOOKUP(CurrentMtgRatesDataTable82527141518[[#This Row],[asofdate]],O:P,2,0)</f>
        <v>0</v>
      </c>
      <c r="L376" s="88">
        <f>VLOOKUP(CurrentMtgRatesDataTable82527141518[[#This Row],[asofdate]],S:T,2,0)</f>
        <v>0.77548742429999995</v>
      </c>
      <c r="M376" s="6">
        <f ca="1">VLOOKUP(CurrentMtgRatesDataTable82527141518[[#This Row],[asofdate]]+1,Bloomberg!B:C,2,0)</f>
        <v>3372</v>
      </c>
      <c r="N376" s="6"/>
      <c r="O376" s="18">
        <v>40759</v>
      </c>
      <c r="P376" s="88">
        <v>2.1094077400000001E-2</v>
      </c>
      <c r="Q376" s="101"/>
      <c r="R376" s="101"/>
      <c r="S376" s="18">
        <v>40724</v>
      </c>
      <c r="T376" s="88">
        <v>6.1511036999999996E-3</v>
      </c>
      <c r="V376"/>
    </row>
    <row r="377" spans="2:22">
      <c r="B377" s="98">
        <v>40066</v>
      </c>
      <c r="C377" s="99">
        <v>0.68080495220000004</v>
      </c>
      <c r="D377" s="99">
        <f>VLOOKUP(CurrentMtgRatesDataTable825[[#This Row],[asofdate]],I:J,2,0)</f>
        <v>0.6810097799</v>
      </c>
      <c r="E377" s="99">
        <f>VLOOKUP(CurrentMtgRatesDataTable825[[#This Row],[asofdate]],O:P,2,0)</f>
        <v>4.6539607999999998E-3</v>
      </c>
      <c r="F377" s="100">
        <f ca="1">VLOOKUP(CurrentMtgRatesDataTable825[[#This Row],[asofdate]]+1,Bloomberg!B:C,2,0)</f>
        <v>2216.3000000000002</v>
      </c>
      <c r="I377" s="18">
        <v>40780</v>
      </c>
      <c r="J377" s="88">
        <v>0.77161547419999998</v>
      </c>
      <c r="K377" s="88">
        <f>VLOOKUP(CurrentMtgRatesDataTable82527141518[[#This Row],[asofdate]],O:P,2,0)</f>
        <v>0</v>
      </c>
      <c r="L377" s="88">
        <f>VLOOKUP(CurrentMtgRatesDataTable82527141518[[#This Row],[asofdate]],S:T,2,0)</f>
        <v>0.77244133800000003</v>
      </c>
      <c r="M377" s="6">
        <f ca="1">VLOOKUP(CurrentMtgRatesDataTable82527141518[[#This Row],[asofdate]]+1,Bloomberg!B:C,2,0)</f>
        <v>3601.3</v>
      </c>
      <c r="N377" s="6"/>
      <c r="O377" s="18">
        <v>40752</v>
      </c>
      <c r="P377" s="88">
        <v>0</v>
      </c>
      <c r="Q377" s="101"/>
      <c r="R377" s="101"/>
      <c r="S377" s="18">
        <v>40717</v>
      </c>
      <c r="T377" s="88">
        <v>5.8316946000000003E-3</v>
      </c>
      <c r="V377"/>
    </row>
    <row r="378" spans="2:22">
      <c r="B378" s="98">
        <v>40059</v>
      </c>
      <c r="C378" s="99">
        <v>0.67081675360000004</v>
      </c>
      <c r="D378" s="99">
        <f>VLOOKUP(CurrentMtgRatesDataTable825[[#This Row],[asofdate]],I:J,2,0)</f>
        <v>0.67341536420000003</v>
      </c>
      <c r="E378" s="99">
        <f>VLOOKUP(CurrentMtgRatesDataTable825[[#This Row],[asofdate]],O:P,2,0)</f>
        <v>4.6251838E-3</v>
      </c>
      <c r="F378" s="100">
        <f ca="1">VLOOKUP(CurrentMtgRatesDataTable825[[#This Row],[asofdate]]+1,Bloomberg!B:C,2,0)</f>
        <v>2383.6999999999998</v>
      </c>
      <c r="I378" s="18">
        <v>40773</v>
      </c>
      <c r="J378" s="88">
        <v>0.79952569529999984</v>
      </c>
      <c r="K378" s="88">
        <f>VLOOKUP(CurrentMtgRatesDataTable82527141518[[#This Row],[asofdate]],O:P,2,0)</f>
        <v>0.80075088969999997</v>
      </c>
      <c r="L378" s="88">
        <f>VLOOKUP(CurrentMtgRatesDataTable82527141518[[#This Row],[asofdate]],S:T,2,0)</f>
        <v>0.80075088969999997</v>
      </c>
      <c r="M378" s="6">
        <f ca="1">VLOOKUP(CurrentMtgRatesDataTable82527141518[[#This Row],[asofdate]]+1,Bloomberg!B:C,2,0)</f>
        <v>4110.8</v>
      </c>
      <c r="N378" s="6"/>
      <c r="O378" s="18">
        <v>40745</v>
      </c>
      <c r="P378" s="88">
        <v>0</v>
      </c>
      <c r="Q378" s="101"/>
      <c r="R378" s="101"/>
      <c r="S378" s="18">
        <v>40710</v>
      </c>
      <c r="T378" s="88">
        <v>6.5643847000000002E-3</v>
      </c>
      <c r="V378"/>
    </row>
    <row r="379" spans="2:22">
      <c r="B379" s="98">
        <v>40052</v>
      </c>
      <c r="C379" s="99">
        <v>0.65629975750000002</v>
      </c>
      <c r="D379" s="99">
        <f>VLOOKUP(CurrentMtgRatesDataTable825[[#This Row],[asofdate]],I:J,2,0)</f>
        <v>0.6619085374</v>
      </c>
      <c r="E379" s="99">
        <f>VLOOKUP(CurrentMtgRatesDataTable825[[#This Row],[asofdate]],O:P,2,0)</f>
        <v>0</v>
      </c>
      <c r="F379" s="100">
        <f ca="1">VLOOKUP(CurrentMtgRatesDataTable825[[#This Row],[asofdate]]+1,Bloomberg!B:C,2,0)</f>
        <v>1955.9</v>
      </c>
      <c r="I379" s="18">
        <v>40766</v>
      </c>
      <c r="J379" s="88">
        <v>0.72632980079999998</v>
      </c>
      <c r="K379" s="88">
        <f>VLOOKUP(CurrentMtgRatesDataTable82527141518[[#This Row],[asofdate]],O:P,2,0)</f>
        <v>3.3696033799999997E-2</v>
      </c>
      <c r="L379" s="88">
        <f>VLOOKUP(CurrentMtgRatesDataTable82527141518[[#This Row],[asofdate]],S:T,2,0)</f>
        <v>0.72841106899999997</v>
      </c>
      <c r="M379" s="6">
        <f ca="1">VLOOKUP(CurrentMtgRatesDataTable82527141518[[#This Row],[asofdate]]+1,Bloomberg!B:C,2,0)</f>
        <v>4184.3999999999996</v>
      </c>
      <c r="N379" s="6"/>
      <c r="O379" s="18">
        <v>40738</v>
      </c>
      <c r="P379" s="88">
        <v>0</v>
      </c>
      <c r="Q379" s="101"/>
      <c r="R379" s="101"/>
      <c r="S379" s="18">
        <v>40703</v>
      </c>
      <c r="T379" s="88">
        <v>6.9230252000000003E-3</v>
      </c>
      <c r="V379"/>
    </row>
    <row r="380" spans="2:22">
      <c r="B380" s="98">
        <v>40045</v>
      </c>
      <c r="C380" s="99">
        <v>0.67752276570000003</v>
      </c>
      <c r="D380" s="99">
        <f>VLOOKUP(CurrentMtgRatesDataTable825[[#This Row],[asofdate]],I:J,2,0)</f>
        <v>0.67531565459999998</v>
      </c>
      <c r="E380" s="99">
        <f>VLOOKUP(CurrentMtgRatesDataTable825[[#This Row],[asofdate]],O:P,2,0)</f>
        <v>3.7743525000000001E-3</v>
      </c>
      <c r="F380" s="100">
        <f ca="1">VLOOKUP(CurrentMtgRatesDataTable825[[#This Row],[asofdate]]+1,Bloomberg!B:C,2,0)</f>
        <v>1983.2</v>
      </c>
      <c r="I380" s="18">
        <v>40759</v>
      </c>
      <c r="J380" s="88">
        <v>0.65053350860000003</v>
      </c>
      <c r="K380" s="88">
        <f>VLOOKUP(CurrentMtgRatesDataTable82527141518[[#This Row],[asofdate]],O:P,2,0)</f>
        <v>2.1094077400000001E-2</v>
      </c>
      <c r="L380" s="88">
        <f>VLOOKUP(CurrentMtgRatesDataTable82527141518[[#This Row],[asofdate]],S:T,2,0)</f>
        <v>2.5203096299999998E-2</v>
      </c>
      <c r="M380" s="6">
        <f ca="1">VLOOKUP(CurrentMtgRatesDataTable82527141518[[#This Row],[asofdate]]+1,Bloomberg!B:C,2,0)</f>
        <v>3880.9</v>
      </c>
      <c r="N380" s="6"/>
      <c r="O380" s="18">
        <v>40731</v>
      </c>
      <c r="P380" s="88">
        <v>0</v>
      </c>
      <c r="Q380" s="101"/>
      <c r="R380" s="101"/>
      <c r="S380" s="18">
        <v>40696</v>
      </c>
      <c r="T380" s="88">
        <v>6.2673104E-3</v>
      </c>
      <c r="V380"/>
    </row>
    <row r="381" spans="2:22">
      <c r="B381" s="98">
        <v>40038</v>
      </c>
      <c r="C381" s="99">
        <v>0.56350972649999997</v>
      </c>
      <c r="D381" s="99">
        <f>VLOOKUP(CurrentMtgRatesDataTable825[[#This Row],[asofdate]],I:J,2,0)</f>
        <v>0.58262538230000005</v>
      </c>
      <c r="E381" s="99">
        <f>VLOOKUP(CurrentMtgRatesDataTable825[[#This Row],[asofdate]],O:P,2,0)</f>
        <v>0</v>
      </c>
      <c r="F381" s="100">
        <f ca="1">VLOOKUP(CurrentMtgRatesDataTable825[[#This Row],[asofdate]]+1,Bloomberg!B:C,2,0)</f>
        <v>1782.2</v>
      </c>
      <c r="I381" s="18">
        <v>40752</v>
      </c>
      <c r="J381" s="88">
        <v>0.54432073979999995</v>
      </c>
      <c r="K381" s="88">
        <f>VLOOKUP(CurrentMtgRatesDataTable82527141518[[#This Row],[asofdate]],O:P,2,0)</f>
        <v>0</v>
      </c>
      <c r="L381" s="88">
        <f>VLOOKUP(CurrentMtgRatesDataTable82527141518[[#This Row],[asofdate]],S:T,2,0)</f>
        <v>6.1472135999999997E-3</v>
      </c>
      <c r="M381" s="6">
        <f ca="1">VLOOKUP(CurrentMtgRatesDataTable82527141518[[#This Row],[asofdate]]+1,Bloomberg!B:C,2,0)</f>
        <v>2974.1</v>
      </c>
      <c r="N381" s="6"/>
      <c r="O381" s="18">
        <v>40724</v>
      </c>
      <c r="P381" s="88">
        <v>0</v>
      </c>
      <c r="Q381" s="101"/>
      <c r="R381" s="101"/>
      <c r="S381" s="18">
        <v>40689</v>
      </c>
      <c r="T381" s="88">
        <v>2.8843078999999999E-3</v>
      </c>
      <c r="V381"/>
    </row>
    <row r="382" spans="2:22">
      <c r="B382" s="98">
        <v>40031</v>
      </c>
      <c r="C382" s="99">
        <v>0.62840261080000004</v>
      </c>
      <c r="D382" s="99">
        <f>VLOOKUP(CurrentMtgRatesDataTable825[[#This Row],[asofdate]],I:J,2,0)</f>
        <v>0.63622339660000005</v>
      </c>
      <c r="E382" s="99">
        <f>VLOOKUP(CurrentMtgRatesDataTable825[[#This Row],[asofdate]],O:P,2,0)</f>
        <v>0</v>
      </c>
      <c r="F382" s="100">
        <f ca="1">VLOOKUP(CurrentMtgRatesDataTable825[[#This Row],[asofdate]]+1,Bloomberg!B:C,2,0)</f>
        <v>1659.1</v>
      </c>
      <c r="I382" s="18">
        <v>40745</v>
      </c>
      <c r="J382" s="88">
        <v>0.55918012260000005</v>
      </c>
      <c r="K382" s="88">
        <f>VLOOKUP(CurrentMtgRatesDataTable82527141518[[#This Row],[asofdate]],O:P,2,0)</f>
        <v>0</v>
      </c>
      <c r="L382" s="88">
        <f>VLOOKUP(CurrentMtgRatesDataTable82527141518[[#This Row],[asofdate]],S:T,2,0)</f>
        <v>8.0481497999999995E-3</v>
      </c>
      <c r="M382" s="6">
        <f ca="1">VLOOKUP(CurrentMtgRatesDataTable82527141518[[#This Row],[asofdate]]+1,Bloomberg!B:C,2,0)</f>
        <v>2769.6</v>
      </c>
      <c r="N382" s="6"/>
      <c r="O382" s="18">
        <v>40717</v>
      </c>
      <c r="P382" s="88">
        <v>0</v>
      </c>
      <c r="Q382" s="101"/>
      <c r="R382" s="101"/>
      <c r="S382" s="18">
        <v>40682</v>
      </c>
      <c r="T382" s="88">
        <v>2.6665942000000001E-3</v>
      </c>
      <c r="V382"/>
    </row>
    <row r="383" spans="2:22">
      <c r="B383" s="98">
        <v>40024</v>
      </c>
      <c r="C383" s="99">
        <v>0.63187604159999999</v>
      </c>
      <c r="D383" s="99">
        <f>VLOOKUP(CurrentMtgRatesDataTable825[[#This Row],[asofdate]],I:J,2,0)</f>
        <v>0.63391183470000001</v>
      </c>
      <c r="E383" s="99">
        <f>VLOOKUP(CurrentMtgRatesDataTable825[[#This Row],[asofdate]],O:P,2,0)</f>
        <v>0</v>
      </c>
      <c r="F383" s="100">
        <f ca="1">VLOOKUP(CurrentMtgRatesDataTable825[[#This Row],[asofdate]]+1,Bloomberg!B:C,2,0)</f>
        <v>1826</v>
      </c>
      <c r="I383" s="18">
        <v>40738</v>
      </c>
      <c r="J383" s="88">
        <v>0.56220388160000001</v>
      </c>
      <c r="K383" s="88">
        <f>VLOOKUP(CurrentMtgRatesDataTable82527141518[[#This Row],[asofdate]],O:P,2,0)</f>
        <v>0</v>
      </c>
      <c r="L383" s="88">
        <f>VLOOKUP(CurrentMtgRatesDataTable82527141518[[#This Row],[asofdate]],S:T,2,0)</f>
        <v>8.3016954999999993E-3</v>
      </c>
      <c r="M383" s="6">
        <f ca="1">VLOOKUP(CurrentMtgRatesDataTable82527141518[[#This Row],[asofdate]]+1,Bloomberg!B:C,2,0)</f>
        <v>2923.8</v>
      </c>
      <c r="N383" s="6"/>
      <c r="O383" s="18">
        <v>40710</v>
      </c>
      <c r="P383" s="88">
        <v>0</v>
      </c>
      <c r="Q383" s="101"/>
      <c r="R383" s="101"/>
      <c r="S383" s="18">
        <v>40675</v>
      </c>
      <c r="T383" s="88">
        <v>2.4742539999999999E-3</v>
      </c>
      <c r="V383"/>
    </row>
    <row r="384" spans="2:22">
      <c r="B384" s="98">
        <v>40017</v>
      </c>
      <c r="C384" s="99">
        <v>0.65469587100000004</v>
      </c>
      <c r="D384" s="99">
        <f>VLOOKUP(CurrentMtgRatesDataTable825[[#This Row],[asofdate]],I:J,2,0)</f>
        <v>0.65636377079999997</v>
      </c>
      <c r="E384" s="99">
        <f>VLOOKUP(CurrentMtgRatesDataTable825[[#This Row],[asofdate]],O:P,2,0)</f>
        <v>0</v>
      </c>
      <c r="F384" s="100">
        <f ca="1">VLOOKUP(CurrentMtgRatesDataTable825[[#This Row],[asofdate]]+1,Bloomberg!B:C,2,0)</f>
        <v>1702.7</v>
      </c>
      <c r="I384" s="18">
        <v>40731</v>
      </c>
      <c r="J384" s="88">
        <v>0.53820071309999995</v>
      </c>
      <c r="K384" s="88">
        <f>VLOOKUP(CurrentMtgRatesDataTable82527141518[[#This Row],[asofdate]],O:P,2,0)</f>
        <v>0</v>
      </c>
      <c r="L384" s="88">
        <f>VLOOKUP(CurrentMtgRatesDataTable82527141518[[#This Row],[asofdate]],S:T,2,0)</f>
        <v>5.7767790000000001E-3</v>
      </c>
      <c r="M384" s="6">
        <f ca="1">VLOOKUP(CurrentMtgRatesDataTable82527141518[[#This Row],[asofdate]]+1,Bloomberg!B:C,2,0)</f>
        <v>2362.6999999999998</v>
      </c>
      <c r="N384" s="6"/>
      <c r="O384" s="18">
        <v>40703</v>
      </c>
      <c r="P384" s="88">
        <v>5.7928765000000004E-3</v>
      </c>
      <c r="Q384" s="101"/>
      <c r="R384" s="101"/>
      <c r="S384" s="18">
        <v>40668</v>
      </c>
      <c r="T384" s="88">
        <v>1.6943696E-3</v>
      </c>
      <c r="V384"/>
    </row>
    <row r="385" spans="2:22">
      <c r="B385" s="98">
        <v>40010</v>
      </c>
      <c r="C385" s="99">
        <v>0.68774564520000003</v>
      </c>
      <c r="D385" s="99">
        <f>VLOOKUP(CurrentMtgRatesDataTable825[[#This Row],[asofdate]],I:J,2,0)</f>
        <v>0.68647824840000005</v>
      </c>
      <c r="E385" s="99">
        <f>VLOOKUP(CurrentMtgRatesDataTable825[[#This Row],[asofdate]],O:P,2,0)</f>
        <v>0</v>
      </c>
      <c r="F385" s="100">
        <f ca="1">VLOOKUP(CurrentMtgRatesDataTable825[[#This Row],[asofdate]]+1,Bloomberg!B:C,2,0)</f>
        <v>1982.8</v>
      </c>
      <c r="I385" s="18">
        <v>40724</v>
      </c>
      <c r="J385" s="88">
        <v>0.56651090520000003</v>
      </c>
      <c r="K385" s="88">
        <f>VLOOKUP(CurrentMtgRatesDataTable82527141518[[#This Row],[asofdate]],O:P,2,0)</f>
        <v>0</v>
      </c>
      <c r="L385" s="88">
        <f>VLOOKUP(CurrentMtgRatesDataTable82527141518[[#This Row],[asofdate]],S:T,2,0)</f>
        <v>6.1511036999999996E-3</v>
      </c>
      <c r="M385" s="6">
        <f ca="1">VLOOKUP(CurrentMtgRatesDataTable82527141518[[#This Row],[asofdate]]+1,Bloomberg!B:C,2,0)</f>
        <v>2527.5</v>
      </c>
      <c r="N385" s="6"/>
      <c r="O385" s="18">
        <v>40696</v>
      </c>
      <c r="P385" s="88">
        <v>5.3362211999999996E-3</v>
      </c>
      <c r="Q385" s="101"/>
      <c r="R385" s="101"/>
      <c r="S385" s="18">
        <v>40661</v>
      </c>
      <c r="T385" s="88">
        <v>2.8816740000000001E-4</v>
      </c>
      <c r="V385"/>
    </row>
    <row r="386" spans="2:22">
      <c r="B386" s="98">
        <v>40003</v>
      </c>
      <c r="C386" s="99">
        <v>0.65469587100000004</v>
      </c>
      <c r="D386" s="99">
        <f>VLOOKUP(CurrentMtgRatesDataTable825[[#This Row],[asofdate]],I:J,2,0)</f>
        <v>0.65636377079999997</v>
      </c>
      <c r="E386" s="99">
        <f>VLOOKUP(CurrentMtgRatesDataTable825[[#This Row],[asofdate]],O:P,2,0)</f>
        <v>0</v>
      </c>
      <c r="F386" s="100">
        <f ca="1">VLOOKUP(CurrentMtgRatesDataTable825[[#This Row],[asofdate]]+1,Bloomberg!B:C,2,0)</f>
        <v>1915.5</v>
      </c>
      <c r="I386" s="18">
        <v>40717</v>
      </c>
      <c r="J386" s="88">
        <v>0.56197467800000001</v>
      </c>
      <c r="K386" s="88">
        <f>VLOOKUP(CurrentMtgRatesDataTable82527141518[[#This Row],[asofdate]],O:P,2,0)</f>
        <v>0</v>
      </c>
      <c r="L386" s="88">
        <f>VLOOKUP(CurrentMtgRatesDataTable82527141518[[#This Row],[asofdate]],S:T,2,0)</f>
        <v>5.8316946000000003E-3</v>
      </c>
      <c r="M386" s="6">
        <f ca="1">VLOOKUP(CurrentMtgRatesDataTable82527141518[[#This Row],[asofdate]]+1,Bloomberg!B:C,2,0)</f>
        <v>2809.5</v>
      </c>
      <c r="N386" s="6"/>
      <c r="O386" s="18">
        <v>40689</v>
      </c>
      <c r="P386" s="88">
        <v>2.1978653999999999E-3</v>
      </c>
      <c r="Q386" s="101"/>
      <c r="R386" s="101"/>
      <c r="S386" s="18">
        <v>40654</v>
      </c>
      <c r="T386" s="88">
        <v>2.3286269999999999E-4</v>
      </c>
      <c r="V386"/>
    </row>
    <row r="387" spans="2:22">
      <c r="B387" s="98">
        <v>39996</v>
      </c>
      <c r="C387" s="99">
        <v>0.56899485500000002</v>
      </c>
      <c r="D387" s="99">
        <f>VLOOKUP(CurrentMtgRatesDataTable825[[#This Row],[asofdate]],I:J,2,0)</f>
        <v>0.58620935620000003</v>
      </c>
      <c r="E387" s="99">
        <f>VLOOKUP(CurrentMtgRatesDataTable825[[#This Row],[asofdate]],O:P,2,0)</f>
        <v>0</v>
      </c>
      <c r="F387" s="100">
        <f ca="1">VLOOKUP(CurrentMtgRatesDataTable825[[#This Row],[asofdate]]+1,Bloomberg!B:C,2,0)</f>
        <v>1583.5</v>
      </c>
      <c r="I387" s="18">
        <v>40710</v>
      </c>
      <c r="J387" s="88">
        <v>0.56999729939999999</v>
      </c>
      <c r="K387" s="88">
        <f>VLOOKUP(CurrentMtgRatesDataTable82527141518[[#This Row],[asofdate]],O:P,2,0)</f>
        <v>0</v>
      </c>
      <c r="L387" s="88">
        <f>VLOOKUP(CurrentMtgRatesDataTable82527141518[[#This Row],[asofdate]],S:T,2,0)</f>
        <v>6.5643847000000002E-3</v>
      </c>
      <c r="M387" s="6">
        <f ca="1">VLOOKUP(CurrentMtgRatesDataTable82527141518[[#This Row],[asofdate]]+1,Bloomberg!B:C,2,0)</f>
        <v>2857.9</v>
      </c>
      <c r="N387" s="6"/>
      <c r="O387" s="18">
        <v>40682</v>
      </c>
      <c r="P387" s="88">
        <v>2.0857753999999999E-3</v>
      </c>
      <c r="Q387" s="101"/>
      <c r="R387" s="101"/>
      <c r="S387" s="18">
        <v>40647</v>
      </c>
      <c r="T387" s="88">
        <v>1.5167900000000001E-5</v>
      </c>
      <c r="V387"/>
    </row>
    <row r="388" spans="2:22">
      <c r="B388" s="98">
        <v>39989</v>
      </c>
      <c r="C388" s="99">
        <v>0.5060874809</v>
      </c>
      <c r="D388" s="99">
        <f>VLOOKUP(CurrentMtgRatesDataTable825[[#This Row],[asofdate]],I:J,2,0)</f>
        <v>0.2398027435</v>
      </c>
      <c r="E388" s="99">
        <f>VLOOKUP(CurrentMtgRatesDataTable825[[#This Row],[asofdate]],O:P,2,0)</f>
        <v>0</v>
      </c>
      <c r="F388" s="100">
        <f ca="1">VLOOKUP(CurrentMtgRatesDataTable825[[#This Row],[asofdate]]+1,Bloomberg!B:C,2,0)</f>
        <v>1328.1</v>
      </c>
      <c r="I388" s="18">
        <v>40703</v>
      </c>
      <c r="J388" s="88">
        <v>0.57291401109999995</v>
      </c>
      <c r="K388" s="88">
        <f>VLOOKUP(CurrentMtgRatesDataTable82527141518[[#This Row],[asofdate]],O:P,2,0)</f>
        <v>5.7928765000000004E-3</v>
      </c>
      <c r="L388" s="88">
        <f>VLOOKUP(CurrentMtgRatesDataTable82527141518[[#This Row],[asofdate]],S:T,2,0)</f>
        <v>6.9230252000000003E-3</v>
      </c>
      <c r="M388" s="6">
        <f ca="1">VLOOKUP(CurrentMtgRatesDataTable82527141518[[#This Row],[asofdate]]+1,Bloomberg!B:C,2,0)</f>
        <v>3101.7</v>
      </c>
      <c r="N388" s="6"/>
      <c r="O388" s="18">
        <v>40675</v>
      </c>
      <c r="P388" s="88">
        <v>1.9728544000000002E-3</v>
      </c>
      <c r="Q388" s="101"/>
      <c r="R388" s="101"/>
      <c r="S388" s="18">
        <v>40640</v>
      </c>
      <c r="T388" s="88">
        <v>2.5645300000000003E-5</v>
      </c>
      <c r="V388"/>
    </row>
    <row r="389" spans="2:22">
      <c r="B389" s="98">
        <v>39982</v>
      </c>
      <c r="C389" s="99">
        <v>0.5459267511</v>
      </c>
      <c r="D389" s="99">
        <f>VLOOKUP(CurrentMtgRatesDataTable825[[#This Row],[asofdate]],I:J,2,0)</f>
        <v>0.2680729623</v>
      </c>
      <c r="E389" s="99">
        <f>VLOOKUP(CurrentMtgRatesDataTable825[[#This Row],[asofdate]],O:P,2,0)</f>
        <v>0</v>
      </c>
      <c r="F389" s="100">
        <f ca="1">VLOOKUP(CurrentMtgRatesDataTable825[[#This Row],[asofdate]]+1,Bloomberg!B:C,2,0)</f>
        <v>1504.6</v>
      </c>
      <c r="I389" s="18">
        <v>40696</v>
      </c>
      <c r="J389" s="88">
        <v>0.56197467800000001</v>
      </c>
      <c r="K389" s="88">
        <f>VLOOKUP(CurrentMtgRatesDataTable82527141518[[#This Row],[asofdate]],O:P,2,0)</f>
        <v>5.3362211999999996E-3</v>
      </c>
      <c r="L389" s="88">
        <f>VLOOKUP(CurrentMtgRatesDataTable82527141518[[#This Row],[asofdate]],S:T,2,0)</f>
        <v>6.2673104E-3</v>
      </c>
      <c r="M389" s="6">
        <f ca="1">VLOOKUP(CurrentMtgRatesDataTable82527141518[[#This Row],[asofdate]]+1,Bloomberg!B:C,2,0)</f>
        <v>2648</v>
      </c>
      <c r="N389" s="6"/>
      <c r="O389" s="18">
        <v>40668</v>
      </c>
      <c r="P389" s="88">
        <v>1.4407029E-3</v>
      </c>
      <c r="Q389" s="101"/>
      <c r="R389" s="101"/>
      <c r="S389" s="18">
        <v>40633</v>
      </c>
      <c r="T389" s="88">
        <v>2.5315599999999999E-5</v>
      </c>
      <c r="V389"/>
    </row>
    <row r="390" spans="2:22">
      <c r="B390" s="98">
        <v>39975</v>
      </c>
      <c r="C390" s="99">
        <v>0.3809668907</v>
      </c>
      <c r="D390" s="99">
        <f>VLOOKUP(CurrentMtgRatesDataTable825[[#This Row],[asofdate]],I:J,2,0)</f>
        <v>0.13785707820000001</v>
      </c>
      <c r="E390" s="99">
        <f>VLOOKUP(CurrentMtgRatesDataTable825[[#This Row],[asofdate]],O:P,2,0)</f>
        <v>0</v>
      </c>
      <c r="F390" s="100">
        <f ca="1">VLOOKUP(CurrentMtgRatesDataTable825[[#This Row],[asofdate]]+1,Bloomberg!B:C,2,0)</f>
        <v>1482.7</v>
      </c>
      <c r="I390" s="18">
        <v>40689</v>
      </c>
      <c r="J390" s="88">
        <v>0.54764811759999998</v>
      </c>
      <c r="K390" s="88">
        <f>VLOOKUP(CurrentMtgRatesDataTable82527141518[[#This Row],[asofdate]],O:P,2,0)</f>
        <v>2.1978653999999999E-3</v>
      </c>
      <c r="L390" s="88">
        <f>VLOOKUP(CurrentMtgRatesDataTable82527141518[[#This Row],[asofdate]],S:T,2,0)</f>
        <v>2.8843078999999999E-3</v>
      </c>
      <c r="M390" s="6">
        <f ca="1">VLOOKUP(CurrentMtgRatesDataTable82527141518[[#This Row],[asofdate]]+1,Bloomberg!B:C,2,0)</f>
        <v>2619.6999999999998</v>
      </c>
      <c r="N390" s="6"/>
      <c r="O390" s="18">
        <v>40661</v>
      </c>
      <c r="P390" s="88">
        <v>0</v>
      </c>
      <c r="Q390" s="101"/>
      <c r="R390" s="101"/>
      <c r="S390" s="18">
        <v>40626</v>
      </c>
      <c r="T390" s="88">
        <v>7.5156700000000005E-5</v>
      </c>
      <c r="V390"/>
    </row>
    <row r="391" spans="2:22">
      <c r="B391" s="98">
        <v>39968</v>
      </c>
      <c r="C391" s="99">
        <v>0.61185159430000002</v>
      </c>
      <c r="D391" s="99">
        <f>VLOOKUP(CurrentMtgRatesDataTable825[[#This Row],[asofdate]],I:J,2,0)</f>
        <v>0.32790025519999999</v>
      </c>
      <c r="E391" s="99">
        <f>VLOOKUP(CurrentMtgRatesDataTable825[[#This Row],[asofdate]],O:P,2,0)</f>
        <v>0</v>
      </c>
      <c r="F391" s="100">
        <f ca="1">VLOOKUP(CurrentMtgRatesDataTable825[[#This Row],[asofdate]]+1,Bloomberg!B:C,2,0)</f>
        <v>2156.5</v>
      </c>
      <c r="I391" s="18">
        <v>40682</v>
      </c>
      <c r="J391" s="88">
        <v>0.54603826860000004</v>
      </c>
      <c r="K391" s="88">
        <f>VLOOKUP(CurrentMtgRatesDataTable82527141518[[#This Row],[asofdate]],O:P,2,0)</f>
        <v>2.0857753999999999E-3</v>
      </c>
      <c r="L391" s="88">
        <f>VLOOKUP(CurrentMtgRatesDataTable82527141518[[#This Row],[asofdate]],S:T,2,0)</f>
        <v>2.6665942000000001E-3</v>
      </c>
      <c r="M391" s="6">
        <f ca="1">VLOOKUP(CurrentMtgRatesDataTable82527141518[[#This Row],[asofdate]]+1,Bloomberg!B:C,2,0)</f>
        <v>2764.6</v>
      </c>
      <c r="N391" s="6"/>
      <c r="O391" s="18">
        <v>40654</v>
      </c>
      <c r="P391" s="88">
        <v>0</v>
      </c>
      <c r="Q391" s="101"/>
      <c r="R391" s="101"/>
      <c r="S391" s="18">
        <v>40619</v>
      </c>
      <c r="T391" s="88">
        <v>2.2559910000000003E-4</v>
      </c>
      <c r="V391"/>
    </row>
    <row r="392" spans="2:22">
      <c r="B392" s="98">
        <v>39961</v>
      </c>
      <c r="C392" s="99">
        <v>0.89171080709999995</v>
      </c>
      <c r="D392" s="99">
        <f>VLOOKUP(CurrentMtgRatesDataTable825[[#This Row],[asofdate]],I:J,2,0)</f>
        <v>0.6818046405</v>
      </c>
      <c r="E392" s="99">
        <f>VLOOKUP(CurrentMtgRatesDataTable825[[#This Row],[asofdate]],O:P,2,0)</f>
        <v>0</v>
      </c>
      <c r="F392" s="100">
        <f ca="1">VLOOKUP(CurrentMtgRatesDataTable825[[#This Row],[asofdate]]+1,Bloomberg!B:C,2,0)</f>
        <v>2583</v>
      </c>
      <c r="I392" s="18">
        <v>40675</v>
      </c>
      <c r="J392" s="88">
        <v>0.54221432739999997</v>
      </c>
      <c r="K392" s="88">
        <f>VLOOKUP(CurrentMtgRatesDataTable82527141518[[#This Row],[asofdate]],O:P,2,0)</f>
        <v>1.9728544000000002E-3</v>
      </c>
      <c r="L392" s="88">
        <f>VLOOKUP(CurrentMtgRatesDataTable82527141518[[#This Row],[asofdate]],S:T,2,0)</f>
        <v>2.4742539999999999E-3</v>
      </c>
      <c r="M392" s="6">
        <f ca="1">VLOOKUP(CurrentMtgRatesDataTable82527141518[[#This Row],[asofdate]]+1,Bloomberg!B:C,2,0)</f>
        <v>2742.2</v>
      </c>
      <c r="N392" s="6"/>
      <c r="O392" s="18">
        <v>40647</v>
      </c>
      <c r="P392" s="88">
        <v>0</v>
      </c>
      <c r="Q392" s="101"/>
      <c r="R392" s="101"/>
      <c r="S392" s="18">
        <v>40612</v>
      </c>
      <c r="T392" s="88">
        <v>2.9412900000000004E-5</v>
      </c>
      <c r="V392"/>
    </row>
    <row r="393" spans="2:22">
      <c r="B393" s="98">
        <v>39954</v>
      </c>
      <c r="C393" s="99">
        <v>0.91709385860000003</v>
      </c>
      <c r="D393" s="99">
        <f>VLOOKUP(CurrentMtgRatesDataTable825[[#This Row],[asofdate]],I:J,2,0)</f>
        <v>0.75493924980000005</v>
      </c>
      <c r="E393" s="99">
        <f>VLOOKUP(CurrentMtgRatesDataTable825[[#This Row],[asofdate]],O:P,2,0)</f>
        <v>0</v>
      </c>
      <c r="F393" s="100">
        <f ca="1">VLOOKUP(CurrentMtgRatesDataTable825[[#This Row],[asofdate]]+1,Bloomberg!B:C,2,0)</f>
        <v>3590.1</v>
      </c>
      <c r="I393" s="18">
        <v>40668</v>
      </c>
      <c r="J393" s="88">
        <v>0.53113117949999999</v>
      </c>
      <c r="K393" s="88">
        <f>VLOOKUP(CurrentMtgRatesDataTable82527141518[[#This Row],[asofdate]],O:P,2,0)</f>
        <v>1.4407029E-3</v>
      </c>
      <c r="L393" s="88">
        <f>VLOOKUP(CurrentMtgRatesDataTable82527141518[[#This Row],[asofdate]],S:T,2,0)</f>
        <v>1.6943696E-3</v>
      </c>
      <c r="M393" s="6">
        <f ca="1">VLOOKUP(CurrentMtgRatesDataTable82527141518[[#This Row],[asofdate]]+1,Bloomberg!B:C,2,0)</f>
        <v>2414.9</v>
      </c>
      <c r="N393" s="6"/>
      <c r="O393" s="18">
        <v>40640</v>
      </c>
      <c r="P393" s="88">
        <v>0</v>
      </c>
      <c r="Q393" s="101"/>
      <c r="R393" s="101"/>
      <c r="S393" s="18">
        <v>40605</v>
      </c>
      <c r="T393" s="88">
        <v>3.6921900000000003E-5</v>
      </c>
      <c r="V393"/>
    </row>
    <row r="394" spans="2:22">
      <c r="B394" s="98">
        <v>39947</v>
      </c>
      <c r="C394" s="99">
        <v>0.90920854770000004</v>
      </c>
      <c r="D394" s="99">
        <f>VLOOKUP(CurrentMtgRatesDataTable825[[#This Row],[asofdate]],I:J,2,0)</f>
        <v>0.74059132800000005</v>
      </c>
      <c r="E394" s="99">
        <f>VLOOKUP(CurrentMtgRatesDataTable825[[#This Row],[asofdate]],O:P,2,0)</f>
        <v>0</v>
      </c>
      <c r="F394" s="100">
        <f ca="1">VLOOKUP(CurrentMtgRatesDataTable825[[#This Row],[asofdate]]+1,Bloomberg!B:C,2,0)</f>
        <v>4586.2</v>
      </c>
      <c r="I394" s="18">
        <v>40661</v>
      </c>
      <c r="J394" s="88">
        <v>0.52581130980000002</v>
      </c>
      <c r="K394" s="88">
        <f>VLOOKUP(CurrentMtgRatesDataTable82527141518[[#This Row],[asofdate]],O:P,2,0)</f>
        <v>0</v>
      </c>
      <c r="L394" s="88">
        <f>VLOOKUP(CurrentMtgRatesDataTable82527141518[[#This Row],[asofdate]],S:T,2,0)</f>
        <v>2.8816740000000001E-4</v>
      </c>
      <c r="M394" s="6">
        <f ca="1">VLOOKUP(CurrentMtgRatesDataTable82527141518[[#This Row],[asofdate]]+1,Bloomberg!B:C,2,0)</f>
        <v>2220.1</v>
      </c>
      <c r="N394" s="6"/>
      <c r="O394" s="18">
        <v>40633</v>
      </c>
      <c r="P394" s="88">
        <v>0</v>
      </c>
      <c r="Q394" s="101"/>
      <c r="R394" s="101"/>
      <c r="S394" s="18">
        <v>40598</v>
      </c>
      <c r="T394" s="88">
        <v>2.1940100000000004E-5</v>
      </c>
      <c r="V394"/>
    </row>
    <row r="395" spans="2:22">
      <c r="B395" s="98">
        <v>39940</v>
      </c>
      <c r="C395" s="99">
        <v>0.90879210379999997</v>
      </c>
      <c r="D395" s="99">
        <f>VLOOKUP(CurrentMtgRatesDataTable825[[#This Row],[asofdate]],I:J,2,0)</f>
        <v>0.73672094740000005</v>
      </c>
      <c r="E395" s="99">
        <f>VLOOKUP(CurrentMtgRatesDataTable825[[#This Row],[asofdate]],O:P,2,0)</f>
        <v>0</v>
      </c>
      <c r="F395" s="100">
        <f ca="1">VLOOKUP(CurrentMtgRatesDataTable825[[#This Row],[asofdate]]+1,Bloomberg!B:C,2,0)</f>
        <v>4353.1000000000004</v>
      </c>
      <c r="I395" s="18">
        <v>40654</v>
      </c>
      <c r="J395" s="88">
        <v>0.52310990459999995</v>
      </c>
      <c r="K395" s="88">
        <f>VLOOKUP(CurrentMtgRatesDataTable82527141518[[#This Row],[asofdate]],O:P,2,0)</f>
        <v>0</v>
      </c>
      <c r="L395" s="88">
        <f>VLOOKUP(CurrentMtgRatesDataTable82527141518[[#This Row],[asofdate]],S:T,2,0)</f>
        <v>2.3286269999999999E-4</v>
      </c>
      <c r="M395" s="6">
        <f ca="1">VLOOKUP(CurrentMtgRatesDataTable82527141518[[#This Row],[asofdate]]+1,Bloomberg!B:C,2,0)</f>
        <v>2091.4</v>
      </c>
      <c r="N395" s="6"/>
      <c r="O395" s="18">
        <v>40626</v>
      </c>
      <c r="P395" s="88">
        <v>0</v>
      </c>
      <c r="Q395" s="101"/>
      <c r="R395" s="101"/>
      <c r="S395" s="18">
        <v>40591</v>
      </c>
      <c r="T395" s="88">
        <v>1.7796E-5</v>
      </c>
      <c r="V395"/>
    </row>
    <row r="396" spans="2:22">
      <c r="B396" s="98">
        <v>39933</v>
      </c>
      <c r="C396" s="99">
        <v>0.95820903840000005</v>
      </c>
      <c r="D396" s="99">
        <f>VLOOKUP(CurrentMtgRatesDataTable825[[#This Row],[asofdate]],I:J,2,0)</f>
        <v>0.80634665979999998</v>
      </c>
      <c r="E396" s="99">
        <f>VLOOKUP(CurrentMtgRatesDataTable825[[#This Row],[asofdate]],O:P,2,0)</f>
        <v>0</v>
      </c>
      <c r="F396" s="100">
        <f ca="1">VLOOKUP(CurrentMtgRatesDataTable825[[#This Row],[asofdate]]+1,Bloomberg!B:C,2,0)</f>
        <v>5084.2</v>
      </c>
      <c r="I396" s="18">
        <v>40647</v>
      </c>
      <c r="J396" s="88">
        <v>0.50364009850000002</v>
      </c>
      <c r="K396" s="88">
        <f>VLOOKUP(CurrentMtgRatesDataTable82527141518[[#This Row],[asofdate]],O:P,2,0)</f>
        <v>0</v>
      </c>
      <c r="L396" s="88">
        <f>VLOOKUP(CurrentMtgRatesDataTable82527141518[[#This Row],[asofdate]],S:T,2,0)</f>
        <v>1.5167900000000001E-5</v>
      </c>
      <c r="M396" s="6">
        <f ca="1">VLOOKUP(CurrentMtgRatesDataTable82527141518[[#This Row],[asofdate]]+1,Bloomberg!B:C,2,0)</f>
        <v>2065.3000000000002</v>
      </c>
      <c r="N396" s="6"/>
      <c r="O396" s="18">
        <v>40619</v>
      </c>
      <c r="P396" s="88">
        <v>1.41212E-5</v>
      </c>
      <c r="Q396" s="101"/>
      <c r="R396" s="101"/>
      <c r="S396" s="18">
        <v>40584</v>
      </c>
      <c r="T396" s="88">
        <v>1.6871399999999999E-5</v>
      </c>
      <c r="V396"/>
    </row>
    <row r="397" spans="2:22">
      <c r="B397" s="98">
        <v>39926</v>
      </c>
      <c r="C397" s="99">
        <v>0.95465763439999995</v>
      </c>
      <c r="D397" s="99">
        <f>VLOOKUP(CurrentMtgRatesDataTable825[[#This Row],[asofdate]],I:J,2,0)</f>
        <v>0.79472057519999995</v>
      </c>
      <c r="E397" s="99">
        <f>VLOOKUP(CurrentMtgRatesDataTable825[[#This Row],[asofdate]],O:P,2,0)</f>
        <v>0</v>
      </c>
      <c r="F397" s="100">
        <f ca="1">VLOOKUP(CurrentMtgRatesDataTable825[[#This Row],[asofdate]]+1,Bloomberg!B:C,2,0)</f>
        <v>4957.8999999999996</v>
      </c>
      <c r="I397" s="18">
        <v>40640</v>
      </c>
      <c r="J397" s="88">
        <v>0.50728918290000002</v>
      </c>
      <c r="K397" s="88">
        <f>VLOOKUP(CurrentMtgRatesDataTable82527141518[[#This Row],[asofdate]],O:P,2,0)</f>
        <v>0</v>
      </c>
      <c r="L397" s="88">
        <f>VLOOKUP(CurrentMtgRatesDataTable82527141518[[#This Row],[asofdate]],S:T,2,0)</f>
        <v>2.5645300000000003E-5</v>
      </c>
      <c r="M397" s="6">
        <f ca="1">VLOOKUP(CurrentMtgRatesDataTable82527141518[[#This Row],[asofdate]]+1,Bloomberg!B:C,2,0)</f>
        <v>2010.6</v>
      </c>
      <c r="N397" s="6"/>
      <c r="O397" s="18">
        <v>40612</v>
      </c>
      <c r="P397" s="88">
        <v>0</v>
      </c>
      <c r="Q397" s="101"/>
      <c r="R397" s="101"/>
      <c r="S397" s="18">
        <v>40577</v>
      </c>
      <c r="T397" s="88">
        <v>6.2100799999999993E-5</v>
      </c>
      <c r="V397"/>
    </row>
    <row r="398" spans="2:22">
      <c r="B398" s="98">
        <v>39919</v>
      </c>
      <c r="C398" s="99">
        <v>0.95712912230000002</v>
      </c>
      <c r="D398" s="99">
        <f>VLOOKUP(CurrentMtgRatesDataTable825[[#This Row],[asofdate]],I:J,2,0)</f>
        <v>0.79788501109999999</v>
      </c>
      <c r="E398" s="99">
        <f>VLOOKUP(CurrentMtgRatesDataTable825[[#This Row],[asofdate]],O:P,2,0)</f>
        <v>0</v>
      </c>
      <c r="F398" s="100">
        <f ca="1">VLOOKUP(CurrentMtgRatesDataTable825[[#This Row],[asofdate]]+1,Bloomberg!B:C,2,0)</f>
        <v>6547.2</v>
      </c>
      <c r="I398" s="18">
        <v>40633</v>
      </c>
      <c r="J398" s="88">
        <v>0.52237835990000003</v>
      </c>
      <c r="K398" s="88">
        <f>VLOOKUP(CurrentMtgRatesDataTable82527141518[[#This Row],[asofdate]],O:P,2,0)</f>
        <v>0</v>
      </c>
      <c r="L398" s="88">
        <f>VLOOKUP(CurrentMtgRatesDataTable82527141518[[#This Row],[asofdate]],S:T,2,0)</f>
        <v>2.5315599999999999E-5</v>
      </c>
      <c r="M398" s="6">
        <f ca="1">VLOOKUP(CurrentMtgRatesDataTable82527141518[[#This Row],[asofdate]]+1,Bloomberg!B:C,2,0)</f>
        <v>2194.4</v>
      </c>
      <c r="N398" s="6"/>
      <c r="O398" s="18">
        <v>40605</v>
      </c>
      <c r="P398" s="88">
        <v>0</v>
      </c>
      <c r="Q398" s="101"/>
      <c r="R398" s="101"/>
      <c r="S398" s="18">
        <v>40570</v>
      </c>
      <c r="T398" s="88">
        <v>9.6974700000000005E-5</v>
      </c>
      <c r="V398"/>
    </row>
    <row r="399" spans="2:22">
      <c r="B399" s="98">
        <v>39912</v>
      </c>
      <c r="C399" s="99">
        <v>0.94094154419999998</v>
      </c>
      <c r="D399" s="99">
        <f>VLOOKUP(CurrentMtgRatesDataTable825[[#This Row],[asofdate]],I:J,2,0)</f>
        <v>0.74233991889999995</v>
      </c>
      <c r="E399" s="99">
        <f>VLOOKUP(CurrentMtgRatesDataTable825[[#This Row],[asofdate]],O:P,2,0)</f>
        <v>0</v>
      </c>
      <c r="F399" s="100">
        <f ca="1">VLOOKUP(CurrentMtgRatesDataTable825[[#This Row],[asofdate]]+1,Bloomberg!B:C,2,0)</f>
        <v>6127.3</v>
      </c>
      <c r="I399" s="18">
        <v>40626</v>
      </c>
      <c r="J399" s="88">
        <v>0.53454574259999998</v>
      </c>
      <c r="K399" s="88">
        <f>VLOOKUP(CurrentMtgRatesDataTable82527141518[[#This Row],[asofdate]],O:P,2,0)</f>
        <v>0</v>
      </c>
      <c r="L399" s="88">
        <f>VLOOKUP(CurrentMtgRatesDataTable82527141518[[#This Row],[asofdate]],S:T,2,0)</f>
        <v>7.5156700000000005E-5</v>
      </c>
      <c r="M399" s="6">
        <f ca="1">VLOOKUP(CurrentMtgRatesDataTable82527141518[[#This Row],[asofdate]]+1,Bloomberg!B:C,2,0)</f>
        <v>2350.6999999999998</v>
      </c>
      <c r="N399" s="6"/>
      <c r="O399" s="18">
        <v>40598</v>
      </c>
      <c r="P399" s="88">
        <v>0</v>
      </c>
      <c r="Q399" s="101"/>
      <c r="R399" s="101"/>
      <c r="S399" s="18">
        <v>40563</v>
      </c>
      <c r="T399" s="88">
        <v>1.593423E-4</v>
      </c>
      <c r="V399"/>
    </row>
    <row r="400" spans="2:22">
      <c r="B400" s="98">
        <v>39905</v>
      </c>
      <c r="C400" s="99">
        <v>0.95820903840000005</v>
      </c>
      <c r="D400" s="99">
        <f>VLOOKUP(CurrentMtgRatesDataTable825[[#This Row],[asofdate]],I:J,2,0)</f>
        <v>0.80634665979999998</v>
      </c>
      <c r="E400" s="99">
        <f>VLOOKUP(CurrentMtgRatesDataTable825[[#This Row],[asofdate]],O:P,2,0)</f>
        <v>0.83775849089999999</v>
      </c>
      <c r="F400" s="100">
        <f ca="1">VLOOKUP(CurrentMtgRatesDataTable825[[#This Row],[asofdate]]+1,Bloomberg!B:C,2,0)</f>
        <v>6734.2</v>
      </c>
      <c r="I400" s="18">
        <v>40619</v>
      </c>
      <c r="J400" s="88">
        <v>0.54454366379999997</v>
      </c>
      <c r="K400" s="88">
        <f>VLOOKUP(CurrentMtgRatesDataTable82527141518[[#This Row],[asofdate]],O:P,2,0)</f>
        <v>1.41212E-5</v>
      </c>
      <c r="L400" s="88">
        <f>VLOOKUP(CurrentMtgRatesDataTable82527141518[[#This Row],[asofdate]],S:T,2,0)</f>
        <v>2.2559910000000003E-4</v>
      </c>
      <c r="M400" s="6">
        <f ca="1">VLOOKUP(CurrentMtgRatesDataTable82527141518[[#This Row],[asofdate]]+1,Bloomberg!B:C,2,0)</f>
        <v>2620.8000000000002</v>
      </c>
      <c r="N400" s="6"/>
      <c r="O400" s="18">
        <v>40591</v>
      </c>
      <c r="P400" s="88">
        <v>0</v>
      </c>
      <c r="Q400" s="101"/>
      <c r="R400" s="101"/>
      <c r="S400" s="18">
        <v>40556</v>
      </c>
      <c r="T400" s="88">
        <v>2.4933440000000001E-4</v>
      </c>
      <c r="V400"/>
    </row>
    <row r="401" spans="2:22">
      <c r="B401" s="98">
        <v>39898</v>
      </c>
      <c r="C401" s="99">
        <v>0.95896771780000001</v>
      </c>
      <c r="D401" s="99">
        <f>VLOOKUP(CurrentMtgRatesDataTable825[[#This Row],[asofdate]],I:J,2,0)</f>
        <v>0.83957519380000001</v>
      </c>
      <c r="E401" s="99">
        <f>VLOOKUP(CurrentMtgRatesDataTable825[[#This Row],[asofdate]],O:P,2,0)</f>
        <v>0.8543621911</v>
      </c>
      <c r="F401" s="100">
        <f ca="1">VLOOKUP(CurrentMtgRatesDataTable825[[#This Row],[asofdate]]+1,Bloomberg!B:C,2,0)</f>
        <v>6522</v>
      </c>
      <c r="I401" s="18">
        <v>40612</v>
      </c>
      <c r="J401" s="88">
        <v>0.51807053449999996</v>
      </c>
      <c r="K401" s="88">
        <f>VLOOKUP(CurrentMtgRatesDataTable82527141518[[#This Row],[asofdate]],O:P,2,0)</f>
        <v>0</v>
      </c>
      <c r="L401" s="88">
        <f>VLOOKUP(CurrentMtgRatesDataTable82527141518[[#This Row],[asofdate]],S:T,2,0)</f>
        <v>2.9412900000000004E-5</v>
      </c>
      <c r="M401" s="6">
        <f ca="1">VLOOKUP(CurrentMtgRatesDataTable82527141518[[#This Row],[asofdate]]+1,Bloomberg!B:C,2,0)</f>
        <v>2563.6</v>
      </c>
      <c r="N401" s="6"/>
      <c r="O401" s="18">
        <v>40584</v>
      </c>
      <c r="P401" s="88">
        <v>0</v>
      </c>
      <c r="Q401" s="101"/>
      <c r="R401" s="101"/>
      <c r="S401" s="18">
        <v>40549</v>
      </c>
      <c r="T401" s="88">
        <v>1.7898729999999999E-4</v>
      </c>
      <c r="V401"/>
    </row>
    <row r="402" spans="2:22">
      <c r="B402" s="98">
        <v>39891</v>
      </c>
      <c r="C402" s="99">
        <v>0.90097231310000003</v>
      </c>
      <c r="D402" s="99">
        <f>VLOOKUP(CurrentMtgRatesDataTable825[[#This Row],[asofdate]],I:J,2,0)</f>
        <v>0.72356305889999994</v>
      </c>
      <c r="E402" s="99">
        <f>VLOOKUP(CurrentMtgRatesDataTable825[[#This Row],[asofdate]],O:P,2,0)</f>
        <v>2.8863549000000001E-3</v>
      </c>
      <c r="F402" s="100">
        <f ca="1">VLOOKUP(CurrentMtgRatesDataTable825[[#This Row],[asofdate]]+1,Bloomberg!B:C,2,0)</f>
        <v>6374.7</v>
      </c>
      <c r="I402" s="18">
        <v>40605</v>
      </c>
      <c r="J402" s="88">
        <v>0.52047797910000004</v>
      </c>
      <c r="K402" s="88">
        <f>VLOOKUP(CurrentMtgRatesDataTable82527141518[[#This Row],[asofdate]],O:P,2,0)</f>
        <v>0</v>
      </c>
      <c r="L402" s="88">
        <f>VLOOKUP(CurrentMtgRatesDataTable82527141518[[#This Row],[asofdate]],S:T,2,0)</f>
        <v>3.6921900000000003E-5</v>
      </c>
      <c r="M402" s="6">
        <f ca="1">VLOOKUP(CurrentMtgRatesDataTable82527141518[[#This Row],[asofdate]]+1,Bloomberg!B:C,2,0)</f>
        <v>2539.4</v>
      </c>
      <c r="N402" s="6"/>
      <c r="O402" s="18">
        <v>40577</v>
      </c>
      <c r="P402" s="88">
        <v>0</v>
      </c>
      <c r="Q402" s="101"/>
      <c r="R402" s="101"/>
      <c r="S402" s="18">
        <v>40542</v>
      </c>
      <c r="T402" s="88">
        <v>3.6737799999999999E-5</v>
      </c>
      <c r="V402"/>
    </row>
    <row r="403" spans="2:22">
      <c r="B403" s="98">
        <v>39884</v>
      </c>
      <c r="C403" s="99">
        <v>0.87167889590000014</v>
      </c>
      <c r="D403" s="99">
        <f>VLOOKUP(CurrentMtgRatesDataTable825[[#This Row],[asofdate]],I:J,2,0)</f>
        <v>0.66635796189999996</v>
      </c>
      <c r="E403" s="99">
        <f>VLOOKUP(CurrentMtgRatesDataTable825[[#This Row],[asofdate]],O:P,2,0)</f>
        <v>2.7616621999999999E-3</v>
      </c>
      <c r="F403" s="100">
        <f ca="1">VLOOKUP(CurrentMtgRatesDataTable825[[#This Row],[asofdate]]+1,Bloomberg!B:C,2,0)</f>
        <v>4428.1000000000004</v>
      </c>
      <c r="I403" s="18">
        <v>40598</v>
      </c>
      <c r="J403" s="88">
        <v>0.51506264049999995</v>
      </c>
      <c r="K403" s="88">
        <f>VLOOKUP(CurrentMtgRatesDataTable82527141518[[#This Row],[asofdate]],O:P,2,0)</f>
        <v>0</v>
      </c>
      <c r="L403" s="88">
        <f>VLOOKUP(CurrentMtgRatesDataTable82527141518[[#This Row],[asofdate]],S:T,2,0)</f>
        <v>2.1940100000000004E-5</v>
      </c>
      <c r="M403" s="6">
        <f ca="1">VLOOKUP(CurrentMtgRatesDataTable82527141518[[#This Row],[asofdate]]+1,Bloomberg!B:C,2,0)</f>
        <v>2155.5</v>
      </c>
      <c r="N403" s="6"/>
      <c r="O403" s="18">
        <v>40570</v>
      </c>
      <c r="P403" s="88">
        <v>0</v>
      </c>
      <c r="Q403" s="101"/>
      <c r="R403" s="101"/>
      <c r="S403" s="18">
        <v>40535</v>
      </c>
      <c r="T403" s="88">
        <v>1.213132E-4</v>
      </c>
      <c r="V403"/>
    </row>
    <row r="404" spans="2:22">
      <c r="B404" s="98">
        <v>39877</v>
      </c>
      <c r="C404" s="99">
        <v>0.78597676670000005</v>
      </c>
      <c r="D404" s="99">
        <f>VLOOKUP(CurrentMtgRatesDataTable825[[#This Row],[asofdate]],I:J,2,0)</f>
        <v>0.53291699650000002</v>
      </c>
      <c r="E404" s="99">
        <f>VLOOKUP(CurrentMtgRatesDataTable825[[#This Row],[asofdate]],O:P,2,0)</f>
        <v>0</v>
      </c>
      <c r="F404" s="100">
        <f ca="1">VLOOKUP(CurrentMtgRatesDataTable825[[#This Row],[asofdate]]+1,Bloomberg!B:C,2,0)</f>
        <v>3352.8</v>
      </c>
      <c r="I404" s="18">
        <v>40591</v>
      </c>
      <c r="J404" s="88">
        <v>0.48401341949999999</v>
      </c>
      <c r="K404" s="88">
        <f>VLOOKUP(CurrentMtgRatesDataTable82527141518[[#This Row],[asofdate]],O:P,2,0)</f>
        <v>0</v>
      </c>
      <c r="L404" s="88">
        <f>VLOOKUP(CurrentMtgRatesDataTable82527141518[[#This Row],[asofdate]],S:T,2,0)</f>
        <v>1.7796E-5</v>
      </c>
      <c r="M404" s="6">
        <f ca="1">VLOOKUP(CurrentMtgRatesDataTable82527141518[[#This Row],[asofdate]]+1,Bloomberg!B:C,2,0)</f>
        <v>2325.3000000000002</v>
      </c>
      <c r="N404" s="6"/>
      <c r="O404" s="18">
        <v>40563</v>
      </c>
      <c r="P404" s="88">
        <v>0</v>
      </c>
      <c r="Q404" s="101"/>
      <c r="R404" s="101"/>
      <c r="S404" s="18">
        <v>40528</v>
      </c>
      <c r="T404" s="88">
        <v>1.112416E-4</v>
      </c>
      <c r="V404"/>
    </row>
    <row r="405" spans="2:22">
      <c r="B405" s="98">
        <v>39870</v>
      </c>
      <c r="C405" s="99">
        <v>0.85195386939999995</v>
      </c>
      <c r="D405" s="99">
        <f>VLOOKUP(CurrentMtgRatesDataTable825[[#This Row],[asofdate]],I:J,2,0)</f>
        <v>0.65155391819999997</v>
      </c>
      <c r="E405" s="99">
        <f>VLOOKUP(CurrentMtgRatesDataTable825[[#This Row],[asofdate]],O:P,2,0)</f>
        <v>0</v>
      </c>
      <c r="F405" s="100">
        <f ca="1">VLOOKUP(CurrentMtgRatesDataTable825[[#This Row],[asofdate]]+1,Bloomberg!B:C,2,0)</f>
        <v>2945.5</v>
      </c>
      <c r="I405" s="18">
        <v>40584</v>
      </c>
      <c r="J405" s="88">
        <v>0.46375610119999999</v>
      </c>
      <c r="K405" s="88">
        <f>VLOOKUP(CurrentMtgRatesDataTable82527141518[[#This Row],[asofdate]],O:P,2,0)</f>
        <v>0</v>
      </c>
      <c r="L405" s="88">
        <f>VLOOKUP(CurrentMtgRatesDataTable82527141518[[#This Row],[asofdate]],S:T,2,0)</f>
        <v>1.6871399999999999E-5</v>
      </c>
      <c r="M405" s="6">
        <f ca="1">VLOOKUP(CurrentMtgRatesDataTable82527141518[[#This Row],[asofdate]]+1,Bloomberg!B:C,2,0)</f>
        <v>1953.2</v>
      </c>
      <c r="N405" s="6"/>
      <c r="O405" s="18">
        <v>40556</v>
      </c>
      <c r="P405" s="88">
        <v>0</v>
      </c>
      <c r="Q405" s="101"/>
      <c r="R405" s="101"/>
      <c r="S405" s="18">
        <v>40521</v>
      </c>
      <c r="T405" s="88">
        <v>6.3271439999999985E-4</v>
      </c>
      <c r="V405"/>
    </row>
    <row r="406" spans="2:22">
      <c r="B406" s="98">
        <v>39863</v>
      </c>
      <c r="C406" s="99">
        <v>0.87232807749999997</v>
      </c>
      <c r="D406" s="99">
        <f>VLOOKUP(CurrentMtgRatesDataTable825[[#This Row],[asofdate]],I:J,2,0)</f>
        <v>0.68430447510000003</v>
      </c>
      <c r="E406" s="99">
        <f>VLOOKUP(CurrentMtgRatesDataTable825[[#This Row],[asofdate]],O:P,2,0)</f>
        <v>0</v>
      </c>
      <c r="F406" s="100">
        <f ca="1">VLOOKUP(CurrentMtgRatesDataTable825[[#This Row],[asofdate]]+1,Bloomberg!B:C,2,0)</f>
        <v>3531.5</v>
      </c>
      <c r="I406" s="18">
        <v>40577</v>
      </c>
      <c r="J406" s="88">
        <v>0.54338459610000001</v>
      </c>
      <c r="K406" s="88">
        <f>VLOOKUP(CurrentMtgRatesDataTable82527141518[[#This Row],[asofdate]],O:P,2,0)</f>
        <v>0</v>
      </c>
      <c r="L406" s="88">
        <f>VLOOKUP(CurrentMtgRatesDataTable82527141518[[#This Row],[asofdate]],S:T,2,0)</f>
        <v>6.2100799999999993E-5</v>
      </c>
      <c r="M406" s="6">
        <f ca="1">VLOOKUP(CurrentMtgRatesDataTable82527141518[[#This Row],[asofdate]]+1,Bloomberg!B:C,2,0)</f>
        <v>2190.4</v>
      </c>
      <c r="N406" s="6"/>
      <c r="O406" s="18">
        <v>40549</v>
      </c>
      <c r="P406" s="88">
        <v>0</v>
      </c>
      <c r="Q406" s="101"/>
      <c r="R406" s="101"/>
      <c r="S406" s="18">
        <v>40514</v>
      </c>
      <c r="T406" s="88">
        <v>1.4771345999999999E-3</v>
      </c>
      <c r="V406"/>
    </row>
    <row r="407" spans="2:22">
      <c r="B407" s="98">
        <v>39856</v>
      </c>
      <c r="C407" s="99">
        <v>0.78575978540000002</v>
      </c>
      <c r="D407" s="99">
        <f>VLOOKUP(CurrentMtgRatesDataTable825[[#This Row],[asofdate]],I:J,2,0)</f>
        <v>0.54913095410000001</v>
      </c>
      <c r="E407" s="99">
        <f>VLOOKUP(CurrentMtgRatesDataTable825[[#This Row],[asofdate]],O:P,2,0)</f>
        <v>0</v>
      </c>
      <c r="F407" s="100">
        <f ca="1">VLOOKUP(CurrentMtgRatesDataTable825[[#This Row],[asofdate]]+1,Bloomberg!B:C,2,0)</f>
        <v>4564.5</v>
      </c>
      <c r="I407" s="18">
        <v>40570</v>
      </c>
      <c r="J407" s="88">
        <v>0.56878827759999995</v>
      </c>
      <c r="K407" s="88">
        <f>VLOOKUP(CurrentMtgRatesDataTable82527141518[[#This Row],[asofdate]],O:P,2,0)</f>
        <v>0</v>
      </c>
      <c r="L407" s="88">
        <f>VLOOKUP(CurrentMtgRatesDataTable82527141518[[#This Row],[asofdate]],S:T,2,0)</f>
        <v>9.6974700000000005E-5</v>
      </c>
      <c r="M407" s="6">
        <f ca="1">VLOOKUP(CurrentMtgRatesDataTable82527141518[[#This Row],[asofdate]]+1,Bloomberg!B:C,2,0)</f>
        <v>2371.1</v>
      </c>
      <c r="N407" s="6"/>
      <c r="O407" s="18">
        <v>40542</v>
      </c>
      <c r="P407" s="88">
        <v>0</v>
      </c>
      <c r="Q407" s="101"/>
      <c r="R407" s="101"/>
      <c r="S407" s="18">
        <v>40506</v>
      </c>
      <c r="T407" s="88">
        <v>3.1745479000000001E-3</v>
      </c>
      <c r="V407"/>
    </row>
    <row r="408" spans="2:22">
      <c r="B408" s="98">
        <v>39849</v>
      </c>
      <c r="C408" s="99">
        <v>0.69855204130000004</v>
      </c>
      <c r="D408" s="99">
        <f>VLOOKUP(CurrentMtgRatesDataTable825[[#This Row],[asofdate]],I:J,2,0)</f>
        <v>0.43864910670000001</v>
      </c>
      <c r="E408" s="99">
        <f>VLOOKUP(CurrentMtgRatesDataTable825[[#This Row],[asofdate]],O:P,2,0)</f>
        <v>0</v>
      </c>
      <c r="F408" s="100">
        <f ca="1">VLOOKUP(CurrentMtgRatesDataTable825[[#This Row],[asofdate]]+1,Bloomberg!B:C,2,0)</f>
        <v>2611.1</v>
      </c>
      <c r="I408" s="18">
        <v>40563</v>
      </c>
      <c r="J408" s="88">
        <v>0.5766237595</v>
      </c>
      <c r="K408" s="88">
        <f>VLOOKUP(CurrentMtgRatesDataTable82527141518[[#This Row],[asofdate]],O:P,2,0)</f>
        <v>0</v>
      </c>
      <c r="L408" s="88">
        <f>VLOOKUP(CurrentMtgRatesDataTable82527141518[[#This Row],[asofdate]],S:T,2,0)</f>
        <v>1.593423E-4</v>
      </c>
      <c r="M408" s="6">
        <f ca="1">VLOOKUP(CurrentMtgRatesDataTable82527141518[[#This Row],[asofdate]]+1,Bloomberg!B:C,2,0)</f>
        <v>2129.6999999999998</v>
      </c>
      <c r="N408" s="6"/>
      <c r="O408" s="18">
        <v>40535</v>
      </c>
      <c r="P408" s="88">
        <v>0</v>
      </c>
      <c r="Q408" s="101"/>
      <c r="R408" s="101"/>
      <c r="S408" s="18">
        <v>40500</v>
      </c>
      <c r="T408" s="88">
        <v>2.0625931999999998E-3</v>
      </c>
      <c r="V408"/>
    </row>
    <row r="409" spans="2:22">
      <c r="B409" s="98">
        <v>39842</v>
      </c>
      <c r="C409" s="99">
        <v>0.83006388230000006</v>
      </c>
      <c r="D409" s="99">
        <f>VLOOKUP(CurrentMtgRatesDataTable825[[#This Row],[asofdate]],I:J,2,0)</f>
        <v>0.6304206523</v>
      </c>
      <c r="E409" s="99">
        <f>VLOOKUP(CurrentMtgRatesDataTable825[[#This Row],[asofdate]],O:P,2,0)</f>
        <v>0</v>
      </c>
      <c r="F409" s="100">
        <f ca="1">VLOOKUP(CurrentMtgRatesDataTable825[[#This Row],[asofdate]]+1,Bloomberg!B:C,2,0)</f>
        <v>3871.3</v>
      </c>
      <c r="I409" s="18">
        <v>40556</v>
      </c>
      <c r="J409" s="88">
        <v>0.58529572480000003</v>
      </c>
      <c r="K409" s="88">
        <f>VLOOKUP(CurrentMtgRatesDataTable82527141518[[#This Row],[asofdate]],O:P,2,0)</f>
        <v>0</v>
      </c>
      <c r="L409" s="88">
        <f>VLOOKUP(CurrentMtgRatesDataTable82527141518[[#This Row],[asofdate]],S:T,2,0)</f>
        <v>2.4933440000000001E-4</v>
      </c>
      <c r="M409" s="6">
        <f ca="1">VLOOKUP(CurrentMtgRatesDataTable82527141518[[#This Row],[asofdate]]+1,Bloomberg!B:C,2,0)</f>
        <v>2528.6999999999998</v>
      </c>
      <c r="N409" s="6"/>
      <c r="O409" s="18">
        <v>40528</v>
      </c>
      <c r="P409" s="88">
        <v>0</v>
      </c>
      <c r="Q409" s="101"/>
      <c r="R409" s="101"/>
      <c r="S409" s="18">
        <v>40493</v>
      </c>
      <c r="T409" s="88">
        <v>0.90048259500000005</v>
      </c>
      <c r="V409"/>
    </row>
    <row r="410" spans="2:22">
      <c r="B410" s="98">
        <v>39835</v>
      </c>
      <c r="C410" s="99">
        <v>0.82036723730000005</v>
      </c>
      <c r="D410" s="99">
        <f>VLOOKUP(CurrentMtgRatesDataTable825[[#This Row],[asofdate]],I:J,2,0)</f>
        <v>0.60798130920000004</v>
      </c>
      <c r="E410" s="99">
        <f>VLOOKUP(CurrentMtgRatesDataTable825[[#This Row],[asofdate]],O:P,2,0)</f>
        <v>0</v>
      </c>
      <c r="F410" s="100">
        <f ca="1">VLOOKUP(CurrentMtgRatesDataTable825[[#This Row],[asofdate]]+1,Bloomberg!B:C,2,0)</f>
        <v>3300.6</v>
      </c>
      <c r="I410" s="18">
        <v>40549</v>
      </c>
      <c r="J410" s="88">
        <v>0.56939272330000001</v>
      </c>
      <c r="K410" s="88">
        <f>VLOOKUP(CurrentMtgRatesDataTable82527141518[[#This Row],[asofdate]],O:P,2,0)</f>
        <v>0</v>
      </c>
      <c r="L410" s="88">
        <f>VLOOKUP(CurrentMtgRatesDataTable82527141518[[#This Row],[asofdate]],S:T,2,0)</f>
        <v>1.7898729999999999E-4</v>
      </c>
      <c r="M410" s="6">
        <f ca="1">VLOOKUP(CurrentMtgRatesDataTable82527141518[[#This Row],[asofdate]]+1,Bloomberg!B:C,2,0)</f>
        <v>2344.3000000000002</v>
      </c>
      <c r="N410" s="6"/>
      <c r="O410" s="18">
        <v>40521</v>
      </c>
      <c r="P410" s="88">
        <v>0</v>
      </c>
      <c r="Q410" s="101"/>
      <c r="R410" s="101"/>
      <c r="S410" s="18">
        <v>40486</v>
      </c>
      <c r="T410" s="88">
        <v>0.86893230779999997</v>
      </c>
      <c r="V410"/>
    </row>
    <row r="411" spans="2:22">
      <c r="B411" s="98">
        <v>39828</v>
      </c>
      <c r="C411" s="99">
        <v>0.91919160860000004</v>
      </c>
      <c r="D411" s="99">
        <f>VLOOKUP(CurrentMtgRatesDataTable825[[#This Row],[asofdate]],I:J,2,0)</f>
        <v>0.787776425</v>
      </c>
      <c r="E411" s="99">
        <f>VLOOKUP(CurrentMtgRatesDataTable825[[#This Row],[asofdate]],O:P,2,0)</f>
        <v>0.78571065689999997</v>
      </c>
      <c r="F411" s="100">
        <f ca="1">VLOOKUP(CurrentMtgRatesDataTable825[[#This Row],[asofdate]]+1,Bloomberg!B:C,2,0)</f>
        <v>6768.6</v>
      </c>
      <c r="I411" s="18">
        <v>40542</v>
      </c>
      <c r="J411" s="88">
        <v>0.56442342980000004</v>
      </c>
      <c r="K411" s="88">
        <f>VLOOKUP(CurrentMtgRatesDataTable82527141518[[#This Row],[asofdate]],O:P,2,0)</f>
        <v>0</v>
      </c>
      <c r="L411" s="88">
        <f>VLOOKUP(CurrentMtgRatesDataTable82527141518[[#This Row],[asofdate]],S:T,2,0)</f>
        <v>3.6737799999999999E-5</v>
      </c>
      <c r="M411" s="6">
        <f ca="1">VLOOKUP(CurrentMtgRatesDataTable82527141518[[#This Row],[asofdate]]+1,Bloomberg!B:C,2,0)</f>
        <v>2249.6</v>
      </c>
      <c r="N411" s="6"/>
      <c r="O411" s="18">
        <v>40514</v>
      </c>
      <c r="P411" s="88">
        <v>0</v>
      </c>
      <c r="Q411" s="101"/>
      <c r="R411" s="101"/>
      <c r="S411" s="18">
        <v>40479</v>
      </c>
      <c r="T411" s="88">
        <v>0.90034081519999998</v>
      </c>
      <c r="V411"/>
    </row>
    <row r="412" spans="2:22">
      <c r="B412" s="98">
        <v>39821</v>
      </c>
      <c r="C412" s="99">
        <v>0.90231511019999999</v>
      </c>
      <c r="D412" s="99">
        <f>VLOOKUP(CurrentMtgRatesDataTable825[[#This Row],[asofdate]],I:J,2,0)</f>
        <v>0.75905560480000001</v>
      </c>
      <c r="E412" s="99">
        <f>VLOOKUP(CurrentMtgRatesDataTable825[[#This Row],[asofdate]],O:P,2,0)</f>
        <v>0.75691413649999995</v>
      </c>
      <c r="F412" s="100">
        <f ca="1">VLOOKUP(CurrentMtgRatesDataTable825[[#This Row],[asofdate]]+1,Bloomberg!B:C,2,0)</f>
        <v>7842.7</v>
      </c>
      <c r="I412" s="18">
        <v>40535</v>
      </c>
      <c r="J412" s="88">
        <v>0.585569852</v>
      </c>
      <c r="K412" s="88">
        <f>VLOOKUP(CurrentMtgRatesDataTable82527141518[[#This Row],[asofdate]],O:P,2,0)</f>
        <v>0</v>
      </c>
      <c r="L412" s="88">
        <f>VLOOKUP(CurrentMtgRatesDataTable82527141518[[#This Row],[asofdate]],S:T,2,0)</f>
        <v>1.213132E-4</v>
      </c>
      <c r="M412" s="6">
        <f ca="1">VLOOKUP(CurrentMtgRatesDataTable82527141518[[#This Row],[asofdate]]+1,Bloomberg!B:C,2,0)</f>
        <v>2185.5</v>
      </c>
      <c r="N412" s="6"/>
      <c r="O412" s="18">
        <v>40506</v>
      </c>
      <c r="P412" s="88">
        <v>0</v>
      </c>
      <c r="Q412" s="101"/>
      <c r="R412" s="101"/>
      <c r="S412" s="18">
        <v>40472</v>
      </c>
      <c r="T412" s="88">
        <v>0.90597183219999999</v>
      </c>
      <c r="V412"/>
    </row>
    <row r="413" spans="2:22">
      <c r="B413" s="98">
        <v>39813</v>
      </c>
      <c r="C413" s="99">
        <v>0.83297072390000004</v>
      </c>
      <c r="D413" s="99">
        <f>VLOOKUP(CurrentMtgRatesDataTable825[[#This Row],[asofdate]],I:J,2,0)</f>
        <v>0.66889975800000001</v>
      </c>
      <c r="E413" s="99">
        <f>VLOOKUP(CurrentMtgRatesDataTable825[[#This Row],[asofdate]],O:P,2,0)</f>
        <v>0.66704160810000002</v>
      </c>
      <c r="F413" s="100" t="e">
        <f ca="1">VLOOKUP(CurrentMtgRatesDataTable825[[#This Row],[asofdate]]+1,Bloomberg!B:C,2,0)</f>
        <v>#N/A</v>
      </c>
      <c r="I413" s="18">
        <v>40528</v>
      </c>
      <c r="J413" s="88">
        <v>0.57860148239999998</v>
      </c>
      <c r="K413" s="88">
        <f>VLOOKUP(CurrentMtgRatesDataTable82527141518[[#This Row],[asofdate]],O:P,2,0)</f>
        <v>0</v>
      </c>
      <c r="L413" s="88">
        <f>VLOOKUP(CurrentMtgRatesDataTable82527141518[[#This Row],[asofdate]],S:T,2,0)</f>
        <v>1.112416E-4</v>
      </c>
      <c r="M413" s="6">
        <f ca="1">VLOOKUP(CurrentMtgRatesDataTable82527141518[[#This Row],[asofdate]]+1,Bloomberg!B:C,2,0)</f>
        <v>2319.9</v>
      </c>
      <c r="N413" s="6"/>
      <c r="O413" s="18">
        <v>40500</v>
      </c>
      <c r="P413" s="88">
        <v>0</v>
      </c>
      <c r="Q413" s="101"/>
      <c r="R413" s="101"/>
      <c r="S413" s="18">
        <v>40465</v>
      </c>
      <c r="T413" s="88">
        <v>0.91601505240000003</v>
      </c>
      <c r="V413"/>
    </row>
    <row r="414" spans="2:22">
      <c r="B414" s="98">
        <v>39806</v>
      </c>
      <c r="C414" s="99">
        <v>0.78653316220000002</v>
      </c>
      <c r="D414" s="99">
        <f>VLOOKUP(CurrentMtgRatesDataTable825[[#This Row],[asofdate]],I:J,2,0)</f>
        <v>0.59388959610000003</v>
      </c>
      <c r="E414" s="99">
        <f>VLOOKUP(CurrentMtgRatesDataTable825[[#This Row],[asofdate]],O:P,2,0)</f>
        <v>0.47694247830000003</v>
      </c>
      <c r="F414" s="100" t="e">
        <f ca="1">VLOOKUP(CurrentMtgRatesDataTable825[[#This Row],[asofdate]]+1,Bloomberg!B:C,2,0)</f>
        <v>#N/A</v>
      </c>
      <c r="I414" s="18">
        <v>40521</v>
      </c>
      <c r="J414" s="88">
        <v>0.62729770029999998</v>
      </c>
      <c r="K414" s="88">
        <f>VLOOKUP(CurrentMtgRatesDataTable82527141518[[#This Row],[asofdate]],O:P,2,0)</f>
        <v>0</v>
      </c>
      <c r="L414" s="88">
        <f>VLOOKUP(CurrentMtgRatesDataTable82527141518[[#This Row],[asofdate]],S:T,2,0)</f>
        <v>6.3271439999999985E-4</v>
      </c>
      <c r="M414" s="6">
        <f ca="1">VLOOKUP(CurrentMtgRatesDataTable82527141518[[#This Row],[asofdate]]+1,Bloomberg!B:C,2,0)</f>
        <v>3067.3</v>
      </c>
      <c r="N414" s="6"/>
      <c r="O414" s="18">
        <v>40493</v>
      </c>
      <c r="P414" s="88">
        <v>0.90048259500000005</v>
      </c>
      <c r="Q414" s="101"/>
      <c r="R414" s="101"/>
      <c r="S414" s="18">
        <v>40458</v>
      </c>
      <c r="T414" s="88">
        <v>0.87946502350000011</v>
      </c>
      <c r="V414"/>
    </row>
    <row r="415" spans="2:22">
      <c r="B415" s="98">
        <v>39800</v>
      </c>
      <c r="C415" s="99">
        <v>0.77118219460000004</v>
      </c>
      <c r="D415" s="99">
        <f>VLOOKUP(CurrentMtgRatesDataTable825[[#This Row],[asofdate]],I:J,2,0)</f>
        <v>0.57028598239999995</v>
      </c>
      <c r="E415" s="99">
        <f>VLOOKUP(CurrentMtgRatesDataTable825[[#This Row],[asofdate]],O:P,2,0)</f>
        <v>0.45238799110000005</v>
      </c>
      <c r="F415" s="100">
        <f ca="1">VLOOKUP(CurrentMtgRatesDataTable825[[#This Row],[asofdate]]+1,Bloomberg!B:C,2,0)</f>
        <v>7098.9</v>
      </c>
      <c r="I415" s="18">
        <v>40514</v>
      </c>
      <c r="J415" s="88">
        <v>0.66795706239999997</v>
      </c>
      <c r="K415" s="88">
        <f>VLOOKUP(CurrentMtgRatesDataTable82527141518[[#This Row],[asofdate]],O:P,2,0)</f>
        <v>0</v>
      </c>
      <c r="L415" s="88">
        <f>VLOOKUP(CurrentMtgRatesDataTable82527141518[[#This Row],[asofdate]],S:T,2,0)</f>
        <v>1.4771345999999999E-3</v>
      </c>
      <c r="M415" s="6">
        <f ca="1">VLOOKUP(CurrentMtgRatesDataTable82527141518[[#This Row],[asofdate]]+1,Bloomberg!B:C,2,0)</f>
        <v>3066.2</v>
      </c>
      <c r="N415" s="6"/>
      <c r="O415" s="18">
        <v>40486</v>
      </c>
      <c r="P415" s="88">
        <v>0</v>
      </c>
      <c r="Q415" s="101"/>
      <c r="R415" s="101"/>
      <c r="S415" s="18">
        <v>40451</v>
      </c>
      <c r="T415" s="88">
        <v>0.87557742200000011</v>
      </c>
      <c r="V415"/>
    </row>
    <row r="416" spans="2:22">
      <c r="B416" s="98">
        <v>39793</v>
      </c>
      <c r="C416" s="99">
        <v>0.53032542419999995</v>
      </c>
      <c r="D416" s="99">
        <f>VLOOKUP(CurrentMtgRatesDataTable825[[#This Row],[asofdate]],I:J,2,0)</f>
        <v>0.28837877309999999</v>
      </c>
      <c r="E416" s="99">
        <f>VLOOKUP(CurrentMtgRatesDataTable825[[#This Row],[asofdate]],O:P,2,0)</f>
        <v>4.4117748999999998E-2</v>
      </c>
      <c r="F416" s="100">
        <f ca="1">VLOOKUP(CurrentMtgRatesDataTable825[[#This Row],[asofdate]]+1,Bloomberg!B:C,2,0)</f>
        <v>4013.2</v>
      </c>
      <c r="I416" s="18">
        <v>40506</v>
      </c>
      <c r="J416" s="88">
        <v>0.76325170980000001</v>
      </c>
      <c r="K416" s="88">
        <f>VLOOKUP(CurrentMtgRatesDataTable82527141518[[#This Row],[asofdate]],O:P,2,0)</f>
        <v>0</v>
      </c>
      <c r="L416" s="88">
        <f>VLOOKUP(CurrentMtgRatesDataTable82527141518[[#This Row],[asofdate]],S:T,2,0)</f>
        <v>3.1745479000000001E-3</v>
      </c>
      <c r="M416" s="6" t="e">
        <f ca="1">VLOOKUP(CurrentMtgRatesDataTable82527141518[[#This Row],[asofdate]]+1,Bloomberg!B:C,2,0)</f>
        <v>#N/A</v>
      </c>
      <c r="N416" s="6"/>
      <c r="O416" s="18">
        <v>40479</v>
      </c>
      <c r="P416" s="88">
        <v>0</v>
      </c>
      <c r="Q416" s="101"/>
      <c r="R416" s="101"/>
      <c r="S416" s="18">
        <v>40444</v>
      </c>
      <c r="T416" s="88">
        <v>0.86331369599999996</v>
      </c>
      <c r="V416"/>
    </row>
    <row r="417" spans="2:22">
      <c r="B417" s="98">
        <v>39786</v>
      </c>
      <c r="C417" s="99">
        <v>0.47551961080000005</v>
      </c>
      <c r="D417" s="99">
        <f>VLOOKUP(CurrentMtgRatesDataTable825[[#This Row],[asofdate]],I:J,2,0)</f>
        <v>0.2375856516</v>
      </c>
      <c r="E417" s="99">
        <f>VLOOKUP(CurrentMtgRatesDataTable825[[#This Row],[asofdate]],O:P,2,0)</f>
        <v>3.6398030800000002E-2</v>
      </c>
      <c r="F417" s="100">
        <f ca="1">VLOOKUP(CurrentMtgRatesDataTable825[[#This Row],[asofdate]]+1,Bloomberg!B:C,2,0)</f>
        <v>3746.9</v>
      </c>
      <c r="I417" s="18">
        <v>40500</v>
      </c>
      <c r="J417" s="88">
        <v>0.74182961960000005</v>
      </c>
      <c r="K417" s="88">
        <f>VLOOKUP(CurrentMtgRatesDataTable82527141518[[#This Row],[asofdate]],O:P,2,0)</f>
        <v>0</v>
      </c>
      <c r="L417" s="88">
        <f>VLOOKUP(CurrentMtgRatesDataTable82527141518[[#This Row],[asofdate]],S:T,2,0)</f>
        <v>2.0625931999999998E-3</v>
      </c>
      <c r="M417" s="6">
        <f ca="1">VLOOKUP(CurrentMtgRatesDataTable82527141518[[#This Row],[asofdate]]+1,Bloomberg!B:C,2,0)</f>
        <v>4009.2</v>
      </c>
      <c r="N417" s="6"/>
      <c r="O417" s="18">
        <v>40472</v>
      </c>
      <c r="P417" s="88">
        <v>0</v>
      </c>
      <c r="Q417" s="101"/>
      <c r="R417" s="101"/>
      <c r="S417" s="18">
        <v>40437</v>
      </c>
      <c r="T417" s="88">
        <v>0.86331369599999996</v>
      </c>
      <c r="V417"/>
    </row>
    <row r="418" spans="2:22">
      <c r="B418" s="98">
        <v>39778</v>
      </c>
      <c r="C418" s="99">
        <v>0.20538005379999999</v>
      </c>
      <c r="D418" s="99">
        <f>VLOOKUP(CurrentMtgRatesDataTable825[[#This Row],[asofdate]],I:J,2,0)</f>
        <v>8.2893799300000001E-2</v>
      </c>
      <c r="E418" s="99">
        <f>VLOOKUP(CurrentMtgRatesDataTable825[[#This Row],[asofdate]],O:P,2,0)</f>
        <v>0</v>
      </c>
      <c r="F418" s="100" t="e">
        <f ca="1">VLOOKUP(CurrentMtgRatesDataTable825[[#This Row],[asofdate]]+1,Bloomberg!B:C,2,0)</f>
        <v>#N/A</v>
      </c>
      <c r="I418" s="18">
        <v>40493</v>
      </c>
      <c r="J418" s="88">
        <v>0.88698423449999997</v>
      </c>
      <c r="K418" s="88">
        <f>VLOOKUP(CurrentMtgRatesDataTable82527141518[[#This Row],[asofdate]],O:P,2,0)</f>
        <v>0.90048259500000005</v>
      </c>
      <c r="L418" s="88">
        <f>VLOOKUP(CurrentMtgRatesDataTable82527141518[[#This Row],[asofdate]],S:T,2,0)</f>
        <v>0.90048259500000005</v>
      </c>
      <c r="M418" s="6">
        <f ca="1">VLOOKUP(CurrentMtgRatesDataTable82527141518[[#This Row],[asofdate]]+1,Bloomberg!B:C,2,0)</f>
        <v>4015.2</v>
      </c>
      <c r="N418" s="6"/>
      <c r="O418" s="18">
        <v>40465</v>
      </c>
      <c r="P418" s="88">
        <v>0.91601505240000003</v>
      </c>
      <c r="Q418" s="101"/>
      <c r="R418" s="101"/>
      <c r="S418" s="18">
        <v>40430</v>
      </c>
      <c r="T418" s="88">
        <v>0.87380200559999999</v>
      </c>
      <c r="V418"/>
    </row>
    <row r="419" spans="2:22">
      <c r="B419" s="98">
        <v>39772</v>
      </c>
      <c r="C419" s="99">
        <v>0.17988953639999999</v>
      </c>
      <c r="D419" s="99">
        <f>VLOOKUP(CurrentMtgRatesDataTable825[[#This Row],[asofdate]],I:J,2,0)</f>
        <v>6.9579419700000006E-2</v>
      </c>
      <c r="E419" s="99">
        <f>VLOOKUP(CurrentMtgRatesDataTable825[[#This Row],[asofdate]],O:P,2,0)</f>
        <v>0</v>
      </c>
      <c r="F419" s="100">
        <f ca="1">VLOOKUP(CurrentMtgRatesDataTable825[[#This Row],[asofdate]]+1,Bloomberg!B:C,2,0)</f>
        <v>896.8</v>
      </c>
      <c r="I419" s="18">
        <v>40486</v>
      </c>
      <c r="J419" s="88">
        <v>0.85631432519999995</v>
      </c>
      <c r="K419" s="88">
        <f>VLOOKUP(CurrentMtgRatesDataTable82527141518[[#This Row],[asofdate]],O:P,2,0)</f>
        <v>0</v>
      </c>
      <c r="L419" s="88">
        <f>VLOOKUP(CurrentMtgRatesDataTable82527141518[[#This Row],[asofdate]],S:T,2,0)</f>
        <v>0.86893230779999997</v>
      </c>
      <c r="M419" s="6">
        <f ca="1">VLOOKUP(CurrentMtgRatesDataTable82527141518[[#This Row],[asofdate]]+1,Bloomberg!B:C,2,0)</f>
        <v>4836.3999999999996</v>
      </c>
      <c r="N419" s="6"/>
      <c r="O419" s="18">
        <v>40458</v>
      </c>
      <c r="P419" s="88">
        <v>0.87946502350000011</v>
      </c>
      <c r="Q419" s="101"/>
      <c r="R419" s="101"/>
      <c r="S419" s="18">
        <v>40423</v>
      </c>
      <c r="T419" s="88">
        <v>0.88755630019999998</v>
      </c>
      <c r="V419"/>
    </row>
    <row r="420" spans="2:22">
      <c r="B420" s="98">
        <v>39765</v>
      </c>
      <c r="C420" s="99">
        <v>0.1469548068</v>
      </c>
      <c r="D420" s="99">
        <f>VLOOKUP(CurrentMtgRatesDataTable825[[#This Row],[asofdate]],I:J,2,0)</f>
        <v>5.4223515399999998E-2</v>
      </c>
      <c r="E420" s="99">
        <f>VLOOKUP(CurrentMtgRatesDataTable825[[#This Row],[asofdate]],O:P,2,0)</f>
        <v>0</v>
      </c>
      <c r="F420" s="100">
        <f ca="1">VLOOKUP(CurrentMtgRatesDataTable825[[#This Row],[asofdate]]+1,Bloomberg!B:C,2,0)</f>
        <v>927.3</v>
      </c>
      <c r="I420" s="18">
        <v>40479</v>
      </c>
      <c r="J420" s="88">
        <v>0.88744349030000003</v>
      </c>
      <c r="K420" s="88">
        <f>VLOOKUP(CurrentMtgRatesDataTable82527141518[[#This Row],[asofdate]],O:P,2,0)</f>
        <v>0</v>
      </c>
      <c r="L420" s="88">
        <f>VLOOKUP(CurrentMtgRatesDataTable82527141518[[#This Row],[asofdate]],S:T,2,0)</f>
        <v>0.90034081519999998</v>
      </c>
      <c r="M420" s="6">
        <f ca="1">VLOOKUP(CurrentMtgRatesDataTable82527141518[[#This Row],[asofdate]]+1,Bloomberg!B:C,2,0)</f>
        <v>4568.1000000000004</v>
      </c>
      <c r="N420" s="6"/>
      <c r="O420" s="18">
        <v>40451</v>
      </c>
      <c r="P420" s="88">
        <v>0</v>
      </c>
      <c r="Q420" s="101"/>
      <c r="R420" s="101"/>
      <c r="S420" s="18">
        <v>40416</v>
      </c>
      <c r="T420" s="88">
        <v>0.88325854640000001</v>
      </c>
      <c r="V420"/>
    </row>
    <row r="421" spans="2:22">
      <c r="B421" s="98">
        <v>39758</v>
      </c>
      <c r="C421" s="99">
        <v>0.13712845730000001</v>
      </c>
      <c r="D421" s="99">
        <f>VLOOKUP(CurrentMtgRatesDataTable825[[#This Row],[asofdate]],I:J,2,0)</f>
        <v>4.8326507999999997E-2</v>
      </c>
      <c r="E421" s="99">
        <f>VLOOKUP(CurrentMtgRatesDataTable825[[#This Row],[asofdate]],O:P,2,0)</f>
        <v>0</v>
      </c>
      <c r="F421" s="100">
        <f ca="1">VLOOKUP(CurrentMtgRatesDataTable825[[#This Row],[asofdate]]+1,Bloomberg!B:C,2,0)</f>
        <v>907.7</v>
      </c>
      <c r="I421" s="18">
        <v>40472</v>
      </c>
      <c r="J421" s="88">
        <v>0.8934209823</v>
      </c>
      <c r="K421" s="88">
        <f>VLOOKUP(CurrentMtgRatesDataTable82527141518[[#This Row],[asofdate]],O:P,2,0)</f>
        <v>0</v>
      </c>
      <c r="L421" s="88">
        <f>VLOOKUP(CurrentMtgRatesDataTable82527141518[[#This Row],[asofdate]],S:T,2,0)</f>
        <v>0.90597183219999999</v>
      </c>
      <c r="M421" s="6">
        <f ca="1">VLOOKUP(CurrentMtgRatesDataTable82527141518[[#This Row],[asofdate]]+1,Bloomberg!B:C,2,0)</f>
        <v>4904.2</v>
      </c>
      <c r="N421" s="6"/>
      <c r="O421" s="18">
        <v>40444</v>
      </c>
      <c r="P421" s="88">
        <v>0</v>
      </c>
      <c r="Q421" s="101"/>
      <c r="R421" s="101"/>
      <c r="S421" s="18">
        <v>40409</v>
      </c>
      <c r="T421" s="88">
        <v>0.8330450452</v>
      </c>
      <c r="V421"/>
    </row>
    <row r="422" spans="2:22">
      <c r="B422" s="98">
        <v>39751</v>
      </c>
      <c r="C422" s="99">
        <v>8.2001154000000007E-2</v>
      </c>
      <c r="D422" s="99">
        <f>VLOOKUP(CurrentMtgRatesDataTable825[[#This Row],[asofdate]],I:J,2,0)</f>
        <v>3.1499426800000001E-2</v>
      </c>
      <c r="E422" s="99">
        <f>VLOOKUP(CurrentMtgRatesDataTable825[[#This Row],[asofdate]],O:P,2,0)</f>
        <v>0</v>
      </c>
      <c r="F422" s="100">
        <f ca="1">VLOOKUP(CurrentMtgRatesDataTable825[[#This Row],[asofdate]]+1,Bloomberg!B:C,2,0)</f>
        <v>688.8</v>
      </c>
      <c r="I422" s="18">
        <v>40465</v>
      </c>
      <c r="J422" s="88">
        <v>0.90382021010000002</v>
      </c>
      <c r="K422" s="88">
        <f>VLOOKUP(CurrentMtgRatesDataTable82527141518[[#This Row],[asofdate]],O:P,2,0)</f>
        <v>0.91601505240000003</v>
      </c>
      <c r="L422" s="88">
        <f>VLOOKUP(CurrentMtgRatesDataTable82527141518[[#This Row],[asofdate]],S:T,2,0)</f>
        <v>0.91601505240000003</v>
      </c>
      <c r="M422" s="6">
        <f ca="1">VLOOKUP(CurrentMtgRatesDataTable82527141518[[#This Row],[asofdate]]+1,Bloomberg!B:C,2,0)</f>
        <v>4768.6000000000004</v>
      </c>
      <c r="N422" s="6"/>
      <c r="O422" s="18">
        <v>40437</v>
      </c>
      <c r="P422" s="88">
        <v>0</v>
      </c>
      <c r="Q422" s="101"/>
      <c r="R422" s="101"/>
      <c r="S422" s="18">
        <v>40402</v>
      </c>
      <c r="T422" s="88">
        <v>0.80647081030000001</v>
      </c>
      <c r="V422"/>
    </row>
    <row r="423" spans="2:22">
      <c r="B423" s="98">
        <v>39744</v>
      </c>
      <c r="C423" s="99">
        <v>0.1852401991</v>
      </c>
      <c r="D423" s="99">
        <f>VLOOKUP(CurrentMtgRatesDataTable825[[#This Row],[asofdate]],I:J,2,0)</f>
        <v>7.7522901199999994E-2</v>
      </c>
      <c r="E423" s="99">
        <f>VLOOKUP(CurrentMtgRatesDataTable825[[#This Row],[asofdate]],O:P,2,0)</f>
        <v>0</v>
      </c>
      <c r="F423" s="100">
        <f ca="1">VLOOKUP(CurrentMtgRatesDataTable825[[#This Row],[asofdate]]+1,Bloomberg!B:C,2,0)</f>
        <v>1135.5999999999999</v>
      </c>
      <c r="I423" s="18">
        <v>40458</v>
      </c>
      <c r="J423" s="88">
        <v>0.86622730449999996</v>
      </c>
      <c r="K423" s="88">
        <f>VLOOKUP(CurrentMtgRatesDataTable82527141518[[#This Row],[asofdate]],O:P,2,0)</f>
        <v>0.87946502350000011</v>
      </c>
      <c r="L423" s="88">
        <f>VLOOKUP(CurrentMtgRatesDataTable82527141518[[#This Row],[asofdate]],S:T,2,0)</f>
        <v>0.87946502350000011</v>
      </c>
      <c r="M423" s="6">
        <f ca="1">VLOOKUP(CurrentMtgRatesDataTable82527141518[[#This Row],[asofdate]]+1,Bloomberg!B:C,2,0)</f>
        <v>5455.4</v>
      </c>
      <c r="N423" s="6"/>
      <c r="O423" s="18">
        <v>40430</v>
      </c>
      <c r="P423" s="88">
        <v>0</v>
      </c>
      <c r="Q423" s="101"/>
      <c r="R423" s="101"/>
      <c r="S423" s="18">
        <v>40395</v>
      </c>
      <c r="T423" s="88">
        <v>0.75111371059999998</v>
      </c>
      <c r="V423"/>
    </row>
    <row r="424" spans="2:22">
      <c r="B424" s="98">
        <v>39737</v>
      </c>
      <c r="C424" s="99">
        <v>8.7419545000000001E-2</v>
      </c>
      <c r="D424" s="99">
        <f>VLOOKUP(CurrentMtgRatesDataTable825[[#This Row],[asofdate]],I:J,2,0)</f>
        <v>3.4194882699999998E-2</v>
      </c>
      <c r="E424" s="99">
        <f>VLOOKUP(CurrentMtgRatesDataTable825[[#This Row],[asofdate]],O:P,2,0)</f>
        <v>0</v>
      </c>
      <c r="F424" s="100">
        <f ca="1">VLOOKUP(CurrentMtgRatesDataTable825[[#This Row],[asofdate]]+1,Bloomberg!B:C,2,0)</f>
        <v>798</v>
      </c>
      <c r="I424" s="18">
        <v>40451</v>
      </c>
      <c r="J424" s="88">
        <v>0.86877485379999997</v>
      </c>
      <c r="K424" s="88">
        <f>VLOOKUP(CurrentMtgRatesDataTable82527141518[[#This Row],[asofdate]],O:P,2,0)</f>
        <v>0</v>
      </c>
      <c r="L424" s="88">
        <f>VLOOKUP(CurrentMtgRatesDataTable82527141518[[#This Row],[asofdate]],S:T,2,0)</f>
        <v>0.87557742200000011</v>
      </c>
      <c r="M424" s="6">
        <f ca="1">VLOOKUP(CurrentMtgRatesDataTable82527141518[[#This Row],[asofdate]]+1,Bloomberg!B:C,2,0)</f>
        <v>4395.5</v>
      </c>
      <c r="N424" s="6"/>
      <c r="O424" s="18">
        <v>40423</v>
      </c>
      <c r="P424" s="88">
        <v>0.88755630019999998</v>
      </c>
      <c r="Q424" s="101"/>
      <c r="R424" s="101"/>
      <c r="S424" s="18">
        <v>40388</v>
      </c>
      <c r="T424" s="88">
        <v>0.74030109779999997</v>
      </c>
      <c r="V424"/>
    </row>
    <row r="425" spans="2:22">
      <c r="B425" s="98">
        <v>39730</v>
      </c>
      <c r="C425" s="99">
        <v>0.23372308580000001</v>
      </c>
      <c r="D425" s="99">
        <f>VLOOKUP(CurrentMtgRatesDataTable825[[#This Row],[asofdate]],I:J,2,0)</f>
        <v>0.1021384378</v>
      </c>
      <c r="E425" s="99">
        <f>VLOOKUP(CurrentMtgRatesDataTable825[[#This Row],[asofdate]],O:P,2,0)</f>
        <v>0</v>
      </c>
      <c r="F425" s="100">
        <f ca="1">VLOOKUP(CurrentMtgRatesDataTable825[[#This Row],[asofdate]]+1,Bloomberg!B:C,2,0)</f>
        <v>1190.8</v>
      </c>
      <c r="I425" s="18">
        <v>40444</v>
      </c>
      <c r="J425" s="88">
        <v>0.85480675930000005</v>
      </c>
      <c r="K425" s="88">
        <f>VLOOKUP(CurrentMtgRatesDataTable82527141518[[#This Row],[asofdate]],O:P,2,0)</f>
        <v>0</v>
      </c>
      <c r="L425" s="88">
        <f>VLOOKUP(CurrentMtgRatesDataTable82527141518[[#This Row],[asofdate]],S:T,2,0)</f>
        <v>0.86331369599999996</v>
      </c>
      <c r="M425" s="6">
        <f ca="1">VLOOKUP(CurrentMtgRatesDataTable82527141518[[#This Row],[asofdate]]+1,Bloomberg!B:C,2,0)</f>
        <v>4549.3</v>
      </c>
      <c r="N425" s="6"/>
      <c r="O425" s="18">
        <v>40416</v>
      </c>
      <c r="P425" s="88">
        <v>0.88325854640000001</v>
      </c>
      <c r="Q425" s="101"/>
      <c r="R425" s="101"/>
      <c r="S425" s="18">
        <v>40381</v>
      </c>
      <c r="T425" s="88">
        <v>0.73388789970000001</v>
      </c>
      <c r="V425"/>
    </row>
    <row r="426" spans="2:22">
      <c r="B426" s="98">
        <v>39723</v>
      </c>
      <c r="C426" s="99">
        <v>0.1677361312</v>
      </c>
      <c r="D426" s="99">
        <f>VLOOKUP(CurrentMtgRatesDataTable825[[#This Row],[asofdate]],I:J,2,0)</f>
        <v>6.6788235200000004E-2</v>
      </c>
      <c r="E426" s="99">
        <f>VLOOKUP(CurrentMtgRatesDataTable825[[#This Row],[asofdate]],O:P,2,0)</f>
        <v>0</v>
      </c>
      <c r="F426" s="100">
        <f ca="1">VLOOKUP(CurrentMtgRatesDataTable825[[#This Row],[asofdate]]+1,Bloomberg!B:C,2,0)</f>
        <v>999.6</v>
      </c>
      <c r="I426" s="18">
        <v>40437</v>
      </c>
      <c r="J426" s="88">
        <v>0.85480675930000005</v>
      </c>
      <c r="K426" s="88">
        <f>VLOOKUP(CurrentMtgRatesDataTable82527141518[[#This Row],[asofdate]],O:P,2,0)</f>
        <v>0</v>
      </c>
      <c r="L426" s="88">
        <f>VLOOKUP(CurrentMtgRatesDataTable82527141518[[#This Row],[asofdate]],S:T,2,0)</f>
        <v>0.86331369599999996</v>
      </c>
      <c r="M426" s="6">
        <f ca="1">VLOOKUP(CurrentMtgRatesDataTable82527141518[[#This Row],[asofdate]]+1,Bloomberg!B:C,2,0)</f>
        <v>4624.6000000000004</v>
      </c>
      <c r="N426" s="6"/>
      <c r="O426" s="18">
        <v>40409</v>
      </c>
      <c r="P426" s="88">
        <v>0.8330450452</v>
      </c>
      <c r="Q426" s="101"/>
      <c r="R426" s="101"/>
      <c r="S426" s="18">
        <v>40374</v>
      </c>
      <c r="T426" s="88">
        <v>0.73176841469999998</v>
      </c>
      <c r="V426"/>
    </row>
    <row r="427" spans="2:22">
      <c r="B427" s="98">
        <v>39716</v>
      </c>
      <c r="C427" s="99">
        <v>0.16268158369999999</v>
      </c>
      <c r="D427" s="99">
        <f>VLOOKUP(CurrentMtgRatesDataTable825[[#This Row],[asofdate]],I:J,2,0)</f>
        <v>6.55043233E-2</v>
      </c>
      <c r="E427" s="99">
        <f>VLOOKUP(CurrentMtgRatesDataTable825[[#This Row],[asofdate]],O:P,2,0)</f>
        <v>0</v>
      </c>
      <c r="F427" s="100">
        <f ca="1">VLOOKUP(CurrentMtgRatesDataTable825[[#This Row],[asofdate]]+1,Bloomberg!B:C,2,0)</f>
        <v>1026</v>
      </c>
      <c r="I427" s="18">
        <v>40430</v>
      </c>
      <c r="J427" s="88">
        <v>0.86764971609999997</v>
      </c>
      <c r="K427" s="88">
        <f>VLOOKUP(CurrentMtgRatesDataTable82527141518[[#This Row],[asofdate]],O:P,2,0)</f>
        <v>0</v>
      </c>
      <c r="L427" s="88">
        <f>VLOOKUP(CurrentMtgRatesDataTable82527141518[[#This Row],[asofdate]],S:T,2,0)</f>
        <v>0.87380200559999999</v>
      </c>
      <c r="M427" s="6">
        <f ca="1">VLOOKUP(CurrentMtgRatesDataTable82527141518[[#This Row],[asofdate]]+1,Bloomberg!B:C,2,0)</f>
        <v>4663.8</v>
      </c>
      <c r="N427" s="6"/>
      <c r="O427" s="18">
        <v>40402</v>
      </c>
      <c r="P427" s="88">
        <v>0.80647081030000001</v>
      </c>
      <c r="Q427" s="101"/>
      <c r="R427" s="101"/>
      <c r="S427" s="18">
        <v>40367</v>
      </c>
      <c r="T427" s="88">
        <v>0.73176841469999998</v>
      </c>
      <c r="V427"/>
    </row>
    <row r="428" spans="2:22">
      <c r="B428" s="98">
        <v>39709</v>
      </c>
      <c r="C428" s="99">
        <v>0.33812670979999998</v>
      </c>
      <c r="D428" s="99">
        <f>VLOOKUP(CurrentMtgRatesDataTable825[[#This Row],[asofdate]],I:J,2,0)</f>
        <v>0.15659098739999999</v>
      </c>
      <c r="E428" s="99">
        <f>VLOOKUP(CurrentMtgRatesDataTable825[[#This Row],[asofdate]],O:P,2,0)</f>
        <v>7.3541411999999999E-3</v>
      </c>
      <c r="F428" s="100">
        <f ca="1">VLOOKUP(CurrentMtgRatesDataTable825[[#This Row],[asofdate]]+1,Bloomberg!B:C,2,0)</f>
        <v>1756.8</v>
      </c>
      <c r="I428" s="18">
        <v>40423</v>
      </c>
      <c r="J428" s="88">
        <v>0.8810827349</v>
      </c>
      <c r="K428" s="88">
        <f>VLOOKUP(CurrentMtgRatesDataTable82527141518[[#This Row],[asofdate]],O:P,2,0)</f>
        <v>0.88755630019999998</v>
      </c>
      <c r="L428" s="88">
        <f>VLOOKUP(CurrentMtgRatesDataTable82527141518[[#This Row],[asofdate]],S:T,2,0)</f>
        <v>0.88755630019999998</v>
      </c>
      <c r="M428" s="6">
        <f ca="1">VLOOKUP(CurrentMtgRatesDataTable82527141518[[#This Row],[asofdate]]+1,Bloomberg!B:C,2,0)</f>
        <v>5214.6000000000004</v>
      </c>
      <c r="N428" s="6"/>
      <c r="O428" s="18">
        <v>40395</v>
      </c>
      <c r="P428" s="88">
        <v>0.75111371059999998</v>
      </c>
      <c r="Q428" s="101"/>
      <c r="R428" s="101"/>
      <c r="S428" s="18">
        <v>40360</v>
      </c>
      <c r="T428" s="88">
        <v>0.72765926940000003</v>
      </c>
      <c r="V428"/>
    </row>
    <row r="429" spans="2:22">
      <c r="B429" s="98">
        <v>39702</v>
      </c>
      <c r="C429" s="99">
        <v>0.22375450559999999</v>
      </c>
      <c r="D429" s="99">
        <f>VLOOKUP(CurrentMtgRatesDataTable825[[#This Row],[asofdate]],I:J,2,0)</f>
        <v>9.8266921300000004E-2</v>
      </c>
      <c r="E429" s="99">
        <f>VLOOKUP(CurrentMtgRatesDataTable825[[#This Row],[asofdate]],O:P,2,0)</f>
        <v>2.3293948000000001E-3</v>
      </c>
      <c r="F429" s="100">
        <f ca="1">VLOOKUP(CurrentMtgRatesDataTable825[[#This Row],[asofdate]]+1,Bloomberg!B:C,2,0)</f>
        <v>2068.5</v>
      </c>
      <c r="I429" s="18">
        <v>40416</v>
      </c>
      <c r="J429" s="88">
        <v>0.88163845220000003</v>
      </c>
      <c r="K429" s="88">
        <f>VLOOKUP(CurrentMtgRatesDataTable82527141518[[#This Row],[asofdate]],O:P,2,0)</f>
        <v>0.88325854640000001</v>
      </c>
      <c r="L429" s="88">
        <f>VLOOKUP(CurrentMtgRatesDataTable82527141518[[#This Row],[asofdate]],S:T,2,0)</f>
        <v>0.88325854640000001</v>
      </c>
      <c r="M429" s="6">
        <f ca="1">VLOOKUP(CurrentMtgRatesDataTable82527141518[[#This Row],[asofdate]]+1,Bloomberg!B:C,2,0)</f>
        <v>5431.5</v>
      </c>
      <c r="N429" s="6"/>
      <c r="O429" s="18">
        <v>40388</v>
      </c>
      <c r="P429" s="88">
        <v>0.74030109779999997</v>
      </c>
      <c r="Q429" s="101"/>
      <c r="R429" s="101"/>
      <c r="S429" s="18">
        <v>40353</v>
      </c>
      <c r="T429" s="88">
        <v>0.70872060439999995</v>
      </c>
      <c r="V429"/>
    </row>
    <row r="430" spans="2:22">
      <c r="B430" s="98">
        <v>39695</v>
      </c>
      <c r="C430" s="99">
        <v>0.1017859443</v>
      </c>
      <c r="D430" s="99">
        <f>VLOOKUP(CurrentMtgRatesDataTable825[[#This Row],[asofdate]],I:J,2,0)</f>
        <v>4.0833947600000003E-2</v>
      </c>
      <c r="E430" s="99">
        <f>VLOOKUP(CurrentMtgRatesDataTable825[[#This Row],[asofdate]],O:P,2,0)</f>
        <v>2.9967600000000001E-5</v>
      </c>
      <c r="F430" s="100">
        <f ca="1">VLOOKUP(CurrentMtgRatesDataTable825[[#This Row],[asofdate]]+1,Bloomberg!B:C,2,0)</f>
        <v>998.3</v>
      </c>
      <c r="I430" s="18">
        <v>40409</v>
      </c>
      <c r="J430" s="88">
        <v>0.82832098099999996</v>
      </c>
      <c r="K430" s="88">
        <f>VLOOKUP(CurrentMtgRatesDataTable82527141518[[#This Row],[asofdate]],O:P,2,0)</f>
        <v>0.8330450452</v>
      </c>
      <c r="L430" s="88">
        <f>VLOOKUP(CurrentMtgRatesDataTable82527141518[[#This Row],[asofdate]],S:T,2,0)</f>
        <v>0.8330450452</v>
      </c>
      <c r="M430" s="6">
        <f ca="1">VLOOKUP(CurrentMtgRatesDataTable82527141518[[#This Row],[asofdate]]+1,Bloomberg!B:C,2,0)</f>
        <v>5260.7</v>
      </c>
      <c r="N430" s="6"/>
      <c r="O430" s="18">
        <v>40381</v>
      </c>
      <c r="P430" s="88">
        <v>0.73388789970000001</v>
      </c>
      <c r="Q430" s="101"/>
      <c r="R430" s="101"/>
      <c r="S430" s="18">
        <v>40346</v>
      </c>
      <c r="T430" s="88">
        <v>0.69895495169999999</v>
      </c>
      <c r="V430"/>
    </row>
    <row r="431" spans="2:22">
      <c r="B431" s="98">
        <v>39688</v>
      </c>
      <c r="C431" s="99">
        <v>9.9715127299999998E-2</v>
      </c>
      <c r="D431" s="99">
        <f>VLOOKUP(CurrentMtgRatesDataTable825[[#This Row],[asofdate]],I:J,2,0)</f>
        <v>4.0593434800000001E-2</v>
      </c>
      <c r="E431" s="99">
        <f>VLOOKUP(CurrentMtgRatesDataTable825[[#This Row],[asofdate]],O:P,2,0)</f>
        <v>0</v>
      </c>
      <c r="F431" s="100">
        <f ca="1">VLOOKUP(CurrentMtgRatesDataTable825[[#This Row],[asofdate]]+1,Bloomberg!B:C,2,0)</f>
        <v>825</v>
      </c>
      <c r="I431" s="18">
        <v>40402</v>
      </c>
      <c r="J431" s="88">
        <v>0.80055479750000003</v>
      </c>
      <c r="K431" s="88">
        <f>VLOOKUP(CurrentMtgRatesDataTable82527141518[[#This Row],[asofdate]],O:P,2,0)</f>
        <v>0.80647081030000001</v>
      </c>
      <c r="L431" s="88">
        <f>VLOOKUP(CurrentMtgRatesDataTable82527141518[[#This Row],[asofdate]],S:T,2,0)</f>
        <v>0.80647081030000001</v>
      </c>
      <c r="M431" s="6">
        <f ca="1">VLOOKUP(CurrentMtgRatesDataTable82527141518[[#This Row],[asofdate]]+1,Bloomberg!B:C,2,0)</f>
        <v>4940.8999999999996</v>
      </c>
      <c r="N431" s="6"/>
      <c r="O431" s="18">
        <v>40374</v>
      </c>
      <c r="P431" s="88">
        <v>0</v>
      </c>
      <c r="Q431" s="101"/>
      <c r="R431" s="101"/>
      <c r="S431" s="18">
        <v>40339</v>
      </c>
      <c r="T431" s="88">
        <v>0.70378359310000005</v>
      </c>
      <c r="V431"/>
    </row>
    <row r="432" spans="2:22">
      <c r="B432" s="98">
        <v>39681</v>
      </c>
      <c r="C432" s="99">
        <v>8.1784477600000002E-2</v>
      </c>
      <c r="D432" s="99">
        <f>VLOOKUP(CurrentMtgRatesDataTable825[[#This Row],[asofdate]],I:J,2,0)</f>
        <v>3.2563606199999998E-2</v>
      </c>
      <c r="E432" s="99">
        <f>VLOOKUP(CurrentMtgRatesDataTable825[[#This Row],[asofdate]],O:P,2,0)</f>
        <v>0</v>
      </c>
      <c r="F432" s="100">
        <f ca="1">VLOOKUP(CurrentMtgRatesDataTable825[[#This Row],[asofdate]]+1,Bloomberg!B:C,2,0)</f>
        <v>793.9</v>
      </c>
      <c r="I432" s="18">
        <v>40395</v>
      </c>
      <c r="J432" s="88">
        <v>0.74247622059999996</v>
      </c>
      <c r="K432" s="88">
        <f>VLOOKUP(CurrentMtgRatesDataTable82527141518[[#This Row],[asofdate]],O:P,2,0)</f>
        <v>0.75111371059999998</v>
      </c>
      <c r="L432" s="88">
        <f>VLOOKUP(CurrentMtgRatesDataTable82527141518[[#This Row],[asofdate]],S:T,2,0)</f>
        <v>0.75111371059999998</v>
      </c>
      <c r="M432" s="6">
        <f ca="1">VLOOKUP(CurrentMtgRatesDataTable82527141518[[#This Row],[asofdate]]+1,Bloomberg!B:C,2,0)</f>
        <v>4147.1000000000004</v>
      </c>
      <c r="N432" s="6"/>
      <c r="O432" s="18">
        <v>40367</v>
      </c>
      <c r="P432" s="88">
        <v>0.73176841469999998</v>
      </c>
      <c r="Q432" s="101"/>
      <c r="R432" s="101"/>
      <c r="S432" s="18">
        <v>40332</v>
      </c>
      <c r="T432" s="88">
        <v>0.68326283840000002</v>
      </c>
      <c r="V432"/>
    </row>
    <row r="433" spans="2:22">
      <c r="B433" s="98">
        <v>39674</v>
      </c>
      <c r="C433" s="99">
        <v>7.6992391699999996E-2</v>
      </c>
      <c r="D433" s="99">
        <f>VLOOKUP(CurrentMtgRatesDataTable825[[#This Row],[asofdate]],I:J,2,0)</f>
        <v>2.8888612099999999E-2</v>
      </c>
      <c r="E433" s="99">
        <f>VLOOKUP(CurrentMtgRatesDataTable825[[#This Row],[asofdate]],O:P,2,0)</f>
        <v>0</v>
      </c>
      <c r="F433" s="100">
        <f ca="1">VLOOKUP(CurrentMtgRatesDataTable825[[#This Row],[asofdate]]+1,Bloomberg!B:C,2,0)</f>
        <v>815.2</v>
      </c>
      <c r="I433" s="18">
        <v>40388</v>
      </c>
      <c r="J433" s="88">
        <v>0.73524042300000003</v>
      </c>
      <c r="K433" s="88">
        <f>VLOOKUP(CurrentMtgRatesDataTable82527141518[[#This Row],[asofdate]],O:P,2,0)</f>
        <v>0.74030109779999997</v>
      </c>
      <c r="L433" s="88">
        <f>VLOOKUP(CurrentMtgRatesDataTable82527141518[[#This Row],[asofdate]],S:T,2,0)</f>
        <v>0.74030109779999997</v>
      </c>
      <c r="M433" s="6">
        <f ca="1">VLOOKUP(CurrentMtgRatesDataTable82527141518[[#This Row],[asofdate]]+1,Bloomberg!B:C,2,0)</f>
        <v>4155.5</v>
      </c>
      <c r="N433" s="6"/>
      <c r="O433" s="18">
        <v>40360</v>
      </c>
      <c r="P433" s="88">
        <v>0.72765926940000003</v>
      </c>
      <c r="Q433" s="101"/>
      <c r="R433" s="101"/>
      <c r="S433" s="18">
        <v>40325</v>
      </c>
      <c r="T433" s="88">
        <v>0.70494764590000003</v>
      </c>
      <c r="V433"/>
    </row>
    <row r="434" spans="2:22">
      <c r="B434" s="98">
        <v>39667</v>
      </c>
      <c r="C434" s="99">
        <v>7.6992391699999996E-2</v>
      </c>
      <c r="D434" s="99">
        <f>VLOOKUP(CurrentMtgRatesDataTable825[[#This Row],[asofdate]],I:J,2,0)</f>
        <v>2.8888612099999999E-2</v>
      </c>
      <c r="E434" s="99">
        <f>VLOOKUP(CurrentMtgRatesDataTable825[[#This Row],[asofdate]],O:P,2,0)</f>
        <v>0</v>
      </c>
      <c r="F434" s="100">
        <f ca="1">VLOOKUP(CurrentMtgRatesDataTable825[[#This Row],[asofdate]]+1,Bloomberg!B:C,2,0)</f>
        <v>853.1</v>
      </c>
      <c r="I434" s="18">
        <v>40381</v>
      </c>
      <c r="J434" s="88">
        <v>0.72892549139999996</v>
      </c>
      <c r="K434" s="88">
        <f>VLOOKUP(CurrentMtgRatesDataTable82527141518[[#This Row],[asofdate]],O:P,2,0)</f>
        <v>0.73388789970000001</v>
      </c>
      <c r="L434" s="88">
        <f>VLOOKUP(CurrentMtgRatesDataTable82527141518[[#This Row],[asofdate]],S:T,2,0)</f>
        <v>0.73388789970000001</v>
      </c>
      <c r="M434" s="6">
        <f ca="1">VLOOKUP(CurrentMtgRatesDataTable82527141518[[#This Row],[asofdate]]+1,Bloomberg!B:C,2,0)</f>
        <v>4097.3</v>
      </c>
      <c r="N434" s="6"/>
      <c r="O434" s="18">
        <v>40353</v>
      </c>
      <c r="P434" s="88">
        <v>0.70872060439999995</v>
      </c>
      <c r="Q434" s="101"/>
      <c r="R434" s="101"/>
      <c r="S434" s="18">
        <v>40318</v>
      </c>
      <c r="T434" s="88">
        <v>0.68891456210000002</v>
      </c>
      <c r="V434"/>
    </row>
    <row r="435" spans="2:22">
      <c r="B435" s="98">
        <v>39660</v>
      </c>
      <c r="C435" s="99">
        <v>7.8223039200000011E-2</v>
      </c>
      <c r="D435" s="99">
        <f>VLOOKUP(CurrentMtgRatesDataTable825[[#This Row],[asofdate]],I:J,2,0)</f>
        <v>2.9823958099999999E-2</v>
      </c>
      <c r="E435" s="99">
        <f>VLOOKUP(CurrentMtgRatesDataTable825[[#This Row],[asofdate]],O:P,2,0)</f>
        <v>0</v>
      </c>
      <c r="F435" s="100">
        <f ca="1">VLOOKUP(CurrentMtgRatesDataTable825[[#This Row],[asofdate]]+1,Bloomberg!B:C,2,0)</f>
        <v>897.7</v>
      </c>
      <c r="I435" s="18">
        <v>40374</v>
      </c>
      <c r="J435" s="88">
        <v>0.72671387840000001</v>
      </c>
      <c r="K435" s="88">
        <f>VLOOKUP(CurrentMtgRatesDataTable82527141518[[#This Row],[asofdate]],O:P,2,0)</f>
        <v>0</v>
      </c>
      <c r="L435" s="88">
        <f>VLOOKUP(CurrentMtgRatesDataTable82527141518[[#This Row],[asofdate]],S:T,2,0)</f>
        <v>0.73176841469999998</v>
      </c>
      <c r="M435" s="6">
        <f ca="1">VLOOKUP(CurrentMtgRatesDataTable82527141518[[#This Row],[asofdate]]+1,Bloomberg!B:C,2,0)</f>
        <v>4345.3999999999996</v>
      </c>
      <c r="N435" s="6"/>
      <c r="O435" s="18">
        <v>40346</v>
      </c>
      <c r="P435" s="88">
        <v>0</v>
      </c>
      <c r="Q435" s="101"/>
      <c r="R435" s="101"/>
      <c r="S435" s="18">
        <v>40311</v>
      </c>
      <c r="T435" s="88">
        <v>2.1312832800000001E-2</v>
      </c>
      <c r="V435"/>
    </row>
    <row r="436" spans="2:22">
      <c r="B436" s="98">
        <v>39653</v>
      </c>
      <c r="C436" s="99">
        <v>6.4039119199999994E-2</v>
      </c>
      <c r="D436" s="99">
        <f>VLOOKUP(CurrentMtgRatesDataTable825[[#This Row],[asofdate]],I:J,2,0)</f>
        <v>2.41562468E-2</v>
      </c>
      <c r="E436" s="99">
        <f>VLOOKUP(CurrentMtgRatesDataTable825[[#This Row],[asofdate]],O:P,2,0)</f>
        <v>0</v>
      </c>
      <c r="F436" s="100">
        <f ca="1">VLOOKUP(CurrentMtgRatesDataTable825[[#This Row],[asofdate]]+1,Bloomberg!B:C,2,0)</f>
        <v>874.1</v>
      </c>
      <c r="I436" s="18">
        <v>40367</v>
      </c>
      <c r="J436" s="88">
        <v>0.72671387840000001</v>
      </c>
      <c r="K436" s="88">
        <f>VLOOKUP(CurrentMtgRatesDataTable82527141518[[#This Row],[asofdate]],O:P,2,0)</f>
        <v>0.73176841469999998</v>
      </c>
      <c r="L436" s="88">
        <f>VLOOKUP(CurrentMtgRatesDataTable82527141518[[#This Row],[asofdate]],S:T,2,0)</f>
        <v>0.73176841469999998</v>
      </c>
      <c r="M436" s="6">
        <f ca="1">VLOOKUP(CurrentMtgRatesDataTable82527141518[[#This Row],[asofdate]]+1,Bloomberg!B:C,2,0)</f>
        <v>3925.8</v>
      </c>
      <c r="N436" s="6"/>
      <c r="O436" s="18">
        <v>40339</v>
      </c>
      <c r="P436" s="88">
        <v>9.2313932999999997E-3</v>
      </c>
      <c r="Q436" s="101"/>
      <c r="R436" s="101"/>
      <c r="S436" s="18">
        <v>40304</v>
      </c>
      <c r="T436" s="88">
        <v>8.1619750000000001E-4</v>
      </c>
      <c r="V436"/>
    </row>
    <row r="437" spans="2:22">
      <c r="B437" s="98">
        <v>39646</v>
      </c>
      <c r="C437" s="99">
        <v>0.13065492100000001</v>
      </c>
      <c r="D437" s="99">
        <f>VLOOKUP(CurrentMtgRatesDataTable825[[#This Row],[asofdate]],I:J,2,0)</f>
        <v>5.27520036E-2</v>
      </c>
      <c r="E437" s="99">
        <f>VLOOKUP(CurrentMtgRatesDataTable825[[#This Row],[asofdate]],O:P,2,0)</f>
        <v>0</v>
      </c>
      <c r="F437" s="100">
        <f ca="1">VLOOKUP(CurrentMtgRatesDataTable825[[#This Row],[asofdate]]+1,Bloomberg!B:C,2,0)</f>
        <v>1213.9000000000001</v>
      </c>
      <c r="I437" s="18">
        <v>40360</v>
      </c>
      <c r="J437" s="88">
        <v>0.72367057499999998</v>
      </c>
      <c r="K437" s="88">
        <f>VLOOKUP(CurrentMtgRatesDataTable82527141518[[#This Row],[asofdate]],O:P,2,0)</f>
        <v>0.72765926940000003</v>
      </c>
      <c r="L437" s="88">
        <f>VLOOKUP(CurrentMtgRatesDataTable82527141518[[#This Row],[asofdate]],S:T,2,0)</f>
        <v>0.72765926940000003</v>
      </c>
      <c r="M437" s="6">
        <f ca="1">VLOOKUP(CurrentMtgRatesDataTable82527141518[[#This Row],[asofdate]]+1,Bloomberg!B:C,2,0)</f>
        <v>3925.9</v>
      </c>
      <c r="N437" s="6"/>
      <c r="O437" s="18">
        <v>40332</v>
      </c>
      <c r="P437" s="88">
        <v>0</v>
      </c>
      <c r="Q437" s="101"/>
      <c r="R437" s="101"/>
      <c r="S437" s="18">
        <v>40297</v>
      </c>
      <c r="T437" s="88">
        <v>1.799669E-4</v>
      </c>
      <c r="V437"/>
    </row>
    <row r="438" spans="2:22">
      <c r="B438" s="98">
        <v>39639</v>
      </c>
      <c r="C438" s="99">
        <v>0.1050142817</v>
      </c>
      <c r="D438" s="99">
        <f>VLOOKUP(CurrentMtgRatesDataTable825[[#This Row],[asofdate]],I:J,2,0)</f>
        <v>4.3910250200000001E-2</v>
      </c>
      <c r="E438" s="99">
        <f>VLOOKUP(CurrentMtgRatesDataTable825[[#This Row],[asofdate]],O:P,2,0)</f>
        <v>0</v>
      </c>
      <c r="F438" s="100">
        <f ca="1">VLOOKUP(CurrentMtgRatesDataTable825[[#This Row],[asofdate]]+1,Bloomberg!B:C,2,0)</f>
        <v>1270.5999999999999</v>
      </c>
      <c r="I438" s="18">
        <v>40353</v>
      </c>
      <c r="J438" s="88">
        <v>0.70138216229999994</v>
      </c>
      <c r="K438" s="88">
        <f>VLOOKUP(CurrentMtgRatesDataTable82527141518[[#This Row],[asofdate]],O:P,2,0)</f>
        <v>0.70872060439999995</v>
      </c>
      <c r="L438" s="88">
        <f>VLOOKUP(CurrentMtgRatesDataTable82527141518[[#This Row],[asofdate]],S:T,2,0)</f>
        <v>0.70872060439999995</v>
      </c>
      <c r="M438" s="6">
        <f ca="1">VLOOKUP(CurrentMtgRatesDataTable82527141518[[#This Row],[asofdate]]+1,Bloomberg!B:C,2,0)</f>
        <v>3546.2</v>
      </c>
      <c r="N438" s="6"/>
      <c r="O438" s="18">
        <v>40325</v>
      </c>
      <c r="P438" s="88">
        <v>3.1171343999999998E-3</v>
      </c>
      <c r="Q438" s="101"/>
      <c r="R438" s="101"/>
      <c r="S438" s="18">
        <v>40290</v>
      </c>
      <c r="T438" s="88">
        <v>1.794144E-4</v>
      </c>
      <c r="V438"/>
    </row>
    <row r="439" spans="2:22">
      <c r="B439" s="98">
        <v>39632</v>
      </c>
      <c r="C439" s="99">
        <v>0.1096612248</v>
      </c>
      <c r="D439" s="99">
        <f>VLOOKUP(CurrentMtgRatesDataTable825[[#This Row],[asofdate]],I:J,2,0)</f>
        <v>4.5773592100000003E-2</v>
      </c>
      <c r="E439" s="99">
        <f>VLOOKUP(CurrentMtgRatesDataTable825[[#This Row],[asofdate]],O:P,2,0)</f>
        <v>0</v>
      </c>
      <c r="F439" s="100">
        <f ca="1">VLOOKUP(CurrentMtgRatesDataTable825[[#This Row],[asofdate]]+1,Bloomberg!B:C,2,0)</f>
        <v>1166.5</v>
      </c>
      <c r="I439" s="18">
        <v>40346</v>
      </c>
      <c r="J439" s="88">
        <v>0.69108496269999997</v>
      </c>
      <c r="K439" s="88">
        <f>VLOOKUP(CurrentMtgRatesDataTable82527141518[[#This Row],[asofdate]],O:P,2,0)</f>
        <v>0</v>
      </c>
      <c r="L439" s="88">
        <f>VLOOKUP(CurrentMtgRatesDataTable82527141518[[#This Row],[asofdate]],S:T,2,0)</f>
        <v>0.69895495169999999</v>
      </c>
      <c r="M439" s="6">
        <f ca="1">VLOOKUP(CurrentMtgRatesDataTable82527141518[[#This Row],[asofdate]]+1,Bloomberg!B:C,2,0)</f>
        <v>3107.1</v>
      </c>
      <c r="N439" s="6"/>
      <c r="O439" s="18">
        <v>40318</v>
      </c>
      <c r="P439" s="88">
        <v>1.466572E-3</v>
      </c>
      <c r="Q439" s="101"/>
      <c r="R439" s="101"/>
      <c r="S439" s="18">
        <v>40283</v>
      </c>
      <c r="T439" s="88">
        <v>5.2332259999999999E-4</v>
      </c>
      <c r="V439"/>
    </row>
    <row r="440" spans="2:22">
      <c r="B440" s="98">
        <v>39625</v>
      </c>
      <c r="C440" s="99">
        <v>9.3717454800000002E-2</v>
      </c>
      <c r="D440" s="99">
        <f>VLOOKUP(CurrentMtgRatesDataTable825[[#This Row],[asofdate]],I:J,2,0)</f>
        <v>3.95007182E-2</v>
      </c>
      <c r="E440" s="99">
        <f>VLOOKUP(CurrentMtgRatesDataTable825[[#This Row],[asofdate]],O:P,2,0)</f>
        <v>0</v>
      </c>
      <c r="F440" s="100">
        <f ca="1">VLOOKUP(CurrentMtgRatesDataTable825[[#This Row],[asofdate]]+1,Bloomberg!B:C,2,0)</f>
        <v>1111.3</v>
      </c>
      <c r="I440" s="18">
        <v>40339</v>
      </c>
      <c r="J440" s="88">
        <v>0.69610032779999997</v>
      </c>
      <c r="K440" s="88">
        <f>VLOOKUP(CurrentMtgRatesDataTable82527141518[[#This Row],[asofdate]],O:P,2,0)</f>
        <v>9.2313932999999997E-3</v>
      </c>
      <c r="L440" s="88">
        <f>VLOOKUP(CurrentMtgRatesDataTable82527141518[[#This Row],[asofdate]],S:T,2,0)</f>
        <v>0.70378359310000005</v>
      </c>
      <c r="M440" s="6">
        <f ca="1">VLOOKUP(CurrentMtgRatesDataTable82527141518[[#This Row],[asofdate]]+1,Bloomberg!B:C,2,0)</f>
        <v>3387.8</v>
      </c>
      <c r="N440" s="6"/>
      <c r="O440" s="18">
        <v>40311</v>
      </c>
      <c r="P440" s="88">
        <v>1.5816730000000001E-4</v>
      </c>
      <c r="Q440" s="101"/>
      <c r="R440" s="101"/>
      <c r="S440" s="18">
        <v>40276</v>
      </c>
      <c r="T440" s="88">
        <v>1.3278009999999999E-4</v>
      </c>
      <c r="V440"/>
    </row>
    <row r="441" spans="2:22">
      <c r="B441" s="98">
        <v>39618</v>
      </c>
      <c r="C441" s="99">
        <v>9.4532943800000005E-2</v>
      </c>
      <c r="D441" s="99">
        <f>VLOOKUP(CurrentMtgRatesDataTable825[[#This Row],[asofdate]],I:J,2,0)</f>
        <v>3.9958427800000001E-2</v>
      </c>
      <c r="E441" s="99">
        <f>VLOOKUP(CurrentMtgRatesDataTable825[[#This Row],[asofdate]],O:P,2,0)</f>
        <v>0</v>
      </c>
      <c r="F441" s="100">
        <f ca="1">VLOOKUP(CurrentMtgRatesDataTable825[[#This Row],[asofdate]]+1,Bloomberg!B:C,2,0)</f>
        <v>1044.5999999999999</v>
      </c>
      <c r="I441" s="18">
        <v>40332</v>
      </c>
      <c r="J441" s="88">
        <v>0.6738654583</v>
      </c>
      <c r="K441" s="88">
        <f>VLOOKUP(CurrentMtgRatesDataTable82527141518[[#This Row],[asofdate]],O:P,2,0)</f>
        <v>0</v>
      </c>
      <c r="L441" s="88">
        <f>VLOOKUP(CurrentMtgRatesDataTable82527141518[[#This Row],[asofdate]],S:T,2,0)</f>
        <v>0.68326283840000002</v>
      </c>
      <c r="M441" s="6">
        <f ca="1">VLOOKUP(CurrentMtgRatesDataTable82527141518[[#This Row],[asofdate]]+1,Bloomberg!B:C,2,0)</f>
        <v>2781.6</v>
      </c>
      <c r="N441" s="6"/>
      <c r="O441" s="18">
        <v>40304</v>
      </c>
      <c r="P441" s="88">
        <v>0</v>
      </c>
      <c r="Q441" s="101"/>
      <c r="R441" s="101"/>
      <c r="S441" s="18">
        <v>40269</v>
      </c>
      <c r="T441" s="88">
        <v>3.2273609999999999E-4</v>
      </c>
      <c r="V441"/>
    </row>
    <row r="442" spans="2:22">
      <c r="B442" s="98">
        <v>39611</v>
      </c>
      <c r="C442" s="99">
        <v>0.1123154383</v>
      </c>
      <c r="D442" s="99">
        <f>VLOOKUP(CurrentMtgRatesDataTable825[[#This Row],[asofdate]],I:J,2,0)</f>
        <v>4.7779173100000003E-2</v>
      </c>
      <c r="E442" s="99">
        <f>VLOOKUP(CurrentMtgRatesDataTable825[[#This Row],[asofdate]],O:P,2,0)</f>
        <v>0</v>
      </c>
      <c r="F442" s="100">
        <f ca="1">VLOOKUP(CurrentMtgRatesDataTable825[[#This Row],[asofdate]]+1,Bloomberg!B:C,2,0)</f>
        <v>1219.7</v>
      </c>
      <c r="I442" s="18">
        <v>40325</v>
      </c>
      <c r="J442" s="88">
        <v>0.69456761649999998</v>
      </c>
      <c r="K442" s="88">
        <f>VLOOKUP(CurrentMtgRatesDataTable82527141518[[#This Row],[asofdate]],O:P,2,0)</f>
        <v>3.1171343999999998E-3</v>
      </c>
      <c r="L442" s="88">
        <f>VLOOKUP(CurrentMtgRatesDataTable82527141518[[#This Row],[asofdate]],S:T,2,0)</f>
        <v>0.70494764590000003</v>
      </c>
      <c r="M442" s="6">
        <f ca="1">VLOOKUP(CurrentMtgRatesDataTable82527141518[[#This Row],[asofdate]]+1,Bloomberg!B:C,2,0)</f>
        <v>3239.2</v>
      </c>
      <c r="N442" s="6"/>
      <c r="O442" s="18">
        <v>40297</v>
      </c>
      <c r="P442" s="88">
        <v>0</v>
      </c>
      <c r="Q442" s="101"/>
      <c r="R442" s="101"/>
      <c r="S442" s="18">
        <v>40262</v>
      </c>
      <c r="T442" s="88">
        <v>1.47073E-3</v>
      </c>
      <c r="V442"/>
    </row>
    <row r="443" spans="2:22">
      <c r="B443" s="98">
        <v>39604</v>
      </c>
      <c r="C443" s="99">
        <v>0.17810420960000001</v>
      </c>
      <c r="D443" s="99">
        <f>VLOOKUP(CurrentMtgRatesDataTable825[[#This Row],[asofdate]],I:J,2,0)</f>
        <v>7.9995444900000018E-2</v>
      </c>
      <c r="E443" s="99">
        <f>VLOOKUP(CurrentMtgRatesDataTable825[[#This Row],[asofdate]],O:P,2,0)</f>
        <v>0</v>
      </c>
      <c r="F443" s="100">
        <f ca="1">VLOOKUP(CurrentMtgRatesDataTable825[[#This Row],[asofdate]]+1,Bloomberg!B:C,2,0)</f>
        <v>1477.5</v>
      </c>
      <c r="I443" s="18">
        <v>40318</v>
      </c>
      <c r="J443" s="88">
        <v>0.67768762419999995</v>
      </c>
      <c r="K443" s="88">
        <f>VLOOKUP(CurrentMtgRatesDataTable82527141518[[#This Row],[asofdate]],O:P,2,0)</f>
        <v>1.466572E-3</v>
      </c>
      <c r="L443" s="88">
        <f>VLOOKUP(CurrentMtgRatesDataTable82527141518[[#This Row],[asofdate]],S:T,2,0)</f>
        <v>0.68891456210000002</v>
      </c>
      <c r="M443" s="6">
        <f ca="1">VLOOKUP(CurrentMtgRatesDataTable82527141518[[#This Row],[asofdate]]+1,Bloomberg!B:C,2,0)</f>
        <v>3154.9</v>
      </c>
      <c r="N443" s="6"/>
      <c r="O443" s="18">
        <v>40290</v>
      </c>
      <c r="P443" s="88">
        <v>0</v>
      </c>
      <c r="Q443" s="101"/>
      <c r="R443" s="101"/>
      <c r="S443" s="18">
        <v>40255</v>
      </c>
      <c r="T443" s="88">
        <v>1.654476E-3</v>
      </c>
      <c r="V443"/>
    </row>
    <row r="444" spans="2:22">
      <c r="B444" s="98">
        <v>39597</v>
      </c>
      <c r="C444" s="99">
        <v>0.18416776970000001</v>
      </c>
      <c r="D444" s="99">
        <f>VLOOKUP(CurrentMtgRatesDataTable825[[#This Row],[asofdate]],I:J,2,0)</f>
        <v>8.6679300099999995E-2</v>
      </c>
      <c r="E444" s="99">
        <f>VLOOKUP(CurrentMtgRatesDataTable825[[#This Row],[asofdate]],O:P,2,0)</f>
        <v>0</v>
      </c>
      <c r="F444" s="100">
        <f ca="1">VLOOKUP(CurrentMtgRatesDataTable825[[#This Row],[asofdate]]+1,Bloomberg!B:C,2,0)</f>
        <v>1387.8</v>
      </c>
      <c r="I444" s="18">
        <v>40311</v>
      </c>
      <c r="J444" s="88">
        <v>0.6468283038</v>
      </c>
      <c r="K444" s="88">
        <f>VLOOKUP(CurrentMtgRatesDataTable82527141518[[#This Row],[asofdate]],O:P,2,0)</f>
        <v>1.5816730000000001E-4</v>
      </c>
      <c r="L444" s="88">
        <f>VLOOKUP(CurrentMtgRatesDataTable82527141518[[#This Row],[asofdate]],S:T,2,0)</f>
        <v>2.1312832800000001E-2</v>
      </c>
      <c r="M444" s="6">
        <f ca="1">VLOOKUP(CurrentMtgRatesDataTable82527141518[[#This Row],[asofdate]]+1,Bloomberg!B:C,2,0)</f>
        <v>2668.6</v>
      </c>
      <c r="N444" s="6"/>
      <c r="O444" s="18">
        <v>40283</v>
      </c>
      <c r="P444" s="88">
        <v>0</v>
      </c>
      <c r="Q444" s="101"/>
      <c r="R444" s="101"/>
      <c r="S444" s="18">
        <v>40248</v>
      </c>
      <c r="T444" s="88">
        <v>1.35149255E-2</v>
      </c>
      <c r="V444"/>
    </row>
    <row r="445" spans="2:22">
      <c r="B445" s="98">
        <v>39590</v>
      </c>
      <c r="C445" s="99">
        <v>0.23849039160000002</v>
      </c>
      <c r="D445" s="99">
        <f>VLOOKUP(CurrentMtgRatesDataTable825[[#This Row],[asofdate]],I:J,2,0)</f>
        <v>0.12363966749999999</v>
      </c>
      <c r="E445" s="99">
        <f>VLOOKUP(CurrentMtgRatesDataTable825[[#This Row],[asofdate]],O:P,2,0)</f>
        <v>0</v>
      </c>
      <c r="F445" s="100">
        <f ca="1">VLOOKUP(CurrentMtgRatesDataTable825[[#This Row],[asofdate]]+1,Bloomberg!B:C,2,0)</f>
        <v>1930.4</v>
      </c>
      <c r="I445" s="18">
        <v>40304</v>
      </c>
      <c r="J445" s="88">
        <v>0.60766821969999996</v>
      </c>
      <c r="K445" s="88">
        <f>VLOOKUP(CurrentMtgRatesDataTable82527141518[[#This Row],[asofdate]],O:P,2,0)</f>
        <v>0</v>
      </c>
      <c r="L445" s="88">
        <f>VLOOKUP(CurrentMtgRatesDataTable82527141518[[#This Row],[asofdate]],S:T,2,0)</f>
        <v>8.1619750000000001E-4</v>
      </c>
      <c r="M445" s="6">
        <f ca="1">VLOOKUP(CurrentMtgRatesDataTable82527141518[[#This Row],[asofdate]]+1,Bloomberg!B:C,2,0)</f>
        <v>2303.6</v>
      </c>
      <c r="N445" s="6"/>
      <c r="O445" s="18">
        <v>40276</v>
      </c>
      <c r="P445" s="88">
        <v>0</v>
      </c>
      <c r="Q445" s="101"/>
      <c r="R445" s="101"/>
      <c r="S445" s="18">
        <v>40241</v>
      </c>
      <c r="T445" s="88">
        <v>1.6151982E-3</v>
      </c>
      <c r="V445"/>
    </row>
    <row r="446" spans="2:22">
      <c r="B446" s="98">
        <v>39583</v>
      </c>
      <c r="C446" s="99">
        <v>0.211388195</v>
      </c>
      <c r="D446" s="99">
        <f>VLOOKUP(CurrentMtgRatesDataTable825[[#This Row],[asofdate]],I:J,2,0)</f>
        <v>0.1053775911</v>
      </c>
      <c r="E446" s="99">
        <f>VLOOKUP(CurrentMtgRatesDataTable825[[#This Row],[asofdate]],O:P,2,0)</f>
        <v>0</v>
      </c>
      <c r="F446" s="100">
        <f ca="1">VLOOKUP(CurrentMtgRatesDataTable825[[#This Row],[asofdate]]+1,Bloomberg!B:C,2,0)</f>
        <v>2135.8000000000002</v>
      </c>
      <c r="I446" s="18">
        <v>40297</v>
      </c>
      <c r="J446" s="88">
        <v>0.58976950910000003</v>
      </c>
      <c r="K446" s="88">
        <f>VLOOKUP(CurrentMtgRatesDataTable82527141518[[#This Row],[asofdate]],O:P,2,0)</f>
        <v>0</v>
      </c>
      <c r="L446" s="88">
        <f>VLOOKUP(CurrentMtgRatesDataTable82527141518[[#This Row],[asofdate]],S:T,2,0)</f>
        <v>1.799669E-4</v>
      </c>
      <c r="M446" s="6">
        <f ca="1">VLOOKUP(CurrentMtgRatesDataTable82527141518[[#This Row],[asofdate]]+1,Bloomberg!B:C,2,0)</f>
        <v>1953.3</v>
      </c>
      <c r="N446" s="6"/>
      <c r="O446" s="18">
        <v>40269</v>
      </c>
      <c r="P446" s="88">
        <v>0</v>
      </c>
      <c r="Q446" s="101"/>
      <c r="R446" s="101"/>
      <c r="S446" s="18">
        <v>40234</v>
      </c>
      <c r="T446" s="88">
        <v>4.467742E-4</v>
      </c>
      <c r="V446"/>
    </row>
    <row r="447" spans="2:22">
      <c r="B447" s="104">
        <v>39576</v>
      </c>
      <c r="C447" s="105">
        <v>0.2268172108</v>
      </c>
      <c r="D447" s="105">
        <f>VLOOKUP(CurrentMtgRatesDataTable825[[#This Row],[asofdate]],I:J,2,0)</f>
        <v>0.11673117360000002</v>
      </c>
      <c r="E447" s="105">
        <f>VLOOKUP(CurrentMtgRatesDataTable825[[#This Row],[asofdate]],O:P,2,0)</f>
        <v>0</v>
      </c>
      <c r="F447" s="106">
        <f ca="1">VLOOKUP(CurrentMtgRatesDataTable825[[#This Row],[asofdate]]+1,Bloomberg!B:C,2,0)</f>
        <v>2388.8000000000002</v>
      </c>
      <c r="I447" s="18">
        <v>40290</v>
      </c>
      <c r="J447" s="88">
        <v>0.58485987679999996</v>
      </c>
      <c r="K447" s="88">
        <f>VLOOKUP(CurrentMtgRatesDataTable82527141518[[#This Row],[asofdate]],O:P,2,0)</f>
        <v>0</v>
      </c>
      <c r="L447" s="88">
        <f>VLOOKUP(CurrentMtgRatesDataTable82527141518[[#This Row],[asofdate]],S:T,2,0)</f>
        <v>1.794144E-4</v>
      </c>
      <c r="M447" s="6">
        <f ca="1">VLOOKUP(CurrentMtgRatesDataTable82527141518[[#This Row],[asofdate]]+1,Bloomberg!B:C,2,0)</f>
        <v>1984.5</v>
      </c>
      <c r="N447" s="6"/>
      <c r="O447" s="18">
        <v>40262</v>
      </c>
      <c r="P447" s="88">
        <v>0</v>
      </c>
      <c r="Q447" s="101"/>
      <c r="R447" s="101"/>
      <c r="S447" s="18">
        <v>40227</v>
      </c>
      <c r="T447" s="88">
        <v>2.47944202E-2</v>
      </c>
      <c r="V447"/>
    </row>
    <row r="448" spans="2:22">
      <c r="B448" s="104">
        <v>39569</v>
      </c>
      <c r="C448" s="105">
        <v>0.2021882774</v>
      </c>
      <c r="D448" s="105">
        <f>VLOOKUP(CurrentMtgRatesDataTable825[[#This Row],[asofdate]],I:J,2,0)</f>
        <v>9.8725131300000005E-2</v>
      </c>
      <c r="E448" s="105">
        <f>VLOOKUP(CurrentMtgRatesDataTable825[[#This Row],[asofdate]],O:P,2,0)</f>
        <v>0</v>
      </c>
      <c r="F448" s="106">
        <f ca="1">VLOOKUP(CurrentMtgRatesDataTable825[[#This Row],[asofdate]]+1,Bloomberg!B:C,2,0)</f>
        <v>2195</v>
      </c>
      <c r="I448" s="18">
        <v>40283</v>
      </c>
      <c r="J448" s="88">
        <v>0.59695209530000004</v>
      </c>
      <c r="K448" s="88">
        <f>VLOOKUP(CurrentMtgRatesDataTable82527141518[[#This Row],[asofdate]],O:P,2,0)</f>
        <v>0</v>
      </c>
      <c r="L448" s="88">
        <f>VLOOKUP(CurrentMtgRatesDataTable82527141518[[#This Row],[asofdate]],S:T,2,0)</f>
        <v>5.2332259999999999E-4</v>
      </c>
      <c r="M448" s="6">
        <f ca="1">VLOOKUP(CurrentMtgRatesDataTable82527141518[[#This Row],[asofdate]]+1,Bloomberg!B:C,2,0)</f>
        <v>2217</v>
      </c>
      <c r="N448" s="6"/>
      <c r="O448" s="18">
        <v>40255</v>
      </c>
      <c r="P448" s="88">
        <v>0</v>
      </c>
      <c r="Q448" s="101"/>
      <c r="R448" s="101"/>
      <c r="S448" s="18">
        <v>40220</v>
      </c>
      <c r="T448" s="88">
        <v>1.31800658E-2</v>
      </c>
      <c r="V448"/>
    </row>
    <row r="449" spans="2:22">
      <c r="B449" s="104">
        <v>39562</v>
      </c>
      <c r="C449" s="105">
        <v>0.24588021339999999</v>
      </c>
      <c r="D449" s="105">
        <f>VLOOKUP(CurrentMtgRatesDataTable825[[#This Row],[asofdate]],I:J,2,0)</f>
        <v>0.1336468687</v>
      </c>
      <c r="E449" s="105">
        <f>VLOOKUP(CurrentMtgRatesDataTable825[[#This Row],[asofdate]],O:P,2,0)</f>
        <v>0</v>
      </c>
      <c r="F449" s="106">
        <f ca="1">VLOOKUP(CurrentMtgRatesDataTable825[[#This Row],[asofdate]]+1,Bloomberg!B:C,2,0)</f>
        <v>1809.5</v>
      </c>
      <c r="I449" s="18">
        <v>40276</v>
      </c>
      <c r="J449" s="88">
        <v>0.53331550019999996</v>
      </c>
      <c r="K449" s="88">
        <f>VLOOKUP(CurrentMtgRatesDataTable82527141518[[#This Row],[asofdate]],O:P,2,0)</f>
        <v>0</v>
      </c>
      <c r="L449" s="88">
        <f>VLOOKUP(CurrentMtgRatesDataTable82527141518[[#This Row],[asofdate]],S:T,2,0)</f>
        <v>1.3278009999999999E-4</v>
      </c>
      <c r="M449" s="6">
        <f ca="1">VLOOKUP(CurrentMtgRatesDataTable82527141518[[#This Row],[asofdate]]+1,Bloomberg!B:C,2,0)</f>
        <v>1892.5</v>
      </c>
      <c r="N449" s="6"/>
      <c r="O449" s="18">
        <v>40248</v>
      </c>
      <c r="P449" s="88">
        <v>0</v>
      </c>
      <c r="Q449" s="101"/>
      <c r="R449" s="101"/>
      <c r="S449" s="18">
        <v>40213</v>
      </c>
      <c r="T449" s="88">
        <v>1.1516606000000001E-3</v>
      </c>
      <c r="V449"/>
    </row>
    <row r="450" spans="2:22">
      <c r="B450" s="104">
        <v>39555</v>
      </c>
      <c r="C450" s="105">
        <v>0.32398856120000002</v>
      </c>
      <c r="D450" s="105">
        <f>VLOOKUP(CurrentMtgRatesDataTable825[[#This Row],[asofdate]],I:J,2,0)</f>
        <v>0.19095543770000001</v>
      </c>
      <c r="E450" s="105">
        <f>VLOOKUP(CurrentMtgRatesDataTable825[[#This Row],[asofdate]],O:P,2,0)</f>
        <v>0</v>
      </c>
      <c r="F450" s="106">
        <f ca="1">VLOOKUP(CurrentMtgRatesDataTable825[[#This Row],[asofdate]]+1,Bloomberg!B:C,2,0)</f>
        <v>2215.6999999999998</v>
      </c>
      <c r="I450" s="18">
        <v>40269</v>
      </c>
      <c r="J450" s="88">
        <v>0.57889581359999998</v>
      </c>
      <c r="K450" s="88">
        <f>VLOOKUP(CurrentMtgRatesDataTable82527141518[[#This Row],[asofdate]],O:P,2,0)</f>
        <v>0</v>
      </c>
      <c r="L450" s="88">
        <f>VLOOKUP(CurrentMtgRatesDataTable82527141518[[#This Row],[asofdate]],S:T,2,0)</f>
        <v>3.2273609999999999E-4</v>
      </c>
      <c r="M450" s="6">
        <f ca="1">VLOOKUP(CurrentMtgRatesDataTable82527141518[[#This Row],[asofdate]]+1,Bloomberg!B:C,2,0)</f>
        <v>2051.3000000000002</v>
      </c>
      <c r="N450" s="6"/>
      <c r="O450" s="18">
        <v>40241</v>
      </c>
      <c r="P450" s="88">
        <v>0</v>
      </c>
      <c r="Q450" s="101"/>
      <c r="R450" s="101"/>
      <c r="S450" s="18">
        <v>40206</v>
      </c>
      <c r="T450" s="88">
        <v>1.7011112299999999E-2</v>
      </c>
      <c r="V450"/>
    </row>
    <row r="451" spans="2:22">
      <c r="B451" s="107">
        <v>39548</v>
      </c>
      <c r="C451" s="108">
        <v>0.32398856120000002</v>
      </c>
      <c r="D451" s="108">
        <f>VLOOKUP(CurrentMtgRatesDataTable825[[#This Row],[asofdate]],I:J,2,0)</f>
        <v>0.19095543770000001</v>
      </c>
      <c r="E451" s="108">
        <f>VLOOKUP(CurrentMtgRatesDataTable825[[#This Row],[asofdate]],O:P,2,0)</f>
        <v>0</v>
      </c>
      <c r="F451" s="109">
        <f ca="1">VLOOKUP(CurrentMtgRatesDataTable825[[#This Row],[asofdate]]+1,Bloomberg!B:C,2,0)</f>
        <v>2880.7</v>
      </c>
      <c r="I451" s="18">
        <v>40262</v>
      </c>
      <c r="J451" s="88">
        <v>0.65506788930000004</v>
      </c>
      <c r="K451" s="88">
        <f>VLOOKUP(CurrentMtgRatesDataTable82527141518[[#This Row],[asofdate]],O:P,2,0)</f>
        <v>0</v>
      </c>
      <c r="L451" s="88">
        <f>VLOOKUP(CurrentMtgRatesDataTable82527141518[[#This Row],[asofdate]],S:T,2,0)</f>
        <v>1.47073E-3</v>
      </c>
      <c r="M451" s="6">
        <f ca="1">VLOOKUP(CurrentMtgRatesDataTable82527141518[[#This Row],[asofdate]]+1,Bloomberg!B:C,2,0)</f>
        <v>2577.1999999999998</v>
      </c>
      <c r="N451" s="6"/>
      <c r="O451" s="18">
        <v>40234</v>
      </c>
      <c r="P451" s="88">
        <v>0</v>
      </c>
      <c r="Q451" s="101"/>
      <c r="R451" s="101"/>
      <c r="S451" s="18">
        <v>40199</v>
      </c>
      <c r="T451" s="88">
        <v>1.2819516099999999E-2</v>
      </c>
      <c r="V451"/>
    </row>
    <row r="452" spans="2:22">
      <c r="B452" s="110">
        <v>39541</v>
      </c>
      <c r="C452" s="111">
        <v>0.30497347089999999</v>
      </c>
      <c r="D452" s="111">
        <f>VLOOKUP(CurrentMtgRatesDataTable825[[#This Row],[asofdate]],I:J,2,0)</f>
        <v>0.17670393410000002</v>
      </c>
      <c r="E452" s="111">
        <f>VLOOKUP(CurrentMtgRatesDataTable825[[#This Row],[asofdate]],O:P,2,0)</f>
        <v>0</v>
      </c>
      <c r="F452" s="112">
        <f ca="1">VLOOKUP(CurrentMtgRatesDataTable825[[#This Row],[asofdate]]+1,Bloomberg!B:C,2,0)</f>
        <v>2709.1</v>
      </c>
      <c r="I452" s="18">
        <v>40255</v>
      </c>
      <c r="J452" s="88">
        <v>0.65776975140000005</v>
      </c>
      <c r="K452" s="88">
        <f>VLOOKUP(CurrentMtgRatesDataTable82527141518[[#This Row],[asofdate]],O:P,2,0)</f>
        <v>0</v>
      </c>
      <c r="L452" s="88">
        <f>VLOOKUP(CurrentMtgRatesDataTable82527141518[[#This Row],[asofdate]],S:T,2,0)</f>
        <v>1.654476E-3</v>
      </c>
      <c r="M452" s="6">
        <f ca="1">VLOOKUP(CurrentMtgRatesDataTable82527141518[[#This Row],[asofdate]]+1,Bloomberg!B:C,2,0)</f>
        <v>2617.6999999999998</v>
      </c>
      <c r="N452" s="6"/>
      <c r="O452" s="18">
        <v>40227</v>
      </c>
      <c r="P452" s="88">
        <v>2.6308169999999999E-4</v>
      </c>
      <c r="Q452" s="101"/>
      <c r="R452" s="101"/>
      <c r="S452" s="18">
        <v>40192</v>
      </c>
      <c r="T452" s="88">
        <v>6.0872379999999998E-4</v>
      </c>
      <c r="V452"/>
    </row>
    <row r="453" spans="2:22">
      <c r="B453" s="110">
        <v>39534</v>
      </c>
      <c r="C453" s="111">
        <v>0.37557161719999999</v>
      </c>
      <c r="D453" s="111">
        <f>VLOOKUP(CurrentMtgRatesDataTable825[[#This Row],[asofdate]],I:J,2,0)</f>
        <v>0.2583567665</v>
      </c>
      <c r="E453" s="111">
        <f>VLOOKUP(CurrentMtgRatesDataTable825[[#This Row],[asofdate]],O:P,2,0)</f>
        <v>0</v>
      </c>
      <c r="F453" s="112">
        <f ca="1">VLOOKUP(CurrentMtgRatesDataTable825[[#This Row],[asofdate]]+1,Bloomberg!B:C,2,0)</f>
        <v>2653.2</v>
      </c>
      <c r="I453" s="18">
        <v>40248</v>
      </c>
      <c r="J453" s="88">
        <v>0.66654590979999995</v>
      </c>
      <c r="K453" s="88">
        <f>VLOOKUP(CurrentMtgRatesDataTable82527141518[[#This Row],[asofdate]],O:P,2,0)</f>
        <v>0</v>
      </c>
      <c r="L453" s="88">
        <f>VLOOKUP(CurrentMtgRatesDataTable82527141518[[#This Row],[asofdate]],S:T,2,0)</f>
        <v>1.35149255E-2</v>
      </c>
      <c r="M453" s="6">
        <f ca="1">VLOOKUP(CurrentMtgRatesDataTable82527141518[[#This Row],[asofdate]]+1,Bloomberg!B:C,2,0)</f>
        <v>2847.2</v>
      </c>
      <c r="N453" s="6"/>
      <c r="O453" s="18">
        <v>40220</v>
      </c>
      <c r="P453" s="88">
        <v>0</v>
      </c>
      <c r="Q453" s="101"/>
      <c r="R453" s="101"/>
      <c r="S453" s="18">
        <v>40185</v>
      </c>
      <c r="T453" s="88">
        <v>5.7247799999999996E-4</v>
      </c>
      <c r="V453"/>
    </row>
    <row r="454" spans="2:22">
      <c r="B454" s="18">
        <v>39527</v>
      </c>
      <c r="C454" s="29">
        <v>0.34568552689999998</v>
      </c>
      <c r="D454" s="29">
        <f>VLOOKUP(CurrentMtgRatesDataTable825[[#This Row],[asofdate]],I:J,2,0)</f>
        <v>0.23330619250000001</v>
      </c>
      <c r="E454" s="29">
        <f>VLOOKUP(CurrentMtgRatesDataTable825[[#This Row],[asofdate]],O:P,2,0)</f>
        <v>0</v>
      </c>
      <c r="F454" s="31">
        <f ca="1">VLOOKUP(CurrentMtgRatesDataTable825[[#This Row],[asofdate]]+1,Bloomberg!B:C,2,0)</f>
        <v>4468.3999999999996</v>
      </c>
      <c r="I454" s="18">
        <v>40241</v>
      </c>
      <c r="J454" s="88">
        <v>0.65250306709999994</v>
      </c>
      <c r="K454" s="88">
        <f>VLOOKUP(CurrentMtgRatesDataTable82527141518[[#This Row],[asofdate]],O:P,2,0)</f>
        <v>0</v>
      </c>
      <c r="L454" s="88">
        <f>VLOOKUP(CurrentMtgRatesDataTable82527141518[[#This Row],[asofdate]],S:T,2,0)</f>
        <v>1.6151982E-3</v>
      </c>
      <c r="M454" s="6">
        <f ca="1">VLOOKUP(CurrentMtgRatesDataTable82527141518[[#This Row],[asofdate]]+1,Bloomberg!B:C,2,0)</f>
        <v>2937.6</v>
      </c>
      <c r="N454" s="6"/>
      <c r="O454" s="18">
        <v>40213</v>
      </c>
      <c r="P454" s="88">
        <v>0</v>
      </c>
      <c r="Q454" s="101"/>
      <c r="R454" s="101"/>
      <c r="S454" s="18">
        <v>40178</v>
      </c>
      <c r="T454" s="88">
        <v>2.2812280000000001E-4</v>
      </c>
      <c r="V454"/>
    </row>
    <row r="455" spans="2:22">
      <c r="B455" s="18">
        <v>39520</v>
      </c>
      <c r="C455" s="29">
        <v>0.19488334600000001</v>
      </c>
      <c r="D455" s="29">
        <f>VLOOKUP(CurrentMtgRatesDataTable825[[#This Row],[asofdate]],I:J,2,0)</f>
        <v>0.1107471168</v>
      </c>
      <c r="E455" s="29">
        <f>VLOOKUP(CurrentMtgRatesDataTable825[[#This Row],[asofdate]],O:P,2,0)</f>
        <v>0</v>
      </c>
      <c r="F455" s="31">
        <f ca="1">VLOOKUP(CurrentMtgRatesDataTable825[[#This Row],[asofdate]]+1,Bloomberg!B:C,2,0)</f>
        <v>2338.8000000000002</v>
      </c>
      <c r="I455" s="18">
        <v>40234</v>
      </c>
      <c r="J455" s="88">
        <v>0.62448061389999998</v>
      </c>
      <c r="K455" s="88">
        <f>VLOOKUP(CurrentMtgRatesDataTable82527141518[[#This Row],[asofdate]],O:P,2,0)</f>
        <v>0</v>
      </c>
      <c r="L455" s="88">
        <f>VLOOKUP(CurrentMtgRatesDataTable82527141518[[#This Row],[asofdate]],S:T,2,0)</f>
        <v>4.467742E-4</v>
      </c>
      <c r="M455" s="6">
        <f ca="1">VLOOKUP(CurrentMtgRatesDataTable82527141518[[#This Row],[asofdate]]+1,Bloomberg!B:C,2,0)</f>
        <v>2971.5</v>
      </c>
      <c r="N455" s="6"/>
      <c r="O455" s="18">
        <v>40206</v>
      </c>
      <c r="P455" s="88">
        <v>0</v>
      </c>
      <c r="Q455" s="101"/>
      <c r="R455" s="101"/>
      <c r="S455" s="18">
        <v>40171</v>
      </c>
      <c r="T455" s="88">
        <v>4.4284819999999999E-4</v>
      </c>
      <c r="V455"/>
    </row>
    <row r="456" spans="2:22">
      <c r="B456" s="113">
        <v>39513</v>
      </c>
      <c r="C456" s="114">
        <v>0.24315491440000003</v>
      </c>
      <c r="D456" s="114">
        <f>VLOOKUP(CurrentMtgRatesDataTable825[[#This Row],[asofdate]],I:J,2,0)</f>
        <v>0.1521886693</v>
      </c>
      <c r="E456" s="114">
        <f>VLOOKUP(CurrentMtgRatesDataTable825[[#This Row],[asofdate]],O:P,2,0)</f>
        <v>0</v>
      </c>
      <c r="F456" s="115">
        <f ca="1">VLOOKUP(CurrentMtgRatesDataTable825[[#This Row],[asofdate]]+1,Bloomberg!B:C,2,0)</f>
        <v>2519.4</v>
      </c>
      <c r="I456" s="18">
        <v>40227</v>
      </c>
      <c r="J456" s="88">
        <v>0.69111712089999999</v>
      </c>
      <c r="K456" s="88">
        <f>VLOOKUP(CurrentMtgRatesDataTable82527141518[[#This Row],[asofdate]],O:P,2,0)</f>
        <v>2.6308169999999999E-4</v>
      </c>
      <c r="L456" s="88">
        <f>VLOOKUP(CurrentMtgRatesDataTable82527141518[[#This Row],[asofdate]],S:T,2,0)</f>
        <v>2.47944202E-2</v>
      </c>
      <c r="M456" s="6">
        <f ca="1">VLOOKUP(CurrentMtgRatesDataTable82527141518[[#This Row],[asofdate]]+1,Bloomberg!B:C,2,0)</f>
        <v>2474.9</v>
      </c>
      <c r="N456" s="6"/>
      <c r="O456" s="18">
        <v>40199</v>
      </c>
      <c r="P456" s="88">
        <v>0</v>
      </c>
      <c r="Q456" s="101"/>
      <c r="R456" s="101"/>
      <c r="S456" s="18">
        <v>40164</v>
      </c>
      <c r="T456" s="88">
        <v>2.09038348E-2</v>
      </c>
      <c r="V456"/>
    </row>
    <row r="457" spans="2:22">
      <c r="B457" s="113">
        <v>39506</v>
      </c>
      <c r="C457" s="114">
        <v>0.15642699030000001</v>
      </c>
      <c r="D457" s="114">
        <f>VLOOKUP(CurrentMtgRatesDataTable825[[#This Row],[asofdate]],I:J,2,0)</f>
        <v>8.6016081800000005E-2</v>
      </c>
      <c r="E457" s="114">
        <f>VLOOKUP(CurrentMtgRatesDataTable825[[#This Row],[asofdate]],O:P,2,0)</f>
        <v>0</v>
      </c>
      <c r="F457" s="115">
        <f ca="1">VLOOKUP(CurrentMtgRatesDataTable825[[#This Row],[asofdate]]+1,Bloomberg!B:C,2,0)</f>
        <v>2667.8</v>
      </c>
      <c r="I457" s="18">
        <v>40220</v>
      </c>
      <c r="J457" s="88">
        <v>0.66582456170000004</v>
      </c>
      <c r="K457" s="88">
        <f>VLOOKUP(CurrentMtgRatesDataTable82527141518[[#This Row],[asofdate]],O:P,2,0)</f>
        <v>0</v>
      </c>
      <c r="L457" s="88">
        <f>VLOOKUP(CurrentMtgRatesDataTable82527141518[[#This Row],[asofdate]],S:T,2,0)</f>
        <v>1.31800658E-2</v>
      </c>
      <c r="M457" s="6">
        <f ca="1">VLOOKUP(CurrentMtgRatesDataTable82527141518[[#This Row],[asofdate]]+1,Bloomberg!B:C,2,0)</f>
        <v>2781.2</v>
      </c>
      <c r="N457" s="6"/>
      <c r="O457" s="18">
        <v>40192</v>
      </c>
      <c r="P457" s="88">
        <v>0</v>
      </c>
      <c r="Q457" s="101"/>
      <c r="R457" s="101"/>
      <c r="S457" s="18">
        <v>40157</v>
      </c>
      <c r="T457" s="88">
        <v>0.77311783690000002</v>
      </c>
      <c r="V457"/>
    </row>
    <row r="458" spans="2:22">
      <c r="B458" s="113">
        <v>39499</v>
      </c>
      <c r="C458" s="114">
        <v>0.22457878040000001</v>
      </c>
      <c r="D458" s="114">
        <f>VLOOKUP(CurrentMtgRatesDataTable825[[#This Row],[asofdate]],I:J,2,0)</f>
        <v>0.1470851702</v>
      </c>
      <c r="E458" s="114">
        <f>VLOOKUP(CurrentMtgRatesDataTable825[[#This Row],[asofdate]],O:P,2,0)</f>
        <v>0</v>
      </c>
      <c r="F458" s="115">
        <f ca="1">VLOOKUP(CurrentMtgRatesDataTable825[[#This Row],[asofdate]]+1,Bloomberg!B:C,2,0)</f>
        <v>2571.6</v>
      </c>
      <c r="I458" s="18">
        <v>40213</v>
      </c>
      <c r="J458" s="88">
        <v>0.64576793740000005</v>
      </c>
      <c r="K458" s="88">
        <f>VLOOKUP(CurrentMtgRatesDataTable82527141518[[#This Row],[asofdate]],O:P,2,0)</f>
        <v>0</v>
      </c>
      <c r="L458" s="88">
        <f>VLOOKUP(CurrentMtgRatesDataTable82527141518[[#This Row],[asofdate]],S:T,2,0)</f>
        <v>1.1516606000000001E-3</v>
      </c>
      <c r="M458" s="6">
        <f ca="1">VLOOKUP(CurrentMtgRatesDataTable82527141518[[#This Row],[asofdate]]+1,Bloomberg!B:C,2,0)</f>
        <v>2807.8</v>
      </c>
      <c r="N458" s="6"/>
      <c r="O458" s="18">
        <v>40185</v>
      </c>
      <c r="P458" s="88">
        <v>0</v>
      </c>
      <c r="Q458" s="101"/>
      <c r="R458" s="101"/>
      <c r="S458" s="18">
        <v>40150</v>
      </c>
      <c r="T458" s="88">
        <v>0.78598206920000002</v>
      </c>
      <c r="V458"/>
    </row>
    <row r="459" spans="2:22">
      <c r="B459" s="113">
        <v>39492</v>
      </c>
      <c r="C459" s="114">
        <v>0.46944203969999998</v>
      </c>
      <c r="D459" s="114">
        <f>VLOOKUP(CurrentMtgRatesDataTable825[[#This Row],[asofdate]],I:J,2,0)</f>
        <v>0.38632447559999999</v>
      </c>
      <c r="E459" s="114">
        <f>VLOOKUP(CurrentMtgRatesDataTable825[[#This Row],[asofdate]],O:P,2,0)</f>
        <v>0</v>
      </c>
      <c r="F459" s="115">
        <f ca="1">VLOOKUP(CurrentMtgRatesDataTable825[[#This Row],[asofdate]]+1,Bloomberg!B:C,2,0)</f>
        <v>3784.1</v>
      </c>
      <c r="I459" s="18">
        <v>40206</v>
      </c>
      <c r="J459" s="88">
        <v>0.68991820079999999</v>
      </c>
      <c r="K459" s="88">
        <f>VLOOKUP(CurrentMtgRatesDataTable82527141518[[#This Row],[asofdate]],O:P,2,0)</f>
        <v>0</v>
      </c>
      <c r="L459" s="88">
        <f>VLOOKUP(CurrentMtgRatesDataTable82527141518[[#This Row],[asofdate]],S:T,2,0)</f>
        <v>1.7011112299999999E-2</v>
      </c>
      <c r="M459" s="6">
        <f ca="1">VLOOKUP(CurrentMtgRatesDataTable82527141518[[#This Row],[asofdate]]+1,Bloomberg!B:C,2,0)</f>
        <v>2763.6</v>
      </c>
      <c r="N459" s="6"/>
      <c r="O459" s="18">
        <v>40178</v>
      </c>
      <c r="P459" s="88">
        <v>0</v>
      </c>
      <c r="Q459" s="101"/>
      <c r="R459" s="101"/>
      <c r="S459" s="18">
        <v>40142</v>
      </c>
      <c r="T459" s="88">
        <v>0.78751503860000005</v>
      </c>
      <c r="V459"/>
    </row>
    <row r="460" spans="2:22">
      <c r="B460" s="117">
        <v>39485</v>
      </c>
      <c r="C460" s="118">
        <v>0.51170011849999997</v>
      </c>
      <c r="D460" s="118">
        <f>VLOOKUP(CurrentMtgRatesDataTable825[[#This Row],[asofdate]],I:J,2,0)</f>
        <v>0.44045303489999998</v>
      </c>
      <c r="E460" s="118">
        <f>VLOOKUP(CurrentMtgRatesDataTable825[[#This Row],[asofdate]],O:P,2,0)</f>
        <v>0</v>
      </c>
      <c r="F460" s="119">
        <f ca="1">VLOOKUP(CurrentMtgRatesDataTable825[[#This Row],[asofdate]]+1,Bloomberg!B:C,2,0)</f>
        <v>5362.6</v>
      </c>
      <c r="I460" s="18">
        <v>40199</v>
      </c>
      <c r="J460" s="88">
        <v>0.66885528780000003</v>
      </c>
      <c r="K460" s="88">
        <f>VLOOKUP(CurrentMtgRatesDataTable82527141518[[#This Row],[asofdate]],O:P,2,0)</f>
        <v>0</v>
      </c>
      <c r="L460" s="88">
        <f>VLOOKUP(CurrentMtgRatesDataTable82527141518[[#This Row],[asofdate]],S:T,2,0)</f>
        <v>1.2819516099999999E-2</v>
      </c>
      <c r="M460" s="6">
        <f ca="1">VLOOKUP(CurrentMtgRatesDataTable82527141518[[#This Row],[asofdate]]+1,Bloomberg!B:C,2,0)</f>
        <v>2192.1</v>
      </c>
      <c r="N460" s="6"/>
      <c r="O460" s="18">
        <v>40171</v>
      </c>
      <c r="P460" s="88">
        <v>0</v>
      </c>
      <c r="Q460" s="101"/>
      <c r="R460" s="101"/>
      <c r="S460" s="18">
        <v>40136</v>
      </c>
      <c r="T460" s="88">
        <v>0.77666407749999999</v>
      </c>
      <c r="V460"/>
    </row>
    <row r="461" spans="2:22">
      <c r="B461" s="117">
        <v>39478</v>
      </c>
      <c r="C461" s="118">
        <v>0.49813553370000002</v>
      </c>
      <c r="D461" s="118">
        <f>VLOOKUP(CurrentMtgRatesDataTable825[[#This Row],[asofdate]],I:J,2,0)</f>
        <v>0.44604021789999998</v>
      </c>
      <c r="E461" s="118">
        <f>VLOOKUP(CurrentMtgRatesDataTable825[[#This Row],[asofdate]],O:P,2,0)</f>
        <v>0</v>
      </c>
      <c r="F461" s="119">
        <f ca="1">VLOOKUP(CurrentMtgRatesDataTable825[[#This Row],[asofdate]]+1,Bloomberg!B:C,2,0)</f>
        <v>5523.9</v>
      </c>
      <c r="I461" s="18">
        <v>40192</v>
      </c>
      <c r="J461" s="88">
        <v>0.63297551340000002</v>
      </c>
      <c r="K461" s="88">
        <f>VLOOKUP(CurrentMtgRatesDataTable82527141518[[#This Row],[asofdate]],O:P,2,0)</f>
        <v>0</v>
      </c>
      <c r="L461" s="88">
        <f>VLOOKUP(CurrentMtgRatesDataTable82527141518[[#This Row],[asofdate]],S:T,2,0)</f>
        <v>6.0872379999999998E-4</v>
      </c>
      <c r="M461" s="6">
        <f ca="1">VLOOKUP(CurrentMtgRatesDataTable82527141518[[#This Row],[asofdate]]+1,Bloomberg!B:C,2,0)</f>
        <v>2638.2</v>
      </c>
      <c r="N461" s="6"/>
      <c r="O461" s="18">
        <v>40164</v>
      </c>
      <c r="P461" s="88">
        <v>0</v>
      </c>
      <c r="Q461" s="101"/>
      <c r="R461" s="101"/>
      <c r="S461" s="18">
        <v>40129</v>
      </c>
      <c r="T461" s="88">
        <v>0.75449881259999996</v>
      </c>
      <c r="V461"/>
    </row>
    <row r="462" spans="2:22">
      <c r="B462" s="117">
        <v>39471</v>
      </c>
      <c r="C462" s="118">
        <v>0.68270179529999997</v>
      </c>
      <c r="D462" s="118">
        <f>VLOOKUP(CurrentMtgRatesDataTable825[[#This Row],[asofdate]],I:J,2,0)</f>
        <v>0.66174734660000001</v>
      </c>
      <c r="E462" s="118">
        <f>VLOOKUP(CurrentMtgRatesDataTable825[[#This Row],[asofdate]],O:P,2,0)</f>
        <v>0.46526884610000002</v>
      </c>
      <c r="F462" s="119">
        <f ca="1">VLOOKUP(CurrentMtgRatesDataTable825[[#This Row],[asofdate]]+1,Bloomberg!B:C,2,0)</f>
        <v>5682.2</v>
      </c>
      <c r="I462" s="18">
        <v>40185</v>
      </c>
      <c r="J462" s="88">
        <v>0.61615044070000002</v>
      </c>
      <c r="K462" s="88">
        <f>VLOOKUP(CurrentMtgRatesDataTable82527141518[[#This Row],[asofdate]],O:P,2,0)</f>
        <v>0</v>
      </c>
      <c r="L462" s="88">
        <f>VLOOKUP(CurrentMtgRatesDataTable82527141518[[#This Row],[asofdate]],S:T,2,0)</f>
        <v>5.7247799999999996E-4</v>
      </c>
      <c r="M462" s="6">
        <f ca="1">VLOOKUP(CurrentMtgRatesDataTable82527141518[[#This Row],[asofdate]]+1,Bloomberg!B:C,2,0)</f>
        <v>2430</v>
      </c>
      <c r="N462" s="6"/>
      <c r="O462" s="18">
        <v>40157</v>
      </c>
      <c r="P462" s="88">
        <v>0</v>
      </c>
      <c r="Q462" s="101"/>
      <c r="R462" s="101"/>
      <c r="S462" s="18">
        <v>40122</v>
      </c>
      <c r="T462" s="88">
        <v>2.3916227700000001E-2</v>
      </c>
      <c r="V462"/>
    </row>
    <row r="463" spans="2:22">
      <c r="B463" s="117">
        <v>39464</v>
      </c>
      <c r="C463" s="118">
        <v>0.46799807980000008</v>
      </c>
      <c r="D463" s="118">
        <f>VLOOKUP(CurrentMtgRatesDataTable825[[#This Row],[asofdate]],I:J,2,0)</f>
        <v>0.4085214882</v>
      </c>
      <c r="E463" s="118">
        <f>VLOOKUP(CurrentMtgRatesDataTable825[[#This Row],[asofdate]],O:P,2,0)</f>
        <v>0.2635860558</v>
      </c>
      <c r="F463" s="119">
        <f ca="1">VLOOKUP(CurrentMtgRatesDataTable825[[#This Row],[asofdate]]+1,Bloomberg!B:C,2,0)</f>
        <v>4588.3999999999996</v>
      </c>
      <c r="I463" s="18">
        <v>40178</v>
      </c>
      <c r="J463" s="88">
        <v>0.60551975010000003</v>
      </c>
      <c r="K463" s="88">
        <f>VLOOKUP(CurrentMtgRatesDataTable82527141518[[#This Row],[asofdate]],O:P,2,0)</f>
        <v>0</v>
      </c>
      <c r="L463" s="88">
        <f>VLOOKUP(CurrentMtgRatesDataTable82527141518[[#This Row],[asofdate]],S:T,2,0)</f>
        <v>2.2812280000000001E-4</v>
      </c>
      <c r="M463" s="6">
        <f ca="1">VLOOKUP(CurrentMtgRatesDataTable82527141518[[#This Row],[asofdate]]+1,Bloomberg!B:C,2,0)</f>
        <v>2021.1</v>
      </c>
      <c r="N463" s="6"/>
      <c r="O463" s="18">
        <v>40150</v>
      </c>
      <c r="P463" s="88">
        <v>0.78598206920000002</v>
      </c>
      <c r="Q463" s="101"/>
      <c r="R463" s="101"/>
      <c r="S463" s="18">
        <v>40115</v>
      </c>
      <c r="T463" s="88">
        <v>1.9711743300000001E-2</v>
      </c>
      <c r="V463"/>
    </row>
    <row r="464" spans="2:22">
      <c r="B464" s="117">
        <v>39457</v>
      </c>
      <c r="C464" s="118">
        <v>0.36463177990000001</v>
      </c>
      <c r="D464" s="118">
        <f>VLOOKUP(CurrentMtgRatesDataTable825[[#This Row],[asofdate]],I:J,2,0)</f>
        <v>0.28786242080000002</v>
      </c>
      <c r="E464" s="118">
        <f>VLOOKUP(CurrentMtgRatesDataTable825[[#This Row],[asofdate]],O:P,2,0)</f>
        <v>0.17222513690000002</v>
      </c>
      <c r="F464" s="119">
        <f ca="1">VLOOKUP(CurrentMtgRatesDataTable825[[#This Row],[asofdate]]+1,Bloomberg!B:C,2,0)</f>
        <v>3923.5</v>
      </c>
      <c r="I464" s="18">
        <v>40171</v>
      </c>
      <c r="J464" s="88">
        <v>0.65321657889999996</v>
      </c>
      <c r="K464" s="88">
        <f>VLOOKUP(CurrentMtgRatesDataTable82527141518[[#This Row],[asofdate]],O:P,2,0)</f>
        <v>0</v>
      </c>
      <c r="L464" s="88">
        <f>VLOOKUP(CurrentMtgRatesDataTable82527141518[[#This Row],[asofdate]],S:T,2,0)</f>
        <v>4.4284819999999999E-4</v>
      </c>
      <c r="M464" s="6">
        <f ca="1">VLOOKUP(CurrentMtgRatesDataTable82527141518[[#This Row],[asofdate]]+1,Bloomberg!B:C,2,0)</f>
        <v>2038.4</v>
      </c>
      <c r="N464" s="6"/>
      <c r="O464" s="18">
        <v>40142</v>
      </c>
      <c r="P464" s="88">
        <v>3.3409616699999999E-2</v>
      </c>
      <c r="Q464" s="101"/>
      <c r="R464" s="101"/>
      <c r="S464" s="18">
        <v>40108</v>
      </c>
      <c r="T464" s="88">
        <v>2.1340739800000001E-2</v>
      </c>
      <c r="V464"/>
    </row>
    <row r="465" spans="2:22">
      <c r="B465" s="117">
        <v>39450</v>
      </c>
      <c r="C465" s="118">
        <v>0.22129148269999999</v>
      </c>
      <c r="D465" s="118">
        <f>VLOOKUP(CurrentMtgRatesDataTable825[[#This Row],[asofdate]],I:J,2,0)</f>
        <v>0.15573114290000001</v>
      </c>
      <c r="E465" s="118">
        <f>VLOOKUP(CurrentMtgRatesDataTable825[[#This Row],[asofdate]],O:P,2,0)</f>
        <v>0</v>
      </c>
      <c r="F465" s="119">
        <f ca="1">VLOOKUP(CurrentMtgRatesDataTable825[[#This Row],[asofdate]]+1,Bloomberg!B:C,2,0)</f>
        <v>2729.3</v>
      </c>
      <c r="I465" s="18">
        <v>40164</v>
      </c>
      <c r="J465" s="88">
        <v>0.71636738960000002</v>
      </c>
      <c r="K465" s="88">
        <f>VLOOKUP(CurrentMtgRatesDataTable82527141518[[#This Row],[asofdate]],O:P,2,0)</f>
        <v>0</v>
      </c>
      <c r="L465" s="88">
        <f>VLOOKUP(CurrentMtgRatesDataTable82527141518[[#This Row],[asofdate]],S:T,2,0)</f>
        <v>2.09038348E-2</v>
      </c>
      <c r="M465" s="6">
        <f ca="1">VLOOKUP(CurrentMtgRatesDataTable82527141518[[#This Row],[asofdate]]+1,Bloomberg!B:C,2,0)</f>
        <v>2988.7</v>
      </c>
      <c r="N465" s="6"/>
      <c r="O465" s="128">
        <v>40136</v>
      </c>
      <c r="P465" s="129">
        <v>2.0156244399999999E-2</v>
      </c>
      <c r="Q465" s="101"/>
      <c r="R465" s="101"/>
      <c r="S465" s="18">
        <v>40101</v>
      </c>
      <c r="T465" s="88">
        <v>0.76568934349999995</v>
      </c>
      <c r="V465"/>
    </row>
    <row r="466" spans="2:22">
      <c r="I466" s="128">
        <v>40157</v>
      </c>
      <c r="J466" s="129">
        <v>0.7620794085</v>
      </c>
      <c r="K466" s="129">
        <f>VLOOKUP(CurrentMtgRatesDataTable82527141518[[#This Row],[asofdate]],O:P,2,0)</f>
        <v>0</v>
      </c>
      <c r="L466" s="129">
        <f>VLOOKUP(CurrentMtgRatesDataTable82527141518[[#This Row],[asofdate]],S:T,2,0)</f>
        <v>0.77311783690000002</v>
      </c>
      <c r="M466" s="127">
        <f ca="1">VLOOKUP(CurrentMtgRatesDataTable82527141518[[#This Row],[asofdate]]+1,Bloomberg!B:C,2,0)</f>
        <v>3354</v>
      </c>
      <c r="N466" s="6"/>
      <c r="O466" s="128">
        <v>40129</v>
      </c>
      <c r="P466" s="129">
        <v>0</v>
      </c>
      <c r="Q466" s="101"/>
      <c r="R466" s="101"/>
      <c r="S466" s="128">
        <v>40094</v>
      </c>
      <c r="T466" s="129">
        <v>0.78237517369999998</v>
      </c>
      <c r="V466"/>
    </row>
    <row r="467" spans="2:22">
      <c r="I467" s="128">
        <v>40150</v>
      </c>
      <c r="J467" s="129">
        <v>0.77640701599999995</v>
      </c>
      <c r="K467" s="129">
        <f>VLOOKUP(CurrentMtgRatesDataTable82527141518[[#This Row],[asofdate]],O:P,2,0)</f>
        <v>0.78598206920000002</v>
      </c>
      <c r="L467" s="129">
        <f>VLOOKUP(CurrentMtgRatesDataTable82527141518[[#This Row],[asofdate]],S:T,2,0)</f>
        <v>0.78598206920000002</v>
      </c>
      <c r="M467" s="127">
        <f ca="1">VLOOKUP(CurrentMtgRatesDataTable82527141518[[#This Row],[asofdate]]+1,Bloomberg!B:C,2,0)</f>
        <v>3312.7</v>
      </c>
      <c r="N467" s="6"/>
      <c r="O467" s="128">
        <v>40122</v>
      </c>
      <c r="P467" s="129">
        <v>0</v>
      </c>
      <c r="Q467" s="101"/>
      <c r="R467" s="101"/>
      <c r="S467" s="128">
        <v>40087</v>
      </c>
      <c r="T467" s="129">
        <v>0.75690898120000005</v>
      </c>
      <c r="V467"/>
    </row>
    <row r="468" spans="2:22">
      <c r="I468" s="18">
        <v>40142</v>
      </c>
      <c r="J468" s="88">
        <v>0.77700815050000005</v>
      </c>
      <c r="K468" s="88">
        <f>VLOOKUP(CurrentMtgRatesDataTable82527141518[[#This Row],[asofdate]],O:P,2,0)</f>
        <v>3.3409616699999999E-2</v>
      </c>
      <c r="L468" s="88">
        <f>VLOOKUP(CurrentMtgRatesDataTable82527141518[[#This Row],[asofdate]],S:T,2,0)</f>
        <v>0.78751503860000005</v>
      </c>
      <c r="M468" s="6" t="e">
        <f ca="1">VLOOKUP(CurrentMtgRatesDataTable82527141518[[#This Row],[asofdate]]+1,Bloomberg!B:C,2,0)</f>
        <v>#N/A</v>
      </c>
      <c r="N468" s="6"/>
      <c r="O468" s="18">
        <v>40115</v>
      </c>
      <c r="P468" s="88">
        <v>0</v>
      </c>
      <c r="Q468" s="101"/>
      <c r="R468" s="101"/>
      <c r="S468" s="18">
        <v>40080</v>
      </c>
      <c r="T468" s="88">
        <v>2.7087106400000002E-2</v>
      </c>
      <c r="V468"/>
    </row>
    <row r="469" spans="2:22">
      <c r="I469" s="18">
        <v>40136</v>
      </c>
      <c r="J469" s="88">
        <v>0.76580420940000005</v>
      </c>
      <c r="K469" s="88">
        <f>VLOOKUP(CurrentMtgRatesDataTable82527141518[[#This Row],[asofdate]],O:P,2,0)</f>
        <v>2.0156244399999999E-2</v>
      </c>
      <c r="L469" s="88">
        <f>VLOOKUP(CurrentMtgRatesDataTable82527141518[[#This Row],[asofdate]],S:T,2,0)</f>
        <v>0.77666407749999999</v>
      </c>
      <c r="M469" s="6">
        <f ca="1">VLOOKUP(CurrentMtgRatesDataTable82527141518[[#This Row],[asofdate]]+1,Bloomberg!B:C,2,0)</f>
        <v>2815.1</v>
      </c>
      <c r="N469" s="6"/>
      <c r="O469" s="18">
        <v>40108</v>
      </c>
      <c r="P469" s="88">
        <v>0</v>
      </c>
      <c r="Q469" s="101"/>
      <c r="R469" s="101"/>
      <c r="S469" s="18">
        <v>40073</v>
      </c>
      <c r="T469" s="88">
        <v>2.0708186600000001E-2</v>
      </c>
      <c r="V469"/>
    </row>
    <row r="470" spans="2:22">
      <c r="I470" s="18">
        <v>40129</v>
      </c>
      <c r="J470" s="88">
        <v>0.74162504559999998</v>
      </c>
      <c r="K470" s="88">
        <f>VLOOKUP(CurrentMtgRatesDataTable82527141518[[#This Row],[asofdate]],O:P,2,0)</f>
        <v>0</v>
      </c>
      <c r="L470" s="88">
        <f>VLOOKUP(CurrentMtgRatesDataTable82527141518[[#This Row],[asofdate]],S:T,2,0)</f>
        <v>0.75449881259999996</v>
      </c>
      <c r="M470" s="6">
        <f ca="1">VLOOKUP(CurrentMtgRatesDataTable82527141518[[#This Row],[asofdate]]+1,Bloomberg!B:C,2,0)</f>
        <v>3117</v>
      </c>
      <c r="N470" s="6"/>
      <c r="O470" s="18">
        <v>40101</v>
      </c>
      <c r="P470" s="88">
        <v>0</v>
      </c>
      <c r="Q470" s="101"/>
      <c r="R470" s="101"/>
      <c r="S470" s="18">
        <v>40066</v>
      </c>
      <c r="T470" s="88">
        <v>1.9824576300000001E-2</v>
      </c>
      <c r="V470"/>
    </row>
    <row r="471" spans="2:22">
      <c r="I471" s="18">
        <v>40122</v>
      </c>
      <c r="J471" s="88">
        <v>0.70148640669999995</v>
      </c>
      <c r="K471" s="88">
        <f>VLOOKUP(CurrentMtgRatesDataTable82527141518[[#This Row],[asofdate]],O:P,2,0)</f>
        <v>0</v>
      </c>
      <c r="L471" s="88">
        <f>VLOOKUP(CurrentMtgRatesDataTable82527141518[[#This Row],[asofdate]],S:T,2,0)</f>
        <v>2.3916227700000001E-2</v>
      </c>
      <c r="M471" s="6">
        <f ca="1">VLOOKUP(CurrentMtgRatesDataTable82527141518[[#This Row],[asofdate]]+1,Bloomberg!B:C,2,0)</f>
        <v>2996</v>
      </c>
      <c r="N471" s="6"/>
      <c r="O471" s="18">
        <v>40094</v>
      </c>
      <c r="P471" s="88">
        <v>1.35183553E-2</v>
      </c>
      <c r="Q471" s="101"/>
      <c r="R471" s="101"/>
      <c r="S471" s="18">
        <v>40059</v>
      </c>
      <c r="T471" s="88">
        <v>1.9639758100000002E-2</v>
      </c>
      <c r="V471"/>
    </row>
    <row r="472" spans="2:22">
      <c r="I472" s="18">
        <v>40115</v>
      </c>
      <c r="J472" s="88">
        <v>0.68724873819999999</v>
      </c>
      <c r="K472" s="88">
        <f>VLOOKUP(CurrentMtgRatesDataTable82527141518[[#This Row],[asofdate]],O:P,2,0)</f>
        <v>0</v>
      </c>
      <c r="L472" s="88">
        <f>VLOOKUP(CurrentMtgRatesDataTable82527141518[[#This Row],[asofdate]],S:T,2,0)</f>
        <v>1.9711743300000001E-2</v>
      </c>
      <c r="M472" s="6">
        <f ca="1">VLOOKUP(CurrentMtgRatesDataTable82527141518[[#This Row],[asofdate]]+1,Bloomberg!B:C,2,0)</f>
        <v>2715.2</v>
      </c>
      <c r="N472" s="6"/>
      <c r="O472" s="18">
        <v>40087</v>
      </c>
      <c r="P472" s="88">
        <v>6.9745071E-3</v>
      </c>
      <c r="Q472" s="101"/>
      <c r="R472" s="101"/>
      <c r="S472" s="18">
        <v>40052</v>
      </c>
      <c r="T472" s="88">
        <v>1.6696162699999999E-2</v>
      </c>
      <c r="V472"/>
    </row>
    <row r="473" spans="2:22">
      <c r="I473" s="18">
        <v>40108</v>
      </c>
      <c r="J473" s="88">
        <v>0.70448450740000002</v>
      </c>
      <c r="K473" s="88">
        <f>VLOOKUP(CurrentMtgRatesDataTable82527141518[[#This Row],[asofdate]],O:P,2,0)</f>
        <v>0</v>
      </c>
      <c r="L473" s="88">
        <f>VLOOKUP(CurrentMtgRatesDataTable82527141518[[#This Row],[asofdate]],S:T,2,0)</f>
        <v>2.1340739800000001E-2</v>
      </c>
      <c r="M473" s="6">
        <f ca="1">VLOOKUP(CurrentMtgRatesDataTable82527141518[[#This Row],[asofdate]]+1,Bloomberg!B:C,2,0)</f>
        <v>2304</v>
      </c>
      <c r="N473" s="6"/>
      <c r="O473" s="18">
        <v>40080</v>
      </c>
      <c r="P473" s="88">
        <v>4.8863613000000002E-3</v>
      </c>
      <c r="Q473" s="101"/>
      <c r="R473" s="101"/>
      <c r="S473" s="18">
        <v>40045</v>
      </c>
      <c r="T473" s="88">
        <v>1.76281379E-2</v>
      </c>
      <c r="V473"/>
    </row>
    <row r="474" spans="2:22">
      <c r="I474" s="18">
        <v>40101</v>
      </c>
      <c r="J474" s="88">
        <v>0.74985199540000003</v>
      </c>
      <c r="K474" s="88">
        <f>VLOOKUP(CurrentMtgRatesDataTable82527141518[[#This Row],[asofdate]],O:P,2,0)</f>
        <v>0</v>
      </c>
      <c r="L474" s="88">
        <f>VLOOKUP(CurrentMtgRatesDataTable82527141518[[#This Row],[asofdate]],S:T,2,0)</f>
        <v>0.76568934349999995</v>
      </c>
      <c r="M474" s="6">
        <f ca="1">VLOOKUP(CurrentMtgRatesDataTable82527141518[[#This Row],[asofdate]]+1,Bloomberg!B:C,2,0)</f>
        <v>2774.7</v>
      </c>
      <c r="N474" s="6"/>
      <c r="O474" s="18">
        <v>40073</v>
      </c>
      <c r="P474" s="88">
        <v>4.7932620000000004E-3</v>
      </c>
      <c r="Q474" s="101"/>
      <c r="R474" s="101"/>
      <c r="S474" s="18">
        <v>40038</v>
      </c>
      <c r="T474" s="88">
        <v>1.3656680799999999E-2</v>
      </c>
      <c r="V474"/>
    </row>
    <row r="475" spans="2:22">
      <c r="I475" s="18">
        <v>40094</v>
      </c>
      <c r="J475" s="88">
        <v>0.76805153579999996</v>
      </c>
      <c r="K475" s="88">
        <f>VLOOKUP(CurrentMtgRatesDataTable82527141518[[#This Row],[asofdate]],O:P,2,0)</f>
        <v>1.35183553E-2</v>
      </c>
      <c r="L475" s="88">
        <f>VLOOKUP(CurrentMtgRatesDataTable82527141518[[#This Row],[asofdate]],S:T,2,0)</f>
        <v>0.78237517369999998</v>
      </c>
      <c r="M475" s="6">
        <f ca="1">VLOOKUP(CurrentMtgRatesDataTable82527141518[[#This Row],[asofdate]]+1,Bloomberg!B:C,2,0)</f>
        <v>3280.3</v>
      </c>
      <c r="N475" s="6"/>
      <c r="O475" s="18">
        <v>40066</v>
      </c>
      <c r="P475" s="88">
        <v>4.6539607999999998E-3</v>
      </c>
      <c r="Q475" s="101"/>
      <c r="R475" s="101"/>
      <c r="S475" s="18">
        <v>40031</v>
      </c>
      <c r="T475" s="88">
        <v>1.49150958E-2</v>
      </c>
      <c r="V475"/>
    </row>
    <row r="476" spans="2:22">
      <c r="I476" s="18">
        <v>40087</v>
      </c>
      <c r="J476" s="88">
        <v>0.7410248988</v>
      </c>
      <c r="K476" s="88">
        <f>VLOOKUP(CurrentMtgRatesDataTable82527141518[[#This Row],[asofdate]],O:P,2,0)</f>
        <v>6.9745071E-3</v>
      </c>
      <c r="L476" s="88">
        <f>VLOOKUP(CurrentMtgRatesDataTable82527141518[[#This Row],[asofdate]],S:T,2,0)</f>
        <v>0.75690898120000005</v>
      </c>
      <c r="M476" s="6">
        <f ca="1">VLOOKUP(CurrentMtgRatesDataTable82527141518[[#This Row],[asofdate]]+1,Bloomberg!B:C,2,0)</f>
        <v>3230.9</v>
      </c>
      <c r="N476" s="6"/>
      <c r="O476" s="18">
        <v>40059</v>
      </c>
      <c r="P476" s="88">
        <v>4.6251838E-3</v>
      </c>
      <c r="Q476" s="101"/>
      <c r="R476" s="101"/>
      <c r="S476" s="18">
        <v>40024</v>
      </c>
      <c r="T476" s="88">
        <v>1.11021872E-2</v>
      </c>
      <c r="V476"/>
    </row>
    <row r="477" spans="2:22">
      <c r="I477" s="18">
        <v>40080</v>
      </c>
      <c r="J477" s="88">
        <v>0.70958591199999999</v>
      </c>
      <c r="K477" s="88">
        <f>VLOOKUP(CurrentMtgRatesDataTable82527141518[[#This Row],[asofdate]],O:P,2,0)</f>
        <v>4.8863613000000002E-3</v>
      </c>
      <c r="L477" s="88">
        <f>VLOOKUP(CurrentMtgRatesDataTable82527141518[[#This Row],[asofdate]],S:T,2,0)</f>
        <v>2.7087106400000002E-2</v>
      </c>
      <c r="M477" s="6">
        <f ca="1">VLOOKUP(CurrentMtgRatesDataTable82527141518[[#This Row],[asofdate]]+1,Bloomberg!B:C,2,0)</f>
        <v>2655.8</v>
      </c>
      <c r="N477" s="6"/>
      <c r="O477" s="18">
        <v>40052</v>
      </c>
      <c r="P477" s="88">
        <v>0</v>
      </c>
      <c r="Q477" s="101"/>
      <c r="R477" s="101"/>
      <c r="S477" s="18">
        <v>40017</v>
      </c>
      <c r="T477" s="88">
        <v>1.1335169799999999E-2</v>
      </c>
      <c r="V477"/>
    </row>
    <row r="478" spans="2:22">
      <c r="I478" s="18">
        <v>40073</v>
      </c>
      <c r="J478" s="88">
        <v>0.69634310190000004</v>
      </c>
      <c r="K478" s="88">
        <f>VLOOKUP(CurrentMtgRatesDataTable82527141518[[#This Row],[asofdate]],O:P,2,0)</f>
        <v>4.7932620000000004E-3</v>
      </c>
      <c r="L478" s="88">
        <f>VLOOKUP(CurrentMtgRatesDataTable82527141518[[#This Row],[asofdate]],S:T,2,0)</f>
        <v>2.0708186600000001E-2</v>
      </c>
      <c r="M478" s="6">
        <f ca="1">VLOOKUP(CurrentMtgRatesDataTable82527141518[[#This Row],[asofdate]]+1,Bloomberg!B:C,2,0)</f>
        <v>2632.2</v>
      </c>
      <c r="N478" s="6"/>
      <c r="O478" s="18">
        <v>40045</v>
      </c>
      <c r="P478" s="88">
        <v>3.7743525000000001E-3</v>
      </c>
      <c r="Q478" s="101"/>
      <c r="R478" s="101"/>
      <c r="S478" s="18">
        <v>40010</v>
      </c>
      <c r="T478" s="88">
        <v>1.50328931E-2</v>
      </c>
      <c r="V478"/>
    </row>
    <row r="479" spans="2:22">
      <c r="I479" s="18">
        <v>40066</v>
      </c>
      <c r="J479" s="88">
        <v>0.6810097799</v>
      </c>
      <c r="K479" s="88">
        <f>VLOOKUP(CurrentMtgRatesDataTable82527141518[[#This Row],[asofdate]],O:P,2,0)</f>
        <v>4.6539607999999998E-3</v>
      </c>
      <c r="L479" s="88">
        <f>VLOOKUP(CurrentMtgRatesDataTable82527141518[[#This Row],[asofdate]],S:T,2,0)</f>
        <v>1.9824576300000001E-2</v>
      </c>
      <c r="M479" s="6">
        <f ca="1">VLOOKUP(CurrentMtgRatesDataTable82527141518[[#This Row],[asofdate]]+1,Bloomberg!B:C,2,0)</f>
        <v>2216.3000000000002</v>
      </c>
      <c r="N479" s="6"/>
      <c r="O479" s="18">
        <v>40038</v>
      </c>
      <c r="P479" s="88">
        <v>0</v>
      </c>
      <c r="Q479" s="101"/>
      <c r="R479" s="101"/>
      <c r="S479" s="18">
        <v>40003</v>
      </c>
      <c r="T479" s="88">
        <v>1.18982415E-2</v>
      </c>
      <c r="V479"/>
    </row>
    <row r="480" spans="2:22">
      <c r="I480" s="18">
        <v>40059</v>
      </c>
      <c r="J480" s="88">
        <v>0.67341536420000003</v>
      </c>
      <c r="K480" s="88">
        <f>VLOOKUP(CurrentMtgRatesDataTable82527141518[[#This Row],[asofdate]],O:P,2,0)</f>
        <v>4.6251838E-3</v>
      </c>
      <c r="L480" s="88">
        <f>VLOOKUP(CurrentMtgRatesDataTable82527141518[[#This Row],[asofdate]],S:T,2,0)</f>
        <v>1.9639758100000002E-2</v>
      </c>
      <c r="M480" s="6">
        <f ca="1">VLOOKUP(CurrentMtgRatesDataTable82527141518[[#This Row],[asofdate]]+1,Bloomberg!B:C,2,0)</f>
        <v>2383.6999999999998</v>
      </c>
      <c r="N480" s="6"/>
      <c r="O480" s="18">
        <v>40031</v>
      </c>
      <c r="P480" s="88">
        <v>0</v>
      </c>
      <c r="Q480" s="101"/>
      <c r="R480" s="101"/>
      <c r="S480" s="18">
        <v>39996</v>
      </c>
      <c r="T480" s="88">
        <v>1.1155979599999999E-2</v>
      </c>
      <c r="V480"/>
    </row>
    <row r="481" spans="9:22">
      <c r="I481" s="18">
        <v>40052</v>
      </c>
      <c r="J481" s="88">
        <v>0.6619085374</v>
      </c>
      <c r="K481" s="88">
        <f>VLOOKUP(CurrentMtgRatesDataTable82527141518[[#This Row],[asofdate]],O:P,2,0)</f>
        <v>0</v>
      </c>
      <c r="L481" s="88">
        <f>VLOOKUP(CurrentMtgRatesDataTable82527141518[[#This Row],[asofdate]],S:T,2,0)</f>
        <v>1.6696162699999999E-2</v>
      </c>
      <c r="M481" s="6">
        <f ca="1">VLOOKUP(CurrentMtgRatesDataTable82527141518[[#This Row],[asofdate]]+1,Bloomberg!B:C,2,0)</f>
        <v>1955.9</v>
      </c>
      <c r="N481" s="6"/>
      <c r="O481" s="18">
        <v>40024</v>
      </c>
      <c r="P481" s="88">
        <v>0</v>
      </c>
      <c r="Q481" s="101"/>
      <c r="R481" s="101"/>
      <c r="S481" s="18">
        <v>39989</v>
      </c>
      <c r="T481" s="88">
        <v>3.544008E-4</v>
      </c>
      <c r="V481"/>
    </row>
    <row r="482" spans="9:22">
      <c r="I482" s="18">
        <v>40045</v>
      </c>
      <c r="J482" s="88">
        <v>0.67531565459999998</v>
      </c>
      <c r="K482" s="88">
        <f>VLOOKUP(CurrentMtgRatesDataTable82527141518[[#This Row],[asofdate]],O:P,2,0)</f>
        <v>3.7743525000000001E-3</v>
      </c>
      <c r="L482" s="88">
        <f>VLOOKUP(CurrentMtgRatesDataTable82527141518[[#This Row],[asofdate]],S:T,2,0)</f>
        <v>1.76281379E-2</v>
      </c>
      <c r="M482" s="6">
        <f ca="1">VLOOKUP(CurrentMtgRatesDataTable82527141518[[#This Row],[asofdate]]+1,Bloomberg!B:C,2,0)</f>
        <v>1983.2</v>
      </c>
      <c r="N482" s="6"/>
      <c r="O482" s="18">
        <v>40017</v>
      </c>
      <c r="P482" s="88">
        <v>0</v>
      </c>
      <c r="Q482" s="101"/>
      <c r="R482" s="101"/>
      <c r="S482" s="18">
        <v>39982</v>
      </c>
      <c r="T482" s="88">
        <v>5.0652529999999996E-4</v>
      </c>
      <c r="V482"/>
    </row>
    <row r="483" spans="9:22">
      <c r="I483" s="18">
        <v>40038</v>
      </c>
      <c r="J483" s="88">
        <v>0.58262538230000005</v>
      </c>
      <c r="K483" s="88">
        <f>VLOOKUP(CurrentMtgRatesDataTable82527141518[[#This Row],[asofdate]],O:P,2,0)</f>
        <v>0</v>
      </c>
      <c r="L483" s="88">
        <f>VLOOKUP(CurrentMtgRatesDataTable82527141518[[#This Row],[asofdate]],S:T,2,0)</f>
        <v>1.3656680799999999E-2</v>
      </c>
      <c r="M483" s="6">
        <f ca="1">VLOOKUP(CurrentMtgRatesDataTable82527141518[[#This Row],[asofdate]]+1,Bloomberg!B:C,2,0)</f>
        <v>1782.2</v>
      </c>
      <c r="N483" s="6"/>
      <c r="O483" s="18">
        <v>40010</v>
      </c>
      <c r="P483" s="88">
        <v>0</v>
      </c>
      <c r="Q483" s="101"/>
      <c r="R483" s="101"/>
      <c r="S483" s="18">
        <v>39975</v>
      </c>
      <c r="T483" s="88">
        <v>2.2892569999999999E-4</v>
      </c>
      <c r="V483"/>
    </row>
    <row r="484" spans="9:22">
      <c r="I484" s="18">
        <v>40031</v>
      </c>
      <c r="J484" s="88">
        <v>0.63622339660000005</v>
      </c>
      <c r="K484" s="88">
        <f>VLOOKUP(CurrentMtgRatesDataTable82527141518[[#This Row],[asofdate]],O:P,2,0)</f>
        <v>0</v>
      </c>
      <c r="L484" s="88">
        <f>VLOOKUP(CurrentMtgRatesDataTable82527141518[[#This Row],[asofdate]],S:T,2,0)</f>
        <v>1.49150958E-2</v>
      </c>
      <c r="M484" s="6">
        <f ca="1">VLOOKUP(CurrentMtgRatesDataTable82527141518[[#This Row],[asofdate]]+1,Bloomberg!B:C,2,0)</f>
        <v>1659.1</v>
      </c>
      <c r="N484" s="6"/>
      <c r="O484" s="18">
        <v>40003</v>
      </c>
      <c r="P484" s="88">
        <v>0</v>
      </c>
      <c r="Q484" s="101"/>
      <c r="R484" s="101"/>
      <c r="S484" s="18">
        <v>39968</v>
      </c>
      <c r="T484" s="88">
        <v>8.2170629999999995E-4</v>
      </c>
      <c r="V484"/>
    </row>
    <row r="485" spans="9:22">
      <c r="I485" s="18">
        <v>40024</v>
      </c>
      <c r="J485" s="88">
        <v>0.63391183470000001</v>
      </c>
      <c r="K485" s="88">
        <f>VLOOKUP(CurrentMtgRatesDataTable82527141518[[#This Row],[asofdate]],O:P,2,0)</f>
        <v>0</v>
      </c>
      <c r="L485" s="88">
        <f>VLOOKUP(CurrentMtgRatesDataTable82527141518[[#This Row],[asofdate]],S:T,2,0)</f>
        <v>1.11021872E-2</v>
      </c>
      <c r="M485" s="6">
        <f ca="1">VLOOKUP(CurrentMtgRatesDataTable82527141518[[#This Row],[asofdate]]+1,Bloomberg!B:C,2,0)</f>
        <v>1826</v>
      </c>
      <c r="N485" s="6"/>
      <c r="O485" s="18">
        <v>39996</v>
      </c>
      <c r="P485" s="88">
        <v>0</v>
      </c>
      <c r="Q485" s="101"/>
      <c r="R485" s="101"/>
      <c r="S485" s="18">
        <v>39961</v>
      </c>
      <c r="T485" s="88">
        <v>0.70473024299999998</v>
      </c>
      <c r="V485"/>
    </row>
    <row r="486" spans="9:22">
      <c r="I486" s="18">
        <v>40017</v>
      </c>
      <c r="J486" s="88">
        <v>0.65636377079999997</v>
      </c>
      <c r="K486" s="88">
        <f>VLOOKUP(CurrentMtgRatesDataTable82527141518[[#This Row],[asofdate]],O:P,2,0)</f>
        <v>0</v>
      </c>
      <c r="L486" s="88">
        <f>VLOOKUP(CurrentMtgRatesDataTable82527141518[[#This Row],[asofdate]],S:T,2,0)</f>
        <v>1.1335169799999999E-2</v>
      </c>
      <c r="M486" s="6">
        <f ca="1">VLOOKUP(CurrentMtgRatesDataTable82527141518[[#This Row],[asofdate]]+1,Bloomberg!B:C,2,0)</f>
        <v>1702.7</v>
      </c>
      <c r="N486" s="6"/>
      <c r="O486" s="18">
        <v>39989</v>
      </c>
      <c r="P486" s="88">
        <v>0</v>
      </c>
      <c r="Q486" s="101"/>
      <c r="R486" s="101"/>
      <c r="S486" s="18">
        <v>39954</v>
      </c>
      <c r="T486" s="88">
        <v>0.77935234330000003</v>
      </c>
      <c r="V486"/>
    </row>
    <row r="487" spans="9:22">
      <c r="I487" s="18">
        <v>40010</v>
      </c>
      <c r="J487" s="88">
        <v>0.68647824840000005</v>
      </c>
      <c r="K487" s="88">
        <f>VLOOKUP(CurrentMtgRatesDataTable82527141518[[#This Row],[asofdate]],O:P,2,0)</f>
        <v>0</v>
      </c>
      <c r="L487" s="88">
        <f>VLOOKUP(CurrentMtgRatesDataTable82527141518[[#This Row],[asofdate]],S:T,2,0)</f>
        <v>1.50328931E-2</v>
      </c>
      <c r="M487" s="6">
        <f ca="1">VLOOKUP(CurrentMtgRatesDataTable82527141518[[#This Row],[asofdate]]+1,Bloomberg!B:C,2,0)</f>
        <v>1982.8</v>
      </c>
      <c r="N487" s="6"/>
      <c r="O487" s="18">
        <v>39982</v>
      </c>
      <c r="P487" s="88">
        <v>0</v>
      </c>
      <c r="Q487" s="101"/>
      <c r="R487" s="101"/>
      <c r="S487" s="18">
        <v>39947</v>
      </c>
      <c r="T487" s="88">
        <v>0.76480644919999996</v>
      </c>
      <c r="V487"/>
    </row>
    <row r="488" spans="9:22">
      <c r="I488" s="18">
        <v>40003</v>
      </c>
      <c r="J488" s="88">
        <v>0.65636377079999997</v>
      </c>
      <c r="K488" s="88">
        <f>VLOOKUP(CurrentMtgRatesDataTable82527141518[[#This Row],[asofdate]],O:P,2,0)</f>
        <v>0</v>
      </c>
      <c r="L488" s="88">
        <f>VLOOKUP(CurrentMtgRatesDataTable82527141518[[#This Row],[asofdate]],S:T,2,0)</f>
        <v>1.18982415E-2</v>
      </c>
      <c r="M488" s="6">
        <f ca="1">VLOOKUP(CurrentMtgRatesDataTable82527141518[[#This Row],[asofdate]]+1,Bloomberg!B:C,2,0)</f>
        <v>1915.5</v>
      </c>
      <c r="N488" s="6"/>
      <c r="O488" s="18">
        <v>39975</v>
      </c>
      <c r="P488" s="88">
        <v>0</v>
      </c>
      <c r="Q488" s="101"/>
      <c r="R488" s="101"/>
      <c r="S488" s="18">
        <v>39940</v>
      </c>
      <c r="T488" s="88">
        <v>0.76076246589999996</v>
      </c>
      <c r="V488"/>
    </row>
    <row r="489" spans="9:22">
      <c r="I489" s="18">
        <v>39996</v>
      </c>
      <c r="J489" s="88">
        <v>0.58620935620000003</v>
      </c>
      <c r="K489" s="88">
        <f>VLOOKUP(CurrentMtgRatesDataTable82527141518[[#This Row],[asofdate]],O:P,2,0)</f>
        <v>0</v>
      </c>
      <c r="L489" s="88">
        <f>VLOOKUP(CurrentMtgRatesDataTable82527141518[[#This Row],[asofdate]],S:T,2,0)</f>
        <v>1.1155979599999999E-2</v>
      </c>
      <c r="M489" s="6">
        <f ca="1">VLOOKUP(CurrentMtgRatesDataTable82527141518[[#This Row],[asofdate]]+1,Bloomberg!B:C,2,0)</f>
        <v>1583.5</v>
      </c>
      <c r="N489" s="6"/>
      <c r="O489" s="18">
        <v>39968</v>
      </c>
      <c r="P489" s="88">
        <v>0</v>
      </c>
      <c r="Q489" s="101"/>
      <c r="R489" s="101"/>
      <c r="S489" s="18">
        <v>39933</v>
      </c>
      <c r="T489" s="88">
        <v>0.83775849089999999</v>
      </c>
      <c r="V489"/>
    </row>
    <row r="490" spans="9:22">
      <c r="I490" s="18">
        <v>39989</v>
      </c>
      <c r="J490" s="88">
        <v>0.2398027435</v>
      </c>
      <c r="K490" s="88">
        <f>VLOOKUP(CurrentMtgRatesDataTable82527141518[[#This Row],[asofdate]],O:P,2,0)</f>
        <v>0</v>
      </c>
      <c r="L490" s="88">
        <f>VLOOKUP(CurrentMtgRatesDataTable82527141518[[#This Row],[asofdate]],S:T,2,0)</f>
        <v>3.544008E-4</v>
      </c>
      <c r="M490" s="6">
        <f ca="1">VLOOKUP(CurrentMtgRatesDataTable82527141518[[#This Row],[asofdate]]+1,Bloomberg!B:C,2,0)</f>
        <v>1328.1</v>
      </c>
      <c r="N490" s="6"/>
      <c r="O490" s="18">
        <v>39961</v>
      </c>
      <c r="P490" s="88">
        <v>0</v>
      </c>
      <c r="Q490" s="101"/>
      <c r="R490" s="101"/>
      <c r="S490" s="18">
        <v>39926</v>
      </c>
      <c r="T490" s="88">
        <v>0.8258986626</v>
      </c>
      <c r="V490"/>
    </row>
    <row r="491" spans="9:22">
      <c r="I491" s="18">
        <v>39982</v>
      </c>
      <c r="J491" s="88">
        <v>0.2680729623</v>
      </c>
      <c r="K491" s="88">
        <f>VLOOKUP(CurrentMtgRatesDataTable82527141518[[#This Row],[asofdate]],O:P,2,0)</f>
        <v>0</v>
      </c>
      <c r="L491" s="88">
        <f>VLOOKUP(CurrentMtgRatesDataTable82527141518[[#This Row],[asofdate]],S:T,2,0)</f>
        <v>5.0652529999999996E-4</v>
      </c>
      <c r="M491" s="6">
        <f ca="1">VLOOKUP(CurrentMtgRatesDataTable82527141518[[#This Row],[asofdate]]+1,Bloomberg!B:C,2,0)</f>
        <v>1504.6</v>
      </c>
      <c r="N491" s="6"/>
      <c r="O491" s="18">
        <v>39954</v>
      </c>
      <c r="P491" s="88">
        <v>0</v>
      </c>
      <c r="Q491" s="101"/>
      <c r="R491" s="101"/>
      <c r="S491" s="18">
        <v>39919</v>
      </c>
      <c r="T491" s="88">
        <v>0.8287808096</v>
      </c>
      <c r="V491"/>
    </row>
    <row r="492" spans="9:22">
      <c r="I492" s="18">
        <v>39975</v>
      </c>
      <c r="J492" s="88">
        <v>0.13785707820000001</v>
      </c>
      <c r="K492" s="88">
        <f>VLOOKUP(CurrentMtgRatesDataTable82527141518[[#This Row],[asofdate]],O:P,2,0)</f>
        <v>0</v>
      </c>
      <c r="L492" s="88">
        <f>VLOOKUP(CurrentMtgRatesDataTable82527141518[[#This Row],[asofdate]],S:T,2,0)</f>
        <v>2.2892569999999999E-4</v>
      </c>
      <c r="M492" s="6">
        <f ca="1">VLOOKUP(CurrentMtgRatesDataTable82527141518[[#This Row],[asofdate]]+1,Bloomberg!B:C,2,0)</f>
        <v>1482.7</v>
      </c>
      <c r="N492" s="6"/>
      <c r="O492" s="18">
        <v>39947</v>
      </c>
      <c r="P492" s="88">
        <v>0</v>
      </c>
      <c r="Q492" s="101"/>
      <c r="R492" s="101"/>
      <c r="S492" s="18">
        <v>39912</v>
      </c>
      <c r="T492" s="88">
        <v>0.77255753680000006</v>
      </c>
      <c r="V492"/>
    </row>
    <row r="493" spans="9:22">
      <c r="I493" s="18">
        <v>39968</v>
      </c>
      <c r="J493" s="88">
        <v>0.32790025519999999</v>
      </c>
      <c r="K493" s="88">
        <f>VLOOKUP(CurrentMtgRatesDataTable82527141518[[#This Row],[asofdate]],O:P,2,0)</f>
        <v>0</v>
      </c>
      <c r="L493" s="88">
        <f>VLOOKUP(CurrentMtgRatesDataTable82527141518[[#This Row],[asofdate]],S:T,2,0)</f>
        <v>8.2170629999999995E-4</v>
      </c>
      <c r="M493" s="6">
        <f ca="1">VLOOKUP(CurrentMtgRatesDataTable82527141518[[#This Row],[asofdate]]+1,Bloomberg!B:C,2,0)</f>
        <v>2156.5</v>
      </c>
      <c r="N493" s="6"/>
      <c r="O493" s="18">
        <v>39940</v>
      </c>
      <c r="P493" s="88">
        <v>0</v>
      </c>
      <c r="Q493" s="101"/>
      <c r="R493" s="101"/>
      <c r="S493" s="18">
        <v>39905</v>
      </c>
      <c r="T493" s="88">
        <v>0.83775849089999999</v>
      </c>
      <c r="V493"/>
    </row>
    <row r="494" spans="9:22">
      <c r="I494" s="133">
        <v>39961</v>
      </c>
      <c r="J494" s="134">
        <v>0.6818046405</v>
      </c>
      <c r="K494" s="134">
        <f>VLOOKUP(CurrentMtgRatesDataTable82527141518[[#This Row],[asofdate]],O:P,2,0)</f>
        <v>0</v>
      </c>
      <c r="L494" s="134">
        <f>VLOOKUP(CurrentMtgRatesDataTable82527141518[[#This Row],[asofdate]],S:T,2,0)</f>
        <v>0.70473024299999998</v>
      </c>
      <c r="M494" s="132">
        <f ca="1">VLOOKUP(CurrentMtgRatesDataTable82527141518[[#This Row],[asofdate]]+1,Bloomberg!B:C,2,0)</f>
        <v>2583</v>
      </c>
      <c r="N494" s="6"/>
      <c r="O494" s="133">
        <v>39933</v>
      </c>
      <c r="P494" s="134">
        <v>0</v>
      </c>
      <c r="Q494" s="101"/>
      <c r="R494" s="101"/>
      <c r="S494" s="133">
        <v>39898</v>
      </c>
      <c r="T494" s="134">
        <v>0.8543621911</v>
      </c>
      <c r="V494"/>
    </row>
    <row r="495" spans="9:22">
      <c r="I495" s="133">
        <v>39954</v>
      </c>
      <c r="J495" s="134">
        <v>0.75493924980000005</v>
      </c>
      <c r="K495" s="134">
        <f>VLOOKUP(CurrentMtgRatesDataTable82527141518[[#This Row],[asofdate]],O:P,2,0)</f>
        <v>0</v>
      </c>
      <c r="L495" s="134">
        <f>VLOOKUP(CurrentMtgRatesDataTable82527141518[[#This Row],[asofdate]],S:T,2,0)</f>
        <v>0.77935234330000003</v>
      </c>
      <c r="M495" s="132">
        <f ca="1">VLOOKUP(CurrentMtgRatesDataTable82527141518[[#This Row],[asofdate]]+1,Bloomberg!B:C,2,0)</f>
        <v>3590.1</v>
      </c>
      <c r="N495" s="6"/>
      <c r="O495" s="133">
        <v>39926</v>
      </c>
      <c r="P495" s="134">
        <v>0</v>
      </c>
      <c r="Q495" s="101"/>
      <c r="R495" s="101"/>
      <c r="S495" s="133">
        <v>39891</v>
      </c>
      <c r="T495" s="134">
        <v>0.73680964289999995</v>
      </c>
      <c r="V495"/>
    </row>
    <row r="496" spans="9:22">
      <c r="I496" s="133">
        <v>39947</v>
      </c>
      <c r="J496" s="134">
        <v>0.74059132800000005</v>
      </c>
      <c r="K496" s="134">
        <f>VLOOKUP(CurrentMtgRatesDataTable82527141518[[#This Row],[asofdate]],O:P,2,0)</f>
        <v>0</v>
      </c>
      <c r="L496" s="134">
        <f>VLOOKUP(CurrentMtgRatesDataTable82527141518[[#This Row],[asofdate]],S:T,2,0)</f>
        <v>0.76480644919999996</v>
      </c>
      <c r="M496" s="132">
        <f ca="1">VLOOKUP(CurrentMtgRatesDataTable82527141518[[#This Row],[asofdate]]+1,Bloomberg!B:C,2,0)</f>
        <v>4586.2</v>
      </c>
      <c r="N496" s="6"/>
      <c r="O496" s="133">
        <v>39919</v>
      </c>
      <c r="P496" s="134">
        <v>0</v>
      </c>
      <c r="Q496" s="101"/>
      <c r="R496" s="101"/>
      <c r="S496" s="133">
        <v>39884</v>
      </c>
      <c r="T496" s="134">
        <v>0.6788054349</v>
      </c>
      <c r="V496"/>
    </row>
    <row r="497" spans="9:22">
      <c r="I497" s="133">
        <v>39940</v>
      </c>
      <c r="J497" s="134">
        <v>0.73672094740000005</v>
      </c>
      <c r="K497" s="134">
        <f>VLOOKUP(CurrentMtgRatesDataTable82527141518[[#This Row],[asofdate]],O:P,2,0)</f>
        <v>0</v>
      </c>
      <c r="L497" s="134">
        <f>VLOOKUP(CurrentMtgRatesDataTable82527141518[[#This Row],[asofdate]],S:T,2,0)</f>
        <v>0.76076246589999996</v>
      </c>
      <c r="M497" s="132">
        <f ca="1">VLOOKUP(CurrentMtgRatesDataTable82527141518[[#This Row],[asofdate]]+1,Bloomberg!B:C,2,0)</f>
        <v>4353.1000000000004</v>
      </c>
      <c r="N497" s="6"/>
      <c r="O497" s="133">
        <v>39912</v>
      </c>
      <c r="P497" s="134">
        <v>0</v>
      </c>
      <c r="Q497" s="101"/>
      <c r="R497" s="101"/>
      <c r="S497" s="135">
        <v>39877</v>
      </c>
      <c r="T497" s="136">
        <v>0.54436837059999998</v>
      </c>
      <c r="V497"/>
    </row>
    <row r="498" spans="9:22">
      <c r="I498" s="133">
        <v>39933</v>
      </c>
      <c r="J498" s="134">
        <v>0.80634665979999998</v>
      </c>
      <c r="K498" s="134">
        <f>VLOOKUP(CurrentMtgRatesDataTable82527141518[[#This Row],[asofdate]],O:P,2,0)</f>
        <v>0</v>
      </c>
      <c r="L498" s="134">
        <f>VLOOKUP(CurrentMtgRatesDataTable82527141518[[#This Row],[asofdate]],S:T,2,0)</f>
        <v>0.83775849089999999</v>
      </c>
      <c r="M498" s="132">
        <f ca="1">VLOOKUP(CurrentMtgRatesDataTable82527141518[[#This Row],[asofdate]]+1,Bloomberg!B:C,2,0)</f>
        <v>5084.2</v>
      </c>
      <c r="N498" s="6"/>
      <c r="O498" s="133">
        <v>39905</v>
      </c>
      <c r="P498" s="134">
        <v>0.83775849089999999</v>
      </c>
      <c r="Q498" s="101"/>
      <c r="R498" s="101"/>
      <c r="S498" s="135">
        <v>39870</v>
      </c>
      <c r="T498" s="136">
        <v>0.6537198045</v>
      </c>
      <c r="V498"/>
    </row>
    <row r="499" spans="9:22">
      <c r="I499" s="133">
        <v>39926</v>
      </c>
      <c r="J499" s="134">
        <v>0.79472057519999995</v>
      </c>
      <c r="K499" s="134">
        <f>VLOOKUP(CurrentMtgRatesDataTable82527141518[[#This Row],[asofdate]],O:P,2,0)</f>
        <v>0</v>
      </c>
      <c r="L499" s="134">
        <f>VLOOKUP(CurrentMtgRatesDataTable82527141518[[#This Row],[asofdate]],S:T,2,0)</f>
        <v>0.8258986626</v>
      </c>
      <c r="M499" s="132">
        <f ca="1">VLOOKUP(CurrentMtgRatesDataTable82527141518[[#This Row],[asofdate]]+1,Bloomberg!B:C,2,0)</f>
        <v>4957.8999999999996</v>
      </c>
      <c r="N499" s="6"/>
      <c r="O499" s="133">
        <v>39898</v>
      </c>
      <c r="P499" s="134">
        <v>0.8543621911</v>
      </c>
      <c r="Q499" s="101"/>
      <c r="R499" s="101"/>
      <c r="S499" s="135">
        <v>39863</v>
      </c>
      <c r="T499" s="136">
        <v>0.68671656270000003</v>
      </c>
      <c r="V499"/>
    </row>
    <row r="500" spans="9:22">
      <c r="I500" s="133">
        <v>39919</v>
      </c>
      <c r="J500" s="134">
        <v>0.79788501109999999</v>
      </c>
      <c r="K500" s="134">
        <f>VLOOKUP(CurrentMtgRatesDataTable82527141518[[#This Row],[asofdate]],O:P,2,0)</f>
        <v>0</v>
      </c>
      <c r="L500" s="134">
        <f>VLOOKUP(CurrentMtgRatesDataTable82527141518[[#This Row],[asofdate]],S:T,2,0)</f>
        <v>0.8287808096</v>
      </c>
      <c r="M500" s="132">
        <f ca="1">VLOOKUP(CurrentMtgRatesDataTable82527141518[[#This Row],[asofdate]]+1,Bloomberg!B:C,2,0)</f>
        <v>6547.2</v>
      </c>
      <c r="N500" s="6"/>
      <c r="O500" s="133">
        <v>39891</v>
      </c>
      <c r="P500" s="134">
        <v>2.8863549000000001E-3</v>
      </c>
      <c r="Q500" s="101"/>
      <c r="R500" s="101"/>
      <c r="S500" s="135">
        <v>39856</v>
      </c>
      <c r="T500" s="136">
        <v>0.55065217109999998</v>
      </c>
      <c r="V500"/>
    </row>
    <row r="501" spans="9:22">
      <c r="I501" s="133">
        <v>39912</v>
      </c>
      <c r="J501" s="134">
        <v>0.74233991889999995</v>
      </c>
      <c r="K501" s="134">
        <f>VLOOKUP(CurrentMtgRatesDataTable82527141518[[#This Row],[asofdate]],O:P,2,0)</f>
        <v>0</v>
      </c>
      <c r="L501" s="134">
        <f>VLOOKUP(CurrentMtgRatesDataTable82527141518[[#This Row],[asofdate]],S:T,2,0)</f>
        <v>0.77255753680000006</v>
      </c>
      <c r="M501" s="132">
        <f ca="1">VLOOKUP(CurrentMtgRatesDataTable82527141518[[#This Row],[asofdate]]+1,Bloomberg!B:C,2,0)</f>
        <v>6127.3</v>
      </c>
      <c r="N501" s="6"/>
      <c r="O501" s="133">
        <v>39884</v>
      </c>
      <c r="P501" s="134">
        <v>2.7616621999999999E-3</v>
      </c>
      <c r="Q501" s="101"/>
      <c r="R501" s="101"/>
      <c r="S501" s="135">
        <v>39849</v>
      </c>
      <c r="T501" s="136">
        <v>0.4404151416</v>
      </c>
      <c r="V501"/>
    </row>
    <row r="502" spans="9:22">
      <c r="I502" s="135">
        <v>39905</v>
      </c>
      <c r="J502" s="136">
        <v>0.80634665979999998</v>
      </c>
      <c r="K502" s="136">
        <f>VLOOKUP(CurrentMtgRatesDataTable82527141518[[#This Row],[asofdate]],O:P,2,0)</f>
        <v>0.83775849089999999</v>
      </c>
      <c r="L502" s="136">
        <f>VLOOKUP(CurrentMtgRatesDataTable82527141518[[#This Row],[asofdate]],S:T,2,0)</f>
        <v>0.83775849089999999</v>
      </c>
      <c r="M502" s="137">
        <f ca="1">VLOOKUP(CurrentMtgRatesDataTable82527141518[[#This Row],[asofdate]]+1,Bloomberg!B:C,2,0)</f>
        <v>6734.2</v>
      </c>
      <c r="N502" s="6"/>
      <c r="O502" s="135">
        <v>39877</v>
      </c>
      <c r="P502" s="136">
        <v>0</v>
      </c>
      <c r="Q502" s="101"/>
      <c r="R502" s="101"/>
      <c r="S502" s="135">
        <v>39842</v>
      </c>
      <c r="T502" s="136">
        <v>0.62636965899999997</v>
      </c>
      <c r="V502"/>
    </row>
    <row r="503" spans="9:22">
      <c r="I503" s="135">
        <v>39898</v>
      </c>
      <c r="J503" s="136">
        <v>0.83957519380000001</v>
      </c>
      <c r="K503" s="136">
        <f>VLOOKUP(CurrentMtgRatesDataTable82527141518[[#This Row],[asofdate]],O:P,2,0)</f>
        <v>0.8543621911</v>
      </c>
      <c r="L503" s="136">
        <f>VLOOKUP(CurrentMtgRatesDataTable82527141518[[#This Row],[asofdate]],S:T,2,0)</f>
        <v>0.8543621911</v>
      </c>
      <c r="M503" s="137">
        <f ca="1">VLOOKUP(CurrentMtgRatesDataTable82527141518[[#This Row],[asofdate]]+1,Bloomberg!B:C,2,0)</f>
        <v>6522</v>
      </c>
      <c r="N503" s="6"/>
      <c r="O503" s="135">
        <v>39870</v>
      </c>
      <c r="P503" s="136">
        <v>0</v>
      </c>
      <c r="Q503" s="101"/>
      <c r="R503" s="101"/>
      <c r="S503" s="135">
        <v>39835</v>
      </c>
      <c r="T503" s="136">
        <v>0.60365680929999999</v>
      </c>
      <c r="V503"/>
    </row>
    <row r="504" spans="9:22">
      <c r="I504" s="135">
        <v>39891</v>
      </c>
      <c r="J504" s="136">
        <v>0.72356305889999994</v>
      </c>
      <c r="K504" s="136">
        <f>VLOOKUP(CurrentMtgRatesDataTable82527141518[[#This Row],[asofdate]],O:P,2,0)</f>
        <v>2.8863549000000001E-3</v>
      </c>
      <c r="L504" s="136">
        <f>VLOOKUP(CurrentMtgRatesDataTable82527141518[[#This Row],[asofdate]],S:T,2,0)</f>
        <v>0.73680964289999995</v>
      </c>
      <c r="M504" s="137">
        <f ca="1">VLOOKUP(CurrentMtgRatesDataTable82527141518[[#This Row],[asofdate]]+1,Bloomberg!B:C,2,0)</f>
        <v>6374.7</v>
      </c>
      <c r="N504" s="6"/>
      <c r="O504" s="135">
        <v>39863</v>
      </c>
      <c r="P504" s="136">
        <v>0</v>
      </c>
      <c r="Q504" s="101"/>
      <c r="R504" s="101"/>
      <c r="S504" s="135">
        <v>39828</v>
      </c>
      <c r="T504" s="136">
        <v>0.78571065689999997</v>
      </c>
      <c r="V504"/>
    </row>
    <row r="505" spans="9:22">
      <c r="I505" s="135">
        <v>39884</v>
      </c>
      <c r="J505" s="136">
        <v>0.66635796189999996</v>
      </c>
      <c r="K505" s="136">
        <f>VLOOKUP(CurrentMtgRatesDataTable82527141518[[#This Row],[asofdate]],O:P,2,0)</f>
        <v>2.7616621999999999E-3</v>
      </c>
      <c r="L505" s="136">
        <f>VLOOKUP(CurrentMtgRatesDataTable82527141518[[#This Row],[asofdate]],S:T,2,0)</f>
        <v>0.6788054349</v>
      </c>
      <c r="M505" s="137">
        <f ca="1">VLOOKUP(CurrentMtgRatesDataTable82527141518[[#This Row],[asofdate]]+1,Bloomberg!B:C,2,0)</f>
        <v>4428.1000000000004</v>
      </c>
      <c r="N505" s="6"/>
      <c r="O505" s="135">
        <v>39856</v>
      </c>
      <c r="P505" s="136">
        <v>0</v>
      </c>
      <c r="Q505" s="101"/>
      <c r="R505" s="101"/>
      <c r="S505" s="135">
        <v>39821</v>
      </c>
      <c r="T505" s="136">
        <v>0.75691413649999995</v>
      </c>
      <c r="V505"/>
    </row>
    <row r="506" spans="9:22">
      <c r="I506" s="135">
        <v>39877</v>
      </c>
      <c r="J506" s="136">
        <v>0.53291699650000002</v>
      </c>
      <c r="K506" s="136">
        <f>VLOOKUP(CurrentMtgRatesDataTable82527141518[[#This Row],[asofdate]],O:P,2,0)</f>
        <v>0</v>
      </c>
      <c r="L506" s="136">
        <f>VLOOKUP(CurrentMtgRatesDataTable82527141518[[#This Row],[asofdate]],S:T,2,0)</f>
        <v>0.54436837059999998</v>
      </c>
      <c r="M506" s="137">
        <f ca="1">VLOOKUP(CurrentMtgRatesDataTable82527141518[[#This Row],[asofdate]]+1,Bloomberg!B:C,2,0)</f>
        <v>3352.8</v>
      </c>
      <c r="N506" s="6"/>
      <c r="O506" s="135">
        <v>39849</v>
      </c>
      <c r="P506" s="136">
        <v>0</v>
      </c>
      <c r="Q506" s="101"/>
      <c r="R506" s="101"/>
      <c r="S506" s="135">
        <v>39813</v>
      </c>
      <c r="T506" s="136">
        <v>0.66704160810000002</v>
      </c>
      <c r="V506"/>
    </row>
    <row r="507" spans="9:22">
      <c r="I507" s="135">
        <v>39870</v>
      </c>
      <c r="J507" s="136">
        <v>0.65155391819999997</v>
      </c>
      <c r="K507" s="136">
        <f>VLOOKUP(CurrentMtgRatesDataTable82527141518[[#This Row],[asofdate]],O:P,2,0)</f>
        <v>0</v>
      </c>
      <c r="L507" s="136">
        <f>VLOOKUP(CurrentMtgRatesDataTable82527141518[[#This Row],[asofdate]],S:T,2,0)</f>
        <v>0.6537198045</v>
      </c>
      <c r="M507" s="137">
        <f ca="1">VLOOKUP(CurrentMtgRatesDataTable82527141518[[#This Row],[asofdate]]+1,Bloomberg!B:C,2,0)</f>
        <v>2945.5</v>
      </c>
      <c r="N507" s="6"/>
      <c r="O507" s="135">
        <v>39842</v>
      </c>
      <c r="P507" s="136">
        <v>0</v>
      </c>
      <c r="Q507" s="101"/>
      <c r="R507" s="101"/>
      <c r="S507" s="135">
        <v>39806</v>
      </c>
      <c r="T507" s="136">
        <v>0.59193800299999999</v>
      </c>
      <c r="V507"/>
    </row>
    <row r="508" spans="9:22">
      <c r="I508" s="135">
        <v>39863</v>
      </c>
      <c r="J508" s="136">
        <v>0.68430447510000003</v>
      </c>
      <c r="K508" s="136">
        <f>VLOOKUP(CurrentMtgRatesDataTable82527141518[[#This Row],[asofdate]],O:P,2,0)</f>
        <v>0</v>
      </c>
      <c r="L508" s="136">
        <f>VLOOKUP(CurrentMtgRatesDataTable82527141518[[#This Row],[asofdate]],S:T,2,0)</f>
        <v>0.68671656270000003</v>
      </c>
      <c r="M508" s="137">
        <f ca="1">VLOOKUP(CurrentMtgRatesDataTable82527141518[[#This Row],[asofdate]]+1,Bloomberg!B:C,2,0)</f>
        <v>3531.5</v>
      </c>
      <c r="N508" s="6"/>
      <c r="O508" s="135">
        <v>39835</v>
      </c>
      <c r="P508" s="136">
        <v>0</v>
      </c>
      <c r="Q508" s="101"/>
      <c r="R508" s="101"/>
      <c r="S508" s="135">
        <v>39800</v>
      </c>
      <c r="T508" s="136">
        <v>0.56807156729999997</v>
      </c>
      <c r="V508"/>
    </row>
    <row r="509" spans="9:22">
      <c r="I509" s="135">
        <v>39856</v>
      </c>
      <c r="J509" s="136">
        <v>0.54913095410000001</v>
      </c>
      <c r="K509" s="136">
        <f>VLOOKUP(CurrentMtgRatesDataTable82527141518[[#This Row],[asofdate]],O:P,2,0)</f>
        <v>0</v>
      </c>
      <c r="L509" s="136">
        <f>VLOOKUP(CurrentMtgRatesDataTable82527141518[[#This Row],[asofdate]],S:T,2,0)</f>
        <v>0.55065217109999998</v>
      </c>
      <c r="M509" s="137">
        <f ca="1">VLOOKUP(CurrentMtgRatesDataTable82527141518[[#This Row],[asofdate]]+1,Bloomberg!B:C,2,0)</f>
        <v>4564.5</v>
      </c>
      <c r="N509" s="6"/>
      <c r="O509" s="135">
        <v>39828</v>
      </c>
      <c r="P509" s="136">
        <v>0.78571065689999997</v>
      </c>
      <c r="Q509" s="101"/>
      <c r="R509" s="101"/>
      <c r="S509" s="135">
        <v>39793</v>
      </c>
      <c r="T509" s="136">
        <v>0.20199171890000001</v>
      </c>
      <c r="V509"/>
    </row>
    <row r="510" spans="9:22">
      <c r="I510" s="135">
        <v>39849</v>
      </c>
      <c r="J510" s="136">
        <v>0.43864910670000001</v>
      </c>
      <c r="K510" s="136">
        <f>VLOOKUP(CurrentMtgRatesDataTable82527141518[[#This Row],[asofdate]],O:P,2,0)</f>
        <v>0</v>
      </c>
      <c r="L510" s="136">
        <f>VLOOKUP(CurrentMtgRatesDataTable82527141518[[#This Row],[asofdate]],S:T,2,0)</f>
        <v>0.4404151416</v>
      </c>
      <c r="M510" s="137">
        <f ca="1">VLOOKUP(CurrentMtgRatesDataTable82527141518[[#This Row],[asofdate]]+1,Bloomberg!B:C,2,0)</f>
        <v>2611.1</v>
      </c>
      <c r="N510" s="6"/>
      <c r="O510" s="135">
        <v>39821</v>
      </c>
      <c r="P510" s="136">
        <v>0.75691413649999995</v>
      </c>
      <c r="Q510" s="101"/>
      <c r="R510" s="101"/>
      <c r="S510" s="135">
        <v>39786</v>
      </c>
      <c r="T510" s="136">
        <v>0.15968597579999999</v>
      </c>
      <c r="V510"/>
    </row>
    <row r="511" spans="9:22">
      <c r="I511" s="135">
        <v>39842</v>
      </c>
      <c r="J511" s="136">
        <v>0.6304206523</v>
      </c>
      <c r="K511" s="136">
        <f>VLOOKUP(CurrentMtgRatesDataTable82527141518[[#This Row],[asofdate]],O:P,2,0)</f>
        <v>0</v>
      </c>
      <c r="L511" s="136">
        <f>VLOOKUP(CurrentMtgRatesDataTable82527141518[[#This Row],[asofdate]],S:T,2,0)</f>
        <v>0.62636965899999997</v>
      </c>
      <c r="M511" s="137">
        <f ca="1">VLOOKUP(CurrentMtgRatesDataTable82527141518[[#This Row],[asofdate]]+1,Bloomberg!B:C,2,0)</f>
        <v>3871.3</v>
      </c>
      <c r="N511" s="6"/>
      <c r="O511" s="135">
        <v>39813</v>
      </c>
      <c r="P511" s="136">
        <v>0.66704160810000002</v>
      </c>
      <c r="Q511" s="101"/>
      <c r="R511" s="101"/>
      <c r="S511" s="135">
        <v>39778</v>
      </c>
      <c r="T511" s="136">
        <v>6.0873977000000003E-3</v>
      </c>
      <c r="V511"/>
    </row>
    <row r="512" spans="9:22">
      <c r="I512" s="135">
        <v>39835</v>
      </c>
      <c r="J512" s="136">
        <v>0.60798130920000004</v>
      </c>
      <c r="K512" s="136">
        <f>VLOOKUP(CurrentMtgRatesDataTable82527141518[[#This Row],[asofdate]],O:P,2,0)</f>
        <v>0</v>
      </c>
      <c r="L512" s="136">
        <f>VLOOKUP(CurrentMtgRatesDataTable82527141518[[#This Row],[asofdate]],S:T,2,0)</f>
        <v>0.60365680929999999</v>
      </c>
      <c r="M512" s="137">
        <f ca="1">VLOOKUP(CurrentMtgRatesDataTable82527141518[[#This Row],[asofdate]]+1,Bloomberg!B:C,2,0)</f>
        <v>3300.6</v>
      </c>
      <c r="N512" s="6"/>
      <c r="O512" s="135">
        <v>39806</v>
      </c>
      <c r="P512" s="136">
        <v>0.47694247830000003</v>
      </c>
      <c r="Q512" s="101"/>
      <c r="R512" s="101"/>
      <c r="S512" s="135">
        <v>39772</v>
      </c>
      <c r="T512" s="136">
        <v>3.2520636000000001E-3</v>
      </c>
      <c r="V512"/>
    </row>
    <row r="513" spans="9:22">
      <c r="I513" s="135">
        <v>39828</v>
      </c>
      <c r="J513" s="136">
        <v>0.787776425</v>
      </c>
      <c r="K513" s="136">
        <f>VLOOKUP(CurrentMtgRatesDataTable82527141518[[#This Row],[asofdate]],O:P,2,0)</f>
        <v>0.78571065689999997</v>
      </c>
      <c r="L513" s="136">
        <f>VLOOKUP(CurrentMtgRatesDataTable82527141518[[#This Row],[asofdate]],S:T,2,0)</f>
        <v>0.78571065689999997</v>
      </c>
      <c r="M513" s="137">
        <f ca="1">VLOOKUP(CurrentMtgRatesDataTable82527141518[[#This Row],[asofdate]]+1,Bloomberg!B:C,2,0)</f>
        <v>6768.6</v>
      </c>
      <c r="N513" s="6"/>
      <c r="O513" s="135">
        <v>39800</v>
      </c>
      <c r="P513" s="136">
        <v>0.45238799110000005</v>
      </c>
      <c r="Q513" s="101"/>
      <c r="R513" s="101"/>
      <c r="S513" s="135">
        <v>39765</v>
      </c>
      <c r="T513" s="136">
        <v>1.7029307000000001E-3</v>
      </c>
      <c r="V513"/>
    </row>
    <row r="514" spans="9:22">
      <c r="I514" s="135">
        <v>39821</v>
      </c>
      <c r="J514" s="136">
        <v>0.75905560480000001</v>
      </c>
      <c r="K514" s="136">
        <f>VLOOKUP(CurrentMtgRatesDataTable82527141518[[#This Row],[asofdate]],O:P,2,0)</f>
        <v>0.75691413649999995</v>
      </c>
      <c r="L514" s="136">
        <f>VLOOKUP(CurrentMtgRatesDataTable82527141518[[#This Row],[asofdate]],S:T,2,0)</f>
        <v>0.75691413649999995</v>
      </c>
      <c r="M514" s="137">
        <f ca="1">VLOOKUP(CurrentMtgRatesDataTable82527141518[[#This Row],[asofdate]]+1,Bloomberg!B:C,2,0)</f>
        <v>7842.7</v>
      </c>
      <c r="N514" s="6"/>
      <c r="O514" s="135">
        <v>39793</v>
      </c>
      <c r="P514" s="136">
        <v>4.4117748999999998E-2</v>
      </c>
      <c r="Q514" s="101"/>
      <c r="R514" s="101"/>
      <c r="S514" s="135">
        <v>39758</v>
      </c>
      <c r="T514" s="136">
        <v>1.3361821E-3</v>
      </c>
      <c r="V514"/>
    </row>
    <row r="515" spans="9:22">
      <c r="I515" s="135">
        <v>39813</v>
      </c>
      <c r="J515" s="136">
        <v>0.66889975800000001</v>
      </c>
      <c r="K515" s="136">
        <f>VLOOKUP(CurrentMtgRatesDataTable82527141518[[#This Row],[asofdate]],O:P,2,0)</f>
        <v>0.66704160810000002</v>
      </c>
      <c r="L515" s="136">
        <f>VLOOKUP(CurrentMtgRatesDataTable82527141518[[#This Row],[asofdate]],S:T,2,0)</f>
        <v>0.66704160810000002</v>
      </c>
      <c r="M515" s="137" t="e">
        <f ca="1">VLOOKUP(CurrentMtgRatesDataTable82527141518[[#This Row],[asofdate]]+1,Bloomberg!B:C,2,0)</f>
        <v>#N/A</v>
      </c>
      <c r="N515" s="6"/>
      <c r="O515" s="135">
        <v>39786</v>
      </c>
      <c r="P515" s="136">
        <v>3.6398030800000002E-2</v>
      </c>
      <c r="Q515" s="101"/>
      <c r="R515" s="101"/>
      <c r="S515" s="135">
        <v>39751</v>
      </c>
      <c r="T515" s="136">
        <v>1.111391E-4</v>
      </c>
      <c r="V515"/>
    </row>
    <row r="516" spans="9:22">
      <c r="I516" s="135">
        <v>39806</v>
      </c>
      <c r="J516" s="136">
        <v>0.59388959610000003</v>
      </c>
      <c r="K516" s="136">
        <f>VLOOKUP(CurrentMtgRatesDataTable82527141518[[#This Row],[asofdate]],O:P,2,0)</f>
        <v>0.47694247830000003</v>
      </c>
      <c r="L516" s="136">
        <f>VLOOKUP(CurrentMtgRatesDataTable82527141518[[#This Row],[asofdate]],S:T,2,0)</f>
        <v>0.59193800299999999</v>
      </c>
      <c r="M516" s="137" t="e">
        <f ca="1">VLOOKUP(CurrentMtgRatesDataTable82527141518[[#This Row],[asofdate]]+1,Bloomberg!B:C,2,0)</f>
        <v>#N/A</v>
      </c>
      <c r="N516" s="6"/>
      <c r="O516" s="135">
        <v>39778</v>
      </c>
      <c r="P516" s="136">
        <v>0</v>
      </c>
      <c r="Q516" s="101"/>
      <c r="R516" s="101"/>
      <c r="S516" s="135">
        <v>39744</v>
      </c>
      <c r="T516" s="136">
        <v>2.3994377000000002E-3</v>
      </c>
      <c r="V516"/>
    </row>
    <row r="517" spans="9:22">
      <c r="I517" s="135">
        <v>39800</v>
      </c>
      <c r="J517" s="136">
        <v>0.57028598239999995</v>
      </c>
      <c r="K517" s="136">
        <f>VLOOKUP(CurrentMtgRatesDataTable82527141518[[#This Row],[asofdate]],O:P,2,0)</f>
        <v>0.45238799110000005</v>
      </c>
      <c r="L517" s="136">
        <f>VLOOKUP(CurrentMtgRatesDataTable82527141518[[#This Row],[asofdate]],S:T,2,0)</f>
        <v>0.56807156729999997</v>
      </c>
      <c r="M517" s="137">
        <f ca="1">VLOOKUP(CurrentMtgRatesDataTable82527141518[[#This Row],[asofdate]]+1,Bloomberg!B:C,2,0)</f>
        <v>7098.9</v>
      </c>
      <c r="N517" s="6"/>
      <c r="O517" s="135">
        <v>39772</v>
      </c>
      <c r="P517" s="136">
        <v>0</v>
      </c>
      <c r="Q517" s="101"/>
      <c r="R517" s="101"/>
      <c r="S517" s="135">
        <v>39737</v>
      </c>
      <c r="T517" s="136">
        <v>1.6806980000000002E-4</v>
      </c>
      <c r="V517"/>
    </row>
    <row r="518" spans="9:22">
      <c r="I518" s="135">
        <v>39793</v>
      </c>
      <c r="J518" s="136">
        <v>0.28837877309999999</v>
      </c>
      <c r="K518" s="136">
        <f>VLOOKUP(CurrentMtgRatesDataTable82527141518[[#This Row],[asofdate]],O:P,2,0)</f>
        <v>4.4117748999999998E-2</v>
      </c>
      <c r="L518" s="136">
        <f>VLOOKUP(CurrentMtgRatesDataTable82527141518[[#This Row],[asofdate]],S:T,2,0)</f>
        <v>0.20199171890000001</v>
      </c>
      <c r="M518" s="137">
        <f ca="1">VLOOKUP(CurrentMtgRatesDataTable82527141518[[#This Row],[asofdate]]+1,Bloomberg!B:C,2,0)</f>
        <v>4013.2</v>
      </c>
      <c r="N518" s="6"/>
      <c r="O518" s="135">
        <v>39765</v>
      </c>
      <c r="P518" s="136">
        <v>0</v>
      </c>
      <c r="Q518" s="101"/>
      <c r="R518" s="101"/>
      <c r="S518" s="135">
        <v>39730</v>
      </c>
      <c r="T518" s="136">
        <v>5.9527321000000001E-3</v>
      </c>
      <c r="V518"/>
    </row>
    <row r="519" spans="9:22">
      <c r="I519" s="135">
        <v>39786</v>
      </c>
      <c r="J519" s="136">
        <v>0.2375856516</v>
      </c>
      <c r="K519" s="136">
        <f>VLOOKUP(CurrentMtgRatesDataTable82527141518[[#This Row],[asofdate]],O:P,2,0)</f>
        <v>3.6398030800000002E-2</v>
      </c>
      <c r="L519" s="136">
        <f>VLOOKUP(CurrentMtgRatesDataTable82527141518[[#This Row],[asofdate]],S:T,2,0)</f>
        <v>0.15968597579999999</v>
      </c>
      <c r="M519" s="137">
        <f ca="1">VLOOKUP(CurrentMtgRatesDataTable82527141518[[#This Row],[asofdate]]+1,Bloomberg!B:C,2,0)</f>
        <v>3746.9</v>
      </c>
      <c r="N519" s="6"/>
      <c r="O519" s="135">
        <v>39758</v>
      </c>
      <c r="P519" s="136">
        <v>0</v>
      </c>
      <c r="Q519" s="101"/>
      <c r="R519" s="101"/>
      <c r="S519" s="135">
        <v>39723</v>
      </c>
      <c r="T519" s="136">
        <v>1.8615459999999999E-3</v>
      </c>
      <c r="V519"/>
    </row>
    <row r="520" spans="9:22">
      <c r="I520" s="135">
        <v>39778</v>
      </c>
      <c r="J520" s="136">
        <v>8.2893799300000001E-2</v>
      </c>
      <c r="K520" s="136">
        <f>VLOOKUP(CurrentMtgRatesDataTable82527141518[[#This Row],[asofdate]],O:P,2,0)</f>
        <v>0</v>
      </c>
      <c r="L520" s="136">
        <f>VLOOKUP(CurrentMtgRatesDataTable82527141518[[#This Row],[asofdate]],S:T,2,0)</f>
        <v>6.0873977000000003E-3</v>
      </c>
      <c r="M520" s="137" t="e">
        <f ca="1">VLOOKUP(CurrentMtgRatesDataTable82527141518[[#This Row],[asofdate]]+1,Bloomberg!B:C,2,0)</f>
        <v>#N/A</v>
      </c>
      <c r="N520" s="6"/>
      <c r="O520" s="135">
        <v>39751</v>
      </c>
      <c r="P520" s="136">
        <v>0</v>
      </c>
      <c r="Q520" s="101"/>
      <c r="R520" s="101"/>
      <c r="S520" s="135">
        <v>39716</v>
      </c>
      <c r="T520" s="136">
        <v>1.4572347E-3</v>
      </c>
      <c r="V520"/>
    </row>
    <row r="521" spans="9:22">
      <c r="I521" s="135">
        <v>39772</v>
      </c>
      <c r="J521" s="136">
        <v>6.9579419700000006E-2</v>
      </c>
      <c r="K521" s="136">
        <f>VLOOKUP(CurrentMtgRatesDataTable82527141518[[#This Row],[asofdate]],O:P,2,0)</f>
        <v>0</v>
      </c>
      <c r="L521" s="136">
        <f>VLOOKUP(CurrentMtgRatesDataTable82527141518[[#This Row],[asofdate]],S:T,2,0)</f>
        <v>3.2520636000000001E-3</v>
      </c>
      <c r="M521" s="137">
        <f ca="1">VLOOKUP(CurrentMtgRatesDataTable82527141518[[#This Row],[asofdate]]+1,Bloomberg!B:C,2,0)</f>
        <v>896.8</v>
      </c>
      <c r="N521" s="6"/>
      <c r="O521" s="135">
        <v>39744</v>
      </c>
      <c r="P521" s="136">
        <v>0</v>
      </c>
      <c r="Q521" s="101"/>
      <c r="R521" s="101"/>
      <c r="S521" s="135">
        <v>39709</v>
      </c>
      <c r="T521" s="136">
        <v>7.3487690600000016E-2</v>
      </c>
      <c r="V521"/>
    </row>
    <row r="522" spans="9:22">
      <c r="I522" s="135">
        <v>39765</v>
      </c>
      <c r="J522" s="136">
        <v>5.4223515399999998E-2</v>
      </c>
      <c r="K522" s="136">
        <f>VLOOKUP(CurrentMtgRatesDataTable82527141518[[#This Row],[asofdate]],O:P,2,0)</f>
        <v>0</v>
      </c>
      <c r="L522" s="136">
        <f>VLOOKUP(CurrentMtgRatesDataTable82527141518[[#This Row],[asofdate]],S:T,2,0)</f>
        <v>1.7029307000000001E-3</v>
      </c>
      <c r="M522" s="137">
        <f ca="1">VLOOKUP(CurrentMtgRatesDataTable82527141518[[#This Row],[asofdate]]+1,Bloomberg!B:C,2,0)</f>
        <v>927.3</v>
      </c>
      <c r="N522" s="6"/>
      <c r="O522" s="135">
        <v>39737</v>
      </c>
      <c r="P522" s="136">
        <v>0</v>
      </c>
      <c r="Q522" s="101"/>
      <c r="R522" s="101"/>
      <c r="S522" s="135">
        <v>39702</v>
      </c>
      <c r="T522" s="136">
        <v>6.4545161999999996E-3</v>
      </c>
      <c r="V522"/>
    </row>
    <row r="523" spans="9:22">
      <c r="I523" s="135">
        <v>39758</v>
      </c>
      <c r="J523" s="136">
        <v>4.8326507999999997E-2</v>
      </c>
      <c r="K523" s="136">
        <f>VLOOKUP(CurrentMtgRatesDataTable82527141518[[#This Row],[asofdate]],O:P,2,0)</f>
        <v>0</v>
      </c>
      <c r="L523" s="136">
        <f>VLOOKUP(CurrentMtgRatesDataTable82527141518[[#This Row],[asofdate]],S:T,2,0)</f>
        <v>1.3361821E-3</v>
      </c>
      <c r="M523" s="137">
        <f ca="1">VLOOKUP(CurrentMtgRatesDataTable82527141518[[#This Row],[asofdate]]+1,Bloomberg!B:C,2,0)</f>
        <v>907.7</v>
      </c>
      <c r="N523" s="6"/>
      <c r="O523" s="135">
        <v>39730</v>
      </c>
      <c r="P523" s="136">
        <v>0</v>
      </c>
      <c r="Q523" s="101"/>
      <c r="R523" s="101"/>
      <c r="S523" s="135">
        <v>39695</v>
      </c>
      <c r="T523" s="136">
        <v>6.4623770000000005E-4</v>
      </c>
      <c r="V523"/>
    </row>
    <row r="524" spans="9:22">
      <c r="I524" s="135">
        <v>39751</v>
      </c>
      <c r="J524" s="136">
        <v>3.1499426800000001E-2</v>
      </c>
      <c r="K524" s="136">
        <f>VLOOKUP(CurrentMtgRatesDataTable82527141518[[#This Row],[asofdate]],O:P,2,0)</f>
        <v>0</v>
      </c>
      <c r="L524" s="136">
        <f>VLOOKUP(CurrentMtgRatesDataTable82527141518[[#This Row],[asofdate]],S:T,2,0)</f>
        <v>1.111391E-4</v>
      </c>
      <c r="M524" s="137">
        <f ca="1">VLOOKUP(CurrentMtgRatesDataTable82527141518[[#This Row],[asofdate]]+1,Bloomberg!B:C,2,0)</f>
        <v>688.8</v>
      </c>
      <c r="N524" s="6"/>
      <c r="O524" s="135">
        <v>39723</v>
      </c>
      <c r="P524" s="136">
        <v>0</v>
      </c>
      <c r="Q524" s="101"/>
      <c r="R524" s="101"/>
      <c r="S524" s="135">
        <v>39688</v>
      </c>
      <c r="T524" s="136">
        <v>5.9199399999999998E-4</v>
      </c>
      <c r="V524"/>
    </row>
    <row r="525" spans="9:22">
      <c r="I525" s="135">
        <v>39744</v>
      </c>
      <c r="J525" s="136">
        <v>7.7522901199999994E-2</v>
      </c>
      <c r="K525" s="136">
        <f>VLOOKUP(CurrentMtgRatesDataTable82527141518[[#This Row],[asofdate]],O:P,2,0)</f>
        <v>0</v>
      </c>
      <c r="L525" s="136">
        <f>VLOOKUP(CurrentMtgRatesDataTable82527141518[[#This Row],[asofdate]],S:T,2,0)</f>
        <v>2.3994377000000002E-3</v>
      </c>
      <c r="M525" s="137">
        <f ca="1">VLOOKUP(CurrentMtgRatesDataTable82527141518[[#This Row],[asofdate]]+1,Bloomberg!B:C,2,0)</f>
        <v>1135.5999999999999</v>
      </c>
      <c r="N525" s="6"/>
      <c r="O525" s="135">
        <v>39716</v>
      </c>
      <c r="P525" s="136">
        <v>0</v>
      </c>
      <c r="Q525" s="101"/>
      <c r="R525" s="101"/>
      <c r="S525" s="135">
        <v>39681</v>
      </c>
      <c r="T525" s="136">
        <v>3.215871E-4</v>
      </c>
      <c r="V525"/>
    </row>
    <row r="526" spans="9:22">
      <c r="I526" s="135">
        <v>39737</v>
      </c>
      <c r="J526" s="136">
        <v>3.4194882699999998E-2</v>
      </c>
      <c r="K526" s="136">
        <f>VLOOKUP(CurrentMtgRatesDataTable82527141518[[#This Row],[asofdate]],O:P,2,0)</f>
        <v>0</v>
      </c>
      <c r="L526" s="136">
        <f>VLOOKUP(CurrentMtgRatesDataTable82527141518[[#This Row],[asofdate]],S:T,2,0)</f>
        <v>1.6806980000000002E-4</v>
      </c>
      <c r="M526" s="137">
        <f ca="1">VLOOKUP(CurrentMtgRatesDataTable82527141518[[#This Row],[asofdate]]+1,Bloomberg!B:C,2,0)</f>
        <v>798</v>
      </c>
      <c r="N526" s="6"/>
      <c r="O526" s="135">
        <v>39709</v>
      </c>
      <c r="P526" s="136">
        <v>7.3541411999999999E-3</v>
      </c>
      <c r="Q526" s="101"/>
      <c r="R526" s="101"/>
      <c r="S526" s="135">
        <v>39674</v>
      </c>
      <c r="T526" s="136">
        <v>1.602691E-4</v>
      </c>
      <c r="V526"/>
    </row>
    <row r="527" spans="9:22">
      <c r="I527" s="135">
        <v>39730</v>
      </c>
      <c r="J527" s="136">
        <v>0.1021384378</v>
      </c>
      <c r="K527" s="136">
        <f>VLOOKUP(CurrentMtgRatesDataTable82527141518[[#This Row],[asofdate]],O:P,2,0)</f>
        <v>0</v>
      </c>
      <c r="L527" s="136">
        <f>VLOOKUP(CurrentMtgRatesDataTable82527141518[[#This Row],[asofdate]],S:T,2,0)</f>
        <v>5.9527321000000001E-3</v>
      </c>
      <c r="M527" s="137">
        <f ca="1">VLOOKUP(CurrentMtgRatesDataTable82527141518[[#This Row],[asofdate]]+1,Bloomberg!B:C,2,0)</f>
        <v>1190.8</v>
      </c>
      <c r="N527" s="6"/>
      <c r="O527" s="135">
        <v>39702</v>
      </c>
      <c r="P527" s="136">
        <v>2.3293948000000001E-3</v>
      </c>
      <c r="Q527" s="101"/>
      <c r="R527" s="101"/>
      <c r="S527" s="135">
        <v>39667</v>
      </c>
      <c r="T527" s="136">
        <v>1.8008930000000002E-4</v>
      </c>
      <c r="V527"/>
    </row>
    <row r="528" spans="9:22">
      <c r="I528" s="135">
        <v>39723</v>
      </c>
      <c r="J528" s="136">
        <v>6.6788235200000004E-2</v>
      </c>
      <c r="K528" s="136">
        <f>VLOOKUP(CurrentMtgRatesDataTable82527141518[[#This Row],[asofdate]],O:P,2,0)</f>
        <v>0</v>
      </c>
      <c r="L528" s="136">
        <f>VLOOKUP(CurrentMtgRatesDataTable82527141518[[#This Row],[asofdate]],S:T,2,0)</f>
        <v>1.8615459999999999E-3</v>
      </c>
      <c r="M528" s="137">
        <f ca="1">VLOOKUP(CurrentMtgRatesDataTable82527141518[[#This Row],[asofdate]]+1,Bloomberg!B:C,2,0)</f>
        <v>999.6</v>
      </c>
      <c r="N528" s="6"/>
      <c r="O528" s="135">
        <v>39695</v>
      </c>
      <c r="P528" s="136">
        <v>2.9967600000000001E-5</v>
      </c>
      <c r="Q528" s="101"/>
      <c r="R528" s="101"/>
      <c r="S528" s="135">
        <v>39660</v>
      </c>
      <c r="T528" s="136">
        <v>8.0714899999999995E-5</v>
      </c>
      <c r="V528"/>
    </row>
    <row r="529" spans="9:22">
      <c r="I529" s="135">
        <v>39716</v>
      </c>
      <c r="J529" s="136">
        <v>6.55043233E-2</v>
      </c>
      <c r="K529" s="136">
        <f>VLOOKUP(CurrentMtgRatesDataTable82527141518[[#This Row],[asofdate]],O:P,2,0)</f>
        <v>0</v>
      </c>
      <c r="L529" s="136">
        <f>VLOOKUP(CurrentMtgRatesDataTable82527141518[[#This Row],[asofdate]],S:T,2,0)</f>
        <v>1.4572347E-3</v>
      </c>
      <c r="M529" s="137">
        <f ca="1">VLOOKUP(CurrentMtgRatesDataTable82527141518[[#This Row],[asofdate]]+1,Bloomberg!B:C,2,0)</f>
        <v>1026</v>
      </c>
      <c r="N529" s="6"/>
      <c r="O529" s="135">
        <v>39688</v>
      </c>
      <c r="P529" s="136">
        <v>0</v>
      </c>
      <c r="Q529" s="101"/>
      <c r="R529" s="101"/>
      <c r="S529" s="135">
        <v>39653</v>
      </c>
      <c r="T529" s="136">
        <v>6.0108200000000002E-5</v>
      </c>
      <c r="V529"/>
    </row>
    <row r="530" spans="9:22">
      <c r="I530" s="135">
        <v>39709</v>
      </c>
      <c r="J530" s="136">
        <v>0.15659098739999999</v>
      </c>
      <c r="K530" s="136">
        <f>VLOOKUP(CurrentMtgRatesDataTable82527141518[[#This Row],[asofdate]],O:P,2,0)</f>
        <v>7.3541411999999999E-3</v>
      </c>
      <c r="L530" s="136">
        <f>VLOOKUP(CurrentMtgRatesDataTable82527141518[[#This Row],[asofdate]],S:T,2,0)</f>
        <v>7.3487690600000016E-2</v>
      </c>
      <c r="M530" s="137">
        <f ca="1">VLOOKUP(CurrentMtgRatesDataTable82527141518[[#This Row],[asofdate]]+1,Bloomberg!B:C,2,0)</f>
        <v>1756.8</v>
      </c>
      <c r="N530" s="6"/>
      <c r="O530" s="135">
        <v>39681</v>
      </c>
      <c r="P530" s="136">
        <v>0</v>
      </c>
      <c r="Q530" s="101"/>
      <c r="R530" s="101"/>
      <c r="S530" s="135">
        <v>39646</v>
      </c>
      <c r="T530" s="136">
        <v>7.3772349999999998E-4</v>
      </c>
      <c r="V530"/>
    </row>
    <row r="531" spans="9:22">
      <c r="I531" s="135">
        <v>39702</v>
      </c>
      <c r="J531" s="136">
        <v>9.8266921300000004E-2</v>
      </c>
      <c r="K531" s="136">
        <f>VLOOKUP(CurrentMtgRatesDataTable82527141518[[#This Row],[asofdate]],O:P,2,0)</f>
        <v>2.3293948000000001E-3</v>
      </c>
      <c r="L531" s="136">
        <f>VLOOKUP(CurrentMtgRatesDataTable82527141518[[#This Row],[asofdate]],S:T,2,0)</f>
        <v>6.4545161999999996E-3</v>
      </c>
      <c r="M531" s="137">
        <f ca="1">VLOOKUP(CurrentMtgRatesDataTable82527141518[[#This Row],[asofdate]]+1,Bloomberg!B:C,2,0)</f>
        <v>2068.5</v>
      </c>
      <c r="N531" s="6"/>
      <c r="O531" s="135">
        <v>39674</v>
      </c>
      <c r="P531" s="136">
        <v>0</v>
      </c>
      <c r="Q531" s="101"/>
      <c r="R531" s="101"/>
      <c r="S531" s="135">
        <v>39639</v>
      </c>
      <c r="T531" s="136">
        <v>4.7629619999999998E-4</v>
      </c>
      <c r="V531"/>
    </row>
    <row r="532" spans="9:22">
      <c r="I532" s="135">
        <v>39695</v>
      </c>
      <c r="J532" s="136">
        <v>4.0833947600000003E-2</v>
      </c>
      <c r="K532" s="136">
        <f>VLOOKUP(CurrentMtgRatesDataTable82527141518[[#This Row],[asofdate]],O:P,2,0)</f>
        <v>2.9967600000000001E-5</v>
      </c>
      <c r="L532" s="136">
        <f>VLOOKUP(CurrentMtgRatesDataTable82527141518[[#This Row],[asofdate]],S:T,2,0)</f>
        <v>6.4623770000000005E-4</v>
      </c>
      <c r="M532" s="137">
        <f ca="1">VLOOKUP(CurrentMtgRatesDataTable82527141518[[#This Row],[asofdate]]+1,Bloomberg!B:C,2,0)</f>
        <v>998.3</v>
      </c>
      <c r="N532" s="6"/>
      <c r="O532" s="135">
        <v>39667</v>
      </c>
      <c r="P532" s="136">
        <v>0</v>
      </c>
      <c r="Q532" s="101"/>
      <c r="R532" s="101"/>
      <c r="S532" s="135">
        <v>39632</v>
      </c>
      <c r="T532" s="136">
        <v>5.2854110000000003E-4</v>
      </c>
      <c r="V532"/>
    </row>
    <row r="533" spans="9:22">
      <c r="I533" s="135">
        <v>39688</v>
      </c>
      <c r="J533" s="136">
        <v>4.0593434800000001E-2</v>
      </c>
      <c r="K533" s="136">
        <f>VLOOKUP(CurrentMtgRatesDataTable82527141518[[#This Row],[asofdate]],O:P,2,0)</f>
        <v>0</v>
      </c>
      <c r="L533" s="136">
        <f>VLOOKUP(CurrentMtgRatesDataTable82527141518[[#This Row],[asofdate]],S:T,2,0)</f>
        <v>5.9199399999999998E-4</v>
      </c>
      <c r="M533" s="137">
        <f ca="1">VLOOKUP(CurrentMtgRatesDataTable82527141518[[#This Row],[asofdate]]+1,Bloomberg!B:C,2,0)</f>
        <v>825</v>
      </c>
      <c r="N533" s="6"/>
      <c r="O533" s="135">
        <v>39660</v>
      </c>
      <c r="P533" s="136">
        <v>0</v>
      </c>
      <c r="Q533" s="101"/>
      <c r="R533" s="101"/>
      <c r="S533" s="135">
        <v>39625</v>
      </c>
      <c r="T533" s="136">
        <v>9.5259600000000005E-5</v>
      </c>
      <c r="V533"/>
    </row>
    <row r="534" spans="9:22">
      <c r="I534" s="135">
        <v>39681</v>
      </c>
      <c r="J534" s="136">
        <v>3.2563606199999998E-2</v>
      </c>
      <c r="K534" s="136">
        <f>VLOOKUP(CurrentMtgRatesDataTable82527141518[[#This Row],[asofdate]],O:P,2,0)</f>
        <v>0</v>
      </c>
      <c r="L534" s="136">
        <f>VLOOKUP(CurrentMtgRatesDataTable82527141518[[#This Row],[asofdate]],S:T,2,0)</f>
        <v>3.215871E-4</v>
      </c>
      <c r="M534" s="137">
        <f ca="1">VLOOKUP(CurrentMtgRatesDataTable82527141518[[#This Row],[asofdate]]+1,Bloomberg!B:C,2,0)</f>
        <v>793.9</v>
      </c>
      <c r="N534" s="6"/>
      <c r="O534" s="135">
        <v>39653</v>
      </c>
      <c r="P534" s="136">
        <v>0</v>
      </c>
      <c r="Q534" s="101"/>
      <c r="R534" s="101"/>
      <c r="S534" s="135">
        <v>39618</v>
      </c>
      <c r="T534" s="136">
        <v>1.270129E-4</v>
      </c>
      <c r="V534"/>
    </row>
    <row r="535" spans="9:22">
      <c r="I535" s="135">
        <v>39674</v>
      </c>
      <c r="J535" s="136">
        <v>2.8888612099999999E-2</v>
      </c>
      <c r="K535" s="136">
        <f>VLOOKUP(CurrentMtgRatesDataTable82527141518[[#This Row],[asofdate]],O:P,2,0)</f>
        <v>0</v>
      </c>
      <c r="L535" s="136">
        <f>VLOOKUP(CurrentMtgRatesDataTable82527141518[[#This Row],[asofdate]],S:T,2,0)</f>
        <v>1.602691E-4</v>
      </c>
      <c r="M535" s="137">
        <f ca="1">VLOOKUP(CurrentMtgRatesDataTable82527141518[[#This Row],[asofdate]]+1,Bloomberg!B:C,2,0)</f>
        <v>815.2</v>
      </c>
      <c r="N535" s="6"/>
      <c r="O535" s="135">
        <v>39646</v>
      </c>
      <c r="P535" s="136">
        <v>0</v>
      </c>
      <c r="Q535" s="101"/>
      <c r="R535" s="101"/>
      <c r="S535" s="135">
        <v>39611</v>
      </c>
      <c r="T535" s="136">
        <v>2.5984819999999998E-4</v>
      </c>
      <c r="V535"/>
    </row>
    <row r="536" spans="9:22">
      <c r="I536" s="135">
        <v>39667</v>
      </c>
      <c r="J536" s="136">
        <v>2.8888612099999999E-2</v>
      </c>
      <c r="K536" s="136">
        <f>VLOOKUP(CurrentMtgRatesDataTable82527141518[[#This Row],[asofdate]],O:P,2,0)</f>
        <v>0</v>
      </c>
      <c r="L536" s="136">
        <f>VLOOKUP(CurrentMtgRatesDataTable82527141518[[#This Row],[asofdate]],S:T,2,0)</f>
        <v>1.8008930000000002E-4</v>
      </c>
      <c r="M536" s="137">
        <f ca="1">VLOOKUP(CurrentMtgRatesDataTable82527141518[[#This Row],[asofdate]]+1,Bloomberg!B:C,2,0)</f>
        <v>853.1</v>
      </c>
      <c r="N536" s="6"/>
      <c r="O536" s="135">
        <v>39639</v>
      </c>
      <c r="P536" s="136">
        <v>0</v>
      </c>
      <c r="Q536" s="101"/>
      <c r="R536" s="101"/>
      <c r="S536" s="135">
        <v>39604</v>
      </c>
      <c r="T536" s="136">
        <v>8.8649300000000002E-4</v>
      </c>
      <c r="V536"/>
    </row>
    <row r="537" spans="9:22">
      <c r="I537" s="135">
        <v>39660</v>
      </c>
      <c r="J537" s="136">
        <v>2.9823958099999999E-2</v>
      </c>
      <c r="K537" s="136">
        <f>VLOOKUP(CurrentMtgRatesDataTable82527141518[[#This Row],[asofdate]],O:P,2,0)</f>
        <v>0</v>
      </c>
      <c r="L537" s="136">
        <f>VLOOKUP(CurrentMtgRatesDataTable82527141518[[#This Row],[asofdate]],S:T,2,0)</f>
        <v>8.0714899999999995E-5</v>
      </c>
      <c r="M537" s="137">
        <f ca="1">VLOOKUP(CurrentMtgRatesDataTable82527141518[[#This Row],[asofdate]]+1,Bloomberg!B:C,2,0)</f>
        <v>897.7</v>
      </c>
      <c r="N537" s="6"/>
      <c r="O537" s="135">
        <v>39632</v>
      </c>
      <c r="P537" s="136">
        <v>0</v>
      </c>
      <c r="Q537" s="101"/>
      <c r="R537" s="101"/>
      <c r="S537" s="135">
        <v>39597</v>
      </c>
      <c r="T537" s="136">
        <v>9.1030539999999995E-4</v>
      </c>
      <c r="V537"/>
    </row>
    <row r="538" spans="9:22">
      <c r="I538" s="135">
        <v>39653</v>
      </c>
      <c r="J538" s="136">
        <v>2.41562468E-2</v>
      </c>
      <c r="K538" s="136">
        <f>VLOOKUP(CurrentMtgRatesDataTable82527141518[[#This Row],[asofdate]],O:P,2,0)</f>
        <v>0</v>
      </c>
      <c r="L538" s="136">
        <f>VLOOKUP(CurrentMtgRatesDataTable82527141518[[#This Row],[asofdate]],S:T,2,0)</f>
        <v>6.0108200000000002E-5</v>
      </c>
      <c r="M538" s="137">
        <f ca="1">VLOOKUP(CurrentMtgRatesDataTable82527141518[[#This Row],[asofdate]]+1,Bloomberg!B:C,2,0)</f>
        <v>874.1</v>
      </c>
      <c r="N538" s="6"/>
      <c r="O538" s="135">
        <v>39625</v>
      </c>
      <c r="P538" s="136">
        <v>0</v>
      </c>
      <c r="Q538" s="101"/>
      <c r="R538" s="101"/>
      <c r="S538" s="135">
        <v>39590</v>
      </c>
      <c r="T538" s="136">
        <v>3.2277302999999999E-3</v>
      </c>
      <c r="V538"/>
    </row>
    <row r="539" spans="9:22">
      <c r="I539" s="135">
        <v>39646</v>
      </c>
      <c r="J539" s="136">
        <v>5.27520036E-2</v>
      </c>
      <c r="K539" s="136">
        <f>VLOOKUP(CurrentMtgRatesDataTable82527141518[[#This Row],[asofdate]],O:P,2,0)</f>
        <v>0</v>
      </c>
      <c r="L539" s="136">
        <f>VLOOKUP(CurrentMtgRatesDataTable82527141518[[#This Row],[asofdate]],S:T,2,0)</f>
        <v>7.3772349999999998E-4</v>
      </c>
      <c r="M539" s="137">
        <f ca="1">VLOOKUP(CurrentMtgRatesDataTable82527141518[[#This Row],[asofdate]]+1,Bloomberg!B:C,2,0)</f>
        <v>1213.9000000000001</v>
      </c>
      <c r="N539" s="6"/>
      <c r="O539" s="135">
        <v>39618</v>
      </c>
      <c r="P539" s="136">
        <v>0</v>
      </c>
      <c r="Q539" s="101"/>
      <c r="R539" s="101"/>
      <c r="S539" s="135">
        <v>39583</v>
      </c>
      <c r="T539" s="136">
        <v>2.1601873000000001E-3</v>
      </c>
      <c r="V539"/>
    </row>
    <row r="540" spans="9:22">
      <c r="I540" s="135">
        <v>39639</v>
      </c>
      <c r="J540" s="136">
        <v>4.3910250200000001E-2</v>
      </c>
      <c r="K540" s="136">
        <f>VLOOKUP(CurrentMtgRatesDataTable82527141518[[#This Row],[asofdate]],O:P,2,0)</f>
        <v>0</v>
      </c>
      <c r="L540" s="136">
        <f>VLOOKUP(CurrentMtgRatesDataTable82527141518[[#This Row],[asofdate]],S:T,2,0)</f>
        <v>4.7629619999999998E-4</v>
      </c>
      <c r="M540" s="137">
        <f ca="1">VLOOKUP(CurrentMtgRatesDataTable82527141518[[#This Row],[asofdate]]+1,Bloomberg!B:C,2,0)</f>
        <v>1270.5999999999999</v>
      </c>
      <c r="N540" s="6"/>
      <c r="O540" s="135">
        <v>39611</v>
      </c>
      <c r="P540" s="136">
        <v>0</v>
      </c>
      <c r="Q540" s="101"/>
      <c r="R540" s="101"/>
      <c r="S540" s="135">
        <v>39576</v>
      </c>
      <c r="T540" s="136">
        <v>3.1021744000000002E-3</v>
      </c>
      <c r="V540"/>
    </row>
    <row r="541" spans="9:22">
      <c r="I541" s="135">
        <v>39632</v>
      </c>
      <c r="J541" s="136">
        <v>4.5773592100000003E-2</v>
      </c>
      <c r="K541" s="136">
        <f>VLOOKUP(CurrentMtgRatesDataTable82527141518[[#This Row],[asofdate]],O:P,2,0)</f>
        <v>0</v>
      </c>
      <c r="L541" s="136">
        <f>VLOOKUP(CurrentMtgRatesDataTable82527141518[[#This Row],[asofdate]],S:T,2,0)</f>
        <v>5.2854110000000003E-4</v>
      </c>
      <c r="M541" s="137">
        <f ca="1">VLOOKUP(CurrentMtgRatesDataTable82527141518[[#This Row],[asofdate]]+1,Bloomberg!B:C,2,0)</f>
        <v>1166.5</v>
      </c>
      <c r="N541" s="6"/>
      <c r="O541" s="135">
        <v>39604</v>
      </c>
      <c r="P541" s="136">
        <v>0</v>
      </c>
      <c r="Q541" s="101"/>
      <c r="R541" s="101"/>
      <c r="S541" s="135">
        <v>39569</v>
      </c>
      <c r="T541" s="136">
        <v>2.2659869000000001E-3</v>
      </c>
      <c r="V541"/>
    </row>
    <row r="542" spans="9:22">
      <c r="I542" s="135">
        <v>39625</v>
      </c>
      <c r="J542" s="136">
        <v>3.95007182E-2</v>
      </c>
      <c r="K542" s="136">
        <f>VLOOKUP(CurrentMtgRatesDataTable82527141518[[#This Row],[asofdate]],O:P,2,0)</f>
        <v>0</v>
      </c>
      <c r="L542" s="136">
        <f>VLOOKUP(CurrentMtgRatesDataTable82527141518[[#This Row],[asofdate]],S:T,2,0)</f>
        <v>9.5259600000000005E-5</v>
      </c>
      <c r="M542" s="137">
        <f ca="1">VLOOKUP(CurrentMtgRatesDataTable82527141518[[#This Row],[asofdate]]+1,Bloomberg!B:C,2,0)</f>
        <v>1111.3</v>
      </c>
      <c r="N542" s="6"/>
      <c r="O542" s="135">
        <v>39597</v>
      </c>
      <c r="P542" s="136">
        <v>0</v>
      </c>
      <c r="Q542" s="101"/>
      <c r="R542" s="101"/>
      <c r="S542" s="135">
        <v>39562</v>
      </c>
      <c r="T542" s="136">
        <v>5.4422016E-3</v>
      </c>
      <c r="V542"/>
    </row>
    <row r="543" spans="9:22">
      <c r="I543" s="135">
        <v>39618</v>
      </c>
      <c r="J543" s="136">
        <v>3.9958427800000001E-2</v>
      </c>
      <c r="K543" s="136">
        <f>VLOOKUP(CurrentMtgRatesDataTable82527141518[[#This Row],[asofdate]],O:P,2,0)</f>
        <v>0</v>
      </c>
      <c r="L543" s="136">
        <f>VLOOKUP(CurrentMtgRatesDataTable82527141518[[#This Row],[asofdate]],S:T,2,0)</f>
        <v>1.270129E-4</v>
      </c>
      <c r="M543" s="137">
        <f ca="1">VLOOKUP(CurrentMtgRatesDataTable82527141518[[#This Row],[asofdate]]+1,Bloomberg!B:C,2,0)</f>
        <v>1044.5999999999999</v>
      </c>
      <c r="N543" s="6"/>
      <c r="O543" s="135">
        <v>39590</v>
      </c>
      <c r="P543" s="136">
        <v>0</v>
      </c>
      <c r="Q543" s="101"/>
      <c r="R543" s="101"/>
      <c r="S543" s="135">
        <v>39555</v>
      </c>
      <c r="T543" s="136">
        <v>0.10389722949999999</v>
      </c>
      <c r="V543"/>
    </row>
    <row r="544" spans="9:22">
      <c r="I544" s="135">
        <v>39611</v>
      </c>
      <c r="J544" s="136">
        <v>4.7779173100000003E-2</v>
      </c>
      <c r="K544" s="136">
        <f>VLOOKUP(CurrentMtgRatesDataTable82527141518[[#This Row],[asofdate]],O:P,2,0)</f>
        <v>0</v>
      </c>
      <c r="L544" s="136">
        <f>VLOOKUP(CurrentMtgRatesDataTable82527141518[[#This Row],[asofdate]],S:T,2,0)</f>
        <v>2.5984819999999998E-4</v>
      </c>
      <c r="M544" s="137">
        <f ca="1">VLOOKUP(CurrentMtgRatesDataTable82527141518[[#This Row],[asofdate]]+1,Bloomberg!B:C,2,0)</f>
        <v>1219.7</v>
      </c>
      <c r="N544" s="6"/>
      <c r="O544" s="135">
        <v>39583</v>
      </c>
      <c r="P544" s="136">
        <v>0</v>
      </c>
      <c r="Q544" s="101"/>
      <c r="R544" s="101"/>
      <c r="S544" s="18">
        <v>39548</v>
      </c>
      <c r="T544" s="88">
        <v>0.10399127699999999</v>
      </c>
      <c r="V544"/>
    </row>
    <row r="545" spans="9:22">
      <c r="I545" s="135">
        <v>39604</v>
      </c>
      <c r="J545" s="136">
        <v>7.9995444900000018E-2</v>
      </c>
      <c r="K545" s="136">
        <f>VLOOKUP(CurrentMtgRatesDataTable82527141518[[#This Row],[asofdate]],O:P,2,0)</f>
        <v>0</v>
      </c>
      <c r="L545" s="136">
        <f>VLOOKUP(CurrentMtgRatesDataTable82527141518[[#This Row],[asofdate]],S:T,2,0)</f>
        <v>8.8649300000000002E-4</v>
      </c>
      <c r="M545" s="137">
        <f ca="1">VLOOKUP(CurrentMtgRatesDataTable82527141518[[#This Row],[asofdate]]+1,Bloomberg!B:C,2,0)</f>
        <v>1477.5</v>
      </c>
      <c r="N545" s="6"/>
      <c r="O545" s="135">
        <v>39576</v>
      </c>
      <c r="P545" s="136">
        <v>0</v>
      </c>
      <c r="Q545" s="101"/>
      <c r="R545" s="101"/>
      <c r="S545" s="18">
        <v>39541</v>
      </c>
      <c r="T545" s="88">
        <v>9.3635841900000003E-2</v>
      </c>
      <c r="V545"/>
    </row>
    <row r="546" spans="9:22">
      <c r="I546" s="135">
        <v>39597</v>
      </c>
      <c r="J546" s="136">
        <v>8.6679300099999995E-2</v>
      </c>
      <c r="K546" s="136">
        <f>VLOOKUP(CurrentMtgRatesDataTable82527141518[[#This Row],[asofdate]],O:P,2,0)</f>
        <v>0</v>
      </c>
      <c r="L546" s="136">
        <f>VLOOKUP(CurrentMtgRatesDataTable82527141518[[#This Row],[asofdate]],S:T,2,0)</f>
        <v>9.1030539999999995E-4</v>
      </c>
      <c r="M546" s="137">
        <f ca="1">VLOOKUP(CurrentMtgRatesDataTable82527141518[[#This Row],[asofdate]]+1,Bloomberg!B:C,2,0)</f>
        <v>1387.8</v>
      </c>
      <c r="N546" s="6"/>
      <c r="O546" s="135">
        <v>39569</v>
      </c>
      <c r="P546" s="136">
        <v>0</v>
      </c>
      <c r="Q546" s="101"/>
      <c r="R546" s="101"/>
      <c r="S546" s="18">
        <v>39534</v>
      </c>
      <c r="T546" s="88">
        <v>0.15843654560000001</v>
      </c>
      <c r="V546"/>
    </row>
    <row r="547" spans="9:22">
      <c r="I547" s="135">
        <v>39590</v>
      </c>
      <c r="J547" s="136">
        <v>0.12363966749999999</v>
      </c>
      <c r="K547" s="136">
        <f>VLOOKUP(CurrentMtgRatesDataTable82527141518[[#This Row],[asofdate]],O:P,2,0)</f>
        <v>0</v>
      </c>
      <c r="L547" s="136">
        <f>VLOOKUP(CurrentMtgRatesDataTable82527141518[[#This Row],[asofdate]],S:T,2,0)</f>
        <v>3.2277302999999999E-3</v>
      </c>
      <c r="M547" s="137">
        <f ca="1">VLOOKUP(CurrentMtgRatesDataTable82527141518[[#This Row],[asofdate]]+1,Bloomberg!B:C,2,0)</f>
        <v>1930.4</v>
      </c>
      <c r="N547" s="6"/>
      <c r="O547" s="135">
        <v>39562</v>
      </c>
      <c r="P547" s="136">
        <v>0</v>
      </c>
      <c r="Q547" s="101"/>
      <c r="R547" s="101"/>
      <c r="S547" s="18">
        <v>39527</v>
      </c>
      <c r="T547" s="88">
        <v>0.1377145454</v>
      </c>
      <c r="V547"/>
    </row>
    <row r="548" spans="9:22">
      <c r="I548" s="135">
        <v>39583</v>
      </c>
      <c r="J548" s="136">
        <v>0.1053775911</v>
      </c>
      <c r="K548" s="136">
        <f>VLOOKUP(CurrentMtgRatesDataTable82527141518[[#This Row],[asofdate]],O:P,2,0)</f>
        <v>0</v>
      </c>
      <c r="L548" s="136">
        <f>VLOOKUP(CurrentMtgRatesDataTable82527141518[[#This Row],[asofdate]],S:T,2,0)</f>
        <v>2.1601873000000001E-3</v>
      </c>
      <c r="M548" s="137">
        <f ca="1">VLOOKUP(CurrentMtgRatesDataTable82527141518[[#This Row],[asofdate]]+1,Bloomberg!B:C,2,0)</f>
        <v>2135.8000000000002</v>
      </c>
      <c r="N548" s="6"/>
      <c r="O548" s="135">
        <v>39555</v>
      </c>
      <c r="P548" s="136">
        <v>0</v>
      </c>
      <c r="Q548" s="101"/>
      <c r="R548" s="101"/>
      <c r="S548" s="18">
        <v>39520</v>
      </c>
      <c r="T548" s="88">
        <v>3.0424444000000002E-3</v>
      </c>
      <c r="V548"/>
    </row>
    <row r="549" spans="9:22">
      <c r="I549" s="135">
        <v>39576</v>
      </c>
      <c r="J549" s="136">
        <v>0.11673117360000002</v>
      </c>
      <c r="K549" s="136">
        <f>VLOOKUP(CurrentMtgRatesDataTable82527141518[[#This Row],[asofdate]],O:P,2,0)</f>
        <v>0</v>
      </c>
      <c r="L549" s="136">
        <f>VLOOKUP(CurrentMtgRatesDataTable82527141518[[#This Row],[asofdate]],S:T,2,0)</f>
        <v>3.1021744000000002E-3</v>
      </c>
      <c r="M549" s="137">
        <f ca="1">VLOOKUP(CurrentMtgRatesDataTable82527141518[[#This Row],[asofdate]]+1,Bloomberg!B:C,2,0)</f>
        <v>2388.8000000000002</v>
      </c>
      <c r="N549" s="6"/>
      <c r="O549" s="18">
        <v>39548</v>
      </c>
      <c r="P549" s="88">
        <v>0</v>
      </c>
      <c r="Q549" s="101"/>
      <c r="R549" s="101"/>
      <c r="S549" s="18">
        <v>39513</v>
      </c>
      <c r="T549" s="88">
        <v>7.6628726300000005E-2</v>
      </c>
      <c r="V549"/>
    </row>
    <row r="550" spans="9:22">
      <c r="I550" s="135">
        <v>39569</v>
      </c>
      <c r="J550" s="136">
        <v>9.8725131300000005E-2</v>
      </c>
      <c r="K550" s="136">
        <f>VLOOKUP(CurrentMtgRatesDataTable82527141518[[#This Row],[asofdate]],O:P,2,0)</f>
        <v>0</v>
      </c>
      <c r="L550" s="136">
        <f>VLOOKUP(CurrentMtgRatesDataTable82527141518[[#This Row],[asofdate]],S:T,2,0)</f>
        <v>2.2659869000000001E-3</v>
      </c>
      <c r="M550" s="137">
        <f ca="1">VLOOKUP(CurrentMtgRatesDataTable82527141518[[#This Row],[asofdate]]+1,Bloomberg!B:C,2,0)</f>
        <v>2195</v>
      </c>
      <c r="N550" s="6"/>
      <c r="O550" s="18">
        <v>39541</v>
      </c>
      <c r="P550" s="88">
        <v>0</v>
      </c>
      <c r="Q550" s="101"/>
      <c r="R550" s="101"/>
      <c r="S550" s="18">
        <v>39506</v>
      </c>
      <c r="T550" s="88">
        <v>1.3651870999999999E-3</v>
      </c>
      <c r="V550"/>
    </row>
    <row r="551" spans="9:22">
      <c r="I551" s="135">
        <v>39562</v>
      </c>
      <c r="J551" s="136">
        <v>0.1336468687</v>
      </c>
      <c r="K551" s="136">
        <f>VLOOKUP(CurrentMtgRatesDataTable82527141518[[#This Row],[asofdate]],O:P,2,0)</f>
        <v>0</v>
      </c>
      <c r="L551" s="136">
        <f>VLOOKUP(CurrentMtgRatesDataTable82527141518[[#This Row],[asofdate]],S:T,2,0)</f>
        <v>5.4422016E-3</v>
      </c>
      <c r="M551" s="137">
        <f ca="1">VLOOKUP(CurrentMtgRatesDataTable82527141518[[#This Row],[asofdate]]+1,Bloomberg!B:C,2,0)</f>
        <v>1809.5</v>
      </c>
      <c r="N551" s="6"/>
      <c r="O551" s="18">
        <v>39534</v>
      </c>
      <c r="P551" s="88">
        <v>0</v>
      </c>
      <c r="Q551" s="101"/>
      <c r="R551" s="101"/>
      <c r="S551" s="18">
        <v>39499</v>
      </c>
      <c r="T551" s="88">
        <v>7.2861358600000009E-2</v>
      </c>
      <c r="V551"/>
    </row>
    <row r="552" spans="9:22">
      <c r="I552" s="135">
        <v>39555</v>
      </c>
      <c r="J552" s="136">
        <v>0.19095543770000001</v>
      </c>
      <c r="K552" s="136">
        <f>VLOOKUP(CurrentMtgRatesDataTable82527141518[[#This Row],[asofdate]],O:P,2,0)</f>
        <v>0</v>
      </c>
      <c r="L552" s="136">
        <f>VLOOKUP(CurrentMtgRatesDataTable82527141518[[#This Row],[asofdate]],S:T,2,0)</f>
        <v>0.10389722949999999</v>
      </c>
      <c r="M552" s="137">
        <f ca="1">VLOOKUP(CurrentMtgRatesDataTable82527141518[[#This Row],[asofdate]]+1,Bloomberg!B:C,2,0)</f>
        <v>2215.6999999999998</v>
      </c>
      <c r="N552" s="6"/>
      <c r="O552" s="18">
        <v>39527</v>
      </c>
      <c r="P552" s="88">
        <v>0</v>
      </c>
      <c r="Q552" s="101"/>
      <c r="R552" s="101"/>
      <c r="S552" s="18">
        <v>39492</v>
      </c>
      <c r="T552" s="88">
        <v>0.2574577435</v>
      </c>
      <c r="V552"/>
    </row>
    <row r="553" spans="9:22">
      <c r="I553" s="18">
        <v>39548</v>
      </c>
      <c r="J553" s="88">
        <v>0.19095543770000001</v>
      </c>
      <c r="K553" s="88">
        <f>VLOOKUP(CurrentMtgRatesDataTable82527141518[[#This Row],[asofdate]],O:P,2,0)</f>
        <v>0</v>
      </c>
      <c r="L553" s="88">
        <f>VLOOKUP(CurrentMtgRatesDataTable82527141518[[#This Row],[asofdate]],S:T,2,0)</f>
        <v>0.10399127699999999</v>
      </c>
      <c r="M553" s="6">
        <f ca="1">VLOOKUP(CurrentMtgRatesDataTable82527141518[[#This Row],[asofdate]]+1,Bloomberg!B:C,2,0)</f>
        <v>2880.7</v>
      </c>
      <c r="N553" s="6"/>
      <c r="O553" s="18">
        <v>39520</v>
      </c>
      <c r="P553" s="88">
        <v>0</v>
      </c>
      <c r="Q553" s="101"/>
      <c r="R553" s="101"/>
      <c r="S553" s="18">
        <v>39485</v>
      </c>
      <c r="T553" s="88">
        <v>0.31830290589999999</v>
      </c>
      <c r="V553"/>
    </row>
    <row r="554" spans="9:22">
      <c r="I554" s="18">
        <v>39541</v>
      </c>
      <c r="J554" s="88">
        <v>0.17670393410000002</v>
      </c>
      <c r="K554" s="88">
        <f>VLOOKUP(CurrentMtgRatesDataTable82527141518[[#This Row],[asofdate]],O:P,2,0)</f>
        <v>0</v>
      </c>
      <c r="L554" s="88">
        <f>VLOOKUP(CurrentMtgRatesDataTable82527141518[[#This Row],[asofdate]],S:T,2,0)</f>
        <v>9.3635841900000003E-2</v>
      </c>
      <c r="M554" s="6">
        <f ca="1">VLOOKUP(CurrentMtgRatesDataTable82527141518[[#This Row],[asofdate]]+1,Bloomberg!B:C,2,0)</f>
        <v>2709.1</v>
      </c>
      <c r="N554" s="6"/>
      <c r="O554" s="18">
        <v>39513</v>
      </c>
      <c r="P554" s="88">
        <v>0</v>
      </c>
      <c r="Q554" s="101"/>
      <c r="R554" s="101"/>
      <c r="S554" s="18">
        <v>39478</v>
      </c>
      <c r="T554" s="88">
        <v>0.31679338880000002</v>
      </c>
      <c r="V554"/>
    </row>
    <row r="555" spans="9:22">
      <c r="I555" s="18">
        <v>39534</v>
      </c>
      <c r="J555" s="88">
        <v>0.2583567665</v>
      </c>
      <c r="K555" s="88">
        <f>VLOOKUP(CurrentMtgRatesDataTable82527141518[[#This Row],[asofdate]],O:P,2,0)</f>
        <v>0</v>
      </c>
      <c r="L555" s="88">
        <f>VLOOKUP(CurrentMtgRatesDataTable82527141518[[#This Row],[asofdate]],S:T,2,0)</f>
        <v>0.15843654560000001</v>
      </c>
      <c r="M555" s="6">
        <f ca="1">VLOOKUP(CurrentMtgRatesDataTable82527141518[[#This Row],[asofdate]]+1,Bloomberg!B:C,2,0)</f>
        <v>2653.2</v>
      </c>
      <c r="N555" s="6"/>
      <c r="O555" s="18">
        <v>39506</v>
      </c>
      <c r="P555" s="88">
        <v>0</v>
      </c>
      <c r="Q555" s="101"/>
      <c r="R555" s="101"/>
      <c r="S555" s="18">
        <v>39471</v>
      </c>
      <c r="T555" s="88">
        <v>0.65391784860000002</v>
      </c>
      <c r="V555"/>
    </row>
    <row r="556" spans="9:22">
      <c r="I556" s="18">
        <v>39527</v>
      </c>
      <c r="J556" s="88">
        <v>0.23330619250000001</v>
      </c>
      <c r="K556" s="88">
        <f>VLOOKUP(CurrentMtgRatesDataTable82527141518[[#This Row],[asofdate]],O:P,2,0)</f>
        <v>0</v>
      </c>
      <c r="L556" s="88">
        <f>VLOOKUP(CurrentMtgRatesDataTable82527141518[[#This Row],[asofdate]],S:T,2,0)</f>
        <v>0.1377145454</v>
      </c>
      <c r="M556" s="6">
        <f ca="1">VLOOKUP(CurrentMtgRatesDataTable82527141518[[#This Row],[asofdate]]+1,Bloomberg!B:C,2,0)</f>
        <v>4468.3999999999996</v>
      </c>
      <c r="N556" s="6"/>
      <c r="O556" s="18">
        <v>39499</v>
      </c>
      <c r="P556" s="88">
        <v>0</v>
      </c>
      <c r="Q556" s="101"/>
      <c r="R556" s="101"/>
      <c r="S556" s="18">
        <v>39464</v>
      </c>
      <c r="T556" s="88">
        <v>0.27125555950000002</v>
      </c>
      <c r="V556"/>
    </row>
    <row r="557" spans="9:22">
      <c r="I557" s="18">
        <v>39520</v>
      </c>
      <c r="J557" s="88">
        <v>0.1107471168</v>
      </c>
      <c r="K557" s="88">
        <f>VLOOKUP(CurrentMtgRatesDataTable82527141518[[#This Row],[asofdate]],O:P,2,0)</f>
        <v>0</v>
      </c>
      <c r="L557" s="88">
        <f>VLOOKUP(CurrentMtgRatesDataTable82527141518[[#This Row],[asofdate]],S:T,2,0)</f>
        <v>3.0424444000000002E-3</v>
      </c>
      <c r="M557" s="6">
        <f ca="1">VLOOKUP(CurrentMtgRatesDataTable82527141518[[#This Row],[asofdate]]+1,Bloomberg!B:C,2,0)</f>
        <v>2338.8000000000002</v>
      </c>
      <c r="N557" s="6"/>
      <c r="O557" s="18">
        <v>39492</v>
      </c>
      <c r="P557" s="88">
        <v>0</v>
      </c>
      <c r="Q557" s="101"/>
      <c r="R557" s="101"/>
      <c r="S557" s="18">
        <v>39457</v>
      </c>
      <c r="T557" s="88">
        <v>0.174722249</v>
      </c>
      <c r="V557"/>
    </row>
    <row r="558" spans="9:22">
      <c r="I558" s="18">
        <v>39513</v>
      </c>
      <c r="J558" s="88">
        <v>0.1521886693</v>
      </c>
      <c r="K558" s="88">
        <f>VLOOKUP(CurrentMtgRatesDataTable82527141518[[#This Row],[asofdate]],O:P,2,0)</f>
        <v>0</v>
      </c>
      <c r="L558" s="88">
        <f>VLOOKUP(CurrentMtgRatesDataTable82527141518[[#This Row],[asofdate]],S:T,2,0)</f>
        <v>7.6628726300000005E-2</v>
      </c>
      <c r="M558" s="6">
        <f ca="1">VLOOKUP(CurrentMtgRatesDataTable82527141518[[#This Row],[asofdate]]+1,Bloomberg!B:C,2,0)</f>
        <v>2519.4</v>
      </c>
      <c r="N558" s="6"/>
      <c r="O558" s="18">
        <v>39485</v>
      </c>
      <c r="P558" s="88">
        <v>0</v>
      </c>
      <c r="Q558" s="101"/>
      <c r="R558" s="101"/>
      <c r="S558" s="18">
        <v>39450</v>
      </c>
      <c r="T558" s="88">
        <v>7.7695956600000005E-2</v>
      </c>
      <c r="V558"/>
    </row>
    <row r="559" spans="9:22">
      <c r="I559" s="18">
        <v>39506</v>
      </c>
      <c r="J559" s="88">
        <v>8.6016081800000005E-2</v>
      </c>
      <c r="K559" s="88">
        <f>VLOOKUP(CurrentMtgRatesDataTable82527141518[[#This Row],[asofdate]],O:P,2,0)</f>
        <v>0</v>
      </c>
      <c r="L559" s="88">
        <f>VLOOKUP(CurrentMtgRatesDataTable82527141518[[#This Row],[asofdate]],S:T,2,0)</f>
        <v>1.3651870999999999E-3</v>
      </c>
      <c r="M559" s="6">
        <f ca="1">VLOOKUP(CurrentMtgRatesDataTable82527141518[[#This Row],[asofdate]]+1,Bloomberg!B:C,2,0)</f>
        <v>2667.8</v>
      </c>
      <c r="N559" s="6"/>
      <c r="O559" s="18">
        <v>39478</v>
      </c>
      <c r="P559" s="88">
        <v>0</v>
      </c>
      <c r="Q559" s="101"/>
      <c r="R559" s="101"/>
      <c r="V559"/>
    </row>
    <row r="560" spans="9:22">
      <c r="I560" s="18">
        <v>39499</v>
      </c>
      <c r="J560" s="88">
        <v>0.1470851702</v>
      </c>
      <c r="K560" s="88">
        <f>VLOOKUP(CurrentMtgRatesDataTable82527141518[[#This Row],[asofdate]],O:P,2,0)</f>
        <v>0</v>
      </c>
      <c r="L560" s="88">
        <f>VLOOKUP(CurrentMtgRatesDataTable82527141518[[#This Row],[asofdate]],S:T,2,0)</f>
        <v>7.2861358600000009E-2</v>
      </c>
      <c r="M560" s="6">
        <f ca="1">VLOOKUP(CurrentMtgRatesDataTable82527141518[[#This Row],[asofdate]]+1,Bloomberg!B:C,2,0)</f>
        <v>2571.6</v>
      </c>
      <c r="N560" s="6"/>
      <c r="O560" s="18">
        <v>39471</v>
      </c>
      <c r="P560" s="88">
        <v>0.46526884610000002</v>
      </c>
      <c r="Q560" s="101"/>
      <c r="R560" s="101"/>
      <c r="V560"/>
    </row>
    <row r="561" spans="9:22">
      <c r="I561" s="18">
        <v>39492</v>
      </c>
      <c r="J561" s="88">
        <v>0.38632447559999999</v>
      </c>
      <c r="K561" s="88">
        <f>VLOOKUP(CurrentMtgRatesDataTable82527141518[[#This Row],[asofdate]],O:P,2,0)</f>
        <v>0</v>
      </c>
      <c r="L561" s="88">
        <f>VLOOKUP(CurrentMtgRatesDataTable82527141518[[#This Row],[asofdate]],S:T,2,0)</f>
        <v>0.2574577435</v>
      </c>
      <c r="M561" s="6">
        <f ca="1">VLOOKUP(CurrentMtgRatesDataTable82527141518[[#This Row],[asofdate]]+1,Bloomberg!B:C,2,0)</f>
        <v>3784.1</v>
      </c>
      <c r="N561" s="6"/>
      <c r="O561" s="18">
        <v>39464</v>
      </c>
      <c r="P561" s="88">
        <v>0.2635860558</v>
      </c>
      <c r="Q561" s="101"/>
      <c r="R561" s="101"/>
      <c r="V561"/>
    </row>
    <row r="562" spans="9:22">
      <c r="I562" s="18">
        <v>39485</v>
      </c>
      <c r="J562" s="88">
        <v>0.44045303489999998</v>
      </c>
      <c r="K562" s="88">
        <f>VLOOKUP(CurrentMtgRatesDataTable82527141518[[#This Row],[asofdate]],O:P,2,0)</f>
        <v>0</v>
      </c>
      <c r="L562" s="88">
        <f>VLOOKUP(CurrentMtgRatesDataTable82527141518[[#This Row],[asofdate]],S:T,2,0)</f>
        <v>0.31830290589999999</v>
      </c>
      <c r="M562" s="6">
        <f ca="1">VLOOKUP(CurrentMtgRatesDataTable82527141518[[#This Row],[asofdate]]+1,Bloomberg!B:C,2,0)</f>
        <v>5362.6</v>
      </c>
      <c r="N562" s="6"/>
      <c r="O562" s="18">
        <v>39457</v>
      </c>
      <c r="P562" s="88">
        <v>0.17222513690000002</v>
      </c>
      <c r="Q562" s="101"/>
      <c r="R562" s="101"/>
      <c r="V562"/>
    </row>
    <row r="563" spans="9:22">
      <c r="I563" s="18">
        <v>39478</v>
      </c>
      <c r="J563" s="88">
        <v>0.44604021789999998</v>
      </c>
      <c r="K563" s="88">
        <f>VLOOKUP(CurrentMtgRatesDataTable82527141518[[#This Row],[asofdate]],O:P,2,0)</f>
        <v>0</v>
      </c>
      <c r="L563" s="88">
        <f>VLOOKUP(CurrentMtgRatesDataTable82527141518[[#This Row],[asofdate]],S:T,2,0)</f>
        <v>0.31679338880000002</v>
      </c>
      <c r="M563" s="6">
        <f ca="1">VLOOKUP(CurrentMtgRatesDataTable82527141518[[#This Row],[asofdate]]+1,Bloomberg!B:C,2,0)</f>
        <v>5523.9</v>
      </c>
      <c r="N563" s="6"/>
      <c r="O563" s="18">
        <v>39450</v>
      </c>
      <c r="P563" s="88">
        <v>0</v>
      </c>
      <c r="Q563" s="101"/>
      <c r="R563" s="101"/>
      <c r="V563"/>
    </row>
    <row r="564" spans="9:22">
      <c r="I564" s="18">
        <v>39471</v>
      </c>
      <c r="J564" s="88">
        <v>0.66174734660000001</v>
      </c>
      <c r="K564" s="88">
        <f>VLOOKUP(CurrentMtgRatesDataTable82527141518[[#This Row],[asofdate]],O:P,2,0)</f>
        <v>0.46526884610000002</v>
      </c>
      <c r="L564" s="88">
        <f>VLOOKUP(CurrentMtgRatesDataTable82527141518[[#This Row],[asofdate]],S:T,2,0)</f>
        <v>0.65391784860000002</v>
      </c>
      <c r="M564" s="6">
        <f ca="1">VLOOKUP(CurrentMtgRatesDataTable82527141518[[#This Row],[asofdate]]+1,Bloomberg!B:C,2,0)</f>
        <v>5682.2</v>
      </c>
      <c r="N564" s="6"/>
      <c r="Q564" s="101"/>
      <c r="R564" s="101"/>
      <c r="V564"/>
    </row>
    <row r="565" spans="9:22">
      <c r="I565" s="18">
        <v>39464</v>
      </c>
      <c r="J565" s="88">
        <v>0.4085214882</v>
      </c>
      <c r="K565" s="88">
        <f>VLOOKUP(CurrentMtgRatesDataTable82527141518[[#This Row],[asofdate]],O:P,2,0)</f>
        <v>0.2635860558</v>
      </c>
      <c r="L565" s="88">
        <f>VLOOKUP(CurrentMtgRatesDataTable82527141518[[#This Row],[asofdate]],S:T,2,0)</f>
        <v>0.27125555950000002</v>
      </c>
      <c r="M565" s="6">
        <f ca="1">VLOOKUP(CurrentMtgRatesDataTable82527141518[[#This Row],[asofdate]]+1,Bloomberg!B:C,2,0)</f>
        <v>4588.3999999999996</v>
      </c>
      <c r="N565" s="6"/>
      <c r="Q565" s="101"/>
      <c r="R565" s="101"/>
      <c r="V565"/>
    </row>
    <row r="566" spans="9:22">
      <c r="I566" s="18">
        <v>39457</v>
      </c>
      <c r="J566" s="88">
        <v>0.28786242080000002</v>
      </c>
      <c r="K566" s="88">
        <f>VLOOKUP(CurrentMtgRatesDataTable82527141518[[#This Row],[asofdate]],O:P,2,0)</f>
        <v>0.17222513690000002</v>
      </c>
      <c r="L566" s="88">
        <f>VLOOKUP(CurrentMtgRatesDataTable82527141518[[#This Row],[asofdate]],S:T,2,0)</f>
        <v>0.174722249</v>
      </c>
      <c r="M566" s="6">
        <f ca="1">VLOOKUP(CurrentMtgRatesDataTable82527141518[[#This Row],[asofdate]]+1,Bloomberg!B:C,2,0)</f>
        <v>3923.5</v>
      </c>
      <c r="N566" s="6"/>
      <c r="Q566" s="101"/>
      <c r="R566" s="101"/>
      <c r="V566"/>
    </row>
    <row r="567" spans="9:22">
      <c r="I567" s="18">
        <v>39450</v>
      </c>
      <c r="J567" s="88">
        <v>0.15573114290000001</v>
      </c>
      <c r="K567" s="88">
        <f>VLOOKUP(CurrentMtgRatesDataTable82527141518[[#This Row],[asofdate]],O:P,2,0)</f>
        <v>0</v>
      </c>
      <c r="L567" s="88">
        <f>VLOOKUP(CurrentMtgRatesDataTable82527141518[[#This Row],[asofdate]],S:T,2,0)</f>
        <v>7.7695956600000005E-2</v>
      </c>
      <c r="M567" s="6">
        <f ca="1">VLOOKUP(CurrentMtgRatesDataTable82527141518[[#This Row],[asofdate]]+1,Bloomberg!B:C,2,0)</f>
        <v>2729.3</v>
      </c>
      <c r="N567" s="6"/>
      <c r="Q567" s="101"/>
      <c r="R567" s="101"/>
      <c r="V567"/>
    </row>
    <row r="568" spans="9:22">
      <c r="N568" s="6"/>
      <c r="Q568" s="101"/>
      <c r="R568" s="101"/>
      <c r="V568"/>
    </row>
    <row r="569" spans="9:22">
      <c r="N569" s="6"/>
      <c r="Q569" s="101"/>
      <c r="R569" s="101"/>
      <c r="V569"/>
    </row>
    <row r="570" spans="9:22">
      <c r="N570" s="6"/>
      <c r="Q570" s="101"/>
      <c r="R570" s="101"/>
      <c r="V570"/>
    </row>
    <row r="571" spans="9:22">
      <c r="N571" s="6"/>
      <c r="Q571" s="101"/>
      <c r="R571" s="101"/>
      <c r="V571"/>
    </row>
    <row r="572" spans="9:22">
      <c r="N572" s="6"/>
      <c r="Q572" s="101"/>
      <c r="R572" s="101"/>
      <c r="V572"/>
    </row>
    <row r="573" spans="9:22">
      <c r="N573" s="6"/>
      <c r="Q573" s="101"/>
      <c r="R573" s="101"/>
      <c r="V573"/>
    </row>
    <row r="574" spans="9:22">
      <c r="N574" s="6"/>
      <c r="Q574" s="101"/>
      <c r="R574" s="101"/>
      <c r="V574"/>
    </row>
    <row r="575" spans="9:22">
      <c r="N575" s="6"/>
      <c r="Q575" s="101"/>
      <c r="R575" s="101"/>
      <c r="V575"/>
    </row>
    <row r="576" spans="9:22">
      <c r="N576" s="6"/>
      <c r="Q576" s="101"/>
      <c r="R576" s="101"/>
      <c r="V576"/>
    </row>
    <row r="577" spans="14:22">
      <c r="N577" s="6"/>
      <c r="Q577" s="101"/>
      <c r="R577" s="101"/>
      <c r="V577"/>
    </row>
    <row r="578" spans="14:22">
      <c r="N578" s="6"/>
      <c r="Q578" s="101"/>
      <c r="R578" s="101"/>
      <c r="V578"/>
    </row>
    <row r="579" spans="14:22">
      <c r="N579" s="6"/>
      <c r="Q579" s="101"/>
      <c r="R579" s="101"/>
      <c r="V579"/>
    </row>
    <row r="580" spans="14:22">
      <c r="N580" s="6"/>
      <c r="Q580" s="101"/>
      <c r="R580" s="101"/>
      <c r="V580"/>
    </row>
    <row r="581" spans="14:22">
      <c r="N581" s="6"/>
      <c r="Q581" s="101"/>
      <c r="R581" s="101"/>
      <c r="V581"/>
    </row>
    <row r="582" spans="14:22">
      <c r="N582" s="6"/>
      <c r="Q582" s="101"/>
      <c r="R582" s="101"/>
      <c r="V582"/>
    </row>
    <row r="583" spans="14:22">
      <c r="N583" s="6"/>
      <c r="Q583" s="101"/>
      <c r="R583" s="101"/>
      <c r="V583"/>
    </row>
    <row r="584" spans="14:22">
      <c r="N584" s="6"/>
      <c r="Q584" s="101"/>
      <c r="R584" s="101"/>
      <c r="V584"/>
    </row>
    <row r="585" spans="14:22">
      <c r="N585" s="6"/>
      <c r="Q585" s="101"/>
      <c r="R585" s="101"/>
      <c r="V585"/>
    </row>
    <row r="586" spans="14:22">
      <c r="N586" s="6"/>
      <c r="Q586" s="101"/>
      <c r="R586" s="101"/>
      <c r="V586"/>
    </row>
    <row r="587" spans="14:22">
      <c r="N587" s="6"/>
      <c r="Q587" s="101"/>
      <c r="R587" s="101"/>
      <c r="V587"/>
    </row>
    <row r="588" spans="14:22">
      <c r="N588" s="6"/>
      <c r="Q588" s="101"/>
      <c r="R588" s="101"/>
      <c r="V588"/>
    </row>
    <row r="589" spans="14:22">
      <c r="N589" s="6"/>
      <c r="Q589" s="101"/>
      <c r="R589" s="101"/>
      <c r="V589"/>
    </row>
    <row r="590" spans="14:22">
      <c r="N590" s="6"/>
      <c r="Q590" s="101"/>
      <c r="R590" s="101"/>
      <c r="V590"/>
    </row>
    <row r="591" spans="14:22">
      <c r="N591" s="6"/>
      <c r="Q591" s="101"/>
      <c r="R591" s="101"/>
      <c r="V591"/>
    </row>
    <row r="592" spans="14:22">
      <c r="N592" s="6"/>
      <c r="Q592" s="101"/>
      <c r="R592" s="101"/>
      <c r="V592"/>
    </row>
    <row r="593" spans="14:22">
      <c r="N593" s="6"/>
      <c r="Q593" s="101"/>
      <c r="R593" s="101"/>
      <c r="V593"/>
    </row>
    <row r="594" spans="14:22">
      <c r="N594" s="6"/>
      <c r="Q594" s="101"/>
      <c r="R594" s="101"/>
      <c r="V594"/>
    </row>
    <row r="595" spans="14:22">
      <c r="N595" s="6"/>
      <c r="Q595" s="101"/>
      <c r="R595" s="101"/>
      <c r="V595"/>
    </row>
    <row r="596" spans="14:22">
      <c r="N596" s="6"/>
      <c r="Q596" s="101"/>
      <c r="R596" s="101"/>
      <c r="V596"/>
    </row>
    <row r="597" spans="14:22">
      <c r="N597" s="6"/>
      <c r="Q597" s="101"/>
      <c r="R597" s="101"/>
      <c r="V597"/>
    </row>
    <row r="598" spans="14:22">
      <c r="N598" s="6"/>
      <c r="Q598" s="101"/>
      <c r="R598" s="101"/>
      <c r="V598"/>
    </row>
    <row r="599" spans="14:22">
      <c r="N599" s="6"/>
      <c r="Q599" s="101"/>
      <c r="R599" s="101"/>
      <c r="V599"/>
    </row>
    <row r="600" spans="14:22">
      <c r="N600" s="6"/>
      <c r="Q600" s="101"/>
      <c r="R600" s="101"/>
      <c r="V600"/>
    </row>
    <row r="601" spans="14:22">
      <c r="N601" s="6"/>
      <c r="Q601" s="101"/>
      <c r="R601" s="101"/>
      <c r="V601"/>
    </row>
    <row r="602" spans="14:22">
      <c r="N602" s="6"/>
      <c r="Q602" s="101"/>
      <c r="R602" s="101"/>
      <c r="V602"/>
    </row>
    <row r="603" spans="14:22">
      <c r="N603" s="6"/>
      <c r="Q603" s="101"/>
      <c r="R603" s="101"/>
      <c r="V603"/>
    </row>
    <row r="604" spans="14:22">
      <c r="N604" s="6"/>
      <c r="Q604" s="101"/>
      <c r="R604" s="101"/>
      <c r="V604"/>
    </row>
    <row r="605" spans="14:22">
      <c r="N605" s="6"/>
      <c r="Q605" s="101"/>
      <c r="R605" s="101"/>
      <c r="V605"/>
    </row>
    <row r="606" spans="14:22">
      <c r="N606" s="6"/>
      <c r="Q606" s="101"/>
      <c r="R606" s="101"/>
      <c r="V606"/>
    </row>
    <row r="607" spans="14:22">
      <c r="N607" s="6"/>
      <c r="Q607" s="101"/>
      <c r="R607" s="101"/>
      <c r="V607"/>
    </row>
    <row r="608" spans="14:22">
      <c r="N608" s="6"/>
      <c r="Q608" s="101"/>
      <c r="R608" s="101"/>
      <c r="V608"/>
    </row>
    <row r="609" spans="14:22">
      <c r="N609" s="6"/>
      <c r="Q609" s="101"/>
      <c r="R609" s="101"/>
      <c r="V609"/>
    </row>
    <row r="610" spans="14:22">
      <c r="N610" s="6"/>
      <c r="Q610" s="101"/>
      <c r="R610" s="101"/>
      <c r="V610"/>
    </row>
    <row r="611" spans="14:22">
      <c r="N611" s="6"/>
      <c r="Q611" s="101"/>
      <c r="R611" s="101"/>
      <c r="V611"/>
    </row>
    <row r="612" spans="14:22">
      <c r="N612" s="6"/>
      <c r="Q612" s="101"/>
      <c r="R612" s="101"/>
      <c r="V612"/>
    </row>
    <row r="613" spans="14:22">
      <c r="N613" s="6"/>
      <c r="Q613" s="101"/>
      <c r="R613" s="101"/>
      <c r="V613"/>
    </row>
    <row r="614" spans="14:22">
      <c r="N614" s="6"/>
      <c r="Q614" s="101"/>
      <c r="R614" s="101"/>
      <c r="V614"/>
    </row>
    <row r="615" spans="14:22">
      <c r="N615" s="6"/>
      <c r="Q615" s="101"/>
      <c r="R615" s="101"/>
      <c r="V615"/>
    </row>
    <row r="616" spans="14:22">
      <c r="N616" s="6"/>
      <c r="Q616" s="101"/>
      <c r="R616" s="101"/>
      <c r="V616"/>
    </row>
    <row r="617" spans="14:22">
      <c r="N617" s="6"/>
      <c r="Q617" s="101"/>
      <c r="R617" s="101"/>
      <c r="V617"/>
    </row>
    <row r="618" spans="14:22">
      <c r="N618" s="6"/>
      <c r="Q618" s="101"/>
      <c r="R618" s="101"/>
      <c r="V618"/>
    </row>
    <row r="619" spans="14:22">
      <c r="N619" s="6"/>
      <c r="Q619" s="101"/>
      <c r="R619" s="101"/>
      <c r="V619"/>
    </row>
    <row r="620" spans="14:22">
      <c r="N620" s="6"/>
      <c r="Q620" s="101"/>
      <c r="R620" s="101"/>
      <c r="V620"/>
    </row>
    <row r="621" spans="14:22">
      <c r="N621" s="6"/>
      <c r="Q621" s="101"/>
      <c r="R621" s="101"/>
      <c r="V621"/>
    </row>
    <row r="622" spans="14:22">
      <c r="N622" s="6"/>
      <c r="Q622" s="101"/>
      <c r="R622" s="101"/>
      <c r="V622"/>
    </row>
    <row r="623" spans="14:22">
      <c r="N623" s="6"/>
      <c r="Q623" s="101"/>
      <c r="R623" s="101"/>
      <c r="V623"/>
    </row>
    <row r="624" spans="14:22">
      <c r="N624" s="6"/>
      <c r="Q624" s="101"/>
      <c r="R624" s="101"/>
      <c r="V624"/>
    </row>
    <row r="625" spans="14:22">
      <c r="N625" s="6"/>
      <c r="Q625" s="101"/>
      <c r="R625" s="101"/>
      <c r="V625"/>
    </row>
    <row r="626" spans="14:22">
      <c r="N626" s="6"/>
      <c r="Q626" s="101"/>
      <c r="R626" s="101"/>
      <c r="V626"/>
    </row>
    <row r="627" spans="14:22">
      <c r="N627" s="6"/>
      <c r="Q627" s="101"/>
      <c r="R627" s="101"/>
      <c r="V627"/>
    </row>
    <row r="628" spans="14:22">
      <c r="N628" s="6"/>
      <c r="Q628" s="101"/>
      <c r="R628" s="101"/>
      <c r="V628"/>
    </row>
    <row r="629" spans="14:22">
      <c r="N629" s="6"/>
      <c r="Q629" s="101"/>
      <c r="R629" s="101"/>
      <c r="V629"/>
    </row>
    <row r="630" spans="14:22">
      <c r="N630" s="6"/>
      <c r="Q630" s="101"/>
      <c r="R630" s="101"/>
      <c r="V630"/>
    </row>
    <row r="631" spans="14:22">
      <c r="N631" s="6"/>
      <c r="Q631" s="101"/>
      <c r="R631" s="101"/>
      <c r="V631"/>
    </row>
    <row r="632" spans="14:22">
      <c r="N632" s="6"/>
      <c r="Q632" s="101"/>
      <c r="R632" s="101"/>
      <c r="V632"/>
    </row>
    <row r="633" spans="14:22">
      <c r="N633" s="6"/>
      <c r="Q633" s="101"/>
      <c r="R633" s="101"/>
      <c r="V633"/>
    </row>
    <row r="634" spans="14:22">
      <c r="N634" s="6"/>
      <c r="Q634" s="101"/>
      <c r="R634" s="101"/>
      <c r="V634"/>
    </row>
    <row r="635" spans="14:22">
      <c r="N635" s="6"/>
      <c r="Q635" s="101"/>
      <c r="R635" s="101"/>
      <c r="V635"/>
    </row>
    <row r="636" spans="14:22">
      <c r="N636" s="6"/>
      <c r="Q636" s="101"/>
      <c r="R636" s="101"/>
      <c r="V636"/>
    </row>
    <row r="637" spans="14:22">
      <c r="N637" s="6"/>
      <c r="Q637" s="101"/>
      <c r="R637" s="101"/>
      <c r="V637"/>
    </row>
    <row r="638" spans="14:22">
      <c r="N638" s="6"/>
      <c r="Q638" s="101"/>
      <c r="R638" s="101"/>
      <c r="V638"/>
    </row>
    <row r="639" spans="14:22">
      <c r="N639" s="6"/>
      <c r="Q639" s="101"/>
      <c r="R639" s="101"/>
      <c r="V639"/>
    </row>
    <row r="640" spans="14:22">
      <c r="N640" s="6"/>
      <c r="Q640" s="101"/>
      <c r="R640" s="101"/>
      <c r="V640"/>
    </row>
    <row r="641" spans="14:22">
      <c r="N641" s="6"/>
      <c r="Q641" s="101"/>
      <c r="R641" s="101"/>
      <c r="V641"/>
    </row>
    <row r="642" spans="14:22">
      <c r="N642" s="6"/>
      <c r="Q642" s="101"/>
      <c r="R642" s="101"/>
      <c r="V642"/>
    </row>
    <row r="643" spans="14:22">
      <c r="N643" s="6"/>
      <c r="Q643" s="101"/>
      <c r="R643" s="101"/>
      <c r="V643"/>
    </row>
    <row r="644" spans="14:22">
      <c r="N644" s="6"/>
      <c r="Q644" s="101"/>
      <c r="R644" s="101"/>
      <c r="V644"/>
    </row>
    <row r="645" spans="14:22">
      <c r="N645" s="6"/>
      <c r="Q645" s="101"/>
      <c r="R645" s="101"/>
      <c r="V645"/>
    </row>
    <row r="646" spans="14:22">
      <c r="N646" s="6"/>
      <c r="Q646" s="101"/>
      <c r="R646" s="101"/>
      <c r="V646"/>
    </row>
    <row r="647" spans="14:22">
      <c r="N647" s="6"/>
      <c r="Q647" s="101"/>
      <c r="R647" s="101"/>
      <c r="V647"/>
    </row>
    <row r="648" spans="14:22">
      <c r="N648" s="6"/>
      <c r="Q648" s="101"/>
      <c r="R648" s="101"/>
      <c r="V648"/>
    </row>
    <row r="649" spans="14:22">
      <c r="N649" s="6"/>
      <c r="Q649" s="101"/>
      <c r="R649" s="101"/>
      <c r="V649"/>
    </row>
    <row r="650" spans="14:22">
      <c r="N650" s="6"/>
      <c r="Q650" s="101"/>
      <c r="R650" s="101"/>
      <c r="V650"/>
    </row>
    <row r="651" spans="14:22">
      <c r="N651" s="6"/>
      <c r="Q651" s="101"/>
      <c r="R651" s="101"/>
      <c r="V651"/>
    </row>
    <row r="652" spans="14:22">
      <c r="N652" s="6"/>
      <c r="Q652" s="101"/>
      <c r="R652" s="101"/>
      <c r="V652"/>
    </row>
    <row r="653" spans="14:22">
      <c r="N653" s="6"/>
      <c r="Q653" s="101"/>
      <c r="R653" s="101"/>
      <c r="V653"/>
    </row>
    <row r="654" spans="14:22">
      <c r="N654" s="6"/>
      <c r="Q654" s="101"/>
      <c r="R654" s="101"/>
      <c r="V654"/>
    </row>
    <row r="655" spans="14:22">
      <c r="N655" s="6"/>
      <c r="Q655" s="101"/>
      <c r="R655" s="101"/>
      <c r="V655"/>
    </row>
    <row r="656" spans="14:22">
      <c r="N656" s="6"/>
      <c r="Q656" s="101"/>
      <c r="R656" s="101"/>
      <c r="V656"/>
    </row>
    <row r="657" spans="14:22">
      <c r="N657" s="6"/>
      <c r="Q657" s="101"/>
      <c r="R657" s="101"/>
      <c r="V657"/>
    </row>
    <row r="658" spans="14:22">
      <c r="N658" s="6"/>
      <c r="Q658" s="101"/>
      <c r="R658" s="101"/>
      <c r="V658"/>
    </row>
    <row r="659" spans="14:22">
      <c r="N659" s="6"/>
      <c r="Q659" s="101"/>
      <c r="R659" s="101"/>
      <c r="V659"/>
    </row>
    <row r="660" spans="14:22">
      <c r="N660" s="6"/>
      <c r="Q660" s="101"/>
      <c r="R660" s="101"/>
      <c r="V660"/>
    </row>
    <row r="661" spans="14:22">
      <c r="N661" s="6"/>
      <c r="Q661" s="101"/>
      <c r="R661" s="101"/>
      <c r="V661"/>
    </row>
    <row r="662" spans="14:22">
      <c r="N662" s="6"/>
      <c r="Q662" s="101"/>
      <c r="R662" s="101"/>
      <c r="V662"/>
    </row>
    <row r="663" spans="14:22">
      <c r="N663" s="6"/>
      <c r="Q663" s="101"/>
      <c r="R663" s="101"/>
      <c r="V663"/>
    </row>
    <row r="664" spans="14:22">
      <c r="N664" s="6"/>
      <c r="Q664" s="101"/>
      <c r="R664" s="101"/>
      <c r="V664"/>
    </row>
    <row r="665" spans="14:22">
      <c r="N665" s="6"/>
      <c r="Q665" s="101"/>
      <c r="R665" s="101"/>
      <c r="V665"/>
    </row>
    <row r="666" spans="14:22">
      <c r="N666" s="6"/>
      <c r="Q666" s="101"/>
      <c r="R666" s="101"/>
      <c r="V666"/>
    </row>
    <row r="667" spans="14:22">
      <c r="N667" s="6"/>
      <c r="Q667" s="101"/>
      <c r="R667" s="101"/>
      <c r="V667"/>
    </row>
    <row r="668" spans="14:22">
      <c r="N668" s="6"/>
      <c r="Q668" s="101"/>
      <c r="R668" s="101"/>
      <c r="V668"/>
    </row>
    <row r="669" spans="14:22">
      <c r="N669" s="6"/>
      <c r="Q669" s="101"/>
      <c r="R669" s="101"/>
      <c r="V669"/>
    </row>
    <row r="670" spans="14:22">
      <c r="N670" s="6"/>
      <c r="Q670" s="101"/>
      <c r="R670" s="101"/>
      <c r="V670"/>
    </row>
    <row r="671" spans="14:22">
      <c r="N671" s="6"/>
      <c r="Q671" s="101"/>
      <c r="R671" s="101"/>
      <c r="V671"/>
    </row>
    <row r="672" spans="14:22">
      <c r="N672" s="6"/>
      <c r="Q672" s="101"/>
      <c r="R672" s="101"/>
      <c r="V672"/>
    </row>
    <row r="673" spans="14:22">
      <c r="N673" s="6"/>
      <c r="Q673" s="101"/>
      <c r="R673" s="101"/>
      <c r="V673"/>
    </row>
    <row r="674" spans="14:22">
      <c r="N674" s="6"/>
      <c r="Q674" s="101"/>
      <c r="R674" s="101"/>
      <c r="V674"/>
    </row>
    <row r="675" spans="14:22">
      <c r="N675" s="6"/>
      <c r="Q675" s="101"/>
      <c r="R675" s="101"/>
      <c r="V675"/>
    </row>
    <row r="676" spans="14:22">
      <c r="N676" s="6"/>
      <c r="Q676" s="101"/>
      <c r="R676" s="101"/>
      <c r="V676"/>
    </row>
    <row r="677" spans="14:22">
      <c r="N677" s="6"/>
      <c r="Q677" s="101"/>
      <c r="R677" s="101"/>
      <c r="V677"/>
    </row>
    <row r="678" spans="14:22">
      <c r="N678" s="6"/>
      <c r="Q678" s="101"/>
      <c r="R678" s="101"/>
      <c r="V678"/>
    </row>
    <row r="679" spans="14:22">
      <c r="N679" s="6"/>
      <c r="Q679" s="101"/>
      <c r="R679" s="101"/>
      <c r="V679"/>
    </row>
    <row r="680" spans="14:22">
      <c r="N680" s="6"/>
      <c r="Q680" s="101"/>
      <c r="R680" s="101"/>
      <c r="V680"/>
    </row>
    <row r="681" spans="14:22">
      <c r="N681" s="6"/>
      <c r="Q681" s="101"/>
      <c r="R681" s="101"/>
      <c r="V681"/>
    </row>
    <row r="682" spans="14:22">
      <c r="N682" s="6"/>
      <c r="Q682" s="101"/>
      <c r="R682" s="101"/>
      <c r="V682"/>
    </row>
    <row r="683" spans="14:22">
      <c r="N683" s="6"/>
      <c r="Q683" s="101"/>
      <c r="R683" s="101"/>
      <c r="V683"/>
    </row>
    <row r="684" spans="14:22">
      <c r="N684" s="6"/>
      <c r="Q684" s="101"/>
      <c r="R684" s="101"/>
      <c r="V684"/>
    </row>
    <row r="685" spans="14:22">
      <c r="N685" s="6"/>
      <c r="Q685" s="101"/>
      <c r="R685" s="101"/>
      <c r="V685"/>
    </row>
    <row r="686" spans="14:22">
      <c r="N686" s="6"/>
      <c r="Q686" s="101"/>
      <c r="R686" s="101"/>
      <c r="V686"/>
    </row>
    <row r="687" spans="14:22">
      <c r="N687" s="6"/>
      <c r="Q687" s="101"/>
      <c r="R687" s="101"/>
      <c r="V687"/>
    </row>
    <row r="688" spans="14:22">
      <c r="N688" s="6"/>
      <c r="Q688" s="101"/>
      <c r="R688" s="101"/>
      <c r="V688"/>
    </row>
    <row r="689" spans="14:22">
      <c r="N689" s="6"/>
      <c r="Q689" s="101"/>
      <c r="R689" s="101"/>
      <c r="V689"/>
    </row>
    <row r="690" spans="14:22">
      <c r="N690" s="6"/>
      <c r="Q690" s="101"/>
      <c r="R690" s="101"/>
      <c r="V690"/>
    </row>
    <row r="691" spans="14:22">
      <c r="N691" s="6"/>
      <c r="Q691" s="101"/>
      <c r="R691" s="101"/>
      <c r="V691"/>
    </row>
    <row r="692" spans="14:22">
      <c r="N692" s="6"/>
      <c r="Q692" s="101"/>
      <c r="R692" s="101"/>
      <c r="V692"/>
    </row>
    <row r="693" spans="14:22">
      <c r="N693" s="6"/>
      <c r="Q693" s="101"/>
      <c r="R693" s="101"/>
      <c r="V693"/>
    </row>
    <row r="694" spans="14:22">
      <c r="N694" s="6"/>
      <c r="Q694" s="101"/>
      <c r="R694" s="101"/>
      <c r="V694"/>
    </row>
    <row r="695" spans="14:22">
      <c r="N695" s="6"/>
      <c r="Q695" s="101"/>
      <c r="R695" s="101"/>
      <c r="V695"/>
    </row>
    <row r="696" spans="14:22">
      <c r="N696" s="6"/>
      <c r="Q696" s="101"/>
      <c r="R696" s="101"/>
      <c r="V696"/>
    </row>
    <row r="697" spans="14:22">
      <c r="N697" s="6"/>
      <c r="Q697" s="101"/>
      <c r="R697" s="101"/>
      <c r="V697"/>
    </row>
    <row r="698" spans="14:22">
      <c r="N698" s="6"/>
      <c r="Q698" s="101"/>
      <c r="R698" s="101"/>
      <c r="V698"/>
    </row>
    <row r="699" spans="14:22">
      <c r="N699" s="6"/>
      <c r="Q699" s="101"/>
      <c r="R699" s="101"/>
      <c r="V699"/>
    </row>
    <row r="700" spans="14:22">
      <c r="N700" s="6"/>
      <c r="Q700" s="101"/>
      <c r="R700" s="101"/>
      <c r="V700"/>
    </row>
    <row r="701" spans="14:22">
      <c r="N701" s="6"/>
      <c r="Q701" s="101"/>
      <c r="R701" s="101"/>
      <c r="V701"/>
    </row>
    <row r="702" spans="14:22">
      <c r="N702" s="6"/>
      <c r="Q702" s="101"/>
      <c r="R702" s="101"/>
      <c r="V702"/>
    </row>
    <row r="703" spans="14:22">
      <c r="N703" s="6"/>
      <c r="Q703" s="101"/>
      <c r="R703" s="101"/>
      <c r="V703"/>
    </row>
    <row r="704" spans="14:22">
      <c r="N704" s="6"/>
      <c r="Q704" s="101"/>
      <c r="R704" s="101"/>
      <c r="V704"/>
    </row>
    <row r="705" spans="14:22">
      <c r="N705" s="6"/>
      <c r="Q705" s="101"/>
      <c r="R705" s="101"/>
      <c r="V705"/>
    </row>
    <row r="706" spans="14:22">
      <c r="N706" s="6"/>
      <c r="Q706" s="101"/>
      <c r="R706" s="101"/>
      <c r="V706"/>
    </row>
    <row r="707" spans="14:22">
      <c r="N707" s="6"/>
      <c r="Q707" s="101"/>
      <c r="R707" s="101"/>
      <c r="V707"/>
    </row>
    <row r="708" spans="14:22">
      <c r="N708" s="6"/>
      <c r="Q708" s="101"/>
      <c r="R708" s="101"/>
      <c r="V708"/>
    </row>
    <row r="709" spans="14:22">
      <c r="N709" s="6"/>
      <c r="Q709" s="101"/>
      <c r="R709" s="101"/>
      <c r="V709"/>
    </row>
    <row r="710" spans="14:22">
      <c r="N710" s="6"/>
      <c r="Q710" s="101"/>
      <c r="R710" s="101"/>
      <c r="V710"/>
    </row>
    <row r="711" spans="14:22">
      <c r="N711" s="6"/>
      <c r="Q711" s="101"/>
      <c r="R711" s="101"/>
      <c r="V711"/>
    </row>
    <row r="712" spans="14:22">
      <c r="N712" s="6"/>
      <c r="Q712" s="101"/>
      <c r="R712" s="101"/>
      <c r="V712"/>
    </row>
    <row r="713" spans="14:22">
      <c r="N713" s="6"/>
      <c r="Q713" s="101"/>
      <c r="R713" s="101"/>
      <c r="V713"/>
    </row>
    <row r="714" spans="14:22">
      <c r="N714" s="6"/>
      <c r="Q714" s="101"/>
      <c r="R714" s="101"/>
      <c r="V714"/>
    </row>
    <row r="715" spans="14:22">
      <c r="N715" s="6"/>
      <c r="Q715" s="101"/>
      <c r="R715" s="101"/>
      <c r="V715"/>
    </row>
    <row r="716" spans="14:22">
      <c r="N716" s="6"/>
      <c r="Q716" s="101"/>
      <c r="R716" s="101"/>
      <c r="V716"/>
    </row>
    <row r="717" spans="14:22">
      <c r="N717" s="6"/>
      <c r="Q717" s="101"/>
      <c r="R717" s="101"/>
      <c r="V717"/>
    </row>
    <row r="718" spans="14:22">
      <c r="N718" s="6"/>
      <c r="Q718" s="101"/>
      <c r="R718" s="101"/>
      <c r="V718"/>
    </row>
    <row r="719" spans="14:22">
      <c r="N719" s="6"/>
      <c r="Q719" s="101"/>
      <c r="R719" s="101"/>
      <c r="V719"/>
    </row>
    <row r="720" spans="14:22">
      <c r="N720" s="6"/>
      <c r="Q720" s="101"/>
      <c r="R720" s="101"/>
      <c r="V720"/>
    </row>
    <row r="721" spans="14:22">
      <c r="N721" s="6"/>
      <c r="Q721" s="101"/>
      <c r="R721" s="101"/>
      <c r="V721"/>
    </row>
    <row r="722" spans="14:22">
      <c r="N722" s="6"/>
      <c r="Q722" s="101"/>
      <c r="R722" s="101"/>
      <c r="V722"/>
    </row>
    <row r="723" spans="14:22">
      <c r="N723" s="6"/>
      <c r="Q723" s="101"/>
      <c r="R723" s="101"/>
      <c r="V723"/>
    </row>
    <row r="724" spans="14:22">
      <c r="N724" s="6"/>
      <c r="Q724" s="101"/>
      <c r="R724" s="101"/>
      <c r="V724"/>
    </row>
    <row r="725" spans="14:22">
      <c r="N725" s="6"/>
      <c r="Q725" s="101"/>
      <c r="R725" s="101"/>
      <c r="V725"/>
    </row>
    <row r="726" spans="14:22">
      <c r="N726" s="6"/>
      <c r="Q726" s="101"/>
      <c r="R726" s="101"/>
      <c r="V726"/>
    </row>
    <row r="727" spans="14:22">
      <c r="N727" s="6"/>
      <c r="Q727" s="101"/>
      <c r="R727" s="101"/>
      <c r="V727"/>
    </row>
    <row r="728" spans="14:22">
      <c r="N728" s="6"/>
      <c r="Q728" s="101"/>
      <c r="R728" s="101"/>
      <c r="V728"/>
    </row>
    <row r="729" spans="14:22">
      <c r="N729" s="6"/>
      <c r="Q729" s="101"/>
      <c r="R729" s="101"/>
      <c r="V729"/>
    </row>
    <row r="730" spans="14:22">
      <c r="N730" s="6"/>
      <c r="Q730" s="101"/>
      <c r="R730" s="101"/>
      <c r="V730"/>
    </row>
    <row r="731" spans="14:22">
      <c r="N731" s="6"/>
      <c r="Q731" s="101"/>
      <c r="R731" s="101"/>
      <c r="V731"/>
    </row>
    <row r="732" spans="14:22">
      <c r="N732" s="6"/>
      <c r="Q732" s="101"/>
      <c r="R732" s="101"/>
      <c r="V732"/>
    </row>
    <row r="733" spans="14:22">
      <c r="N733" s="6"/>
      <c r="Q733" s="101"/>
      <c r="R733" s="101"/>
      <c r="V733"/>
    </row>
    <row r="734" spans="14:22">
      <c r="N734" s="6"/>
      <c r="Q734" s="101"/>
      <c r="R734" s="101"/>
      <c r="V734"/>
    </row>
    <row r="735" spans="14:22">
      <c r="N735" s="6"/>
      <c r="Q735" s="101"/>
      <c r="R735" s="101"/>
      <c r="V735"/>
    </row>
    <row r="736" spans="14:22">
      <c r="N736" s="6"/>
      <c r="Q736" s="101"/>
      <c r="R736" s="101"/>
      <c r="V736"/>
    </row>
    <row r="737" spans="14:22">
      <c r="N737" s="6"/>
      <c r="Q737" s="101"/>
      <c r="R737" s="101"/>
      <c r="V737"/>
    </row>
    <row r="738" spans="14:22">
      <c r="N738" s="6"/>
      <c r="Q738" s="101"/>
      <c r="R738" s="101"/>
      <c r="V738"/>
    </row>
    <row r="739" spans="14:22">
      <c r="N739" s="6"/>
      <c r="Q739" s="101"/>
      <c r="R739" s="101"/>
      <c r="V739"/>
    </row>
    <row r="740" spans="14:22">
      <c r="N740" s="6"/>
      <c r="Q740" s="101"/>
      <c r="R740" s="101"/>
      <c r="V740"/>
    </row>
    <row r="741" spans="14:22">
      <c r="N741" s="6"/>
      <c r="Q741" s="101"/>
      <c r="R741" s="101"/>
      <c r="V741"/>
    </row>
    <row r="742" spans="14:22">
      <c r="N742" s="6"/>
      <c r="Q742" s="101"/>
      <c r="R742" s="101"/>
      <c r="V742"/>
    </row>
    <row r="743" spans="14:22">
      <c r="N743" s="6"/>
      <c r="Q743" s="101"/>
      <c r="R743" s="101"/>
      <c r="V743"/>
    </row>
    <row r="744" spans="14:22">
      <c r="N744" s="6"/>
      <c r="Q744" s="101"/>
      <c r="R744" s="101"/>
      <c r="V744"/>
    </row>
    <row r="745" spans="14:22">
      <c r="N745" s="6"/>
      <c r="Q745" s="101"/>
      <c r="R745" s="101"/>
      <c r="V745"/>
    </row>
    <row r="746" spans="14:22">
      <c r="N746" s="6"/>
      <c r="Q746" s="101"/>
      <c r="R746" s="101"/>
      <c r="V746"/>
    </row>
    <row r="747" spans="14:22">
      <c r="N747" s="6"/>
      <c r="Q747" s="101"/>
      <c r="R747" s="101"/>
      <c r="V747"/>
    </row>
    <row r="748" spans="14:22">
      <c r="N748" s="6"/>
      <c r="Q748" s="101"/>
      <c r="R748" s="101"/>
      <c r="V748"/>
    </row>
    <row r="749" spans="14:22">
      <c r="N749" s="6"/>
      <c r="Q749" s="101"/>
      <c r="R749" s="101"/>
      <c r="V749"/>
    </row>
    <row r="750" spans="14:22">
      <c r="N750" s="6"/>
      <c r="Q750" s="101"/>
      <c r="R750" s="101"/>
      <c r="V750"/>
    </row>
    <row r="751" spans="14:22">
      <c r="N751" s="6"/>
      <c r="Q751" s="101"/>
      <c r="R751" s="101"/>
      <c r="V751"/>
    </row>
    <row r="752" spans="14:22">
      <c r="N752" s="6"/>
      <c r="Q752" s="101"/>
      <c r="R752" s="101"/>
      <c r="V752"/>
    </row>
    <row r="753" spans="14:22">
      <c r="N753" s="6"/>
      <c r="Q753" s="101"/>
      <c r="R753" s="101"/>
      <c r="V753"/>
    </row>
    <row r="754" spans="14:22">
      <c r="N754" s="6"/>
      <c r="Q754" s="101"/>
      <c r="R754" s="101"/>
      <c r="V754"/>
    </row>
    <row r="755" spans="14:22">
      <c r="N755" s="6"/>
      <c r="Q755" s="101"/>
      <c r="R755" s="101"/>
      <c r="V755"/>
    </row>
    <row r="756" spans="14:22">
      <c r="N756" s="6"/>
      <c r="Q756" s="101"/>
      <c r="R756" s="101"/>
      <c r="V756"/>
    </row>
    <row r="757" spans="14:22">
      <c r="N757" s="6"/>
      <c r="Q757" s="101"/>
      <c r="R757" s="101"/>
      <c r="V757"/>
    </row>
    <row r="758" spans="14:22">
      <c r="N758" s="6"/>
      <c r="Q758" s="101"/>
      <c r="R758" s="101"/>
      <c r="V758"/>
    </row>
    <row r="759" spans="14:22">
      <c r="N759" s="6"/>
      <c r="Q759" s="101"/>
      <c r="R759" s="101"/>
      <c r="V759"/>
    </row>
    <row r="760" spans="14:22">
      <c r="N760" s="6"/>
      <c r="Q760" s="101"/>
      <c r="R760" s="101"/>
      <c r="V760"/>
    </row>
    <row r="761" spans="14:22">
      <c r="N761" s="6"/>
      <c r="Q761" s="101"/>
      <c r="R761" s="101"/>
      <c r="V761"/>
    </row>
    <row r="762" spans="14:22">
      <c r="N762" s="6"/>
      <c r="Q762" s="101"/>
      <c r="R762" s="101"/>
      <c r="V762"/>
    </row>
    <row r="763" spans="14:22">
      <c r="N763" s="6"/>
      <c r="Q763" s="101"/>
      <c r="R763" s="101"/>
      <c r="V763"/>
    </row>
    <row r="764" spans="14:22">
      <c r="N764" s="6"/>
      <c r="Q764" s="101"/>
      <c r="R764" s="101"/>
      <c r="V764"/>
    </row>
    <row r="765" spans="14:22">
      <c r="N765" s="6"/>
      <c r="Q765" s="101"/>
      <c r="R765" s="101"/>
      <c r="V765"/>
    </row>
    <row r="766" spans="14:22">
      <c r="N766" s="6"/>
      <c r="Q766" s="101"/>
      <c r="R766" s="101"/>
      <c r="V766"/>
    </row>
    <row r="767" spans="14:22">
      <c r="N767" s="6"/>
      <c r="Q767" s="101"/>
      <c r="R767" s="101"/>
      <c r="V767"/>
    </row>
    <row r="768" spans="14:22">
      <c r="N768" s="6"/>
      <c r="Q768" s="101"/>
      <c r="R768" s="101"/>
      <c r="V768"/>
    </row>
    <row r="769" spans="14:22">
      <c r="N769" s="6"/>
      <c r="Q769" s="101"/>
      <c r="R769" s="101"/>
      <c r="V769"/>
    </row>
    <row r="770" spans="14:22">
      <c r="N770" s="6"/>
      <c r="Q770" s="101"/>
      <c r="R770" s="101"/>
      <c r="V770"/>
    </row>
    <row r="771" spans="14:22">
      <c r="N771" s="6"/>
      <c r="Q771" s="101"/>
      <c r="R771" s="101"/>
      <c r="V771"/>
    </row>
    <row r="772" spans="14:22">
      <c r="N772" s="6"/>
      <c r="Q772" s="101"/>
      <c r="R772" s="101"/>
      <c r="V772"/>
    </row>
    <row r="773" spans="14:22">
      <c r="N773" s="6"/>
      <c r="Q773" s="101"/>
      <c r="R773" s="101"/>
      <c r="V773"/>
    </row>
    <row r="774" spans="14:22">
      <c r="N774" s="6"/>
      <c r="Q774" s="101"/>
      <c r="R774" s="101"/>
      <c r="V774"/>
    </row>
    <row r="775" spans="14:22">
      <c r="N775" s="6"/>
      <c r="Q775" s="101"/>
      <c r="R775" s="101"/>
      <c r="V775"/>
    </row>
    <row r="776" spans="14:22">
      <c r="N776" s="6"/>
      <c r="Q776" s="101"/>
      <c r="R776" s="101"/>
      <c r="V776"/>
    </row>
    <row r="777" spans="14:22">
      <c r="N777" s="6"/>
      <c r="Q777" s="101"/>
      <c r="R777" s="101"/>
      <c r="V777"/>
    </row>
    <row r="778" spans="14:22">
      <c r="N778" s="6"/>
      <c r="Q778" s="101"/>
      <c r="R778" s="101"/>
      <c r="V778"/>
    </row>
    <row r="779" spans="14:22">
      <c r="N779" s="6"/>
      <c r="Q779" s="101"/>
      <c r="R779" s="101"/>
      <c r="V779"/>
    </row>
    <row r="780" spans="14:22">
      <c r="N780" s="6"/>
      <c r="Q780" s="101"/>
      <c r="R780" s="101"/>
      <c r="V780"/>
    </row>
    <row r="781" spans="14:22">
      <c r="N781" s="6"/>
      <c r="Q781" s="101"/>
      <c r="R781" s="101"/>
      <c r="V781"/>
    </row>
    <row r="782" spans="14:22">
      <c r="N782" s="6"/>
      <c r="Q782" s="101"/>
      <c r="R782" s="101"/>
      <c r="V782"/>
    </row>
    <row r="783" spans="14:22">
      <c r="N783" s="6"/>
      <c r="Q783" s="101"/>
      <c r="R783" s="101"/>
      <c r="V783"/>
    </row>
    <row r="784" spans="14:22">
      <c r="N784" s="6"/>
      <c r="Q784" s="101"/>
      <c r="R784" s="101"/>
      <c r="V784"/>
    </row>
    <row r="785" spans="14:22">
      <c r="N785" s="6"/>
      <c r="Q785" s="101"/>
      <c r="R785" s="101"/>
      <c r="V785"/>
    </row>
    <row r="786" spans="14:22">
      <c r="N786" s="6"/>
      <c r="Q786" s="101"/>
      <c r="R786" s="101"/>
      <c r="V786"/>
    </row>
    <row r="787" spans="14:22">
      <c r="N787" s="6"/>
      <c r="Q787" s="101"/>
      <c r="R787" s="101"/>
      <c r="V787"/>
    </row>
    <row r="788" spans="14:22">
      <c r="N788" s="6"/>
      <c r="Q788" s="101"/>
      <c r="R788" s="101"/>
      <c r="V788"/>
    </row>
    <row r="789" spans="14:22">
      <c r="N789" s="6"/>
      <c r="Q789" s="101"/>
      <c r="R789" s="101"/>
      <c r="V789"/>
    </row>
    <row r="790" spans="14:22">
      <c r="N790" s="6"/>
      <c r="Q790" s="101"/>
      <c r="R790" s="101"/>
      <c r="V790"/>
    </row>
    <row r="791" spans="14:22">
      <c r="N791" s="6"/>
      <c r="Q791" s="101"/>
      <c r="R791" s="101"/>
      <c r="V791"/>
    </row>
    <row r="792" spans="14:22">
      <c r="N792" s="6"/>
      <c r="Q792" s="101"/>
      <c r="R792" s="101"/>
      <c r="V792"/>
    </row>
    <row r="793" spans="14:22">
      <c r="N793" s="6"/>
      <c r="Q793" s="101"/>
      <c r="R793" s="101"/>
      <c r="V793"/>
    </row>
    <row r="794" spans="14:22">
      <c r="N794" s="6"/>
      <c r="Q794" s="101"/>
      <c r="R794" s="101"/>
      <c r="V794"/>
    </row>
    <row r="795" spans="14:22">
      <c r="N795" s="6"/>
      <c r="Q795" s="101"/>
      <c r="R795" s="101"/>
      <c r="V795"/>
    </row>
    <row r="796" spans="14:22">
      <c r="N796" s="6"/>
      <c r="Q796" s="101"/>
      <c r="R796" s="101"/>
      <c r="V796"/>
    </row>
    <row r="797" spans="14:22">
      <c r="N797" s="6"/>
      <c r="Q797" s="101"/>
      <c r="R797" s="101"/>
      <c r="V797"/>
    </row>
    <row r="798" spans="14:22">
      <c r="N798" s="6"/>
      <c r="Q798" s="101"/>
      <c r="R798" s="101"/>
      <c r="V798"/>
    </row>
    <row r="799" spans="14:22">
      <c r="N799" s="6"/>
      <c r="Q799" s="101"/>
      <c r="R799" s="101"/>
      <c r="V799"/>
    </row>
    <row r="800" spans="14:22">
      <c r="N800" s="6"/>
      <c r="Q800" s="101"/>
      <c r="R800" s="101"/>
      <c r="V800"/>
    </row>
    <row r="801" spans="14:22">
      <c r="N801" s="6"/>
      <c r="Q801" s="101"/>
      <c r="R801" s="101"/>
      <c r="V801"/>
    </row>
    <row r="802" spans="14:22">
      <c r="N802" s="6"/>
      <c r="Q802" s="101"/>
      <c r="R802" s="101"/>
      <c r="V802"/>
    </row>
    <row r="803" spans="14:22">
      <c r="N803" s="6"/>
      <c r="Q803" s="101"/>
      <c r="R803" s="101"/>
      <c r="V803"/>
    </row>
    <row r="804" spans="14:22">
      <c r="N804" s="6"/>
      <c r="Q804" s="101"/>
      <c r="R804" s="101"/>
      <c r="V804"/>
    </row>
    <row r="805" spans="14:22">
      <c r="N805" s="6"/>
      <c r="Q805" s="101"/>
      <c r="R805" s="101"/>
      <c r="V805"/>
    </row>
    <row r="806" spans="14:22">
      <c r="N806" s="6"/>
      <c r="Q806" s="101"/>
      <c r="R806" s="101"/>
      <c r="V806"/>
    </row>
    <row r="807" spans="14:22">
      <c r="N807" s="6"/>
      <c r="Q807" s="101"/>
      <c r="R807" s="101"/>
      <c r="V807"/>
    </row>
    <row r="808" spans="14:22">
      <c r="N808" s="6"/>
      <c r="Q808" s="101"/>
      <c r="R808" s="101"/>
      <c r="V808"/>
    </row>
    <row r="809" spans="14:22">
      <c r="N809" s="6"/>
      <c r="Q809" s="101"/>
      <c r="R809" s="101"/>
      <c r="V809"/>
    </row>
    <row r="810" spans="14:22">
      <c r="N810" s="6"/>
      <c r="Q810" s="101"/>
      <c r="R810" s="101"/>
      <c r="V810"/>
    </row>
    <row r="811" spans="14:22">
      <c r="N811" s="6"/>
      <c r="Q811" s="101"/>
      <c r="R811" s="101"/>
      <c r="V811"/>
    </row>
    <row r="812" spans="14:22">
      <c r="N812" s="6"/>
      <c r="Q812" s="101"/>
      <c r="R812" s="101"/>
      <c r="V812"/>
    </row>
    <row r="813" spans="14:22">
      <c r="N813" s="6"/>
      <c r="Q813" s="101"/>
      <c r="R813" s="101"/>
      <c r="V813"/>
    </row>
    <row r="814" spans="14:22">
      <c r="N814" s="6"/>
      <c r="Q814" s="101"/>
      <c r="R814" s="101"/>
      <c r="V814"/>
    </row>
    <row r="815" spans="14:22">
      <c r="N815" s="6"/>
      <c r="Q815" s="101"/>
      <c r="R815" s="101"/>
      <c r="V815"/>
    </row>
    <row r="816" spans="14:22">
      <c r="N816" s="6"/>
      <c r="Q816" s="101"/>
      <c r="R816" s="101"/>
      <c r="V816"/>
    </row>
    <row r="817" spans="14:22">
      <c r="N817" s="6"/>
      <c r="Q817" s="101"/>
      <c r="R817" s="101"/>
      <c r="V817"/>
    </row>
    <row r="818" spans="14:22">
      <c r="N818" s="6"/>
      <c r="Q818" s="101"/>
      <c r="R818" s="101"/>
      <c r="V818"/>
    </row>
    <row r="819" spans="14:22">
      <c r="N819" s="6"/>
      <c r="Q819" s="101"/>
      <c r="R819" s="101"/>
      <c r="V819"/>
    </row>
    <row r="820" spans="14:22">
      <c r="N820" s="6"/>
      <c r="Q820" s="101"/>
      <c r="R820" s="101"/>
      <c r="V820"/>
    </row>
    <row r="821" spans="14:22">
      <c r="N821" s="6"/>
      <c r="Q821" s="101"/>
      <c r="R821" s="101"/>
      <c r="V821"/>
    </row>
    <row r="822" spans="14:22">
      <c r="N822" s="6"/>
      <c r="Q822" s="101"/>
      <c r="R822" s="101"/>
      <c r="V822"/>
    </row>
    <row r="823" spans="14:22">
      <c r="N823" s="6"/>
      <c r="Q823" s="101"/>
      <c r="R823" s="101"/>
      <c r="V823"/>
    </row>
    <row r="824" spans="14:22">
      <c r="N824" s="6"/>
      <c r="Q824" s="101"/>
      <c r="R824" s="101"/>
      <c r="V824"/>
    </row>
    <row r="825" spans="14:22">
      <c r="N825" s="6"/>
      <c r="Q825" s="101"/>
      <c r="R825" s="101"/>
      <c r="V825"/>
    </row>
    <row r="826" spans="14:22">
      <c r="N826" s="6"/>
      <c r="Q826" s="101"/>
      <c r="R826" s="101"/>
      <c r="V826"/>
    </row>
    <row r="827" spans="14:22">
      <c r="N827" s="6"/>
      <c r="Q827" s="101"/>
      <c r="R827" s="101"/>
      <c r="V827"/>
    </row>
    <row r="828" spans="14:22">
      <c r="N828" s="6"/>
      <c r="Q828" s="101"/>
      <c r="R828" s="101"/>
      <c r="V828"/>
    </row>
    <row r="829" spans="14:22">
      <c r="N829" s="6"/>
      <c r="Q829" s="101"/>
      <c r="R829" s="101"/>
      <c r="V829"/>
    </row>
    <row r="830" spans="14:22">
      <c r="N830" s="6"/>
      <c r="Q830" s="101"/>
      <c r="R830" s="101"/>
      <c r="V830"/>
    </row>
    <row r="831" spans="14:22">
      <c r="N831" s="6"/>
      <c r="Q831" s="101"/>
      <c r="R831" s="101"/>
      <c r="V831"/>
    </row>
    <row r="832" spans="14:22">
      <c r="N832" s="6"/>
      <c r="Q832" s="101"/>
      <c r="R832" s="101"/>
      <c r="V832"/>
    </row>
    <row r="833" spans="14:22">
      <c r="N833" s="6"/>
      <c r="Q833" s="101"/>
      <c r="R833" s="101"/>
      <c r="V833"/>
    </row>
    <row r="834" spans="14:22">
      <c r="N834" s="6"/>
      <c r="Q834" s="101"/>
      <c r="R834" s="101"/>
      <c r="V834"/>
    </row>
    <row r="835" spans="14:22">
      <c r="N835" s="6"/>
      <c r="Q835" s="101"/>
      <c r="R835" s="101"/>
      <c r="V835"/>
    </row>
    <row r="836" spans="14:22">
      <c r="N836" s="6"/>
      <c r="Q836" s="101"/>
      <c r="R836" s="101"/>
      <c r="V836"/>
    </row>
    <row r="837" spans="14:22">
      <c r="N837" s="6"/>
      <c r="Q837" s="101"/>
      <c r="R837" s="101"/>
      <c r="V837"/>
    </row>
    <row r="838" spans="14:22">
      <c r="N838" s="6"/>
      <c r="Q838" s="101"/>
      <c r="R838" s="101"/>
      <c r="V838"/>
    </row>
    <row r="839" spans="14:22">
      <c r="N839" s="6"/>
      <c r="Q839" s="101"/>
      <c r="R839" s="101"/>
      <c r="V839"/>
    </row>
    <row r="840" spans="14:22">
      <c r="N840" s="6"/>
      <c r="Q840" s="101"/>
      <c r="R840" s="101"/>
      <c r="V840"/>
    </row>
    <row r="841" spans="14:22">
      <c r="N841" s="6"/>
      <c r="Q841" s="101"/>
      <c r="R841" s="101"/>
      <c r="V841"/>
    </row>
    <row r="842" spans="14:22">
      <c r="N842" s="6"/>
      <c r="Q842" s="101"/>
      <c r="R842" s="101"/>
      <c r="V842"/>
    </row>
    <row r="843" spans="14:22">
      <c r="N843" s="6"/>
      <c r="Q843" s="101"/>
      <c r="R843" s="101"/>
      <c r="V843"/>
    </row>
    <row r="844" spans="14:22">
      <c r="N844" s="6"/>
      <c r="Q844" s="101"/>
      <c r="R844" s="101"/>
      <c r="V844"/>
    </row>
    <row r="845" spans="14:22">
      <c r="N845" s="6"/>
      <c r="Q845" s="101"/>
      <c r="R845" s="101"/>
      <c r="V845"/>
    </row>
    <row r="846" spans="14:22">
      <c r="N846" s="6"/>
      <c r="Q846" s="101"/>
      <c r="R846" s="101"/>
      <c r="V846"/>
    </row>
    <row r="847" spans="14:22">
      <c r="N847" s="6"/>
      <c r="Q847" s="101"/>
      <c r="R847" s="101"/>
      <c r="V847"/>
    </row>
    <row r="848" spans="14:22">
      <c r="N848" s="6"/>
      <c r="Q848" s="101"/>
      <c r="R848" s="101"/>
      <c r="V848"/>
    </row>
    <row r="849" spans="14:22">
      <c r="N849" s="6"/>
      <c r="Q849" s="101"/>
      <c r="R849" s="101"/>
      <c r="V849"/>
    </row>
    <row r="850" spans="14:22">
      <c r="N850" s="6"/>
      <c r="Q850" s="101"/>
      <c r="R850" s="101"/>
      <c r="V850"/>
    </row>
    <row r="851" spans="14:22">
      <c r="N851" s="6"/>
      <c r="Q851" s="101"/>
      <c r="R851" s="101"/>
      <c r="V851"/>
    </row>
    <row r="852" spans="14:22">
      <c r="N852" s="6"/>
      <c r="Q852" s="101"/>
      <c r="R852" s="101"/>
      <c r="V852"/>
    </row>
    <row r="853" spans="14:22">
      <c r="N853" s="6"/>
      <c r="Q853" s="101"/>
      <c r="R853" s="101"/>
      <c r="V853"/>
    </row>
    <row r="854" spans="14:22">
      <c r="N854" s="6"/>
      <c r="Q854" s="101"/>
      <c r="R854" s="101"/>
      <c r="V854"/>
    </row>
    <row r="855" spans="14:22">
      <c r="N855" s="6"/>
      <c r="Q855" s="101"/>
      <c r="R855" s="101"/>
      <c r="V855"/>
    </row>
    <row r="856" spans="14:22">
      <c r="N856" s="6"/>
      <c r="Q856" s="101"/>
      <c r="R856" s="101"/>
      <c r="V856"/>
    </row>
    <row r="857" spans="14:22">
      <c r="N857" s="6"/>
      <c r="Q857" s="101"/>
      <c r="R857" s="101"/>
      <c r="V857"/>
    </row>
    <row r="858" spans="14:22">
      <c r="N858" s="6"/>
      <c r="Q858" s="101"/>
      <c r="R858" s="101"/>
      <c r="V858"/>
    </row>
    <row r="859" spans="14:22">
      <c r="N859" s="6"/>
      <c r="Q859" s="101"/>
      <c r="R859" s="101"/>
      <c r="V859"/>
    </row>
    <row r="860" spans="14:22">
      <c r="N860" s="6"/>
      <c r="Q860" s="101"/>
      <c r="R860" s="101"/>
      <c r="V860"/>
    </row>
    <row r="861" spans="14:22">
      <c r="N861" s="6"/>
      <c r="Q861" s="101"/>
      <c r="R861" s="101"/>
      <c r="V861"/>
    </row>
    <row r="862" spans="14:22">
      <c r="N862" s="6"/>
      <c r="Q862" s="101"/>
      <c r="R862" s="101"/>
      <c r="V862"/>
    </row>
    <row r="863" spans="14:22">
      <c r="N863" s="6"/>
      <c r="Q863" s="101"/>
      <c r="R863" s="101"/>
      <c r="V863"/>
    </row>
    <row r="864" spans="14:22">
      <c r="N864" s="6"/>
      <c r="Q864" s="101"/>
      <c r="R864" s="101"/>
      <c r="V864"/>
    </row>
    <row r="865" spans="14:22">
      <c r="N865" s="6"/>
      <c r="Q865" s="101"/>
      <c r="R865" s="101"/>
      <c r="V865"/>
    </row>
    <row r="866" spans="14:22">
      <c r="N866" s="6"/>
      <c r="Q866" s="101"/>
      <c r="R866" s="101"/>
      <c r="V866"/>
    </row>
    <row r="867" spans="14:22">
      <c r="N867" s="6"/>
      <c r="Q867" s="101"/>
      <c r="R867" s="101"/>
      <c r="V867"/>
    </row>
    <row r="868" spans="14:22">
      <c r="N868" s="6"/>
      <c r="Q868" s="101"/>
      <c r="R868" s="101"/>
      <c r="V868"/>
    </row>
    <row r="869" spans="14:22">
      <c r="N869" s="6"/>
      <c r="Q869" s="101"/>
      <c r="R869" s="101"/>
      <c r="V869"/>
    </row>
    <row r="870" spans="14:22">
      <c r="N870" s="6"/>
      <c r="Q870" s="101"/>
      <c r="R870" s="101"/>
      <c r="V870"/>
    </row>
    <row r="871" spans="14:22">
      <c r="N871" s="6"/>
      <c r="Q871" s="101"/>
      <c r="R871" s="101"/>
      <c r="V871"/>
    </row>
    <row r="872" spans="14:22">
      <c r="N872" s="6"/>
      <c r="Q872" s="101"/>
      <c r="R872" s="101"/>
      <c r="V872"/>
    </row>
    <row r="873" spans="14:22">
      <c r="N873" s="6"/>
      <c r="Q873" s="101"/>
      <c r="R873" s="101"/>
      <c r="V873"/>
    </row>
    <row r="874" spans="14:22">
      <c r="N874" s="6"/>
      <c r="Q874" s="101"/>
      <c r="R874" s="101"/>
      <c r="V874"/>
    </row>
    <row r="875" spans="14:22">
      <c r="N875" s="6"/>
      <c r="Q875" s="101"/>
      <c r="R875" s="101"/>
      <c r="V875"/>
    </row>
    <row r="876" spans="14:22">
      <c r="N876" s="6"/>
      <c r="Q876" s="101"/>
      <c r="R876" s="101"/>
      <c r="V876"/>
    </row>
    <row r="877" spans="14:22">
      <c r="N877" s="6"/>
      <c r="Q877" s="101"/>
      <c r="R877" s="101"/>
      <c r="V877"/>
    </row>
    <row r="878" spans="14:22">
      <c r="N878" s="6"/>
      <c r="Q878" s="101"/>
      <c r="R878" s="101"/>
      <c r="V878"/>
    </row>
    <row r="879" spans="14:22">
      <c r="N879" s="6"/>
      <c r="Q879" s="101"/>
      <c r="R879" s="101"/>
      <c r="V879"/>
    </row>
    <row r="880" spans="14:22">
      <c r="N880" s="6"/>
      <c r="Q880" s="101"/>
      <c r="R880" s="101"/>
      <c r="V880"/>
    </row>
    <row r="881" spans="14:22">
      <c r="N881" s="6"/>
      <c r="Q881" s="101"/>
      <c r="R881" s="101"/>
      <c r="V881"/>
    </row>
    <row r="882" spans="14:22">
      <c r="N882" s="6"/>
      <c r="Q882" s="101"/>
      <c r="R882" s="101"/>
      <c r="V882"/>
    </row>
    <row r="883" spans="14:22">
      <c r="N883" s="6"/>
      <c r="Q883" s="101"/>
      <c r="R883" s="101"/>
      <c r="V883"/>
    </row>
    <row r="884" spans="14:22">
      <c r="N884" s="6"/>
      <c r="Q884" s="101"/>
      <c r="R884" s="101"/>
      <c r="V884"/>
    </row>
    <row r="885" spans="14:22">
      <c r="N885" s="6"/>
      <c r="Q885" s="101"/>
      <c r="R885" s="101"/>
      <c r="V885"/>
    </row>
    <row r="886" spans="14:22">
      <c r="N886" s="6"/>
      <c r="Q886" s="101"/>
      <c r="R886" s="101"/>
      <c r="V886"/>
    </row>
    <row r="887" spans="14:22">
      <c r="N887" s="6"/>
      <c r="Q887" s="101"/>
      <c r="R887" s="101"/>
      <c r="V887"/>
    </row>
    <row r="888" spans="14:22">
      <c r="N888" s="6"/>
      <c r="Q888" s="101"/>
      <c r="R888" s="101"/>
      <c r="V888"/>
    </row>
    <row r="889" spans="14:22">
      <c r="N889" s="6"/>
      <c r="Q889" s="101"/>
      <c r="R889" s="101"/>
      <c r="V889"/>
    </row>
    <row r="890" spans="14:22">
      <c r="N890" s="6"/>
      <c r="Q890" s="101"/>
      <c r="R890" s="101"/>
      <c r="V890"/>
    </row>
    <row r="891" spans="14:22">
      <c r="N891" s="6"/>
      <c r="Q891" s="101"/>
      <c r="R891" s="101"/>
      <c r="V891"/>
    </row>
    <row r="892" spans="14:22">
      <c r="N892" s="6"/>
      <c r="Q892" s="101"/>
      <c r="R892" s="101"/>
      <c r="V892"/>
    </row>
    <row r="893" spans="14:22">
      <c r="N893" s="6"/>
      <c r="Q893" s="101"/>
      <c r="R893" s="101"/>
      <c r="V893"/>
    </row>
    <row r="894" spans="14:22">
      <c r="N894" s="6"/>
      <c r="Q894" s="101"/>
      <c r="R894" s="101"/>
      <c r="V894"/>
    </row>
    <row r="895" spans="14:22">
      <c r="N895" s="6"/>
      <c r="Q895" s="101"/>
      <c r="R895" s="101"/>
      <c r="V895"/>
    </row>
    <row r="896" spans="14:22">
      <c r="N896" s="6"/>
      <c r="Q896" s="101"/>
      <c r="R896" s="101"/>
      <c r="V896"/>
    </row>
    <row r="897" spans="14:22">
      <c r="N897" s="6"/>
      <c r="Q897" s="101"/>
      <c r="R897" s="101"/>
      <c r="V897"/>
    </row>
    <row r="898" spans="14:22">
      <c r="N898" s="6"/>
      <c r="Q898" s="101"/>
      <c r="R898" s="101"/>
      <c r="V898"/>
    </row>
    <row r="899" spans="14:22">
      <c r="N899" s="6"/>
      <c r="Q899" s="101"/>
      <c r="R899" s="101"/>
      <c r="V899"/>
    </row>
    <row r="900" spans="14:22">
      <c r="N900" s="6"/>
      <c r="Q900" s="101"/>
      <c r="R900" s="101"/>
      <c r="V900"/>
    </row>
    <row r="901" spans="14:22">
      <c r="N901" s="6"/>
      <c r="Q901" s="101"/>
      <c r="R901" s="101"/>
      <c r="V901"/>
    </row>
    <row r="902" spans="14:22">
      <c r="N902" s="6"/>
      <c r="Q902" s="101"/>
      <c r="R902" s="101"/>
      <c r="V902"/>
    </row>
    <row r="903" spans="14:22">
      <c r="N903" s="6"/>
      <c r="Q903" s="101"/>
      <c r="R903" s="101"/>
      <c r="V903"/>
    </row>
    <row r="904" spans="14:22">
      <c r="N904" s="6"/>
      <c r="Q904" s="101"/>
      <c r="R904" s="101"/>
      <c r="V904"/>
    </row>
    <row r="905" spans="14:22">
      <c r="N905" s="6"/>
      <c r="Q905" s="101"/>
      <c r="R905" s="101"/>
      <c r="V905"/>
    </row>
    <row r="906" spans="14:22">
      <c r="N906" s="6"/>
      <c r="Q906" s="101"/>
      <c r="R906" s="101"/>
      <c r="V906"/>
    </row>
    <row r="907" spans="14:22">
      <c r="N907" s="6"/>
      <c r="Q907" s="101"/>
      <c r="R907" s="101"/>
      <c r="V907"/>
    </row>
    <row r="908" spans="14:22">
      <c r="N908" s="6"/>
      <c r="Q908" s="101"/>
      <c r="R908" s="101"/>
      <c r="V908"/>
    </row>
    <row r="909" spans="14:22">
      <c r="N909" s="6"/>
      <c r="Q909" s="101"/>
      <c r="R909" s="101"/>
      <c r="V909"/>
    </row>
    <row r="910" spans="14:22">
      <c r="N910" s="6"/>
      <c r="Q910" s="101"/>
      <c r="R910" s="101"/>
      <c r="V910"/>
    </row>
    <row r="911" spans="14:22">
      <c r="N911" s="6"/>
      <c r="Q911" s="101"/>
      <c r="R911" s="101"/>
      <c r="V911"/>
    </row>
    <row r="912" spans="14:22">
      <c r="N912" s="6"/>
      <c r="Q912" s="101"/>
      <c r="R912" s="101"/>
      <c r="V912"/>
    </row>
    <row r="913" spans="14:22">
      <c r="N913" s="6"/>
      <c r="Q913" s="101"/>
      <c r="R913" s="101"/>
      <c r="V913"/>
    </row>
    <row r="914" spans="14:22">
      <c r="N914" s="6"/>
      <c r="Q914" s="101"/>
      <c r="R914" s="101"/>
      <c r="V914"/>
    </row>
    <row r="915" spans="14:22">
      <c r="N915" s="6"/>
      <c r="Q915" s="101"/>
      <c r="R915" s="101"/>
      <c r="V915"/>
    </row>
    <row r="916" spans="14:22">
      <c r="N916" s="6"/>
      <c r="Q916" s="101"/>
      <c r="R916" s="101"/>
      <c r="V916"/>
    </row>
    <row r="917" spans="14:22">
      <c r="N917" s="6"/>
      <c r="Q917" s="101"/>
      <c r="R917" s="101"/>
      <c r="V917"/>
    </row>
    <row r="918" spans="14:22">
      <c r="N918" s="6"/>
      <c r="Q918" s="101"/>
      <c r="R918" s="101"/>
      <c r="V918"/>
    </row>
    <row r="919" spans="14:22">
      <c r="N919" s="6"/>
      <c r="Q919" s="101"/>
      <c r="R919" s="101"/>
      <c r="V919"/>
    </row>
    <row r="920" spans="14:22">
      <c r="N920" s="6"/>
      <c r="Q920" s="101"/>
      <c r="R920" s="101"/>
      <c r="V920"/>
    </row>
    <row r="921" spans="14:22">
      <c r="N921" s="6"/>
      <c r="Q921" s="101"/>
      <c r="R921" s="101"/>
      <c r="V921"/>
    </row>
    <row r="922" spans="14:22">
      <c r="N922" s="6"/>
      <c r="Q922" s="101"/>
      <c r="R922" s="101"/>
      <c r="V922"/>
    </row>
    <row r="923" spans="14:22">
      <c r="N923" s="6"/>
      <c r="Q923" s="101"/>
      <c r="R923" s="101"/>
      <c r="V923"/>
    </row>
    <row r="924" spans="14:22">
      <c r="N924" s="6"/>
      <c r="Q924" s="101"/>
      <c r="R924" s="101"/>
      <c r="V924"/>
    </row>
    <row r="925" spans="14:22">
      <c r="N925" s="6"/>
      <c r="Q925" s="101"/>
      <c r="R925" s="101"/>
      <c r="V925"/>
    </row>
    <row r="926" spans="14:22">
      <c r="N926" s="6"/>
      <c r="Q926" s="101"/>
      <c r="R926" s="101"/>
      <c r="V926"/>
    </row>
    <row r="927" spans="14:22">
      <c r="N927" s="6"/>
      <c r="Q927" s="101"/>
      <c r="R927" s="101"/>
      <c r="V927"/>
    </row>
    <row r="928" spans="14:22">
      <c r="N928" s="6"/>
      <c r="Q928" s="101"/>
      <c r="R928" s="101"/>
      <c r="V928"/>
    </row>
    <row r="929" spans="14:22">
      <c r="N929" s="6"/>
      <c r="Q929" s="101"/>
      <c r="R929" s="101"/>
      <c r="V929"/>
    </row>
    <row r="930" spans="14:22">
      <c r="N930" s="6"/>
      <c r="Q930" s="101"/>
      <c r="R930" s="101"/>
      <c r="V930"/>
    </row>
    <row r="931" spans="14:22">
      <c r="N931" s="6"/>
      <c r="Q931" s="101"/>
      <c r="R931" s="101"/>
      <c r="V931"/>
    </row>
    <row r="932" spans="14:22">
      <c r="N932" s="6"/>
      <c r="Q932" s="101"/>
      <c r="R932" s="101"/>
      <c r="V932"/>
    </row>
    <row r="933" spans="14:22">
      <c r="N933" s="6"/>
      <c r="Q933" s="101"/>
      <c r="R933" s="101"/>
      <c r="V933"/>
    </row>
    <row r="934" spans="14:22">
      <c r="N934" s="6"/>
      <c r="Q934" s="101"/>
      <c r="R934" s="101"/>
      <c r="V934"/>
    </row>
    <row r="935" spans="14:22">
      <c r="N935" s="6"/>
      <c r="Q935" s="101"/>
      <c r="R935" s="101"/>
      <c r="V935"/>
    </row>
    <row r="936" spans="14:22">
      <c r="N936" s="6"/>
      <c r="Q936" s="101"/>
      <c r="R936" s="101"/>
      <c r="V936"/>
    </row>
    <row r="937" spans="14:22">
      <c r="N937" s="6"/>
      <c r="Q937" s="101"/>
      <c r="R937" s="101"/>
      <c r="V937"/>
    </row>
    <row r="938" spans="14:22">
      <c r="N938" s="6"/>
      <c r="Q938" s="101"/>
      <c r="R938" s="101"/>
      <c r="V938"/>
    </row>
    <row r="939" spans="14:22">
      <c r="N939" s="6"/>
      <c r="Q939" s="101"/>
      <c r="R939" s="101"/>
      <c r="V939"/>
    </row>
    <row r="940" spans="14:22">
      <c r="N940" s="6"/>
      <c r="Q940" s="101"/>
      <c r="R940" s="101"/>
      <c r="V940"/>
    </row>
    <row r="941" spans="14:22">
      <c r="N941" s="6"/>
      <c r="Q941" s="101"/>
      <c r="R941" s="101"/>
      <c r="V941"/>
    </row>
    <row r="942" spans="14:22">
      <c r="N942" s="6"/>
      <c r="Q942" s="101"/>
      <c r="R942" s="101"/>
      <c r="V942"/>
    </row>
    <row r="943" spans="14:22">
      <c r="N943" s="6"/>
      <c r="Q943" s="101"/>
      <c r="R943" s="101"/>
      <c r="V943"/>
    </row>
    <row r="944" spans="14:22">
      <c r="N944" s="6"/>
      <c r="Q944" s="101"/>
      <c r="R944" s="101"/>
      <c r="V944"/>
    </row>
    <row r="945" spans="14:22">
      <c r="N945" s="6"/>
      <c r="Q945" s="101"/>
      <c r="R945" s="101"/>
      <c r="V945"/>
    </row>
    <row r="946" spans="14:22">
      <c r="N946" s="6"/>
      <c r="Q946" s="101"/>
      <c r="R946" s="101"/>
      <c r="V946"/>
    </row>
    <row r="947" spans="14:22">
      <c r="N947" s="6"/>
      <c r="Q947" s="101"/>
      <c r="R947" s="101"/>
      <c r="V947"/>
    </row>
    <row r="948" spans="14:22">
      <c r="N948" s="6"/>
      <c r="Q948" s="101"/>
      <c r="R948" s="101"/>
      <c r="V948"/>
    </row>
    <row r="949" spans="14:22">
      <c r="N949" s="6"/>
      <c r="Q949" s="101"/>
      <c r="R949" s="101"/>
      <c r="V949"/>
    </row>
    <row r="950" spans="14:22">
      <c r="N950" s="6"/>
      <c r="Q950" s="101"/>
      <c r="R950" s="101"/>
      <c r="V950"/>
    </row>
    <row r="951" spans="14:22">
      <c r="N951" s="6"/>
      <c r="Q951" s="101"/>
      <c r="R951" s="101"/>
      <c r="V951"/>
    </row>
    <row r="952" spans="14:22">
      <c r="N952" s="6"/>
      <c r="Q952" s="101"/>
      <c r="R952" s="101"/>
      <c r="V952"/>
    </row>
    <row r="953" spans="14:22">
      <c r="N953" s="6"/>
      <c r="Q953" s="101"/>
      <c r="R953" s="101"/>
      <c r="V953"/>
    </row>
    <row r="954" spans="14:22">
      <c r="N954" s="6"/>
      <c r="Q954" s="101"/>
      <c r="R954" s="101"/>
      <c r="V954"/>
    </row>
    <row r="955" spans="14:22">
      <c r="N955" s="6"/>
      <c r="Q955" s="101"/>
      <c r="R955" s="101"/>
      <c r="V955"/>
    </row>
    <row r="956" spans="14:22">
      <c r="N956" s="6"/>
      <c r="Q956" s="101"/>
      <c r="R956" s="101"/>
      <c r="V956"/>
    </row>
    <row r="957" spans="14:22">
      <c r="N957" s="6"/>
      <c r="Q957" s="101"/>
      <c r="R957" s="101"/>
      <c r="V957"/>
    </row>
    <row r="958" spans="14:22">
      <c r="N958" s="6"/>
      <c r="Q958" s="101"/>
      <c r="R958" s="101"/>
      <c r="V958"/>
    </row>
    <row r="959" spans="14:22">
      <c r="N959" s="6"/>
      <c r="Q959" s="101"/>
      <c r="R959" s="101"/>
      <c r="V959"/>
    </row>
    <row r="960" spans="14:22">
      <c r="N960" s="6"/>
      <c r="Q960" s="101"/>
      <c r="R960" s="101"/>
      <c r="V960"/>
    </row>
    <row r="961" spans="14:22">
      <c r="N961" s="6"/>
      <c r="Q961" s="101"/>
      <c r="R961" s="101"/>
      <c r="V961"/>
    </row>
    <row r="962" spans="14:22">
      <c r="N962" s="6"/>
      <c r="Q962" s="101"/>
      <c r="R962" s="101"/>
      <c r="V962"/>
    </row>
    <row r="963" spans="14:22">
      <c r="N963" s="6"/>
      <c r="Q963" s="101"/>
      <c r="R963" s="101"/>
      <c r="V963"/>
    </row>
    <row r="964" spans="14:22">
      <c r="N964" s="6"/>
      <c r="Q964" s="101"/>
      <c r="R964" s="101"/>
      <c r="V964"/>
    </row>
    <row r="965" spans="14:22">
      <c r="N965" s="6"/>
      <c r="Q965" s="101"/>
      <c r="R965" s="101"/>
      <c r="V965"/>
    </row>
    <row r="966" spans="14:22">
      <c r="N966" s="6"/>
      <c r="Q966" s="101"/>
      <c r="R966" s="101"/>
      <c r="V966"/>
    </row>
    <row r="967" spans="14:22">
      <c r="N967" s="6"/>
      <c r="Q967" s="101"/>
      <c r="R967" s="101"/>
      <c r="V967"/>
    </row>
    <row r="968" spans="14:22">
      <c r="N968" s="6"/>
      <c r="Q968" s="101"/>
      <c r="R968" s="101"/>
      <c r="V968"/>
    </row>
    <row r="969" spans="14:22">
      <c r="N969" s="6"/>
      <c r="Q969" s="101"/>
      <c r="R969" s="101"/>
      <c r="V969"/>
    </row>
    <row r="970" spans="14:22">
      <c r="N970" s="6"/>
      <c r="Q970" s="101"/>
      <c r="R970" s="101"/>
      <c r="V970"/>
    </row>
    <row r="971" spans="14:22">
      <c r="N971" s="6"/>
      <c r="Q971" s="101"/>
      <c r="R971" s="101"/>
      <c r="V971"/>
    </row>
    <row r="972" spans="14:22">
      <c r="N972" s="6"/>
      <c r="Q972" s="101"/>
      <c r="R972" s="101"/>
      <c r="V972"/>
    </row>
    <row r="973" spans="14:22">
      <c r="N973" s="6"/>
      <c r="Q973" s="101"/>
      <c r="R973" s="101"/>
      <c r="V973"/>
    </row>
    <row r="974" spans="14:22">
      <c r="N974" s="6"/>
      <c r="Q974" s="101"/>
      <c r="R974" s="101"/>
      <c r="V974"/>
    </row>
    <row r="975" spans="14:22">
      <c r="N975" s="6"/>
      <c r="Q975" s="101"/>
      <c r="R975" s="101"/>
      <c r="V975"/>
    </row>
    <row r="976" spans="14:22">
      <c r="N976" s="6"/>
      <c r="Q976" s="101"/>
      <c r="R976" s="101"/>
      <c r="V976"/>
    </row>
    <row r="977" spans="14:22">
      <c r="N977" s="6"/>
      <c r="Q977" s="101"/>
      <c r="R977" s="101"/>
      <c r="V977"/>
    </row>
    <row r="978" spans="14:22">
      <c r="N978" s="6"/>
      <c r="Q978" s="101"/>
      <c r="R978" s="101"/>
      <c r="V978"/>
    </row>
    <row r="979" spans="14:22">
      <c r="N979" s="6"/>
      <c r="Q979" s="101"/>
      <c r="R979" s="101"/>
      <c r="V979"/>
    </row>
    <row r="980" spans="14:22">
      <c r="N980" s="6"/>
      <c r="Q980" s="101"/>
      <c r="R980" s="101"/>
      <c r="V980"/>
    </row>
    <row r="981" spans="14:22">
      <c r="N981" s="6"/>
      <c r="Q981" s="101"/>
      <c r="R981" s="101"/>
      <c r="V981"/>
    </row>
    <row r="982" spans="14:22">
      <c r="N982" s="6"/>
      <c r="Q982" s="101"/>
      <c r="R982" s="101"/>
      <c r="V982"/>
    </row>
    <row r="983" spans="14:22">
      <c r="N983" s="6"/>
      <c r="Q983" s="101"/>
      <c r="R983" s="101"/>
      <c r="V983"/>
    </row>
    <row r="984" spans="14:22">
      <c r="N984" s="6"/>
      <c r="Q984" s="101"/>
      <c r="R984" s="101"/>
      <c r="V984"/>
    </row>
    <row r="985" spans="14:22">
      <c r="N985" s="6"/>
      <c r="Q985" s="101"/>
      <c r="R985" s="101"/>
      <c r="V985"/>
    </row>
    <row r="986" spans="14:22">
      <c r="N986" s="6"/>
      <c r="Q986" s="101"/>
      <c r="R986" s="101"/>
      <c r="V986"/>
    </row>
    <row r="987" spans="14:22">
      <c r="N987" s="6"/>
      <c r="Q987" s="101"/>
      <c r="R987" s="101"/>
      <c r="V987"/>
    </row>
    <row r="988" spans="14:22">
      <c r="N988" s="6"/>
      <c r="Q988" s="101"/>
      <c r="R988" s="101"/>
      <c r="V988"/>
    </row>
    <row r="989" spans="14:22">
      <c r="N989" s="6"/>
      <c r="Q989" s="101"/>
      <c r="R989" s="101"/>
      <c r="V989"/>
    </row>
    <row r="990" spans="14:22">
      <c r="N990" s="6"/>
      <c r="Q990" s="101"/>
      <c r="R990" s="101"/>
      <c r="V990"/>
    </row>
    <row r="991" spans="14:22">
      <c r="N991" s="6"/>
      <c r="Q991" s="101"/>
      <c r="R991" s="101"/>
      <c r="V991"/>
    </row>
    <row r="992" spans="14:22">
      <c r="N992" s="6"/>
      <c r="Q992" s="101"/>
      <c r="R992" s="101"/>
      <c r="V992"/>
    </row>
    <row r="993" spans="14:22">
      <c r="N993" s="6"/>
      <c r="Q993" s="101"/>
      <c r="R993" s="101"/>
      <c r="V993"/>
    </row>
    <row r="994" spans="14:22">
      <c r="N994" s="6"/>
      <c r="Q994" s="101"/>
      <c r="R994" s="101"/>
      <c r="V994"/>
    </row>
    <row r="995" spans="14:22">
      <c r="N995" s="6"/>
      <c r="Q995" s="101"/>
      <c r="R995" s="101"/>
      <c r="V995"/>
    </row>
    <row r="996" spans="14:22">
      <c r="N996" s="6"/>
      <c r="Q996" s="101"/>
      <c r="R996" s="101"/>
      <c r="V996"/>
    </row>
    <row r="997" spans="14:22">
      <c r="N997" s="6"/>
      <c r="Q997" s="101"/>
      <c r="R997" s="101"/>
      <c r="V997"/>
    </row>
    <row r="998" spans="14:22">
      <c r="N998" s="6"/>
      <c r="Q998" s="101"/>
      <c r="R998" s="101"/>
      <c r="V998"/>
    </row>
    <row r="999" spans="14:22">
      <c r="N999" s="6"/>
      <c r="Q999" s="101"/>
      <c r="R999" s="101"/>
      <c r="V999"/>
    </row>
    <row r="1000" spans="14:22">
      <c r="N1000" s="6"/>
      <c r="Q1000" s="101"/>
      <c r="R1000" s="101"/>
      <c r="V1000"/>
    </row>
    <row r="1001" spans="14:22">
      <c r="N1001" s="6"/>
      <c r="Q1001" s="101"/>
      <c r="R1001" s="101"/>
      <c r="V1001"/>
    </row>
    <row r="1002" spans="14:22">
      <c r="N1002" s="6"/>
      <c r="Q1002" s="101"/>
      <c r="R1002" s="101"/>
      <c r="V1002"/>
    </row>
    <row r="1003" spans="14:22">
      <c r="N1003" s="6"/>
      <c r="Q1003" s="101"/>
      <c r="R1003" s="101"/>
      <c r="V1003"/>
    </row>
    <row r="1004" spans="14:22">
      <c r="N1004" s="6"/>
      <c r="Q1004" s="101"/>
      <c r="R1004" s="101"/>
      <c r="V1004"/>
    </row>
    <row r="1005" spans="14:22">
      <c r="N1005" s="6"/>
      <c r="Q1005" s="101"/>
      <c r="R1005" s="101"/>
      <c r="V1005"/>
    </row>
    <row r="1006" spans="14:22">
      <c r="N1006" s="6"/>
      <c r="Q1006" s="101"/>
      <c r="R1006" s="101"/>
      <c r="V1006"/>
    </row>
    <row r="1007" spans="14:22">
      <c r="N1007" s="6"/>
      <c r="Q1007" s="101"/>
      <c r="R1007" s="101"/>
      <c r="V1007"/>
    </row>
    <row r="1008" spans="14:22">
      <c r="N1008" s="6"/>
      <c r="Q1008" s="101"/>
      <c r="R1008" s="101"/>
      <c r="V1008"/>
    </row>
    <row r="1009" spans="14:22">
      <c r="N1009" s="6"/>
      <c r="Q1009" s="101"/>
      <c r="R1009" s="101"/>
      <c r="V1009"/>
    </row>
    <row r="1010" spans="14:22">
      <c r="N1010" s="6"/>
      <c r="Q1010" s="101"/>
      <c r="R1010" s="101"/>
      <c r="V1010"/>
    </row>
    <row r="1011" spans="14:22">
      <c r="N1011" s="6"/>
      <c r="Q1011" s="101"/>
      <c r="R1011" s="101"/>
      <c r="V1011"/>
    </row>
    <row r="1012" spans="14:22">
      <c r="N1012" s="6"/>
      <c r="Q1012" s="101"/>
      <c r="R1012" s="101"/>
      <c r="V1012"/>
    </row>
    <row r="1013" spans="14:22">
      <c r="N1013" s="6"/>
      <c r="Q1013" s="101"/>
      <c r="R1013" s="101"/>
      <c r="V1013"/>
    </row>
    <row r="1014" spans="14:22">
      <c r="N1014" s="6"/>
      <c r="Q1014" s="101"/>
      <c r="R1014" s="101"/>
      <c r="V1014"/>
    </row>
    <row r="1015" spans="14:22">
      <c r="N1015" s="6"/>
      <c r="Q1015" s="101"/>
      <c r="R1015" s="101"/>
      <c r="V1015"/>
    </row>
    <row r="1016" spans="14:22">
      <c r="N1016" s="6"/>
      <c r="Q1016" s="101"/>
      <c r="R1016" s="101"/>
      <c r="V1016"/>
    </row>
    <row r="1017" spans="14:22">
      <c r="N1017" s="6"/>
      <c r="Q1017" s="101"/>
      <c r="R1017" s="101"/>
      <c r="V1017"/>
    </row>
    <row r="1018" spans="14:22">
      <c r="N1018" s="6"/>
      <c r="Q1018" s="101"/>
      <c r="R1018" s="101"/>
      <c r="V1018"/>
    </row>
    <row r="1019" spans="14:22">
      <c r="N1019" s="6"/>
      <c r="Q1019" s="101"/>
      <c r="R1019" s="101"/>
      <c r="V1019"/>
    </row>
    <row r="1020" spans="14:22">
      <c r="N1020" s="6"/>
      <c r="Q1020" s="101"/>
      <c r="R1020" s="101"/>
      <c r="V1020"/>
    </row>
    <row r="1021" spans="14:22">
      <c r="N1021" s="6"/>
      <c r="Q1021" s="101"/>
      <c r="R1021" s="101"/>
      <c r="V1021"/>
    </row>
    <row r="1022" spans="14:22">
      <c r="N1022" s="6"/>
      <c r="Q1022" s="101"/>
      <c r="R1022" s="101"/>
      <c r="V1022"/>
    </row>
    <row r="1023" spans="14:22">
      <c r="N1023" s="6"/>
      <c r="Q1023" s="101"/>
      <c r="R1023" s="101"/>
      <c r="V1023"/>
    </row>
    <row r="1024" spans="14:22">
      <c r="N1024" s="6"/>
      <c r="Q1024" s="101"/>
      <c r="R1024" s="101"/>
      <c r="V1024"/>
    </row>
    <row r="1025" spans="14:22">
      <c r="N1025" s="6"/>
      <c r="Q1025" s="101"/>
      <c r="R1025" s="101"/>
      <c r="V1025"/>
    </row>
    <row r="1026" spans="14:22">
      <c r="N1026" s="6"/>
      <c r="Q1026" s="101"/>
      <c r="R1026" s="101"/>
      <c r="V1026"/>
    </row>
    <row r="1027" spans="14:22">
      <c r="N1027" s="6"/>
      <c r="Q1027" s="101"/>
      <c r="R1027" s="101"/>
      <c r="V1027"/>
    </row>
    <row r="1028" spans="14:22">
      <c r="N1028" s="6"/>
      <c r="Q1028" s="101"/>
      <c r="R1028" s="101"/>
      <c r="V1028"/>
    </row>
    <row r="1029" spans="14:22">
      <c r="N1029" s="6"/>
      <c r="Q1029" s="101"/>
      <c r="R1029" s="101"/>
      <c r="V1029"/>
    </row>
    <row r="1030" spans="14:22">
      <c r="N1030" s="6"/>
      <c r="Q1030" s="101"/>
      <c r="R1030" s="101"/>
      <c r="V1030"/>
    </row>
    <row r="1031" spans="14:22">
      <c r="N1031" s="6"/>
      <c r="Q1031" s="101"/>
      <c r="R1031" s="101"/>
      <c r="V1031"/>
    </row>
    <row r="1032" spans="14:22">
      <c r="N1032" s="6"/>
      <c r="Q1032" s="101"/>
      <c r="R1032" s="101"/>
      <c r="V1032"/>
    </row>
    <row r="1033" spans="14:22">
      <c r="N1033" s="6"/>
      <c r="Q1033" s="101"/>
      <c r="R1033" s="101"/>
      <c r="V1033"/>
    </row>
    <row r="1034" spans="14:22">
      <c r="N1034" s="6"/>
      <c r="Q1034" s="101"/>
      <c r="R1034" s="101"/>
      <c r="V1034"/>
    </row>
    <row r="1035" spans="14:22">
      <c r="N1035" s="6"/>
      <c r="Q1035" s="101"/>
      <c r="R1035" s="101"/>
      <c r="V1035"/>
    </row>
    <row r="1036" spans="14:22">
      <c r="N1036" s="6"/>
      <c r="Q1036" s="101"/>
      <c r="R1036" s="101"/>
      <c r="V1036"/>
    </row>
    <row r="1037" spans="14:22">
      <c r="N1037" s="6"/>
      <c r="Q1037" s="101"/>
      <c r="R1037" s="101"/>
      <c r="V1037"/>
    </row>
    <row r="1038" spans="14:22">
      <c r="N1038" s="6"/>
      <c r="Q1038" s="101"/>
      <c r="R1038" s="101"/>
      <c r="V1038"/>
    </row>
    <row r="1039" spans="14:22">
      <c r="N1039" s="6"/>
      <c r="Q1039" s="101"/>
      <c r="R1039" s="101"/>
      <c r="V1039"/>
    </row>
    <row r="1040" spans="14:22">
      <c r="N1040" s="6"/>
      <c r="Q1040" s="101"/>
      <c r="R1040" s="101"/>
      <c r="V1040"/>
    </row>
    <row r="1041" spans="14:22">
      <c r="N1041" s="6"/>
      <c r="Q1041" s="101"/>
      <c r="R1041" s="101"/>
      <c r="V1041"/>
    </row>
    <row r="1042" spans="14:22">
      <c r="N1042" s="6"/>
      <c r="Q1042" s="101"/>
      <c r="R1042" s="101"/>
      <c r="V1042"/>
    </row>
    <row r="1043" spans="14:22">
      <c r="N1043" s="6"/>
      <c r="Q1043" s="101"/>
      <c r="R1043" s="101"/>
      <c r="V1043"/>
    </row>
    <row r="1044" spans="14:22">
      <c r="N1044" s="6"/>
      <c r="Q1044" s="101"/>
      <c r="R1044" s="101"/>
      <c r="V1044"/>
    </row>
    <row r="1045" spans="14:22">
      <c r="N1045" s="6"/>
      <c r="Q1045" s="101"/>
      <c r="R1045" s="101"/>
      <c r="V1045"/>
    </row>
    <row r="1046" spans="14:22">
      <c r="N1046" s="6"/>
      <c r="Q1046" s="101"/>
      <c r="R1046" s="101"/>
      <c r="V1046"/>
    </row>
    <row r="1047" spans="14:22">
      <c r="N1047" s="6"/>
      <c r="Q1047" s="101"/>
      <c r="R1047" s="101"/>
      <c r="V1047"/>
    </row>
    <row r="1048" spans="14:22">
      <c r="N1048" s="6"/>
      <c r="Q1048" s="101"/>
      <c r="R1048" s="101"/>
      <c r="V1048"/>
    </row>
    <row r="1049" spans="14:22">
      <c r="N1049" s="6"/>
      <c r="Q1049" s="101"/>
      <c r="R1049" s="101"/>
      <c r="V1049"/>
    </row>
    <row r="1050" spans="14:22">
      <c r="N1050" s="6"/>
      <c r="Q1050" s="101"/>
      <c r="R1050" s="101"/>
      <c r="V1050"/>
    </row>
    <row r="1051" spans="14:22">
      <c r="N1051" s="6"/>
      <c r="Q1051" s="101"/>
      <c r="R1051" s="101"/>
      <c r="V1051"/>
    </row>
    <row r="1052" spans="14:22">
      <c r="N1052" s="6"/>
      <c r="Q1052" s="101"/>
      <c r="R1052" s="101"/>
      <c r="V1052"/>
    </row>
    <row r="1053" spans="14:22">
      <c r="N1053" s="6"/>
      <c r="Q1053" s="101"/>
      <c r="R1053" s="101"/>
      <c r="V1053"/>
    </row>
    <row r="1054" spans="14:22">
      <c r="N1054" s="6"/>
      <c r="Q1054" s="101"/>
      <c r="R1054" s="101"/>
      <c r="V1054"/>
    </row>
    <row r="1055" spans="14:22">
      <c r="N1055" s="6"/>
      <c r="Q1055" s="101"/>
      <c r="R1055" s="101"/>
      <c r="V1055"/>
    </row>
    <row r="1056" spans="14:22">
      <c r="N1056" s="6"/>
      <c r="Q1056" s="101"/>
      <c r="R1056" s="101"/>
      <c r="V1056"/>
    </row>
    <row r="1057" spans="14:22">
      <c r="N1057" s="6"/>
      <c r="Q1057" s="101"/>
      <c r="R1057" s="101"/>
      <c r="V1057"/>
    </row>
    <row r="1058" spans="14:22">
      <c r="N1058" s="6"/>
      <c r="Q1058" s="101"/>
      <c r="R1058" s="101"/>
      <c r="V1058"/>
    </row>
    <row r="1059" spans="14:22">
      <c r="N1059" s="6"/>
      <c r="Q1059" s="101"/>
      <c r="R1059" s="101"/>
      <c r="V1059"/>
    </row>
    <row r="1060" spans="14:22">
      <c r="N1060" s="6"/>
      <c r="Q1060" s="101"/>
      <c r="R1060" s="101"/>
      <c r="V1060"/>
    </row>
    <row r="1061" spans="14:22">
      <c r="N1061" s="6"/>
      <c r="Q1061" s="101"/>
      <c r="R1061" s="101"/>
      <c r="V1061"/>
    </row>
    <row r="1062" spans="14:22">
      <c r="N1062" s="6"/>
      <c r="Q1062" s="101"/>
      <c r="R1062" s="101"/>
      <c r="V1062"/>
    </row>
    <row r="1063" spans="14:22">
      <c r="N1063" s="6"/>
      <c r="Q1063" s="101"/>
      <c r="R1063" s="101"/>
      <c r="V1063"/>
    </row>
    <row r="1064" spans="14:22">
      <c r="N1064" s="6"/>
      <c r="Q1064" s="101"/>
      <c r="R1064" s="101"/>
      <c r="V1064"/>
    </row>
    <row r="1065" spans="14:22">
      <c r="N1065" s="6"/>
      <c r="Q1065" s="101"/>
      <c r="R1065" s="101"/>
      <c r="V1065"/>
    </row>
    <row r="1066" spans="14:22">
      <c r="N1066" s="6"/>
      <c r="Q1066" s="101"/>
      <c r="R1066" s="101"/>
      <c r="V1066"/>
    </row>
    <row r="1067" spans="14:22">
      <c r="N1067" s="6"/>
      <c r="Q1067" s="101"/>
      <c r="R1067" s="101"/>
      <c r="V1067"/>
    </row>
    <row r="1068" spans="14:22">
      <c r="N1068" s="6"/>
      <c r="Q1068" s="101"/>
      <c r="R1068" s="101"/>
      <c r="V1068"/>
    </row>
    <row r="1069" spans="14:22">
      <c r="N1069" s="6"/>
      <c r="Q1069" s="101"/>
      <c r="R1069" s="101"/>
      <c r="V1069"/>
    </row>
    <row r="1070" spans="14:22">
      <c r="N1070" s="6"/>
      <c r="Q1070" s="101"/>
      <c r="R1070" s="101"/>
      <c r="V1070"/>
    </row>
    <row r="1071" spans="14:22">
      <c r="N1071" s="6"/>
      <c r="Q1071" s="101"/>
      <c r="R1071" s="101"/>
      <c r="V1071"/>
    </row>
    <row r="1072" spans="14:22">
      <c r="N1072" s="6"/>
      <c r="Q1072" s="101"/>
      <c r="R1072" s="101"/>
      <c r="V1072"/>
    </row>
    <row r="1073" spans="14:22">
      <c r="N1073" s="6"/>
      <c r="Q1073" s="101"/>
      <c r="R1073" s="101"/>
      <c r="V1073"/>
    </row>
    <row r="1074" spans="14:22">
      <c r="N1074" s="6"/>
      <c r="Q1074" s="101"/>
      <c r="R1074" s="101"/>
      <c r="V1074"/>
    </row>
    <row r="1075" spans="14:22">
      <c r="N1075" s="6"/>
      <c r="Q1075" s="101"/>
      <c r="R1075" s="101"/>
      <c r="V1075"/>
    </row>
    <row r="1076" spans="14:22">
      <c r="N1076" s="6"/>
      <c r="Q1076" s="101"/>
      <c r="R1076" s="101"/>
      <c r="V1076"/>
    </row>
    <row r="1077" spans="14:22">
      <c r="N1077" s="6"/>
      <c r="Q1077" s="101"/>
      <c r="R1077" s="101"/>
      <c r="V1077"/>
    </row>
    <row r="1078" spans="14:22">
      <c r="N1078" s="6"/>
      <c r="Q1078" s="101"/>
      <c r="R1078" s="101"/>
      <c r="V1078"/>
    </row>
    <row r="1079" spans="14:22">
      <c r="N1079" s="6"/>
      <c r="Q1079" s="101"/>
      <c r="R1079" s="101"/>
      <c r="V1079"/>
    </row>
    <row r="1080" spans="14:22">
      <c r="N1080" s="6"/>
      <c r="Q1080" s="101"/>
      <c r="R1080" s="101"/>
      <c r="V1080"/>
    </row>
    <row r="1081" spans="14:22">
      <c r="N1081" s="6"/>
      <c r="Q1081" s="101"/>
      <c r="R1081" s="101"/>
      <c r="V1081"/>
    </row>
    <row r="1082" spans="14:22">
      <c r="N1082" s="6"/>
      <c r="Q1082" s="101"/>
      <c r="R1082" s="101"/>
      <c r="V1082"/>
    </row>
    <row r="1083" spans="14:22">
      <c r="N1083" s="6"/>
      <c r="Q1083" s="101"/>
      <c r="R1083" s="101"/>
      <c r="V1083"/>
    </row>
    <row r="1084" spans="14:22">
      <c r="N1084" s="6"/>
      <c r="Q1084" s="101"/>
      <c r="R1084" s="101"/>
      <c r="V1084"/>
    </row>
    <row r="1085" spans="14:22">
      <c r="N1085" s="6"/>
      <c r="Q1085" s="101"/>
      <c r="R1085" s="101"/>
      <c r="V1085"/>
    </row>
    <row r="1086" spans="14:22">
      <c r="N1086" s="6"/>
      <c r="Q1086" s="101"/>
      <c r="R1086" s="101"/>
      <c r="V1086"/>
    </row>
    <row r="1087" spans="14:22">
      <c r="N1087" s="6"/>
      <c r="Q1087" s="101"/>
      <c r="R1087" s="101"/>
      <c r="V1087"/>
    </row>
    <row r="1088" spans="14:22">
      <c r="N1088" s="6"/>
      <c r="Q1088" s="101"/>
      <c r="R1088" s="101"/>
      <c r="V1088"/>
    </row>
    <row r="1089" spans="14:22">
      <c r="N1089" s="6"/>
      <c r="Q1089" s="101"/>
      <c r="R1089" s="101"/>
      <c r="V1089"/>
    </row>
    <row r="1090" spans="14:22">
      <c r="N1090" s="6"/>
      <c r="Q1090" s="101"/>
      <c r="R1090" s="101"/>
      <c r="V1090"/>
    </row>
    <row r="1091" spans="14:22">
      <c r="N1091" s="6"/>
      <c r="Q1091" s="101"/>
      <c r="R1091" s="101"/>
      <c r="V1091"/>
    </row>
    <row r="1092" spans="14:22">
      <c r="N1092" s="6"/>
      <c r="Q1092" s="101"/>
      <c r="R1092" s="101"/>
      <c r="V1092"/>
    </row>
    <row r="1093" spans="14:22">
      <c r="N1093" s="6"/>
      <c r="Q1093" s="101"/>
      <c r="R1093" s="101"/>
      <c r="V1093"/>
    </row>
    <row r="1094" spans="14:22">
      <c r="N1094" s="6"/>
      <c r="Q1094" s="101"/>
      <c r="R1094" s="101"/>
      <c r="V1094"/>
    </row>
    <row r="1095" spans="14:22">
      <c r="N1095" s="6"/>
      <c r="Q1095" s="101"/>
      <c r="R1095" s="101"/>
      <c r="V1095"/>
    </row>
    <row r="1096" spans="14:22">
      <c r="N1096" s="6"/>
      <c r="Q1096" s="101"/>
      <c r="R1096" s="101"/>
      <c r="V1096"/>
    </row>
    <row r="1097" spans="14:22">
      <c r="N1097" s="6"/>
      <c r="Q1097" s="101"/>
      <c r="R1097" s="101"/>
      <c r="V1097"/>
    </row>
    <row r="1098" spans="14:22">
      <c r="N1098" s="6"/>
      <c r="Q1098" s="101"/>
      <c r="R1098" s="101"/>
      <c r="V1098"/>
    </row>
    <row r="1099" spans="14:22">
      <c r="N1099" s="6"/>
      <c r="Q1099" s="101"/>
      <c r="R1099" s="101"/>
      <c r="V1099"/>
    </row>
    <row r="1100" spans="14:22">
      <c r="N1100" s="6"/>
      <c r="Q1100" s="101"/>
      <c r="R1100" s="101"/>
      <c r="V1100"/>
    </row>
    <row r="1101" spans="14:22">
      <c r="N1101" s="6"/>
      <c r="Q1101" s="101"/>
      <c r="R1101" s="101"/>
      <c r="V1101"/>
    </row>
    <row r="1102" spans="14:22">
      <c r="N1102" s="6"/>
      <c r="Q1102" s="101"/>
      <c r="R1102" s="101"/>
      <c r="V1102"/>
    </row>
    <row r="1103" spans="14:22">
      <c r="N1103" s="6"/>
      <c r="Q1103" s="101"/>
      <c r="R1103" s="101"/>
      <c r="V1103"/>
    </row>
    <row r="1104" spans="14:22">
      <c r="N1104" s="6"/>
      <c r="Q1104" s="101"/>
      <c r="R1104" s="101"/>
      <c r="V1104"/>
    </row>
    <row r="1105" spans="14:22">
      <c r="N1105" s="6"/>
      <c r="Q1105" s="101"/>
      <c r="R1105" s="101"/>
      <c r="V1105"/>
    </row>
    <row r="1106" spans="14:22">
      <c r="N1106" s="6"/>
      <c r="Q1106" s="101"/>
      <c r="R1106" s="101"/>
      <c r="V1106"/>
    </row>
    <row r="1107" spans="14:22">
      <c r="N1107" s="6"/>
      <c r="Q1107" s="101"/>
      <c r="R1107" s="101"/>
      <c r="V1107"/>
    </row>
    <row r="1108" spans="14:22">
      <c r="N1108" s="6"/>
      <c r="Q1108" s="101"/>
      <c r="R1108" s="101"/>
      <c r="V1108"/>
    </row>
    <row r="1109" spans="14:22">
      <c r="N1109" s="6"/>
      <c r="Q1109" s="101"/>
      <c r="R1109" s="101"/>
      <c r="V1109"/>
    </row>
    <row r="1110" spans="14:22">
      <c r="N1110" s="6"/>
      <c r="Q1110" s="101"/>
      <c r="R1110" s="101"/>
      <c r="V1110"/>
    </row>
    <row r="1111" spans="14:22">
      <c r="N1111" s="6"/>
      <c r="Q1111" s="101"/>
      <c r="R1111" s="101"/>
      <c r="V1111"/>
    </row>
    <row r="1112" spans="14:22">
      <c r="N1112" s="6"/>
      <c r="Q1112" s="101"/>
      <c r="R1112" s="101"/>
      <c r="V1112"/>
    </row>
    <row r="1113" spans="14:22">
      <c r="N1113" s="6"/>
      <c r="Q1113" s="101"/>
      <c r="R1113" s="101"/>
      <c r="V1113"/>
    </row>
    <row r="1114" spans="14:22">
      <c r="N1114" s="6"/>
      <c r="Q1114" s="101"/>
      <c r="R1114" s="101"/>
      <c r="V1114"/>
    </row>
    <row r="1115" spans="14:22">
      <c r="N1115" s="6"/>
      <c r="Q1115" s="101"/>
      <c r="R1115" s="101"/>
      <c r="V1115"/>
    </row>
    <row r="1116" spans="14:22">
      <c r="N1116" s="6"/>
      <c r="Q1116" s="101"/>
      <c r="R1116" s="101"/>
      <c r="V1116"/>
    </row>
    <row r="1117" spans="14:22">
      <c r="N1117" s="6"/>
      <c r="Q1117" s="101"/>
      <c r="R1117" s="101"/>
      <c r="V1117"/>
    </row>
    <row r="1118" spans="14:22">
      <c r="N1118" s="6"/>
      <c r="Q1118" s="101"/>
      <c r="R1118" s="101"/>
      <c r="V1118"/>
    </row>
    <row r="1119" spans="14:22">
      <c r="N1119" s="6"/>
      <c r="Q1119" s="101"/>
      <c r="R1119" s="101"/>
      <c r="V1119"/>
    </row>
    <row r="1120" spans="14:22">
      <c r="N1120" s="6"/>
      <c r="Q1120" s="101"/>
      <c r="R1120" s="101"/>
      <c r="V1120"/>
    </row>
    <row r="1121" spans="14:22">
      <c r="N1121" s="6"/>
      <c r="Q1121" s="101"/>
      <c r="R1121" s="101"/>
      <c r="V1121"/>
    </row>
    <row r="1122" spans="14:22">
      <c r="N1122" s="6"/>
      <c r="Q1122" s="101"/>
      <c r="R1122" s="101"/>
      <c r="V1122"/>
    </row>
    <row r="1123" spans="14:22">
      <c r="N1123" s="6"/>
      <c r="Q1123" s="101"/>
      <c r="R1123" s="101"/>
      <c r="V1123"/>
    </row>
    <row r="1124" spans="14:22">
      <c r="N1124" s="6"/>
      <c r="Q1124" s="101"/>
      <c r="R1124" s="101"/>
      <c r="V1124"/>
    </row>
    <row r="1125" spans="14:22">
      <c r="N1125" s="6"/>
      <c r="Q1125" s="101"/>
      <c r="R1125" s="101"/>
      <c r="V1125"/>
    </row>
    <row r="1126" spans="14:22">
      <c r="N1126" s="6"/>
      <c r="Q1126" s="101"/>
      <c r="R1126" s="101"/>
      <c r="V1126"/>
    </row>
    <row r="1127" spans="14:22">
      <c r="N1127" s="6"/>
      <c r="Q1127" s="101"/>
      <c r="R1127" s="101"/>
      <c r="V1127"/>
    </row>
    <row r="1128" spans="14:22">
      <c r="N1128" s="6"/>
      <c r="Q1128" s="101"/>
      <c r="R1128" s="101"/>
      <c r="V1128"/>
    </row>
    <row r="1129" spans="14:22">
      <c r="N1129" s="6"/>
      <c r="Q1129" s="101"/>
      <c r="R1129" s="101"/>
      <c r="V1129"/>
    </row>
    <row r="1130" spans="14:22">
      <c r="N1130" s="6"/>
      <c r="Q1130" s="101"/>
      <c r="R1130" s="101"/>
      <c r="V1130"/>
    </row>
    <row r="1131" spans="14:22">
      <c r="N1131" s="6"/>
      <c r="Q1131" s="101"/>
      <c r="R1131" s="101"/>
      <c r="V1131"/>
    </row>
    <row r="1132" spans="14:22">
      <c r="N1132" s="6"/>
      <c r="Q1132" s="101"/>
      <c r="R1132" s="101"/>
      <c r="V1132"/>
    </row>
    <row r="1133" spans="14:22">
      <c r="N1133" s="6"/>
      <c r="Q1133" s="101"/>
      <c r="R1133" s="101"/>
      <c r="V1133"/>
    </row>
    <row r="1134" spans="14:22">
      <c r="N1134" s="6"/>
      <c r="Q1134" s="101"/>
      <c r="R1134" s="101"/>
      <c r="V1134"/>
    </row>
    <row r="1135" spans="14:22">
      <c r="N1135" s="6"/>
      <c r="Q1135" s="101"/>
      <c r="R1135" s="101"/>
      <c r="V1135"/>
    </row>
    <row r="1136" spans="14:22">
      <c r="N1136" s="6"/>
      <c r="Q1136" s="101"/>
      <c r="R1136" s="101"/>
      <c r="V1136"/>
    </row>
    <row r="1137" spans="14:22">
      <c r="N1137" s="6"/>
      <c r="Q1137" s="101"/>
      <c r="R1137" s="101"/>
      <c r="V1137"/>
    </row>
    <row r="1138" spans="14:22">
      <c r="N1138" s="6"/>
      <c r="Q1138" s="101"/>
      <c r="R1138" s="101"/>
      <c r="V1138"/>
    </row>
    <row r="1139" spans="14:22">
      <c r="N1139" s="6"/>
      <c r="Q1139" s="101"/>
      <c r="R1139" s="101"/>
      <c r="V1139"/>
    </row>
    <row r="1140" spans="14:22">
      <c r="N1140" s="6"/>
      <c r="Q1140" s="101"/>
      <c r="R1140" s="101"/>
      <c r="V1140"/>
    </row>
    <row r="1141" spans="14:22">
      <c r="N1141" s="6"/>
      <c r="Q1141" s="101"/>
      <c r="R1141" s="101"/>
      <c r="V1141"/>
    </row>
    <row r="1142" spans="14:22">
      <c r="N1142" s="6"/>
      <c r="Q1142" s="101"/>
      <c r="R1142" s="101"/>
      <c r="V1142"/>
    </row>
    <row r="1143" spans="14:22">
      <c r="N1143" s="6"/>
      <c r="Q1143" s="101"/>
      <c r="R1143" s="101"/>
      <c r="V1143"/>
    </row>
    <row r="1144" spans="14:22">
      <c r="N1144" s="6"/>
      <c r="Q1144" s="101"/>
      <c r="R1144" s="101"/>
      <c r="V1144"/>
    </row>
    <row r="1145" spans="14:22">
      <c r="N1145" s="6"/>
      <c r="Q1145" s="101"/>
      <c r="R1145" s="101"/>
      <c r="V1145"/>
    </row>
    <row r="1146" spans="14:22">
      <c r="N1146" s="6"/>
      <c r="Q1146" s="101"/>
      <c r="R1146" s="101"/>
      <c r="V1146"/>
    </row>
    <row r="1147" spans="14:22">
      <c r="N1147" s="6"/>
      <c r="Q1147" s="101"/>
      <c r="R1147" s="101"/>
      <c r="V1147"/>
    </row>
    <row r="1148" spans="14:22">
      <c r="N1148" s="6"/>
      <c r="Q1148" s="101"/>
      <c r="R1148" s="101"/>
      <c r="V1148"/>
    </row>
    <row r="1149" spans="14:22">
      <c r="N1149" s="6"/>
      <c r="Q1149" s="101"/>
      <c r="R1149" s="101"/>
      <c r="V1149"/>
    </row>
    <row r="1150" spans="14:22">
      <c r="N1150" s="6"/>
      <c r="Q1150" s="101"/>
      <c r="R1150" s="101"/>
      <c r="V1150"/>
    </row>
    <row r="1151" spans="14:22">
      <c r="N1151" s="6"/>
      <c r="Q1151" s="101"/>
      <c r="R1151" s="101"/>
      <c r="V1151"/>
    </row>
    <row r="1152" spans="14:22">
      <c r="N1152" s="6"/>
      <c r="Q1152" s="101"/>
      <c r="R1152" s="101"/>
      <c r="V1152"/>
    </row>
    <row r="1153" spans="14:22">
      <c r="N1153" s="6"/>
      <c r="Q1153" s="101"/>
      <c r="R1153" s="101"/>
      <c r="V1153"/>
    </row>
    <row r="1154" spans="14:22">
      <c r="N1154" s="6"/>
      <c r="Q1154" s="101"/>
      <c r="R1154" s="101"/>
      <c r="V1154"/>
    </row>
    <row r="1155" spans="14:22">
      <c r="N1155" s="6"/>
      <c r="Q1155" s="101"/>
      <c r="R1155" s="101"/>
      <c r="V1155"/>
    </row>
    <row r="1156" spans="14:22">
      <c r="N1156" s="6"/>
      <c r="Q1156" s="101"/>
      <c r="R1156" s="101"/>
      <c r="V1156"/>
    </row>
    <row r="1157" spans="14:22">
      <c r="N1157" s="6"/>
      <c r="Q1157" s="101"/>
      <c r="R1157" s="101"/>
      <c r="V1157"/>
    </row>
    <row r="1158" spans="14:22">
      <c r="N1158" s="6"/>
      <c r="Q1158" s="101"/>
      <c r="R1158" s="101"/>
      <c r="V1158"/>
    </row>
    <row r="1159" spans="14:22">
      <c r="N1159" s="6"/>
      <c r="Q1159" s="101"/>
      <c r="R1159" s="101"/>
      <c r="V1159"/>
    </row>
    <row r="1160" spans="14:22">
      <c r="N1160" s="6"/>
      <c r="Q1160" s="101"/>
      <c r="R1160" s="101"/>
      <c r="V1160"/>
    </row>
    <row r="1161" spans="14:22">
      <c r="N1161" s="6"/>
      <c r="Q1161" s="101"/>
      <c r="R1161" s="101"/>
      <c r="V1161"/>
    </row>
    <row r="1162" spans="14:22">
      <c r="N1162" s="6"/>
      <c r="Q1162" s="101"/>
      <c r="R1162" s="101"/>
      <c r="V1162"/>
    </row>
    <row r="1163" spans="14:22">
      <c r="N1163" s="6"/>
      <c r="Q1163" s="101"/>
      <c r="R1163" s="101"/>
      <c r="V1163"/>
    </row>
    <row r="1164" spans="14:22">
      <c r="N1164" s="6"/>
      <c r="Q1164" s="101"/>
      <c r="R1164" s="101"/>
      <c r="V1164"/>
    </row>
    <row r="1165" spans="14:22">
      <c r="N1165" s="6"/>
      <c r="Q1165" s="101"/>
      <c r="R1165" s="101"/>
      <c r="V1165"/>
    </row>
    <row r="1166" spans="14:22">
      <c r="N1166" s="6"/>
      <c r="Q1166" s="101"/>
      <c r="R1166" s="101"/>
      <c r="V1166"/>
    </row>
    <row r="1167" spans="14:22">
      <c r="N1167" s="6"/>
      <c r="Q1167" s="101"/>
      <c r="R1167" s="101"/>
      <c r="V1167"/>
    </row>
    <row r="1168" spans="14:22">
      <c r="N1168" s="6"/>
      <c r="Q1168" s="101"/>
      <c r="R1168" s="101"/>
      <c r="V1168"/>
    </row>
    <row r="1169" spans="14:22">
      <c r="N1169" s="6"/>
      <c r="Q1169" s="101"/>
      <c r="R1169" s="101"/>
      <c r="V1169"/>
    </row>
    <row r="1170" spans="14:22">
      <c r="N1170" s="6"/>
      <c r="Q1170" s="101"/>
      <c r="R1170" s="101"/>
      <c r="V1170"/>
    </row>
    <row r="1171" spans="14:22">
      <c r="N1171" s="6"/>
      <c r="Q1171" s="101"/>
      <c r="R1171" s="101"/>
      <c r="V1171"/>
    </row>
    <row r="1172" spans="14:22">
      <c r="N1172" s="6"/>
    </row>
    <row r="1173" spans="14:22">
      <c r="N1173" s="6"/>
    </row>
    <row r="1174" spans="14:22">
      <c r="N1174" s="6"/>
    </row>
    <row r="1175" spans="14:22">
      <c r="N1175" s="6"/>
    </row>
    <row r="1176" spans="14:22">
      <c r="N1176" s="6"/>
    </row>
    <row r="1177" spans="14:22">
      <c r="N1177" s="6"/>
    </row>
    <row r="1178" spans="14:22">
      <c r="N1178" s="6"/>
    </row>
    <row r="1179" spans="14:22">
      <c r="N1179" s="6"/>
    </row>
    <row r="1180" spans="14:22">
      <c r="N1180" s="6"/>
    </row>
    <row r="1181" spans="14:22">
      <c r="N1181" s="6"/>
    </row>
    <row r="1182" spans="14:22">
      <c r="N1182" s="6"/>
    </row>
    <row r="1183" spans="14:22">
      <c r="N1183" s="6"/>
    </row>
    <row r="1184" spans="14:22">
      <c r="N1184" s="6"/>
    </row>
    <row r="1185" spans="14:14">
      <c r="N1185" s="6"/>
    </row>
    <row r="1186" spans="14:14">
      <c r="N1186" s="6"/>
    </row>
    <row r="1187" spans="14:14">
      <c r="N1187" s="6"/>
    </row>
    <row r="1188" spans="14:14">
      <c r="N1188" s="6"/>
    </row>
    <row r="1189" spans="14:14">
      <c r="N1189" s="6"/>
    </row>
    <row r="1190" spans="14:14">
      <c r="N1190" s="6"/>
    </row>
    <row r="1191" spans="14:14">
      <c r="N1191" s="6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574"/>
  <sheetViews>
    <sheetView topLeftCell="A472" workbookViewId="0">
      <selection activeCell="F568" sqref="F568"/>
    </sheetView>
  </sheetViews>
  <sheetFormatPr defaultRowHeight="15"/>
  <cols>
    <col min="2" max="2" width="16.28515625" customWidth="1"/>
  </cols>
  <sheetData>
    <row r="1" spans="2:3">
      <c r="C1" t="s">
        <v>25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1"/>
      <c r="L417" s="61"/>
      <c r="M417" s="62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  <row r="465" spans="2:3">
      <c r="B465" s="1">
        <v>42545</v>
      </c>
      <c r="C465">
        <v>2037</v>
      </c>
    </row>
    <row r="466" spans="2:3">
      <c r="B466" s="1">
        <v>42552</v>
      </c>
      <c r="C466">
        <v>2474.3000000000002</v>
      </c>
    </row>
    <row r="467" spans="2:3">
      <c r="B467" s="1">
        <v>42559</v>
      </c>
      <c r="C467">
        <v>2771.6</v>
      </c>
    </row>
    <row r="468" spans="2:3">
      <c r="B468" s="1">
        <v>42566</v>
      </c>
      <c r="C468">
        <v>2783.1</v>
      </c>
    </row>
    <row r="469" spans="2:3">
      <c r="B469" s="1">
        <v>42573</v>
      </c>
      <c r="C469">
        <v>2333.1999999999998</v>
      </c>
    </row>
    <row r="470" spans="2:3">
      <c r="B470" s="1">
        <v>42580</v>
      </c>
      <c r="C470">
        <v>2254.9</v>
      </c>
    </row>
    <row r="471" spans="2:3">
      <c r="B471" s="1">
        <v>42587</v>
      </c>
      <c r="C471">
        <v>2386.3000000000002</v>
      </c>
    </row>
    <row r="472" spans="2:3">
      <c r="B472" s="1">
        <v>42594</v>
      </c>
      <c r="C472">
        <v>2302.4</v>
      </c>
    </row>
    <row r="473" spans="2:3">
      <c r="B473" s="1">
        <v>42601</v>
      </c>
      <c r="C473">
        <v>2296.5</v>
      </c>
    </row>
    <row r="474" spans="2:3">
      <c r="B474" s="1">
        <v>42607</v>
      </c>
      <c r="C474">
        <v>2329.9</v>
      </c>
    </row>
    <row r="475" spans="2:3">
      <c r="B475" s="1">
        <v>42615</v>
      </c>
      <c r="C475">
        <v>2382.1999999999998</v>
      </c>
    </row>
    <row r="476" spans="2:3">
      <c r="B476" s="1">
        <v>42622</v>
      </c>
      <c r="C476">
        <v>2424.5</v>
      </c>
    </row>
    <row r="477" spans="2:3">
      <c r="B477" s="1">
        <v>42629</v>
      </c>
      <c r="C477">
        <v>2217.4</v>
      </c>
    </row>
    <row r="478" spans="2:3">
      <c r="B478" s="1">
        <v>42636</v>
      </c>
      <c r="C478">
        <v>2170.3000000000002</v>
      </c>
    </row>
    <row r="479" spans="2:3">
      <c r="B479" s="1">
        <v>42643</v>
      </c>
      <c r="C479">
        <v>2301.9</v>
      </c>
    </row>
    <row r="480" spans="2:3">
      <c r="B480" s="1">
        <v>42650</v>
      </c>
      <c r="C480">
        <v>2075.9</v>
      </c>
    </row>
    <row r="481" spans="2:3">
      <c r="B481" s="1">
        <v>42657</v>
      </c>
      <c r="C481">
        <v>2006.9</v>
      </c>
    </row>
    <row r="482" spans="2:3">
      <c r="B482" s="1">
        <v>42664</v>
      </c>
      <c r="C482">
        <v>1972.5</v>
      </c>
    </row>
    <row r="483" spans="2:3">
      <c r="B483" s="1">
        <v>42671</v>
      </c>
      <c r="C483">
        <v>1937.8</v>
      </c>
    </row>
    <row r="484" spans="2:3">
      <c r="B484" s="1">
        <v>42678</v>
      </c>
      <c r="C484">
        <v>1883</v>
      </c>
    </row>
    <row r="485" spans="2:3">
      <c r="B485" s="1">
        <v>42685</v>
      </c>
      <c r="C485">
        <v>1648</v>
      </c>
    </row>
    <row r="486" spans="2:3">
      <c r="B486" s="1">
        <v>42692</v>
      </c>
      <c r="C486">
        <v>1620.2</v>
      </c>
    </row>
    <row r="487" spans="2:3">
      <c r="B487" s="1">
        <v>42698</v>
      </c>
      <c r="C487">
        <v>1422.7</v>
      </c>
    </row>
    <row r="488" spans="2:3">
      <c r="B488" s="1">
        <v>42706</v>
      </c>
      <c r="C488">
        <v>1380.8</v>
      </c>
    </row>
    <row r="489" spans="2:3">
      <c r="B489" s="1">
        <v>42713</v>
      </c>
      <c r="C489">
        <v>1328.9</v>
      </c>
    </row>
    <row r="490" spans="2:3">
      <c r="B490" s="1">
        <v>42720</v>
      </c>
      <c r="C490">
        <v>1361.1</v>
      </c>
    </row>
    <row r="491" spans="2:3">
      <c r="B491" s="1">
        <v>42727</v>
      </c>
      <c r="C491" s="61">
        <v>1074.7</v>
      </c>
    </row>
    <row r="492" spans="2:3">
      <c r="B492" s="1">
        <v>42734</v>
      </c>
      <c r="C492" s="61">
        <v>1098</v>
      </c>
    </row>
    <row r="493" spans="2:3">
      <c r="B493" s="1">
        <v>42741</v>
      </c>
      <c r="C493" s="61">
        <v>1127.5999999999999</v>
      </c>
    </row>
    <row r="494" spans="2:3">
      <c r="B494" s="1">
        <v>42748</v>
      </c>
      <c r="C494" s="61">
        <v>1169.8</v>
      </c>
    </row>
    <row r="495" spans="2:3">
      <c r="B495" s="1">
        <v>42755</v>
      </c>
      <c r="C495" s="61">
        <v>1154.3</v>
      </c>
    </row>
    <row r="496" spans="2:3">
      <c r="B496" s="1">
        <v>42762</v>
      </c>
      <c r="C496" s="61">
        <v>1169.2</v>
      </c>
    </row>
    <row r="497" spans="2:3">
      <c r="B497" s="1">
        <v>42769</v>
      </c>
      <c r="C497" s="61">
        <v>1192.5</v>
      </c>
    </row>
    <row r="498" spans="2:3">
      <c r="B498" s="1">
        <v>42776</v>
      </c>
      <c r="C498" s="61">
        <v>1184.0999999999999</v>
      </c>
    </row>
    <row r="499" spans="2:3">
      <c r="B499" s="1">
        <v>42783</v>
      </c>
      <c r="C499" s="61">
        <v>1172.9000000000001</v>
      </c>
    </row>
    <row r="500" spans="2:3">
      <c r="B500" s="1">
        <v>42790</v>
      </c>
      <c r="C500" s="61">
        <v>1229.3</v>
      </c>
    </row>
    <row r="501" spans="2:3">
      <c r="B501" s="1">
        <v>42797</v>
      </c>
      <c r="C501" s="61">
        <v>1310</v>
      </c>
    </row>
    <row r="502" spans="2:3">
      <c r="B502" s="1">
        <v>42804</v>
      </c>
      <c r="C502" s="61">
        <v>1401.1</v>
      </c>
    </row>
    <row r="503" spans="2:3">
      <c r="B503" s="1">
        <v>42811</v>
      </c>
      <c r="C503" s="61">
        <v>1380</v>
      </c>
    </row>
    <row r="504" spans="2:3">
      <c r="B504" s="1">
        <v>42818</v>
      </c>
      <c r="C504" s="61">
        <v>1324.1</v>
      </c>
    </row>
    <row r="505" spans="2:3">
      <c r="B505" s="1">
        <v>42825</v>
      </c>
      <c r="C505" s="61">
        <v>1259.5</v>
      </c>
    </row>
    <row r="506" spans="2:3">
      <c r="B506" s="1">
        <v>42832</v>
      </c>
      <c r="C506" s="61">
        <v>1262.8</v>
      </c>
    </row>
    <row r="507" spans="2:3">
      <c r="B507" s="1">
        <v>42839</v>
      </c>
      <c r="C507" s="61">
        <v>1258.0999999999999</v>
      </c>
    </row>
    <row r="508" spans="2:3">
      <c r="B508" s="1">
        <v>42846</v>
      </c>
      <c r="C508" s="61">
        <v>1354</v>
      </c>
    </row>
    <row r="509" spans="2:3">
      <c r="B509" s="1">
        <v>42853</v>
      </c>
      <c r="C509" s="61">
        <v>1284.4000000000001</v>
      </c>
    </row>
    <row r="510" spans="2:3">
      <c r="B510" s="1">
        <v>42860</v>
      </c>
      <c r="C510" s="61">
        <v>1324.5</v>
      </c>
    </row>
    <row r="511" spans="2:3">
      <c r="B511" s="1">
        <v>42867</v>
      </c>
      <c r="C511" s="61">
        <v>1244.5999999999999</v>
      </c>
    </row>
    <row r="512" spans="2:3">
      <c r="B512" s="1">
        <v>42874</v>
      </c>
      <c r="C512" s="61">
        <v>1366.1</v>
      </c>
    </row>
    <row r="513" spans="2:3">
      <c r="B513" s="1">
        <v>42881</v>
      </c>
      <c r="C513" s="61">
        <v>1292.7</v>
      </c>
    </row>
    <row r="514" spans="2:3">
      <c r="B514" s="1">
        <v>42888</v>
      </c>
      <c r="C514" s="61">
        <v>1332.6</v>
      </c>
    </row>
    <row r="515" spans="2:3">
      <c r="B515" s="1">
        <v>42895</v>
      </c>
      <c r="C515" s="61">
        <v>1420.3</v>
      </c>
    </row>
    <row r="516" spans="2:3">
      <c r="B516" s="1">
        <v>42902</v>
      </c>
      <c r="C516" s="61">
        <v>1488.8</v>
      </c>
    </row>
    <row r="517" spans="2:3">
      <c r="B517" s="1">
        <v>42909</v>
      </c>
      <c r="C517" s="61">
        <v>1371.7</v>
      </c>
    </row>
    <row r="518" spans="2:3">
      <c r="B518" s="1">
        <v>42916</v>
      </c>
      <c r="C518" s="61">
        <v>1371.7</v>
      </c>
    </row>
    <row r="519" spans="2:3">
      <c r="B519" s="1">
        <v>42923</v>
      </c>
      <c r="C519" s="61">
        <v>1182.7</v>
      </c>
    </row>
    <row r="520" spans="2:3">
      <c r="B520" s="1">
        <v>42930</v>
      </c>
      <c r="C520" s="61">
        <v>1333.5</v>
      </c>
    </row>
    <row r="521" spans="2:3">
      <c r="B521" s="1">
        <v>42937</v>
      </c>
      <c r="C521" s="61">
        <v>1395.7</v>
      </c>
    </row>
    <row r="522" spans="2:3">
      <c r="B522" s="1">
        <v>42944</v>
      </c>
      <c r="C522" s="61">
        <v>1349.5</v>
      </c>
    </row>
    <row r="523" spans="2:3">
      <c r="B523" s="1">
        <v>42951</v>
      </c>
      <c r="C523" s="61">
        <v>1395.5</v>
      </c>
    </row>
    <row r="524" spans="2:3">
      <c r="B524" s="1">
        <v>42958</v>
      </c>
      <c r="C524" s="61">
        <v>1428.7</v>
      </c>
    </row>
    <row r="525" spans="2:3">
      <c r="B525" s="1">
        <v>42965</v>
      </c>
      <c r="C525" s="61">
        <v>1441</v>
      </c>
    </row>
    <row r="526" spans="2:3">
      <c r="B526" s="1">
        <v>42972</v>
      </c>
      <c r="C526" s="61">
        <v>1425.8</v>
      </c>
    </row>
    <row r="527" spans="2:3">
      <c r="B527" s="1">
        <v>42979</v>
      </c>
      <c r="C527" s="61">
        <v>1499.8</v>
      </c>
    </row>
    <row r="528" spans="2:3">
      <c r="B528" s="1">
        <v>42986</v>
      </c>
      <c r="C528" s="61">
        <v>1612.6</v>
      </c>
    </row>
    <row r="529" spans="2:3">
      <c r="B529" s="1">
        <v>42993</v>
      </c>
      <c r="C529" s="61">
        <v>1472.2</v>
      </c>
    </row>
    <row r="530" spans="2:3">
      <c r="B530" s="1">
        <v>43000</v>
      </c>
      <c r="C530" s="61">
        <v>1431.2</v>
      </c>
    </row>
    <row r="531" spans="2:3">
      <c r="B531" s="1">
        <v>43007</v>
      </c>
      <c r="C531" s="61">
        <v>1409.8</v>
      </c>
    </row>
    <row r="532" spans="2:3">
      <c r="B532" s="1">
        <v>43014</v>
      </c>
      <c r="C532" s="61">
        <v>1309.3</v>
      </c>
    </row>
    <row r="533" spans="2:3">
      <c r="B533" s="1">
        <v>43021</v>
      </c>
      <c r="C533" s="61">
        <v>1358.9</v>
      </c>
    </row>
    <row r="534" spans="2:3">
      <c r="B534" s="1">
        <v>43028</v>
      </c>
      <c r="C534" s="61">
        <v>1337.3</v>
      </c>
    </row>
    <row r="535" spans="2:3">
      <c r="B535" s="1">
        <v>43035</v>
      </c>
      <c r="C535" s="61">
        <v>1268</v>
      </c>
    </row>
    <row r="536" spans="2:3">
      <c r="B536" s="1">
        <v>43042</v>
      </c>
      <c r="C536" s="61">
        <v>1254.0999999999999</v>
      </c>
    </row>
    <row r="537" spans="2:3">
      <c r="B537" s="1">
        <v>43049</v>
      </c>
      <c r="C537" s="61">
        <v>1330.2</v>
      </c>
    </row>
    <row r="538" spans="2:3">
      <c r="B538" s="1">
        <v>43056</v>
      </c>
      <c r="C538" s="61">
        <v>1252</v>
      </c>
    </row>
    <row r="539" spans="2:3">
      <c r="B539" s="1">
        <v>43063</v>
      </c>
      <c r="C539" s="61">
        <v>1148.4000000000001</v>
      </c>
    </row>
    <row r="540" spans="2:3">
      <c r="B540" s="1">
        <v>43070</v>
      </c>
      <c r="C540" s="61">
        <v>1247.2</v>
      </c>
    </row>
    <row r="541" spans="2:3">
      <c r="B541" s="1">
        <v>43077</v>
      </c>
      <c r="C541" s="61">
        <v>1206.7</v>
      </c>
    </row>
    <row r="542" spans="2:3">
      <c r="B542" s="1">
        <v>43084</v>
      </c>
      <c r="C542" s="61">
        <v>1167.8</v>
      </c>
    </row>
    <row r="543" spans="2:3">
      <c r="B543" s="1">
        <v>43091</v>
      </c>
      <c r="C543" s="61">
        <v>1095.7</v>
      </c>
    </row>
    <row r="544" spans="2:3">
      <c r="B544" s="1">
        <v>43098</v>
      </c>
      <c r="C544" s="61">
        <v>1110.2</v>
      </c>
    </row>
    <row r="545" spans="2:3">
      <c r="B545" s="1">
        <v>43105</v>
      </c>
      <c r="C545" s="61">
        <v>1209</v>
      </c>
    </row>
    <row r="546" spans="2:3">
      <c r="B546" s="1">
        <v>43112</v>
      </c>
      <c r="C546" s="61">
        <v>1258.5</v>
      </c>
    </row>
    <row r="547" spans="2:3">
      <c r="B547" s="1">
        <v>43119</v>
      </c>
      <c r="C547" s="61">
        <v>1276</v>
      </c>
    </row>
    <row r="548" spans="2:3">
      <c r="B548" s="1">
        <v>43126</v>
      </c>
      <c r="C548" s="61">
        <v>1271.0999999999999</v>
      </c>
    </row>
    <row r="549" spans="2:3">
      <c r="B549" s="1">
        <v>43133</v>
      </c>
      <c r="C549" s="61">
        <v>1291.0999999999999</v>
      </c>
    </row>
    <row r="550" spans="2:3">
      <c r="B550" s="1">
        <v>43140</v>
      </c>
      <c r="C550" s="61">
        <v>1282.3</v>
      </c>
    </row>
    <row r="551" spans="2:3">
      <c r="B551" s="1">
        <v>43147</v>
      </c>
      <c r="C551" s="61">
        <v>1202.5</v>
      </c>
    </row>
    <row r="552" spans="2:3">
      <c r="B552" s="1">
        <v>43154</v>
      </c>
      <c r="C552" s="61">
        <v>1171.9000000000001</v>
      </c>
    </row>
    <row r="553" spans="2:3">
      <c r="B553" s="1">
        <v>43161</v>
      </c>
      <c r="C553" s="61">
        <v>1208.4000000000001</v>
      </c>
    </row>
    <row r="554" spans="2:3">
      <c r="B554" s="1">
        <v>43168</v>
      </c>
      <c r="C554" s="61">
        <v>1170.7</v>
      </c>
    </row>
    <row r="555" spans="2:3">
      <c r="B555" s="1">
        <v>43175</v>
      </c>
      <c r="C555" s="61">
        <v>1112.3</v>
      </c>
    </row>
    <row r="556" spans="2:3">
      <c r="B556" s="1">
        <v>43182</v>
      </c>
      <c r="C556" s="61">
        <v>1215</v>
      </c>
    </row>
    <row r="557" spans="2:3">
      <c r="B557" s="1">
        <v>43189</v>
      </c>
      <c r="C557" s="61">
        <v>1146.4000000000001</v>
      </c>
    </row>
    <row r="558" spans="2:3">
      <c r="B558" s="1">
        <v>43196</v>
      </c>
      <c r="C558" s="61">
        <v>1099.7</v>
      </c>
    </row>
    <row r="559" spans="2:3">
      <c r="B559" s="1">
        <v>43203</v>
      </c>
      <c r="C559" s="61">
        <v>1164.8</v>
      </c>
    </row>
    <row r="560" spans="2:3">
      <c r="B560" s="1">
        <v>43210</v>
      </c>
      <c r="C560" s="61">
        <v>1158.9000000000001</v>
      </c>
    </row>
    <row r="561" spans="2:3">
      <c r="B561" s="1">
        <v>43217</v>
      </c>
      <c r="C561" s="61">
        <v>1116.9000000000001</v>
      </c>
    </row>
    <row r="562" spans="2:3">
      <c r="B562" s="1">
        <v>43224</v>
      </c>
      <c r="C562" s="61">
        <v>1117.7</v>
      </c>
    </row>
    <row r="563" spans="2:3">
      <c r="B563" s="1">
        <v>43231</v>
      </c>
      <c r="C563" s="61">
        <v>1066.8</v>
      </c>
    </row>
    <row r="564" spans="2:3">
      <c r="B564" s="1">
        <v>43238</v>
      </c>
      <c r="C564" s="61">
        <v>1035.7</v>
      </c>
    </row>
    <row r="565" spans="2:3">
      <c r="B565" s="1">
        <v>43245</v>
      </c>
      <c r="C565" s="61">
        <v>992.7</v>
      </c>
    </row>
    <row r="566" spans="2:3">
      <c r="B566" s="1">
        <v>43252</v>
      </c>
      <c r="C566" s="61">
        <v>1031.4000000000001</v>
      </c>
    </row>
    <row r="567" spans="2:3">
      <c r="B567" s="1">
        <v>43259</v>
      </c>
      <c r="C567" s="61">
        <v>1000.6</v>
      </c>
    </row>
    <row r="568" spans="2:3">
      <c r="B568" s="1">
        <v>43266</v>
      </c>
      <c r="C568" s="61">
        <v>1070.5999999999999</v>
      </c>
    </row>
    <row r="569" spans="2:3">
      <c r="B569" s="1">
        <v>43273</v>
      </c>
      <c r="C569" s="61">
        <v>1021.3</v>
      </c>
    </row>
    <row r="570" spans="2:3">
      <c r="B570" s="1">
        <v>43280</v>
      </c>
      <c r="C570" s="61">
        <v>996.4</v>
      </c>
    </row>
    <row r="571" spans="2:3">
      <c r="B571" s="1">
        <v>43287</v>
      </c>
      <c r="C571" s="61">
        <v>959.5</v>
      </c>
    </row>
    <row r="572" spans="2:3">
      <c r="B572" s="1">
        <v>43294</v>
      </c>
      <c r="C572" s="61">
        <v>981.7</v>
      </c>
    </row>
    <row r="573" spans="2:3">
      <c r="B573" s="1">
        <v>43301</v>
      </c>
      <c r="C573" s="61">
        <v>999.6</v>
      </c>
    </row>
    <row r="574" spans="2:3">
      <c r="B574" s="1">
        <v>43308</v>
      </c>
      <c r="C574" s="61">
        <v>968.5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tabSelected="1" workbookViewId="0">
      <selection activeCell="B9" sqref="B9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22</v>
      </c>
    </row>
    <row r="2" spans="1:16">
      <c r="B2" s="6" t="s">
        <v>30</v>
      </c>
      <c r="C2" s="6" t="s">
        <v>31</v>
      </c>
      <c r="F2" s="6" t="s">
        <v>32</v>
      </c>
      <c r="G2" s="6" t="s">
        <v>33</v>
      </c>
      <c r="H2" s="6" t="s">
        <v>34</v>
      </c>
      <c r="I2" s="6" t="s">
        <v>35</v>
      </c>
      <c r="J2" s="6" t="s">
        <v>36</v>
      </c>
      <c r="K2" s="6" t="s">
        <v>37</v>
      </c>
      <c r="L2" s="6" t="s">
        <v>38</v>
      </c>
      <c r="M2" s="6" t="s">
        <v>39</v>
      </c>
      <c r="N2" s="6" t="s">
        <v>40</v>
      </c>
      <c r="O2" s="6" t="s">
        <v>41</v>
      </c>
      <c r="P2" s="6" t="s">
        <v>42</v>
      </c>
    </row>
    <row r="3" spans="1:16">
      <c r="B3" s="18">
        <v>43446</v>
      </c>
      <c r="C3" s="32">
        <v>4.7249999999999996</v>
      </c>
      <c r="F3" s="30">
        <v>0.67887315047298136</v>
      </c>
      <c r="G3" s="30">
        <v>0.58695367066502324</v>
      </c>
      <c r="H3" s="30">
        <v>0.51691917619026739</v>
      </c>
      <c r="I3" s="30">
        <v>0.4510613731800453</v>
      </c>
      <c r="J3" s="30">
        <v>0.40558164364754506</v>
      </c>
      <c r="K3" s="30">
        <v>0.35058378656462608</v>
      </c>
      <c r="L3" s="30">
        <v>0.28901547109491404</v>
      </c>
      <c r="M3" s="30">
        <v>0.24352051730748486</v>
      </c>
      <c r="N3" s="30">
        <v>0.20600342257907078</v>
      </c>
      <c r="O3" s="30">
        <v>0.1895763950041858</v>
      </c>
      <c r="P3" s="30">
        <v>0.14417610502386966</v>
      </c>
    </row>
    <row r="5" spans="1:16">
      <c r="B5" s="18">
        <f>CurrentMtgRatesDataTable82523[AsOfDate]</f>
        <v>43446</v>
      </c>
      <c r="C5" s="6">
        <f>CurrentMtgRatesDataTable82523[SeriesNumValue]</f>
        <v>4.7249999999999996</v>
      </c>
    </row>
    <row r="6" spans="1:16">
      <c r="F6" s="6" t="s">
        <v>23</v>
      </c>
    </row>
    <row r="7" spans="1:16">
      <c r="F7" s="6" t="s">
        <v>32</v>
      </c>
      <c r="G7" s="6" t="s">
        <v>33</v>
      </c>
      <c r="H7" s="6" t="s">
        <v>34</v>
      </c>
      <c r="I7" s="6" t="s">
        <v>35</v>
      </c>
      <c r="J7" s="6" t="s">
        <v>36</v>
      </c>
      <c r="K7" s="6" t="s">
        <v>37</v>
      </c>
      <c r="L7" s="6" t="s">
        <v>38</v>
      </c>
      <c r="M7" s="6" t="s">
        <v>39</v>
      </c>
      <c r="N7" s="6" t="s">
        <v>40</v>
      </c>
      <c r="O7" s="6" t="s">
        <v>41</v>
      </c>
      <c r="P7" s="6" t="s">
        <v>42</v>
      </c>
    </row>
    <row r="8" spans="1:16">
      <c r="A8" s="6" t="s">
        <v>83</v>
      </c>
      <c r="B8" s="72" t="str">
        <f>TEXT(CurrentCloseDate,"yyyy-mm-dd")</f>
        <v>2018-10-19</v>
      </c>
      <c r="C8" s="6">
        <f>VLOOKUP(B8,'Current Coupon'!S:T,2,0)</f>
        <v>4.0160317420062004</v>
      </c>
      <c r="F8" s="88">
        <v>0.39922062781382683</v>
      </c>
      <c r="G8" s="88">
        <v>0.2458037873389366</v>
      </c>
      <c r="H8" s="88">
        <v>0.15151259025291497</v>
      </c>
      <c r="I8" s="88">
        <v>9.6804984707274833E-2</v>
      </c>
      <c r="J8" s="88">
        <v>6.6660040233705295E-2</v>
      </c>
      <c r="K8" s="88">
        <v>5.5949576964922698E-2</v>
      </c>
      <c r="L8" s="88">
        <v>4.3266934140984474E-2</v>
      </c>
      <c r="M8" s="88">
        <v>3.6731843806699853E-2</v>
      </c>
      <c r="N8" s="88">
        <v>2.8052960052356374E-2</v>
      </c>
      <c r="O8" s="88">
        <v>2.1026309856569381E-2</v>
      </c>
      <c r="P8" s="88">
        <v>1.7046457458110453E-2</v>
      </c>
    </row>
    <row r="9" spans="1:16">
      <c r="A9" s="6" t="s">
        <v>69</v>
      </c>
      <c r="B9" s="6" t="str">
        <f>TEXT(B5-1,"yyyy-mm-dd")</f>
        <v>2018-12-11</v>
      </c>
      <c r="C9" s="6" t="e">
        <f>VLOOKUP(B9,'Current Coupon'!A:M,11,0)</f>
        <v>#N/A</v>
      </c>
    </row>
    <row r="10" spans="1:16">
      <c r="A10" s="6" t="s">
        <v>84</v>
      </c>
      <c r="C10" s="6" t="e">
        <f>C8+C9</f>
        <v>#N/A</v>
      </c>
      <c r="F10" s="6" t="s">
        <v>57</v>
      </c>
    </row>
    <row r="11" spans="1:16">
      <c r="F11" s="123" t="s">
        <v>92</v>
      </c>
      <c r="G11" s="123" t="s">
        <v>93</v>
      </c>
      <c r="H11" s="123" t="s">
        <v>94</v>
      </c>
      <c r="I11" s="123" t="s">
        <v>95</v>
      </c>
      <c r="J11" s="123" t="s">
        <v>96</v>
      </c>
      <c r="K11" s="123" t="s">
        <v>97</v>
      </c>
      <c r="L11" s="123" t="s">
        <v>98</v>
      </c>
      <c r="M11" s="123" t="s">
        <v>99</v>
      </c>
      <c r="N11" s="123" t="s">
        <v>100</v>
      </c>
      <c r="O11" s="123" t="s">
        <v>101</v>
      </c>
      <c r="P11" s="123" t="s">
        <v>102</v>
      </c>
    </row>
    <row r="12" spans="1:16">
      <c r="F12" s="88">
        <v>8.4710088764851463E-2</v>
      </c>
      <c r="G12" s="88">
        <v>4.0368668966316849E-2</v>
      </c>
      <c r="H12" s="88">
        <v>1.2311010374278897E-2</v>
      </c>
      <c r="I12" s="88">
        <v>0</v>
      </c>
      <c r="J12" s="88">
        <v>0</v>
      </c>
      <c r="K12" s="88">
        <v>0</v>
      </c>
      <c r="L12" s="88">
        <v>0</v>
      </c>
      <c r="M12" s="88">
        <v>0</v>
      </c>
      <c r="N12" s="88">
        <v>0</v>
      </c>
      <c r="O12" s="88">
        <v>0</v>
      </c>
      <c r="P12" s="88">
        <v>0</v>
      </c>
    </row>
    <row r="15" spans="1:16">
      <c r="E15" s="28"/>
      <c r="F15" s="28" t="s">
        <v>110</v>
      </c>
      <c r="G15" s="28" t="s">
        <v>109</v>
      </c>
      <c r="H15" s="28" t="s">
        <v>108</v>
      </c>
      <c r="I15" s="28" t="s">
        <v>44</v>
      </c>
      <c r="J15" s="28" t="s">
        <v>43</v>
      </c>
      <c r="K15" s="28" t="e">
        <f>ImpliedRate</f>
        <v>#N/A</v>
      </c>
      <c r="L15" s="28" t="s">
        <v>45</v>
      </c>
      <c r="M15" s="28" t="s">
        <v>46</v>
      </c>
      <c r="N15" s="28" t="s">
        <v>111</v>
      </c>
      <c r="O15" s="28" t="s">
        <v>112</v>
      </c>
      <c r="P15" s="28" t="s">
        <v>113</v>
      </c>
    </row>
    <row r="16" spans="1:16">
      <c r="E16" s="73" t="s">
        <v>24</v>
      </c>
      <c r="F16" s="74">
        <f>CurrentMtgRatesDataTable825234[refinancible1]</f>
        <v>0.67887315047298136</v>
      </c>
      <c r="G16" s="74">
        <f>CurrentMtgRatesDataTable825234[refinancible2]</f>
        <v>0.58695367066502324</v>
      </c>
      <c r="H16" s="74">
        <f>CurrentMtgRatesDataTable825234[refinancible3]</f>
        <v>0.51691917619026739</v>
      </c>
      <c r="I16" s="74">
        <f>CurrentMtgRatesDataTable825234[refinancible4]</f>
        <v>0.4510613731800453</v>
      </c>
      <c r="J16" s="74">
        <f>CurrentMtgRatesDataTable825234[refinancible5]</f>
        <v>0.40558164364754506</v>
      </c>
      <c r="K16" s="74">
        <f>CurrentMtgRatesDataTable825234[refinancible6]</f>
        <v>0.35058378656462608</v>
      </c>
      <c r="L16" s="74">
        <f>CurrentMtgRatesDataTable825234[refinancible7]</f>
        <v>0.28901547109491404</v>
      </c>
      <c r="M16" s="74">
        <f>CurrentMtgRatesDataTable825234[refinancible8]</f>
        <v>0.24352051730748486</v>
      </c>
      <c r="N16" s="74">
        <f>CurrentMtgRatesDataTable825234[refinancible9]</f>
        <v>0.20600342257907078</v>
      </c>
      <c r="O16" s="74">
        <f>CurrentMtgRatesDataTable825234[refinancible10]</f>
        <v>0.1895763950041858</v>
      </c>
      <c r="P16" s="74">
        <f>CurrentMtgRatesDataTable825234[refinancible11]</f>
        <v>0.14417610502386966</v>
      </c>
    </row>
    <row r="17" spans="5:16">
      <c r="E17" s="73" t="s">
        <v>21</v>
      </c>
      <c r="F17" s="74">
        <f>CurrentMtgRatesDataTable8252346[refinancible1]</f>
        <v>0.39922062781382683</v>
      </c>
      <c r="G17" s="74">
        <f>CurrentMtgRatesDataTable8252346[refinancible2]</f>
        <v>0.2458037873389366</v>
      </c>
      <c r="H17" s="74">
        <f>CurrentMtgRatesDataTable8252346[refinancible3]</f>
        <v>0.15151259025291497</v>
      </c>
      <c r="I17" s="74">
        <f>CurrentMtgRatesDataTable8252346[refinancible4]</f>
        <v>9.6804984707274833E-2</v>
      </c>
      <c r="J17" s="74">
        <f>CurrentMtgRatesDataTable8252346[refinancible5]</f>
        <v>6.6660040233705295E-2</v>
      </c>
      <c r="K17" s="74">
        <f>CurrentMtgRatesDataTable8252346[refinancible6]</f>
        <v>5.5949576964922698E-2</v>
      </c>
      <c r="L17" s="74">
        <f>CurrentMtgRatesDataTable8252346[refinancible7]</f>
        <v>4.3266934140984474E-2</v>
      </c>
      <c r="M17" s="74">
        <f>CurrentMtgRatesDataTable8252346[refinancible8]</f>
        <v>3.6731843806699853E-2</v>
      </c>
      <c r="N17" s="74">
        <f>CurrentMtgRatesDataTable8252346[refinancible9]</f>
        <v>2.8052960052356374E-2</v>
      </c>
      <c r="O17" s="74">
        <f>CurrentMtgRatesDataTable8252346[refinancible10]</f>
        <v>2.1026309856569381E-2</v>
      </c>
      <c r="P17" s="74">
        <f>CurrentMtgRatesDataTable8252346[refinancible11]</f>
        <v>1.7046457458110453E-2</v>
      </c>
    </row>
    <row r="18" spans="5:16">
      <c r="E18" s="73" t="s">
        <v>56</v>
      </c>
      <c r="F18" s="74">
        <f>CurrentMtgRatesDataTable82523468[refinanceable1]</f>
        <v>8.4710088764851463E-2</v>
      </c>
      <c r="G18" s="74">
        <f>CurrentMtgRatesDataTable82523468[refinanceable2]</f>
        <v>4.0368668966316849E-2</v>
      </c>
      <c r="H18" s="74">
        <f>CurrentMtgRatesDataTable82523468[refinanceable3]</f>
        <v>1.2311010374278897E-2</v>
      </c>
      <c r="I18" s="74">
        <f>CurrentMtgRatesDataTable82523468[refinanceable4]</f>
        <v>0</v>
      </c>
      <c r="J18" s="74">
        <f>CurrentMtgRatesDataTable82523468[refinanceable5]</f>
        <v>0</v>
      </c>
      <c r="K18" s="74">
        <f>CurrentMtgRatesDataTable82523468[refinanceable6]</f>
        <v>0</v>
      </c>
      <c r="L18" s="74">
        <f>CurrentMtgRatesDataTable82523468[refinanceable7]</f>
        <v>0</v>
      </c>
      <c r="M18" s="74">
        <f>CurrentMtgRatesDataTable82523468[refinanceable8]</f>
        <v>0</v>
      </c>
      <c r="N18" s="74">
        <f>CurrentMtgRatesDataTable82523468[refinanceable9]</f>
        <v>0</v>
      </c>
      <c r="O18" s="74">
        <f>CurrentMtgRatesDataTable82523468[refinanceable10]</f>
        <v>0</v>
      </c>
      <c r="P18" s="74">
        <f>CurrentMtgRatesDataTable82523468[refinanceable11]</f>
        <v>0</v>
      </c>
    </row>
    <row r="19" spans="5:16">
      <c r="E19" s="73" t="s">
        <v>89</v>
      </c>
      <c r="F19" s="74">
        <f>CurrentMtgRatesDataTable825234682[refinanceable1]</f>
        <v>8.4710088764851463E-2</v>
      </c>
      <c r="G19" s="74">
        <f>CurrentMtgRatesDataTable825234682[refinanceable2]</f>
        <v>4.0368668966316849E-2</v>
      </c>
      <c r="H19" s="74">
        <f>CurrentMtgRatesDataTable825234682[refinanceable3]</f>
        <v>1.2311010374278897E-2</v>
      </c>
      <c r="I19" s="74">
        <f>CurrentMtgRatesDataTable825234682[refinanceable4]</f>
        <v>0</v>
      </c>
      <c r="J19" s="74">
        <f>CurrentMtgRatesDataTable825234682[refinanceable5]</f>
        <v>0</v>
      </c>
      <c r="K19" s="74">
        <f>CurrentMtgRatesDataTable825234682[refinanceable6]</f>
        <v>0</v>
      </c>
      <c r="L19" s="74">
        <f>CurrentMtgRatesDataTable825234682[refinanceable7]</f>
        <v>0</v>
      </c>
      <c r="M19" s="74">
        <f>CurrentMtgRatesDataTable825234682[refinanceable8]</f>
        <v>0</v>
      </c>
      <c r="N19" s="74">
        <f>CurrentMtgRatesDataTable825234682[refinanceable9]</f>
        <v>0</v>
      </c>
      <c r="O19" s="74">
        <f>CurrentMtgRatesDataTable825234682[refinanceable10]</f>
        <v>0</v>
      </c>
      <c r="P19" s="74">
        <f>CurrentMtgRatesDataTable825234682[refinanceable11]</f>
        <v>0</v>
      </c>
    </row>
    <row r="30" spans="5:16" ht="15">
      <c r="F30" t="s">
        <v>89</v>
      </c>
      <c r="G30"/>
      <c r="H30"/>
      <c r="I30"/>
      <c r="J30"/>
      <c r="K30"/>
      <c r="L30"/>
      <c r="M30"/>
      <c r="N30"/>
      <c r="O30"/>
      <c r="P30"/>
    </row>
    <row r="31" spans="5:16">
      <c r="F31" s="123" t="s">
        <v>92</v>
      </c>
      <c r="G31" s="123" t="s">
        <v>93</v>
      </c>
      <c r="H31" s="123" t="s">
        <v>94</v>
      </c>
      <c r="I31" s="123" t="s">
        <v>95</v>
      </c>
      <c r="J31" s="123" t="s">
        <v>96</v>
      </c>
      <c r="K31" s="123" t="s">
        <v>97</v>
      </c>
      <c r="L31" s="123" t="s">
        <v>98</v>
      </c>
      <c r="M31" s="123" t="s">
        <v>99</v>
      </c>
      <c r="N31" s="123" t="s">
        <v>100</v>
      </c>
      <c r="O31" s="123" t="s">
        <v>101</v>
      </c>
      <c r="P31" s="123" t="s">
        <v>102</v>
      </c>
    </row>
    <row r="32" spans="5:16">
      <c r="F32" s="88">
        <v>8.4710088764851463E-2</v>
      </c>
      <c r="G32" s="88">
        <v>4.0368668966316849E-2</v>
      </c>
      <c r="H32" s="88">
        <v>1.2311010374278897E-2</v>
      </c>
      <c r="I32" s="88">
        <v>0</v>
      </c>
      <c r="J32" s="88">
        <v>0</v>
      </c>
      <c r="K32" s="88">
        <v>0</v>
      </c>
      <c r="L32" s="88">
        <v>0</v>
      </c>
      <c r="M32" s="88">
        <v>0</v>
      </c>
      <c r="N32" s="88">
        <v>0</v>
      </c>
      <c r="O32" s="88">
        <v>0</v>
      </c>
      <c r="P32" s="88">
        <v>0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H47" sqref="H47"/>
    </sheetView>
  </sheetViews>
  <sheetFormatPr defaultRowHeight="12.75"/>
  <cols>
    <col min="1" max="1" width="16.7109375" style="66" customWidth="1"/>
    <col min="2" max="2" width="10.140625" style="66" bestFit="1" customWidth="1"/>
    <col min="3" max="6" width="10.140625" style="66" customWidth="1"/>
    <col min="7" max="7" width="14.140625" style="66" bestFit="1" customWidth="1"/>
    <col min="8" max="8" width="13.85546875" style="66" bestFit="1" customWidth="1"/>
    <col min="9" max="9" width="21.85546875" style="66" bestFit="1" customWidth="1"/>
    <col min="10" max="10" width="16.7109375" style="66" bestFit="1" customWidth="1"/>
    <col min="11" max="11" width="15.7109375" style="66" bestFit="1" customWidth="1"/>
    <col min="12" max="12" width="13.85546875" style="66" bestFit="1" customWidth="1"/>
    <col min="13" max="13" width="22" style="66" bestFit="1" customWidth="1"/>
    <col min="14" max="14" width="13.85546875" style="66" bestFit="1" customWidth="1"/>
    <col min="15" max="15" width="12.5703125" style="66" bestFit="1" customWidth="1"/>
    <col min="16" max="16" width="12" style="66" bestFit="1" customWidth="1"/>
    <col min="17" max="17" width="15.140625" style="66" bestFit="1" customWidth="1"/>
    <col min="18" max="18" width="15.140625" style="66" customWidth="1"/>
    <col min="19" max="19" width="14.140625" style="66" bestFit="1" customWidth="1"/>
    <col min="20" max="20" width="14.140625" style="66" customWidth="1"/>
    <col min="21" max="21" width="12" style="66" bestFit="1" customWidth="1"/>
    <col min="22" max="22" width="12" style="66" customWidth="1"/>
    <col min="23" max="23" width="12" style="66" bestFit="1" customWidth="1"/>
    <col min="24" max="24" width="16" style="66" bestFit="1" customWidth="1"/>
    <col min="25" max="25" width="14.7109375" style="66" bestFit="1" customWidth="1"/>
    <col min="26" max="26" width="16" style="66" bestFit="1" customWidth="1"/>
    <col min="27" max="27" width="17.5703125" style="66" bestFit="1" customWidth="1"/>
    <col min="28" max="28" width="12.140625" style="66" bestFit="1" customWidth="1"/>
    <col min="29" max="29" width="8.5703125" style="66" bestFit="1" customWidth="1"/>
    <col min="30" max="30" width="15.28515625" style="66" customWidth="1"/>
    <col min="31" max="31" width="11.7109375" style="66" bestFit="1" customWidth="1"/>
    <col min="32" max="32" width="10.28515625" style="66" bestFit="1" customWidth="1"/>
    <col min="33" max="33" width="12" style="66" bestFit="1" customWidth="1"/>
    <col min="34" max="34" width="14.42578125" style="66" customWidth="1"/>
    <col min="35" max="35" width="18.5703125" style="66" bestFit="1" customWidth="1"/>
    <col min="36" max="36" width="10.7109375" style="66" bestFit="1" customWidth="1"/>
    <col min="37" max="37" width="16.42578125" style="66" bestFit="1" customWidth="1"/>
    <col min="38" max="38" width="16.140625" style="66" bestFit="1" customWidth="1"/>
    <col min="39" max="39" width="14.42578125" style="66" customWidth="1"/>
    <col min="40" max="40" width="12.28515625" style="66" customWidth="1"/>
    <col min="41" max="16384" width="9.140625" style="66"/>
  </cols>
  <sheetData>
    <row r="3" spans="1:22" ht="23.25">
      <c r="A3" s="65" t="s">
        <v>80</v>
      </c>
      <c r="U3" s="65" t="s">
        <v>80</v>
      </c>
      <c r="V3" s="65"/>
    </row>
    <row r="4" spans="1:22" s="67" customFormat="1">
      <c r="A4" s="67" t="s">
        <v>30</v>
      </c>
      <c r="B4" s="67" t="s">
        <v>31</v>
      </c>
      <c r="C4" s="67" t="s">
        <v>62</v>
      </c>
      <c r="D4" s="67" t="s">
        <v>63</v>
      </c>
      <c r="E4" s="67" t="s">
        <v>64</v>
      </c>
      <c r="F4" s="67" t="s">
        <v>65</v>
      </c>
      <c r="G4" s="67" t="s">
        <v>66</v>
      </c>
      <c r="H4" s="67" t="s">
        <v>67</v>
      </c>
      <c r="I4" s="67" t="s">
        <v>68</v>
      </c>
      <c r="J4" s="67" t="s">
        <v>69</v>
      </c>
      <c r="K4" s="67" t="s">
        <v>70</v>
      </c>
      <c r="L4" s="67" t="s">
        <v>71</v>
      </c>
      <c r="M4" s="67" t="s">
        <v>72</v>
      </c>
      <c r="S4" s="67" t="s">
        <v>30</v>
      </c>
      <c r="T4" s="67" t="s">
        <v>31</v>
      </c>
      <c r="U4" s="67" t="s">
        <v>81</v>
      </c>
    </row>
    <row r="5" spans="1:22" s="70" customFormat="1">
      <c r="A5" s="68" t="s">
        <v>115</v>
      </c>
      <c r="B5" s="69">
        <v>3.65890837846616</v>
      </c>
      <c r="C5" s="69">
        <v>4.415</v>
      </c>
      <c r="D5" s="70">
        <f t="shared" ref="D5:D35" si="0">WEEKDAY(A5,14)</f>
        <v>6</v>
      </c>
      <c r="E5" s="70">
        <f t="shared" ref="E5:E35" si="1">VLOOKUP(D5,P$5:Q$11,2,FALSE)</f>
        <v>0.2</v>
      </c>
      <c r="F5" s="70">
        <f t="shared" ref="F5:F35" si="2">IF(AND(D5&gt;D4,F4&lt;6),F4+1,1)</f>
        <v>1</v>
      </c>
      <c r="G5" s="70">
        <f t="shared" ref="G5:G35" si="3">IF(F5&gt;F4,G4+B5*E5,B5*E5)</f>
        <v>0.73178167569323205</v>
      </c>
      <c r="H5" s="70">
        <f t="shared" ref="H5:H35" si="4">IF(AND(F5&lt;6,F5&gt;F4),E5+H4,E5)</f>
        <v>0.2</v>
      </c>
      <c r="I5" s="70">
        <f t="shared" ref="I5:I35" si="5">IF(F5&gt;F6,G5/H5,0)</f>
        <v>0</v>
      </c>
      <c r="J5" s="69">
        <f>IF(CurrentMtgRatesDataTable811[[#This Row],[WA CC]]&lt;&gt;0,C4-CurrentMtgRatesDataTable811[[#This Row],[WA CC]],0)</f>
        <v>0</v>
      </c>
      <c r="K5" s="69" t="str">
        <f>IF(CurrentMtgRatesDataTable811[[#This Row],[Servicing Spread]]&lt;=0,K4,CurrentMtgRatesDataTable811[[#This Row],[Servicing Spread]])</f>
        <v>Servicing Spread Non-Zero</v>
      </c>
      <c r="L5" s="69" t="e">
        <f>CurrentMtgRatesDataTable811[[#This Row],[Servicing Spread Non-Zero]]-K4</f>
        <v>#VALUE!</v>
      </c>
      <c r="M5" s="69" t="e">
        <f>IF(I4&lt;&gt;0,CurrentMtgRatesDataTable811[[#This Row],[Rate]]-C4,M4)</f>
        <v>#VALUE!</v>
      </c>
      <c r="O5" s="70" t="s">
        <v>73</v>
      </c>
      <c r="P5" s="70">
        <v>5</v>
      </c>
      <c r="Q5" s="70">
        <v>0.2</v>
      </c>
      <c r="S5" s="68" t="s">
        <v>146</v>
      </c>
      <c r="T5" s="69">
        <v>3.9817128464255398</v>
      </c>
      <c r="U5" s="69" t="s">
        <v>82</v>
      </c>
    </row>
    <row r="6" spans="1:22" s="70" customFormat="1">
      <c r="A6" s="68" t="s">
        <v>116</v>
      </c>
      <c r="B6" s="6">
        <v>3.6656294364580502</v>
      </c>
      <c r="C6" s="6">
        <v>4.415</v>
      </c>
      <c r="D6" s="70">
        <f t="shared" si="0"/>
        <v>7</v>
      </c>
      <c r="E6" s="70">
        <f t="shared" si="1"/>
        <v>0.2</v>
      </c>
      <c r="F6" s="70">
        <f t="shared" si="2"/>
        <v>2</v>
      </c>
      <c r="G6" s="70">
        <f t="shared" si="3"/>
        <v>1.464907562984842</v>
      </c>
      <c r="H6" s="70">
        <f t="shared" si="4"/>
        <v>0.4</v>
      </c>
      <c r="I6" s="70">
        <f t="shared" si="5"/>
        <v>3.6622689074621051</v>
      </c>
      <c r="J6" s="69">
        <f>IF(CurrentMtgRatesDataTable811[[#This Row],[WA CC]]&lt;&gt;0,C5-CurrentMtgRatesDataTable811[[#This Row],[WA CC]],0)</f>
        <v>0.75273109253789494</v>
      </c>
      <c r="K6" s="69">
        <f>IF(CurrentMtgRatesDataTable811[[#This Row],[Servicing Spread]]&lt;=0,K5,CurrentMtgRatesDataTable811[[#This Row],[Servicing Spread]])</f>
        <v>0.75273109253789494</v>
      </c>
      <c r="L6" s="69" t="e">
        <f>CurrentMtgRatesDataTable811[[#This Row],[Servicing Spread Non-Zero]]-K5</f>
        <v>#VALUE!</v>
      </c>
      <c r="M6" s="69" t="e">
        <f>IF(I5&lt;&gt;0,CurrentMtgRatesDataTable811[[#This Row],[Rate]]-C5,M5)</f>
        <v>#VALUE!</v>
      </c>
      <c r="O6" s="70" t="s">
        <v>74</v>
      </c>
      <c r="P6" s="70">
        <v>6</v>
      </c>
      <c r="Q6" s="70">
        <v>0.2</v>
      </c>
      <c r="S6" s="68" t="s">
        <v>147</v>
      </c>
      <c r="T6" s="69">
        <v>4.0160317420062004</v>
      </c>
      <c r="U6" s="69" t="s">
        <v>82</v>
      </c>
    </row>
    <row r="7" spans="1:22" s="70" customFormat="1">
      <c r="A7" s="68" t="s">
        <v>117</v>
      </c>
      <c r="B7" s="6">
        <v>3.6325161204565899</v>
      </c>
      <c r="C7" s="6">
        <v>4.4749999999999996</v>
      </c>
      <c r="D7" s="70">
        <f t="shared" si="0"/>
        <v>1</v>
      </c>
      <c r="E7" s="70">
        <f t="shared" si="1"/>
        <v>0.2</v>
      </c>
      <c r="F7" s="70">
        <f t="shared" si="2"/>
        <v>1</v>
      </c>
      <c r="G7" s="70">
        <f t="shared" si="3"/>
        <v>0.72650322409131807</v>
      </c>
      <c r="H7" s="70">
        <f t="shared" si="4"/>
        <v>0.2</v>
      </c>
      <c r="I7" s="70">
        <f t="shared" si="5"/>
        <v>0</v>
      </c>
      <c r="J7" s="69">
        <f>IF(CurrentMtgRatesDataTable811[[#This Row],[WA CC]]&lt;&gt;0,C6-CurrentMtgRatesDataTable811[[#This Row],[WA CC]],0)</f>
        <v>0</v>
      </c>
      <c r="K7" s="69">
        <f>IF(CurrentMtgRatesDataTable811[[#This Row],[Servicing Spread]]&lt;=0,K6,CurrentMtgRatesDataTable811[[#This Row],[Servicing Spread]])</f>
        <v>0.75273109253789494</v>
      </c>
      <c r="L7" s="69">
        <f>CurrentMtgRatesDataTable811[[#This Row],[Servicing Spread Non-Zero]]-K6</f>
        <v>0</v>
      </c>
      <c r="M7" s="69">
        <f>IF(I6&lt;&gt;0,CurrentMtgRatesDataTable811[[#This Row],[Rate]]-C6,M6)</f>
        <v>5.9999999999999609E-2</v>
      </c>
      <c r="O7" s="70" t="s">
        <v>75</v>
      </c>
      <c r="P7" s="70">
        <v>7</v>
      </c>
      <c r="Q7" s="70">
        <v>0.2</v>
      </c>
    </row>
    <row r="8" spans="1:22" s="70" customFormat="1">
      <c r="A8" s="68" t="s">
        <v>118</v>
      </c>
      <c r="B8" s="6">
        <v>3.7062134568079501</v>
      </c>
      <c r="C8" s="6">
        <v>4.4749999999999996</v>
      </c>
      <c r="D8" s="70">
        <f t="shared" si="0"/>
        <v>2</v>
      </c>
      <c r="E8" s="70">
        <f t="shared" si="1"/>
        <v>0.2</v>
      </c>
      <c r="F8" s="70">
        <f t="shared" si="2"/>
        <v>2</v>
      </c>
      <c r="G8" s="70">
        <f t="shared" si="3"/>
        <v>1.467745915452908</v>
      </c>
      <c r="H8" s="70">
        <f t="shared" si="4"/>
        <v>0.4</v>
      </c>
      <c r="I8" s="70">
        <f t="shared" si="5"/>
        <v>0</v>
      </c>
      <c r="J8" s="69">
        <f>IF(CurrentMtgRatesDataTable811[[#This Row],[WA CC]]&lt;&gt;0,C7-CurrentMtgRatesDataTable811[[#This Row],[WA CC]],0)</f>
        <v>0</v>
      </c>
      <c r="K8" s="69">
        <f>IF(CurrentMtgRatesDataTable811[[#This Row],[Servicing Spread]]&lt;=0,K7,CurrentMtgRatesDataTable811[[#This Row],[Servicing Spread]])</f>
        <v>0.75273109253789494</v>
      </c>
      <c r="L8" s="69">
        <f>CurrentMtgRatesDataTable811[[#This Row],[Servicing Spread Non-Zero]]-K7</f>
        <v>0</v>
      </c>
      <c r="M8" s="69">
        <f>IF(I7&lt;&gt;0,CurrentMtgRatesDataTable811[[#This Row],[Rate]]-C7,M7)</f>
        <v>5.9999999999999609E-2</v>
      </c>
      <c r="O8" s="70" t="s">
        <v>76</v>
      </c>
      <c r="P8" s="70">
        <v>1</v>
      </c>
      <c r="Q8" s="70">
        <v>0.2</v>
      </c>
    </row>
    <row r="9" spans="1:22" s="70" customFormat="1">
      <c r="A9" s="68" t="s">
        <v>119</v>
      </c>
      <c r="B9" s="6">
        <v>3.7041970213465398</v>
      </c>
      <c r="C9" s="6">
        <v>4.4749999999999996</v>
      </c>
      <c r="D9" s="70">
        <f t="shared" si="0"/>
        <v>5</v>
      </c>
      <c r="E9" s="70">
        <f t="shared" si="1"/>
        <v>0.2</v>
      </c>
      <c r="F9" s="70">
        <f t="shared" si="2"/>
        <v>3</v>
      </c>
      <c r="G9" s="70">
        <f t="shared" si="3"/>
        <v>2.2085853197222161</v>
      </c>
      <c r="H9" s="70">
        <f t="shared" si="4"/>
        <v>0.60000000000000009</v>
      </c>
      <c r="I9" s="70">
        <f t="shared" si="5"/>
        <v>0</v>
      </c>
      <c r="J9" s="69">
        <f>IF(CurrentMtgRatesDataTable811[[#This Row],[WA CC]]&lt;&gt;0,C8-CurrentMtgRatesDataTable811[[#This Row],[WA CC]],0)</f>
        <v>0</v>
      </c>
      <c r="K9" s="69">
        <f>IF(CurrentMtgRatesDataTable811[[#This Row],[Servicing Spread]]&lt;=0,K8,CurrentMtgRatesDataTable811[[#This Row],[Servicing Spread]])</f>
        <v>0.75273109253789494</v>
      </c>
      <c r="L9" s="69">
        <f>CurrentMtgRatesDataTable811[[#This Row],[Servicing Spread Non-Zero]]-K8</f>
        <v>0</v>
      </c>
      <c r="M9" s="69">
        <f>IF(I8&lt;&gt;0,CurrentMtgRatesDataTable811[[#This Row],[Rate]]-C8,M8)</f>
        <v>5.9999999999999609E-2</v>
      </c>
      <c r="O9" s="70" t="s">
        <v>77</v>
      </c>
      <c r="P9" s="70">
        <v>2</v>
      </c>
      <c r="Q9" s="70">
        <v>0.2</v>
      </c>
    </row>
    <row r="10" spans="1:22" s="70" customFormat="1">
      <c r="A10" s="68" t="s">
        <v>120</v>
      </c>
      <c r="B10" s="6">
        <v>3.74844125573413</v>
      </c>
      <c r="C10" s="6">
        <v>4.4749999999999996</v>
      </c>
      <c r="D10" s="70">
        <f t="shared" si="0"/>
        <v>6</v>
      </c>
      <c r="E10" s="70">
        <f t="shared" si="1"/>
        <v>0.2</v>
      </c>
      <c r="F10" s="70">
        <f t="shared" si="2"/>
        <v>4</v>
      </c>
      <c r="G10" s="70">
        <f t="shared" si="3"/>
        <v>2.958273570869042</v>
      </c>
      <c r="H10" s="70">
        <f t="shared" si="4"/>
        <v>0.8</v>
      </c>
      <c r="I10" s="70">
        <f t="shared" si="5"/>
        <v>0</v>
      </c>
      <c r="J10" s="69">
        <f>IF(CurrentMtgRatesDataTable811[[#This Row],[WA CC]]&lt;&gt;0,C9-CurrentMtgRatesDataTable811[[#This Row],[WA CC]],0)</f>
        <v>0</v>
      </c>
      <c r="K10" s="69">
        <f>IF(CurrentMtgRatesDataTable811[[#This Row],[Servicing Spread]]&lt;=0,K9,CurrentMtgRatesDataTable811[[#This Row],[Servicing Spread]])</f>
        <v>0.75273109253789494</v>
      </c>
      <c r="L10" s="69">
        <f>CurrentMtgRatesDataTable811[[#This Row],[Servicing Spread Non-Zero]]-K9</f>
        <v>0</v>
      </c>
      <c r="M10" s="69">
        <f>IF(I9&lt;&gt;0,CurrentMtgRatesDataTable811[[#This Row],[Rate]]-C9,M9)</f>
        <v>5.9999999999999609E-2</v>
      </c>
      <c r="O10" s="70" t="s">
        <v>78</v>
      </c>
      <c r="P10" s="70">
        <v>3</v>
      </c>
      <c r="Q10" s="70">
        <v>0</v>
      </c>
    </row>
    <row r="11" spans="1:22" s="70" customFormat="1">
      <c r="A11" s="68" t="s">
        <v>121</v>
      </c>
      <c r="B11" s="6">
        <v>3.7227713255672001</v>
      </c>
      <c r="C11" s="6">
        <v>4.4749999999999996</v>
      </c>
      <c r="D11" s="70">
        <f t="shared" si="0"/>
        <v>7</v>
      </c>
      <c r="E11" s="70">
        <f t="shared" si="1"/>
        <v>0.2</v>
      </c>
      <c r="F11" s="70">
        <f t="shared" si="2"/>
        <v>5</v>
      </c>
      <c r="G11" s="70">
        <f t="shared" si="3"/>
        <v>3.702827835982482</v>
      </c>
      <c r="H11" s="70">
        <f t="shared" si="4"/>
        <v>1</v>
      </c>
      <c r="I11" s="70">
        <f t="shared" si="5"/>
        <v>3.702827835982482</v>
      </c>
      <c r="J11" s="69">
        <f>IF(CurrentMtgRatesDataTable811[[#This Row],[WA CC]]&lt;&gt;0,C10-CurrentMtgRatesDataTable811[[#This Row],[WA CC]],0)</f>
        <v>0.77217216401751765</v>
      </c>
      <c r="K11" s="69">
        <f>IF(CurrentMtgRatesDataTable811[[#This Row],[Servicing Spread]]&lt;=0,K10,CurrentMtgRatesDataTable811[[#This Row],[Servicing Spread]])</f>
        <v>0.77217216401751765</v>
      </c>
      <c r="L11" s="69">
        <f>CurrentMtgRatesDataTable811[[#This Row],[Servicing Spread Non-Zero]]-K10</f>
        <v>1.9441071479622707E-2</v>
      </c>
      <c r="M11" s="69">
        <f>IF(I10&lt;&gt;0,CurrentMtgRatesDataTable811[[#This Row],[Rate]]-C10,M10)</f>
        <v>5.9999999999999609E-2</v>
      </c>
      <c r="O11" s="70" t="s">
        <v>79</v>
      </c>
      <c r="P11" s="70">
        <v>4</v>
      </c>
      <c r="Q11" s="70">
        <v>0</v>
      </c>
    </row>
    <row r="12" spans="1:22" s="70" customFormat="1">
      <c r="A12" s="68" t="s">
        <v>122</v>
      </c>
      <c r="B12" s="6">
        <v>3.7161939265833301</v>
      </c>
      <c r="C12" s="6">
        <v>4.5250000000000004</v>
      </c>
      <c r="D12" s="70">
        <f t="shared" si="0"/>
        <v>1</v>
      </c>
      <c r="E12" s="70">
        <f t="shared" si="1"/>
        <v>0.2</v>
      </c>
      <c r="F12" s="70">
        <f t="shared" si="2"/>
        <v>1</v>
      </c>
      <c r="G12" s="70">
        <f t="shared" si="3"/>
        <v>0.7432387853166661</v>
      </c>
      <c r="H12" s="70">
        <f t="shared" si="4"/>
        <v>0.2</v>
      </c>
      <c r="I12" s="70">
        <f t="shared" si="5"/>
        <v>0</v>
      </c>
      <c r="J12" s="69">
        <f>IF(CurrentMtgRatesDataTable811[[#This Row],[WA CC]]&lt;&gt;0,C11-CurrentMtgRatesDataTable811[[#This Row],[WA CC]],0)</f>
        <v>0</v>
      </c>
      <c r="K12" s="69">
        <f>IF(CurrentMtgRatesDataTable811[[#This Row],[Servicing Spread]]&lt;=0,K11,CurrentMtgRatesDataTable811[[#This Row],[Servicing Spread]])</f>
        <v>0.77217216401751765</v>
      </c>
      <c r="L12" s="69">
        <f>CurrentMtgRatesDataTable811[[#This Row],[Servicing Spread Non-Zero]]-K11</f>
        <v>0</v>
      </c>
      <c r="M12" s="69">
        <f>IF(I11&lt;&gt;0,CurrentMtgRatesDataTable811[[#This Row],[Rate]]-C11,M11)</f>
        <v>5.0000000000000711E-2</v>
      </c>
    </row>
    <row r="13" spans="1:22" s="70" customFormat="1">
      <c r="A13" s="68" t="s">
        <v>123</v>
      </c>
      <c r="B13" s="6">
        <v>3.7534640324818001</v>
      </c>
      <c r="C13" s="6">
        <v>4.5250000000000004</v>
      </c>
      <c r="D13" s="70">
        <f t="shared" si="0"/>
        <v>2</v>
      </c>
      <c r="E13" s="70">
        <f t="shared" si="1"/>
        <v>0.2</v>
      </c>
      <c r="F13" s="70">
        <f t="shared" si="2"/>
        <v>2</v>
      </c>
      <c r="G13" s="70">
        <f t="shared" si="3"/>
        <v>1.493931591813026</v>
      </c>
      <c r="H13" s="70">
        <f t="shared" si="4"/>
        <v>0.4</v>
      </c>
      <c r="I13" s="70">
        <f t="shared" si="5"/>
        <v>0</v>
      </c>
      <c r="J13" s="69">
        <f>IF(CurrentMtgRatesDataTable811[[#This Row],[WA CC]]&lt;&gt;0,C12-CurrentMtgRatesDataTable811[[#This Row],[WA CC]],0)</f>
        <v>0</v>
      </c>
      <c r="K13" s="69">
        <f>IF(CurrentMtgRatesDataTable811[[#This Row],[Servicing Spread]]&lt;=0,K12,CurrentMtgRatesDataTable811[[#This Row],[Servicing Spread]])</f>
        <v>0.77217216401751765</v>
      </c>
      <c r="L13" s="69">
        <f>CurrentMtgRatesDataTable811[[#This Row],[Servicing Spread Non-Zero]]-K12</f>
        <v>0</v>
      </c>
      <c r="M13" s="69">
        <f>IF(I12&lt;&gt;0,CurrentMtgRatesDataTable811[[#This Row],[Rate]]-C12,M12)</f>
        <v>5.0000000000000711E-2</v>
      </c>
    </row>
    <row r="14" spans="1:22" s="70" customFormat="1">
      <c r="A14" s="68" t="s">
        <v>124</v>
      </c>
      <c r="B14" s="6">
        <v>3.7699698092029399</v>
      </c>
      <c r="C14" s="6">
        <v>4.5250000000000004</v>
      </c>
      <c r="D14" s="70">
        <f t="shared" si="0"/>
        <v>5</v>
      </c>
      <c r="E14" s="70">
        <f t="shared" si="1"/>
        <v>0.2</v>
      </c>
      <c r="F14" s="70">
        <f t="shared" si="2"/>
        <v>3</v>
      </c>
      <c r="G14" s="70">
        <f t="shared" si="3"/>
        <v>2.247925553653614</v>
      </c>
      <c r="H14" s="70">
        <f t="shared" si="4"/>
        <v>0.60000000000000009</v>
      </c>
      <c r="I14" s="70">
        <f t="shared" si="5"/>
        <v>0</v>
      </c>
      <c r="J14" s="69">
        <f>IF(CurrentMtgRatesDataTable811[[#This Row],[WA CC]]&lt;&gt;0,C13-CurrentMtgRatesDataTable811[[#This Row],[WA CC]],0)</f>
        <v>0</v>
      </c>
      <c r="K14" s="69">
        <f>IF(CurrentMtgRatesDataTable811[[#This Row],[Servicing Spread]]&lt;=0,K13,CurrentMtgRatesDataTable811[[#This Row],[Servicing Spread]])</f>
        <v>0.77217216401751765</v>
      </c>
      <c r="L14" s="69">
        <f>CurrentMtgRatesDataTable811[[#This Row],[Servicing Spread Non-Zero]]-K13</f>
        <v>0</v>
      </c>
      <c r="M14" s="69">
        <f>IF(I13&lt;&gt;0,CurrentMtgRatesDataTable811[[#This Row],[Rate]]-C13,M13)</f>
        <v>5.0000000000000711E-2</v>
      </c>
    </row>
    <row r="15" spans="1:22" s="70" customFormat="1">
      <c r="A15" s="68" t="s">
        <v>125</v>
      </c>
      <c r="B15" s="6">
        <v>3.8145226762606601</v>
      </c>
      <c r="C15" s="6">
        <v>4.5250000000000004</v>
      </c>
      <c r="D15" s="70">
        <f t="shared" si="0"/>
        <v>6</v>
      </c>
      <c r="E15" s="70">
        <f t="shared" si="1"/>
        <v>0.2</v>
      </c>
      <c r="F15" s="70">
        <f t="shared" si="2"/>
        <v>4</v>
      </c>
      <c r="G15" s="70">
        <f t="shared" si="3"/>
        <v>3.0108300889057462</v>
      </c>
      <c r="H15" s="70">
        <f t="shared" si="4"/>
        <v>0.8</v>
      </c>
      <c r="I15" s="70">
        <f t="shared" si="5"/>
        <v>0</v>
      </c>
      <c r="J15" s="69">
        <f>IF(CurrentMtgRatesDataTable811[[#This Row],[WA CC]]&lt;&gt;0,C14-CurrentMtgRatesDataTable811[[#This Row],[WA CC]],0)</f>
        <v>0</v>
      </c>
      <c r="K15" s="69">
        <f>IF(CurrentMtgRatesDataTable811[[#This Row],[Servicing Spread]]&lt;=0,K14,CurrentMtgRatesDataTable811[[#This Row],[Servicing Spread]])</f>
        <v>0.77217216401751765</v>
      </c>
      <c r="L15" s="69">
        <f>CurrentMtgRatesDataTable811[[#This Row],[Servicing Spread Non-Zero]]-K14</f>
        <v>0</v>
      </c>
      <c r="M15" s="69">
        <f>IF(I14&lt;&gt;0,CurrentMtgRatesDataTable811[[#This Row],[Rate]]-C14,M14)</f>
        <v>5.0000000000000711E-2</v>
      </c>
    </row>
    <row r="16" spans="1:22" s="70" customFormat="1">
      <c r="A16" s="68" t="s">
        <v>126</v>
      </c>
      <c r="B16" s="6">
        <v>3.8515828768318299</v>
      </c>
      <c r="C16" s="6">
        <v>4.5250000000000004</v>
      </c>
      <c r="D16" s="70">
        <f t="shared" si="0"/>
        <v>7</v>
      </c>
      <c r="E16" s="70">
        <f t="shared" si="1"/>
        <v>0.2</v>
      </c>
      <c r="F16" s="70">
        <f t="shared" si="2"/>
        <v>5</v>
      </c>
      <c r="G16" s="70">
        <f t="shared" si="3"/>
        <v>3.7811466642721121</v>
      </c>
      <c r="H16" s="70">
        <f t="shared" si="4"/>
        <v>1</v>
      </c>
      <c r="I16" s="70">
        <f t="shared" si="5"/>
        <v>3.7811466642721121</v>
      </c>
      <c r="J16" s="69">
        <f>IF(CurrentMtgRatesDataTable811[[#This Row],[WA CC]]&lt;&gt;0,C15-CurrentMtgRatesDataTable811[[#This Row],[WA CC]],0)</f>
        <v>0.74385333572788825</v>
      </c>
      <c r="K16" s="69">
        <f>IF(CurrentMtgRatesDataTable811[[#This Row],[Servicing Spread]]&lt;=0,K15,CurrentMtgRatesDataTable811[[#This Row],[Servicing Spread]])</f>
        <v>0.74385333572788825</v>
      </c>
      <c r="L16" s="69">
        <f>CurrentMtgRatesDataTable811[[#This Row],[Servicing Spread Non-Zero]]-K15</f>
        <v>-2.8318828289629394E-2</v>
      </c>
      <c r="M16" s="69">
        <f>IF(I15&lt;&gt;0,CurrentMtgRatesDataTable811[[#This Row],[Rate]]-C15,M15)</f>
        <v>5.0000000000000711E-2</v>
      </c>
    </row>
    <row r="17" spans="1:13" s="70" customFormat="1">
      <c r="A17" s="68" t="s">
        <v>127</v>
      </c>
      <c r="B17" s="6">
        <v>3.84185327351054</v>
      </c>
      <c r="C17" s="6">
        <v>4.5949999999999998</v>
      </c>
      <c r="D17" s="70">
        <f t="shared" si="0"/>
        <v>1</v>
      </c>
      <c r="E17" s="70">
        <f t="shared" si="1"/>
        <v>0.2</v>
      </c>
      <c r="F17" s="70">
        <f t="shared" si="2"/>
        <v>1</v>
      </c>
      <c r="G17" s="70">
        <f t="shared" si="3"/>
        <v>0.76837065470210808</v>
      </c>
      <c r="H17" s="70">
        <f t="shared" si="4"/>
        <v>0.2</v>
      </c>
      <c r="I17" s="70">
        <f t="shared" si="5"/>
        <v>0</v>
      </c>
      <c r="J17" s="69">
        <f>IF(CurrentMtgRatesDataTable811[[#This Row],[WA CC]]&lt;&gt;0,C16-CurrentMtgRatesDataTable811[[#This Row],[WA CC]],0)</f>
        <v>0</v>
      </c>
      <c r="K17" s="69">
        <f>IF(CurrentMtgRatesDataTable811[[#This Row],[Servicing Spread]]&lt;=0,K16,CurrentMtgRatesDataTable811[[#This Row],[Servicing Spread]])</f>
        <v>0.74385333572788825</v>
      </c>
      <c r="L17" s="69">
        <f>CurrentMtgRatesDataTable811[[#This Row],[Servicing Spread Non-Zero]]-K16</f>
        <v>0</v>
      </c>
      <c r="M17" s="69">
        <f>IF(I16&lt;&gt;0,CurrentMtgRatesDataTable811[[#This Row],[Rate]]-C16,M16)</f>
        <v>6.9999999999999396E-2</v>
      </c>
    </row>
    <row r="18" spans="1:13" s="70" customFormat="1">
      <c r="A18" s="68" t="s">
        <v>128</v>
      </c>
      <c r="B18" s="6">
        <v>3.8226738742069202</v>
      </c>
      <c r="C18" s="6">
        <v>4.5949999999999998</v>
      </c>
      <c r="D18" s="70">
        <f t="shared" si="0"/>
        <v>2</v>
      </c>
      <c r="E18" s="70">
        <f t="shared" si="1"/>
        <v>0.2</v>
      </c>
      <c r="F18" s="70">
        <f t="shared" si="2"/>
        <v>2</v>
      </c>
      <c r="G18" s="70">
        <f t="shared" si="3"/>
        <v>1.5329054295434923</v>
      </c>
      <c r="H18" s="70">
        <f t="shared" si="4"/>
        <v>0.4</v>
      </c>
      <c r="I18" s="70">
        <f t="shared" si="5"/>
        <v>0</v>
      </c>
      <c r="J18" s="69">
        <f>IF(CurrentMtgRatesDataTable811[[#This Row],[WA CC]]&lt;&gt;0,C17-CurrentMtgRatesDataTable811[[#This Row],[WA CC]],0)</f>
        <v>0</v>
      </c>
      <c r="K18" s="69">
        <f>IF(CurrentMtgRatesDataTable811[[#This Row],[Servicing Spread]]&lt;=0,K17,CurrentMtgRatesDataTable811[[#This Row],[Servicing Spread]])</f>
        <v>0.74385333572788825</v>
      </c>
      <c r="L18" s="69">
        <f>CurrentMtgRatesDataTable811[[#This Row],[Servicing Spread Non-Zero]]-K17</f>
        <v>0</v>
      </c>
      <c r="M18" s="69">
        <f>IF(I17&lt;&gt;0,CurrentMtgRatesDataTable811[[#This Row],[Rate]]-C17,M17)</f>
        <v>6.9999999999999396E-2</v>
      </c>
    </row>
    <row r="19" spans="1:13" s="70" customFormat="1">
      <c r="A19" s="68" t="s">
        <v>129</v>
      </c>
      <c r="B19" s="6">
        <v>3.8332958580171299</v>
      </c>
      <c r="C19" s="6">
        <v>4.5949999999999998</v>
      </c>
      <c r="D19" s="70">
        <f t="shared" si="0"/>
        <v>5</v>
      </c>
      <c r="E19" s="70">
        <f t="shared" si="1"/>
        <v>0.2</v>
      </c>
      <c r="F19" s="70">
        <f t="shared" si="2"/>
        <v>3</v>
      </c>
      <c r="G19" s="70">
        <f t="shared" si="3"/>
        <v>2.2995646011469182</v>
      </c>
      <c r="H19" s="70">
        <f t="shared" si="4"/>
        <v>0.60000000000000009</v>
      </c>
      <c r="I19" s="70">
        <f t="shared" si="5"/>
        <v>0</v>
      </c>
      <c r="J19" s="69">
        <f>IF(CurrentMtgRatesDataTable811[[#This Row],[WA CC]]&lt;&gt;0,C18-CurrentMtgRatesDataTable811[[#This Row],[WA CC]],0)</f>
        <v>0</v>
      </c>
      <c r="K19" s="69">
        <f>IF(CurrentMtgRatesDataTable811[[#This Row],[Servicing Spread]]&lt;=0,K18,CurrentMtgRatesDataTable811[[#This Row],[Servicing Spread]])</f>
        <v>0.74385333572788825</v>
      </c>
      <c r="L19" s="69">
        <f>CurrentMtgRatesDataTable811[[#This Row],[Servicing Spread Non-Zero]]-K18</f>
        <v>0</v>
      </c>
      <c r="M19" s="69">
        <f>IF(I18&lt;&gt;0,CurrentMtgRatesDataTable811[[#This Row],[Rate]]-C18,M18)</f>
        <v>6.9999999999999396E-2</v>
      </c>
    </row>
    <row r="20" spans="1:13" s="70" customFormat="1">
      <c r="A20" s="68" t="s">
        <v>130</v>
      </c>
      <c r="B20" s="6">
        <v>3.85930974510087</v>
      </c>
      <c r="C20" s="6">
        <v>4.5949999999999998</v>
      </c>
      <c r="D20" s="70">
        <f t="shared" si="0"/>
        <v>6</v>
      </c>
      <c r="E20" s="70">
        <f t="shared" si="1"/>
        <v>0.2</v>
      </c>
      <c r="F20" s="70">
        <f t="shared" si="2"/>
        <v>4</v>
      </c>
      <c r="G20" s="70">
        <f t="shared" si="3"/>
        <v>3.0714265501670921</v>
      </c>
      <c r="H20" s="70">
        <f t="shared" si="4"/>
        <v>0.8</v>
      </c>
      <c r="I20" s="70">
        <f t="shared" si="5"/>
        <v>0</v>
      </c>
      <c r="J20" s="69">
        <f>IF(CurrentMtgRatesDataTable811[[#This Row],[WA CC]]&lt;&gt;0,C19-CurrentMtgRatesDataTable811[[#This Row],[WA CC]],0)</f>
        <v>0</v>
      </c>
      <c r="K20" s="69">
        <f>IF(CurrentMtgRatesDataTable811[[#This Row],[Servicing Spread]]&lt;=0,K19,CurrentMtgRatesDataTable811[[#This Row],[Servicing Spread]])</f>
        <v>0.74385333572788825</v>
      </c>
      <c r="L20" s="69">
        <f>CurrentMtgRatesDataTable811[[#This Row],[Servicing Spread Non-Zero]]-K19</f>
        <v>0</v>
      </c>
      <c r="M20" s="69">
        <f>IF(I19&lt;&gt;0,CurrentMtgRatesDataTable811[[#This Row],[Rate]]-C19,M19)</f>
        <v>6.9999999999999396E-2</v>
      </c>
    </row>
    <row r="21" spans="1:13" s="70" customFormat="1">
      <c r="A21" s="68" t="s">
        <v>131</v>
      </c>
      <c r="B21" s="6">
        <v>3.8124195234737499</v>
      </c>
      <c r="C21" s="6">
        <v>4.5949999999999998</v>
      </c>
      <c r="D21" s="70">
        <f t="shared" si="0"/>
        <v>7</v>
      </c>
      <c r="E21" s="70">
        <f t="shared" si="1"/>
        <v>0.2</v>
      </c>
      <c r="F21" s="70">
        <f t="shared" si="2"/>
        <v>5</v>
      </c>
      <c r="G21" s="70">
        <f t="shared" si="3"/>
        <v>3.8339104548618419</v>
      </c>
      <c r="H21" s="70">
        <f t="shared" si="4"/>
        <v>1</v>
      </c>
      <c r="I21" s="70">
        <f t="shared" si="5"/>
        <v>3.8339104548618419</v>
      </c>
      <c r="J21" s="69">
        <f>IF(CurrentMtgRatesDataTable811[[#This Row],[WA CC]]&lt;&gt;0,C20-CurrentMtgRatesDataTable811[[#This Row],[WA CC]],0)</f>
        <v>0.76108954513815785</v>
      </c>
      <c r="K21" s="69">
        <f>IF(CurrentMtgRatesDataTable811[[#This Row],[Servicing Spread]]&lt;=0,K20,CurrentMtgRatesDataTable811[[#This Row],[Servicing Spread]])</f>
        <v>0.76108954513815785</v>
      </c>
      <c r="L21" s="69">
        <f>CurrentMtgRatesDataTable811[[#This Row],[Servicing Spread Non-Zero]]-K20</f>
        <v>1.7236209410269598E-2</v>
      </c>
      <c r="M21" s="69">
        <f>IF(I20&lt;&gt;0,CurrentMtgRatesDataTable811[[#This Row],[Rate]]-C20,M20)</f>
        <v>6.9999999999999396E-2</v>
      </c>
    </row>
    <row r="22" spans="1:13" s="70" customFormat="1">
      <c r="A22" s="120" t="s">
        <v>132</v>
      </c>
      <c r="B22" s="121">
        <v>3.8046068363849299</v>
      </c>
      <c r="C22" s="122">
        <v>4.5599999999999996</v>
      </c>
      <c r="D22" s="116">
        <f t="shared" si="0"/>
        <v>1</v>
      </c>
      <c r="E22" s="116">
        <f t="shared" si="1"/>
        <v>0.2</v>
      </c>
      <c r="F22" s="116">
        <f t="shared" si="2"/>
        <v>1</v>
      </c>
      <c r="G22" s="116">
        <f t="shared" si="3"/>
        <v>0.760921367276986</v>
      </c>
      <c r="H22" s="116">
        <f t="shared" si="4"/>
        <v>0.2</v>
      </c>
      <c r="I22" s="116">
        <f t="shared" si="5"/>
        <v>0</v>
      </c>
      <c r="J22" s="116">
        <f>IF(CurrentMtgRatesDataTable811[[#This Row],[WA CC]]&lt;&gt;0,C21-CurrentMtgRatesDataTable811[[#This Row],[WA CC]],0)</f>
        <v>0</v>
      </c>
      <c r="K22" s="116">
        <f>IF(CurrentMtgRatesDataTable811[[#This Row],[Servicing Spread]]&lt;=0,K21,CurrentMtgRatesDataTable811[[#This Row],[Servicing Spread]])</f>
        <v>0.76108954513815785</v>
      </c>
      <c r="L22" s="116">
        <f>CurrentMtgRatesDataTable811[[#This Row],[Servicing Spread Non-Zero]]-K21</f>
        <v>0</v>
      </c>
      <c r="M22" s="116">
        <f>IF(I21&lt;&gt;0,CurrentMtgRatesDataTable811[[#This Row],[Rate]]-C21,M21)</f>
        <v>-3.5000000000000142E-2</v>
      </c>
    </row>
    <row r="23" spans="1:13" s="70" customFormat="1">
      <c r="A23" s="120" t="s">
        <v>133</v>
      </c>
      <c r="B23" s="121">
        <v>3.80336781039632</v>
      </c>
      <c r="C23" s="122">
        <v>4.5599999999999996</v>
      </c>
      <c r="D23" s="116">
        <f t="shared" si="0"/>
        <v>2</v>
      </c>
      <c r="E23" s="116">
        <f t="shared" si="1"/>
        <v>0.2</v>
      </c>
      <c r="F23" s="116">
        <f t="shared" si="2"/>
        <v>2</v>
      </c>
      <c r="G23" s="116">
        <f t="shared" si="3"/>
        <v>1.5215949293562501</v>
      </c>
      <c r="H23" s="116">
        <f t="shared" si="4"/>
        <v>0.4</v>
      </c>
      <c r="I23" s="116">
        <f t="shared" si="5"/>
        <v>0</v>
      </c>
      <c r="J23" s="116">
        <f>IF(CurrentMtgRatesDataTable811[[#This Row],[WA CC]]&lt;&gt;0,C22-CurrentMtgRatesDataTable811[[#This Row],[WA CC]],0)</f>
        <v>0</v>
      </c>
      <c r="K23" s="116">
        <f>IF(CurrentMtgRatesDataTable811[[#This Row],[Servicing Spread]]&lt;=0,K22,CurrentMtgRatesDataTable811[[#This Row],[Servicing Spread]])</f>
        <v>0.76108954513815785</v>
      </c>
      <c r="L23" s="116">
        <f>CurrentMtgRatesDataTable811[[#This Row],[Servicing Spread Non-Zero]]-K22</f>
        <v>0</v>
      </c>
      <c r="M23" s="116">
        <f>IF(I22&lt;&gt;0,CurrentMtgRatesDataTable811[[#This Row],[Rate]]-C22,M22)</f>
        <v>-3.5000000000000142E-2</v>
      </c>
    </row>
    <row r="24" spans="1:13" s="70" customFormat="1">
      <c r="A24" s="120" t="s">
        <v>134</v>
      </c>
      <c r="B24" s="121">
        <v>3.8167034065419898</v>
      </c>
      <c r="C24" s="122">
        <v>4.5599999999999996</v>
      </c>
      <c r="D24" s="116">
        <f t="shared" si="0"/>
        <v>5</v>
      </c>
      <c r="E24" s="116">
        <f t="shared" si="1"/>
        <v>0.2</v>
      </c>
      <c r="F24" s="116">
        <f t="shared" si="2"/>
        <v>3</v>
      </c>
      <c r="G24" s="116">
        <f t="shared" si="3"/>
        <v>2.2849356106646481</v>
      </c>
      <c r="H24" s="116">
        <f t="shared" si="4"/>
        <v>0.60000000000000009</v>
      </c>
      <c r="I24" s="116">
        <f t="shared" si="5"/>
        <v>0</v>
      </c>
      <c r="J24" s="116">
        <f>IF(CurrentMtgRatesDataTable811[[#This Row],[WA CC]]&lt;&gt;0,C23-CurrentMtgRatesDataTable811[[#This Row],[WA CC]],0)</f>
        <v>0</v>
      </c>
      <c r="K24" s="116">
        <f>IF(CurrentMtgRatesDataTable811[[#This Row],[Servicing Spread]]&lt;=0,K23,CurrentMtgRatesDataTable811[[#This Row],[Servicing Spread]])</f>
        <v>0.76108954513815785</v>
      </c>
      <c r="L24" s="116">
        <f>CurrentMtgRatesDataTable811[[#This Row],[Servicing Spread Non-Zero]]-K23</f>
        <v>0</v>
      </c>
      <c r="M24" s="116">
        <f>IF(I23&lt;&gt;0,CurrentMtgRatesDataTable811[[#This Row],[Rate]]-C23,M23)</f>
        <v>-3.5000000000000142E-2</v>
      </c>
    </row>
    <row r="25" spans="1:13" s="70" customFormat="1">
      <c r="A25" s="120" t="s">
        <v>135</v>
      </c>
      <c r="B25" s="121">
        <v>3.7983871418033401</v>
      </c>
      <c r="C25" s="122">
        <v>4.5599999999999996</v>
      </c>
      <c r="D25" s="116">
        <f t="shared" si="0"/>
        <v>6</v>
      </c>
      <c r="E25" s="116">
        <f t="shared" si="1"/>
        <v>0.2</v>
      </c>
      <c r="F25" s="116">
        <f t="shared" si="2"/>
        <v>4</v>
      </c>
      <c r="G25" s="116">
        <f t="shared" si="3"/>
        <v>3.0446130390253163</v>
      </c>
      <c r="H25" s="116">
        <f t="shared" si="4"/>
        <v>0.8</v>
      </c>
      <c r="I25" s="116">
        <f t="shared" si="5"/>
        <v>0</v>
      </c>
      <c r="J25" s="116">
        <f>IF(CurrentMtgRatesDataTable811[[#This Row],[WA CC]]&lt;&gt;0,C24-CurrentMtgRatesDataTable811[[#This Row],[WA CC]],0)</f>
        <v>0</v>
      </c>
      <c r="K25" s="116">
        <f>IF(CurrentMtgRatesDataTable811[[#This Row],[Servicing Spread]]&lt;=0,K24,CurrentMtgRatesDataTable811[[#This Row],[Servicing Spread]])</f>
        <v>0.76108954513815785</v>
      </c>
      <c r="L25" s="116">
        <f>CurrentMtgRatesDataTable811[[#This Row],[Servicing Spread Non-Zero]]-K24</f>
        <v>0</v>
      </c>
      <c r="M25" s="116">
        <f>IF(I24&lt;&gt;0,CurrentMtgRatesDataTable811[[#This Row],[Rate]]-C24,M24)</f>
        <v>-3.5000000000000142E-2</v>
      </c>
    </row>
    <row r="26" spans="1:13" s="70" customFormat="1">
      <c r="A26" s="120" t="s">
        <v>136</v>
      </c>
      <c r="B26" s="121">
        <v>3.90838190830718</v>
      </c>
      <c r="C26" s="122">
        <v>4.5599999999999996</v>
      </c>
      <c r="D26" s="116">
        <f t="shared" si="0"/>
        <v>7</v>
      </c>
      <c r="E26" s="116">
        <f t="shared" si="1"/>
        <v>0.2</v>
      </c>
      <c r="F26" s="116">
        <f t="shared" si="2"/>
        <v>5</v>
      </c>
      <c r="G26" s="116">
        <f t="shared" si="3"/>
        <v>3.8262894206867522</v>
      </c>
      <c r="H26" s="116">
        <f t="shared" si="4"/>
        <v>1</v>
      </c>
      <c r="I26" s="116">
        <f t="shared" si="5"/>
        <v>3.8262894206867522</v>
      </c>
      <c r="J26" s="116">
        <f>IF(CurrentMtgRatesDataTable811[[#This Row],[WA CC]]&lt;&gt;0,C25-CurrentMtgRatesDataTable811[[#This Row],[WA CC]],0)</f>
        <v>0.73371057931324746</v>
      </c>
      <c r="K26" s="116">
        <f>IF(CurrentMtgRatesDataTable811[[#This Row],[Servicing Spread]]&lt;=0,K25,CurrentMtgRatesDataTable811[[#This Row],[Servicing Spread]])</f>
        <v>0.73371057931324746</v>
      </c>
      <c r="L26" s="116">
        <f>CurrentMtgRatesDataTable811[[#This Row],[Servicing Spread Non-Zero]]-K25</f>
        <v>-2.7378965824910395E-2</v>
      </c>
      <c r="M26" s="116">
        <f>IF(I25&lt;&gt;0,CurrentMtgRatesDataTable811[[#This Row],[Rate]]-C25,M25)</f>
        <v>-3.5000000000000142E-2</v>
      </c>
    </row>
    <row r="27" spans="1:13" s="70" customFormat="1">
      <c r="A27" s="124" t="s">
        <v>137</v>
      </c>
      <c r="B27" s="125">
        <v>3.9603168855384401</v>
      </c>
      <c r="C27" s="6">
        <v>4.7750000000000004</v>
      </c>
      <c r="D27" s="69">
        <f t="shared" si="0"/>
        <v>1</v>
      </c>
      <c r="E27" s="69">
        <f t="shared" si="1"/>
        <v>0.2</v>
      </c>
      <c r="F27" s="69">
        <f t="shared" si="2"/>
        <v>1</v>
      </c>
      <c r="G27" s="69">
        <f t="shared" si="3"/>
        <v>0.79206337710768804</v>
      </c>
      <c r="H27" s="69">
        <f t="shared" si="4"/>
        <v>0.2</v>
      </c>
      <c r="I27" s="69">
        <f t="shared" si="5"/>
        <v>0</v>
      </c>
      <c r="J27" s="69">
        <f>IF(CurrentMtgRatesDataTable811[[#This Row],[WA CC]]&lt;&gt;0,C26-CurrentMtgRatesDataTable811[[#This Row],[WA CC]],0)</f>
        <v>0</v>
      </c>
      <c r="K27" s="69">
        <f>IF(CurrentMtgRatesDataTable811[[#This Row],[Servicing Spread]]&lt;=0,K26,CurrentMtgRatesDataTable811[[#This Row],[Servicing Spread]])</f>
        <v>0.73371057931324746</v>
      </c>
      <c r="L27" s="69">
        <f>CurrentMtgRatesDataTable811[[#This Row],[Servicing Spread Non-Zero]]-K26</f>
        <v>0</v>
      </c>
      <c r="M27" s="69">
        <f>IF(I26&lt;&gt;0,CurrentMtgRatesDataTable811[[#This Row],[Rate]]-C26,M26)</f>
        <v>0.21500000000000075</v>
      </c>
    </row>
    <row r="28" spans="1:13" s="70" customFormat="1">
      <c r="A28" s="124" t="s">
        <v>138</v>
      </c>
      <c r="B28" s="125">
        <v>4.0011110217050803</v>
      </c>
      <c r="C28" s="6">
        <v>4.7750000000000004</v>
      </c>
      <c r="D28" s="69">
        <f t="shared" si="0"/>
        <v>2</v>
      </c>
      <c r="E28" s="69">
        <f t="shared" si="1"/>
        <v>0.2</v>
      </c>
      <c r="F28" s="69">
        <f t="shared" si="2"/>
        <v>2</v>
      </c>
      <c r="G28" s="69">
        <f t="shared" si="3"/>
        <v>1.5922855814487042</v>
      </c>
      <c r="H28" s="69">
        <f t="shared" si="4"/>
        <v>0.4</v>
      </c>
      <c r="I28" s="69">
        <f t="shared" si="5"/>
        <v>0</v>
      </c>
      <c r="J28" s="69">
        <f>IF(CurrentMtgRatesDataTable811[[#This Row],[WA CC]]&lt;&gt;0,C27-CurrentMtgRatesDataTable811[[#This Row],[WA CC]],0)</f>
        <v>0</v>
      </c>
      <c r="K28" s="69">
        <f>IF(CurrentMtgRatesDataTable811[[#This Row],[Servicing Spread]]&lt;=0,K27,CurrentMtgRatesDataTable811[[#This Row],[Servicing Spread]])</f>
        <v>0.73371057931324746</v>
      </c>
      <c r="L28" s="69">
        <f>CurrentMtgRatesDataTable811[[#This Row],[Servicing Spread Non-Zero]]-K27</f>
        <v>0</v>
      </c>
      <c r="M28" s="69">
        <f>IF(I27&lt;&gt;0,CurrentMtgRatesDataTable811[[#This Row],[Rate]]-C27,M27)</f>
        <v>0.21500000000000075</v>
      </c>
    </row>
    <row r="29" spans="1:13" s="70" customFormat="1">
      <c r="A29" s="124" t="s">
        <v>139</v>
      </c>
      <c r="B29" s="125">
        <v>3.9744069853761199</v>
      </c>
      <c r="C29" s="6">
        <v>4.7750000000000004</v>
      </c>
      <c r="D29" s="69">
        <f t="shared" si="0"/>
        <v>6</v>
      </c>
      <c r="E29" s="69">
        <f t="shared" si="1"/>
        <v>0.2</v>
      </c>
      <c r="F29" s="69">
        <f t="shared" si="2"/>
        <v>3</v>
      </c>
      <c r="G29" s="69">
        <f t="shared" si="3"/>
        <v>2.3871669785239282</v>
      </c>
      <c r="H29" s="69">
        <f t="shared" si="4"/>
        <v>0.60000000000000009</v>
      </c>
      <c r="I29" s="69">
        <f t="shared" si="5"/>
        <v>0</v>
      </c>
      <c r="J29" s="69">
        <f>IF(CurrentMtgRatesDataTable811[[#This Row],[WA CC]]&lt;&gt;0,C28-CurrentMtgRatesDataTable811[[#This Row],[WA CC]],0)</f>
        <v>0</v>
      </c>
      <c r="K29" s="69">
        <f>IF(CurrentMtgRatesDataTable811[[#This Row],[Servicing Spread]]&lt;=0,K28,CurrentMtgRatesDataTable811[[#This Row],[Servicing Spread]])</f>
        <v>0.73371057931324746</v>
      </c>
      <c r="L29" s="69">
        <f>CurrentMtgRatesDataTable811[[#This Row],[Servicing Spread Non-Zero]]-K28</f>
        <v>0</v>
      </c>
      <c r="M29" s="69">
        <f>IF(I28&lt;&gt;0,CurrentMtgRatesDataTable811[[#This Row],[Rate]]-C28,M28)</f>
        <v>0.21500000000000075</v>
      </c>
    </row>
    <row r="30" spans="1:13" s="70" customFormat="1">
      <c r="A30" s="124" t="s">
        <v>140</v>
      </c>
      <c r="B30" s="125">
        <v>3.9969539942316299</v>
      </c>
      <c r="C30" s="6">
        <v>4.7750000000000004</v>
      </c>
      <c r="D30" s="69">
        <f t="shared" si="0"/>
        <v>7</v>
      </c>
      <c r="E30" s="69">
        <f t="shared" si="1"/>
        <v>0.2</v>
      </c>
      <c r="F30" s="69">
        <f t="shared" si="2"/>
        <v>4</v>
      </c>
      <c r="G30" s="69">
        <f t="shared" si="3"/>
        <v>3.186557777370254</v>
      </c>
      <c r="H30" s="69">
        <f t="shared" si="4"/>
        <v>0.8</v>
      </c>
      <c r="I30" s="69">
        <f t="shared" si="5"/>
        <v>3.9831972217128175</v>
      </c>
      <c r="J30" s="69">
        <f>IF(CurrentMtgRatesDataTable811[[#This Row],[WA CC]]&lt;&gt;0,C29-CurrentMtgRatesDataTable811[[#This Row],[WA CC]],0)</f>
        <v>0.79180277828718282</v>
      </c>
      <c r="K30" s="69">
        <f>IF(CurrentMtgRatesDataTable811[[#This Row],[Servicing Spread]]&lt;=0,K29,CurrentMtgRatesDataTable811[[#This Row],[Servicing Spread]])</f>
        <v>0.79180277828718282</v>
      </c>
      <c r="L30" s="69">
        <f>CurrentMtgRatesDataTable811[[#This Row],[Servicing Spread Non-Zero]]-K29</f>
        <v>5.8092198973935361E-2</v>
      </c>
      <c r="M30" s="69">
        <f>IF(I29&lt;&gt;0,CurrentMtgRatesDataTable811[[#This Row],[Rate]]-C29,M29)</f>
        <v>0.21500000000000075</v>
      </c>
    </row>
    <row r="31" spans="1:13" s="70" customFormat="1">
      <c r="A31" s="124" t="s">
        <v>141</v>
      </c>
      <c r="B31" s="125">
        <v>3.9157051291446998</v>
      </c>
      <c r="C31" s="6">
        <v>4.7249999999999996</v>
      </c>
      <c r="D31" s="69">
        <f t="shared" si="0"/>
        <v>1</v>
      </c>
      <c r="E31" s="69">
        <f t="shared" si="1"/>
        <v>0.2</v>
      </c>
      <c r="F31" s="69">
        <f t="shared" si="2"/>
        <v>1</v>
      </c>
      <c r="G31" s="69">
        <f t="shared" si="3"/>
        <v>0.78314102582893996</v>
      </c>
      <c r="H31" s="69">
        <f t="shared" si="4"/>
        <v>0.2</v>
      </c>
      <c r="I31" s="69">
        <f t="shared" si="5"/>
        <v>0</v>
      </c>
      <c r="J31" s="69">
        <f>IF(CurrentMtgRatesDataTable811[[#This Row],[WA CC]]&lt;&gt;0,C30-CurrentMtgRatesDataTable811[[#This Row],[WA CC]],0)</f>
        <v>0</v>
      </c>
      <c r="K31" s="69">
        <f>IF(CurrentMtgRatesDataTable811[[#This Row],[Servicing Spread]]&lt;=0,K30,CurrentMtgRatesDataTable811[[#This Row],[Servicing Spread]])</f>
        <v>0.79180277828718282</v>
      </c>
      <c r="L31" s="69">
        <f>CurrentMtgRatesDataTable811[[#This Row],[Servicing Spread Non-Zero]]-K30</f>
        <v>0</v>
      </c>
      <c r="M31" s="69">
        <f>IF(I30&lt;&gt;0,CurrentMtgRatesDataTable811[[#This Row],[Rate]]-C30,M30)</f>
        <v>-5.0000000000000711E-2</v>
      </c>
    </row>
    <row r="32" spans="1:13" s="70" customFormat="1">
      <c r="A32" s="124" t="s">
        <v>142</v>
      </c>
      <c r="B32" s="125">
        <v>3.9355950032228901</v>
      </c>
      <c r="C32" s="6">
        <v>4.7249999999999996</v>
      </c>
      <c r="D32" s="69">
        <f t="shared" si="0"/>
        <v>2</v>
      </c>
      <c r="E32" s="69">
        <f t="shared" si="1"/>
        <v>0.2</v>
      </c>
      <c r="F32" s="69">
        <f t="shared" si="2"/>
        <v>2</v>
      </c>
      <c r="G32" s="69">
        <f t="shared" si="3"/>
        <v>1.570260026473518</v>
      </c>
      <c r="H32" s="69">
        <f t="shared" si="4"/>
        <v>0.4</v>
      </c>
      <c r="I32" s="69">
        <f t="shared" si="5"/>
        <v>0</v>
      </c>
      <c r="J32" s="69">
        <f>IF(CurrentMtgRatesDataTable811[[#This Row],[WA CC]]&lt;&gt;0,C31-CurrentMtgRatesDataTable811[[#This Row],[WA CC]],0)</f>
        <v>0</v>
      </c>
      <c r="K32" s="69">
        <f>IF(CurrentMtgRatesDataTable811[[#This Row],[Servicing Spread]]&lt;=0,K31,CurrentMtgRatesDataTable811[[#This Row],[Servicing Spread]])</f>
        <v>0.79180277828718282</v>
      </c>
      <c r="L32" s="69">
        <f>CurrentMtgRatesDataTable811[[#This Row],[Servicing Spread Non-Zero]]-K31</f>
        <v>0</v>
      </c>
      <c r="M32" s="69">
        <f>IF(I31&lt;&gt;0,CurrentMtgRatesDataTable811[[#This Row],[Rate]]-C31,M31)</f>
        <v>-5.0000000000000711E-2</v>
      </c>
    </row>
    <row r="33" spans="1:22" s="70" customFormat="1">
      <c r="A33" s="124" t="s">
        <v>143</v>
      </c>
      <c r="B33" s="125">
        <v>3.9613276737671601</v>
      </c>
      <c r="C33" s="6">
        <v>4.7249999999999996</v>
      </c>
      <c r="D33" s="69">
        <f t="shared" si="0"/>
        <v>5</v>
      </c>
      <c r="E33" s="69">
        <f t="shared" si="1"/>
        <v>0.2</v>
      </c>
      <c r="F33" s="69">
        <f t="shared" si="2"/>
        <v>3</v>
      </c>
      <c r="G33" s="69">
        <f t="shared" si="3"/>
        <v>2.36252556122695</v>
      </c>
      <c r="H33" s="69">
        <f t="shared" si="4"/>
        <v>0.60000000000000009</v>
      </c>
      <c r="I33" s="69">
        <f t="shared" si="5"/>
        <v>0</v>
      </c>
      <c r="J33" s="69">
        <f>IF(CurrentMtgRatesDataTable811[[#This Row],[WA CC]]&lt;&gt;0,C32-CurrentMtgRatesDataTable811[[#This Row],[WA CC]],0)</f>
        <v>0</v>
      </c>
      <c r="K33" s="69">
        <f>IF(CurrentMtgRatesDataTable811[[#This Row],[Servicing Spread]]&lt;=0,K32,CurrentMtgRatesDataTable811[[#This Row],[Servicing Spread]])</f>
        <v>0.79180277828718282</v>
      </c>
      <c r="L33" s="69">
        <f>CurrentMtgRatesDataTable811[[#This Row],[Servicing Spread Non-Zero]]-K32</f>
        <v>0</v>
      </c>
      <c r="M33" s="69">
        <f>IF(I32&lt;&gt;0,CurrentMtgRatesDataTable811[[#This Row],[Rate]]-C32,M32)</f>
        <v>-5.0000000000000711E-2</v>
      </c>
    </row>
    <row r="34" spans="1:22" s="70" customFormat="1">
      <c r="A34" s="124" t="s">
        <v>144</v>
      </c>
      <c r="B34" s="125">
        <v>3.9443243482014001</v>
      </c>
      <c r="C34" s="6">
        <v>4.7249999999999996</v>
      </c>
      <c r="D34" s="69">
        <f t="shared" si="0"/>
        <v>6</v>
      </c>
      <c r="E34" s="69">
        <f t="shared" si="1"/>
        <v>0.2</v>
      </c>
      <c r="F34" s="69">
        <f t="shared" si="2"/>
        <v>4</v>
      </c>
      <c r="G34" s="69">
        <f t="shared" si="3"/>
        <v>3.15139043086723</v>
      </c>
      <c r="H34" s="69">
        <f t="shared" si="4"/>
        <v>0.8</v>
      </c>
      <c r="I34" s="69">
        <f t="shared" si="5"/>
        <v>0</v>
      </c>
      <c r="J34" s="69">
        <f>IF(CurrentMtgRatesDataTable811[[#This Row],[WA CC]]&lt;&gt;0,C33-CurrentMtgRatesDataTable811[[#This Row],[WA CC]],0)</f>
        <v>0</v>
      </c>
      <c r="K34" s="69">
        <f>IF(CurrentMtgRatesDataTable811[[#This Row],[Servicing Spread]]&lt;=0,K33,CurrentMtgRatesDataTable811[[#This Row],[Servicing Spread]])</f>
        <v>0.79180277828718282</v>
      </c>
      <c r="L34" s="69">
        <f>CurrentMtgRatesDataTable811[[#This Row],[Servicing Spread Non-Zero]]-K33</f>
        <v>0</v>
      </c>
      <c r="M34" s="69">
        <f>IF(I33&lt;&gt;0,CurrentMtgRatesDataTable811[[#This Row],[Rate]]-C33,M33)</f>
        <v>-5.0000000000000711E-2</v>
      </c>
    </row>
    <row r="35" spans="1:22" s="70" customFormat="1">
      <c r="A35" s="124" t="s">
        <v>145</v>
      </c>
      <c r="B35" s="125">
        <v>3.9692949162370099</v>
      </c>
      <c r="C35" s="6">
        <v>4.7249999999999996</v>
      </c>
      <c r="D35" s="69">
        <f t="shared" si="0"/>
        <v>7</v>
      </c>
      <c r="E35" s="69">
        <f t="shared" si="1"/>
        <v>0.2</v>
      </c>
      <c r="F35" s="69">
        <f t="shared" si="2"/>
        <v>5</v>
      </c>
      <c r="G35" s="69">
        <f t="shared" si="3"/>
        <v>3.9452494141146319</v>
      </c>
      <c r="H35" s="69">
        <f t="shared" si="4"/>
        <v>1</v>
      </c>
      <c r="I35" s="69">
        <f t="shared" si="5"/>
        <v>3.9452494141146319</v>
      </c>
      <c r="J35" s="69">
        <f>IF(CurrentMtgRatesDataTable811[[#This Row],[WA CC]]&lt;&gt;0,C34-CurrentMtgRatesDataTable811[[#This Row],[WA CC]],0)</f>
        <v>0.77975058588536772</v>
      </c>
      <c r="K35" s="69">
        <f>IF(CurrentMtgRatesDataTable811[[#This Row],[Servicing Spread]]&lt;=0,K34,CurrentMtgRatesDataTable811[[#This Row],[Servicing Spread]])</f>
        <v>0.77975058588536772</v>
      </c>
      <c r="L35" s="69">
        <f>CurrentMtgRatesDataTable811[[#This Row],[Servicing Spread Non-Zero]]-K34</f>
        <v>-1.2052192401815098E-2</v>
      </c>
      <c r="M35" s="69">
        <f>IF(I34&lt;&gt;0,CurrentMtgRatesDataTable811[[#This Row],[Rate]]-C34,M34)</f>
        <v>-5.0000000000000711E-2</v>
      </c>
    </row>
    <row r="36" spans="1:22" s="70" customForma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</row>
    <row r="37" spans="1:22" s="70" customForma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</row>
    <row r="38" spans="1:22" s="70" customForma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</row>
    <row r="39" spans="1:22" s="70" customForma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</row>
    <row r="40" spans="1:22" s="70" customForma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</row>
    <row r="41" spans="1:22" s="70" customForma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</row>
    <row r="42" spans="1:22" s="70" customForma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</row>
    <row r="43" spans="1:22" s="70" customForma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</row>
    <row r="44" spans="1:22" s="70" customForma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</row>
    <row r="45" spans="1:22" s="70" customForma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22" s="70" customForma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spans="1:22" s="70" customForma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T47" s="66"/>
      <c r="U47" s="66"/>
    </row>
    <row r="48" spans="1:22" s="70" customForma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T48" s="66"/>
      <c r="U48" s="66"/>
      <c r="V48" s="66"/>
    </row>
    <row r="49" spans="1:22" s="70" customForma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T49" s="66"/>
      <c r="U49" s="66"/>
      <c r="V49" s="66"/>
    </row>
    <row r="50" spans="1:22" s="70" customForma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T50" s="66"/>
      <c r="U50" s="66"/>
      <c r="V50" s="66"/>
    </row>
    <row r="51" spans="1:22" s="70" customForma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T51" s="66"/>
      <c r="U51" s="66"/>
      <c r="V51" s="66"/>
    </row>
    <row r="52" spans="1:22" s="70" customForma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T52" s="66"/>
      <c r="U52" s="66"/>
      <c r="V52" s="66"/>
    </row>
    <row r="53" spans="1:22" s="70" customForma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T53" s="66"/>
      <c r="U53" s="66"/>
      <c r="V53" s="66"/>
    </row>
    <row r="54" spans="1:22" s="70" customForma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T54" s="66"/>
      <c r="U54" s="66"/>
      <c r="V54" s="66"/>
    </row>
    <row r="55" spans="1:22" s="70" customForma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T55" s="66"/>
      <c r="U55" s="66"/>
      <c r="V55" s="66"/>
    </row>
    <row r="56" spans="1:22" s="70" customForma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T56" s="66"/>
      <c r="U56" s="66"/>
      <c r="V56" s="66"/>
    </row>
    <row r="57" spans="1:22" s="70" customForma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T57" s="66"/>
      <c r="U57" s="66"/>
      <c r="V57" s="66"/>
    </row>
    <row r="58" spans="1:22" s="70" customForma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T58" s="66"/>
      <c r="U58" s="66"/>
      <c r="V58" s="66"/>
    </row>
    <row r="59" spans="1:22" s="70" customForma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T59" s="66"/>
      <c r="U59" s="66"/>
      <c r="V59" s="66"/>
    </row>
    <row r="60" spans="1:22" s="70" customForma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T60" s="66"/>
      <c r="U60" s="66"/>
      <c r="V60" s="66"/>
    </row>
    <row r="61" spans="1:22" s="70" customForma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T61" s="66"/>
      <c r="U61" s="66"/>
      <c r="V61" s="66"/>
    </row>
    <row r="62" spans="1:22" s="70" customForma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T62" s="66"/>
      <c r="U62" s="66"/>
      <c r="V62" s="66"/>
    </row>
    <row r="63" spans="1:22" s="70" customForma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T63" s="66"/>
      <c r="U63" s="66"/>
      <c r="V63" s="66"/>
    </row>
    <row r="64" spans="1:22" s="70" customForma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T64" s="66"/>
      <c r="U64" s="66"/>
      <c r="V64" s="66"/>
    </row>
    <row r="65" spans="1:22" s="70" customForma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T65" s="66"/>
      <c r="U65" s="66"/>
      <c r="V65" s="66"/>
    </row>
    <row r="66" spans="1:22" s="70" customForma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T66" s="66"/>
      <c r="U66" s="66"/>
      <c r="V66" s="66"/>
    </row>
    <row r="67" spans="1:22" s="70" customForma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S67" s="66"/>
      <c r="T67" s="66"/>
      <c r="U67" s="66"/>
      <c r="V67" s="66"/>
    </row>
    <row r="68" spans="1:22">
      <c r="N68" s="70"/>
      <c r="O68" s="70"/>
      <c r="P68" s="70"/>
      <c r="Q68" s="70"/>
      <c r="R68" s="70"/>
    </row>
    <row r="69" spans="1:22">
      <c r="N69" s="70"/>
      <c r="O69" s="70"/>
      <c r="P69" s="70"/>
      <c r="Q69" s="70"/>
      <c r="R69" s="70"/>
    </row>
    <row r="70" spans="1:22">
      <c r="N70" s="70"/>
      <c r="O70" s="70"/>
      <c r="P70" s="70"/>
      <c r="Q70" s="70"/>
      <c r="R70" s="70"/>
    </row>
    <row r="71" spans="1:22">
      <c r="N71" s="70"/>
      <c r="O71" s="70"/>
      <c r="P71" s="70"/>
      <c r="Q71" s="70"/>
      <c r="R71" s="70"/>
    </row>
    <row r="72" spans="1:22">
      <c r="N72" s="70"/>
      <c r="O72" s="70"/>
      <c r="P72" s="70"/>
      <c r="Q72" s="70"/>
      <c r="R72" s="70"/>
    </row>
    <row r="73" spans="1:22">
      <c r="N73" s="70"/>
      <c r="O73" s="70"/>
      <c r="P73" s="70"/>
      <c r="Q73" s="70"/>
      <c r="R73" s="70"/>
    </row>
    <row r="74" spans="1:22">
      <c r="N74" s="70"/>
      <c r="O74" s="70"/>
      <c r="P74" s="70"/>
      <c r="Q74" s="70"/>
      <c r="R74" s="70"/>
    </row>
    <row r="75" spans="1:22">
      <c r="N75" s="70"/>
      <c r="O75" s="70"/>
      <c r="P75" s="70"/>
      <c r="Q75" s="70"/>
      <c r="R75" s="70"/>
    </row>
    <row r="76" spans="1:22">
      <c r="N76" s="70"/>
      <c r="O76" s="70"/>
      <c r="P76" s="70"/>
      <c r="Q76" s="70"/>
      <c r="R76" s="70"/>
    </row>
    <row r="77" spans="1:22">
      <c r="N77" s="70"/>
      <c r="O77" s="70"/>
      <c r="P77" s="70"/>
      <c r="Q77" s="70"/>
      <c r="R77" s="70"/>
    </row>
    <row r="78" spans="1:22">
      <c r="N78" s="70"/>
      <c r="O78" s="70"/>
      <c r="P78" s="70"/>
      <c r="Q78" s="70"/>
      <c r="R78" s="70"/>
    </row>
    <row r="79" spans="1:22">
      <c r="N79" s="71"/>
      <c r="O79" s="71"/>
      <c r="P79" s="71"/>
      <c r="Q79" s="71"/>
      <c r="R79" s="71"/>
    </row>
    <row r="80" spans="1:22">
      <c r="N80" s="71"/>
      <c r="O80" s="71"/>
      <c r="P80" s="71"/>
      <c r="Q80" s="71"/>
      <c r="R80" s="71"/>
    </row>
    <row r="81" spans="14:18">
      <c r="N81" s="71"/>
      <c r="O81" s="71"/>
      <c r="P81" s="71"/>
      <c r="Q81" s="71"/>
      <c r="R81" s="71"/>
    </row>
    <row r="82" spans="14:18">
      <c r="N82" s="71"/>
      <c r="O82" s="71"/>
      <c r="P82" s="71"/>
      <c r="Q82" s="71"/>
      <c r="R82" s="71"/>
    </row>
    <row r="83" spans="14:18">
      <c r="N83" s="71"/>
      <c r="O83" s="71"/>
      <c r="P83" s="71"/>
      <c r="Q83" s="71"/>
      <c r="R83" s="71"/>
    </row>
    <row r="84" spans="14:18">
      <c r="N84" s="71"/>
      <c r="O84" s="71"/>
      <c r="P84" s="71"/>
      <c r="Q84" s="71"/>
      <c r="R84" s="71"/>
    </row>
    <row r="85" spans="14:18">
      <c r="N85" s="71"/>
      <c r="O85" s="71"/>
      <c r="P85" s="71"/>
      <c r="Q85" s="71"/>
      <c r="R85" s="71"/>
    </row>
    <row r="86" spans="14:18">
      <c r="N86" s="71"/>
      <c r="O86" s="71"/>
      <c r="P86" s="71"/>
      <c r="Q86" s="71"/>
      <c r="R86" s="71"/>
    </row>
    <row r="87" spans="14:18">
      <c r="N87" s="71"/>
      <c r="O87" s="71"/>
      <c r="P87" s="71"/>
      <c r="Q87" s="71"/>
      <c r="R87" s="71"/>
    </row>
    <row r="88" spans="14:18">
      <c r="N88" s="71"/>
      <c r="O88" s="71"/>
      <c r="P88" s="71"/>
      <c r="Q88" s="71"/>
      <c r="R88" s="71"/>
    </row>
    <row r="89" spans="14:18">
      <c r="N89" s="71"/>
      <c r="O89" s="71"/>
      <c r="P89" s="71"/>
      <c r="Q89" s="71"/>
      <c r="R89" s="71"/>
    </row>
    <row r="90" spans="14:18">
      <c r="N90" s="71"/>
      <c r="O90" s="71"/>
      <c r="P90" s="71"/>
      <c r="Q90" s="71"/>
      <c r="R90" s="71"/>
    </row>
    <row r="91" spans="14:18">
      <c r="N91" s="71"/>
      <c r="O91" s="71"/>
      <c r="P91" s="71"/>
      <c r="Q91" s="71"/>
      <c r="R91" s="71"/>
    </row>
    <row r="92" spans="14:18">
      <c r="N92" s="71"/>
      <c r="O92" s="71"/>
      <c r="P92" s="71"/>
      <c r="Q92" s="71"/>
      <c r="R92" s="71"/>
    </row>
    <row r="93" spans="14:18">
      <c r="N93" s="71"/>
      <c r="O93" s="71"/>
      <c r="P93" s="71"/>
      <c r="Q93" s="71"/>
      <c r="R93" s="71"/>
    </row>
    <row r="94" spans="14:18">
      <c r="N94" s="71"/>
      <c r="O94" s="71"/>
      <c r="P94" s="71"/>
      <c r="Q94" s="71"/>
      <c r="R94" s="71"/>
    </row>
    <row r="95" spans="14:18">
      <c r="N95" s="71"/>
      <c r="O95" s="71"/>
      <c r="P95" s="71"/>
      <c r="Q95" s="71"/>
      <c r="R95" s="71"/>
    </row>
    <row r="96" spans="14:18">
      <c r="N96" s="71"/>
      <c r="O96" s="71"/>
      <c r="P96" s="71"/>
      <c r="Q96" s="71"/>
      <c r="R96" s="71"/>
    </row>
    <row r="97" spans="14:18">
      <c r="N97" s="71"/>
      <c r="O97" s="71"/>
      <c r="P97" s="71"/>
      <c r="Q97" s="71"/>
      <c r="R97" s="71"/>
    </row>
    <row r="98" spans="14:18">
      <c r="N98" s="71"/>
      <c r="O98" s="71"/>
      <c r="P98" s="71"/>
      <c r="Q98" s="71"/>
      <c r="R98" s="71"/>
    </row>
    <row r="99" spans="14:18">
      <c r="N99" s="71"/>
      <c r="O99" s="71"/>
      <c r="P99" s="71"/>
      <c r="Q99" s="71"/>
      <c r="R99" s="71"/>
    </row>
    <row r="100" spans="14:18">
      <c r="N100" s="71"/>
      <c r="O100" s="71"/>
      <c r="P100" s="71"/>
      <c r="Q100" s="71"/>
      <c r="R100" s="71"/>
    </row>
    <row r="101" spans="14:18">
      <c r="N101" s="71"/>
      <c r="O101" s="71"/>
      <c r="P101" s="71"/>
      <c r="Q101" s="71"/>
      <c r="R101" s="71"/>
    </row>
    <row r="102" spans="14:18">
      <c r="N102" s="71"/>
      <c r="O102" s="71"/>
      <c r="P102" s="71"/>
      <c r="Q102" s="71"/>
      <c r="R102" s="71"/>
    </row>
    <row r="103" spans="14:18">
      <c r="N103" s="71"/>
      <c r="O103" s="71"/>
      <c r="P103" s="71"/>
      <c r="Q103" s="71"/>
      <c r="R103" s="71"/>
    </row>
    <row r="104" spans="14:18">
      <c r="N104" s="71"/>
      <c r="O104" s="71"/>
      <c r="P104" s="71"/>
      <c r="Q104" s="71"/>
      <c r="R104" s="71"/>
    </row>
    <row r="105" spans="14:18">
      <c r="N105" s="71"/>
      <c r="O105" s="71"/>
      <c r="P105" s="71"/>
      <c r="Q105" s="71"/>
      <c r="R105" s="71"/>
    </row>
    <row r="106" spans="14:18">
      <c r="N106" s="71"/>
      <c r="O106" s="71"/>
      <c r="P106" s="71"/>
      <c r="Q106" s="71"/>
      <c r="R106" s="71"/>
    </row>
    <row r="107" spans="14:18">
      <c r="N107" s="71"/>
      <c r="O107" s="71"/>
      <c r="P107" s="71"/>
      <c r="Q107" s="71"/>
      <c r="R107" s="71"/>
    </row>
    <row r="108" spans="14:18">
      <c r="N108" s="71"/>
      <c r="O108" s="71"/>
      <c r="P108" s="71"/>
      <c r="Q108" s="71"/>
      <c r="R108" s="71"/>
    </row>
    <row r="109" spans="14:18">
      <c r="N109" s="71"/>
      <c r="O109" s="71"/>
      <c r="P109" s="71"/>
      <c r="Q109" s="71"/>
      <c r="R109" s="71"/>
    </row>
    <row r="110" spans="14:18">
      <c r="N110" s="71"/>
      <c r="O110" s="71"/>
      <c r="P110" s="71"/>
      <c r="Q110" s="71"/>
      <c r="R110" s="71"/>
    </row>
    <row r="111" spans="14:18">
      <c r="N111" s="71"/>
      <c r="O111" s="71"/>
      <c r="P111" s="71"/>
      <c r="Q111" s="71"/>
      <c r="R111" s="71"/>
    </row>
    <row r="112" spans="14:18">
      <c r="N112" s="71"/>
      <c r="O112" s="71"/>
      <c r="P112" s="71"/>
      <c r="Q112" s="71"/>
      <c r="R112" s="71"/>
    </row>
    <row r="113" spans="14:18">
      <c r="N113" s="71"/>
      <c r="O113" s="71"/>
      <c r="P113" s="71"/>
      <c r="Q113" s="71"/>
      <c r="R113" s="71"/>
    </row>
    <row r="114" spans="14:18">
      <c r="N114" s="71"/>
      <c r="O114" s="71"/>
      <c r="P114" s="71"/>
      <c r="Q114" s="71"/>
      <c r="R114" s="71"/>
    </row>
    <row r="115" spans="14:18">
      <c r="N115" s="71"/>
      <c r="O115" s="71"/>
      <c r="P115" s="71"/>
      <c r="Q115" s="71"/>
      <c r="R115" s="71"/>
    </row>
    <row r="116" spans="14:18">
      <c r="N116" s="71"/>
      <c r="O116" s="71"/>
      <c r="P116" s="71"/>
      <c r="Q116" s="71"/>
      <c r="R116" s="71"/>
    </row>
    <row r="117" spans="14:18">
      <c r="N117" s="71"/>
      <c r="O117" s="71"/>
      <c r="P117" s="71"/>
      <c r="Q117" s="71"/>
      <c r="R117" s="71"/>
    </row>
    <row r="118" spans="14:18">
      <c r="N118" s="71"/>
      <c r="O118" s="71"/>
      <c r="P118" s="71"/>
      <c r="Q118" s="71"/>
      <c r="R118" s="71"/>
    </row>
    <row r="119" spans="14:18">
      <c r="N119" s="71"/>
      <c r="O119" s="71"/>
      <c r="P119" s="71"/>
      <c r="Q119" s="71"/>
      <c r="R119" s="71"/>
    </row>
    <row r="120" spans="14:18">
      <c r="N120" s="71"/>
      <c r="O120" s="71"/>
      <c r="P120" s="71"/>
      <c r="Q120" s="71"/>
      <c r="R120" s="71"/>
    </row>
    <row r="121" spans="14:18">
      <c r="N121" s="71"/>
      <c r="O121" s="71"/>
      <c r="P121" s="71"/>
      <c r="Q121" s="71"/>
      <c r="R121" s="71"/>
    </row>
    <row r="122" spans="14:18">
      <c r="N122" s="71"/>
      <c r="O122" s="71"/>
      <c r="P122" s="71"/>
      <c r="Q122" s="71"/>
      <c r="R122" s="71"/>
    </row>
    <row r="123" spans="14:18">
      <c r="N123" s="71"/>
      <c r="O123" s="71"/>
      <c r="P123" s="71"/>
      <c r="Q123" s="71"/>
      <c r="R123" s="71"/>
    </row>
    <row r="124" spans="14:18">
      <c r="N124" s="71"/>
      <c r="O124" s="71"/>
      <c r="P124" s="71"/>
      <c r="Q124" s="71"/>
      <c r="R124" s="71"/>
    </row>
    <row r="125" spans="14:18">
      <c r="N125" s="71"/>
      <c r="O125" s="71"/>
      <c r="P125" s="71"/>
      <c r="Q125" s="71"/>
      <c r="R125" s="71"/>
    </row>
    <row r="126" spans="14:18">
      <c r="N126" s="71"/>
      <c r="O126" s="71"/>
      <c r="P126" s="71"/>
      <c r="Q126" s="71"/>
      <c r="R126" s="71"/>
    </row>
    <row r="127" spans="14:18">
      <c r="N127" s="71"/>
      <c r="O127" s="71"/>
      <c r="P127" s="71"/>
      <c r="Q127" s="71"/>
      <c r="R127" s="71"/>
    </row>
    <row r="128" spans="14:18">
      <c r="N128" s="71"/>
      <c r="O128" s="71"/>
      <c r="P128" s="71"/>
      <c r="Q128" s="71"/>
      <c r="R128" s="71"/>
    </row>
    <row r="129" spans="14:18">
      <c r="N129" s="71"/>
      <c r="O129" s="71"/>
      <c r="P129" s="71"/>
      <c r="Q129" s="71"/>
      <c r="R129" s="71"/>
    </row>
    <row r="130" spans="14:18">
      <c r="N130" s="71"/>
      <c r="O130" s="71"/>
      <c r="P130" s="71"/>
      <c r="Q130" s="71"/>
      <c r="R130" s="71"/>
    </row>
    <row r="131" spans="14:18">
      <c r="N131" s="71"/>
      <c r="O131" s="71"/>
      <c r="P131" s="71"/>
      <c r="Q131" s="71"/>
      <c r="R131" s="71"/>
    </row>
    <row r="132" spans="14:18">
      <c r="N132" s="71"/>
      <c r="O132" s="71"/>
      <c r="P132" s="71"/>
      <c r="Q132" s="71"/>
      <c r="R132" s="71"/>
    </row>
    <row r="133" spans="14:18">
      <c r="N133" s="71"/>
      <c r="O133" s="71"/>
      <c r="P133" s="71"/>
      <c r="Q133" s="71"/>
      <c r="R133" s="71"/>
    </row>
    <row r="134" spans="14:18">
      <c r="N134" s="71"/>
      <c r="O134" s="71"/>
      <c r="P134" s="71"/>
      <c r="Q134" s="71"/>
      <c r="R134" s="71"/>
    </row>
    <row r="135" spans="14:18">
      <c r="N135" s="71"/>
      <c r="O135" s="71"/>
      <c r="P135" s="71"/>
      <c r="Q135" s="71"/>
      <c r="R135" s="71"/>
    </row>
    <row r="136" spans="14:18">
      <c r="N136" s="71"/>
      <c r="O136" s="71"/>
      <c r="P136" s="71"/>
      <c r="Q136" s="71"/>
      <c r="R136" s="71"/>
    </row>
    <row r="137" spans="14:18">
      <c r="N137" s="71"/>
      <c r="O137" s="71"/>
      <c r="P137" s="71"/>
      <c r="Q137" s="71"/>
      <c r="R137" s="71"/>
    </row>
    <row r="138" spans="14:18">
      <c r="N138" s="71"/>
      <c r="O138" s="71"/>
      <c r="P138" s="71"/>
      <c r="Q138" s="71"/>
      <c r="R138" s="71"/>
    </row>
    <row r="139" spans="14:18">
      <c r="N139" s="71"/>
      <c r="O139" s="71"/>
      <c r="P139" s="71"/>
      <c r="Q139" s="71"/>
      <c r="R139" s="71"/>
    </row>
    <row r="140" spans="14:18">
      <c r="N140" s="71"/>
      <c r="O140" s="71"/>
      <c r="P140" s="71"/>
      <c r="Q140" s="71"/>
      <c r="R140" s="71"/>
    </row>
    <row r="141" spans="14:18">
      <c r="N141" s="71"/>
      <c r="O141" s="71"/>
      <c r="P141" s="71"/>
      <c r="Q141" s="71"/>
      <c r="R141" s="71"/>
    </row>
    <row r="142" spans="14:18">
      <c r="N142" s="71"/>
      <c r="O142" s="71"/>
      <c r="P142" s="71"/>
      <c r="Q142" s="71"/>
      <c r="R142" s="71"/>
    </row>
    <row r="143" spans="14:18">
      <c r="N143" s="71"/>
      <c r="O143" s="71"/>
      <c r="P143" s="71"/>
      <c r="Q143" s="71"/>
      <c r="R143" s="71"/>
    </row>
    <row r="144" spans="14:18">
      <c r="N144" s="71"/>
      <c r="O144" s="71"/>
      <c r="P144" s="71"/>
      <c r="Q144" s="71"/>
      <c r="R144" s="71"/>
    </row>
    <row r="145" spans="14:18">
      <c r="N145" s="71"/>
      <c r="O145" s="71"/>
      <c r="P145" s="71"/>
      <c r="Q145" s="71"/>
      <c r="R145" s="71"/>
    </row>
    <row r="146" spans="14:18">
      <c r="N146" s="71"/>
      <c r="O146" s="71"/>
      <c r="P146" s="71"/>
      <c r="Q146" s="71"/>
      <c r="R146" s="71"/>
    </row>
    <row r="147" spans="14:18">
      <c r="N147" s="71"/>
      <c r="O147" s="71"/>
      <c r="P147" s="71"/>
      <c r="Q147" s="71"/>
      <c r="R147" s="71"/>
    </row>
    <row r="148" spans="14:18">
      <c r="N148" s="71"/>
      <c r="O148" s="71"/>
      <c r="P148" s="71"/>
      <c r="Q148" s="71"/>
      <c r="R148" s="71"/>
    </row>
    <row r="149" spans="14:18">
      <c r="N149" s="71"/>
      <c r="O149" s="71"/>
      <c r="P149" s="71"/>
      <c r="Q149" s="71"/>
      <c r="R149" s="71"/>
    </row>
    <row r="150" spans="14:18">
      <c r="N150" s="71"/>
      <c r="O150" s="71"/>
      <c r="P150" s="71"/>
      <c r="Q150" s="71"/>
      <c r="R150" s="71"/>
    </row>
    <row r="151" spans="14:18">
      <c r="N151" s="71"/>
      <c r="O151" s="71"/>
      <c r="P151" s="71"/>
      <c r="Q151" s="71"/>
      <c r="R151" s="71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ServSpread</vt:lpstr>
      <vt:lpstr>SPREAD_DATE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2018-10-22T18:19:18Z</cp:lastPrinted>
  <dcterms:created xsi:type="dcterms:W3CDTF">2006-09-16T00:00:00Z</dcterms:created>
  <dcterms:modified xsi:type="dcterms:W3CDTF">2018-12-27T23:02:15Z</dcterms:modified>
</cp:coreProperties>
</file>