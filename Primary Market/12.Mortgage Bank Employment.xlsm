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T\Production\Daily Reports\Primary Market\"/>
    </mc:Choice>
  </mc:AlternateContent>
  <bookViews>
    <workbookView xWindow="240" yWindow="60" windowWidth="27795" windowHeight="17175"/>
  </bookViews>
  <sheets>
    <sheet name="Report" sheetId="4" r:id="rId1"/>
    <sheet name="Total" sheetId="7" r:id="rId2"/>
    <sheet name="Mortgage loan brokers" sheetId="5" r:id="rId3"/>
    <sheet name="Real estate credit" sheetId="6" r:id="rId4"/>
    <sheet name="Issue Amount" sheetId="8" r:id="rId5"/>
  </sheets>
  <functionGroups builtInGroupCount="18"/>
  <externalReferences>
    <externalReference r:id="rId6"/>
    <externalReference r:id="rId7"/>
    <externalReference r:id="rId8"/>
    <externalReference r:id="rId9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Report!$X$2</definedName>
    <definedName name="DatabaseEnv">Report!$X$1</definedName>
    <definedName name="DateToChangeLag">[2]Report!$U$12</definedName>
    <definedName name="HistoricalMtgRatesDataTable">[1]!OneWeekMtgRatesDataTable9[#Data]</definedName>
    <definedName name="IR">#REF!</definedName>
    <definedName name="MmExcelLinker_D5EFE7B8_A5AE_4CC6_B628_05FDC84CBEA4">Early Market [3]Data!$C$44:$C$44</definedName>
    <definedName name="OneDayBusDate">[1]!TimeSeriesDataTable34[Column1]</definedName>
    <definedName name="OneMonthBusDate">[1]!TimeSeriesDataTable310[Column1]</definedName>
    <definedName name="OneWeekBusDate">[1]!TimeSeriesDataTable3[Column1]</definedName>
    <definedName name="PDFReportDir">Report!$X$3</definedName>
    <definedName name="PDFReportName">Report!$X$4</definedName>
    <definedName name="_xlnm.Print_Area" localSheetId="0">Report!$C$1:$S$57</definedName>
    <definedName name="Query_from_Agency_8" localSheetId="4" hidden="1">'Issue Amount'!$K$1:$L$133</definedName>
    <definedName name="SaveRatesToDB">Report!$Z$1</definedName>
  </definedNames>
  <calcPr calcId="152511"/>
</workbook>
</file>

<file path=xl/calcChain.xml><?xml version="1.0" encoding="utf-8"?>
<calcChain xmlns="http://schemas.openxmlformats.org/spreadsheetml/2006/main">
  <c r="G56" i="4" l="1"/>
  <c r="H56" i="4"/>
  <c r="I56" i="4"/>
  <c r="J56" i="4"/>
  <c r="J45" i="4"/>
  <c r="I45" i="4"/>
  <c r="H45" i="4"/>
  <c r="G45" i="4"/>
  <c r="C128" i="8"/>
  <c r="C129" i="8"/>
  <c r="H133" i="8"/>
  <c r="H134" i="8"/>
  <c r="D128" i="7" l="1"/>
  <c r="D129" i="7"/>
  <c r="C126" i="7"/>
  <c r="C127" i="7"/>
  <c r="C128" i="7"/>
  <c r="C129" i="7"/>
  <c r="H131" i="8" l="1"/>
  <c r="C126" i="8" s="1"/>
  <c r="D126" i="7" s="1"/>
  <c r="H132" i="8"/>
  <c r="C127" i="8" s="1"/>
  <c r="D127" i="7" s="1"/>
  <c r="H129" i="8"/>
  <c r="C124" i="8" s="1"/>
  <c r="H130" i="8"/>
  <c r="C125" i="8" s="1"/>
  <c r="Q55" i="4" l="1"/>
  <c r="Q44" i="4"/>
  <c r="F44" i="4"/>
  <c r="G44" i="4"/>
  <c r="H44" i="4"/>
  <c r="I44" i="4"/>
  <c r="J44" i="4"/>
  <c r="K44" i="4"/>
  <c r="L44" i="4"/>
  <c r="M44" i="4"/>
  <c r="N44" i="4"/>
  <c r="O44" i="4"/>
  <c r="P44" i="4"/>
  <c r="D124" i="7"/>
  <c r="D125" i="7"/>
  <c r="C124" i="7"/>
  <c r="C125" i="7"/>
  <c r="F45" i="4" s="1"/>
  <c r="F56" i="4" s="1"/>
  <c r="C113" i="7"/>
  <c r="C114" i="7"/>
  <c r="C115" i="7"/>
  <c r="C116" i="7"/>
  <c r="C117" i="7"/>
  <c r="C118" i="7"/>
  <c r="C119" i="7"/>
  <c r="C120" i="7"/>
  <c r="C121" i="7"/>
  <c r="C122" i="7"/>
  <c r="C123" i="7"/>
  <c r="H125" i="8" l="1"/>
  <c r="C120" i="8" s="1"/>
  <c r="D120" i="7" s="1"/>
  <c r="H126" i="8"/>
  <c r="C121" i="8" s="1"/>
  <c r="D121" i="7" s="1"/>
  <c r="H127" i="8"/>
  <c r="C122" i="8" s="1"/>
  <c r="D122" i="7" s="1"/>
  <c r="H128" i="8"/>
  <c r="C123" i="8" s="1"/>
  <c r="D123" i="7" s="1"/>
  <c r="H122" i="8"/>
  <c r="C117" i="8" s="1"/>
  <c r="D117" i="7" s="1"/>
  <c r="H123" i="8"/>
  <c r="C118" i="8" s="1"/>
  <c r="D118" i="7" s="1"/>
  <c r="H124" i="8"/>
  <c r="C119" i="8" s="1"/>
  <c r="D119" i="7" s="1"/>
  <c r="H119" i="8" l="1"/>
  <c r="H120" i="8"/>
  <c r="C115" i="8" s="1"/>
  <c r="D115" i="7" s="1"/>
  <c r="H121" i="8"/>
  <c r="C116" i="8" s="1"/>
  <c r="D116" i="7" s="1"/>
  <c r="H118" i="8" l="1"/>
  <c r="C114" i="8"/>
  <c r="D114" i="7" s="1"/>
  <c r="C113" i="8" l="1"/>
  <c r="D113" i="7" s="1"/>
  <c r="C112" i="7" l="1"/>
  <c r="M24" i="7"/>
  <c r="Q43" i="4" s="1"/>
  <c r="H117" i="8"/>
  <c r="C112" i="8" s="1"/>
  <c r="D112" i="7" s="1"/>
  <c r="H115" i="8" l="1"/>
  <c r="C110" i="8" s="1"/>
  <c r="D110" i="7" s="1"/>
  <c r="H116" i="8"/>
  <c r="C111" i="8" s="1"/>
  <c r="D111" i="7" s="1"/>
  <c r="K24" i="7"/>
  <c r="O43" i="4" s="1"/>
  <c r="O55" i="4" s="1"/>
  <c r="L24" i="7"/>
  <c r="P43" i="4" s="1"/>
  <c r="P55" i="4" s="1"/>
  <c r="C110" i="7"/>
  <c r="C111" i="7"/>
  <c r="H24" i="7" l="1"/>
  <c r="L43" i="4" s="1"/>
  <c r="L55" i="4" s="1"/>
  <c r="I24" i="7"/>
  <c r="M43" i="4" s="1"/>
  <c r="M55" i="4" s="1"/>
  <c r="J24" i="7"/>
  <c r="N43" i="4" s="1"/>
  <c r="N55" i="4" s="1"/>
  <c r="C107" i="7"/>
  <c r="C108" i="7"/>
  <c r="C109" i="7"/>
  <c r="H112" i="8"/>
  <c r="C107" i="8" s="1"/>
  <c r="D107" i="7" s="1"/>
  <c r="H113" i="8"/>
  <c r="C108" i="8" s="1"/>
  <c r="D108" i="7" s="1"/>
  <c r="H114" i="8"/>
  <c r="C109" i="8" s="1"/>
  <c r="D109" i="7" s="1"/>
  <c r="F24" i="7" l="1"/>
  <c r="J43" i="4" s="1"/>
  <c r="J55" i="4" s="1"/>
  <c r="G24" i="7"/>
  <c r="K43" i="4" s="1"/>
  <c r="K55" i="4" s="1"/>
  <c r="C105" i="7"/>
  <c r="C106" i="7"/>
  <c r="C24" i="7" l="1"/>
  <c r="G43" i="4" s="1"/>
  <c r="G55" i="4" s="1"/>
  <c r="D24" i="7"/>
  <c r="H43" i="4" s="1"/>
  <c r="H55" i="4" s="1"/>
  <c r="E24" i="7"/>
  <c r="I43" i="4" s="1"/>
  <c r="I55" i="4" s="1"/>
  <c r="C103" i="7"/>
  <c r="C104" i="7"/>
  <c r="H109" i="8"/>
  <c r="C104" i="8" s="1"/>
  <c r="D104" i="7" s="1"/>
  <c r="H110" i="8"/>
  <c r="C105" i="8" s="1"/>
  <c r="D105" i="7" s="1"/>
  <c r="H111" i="8"/>
  <c r="C106" i="8" s="1"/>
  <c r="D106" i="7" s="1"/>
  <c r="H108" i="8"/>
  <c r="C103" i="8" s="1"/>
  <c r="D103" i="7" s="1"/>
  <c r="B24" i="7" l="1"/>
  <c r="F43" i="4" s="1"/>
  <c r="F55" i="4" s="1"/>
  <c r="D98" i="7"/>
  <c r="D99" i="7"/>
  <c r="D97" i="7"/>
  <c r="C100" i="7"/>
  <c r="C101" i="7"/>
  <c r="C102" i="7"/>
  <c r="C101" i="8"/>
  <c r="D101" i="7" s="1"/>
  <c r="C100" i="8"/>
  <c r="D100" i="7" s="1"/>
  <c r="H107" i="8"/>
  <c r="C102" i="8" s="1"/>
  <c r="D102" i="7" s="1"/>
  <c r="C98" i="7" l="1"/>
  <c r="C99" i="7"/>
  <c r="C97" i="7" l="1"/>
  <c r="C96" i="7" l="1"/>
  <c r="C95" i="7" l="1"/>
  <c r="D95" i="7"/>
  <c r="D94" i="7" l="1"/>
  <c r="C94" i="7" l="1"/>
  <c r="C93" i="7" l="1"/>
  <c r="D93" i="7"/>
  <c r="C92" i="7" l="1"/>
  <c r="D92" i="7"/>
  <c r="D30" i="7" l="1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29" i="7"/>
  <c r="X4" i="4"/>
  <c r="B19" i="7"/>
  <c r="F38" i="4" s="1"/>
  <c r="C19" i="7"/>
  <c r="G38" i="4" s="1"/>
  <c r="D19" i="7"/>
  <c r="H38" i="4"/>
  <c r="E19" i="7"/>
  <c r="I38" i="4"/>
  <c r="F19" i="7"/>
  <c r="J38" i="4" s="1"/>
  <c r="G19" i="7"/>
  <c r="K38" i="4"/>
  <c r="H19" i="7"/>
  <c r="L38" i="4"/>
  <c r="I19" i="7"/>
  <c r="M38" i="4"/>
  <c r="J19" i="7"/>
  <c r="N38" i="4" s="1"/>
  <c r="K19" i="7"/>
  <c r="O38" i="4" s="1"/>
  <c r="L19" i="7"/>
  <c r="P38" i="4" s="1"/>
  <c r="M19" i="7"/>
  <c r="Q38" i="4"/>
  <c r="B20" i="7"/>
  <c r="F39" i="4" s="1"/>
  <c r="C20" i="7"/>
  <c r="G39" i="4"/>
  <c r="D20" i="7"/>
  <c r="H39" i="4"/>
  <c r="E20" i="7"/>
  <c r="I39" i="4"/>
  <c r="F20" i="7"/>
  <c r="J39" i="4" s="1"/>
  <c r="G20" i="7"/>
  <c r="K39" i="4"/>
  <c r="H20" i="7"/>
  <c r="L39" i="4" s="1"/>
  <c r="I20" i="7"/>
  <c r="M39" i="4" s="1"/>
  <c r="J20" i="7"/>
  <c r="N39" i="4" s="1"/>
  <c r="K20" i="7"/>
  <c r="O39" i="4"/>
  <c r="L20" i="7"/>
  <c r="P39" i="4"/>
  <c r="M20" i="7"/>
  <c r="Q39" i="4"/>
  <c r="B21" i="7"/>
  <c r="F40" i="4" s="1"/>
  <c r="C21" i="7"/>
  <c r="G40" i="4"/>
  <c r="D21" i="7"/>
  <c r="H40" i="4"/>
  <c r="H51" i="4" s="1"/>
  <c r="E21" i="7"/>
  <c r="I40" i="4" s="1"/>
  <c r="I51" i="4" s="1"/>
  <c r="F21" i="7"/>
  <c r="J40" i="4" s="1"/>
  <c r="G21" i="7"/>
  <c r="K40" i="4"/>
  <c r="H21" i="7"/>
  <c r="L40" i="4"/>
  <c r="I21" i="7"/>
  <c r="M40" i="4"/>
  <c r="J21" i="7"/>
  <c r="N40" i="4"/>
  <c r="K21" i="7"/>
  <c r="O40" i="4" s="1"/>
  <c r="L21" i="7"/>
  <c r="P40" i="4"/>
  <c r="M21" i="7"/>
  <c r="Q40" i="4"/>
  <c r="B22" i="7"/>
  <c r="F41" i="4" s="1"/>
  <c r="C22" i="7"/>
  <c r="G41" i="4" s="1"/>
  <c r="D22" i="7"/>
  <c r="H41" i="4"/>
  <c r="E22" i="7"/>
  <c r="I41" i="4"/>
  <c r="F22" i="7"/>
  <c r="J41" i="4"/>
  <c r="G22" i="7"/>
  <c r="K41" i="4"/>
  <c r="H22" i="7"/>
  <c r="L41" i="4"/>
  <c r="I22" i="7"/>
  <c r="M41" i="4" s="1"/>
  <c r="J22" i="7"/>
  <c r="N41" i="4"/>
  <c r="N52" i="4" s="1"/>
  <c r="K22" i="7"/>
  <c r="O41" i="4" s="1"/>
  <c r="L22" i="7"/>
  <c r="P41" i="4" s="1"/>
  <c r="M22" i="7"/>
  <c r="Q41" i="4" s="1"/>
  <c r="B23" i="7"/>
  <c r="F42" i="4" s="1"/>
  <c r="C23" i="7"/>
  <c r="G42" i="4" s="1"/>
  <c r="G54" i="4" s="1"/>
  <c r="D23" i="7"/>
  <c r="H42" i="4" s="1"/>
  <c r="C18" i="7"/>
  <c r="G37" i="4" s="1"/>
  <c r="D18" i="7"/>
  <c r="H37" i="4" s="1"/>
  <c r="E18" i="7"/>
  <c r="I37" i="4"/>
  <c r="F18" i="7"/>
  <c r="J37" i="4" s="1"/>
  <c r="G18" i="7"/>
  <c r="K37" i="4"/>
  <c r="H18" i="7"/>
  <c r="L37" i="4"/>
  <c r="I18" i="7"/>
  <c r="M37" i="4"/>
  <c r="J18" i="7"/>
  <c r="N37" i="4" s="1"/>
  <c r="K18" i="7"/>
  <c r="O37" i="4"/>
  <c r="L18" i="7"/>
  <c r="P37" i="4" s="1"/>
  <c r="M18" i="7"/>
  <c r="Q37" i="4" s="1"/>
  <c r="B18" i="7"/>
  <c r="F37" i="4" s="1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29" i="7"/>
  <c r="E23" i="7"/>
  <c r="I42" i="4" s="1"/>
  <c r="I54" i="4" s="1"/>
  <c r="F23" i="7"/>
  <c r="J42" i="4" s="1"/>
  <c r="J54" i="4" s="1"/>
  <c r="G23" i="7"/>
  <c r="K42" i="4" s="1"/>
  <c r="H23" i="7"/>
  <c r="L42" i="4" s="1"/>
  <c r="I23" i="7"/>
  <c r="M42" i="4" s="1"/>
  <c r="J23" i="7"/>
  <c r="N42" i="4" s="1"/>
  <c r="N54" i="4" s="1"/>
  <c r="K23" i="7"/>
  <c r="O42" i="4" s="1"/>
  <c r="L23" i="7"/>
  <c r="P42" i="4" s="1"/>
  <c r="P54" i="4" s="1"/>
  <c r="M23" i="7"/>
  <c r="Q42" i="4" s="1"/>
  <c r="Q54" i="4" s="1"/>
  <c r="G49" i="4" l="1"/>
  <c r="K51" i="4"/>
  <c r="O51" i="4"/>
  <c r="P50" i="4"/>
  <c r="K52" i="4"/>
  <c r="F50" i="4"/>
  <c r="F51" i="4"/>
  <c r="J51" i="4"/>
  <c r="J52" i="4"/>
  <c r="P52" i="4"/>
  <c r="F52" i="4"/>
  <c r="O52" i="4"/>
  <c r="G52" i="4"/>
  <c r="H52" i="4"/>
  <c r="P49" i="4"/>
  <c r="K50" i="4"/>
  <c r="K49" i="4"/>
  <c r="M50" i="4"/>
  <c r="O49" i="4"/>
  <c r="Q51" i="4"/>
  <c r="N49" i="4"/>
  <c r="J49" i="4"/>
  <c r="F49" i="4"/>
  <c r="Q50" i="4"/>
  <c r="M51" i="4"/>
  <c r="Q49" i="4"/>
  <c r="L50" i="4"/>
  <c r="H50" i="4"/>
  <c r="I52" i="4"/>
  <c r="G51" i="4"/>
  <c r="M49" i="4"/>
  <c r="N50" i="4"/>
  <c r="J50" i="4"/>
  <c r="I49" i="4"/>
  <c r="L52" i="4"/>
  <c r="I50" i="4"/>
  <c r="K53" i="4"/>
  <c r="K54" i="4"/>
  <c r="O53" i="4"/>
  <c r="O54" i="4"/>
  <c r="Q53" i="4"/>
  <c r="M53" i="4"/>
  <c r="M54" i="4"/>
  <c r="L53" i="4"/>
  <c r="L54" i="4"/>
  <c r="H53" i="4"/>
  <c r="H54" i="4"/>
  <c r="F53" i="4"/>
  <c r="F54" i="4"/>
  <c r="N53" i="4"/>
  <c r="M52" i="4"/>
  <c r="P51" i="4"/>
  <c r="G50" i="4"/>
  <c r="L51" i="4"/>
  <c r="L49" i="4"/>
  <c r="J53" i="4"/>
  <c r="N51" i="4"/>
  <c r="H49" i="4"/>
  <c r="I53" i="4"/>
  <c r="O50" i="4"/>
  <c r="Q52" i="4"/>
  <c r="P53" i="4"/>
  <c r="G53" i="4"/>
</calcChain>
</file>

<file path=xl/comments1.xml><?xml version="1.0" encoding="utf-8"?>
<comments xmlns="http://schemas.openxmlformats.org/spreadsheetml/2006/main">
  <authors>
    <author/>
  </authors>
  <commentList>
    <comment ref="C91" authorId="0" shape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3" authorId="0" shape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  <comment ref="C91" authorId="0" shapeId="0">
      <text>
        <r>
          <rPr>
            <sz val="11"/>
            <color indexed="8"/>
            <rFont val="Calibri"/>
            <family val="2"/>
            <scheme val="minor"/>
          </rPr>
          <t xml:space="preserve">*  preliminary
</t>
        </r>
      </text>
    </comment>
  </commentList>
</comments>
</file>

<file path=xl/connections.xml><?xml version="1.0" encoding="utf-8"?>
<connections xmlns="http://schemas.openxmlformats.org/spreadsheetml/2006/main">
  <connection id="1" name="CombineResultQuery" type="1" refreshedVersion="5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gt;= '20070101' and AsOf not in (  '20090501','20090601', '20090701', '20070601', '20070701')Group by Asof order by asof"/>
  </connection>
</connections>
</file>

<file path=xl/sharedStrings.xml><?xml version="1.0" encoding="utf-8"?>
<sst xmlns="http://schemas.openxmlformats.org/spreadsheetml/2006/main" count="531" uniqueCount="47">
  <si>
    <t>Jan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</si>
  <si>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</si>
  <si>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</si>
  <si>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</si>
  <si>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</si>
  <si>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</si>
  <si>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</si>
  <si>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</si>
  <si>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</si>
  <si>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</si>
  <si>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</si>
  <si>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</si>
  <si>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Database Env</t>
  </si>
  <si>
    <t>Save Data to DB</t>
  </si>
  <si>
    <t>As of Date</t>
  </si>
  <si>
    <t>Report Name</t>
  </si>
  <si>
    <t>No</t>
  </si>
  <si>
    <t>Report Folder</t>
  </si>
  <si>
    <t>PROD</t>
  </si>
  <si>
    <t>S:\IT\Production\Daily Reports\Primary Market\tmp\</t>
  </si>
  <si>
    <t>Employment, Hours, and Earnings from the Current Employment Statistics survey (National)</t>
  </si>
  <si>
    <t>Original Data Value</t>
  </si>
  <si>
    <t>Series Id:</t>
  </si>
  <si>
    <t>CEU5552231001</t>
  </si>
  <si>
    <t>Not Seasonally Adjusted</t>
  </si>
  <si>
    <t>Super Sector:</t>
  </si>
  <si>
    <t>Financial activities</t>
  </si>
  <si>
    <t>Industry:</t>
  </si>
  <si>
    <t>Mortgage and nonmortgage loan brokers</t>
  </si>
  <si>
    <t>NAICS Code:</t>
  </si>
  <si>
    <t>52231</t>
  </si>
  <si>
    <t>Data Type:</t>
  </si>
  <si>
    <t>ALL EMPLOYEES, THOUSANDS</t>
  </si>
  <si>
    <t>Years:</t>
  </si>
  <si>
    <t>2005 to 2015</t>
  </si>
  <si>
    <t>Year</t>
  </si>
  <si>
    <t>CEU5552229201</t>
  </si>
  <si>
    <t>Real estate credit</t>
  </si>
  <si>
    <t>522292</t>
  </si>
  <si>
    <t>Employment (Thousands)</t>
  </si>
  <si>
    <t>One Year Chg (Thousands)</t>
  </si>
  <si>
    <t>Note: We use the Not Seasonally Adjusted number for "Mortgage and nonmortgage loan brokers" and "Real estate credit"</t>
  </si>
  <si>
    <t>asOf</t>
  </si>
  <si>
    <t>TotalBalance</t>
  </si>
  <si>
    <t>Employment Number</t>
  </si>
  <si>
    <t xml:space="preserve">         Issue Amount stands for the total issue amount from FNMA</t>
  </si>
  <si>
    <t>Issue Amount (FNMA)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</si>
</sst>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0.0"/>
    <numFmt numFmtId="195" formatCode="_(* #,##0_);_(* \(#,##0\);_(* &quot;-&quot;??_);_(@_)"/>
  </numFmts>
  <fonts count="1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AD275C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Calibri"/>
      <family val="2"/>
      <scheme val="minor"/>
    </font>
    <font>
      <sz val="10.1"/>
      <color theme="1"/>
      <name val="Tahoma"/>
      <family val="2"/>
    </font>
    <font>
      <sz val="10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/>
      <top/>
      <bottom style="thick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528">
    <xf numFmtId="0" fontId="0" fillId="0" borderId="0"/>
    <xf numFmtId="0" fontId="6" fillId="5" borderId="4" applyNumberFormat="0"/>
    <xf numFmtId="0" fontId="9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0" borderId="0" applyNumberFormat="0" applyBorder="0" applyAlignment="0" applyProtection="0"/>
    <xf numFmtId="0" fontId="15" fillId="12" borderId="0" applyNumberFormat="0" applyBorder="0" applyAlignment="0" applyProtection="0"/>
    <xf numFmtId="0" fontId="13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3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3" fillId="15" borderId="0" applyNumberFormat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0" borderId="0" applyNumberFormat="0" applyBorder="0" applyAlignment="0" applyProtection="0"/>
    <xf numFmtId="0" fontId="15" fillId="12" borderId="0" applyNumberFormat="0" applyBorder="0" applyAlignment="0" applyProtection="0"/>
    <xf numFmtId="0" fontId="13" fillId="17" borderId="0" applyNumberFormat="0" applyBorder="0" applyAlignment="0" applyProtection="0"/>
    <xf numFmtId="0" fontId="14" fillId="14" borderId="0" applyNumberFormat="0" applyBorder="0" applyAlignment="0" applyProtection="0"/>
    <xf numFmtId="0" fontId="15" fillId="17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1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4" borderId="0" applyNumberFormat="0" applyBorder="0" applyAlignment="0" applyProtection="0"/>
    <xf numFmtId="0" fontId="16" fillId="18" borderId="0" applyNumberFormat="0" applyBorder="0" applyAlignment="0" applyProtection="0"/>
    <xf numFmtId="0" fontId="17" fillId="18" borderId="0" applyNumberFormat="0" applyBorder="0" applyAlignment="0" applyProtection="0"/>
    <xf numFmtId="0" fontId="18" fillId="18" borderId="0" applyNumberFormat="0" applyBorder="0" applyAlignment="0" applyProtection="0"/>
    <xf numFmtId="0" fontId="16" fillId="9" borderId="0" applyNumberFormat="0" applyBorder="0" applyAlignment="0" applyProtection="0"/>
    <xf numFmtId="0" fontId="17" fillId="12" borderId="0" applyNumberFormat="0" applyBorder="0" applyAlignment="0" applyProtection="0"/>
    <xf numFmtId="0" fontId="18" fillId="19" borderId="0" applyNumberFormat="0" applyBorder="0" applyAlignment="0" applyProtection="0"/>
    <xf numFmtId="0" fontId="16" fillId="15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2" borderId="0" applyNumberFormat="0" applyBorder="0" applyAlignment="0" applyProtection="0"/>
    <xf numFmtId="0" fontId="16" fillId="7" borderId="0" applyNumberFormat="0" applyBorder="0" applyAlignment="0" applyProtection="0"/>
    <xf numFmtId="0" fontId="17" fillId="7" borderId="0" applyNumberFormat="0" applyBorder="0" applyAlignment="0" applyProtection="0"/>
    <xf numFmtId="0" fontId="18" fillId="27" borderId="0" applyNumberFormat="0" applyBorder="0" applyAlignment="0" applyProtection="0"/>
    <xf numFmtId="0" fontId="16" fillId="22" borderId="0" applyNumberFormat="0" applyBorder="0" applyAlignment="0" applyProtection="0"/>
    <xf numFmtId="0" fontId="17" fillId="28" borderId="0" applyNumberFormat="0" applyBorder="0" applyAlignment="0" applyProtection="0"/>
    <xf numFmtId="0" fontId="18" fillId="29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8" fillId="30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8" fillId="32" borderId="0" applyNumberFormat="0" applyBorder="0" applyAlignment="0" applyProtection="0"/>
    <xf numFmtId="0" fontId="16" fillId="28" borderId="0" applyNumberFormat="0" applyBorder="0" applyAlignment="0" applyProtection="0"/>
    <xf numFmtId="0" fontId="17" fillId="28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32" borderId="0" applyNumberFormat="0" applyBorder="0" applyAlignment="0" applyProtection="0"/>
    <xf numFmtId="0" fontId="18" fillId="22" borderId="0" applyNumberFormat="0" applyBorder="0" applyAlignment="0" applyProtection="0"/>
    <xf numFmtId="0" fontId="16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1" fillId="0" borderId="0"/>
    <xf numFmtId="17" fontId="11" fillId="0" borderId="0" applyFont="0" applyFill="0" applyBorder="0" applyProtection="0">
      <alignment horizontal="left"/>
    </xf>
    <xf numFmtId="0" fontId="11" fillId="0" borderId="0" applyFont="0" applyFill="0" applyBorder="0" applyProtection="0">
      <alignment horizontal="left"/>
    </xf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0" fontId="21" fillId="8" borderId="0" applyNumberFormat="0" applyBorder="0" applyAlignment="0" applyProtection="0"/>
    <xf numFmtId="38" fontId="22" fillId="11" borderId="0"/>
    <xf numFmtId="0" fontId="23" fillId="0" borderId="0" applyNumberFormat="0" applyFill="0" applyBorder="0" applyAlignment="0" applyProtection="0"/>
    <xf numFmtId="0" fontId="24" fillId="34" borderId="0">
      <alignment horizontal="left"/>
    </xf>
    <xf numFmtId="2" fontId="25" fillId="35" borderId="6" applyProtection="0">
      <alignment horizontal="left"/>
      <protection locked="0"/>
    </xf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11" fillId="36" borderId="0"/>
    <xf numFmtId="167" fontId="12" fillId="0" borderId="0" applyFont="0" applyFill="0" applyBorder="0" applyAlignment="0" applyProtection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0" fontId="11" fillId="0" borderId="0" applyFill="0" applyBorder="0" applyAlignment="0"/>
    <xf numFmtId="0" fontId="11" fillId="0" borderId="0" applyFill="0" applyBorder="0" applyAlignment="0"/>
    <xf numFmtId="168" fontId="29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30" fillId="11" borderId="7" applyNumberFormat="0" applyAlignment="0" applyProtection="0"/>
    <xf numFmtId="0" fontId="31" fillId="13" borderId="7" applyNumberFormat="0" applyAlignment="0" applyProtection="0"/>
    <xf numFmtId="0" fontId="32" fillId="15" borderId="7" applyNumberFormat="0" applyAlignment="0" applyProtection="0"/>
    <xf numFmtId="0" fontId="33" fillId="37" borderId="8" applyNumberFormat="0"/>
    <xf numFmtId="0" fontId="34" fillId="38" borderId="9" applyBorder="0">
      <alignment horizontal="center" wrapText="1"/>
    </xf>
    <xf numFmtId="0" fontId="34" fillId="39" borderId="9" applyBorder="0">
      <alignment horizontal="center" wrapText="1"/>
    </xf>
    <xf numFmtId="0" fontId="35" fillId="40" borderId="8" applyNumberFormat="0"/>
    <xf numFmtId="0" fontId="36" fillId="41" borderId="8" applyNumberFormat="0"/>
    <xf numFmtId="0" fontId="3" fillId="41" borderId="8" applyNumberFormat="0"/>
    <xf numFmtId="0" fontId="35" fillId="40" borderId="8" applyNumberFormat="0"/>
    <xf numFmtId="0" fontId="36" fillId="40" borderId="8" applyNumberFormat="0"/>
    <xf numFmtId="0" fontId="35" fillId="37" borderId="8" applyNumberFormat="0"/>
    <xf numFmtId="0" fontId="33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7" fillId="40" borderId="10" applyNumberFormat="0" applyAlignment="0"/>
    <xf numFmtId="14" fontId="37" fillId="41" borderId="10" applyNumberFormat="0" applyAlignment="0"/>
    <xf numFmtId="14" fontId="38" fillId="41" borderId="10" applyNumberFormat="0" applyAlignment="0"/>
    <xf numFmtId="0" fontId="39" fillId="42" borderId="11" applyNumberFormat="0" applyAlignment="0" applyProtection="0"/>
    <xf numFmtId="0" fontId="40" fillId="42" borderId="11" applyNumberFormat="0" applyAlignment="0" applyProtection="0"/>
    <xf numFmtId="0" fontId="41" fillId="42" borderId="11" applyNumberFormat="0" applyAlignment="0" applyProtection="0"/>
    <xf numFmtId="0" fontId="42" fillId="0" borderId="0" applyNumberFormat="0" applyFill="0" applyBorder="0" applyAlignment="0" applyProtection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0" fontId="28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3" fontId="11" fillId="0" borderId="0" applyFill="0" applyBorder="0" applyAlignment="0" applyProtection="0"/>
    <xf numFmtId="0" fontId="45" fillId="0" borderId="0"/>
    <xf numFmtId="0" fontId="46" fillId="0" borderId="0" applyNumberFormat="0" applyAlignment="0">
      <alignment horizontal="left"/>
    </xf>
    <xf numFmtId="0" fontId="47" fillId="0" borderId="0">
      <alignment horizontal="center"/>
    </xf>
    <xf numFmtId="0" fontId="45" fillId="0" borderId="0"/>
    <xf numFmtId="0" fontId="28" fillId="0" borderId="0" applyFont="0" applyFill="0" applyBorder="0" applyAlignment="0" applyProtection="0"/>
    <xf numFmtId="169" fontId="11" fillId="0" borderId="0" applyFont="0" applyFill="0" applyBorder="0" applyAlignment="0" applyProtection="0"/>
    <xf numFmtId="8" fontId="48" fillId="0" borderId="12">
      <protection locked="0"/>
    </xf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5" fontId="11" fillId="0" borderId="0" applyFill="0" applyBorder="0" applyAlignment="0" applyProtection="0"/>
    <xf numFmtId="173" fontId="12" fillId="0" borderId="0" applyFont="0" applyFill="0" applyBorder="0" applyAlignment="0" applyProtection="0"/>
    <xf numFmtId="10" fontId="11" fillId="0" borderId="0" applyFont="0" applyFill="0" applyBorder="0" applyProtection="0">
      <alignment horizontal="center"/>
    </xf>
    <xf numFmtId="174" fontId="11" fillId="0" borderId="0" applyFont="0" applyFill="0" applyBorder="0" applyProtection="0"/>
    <xf numFmtId="175" fontId="11" fillId="0" borderId="0" applyFont="0" applyFill="0" applyBorder="0" applyProtection="0"/>
    <xf numFmtId="15" fontId="49" fillId="0" borderId="0" applyFont="0" applyFill="0" applyBorder="0" applyAlignment="0" applyProtection="0"/>
    <xf numFmtId="0" fontId="45" fillId="0" borderId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5" fontId="14" fillId="11" borderId="0"/>
    <xf numFmtId="14" fontId="14" fillId="0" borderId="0" applyFill="0" applyBorder="0" applyAlignment="0"/>
    <xf numFmtId="0" fontId="47" fillId="35" borderId="0">
      <alignment horizontal="left"/>
    </xf>
    <xf numFmtId="176" fontId="11" fillId="0" borderId="0" applyFill="0" applyBorder="0" applyAlignment="0" applyProtection="0"/>
    <xf numFmtId="14" fontId="11" fillId="0" borderId="0"/>
    <xf numFmtId="0" fontId="50" fillId="18" borderId="0">
      <alignment horizontal="left"/>
    </xf>
    <xf numFmtId="0" fontId="51" fillId="0" borderId="0">
      <alignment horizontal="left"/>
    </xf>
    <xf numFmtId="38" fontId="52" fillId="0" borderId="13">
      <alignment vertical="center"/>
    </xf>
    <xf numFmtId="177" fontId="11" fillId="0" borderId="0">
      <alignment horizontal="right"/>
    </xf>
    <xf numFmtId="1" fontId="11" fillId="0" borderId="0">
      <alignment horizontal="right"/>
    </xf>
    <xf numFmtId="1" fontId="11" fillId="0" borderId="0">
      <alignment horizontal="right"/>
    </xf>
    <xf numFmtId="178" fontId="11" fillId="0" borderId="0">
      <alignment horizontal="right"/>
    </xf>
    <xf numFmtId="49" fontId="11" fillId="0" borderId="0">
      <alignment horizontal="left"/>
    </xf>
    <xf numFmtId="49" fontId="11" fillId="0" borderId="0">
      <alignment horizontal="left"/>
    </xf>
    <xf numFmtId="49" fontId="11" fillId="0" borderId="0">
      <alignment horizontal="right"/>
    </xf>
    <xf numFmtId="14" fontId="11" fillId="0" borderId="0">
      <alignment horizontal="left"/>
    </xf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53" fillId="0" borderId="0" applyNumberFormat="0" applyAlignment="0">
      <alignment horizontal="left"/>
    </xf>
    <xf numFmtId="9" fontId="54" fillId="0" borderId="3" applyNumberFormat="0" applyBorder="0" applyAlignment="0">
      <protection locked="0"/>
    </xf>
    <xf numFmtId="179" fontId="11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1" fillId="0" borderId="0" applyFill="0" applyBorder="0" applyAlignment="0" applyProtection="0"/>
    <xf numFmtId="180" fontId="11" fillId="0" borderId="0" applyFont="0" applyFill="0" applyBorder="0" applyAlignment="0" applyProtection="0"/>
    <xf numFmtId="0" fontId="14" fillId="11" borderId="0"/>
    <xf numFmtId="0" fontId="58" fillId="10" borderId="0" applyNumberFormat="0" applyBorder="0" applyAlignment="0" applyProtection="0"/>
    <xf numFmtId="0" fontId="59" fillId="14" borderId="0" applyNumberFormat="0" applyBorder="0" applyAlignment="0" applyProtection="0"/>
    <xf numFmtId="0" fontId="60" fillId="10" borderId="0" applyNumberFormat="0" applyBorder="0" applyAlignment="0" applyProtection="0"/>
    <xf numFmtId="2" fontId="61" fillId="35" borderId="6" applyProtection="0">
      <alignment horizontal="left"/>
      <protection locked="0"/>
    </xf>
    <xf numFmtId="38" fontId="42" fillId="43" borderId="0" applyNumberFormat="0" applyBorder="0" applyAlignment="0" applyProtection="0"/>
    <xf numFmtId="0" fontId="62" fillId="0" borderId="14" applyNumberFormat="0" applyAlignment="0" applyProtection="0">
      <alignment horizontal="left" vertical="center"/>
    </xf>
    <xf numFmtId="0" fontId="62" fillId="0" borderId="15">
      <alignment horizontal="left" vertical="center"/>
    </xf>
    <xf numFmtId="0" fontId="63" fillId="15" borderId="3">
      <alignment horizontal="centerContinuous"/>
    </xf>
    <xf numFmtId="0" fontId="64" fillId="0" borderId="16" applyNumberFormat="0" applyFill="0" applyAlignment="0" applyProtection="0"/>
    <xf numFmtId="0" fontId="65" fillId="0" borderId="17" applyNumberFormat="0" applyFill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18" applyNumberFormat="0" applyFill="0" applyAlignment="0" applyProtection="0"/>
    <xf numFmtId="0" fontId="69" fillId="0" borderId="19" applyNumberFormat="0" applyFill="0" applyAlignment="0" applyProtection="0"/>
    <xf numFmtId="0" fontId="70" fillId="0" borderId="20" applyNumberFormat="0" applyFill="0" applyAlignment="0" applyProtection="0"/>
    <xf numFmtId="0" fontId="50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1" fillId="0" borderId="19" applyNumberFormat="0" applyFill="0" applyAlignment="0" applyProtection="0"/>
    <xf numFmtId="0" fontId="72" fillId="0" borderId="21" applyNumberFormat="0" applyFill="0" applyAlignment="0" applyProtection="0"/>
    <xf numFmtId="0" fontId="73" fillId="0" borderId="22" applyNumberFormat="0" applyFill="0" applyAlignment="0" applyProtection="0"/>
    <xf numFmtId="0" fontId="74" fillId="0" borderId="23" applyNumberFormat="0" applyFill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11" borderId="0"/>
    <xf numFmtId="0" fontId="6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0" fontId="42" fillId="44" borderId="3" applyNumberFormat="0" applyBorder="0" applyAlignment="0" applyProtection="0"/>
    <xf numFmtId="2" fontId="77" fillId="0" borderId="24" applyNumberFormat="0" applyFill="0" applyBorder="0" applyAlignment="0">
      <alignment horizontal="center"/>
      <protection locked="0"/>
    </xf>
    <xf numFmtId="2" fontId="77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37" fontId="79" fillId="0" borderId="0" applyNumberFormat="0" applyAlignment="0">
      <protection locked="0"/>
    </xf>
    <xf numFmtId="0" fontId="80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83" fillId="0" borderId="25" applyNumberFormat="0" applyFill="0" applyAlignment="0" applyProtection="0"/>
    <xf numFmtId="0" fontId="11" fillId="43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8" fontId="14" fillId="11" borderId="0"/>
    <xf numFmtId="0" fontId="84" fillId="7" borderId="0" applyNumberFormat="0" applyBorder="0" applyAlignment="0" applyProtection="0"/>
    <xf numFmtId="0" fontId="85" fillId="12" borderId="0" applyNumberFormat="0" applyBorder="0" applyAlignment="0" applyProtection="0"/>
    <xf numFmtId="0" fontId="86" fillId="36" borderId="0" applyNumberFormat="0" applyBorder="0" applyAlignment="0" applyProtection="0"/>
    <xf numFmtId="37" fontId="87" fillId="0" borderId="0"/>
    <xf numFmtId="0" fontId="50" fillId="11" borderId="0" applyNumberFormat="0" applyFont="0" applyFill="0" applyBorder="0" applyAlignment="0"/>
    <xf numFmtId="10" fontId="14" fillId="11" borderId="0"/>
    <xf numFmtId="181" fontId="88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41" borderId="0"/>
    <xf numFmtId="0" fontId="11" fillId="41" borderId="0"/>
    <xf numFmtId="0" fontId="11" fillId="0" borderId="0"/>
    <xf numFmtId="0" fontId="11" fillId="0" borderId="0"/>
    <xf numFmtId="0" fontId="35" fillId="40" borderId="0"/>
    <xf numFmtId="0" fontId="35" fillId="40" borderId="0"/>
    <xf numFmtId="0" fontId="35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35" fillId="40" borderId="0"/>
    <xf numFmtId="0" fontId="1" fillId="0" borderId="0"/>
    <xf numFmtId="0" fontId="1" fillId="0" borderId="0"/>
    <xf numFmtId="0" fontId="11" fillId="0" borderId="0">
      <alignment vertical="top"/>
    </xf>
    <xf numFmtId="0" fontId="11" fillId="0" borderId="0">
      <alignment vertical="top"/>
    </xf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9" fillId="0" borderId="0"/>
    <xf numFmtId="0" fontId="11" fillId="0" borderId="0"/>
    <xf numFmtId="0" fontId="11" fillId="0" borderId="0"/>
    <xf numFmtId="0" fontId="35" fillId="3" borderId="2" applyNumberFormat="0" applyFont="0" applyAlignment="0" applyProtection="0"/>
    <xf numFmtId="0" fontId="14" fillId="9" borderId="26" applyNumberFormat="0" applyFont="0" applyAlignment="0" applyProtection="0"/>
    <xf numFmtId="0" fontId="90" fillId="9" borderId="26" applyNumberFormat="0" applyFont="0" applyAlignment="0" applyProtection="0"/>
    <xf numFmtId="0" fontId="35" fillId="3" borderId="2" applyNumberFormat="0" applyFont="0" applyAlignment="0" applyProtection="0"/>
    <xf numFmtId="0" fontId="91" fillId="0" borderId="0"/>
    <xf numFmtId="0" fontId="15" fillId="9" borderId="26" applyNumberFormat="0" applyFont="0" applyAlignment="0" applyProtection="0"/>
    <xf numFmtId="0" fontId="35" fillId="3" borderId="2" applyNumberFormat="0" applyFont="0" applyAlignment="0" applyProtection="0"/>
    <xf numFmtId="0" fontId="35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8" fillId="0" borderId="0">
      <alignment horizontal="center"/>
    </xf>
    <xf numFmtId="37" fontId="11" fillId="0" borderId="0"/>
    <xf numFmtId="183" fontId="4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84" fontId="92" fillId="0" borderId="0" applyNumberFormat="0" applyFill="0" applyBorder="0" applyAlignment="0" applyProtection="0"/>
    <xf numFmtId="164" fontId="28" fillId="0" borderId="0">
      <alignment horizontal="center"/>
    </xf>
    <xf numFmtId="0" fontId="35" fillId="6" borderId="0" applyNumberFormat="0" applyFont="0" applyBorder="0" applyAlignment="0" applyProtection="0"/>
    <xf numFmtId="0" fontId="92" fillId="0" borderId="27"/>
    <xf numFmtId="2" fontId="93" fillId="35" borderId="6">
      <alignment horizontal="left"/>
    </xf>
    <xf numFmtId="0" fontId="94" fillId="11" borderId="28" applyNumberFormat="0" applyAlignment="0" applyProtection="0"/>
    <xf numFmtId="0" fontId="95" fillId="13" borderId="28" applyNumberFormat="0" applyAlignment="0" applyProtection="0"/>
    <xf numFmtId="0" fontId="96" fillId="15" borderId="28" applyNumberFormat="0" applyAlignment="0" applyProtection="0"/>
    <xf numFmtId="40" fontId="14" fillId="35" borderId="0">
      <alignment horizontal="right"/>
    </xf>
    <xf numFmtId="0" fontId="97" fillId="44" borderId="0">
      <alignment horizontal="center"/>
    </xf>
    <xf numFmtId="0" fontId="40" fillId="45" borderId="6"/>
    <xf numFmtId="0" fontId="98" fillId="0" borderId="0" applyBorder="0">
      <alignment horizontal="centerContinuous"/>
    </xf>
    <xf numFmtId="0" fontId="99" fillId="0" borderId="0" applyBorder="0">
      <alignment horizontal="centerContinuous"/>
    </xf>
    <xf numFmtId="0" fontId="62" fillId="0" borderId="0"/>
    <xf numFmtId="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00" fillId="0" borderId="0" applyFont="0" applyFill="0" applyBorder="0" applyAlignment="0" applyProtection="0"/>
    <xf numFmtId="185" fontId="29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2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186" fontId="28" fillId="0" borderId="0">
      <alignment horizontal="center"/>
    </xf>
    <xf numFmtId="187" fontId="28" fillId="0" borderId="3">
      <alignment horizontal="center"/>
    </xf>
    <xf numFmtId="0" fontId="101" fillId="0" borderId="29" applyAlignment="0">
      <alignment horizontal="center"/>
    </xf>
    <xf numFmtId="0" fontId="102" fillId="43" borderId="0"/>
    <xf numFmtId="0" fontId="52" fillId="0" borderId="0" applyNumberFormat="0" applyFont="0" applyFill="0" applyBorder="0" applyAlignment="0" applyProtection="0">
      <alignment horizontal="left"/>
    </xf>
    <xf numFmtId="0" fontId="103" fillId="0" borderId="30">
      <alignment horizontal="center"/>
    </xf>
    <xf numFmtId="0" fontId="49" fillId="0" borderId="0">
      <alignment vertical="top"/>
    </xf>
    <xf numFmtId="188" fontId="49" fillId="0" borderId="0">
      <alignment vertical="top"/>
    </xf>
    <xf numFmtId="0" fontId="101" fillId="0" borderId="0">
      <alignment horizontal="left"/>
    </xf>
    <xf numFmtId="0" fontId="101" fillId="0" borderId="0">
      <alignment horizontal="right"/>
    </xf>
    <xf numFmtId="0" fontId="14" fillId="0" borderId="6" applyNumberFormat="0" applyBorder="0" applyAlignment="0"/>
    <xf numFmtId="189" fontId="104" fillId="0" borderId="0" applyNumberFormat="0" applyFill="0" applyBorder="0" applyAlignment="0" applyProtection="0">
      <alignment horizontal="left"/>
    </xf>
    <xf numFmtId="0" fontId="50" fillId="32" borderId="0">
      <alignment horizontal="left"/>
    </xf>
    <xf numFmtId="0" fontId="105" fillId="0" borderId="31"/>
    <xf numFmtId="187" fontId="25" fillId="9" borderId="0">
      <alignment horizontal="center"/>
    </xf>
    <xf numFmtId="187" fontId="106" fillId="9" borderId="0">
      <alignment horizontal="center"/>
    </xf>
    <xf numFmtId="187" fontId="25" fillId="10" borderId="0">
      <alignment horizontal="center"/>
    </xf>
    <xf numFmtId="0" fontId="25" fillId="9" borderId="0">
      <alignment horizontal="left"/>
    </xf>
    <xf numFmtId="0" fontId="107" fillId="0" borderId="0" applyFont="0" applyFill="0" applyBorder="0" applyAlignment="0" applyProtection="0"/>
    <xf numFmtId="190" fontId="29" fillId="0" borderId="0" applyFont="0" applyFill="0" applyBorder="0" applyAlignment="0" applyProtection="0"/>
    <xf numFmtId="191" fontId="11" fillId="0" borderId="0"/>
    <xf numFmtId="0" fontId="11" fillId="0" borderId="0"/>
    <xf numFmtId="0" fontId="11" fillId="0" borderId="0">
      <alignment horizontal="left" wrapText="1"/>
    </xf>
    <xf numFmtId="0" fontId="25" fillId="9" borderId="0">
      <alignment horizontal="center"/>
    </xf>
    <xf numFmtId="0" fontId="101" fillId="0" borderId="0"/>
    <xf numFmtId="0" fontId="108" fillId="0" borderId="0"/>
    <xf numFmtId="40" fontId="109" fillId="0" borderId="0" applyBorder="0">
      <alignment horizontal="right"/>
    </xf>
    <xf numFmtId="0" fontId="11" fillId="35" borderId="26"/>
    <xf numFmtId="0" fontId="28" fillId="0" borderId="0">
      <alignment horizontal="center"/>
    </xf>
    <xf numFmtId="15" fontId="28" fillId="0" borderId="0">
      <alignment horizontal="center"/>
    </xf>
    <xf numFmtId="0" fontId="110" fillId="0" borderId="0">
      <alignment horizontal="center"/>
    </xf>
    <xf numFmtId="3" fontId="28" fillId="0" borderId="0">
      <alignment horizontal="center"/>
    </xf>
    <xf numFmtId="192" fontId="28" fillId="0" borderId="0">
      <alignment horizontal="center"/>
    </xf>
    <xf numFmtId="187" fontId="28" fillId="0" borderId="0">
      <alignment horizontal="center"/>
    </xf>
    <xf numFmtId="0" fontId="111" fillId="46" borderId="0"/>
    <xf numFmtId="193" fontId="28" fillId="0" borderId="0">
      <alignment horizontal="center"/>
    </xf>
    <xf numFmtId="193" fontId="28" fillId="0" borderId="32">
      <alignment horizontal="center"/>
    </xf>
    <xf numFmtId="0" fontId="28" fillId="0" borderId="0">
      <alignment horizontal="left"/>
    </xf>
    <xf numFmtId="0" fontId="112" fillId="0" borderId="0">
      <alignment horizontal="center"/>
    </xf>
    <xf numFmtId="0" fontId="113" fillId="0" borderId="0" applyNumberFormat="0" applyFill="0" applyBorder="0"/>
    <xf numFmtId="0" fontId="14" fillId="11" borderId="0"/>
    <xf numFmtId="49" fontId="14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49" fontId="11" fillId="0" borderId="0"/>
    <xf numFmtId="0" fontId="114" fillId="0" borderId="0">
      <alignment horizontal="right"/>
    </xf>
    <xf numFmtId="0" fontId="115" fillId="0" borderId="0">
      <alignment horizontal="right"/>
      <protection locked="0"/>
    </xf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22" fillId="11" borderId="0"/>
    <xf numFmtId="0" fontId="35" fillId="47" borderId="33" applyBorder="0">
      <alignment horizontal="center" wrapText="1"/>
    </xf>
    <xf numFmtId="0" fontId="34" fillId="38" borderId="9" applyBorder="0">
      <alignment horizontal="center" wrapText="1"/>
    </xf>
    <xf numFmtId="0" fontId="35" fillId="48" borderId="9" applyBorder="0">
      <alignment horizontal="center" wrapText="1"/>
    </xf>
    <xf numFmtId="0" fontId="34" fillId="39" borderId="9" applyBorder="0">
      <alignment horizontal="center" wrapText="1"/>
    </xf>
    <xf numFmtId="0" fontId="7" fillId="49" borderId="9" applyBorder="0">
      <alignment horizontal="center" wrapText="1"/>
    </xf>
    <xf numFmtId="0" fontId="34" fillId="50" borderId="9" applyBorder="0">
      <alignment horizontal="center" wrapText="1"/>
    </xf>
    <xf numFmtId="0" fontId="34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101" fillId="0" borderId="0" applyNumberFormat="0" applyFill="0" applyBorder="0" applyAlignment="0" applyProtection="0"/>
    <xf numFmtId="0" fontId="119" fillId="0" borderId="34" applyNumberFormat="0" applyFill="0" applyAlignment="0" applyProtection="0"/>
    <xf numFmtId="0" fontId="22" fillId="0" borderId="35" applyNumberFormat="0" applyFill="0" applyAlignment="0" applyProtection="0"/>
    <xf numFmtId="0" fontId="11" fillId="0" borderId="36" applyNumberFormat="0" applyFill="0" applyAlignment="0" applyProtection="0"/>
    <xf numFmtId="0" fontId="120" fillId="0" borderId="37" applyNumberFormat="0" applyFill="0" applyAlignment="0" applyProtection="0"/>
    <xf numFmtId="0" fontId="121" fillId="11" borderId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1" fontId="125" fillId="40" borderId="10"/>
    <xf numFmtId="1" fontId="125" fillId="41" borderId="10"/>
    <xf numFmtId="2" fontId="126" fillId="41" borderId="10"/>
    <xf numFmtId="0" fontId="127" fillId="40" borderId="4" applyNumberFormat="0" applyAlignment="0"/>
    <xf numFmtId="0" fontId="128" fillId="41" borderId="4" applyNumberFormat="0" applyAlignment="0"/>
    <xf numFmtId="1" fontId="129" fillId="41" borderId="10" applyNumberFormat="0"/>
    <xf numFmtId="177" fontId="130" fillId="41" borderId="10" applyNumberFormat="0"/>
    <xf numFmtId="0" fontId="11" fillId="0" borderId="0"/>
    <xf numFmtId="0" fontId="133" fillId="0" borderId="0"/>
    <xf numFmtId="43" fontId="1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8" fillId="0" borderId="0" xfId="0" applyFont="1" applyAlignment="1">
      <alignment horizontal="right"/>
    </xf>
    <xf numFmtId="0" fontId="10" fillId="0" borderId="0" xfId="2" applyFont="1"/>
    <xf numFmtId="0" fontId="8" fillId="0" borderId="0" xfId="0" applyFont="1"/>
    <xf numFmtId="0" fontId="10" fillId="0" borderId="0" xfId="2" applyFont="1" applyAlignment="1">
      <alignment vertical="top"/>
    </xf>
    <xf numFmtId="0" fontId="131" fillId="0" borderId="0" xfId="0" applyFont="1"/>
    <xf numFmtId="0" fontId="7" fillId="0" borderId="0" xfId="0" applyFont="1"/>
    <xf numFmtId="0" fontId="6" fillId="5" borderId="3" xfId="1" applyFont="1" applyBorder="1" applyAlignment="1">
      <alignment horizontal="left"/>
    </xf>
    <xf numFmtId="0" fontId="22" fillId="0" borderId="0" xfId="0" applyFont="1" applyFill="1" applyAlignment="1">
      <alignment horizontal="left" vertical="top" wrapText="1"/>
    </xf>
    <xf numFmtId="0" fontId="22" fillId="0" borderId="39" xfId="0" applyFont="1" applyFill="1" applyBorder="1" applyAlignment="1">
      <alignment horizontal="center" wrapText="1"/>
    </xf>
    <xf numFmtId="0" fontId="22" fillId="0" borderId="0" xfId="0" applyFont="1" applyFill="1" applyAlignment="1">
      <alignment horizontal="left"/>
    </xf>
    <xf numFmtId="194" fontId="14" fillId="0" borderId="0" xfId="0" applyNumberFormat="1" applyFont="1" applyFill="1" applyAlignment="1">
      <alignment horizontal="right"/>
    </xf>
    <xf numFmtId="0" fontId="133" fillId="0" borderId="0" xfId="526"/>
    <xf numFmtId="0" fontId="136" fillId="0" borderId="39" xfId="526" applyFont="1" applyFill="1" applyBorder="1" applyAlignment="1">
      <alignment horizontal="center" wrapText="1"/>
    </xf>
    <xf numFmtId="0" fontId="136" fillId="0" borderId="0" xfId="526" applyFont="1" applyFill="1" applyAlignment="1">
      <alignment horizontal="left"/>
    </xf>
    <xf numFmtId="194" fontId="135" fillId="0" borderId="0" xfId="526" applyNumberFormat="1" applyFont="1" applyFill="1" applyAlignment="1">
      <alignment horizontal="right"/>
    </xf>
    <xf numFmtId="0" fontId="136" fillId="0" borderId="0" xfId="526" applyFont="1" applyFill="1" applyAlignment="1">
      <alignment horizontal="left" vertical="top" wrapText="1"/>
    </xf>
    <xf numFmtId="0" fontId="5" fillId="6" borderId="38" xfId="0" applyFont="1" applyFill="1" applyBorder="1" applyAlignment="1">
      <alignment horizontal="center"/>
    </xf>
    <xf numFmtId="0" fontId="7" fillId="6" borderId="38" xfId="0" applyFont="1" applyFill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0" fillId="0" borderId="0" xfId="0"/>
    <xf numFmtId="195" fontId="0" fillId="0" borderId="0" xfId="527" applyNumberFormat="1" applyFont="1"/>
    <xf numFmtId="0" fontId="137" fillId="40" borderId="0" xfId="350" applyNumberFormat="1" applyFont="1" applyFill="1" applyBorder="1" applyAlignment="1"/>
    <xf numFmtId="14" fontId="7" fillId="0" borderId="0" xfId="0" applyNumberFormat="1" applyFont="1" applyBorder="1"/>
    <xf numFmtId="0" fontId="7" fillId="0" borderId="0" xfId="0" applyFont="1" applyBorder="1"/>
    <xf numFmtId="0" fontId="35" fillId="40" borderId="0" xfId="350" applyNumberFormat="1" applyFont="1" applyFill="1" applyBorder="1" applyAlignment="1"/>
    <xf numFmtId="0" fontId="0" fillId="0" borderId="0" xfId="0" applyBorder="1"/>
    <xf numFmtId="0" fontId="138" fillId="0" borderId="0" xfId="0" applyFont="1"/>
    <xf numFmtId="14" fontId="7" fillId="0" borderId="40" xfId="0" applyNumberFormat="1" applyFont="1" applyBorder="1"/>
    <xf numFmtId="0" fontId="35" fillId="40" borderId="41" xfId="350" applyNumberFormat="1" applyFont="1" applyFill="1" applyBorder="1" applyAlignment="1"/>
    <xf numFmtId="14" fontId="0" fillId="0" borderId="0" xfId="0" applyNumberFormat="1" applyBorder="1"/>
    <xf numFmtId="0" fontId="0" fillId="0" borderId="0" xfId="0"/>
    <xf numFmtId="0" fontId="22" fillId="0" borderId="0" xfId="526" applyFont="1" applyFill="1" applyAlignment="1">
      <alignment horizontal="left"/>
    </xf>
    <xf numFmtId="0" fontId="35" fillId="40" borderId="0" xfId="350" applyFont="1"/>
    <xf numFmtId="14" fontId="7" fillId="0" borderId="0" xfId="0" applyNumberFormat="1" applyFont="1"/>
    <xf numFmtId="0" fontId="0" fillId="0" borderId="0" xfId="0" quotePrefix="1"/>
    <xf numFmtId="0" fontId="0" fillId="0" borderId="0" xfId="0"/>
    <xf numFmtId="0" fontId="133" fillId="0" borderId="0" xfId="526"/>
    <xf numFmtId="0" fontId="0" fillId="0" borderId="0" xfId="0"/>
    <xf numFmtId="0" fontId="0" fillId="0" borderId="0" xfId="0"/>
    <xf numFmtId="194" fontId="14" fillId="0" borderId="0" xfId="526" applyNumberFormat="1" applyFont="1" applyFill="1" applyAlignment="1">
      <alignment horizontal="righ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Fill="1" applyBorder="1"/>
    <xf numFmtId="0" fontId="0" fillId="0" borderId="0" xfId="0"/>
    <xf numFmtId="14" fontId="139" fillId="0" borderId="0" xfId="0" applyNumberFormat="1" applyFont="1"/>
    <xf numFmtId="0" fontId="139" fillId="0" borderId="0" xfId="0" applyFont="1"/>
    <xf numFmtId="0" fontId="0" fillId="0" borderId="0" xfId="0" applyAlignment="1">
      <alignment horizontal="center" vertical="center"/>
    </xf>
    <xf numFmtId="0" fontId="14" fillId="0" borderId="0" xfId="0" applyFont="1" applyFill="1" applyAlignment="1">
      <alignment horizontal="left" vertical="top" wrapText="1"/>
    </xf>
    <xf numFmtId="0" fontId="0" fillId="0" borderId="0" xfId="0"/>
    <xf numFmtId="0" fontId="132" fillId="0" borderId="0" xfId="0" applyFont="1" applyFill="1" applyAlignment="1">
      <alignment horizontal="left"/>
    </xf>
    <xf numFmtId="0" fontId="22" fillId="0" borderId="0" xfId="0" applyFont="1" applyFill="1" applyAlignment="1">
      <alignment horizontal="left" vertical="top" wrapText="1"/>
    </xf>
    <xf numFmtId="0" fontId="14" fillId="0" borderId="0" xfId="0" applyFont="1" applyFill="1" applyAlignment="1">
      <alignment horizontal="left"/>
    </xf>
    <xf numFmtId="0" fontId="135" fillId="0" borderId="0" xfId="526" applyFont="1" applyFill="1" applyAlignment="1">
      <alignment horizontal="left" vertical="top" wrapText="1"/>
    </xf>
    <xf numFmtId="0" fontId="133" fillId="0" borderId="0" xfId="526"/>
    <xf numFmtId="0" fontId="14" fillId="0" borderId="0" xfId="526" applyFont="1" applyFill="1" applyAlignment="1">
      <alignment horizontal="left" vertical="top" wrapText="1"/>
    </xf>
    <xf numFmtId="0" fontId="135" fillId="0" borderId="0" xfId="526" applyFont="1" applyFill="1" applyAlignment="1">
      <alignment horizontal="left"/>
    </xf>
    <xf numFmtId="0" fontId="134" fillId="0" borderId="0" xfId="526" applyFont="1" applyFill="1" applyAlignment="1">
      <alignment horizontal="left"/>
    </xf>
    <xf numFmtId="0" fontId="136" fillId="0" borderId="0" xfId="526" applyFont="1" applyFill="1" applyAlignment="1">
      <alignment horizontal="left" vertical="top" wrapText="1"/>
    </xf>
    <xf numFmtId="0" fontId="0" fillId="0" borderId="0" xfId="0" applyBorder="1" applyAlignment="1">
      <alignment horizontal="center" vertical="center"/>
    </xf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7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43" xfId="526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Light16"/>
  <colors>
    <mruColors>
      <color rgb="FFB3275C"/>
      <color rgb="FF1B7A76"/>
      <color rgb="FF2E398A"/>
      <color rgb="FFC7732D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Mortgage Banker and Broker</a:t>
            </a:r>
            <a:r>
              <a:rPr lang="en-US" sz="1400" baseline="0"/>
              <a:t> Employment</a:t>
            </a:r>
            <a:endParaRPr lang="en-US" sz="14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Total!$C$28</c:f>
              <c:strCache>
                <c:ptCount val="1"/>
                <c:pt idx="0">
                  <c:v>Employment Number</c:v>
                </c:pt>
              </c:strCache>
            </c:strRef>
          </c:tx>
          <c:invertIfNegative val="0"/>
          <c:dLbls>
            <c:spPr>
              <a:noFill/>
            </c:spPr>
            <c:txPr>
              <a:bodyPr rot="0" vert="eaVert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Total!$A$29:$B$126</c:f>
              <c:multiLvlStrCache>
                <c:ptCount val="9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  <c:pt idx="60">
                    <c:v>Jan</c:v>
                  </c:pt>
                  <c:pt idx="61">
                    <c:v>Feb</c:v>
                  </c:pt>
                  <c:pt idx="62">
                    <c:v>Mar</c:v>
                  </c:pt>
                  <c:pt idx="63">
                    <c:v>Apr</c:v>
                  </c:pt>
                  <c:pt idx="64">
                    <c:v>May</c:v>
                  </c:pt>
                  <c:pt idx="65">
                    <c:v>Jun</c:v>
                  </c:pt>
                  <c:pt idx="66">
                    <c:v>Jul</c:v>
                  </c:pt>
                  <c:pt idx="67">
                    <c:v>Aug</c:v>
                  </c:pt>
                  <c:pt idx="68">
                    <c:v>Sep</c:v>
                  </c:pt>
                  <c:pt idx="69">
                    <c:v>Oct</c:v>
                  </c:pt>
                  <c:pt idx="70">
                    <c:v>Nov</c:v>
                  </c:pt>
                  <c:pt idx="71">
                    <c:v>Dec</c:v>
                  </c:pt>
                  <c:pt idx="72">
                    <c:v>Jan</c:v>
                  </c:pt>
                  <c:pt idx="73">
                    <c:v>Feb</c:v>
                  </c:pt>
                  <c:pt idx="74">
                    <c:v>Mar</c:v>
                  </c:pt>
                  <c:pt idx="75">
                    <c:v>Apr</c:v>
                  </c:pt>
                  <c:pt idx="76">
                    <c:v>May</c:v>
                  </c:pt>
                  <c:pt idx="77">
                    <c:v>Jun</c:v>
                  </c:pt>
                  <c:pt idx="78">
                    <c:v>Jul</c:v>
                  </c:pt>
                  <c:pt idx="79">
                    <c:v>Aug</c:v>
                  </c:pt>
                  <c:pt idx="80">
                    <c:v>Sep</c:v>
                  </c:pt>
                  <c:pt idx="81">
                    <c:v>Oct</c:v>
                  </c:pt>
                  <c:pt idx="82">
                    <c:v>Nov</c:v>
                  </c:pt>
                  <c:pt idx="83">
                    <c:v>Dec</c:v>
                  </c:pt>
                  <c:pt idx="84">
                    <c:v>Jan</c:v>
                  </c:pt>
                  <c:pt idx="85">
                    <c:v>Feb</c:v>
                  </c:pt>
                  <c:pt idx="86">
                    <c:v>Mar</c:v>
                  </c:pt>
                  <c:pt idx="87">
                    <c:v>Apr</c:v>
                  </c:pt>
                  <c:pt idx="88">
                    <c:v>May</c:v>
                  </c:pt>
                  <c:pt idx="89">
                    <c:v>Jun</c:v>
                  </c:pt>
                  <c:pt idx="90">
                    <c:v>Jul</c:v>
                  </c:pt>
                  <c:pt idx="91">
                    <c:v>Aug</c:v>
                  </c:pt>
                  <c:pt idx="92">
                    <c:v>Sep</c:v>
                  </c:pt>
                  <c:pt idx="93">
                    <c:v>Oct</c:v>
                  </c:pt>
                  <c:pt idx="94">
                    <c:v>Nov</c:v>
                  </c:pt>
                  <c:pt idx="95">
                    <c:v>Dec</c:v>
                  </c:pt>
                  <c:pt idx="96">
                    <c:v>Jan</c:v>
                  </c:pt>
                  <c:pt idx="97">
                    <c:v>Feb</c:v>
                  </c:pt>
                </c:lvl>
                <c:lvl>
                  <c:pt idx="0">
                    <c:v>2010</c:v>
                  </c:pt>
                  <c:pt idx="12">
                    <c:v>2011</c:v>
                  </c:pt>
                  <c:pt idx="24">
                    <c:v>2012</c:v>
                  </c:pt>
                  <c:pt idx="36">
                    <c:v>2013</c:v>
                  </c:pt>
                  <c:pt idx="48">
                    <c:v>2014</c:v>
                  </c:pt>
                  <c:pt idx="60">
                    <c:v>2015</c:v>
                  </c:pt>
                  <c:pt idx="72">
                    <c:v>2016</c:v>
                  </c:pt>
                  <c:pt idx="84">
                    <c:v>2017</c:v>
                  </c:pt>
                  <c:pt idx="96">
                    <c:v>2018</c:v>
                  </c:pt>
                </c:lvl>
              </c:multiLvlStrCache>
            </c:multiLvlStrRef>
          </c:cat>
          <c:val>
            <c:numRef>
              <c:f>Total!$C$29:$C$126</c:f>
              <c:numCache>
                <c:formatCode>#0.0</c:formatCode>
                <c:ptCount val="98"/>
                <c:pt idx="0">
                  <c:v>258.5</c:v>
                </c:pt>
                <c:pt idx="1">
                  <c:v>263.60000000000002</c:v>
                </c:pt>
                <c:pt idx="2">
                  <c:v>264</c:v>
                </c:pt>
                <c:pt idx="3">
                  <c:v>262.89999999999998</c:v>
                </c:pt>
                <c:pt idx="4">
                  <c:v>263.39999999999998</c:v>
                </c:pt>
                <c:pt idx="5">
                  <c:v>263.8</c:v>
                </c:pt>
                <c:pt idx="6">
                  <c:v>270</c:v>
                </c:pt>
                <c:pt idx="7">
                  <c:v>270.8</c:v>
                </c:pt>
                <c:pt idx="8">
                  <c:v>273.8</c:v>
                </c:pt>
                <c:pt idx="9">
                  <c:v>278.10000000000002</c:v>
                </c:pt>
                <c:pt idx="10">
                  <c:v>279.5</c:v>
                </c:pt>
                <c:pt idx="11">
                  <c:v>280.3</c:v>
                </c:pt>
                <c:pt idx="12">
                  <c:v>272.39999999999998</c:v>
                </c:pt>
                <c:pt idx="13">
                  <c:v>272.8</c:v>
                </c:pt>
                <c:pt idx="14">
                  <c:v>272.10000000000002</c:v>
                </c:pt>
                <c:pt idx="15">
                  <c:v>265.8</c:v>
                </c:pt>
                <c:pt idx="16">
                  <c:v>268.7</c:v>
                </c:pt>
                <c:pt idx="17">
                  <c:v>265.5</c:v>
                </c:pt>
                <c:pt idx="18">
                  <c:v>262.60000000000002</c:v>
                </c:pt>
                <c:pt idx="19">
                  <c:v>259.39999999999998</c:v>
                </c:pt>
                <c:pt idx="20">
                  <c:v>259.39999999999998</c:v>
                </c:pt>
                <c:pt idx="21">
                  <c:v>259.8</c:v>
                </c:pt>
                <c:pt idx="22">
                  <c:v>261.89999999999998</c:v>
                </c:pt>
                <c:pt idx="23">
                  <c:v>261.3</c:v>
                </c:pt>
                <c:pt idx="24">
                  <c:v>257.7</c:v>
                </c:pt>
                <c:pt idx="25">
                  <c:v>260</c:v>
                </c:pt>
                <c:pt idx="26">
                  <c:v>262.3</c:v>
                </c:pt>
                <c:pt idx="27">
                  <c:v>263.3</c:v>
                </c:pt>
                <c:pt idx="28">
                  <c:v>266.7</c:v>
                </c:pt>
                <c:pt idx="29">
                  <c:v>275.3</c:v>
                </c:pt>
                <c:pt idx="30">
                  <c:v>278.60000000000002</c:v>
                </c:pt>
                <c:pt idx="31">
                  <c:v>284</c:v>
                </c:pt>
                <c:pt idx="32">
                  <c:v>288.39999999999998</c:v>
                </c:pt>
                <c:pt idx="33">
                  <c:v>289.8</c:v>
                </c:pt>
                <c:pt idx="34">
                  <c:v>293.89999999999998</c:v>
                </c:pt>
                <c:pt idx="35">
                  <c:v>297.60000000000002</c:v>
                </c:pt>
                <c:pt idx="36">
                  <c:v>295.5</c:v>
                </c:pt>
                <c:pt idx="37">
                  <c:v>297.7</c:v>
                </c:pt>
                <c:pt idx="38">
                  <c:v>301.10000000000002</c:v>
                </c:pt>
                <c:pt idx="39">
                  <c:v>303.7</c:v>
                </c:pt>
                <c:pt idx="40">
                  <c:v>303.39999999999998</c:v>
                </c:pt>
                <c:pt idx="41">
                  <c:v>305</c:v>
                </c:pt>
                <c:pt idx="42">
                  <c:v>305.2</c:v>
                </c:pt>
                <c:pt idx="43">
                  <c:v>300.39999999999998</c:v>
                </c:pt>
                <c:pt idx="44">
                  <c:v>294.3</c:v>
                </c:pt>
                <c:pt idx="45">
                  <c:v>292.2</c:v>
                </c:pt>
                <c:pt idx="46">
                  <c:v>290.3</c:v>
                </c:pt>
                <c:pt idx="47">
                  <c:v>287.39999999999998</c:v>
                </c:pt>
                <c:pt idx="48">
                  <c:v>279.79999999999995</c:v>
                </c:pt>
                <c:pt idx="49">
                  <c:v>278</c:v>
                </c:pt>
                <c:pt idx="50">
                  <c:v>273.10000000000002</c:v>
                </c:pt>
                <c:pt idx="51">
                  <c:v>273.5</c:v>
                </c:pt>
                <c:pt idx="52">
                  <c:v>274.5</c:v>
                </c:pt>
                <c:pt idx="53">
                  <c:v>277.5</c:v>
                </c:pt>
                <c:pt idx="54">
                  <c:v>280.89999999999998</c:v>
                </c:pt>
                <c:pt idx="55">
                  <c:v>280.8</c:v>
                </c:pt>
                <c:pt idx="56">
                  <c:v>283.60000000000002</c:v>
                </c:pt>
                <c:pt idx="57">
                  <c:v>284</c:v>
                </c:pt>
                <c:pt idx="58">
                  <c:v>287.79999999999995</c:v>
                </c:pt>
                <c:pt idx="59">
                  <c:v>288.10000000000002</c:v>
                </c:pt>
                <c:pt idx="60">
                  <c:v>282.8</c:v>
                </c:pt>
                <c:pt idx="61">
                  <c:v>283.8</c:v>
                </c:pt>
                <c:pt idx="62">
                  <c:v>285.8</c:v>
                </c:pt>
                <c:pt idx="63">
                  <c:v>288.60000000000002</c:v>
                </c:pt>
                <c:pt idx="64">
                  <c:v>292.8</c:v>
                </c:pt>
                <c:pt idx="65">
                  <c:v>297.5</c:v>
                </c:pt>
                <c:pt idx="66">
                  <c:v>301.89999999999998</c:v>
                </c:pt>
                <c:pt idx="67">
                  <c:v>303.89999999999998</c:v>
                </c:pt>
                <c:pt idx="68">
                  <c:v>306.39999999999998</c:v>
                </c:pt>
                <c:pt idx="69">
                  <c:v>306.7</c:v>
                </c:pt>
                <c:pt idx="70">
                  <c:v>307.3</c:v>
                </c:pt>
                <c:pt idx="71">
                  <c:v>307.8</c:v>
                </c:pt>
                <c:pt idx="72">
                  <c:v>306.5</c:v>
                </c:pt>
                <c:pt idx="73">
                  <c:v>305.20000000000005</c:v>
                </c:pt>
                <c:pt idx="74">
                  <c:v>307.5</c:v>
                </c:pt>
                <c:pt idx="75">
                  <c:v>309.89999999999998</c:v>
                </c:pt>
                <c:pt idx="76">
                  <c:v>310.10000000000002</c:v>
                </c:pt>
                <c:pt idx="77">
                  <c:v>316</c:v>
                </c:pt>
                <c:pt idx="78">
                  <c:v>321.10000000000002</c:v>
                </c:pt>
                <c:pt idx="79">
                  <c:v>322.10000000000002</c:v>
                </c:pt>
                <c:pt idx="80">
                  <c:v>324.60000000000002</c:v>
                </c:pt>
                <c:pt idx="81">
                  <c:v>327.3</c:v>
                </c:pt>
                <c:pt idx="82">
                  <c:v>331.3</c:v>
                </c:pt>
                <c:pt idx="83">
                  <c:v>334.7</c:v>
                </c:pt>
                <c:pt idx="84">
                  <c:v>331.6</c:v>
                </c:pt>
                <c:pt idx="85">
                  <c:v>330</c:v>
                </c:pt>
                <c:pt idx="86">
                  <c:v>331.5</c:v>
                </c:pt>
                <c:pt idx="87">
                  <c:v>332.1</c:v>
                </c:pt>
                <c:pt idx="88">
                  <c:v>334.3</c:v>
                </c:pt>
                <c:pt idx="89">
                  <c:v>339.6</c:v>
                </c:pt>
                <c:pt idx="90">
                  <c:v>339.1</c:v>
                </c:pt>
                <c:pt idx="91">
                  <c:v>341.9</c:v>
                </c:pt>
                <c:pt idx="92">
                  <c:v>340.3</c:v>
                </c:pt>
                <c:pt idx="93">
                  <c:v>339</c:v>
                </c:pt>
                <c:pt idx="94">
                  <c:v>338.8</c:v>
                </c:pt>
                <c:pt idx="95">
                  <c:v>341.1</c:v>
                </c:pt>
                <c:pt idx="96">
                  <c:v>337.29999999999995</c:v>
                </c:pt>
                <c:pt idx="97">
                  <c:v>339.5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7636640"/>
        <c:axId val="297637032"/>
      </c:barChart>
      <c:lineChart>
        <c:grouping val="standard"/>
        <c:varyColors val="0"/>
        <c:ser>
          <c:idx val="1"/>
          <c:order val="1"/>
          <c:tx>
            <c:strRef>
              <c:f>Total!$D$28</c:f>
              <c:strCache>
                <c:ptCount val="1"/>
                <c:pt idx="0">
                  <c:v>Issue Amount (FNMA)</c:v>
                </c:pt>
              </c:strCache>
            </c:strRef>
          </c:tx>
          <c:spPr>
            <a:ln w="19050">
              <a:solidFill>
                <a:srgbClr val="B3275C"/>
              </a:solidFill>
            </a:ln>
          </c:spPr>
          <c:marker>
            <c:symbol val="none"/>
          </c:marker>
          <c:cat>
            <c:multiLvlStrRef>
              <c:f>Total!$A$29:$B$126</c:f>
              <c:multiLvlStrCache>
                <c:ptCount val="9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  <c:pt idx="60">
                    <c:v>Jan</c:v>
                  </c:pt>
                  <c:pt idx="61">
                    <c:v>Feb</c:v>
                  </c:pt>
                  <c:pt idx="62">
                    <c:v>Mar</c:v>
                  </c:pt>
                  <c:pt idx="63">
                    <c:v>Apr</c:v>
                  </c:pt>
                  <c:pt idx="64">
                    <c:v>May</c:v>
                  </c:pt>
                  <c:pt idx="65">
                    <c:v>Jun</c:v>
                  </c:pt>
                  <c:pt idx="66">
                    <c:v>Jul</c:v>
                  </c:pt>
                  <c:pt idx="67">
                    <c:v>Aug</c:v>
                  </c:pt>
                  <c:pt idx="68">
                    <c:v>Sep</c:v>
                  </c:pt>
                  <c:pt idx="69">
                    <c:v>Oct</c:v>
                  </c:pt>
                  <c:pt idx="70">
                    <c:v>Nov</c:v>
                  </c:pt>
                  <c:pt idx="71">
                    <c:v>Dec</c:v>
                  </c:pt>
                  <c:pt idx="72">
                    <c:v>Jan</c:v>
                  </c:pt>
                  <c:pt idx="73">
                    <c:v>Feb</c:v>
                  </c:pt>
                  <c:pt idx="74">
                    <c:v>Mar</c:v>
                  </c:pt>
                  <c:pt idx="75">
                    <c:v>Apr</c:v>
                  </c:pt>
                  <c:pt idx="76">
                    <c:v>May</c:v>
                  </c:pt>
                  <c:pt idx="77">
                    <c:v>Jun</c:v>
                  </c:pt>
                  <c:pt idx="78">
                    <c:v>Jul</c:v>
                  </c:pt>
                  <c:pt idx="79">
                    <c:v>Aug</c:v>
                  </c:pt>
                  <c:pt idx="80">
                    <c:v>Sep</c:v>
                  </c:pt>
                  <c:pt idx="81">
                    <c:v>Oct</c:v>
                  </c:pt>
                  <c:pt idx="82">
                    <c:v>Nov</c:v>
                  </c:pt>
                  <c:pt idx="83">
                    <c:v>Dec</c:v>
                  </c:pt>
                  <c:pt idx="84">
                    <c:v>Jan</c:v>
                  </c:pt>
                  <c:pt idx="85">
                    <c:v>Feb</c:v>
                  </c:pt>
                  <c:pt idx="86">
                    <c:v>Mar</c:v>
                  </c:pt>
                  <c:pt idx="87">
                    <c:v>Apr</c:v>
                  </c:pt>
                  <c:pt idx="88">
                    <c:v>May</c:v>
                  </c:pt>
                  <c:pt idx="89">
                    <c:v>Jun</c:v>
                  </c:pt>
                  <c:pt idx="90">
                    <c:v>Jul</c:v>
                  </c:pt>
                  <c:pt idx="91">
                    <c:v>Aug</c:v>
                  </c:pt>
                  <c:pt idx="92">
                    <c:v>Sep</c:v>
                  </c:pt>
                  <c:pt idx="93">
                    <c:v>Oct</c:v>
                  </c:pt>
                  <c:pt idx="94">
                    <c:v>Nov</c:v>
                  </c:pt>
                  <c:pt idx="95">
                    <c:v>Dec</c:v>
                  </c:pt>
                  <c:pt idx="96">
                    <c:v>Jan</c:v>
                  </c:pt>
                  <c:pt idx="97">
                    <c:v>Feb</c:v>
                  </c:pt>
                </c:lvl>
                <c:lvl>
                  <c:pt idx="0">
                    <c:v>2010</c:v>
                  </c:pt>
                  <c:pt idx="12">
                    <c:v>2011</c:v>
                  </c:pt>
                  <c:pt idx="24">
                    <c:v>2012</c:v>
                  </c:pt>
                  <c:pt idx="36">
                    <c:v>2013</c:v>
                  </c:pt>
                  <c:pt idx="48">
                    <c:v>2014</c:v>
                  </c:pt>
                  <c:pt idx="60">
                    <c:v>2015</c:v>
                  </c:pt>
                  <c:pt idx="72">
                    <c:v>2016</c:v>
                  </c:pt>
                  <c:pt idx="84">
                    <c:v>2017</c:v>
                  </c:pt>
                  <c:pt idx="96">
                    <c:v>2018</c:v>
                  </c:pt>
                </c:lvl>
              </c:multiLvlStrCache>
            </c:multiLvlStrRef>
          </c:cat>
          <c:val>
            <c:numRef>
              <c:f>Total!$D$29:$D$126</c:f>
              <c:numCache>
                <c:formatCode>_(* #,##0_);_(* \(#,##0\);_(* "-"??_);_(@_)</c:formatCode>
                <c:ptCount val="98"/>
                <c:pt idx="0">
                  <c:v>41171224451.529999</c:v>
                </c:pt>
                <c:pt idx="1">
                  <c:v>43331380880.580002</c:v>
                </c:pt>
                <c:pt idx="2">
                  <c:v>36714521904.68</c:v>
                </c:pt>
                <c:pt idx="3">
                  <c:v>36544416365.050003</c:v>
                </c:pt>
                <c:pt idx="4">
                  <c:v>36336611081.309998</c:v>
                </c:pt>
                <c:pt idx="5">
                  <c:v>37643702495.970001</c:v>
                </c:pt>
                <c:pt idx="6">
                  <c:v>40829244339.580002</c:v>
                </c:pt>
                <c:pt idx="7">
                  <c:v>46909004959.040001</c:v>
                </c:pt>
                <c:pt idx="8">
                  <c:v>69384338986.350006</c:v>
                </c:pt>
                <c:pt idx="9">
                  <c:v>68963882096.149994</c:v>
                </c:pt>
                <c:pt idx="10">
                  <c:v>71397253151.929993</c:v>
                </c:pt>
                <c:pt idx="11">
                  <c:v>81193901238.820007</c:v>
                </c:pt>
                <c:pt idx="12">
                  <c:v>66493575674.870003</c:v>
                </c:pt>
                <c:pt idx="13">
                  <c:v>51211208108.309998</c:v>
                </c:pt>
                <c:pt idx="14">
                  <c:v>52478992160.580002</c:v>
                </c:pt>
                <c:pt idx="15">
                  <c:v>33088841042.959999</c:v>
                </c:pt>
                <c:pt idx="16">
                  <c:v>30964833391.43</c:v>
                </c:pt>
                <c:pt idx="17">
                  <c:v>34031377587.419998</c:v>
                </c:pt>
                <c:pt idx="18">
                  <c:v>30621365146.98</c:v>
                </c:pt>
                <c:pt idx="19">
                  <c:v>38171516998.550003</c:v>
                </c:pt>
                <c:pt idx="20">
                  <c:v>45345536322.599998</c:v>
                </c:pt>
                <c:pt idx="21">
                  <c:v>51265734201.440002</c:v>
                </c:pt>
                <c:pt idx="22">
                  <c:v>62641454659.599998</c:v>
                </c:pt>
                <c:pt idx="23">
                  <c:v>73851865080.610001</c:v>
                </c:pt>
                <c:pt idx="24">
                  <c:v>58331372757.360001</c:v>
                </c:pt>
                <c:pt idx="25">
                  <c:v>56063681559.919998</c:v>
                </c:pt>
                <c:pt idx="26">
                  <c:v>86317495811.419998</c:v>
                </c:pt>
                <c:pt idx="27">
                  <c:v>48073485668.580002</c:v>
                </c:pt>
                <c:pt idx="28">
                  <c:v>66663158668.949997</c:v>
                </c:pt>
                <c:pt idx="29">
                  <c:v>65107512378.209999</c:v>
                </c:pt>
                <c:pt idx="30">
                  <c:v>71798949000.600006</c:v>
                </c:pt>
                <c:pt idx="31">
                  <c:v>80246484071.139999</c:v>
                </c:pt>
                <c:pt idx="32">
                  <c:v>84049356738.059998</c:v>
                </c:pt>
                <c:pt idx="33">
                  <c:v>61818801001.650002</c:v>
                </c:pt>
                <c:pt idx="34">
                  <c:v>107252324964.50999</c:v>
                </c:pt>
                <c:pt idx="35">
                  <c:v>66763638723.230003</c:v>
                </c:pt>
                <c:pt idx="36">
                  <c:v>85482757320.820007</c:v>
                </c:pt>
                <c:pt idx="37">
                  <c:v>77430427923.440002</c:v>
                </c:pt>
                <c:pt idx="38">
                  <c:v>66573031434.919998</c:v>
                </c:pt>
                <c:pt idx="39">
                  <c:v>73548428684.190002</c:v>
                </c:pt>
                <c:pt idx="40">
                  <c:v>73509211252.020004</c:v>
                </c:pt>
                <c:pt idx="41">
                  <c:v>66542000148.940002</c:v>
                </c:pt>
                <c:pt idx="42">
                  <c:v>71866974614.360001</c:v>
                </c:pt>
                <c:pt idx="43">
                  <c:v>65043206114.970001</c:v>
                </c:pt>
                <c:pt idx="44">
                  <c:v>52117579911.449997</c:v>
                </c:pt>
                <c:pt idx="45">
                  <c:v>47175834172.419998</c:v>
                </c:pt>
                <c:pt idx="46">
                  <c:v>38757040631.290001</c:v>
                </c:pt>
                <c:pt idx="47">
                  <c:v>37790142776.290001</c:v>
                </c:pt>
                <c:pt idx="48">
                  <c:v>28108964119.139999</c:v>
                </c:pt>
                <c:pt idx="49">
                  <c:v>27585216807.849998</c:v>
                </c:pt>
                <c:pt idx="50">
                  <c:v>23463509422.790001</c:v>
                </c:pt>
                <c:pt idx="51">
                  <c:v>27198516722.27</c:v>
                </c:pt>
                <c:pt idx="52">
                  <c:v>27487631130.209999</c:v>
                </c:pt>
                <c:pt idx="53">
                  <c:v>31582304306.349998</c:v>
                </c:pt>
                <c:pt idx="54">
                  <c:v>36447478522.989998</c:v>
                </c:pt>
                <c:pt idx="55">
                  <c:v>34332054961.080002</c:v>
                </c:pt>
                <c:pt idx="56">
                  <c:v>40347506692.199997</c:v>
                </c:pt>
                <c:pt idx="57">
                  <c:v>40323740351.139999</c:v>
                </c:pt>
                <c:pt idx="58">
                  <c:v>32492729674.279999</c:v>
                </c:pt>
                <c:pt idx="59">
                  <c:v>44253011751.110001</c:v>
                </c:pt>
                <c:pt idx="60">
                  <c:v>36980630899.18</c:v>
                </c:pt>
                <c:pt idx="61">
                  <c:v>36583983679.550003</c:v>
                </c:pt>
                <c:pt idx="62">
                  <c:v>44361653084.169998</c:v>
                </c:pt>
                <c:pt idx="63">
                  <c:v>51181167313.550003</c:v>
                </c:pt>
                <c:pt idx="64">
                  <c:v>44756506739.489998</c:v>
                </c:pt>
                <c:pt idx="65">
                  <c:v>46670102078.379997</c:v>
                </c:pt>
                <c:pt idx="66">
                  <c:v>46808897996.93</c:v>
                </c:pt>
                <c:pt idx="67">
                  <c:v>39123218043.230003</c:v>
                </c:pt>
                <c:pt idx="68">
                  <c:v>44989151670.82</c:v>
                </c:pt>
                <c:pt idx="69">
                  <c:v>41324740804.440002</c:v>
                </c:pt>
                <c:pt idx="70">
                  <c:v>28933538589.34</c:v>
                </c:pt>
                <c:pt idx="71">
                  <c:v>39048100886.419998</c:v>
                </c:pt>
                <c:pt idx="72">
                  <c:v>38841439178.620003</c:v>
                </c:pt>
                <c:pt idx="73">
                  <c:v>30561761942.720001</c:v>
                </c:pt>
                <c:pt idx="74">
                  <c:v>39928859384.089996</c:v>
                </c:pt>
                <c:pt idx="75">
                  <c:v>44861340063.169998</c:v>
                </c:pt>
                <c:pt idx="76">
                  <c:v>45906379388.75</c:v>
                </c:pt>
                <c:pt idx="77">
                  <c:v>49117830558.220001</c:v>
                </c:pt>
                <c:pt idx="78">
                  <c:v>52311053156.260002</c:v>
                </c:pt>
                <c:pt idx="79">
                  <c:v>57044014480.900002</c:v>
                </c:pt>
                <c:pt idx="80">
                  <c:v>69331875300.940002</c:v>
                </c:pt>
                <c:pt idx="81">
                  <c:v>64923288102.650002</c:v>
                </c:pt>
                <c:pt idx="82">
                  <c:v>50811667455.550003</c:v>
                </c:pt>
                <c:pt idx="83">
                  <c:v>73723457954.979996</c:v>
                </c:pt>
                <c:pt idx="84">
                  <c:v>60537959937.75</c:v>
                </c:pt>
                <c:pt idx="85">
                  <c:v>38882414534.349998</c:v>
                </c:pt>
                <c:pt idx="86">
                  <c:v>40227507805.220001</c:v>
                </c:pt>
                <c:pt idx="87">
                  <c:v>39121645033.209999</c:v>
                </c:pt>
                <c:pt idx="88">
                  <c:v>40884230923.849998</c:v>
                </c:pt>
                <c:pt idx="89">
                  <c:v>45930097727.129997</c:v>
                </c:pt>
                <c:pt idx="90">
                  <c:v>48069262760.199997</c:v>
                </c:pt>
                <c:pt idx="91">
                  <c:v>50293300903.110001</c:v>
                </c:pt>
                <c:pt idx="92">
                  <c:v>50305498337.550003</c:v>
                </c:pt>
                <c:pt idx="93">
                  <c:v>44313636666.349998</c:v>
                </c:pt>
                <c:pt idx="94">
                  <c:v>46341564366.980003</c:v>
                </c:pt>
                <c:pt idx="95">
                  <c:v>50284273806.300003</c:v>
                </c:pt>
                <c:pt idx="96">
                  <c:v>49447352294.730003</c:v>
                </c:pt>
                <c:pt idx="97">
                  <c:v>42309141581.769997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37816"/>
        <c:axId val="297637424"/>
      </c:lineChart>
      <c:catAx>
        <c:axId val="297636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97637032"/>
        <c:crosses val="autoZero"/>
        <c:auto val="1"/>
        <c:lblAlgn val="ctr"/>
        <c:lblOffset val="100"/>
        <c:noMultiLvlLbl val="0"/>
      </c:catAx>
      <c:valAx>
        <c:axId val="297637032"/>
        <c:scaling>
          <c:orientation val="minMax"/>
          <c:min val="25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Employment (Thousands)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97636640"/>
        <c:crosses val="autoZero"/>
        <c:crossBetween val="between"/>
      </c:valAx>
      <c:valAx>
        <c:axId val="2976374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/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297637816"/>
        <c:crosses val="max"/>
        <c:crossBetween val="between"/>
        <c:dispUnits>
          <c:builtInUnit val="billions"/>
        </c:dispUnits>
      </c:valAx>
      <c:catAx>
        <c:axId val="297637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7637424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57150</xdr:colOff>
      <xdr:row>5</xdr:row>
      <xdr:rowOff>28576</xdr:rowOff>
    </xdr:from>
    <xdr:to>
      <xdr:col>24</xdr:col>
      <xdr:colOff>0</xdr:colOff>
      <xdr:row>7</xdr:row>
      <xdr:rowOff>0</xdr:rowOff>
    </xdr:to>
    <xdr:sp macro="[0]!RunMortgageBankEmploymentReport" textlink="">
      <xdr:nvSpPr>
        <xdr:cNvPr id="2" name="Rounded Rectangle 1"/>
        <xdr:cNvSpPr/>
      </xdr:nvSpPr>
      <xdr:spPr>
        <a:xfrm>
          <a:off x="1646872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24</xdr:col>
      <xdr:colOff>276226</xdr:colOff>
      <xdr:row>5</xdr:row>
      <xdr:rowOff>28576</xdr:rowOff>
    </xdr:from>
    <xdr:to>
      <xdr:col>26</xdr:col>
      <xdr:colOff>47626</xdr:colOff>
      <xdr:row>7</xdr:row>
      <xdr:rowOff>0</xdr:rowOff>
    </xdr:to>
    <xdr:sp macro="[4]!CreatePDFReport" textlink="">
      <xdr:nvSpPr>
        <xdr:cNvPr id="3" name="Rounded Rectangle 2"/>
        <xdr:cNvSpPr/>
      </xdr:nvSpPr>
      <xdr:spPr>
        <a:xfrm>
          <a:off x="1799272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15</xdr:col>
      <xdr:colOff>391583</xdr:colOff>
      <xdr:row>31</xdr:row>
      <xdr:rowOff>179916</xdr:rowOff>
    </xdr:from>
    <xdr:to>
      <xdr:col>18</xdr:col>
      <xdr:colOff>151340</xdr:colOff>
      <xdr:row>33</xdr:row>
      <xdr:rowOff>10583</xdr:rowOff>
    </xdr:to>
    <xdr:sp macro="" textlink="">
      <xdr:nvSpPr>
        <xdr:cNvPr id="4" name="TextBox 3"/>
        <xdr:cNvSpPr txBox="1"/>
      </xdr:nvSpPr>
      <xdr:spPr>
        <a:xfrm>
          <a:off x="11631083" y="6159499"/>
          <a:ext cx="2003424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Source:  Bureau of Labor Statistics</a:t>
          </a:r>
        </a:p>
      </xdr:txBody>
    </xdr:sp>
    <xdr:clientData/>
  </xdr:twoCellAnchor>
  <xdr:twoCellAnchor>
    <xdr:from>
      <xdr:col>22</xdr:col>
      <xdr:colOff>438150</xdr:colOff>
      <xdr:row>7</xdr:row>
      <xdr:rowOff>66674</xdr:rowOff>
    </xdr:from>
    <xdr:to>
      <xdr:col>25</xdr:col>
      <xdr:colOff>304800</xdr:colOff>
      <xdr:row>24</xdr:row>
      <xdr:rowOff>180975</xdr:rowOff>
    </xdr:to>
    <xdr:sp macro="" textlink="">
      <xdr:nvSpPr>
        <xdr:cNvPr id="8" name="TextBox 7"/>
        <xdr:cNvSpPr txBox="1"/>
      </xdr:nvSpPr>
      <xdr:spPr>
        <a:xfrm>
          <a:off x="16240125" y="1781174"/>
          <a:ext cx="4686300" cy="34290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12. Mortgage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Bank Employment</a:t>
          </a:r>
          <a:endParaRPr lang="en-US" sz="11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http://www.bls.gov/data/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Employment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Monthly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Employment, Hours, and Earnings - National</a:t>
          </a:r>
          <a:r>
            <a:rPr lang="en-US"/>
            <a:t/>
          </a:r>
          <a:br>
            <a:rPr lang="en-US"/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(Current Employment Statistics - CES)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One Screen Data Search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Mortgage and nonmortgage loan brokers: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CEU5552231001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Real estate credit: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CEU5552229201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/>
            <a:t>Not Seasonally Adjusted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5.12E+10</a:t>
          </a:r>
          <a:r>
            <a:rPr lang="en-US"/>
            <a:t>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Issue Amount from:</a:t>
          </a:r>
          <a:r>
            <a:rPr lang="en-US" sz="1100" baseline="0"/>
            <a:t> 5.Market Concentration Master.xlsm</a:t>
          </a:r>
          <a:endParaRPr lang="en-US" sz="1100"/>
        </a:p>
      </xdr:txBody>
    </xdr:sp>
    <xdr:clientData/>
  </xdr:twoCellAnchor>
  <xdr:twoCellAnchor>
    <xdr:from>
      <xdr:col>3</xdr:col>
      <xdr:colOff>21167</xdr:colOff>
      <xdr:row>8</xdr:row>
      <xdr:rowOff>84667</xdr:rowOff>
    </xdr:from>
    <xdr:to>
      <xdr:col>18</xdr:col>
      <xdr:colOff>291042</xdr:colOff>
      <xdr:row>31</xdr:row>
      <xdr:rowOff>158751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5.Market%20Concentration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ien%20Workspace\01.Work%20Progress%20Documents\12.Mortgage%20Bank%20Employment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  <row r="5">
          <cell r="C5">
            <v>4.147E-2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Result Combine"/>
      <sheetName val="Result-lag"/>
      <sheetName val="Pivot - lag"/>
      <sheetName val="Input-lag"/>
      <sheetName val="Pivot equal"/>
      <sheetName val="Input-equal"/>
    </sheetNames>
    <sheetDataSet>
      <sheetData sheetId="0">
        <row r="12">
          <cell r="U12">
            <v>40695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otal"/>
      <sheetName val="Mortgage loan brokers"/>
      <sheetName val="Real estate credit"/>
      <sheetName val="Issue Amount"/>
      <sheetName val="Sheet1"/>
      <sheetName val="12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71">
    <queryTableFields count="2">
      <queryTableField id="57" name="asOf" tableColumnId="2"/>
      <queryTableField id="58" name="TotalBalan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urrentMtgRatesDataTable934" displayName="CurrentMtgRatesDataTable934" ref="K1:L133" tableType="queryTable" totalsRowShown="0" headerRowDxfId="3" dataDxfId="2">
  <tableColumns count="2">
    <tableColumn id="2" uniqueName="2" name="asOf" queryTableFieldId="57" dataDxfId="1"/>
    <tableColumn id="3" uniqueName="3" name="TotalBalance" queryTableFieldId="58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E1:Z56"/>
  <sheetViews>
    <sheetView showGridLines="0" tabSelected="1" topLeftCell="C1" zoomScale="90" zoomScaleNormal="90" workbookViewId="0">
      <selection activeCell="N61" sqref="N61"/>
    </sheetView>
  </sheetViews>
  <sheetFormatPr defaultRowHeight="15"/>
  <cols>
    <col min="1" max="1" width="9.140625" customWidth="1"/>
    <col min="3" max="3" width="9.140625" customWidth="1"/>
    <col min="4" max="16" width="11.7109375" customWidth="1"/>
    <col min="17" max="18" width="11" customWidth="1"/>
    <col min="19" max="21" width="12.7109375" customWidth="1"/>
    <col min="22" max="22" width="7.7109375" customWidth="1"/>
    <col min="23" max="23" width="11.85546875" bestFit="1" customWidth="1"/>
    <col min="24" max="24" width="19.5703125" customWidth="1"/>
    <col min="25" max="25" width="40.85546875" bestFit="1" customWidth="1"/>
    <col min="26" max="26" width="14.85546875" bestFit="1" customWidth="1"/>
  </cols>
  <sheetData>
    <row r="1" spans="10:26">
      <c r="W1" s="3" t="s">
        <v>12</v>
      </c>
      <c r="X1" s="13" t="s">
        <v>18</v>
      </c>
      <c r="Y1" t="s">
        <v>13</v>
      </c>
      <c r="Z1" s="4" t="s">
        <v>16</v>
      </c>
    </row>
    <row r="2" spans="10:26">
      <c r="W2" s="3" t="s">
        <v>14</v>
      </c>
      <c r="X2" s="5">
        <v>42859</v>
      </c>
    </row>
    <row r="3" spans="10:26">
      <c r="W3" s="3" t="s">
        <v>17</v>
      </c>
      <c r="X3" s="13" t="s">
        <v>19</v>
      </c>
    </row>
    <row r="4" spans="10:26">
      <c r="W4" s="3" t="s">
        <v>15</v>
      </c>
      <c r="X4" s="13" t="str">
        <f>PDFReportDir &amp; "MortgageBankEmployment " &amp; TEXT(CurrentCloseDate, "yyyy-mm-dd") &amp; ".pdf"</f>
        <v>S:\IT\Production\Daily Reports\Primary Market\tmp\MortgageBankEmployment 2017-05-04.pdf</v>
      </c>
    </row>
    <row r="5" spans="10:26">
      <c r="W5" s="6"/>
    </row>
    <row r="6" spans="10:26">
      <c r="W6" s="6"/>
    </row>
    <row r="7" spans="10:26">
      <c r="W7" s="6"/>
    </row>
    <row r="8" spans="10:26">
      <c r="W8" s="6"/>
    </row>
    <row r="10" spans="10:26" ht="13.5" customHeight="1"/>
    <row r="12" spans="10:26" s="1" customFormat="1" ht="18" customHeight="1">
      <c r="J12"/>
      <c r="K12"/>
      <c r="L12"/>
      <c r="M12"/>
      <c r="N12"/>
      <c r="O12"/>
      <c r="P12"/>
      <c r="Q12"/>
      <c r="R12"/>
      <c r="S12"/>
      <c r="T12"/>
    </row>
    <row r="13" spans="10:26" s="2" customFormat="1" ht="19.5" customHeight="1">
      <c r="J13"/>
      <c r="K13"/>
      <c r="L13"/>
      <c r="M13"/>
      <c r="N13"/>
      <c r="O13"/>
      <c r="P13"/>
      <c r="Q13"/>
      <c r="R13"/>
      <c r="S13"/>
      <c r="T13"/>
    </row>
    <row r="14" spans="10:26" s="2" customFormat="1">
      <c r="J14"/>
      <c r="K14"/>
      <c r="L14"/>
      <c r="M14"/>
      <c r="N14"/>
      <c r="O14"/>
      <c r="P14"/>
      <c r="Q14"/>
      <c r="R14"/>
      <c r="S14"/>
      <c r="T14"/>
    </row>
    <row r="15" spans="10:26" s="2" customFormat="1">
      <c r="J15"/>
      <c r="K15"/>
      <c r="L15"/>
      <c r="M15"/>
      <c r="N15"/>
      <c r="O15"/>
      <c r="P15"/>
      <c r="Q15"/>
      <c r="R15"/>
      <c r="S15"/>
      <c r="T15"/>
    </row>
    <row r="16" spans="10:26" s="2" customFormat="1">
      <c r="J16"/>
      <c r="K16"/>
      <c r="L16"/>
      <c r="M16"/>
      <c r="N16"/>
      <c r="O16"/>
      <c r="P16"/>
      <c r="Q16"/>
      <c r="R16"/>
      <c r="S16"/>
      <c r="T16"/>
    </row>
    <row r="17" spans="10:20" s="2" customFormat="1">
      <c r="J17"/>
      <c r="K17"/>
      <c r="L17"/>
      <c r="M17"/>
      <c r="N17"/>
      <c r="O17"/>
      <c r="P17"/>
      <c r="Q17"/>
      <c r="R17"/>
      <c r="S17"/>
      <c r="T17"/>
    </row>
    <row r="18" spans="10:20" s="2" customFormat="1">
      <c r="J18"/>
      <c r="K18"/>
      <c r="L18"/>
      <c r="M18"/>
      <c r="N18"/>
      <c r="O18"/>
      <c r="P18"/>
      <c r="Q18"/>
      <c r="R18"/>
      <c r="S18"/>
      <c r="T18"/>
    </row>
    <row r="19" spans="10:20" s="2" customFormat="1">
      <c r="J19"/>
      <c r="K19"/>
      <c r="L19"/>
      <c r="M19"/>
      <c r="N19"/>
      <c r="O19"/>
      <c r="P19"/>
      <c r="Q19"/>
      <c r="R19"/>
      <c r="S19"/>
      <c r="T19"/>
    </row>
    <row r="20" spans="10:20" s="2" customFormat="1">
      <c r="J20"/>
      <c r="K20"/>
      <c r="L20"/>
      <c r="M20"/>
      <c r="N20"/>
      <c r="O20"/>
      <c r="P20"/>
      <c r="Q20"/>
      <c r="R20"/>
      <c r="S20"/>
      <c r="T20"/>
    </row>
    <row r="21" spans="10:20" s="2" customFormat="1">
      <c r="J21"/>
      <c r="K21"/>
      <c r="L21"/>
      <c r="M21"/>
      <c r="N21"/>
      <c r="O21"/>
      <c r="P21"/>
      <c r="Q21"/>
      <c r="R21"/>
      <c r="S21"/>
      <c r="T21"/>
    </row>
    <row r="22" spans="10:20" s="2" customFormat="1">
      <c r="J22"/>
      <c r="K22"/>
      <c r="L22"/>
      <c r="M22"/>
      <c r="N22"/>
      <c r="O22"/>
      <c r="P22"/>
      <c r="Q22"/>
      <c r="R22"/>
      <c r="S22"/>
      <c r="T22"/>
    </row>
    <row r="23" spans="10:20" s="2" customFormat="1">
      <c r="J23"/>
      <c r="K23"/>
      <c r="L23"/>
      <c r="M23"/>
      <c r="N23"/>
      <c r="O23"/>
      <c r="P23"/>
      <c r="Q23"/>
      <c r="R23"/>
      <c r="S23"/>
      <c r="T23"/>
    </row>
    <row r="33" spans="5:21" s="26" customFormat="1">
      <c r="E33" s="26" t="s">
        <v>41</v>
      </c>
    </row>
    <row r="34" spans="5:21">
      <c r="E34" s="41" t="s">
        <v>45</v>
      </c>
    </row>
    <row r="35" spans="5:21" ht="15.75" customHeight="1">
      <c r="E35" s="11" t="s">
        <v>39</v>
      </c>
      <c r="F35" s="11"/>
      <c r="G35" s="11"/>
      <c r="H35" s="11"/>
      <c r="I35" s="11"/>
      <c r="J35" s="11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5:21">
      <c r="E36" s="23" t="s">
        <v>35</v>
      </c>
      <c r="F36" s="24" t="s">
        <v>0</v>
      </c>
      <c r="G36" s="24" t="s">
        <v>11</v>
      </c>
      <c r="H36" s="24" t="s">
        <v>10</v>
      </c>
      <c r="I36" s="24" t="s">
        <v>9</v>
      </c>
      <c r="J36" s="24" t="s">
        <v>8</v>
      </c>
      <c r="K36" s="24" t="s">
        <v>7</v>
      </c>
      <c r="L36" s="24" t="s">
        <v>6</v>
      </c>
      <c r="M36" s="24" t="s">
        <v>5</v>
      </c>
      <c r="N36" s="24" t="s">
        <v>4</v>
      </c>
      <c r="O36" s="24" t="s">
        <v>3</v>
      </c>
      <c r="P36" s="24" t="s">
        <v>2</v>
      </c>
      <c r="Q36" s="24" t="s">
        <v>1</v>
      </c>
    </row>
    <row r="37" spans="5:21" hidden="1">
      <c r="E37" s="23">
        <v>2010</v>
      </c>
      <c r="F37" s="25">
        <f>Total!B18</f>
        <v>258.5</v>
      </c>
      <c r="G37" s="25">
        <f>Total!C18</f>
        <v>263.60000000000002</v>
      </c>
      <c r="H37" s="25">
        <f>Total!D18</f>
        <v>264</v>
      </c>
      <c r="I37" s="25">
        <f>Total!E18</f>
        <v>262.89999999999998</v>
      </c>
      <c r="J37" s="25">
        <f>Total!F18</f>
        <v>263.39999999999998</v>
      </c>
      <c r="K37" s="25">
        <f>Total!G18</f>
        <v>263.8</v>
      </c>
      <c r="L37" s="25">
        <f>Total!H18</f>
        <v>270</v>
      </c>
      <c r="M37" s="25">
        <f>Total!I18</f>
        <v>270.8</v>
      </c>
      <c r="N37" s="25">
        <f>Total!J18</f>
        <v>273.8</v>
      </c>
      <c r="O37" s="25">
        <f>Total!K18</f>
        <v>278.10000000000002</v>
      </c>
      <c r="P37" s="25">
        <f>Total!L18</f>
        <v>279.5</v>
      </c>
      <c r="Q37" s="25">
        <f>Total!M18</f>
        <v>280.3</v>
      </c>
      <c r="S37" s="7"/>
      <c r="T37" s="8"/>
    </row>
    <row r="38" spans="5:21" hidden="1">
      <c r="E38" s="23">
        <v>2011</v>
      </c>
      <c r="F38" s="25">
        <f>Total!B19</f>
        <v>272.39999999999998</v>
      </c>
      <c r="G38" s="25">
        <f>Total!C19</f>
        <v>272.8</v>
      </c>
      <c r="H38" s="25">
        <f>Total!D19</f>
        <v>272.10000000000002</v>
      </c>
      <c r="I38" s="25">
        <f>Total!E19</f>
        <v>265.8</v>
      </c>
      <c r="J38" s="25">
        <f>Total!F19</f>
        <v>268.7</v>
      </c>
      <c r="K38" s="25">
        <f>Total!G19</f>
        <v>265.5</v>
      </c>
      <c r="L38" s="25">
        <f>Total!H19</f>
        <v>262.60000000000002</v>
      </c>
      <c r="M38" s="25">
        <f>Total!I19</f>
        <v>259.39999999999998</v>
      </c>
      <c r="N38" s="25">
        <f>Total!J19</f>
        <v>259.39999999999998</v>
      </c>
      <c r="O38" s="25">
        <f>Total!K19</f>
        <v>259.8</v>
      </c>
      <c r="P38" s="25">
        <f>Total!L19</f>
        <v>261.89999999999998</v>
      </c>
      <c r="Q38" s="25">
        <f>Total!M19</f>
        <v>261.3</v>
      </c>
      <c r="T38" s="9"/>
      <c r="U38" s="8"/>
    </row>
    <row r="39" spans="5:21">
      <c r="E39" s="23">
        <v>2012</v>
      </c>
      <c r="F39" s="25">
        <f>Total!B20</f>
        <v>257.7</v>
      </c>
      <c r="G39" s="25">
        <f>Total!C20</f>
        <v>260</v>
      </c>
      <c r="H39" s="25">
        <f>Total!D20</f>
        <v>262.3</v>
      </c>
      <c r="I39" s="25">
        <f>Total!E20</f>
        <v>263.3</v>
      </c>
      <c r="J39" s="25">
        <f>Total!F20</f>
        <v>266.7</v>
      </c>
      <c r="K39" s="25">
        <f>Total!G20</f>
        <v>275.3</v>
      </c>
      <c r="L39" s="25">
        <f>Total!H20</f>
        <v>278.60000000000002</v>
      </c>
      <c r="M39" s="25">
        <f>Total!I20</f>
        <v>284</v>
      </c>
      <c r="N39" s="25">
        <f>Total!J20</f>
        <v>288.39999999999998</v>
      </c>
      <c r="O39" s="25">
        <f>Total!K20</f>
        <v>289.8</v>
      </c>
      <c r="P39" s="25">
        <f>Total!L20</f>
        <v>293.89999999999998</v>
      </c>
      <c r="Q39" s="25">
        <f>Total!M20</f>
        <v>297.60000000000002</v>
      </c>
      <c r="T39" s="9"/>
      <c r="U39" s="8"/>
    </row>
    <row r="40" spans="5:21">
      <c r="E40" s="23">
        <v>2013</v>
      </c>
      <c r="F40" s="25">
        <f>Total!B21</f>
        <v>295.5</v>
      </c>
      <c r="G40" s="25">
        <f>Total!C21</f>
        <v>297.7</v>
      </c>
      <c r="H40" s="25">
        <f>Total!D21</f>
        <v>301.10000000000002</v>
      </c>
      <c r="I40" s="25">
        <f>Total!E21</f>
        <v>303.7</v>
      </c>
      <c r="J40" s="25">
        <f>Total!F21</f>
        <v>303.39999999999998</v>
      </c>
      <c r="K40" s="25">
        <f>Total!G21</f>
        <v>305</v>
      </c>
      <c r="L40" s="25">
        <f>Total!H21</f>
        <v>305.2</v>
      </c>
      <c r="M40" s="25">
        <f>Total!I21</f>
        <v>300.39999999999998</v>
      </c>
      <c r="N40" s="25">
        <f>Total!J21</f>
        <v>294.3</v>
      </c>
      <c r="O40" s="25">
        <f>Total!K21</f>
        <v>292.2</v>
      </c>
      <c r="P40" s="25">
        <f>Total!L21</f>
        <v>290.3</v>
      </c>
      <c r="Q40" s="25">
        <f>Total!M21</f>
        <v>287.39999999999998</v>
      </c>
      <c r="T40" s="9"/>
      <c r="U40" s="10"/>
    </row>
    <row r="41" spans="5:21">
      <c r="E41" s="23">
        <v>2014</v>
      </c>
      <c r="F41" s="25">
        <f>Total!B22</f>
        <v>279.79999999999995</v>
      </c>
      <c r="G41" s="25">
        <f>Total!C22</f>
        <v>278</v>
      </c>
      <c r="H41" s="25">
        <f>Total!D22</f>
        <v>273.10000000000002</v>
      </c>
      <c r="I41" s="25">
        <f>Total!E22</f>
        <v>273.5</v>
      </c>
      <c r="J41" s="25">
        <f>Total!F22</f>
        <v>274.5</v>
      </c>
      <c r="K41" s="25">
        <f>Total!G22</f>
        <v>277.5</v>
      </c>
      <c r="L41" s="25">
        <f>Total!H22</f>
        <v>280.89999999999998</v>
      </c>
      <c r="M41" s="25">
        <f>Total!I22</f>
        <v>280.8</v>
      </c>
      <c r="N41" s="25">
        <f>Total!J22</f>
        <v>283.60000000000002</v>
      </c>
      <c r="O41" s="25">
        <f>Total!K22</f>
        <v>284</v>
      </c>
      <c r="P41" s="25">
        <f>Total!L22</f>
        <v>287.79999999999995</v>
      </c>
      <c r="Q41" s="25">
        <f>Total!M22</f>
        <v>288.10000000000002</v>
      </c>
    </row>
    <row r="42" spans="5:21">
      <c r="E42" s="23">
        <v>2015</v>
      </c>
      <c r="F42" s="25">
        <f>Total!B23</f>
        <v>282.8</v>
      </c>
      <c r="G42" s="25">
        <f>Total!C23</f>
        <v>283.8</v>
      </c>
      <c r="H42" s="25">
        <f>Total!D23</f>
        <v>285.8</v>
      </c>
      <c r="I42" s="25">
        <f>Total!E23</f>
        <v>288.60000000000002</v>
      </c>
      <c r="J42" s="25">
        <f>Total!F23</f>
        <v>292.8</v>
      </c>
      <c r="K42" s="25">
        <f>Total!G23</f>
        <v>297.5</v>
      </c>
      <c r="L42" s="25">
        <f>Total!H23</f>
        <v>301.89999999999998</v>
      </c>
      <c r="M42" s="25">
        <f>Total!I23</f>
        <v>303.89999999999998</v>
      </c>
      <c r="N42" s="25">
        <f>Total!J23</f>
        <v>306.39999999999998</v>
      </c>
      <c r="O42" s="25">
        <f>Total!K23</f>
        <v>306.7</v>
      </c>
      <c r="P42" s="25">
        <f>Total!L23</f>
        <v>307.3</v>
      </c>
      <c r="Q42" s="25">
        <f>Total!M23</f>
        <v>307.8</v>
      </c>
    </row>
    <row r="43" spans="5:21">
      <c r="E43" s="23">
        <v>2016</v>
      </c>
      <c r="F43" s="25">
        <f>Total!B24</f>
        <v>306.5</v>
      </c>
      <c r="G43" s="25">
        <f>Total!C24</f>
        <v>305.20000000000005</v>
      </c>
      <c r="H43" s="25">
        <f>Total!D24</f>
        <v>307.5</v>
      </c>
      <c r="I43" s="25">
        <f>Total!E24</f>
        <v>309.89999999999998</v>
      </c>
      <c r="J43" s="25">
        <f>Total!F24</f>
        <v>310.10000000000002</v>
      </c>
      <c r="K43" s="25">
        <f>Total!G24</f>
        <v>316</v>
      </c>
      <c r="L43" s="25">
        <f>Total!H24</f>
        <v>321.10000000000002</v>
      </c>
      <c r="M43" s="25">
        <f>Total!I24</f>
        <v>322.10000000000002</v>
      </c>
      <c r="N43" s="25">
        <f>Total!J24</f>
        <v>324.60000000000002</v>
      </c>
      <c r="O43" s="25">
        <f>Total!K24</f>
        <v>327.3</v>
      </c>
      <c r="P43" s="25">
        <f>Total!L24</f>
        <v>331.3</v>
      </c>
      <c r="Q43" s="25">
        <f>Total!M24</f>
        <v>334.7</v>
      </c>
    </row>
    <row r="44" spans="5:21" s="44" customFormat="1">
      <c r="E44" s="23">
        <v>2017</v>
      </c>
      <c r="F44" s="25">
        <f>Total!C113</f>
        <v>331.6</v>
      </c>
      <c r="G44" s="25">
        <f>Total!C114</f>
        <v>330</v>
      </c>
      <c r="H44" s="25">
        <f>Total!C115</f>
        <v>331.5</v>
      </c>
      <c r="I44" s="25">
        <f>Total!C116</f>
        <v>332.1</v>
      </c>
      <c r="J44" s="25">
        <f>Total!C117</f>
        <v>334.3</v>
      </c>
      <c r="K44" s="25">
        <f>Total!C118</f>
        <v>339.6</v>
      </c>
      <c r="L44" s="25">
        <f>Total!C119</f>
        <v>339.1</v>
      </c>
      <c r="M44" s="25">
        <f>Total!C120</f>
        <v>341.9</v>
      </c>
      <c r="N44" s="25">
        <f>Total!C121</f>
        <v>340.3</v>
      </c>
      <c r="O44" s="25">
        <f>Total!C122</f>
        <v>339</v>
      </c>
      <c r="P44" s="25">
        <f>Total!C123</f>
        <v>338.8</v>
      </c>
      <c r="Q44" s="25">
        <f>Total!C124</f>
        <v>341.1</v>
      </c>
    </row>
    <row r="45" spans="5:21" s="49" customFormat="1">
      <c r="E45" s="23">
        <v>2018</v>
      </c>
      <c r="F45" s="25">
        <f>Total!C125</f>
        <v>337.29999999999995</v>
      </c>
      <c r="G45" s="25">
        <f>Total!C126</f>
        <v>339.5</v>
      </c>
      <c r="H45" s="25">
        <f>Total!C127</f>
        <v>337.4</v>
      </c>
      <c r="I45" s="25">
        <f>Total!C128</f>
        <v>337.70000000000005</v>
      </c>
      <c r="J45" s="25">
        <f>Total!C129</f>
        <v>341.5</v>
      </c>
      <c r="K45" s="25"/>
      <c r="L45" s="25"/>
      <c r="M45" s="25"/>
      <c r="N45" s="25"/>
      <c r="O45" s="25"/>
      <c r="P45" s="25"/>
      <c r="Q45" s="25"/>
    </row>
    <row r="46" spans="5:21" s="37" customFormat="1"/>
    <row r="47" spans="5:21">
      <c r="E47" s="11" t="s">
        <v>40</v>
      </c>
      <c r="F47" s="11"/>
      <c r="G47" s="11"/>
      <c r="H47" s="11"/>
      <c r="I47" s="11"/>
      <c r="J47" s="11"/>
      <c r="K47" s="12"/>
      <c r="L47" s="12"/>
      <c r="M47" s="12"/>
      <c r="N47" s="12"/>
      <c r="O47" s="12"/>
      <c r="P47" s="12"/>
      <c r="Q47" s="12"/>
    </row>
    <row r="48" spans="5:21">
      <c r="E48" s="23" t="s">
        <v>35</v>
      </c>
      <c r="F48" s="24" t="s">
        <v>0</v>
      </c>
      <c r="G48" s="24" t="s">
        <v>11</v>
      </c>
      <c r="H48" s="24" t="s">
        <v>10</v>
      </c>
      <c r="I48" s="24" t="s">
        <v>9</v>
      </c>
      <c r="J48" s="24" t="s">
        <v>8</v>
      </c>
      <c r="K48" s="24" t="s">
        <v>7</v>
      </c>
      <c r="L48" s="24" t="s">
        <v>6</v>
      </c>
      <c r="M48" s="24" t="s">
        <v>5</v>
      </c>
      <c r="N48" s="24" t="s">
        <v>4</v>
      </c>
      <c r="O48" s="24" t="s">
        <v>3</v>
      </c>
      <c r="P48" s="24" t="s">
        <v>2</v>
      </c>
      <c r="Q48" s="24" t="s">
        <v>1</v>
      </c>
    </row>
    <row r="49" spans="5:17" hidden="1">
      <c r="E49" s="23">
        <v>2011</v>
      </c>
      <c r="F49" s="25">
        <f>F38-F37</f>
        <v>13.899999999999977</v>
      </c>
      <c r="G49" s="25">
        <f t="shared" ref="G49:Q49" si="0">G38-G37</f>
        <v>9.1999999999999886</v>
      </c>
      <c r="H49" s="25">
        <f t="shared" si="0"/>
        <v>8.1000000000000227</v>
      </c>
      <c r="I49" s="25">
        <f t="shared" si="0"/>
        <v>2.9000000000000341</v>
      </c>
      <c r="J49" s="25">
        <f t="shared" si="0"/>
        <v>5.3000000000000114</v>
      </c>
      <c r="K49" s="25">
        <f t="shared" si="0"/>
        <v>1.6999999999999886</v>
      </c>
      <c r="L49" s="25">
        <f t="shared" si="0"/>
        <v>-7.3999999999999773</v>
      </c>
      <c r="M49" s="25">
        <f t="shared" si="0"/>
        <v>-11.400000000000034</v>
      </c>
      <c r="N49" s="25">
        <f t="shared" si="0"/>
        <v>-14.400000000000034</v>
      </c>
      <c r="O49" s="25">
        <f t="shared" si="0"/>
        <v>-18.300000000000011</v>
      </c>
      <c r="P49" s="25">
        <f t="shared" si="0"/>
        <v>-17.600000000000023</v>
      </c>
      <c r="Q49" s="25">
        <f t="shared" si="0"/>
        <v>-19</v>
      </c>
    </row>
    <row r="50" spans="5:17" hidden="1">
      <c r="E50" s="23">
        <v>2012</v>
      </c>
      <c r="F50" s="25">
        <f t="shared" ref="F50:Q50" si="1">F39-F38</f>
        <v>-14.699999999999989</v>
      </c>
      <c r="G50" s="25">
        <f t="shared" si="1"/>
        <v>-12.800000000000011</v>
      </c>
      <c r="H50" s="25">
        <f t="shared" si="1"/>
        <v>-9.8000000000000114</v>
      </c>
      <c r="I50" s="25">
        <f t="shared" si="1"/>
        <v>-2.5</v>
      </c>
      <c r="J50" s="25">
        <f t="shared" si="1"/>
        <v>-2</v>
      </c>
      <c r="K50" s="25">
        <f t="shared" si="1"/>
        <v>9.8000000000000114</v>
      </c>
      <c r="L50" s="25">
        <f t="shared" si="1"/>
        <v>16</v>
      </c>
      <c r="M50" s="25">
        <f t="shared" si="1"/>
        <v>24.600000000000023</v>
      </c>
      <c r="N50" s="25">
        <f t="shared" si="1"/>
        <v>29</v>
      </c>
      <c r="O50" s="25">
        <f t="shared" si="1"/>
        <v>30</v>
      </c>
      <c r="P50" s="25">
        <f t="shared" si="1"/>
        <v>32</v>
      </c>
      <c r="Q50" s="25">
        <f t="shared" si="1"/>
        <v>36.300000000000011</v>
      </c>
    </row>
    <row r="51" spans="5:17">
      <c r="E51" s="23">
        <v>2013</v>
      </c>
      <c r="F51" s="25">
        <f t="shared" ref="F51:Q51" si="2">F40-F39</f>
        <v>37.800000000000011</v>
      </c>
      <c r="G51" s="25">
        <f t="shared" si="2"/>
        <v>37.699999999999989</v>
      </c>
      <c r="H51" s="25">
        <f t="shared" si="2"/>
        <v>38.800000000000011</v>
      </c>
      <c r="I51" s="25">
        <f t="shared" si="2"/>
        <v>40.399999999999977</v>
      </c>
      <c r="J51" s="25">
        <f t="shared" si="2"/>
        <v>36.699999999999989</v>
      </c>
      <c r="K51" s="25">
        <f t="shared" si="2"/>
        <v>29.699999999999989</v>
      </c>
      <c r="L51" s="25">
        <f t="shared" si="2"/>
        <v>26.599999999999966</v>
      </c>
      <c r="M51" s="25">
        <f t="shared" si="2"/>
        <v>16.399999999999977</v>
      </c>
      <c r="N51" s="25">
        <f t="shared" si="2"/>
        <v>5.9000000000000341</v>
      </c>
      <c r="O51" s="25">
        <f t="shared" si="2"/>
        <v>2.3999999999999773</v>
      </c>
      <c r="P51" s="25">
        <f t="shared" si="2"/>
        <v>-3.5999999999999659</v>
      </c>
      <c r="Q51" s="25">
        <f t="shared" si="2"/>
        <v>-10.200000000000045</v>
      </c>
    </row>
    <row r="52" spans="5:17">
      <c r="E52" s="23">
        <v>2014</v>
      </c>
      <c r="F52" s="25">
        <f t="shared" ref="F52:Q53" si="3">F41-F40</f>
        <v>-15.700000000000045</v>
      </c>
      <c r="G52" s="25">
        <f t="shared" si="3"/>
        <v>-19.699999999999989</v>
      </c>
      <c r="H52" s="25">
        <f t="shared" si="3"/>
        <v>-28</v>
      </c>
      <c r="I52" s="25">
        <f t="shared" si="3"/>
        <v>-30.199999999999989</v>
      </c>
      <c r="J52" s="25">
        <f t="shared" si="3"/>
        <v>-28.899999999999977</v>
      </c>
      <c r="K52" s="25">
        <f t="shared" si="3"/>
        <v>-27.5</v>
      </c>
      <c r="L52" s="25">
        <f t="shared" si="3"/>
        <v>-24.300000000000011</v>
      </c>
      <c r="M52" s="25">
        <f t="shared" si="3"/>
        <v>-19.599999999999966</v>
      </c>
      <c r="N52" s="25">
        <f t="shared" si="3"/>
        <v>-10.699999999999989</v>
      </c>
      <c r="O52" s="25">
        <f t="shared" si="3"/>
        <v>-8.1999999999999886</v>
      </c>
      <c r="P52" s="25">
        <f t="shared" si="3"/>
        <v>-2.5000000000000568</v>
      </c>
      <c r="Q52" s="25">
        <f t="shared" si="3"/>
        <v>0.70000000000004547</v>
      </c>
    </row>
    <row r="53" spans="5:17">
      <c r="E53" s="23">
        <v>2015</v>
      </c>
      <c r="F53" s="25">
        <f t="shared" ref="F53:Q56" si="4">F42-F41</f>
        <v>3.0000000000000568</v>
      </c>
      <c r="G53" s="25">
        <f t="shared" si="4"/>
        <v>5.8000000000000114</v>
      </c>
      <c r="H53" s="25">
        <f t="shared" si="4"/>
        <v>12.699999999999989</v>
      </c>
      <c r="I53" s="25">
        <f t="shared" si="4"/>
        <v>15.100000000000023</v>
      </c>
      <c r="J53" s="25">
        <f t="shared" si="3"/>
        <v>18.300000000000011</v>
      </c>
      <c r="K53" s="25">
        <f t="shared" si="3"/>
        <v>20</v>
      </c>
      <c r="L53" s="25">
        <f t="shared" si="3"/>
        <v>21</v>
      </c>
      <c r="M53" s="25">
        <f t="shared" si="3"/>
        <v>23.099999999999966</v>
      </c>
      <c r="N53" s="25">
        <f t="shared" si="3"/>
        <v>22.799999999999955</v>
      </c>
      <c r="O53" s="25">
        <f t="shared" si="3"/>
        <v>22.699999999999989</v>
      </c>
      <c r="P53" s="25">
        <f t="shared" si="3"/>
        <v>19.500000000000057</v>
      </c>
      <c r="Q53" s="25">
        <f t="shared" si="3"/>
        <v>19.699999999999989</v>
      </c>
    </row>
    <row r="54" spans="5:17">
      <c r="E54" s="23">
        <v>2016</v>
      </c>
      <c r="F54" s="25">
        <f t="shared" si="4"/>
        <v>23.699999999999989</v>
      </c>
      <c r="G54" s="25">
        <f t="shared" si="4"/>
        <v>21.400000000000034</v>
      </c>
      <c r="H54" s="25">
        <f t="shared" si="4"/>
        <v>21.699999999999989</v>
      </c>
      <c r="I54" s="25">
        <f t="shared" si="4"/>
        <v>21.299999999999955</v>
      </c>
      <c r="J54" s="25">
        <f t="shared" si="4"/>
        <v>17.300000000000011</v>
      </c>
      <c r="K54" s="25">
        <f t="shared" si="4"/>
        <v>18.5</v>
      </c>
      <c r="L54" s="25">
        <f t="shared" si="4"/>
        <v>19.200000000000045</v>
      </c>
      <c r="M54" s="25">
        <f t="shared" si="4"/>
        <v>18.200000000000045</v>
      </c>
      <c r="N54" s="25">
        <f t="shared" si="4"/>
        <v>18.200000000000045</v>
      </c>
      <c r="O54" s="25">
        <f t="shared" si="4"/>
        <v>20.600000000000023</v>
      </c>
      <c r="P54" s="25">
        <f t="shared" si="4"/>
        <v>24</v>
      </c>
      <c r="Q54" s="25">
        <f t="shared" si="4"/>
        <v>26.899999999999977</v>
      </c>
    </row>
    <row r="55" spans="5:17" s="44" customFormat="1">
      <c r="E55" s="23">
        <v>2017</v>
      </c>
      <c r="F55" s="25">
        <f t="shared" si="4"/>
        <v>25.100000000000023</v>
      </c>
      <c r="G55" s="25">
        <f t="shared" si="4"/>
        <v>24.799999999999955</v>
      </c>
      <c r="H55" s="25">
        <f t="shared" si="4"/>
        <v>24</v>
      </c>
      <c r="I55" s="25">
        <f t="shared" si="4"/>
        <v>22.200000000000045</v>
      </c>
      <c r="J55" s="25">
        <f t="shared" si="4"/>
        <v>24.199999999999989</v>
      </c>
      <c r="K55" s="25">
        <f t="shared" si="4"/>
        <v>23.600000000000023</v>
      </c>
      <c r="L55" s="25">
        <f t="shared" si="4"/>
        <v>18</v>
      </c>
      <c r="M55" s="25">
        <f t="shared" si="4"/>
        <v>19.799999999999955</v>
      </c>
      <c r="N55" s="25">
        <f t="shared" si="4"/>
        <v>15.699999999999989</v>
      </c>
      <c r="O55" s="25">
        <f t="shared" si="4"/>
        <v>11.699999999999989</v>
      </c>
      <c r="P55" s="25">
        <f t="shared" si="4"/>
        <v>7.5</v>
      </c>
      <c r="Q55" s="25">
        <f t="shared" si="4"/>
        <v>6.4000000000000341</v>
      </c>
    </row>
    <row r="56" spans="5:17">
      <c r="E56" s="23">
        <v>2018</v>
      </c>
      <c r="F56" s="25">
        <f t="shared" si="4"/>
        <v>5.6999999999999318</v>
      </c>
      <c r="G56" s="25">
        <f t="shared" si="4"/>
        <v>9.5</v>
      </c>
      <c r="H56" s="25">
        <f t="shared" si="4"/>
        <v>5.8999999999999773</v>
      </c>
      <c r="I56" s="25">
        <f t="shared" si="4"/>
        <v>5.6000000000000227</v>
      </c>
      <c r="J56" s="25">
        <f t="shared" si="4"/>
        <v>7.1999999999999886</v>
      </c>
      <c r="K56" s="25"/>
      <c r="L56" s="25"/>
      <c r="M56" s="25"/>
      <c r="N56" s="25"/>
      <c r="O56" s="25"/>
      <c r="P56" s="25"/>
      <c r="Q56" s="25"/>
    </row>
  </sheetData>
  <conditionalFormatting sqref="F37:Q44">
    <cfRule type="colorScale" priority="13">
      <colorScale>
        <cfvo type="min"/>
        <cfvo type="max"/>
        <color theme="0"/>
        <color theme="4" tint="0.59999389629810485"/>
      </colorScale>
    </cfRule>
  </conditionalFormatting>
  <conditionalFormatting sqref="F49:Q55 F56:J56">
    <cfRule type="colorScale" priority="14">
      <colorScale>
        <cfvo type="min"/>
        <cfvo type="max"/>
        <color theme="0"/>
        <color theme="4" tint="0.59999389629810485"/>
      </colorScale>
    </cfRule>
  </conditionalFormatting>
  <conditionalFormatting sqref="H44:Q44">
    <cfRule type="colorScale" priority="7">
      <colorScale>
        <cfvo type="min"/>
        <cfvo type="max"/>
        <color theme="0"/>
        <color theme="4" tint="0.59999389629810485"/>
      </colorScale>
    </cfRule>
  </conditionalFormatting>
  <conditionalFormatting sqref="F45:Q45">
    <cfRule type="colorScale" priority="3">
      <colorScale>
        <cfvo type="min"/>
        <cfvo type="max"/>
        <color theme="0"/>
        <color theme="4" tint="0.59999389629810485"/>
      </colorScale>
    </cfRule>
  </conditionalFormatting>
  <conditionalFormatting sqref="H45:Q45">
    <cfRule type="colorScale" priority="2">
      <colorScale>
        <cfvo type="min"/>
        <cfvo type="max"/>
        <color theme="0"/>
        <color theme="4" tint="0.59999389629810485"/>
      </colorScale>
    </cfRule>
  </conditionalFormatting>
  <conditionalFormatting sqref="K56:Q56">
    <cfRule type="colorScale" priority="1">
      <colorScale>
        <cfvo type="min"/>
        <cfvo type="max"/>
        <color theme="0"/>
        <color theme="4" tint="0.59999389629810485"/>
      </colorScale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69" orientation="landscape" horizontalDpi="1200" verticalDpi="1200" r:id="rId1"/>
  <headerFooter scaleWithDoc="0">
    <oddHeader>&amp;L&amp;G&amp;C&amp;"-,Bold"&amp;10&amp;K2E398A
&amp;15Employment in the Mortgage Banking/Broker Sector&amp;R&amp;"-,Bold"&amp;10&amp;K2E398A
As of 05/04/2017</oddHeader>
    <oddFooter>&amp;L&amp;10&amp;K2E398AReport created on &amp;D &amp;T&amp;C&amp;G
&amp;8&amp;K2E398APage &amp;P of &amp;N</oddFooter>
  </headerFooter>
  <colBreaks count="1" manualBreakCount="1">
    <brk id="22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7:M136"/>
  <sheetViews>
    <sheetView topLeftCell="A88" workbookViewId="0">
      <selection activeCell="D128" sqref="D128"/>
    </sheetView>
  </sheetViews>
  <sheetFormatPr defaultRowHeight="15"/>
  <cols>
    <col min="3" max="3" width="29.7109375" customWidth="1"/>
    <col min="4" max="4" width="18" bestFit="1" customWidth="1"/>
  </cols>
  <sheetData>
    <row r="17" spans="1:13" ht="15.75" thickBot="1">
      <c r="A17" s="19" t="s">
        <v>35</v>
      </c>
      <c r="B17" s="19" t="s">
        <v>0</v>
      </c>
      <c r="C17" s="19" t="s">
        <v>11</v>
      </c>
      <c r="D17" s="19" t="s">
        <v>10</v>
      </c>
      <c r="E17" s="19" t="s">
        <v>9</v>
      </c>
      <c r="F17" s="19" t="s">
        <v>8</v>
      </c>
      <c r="G17" s="19" t="s">
        <v>7</v>
      </c>
      <c r="H17" s="19" t="s">
        <v>6</v>
      </c>
      <c r="I17" s="19" t="s">
        <v>5</v>
      </c>
      <c r="J17" s="19" t="s">
        <v>4</v>
      </c>
      <c r="K17" s="19" t="s">
        <v>3</v>
      </c>
      <c r="L17" s="19" t="s">
        <v>2</v>
      </c>
      <c r="M17" s="19" t="s">
        <v>1</v>
      </c>
    </row>
    <row r="18" spans="1:13" ht="15.75" thickTop="1">
      <c r="A18" s="20">
        <v>2010</v>
      </c>
      <c r="B18" s="21">
        <f>'Mortgage loan brokers'!B18+'Real estate credit'!B18</f>
        <v>258.5</v>
      </c>
      <c r="C18" s="21">
        <f>'Mortgage loan brokers'!C18+'Real estate credit'!C18</f>
        <v>263.60000000000002</v>
      </c>
      <c r="D18" s="21">
        <f>'Mortgage loan brokers'!D18+'Real estate credit'!D18</f>
        <v>264</v>
      </c>
      <c r="E18" s="21">
        <f>'Mortgage loan brokers'!E18+'Real estate credit'!E18</f>
        <v>262.89999999999998</v>
      </c>
      <c r="F18" s="21">
        <f>'Mortgage loan brokers'!F18+'Real estate credit'!F18</f>
        <v>263.39999999999998</v>
      </c>
      <c r="G18" s="21">
        <f>'Mortgage loan brokers'!G18+'Real estate credit'!G18</f>
        <v>263.8</v>
      </c>
      <c r="H18" s="21">
        <f>'Mortgage loan brokers'!H18+'Real estate credit'!H18</f>
        <v>270</v>
      </c>
      <c r="I18" s="21">
        <f>'Mortgage loan brokers'!I18+'Real estate credit'!I18</f>
        <v>270.8</v>
      </c>
      <c r="J18" s="21">
        <f>'Mortgage loan brokers'!J18+'Real estate credit'!J18</f>
        <v>273.8</v>
      </c>
      <c r="K18" s="21">
        <f>'Mortgage loan brokers'!K18+'Real estate credit'!K18</f>
        <v>278.10000000000002</v>
      </c>
      <c r="L18" s="21">
        <f>'Mortgage loan brokers'!L18+'Real estate credit'!L18</f>
        <v>279.5</v>
      </c>
      <c r="M18" s="21">
        <f>'Mortgage loan brokers'!M18+'Real estate credit'!M18</f>
        <v>280.3</v>
      </c>
    </row>
    <row r="19" spans="1:13">
      <c r="A19" s="20">
        <v>2011</v>
      </c>
      <c r="B19" s="21">
        <f>'Mortgage loan brokers'!B19+'Real estate credit'!B19</f>
        <v>272.39999999999998</v>
      </c>
      <c r="C19" s="21">
        <f>'Mortgage loan brokers'!C19+'Real estate credit'!C19</f>
        <v>272.8</v>
      </c>
      <c r="D19" s="21">
        <f>'Mortgage loan brokers'!D19+'Real estate credit'!D19</f>
        <v>272.10000000000002</v>
      </c>
      <c r="E19" s="21">
        <f>'Mortgage loan brokers'!E19+'Real estate credit'!E19</f>
        <v>265.8</v>
      </c>
      <c r="F19" s="21">
        <f>'Mortgage loan brokers'!F19+'Real estate credit'!F19</f>
        <v>268.7</v>
      </c>
      <c r="G19" s="21">
        <f>'Mortgage loan brokers'!G19+'Real estate credit'!G19</f>
        <v>265.5</v>
      </c>
      <c r="H19" s="21">
        <f>'Mortgage loan brokers'!H19+'Real estate credit'!H19</f>
        <v>262.60000000000002</v>
      </c>
      <c r="I19" s="21">
        <f>'Mortgage loan brokers'!I19+'Real estate credit'!I19</f>
        <v>259.39999999999998</v>
      </c>
      <c r="J19" s="21">
        <f>'Mortgage loan brokers'!J19+'Real estate credit'!J19</f>
        <v>259.39999999999998</v>
      </c>
      <c r="K19" s="21">
        <f>'Mortgage loan brokers'!K19+'Real estate credit'!K19</f>
        <v>259.8</v>
      </c>
      <c r="L19" s="21">
        <f>'Mortgage loan brokers'!L19+'Real estate credit'!L19</f>
        <v>261.89999999999998</v>
      </c>
      <c r="M19" s="21">
        <f>'Mortgage loan brokers'!M19+'Real estate credit'!M19</f>
        <v>261.3</v>
      </c>
    </row>
    <row r="20" spans="1:13">
      <c r="A20" s="20">
        <v>2012</v>
      </c>
      <c r="B20" s="21">
        <f>'Mortgage loan brokers'!B20+'Real estate credit'!B20</f>
        <v>257.7</v>
      </c>
      <c r="C20" s="21">
        <f>'Mortgage loan brokers'!C20+'Real estate credit'!C20</f>
        <v>260</v>
      </c>
      <c r="D20" s="21">
        <f>'Mortgage loan brokers'!D20+'Real estate credit'!D20</f>
        <v>262.3</v>
      </c>
      <c r="E20" s="21">
        <f>'Mortgage loan brokers'!E20+'Real estate credit'!E20</f>
        <v>263.3</v>
      </c>
      <c r="F20" s="21">
        <f>'Mortgage loan brokers'!F20+'Real estate credit'!F20</f>
        <v>266.7</v>
      </c>
      <c r="G20" s="21">
        <f>'Mortgage loan brokers'!G20+'Real estate credit'!G20</f>
        <v>275.3</v>
      </c>
      <c r="H20" s="21">
        <f>'Mortgage loan brokers'!H20+'Real estate credit'!H20</f>
        <v>278.60000000000002</v>
      </c>
      <c r="I20" s="21">
        <f>'Mortgage loan brokers'!I20+'Real estate credit'!I20</f>
        <v>284</v>
      </c>
      <c r="J20" s="21">
        <f>'Mortgage loan brokers'!J20+'Real estate credit'!J20</f>
        <v>288.39999999999998</v>
      </c>
      <c r="K20" s="21">
        <f>'Mortgage loan brokers'!K20+'Real estate credit'!K20</f>
        <v>289.8</v>
      </c>
      <c r="L20" s="21">
        <f>'Mortgage loan brokers'!L20+'Real estate credit'!L20</f>
        <v>293.89999999999998</v>
      </c>
      <c r="M20" s="21">
        <f>'Mortgage loan brokers'!M20+'Real estate credit'!M20</f>
        <v>297.60000000000002</v>
      </c>
    </row>
    <row r="21" spans="1:13">
      <c r="A21" s="20">
        <v>2013</v>
      </c>
      <c r="B21" s="21">
        <f>'Mortgage loan brokers'!B21+'Real estate credit'!B21</f>
        <v>295.5</v>
      </c>
      <c r="C21" s="21">
        <f>'Mortgage loan brokers'!C21+'Real estate credit'!C21</f>
        <v>297.7</v>
      </c>
      <c r="D21" s="21">
        <f>'Mortgage loan brokers'!D21+'Real estate credit'!D21</f>
        <v>301.10000000000002</v>
      </c>
      <c r="E21" s="21">
        <f>'Mortgage loan brokers'!E21+'Real estate credit'!E21</f>
        <v>303.7</v>
      </c>
      <c r="F21" s="21">
        <f>'Mortgage loan brokers'!F21+'Real estate credit'!F21</f>
        <v>303.39999999999998</v>
      </c>
      <c r="G21" s="21">
        <f>'Mortgage loan brokers'!G21+'Real estate credit'!G21</f>
        <v>305</v>
      </c>
      <c r="H21" s="21">
        <f>'Mortgage loan brokers'!H21+'Real estate credit'!H21</f>
        <v>305.2</v>
      </c>
      <c r="I21" s="21">
        <f>'Mortgage loan brokers'!I21+'Real estate credit'!I21</f>
        <v>300.39999999999998</v>
      </c>
      <c r="J21" s="21">
        <f>'Mortgage loan brokers'!J21+'Real estate credit'!J21</f>
        <v>294.3</v>
      </c>
      <c r="K21" s="21">
        <f>'Mortgage loan brokers'!K21+'Real estate credit'!K21</f>
        <v>292.2</v>
      </c>
      <c r="L21" s="21">
        <f>'Mortgage loan brokers'!L21+'Real estate credit'!L21</f>
        <v>290.3</v>
      </c>
      <c r="M21" s="21">
        <f>'Mortgage loan brokers'!M21+'Real estate credit'!M21</f>
        <v>287.39999999999998</v>
      </c>
    </row>
    <row r="22" spans="1:13">
      <c r="A22" s="20">
        <v>2014</v>
      </c>
      <c r="B22" s="21">
        <f>'Mortgage loan brokers'!B22+'Real estate credit'!B22</f>
        <v>279.79999999999995</v>
      </c>
      <c r="C22" s="21">
        <f>'Mortgage loan brokers'!C22+'Real estate credit'!C22</f>
        <v>278</v>
      </c>
      <c r="D22" s="21">
        <f>'Mortgage loan brokers'!D22+'Real estate credit'!D22</f>
        <v>273.10000000000002</v>
      </c>
      <c r="E22" s="21">
        <f>'Mortgage loan brokers'!E22+'Real estate credit'!E22</f>
        <v>273.5</v>
      </c>
      <c r="F22" s="21">
        <f>'Mortgage loan brokers'!F22+'Real estate credit'!F22</f>
        <v>274.5</v>
      </c>
      <c r="G22" s="21">
        <f>'Mortgage loan brokers'!G22+'Real estate credit'!G22</f>
        <v>277.5</v>
      </c>
      <c r="H22" s="21">
        <f>'Mortgage loan brokers'!H22+'Real estate credit'!H22</f>
        <v>280.89999999999998</v>
      </c>
      <c r="I22" s="21">
        <f>'Mortgage loan brokers'!I22+'Real estate credit'!I22</f>
        <v>280.8</v>
      </c>
      <c r="J22" s="21">
        <f>'Mortgage loan brokers'!J22+'Real estate credit'!J22</f>
        <v>283.60000000000002</v>
      </c>
      <c r="K22" s="21">
        <f>'Mortgage loan brokers'!K22+'Real estate credit'!K22</f>
        <v>284</v>
      </c>
      <c r="L22" s="21">
        <f>'Mortgage loan brokers'!L22+'Real estate credit'!L22</f>
        <v>287.79999999999995</v>
      </c>
      <c r="M22" s="21">
        <f>'Mortgage loan brokers'!M22+'Real estate credit'!M22</f>
        <v>288.10000000000002</v>
      </c>
    </row>
    <row r="23" spans="1:13">
      <c r="A23" s="20">
        <v>2015</v>
      </c>
      <c r="B23" s="21">
        <f>'Mortgage loan brokers'!B23+'Real estate credit'!B23</f>
        <v>282.8</v>
      </c>
      <c r="C23" s="21">
        <f>'Mortgage loan brokers'!C23+'Real estate credit'!C23</f>
        <v>283.8</v>
      </c>
      <c r="D23" s="21">
        <f>'Mortgage loan brokers'!D23+'Real estate credit'!D23</f>
        <v>285.8</v>
      </c>
      <c r="E23" s="21">
        <f>'Mortgage loan brokers'!E23+'Real estate credit'!E23</f>
        <v>288.60000000000002</v>
      </c>
      <c r="F23" s="21">
        <f>'Mortgage loan brokers'!F23+'Real estate credit'!F23</f>
        <v>292.8</v>
      </c>
      <c r="G23" s="21">
        <f>'Mortgage loan brokers'!G23+'Real estate credit'!G23</f>
        <v>297.5</v>
      </c>
      <c r="H23" s="21">
        <f>'Mortgage loan brokers'!H23+'Real estate credit'!H23</f>
        <v>301.89999999999998</v>
      </c>
      <c r="I23" s="21">
        <f>'Mortgage loan brokers'!I23+'Real estate credit'!I23</f>
        <v>303.89999999999998</v>
      </c>
      <c r="J23" s="21">
        <f>'Mortgage loan brokers'!J23+'Real estate credit'!J23</f>
        <v>306.39999999999998</v>
      </c>
      <c r="K23" s="21">
        <f>'Mortgage loan brokers'!K23+'Real estate credit'!K23</f>
        <v>306.7</v>
      </c>
      <c r="L23" s="21">
        <f>'Mortgage loan brokers'!L23+'Real estate credit'!L23</f>
        <v>307.3</v>
      </c>
      <c r="M23" s="21">
        <f>'Mortgage loan brokers'!M23+'Real estate credit'!M23</f>
        <v>307.8</v>
      </c>
    </row>
    <row r="24" spans="1:13">
      <c r="A24" s="38">
        <v>2016</v>
      </c>
      <c r="B24" s="21">
        <f>'Mortgage loan brokers'!B24+'Real estate credit'!B24</f>
        <v>306.5</v>
      </c>
      <c r="C24" s="21">
        <f>'Mortgage loan brokers'!C24+'Real estate credit'!C24</f>
        <v>305.20000000000005</v>
      </c>
      <c r="D24" s="21">
        <f>'Mortgage loan brokers'!D24+'Real estate credit'!D24</f>
        <v>307.5</v>
      </c>
      <c r="E24" s="21">
        <f>'Mortgage loan brokers'!E24+'Real estate credit'!E24</f>
        <v>309.89999999999998</v>
      </c>
      <c r="F24" s="21">
        <f>'Mortgage loan brokers'!F24+'Real estate credit'!F24</f>
        <v>310.10000000000002</v>
      </c>
      <c r="G24" s="21">
        <f>'Mortgage loan brokers'!G24+'Real estate credit'!G24</f>
        <v>316</v>
      </c>
      <c r="H24" s="21">
        <f>'Mortgage loan brokers'!H24+'Real estate credit'!H24</f>
        <v>321.10000000000002</v>
      </c>
      <c r="I24" s="21">
        <f>'Mortgage loan brokers'!I24+'Real estate credit'!I24</f>
        <v>322.10000000000002</v>
      </c>
      <c r="J24" s="21">
        <f>'Mortgage loan brokers'!J24+'Real estate credit'!J24</f>
        <v>324.60000000000002</v>
      </c>
      <c r="K24" s="21">
        <f>'Mortgage loan brokers'!K24+'Real estate credit'!K24</f>
        <v>327.3</v>
      </c>
      <c r="L24" s="21">
        <f>'Mortgage loan brokers'!L24+'Real estate credit'!L24</f>
        <v>331.3</v>
      </c>
      <c r="M24" s="21">
        <f>'Mortgage loan brokers'!M24+'Real estate credit'!M24</f>
        <v>334.7</v>
      </c>
    </row>
    <row r="28" spans="1:13">
      <c r="C28" t="s">
        <v>44</v>
      </c>
      <c r="D28" t="s">
        <v>46</v>
      </c>
    </row>
    <row r="29" spans="1:13">
      <c r="A29" s="54">
        <v>2010</v>
      </c>
      <c r="B29" t="s">
        <v>0</v>
      </c>
      <c r="C29" s="17">
        <f>'Mortgage loan brokers'!C29+'Real estate credit'!C29</f>
        <v>258.5</v>
      </c>
      <c r="D29" s="27">
        <f>'Issue Amount'!C29</f>
        <v>41171224451.529999</v>
      </c>
    </row>
    <row r="30" spans="1:13">
      <c r="A30" s="54"/>
      <c r="B30" t="s">
        <v>11</v>
      </c>
      <c r="C30" s="17">
        <f>'Mortgage loan brokers'!C30+'Real estate credit'!C30</f>
        <v>263.60000000000002</v>
      </c>
      <c r="D30" s="27">
        <f>'Issue Amount'!C30</f>
        <v>43331380880.580002</v>
      </c>
    </row>
    <row r="31" spans="1:13">
      <c r="A31" s="54"/>
      <c r="B31" t="s">
        <v>10</v>
      </c>
      <c r="C31" s="17">
        <f>'Mortgage loan brokers'!C31+'Real estate credit'!C31</f>
        <v>264</v>
      </c>
      <c r="D31" s="27">
        <f>'Issue Amount'!C31</f>
        <v>36714521904.68</v>
      </c>
    </row>
    <row r="32" spans="1:13">
      <c r="A32" s="54"/>
      <c r="B32" t="s">
        <v>9</v>
      </c>
      <c r="C32" s="17">
        <f>'Mortgage loan brokers'!C32+'Real estate credit'!C32</f>
        <v>262.89999999999998</v>
      </c>
      <c r="D32" s="27">
        <f>'Issue Amount'!C32</f>
        <v>36544416365.050003</v>
      </c>
    </row>
    <row r="33" spans="1:4">
      <c r="A33" s="54"/>
      <c r="B33" t="s">
        <v>8</v>
      </c>
      <c r="C33" s="17">
        <f>'Mortgage loan brokers'!C33+'Real estate credit'!C33</f>
        <v>263.39999999999998</v>
      </c>
      <c r="D33" s="27">
        <f>'Issue Amount'!C33</f>
        <v>36336611081.309998</v>
      </c>
    </row>
    <row r="34" spans="1:4">
      <c r="A34" s="54"/>
      <c r="B34" t="s">
        <v>7</v>
      </c>
      <c r="C34" s="17">
        <f>'Mortgage loan brokers'!C34+'Real estate credit'!C34</f>
        <v>263.8</v>
      </c>
      <c r="D34" s="27">
        <f>'Issue Amount'!C34</f>
        <v>37643702495.970001</v>
      </c>
    </row>
    <row r="35" spans="1:4">
      <c r="A35" s="54"/>
      <c r="B35" t="s">
        <v>6</v>
      </c>
      <c r="C35" s="17">
        <f>'Mortgage loan brokers'!C35+'Real estate credit'!C35</f>
        <v>270</v>
      </c>
      <c r="D35" s="27">
        <f>'Issue Amount'!C35</f>
        <v>40829244339.580002</v>
      </c>
    </row>
    <row r="36" spans="1:4">
      <c r="A36" s="54"/>
      <c r="B36" t="s">
        <v>5</v>
      </c>
      <c r="C36" s="17">
        <f>'Mortgage loan brokers'!C36+'Real estate credit'!C36</f>
        <v>270.8</v>
      </c>
      <c r="D36" s="27">
        <f>'Issue Amount'!C36</f>
        <v>46909004959.040001</v>
      </c>
    </row>
    <row r="37" spans="1:4">
      <c r="A37" s="54"/>
      <c r="B37" t="s">
        <v>4</v>
      </c>
      <c r="C37" s="17">
        <f>'Mortgage loan brokers'!C37+'Real estate credit'!C37</f>
        <v>273.8</v>
      </c>
      <c r="D37" s="27">
        <f>'Issue Amount'!C37</f>
        <v>69384338986.350006</v>
      </c>
    </row>
    <row r="38" spans="1:4">
      <c r="A38" s="54"/>
      <c r="B38" t="s">
        <v>3</v>
      </c>
      <c r="C38" s="17">
        <f>'Mortgage loan brokers'!C38+'Real estate credit'!C38</f>
        <v>278.10000000000002</v>
      </c>
      <c r="D38" s="27">
        <f>'Issue Amount'!C38</f>
        <v>68963882096.149994</v>
      </c>
    </row>
    <row r="39" spans="1:4">
      <c r="A39" s="54"/>
      <c r="B39" t="s">
        <v>2</v>
      </c>
      <c r="C39" s="17">
        <f>'Mortgage loan brokers'!C39+'Real estate credit'!C39</f>
        <v>279.5</v>
      </c>
      <c r="D39" s="27">
        <f>'Issue Amount'!C39</f>
        <v>71397253151.929993</v>
      </c>
    </row>
    <row r="40" spans="1:4">
      <c r="A40" s="54"/>
      <c r="B40" t="s">
        <v>1</v>
      </c>
      <c r="C40" s="17">
        <f>'Mortgage loan brokers'!C40+'Real estate credit'!C40</f>
        <v>280.3</v>
      </c>
      <c r="D40" s="27">
        <f>'Issue Amount'!C40</f>
        <v>81193901238.820007</v>
      </c>
    </row>
    <row r="41" spans="1:4">
      <c r="A41" s="54">
        <v>2011</v>
      </c>
      <c r="B41" t="s">
        <v>0</v>
      </c>
      <c r="C41" s="17">
        <f>'Mortgage loan brokers'!C41+'Real estate credit'!C41</f>
        <v>272.39999999999998</v>
      </c>
      <c r="D41" s="27">
        <f>'Issue Amount'!C41</f>
        <v>66493575674.870003</v>
      </c>
    </row>
    <row r="42" spans="1:4">
      <c r="A42" s="54"/>
      <c r="B42" t="s">
        <v>11</v>
      </c>
      <c r="C42" s="17">
        <f>'Mortgage loan brokers'!C42+'Real estate credit'!C42</f>
        <v>272.8</v>
      </c>
      <c r="D42" s="27">
        <f>'Issue Amount'!C42</f>
        <v>51211208108.309998</v>
      </c>
    </row>
    <row r="43" spans="1:4">
      <c r="A43" s="54"/>
      <c r="B43" t="s">
        <v>10</v>
      </c>
      <c r="C43" s="17">
        <f>'Mortgage loan brokers'!C43+'Real estate credit'!C43</f>
        <v>272.10000000000002</v>
      </c>
      <c r="D43" s="27">
        <f>'Issue Amount'!C43</f>
        <v>52478992160.580002</v>
      </c>
    </row>
    <row r="44" spans="1:4">
      <c r="A44" s="54"/>
      <c r="B44" t="s">
        <v>9</v>
      </c>
      <c r="C44" s="17">
        <f>'Mortgage loan brokers'!C44+'Real estate credit'!C44</f>
        <v>265.8</v>
      </c>
      <c r="D44" s="27">
        <f>'Issue Amount'!C44</f>
        <v>33088841042.959999</v>
      </c>
    </row>
    <row r="45" spans="1:4">
      <c r="A45" s="54"/>
      <c r="B45" t="s">
        <v>8</v>
      </c>
      <c r="C45" s="17">
        <f>'Mortgage loan brokers'!C45+'Real estate credit'!C45</f>
        <v>268.7</v>
      </c>
      <c r="D45" s="27">
        <f>'Issue Amount'!C45</f>
        <v>30964833391.43</v>
      </c>
    </row>
    <row r="46" spans="1:4">
      <c r="A46" s="54"/>
      <c r="B46" t="s">
        <v>7</v>
      </c>
      <c r="C46" s="17">
        <f>'Mortgage loan brokers'!C46+'Real estate credit'!C46</f>
        <v>265.5</v>
      </c>
      <c r="D46" s="27">
        <f>'Issue Amount'!C46</f>
        <v>34031377587.419998</v>
      </c>
    </row>
    <row r="47" spans="1:4">
      <c r="A47" s="54"/>
      <c r="B47" t="s">
        <v>6</v>
      </c>
      <c r="C47" s="17">
        <f>'Mortgage loan brokers'!C47+'Real estate credit'!C47</f>
        <v>262.60000000000002</v>
      </c>
      <c r="D47" s="27">
        <f>'Issue Amount'!C47</f>
        <v>30621365146.98</v>
      </c>
    </row>
    <row r="48" spans="1:4">
      <c r="A48" s="54"/>
      <c r="B48" t="s">
        <v>5</v>
      </c>
      <c r="C48" s="17">
        <f>'Mortgage loan brokers'!C48+'Real estate credit'!C48</f>
        <v>259.39999999999998</v>
      </c>
      <c r="D48" s="27">
        <f>'Issue Amount'!C48</f>
        <v>38171516998.550003</v>
      </c>
    </row>
    <row r="49" spans="1:4">
      <c r="A49" s="54"/>
      <c r="B49" t="s">
        <v>4</v>
      </c>
      <c r="C49" s="17">
        <f>'Mortgage loan brokers'!C49+'Real estate credit'!C49</f>
        <v>259.39999999999998</v>
      </c>
      <c r="D49" s="27">
        <f>'Issue Amount'!C49</f>
        <v>45345536322.599998</v>
      </c>
    </row>
    <row r="50" spans="1:4">
      <c r="A50" s="54"/>
      <c r="B50" t="s">
        <v>3</v>
      </c>
      <c r="C50" s="17">
        <f>'Mortgage loan brokers'!C50+'Real estate credit'!C50</f>
        <v>259.8</v>
      </c>
      <c r="D50" s="27">
        <f>'Issue Amount'!C50</f>
        <v>51265734201.440002</v>
      </c>
    </row>
    <row r="51" spans="1:4">
      <c r="A51" s="54"/>
      <c r="B51" t="s">
        <v>2</v>
      </c>
      <c r="C51" s="17">
        <f>'Mortgage loan brokers'!C51+'Real estate credit'!C51</f>
        <v>261.89999999999998</v>
      </c>
      <c r="D51" s="27">
        <f>'Issue Amount'!C51</f>
        <v>62641454659.599998</v>
      </c>
    </row>
    <row r="52" spans="1:4">
      <c r="A52" s="54"/>
      <c r="B52" t="s">
        <v>1</v>
      </c>
      <c r="C52" s="17">
        <f>'Mortgage loan brokers'!C52+'Real estate credit'!C52</f>
        <v>261.3</v>
      </c>
      <c r="D52" s="27">
        <f>'Issue Amount'!C52</f>
        <v>73851865080.610001</v>
      </c>
    </row>
    <row r="53" spans="1:4">
      <c r="A53" s="54">
        <v>2012</v>
      </c>
      <c r="B53" t="s">
        <v>0</v>
      </c>
      <c r="C53" s="17">
        <f>'Mortgage loan brokers'!C53+'Real estate credit'!C53</f>
        <v>257.7</v>
      </c>
      <c r="D53" s="27">
        <f>'Issue Amount'!C53</f>
        <v>58331372757.360001</v>
      </c>
    </row>
    <row r="54" spans="1:4">
      <c r="A54" s="54"/>
      <c r="B54" t="s">
        <v>11</v>
      </c>
      <c r="C54" s="17">
        <f>'Mortgage loan brokers'!C54+'Real estate credit'!C54</f>
        <v>260</v>
      </c>
      <c r="D54" s="27">
        <f>'Issue Amount'!C54</f>
        <v>56063681559.919998</v>
      </c>
    </row>
    <row r="55" spans="1:4">
      <c r="A55" s="54"/>
      <c r="B55" t="s">
        <v>10</v>
      </c>
      <c r="C55" s="17">
        <f>'Mortgage loan brokers'!C55+'Real estate credit'!C55</f>
        <v>262.3</v>
      </c>
      <c r="D55" s="27">
        <f>'Issue Amount'!C55</f>
        <v>86317495811.419998</v>
      </c>
    </row>
    <row r="56" spans="1:4">
      <c r="A56" s="54"/>
      <c r="B56" t="s">
        <v>9</v>
      </c>
      <c r="C56" s="17">
        <f>'Mortgage loan brokers'!C56+'Real estate credit'!C56</f>
        <v>263.3</v>
      </c>
      <c r="D56" s="27">
        <f>'Issue Amount'!C56</f>
        <v>48073485668.580002</v>
      </c>
    </row>
    <row r="57" spans="1:4">
      <c r="A57" s="54"/>
      <c r="B57" t="s">
        <v>8</v>
      </c>
      <c r="C57" s="17">
        <f>'Mortgage loan brokers'!C57+'Real estate credit'!C57</f>
        <v>266.7</v>
      </c>
      <c r="D57" s="27">
        <f>'Issue Amount'!C57</f>
        <v>66663158668.949997</v>
      </c>
    </row>
    <row r="58" spans="1:4">
      <c r="A58" s="54"/>
      <c r="B58" t="s">
        <v>7</v>
      </c>
      <c r="C58" s="17">
        <f>'Mortgage loan brokers'!C58+'Real estate credit'!C58</f>
        <v>275.3</v>
      </c>
      <c r="D58" s="27">
        <f>'Issue Amount'!C58</f>
        <v>65107512378.209999</v>
      </c>
    </row>
    <row r="59" spans="1:4">
      <c r="A59" s="54"/>
      <c r="B59" t="s">
        <v>6</v>
      </c>
      <c r="C59" s="17">
        <f>'Mortgage loan brokers'!C59+'Real estate credit'!C59</f>
        <v>278.60000000000002</v>
      </c>
      <c r="D59" s="27">
        <f>'Issue Amount'!C59</f>
        <v>71798949000.600006</v>
      </c>
    </row>
    <row r="60" spans="1:4">
      <c r="A60" s="54"/>
      <c r="B60" t="s">
        <v>5</v>
      </c>
      <c r="C60" s="17">
        <f>'Mortgage loan brokers'!C60+'Real estate credit'!C60</f>
        <v>284</v>
      </c>
      <c r="D60" s="27">
        <f>'Issue Amount'!C60</f>
        <v>80246484071.139999</v>
      </c>
    </row>
    <row r="61" spans="1:4">
      <c r="A61" s="54"/>
      <c r="B61" t="s">
        <v>4</v>
      </c>
      <c r="C61" s="17">
        <f>'Mortgage loan brokers'!C61+'Real estate credit'!C61</f>
        <v>288.39999999999998</v>
      </c>
      <c r="D61" s="27">
        <f>'Issue Amount'!C61</f>
        <v>84049356738.059998</v>
      </c>
    </row>
    <row r="62" spans="1:4">
      <c r="A62" s="54"/>
      <c r="B62" t="s">
        <v>3</v>
      </c>
      <c r="C62" s="17">
        <f>'Mortgage loan brokers'!C62+'Real estate credit'!C62</f>
        <v>289.8</v>
      </c>
      <c r="D62" s="27">
        <f>'Issue Amount'!C62</f>
        <v>61818801001.650002</v>
      </c>
    </row>
    <row r="63" spans="1:4">
      <c r="A63" s="54"/>
      <c r="B63" t="s">
        <v>2</v>
      </c>
      <c r="C63" s="17">
        <f>'Mortgage loan brokers'!C63+'Real estate credit'!C63</f>
        <v>293.89999999999998</v>
      </c>
      <c r="D63" s="27">
        <f>'Issue Amount'!C63</f>
        <v>107252324964.50999</v>
      </c>
    </row>
    <row r="64" spans="1:4">
      <c r="A64" s="54"/>
      <c r="B64" t="s">
        <v>1</v>
      </c>
      <c r="C64" s="17">
        <f>'Mortgage loan brokers'!C64+'Real estate credit'!C64</f>
        <v>297.60000000000002</v>
      </c>
      <c r="D64" s="27">
        <f>'Issue Amount'!C64</f>
        <v>66763638723.230003</v>
      </c>
    </row>
    <row r="65" spans="1:4">
      <c r="A65" s="54">
        <v>2013</v>
      </c>
      <c r="B65" t="s">
        <v>0</v>
      </c>
      <c r="C65" s="17">
        <f>'Mortgage loan brokers'!C65+'Real estate credit'!C65</f>
        <v>295.5</v>
      </c>
      <c r="D65" s="27">
        <f>'Issue Amount'!C65</f>
        <v>85482757320.820007</v>
      </c>
    </row>
    <row r="66" spans="1:4">
      <c r="A66" s="54"/>
      <c r="B66" t="s">
        <v>11</v>
      </c>
      <c r="C66" s="17">
        <f>'Mortgage loan brokers'!C66+'Real estate credit'!C66</f>
        <v>297.7</v>
      </c>
      <c r="D66" s="27">
        <f>'Issue Amount'!C66</f>
        <v>77430427923.440002</v>
      </c>
    </row>
    <row r="67" spans="1:4">
      <c r="A67" s="54"/>
      <c r="B67" t="s">
        <v>10</v>
      </c>
      <c r="C67" s="17">
        <f>'Mortgage loan brokers'!C67+'Real estate credit'!C67</f>
        <v>301.10000000000002</v>
      </c>
      <c r="D67" s="27">
        <f>'Issue Amount'!C67</f>
        <v>66573031434.919998</v>
      </c>
    </row>
    <row r="68" spans="1:4">
      <c r="A68" s="54"/>
      <c r="B68" t="s">
        <v>9</v>
      </c>
      <c r="C68" s="17">
        <f>'Mortgage loan brokers'!C68+'Real estate credit'!C68</f>
        <v>303.7</v>
      </c>
      <c r="D68" s="27">
        <f>'Issue Amount'!C68</f>
        <v>73548428684.190002</v>
      </c>
    </row>
    <row r="69" spans="1:4">
      <c r="A69" s="54"/>
      <c r="B69" t="s">
        <v>8</v>
      </c>
      <c r="C69" s="17">
        <f>'Mortgage loan brokers'!C69+'Real estate credit'!C69</f>
        <v>303.39999999999998</v>
      </c>
      <c r="D69" s="27">
        <f>'Issue Amount'!C69</f>
        <v>73509211252.020004</v>
      </c>
    </row>
    <row r="70" spans="1:4">
      <c r="A70" s="54"/>
      <c r="B70" t="s">
        <v>7</v>
      </c>
      <c r="C70" s="17">
        <f>'Mortgage loan brokers'!C70+'Real estate credit'!C70</f>
        <v>305</v>
      </c>
      <c r="D70" s="27">
        <f>'Issue Amount'!C70</f>
        <v>66542000148.940002</v>
      </c>
    </row>
    <row r="71" spans="1:4">
      <c r="A71" s="54"/>
      <c r="B71" t="s">
        <v>6</v>
      </c>
      <c r="C71" s="17">
        <f>'Mortgage loan brokers'!C71+'Real estate credit'!C71</f>
        <v>305.2</v>
      </c>
      <c r="D71" s="27">
        <f>'Issue Amount'!C71</f>
        <v>71866974614.360001</v>
      </c>
    </row>
    <row r="72" spans="1:4">
      <c r="A72" s="54"/>
      <c r="B72" t="s">
        <v>5</v>
      </c>
      <c r="C72" s="17">
        <f>'Mortgage loan brokers'!C72+'Real estate credit'!C72</f>
        <v>300.39999999999998</v>
      </c>
      <c r="D72" s="27">
        <f>'Issue Amount'!C72</f>
        <v>65043206114.970001</v>
      </c>
    </row>
    <row r="73" spans="1:4">
      <c r="A73" s="54"/>
      <c r="B73" t="s">
        <v>4</v>
      </c>
      <c r="C73" s="17">
        <f>'Mortgage loan brokers'!C73+'Real estate credit'!C73</f>
        <v>294.3</v>
      </c>
      <c r="D73" s="27">
        <f>'Issue Amount'!C73</f>
        <v>52117579911.449997</v>
      </c>
    </row>
    <row r="74" spans="1:4">
      <c r="A74" s="54"/>
      <c r="B74" t="s">
        <v>3</v>
      </c>
      <c r="C74" s="17">
        <f>'Mortgage loan brokers'!C74+'Real estate credit'!C74</f>
        <v>292.2</v>
      </c>
      <c r="D74" s="27">
        <f>'Issue Amount'!C74</f>
        <v>47175834172.419998</v>
      </c>
    </row>
    <row r="75" spans="1:4">
      <c r="A75" s="54"/>
      <c r="B75" t="s">
        <v>2</v>
      </c>
      <c r="C75" s="17">
        <f>'Mortgage loan brokers'!C75+'Real estate credit'!C75</f>
        <v>290.3</v>
      </c>
      <c r="D75" s="27">
        <f>'Issue Amount'!C75</f>
        <v>38757040631.290001</v>
      </c>
    </row>
    <row r="76" spans="1:4">
      <c r="A76" s="54"/>
      <c r="B76" t="s">
        <v>1</v>
      </c>
      <c r="C76" s="17">
        <f>'Mortgage loan brokers'!C76+'Real estate credit'!C76</f>
        <v>287.39999999999998</v>
      </c>
      <c r="D76" s="27">
        <f>'Issue Amount'!C76</f>
        <v>37790142776.290001</v>
      </c>
    </row>
    <row r="77" spans="1:4">
      <c r="A77" s="54">
        <v>2014</v>
      </c>
      <c r="B77" t="s">
        <v>0</v>
      </c>
      <c r="C77" s="17">
        <f>'Mortgage loan brokers'!C77+'Real estate credit'!C77</f>
        <v>279.79999999999995</v>
      </c>
      <c r="D77" s="27">
        <f>'Issue Amount'!C77</f>
        <v>28108964119.139999</v>
      </c>
    </row>
    <row r="78" spans="1:4">
      <c r="A78" s="54"/>
      <c r="B78" t="s">
        <v>11</v>
      </c>
      <c r="C78" s="17">
        <f>'Mortgage loan brokers'!C78+'Real estate credit'!C78</f>
        <v>278</v>
      </c>
      <c r="D78" s="27">
        <f>'Issue Amount'!C78</f>
        <v>27585216807.849998</v>
      </c>
    </row>
    <row r="79" spans="1:4">
      <c r="A79" s="54"/>
      <c r="B79" t="s">
        <v>10</v>
      </c>
      <c r="C79" s="17">
        <f>'Mortgage loan brokers'!C79+'Real estate credit'!C79</f>
        <v>273.10000000000002</v>
      </c>
      <c r="D79" s="27">
        <f>'Issue Amount'!C79</f>
        <v>23463509422.790001</v>
      </c>
    </row>
    <row r="80" spans="1:4">
      <c r="A80" s="54"/>
      <c r="B80" t="s">
        <v>9</v>
      </c>
      <c r="C80" s="17">
        <f>'Mortgage loan brokers'!C80+'Real estate credit'!C80</f>
        <v>273.5</v>
      </c>
      <c r="D80" s="27">
        <f>'Issue Amount'!C80</f>
        <v>27198516722.27</v>
      </c>
    </row>
    <row r="81" spans="1:4">
      <c r="A81" s="54"/>
      <c r="B81" t="s">
        <v>8</v>
      </c>
      <c r="C81" s="17">
        <f>'Mortgage loan brokers'!C81+'Real estate credit'!C81</f>
        <v>274.5</v>
      </c>
      <c r="D81" s="27">
        <f>'Issue Amount'!C81</f>
        <v>27487631130.209999</v>
      </c>
    </row>
    <row r="82" spans="1:4">
      <c r="A82" s="54"/>
      <c r="B82" t="s">
        <v>7</v>
      </c>
      <c r="C82" s="17">
        <f>'Mortgage loan brokers'!C82+'Real estate credit'!C82</f>
        <v>277.5</v>
      </c>
      <c r="D82" s="27">
        <f>'Issue Amount'!C82</f>
        <v>31582304306.349998</v>
      </c>
    </row>
    <row r="83" spans="1:4">
      <c r="A83" s="54"/>
      <c r="B83" t="s">
        <v>6</v>
      </c>
      <c r="C83" s="17">
        <f>'Mortgage loan brokers'!C83+'Real estate credit'!C83</f>
        <v>280.89999999999998</v>
      </c>
      <c r="D83" s="27">
        <f>'Issue Amount'!C83</f>
        <v>36447478522.989998</v>
      </c>
    </row>
    <row r="84" spans="1:4">
      <c r="A84" s="54"/>
      <c r="B84" t="s">
        <v>5</v>
      </c>
      <c r="C84" s="17">
        <f>'Mortgage loan brokers'!C84+'Real estate credit'!C84</f>
        <v>280.8</v>
      </c>
      <c r="D84" s="27">
        <f>'Issue Amount'!C84</f>
        <v>34332054961.080002</v>
      </c>
    </row>
    <row r="85" spans="1:4">
      <c r="A85" s="54"/>
      <c r="B85" t="s">
        <v>4</v>
      </c>
      <c r="C85" s="17">
        <f>'Mortgage loan brokers'!C85+'Real estate credit'!C85</f>
        <v>283.60000000000002</v>
      </c>
      <c r="D85" s="27">
        <f>'Issue Amount'!C85</f>
        <v>40347506692.199997</v>
      </c>
    </row>
    <row r="86" spans="1:4">
      <c r="A86" s="54"/>
      <c r="B86" t="s">
        <v>3</v>
      </c>
      <c r="C86" s="17">
        <f>'Mortgage loan brokers'!C86+'Real estate credit'!C86</f>
        <v>284</v>
      </c>
      <c r="D86" s="27">
        <f>'Issue Amount'!C86</f>
        <v>40323740351.139999</v>
      </c>
    </row>
    <row r="87" spans="1:4">
      <c r="A87" s="54"/>
      <c r="B87" t="s">
        <v>2</v>
      </c>
      <c r="C87" s="17">
        <f>'Mortgage loan brokers'!C87+'Real estate credit'!C87</f>
        <v>287.79999999999995</v>
      </c>
      <c r="D87" s="27">
        <f>'Issue Amount'!C87</f>
        <v>32492729674.279999</v>
      </c>
    </row>
    <row r="88" spans="1:4">
      <c r="A88" s="54"/>
      <c r="B88" t="s">
        <v>1</v>
      </c>
      <c r="C88" s="17">
        <f>'Mortgage loan brokers'!C88+'Real estate credit'!C88</f>
        <v>288.10000000000002</v>
      </c>
      <c r="D88" s="27">
        <f>'Issue Amount'!C88</f>
        <v>44253011751.110001</v>
      </c>
    </row>
    <row r="89" spans="1:4">
      <c r="A89" s="54">
        <v>2015</v>
      </c>
      <c r="B89" t="s">
        <v>0</v>
      </c>
      <c r="C89" s="17">
        <f>'Mortgage loan brokers'!C89+'Real estate credit'!C89</f>
        <v>282.8</v>
      </c>
      <c r="D89" s="27">
        <f>'Issue Amount'!C89</f>
        <v>36980630899.18</v>
      </c>
    </row>
    <row r="90" spans="1:4">
      <c r="A90" s="54"/>
      <c r="B90" t="s">
        <v>11</v>
      </c>
      <c r="C90" s="17">
        <f>'Mortgage loan brokers'!C90+'Real estate credit'!C90</f>
        <v>283.8</v>
      </c>
      <c r="D90" s="27">
        <f>'Issue Amount'!C90</f>
        <v>36583983679.550003</v>
      </c>
    </row>
    <row r="91" spans="1:4">
      <c r="A91" s="54"/>
      <c r="B91" t="s">
        <v>10</v>
      </c>
      <c r="C91" s="17">
        <f>'Mortgage loan brokers'!C91+'Real estate credit'!C91</f>
        <v>285.8</v>
      </c>
      <c r="D91" s="27">
        <f>'Issue Amount'!C91</f>
        <v>44361653084.169998</v>
      </c>
    </row>
    <row r="92" spans="1:4">
      <c r="A92" s="54"/>
      <c r="B92" t="s">
        <v>9</v>
      </c>
      <c r="C92" s="17">
        <f>'Mortgage loan brokers'!C92+'Real estate credit'!C92</f>
        <v>288.60000000000002</v>
      </c>
      <c r="D92" s="27">
        <f>'Issue Amount'!C92</f>
        <v>51181167313.550003</v>
      </c>
    </row>
    <row r="93" spans="1:4">
      <c r="A93" s="54"/>
      <c r="B93" t="s">
        <v>8</v>
      </c>
      <c r="C93" s="17">
        <f>'Mortgage loan brokers'!C93+'Real estate credit'!C93</f>
        <v>292.8</v>
      </c>
      <c r="D93" s="27">
        <f>'Issue Amount'!C93</f>
        <v>44756506739.489998</v>
      </c>
    </row>
    <row r="94" spans="1:4">
      <c r="A94" s="54"/>
      <c r="B94" t="s">
        <v>7</v>
      </c>
      <c r="C94" s="17">
        <f>'Mortgage loan brokers'!C94+'Real estate credit'!C94</f>
        <v>297.5</v>
      </c>
      <c r="D94" s="27">
        <f>'Issue Amount'!C94</f>
        <v>46670102078.379997</v>
      </c>
    </row>
    <row r="95" spans="1:4">
      <c r="A95" s="54"/>
      <c r="B95" t="s">
        <v>6</v>
      </c>
      <c r="C95" s="17">
        <f>'Mortgage loan brokers'!C95+'Real estate credit'!C95</f>
        <v>301.89999999999998</v>
      </c>
      <c r="D95" s="27">
        <f>'Issue Amount'!C95</f>
        <v>46808897996.93</v>
      </c>
    </row>
    <row r="96" spans="1:4">
      <c r="A96" s="54"/>
      <c r="B96" t="s">
        <v>5</v>
      </c>
      <c r="C96" s="17">
        <f>'Mortgage loan brokers'!C96+'Real estate credit'!C96</f>
        <v>303.89999999999998</v>
      </c>
      <c r="D96" s="27">
        <v>39123218043.230003</v>
      </c>
    </row>
    <row r="97" spans="1:4">
      <c r="A97" s="54"/>
      <c r="B97" t="s">
        <v>4</v>
      </c>
      <c r="C97" s="17">
        <f>'Mortgage loan brokers'!C97+'Real estate credit'!C97</f>
        <v>306.39999999999998</v>
      </c>
      <c r="D97" s="27">
        <f>'Issue Amount'!C97</f>
        <v>44989151670.82</v>
      </c>
    </row>
    <row r="98" spans="1:4">
      <c r="A98" s="54"/>
      <c r="B98" t="s">
        <v>3</v>
      </c>
      <c r="C98" s="17">
        <f>'Mortgage loan brokers'!C98+'Real estate credit'!C98</f>
        <v>306.7</v>
      </c>
      <c r="D98" s="27">
        <f>'Issue Amount'!C98</f>
        <v>41324740804.440002</v>
      </c>
    </row>
    <row r="99" spans="1:4">
      <c r="A99" s="54"/>
      <c r="B99" t="s">
        <v>2</v>
      </c>
      <c r="C99" s="17">
        <f>'Mortgage loan brokers'!C99+'Real estate credit'!C99</f>
        <v>307.3</v>
      </c>
      <c r="D99" s="27">
        <f>'Issue Amount'!C99</f>
        <v>28933538589.34</v>
      </c>
    </row>
    <row r="100" spans="1:4">
      <c r="A100" s="54"/>
      <c r="B100" t="s">
        <v>1</v>
      </c>
      <c r="C100" s="17">
        <f>'Mortgage loan brokers'!C100+'Real estate credit'!C100</f>
        <v>307.8</v>
      </c>
      <c r="D100" s="27">
        <f>'Issue Amount'!C100</f>
        <v>39048100886.419998</v>
      </c>
    </row>
    <row r="101" spans="1:4">
      <c r="A101" s="54">
        <v>2016</v>
      </c>
      <c r="B101" s="37" t="s">
        <v>0</v>
      </c>
      <c r="C101" s="17">
        <f>'Mortgage loan brokers'!C101+'Real estate credit'!C101</f>
        <v>306.5</v>
      </c>
      <c r="D101" s="27">
        <f>'Issue Amount'!C101</f>
        <v>38841439178.620003</v>
      </c>
    </row>
    <row r="102" spans="1:4">
      <c r="A102" s="54"/>
      <c r="B102" s="37" t="s">
        <v>11</v>
      </c>
      <c r="C102" s="17">
        <f>'Mortgage loan brokers'!C102+'Real estate credit'!C102</f>
        <v>305.20000000000005</v>
      </c>
      <c r="D102" s="27">
        <f>'Issue Amount'!C102</f>
        <v>30561761942.720001</v>
      </c>
    </row>
    <row r="103" spans="1:4">
      <c r="A103" s="54"/>
      <c r="B103" s="37" t="s">
        <v>10</v>
      </c>
      <c r="C103" s="17">
        <f>'Mortgage loan brokers'!C103+'Real estate credit'!C103</f>
        <v>307.5</v>
      </c>
      <c r="D103" s="27">
        <f>'Issue Amount'!C103</f>
        <v>39928859384.089996</v>
      </c>
    </row>
    <row r="104" spans="1:4">
      <c r="A104" s="54"/>
      <c r="B104" s="37" t="s">
        <v>9</v>
      </c>
      <c r="C104" s="17">
        <f>'Mortgage loan brokers'!C104+'Real estate credit'!C104</f>
        <v>309.89999999999998</v>
      </c>
      <c r="D104" s="27">
        <f>'Issue Amount'!C104</f>
        <v>44861340063.169998</v>
      </c>
    </row>
    <row r="105" spans="1:4">
      <c r="A105" s="54"/>
      <c r="B105" s="37" t="s">
        <v>8</v>
      </c>
      <c r="C105" s="17">
        <f>'Mortgage loan brokers'!C105+'Real estate credit'!C105</f>
        <v>310.10000000000002</v>
      </c>
      <c r="D105" s="27">
        <f>'Issue Amount'!C105</f>
        <v>45906379388.75</v>
      </c>
    </row>
    <row r="106" spans="1:4">
      <c r="A106" s="54"/>
      <c r="B106" s="37" t="s">
        <v>7</v>
      </c>
      <c r="C106" s="17">
        <f>'Mortgage loan brokers'!C106+'Real estate credit'!C106</f>
        <v>316</v>
      </c>
      <c r="D106" s="27">
        <f>'Issue Amount'!C106</f>
        <v>49117830558.220001</v>
      </c>
    </row>
    <row r="107" spans="1:4">
      <c r="A107" s="54"/>
      <c r="B107" s="37" t="s">
        <v>6</v>
      </c>
      <c r="C107" s="17">
        <f>'Mortgage loan brokers'!C107+'Real estate credit'!C107</f>
        <v>321.10000000000002</v>
      </c>
      <c r="D107" s="27">
        <f>'Issue Amount'!C107</f>
        <v>52311053156.260002</v>
      </c>
    </row>
    <row r="108" spans="1:4">
      <c r="A108" s="54"/>
      <c r="B108" s="37" t="s">
        <v>5</v>
      </c>
      <c r="C108" s="17">
        <f>'Mortgage loan brokers'!C108+'Real estate credit'!C108</f>
        <v>322.10000000000002</v>
      </c>
      <c r="D108" s="27">
        <f>'Issue Amount'!C108</f>
        <v>57044014480.900002</v>
      </c>
    </row>
    <row r="109" spans="1:4">
      <c r="A109" s="54"/>
      <c r="B109" s="37" t="s">
        <v>4</v>
      </c>
      <c r="C109" s="17">
        <f>'Mortgage loan brokers'!C109+'Real estate credit'!C109</f>
        <v>324.60000000000002</v>
      </c>
      <c r="D109" s="27">
        <f>'Issue Amount'!C109</f>
        <v>69331875300.940002</v>
      </c>
    </row>
    <row r="110" spans="1:4">
      <c r="A110" s="54"/>
      <c r="B110" s="37" t="s">
        <v>3</v>
      </c>
      <c r="C110" s="17">
        <f>'Mortgage loan brokers'!C110+'Real estate credit'!C110</f>
        <v>327.3</v>
      </c>
      <c r="D110" s="27">
        <f>'Issue Amount'!C110</f>
        <v>64923288102.650002</v>
      </c>
    </row>
    <row r="111" spans="1:4">
      <c r="A111" s="54"/>
      <c r="B111" s="37" t="s">
        <v>2</v>
      </c>
      <c r="C111" s="17">
        <f>'Mortgage loan brokers'!C111+'Real estate credit'!C111</f>
        <v>331.3</v>
      </c>
      <c r="D111" s="27">
        <f>'Issue Amount'!C111</f>
        <v>50811667455.550003</v>
      </c>
    </row>
    <row r="112" spans="1:4">
      <c r="A112" s="54"/>
      <c r="B112" s="37" t="s">
        <v>1</v>
      </c>
      <c r="C112" s="17">
        <f>'Mortgage loan brokers'!C112+'Real estate credit'!C112</f>
        <v>334.7</v>
      </c>
      <c r="D112" s="27">
        <f>'Issue Amount'!C112</f>
        <v>73723457954.979996</v>
      </c>
    </row>
    <row r="113" spans="1:4">
      <c r="A113" s="54">
        <v>2017</v>
      </c>
      <c r="B113" s="44" t="s">
        <v>0</v>
      </c>
      <c r="C113" s="17">
        <f>'Mortgage loan brokers'!C113+'Real estate credit'!C113</f>
        <v>331.6</v>
      </c>
      <c r="D113" s="27">
        <f>'Issue Amount'!C113</f>
        <v>60537959937.75</v>
      </c>
    </row>
    <row r="114" spans="1:4">
      <c r="A114" s="54"/>
      <c r="B114" s="45" t="s">
        <v>11</v>
      </c>
      <c r="C114" s="17">
        <f>'Mortgage loan brokers'!C114+'Real estate credit'!C114</f>
        <v>330</v>
      </c>
      <c r="D114" s="27">
        <f>'Issue Amount'!C114</f>
        <v>38882414534.349998</v>
      </c>
    </row>
    <row r="115" spans="1:4">
      <c r="A115" s="54"/>
      <c r="B115" s="47" t="s">
        <v>10</v>
      </c>
      <c r="C115" s="17">
        <f>'Mortgage loan brokers'!C115+'Real estate credit'!C115</f>
        <v>331.5</v>
      </c>
      <c r="D115" s="27">
        <f>'Issue Amount'!C115</f>
        <v>40227507805.220001</v>
      </c>
    </row>
    <row r="116" spans="1:4">
      <c r="A116" s="54"/>
      <c r="B116" s="47" t="s">
        <v>9</v>
      </c>
      <c r="C116" s="17">
        <f>'Mortgage loan brokers'!C116+'Real estate credit'!C116</f>
        <v>332.1</v>
      </c>
      <c r="D116" s="27">
        <f>'Issue Amount'!C116</f>
        <v>39121645033.209999</v>
      </c>
    </row>
    <row r="117" spans="1:4">
      <c r="A117" s="54"/>
      <c r="B117" s="48" t="s">
        <v>8</v>
      </c>
      <c r="C117" s="17">
        <f>'Mortgage loan brokers'!C117+'Real estate credit'!C117</f>
        <v>334.3</v>
      </c>
      <c r="D117" s="27">
        <f>'Issue Amount'!C117</f>
        <v>40884230923.849998</v>
      </c>
    </row>
    <row r="118" spans="1:4">
      <c r="A118" s="54"/>
      <c r="B118" s="48" t="s">
        <v>7</v>
      </c>
      <c r="C118" s="17">
        <f>'Mortgage loan brokers'!C118+'Real estate credit'!C118</f>
        <v>339.6</v>
      </c>
      <c r="D118" s="27">
        <f>'Issue Amount'!C118</f>
        <v>45930097727.129997</v>
      </c>
    </row>
    <row r="119" spans="1:4">
      <c r="A119" s="54"/>
      <c r="B119" s="48" t="s">
        <v>6</v>
      </c>
      <c r="C119" s="17">
        <f>'Mortgage loan brokers'!C119+'Real estate credit'!C119</f>
        <v>339.1</v>
      </c>
      <c r="D119" s="27">
        <f>'Issue Amount'!C119</f>
        <v>48069262760.199997</v>
      </c>
    </row>
    <row r="120" spans="1:4">
      <c r="A120" s="54"/>
      <c r="B120" s="48" t="s">
        <v>5</v>
      </c>
      <c r="C120" s="17">
        <f>'Mortgage loan brokers'!C120+'Real estate credit'!C120</f>
        <v>341.9</v>
      </c>
      <c r="D120" s="27">
        <f>'Issue Amount'!C120</f>
        <v>50293300903.110001</v>
      </c>
    </row>
    <row r="121" spans="1:4">
      <c r="A121" s="54"/>
      <c r="B121" s="48" t="s">
        <v>4</v>
      </c>
      <c r="C121" s="17">
        <f>'Mortgage loan brokers'!C121+'Real estate credit'!C121</f>
        <v>340.3</v>
      </c>
      <c r="D121" s="27">
        <f>'Issue Amount'!C121</f>
        <v>50305498337.550003</v>
      </c>
    </row>
    <row r="122" spans="1:4">
      <c r="A122" s="54"/>
      <c r="B122" s="48" t="s">
        <v>3</v>
      </c>
      <c r="C122" s="17">
        <f>'Mortgage loan brokers'!C122+'Real estate credit'!C122</f>
        <v>339</v>
      </c>
      <c r="D122" s="27">
        <f>'Issue Amount'!C122</f>
        <v>44313636666.349998</v>
      </c>
    </row>
    <row r="123" spans="1:4">
      <c r="A123" s="54"/>
      <c r="B123" s="48" t="s">
        <v>2</v>
      </c>
      <c r="C123" s="17">
        <f>'Mortgage loan brokers'!C123+'Real estate credit'!C123</f>
        <v>338.8</v>
      </c>
      <c r="D123" s="27">
        <f>'Issue Amount'!C123</f>
        <v>46341564366.980003</v>
      </c>
    </row>
    <row r="124" spans="1:4">
      <c r="A124" s="54"/>
      <c r="B124" t="s">
        <v>1</v>
      </c>
      <c r="C124" s="17">
        <f>'Mortgage loan brokers'!C124+'Real estate credit'!C124</f>
        <v>341.1</v>
      </c>
      <c r="D124" s="27">
        <f>'Issue Amount'!C124</f>
        <v>50284273806.300003</v>
      </c>
    </row>
    <row r="125" spans="1:4">
      <c r="A125" s="54">
        <v>2018</v>
      </c>
      <c r="B125" t="s">
        <v>0</v>
      </c>
      <c r="C125" s="17">
        <f>'Mortgage loan brokers'!C125+'Real estate credit'!C125</f>
        <v>337.29999999999995</v>
      </c>
      <c r="D125" s="27">
        <f>'Issue Amount'!C125</f>
        <v>49447352294.730003</v>
      </c>
    </row>
    <row r="126" spans="1:4">
      <c r="A126" s="54"/>
      <c r="B126" s="49" t="s">
        <v>11</v>
      </c>
      <c r="C126" s="17">
        <f>'Mortgage loan brokers'!C126+'Real estate credit'!C126</f>
        <v>339.5</v>
      </c>
      <c r="D126" s="27">
        <f>'Issue Amount'!C126</f>
        <v>42309141581.769997</v>
      </c>
    </row>
    <row r="127" spans="1:4">
      <c r="A127" s="54"/>
      <c r="B127" s="49" t="s">
        <v>10</v>
      </c>
      <c r="C127" s="17">
        <f>'Mortgage loan brokers'!C127+'Real estate credit'!C127</f>
        <v>337.4</v>
      </c>
      <c r="D127" s="27">
        <f>'Issue Amount'!C127</f>
        <v>27198516722.27</v>
      </c>
    </row>
    <row r="128" spans="1:4">
      <c r="A128" s="54"/>
      <c r="B128" s="49" t="s">
        <v>9</v>
      </c>
      <c r="C128" s="17">
        <f>'Mortgage loan brokers'!C128+'Real estate credit'!C128</f>
        <v>337.70000000000005</v>
      </c>
      <c r="D128" s="27">
        <f>'Issue Amount'!C128</f>
        <v>49117830558.220001</v>
      </c>
    </row>
    <row r="129" spans="1:4">
      <c r="A129" s="54"/>
      <c r="B129" s="49" t="s">
        <v>8</v>
      </c>
      <c r="C129" s="17">
        <f>'Mortgage loan brokers'!C129+'Real estate credit'!C129</f>
        <v>341.5</v>
      </c>
      <c r="D129" s="27">
        <f>'Issue Amount'!C129</f>
        <v>40347506692.199997</v>
      </c>
    </row>
    <row r="130" spans="1:4">
      <c r="A130" s="54"/>
      <c r="B130" s="49" t="s">
        <v>7</v>
      </c>
    </row>
    <row r="131" spans="1:4">
      <c r="A131" s="54"/>
      <c r="B131" s="49" t="s">
        <v>6</v>
      </c>
    </row>
    <row r="132" spans="1:4">
      <c r="A132" s="54"/>
      <c r="B132" s="49" t="s">
        <v>5</v>
      </c>
    </row>
    <row r="133" spans="1:4">
      <c r="A133" s="54"/>
      <c r="B133" s="49" t="s">
        <v>4</v>
      </c>
    </row>
    <row r="134" spans="1:4">
      <c r="A134" s="54"/>
      <c r="B134" s="49" t="s">
        <v>3</v>
      </c>
    </row>
    <row r="135" spans="1:4">
      <c r="A135" s="54"/>
      <c r="B135" s="49" t="s">
        <v>2</v>
      </c>
    </row>
    <row r="136" spans="1:4">
      <c r="A136" s="54"/>
      <c r="B136" s="49" t="s">
        <v>1</v>
      </c>
    </row>
  </sheetData>
  <mergeCells count="9">
    <mergeCell ref="A113:A124"/>
    <mergeCell ref="A101:A112"/>
    <mergeCell ref="A89:A100"/>
    <mergeCell ref="A125:A136"/>
    <mergeCell ref="A29:A40"/>
    <mergeCell ref="A41:A52"/>
    <mergeCell ref="A53:A64"/>
    <mergeCell ref="A65:A76"/>
    <mergeCell ref="A77:A88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36"/>
  <sheetViews>
    <sheetView topLeftCell="A85" workbookViewId="0">
      <selection activeCell="C123" sqref="C123"/>
    </sheetView>
  </sheetViews>
  <sheetFormatPr defaultRowHeight="15"/>
  <sheetData>
    <row r="1" spans="1:13" ht="15.75">
      <c r="A1" s="57" t="s">
        <v>20</v>
      </c>
      <c r="B1" s="56"/>
      <c r="C1" s="56"/>
      <c r="D1" s="56"/>
      <c r="E1" s="56"/>
      <c r="F1" s="56"/>
    </row>
    <row r="2" spans="1:13" ht="15.75">
      <c r="A2" s="57" t="s">
        <v>21</v>
      </c>
      <c r="B2" s="56"/>
      <c r="C2" s="56"/>
      <c r="D2" s="56"/>
      <c r="E2" s="56"/>
      <c r="F2" s="56"/>
    </row>
    <row r="3" spans="1:13">
      <c r="A3" s="56"/>
      <c r="B3" s="56"/>
      <c r="C3" s="56"/>
      <c r="D3" s="56"/>
      <c r="E3" s="56"/>
      <c r="F3" s="56"/>
    </row>
    <row r="4" spans="1:13" ht="25.5">
      <c r="A4" s="14" t="s">
        <v>22</v>
      </c>
      <c r="B4" s="55" t="s">
        <v>23</v>
      </c>
      <c r="C4" s="56"/>
      <c r="D4" s="56"/>
      <c r="E4" s="56"/>
      <c r="F4" s="56"/>
    </row>
    <row r="5" spans="1:13">
      <c r="A5" s="58" t="s">
        <v>24</v>
      </c>
      <c r="B5" s="56"/>
      <c r="C5" s="56"/>
      <c r="D5" s="56"/>
      <c r="E5" s="56"/>
      <c r="F5" s="56"/>
    </row>
    <row r="6" spans="1:13" ht="25.5">
      <c r="A6" s="14" t="s">
        <v>25</v>
      </c>
      <c r="B6" s="55" t="s">
        <v>26</v>
      </c>
      <c r="C6" s="56"/>
      <c r="D6" s="56"/>
      <c r="E6" s="56"/>
      <c r="F6" s="56"/>
    </row>
    <row r="7" spans="1:13">
      <c r="A7" s="14" t="s">
        <v>27</v>
      </c>
      <c r="B7" s="55" t="s">
        <v>28</v>
      </c>
      <c r="C7" s="56"/>
      <c r="D7" s="56"/>
      <c r="E7" s="56"/>
      <c r="F7" s="56"/>
    </row>
    <row r="8" spans="1:13" ht="25.5">
      <c r="A8" s="14" t="s">
        <v>29</v>
      </c>
      <c r="B8" s="55" t="s">
        <v>30</v>
      </c>
      <c r="C8" s="56"/>
      <c r="D8" s="56"/>
      <c r="E8" s="56"/>
      <c r="F8" s="56"/>
    </row>
    <row r="9" spans="1:13" ht="25.5">
      <c r="A9" s="14" t="s">
        <v>31</v>
      </c>
      <c r="B9" s="55" t="s">
        <v>32</v>
      </c>
      <c r="C9" s="56"/>
      <c r="D9" s="56"/>
      <c r="E9" s="56"/>
      <c r="F9" s="56"/>
    </row>
    <row r="10" spans="1:13">
      <c r="A10" s="14" t="s">
        <v>33</v>
      </c>
      <c r="B10" s="59" t="s">
        <v>34</v>
      </c>
      <c r="C10" s="56"/>
      <c r="D10" s="56"/>
      <c r="E10" s="56"/>
      <c r="F10" s="56"/>
    </row>
    <row r="12" spans="1:13" ht="15.75" thickBot="1">
      <c r="A12" s="15" t="s">
        <v>35</v>
      </c>
      <c r="B12" s="15" t="s">
        <v>0</v>
      </c>
      <c r="C12" s="15" t="s">
        <v>11</v>
      </c>
      <c r="D12" s="15" t="s">
        <v>10</v>
      </c>
      <c r="E12" s="15" t="s">
        <v>9</v>
      </c>
      <c r="F12" s="15" t="s">
        <v>8</v>
      </c>
      <c r="G12" s="15" t="s">
        <v>7</v>
      </c>
      <c r="H12" s="15" t="s">
        <v>6</v>
      </c>
      <c r="I12" s="15" t="s">
        <v>5</v>
      </c>
      <c r="J12" s="15" t="s">
        <v>4</v>
      </c>
      <c r="K12" s="15" t="s">
        <v>3</v>
      </c>
      <c r="L12" s="15" t="s">
        <v>2</v>
      </c>
      <c r="M12" s="15" t="s">
        <v>1</v>
      </c>
    </row>
    <row r="13" spans="1:13" ht="15.75" thickTop="1">
      <c r="A13" s="16">
        <v>2005</v>
      </c>
      <c r="B13" s="17">
        <v>133</v>
      </c>
      <c r="C13" s="17">
        <v>135.9</v>
      </c>
      <c r="D13" s="17">
        <v>137.4</v>
      </c>
      <c r="E13" s="17">
        <v>137.4</v>
      </c>
      <c r="F13" s="17">
        <v>138.9</v>
      </c>
      <c r="G13" s="17">
        <v>142.19999999999999</v>
      </c>
      <c r="H13" s="17">
        <v>141</v>
      </c>
      <c r="I13" s="17">
        <v>143.80000000000001</v>
      </c>
      <c r="J13" s="17">
        <v>143.6</v>
      </c>
      <c r="K13" s="17">
        <v>145.6</v>
      </c>
      <c r="L13" s="17">
        <v>144.6</v>
      </c>
      <c r="M13" s="17">
        <v>146.5</v>
      </c>
    </row>
    <row r="14" spans="1:13">
      <c r="A14" s="16">
        <v>2006</v>
      </c>
      <c r="B14" s="17">
        <v>146.1</v>
      </c>
      <c r="C14" s="17">
        <v>147</v>
      </c>
      <c r="D14" s="17">
        <v>146.4</v>
      </c>
      <c r="E14" s="17">
        <v>148.19999999999999</v>
      </c>
      <c r="F14" s="17">
        <v>146.9</v>
      </c>
      <c r="G14" s="17">
        <v>145.30000000000001</v>
      </c>
      <c r="H14" s="17">
        <v>145.5</v>
      </c>
      <c r="I14" s="17">
        <v>143.4</v>
      </c>
      <c r="J14" s="17">
        <v>142.30000000000001</v>
      </c>
      <c r="K14" s="17">
        <v>144.19999999999999</v>
      </c>
      <c r="L14" s="17">
        <v>142.19999999999999</v>
      </c>
      <c r="M14" s="17">
        <v>141.1</v>
      </c>
    </row>
    <row r="15" spans="1:13">
      <c r="A15" s="16">
        <v>2007</v>
      </c>
      <c r="B15" s="17">
        <v>135.6</v>
      </c>
      <c r="C15" s="17">
        <v>137.9</v>
      </c>
      <c r="D15" s="17">
        <v>136.9</v>
      </c>
      <c r="E15" s="17">
        <v>134.9</v>
      </c>
      <c r="F15" s="17">
        <v>127.8</v>
      </c>
      <c r="G15" s="17">
        <v>124.8</v>
      </c>
      <c r="H15" s="17">
        <v>119.3</v>
      </c>
      <c r="I15" s="17">
        <v>117.8</v>
      </c>
      <c r="J15" s="17">
        <v>112.6</v>
      </c>
      <c r="K15" s="17">
        <v>106.9</v>
      </c>
      <c r="L15" s="17">
        <v>102.6</v>
      </c>
      <c r="M15" s="17">
        <v>98.4</v>
      </c>
    </row>
    <row r="16" spans="1:13">
      <c r="A16" s="16">
        <v>2008</v>
      </c>
      <c r="B16" s="17">
        <v>92.6</v>
      </c>
      <c r="C16" s="17">
        <v>91.5</v>
      </c>
      <c r="D16" s="17">
        <v>88.2</v>
      </c>
      <c r="E16" s="17">
        <v>85.8</v>
      </c>
      <c r="F16" s="17">
        <v>84.7</v>
      </c>
      <c r="G16" s="17">
        <v>84</v>
      </c>
      <c r="H16" s="17">
        <v>82.1</v>
      </c>
      <c r="I16" s="17">
        <v>80.8</v>
      </c>
      <c r="J16" s="17">
        <v>79.400000000000006</v>
      </c>
      <c r="K16" s="17">
        <v>75.2</v>
      </c>
      <c r="L16" s="17">
        <v>73.400000000000006</v>
      </c>
      <c r="M16" s="17">
        <v>72</v>
      </c>
    </row>
    <row r="17" spans="1:13">
      <c r="A17" s="16">
        <v>2009</v>
      </c>
      <c r="B17" s="17">
        <v>70</v>
      </c>
      <c r="C17" s="17">
        <v>69.400000000000006</v>
      </c>
      <c r="D17" s="17">
        <v>69.2</v>
      </c>
      <c r="E17" s="17">
        <v>69.3</v>
      </c>
      <c r="F17" s="17">
        <v>66.400000000000006</v>
      </c>
      <c r="G17" s="17">
        <v>67.099999999999994</v>
      </c>
      <c r="H17" s="17">
        <v>64.8</v>
      </c>
      <c r="I17" s="17">
        <v>63.9</v>
      </c>
      <c r="J17" s="17">
        <v>64.2</v>
      </c>
      <c r="K17" s="17">
        <v>62.3</v>
      </c>
      <c r="L17" s="17">
        <v>63.9</v>
      </c>
      <c r="M17" s="17">
        <v>63.7</v>
      </c>
    </row>
    <row r="18" spans="1:13">
      <c r="A18" s="16">
        <v>2010</v>
      </c>
      <c r="B18" s="17">
        <v>60.7</v>
      </c>
      <c r="C18" s="17">
        <v>61.1</v>
      </c>
      <c r="D18" s="17">
        <v>60.6</v>
      </c>
      <c r="E18" s="17">
        <v>60.7</v>
      </c>
      <c r="F18" s="17">
        <v>61.8</v>
      </c>
      <c r="G18" s="17">
        <v>61</v>
      </c>
      <c r="H18" s="17">
        <v>61.4</v>
      </c>
      <c r="I18" s="17">
        <v>61.7</v>
      </c>
      <c r="J18" s="17">
        <v>63.8</v>
      </c>
      <c r="K18" s="17">
        <v>66.2</v>
      </c>
      <c r="L18" s="17">
        <v>66.5</v>
      </c>
      <c r="M18" s="17">
        <v>65.3</v>
      </c>
    </row>
    <row r="19" spans="1:13">
      <c r="A19" s="16">
        <v>2011</v>
      </c>
      <c r="B19" s="17">
        <v>61.2</v>
      </c>
      <c r="C19" s="17">
        <v>60.9</v>
      </c>
      <c r="D19" s="17">
        <v>59</v>
      </c>
      <c r="E19" s="17">
        <v>57.3</v>
      </c>
      <c r="F19" s="17">
        <v>56.4</v>
      </c>
      <c r="G19" s="17">
        <v>55.2</v>
      </c>
      <c r="H19" s="17">
        <v>55.8</v>
      </c>
      <c r="I19" s="17">
        <v>55.3</v>
      </c>
      <c r="J19" s="17">
        <v>56.7</v>
      </c>
      <c r="K19" s="17">
        <v>58.8</v>
      </c>
      <c r="L19" s="17">
        <v>59.9</v>
      </c>
      <c r="M19" s="17">
        <v>60.9</v>
      </c>
    </row>
    <row r="20" spans="1:13">
      <c r="A20" s="16">
        <v>2012</v>
      </c>
      <c r="B20" s="17">
        <v>59.4</v>
      </c>
      <c r="C20" s="17">
        <v>60.7</v>
      </c>
      <c r="D20" s="17">
        <v>61.9</v>
      </c>
      <c r="E20" s="17">
        <v>64.400000000000006</v>
      </c>
      <c r="F20" s="17">
        <v>66.3</v>
      </c>
      <c r="G20" s="17">
        <v>69.5</v>
      </c>
      <c r="H20" s="17">
        <v>71</v>
      </c>
      <c r="I20" s="17">
        <v>72.7</v>
      </c>
      <c r="J20" s="17">
        <v>73.2</v>
      </c>
      <c r="K20" s="17">
        <v>74.3</v>
      </c>
      <c r="L20" s="17">
        <v>74.900000000000006</v>
      </c>
      <c r="M20" s="17">
        <v>75.3</v>
      </c>
    </row>
    <row r="21" spans="1:13">
      <c r="A21" s="16">
        <v>2013</v>
      </c>
      <c r="B21" s="17">
        <v>74.5</v>
      </c>
      <c r="C21" s="17">
        <v>74.599999999999994</v>
      </c>
      <c r="D21" s="17">
        <v>74.900000000000006</v>
      </c>
      <c r="E21" s="17">
        <v>77.3</v>
      </c>
      <c r="F21" s="17">
        <v>76.5</v>
      </c>
      <c r="G21" s="17">
        <v>76.2</v>
      </c>
      <c r="H21" s="17">
        <v>77.8</v>
      </c>
      <c r="I21" s="17">
        <v>75.8</v>
      </c>
      <c r="J21" s="17">
        <v>72.900000000000006</v>
      </c>
      <c r="K21" s="17">
        <v>72.7</v>
      </c>
      <c r="L21" s="17">
        <v>74</v>
      </c>
      <c r="M21" s="17">
        <v>73.099999999999994</v>
      </c>
    </row>
    <row r="22" spans="1:13">
      <c r="A22" s="16">
        <v>2014</v>
      </c>
      <c r="B22" s="17">
        <v>70.099999999999994</v>
      </c>
      <c r="C22" s="17">
        <v>70.8</v>
      </c>
      <c r="D22" s="17">
        <v>70.099999999999994</v>
      </c>
      <c r="E22" s="17">
        <v>69.2</v>
      </c>
      <c r="F22" s="17">
        <v>70.599999999999994</v>
      </c>
      <c r="G22" s="17">
        <v>70.8</v>
      </c>
      <c r="H22" s="17">
        <v>71.099999999999994</v>
      </c>
      <c r="I22" s="17">
        <v>71.3</v>
      </c>
      <c r="J22" s="17">
        <v>72.900000000000006</v>
      </c>
      <c r="K22" s="17">
        <v>72.599999999999994</v>
      </c>
      <c r="L22" s="17">
        <v>74.599999999999994</v>
      </c>
      <c r="M22" s="17">
        <v>75.2</v>
      </c>
    </row>
    <row r="23" spans="1:13">
      <c r="A23" s="16">
        <v>2015</v>
      </c>
      <c r="B23" s="17">
        <v>74.8</v>
      </c>
      <c r="C23" s="17">
        <v>76</v>
      </c>
      <c r="D23" s="17">
        <v>76.400000000000006</v>
      </c>
      <c r="E23" s="17">
        <v>78.099999999999994</v>
      </c>
      <c r="F23" s="17">
        <v>78.8</v>
      </c>
      <c r="G23" s="17">
        <v>80.599999999999994</v>
      </c>
      <c r="H23" s="37">
        <v>81.8</v>
      </c>
      <c r="I23" s="37">
        <v>82.1</v>
      </c>
      <c r="J23" s="17">
        <v>82.3</v>
      </c>
      <c r="K23" s="37">
        <v>81.5</v>
      </c>
      <c r="L23" s="37">
        <v>81.900000000000006</v>
      </c>
      <c r="M23" s="37">
        <v>82.7</v>
      </c>
    </row>
    <row r="24" spans="1:13">
      <c r="A24" s="16">
        <v>2016</v>
      </c>
      <c r="B24" s="42">
        <v>82.4</v>
      </c>
      <c r="C24" s="42">
        <v>81.900000000000006</v>
      </c>
      <c r="D24" s="42">
        <v>82</v>
      </c>
      <c r="E24" s="42">
        <v>83.2</v>
      </c>
      <c r="F24" s="42">
        <v>84.1</v>
      </c>
      <c r="G24" s="42">
        <v>87.3</v>
      </c>
      <c r="H24" s="42">
        <v>89.8</v>
      </c>
      <c r="I24" s="42">
        <v>90.7</v>
      </c>
      <c r="J24" s="42">
        <v>90.2</v>
      </c>
      <c r="K24" s="42">
        <v>91.3</v>
      </c>
      <c r="L24" s="42">
        <v>92.4</v>
      </c>
      <c r="M24" s="42">
        <v>93.3</v>
      </c>
    </row>
    <row r="25" spans="1:13">
      <c r="A25" s="16">
        <v>2017</v>
      </c>
      <c r="B25" s="17">
        <v>86.8</v>
      </c>
      <c r="C25" s="33">
        <v>87.7</v>
      </c>
      <c r="D25" s="49">
        <v>89.3</v>
      </c>
      <c r="E25" s="49">
        <v>89.6</v>
      </c>
      <c r="F25" s="49">
        <v>91</v>
      </c>
      <c r="G25" s="49">
        <v>93.1</v>
      </c>
      <c r="H25" s="49">
        <v>93.3</v>
      </c>
      <c r="I25" s="49">
        <v>94.5</v>
      </c>
      <c r="J25" s="49">
        <v>93.3</v>
      </c>
      <c r="K25" s="49">
        <v>93</v>
      </c>
      <c r="L25" s="49">
        <v>92.8</v>
      </c>
      <c r="M25" s="49">
        <v>93.6</v>
      </c>
    </row>
    <row r="26" spans="1:13">
      <c r="A26" s="16">
        <v>2018</v>
      </c>
      <c r="B26" s="17">
        <v>92.5</v>
      </c>
    </row>
    <row r="29" spans="1:13">
      <c r="A29" s="54">
        <v>2010</v>
      </c>
      <c r="B29" t="s">
        <v>0</v>
      </c>
      <c r="C29" s="17">
        <v>60.7</v>
      </c>
    </row>
    <row r="30" spans="1:13">
      <c r="A30" s="54"/>
      <c r="B30" t="s">
        <v>11</v>
      </c>
      <c r="C30" s="17">
        <v>61.1</v>
      </c>
    </row>
    <row r="31" spans="1:13">
      <c r="A31" s="54"/>
      <c r="B31" t="s">
        <v>10</v>
      </c>
      <c r="C31" s="17">
        <v>60.6</v>
      </c>
    </row>
    <row r="32" spans="1:13">
      <c r="A32" s="54"/>
      <c r="B32" t="s">
        <v>9</v>
      </c>
      <c r="C32" s="17">
        <v>60.7</v>
      </c>
    </row>
    <row r="33" spans="1:3">
      <c r="A33" s="54"/>
      <c r="B33" t="s">
        <v>8</v>
      </c>
      <c r="C33" s="17">
        <v>61.8</v>
      </c>
    </row>
    <row r="34" spans="1:3">
      <c r="A34" s="54"/>
      <c r="B34" t="s">
        <v>7</v>
      </c>
      <c r="C34" s="17">
        <v>61</v>
      </c>
    </row>
    <row r="35" spans="1:3">
      <c r="A35" s="54"/>
      <c r="B35" t="s">
        <v>6</v>
      </c>
      <c r="C35" s="17">
        <v>61.4</v>
      </c>
    </row>
    <row r="36" spans="1:3">
      <c r="A36" s="54"/>
      <c r="B36" t="s">
        <v>5</v>
      </c>
      <c r="C36" s="17">
        <v>61.7</v>
      </c>
    </row>
    <row r="37" spans="1:3">
      <c r="A37" s="54"/>
      <c r="B37" t="s">
        <v>4</v>
      </c>
      <c r="C37" s="17">
        <v>63.8</v>
      </c>
    </row>
    <row r="38" spans="1:3">
      <c r="A38" s="54"/>
      <c r="B38" t="s">
        <v>3</v>
      </c>
      <c r="C38" s="17">
        <v>66.2</v>
      </c>
    </row>
    <row r="39" spans="1:3">
      <c r="A39" s="54"/>
      <c r="B39" t="s">
        <v>2</v>
      </c>
      <c r="C39" s="17">
        <v>66.5</v>
      </c>
    </row>
    <row r="40" spans="1:3">
      <c r="A40" s="54"/>
      <c r="B40" t="s">
        <v>1</v>
      </c>
      <c r="C40" s="17">
        <v>65.3</v>
      </c>
    </row>
    <row r="41" spans="1:3">
      <c r="A41" s="54">
        <v>2011</v>
      </c>
      <c r="B41" t="s">
        <v>0</v>
      </c>
      <c r="C41" s="17">
        <v>61.2</v>
      </c>
    </row>
    <row r="42" spans="1:3">
      <c r="A42" s="54"/>
      <c r="B42" t="s">
        <v>11</v>
      </c>
      <c r="C42" s="17">
        <v>60.9</v>
      </c>
    </row>
    <row r="43" spans="1:3">
      <c r="A43" s="54"/>
      <c r="B43" t="s">
        <v>10</v>
      </c>
      <c r="C43" s="17">
        <v>59</v>
      </c>
    </row>
    <row r="44" spans="1:3">
      <c r="A44" s="54"/>
      <c r="B44" t="s">
        <v>9</v>
      </c>
      <c r="C44" s="17">
        <v>57.3</v>
      </c>
    </row>
    <row r="45" spans="1:3">
      <c r="A45" s="54"/>
      <c r="B45" t="s">
        <v>8</v>
      </c>
      <c r="C45" s="17">
        <v>56.4</v>
      </c>
    </row>
    <row r="46" spans="1:3">
      <c r="A46" s="54"/>
      <c r="B46" t="s">
        <v>7</v>
      </c>
      <c r="C46" s="17">
        <v>55.2</v>
      </c>
    </row>
    <row r="47" spans="1:3">
      <c r="A47" s="54"/>
      <c r="B47" t="s">
        <v>6</v>
      </c>
      <c r="C47" s="17">
        <v>55.8</v>
      </c>
    </row>
    <row r="48" spans="1:3">
      <c r="A48" s="54"/>
      <c r="B48" t="s">
        <v>5</v>
      </c>
      <c r="C48" s="17">
        <v>55.3</v>
      </c>
    </row>
    <row r="49" spans="1:3">
      <c r="A49" s="54"/>
      <c r="B49" t="s">
        <v>4</v>
      </c>
      <c r="C49" s="17">
        <v>56.7</v>
      </c>
    </row>
    <row r="50" spans="1:3">
      <c r="A50" s="54"/>
      <c r="B50" t="s">
        <v>3</v>
      </c>
      <c r="C50" s="17">
        <v>58.8</v>
      </c>
    </row>
    <row r="51" spans="1:3">
      <c r="A51" s="54"/>
      <c r="B51" t="s">
        <v>2</v>
      </c>
      <c r="C51" s="17">
        <v>59.9</v>
      </c>
    </row>
    <row r="52" spans="1:3">
      <c r="A52" s="54"/>
      <c r="B52" t="s">
        <v>1</v>
      </c>
      <c r="C52" s="17">
        <v>60.9</v>
      </c>
    </row>
    <row r="53" spans="1:3">
      <c r="A53" s="54">
        <v>2012</v>
      </c>
      <c r="B53" t="s">
        <v>0</v>
      </c>
      <c r="C53" s="17">
        <v>59.4</v>
      </c>
    </row>
    <row r="54" spans="1:3">
      <c r="A54" s="54"/>
      <c r="B54" t="s">
        <v>11</v>
      </c>
      <c r="C54" s="17">
        <v>60.7</v>
      </c>
    </row>
    <row r="55" spans="1:3">
      <c r="A55" s="54"/>
      <c r="B55" t="s">
        <v>10</v>
      </c>
      <c r="C55" s="17">
        <v>61.9</v>
      </c>
    </row>
    <row r="56" spans="1:3">
      <c r="A56" s="54"/>
      <c r="B56" t="s">
        <v>9</v>
      </c>
      <c r="C56" s="17">
        <v>64.400000000000006</v>
      </c>
    </row>
    <row r="57" spans="1:3">
      <c r="A57" s="54"/>
      <c r="B57" t="s">
        <v>8</v>
      </c>
      <c r="C57" s="17">
        <v>66.3</v>
      </c>
    </row>
    <row r="58" spans="1:3">
      <c r="A58" s="54"/>
      <c r="B58" t="s">
        <v>7</v>
      </c>
      <c r="C58" s="17">
        <v>69.5</v>
      </c>
    </row>
    <row r="59" spans="1:3">
      <c r="A59" s="54"/>
      <c r="B59" t="s">
        <v>6</v>
      </c>
      <c r="C59" s="17">
        <v>71</v>
      </c>
    </row>
    <row r="60" spans="1:3">
      <c r="A60" s="54"/>
      <c r="B60" t="s">
        <v>5</v>
      </c>
      <c r="C60" s="17">
        <v>72.7</v>
      </c>
    </row>
    <row r="61" spans="1:3">
      <c r="A61" s="54"/>
      <c r="B61" t="s">
        <v>4</v>
      </c>
      <c r="C61" s="17">
        <v>73.2</v>
      </c>
    </row>
    <row r="62" spans="1:3">
      <c r="A62" s="54"/>
      <c r="B62" t="s">
        <v>3</v>
      </c>
      <c r="C62" s="17">
        <v>74.3</v>
      </c>
    </row>
    <row r="63" spans="1:3">
      <c r="A63" s="54"/>
      <c r="B63" t="s">
        <v>2</v>
      </c>
      <c r="C63" s="17">
        <v>74.900000000000006</v>
      </c>
    </row>
    <row r="64" spans="1:3">
      <c r="A64" s="54"/>
      <c r="B64" t="s">
        <v>1</v>
      </c>
      <c r="C64" s="17">
        <v>75.3</v>
      </c>
    </row>
    <row r="65" spans="1:3">
      <c r="A65" s="54">
        <v>2013</v>
      </c>
      <c r="B65" t="s">
        <v>0</v>
      </c>
      <c r="C65" s="17">
        <v>74.5</v>
      </c>
    </row>
    <row r="66" spans="1:3">
      <c r="A66" s="54"/>
      <c r="B66" t="s">
        <v>11</v>
      </c>
      <c r="C66" s="17">
        <v>74.599999999999994</v>
      </c>
    </row>
    <row r="67" spans="1:3">
      <c r="A67" s="54"/>
      <c r="B67" t="s">
        <v>10</v>
      </c>
      <c r="C67" s="17">
        <v>74.900000000000006</v>
      </c>
    </row>
    <row r="68" spans="1:3">
      <c r="A68" s="54"/>
      <c r="B68" t="s">
        <v>9</v>
      </c>
      <c r="C68" s="17">
        <v>77.3</v>
      </c>
    </row>
    <row r="69" spans="1:3">
      <c r="A69" s="54"/>
      <c r="B69" t="s">
        <v>8</v>
      </c>
      <c r="C69" s="17">
        <v>76.5</v>
      </c>
    </row>
    <row r="70" spans="1:3">
      <c r="A70" s="54"/>
      <c r="B70" t="s">
        <v>7</v>
      </c>
      <c r="C70" s="17">
        <v>76.2</v>
      </c>
    </row>
    <row r="71" spans="1:3">
      <c r="A71" s="54"/>
      <c r="B71" t="s">
        <v>6</v>
      </c>
      <c r="C71" s="17">
        <v>77.8</v>
      </c>
    </row>
    <row r="72" spans="1:3">
      <c r="A72" s="54"/>
      <c r="B72" t="s">
        <v>5</v>
      </c>
      <c r="C72" s="17">
        <v>75.8</v>
      </c>
    </row>
    <row r="73" spans="1:3">
      <c r="A73" s="54"/>
      <c r="B73" t="s">
        <v>4</v>
      </c>
      <c r="C73" s="17">
        <v>72.900000000000006</v>
      </c>
    </row>
    <row r="74" spans="1:3">
      <c r="A74" s="54"/>
      <c r="B74" t="s">
        <v>3</v>
      </c>
      <c r="C74" s="17">
        <v>72.7</v>
      </c>
    </row>
    <row r="75" spans="1:3">
      <c r="A75" s="54"/>
      <c r="B75" t="s">
        <v>2</v>
      </c>
      <c r="C75" s="17">
        <v>74</v>
      </c>
    </row>
    <row r="76" spans="1:3">
      <c r="A76" s="54"/>
      <c r="B76" t="s">
        <v>1</v>
      </c>
      <c r="C76" s="17">
        <v>73.099999999999994</v>
      </c>
    </row>
    <row r="77" spans="1:3">
      <c r="A77" s="54">
        <v>2014</v>
      </c>
      <c r="B77" t="s">
        <v>0</v>
      </c>
      <c r="C77" s="17">
        <v>70.099999999999994</v>
      </c>
    </row>
    <row r="78" spans="1:3">
      <c r="A78" s="54"/>
      <c r="B78" t="s">
        <v>11</v>
      </c>
      <c r="C78" s="17">
        <v>70.8</v>
      </c>
    </row>
    <row r="79" spans="1:3">
      <c r="A79" s="54"/>
      <c r="B79" t="s">
        <v>10</v>
      </c>
      <c r="C79" s="17">
        <v>70.099999999999994</v>
      </c>
    </row>
    <row r="80" spans="1:3">
      <c r="A80" s="54"/>
      <c r="B80" t="s">
        <v>9</v>
      </c>
      <c r="C80" s="17">
        <v>69.2</v>
      </c>
    </row>
    <row r="81" spans="1:3">
      <c r="A81" s="54"/>
      <c r="B81" t="s">
        <v>8</v>
      </c>
      <c r="C81" s="17">
        <v>70.599999999999994</v>
      </c>
    </row>
    <row r="82" spans="1:3">
      <c r="A82" s="54"/>
      <c r="B82" t="s">
        <v>7</v>
      </c>
      <c r="C82" s="17">
        <v>70.8</v>
      </c>
    </row>
    <row r="83" spans="1:3">
      <c r="A83" s="54"/>
      <c r="B83" t="s">
        <v>6</v>
      </c>
      <c r="C83" s="17">
        <v>71.099999999999994</v>
      </c>
    </row>
    <row r="84" spans="1:3">
      <c r="A84" s="54"/>
      <c r="B84" t="s">
        <v>5</v>
      </c>
      <c r="C84" s="17">
        <v>71.3</v>
      </c>
    </row>
    <row r="85" spans="1:3">
      <c r="A85" s="54"/>
      <c r="B85" t="s">
        <v>4</v>
      </c>
      <c r="C85" s="17">
        <v>72.900000000000006</v>
      </c>
    </row>
    <row r="86" spans="1:3">
      <c r="A86" s="54"/>
      <c r="B86" t="s">
        <v>3</v>
      </c>
      <c r="C86" s="17">
        <v>72.599999999999994</v>
      </c>
    </row>
    <row r="87" spans="1:3">
      <c r="A87" s="54"/>
      <c r="B87" t="s">
        <v>2</v>
      </c>
      <c r="C87" s="17">
        <v>74.599999999999994</v>
      </c>
    </row>
    <row r="88" spans="1:3">
      <c r="A88" s="54"/>
      <c r="B88" t="s">
        <v>1</v>
      </c>
      <c r="C88" s="17">
        <v>75.2</v>
      </c>
    </row>
    <row r="89" spans="1:3">
      <c r="A89" s="54">
        <v>2015</v>
      </c>
      <c r="B89" t="s">
        <v>0</v>
      </c>
      <c r="C89" s="17">
        <v>74.8</v>
      </c>
    </row>
    <row r="90" spans="1:3">
      <c r="A90" s="54"/>
      <c r="B90" t="s">
        <v>11</v>
      </c>
      <c r="C90" s="17">
        <v>76</v>
      </c>
    </row>
    <row r="91" spans="1:3">
      <c r="A91" s="54"/>
      <c r="B91" t="s">
        <v>10</v>
      </c>
      <c r="C91" s="17">
        <v>76.400000000000006</v>
      </c>
    </row>
    <row r="92" spans="1:3">
      <c r="A92" s="54"/>
      <c r="B92" t="s">
        <v>9</v>
      </c>
      <c r="C92" s="17">
        <v>78.099999999999994</v>
      </c>
    </row>
    <row r="93" spans="1:3">
      <c r="A93" s="54"/>
      <c r="B93" t="s">
        <v>8</v>
      </c>
      <c r="C93" s="17">
        <v>78.8</v>
      </c>
    </row>
    <row r="94" spans="1:3">
      <c r="A94" s="54"/>
      <c r="B94" t="s">
        <v>7</v>
      </c>
      <c r="C94" s="17">
        <v>80.599999999999994</v>
      </c>
    </row>
    <row r="95" spans="1:3">
      <c r="A95" s="54"/>
      <c r="B95" t="s">
        <v>6</v>
      </c>
      <c r="C95" s="42">
        <v>81.8</v>
      </c>
    </row>
    <row r="96" spans="1:3">
      <c r="A96" s="54"/>
      <c r="B96" t="s">
        <v>5</v>
      </c>
      <c r="C96" s="42">
        <v>82.1</v>
      </c>
    </row>
    <row r="97" spans="1:3">
      <c r="A97" s="54"/>
      <c r="B97" t="s">
        <v>4</v>
      </c>
      <c r="C97" s="17">
        <v>82.3</v>
      </c>
    </row>
    <row r="98" spans="1:3">
      <c r="A98" s="54"/>
      <c r="B98" t="s">
        <v>3</v>
      </c>
      <c r="C98" s="42">
        <v>81.5</v>
      </c>
    </row>
    <row r="99" spans="1:3">
      <c r="A99" s="54"/>
      <c r="B99" t="s">
        <v>2</v>
      </c>
      <c r="C99" s="42">
        <v>81.900000000000006</v>
      </c>
    </row>
    <row r="100" spans="1:3">
      <c r="A100" s="54"/>
      <c r="B100" t="s">
        <v>1</v>
      </c>
      <c r="C100" s="42">
        <v>82.7</v>
      </c>
    </row>
    <row r="101" spans="1:3">
      <c r="A101" s="54">
        <v>2016</v>
      </c>
      <c r="B101" s="37" t="s">
        <v>0</v>
      </c>
      <c r="C101" s="49">
        <v>82.4</v>
      </c>
    </row>
    <row r="102" spans="1:3">
      <c r="A102" s="54"/>
      <c r="B102" s="37" t="s">
        <v>11</v>
      </c>
      <c r="C102" s="49">
        <v>81.900000000000006</v>
      </c>
    </row>
    <row r="103" spans="1:3">
      <c r="A103" s="54"/>
      <c r="B103" s="37" t="s">
        <v>10</v>
      </c>
      <c r="C103" s="49">
        <v>82</v>
      </c>
    </row>
    <row r="104" spans="1:3">
      <c r="A104" s="54"/>
      <c r="B104" s="37" t="s">
        <v>9</v>
      </c>
      <c r="C104" s="49">
        <v>83.2</v>
      </c>
    </row>
    <row r="105" spans="1:3">
      <c r="A105" s="54"/>
      <c r="B105" s="37" t="s">
        <v>8</v>
      </c>
      <c r="C105" s="49">
        <v>84.1</v>
      </c>
    </row>
    <row r="106" spans="1:3">
      <c r="A106" s="54"/>
      <c r="B106" s="37" t="s">
        <v>7</v>
      </c>
      <c r="C106" s="49">
        <v>87.3</v>
      </c>
    </row>
    <row r="107" spans="1:3">
      <c r="A107" s="54"/>
      <c r="B107" s="37" t="s">
        <v>6</v>
      </c>
      <c r="C107" s="49">
        <v>89.8</v>
      </c>
    </row>
    <row r="108" spans="1:3">
      <c r="A108" s="54"/>
      <c r="B108" s="37" t="s">
        <v>5</v>
      </c>
      <c r="C108" s="49">
        <v>90.7</v>
      </c>
    </row>
    <row r="109" spans="1:3">
      <c r="A109" s="54"/>
      <c r="B109" s="37" t="s">
        <v>4</v>
      </c>
      <c r="C109" s="49">
        <v>90.2</v>
      </c>
    </row>
    <row r="110" spans="1:3">
      <c r="A110" s="54"/>
      <c r="B110" s="37" t="s">
        <v>3</v>
      </c>
      <c r="C110" s="49">
        <v>91.3</v>
      </c>
    </row>
    <row r="111" spans="1:3">
      <c r="A111" s="54"/>
      <c r="B111" s="37" t="s">
        <v>2</v>
      </c>
      <c r="C111" s="49">
        <v>92.4</v>
      </c>
    </row>
    <row r="112" spans="1:3">
      <c r="A112" s="54"/>
      <c r="B112" s="37" t="s">
        <v>1</v>
      </c>
      <c r="C112" s="49">
        <v>93.3</v>
      </c>
    </row>
    <row r="113" spans="1:3">
      <c r="A113" s="54">
        <v>2017</v>
      </c>
      <c r="B113" s="49" t="s">
        <v>0</v>
      </c>
      <c r="C113" s="17">
        <v>86.8</v>
      </c>
    </row>
    <row r="114" spans="1:3">
      <c r="A114" s="54"/>
      <c r="B114" s="49" t="s">
        <v>11</v>
      </c>
      <c r="C114" s="33">
        <v>87.7</v>
      </c>
    </row>
    <row r="115" spans="1:3">
      <c r="A115" s="54"/>
      <c r="B115" s="49" t="s">
        <v>10</v>
      </c>
      <c r="C115" s="49">
        <v>89.3</v>
      </c>
    </row>
    <row r="116" spans="1:3">
      <c r="A116" s="54"/>
      <c r="B116" s="49" t="s">
        <v>9</v>
      </c>
      <c r="C116" s="49">
        <v>89.6</v>
      </c>
    </row>
    <row r="117" spans="1:3">
      <c r="A117" s="54"/>
      <c r="B117" s="49" t="s">
        <v>8</v>
      </c>
      <c r="C117" s="49">
        <v>91</v>
      </c>
    </row>
    <row r="118" spans="1:3">
      <c r="A118" s="54"/>
      <c r="B118" s="49" t="s">
        <v>7</v>
      </c>
      <c r="C118" s="49">
        <v>93.1</v>
      </c>
    </row>
    <row r="119" spans="1:3">
      <c r="A119" s="54"/>
      <c r="B119" s="49" t="s">
        <v>6</v>
      </c>
      <c r="C119" s="49">
        <v>93.3</v>
      </c>
    </row>
    <row r="120" spans="1:3">
      <c r="A120" s="54"/>
      <c r="B120" s="49" t="s">
        <v>5</v>
      </c>
      <c r="C120" s="49">
        <v>94.5</v>
      </c>
    </row>
    <row r="121" spans="1:3">
      <c r="A121" s="54"/>
      <c r="B121" s="49" t="s">
        <v>4</v>
      </c>
      <c r="C121" s="49">
        <v>93.3</v>
      </c>
    </row>
    <row r="122" spans="1:3">
      <c r="A122" s="54"/>
      <c r="B122" s="49" t="s">
        <v>3</v>
      </c>
      <c r="C122" s="49">
        <v>93</v>
      </c>
    </row>
    <row r="123" spans="1:3">
      <c r="A123" s="54"/>
      <c r="B123" s="49" t="s">
        <v>2</v>
      </c>
      <c r="C123" s="49">
        <v>92.8</v>
      </c>
    </row>
    <row r="124" spans="1:3">
      <c r="A124" s="54"/>
      <c r="B124" s="49" t="s">
        <v>1</v>
      </c>
      <c r="C124" s="49">
        <v>93.6</v>
      </c>
    </row>
    <row r="125" spans="1:3">
      <c r="A125" s="54">
        <v>2018</v>
      </c>
      <c r="B125" s="49" t="s">
        <v>0</v>
      </c>
      <c r="C125">
        <v>92.6</v>
      </c>
    </row>
    <row r="126" spans="1:3">
      <c r="A126" s="54"/>
      <c r="B126" s="49" t="s">
        <v>11</v>
      </c>
      <c r="C126">
        <v>93.9</v>
      </c>
    </row>
    <row r="127" spans="1:3">
      <c r="A127" s="54"/>
      <c r="B127" s="49" t="s">
        <v>10</v>
      </c>
      <c r="C127">
        <v>92.8</v>
      </c>
    </row>
    <row r="128" spans="1:3">
      <c r="A128" s="54"/>
      <c r="B128" s="49" t="s">
        <v>9</v>
      </c>
      <c r="C128">
        <v>91.9</v>
      </c>
    </row>
    <row r="129" spans="1:3">
      <c r="A129" s="54"/>
      <c r="B129" s="49" t="s">
        <v>8</v>
      </c>
      <c r="C129">
        <v>91.3</v>
      </c>
    </row>
    <row r="130" spans="1:3">
      <c r="A130" s="54"/>
      <c r="B130" s="49" t="s">
        <v>7</v>
      </c>
    </row>
    <row r="131" spans="1:3">
      <c r="A131" s="54"/>
      <c r="B131" s="49" t="s">
        <v>6</v>
      </c>
    </row>
    <row r="132" spans="1:3">
      <c r="A132" s="54"/>
      <c r="B132" s="49" t="s">
        <v>5</v>
      </c>
    </row>
    <row r="133" spans="1:3">
      <c r="A133" s="54"/>
      <c r="B133" s="49" t="s">
        <v>4</v>
      </c>
    </row>
    <row r="134" spans="1:3">
      <c r="A134" s="54"/>
      <c r="B134" s="49" t="s">
        <v>3</v>
      </c>
    </row>
    <row r="135" spans="1:3">
      <c r="A135" s="54"/>
      <c r="B135" s="49" t="s">
        <v>2</v>
      </c>
    </row>
    <row r="136" spans="1:3">
      <c r="A136" s="54"/>
      <c r="B136" s="49" t="s">
        <v>1</v>
      </c>
    </row>
  </sheetData>
  <mergeCells count="19">
    <mergeCell ref="A113:A124"/>
    <mergeCell ref="A125:A136"/>
    <mergeCell ref="A101:A112"/>
    <mergeCell ref="A53:A64"/>
    <mergeCell ref="A65:A76"/>
    <mergeCell ref="A77:A88"/>
    <mergeCell ref="A89:A100"/>
    <mergeCell ref="A41:A52"/>
    <mergeCell ref="B6:F6"/>
    <mergeCell ref="A1:F1"/>
    <mergeCell ref="A2:F2"/>
    <mergeCell ref="A3:F3"/>
    <mergeCell ref="B4:F4"/>
    <mergeCell ref="A5:F5"/>
    <mergeCell ref="B7:F7"/>
    <mergeCell ref="B8:F8"/>
    <mergeCell ref="B9:F9"/>
    <mergeCell ref="B10:F10"/>
    <mergeCell ref="A29:A40"/>
  </mergeCell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36"/>
  <sheetViews>
    <sheetView topLeftCell="A97" workbookViewId="0">
      <selection activeCell="L121" sqref="L121"/>
    </sheetView>
  </sheetViews>
  <sheetFormatPr defaultRowHeight="15"/>
  <sheetData>
    <row r="1" spans="1:13" ht="15.75">
      <c r="A1" s="64" t="s">
        <v>20</v>
      </c>
      <c r="B1" s="61"/>
      <c r="C1" s="61"/>
      <c r="D1" s="61"/>
      <c r="E1" s="61"/>
      <c r="F1" s="61"/>
      <c r="G1" s="18"/>
      <c r="H1" s="18"/>
      <c r="I1" s="18"/>
      <c r="J1" s="18"/>
      <c r="K1" s="18"/>
      <c r="L1" s="18"/>
      <c r="M1" s="18"/>
    </row>
    <row r="2" spans="1:13" ht="15.75">
      <c r="A2" s="64" t="s">
        <v>21</v>
      </c>
      <c r="B2" s="61"/>
      <c r="C2" s="61"/>
      <c r="D2" s="61"/>
      <c r="E2" s="61"/>
      <c r="F2" s="61"/>
      <c r="G2" s="18"/>
      <c r="H2" s="18"/>
      <c r="I2" s="18"/>
      <c r="J2" s="18"/>
      <c r="K2" s="18"/>
      <c r="L2" s="18"/>
      <c r="M2" s="18"/>
    </row>
    <row r="3" spans="1:13">
      <c r="A3" s="61"/>
      <c r="B3" s="61"/>
      <c r="C3" s="61"/>
      <c r="D3" s="61"/>
      <c r="E3" s="61"/>
      <c r="F3" s="61"/>
      <c r="G3" s="18"/>
      <c r="H3" s="18"/>
      <c r="I3" s="18"/>
      <c r="J3" s="18"/>
      <c r="K3" s="18"/>
      <c r="L3" s="18"/>
      <c r="M3" s="18"/>
    </row>
    <row r="4" spans="1:13" ht="25.5">
      <c r="A4" s="22" t="s">
        <v>22</v>
      </c>
      <c r="B4" s="62" t="s">
        <v>36</v>
      </c>
      <c r="C4" s="61"/>
      <c r="D4" s="61"/>
      <c r="E4" s="61"/>
      <c r="F4" s="61"/>
      <c r="G4" s="18"/>
      <c r="H4" s="18"/>
      <c r="I4" s="18"/>
      <c r="J4" s="18"/>
      <c r="K4" s="18"/>
      <c r="L4" s="18"/>
      <c r="M4" s="18"/>
    </row>
    <row r="5" spans="1:13">
      <c r="A5" s="65" t="s">
        <v>24</v>
      </c>
      <c r="B5" s="61"/>
      <c r="C5" s="61"/>
      <c r="D5" s="61"/>
      <c r="E5" s="61"/>
      <c r="F5" s="61"/>
      <c r="G5" s="18"/>
      <c r="H5" s="18"/>
      <c r="I5" s="18"/>
      <c r="J5" s="18"/>
      <c r="K5" s="18"/>
      <c r="L5" s="18"/>
      <c r="M5" s="18"/>
    </row>
    <row r="6" spans="1:13" ht="25.5">
      <c r="A6" s="22" t="s">
        <v>25</v>
      </c>
      <c r="B6" s="60" t="s">
        <v>26</v>
      </c>
      <c r="C6" s="61"/>
      <c r="D6" s="61"/>
      <c r="E6" s="61"/>
      <c r="F6" s="61"/>
      <c r="G6" s="18"/>
      <c r="H6" s="18"/>
      <c r="I6" s="18"/>
      <c r="J6" s="18"/>
      <c r="K6" s="18"/>
      <c r="L6" s="18"/>
      <c r="M6" s="18"/>
    </row>
    <row r="7" spans="1:13">
      <c r="A7" s="22" t="s">
        <v>27</v>
      </c>
      <c r="B7" s="62" t="s">
        <v>37</v>
      </c>
      <c r="C7" s="61"/>
      <c r="D7" s="61"/>
      <c r="E7" s="61"/>
      <c r="F7" s="61"/>
      <c r="G7" s="18"/>
      <c r="H7" s="18"/>
      <c r="I7" s="18"/>
      <c r="J7" s="18"/>
      <c r="K7" s="18"/>
      <c r="L7" s="18"/>
      <c r="M7" s="18"/>
    </row>
    <row r="8" spans="1:13" ht="25.5">
      <c r="A8" s="22" t="s">
        <v>29</v>
      </c>
      <c r="B8" s="60" t="s">
        <v>38</v>
      </c>
      <c r="C8" s="61"/>
      <c r="D8" s="61"/>
      <c r="E8" s="61"/>
      <c r="F8" s="61"/>
      <c r="G8" s="18"/>
      <c r="H8" s="18"/>
      <c r="I8" s="18"/>
      <c r="J8" s="18"/>
      <c r="K8" s="18"/>
      <c r="L8" s="18"/>
      <c r="M8" s="18"/>
    </row>
    <row r="9" spans="1:13" ht="25.5">
      <c r="A9" s="22" t="s">
        <v>31</v>
      </c>
      <c r="B9" s="60" t="s">
        <v>32</v>
      </c>
      <c r="C9" s="61"/>
      <c r="D9" s="61"/>
      <c r="E9" s="61"/>
      <c r="F9" s="61"/>
      <c r="G9" s="18"/>
      <c r="H9" s="18"/>
      <c r="I9" s="18"/>
      <c r="J9" s="18"/>
      <c r="K9" s="18"/>
      <c r="L9" s="18"/>
      <c r="M9" s="18"/>
    </row>
    <row r="10" spans="1:13">
      <c r="A10" s="22" t="s">
        <v>33</v>
      </c>
      <c r="B10" s="63" t="s">
        <v>34</v>
      </c>
      <c r="C10" s="61"/>
      <c r="D10" s="61"/>
      <c r="E10" s="61"/>
      <c r="F10" s="61"/>
      <c r="G10" s="18"/>
      <c r="H10" s="18"/>
      <c r="I10" s="18"/>
      <c r="J10" s="18"/>
      <c r="K10" s="18"/>
      <c r="L10" s="18"/>
      <c r="M10" s="18"/>
    </row>
    <row r="12" spans="1:13" ht="15.75" thickBot="1">
      <c r="A12" s="19" t="s">
        <v>35</v>
      </c>
      <c r="B12" s="19" t="s">
        <v>0</v>
      </c>
      <c r="C12" s="19" t="s">
        <v>11</v>
      </c>
      <c r="D12" s="19" t="s">
        <v>10</v>
      </c>
      <c r="E12" s="19" t="s">
        <v>9</v>
      </c>
      <c r="F12" s="19" t="s">
        <v>8</v>
      </c>
      <c r="G12" s="19" t="s">
        <v>7</v>
      </c>
      <c r="H12" s="19" t="s">
        <v>6</v>
      </c>
      <c r="I12" s="19" t="s">
        <v>5</v>
      </c>
      <c r="J12" s="19" t="s">
        <v>4</v>
      </c>
      <c r="K12" s="19" t="s">
        <v>3</v>
      </c>
      <c r="L12" s="19" t="s">
        <v>2</v>
      </c>
      <c r="M12" s="19" t="s">
        <v>1</v>
      </c>
    </row>
    <row r="13" spans="1:13" ht="15.75" thickTop="1">
      <c r="A13" s="20">
        <v>2005</v>
      </c>
      <c r="B13" s="21">
        <v>340.7</v>
      </c>
      <c r="C13" s="21">
        <v>343.5</v>
      </c>
      <c r="D13" s="21">
        <v>343.7</v>
      </c>
      <c r="E13" s="21">
        <v>342.6</v>
      </c>
      <c r="F13" s="21">
        <v>340.7</v>
      </c>
      <c r="G13" s="21">
        <v>347.4</v>
      </c>
      <c r="H13" s="21">
        <v>352.4</v>
      </c>
      <c r="I13" s="21">
        <v>352.7</v>
      </c>
      <c r="J13" s="21">
        <v>353.9</v>
      </c>
      <c r="K13" s="21">
        <v>358.5</v>
      </c>
      <c r="L13" s="21">
        <v>357.5</v>
      </c>
      <c r="M13" s="21">
        <v>354</v>
      </c>
    </row>
    <row r="14" spans="1:13">
      <c r="A14" s="20">
        <v>2006</v>
      </c>
      <c r="B14" s="21">
        <v>352</v>
      </c>
      <c r="C14" s="21">
        <v>357.5</v>
      </c>
      <c r="D14" s="21">
        <v>356.9</v>
      </c>
      <c r="E14" s="21">
        <v>351.9</v>
      </c>
      <c r="F14" s="21">
        <v>350.4</v>
      </c>
      <c r="G14" s="21">
        <v>351.9</v>
      </c>
      <c r="H14" s="21">
        <v>349.7</v>
      </c>
      <c r="I14" s="21">
        <v>350.5</v>
      </c>
      <c r="J14" s="21">
        <v>352.7</v>
      </c>
      <c r="K14" s="21">
        <v>351.5</v>
      </c>
      <c r="L14" s="21">
        <v>348.7</v>
      </c>
      <c r="M14" s="21">
        <v>342.5</v>
      </c>
    </row>
    <row r="15" spans="1:13">
      <c r="A15" s="20">
        <v>2007</v>
      </c>
      <c r="B15" s="21">
        <v>339.9</v>
      </c>
      <c r="C15" s="21">
        <v>337.8</v>
      </c>
      <c r="D15" s="21">
        <v>328.9</v>
      </c>
      <c r="E15" s="21">
        <v>315.89999999999998</v>
      </c>
      <c r="F15" s="21">
        <v>313.8</v>
      </c>
      <c r="G15" s="21">
        <v>307</v>
      </c>
      <c r="H15" s="21">
        <v>302.10000000000002</v>
      </c>
      <c r="I15" s="21">
        <v>274</v>
      </c>
      <c r="J15" s="21">
        <v>250.9</v>
      </c>
      <c r="K15" s="21">
        <v>249</v>
      </c>
      <c r="L15" s="21">
        <v>246.1</v>
      </c>
      <c r="M15" s="21">
        <v>241.3</v>
      </c>
    </row>
    <row r="16" spans="1:13">
      <c r="A16" s="20">
        <v>2008</v>
      </c>
      <c r="B16" s="21">
        <v>239.9</v>
      </c>
      <c r="C16" s="21">
        <v>237.6</v>
      </c>
      <c r="D16" s="21">
        <v>233.7</v>
      </c>
      <c r="E16" s="21">
        <v>229</v>
      </c>
      <c r="F16" s="21">
        <v>230.2</v>
      </c>
      <c r="G16" s="21">
        <v>230.3</v>
      </c>
      <c r="H16" s="21">
        <v>227.1</v>
      </c>
      <c r="I16" s="21">
        <v>220.9</v>
      </c>
      <c r="J16" s="21">
        <v>223</v>
      </c>
      <c r="K16" s="21">
        <v>216.5</v>
      </c>
      <c r="L16" s="21">
        <v>212.3</v>
      </c>
      <c r="M16" s="21">
        <v>208.8</v>
      </c>
    </row>
    <row r="17" spans="1:13">
      <c r="A17" s="20">
        <v>2009</v>
      </c>
      <c r="B17" s="21">
        <v>202.4</v>
      </c>
      <c r="C17" s="21">
        <v>202.2</v>
      </c>
      <c r="D17" s="21">
        <v>202.7</v>
      </c>
      <c r="E17" s="21">
        <v>197.4</v>
      </c>
      <c r="F17" s="21">
        <v>200.6</v>
      </c>
      <c r="G17" s="21">
        <v>200</v>
      </c>
      <c r="H17" s="21">
        <v>203.1</v>
      </c>
      <c r="I17" s="21">
        <v>200.2</v>
      </c>
      <c r="J17" s="21">
        <v>198.7</v>
      </c>
      <c r="K17" s="21">
        <v>196.5</v>
      </c>
      <c r="L17" s="21">
        <v>198.6</v>
      </c>
      <c r="M17" s="21">
        <v>197.7</v>
      </c>
    </row>
    <row r="18" spans="1:13">
      <c r="A18" s="20">
        <v>2010</v>
      </c>
      <c r="B18" s="21">
        <v>197.8</v>
      </c>
      <c r="C18" s="21">
        <v>202.5</v>
      </c>
      <c r="D18" s="21">
        <v>203.4</v>
      </c>
      <c r="E18" s="21">
        <v>202.2</v>
      </c>
      <c r="F18" s="21">
        <v>201.6</v>
      </c>
      <c r="G18" s="21">
        <v>202.8</v>
      </c>
      <c r="H18" s="21">
        <v>208.6</v>
      </c>
      <c r="I18" s="21">
        <v>209.1</v>
      </c>
      <c r="J18" s="21">
        <v>210</v>
      </c>
      <c r="K18" s="21">
        <v>211.9</v>
      </c>
      <c r="L18" s="21">
        <v>213</v>
      </c>
      <c r="M18" s="21">
        <v>215</v>
      </c>
    </row>
    <row r="19" spans="1:13">
      <c r="A19" s="20">
        <v>2011</v>
      </c>
      <c r="B19" s="21">
        <v>211.2</v>
      </c>
      <c r="C19" s="21">
        <v>211.9</v>
      </c>
      <c r="D19" s="21">
        <v>213.1</v>
      </c>
      <c r="E19" s="21">
        <v>208.5</v>
      </c>
      <c r="F19" s="21">
        <v>212.3</v>
      </c>
      <c r="G19" s="21">
        <v>210.3</v>
      </c>
      <c r="H19" s="21">
        <v>206.8</v>
      </c>
      <c r="I19" s="21">
        <v>204.1</v>
      </c>
      <c r="J19" s="21">
        <v>202.7</v>
      </c>
      <c r="K19" s="21">
        <v>201</v>
      </c>
      <c r="L19" s="21">
        <v>202</v>
      </c>
      <c r="M19" s="21">
        <v>200.4</v>
      </c>
    </row>
    <row r="20" spans="1:13">
      <c r="A20" s="20">
        <v>2012</v>
      </c>
      <c r="B20" s="21">
        <v>198.3</v>
      </c>
      <c r="C20" s="21">
        <v>199.3</v>
      </c>
      <c r="D20" s="21">
        <v>200.4</v>
      </c>
      <c r="E20" s="21">
        <v>198.9</v>
      </c>
      <c r="F20" s="21">
        <v>200.4</v>
      </c>
      <c r="G20" s="21">
        <v>205.8</v>
      </c>
      <c r="H20" s="21">
        <v>207.6</v>
      </c>
      <c r="I20" s="21">
        <v>211.3</v>
      </c>
      <c r="J20" s="21">
        <v>215.2</v>
      </c>
      <c r="K20" s="21">
        <v>215.5</v>
      </c>
      <c r="L20" s="21">
        <v>219</v>
      </c>
      <c r="M20" s="21">
        <v>222.3</v>
      </c>
    </row>
    <row r="21" spans="1:13">
      <c r="A21" s="20">
        <v>2013</v>
      </c>
      <c r="B21" s="21">
        <v>221</v>
      </c>
      <c r="C21" s="21">
        <v>223.1</v>
      </c>
      <c r="D21" s="21">
        <v>226.2</v>
      </c>
      <c r="E21" s="21">
        <v>226.4</v>
      </c>
      <c r="F21" s="21">
        <v>226.9</v>
      </c>
      <c r="G21" s="21">
        <v>228.8</v>
      </c>
      <c r="H21" s="21">
        <v>227.4</v>
      </c>
      <c r="I21" s="21">
        <v>224.6</v>
      </c>
      <c r="J21" s="21">
        <v>221.4</v>
      </c>
      <c r="K21" s="21">
        <v>219.5</v>
      </c>
      <c r="L21" s="21">
        <v>216.3</v>
      </c>
      <c r="M21" s="21">
        <v>214.3</v>
      </c>
    </row>
    <row r="22" spans="1:13">
      <c r="A22" s="20">
        <v>2014</v>
      </c>
      <c r="B22" s="21">
        <v>209.7</v>
      </c>
      <c r="C22" s="21">
        <v>207.2</v>
      </c>
      <c r="D22" s="21">
        <v>203</v>
      </c>
      <c r="E22" s="21">
        <v>204.3</v>
      </c>
      <c r="F22" s="21">
        <v>203.9</v>
      </c>
      <c r="G22" s="21">
        <v>206.7</v>
      </c>
      <c r="H22" s="21">
        <v>209.8</v>
      </c>
      <c r="I22" s="21">
        <v>209.5</v>
      </c>
      <c r="J22" s="21">
        <v>210.7</v>
      </c>
      <c r="K22" s="21">
        <v>211.4</v>
      </c>
      <c r="L22" s="21">
        <v>213.2</v>
      </c>
      <c r="M22" s="21">
        <v>212.9</v>
      </c>
    </row>
    <row r="23" spans="1:13">
      <c r="A23" s="20">
        <v>2015</v>
      </c>
      <c r="B23" s="21">
        <v>208</v>
      </c>
      <c r="C23" s="21">
        <v>207.8</v>
      </c>
      <c r="D23" s="21">
        <v>209.4</v>
      </c>
      <c r="E23" s="33">
        <v>210.5</v>
      </c>
      <c r="F23" s="21">
        <v>214</v>
      </c>
      <c r="G23" s="21">
        <v>216.9</v>
      </c>
      <c r="H23" s="43">
        <v>220.1</v>
      </c>
      <c r="I23" s="43">
        <v>221.8</v>
      </c>
      <c r="J23" s="43">
        <v>224.1</v>
      </c>
      <c r="K23" s="43">
        <v>225.2</v>
      </c>
      <c r="L23" s="43">
        <v>225.4</v>
      </c>
      <c r="M23" s="43">
        <v>225.1</v>
      </c>
    </row>
    <row r="24" spans="1:13">
      <c r="A24" s="38">
        <v>2016</v>
      </c>
      <c r="B24" s="42">
        <v>224.1</v>
      </c>
      <c r="C24" s="42">
        <v>223.3</v>
      </c>
      <c r="D24" s="42">
        <v>225.5</v>
      </c>
      <c r="E24" s="42">
        <v>226.7</v>
      </c>
      <c r="F24" s="42">
        <v>226</v>
      </c>
      <c r="G24" s="42">
        <v>228.7</v>
      </c>
      <c r="H24" s="42">
        <v>231.3</v>
      </c>
      <c r="I24" s="42">
        <v>231.4</v>
      </c>
      <c r="J24" s="42">
        <v>234.4</v>
      </c>
      <c r="K24" s="42">
        <v>236</v>
      </c>
      <c r="L24" s="42">
        <v>238.9</v>
      </c>
      <c r="M24" s="44">
        <v>241.4</v>
      </c>
    </row>
    <row r="25" spans="1:13">
      <c r="A25" s="38">
        <v>2017</v>
      </c>
      <c r="B25" s="46">
        <v>244.8</v>
      </c>
      <c r="C25" s="33">
        <v>242.3</v>
      </c>
      <c r="D25" s="49">
        <v>242.2</v>
      </c>
      <c r="E25" s="49">
        <v>242.5</v>
      </c>
      <c r="F25" s="49">
        <v>243.3</v>
      </c>
      <c r="G25" s="49">
        <v>246.5</v>
      </c>
      <c r="H25" s="49">
        <v>245.8</v>
      </c>
      <c r="I25" s="49">
        <v>247.4</v>
      </c>
      <c r="J25" s="49">
        <v>247</v>
      </c>
      <c r="K25" s="49">
        <v>246</v>
      </c>
      <c r="L25" s="49">
        <v>246</v>
      </c>
      <c r="M25" s="49">
        <v>247.5</v>
      </c>
    </row>
    <row r="26" spans="1:13">
      <c r="A26" s="38">
        <v>2018</v>
      </c>
      <c r="B26" s="46">
        <v>244.7</v>
      </c>
    </row>
    <row r="29" spans="1:13">
      <c r="A29" s="54">
        <v>2010</v>
      </c>
      <c r="B29" t="s">
        <v>0</v>
      </c>
      <c r="C29" s="21">
        <v>197.8</v>
      </c>
    </row>
    <row r="30" spans="1:13">
      <c r="A30" s="54"/>
      <c r="B30" t="s">
        <v>11</v>
      </c>
      <c r="C30" s="21">
        <v>202.5</v>
      </c>
    </row>
    <row r="31" spans="1:13">
      <c r="A31" s="54"/>
      <c r="B31" t="s">
        <v>10</v>
      </c>
      <c r="C31" s="21">
        <v>203.4</v>
      </c>
    </row>
    <row r="32" spans="1:13">
      <c r="A32" s="54"/>
      <c r="B32" t="s">
        <v>9</v>
      </c>
      <c r="C32" s="21">
        <v>202.2</v>
      </c>
    </row>
    <row r="33" spans="1:3">
      <c r="A33" s="54"/>
      <c r="B33" t="s">
        <v>8</v>
      </c>
      <c r="C33" s="21">
        <v>201.6</v>
      </c>
    </row>
    <row r="34" spans="1:3">
      <c r="A34" s="54"/>
      <c r="B34" t="s">
        <v>7</v>
      </c>
      <c r="C34" s="21">
        <v>202.8</v>
      </c>
    </row>
    <row r="35" spans="1:3">
      <c r="A35" s="54"/>
      <c r="B35" t="s">
        <v>6</v>
      </c>
      <c r="C35" s="21">
        <v>208.6</v>
      </c>
    </row>
    <row r="36" spans="1:3">
      <c r="A36" s="54"/>
      <c r="B36" t="s">
        <v>5</v>
      </c>
      <c r="C36" s="21">
        <v>209.1</v>
      </c>
    </row>
    <row r="37" spans="1:3">
      <c r="A37" s="54"/>
      <c r="B37" t="s">
        <v>4</v>
      </c>
      <c r="C37" s="21">
        <v>210</v>
      </c>
    </row>
    <row r="38" spans="1:3">
      <c r="A38" s="54"/>
      <c r="B38" t="s">
        <v>3</v>
      </c>
      <c r="C38" s="21">
        <v>211.9</v>
      </c>
    </row>
    <row r="39" spans="1:3">
      <c r="A39" s="54"/>
      <c r="B39" t="s">
        <v>2</v>
      </c>
      <c r="C39" s="21">
        <v>213</v>
      </c>
    </row>
    <row r="40" spans="1:3">
      <c r="A40" s="54"/>
      <c r="B40" t="s">
        <v>1</v>
      </c>
      <c r="C40" s="21">
        <v>215</v>
      </c>
    </row>
    <row r="41" spans="1:3">
      <c r="A41" s="54">
        <v>2011</v>
      </c>
      <c r="B41" t="s">
        <v>0</v>
      </c>
      <c r="C41" s="21">
        <v>211.2</v>
      </c>
    </row>
    <row r="42" spans="1:3">
      <c r="A42" s="54"/>
      <c r="B42" t="s">
        <v>11</v>
      </c>
      <c r="C42" s="21">
        <v>211.9</v>
      </c>
    </row>
    <row r="43" spans="1:3">
      <c r="A43" s="54"/>
      <c r="B43" t="s">
        <v>10</v>
      </c>
      <c r="C43" s="21">
        <v>213.1</v>
      </c>
    </row>
    <row r="44" spans="1:3">
      <c r="A44" s="54"/>
      <c r="B44" t="s">
        <v>9</v>
      </c>
      <c r="C44" s="21">
        <v>208.5</v>
      </c>
    </row>
    <row r="45" spans="1:3">
      <c r="A45" s="54"/>
      <c r="B45" t="s">
        <v>8</v>
      </c>
      <c r="C45" s="21">
        <v>212.3</v>
      </c>
    </row>
    <row r="46" spans="1:3">
      <c r="A46" s="54"/>
      <c r="B46" t="s">
        <v>7</v>
      </c>
      <c r="C46" s="21">
        <v>210.3</v>
      </c>
    </row>
    <row r="47" spans="1:3">
      <c r="A47" s="54"/>
      <c r="B47" t="s">
        <v>6</v>
      </c>
      <c r="C47" s="21">
        <v>206.8</v>
      </c>
    </row>
    <row r="48" spans="1:3">
      <c r="A48" s="54"/>
      <c r="B48" t="s">
        <v>5</v>
      </c>
      <c r="C48" s="21">
        <v>204.1</v>
      </c>
    </row>
    <row r="49" spans="1:3">
      <c r="A49" s="54"/>
      <c r="B49" t="s">
        <v>4</v>
      </c>
      <c r="C49" s="21">
        <v>202.7</v>
      </c>
    </row>
    <row r="50" spans="1:3">
      <c r="A50" s="54"/>
      <c r="B50" t="s">
        <v>3</v>
      </c>
      <c r="C50" s="21">
        <v>201</v>
      </c>
    </row>
    <row r="51" spans="1:3">
      <c r="A51" s="54"/>
      <c r="B51" t="s">
        <v>2</v>
      </c>
      <c r="C51" s="21">
        <v>202</v>
      </c>
    </row>
    <row r="52" spans="1:3">
      <c r="A52" s="54"/>
      <c r="B52" t="s">
        <v>1</v>
      </c>
      <c r="C52" s="21">
        <v>200.4</v>
      </c>
    </row>
    <row r="53" spans="1:3">
      <c r="A53" s="54">
        <v>2012</v>
      </c>
      <c r="B53" t="s">
        <v>0</v>
      </c>
      <c r="C53" s="21">
        <v>198.3</v>
      </c>
    </row>
    <row r="54" spans="1:3">
      <c r="A54" s="54"/>
      <c r="B54" t="s">
        <v>11</v>
      </c>
      <c r="C54" s="21">
        <v>199.3</v>
      </c>
    </row>
    <row r="55" spans="1:3">
      <c r="A55" s="54"/>
      <c r="B55" t="s">
        <v>10</v>
      </c>
      <c r="C55" s="21">
        <v>200.4</v>
      </c>
    </row>
    <row r="56" spans="1:3">
      <c r="A56" s="54"/>
      <c r="B56" t="s">
        <v>9</v>
      </c>
      <c r="C56" s="21">
        <v>198.9</v>
      </c>
    </row>
    <row r="57" spans="1:3">
      <c r="A57" s="54"/>
      <c r="B57" t="s">
        <v>8</v>
      </c>
      <c r="C57" s="21">
        <v>200.4</v>
      </c>
    </row>
    <row r="58" spans="1:3">
      <c r="A58" s="54"/>
      <c r="B58" t="s">
        <v>7</v>
      </c>
      <c r="C58" s="21">
        <v>205.8</v>
      </c>
    </row>
    <row r="59" spans="1:3">
      <c r="A59" s="54"/>
      <c r="B59" t="s">
        <v>6</v>
      </c>
      <c r="C59" s="21">
        <v>207.6</v>
      </c>
    </row>
    <row r="60" spans="1:3">
      <c r="A60" s="54"/>
      <c r="B60" t="s">
        <v>5</v>
      </c>
      <c r="C60" s="21">
        <v>211.3</v>
      </c>
    </row>
    <row r="61" spans="1:3">
      <c r="A61" s="54"/>
      <c r="B61" t="s">
        <v>4</v>
      </c>
      <c r="C61" s="21">
        <v>215.2</v>
      </c>
    </row>
    <row r="62" spans="1:3">
      <c r="A62" s="54"/>
      <c r="B62" t="s">
        <v>3</v>
      </c>
      <c r="C62" s="21">
        <v>215.5</v>
      </c>
    </row>
    <row r="63" spans="1:3">
      <c r="A63" s="54"/>
      <c r="B63" t="s">
        <v>2</v>
      </c>
      <c r="C63" s="21">
        <v>219</v>
      </c>
    </row>
    <row r="64" spans="1:3">
      <c r="A64" s="54"/>
      <c r="B64" t="s">
        <v>1</v>
      </c>
      <c r="C64" s="21">
        <v>222.3</v>
      </c>
    </row>
    <row r="65" spans="1:3">
      <c r="A65" s="54">
        <v>2013</v>
      </c>
      <c r="B65" t="s">
        <v>0</v>
      </c>
      <c r="C65" s="21">
        <v>221</v>
      </c>
    </row>
    <row r="66" spans="1:3">
      <c r="A66" s="54"/>
      <c r="B66" t="s">
        <v>11</v>
      </c>
      <c r="C66" s="21">
        <v>223.1</v>
      </c>
    </row>
    <row r="67" spans="1:3">
      <c r="A67" s="54"/>
      <c r="B67" t="s">
        <v>10</v>
      </c>
      <c r="C67" s="21">
        <v>226.2</v>
      </c>
    </row>
    <row r="68" spans="1:3">
      <c r="A68" s="54"/>
      <c r="B68" t="s">
        <v>9</v>
      </c>
      <c r="C68" s="21">
        <v>226.4</v>
      </c>
    </row>
    <row r="69" spans="1:3">
      <c r="A69" s="54"/>
      <c r="B69" t="s">
        <v>8</v>
      </c>
      <c r="C69" s="21">
        <v>226.9</v>
      </c>
    </row>
    <row r="70" spans="1:3">
      <c r="A70" s="54"/>
      <c r="B70" t="s">
        <v>7</v>
      </c>
      <c r="C70" s="21">
        <v>228.8</v>
      </c>
    </row>
    <row r="71" spans="1:3">
      <c r="A71" s="54"/>
      <c r="B71" t="s">
        <v>6</v>
      </c>
      <c r="C71" s="21">
        <v>227.4</v>
      </c>
    </row>
    <row r="72" spans="1:3">
      <c r="A72" s="54"/>
      <c r="B72" t="s">
        <v>5</v>
      </c>
      <c r="C72" s="21">
        <v>224.6</v>
      </c>
    </row>
    <row r="73" spans="1:3">
      <c r="A73" s="54"/>
      <c r="B73" t="s">
        <v>4</v>
      </c>
      <c r="C73" s="21">
        <v>221.4</v>
      </c>
    </row>
    <row r="74" spans="1:3">
      <c r="A74" s="54"/>
      <c r="B74" t="s">
        <v>3</v>
      </c>
      <c r="C74" s="21">
        <v>219.5</v>
      </c>
    </row>
    <row r="75" spans="1:3">
      <c r="A75" s="54"/>
      <c r="B75" t="s">
        <v>2</v>
      </c>
      <c r="C75" s="21">
        <v>216.3</v>
      </c>
    </row>
    <row r="76" spans="1:3">
      <c r="A76" s="54"/>
      <c r="B76" t="s">
        <v>1</v>
      </c>
      <c r="C76" s="21">
        <v>214.3</v>
      </c>
    </row>
    <row r="77" spans="1:3">
      <c r="A77" s="54">
        <v>2014</v>
      </c>
      <c r="B77" t="s">
        <v>0</v>
      </c>
      <c r="C77" s="21">
        <v>209.7</v>
      </c>
    </row>
    <row r="78" spans="1:3">
      <c r="A78" s="54"/>
      <c r="B78" t="s">
        <v>11</v>
      </c>
      <c r="C78" s="21">
        <v>207.2</v>
      </c>
    </row>
    <row r="79" spans="1:3">
      <c r="A79" s="54"/>
      <c r="B79" t="s">
        <v>10</v>
      </c>
      <c r="C79" s="21">
        <v>203</v>
      </c>
    </row>
    <row r="80" spans="1:3">
      <c r="A80" s="54"/>
      <c r="B80" t="s">
        <v>9</v>
      </c>
      <c r="C80" s="21">
        <v>204.3</v>
      </c>
    </row>
    <row r="81" spans="1:3">
      <c r="A81" s="54"/>
      <c r="B81" t="s">
        <v>8</v>
      </c>
      <c r="C81" s="21">
        <v>203.9</v>
      </c>
    </row>
    <row r="82" spans="1:3">
      <c r="A82" s="54"/>
      <c r="B82" t="s">
        <v>7</v>
      </c>
      <c r="C82" s="21">
        <v>206.7</v>
      </c>
    </row>
    <row r="83" spans="1:3">
      <c r="A83" s="54"/>
      <c r="B83" t="s">
        <v>6</v>
      </c>
      <c r="C83" s="21">
        <v>209.8</v>
      </c>
    </row>
    <row r="84" spans="1:3">
      <c r="A84" s="54"/>
      <c r="B84" t="s">
        <v>5</v>
      </c>
      <c r="C84" s="21">
        <v>209.5</v>
      </c>
    </row>
    <row r="85" spans="1:3">
      <c r="A85" s="54"/>
      <c r="B85" t="s">
        <v>4</v>
      </c>
      <c r="C85" s="21">
        <v>210.7</v>
      </c>
    </row>
    <row r="86" spans="1:3">
      <c r="A86" s="54"/>
      <c r="B86" t="s">
        <v>3</v>
      </c>
      <c r="C86" s="21">
        <v>211.4</v>
      </c>
    </row>
    <row r="87" spans="1:3">
      <c r="A87" s="54"/>
      <c r="B87" t="s">
        <v>2</v>
      </c>
      <c r="C87" s="21">
        <v>213.2</v>
      </c>
    </row>
    <row r="88" spans="1:3">
      <c r="A88" s="54"/>
      <c r="B88" t="s">
        <v>1</v>
      </c>
      <c r="C88" s="21">
        <v>212.9</v>
      </c>
    </row>
    <row r="89" spans="1:3">
      <c r="A89" s="54">
        <v>2015</v>
      </c>
      <c r="B89" t="s">
        <v>0</v>
      </c>
      <c r="C89" s="21">
        <v>208</v>
      </c>
    </row>
    <row r="90" spans="1:3">
      <c r="A90" s="54"/>
      <c r="B90" t="s">
        <v>11</v>
      </c>
      <c r="C90" s="21">
        <v>207.8</v>
      </c>
    </row>
    <row r="91" spans="1:3">
      <c r="A91" s="54"/>
      <c r="B91" t="s">
        <v>10</v>
      </c>
      <c r="C91" s="21">
        <v>209.4</v>
      </c>
    </row>
    <row r="92" spans="1:3">
      <c r="A92" s="54"/>
      <c r="B92" t="s">
        <v>9</v>
      </c>
      <c r="C92" s="33">
        <v>210.5</v>
      </c>
    </row>
    <row r="93" spans="1:3">
      <c r="A93" s="54"/>
      <c r="B93" t="s">
        <v>8</v>
      </c>
      <c r="C93" s="21">
        <v>214</v>
      </c>
    </row>
    <row r="94" spans="1:3">
      <c r="A94" s="54"/>
      <c r="B94" t="s">
        <v>7</v>
      </c>
      <c r="C94" s="21">
        <v>216.9</v>
      </c>
    </row>
    <row r="95" spans="1:3">
      <c r="A95" s="54"/>
      <c r="B95" t="s">
        <v>6</v>
      </c>
      <c r="C95" s="43">
        <v>220.1</v>
      </c>
    </row>
    <row r="96" spans="1:3">
      <c r="A96" s="54"/>
      <c r="B96" t="s">
        <v>5</v>
      </c>
      <c r="C96" s="43">
        <v>221.8</v>
      </c>
    </row>
    <row r="97" spans="1:3">
      <c r="A97" s="54"/>
      <c r="B97" t="s">
        <v>4</v>
      </c>
      <c r="C97" s="43">
        <v>224.1</v>
      </c>
    </row>
    <row r="98" spans="1:3">
      <c r="A98" s="54"/>
      <c r="B98" t="s">
        <v>3</v>
      </c>
      <c r="C98" s="43">
        <v>225.2</v>
      </c>
    </row>
    <row r="99" spans="1:3">
      <c r="A99" s="54"/>
      <c r="B99" t="s">
        <v>2</v>
      </c>
      <c r="C99" s="43">
        <v>225.4</v>
      </c>
    </row>
    <row r="100" spans="1:3">
      <c r="A100" s="54"/>
      <c r="B100" t="s">
        <v>1</v>
      </c>
      <c r="C100" s="43">
        <v>225.1</v>
      </c>
    </row>
    <row r="101" spans="1:3">
      <c r="A101" s="54">
        <v>2016</v>
      </c>
      <c r="B101" s="37" t="s">
        <v>0</v>
      </c>
      <c r="C101" s="42">
        <v>224.1</v>
      </c>
    </row>
    <row r="102" spans="1:3">
      <c r="A102" s="54"/>
      <c r="B102" s="37" t="s">
        <v>11</v>
      </c>
      <c r="C102" s="42">
        <v>223.3</v>
      </c>
    </row>
    <row r="103" spans="1:3">
      <c r="A103" s="54"/>
      <c r="B103" s="37" t="s">
        <v>10</v>
      </c>
      <c r="C103" s="42">
        <v>225.5</v>
      </c>
    </row>
    <row r="104" spans="1:3">
      <c r="A104" s="54"/>
      <c r="B104" s="37" t="s">
        <v>9</v>
      </c>
      <c r="C104" s="42">
        <v>226.7</v>
      </c>
    </row>
    <row r="105" spans="1:3">
      <c r="A105" s="54"/>
      <c r="B105" s="37" t="s">
        <v>8</v>
      </c>
      <c r="C105" s="42">
        <v>226</v>
      </c>
    </row>
    <row r="106" spans="1:3">
      <c r="A106" s="54"/>
      <c r="B106" s="37" t="s">
        <v>7</v>
      </c>
      <c r="C106" s="42">
        <v>228.7</v>
      </c>
    </row>
    <row r="107" spans="1:3">
      <c r="A107" s="54"/>
      <c r="B107" s="37" t="s">
        <v>6</v>
      </c>
      <c r="C107" s="42">
        <v>231.3</v>
      </c>
    </row>
    <row r="108" spans="1:3">
      <c r="A108" s="54"/>
      <c r="B108" s="37" t="s">
        <v>5</v>
      </c>
      <c r="C108" s="42">
        <v>231.4</v>
      </c>
    </row>
    <row r="109" spans="1:3">
      <c r="A109" s="54"/>
      <c r="B109" s="37" t="s">
        <v>4</v>
      </c>
      <c r="C109" s="42">
        <v>234.4</v>
      </c>
    </row>
    <row r="110" spans="1:3">
      <c r="A110" s="54"/>
      <c r="B110" s="37" t="s">
        <v>3</v>
      </c>
      <c r="C110" s="42">
        <v>236</v>
      </c>
    </row>
    <row r="111" spans="1:3">
      <c r="A111" s="54"/>
      <c r="B111" s="37" t="s">
        <v>2</v>
      </c>
      <c r="C111" s="42">
        <v>238.9</v>
      </c>
    </row>
    <row r="112" spans="1:3">
      <c r="A112" s="54"/>
      <c r="B112" s="37" t="s">
        <v>1</v>
      </c>
      <c r="C112" s="44">
        <v>241.4</v>
      </c>
    </row>
    <row r="113" spans="1:3">
      <c r="A113" s="54">
        <v>2017</v>
      </c>
      <c r="B113" s="44" t="s">
        <v>0</v>
      </c>
      <c r="C113" s="46">
        <v>244.8</v>
      </c>
    </row>
    <row r="114" spans="1:3">
      <c r="A114" s="54"/>
      <c r="B114" s="44" t="s">
        <v>11</v>
      </c>
      <c r="C114" s="33">
        <v>242.3</v>
      </c>
    </row>
    <row r="115" spans="1:3">
      <c r="A115" s="54"/>
      <c r="B115" s="44" t="s">
        <v>10</v>
      </c>
      <c r="C115" s="49">
        <v>242.2</v>
      </c>
    </row>
    <row r="116" spans="1:3">
      <c r="A116" s="54"/>
      <c r="B116" s="44" t="s">
        <v>9</v>
      </c>
      <c r="C116" s="49">
        <v>242.5</v>
      </c>
    </row>
    <row r="117" spans="1:3">
      <c r="A117" s="54"/>
      <c r="B117" s="44" t="s">
        <v>8</v>
      </c>
      <c r="C117" s="49">
        <v>243.3</v>
      </c>
    </row>
    <row r="118" spans="1:3">
      <c r="A118" s="54"/>
      <c r="B118" s="44" t="s">
        <v>7</v>
      </c>
      <c r="C118" s="49">
        <v>246.5</v>
      </c>
    </row>
    <row r="119" spans="1:3">
      <c r="A119" s="54"/>
      <c r="B119" s="44" t="s">
        <v>6</v>
      </c>
      <c r="C119" s="49">
        <v>245.8</v>
      </c>
    </row>
    <row r="120" spans="1:3">
      <c r="A120" s="54"/>
      <c r="B120" s="44" t="s">
        <v>5</v>
      </c>
      <c r="C120" s="49">
        <v>247.4</v>
      </c>
    </row>
    <row r="121" spans="1:3">
      <c r="A121" s="54"/>
      <c r="B121" s="44" t="s">
        <v>4</v>
      </c>
      <c r="C121" s="49">
        <v>247</v>
      </c>
    </row>
    <row r="122" spans="1:3">
      <c r="A122" s="54"/>
      <c r="B122" s="44" t="s">
        <v>3</v>
      </c>
      <c r="C122" s="49">
        <v>246</v>
      </c>
    </row>
    <row r="123" spans="1:3">
      <c r="A123" s="54"/>
      <c r="B123" s="44" t="s">
        <v>2</v>
      </c>
      <c r="C123" s="49">
        <v>246</v>
      </c>
    </row>
    <row r="124" spans="1:3">
      <c r="A124" s="54"/>
      <c r="B124" s="44" t="s">
        <v>1</v>
      </c>
      <c r="C124" s="49">
        <v>247.5</v>
      </c>
    </row>
    <row r="125" spans="1:3">
      <c r="A125" s="54">
        <v>2018</v>
      </c>
      <c r="B125" t="s">
        <v>0</v>
      </c>
      <c r="C125">
        <v>244.7</v>
      </c>
    </row>
    <row r="126" spans="1:3">
      <c r="A126" s="54"/>
      <c r="B126" s="51" t="s">
        <v>11</v>
      </c>
      <c r="C126">
        <v>245.6</v>
      </c>
    </row>
    <row r="127" spans="1:3">
      <c r="A127" s="54"/>
      <c r="B127" s="51" t="s">
        <v>10</v>
      </c>
      <c r="C127">
        <v>244.6</v>
      </c>
    </row>
    <row r="128" spans="1:3">
      <c r="A128" s="54"/>
      <c r="B128" s="51" t="s">
        <v>9</v>
      </c>
      <c r="C128">
        <v>245.8</v>
      </c>
    </row>
    <row r="129" spans="1:3">
      <c r="A129" s="54"/>
      <c r="B129" s="51" t="s">
        <v>8</v>
      </c>
      <c r="C129">
        <v>250.2</v>
      </c>
    </row>
    <row r="130" spans="1:3">
      <c r="A130" s="54"/>
    </row>
    <row r="131" spans="1:3">
      <c r="A131" s="54"/>
    </row>
    <row r="132" spans="1:3">
      <c r="A132" s="54"/>
    </row>
    <row r="133" spans="1:3">
      <c r="A133" s="54"/>
    </row>
    <row r="134" spans="1:3">
      <c r="A134" s="54"/>
    </row>
    <row r="135" spans="1:3">
      <c r="A135" s="54"/>
    </row>
    <row r="136" spans="1:3">
      <c r="A136" s="54"/>
    </row>
  </sheetData>
  <mergeCells count="19">
    <mergeCell ref="A125:A136"/>
    <mergeCell ref="A113:A124"/>
    <mergeCell ref="A101:A112"/>
    <mergeCell ref="A89:A100"/>
    <mergeCell ref="A29:A40"/>
    <mergeCell ref="A41:A52"/>
    <mergeCell ref="A53:A64"/>
    <mergeCell ref="A65:A76"/>
    <mergeCell ref="A77:A88"/>
    <mergeCell ref="A1:F1"/>
    <mergeCell ref="A2:F2"/>
    <mergeCell ref="A3:F3"/>
    <mergeCell ref="B4:F4"/>
    <mergeCell ref="A5:F5"/>
    <mergeCell ref="B6:F6"/>
    <mergeCell ref="B7:F7"/>
    <mergeCell ref="B8:F8"/>
    <mergeCell ref="B9:F9"/>
    <mergeCell ref="B10:F10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36"/>
  <sheetViews>
    <sheetView topLeftCell="A79" workbookViewId="0">
      <selection activeCell="C127" sqref="C127:C129"/>
    </sheetView>
  </sheetViews>
  <sheetFormatPr defaultRowHeight="15"/>
  <cols>
    <col min="1" max="2" width="9.140625" style="32"/>
    <col min="3" max="3" width="12" style="32" bestFit="1" customWidth="1"/>
    <col min="4" max="6" width="9.140625" style="32"/>
    <col min="7" max="7" width="9.7109375" style="32" bestFit="1" customWidth="1"/>
    <col min="8" max="10" width="9.140625" style="32"/>
    <col min="13" max="16384" width="9.140625" style="32"/>
  </cols>
  <sheetData>
    <row r="1" spans="7:12">
      <c r="G1" s="28" t="s">
        <v>42</v>
      </c>
      <c r="H1" s="28" t="s">
        <v>43</v>
      </c>
      <c r="K1" s="39" t="s">
        <v>42</v>
      </c>
      <c r="L1" s="39" t="s">
        <v>43</v>
      </c>
    </row>
    <row r="2" spans="7:12">
      <c r="G2" s="29">
        <v>39083</v>
      </c>
      <c r="H2" s="30">
        <v>49068464062.099998</v>
      </c>
      <c r="K2" s="40">
        <v>39083</v>
      </c>
      <c r="L2" s="39">
        <v>49068464062.099998</v>
      </c>
    </row>
    <row r="3" spans="7:12">
      <c r="G3" s="29">
        <v>39114</v>
      </c>
      <c r="H3" s="30">
        <v>46067240921.730003</v>
      </c>
      <c r="K3" s="40">
        <v>39114</v>
      </c>
      <c r="L3" s="39">
        <v>46067240921.730003</v>
      </c>
    </row>
    <row r="4" spans="7:12">
      <c r="G4" s="29">
        <v>39142</v>
      </c>
      <c r="H4" s="30">
        <v>47629783273.940002</v>
      </c>
      <c r="K4" s="40">
        <v>39142</v>
      </c>
      <c r="L4" s="39">
        <v>47629783273.940002</v>
      </c>
    </row>
    <row r="5" spans="7:12">
      <c r="G5" s="29">
        <v>39173</v>
      </c>
      <c r="H5" s="30">
        <v>51130390876.290001</v>
      </c>
      <c r="K5" s="40">
        <v>39173</v>
      </c>
      <c r="L5" s="39">
        <v>51130390876.290001</v>
      </c>
    </row>
    <row r="6" spans="7:12">
      <c r="G6" s="29">
        <v>39203</v>
      </c>
      <c r="H6" s="30">
        <v>58241869995.239998</v>
      </c>
      <c r="K6" s="40">
        <v>39203</v>
      </c>
      <c r="L6" s="39">
        <v>58241869995.239998</v>
      </c>
    </row>
    <row r="7" spans="7:12">
      <c r="G7" s="29">
        <v>39295</v>
      </c>
      <c r="H7" s="30">
        <v>55852222730.150002</v>
      </c>
      <c r="K7" s="40">
        <v>39295</v>
      </c>
      <c r="L7" s="39">
        <v>55852222730.150002</v>
      </c>
    </row>
    <row r="8" spans="7:12">
      <c r="G8" s="29">
        <v>39326</v>
      </c>
      <c r="H8" s="30">
        <v>59519283040.339996</v>
      </c>
      <c r="K8" s="40">
        <v>39326</v>
      </c>
      <c r="L8" s="39">
        <v>59519283040.339996</v>
      </c>
    </row>
    <row r="9" spans="7:12">
      <c r="G9" s="29">
        <v>39356</v>
      </c>
      <c r="H9" s="30">
        <v>53589853815.260002</v>
      </c>
      <c r="K9" s="40">
        <v>39356</v>
      </c>
      <c r="L9" s="39">
        <v>53589853815.260002</v>
      </c>
    </row>
    <row r="10" spans="7:12">
      <c r="G10" s="29">
        <v>39387</v>
      </c>
      <c r="H10" s="30">
        <v>56318004683</v>
      </c>
      <c r="K10" s="40">
        <v>39387</v>
      </c>
      <c r="L10" s="39">
        <v>56318004683</v>
      </c>
    </row>
    <row r="11" spans="7:12">
      <c r="G11" s="29">
        <v>39417</v>
      </c>
      <c r="H11" s="30">
        <v>70720993110.179993</v>
      </c>
      <c r="K11" s="40">
        <v>39417</v>
      </c>
      <c r="L11" s="39">
        <v>70720993110.179993</v>
      </c>
    </row>
    <row r="12" spans="7:12">
      <c r="G12" s="29">
        <v>39448</v>
      </c>
      <c r="H12" s="30">
        <v>55380966103.379997</v>
      </c>
      <c r="K12" s="40">
        <v>39448</v>
      </c>
      <c r="L12" s="39">
        <v>55380966103.379997</v>
      </c>
    </row>
    <row r="13" spans="7:12">
      <c r="G13" s="29">
        <v>39479</v>
      </c>
      <c r="H13" s="30">
        <v>76264291344.479996</v>
      </c>
      <c r="K13" s="40">
        <v>39479</v>
      </c>
      <c r="L13" s="39">
        <v>76264291344.479996</v>
      </c>
    </row>
    <row r="14" spans="7:12">
      <c r="G14" s="29">
        <v>39508</v>
      </c>
      <c r="H14" s="30">
        <v>54036130386.260002</v>
      </c>
      <c r="K14" s="40">
        <v>39508</v>
      </c>
      <c r="L14" s="39">
        <v>54036130386.260002</v>
      </c>
    </row>
    <row r="15" spans="7:12">
      <c r="G15" s="29">
        <v>39539</v>
      </c>
      <c r="H15" s="30">
        <v>61021756747.739998</v>
      </c>
      <c r="K15" s="40">
        <v>39539</v>
      </c>
      <c r="L15" s="39">
        <v>61021756747.739998</v>
      </c>
    </row>
    <row r="16" spans="7:12">
      <c r="G16" s="29">
        <v>39569</v>
      </c>
      <c r="H16" s="30">
        <v>67752280712.029999</v>
      </c>
      <c r="K16" s="40">
        <v>39569</v>
      </c>
      <c r="L16" s="39">
        <v>67752280712.029999</v>
      </c>
    </row>
    <row r="17" spans="1:12">
      <c r="G17" s="29">
        <v>39600</v>
      </c>
      <c r="H17" s="30">
        <v>54754255797.940002</v>
      </c>
      <c r="K17" s="40">
        <v>39600</v>
      </c>
      <c r="L17" s="39">
        <v>54754255797.940002</v>
      </c>
    </row>
    <row r="18" spans="1:12">
      <c r="G18" s="29">
        <v>39630</v>
      </c>
      <c r="H18" s="30">
        <v>39254673980.809998</v>
      </c>
      <c r="K18" s="40">
        <v>39630</v>
      </c>
      <c r="L18" s="39">
        <v>39254673980.809998</v>
      </c>
    </row>
    <row r="19" spans="1:12">
      <c r="G19" s="29">
        <v>39661</v>
      </c>
      <c r="H19" s="30">
        <v>33987473164.599998</v>
      </c>
      <c r="K19" s="40">
        <v>39661</v>
      </c>
      <c r="L19" s="39">
        <v>33987473164.599998</v>
      </c>
    </row>
    <row r="20" spans="1:12">
      <c r="G20" s="29">
        <v>39692</v>
      </c>
      <c r="H20" s="30">
        <v>41506327516.75</v>
      </c>
      <c r="K20" s="40">
        <v>39692</v>
      </c>
      <c r="L20" s="39">
        <v>41506327516.75</v>
      </c>
    </row>
    <row r="21" spans="1:12">
      <c r="G21" s="29">
        <v>39722</v>
      </c>
      <c r="H21" s="30">
        <v>32554558169.93</v>
      </c>
      <c r="K21" s="40">
        <v>39722</v>
      </c>
      <c r="L21" s="39">
        <v>32554558169.93</v>
      </c>
    </row>
    <row r="22" spans="1:12">
      <c r="G22" s="29">
        <v>39753</v>
      </c>
      <c r="H22" s="30">
        <v>27385866902.009998</v>
      </c>
      <c r="K22" s="40">
        <v>39753</v>
      </c>
      <c r="L22" s="39">
        <v>27385866902.009998</v>
      </c>
    </row>
    <row r="23" spans="1:12">
      <c r="G23" s="29">
        <v>39783</v>
      </c>
      <c r="H23" s="30">
        <v>41233749209.5</v>
      </c>
      <c r="K23" s="40">
        <v>39783</v>
      </c>
      <c r="L23" s="39">
        <v>41233749209.5</v>
      </c>
    </row>
    <row r="24" spans="1:12">
      <c r="G24" s="29">
        <v>39814</v>
      </c>
      <c r="H24" s="30">
        <v>26074589597.5</v>
      </c>
      <c r="K24" s="40">
        <v>39814</v>
      </c>
      <c r="L24" s="39">
        <v>26074589597.5</v>
      </c>
    </row>
    <row r="25" spans="1:12">
      <c r="G25" s="29">
        <v>39845</v>
      </c>
      <c r="H25" s="30">
        <v>47498482306.410004</v>
      </c>
      <c r="K25" s="40">
        <v>39845</v>
      </c>
      <c r="L25" s="39">
        <v>47498482306.410004</v>
      </c>
    </row>
    <row r="26" spans="1:12">
      <c r="G26" s="29">
        <v>39873</v>
      </c>
      <c r="H26" s="30">
        <v>91030919352.979996</v>
      </c>
      <c r="K26" s="40">
        <v>39873</v>
      </c>
      <c r="L26" s="39">
        <v>91030919352.979996</v>
      </c>
    </row>
    <row r="27" spans="1:12">
      <c r="G27" s="29">
        <v>39904</v>
      </c>
      <c r="H27" s="30">
        <v>58732734355.699997</v>
      </c>
      <c r="K27" s="40">
        <v>39904</v>
      </c>
      <c r="L27" s="39">
        <v>58732734355.699997</v>
      </c>
    </row>
    <row r="28" spans="1:12">
      <c r="G28" s="29">
        <v>40026</v>
      </c>
      <c r="H28" s="30">
        <v>62725888062.300003</v>
      </c>
      <c r="K28" s="40">
        <v>40026</v>
      </c>
      <c r="L28" s="39">
        <v>62725888062.300003</v>
      </c>
    </row>
    <row r="29" spans="1:12">
      <c r="A29" s="66">
        <v>2010</v>
      </c>
      <c r="B29" s="32" t="s">
        <v>0</v>
      </c>
      <c r="C29" s="30">
        <v>41171224451.529999</v>
      </c>
      <c r="G29" s="29">
        <v>40057</v>
      </c>
      <c r="H29" s="30">
        <v>58721966516.220001</v>
      </c>
      <c r="K29" s="40">
        <v>40057</v>
      </c>
      <c r="L29" s="39">
        <v>58721966516.220001</v>
      </c>
    </row>
    <row r="30" spans="1:12">
      <c r="A30" s="66"/>
      <c r="B30" s="32" t="s">
        <v>11</v>
      </c>
      <c r="C30" s="30">
        <v>43331380880.580002</v>
      </c>
      <c r="G30" s="29">
        <v>40087</v>
      </c>
      <c r="H30" s="30">
        <v>40018067422.019997</v>
      </c>
      <c r="K30" s="40">
        <v>40087</v>
      </c>
      <c r="L30" s="39">
        <v>40018067422.019997</v>
      </c>
    </row>
    <row r="31" spans="1:12">
      <c r="A31" s="66"/>
      <c r="B31" s="32" t="s">
        <v>10</v>
      </c>
      <c r="C31" s="30">
        <v>36714521904.68</v>
      </c>
      <c r="G31" s="29">
        <v>40118</v>
      </c>
      <c r="H31" s="30">
        <v>39630338873.360001</v>
      </c>
      <c r="K31" s="40">
        <v>40118</v>
      </c>
      <c r="L31" s="39">
        <v>39630338873.360001</v>
      </c>
    </row>
    <row r="32" spans="1:12">
      <c r="A32" s="66"/>
      <c r="B32" s="32" t="s">
        <v>9</v>
      </c>
      <c r="C32" s="30">
        <v>36544416365.050003</v>
      </c>
      <c r="G32" s="29">
        <v>40148</v>
      </c>
      <c r="H32" s="30">
        <v>49380885366.279999</v>
      </c>
      <c r="K32" s="40">
        <v>40148</v>
      </c>
      <c r="L32" s="39">
        <v>49380885366.279999</v>
      </c>
    </row>
    <row r="33" spans="1:12">
      <c r="A33" s="66"/>
      <c r="B33" s="32" t="s">
        <v>8</v>
      </c>
      <c r="C33" s="30">
        <v>36336611081.309998</v>
      </c>
      <c r="G33" s="29">
        <v>40179</v>
      </c>
      <c r="H33" s="30">
        <v>41171224451.529999</v>
      </c>
      <c r="K33" s="40">
        <v>40179</v>
      </c>
      <c r="L33" s="39">
        <v>41171224451.529999</v>
      </c>
    </row>
    <row r="34" spans="1:12">
      <c r="A34" s="66"/>
      <c r="B34" s="32" t="s">
        <v>7</v>
      </c>
      <c r="C34" s="30">
        <v>37643702495.970001</v>
      </c>
      <c r="G34" s="29">
        <v>40210</v>
      </c>
      <c r="H34" s="30">
        <v>43331380880.580002</v>
      </c>
      <c r="K34" s="40">
        <v>40210</v>
      </c>
      <c r="L34" s="39">
        <v>43331380880.580002</v>
      </c>
    </row>
    <row r="35" spans="1:12">
      <c r="A35" s="66"/>
      <c r="B35" s="32" t="s">
        <v>6</v>
      </c>
      <c r="C35" s="30">
        <v>40829244339.580002</v>
      </c>
      <c r="G35" s="29">
        <v>40238</v>
      </c>
      <c r="H35" s="30">
        <v>36714521904.68</v>
      </c>
      <c r="K35" s="40">
        <v>40238</v>
      </c>
      <c r="L35" s="39">
        <v>36714521904.68</v>
      </c>
    </row>
    <row r="36" spans="1:12">
      <c r="A36" s="66"/>
      <c r="B36" s="32" t="s">
        <v>5</v>
      </c>
      <c r="C36" s="30">
        <v>46909004959.040001</v>
      </c>
      <c r="G36" s="29">
        <v>40269</v>
      </c>
      <c r="H36" s="30">
        <v>36544416365.050003</v>
      </c>
      <c r="K36" s="40">
        <v>40269</v>
      </c>
      <c r="L36" s="39">
        <v>36544416365.050003</v>
      </c>
    </row>
    <row r="37" spans="1:12">
      <c r="A37" s="66"/>
      <c r="B37" s="32" t="s">
        <v>4</v>
      </c>
      <c r="C37" s="30">
        <v>69384338986.350006</v>
      </c>
      <c r="G37" s="29">
        <v>40299</v>
      </c>
      <c r="H37" s="30">
        <v>36336611081.309998</v>
      </c>
      <c r="K37" s="40">
        <v>40299</v>
      </c>
      <c r="L37" s="39">
        <v>36336611081.309998</v>
      </c>
    </row>
    <row r="38" spans="1:12">
      <c r="A38" s="66"/>
      <c r="B38" s="32" t="s">
        <v>3</v>
      </c>
      <c r="C38" s="30">
        <v>68963882096.149994</v>
      </c>
      <c r="G38" s="29">
        <v>40330</v>
      </c>
      <c r="H38" s="30">
        <v>37643702495.970001</v>
      </c>
      <c r="K38" s="40">
        <v>40330</v>
      </c>
      <c r="L38" s="39">
        <v>37643702495.970001</v>
      </c>
    </row>
    <row r="39" spans="1:12">
      <c r="A39" s="66"/>
      <c r="B39" s="32" t="s">
        <v>2</v>
      </c>
      <c r="C39" s="30">
        <v>71397253151.929993</v>
      </c>
      <c r="G39" s="29">
        <v>40360</v>
      </c>
      <c r="H39" s="30">
        <v>40829244339.580002</v>
      </c>
      <c r="K39" s="40">
        <v>40360</v>
      </c>
      <c r="L39" s="39">
        <v>40829244339.580002</v>
      </c>
    </row>
    <row r="40" spans="1:12">
      <c r="A40" s="66"/>
      <c r="B40" s="32" t="s">
        <v>1</v>
      </c>
      <c r="C40" s="30">
        <v>81193901238.820007</v>
      </c>
      <c r="G40" s="29">
        <v>40391</v>
      </c>
      <c r="H40" s="30">
        <v>46909004959.040001</v>
      </c>
      <c r="K40" s="40">
        <v>40391</v>
      </c>
      <c r="L40" s="39">
        <v>46909004959.040001</v>
      </c>
    </row>
    <row r="41" spans="1:12">
      <c r="A41" s="66">
        <v>2011</v>
      </c>
      <c r="B41" s="32" t="s">
        <v>0</v>
      </c>
      <c r="C41" s="30">
        <v>66493575674.870003</v>
      </c>
      <c r="G41" s="29">
        <v>40422</v>
      </c>
      <c r="H41" s="30">
        <v>69384338986.350006</v>
      </c>
      <c r="K41" s="40">
        <v>40422</v>
      </c>
      <c r="L41" s="39">
        <v>69384338986.350006</v>
      </c>
    </row>
    <row r="42" spans="1:12">
      <c r="A42" s="66"/>
      <c r="B42" s="32" t="s">
        <v>11</v>
      </c>
      <c r="C42" s="30">
        <v>51211208108.309998</v>
      </c>
      <c r="G42" s="29">
        <v>40452</v>
      </c>
      <c r="H42" s="30">
        <v>68963882096.149994</v>
      </c>
      <c r="K42" s="40">
        <v>40452</v>
      </c>
      <c r="L42" s="39">
        <v>68963882096.149994</v>
      </c>
    </row>
    <row r="43" spans="1:12">
      <c r="A43" s="66"/>
      <c r="B43" s="32" t="s">
        <v>10</v>
      </c>
      <c r="C43" s="30">
        <v>52478992160.580002</v>
      </c>
      <c r="G43" s="29">
        <v>40483</v>
      </c>
      <c r="H43" s="30">
        <v>71397253151.929993</v>
      </c>
      <c r="K43" s="40">
        <v>40483</v>
      </c>
      <c r="L43" s="39">
        <v>71397253151.929993</v>
      </c>
    </row>
    <row r="44" spans="1:12">
      <c r="A44" s="66"/>
      <c r="B44" s="32" t="s">
        <v>9</v>
      </c>
      <c r="C44" s="30">
        <v>33088841042.959999</v>
      </c>
      <c r="G44" s="29">
        <v>40513</v>
      </c>
      <c r="H44" s="30">
        <v>81193901238.820007</v>
      </c>
      <c r="K44" s="40">
        <v>40513</v>
      </c>
      <c r="L44" s="39">
        <v>81193901238.820007</v>
      </c>
    </row>
    <row r="45" spans="1:12">
      <c r="A45" s="66"/>
      <c r="B45" s="32" t="s">
        <v>8</v>
      </c>
      <c r="C45" s="30">
        <v>30964833391.43</v>
      </c>
      <c r="G45" s="29">
        <v>40544</v>
      </c>
      <c r="H45" s="30">
        <v>66493575674.870003</v>
      </c>
      <c r="K45" s="40">
        <v>40544</v>
      </c>
      <c r="L45" s="39">
        <v>66493575674.870003</v>
      </c>
    </row>
    <row r="46" spans="1:12">
      <c r="A46" s="66"/>
      <c r="B46" s="32" t="s">
        <v>7</v>
      </c>
      <c r="C46" s="30">
        <v>34031377587.419998</v>
      </c>
      <c r="G46" s="29">
        <v>40575</v>
      </c>
      <c r="H46" s="30">
        <v>51211208108.309998</v>
      </c>
      <c r="K46" s="40">
        <v>40575</v>
      </c>
      <c r="L46" s="39">
        <v>51211208108.309998</v>
      </c>
    </row>
    <row r="47" spans="1:12">
      <c r="A47" s="66"/>
      <c r="B47" s="32" t="s">
        <v>6</v>
      </c>
      <c r="C47" s="31">
        <v>30621365146.98</v>
      </c>
      <c r="G47" s="29">
        <v>40603</v>
      </c>
      <c r="H47" s="30">
        <v>52478992160.580002</v>
      </c>
      <c r="K47" s="40">
        <v>40603</v>
      </c>
      <c r="L47" s="39">
        <v>52478992160.580002</v>
      </c>
    </row>
    <row r="48" spans="1:12">
      <c r="A48" s="66"/>
      <c r="B48" s="32" t="s">
        <v>5</v>
      </c>
      <c r="C48" s="31">
        <v>38171516998.550003</v>
      </c>
      <c r="G48" s="29">
        <v>40634</v>
      </c>
      <c r="H48" s="30">
        <v>33088841042.959999</v>
      </c>
      <c r="K48" s="40">
        <v>40634</v>
      </c>
      <c r="L48" s="39">
        <v>33088841042.959999</v>
      </c>
    </row>
    <row r="49" spans="1:12">
      <c r="A49" s="66"/>
      <c r="B49" s="32" t="s">
        <v>4</v>
      </c>
      <c r="C49" s="31">
        <v>45345536322.599998</v>
      </c>
      <c r="G49" s="29">
        <v>40664</v>
      </c>
      <c r="H49" s="30">
        <v>30964833391.43</v>
      </c>
      <c r="K49" s="40">
        <v>40664</v>
      </c>
      <c r="L49" s="12">
        <v>30964833391.43</v>
      </c>
    </row>
    <row r="50" spans="1:12">
      <c r="A50" s="66"/>
      <c r="B50" s="32" t="s">
        <v>3</v>
      </c>
      <c r="C50" s="31">
        <v>51265734201.440002</v>
      </c>
      <c r="G50" s="29">
        <v>40695</v>
      </c>
      <c r="H50" s="30">
        <v>34031377587.419998</v>
      </c>
      <c r="K50" s="40">
        <v>40695</v>
      </c>
      <c r="L50" s="12">
        <v>34031377587.419998</v>
      </c>
    </row>
    <row r="51" spans="1:12">
      <c r="A51" s="66"/>
      <c r="B51" s="32" t="s">
        <v>2</v>
      </c>
      <c r="C51" s="31">
        <v>62641454659.599998</v>
      </c>
      <c r="G51" s="29">
        <v>40725</v>
      </c>
      <c r="H51" s="31">
        <v>30621365146.98</v>
      </c>
      <c r="K51" s="40">
        <v>40725</v>
      </c>
      <c r="L51" s="12">
        <v>30621365146.98</v>
      </c>
    </row>
    <row r="52" spans="1:12">
      <c r="A52" s="66"/>
      <c r="B52" s="32" t="s">
        <v>1</v>
      </c>
      <c r="C52" s="31">
        <v>73851865080.610001</v>
      </c>
      <c r="G52" s="29">
        <v>40756</v>
      </c>
      <c r="H52" s="31">
        <v>38171516998.550003</v>
      </c>
      <c r="K52" s="40">
        <v>40756</v>
      </c>
      <c r="L52" s="12">
        <v>38171516998.550003</v>
      </c>
    </row>
    <row r="53" spans="1:12">
      <c r="A53" s="66">
        <v>2012</v>
      </c>
      <c r="B53" s="32" t="s">
        <v>0</v>
      </c>
      <c r="C53" s="31">
        <v>58331372757.360001</v>
      </c>
      <c r="G53" s="29">
        <v>40787</v>
      </c>
      <c r="H53" s="31">
        <v>45345536322.599998</v>
      </c>
      <c r="K53" s="40">
        <v>40787</v>
      </c>
      <c r="L53" s="12">
        <v>45345536322.599998</v>
      </c>
    </row>
    <row r="54" spans="1:12">
      <c r="A54" s="66"/>
      <c r="B54" s="32" t="s">
        <v>11</v>
      </c>
      <c r="C54" s="31">
        <v>56063681559.919998</v>
      </c>
      <c r="G54" s="29">
        <v>40817</v>
      </c>
      <c r="H54" s="31">
        <v>51265734201.440002</v>
      </c>
      <c r="K54" s="40">
        <v>40817</v>
      </c>
      <c r="L54" s="12">
        <v>51265734201.440002</v>
      </c>
    </row>
    <row r="55" spans="1:12">
      <c r="A55" s="66"/>
      <c r="B55" s="32" t="s">
        <v>10</v>
      </c>
      <c r="C55" s="31">
        <v>86317495811.419998</v>
      </c>
      <c r="G55" s="29">
        <v>40848</v>
      </c>
      <c r="H55" s="31">
        <v>62641454659.599998</v>
      </c>
      <c r="K55" s="40">
        <v>40848</v>
      </c>
      <c r="L55" s="12">
        <v>62641454659.599998</v>
      </c>
    </row>
    <row r="56" spans="1:12">
      <c r="A56" s="66"/>
      <c r="B56" s="32" t="s">
        <v>9</v>
      </c>
      <c r="C56" s="31">
        <v>48073485668.580002</v>
      </c>
      <c r="G56" s="29">
        <v>40878</v>
      </c>
      <c r="H56" s="31">
        <v>73851865080.610001</v>
      </c>
      <c r="K56" s="40">
        <v>40878</v>
      </c>
      <c r="L56" s="12">
        <v>73851865080.610001</v>
      </c>
    </row>
    <row r="57" spans="1:12">
      <c r="A57" s="66"/>
      <c r="B57" s="32" t="s">
        <v>8</v>
      </c>
      <c r="C57" s="31">
        <v>66663158668.949997</v>
      </c>
      <c r="G57" s="29">
        <v>40909</v>
      </c>
      <c r="H57" s="31">
        <v>58331372757.360001</v>
      </c>
      <c r="K57" s="40">
        <v>40909</v>
      </c>
      <c r="L57" s="12">
        <v>58331372757.360001</v>
      </c>
    </row>
    <row r="58" spans="1:12">
      <c r="A58" s="66"/>
      <c r="B58" s="32" t="s">
        <v>7</v>
      </c>
      <c r="C58" s="31">
        <v>65107512378.209999</v>
      </c>
      <c r="G58" s="29">
        <v>40940</v>
      </c>
      <c r="H58" s="31">
        <v>56063681559.919998</v>
      </c>
      <c r="K58" s="40">
        <v>40940</v>
      </c>
      <c r="L58" s="12">
        <v>56063681559.919998</v>
      </c>
    </row>
    <row r="59" spans="1:12">
      <c r="A59" s="66"/>
      <c r="B59" s="32" t="s">
        <v>6</v>
      </c>
      <c r="C59" s="31">
        <v>71798949000.600006</v>
      </c>
      <c r="G59" s="29">
        <v>40969</v>
      </c>
      <c r="H59" s="31">
        <v>86317495811.419998</v>
      </c>
      <c r="K59" s="40">
        <v>40969</v>
      </c>
      <c r="L59" s="12">
        <v>86317495811.419998</v>
      </c>
    </row>
    <row r="60" spans="1:12">
      <c r="A60" s="66"/>
      <c r="B60" s="32" t="s">
        <v>5</v>
      </c>
      <c r="C60" s="31">
        <v>80246484071.139999</v>
      </c>
      <c r="G60" s="29">
        <v>41000</v>
      </c>
      <c r="H60" s="31">
        <v>48073485668.580002</v>
      </c>
      <c r="K60" s="40">
        <v>41000</v>
      </c>
      <c r="L60" s="12">
        <v>48073485668.580002</v>
      </c>
    </row>
    <row r="61" spans="1:12">
      <c r="A61" s="66"/>
      <c r="B61" s="32" t="s">
        <v>4</v>
      </c>
      <c r="C61" s="31">
        <v>84049356738.059998</v>
      </c>
      <c r="G61" s="29">
        <v>41030</v>
      </c>
      <c r="H61" s="31">
        <v>66663158668.949997</v>
      </c>
      <c r="K61" s="40">
        <v>41030</v>
      </c>
      <c r="L61" s="12">
        <v>66663158668.949997</v>
      </c>
    </row>
    <row r="62" spans="1:12">
      <c r="A62" s="66"/>
      <c r="B62" s="32" t="s">
        <v>3</v>
      </c>
      <c r="C62" s="31">
        <v>61818801001.650002</v>
      </c>
      <c r="G62" s="29">
        <v>41061</v>
      </c>
      <c r="H62" s="31">
        <v>65107512378.209999</v>
      </c>
      <c r="K62" s="40">
        <v>41061</v>
      </c>
      <c r="L62" s="12">
        <v>65107512378.209999</v>
      </c>
    </row>
    <row r="63" spans="1:12">
      <c r="A63" s="66"/>
      <c r="B63" s="32" t="s">
        <v>2</v>
      </c>
      <c r="C63" s="31">
        <v>107252324964.50999</v>
      </c>
      <c r="G63" s="29">
        <v>41091</v>
      </c>
      <c r="H63" s="31">
        <v>71798949000.600006</v>
      </c>
      <c r="K63" s="40">
        <v>41091</v>
      </c>
      <c r="L63" s="12">
        <v>71798949000.600006</v>
      </c>
    </row>
    <row r="64" spans="1:12">
      <c r="A64" s="66"/>
      <c r="B64" s="32" t="s">
        <v>1</v>
      </c>
      <c r="C64" s="31">
        <v>66763638723.230003</v>
      </c>
      <c r="G64" s="29">
        <v>41122</v>
      </c>
      <c r="H64" s="31">
        <v>80246484071.139999</v>
      </c>
      <c r="K64" s="40">
        <v>41122</v>
      </c>
      <c r="L64" s="12">
        <v>80246484071.139999</v>
      </c>
    </row>
    <row r="65" spans="1:12">
      <c r="A65" s="66">
        <v>2013</v>
      </c>
      <c r="B65" s="32" t="s">
        <v>0</v>
      </c>
      <c r="C65" s="31">
        <v>85482757320.820007</v>
      </c>
      <c r="G65" s="29">
        <v>41153</v>
      </c>
      <c r="H65" s="31">
        <v>84049356738.059998</v>
      </c>
      <c r="K65" s="40">
        <v>41153</v>
      </c>
      <c r="L65" s="12">
        <v>84049356738.059998</v>
      </c>
    </row>
    <row r="66" spans="1:12">
      <c r="A66" s="66"/>
      <c r="B66" s="32" t="s">
        <v>11</v>
      </c>
      <c r="C66" s="31">
        <v>77430427923.440002</v>
      </c>
      <c r="G66" s="29">
        <v>41183</v>
      </c>
      <c r="H66" s="31">
        <v>61818801001.650002</v>
      </c>
      <c r="K66" s="40">
        <v>41183</v>
      </c>
      <c r="L66" s="12">
        <v>61818801001.650002</v>
      </c>
    </row>
    <row r="67" spans="1:12">
      <c r="A67" s="66"/>
      <c r="B67" s="32" t="s">
        <v>10</v>
      </c>
      <c r="C67" s="31">
        <v>66573031434.919998</v>
      </c>
      <c r="G67" s="29">
        <v>41214</v>
      </c>
      <c r="H67" s="31">
        <v>107252324964.50999</v>
      </c>
      <c r="K67" s="40">
        <v>41214</v>
      </c>
      <c r="L67" s="12">
        <v>107252324964.50999</v>
      </c>
    </row>
    <row r="68" spans="1:12">
      <c r="A68" s="66"/>
      <c r="B68" s="32" t="s">
        <v>9</v>
      </c>
      <c r="C68" s="31">
        <v>73548428684.190002</v>
      </c>
      <c r="G68" s="29">
        <v>41244</v>
      </c>
      <c r="H68" s="31">
        <v>66763638723.230003</v>
      </c>
      <c r="K68" s="40">
        <v>41244</v>
      </c>
      <c r="L68" s="12">
        <v>66763638723.230003</v>
      </c>
    </row>
    <row r="69" spans="1:12">
      <c r="A69" s="66"/>
      <c r="B69" s="32" t="s">
        <v>8</v>
      </c>
      <c r="C69" s="31">
        <v>73509211252.020004</v>
      </c>
      <c r="G69" s="29">
        <v>41275</v>
      </c>
      <c r="H69" s="31">
        <v>85482757320.820007</v>
      </c>
      <c r="K69" s="40">
        <v>41275</v>
      </c>
      <c r="L69" s="12">
        <v>85482757320.820007</v>
      </c>
    </row>
    <row r="70" spans="1:12">
      <c r="A70" s="66"/>
      <c r="B70" s="32" t="s">
        <v>7</v>
      </c>
      <c r="C70" s="31">
        <v>66542000148.940002</v>
      </c>
      <c r="G70" s="29">
        <v>41306</v>
      </c>
      <c r="H70" s="31">
        <v>77430427923.440002</v>
      </c>
      <c r="K70" s="40">
        <v>41306</v>
      </c>
      <c r="L70" s="12">
        <v>77430427923.440002</v>
      </c>
    </row>
    <row r="71" spans="1:12">
      <c r="A71" s="66"/>
      <c r="B71" s="32" t="s">
        <v>6</v>
      </c>
      <c r="C71" s="31">
        <v>71866974614.360001</v>
      </c>
      <c r="G71" s="29">
        <v>41334</v>
      </c>
      <c r="H71" s="31">
        <v>66573031434.919998</v>
      </c>
      <c r="K71" s="40">
        <v>41334</v>
      </c>
      <c r="L71" s="12">
        <v>66573031434.919998</v>
      </c>
    </row>
    <row r="72" spans="1:12">
      <c r="A72" s="66"/>
      <c r="B72" s="32" t="s">
        <v>5</v>
      </c>
      <c r="C72" s="31">
        <v>65043206114.970001</v>
      </c>
      <c r="G72" s="29">
        <v>41365</v>
      </c>
      <c r="H72" s="31">
        <v>73548428684.190002</v>
      </c>
      <c r="K72" s="40">
        <v>41365</v>
      </c>
      <c r="L72" s="12">
        <v>73548428684.190002</v>
      </c>
    </row>
    <row r="73" spans="1:12">
      <c r="A73" s="66"/>
      <c r="B73" s="32" t="s">
        <v>4</v>
      </c>
      <c r="C73" s="31">
        <v>52117579911.449997</v>
      </c>
      <c r="G73" s="29">
        <v>41395</v>
      </c>
      <c r="H73" s="31">
        <v>73509211252.020004</v>
      </c>
      <c r="K73" s="40">
        <v>41395</v>
      </c>
      <c r="L73" s="12">
        <v>73509211252.020004</v>
      </c>
    </row>
    <row r="74" spans="1:12">
      <c r="A74" s="66"/>
      <c r="B74" s="32" t="s">
        <v>3</v>
      </c>
      <c r="C74" s="31">
        <v>47175834172.419998</v>
      </c>
      <c r="G74" s="29">
        <v>41426</v>
      </c>
      <c r="H74" s="31">
        <v>66542000148.940002</v>
      </c>
      <c r="K74" s="40">
        <v>41426</v>
      </c>
      <c r="L74" s="12">
        <v>66542000148.940002</v>
      </c>
    </row>
    <row r="75" spans="1:12">
      <c r="A75" s="66"/>
      <c r="B75" s="32" t="s">
        <v>2</v>
      </c>
      <c r="C75" s="31">
        <v>38757040631.290001</v>
      </c>
      <c r="G75" s="29">
        <v>41456</v>
      </c>
      <c r="H75" s="31">
        <v>71866974614.360001</v>
      </c>
      <c r="K75" s="40">
        <v>41456</v>
      </c>
      <c r="L75" s="12">
        <v>71866974614.360001</v>
      </c>
    </row>
    <row r="76" spans="1:12">
      <c r="A76" s="66"/>
      <c r="B76" s="32" t="s">
        <v>1</v>
      </c>
      <c r="C76" s="31">
        <v>37790142776.290001</v>
      </c>
      <c r="G76" s="29">
        <v>41487</v>
      </c>
      <c r="H76" s="31">
        <v>65043206114.970001</v>
      </c>
      <c r="K76" s="40">
        <v>41487</v>
      </c>
      <c r="L76" s="12">
        <v>65043206114.970001</v>
      </c>
    </row>
    <row r="77" spans="1:12">
      <c r="A77" s="66">
        <v>2014</v>
      </c>
      <c r="B77" s="32" t="s">
        <v>0</v>
      </c>
      <c r="C77" s="31">
        <v>28108964119.139999</v>
      </c>
      <c r="G77" s="29">
        <v>41518</v>
      </c>
      <c r="H77" s="31">
        <v>52117579911.449997</v>
      </c>
      <c r="K77" s="40">
        <v>41518</v>
      </c>
      <c r="L77" s="12">
        <v>52117579911.449997</v>
      </c>
    </row>
    <row r="78" spans="1:12">
      <c r="A78" s="66"/>
      <c r="B78" s="32" t="s">
        <v>11</v>
      </c>
      <c r="C78" s="31">
        <v>27585216807.849998</v>
      </c>
      <c r="G78" s="29">
        <v>41548</v>
      </c>
      <c r="H78" s="31">
        <v>47175834172.419998</v>
      </c>
      <c r="K78" s="40">
        <v>41548</v>
      </c>
      <c r="L78" s="12">
        <v>47175834172.419998</v>
      </c>
    </row>
    <row r="79" spans="1:12">
      <c r="A79" s="66"/>
      <c r="B79" s="32" t="s">
        <v>10</v>
      </c>
      <c r="C79" s="31">
        <v>23463509422.790001</v>
      </c>
      <c r="G79" s="29">
        <v>41579</v>
      </c>
      <c r="H79" s="31">
        <v>38757040631.290001</v>
      </c>
      <c r="K79" s="40">
        <v>41579</v>
      </c>
      <c r="L79" s="12">
        <v>38757040631.290001</v>
      </c>
    </row>
    <row r="80" spans="1:12">
      <c r="A80" s="66"/>
      <c r="B80" s="32" t="s">
        <v>9</v>
      </c>
      <c r="C80" s="31">
        <v>27198516722.27</v>
      </c>
      <c r="G80" s="29">
        <v>41609</v>
      </c>
      <c r="H80" s="31">
        <v>37790142776.290001</v>
      </c>
      <c r="K80" s="40">
        <v>41609</v>
      </c>
      <c r="L80" s="12">
        <v>37790142776.290001</v>
      </c>
    </row>
    <row r="81" spans="1:12">
      <c r="A81" s="66"/>
      <c r="B81" s="32" t="s">
        <v>8</v>
      </c>
      <c r="C81" s="31">
        <v>27487631130.209999</v>
      </c>
      <c r="G81" s="29">
        <v>41640</v>
      </c>
      <c r="H81" s="31">
        <v>28108964119.139999</v>
      </c>
      <c r="K81" s="40">
        <v>41640</v>
      </c>
      <c r="L81" s="12">
        <v>28108964119.139999</v>
      </c>
    </row>
    <row r="82" spans="1:12">
      <c r="A82" s="66"/>
      <c r="B82" s="32" t="s">
        <v>7</v>
      </c>
      <c r="C82" s="31">
        <v>31582304306.349998</v>
      </c>
      <c r="G82" s="29">
        <v>41671</v>
      </c>
      <c r="H82" s="31">
        <v>27585216807.849998</v>
      </c>
      <c r="K82" s="40">
        <v>41671</v>
      </c>
      <c r="L82" s="12">
        <v>27585216807.849998</v>
      </c>
    </row>
    <row r="83" spans="1:12">
      <c r="A83" s="66"/>
      <c r="B83" s="32" t="s">
        <v>6</v>
      </c>
      <c r="C83" s="31">
        <v>36447478522.989998</v>
      </c>
      <c r="G83" s="29">
        <v>41699</v>
      </c>
      <c r="H83" s="31">
        <v>23463509422.790001</v>
      </c>
      <c r="K83" s="40">
        <v>41699</v>
      </c>
      <c r="L83" s="12">
        <v>23463509422.790001</v>
      </c>
    </row>
    <row r="84" spans="1:12">
      <c r="A84" s="66"/>
      <c r="B84" s="32" t="s">
        <v>5</v>
      </c>
      <c r="C84" s="31">
        <v>34332054961.080002</v>
      </c>
      <c r="G84" s="29">
        <v>41730</v>
      </c>
      <c r="H84" s="31">
        <v>27198516722.27</v>
      </c>
      <c r="K84" s="40">
        <v>41730</v>
      </c>
      <c r="L84" s="12">
        <v>27198516722.27</v>
      </c>
    </row>
    <row r="85" spans="1:12">
      <c r="A85" s="66"/>
      <c r="B85" s="32" t="s">
        <v>4</v>
      </c>
      <c r="C85" s="31">
        <v>40347506692.199997</v>
      </c>
      <c r="G85" s="29">
        <v>41760</v>
      </c>
      <c r="H85" s="31">
        <v>27487631130.209999</v>
      </c>
      <c r="K85" s="40">
        <v>41760</v>
      </c>
      <c r="L85" s="12">
        <v>27487631130.209999</v>
      </c>
    </row>
    <row r="86" spans="1:12">
      <c r="A86" s="66"/>
      <c r="B86" s="32" t="s">
        <v>3</v>
      </c>
      <c r="C86" s="31">
        <v>40323740351.139999</v>
      </c>
      <c r="G86" s="29">
        <v>41791</v>
      </c>
      <c r="H86" s="31">
        <v>31582304306.349998</v>
      </c>
      <c r="K86" s="40">
        <v>41791</v>
      </c>
      <c r="L86" s="12">
        <v>31582304306.349998</v>
      </c>
    </row>
    <row r="87" spans="1:12">
      <c r="A87" s="66"/>
      <c r="B87" s="32" t="s">
        <v>2</v>
      </c>
      <c r="C87" s="31">
        <v>32492729674.279999</v>
      </c>
      <c r="G87" s="29">
        <v>41821</v>
      </c>
      <c r="H87" s="31">
        <v>36447478522.989998</v>
      </c>
      <c r="K87" s="40">
        <v>41821</v>
      </c>
      <c r="L87" s="12">
        <v>36447478522.989998</v>
      </c>
    </row>
    <row r="88" spans="1:12">
      <c r="A88" s="66"/>
      <c r="B88" s="32" t="s">
        <v>1</v>
      </c>
      <c r="C88" s="31">
        <v>44253011751.110001</v>
      </c>
      <c r="G88" s="29">
        <v>41852</v>
      </c>
      <c r="H88" s="31">
        <v>34332054961.080002</v>
      </c>
      <c r="K88" s="40">
        <v>41852</v>
      </c>
      <c r="L88" s="12">
        <v>34332054961.080002</v>
      </c>
    </row>
    <row r="89" spans="1:12">
      <c r="A89" s="66">
        <v>2015</v>
      </c>
      <c r="B89" s="32" t="s">
        <v>0</v>
      </c>
      <c r="C89" s="31">
        <v>36980630899.18</v>
      </c>
      <c r="G89" s="29">
        <v>41883</v>
      </c>
      <c r="H89" s="31">
        <v>40347506692.199997</v>
      </c>
      <c r="K89" s="40">
        <v>41883</v>
      </c>
      <c r="L89" s="12">
        <v>40347506692.199997</v>
      </c>
    </row>
    <row r="90" spans="1:12">
      <c r="A90" s="66"/>
      <c r="B90" s="32" t="s">
        <v>11</v>
      </c>
      <c r="C90" s="31">
        <v>36583983679.550003</v>
      </c>
      <c r="G90" s="29">
        <v>41913</v>
      </c>
      <c r="H90" s="31">
        <v>40323740351.139999</v>
      </c>
      <c r="K90" s="40">
        <v>41913</v>
      </c>
      <c r="L90" s="12">
        <v>40323740351.139999</v>
      </c>
    </row>
    <row r="91" spans="1:12">
      <c r="A91" s="66"/>
      <c r="B91" s="32" t="s">
        <v>10</v>
      </c>
      <c r="C91" s="31">
        <v>44361653084.169998</v>
      </c>
      <c r="G91" s="29">
        <v>41944</v>
      </c>
      <c r="H91" s="31">
        <v>32492729674.279999</v>
      </c>
      <c r="K91" s="40">
        <v>41944</v>
      </c>
      <c r="L91" s="12">
        <v>32492729674.279999</v>
      </c>
    </row>
    <row r="92" spans="1:12">
      <c r="A92" s="66"/>
      <c r="B92" s="32" t="s">
        <v>9</v>
      </c>
      <c r="C92" s="31">
        <v>51181167313.550003</v>
      </c>
      <c r="G92" s="29">
        <v>41974</v>
      </c>
      <c r="H92" s="31">
        <v>44253011751.110001</v>
      </c>
      <c r="K92" s="40">
        <v>41974</v>
      </c>
      <c r="L92" s="12">
        <v>44253011751.110001</v>
      </c>
    </row>
    <row r="93" spans="1:12">
      <c r="A93" s="66"/>
      <c r="B93" s="32" t="s">
        <v>8</v>
      </c>
      <c r="C93" s="35">
        <v>44756506739.489998</v>
      </c>
      <c r="G93" s="29">
        <v>42005</v>
      </c>
      <c r="H93" s="31">
        <v>36980630899.18</v>
      </c>
      <c r="K93" s="40">
        <v>42005</v>
      </c>
      <c r="L93" s="12">
        <v>36980630899.18</v>
      </c>
    </row>
    <row r="94" spans="1:12">
      <c r="A94" s="66"/>
      <c r="B94" s="32" t="s">
        <v>7</v>
      </c>
      <c r="C94" s="32">
        <v>46670102078.379997</v>
      </c>
      <c r="G94" s="29">
        <v>42036</v>
      </c>
      <c r="H94" s="31">
        <v>36583983679.550003</v>
      </c>
      <c r="K94" s="40">
        <v>42036</v>
      </c>
      <c r="L94" s="12">
        <v>36583983679.550003</v>
      </c>
    </row>
    <row r="95" spans="1:12">
      <c r="A95" s="66"/>
      <c r="B95" s="32" t="s">
        <v>6</v>
      </c>
      <c r="C95" s="32">
        <v>46808897996.93</v>
      </c>
      <c r="G95" s="29">
        <v>42064</v>
      </c>
      <c r="H95" s="31">
        <v>44361653084.169998</v>
      </c>
      <c r="K95" s="40">
        <v>42064</v>
      </c>
      <c r="L95" s="12">
        <v>44361653084.169998</v>
      </c>
    </row>
    <row r="96" spans="1:12">
      <c r="A96" s="66"/>
      <c r="B96" s="32" t="s">
        <v>5</v>
      </c>
      <c r="C96" s="32">
        <v>39123218043.230003</v>
      </c>
      <c r="G96" s="29">
        <v>42095</v>
      </c>
      <c r="H96" s="31">
        <v>51181167313.550003</v>
      </c>
      <c r="K96" s="40">
        <v>42095</v>
      </c>
      <c r="L96" s="12">
        <v>51182654442.220001</v>
      </c>
    </row>
    <row r="97" spans="1:12">
      <c r="A97" s="66"/>
      <c r="B97" s="32" t="s">
        <v>4</v>
      </c>
      <c r="C97" s="32">
        <v>44989151670.82</v>
      </c>
      <c r="G97" s="34">
        <v>42125</v>
      </c>
      <c r="H97" s="35">
        <v>44756506739.489998</v>
      </c>
      <c r="K97" s="40">
        <v>42125</v>
      </c>
      <c r="L97" s="12">
        <v>44756506739.489998</v>
      </c>
    </row>
    <row r="98" spans="1:12">
      <c r="A98" s="66"/>
      <c r="B98" s="32" t="s">
        <v>3</v>
      </c>
      <c r="C98" s="32">
        <v>41324740804.440002</v>
      </c>
      <c r="G98" s="36">
        <v>42156</v>
      </c>
      <c r="H98" s="32">
        <v>46670102078.379997</v>
      </c>
      <c r="K98" s="40">
        <v>42156</v>
      </c>
      <c r="L98" s="12">
        <v>46670102078.379997</v>
      </c>
    </row>
    <row r="99" spans="1:12">
      <c r="A99" s="66"/>
      <c r="B99" s="32" t="s">
        <v>2</v>
      </c>
      <c r="C99" s="32">
        <v>28933538589.34</v>
      </c>
      <c r="G99" s="36">
        <v>42186</v>
      </c>
      <c r="H99" s="32">
        <v>46808897996.93</v>
      </c>
      <c r="K99" s="40">
        <v>42186</v>
      </c>
      <c r="L99" s="12">
        <v>46808897996.93</v>
      </c>
    </row>
    <row r="100" spans="1:12">
      <c r="A100" s="66"/>
      <c r="B100" s="32" t="s">
        <v>1</v>
      </c>
      <c r="C100" s="32">
        <f>H105</f>
        <v>39048100886.419998</v>
      </c>
      <c r="G100" s="36">
        <v>42217</v>
      </c>
      <c r="H100" s="32">
        <v>39123218043.230003</v>
      </c>
      <c r="K100" s="40">
        <v>42217</v>
      </c>
      <c r="L100" s="12">
        <v>39123218043.230003</v>
      </c>
    </row>
    <row r="101" spans="1:12">
      <c r="A101" s="66">
        <v>2016</v>
      </c>
      <c r="B101" s="32" t="s">
        <v>0</v>
      </c>
      <c r="C101" s="32">
        <f t="shared" ref="C101:C129" si="0">H106</f>
        <v>38841439178.620003</v>
      </c>
      <c r="G101" s="36">
        <v>42217</v>
      </c>
      <c r="H101" s="32">
        <v>39123218043.230003</v>
      </c>
      <c r="K101" s="40">
        <v>42248</v>
      </c>
      <c r="L101" s="12">
        <v>44989151670.82</v>
      </c>
    </row>
    <row r="102" spans="1:12">
      <c r="A102" s="66"/>
      <c r="B102" s="32" t="s">
        <v>11</v>
      </c>
      <c r="C102" s="32">
        <f t="shared" si="0"/>
        <v>30561761942.720001</v>
      </c>
      <c r="G102" s="36">
        <v>42248</v>
      </c>
      <c r="H102" s="32">
        <v>44989151670.82</v>
      </c>
      <c r="K102" s="40">
        <v>42278</v>
      </c>
      <c r="L102" s="12">
        <v>41324740804.440002</v>
      </c>
    </row>
    <row r="103" spans="1:12">
      <c r="A103" s="66"/>
      <c r="B103" s="32" t="s">
        <v>10</v>
      </c>
      <c r="C103" s="32">
        <f t="shared" si="0"/>
        <v>39928859384.089996</v>
      </c>
      <c r="G103" s="36">
        <v>42278</v>
      </c>
      <c r="H103" s="32">
        <v>41324740804.440002</v>
      </c>
      <c r="K103" s="40">
        <v>42309</v>
      </c>
      <c r="L103" s="12">
        <v>28933538589.34</v>
      </c>
    </row>
    <row r="104" spans="1:12">
      <c r="A104" s="66"/>
      <c r="B104" s="32" t="s">
        <v>9</v>
      </c>
      <c r="C104" s="32">
        <f t="shared" si="0"/>
        <v>44861340063.169998</v>
      </c>
      <c r="G104" s="36">
        <v>42309</v>
      </c>
      <c r="H104" s="32">
        <v>28933538589.34</v>
      </c>
      <c r="K104" s="40">
        <v>42339</v>
      </c>
      <c r="L104" s="12">
        <v>39048100886.419998</v>
      </c>
    </row>
    <row r="105" spans="1:12">
      <c r="A105" s="66"/>
      <c r="B105" s="32" t="s">
        <v>8</v>
      </c>
      <c r="C105" s="32">
        <f t="shared" si="0"/>
        <v>45906379388.75</v>
      </c>
      <c r="G105" s="36">
        <v>42339</v>
      </c>
      <c r="H105" s="32">
        <v>39048100886.419998</v>
      </c>
      <c r="K105" s="40">
        <v>42370</v>
      </c>
      <c r="L105" s="12">
        <v>38841640329.040001</v>
      </c>
    </row>
    <row r="106" spans="1:12">
      <c r="A106" s="66"/>
      <c r="B106" s="32" t="s">
        <v>7</v>
      </c>
      <c r="C106" s="32">
        <f t="shared" si="0"/>
        <v>49117830558.220001</v>
      </c>
      <c r="G106" s="36">
        <v>42370</v>
      </c>
      <c r="H106" s="32">
        <v>38841439178.620003</v>
      </c>
      <c r="K106" s="40">
        <v>42401</v>
      </c>
      <c r="L106" s="12">
        <v>30561761942.720001</v>
      </c>
    </row>
    <row r="107" spans="1:12">
      <c r="A107" s="66"/>
      <c r="B107" s="32" t="s">
        <v>6</v>
      </c>
      <c r="C107" s="32">
        <f t="shared" si="0"/>
        <v>52311053156.260002</v>
      </c>
      <c r="G107" s="36">
        <v>42401</v>
      </c>
      <c r="H107" s="32">
        <f t="shared" ref="H107:H128" si="1">VLOOKUP(G107,K:L,2,0)</f>
        <v>30561761942.720001</v>
      </c>
      <c r="K107" s="40">
        <v>42430</v>
      </c>
      <c r="L107" s="12">
        <v>39928859384.089996</v>
      </c>
    </row>
    <row r="108" spans="1:12">
      <c r="A108" s="66"/>
      <c r="B108" s="32" t="s">
        <v>5</v>
      </c>
      <c r="C108" s="32">
        <f t="shared" si="0"/>
        <v>57044014480.900002</v>
      </c>
      <c r="G108" s="36">
        <v>42430</v>
      </c>
      <c r="H108" s="32">
        <f t="shared" si="1"/>
        <v>39928859384.089996</v>
      </c>
      <c r="K108" s="40">
        <v>42461</v>
      </c>
      <c r="L108" s="12">
        <v>44861340063.169998</v>
      </c>
    </row>
    <row r="109" spans="1:12">
      <c r="A109" s="66"/>
      <c r="B109" s="32" t="s">
        <v>4</v>
      </c>
      <c r="C109" s="32">
        <f t="shared" si="0"/>
        <v>69331875300.940002</v>
      </c>
      <c r="G109" s="36">
        <v>42461</v>
      </c>
      <c r="H109" s="32">
        <f t="shared" si="1"/>
        <v>44861340063.169998</v>
      </c>
      <c r="K109" s="40">
        <v>42491</v>
      </c>
      <c r="L109" s="12">
        <v>45906379388.75</v>
      </c>
    </row>
    <row r="110" spans="1:12">
      <c r="A110" s="66"/>
      <c r="B110" s="32" t="s">
        <v>3</v>
      </c>
      <c r="C110" s="32">
        <f t="shared" si="0"/>
        <v>64923288102.650002</v>
      </c>
      <c r="G110" s="36">
        <v>42491</v>
      </c>
      <c r="H110" s="32">
        <f t="shared" si="1"/>
        <v>45906379388.75</v>
      </c>
      <c r="K110" s="40">
        <v>42522</v>
      </c>
      <c r="L110" s="12">
        <v>49117830558.220001</v>
      </c>
    </row>
    <row r="111" spans="1:12">
      <c r="A111" s="66"/>
      <c r="B111" s="32" t="s">
        <v>2</v>
      </c>
      <c r="C111" s="32">
        <f t="shared" si="0"/>
        <v>50811667455.550003</v>
      </c>
      <c r="G111" s="36">
        <v>42522</v>
      </c>
      <c r="H111" s="32">
        <f t="shared" si="1"/>
        <v>49117830558.220001</v>
      </c>
      <c r="K111" s="40">
        <v>42552</v>
      </c>
      <c r="L111" s="12">
        <v>52311053156.260002</v>
      </c>
    </row>
    <row r="112" spans="1:12">
      <c r="A112" s="66"/>
      <c r="B112" s="32" t="s">
        <v>1</v>
      </c>
      <c r="C112" s="32">
        <f t="shared" si="0"/>
        <v>73723457954.979996</v>
      </c>
      <c r="G112" s="36">
        <v>42552</v>
      </c>
      <c r="H112" s="32">
        <f t="shared" si="1"/>
        <v>52311053156.260002</v>
      </c>
      <c r="K112" s="40">
        <v>42583</v>
      </c>
      <c r="L112" s="12">
        <v>57044014480.900002</v>
      </c>
    </row>
    <row r="113" spans="1:12">
      <c r="A113" s="66">
        <v>2017</v>
      </c>
      <c r="B113" s="32" t="s">
        <v>0</v>
      </c>
      <c r="C113" s="32">
        <f t="shared" si="0"/>
        <v>60537959937.75</v>
      </c>
      <c r="G113" s="36">
        <v>42583</v>
      </c>
      <c r="H113" s="32">
        <f t="shared" si="1"/>
        <v>57044014480.900002</v>
      </c>
      <c r="K113" s="40">
        <v>42614</v>
      </c>
      <c r="L113" s="12">
        <v>69331875300.940002</v>
      </c>
    </row>
    <row r="114" spans="1:12">
      <c r="A114" s="66"/>
      <c r="B114" s="32" t="s">
        <v>11</v>
      </c>
      <c r="C114" s="32">
        <f t="shared" si="0"/>
        <v>38882414534.349998</v>
      </c>
      <c r="G114" s="36">
        <v>42614</v>
      </c>
      <c r="H114" s="32">
        <f t="shared" si="1"/>
        <v>69331875300.940002</v>
      </c>
      <c r="K114" s="40">
        <v>42644</v>
      </c>
      <c r="L114" s="12">
        <v>64923288102.650002</v>
      </c>
    </row>
    <row r="115" spans="1:12">
      <c r="A115" s="66"/>
      <c r="B115" s="32" t="s">
        <v>10</v>
      </c>
      <c r="C115" s="32">
        <f t="shared" si="0"/>
        <v>40227507805.220001</v>
      </c>
      <c r="G115" s="36">
        <v>42644</v>
      </c>
      <c r="H115" s="32">
        <f t="shared" si="1"/>
        <v>64923288102.650002</v>
      </c>
      <c r="K115" s="40">
        <v>42675</v>
      </c>
      <c r="L115" s="12">
        <v>50811667455.550003</v>
      </c>
    </row>
    <row r="116" spans="1:12">
      <c r="A116" s="66"/>
      <c r="B116" s="32" t="s">
        <v>9</v>
      </c>
      <c r="C116" s="32">
        <f t="shared" si="0"/>
        <v>39121645033.209999</v>
      </c>
      <c r="G116" s="36">
        <v>42675</v>
      </c>
      <c r="H116" s="32">
        <f t="shared" si="1"/>
        <v>50811667455.550003</v>
      </c>
      <c r="K116" s="40">
        <v>42705</v>
      </c>
      <c r="L116" s="12">
        <v>73723457954.979996</v>
      </c>
    </row>
    <row r="117" spans="1:12">
      <c r="A117" s="66"/>
      <c r="B117" s="32" t="s">
        <v>8</v>
      </c>
      <c r="C117" s="32">
        <f t="shared" si="0"/>
        <v>40884230923.849998</v>
      </c>
      <c r="G117" s="36">
        <v>42705</v>
      </c>
      <c r="H117" s="32">
        <f t="shared" si="1"/>
        <v>73723457954.979996</v>
      </c>
      <c r="K117" s="40">
        <v>42736</v>
      </c>
      <c r="L117" s="12">
        <v>60537959937.75</v>
      </c>
    </row>
    <row r="118" spans="1:12">
      <c r="A118" s="66"/>
      <c r="B118" s="32" t="s">
        <v>7</v>
      </c>
      <c r="C118" s="32">
        <f t="shared" si="0"/>
        <v>45930097727.129997</v>
      </c>
      <c r="G118" s="36">
        <v>42736</v>
      </c>
      <c r="H118" s="32">
        <f t="shared" si="1"/>
        <v>60537959937.75</v>
      </c>
      <c r="K118" s="40">
        <v>42767</v>
      </c>
      <c r="L118" s="12">
        <v>38882414534.349998</v>
      </c>
    </row>
    <row r="119" spans="1:12">
      <c r="A119" s="66"/>
      <c r="B119" s="32" t="s">
        <v>6</v>
      </c>
      <c r="C119" s="32">
        <f t="shared" si="0"/>
        <v>48069262760.199997</v>
      </c>
      <c r="G119" s="36">
        <v>42767</v>
      </c>
      <c r="H119" s="32">
        <f t="shared" si="1"/>
        <v>38882414534.349998</v>
      </c>
      <c r="K119" s="40">
        <v>42795</v>
      </c>
      <c r="L119" s="12">
        <v>40227507805.220001</v>
      </c>
    </row>
    <row r="120" spans="1:12">
      <c r="A120" s="66"/>
      <c r="B120" s="32" t="s">
        <v>5</v>
      </c>
      <c r="C120" s="32">
        <f t="shared" si="0"/>
        <v>50293300903.110001</v>
      </c>
      <c r="G120" s="36">
        <v>42795</v>
      </c>
      <c r="H120" s="32">
        <f t="shared" si="1"/>
        <v>40227507805.220001</v>
      </c>
      <c r="K120" s="40">
        <v>42826</v>
      </c>
      <c r="L120" s="12">
        <v>39121645033.209999</v>
      </c>
    </row>
    <row r="121" spans="1:12">
      <c r="A121" s="66"/>
      <c r="B121" s="32" t="s">
        <v>4</v>
      </c>
      <c r="C121" s="32">
        <f t="shared" si="0"/>
        <v>50305498337.550003</v>
      </c>
      <c r="G121" s="36">
        <v>42826</v>
      </c>
      <c r="H121" s="32">
        <f t="shared" si="1"/>
        <v>39121645033.209999</v>
      </c>
      <c r="K121" s="40">
        <v>42856</v>
      </c>
      <c r="L121" s="12">
        <v>40884230923.849998</v>
      </c>
    </row>
    <row r="122" spans="1:12">
      <c r="A122" s="66"/>
      <c r="B122" s="32" t="s">
        <v>3</v>
      </c>
      <c r="C122" s="32">
        <f t="shared" si="0"/>
        <v>44313636666.349998</v>
      </c>
      <c r="G122" s="36">
        <v>42856</v>
      </c>
      <c r="H122" s="32">
        <f t="shared" si="1"/>
        <v>40884230923.849998</v>
      </c>
      <c r="K122" s="40">
        <v>42887</v>
      </c>
      <c r="L122" s="12">
        <v>45930097727.129997</v>
      </c>
    </row>
    <row r="123" spans="1:12">
      <c r="A123" s="66"/>
      <c r="B123" s="32" t="s">
        <v>2</v>
      </c>
      <c r="C123" s="32">
        <f t="shared" si="0"/>
        <v>46341564366.980003</v>
      </c>
      <c r="G123" s="36">
        <v>42887</v>
      </c>
      <c r="H123" s="32">
        <f t="shared" si="1"/>
        <v>45930097727.129997</v>
      </c>
      <c r="K123" s="40">
        <v>42917</v>
      </c>
      <c r="L123" s="12">
        <v>48069262760.199997</v>
      </c>
    </row>
    <row r="124" spans="1:12">
      <c r="A124" s="66"/>
      <c r="B124" s="32" t="s">
        <v>1</v>
      </c>
      <c r="C124" s="32">
        <f t="shared" si="0"/>
        <v>50284273806.300003</v>
      </c>
      <c r="G124" s="36">
        <v>42917</v>
      </c>
      <c r="H124" s="32">
        <f t="shared" si="1"/>
        <v>48069262760.199997</v>
      </c>
      <c r="K124" s="40">
        <v>42948</v>
      </c>
      <c r="L124" s="12">
        <v>50293300903.110001</v>
      </c>
    </row>
    <row r="125" spans="1:12">
      <c r="A125" s="66">
        <v>2018</v>
      </c>
      <c r="B125" s="50" t="s">
        <v>0</v>
      </c>
      <c r="C125" s="32">
        <f t="shared" si="0"/>
        <v>49447352294.730003</v>
      </c>
      <c r="G125" s="36">
        <v>42948</v>
      </c>
      <c r="H125" s="32">
        <f t="shared" si="1"/>
        <v>50293300903.110001</v>
      </c>
      <c r="K125" s="40">
        <v>42979</v>
      </c>
      <c r="L125" s="12">
        <v>50305498337.550003</v>
      </c>
    </row>
    <row r="126" spans="1:12">
      <c r="A126" s="66"/>
      <c r="B126" s="50" t="s">
        <v>11</v>
      </c>
      <c r="C126" s="32">
        <f t="shared" si="0"/>
        <v>42309141581.769997</v>
      </c>
      <c r="G126" s="36">
        <v>42979</v>
      </c>
      <c r="H126" s="32">
        <f t="shared" si="1"/>
        <v>50305498337.550003</v>
      </c>
      <c r="K126" s="40">
        <v>43009</v>
      </c>
      <c r="L126" s="12">
        <v>44313636666.349998</v>
      </c>
    </row>
    <row r="127" spans="1:12">
      <c r="A127" s="66"/>
      <c r="B127" s="50" t="s">
        <v>10</v>
      </c>
      <c r="C127" s="32">
        <f t="shared" si="0"/>
        <v>27198516722.27</v>
      </c>
      <c r="G127" s="36">
        <v>43009</v>
      </c>
      <c r="H127" s="32">
        <f t="shared" si="1"/>
        <v>44313636666.349998</v>
      </c>
      <c r="K127" s="40">
        <v>43040</v>
      </c>
      <c r="L127" s="12">
        <v>46341564366.980003</v>
      </c>
    </row>
    <row r="128" spans="1:12">
      <c r="A128" s="66"/>
      <c r="B128" s="32" t="s">
        <v>9</v>
      </c>
      <c r="C128" s="32">
        <f t="shared" si="0"/>
        <v>49117830558.220001</v>
      </c>
      <c r="G128" s="36">
        <v>43040</v>
      </c>
      <c r="H128" s="32">
        <f t="shared" si="1"/>
        <v>46341564366.980003</v>
      </c>
      <c r="K128" s="40">
        <v>43070</v>
      </c>
      <c r="L128" s="12">
        <v>50284273806.300003</v>
      </c>
    </row>
    <row r="129" spans="1:12">
      <c r="A129" s="66"/>
      <c r="B129" s="32" t="s">
        <v>8</v>
      </c>
      <c r="C129" s="32">
        <f t="shared" si="0"/>
        <v>40347506692.199997</v>
      </c>
      <c r="G129" s="36">
        <v>43070</v>
      </c>
      <c r="H129" s="32">
        <f t="shared" ref="H129:H134" si="2">VLOOKUP(G129,K:L,2,0)</f>
        <v>50284273806.300003</v>
      </c>
      <c r="K129" s="40">
        <v>43101</v>
      </c>
      <c r="L129" s="12">
        <v>49447352294.730003</v>
      </c>
    </row>
    <row r="130" spans="1:12">
      <c r="A130" s="66"/>
      <c r="G130" s="36">
        <v>43101</v>
      </c>
      <c r="H130" s="32">
        <f t="shared" si="2"/>
        <v>49447352294.730003</v>
      </c>
      <c r="K130" s="52">
        <v>43132</v>
      </c>
      <c r="L130" s="53">
        <v>42309141581.769997</v>
      </c>
    </row>
    <row r="131" spans="1:12">
      <c r="A131" s="66"/>
      <c r="G131" s="36">
        <v>43132</v>
      </c>
      <c r="H131" s="32">
        <f t="shared" si="2"/>
        <v>42309141581.769997</v>
      </c>
      <c r="K131" s="52">
        <v>43160</v>
      </c>
      <c r="L131" s="12">
        <v>27198516722.27</v>
      </c>
    </row>
    <row r="132" spans="1:12">
      <c r="A132" s="66"/>
      <c r="G132" s="36">
        <v>43160</v>
      </c>
      <c r="H132" s="32">
        <f t="shared" si="2"/>
        <v>27198516722.27</v>
      </c>
      <c r="K132" s="52">
        <v>43191</v>
      </c>
      <c r="L132" s="12">
        <v>49117830558.220001</v>
      </c>
    </row>
    <row r="133" spans="1:12">
      <c r="A133" s="66"/>
      <c r="G133" s="36">
        <v>43191</v>
      </c>
      <c r="H133" s="32">
        <f t="shared" si="2"/>
        <v>49117830558.220001</v>
      </c>
      <c r="K133" s="52">
        <v>43221</v>
      </c>
      <c r="L133" s="12">
        <v>40347506692.199997</v>
      </c>
    </row>
    <row r="134" spans="1:12">
      <c r="A134" s="66"/>
      <c r="G134" s="36">
        <v>43221</v>
      </c>
      <c r="H134" s="32">
        <f t="shared" si="2"/>
        <v>40347506692.199997</v>
      </c>
    </row>
    <row r="135" spans="1:12">
      <c r="A135" s="66"/>
    </row>
    <row r="136" spans="1:12">
      <c r="A136" s="66"/>
    </row>
  </sheetData>
  <sortState ref="G2:H106">
    <sortCondition ref="G40"/>
  </sortState>
  <mergeCells count="9">
    <mergeCell ref="A125:A136"/>
    <mergeCell ref="A113:A124"/>
    <mergeCell ref="A101:A112"/>
    <mergeCell ref="A89:A100"/>
    <mergeCell ref="A29:A40"/>
    <mergeCell ref="A41:A52"/>
    <mergeCell ref="A53:A64"/>
    <mergeCell ref="A65:A76"/>
    <mergeCell ref="A77:A88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Report</vt:lpstr>
      <vt:lpstr>Total</vt:lpstr>
      <vt:lpstr>Mortgage loan brokers</vt:lpstr>
      <vt:lpstr>Real estate credit</vt:lpstr>
      <vt:lpstr>Issue Amount</vt:lpstr>
      <vt:lpstr>CurrentCloseDate</vt:lpstr>
      <vt:lpstr>DatabaseEnv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Chen Yang</cp:lastModifiedBy>
  <cp:lastPrinted>2018-03-09T21:42:14Z</cp:lastPrinted>
  <dcterms:created xsi:type="dcterms:W3CDTF">2015-03-12T13:39:23Z</dcterms:created>
  <dcterms:modified xsi:type="dcterms:W3CDTF">2018-07-12T13:14:55Z</dcterms:modified>
</cp:coreProperties>
</file>