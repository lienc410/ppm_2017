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</sheets>
  <functionGroups builtInGroupCount="17"/>
  <definedNames>
    <definedName name="CurrentCloseDate">Report!$S$2</definedName>
    <definedName name="DatabaseEnv">Report!$S$1</definedName>
    <definedName name="PDFReportName">Report!$S$3</definedName>
    <definedName name="_xlnm.Print_Area" localSheetId="0">Report!$A$7:$X$90</definedName>
    <definedName name="Query_from_Agency" localSheetId="1" hidden="1">'Time Series Query'!$A$4:$D$61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Query'!$F$4:$I$48</definedName>
    <definedName name="SaveRatesToDB">Report!$U$1</definedName>
  </definedNames>
  <calcPr calcId="145621"/>
</workbook>
</file>

<file path=xl/calcChain.xml><?xml version="1.0" encoding="utf-8"?>
<calcChain xmlns="http://schemas.openxmlformats.org/spreadsheetml/2006/main">
  <c r="S3" i="4" l="1"/>
  <c r="D35" i="4" l="1"/>
  <c r="E35" i="4" s="1"/>
  <c r="F35" i="4" s="1"/>
  <c r="G35" i="4" s="1"/>
  <c r="H35" i="4" s="1"/>
  <c r="I35" i="4" s="1"/>
  <c r="J35" i="4" s="1"/>
  <c r="K35" i="4" s="1"/>
  <c r="L35" i="4" s="1"/>
  <c r="M35" i="4" s="1"/>
  <c r="N35" i="4" s="1"/>
  <c r="O35" i="4" s="1"/>
  <c r="P81" i="4" l="1"/>
  <c r="P80" i="4"/>
  <c r="P79" i="4"/>
  <c r="P78" i="4"/>
  <c r="P77" i="4"/>
  <c r="P76" i="4"/>
  <c r="P74" i="4"/>
  <c r="P68" i="4"/>
  <c r="P67" i="4"/>
  <c r="P66" i="4"/>
  <c r="P65" i="4"/>
  <c r="P64" i="4"/>
  <c r="P63" i="4"/>
  <c r="P61" i="4"/>
  <c r="P55" i="4"/>
  <c r="P54" i="4"/>
  <c r="P53" i="4"/>
  <c r="P52" i="4"/>
  <c r="P51" i="4"/>
  <c r="P50" i="4"/>
  <c r="P48" i="4"/>
  <c r="P45" i="4"/>
  <c r="P58" i="4" s="1"/>
  <c r="P44" i="4"/>
  <c r="P70" i="4" s="1"/>
  <c r="P43" i="4"/>
  <c r="P82" i="4" s="1"/>
  <c r="P71" i="4" l="1"/>
  <c r="P84" i="4"/>
  <c r="P57" i="4"/>
  <c r="P83" i="4"/>
  <c r="P56" i="4"/>
  <c r="P69" i="4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5" i="5"/>
  <c r="N6" i="5" l="1"/>
  <c r="N7" i="5"/>
  <c r="R7" i="5" s="1"/>
  <c r="N8" i="5"/>
  <c r="R8" i="5" s="1"/>
  <c r="N9" i="5"/>
  <c r="R9" i="5" s="1"/>
  <c r="N10" i="5"/>
  <c r="P10" i="5" s="1"/>
  <c r="N11" i="5"/>
  <c r="N12" i="5"/>
  <c r="N13" i="5"/>
  <c r="N14" i="5"/>
  <c r="N15" i="5"/>
  <c r="R15" i="5" s="1"/>
  <c r="N16" i="5"/>
  <c r="R16" i="5" s="1"/>
  <c r="N17" i="5"/>
  <c r="R17" i="5" s="1"/>
  <c r="N18" i="5"/>
  <c r="P18" i="5" s="1"/>
  <c r="N19" i="5"/>
  <c r="N20" i="5"/>
  <c r="N21" i="5"/>
  <c r="N22" i="5"/>
  <c r="N23" i="5"/>
  <c r="P23" i="5" s="1"/>
  <c r="N24" i="5"/>
  <c r="R24" i="5" s="1"/>
  <c r="N25" i="5"/>
  <c r="R25" i="5" s="1"/>
  <c r="N26" i="5"/>
  <c r="N27" i="5"/>
  <c r="N28" i="5"/>
  <c r="N29" i="5"/>
  <c r="N30" i="5"/>
  <c r="N31" i="5"/>
  <c r="R31" i="5" s="1"/>
  <c r="N32" i="5"/>
  <c r="R32" i="5" s="1"/>
  <c r="N33" i="5"/>
  <c r="R33" i="5" s="1"/>
  <c r="N34" i="5"/>
  <c r="P34" i="5" s="1"/>
  <c r="N35" i="5"/>
  <c r="N36" i="5"/>
  <c r="N37" i="5"/>
  <c r="N38" i="5"/>
  <c r="N39" i="5"/>
  <c r="R39" i="5" s="1"/>
  <c r="N40" i="5"/>
  <c r="N41" i="5"/>
  <c r="R41" i="5" s="1"/>
  <c r="N42" i="5"/>
  <c r="P42" i="5" s="1"/>
  <c r="N43" i="5"/>
  <c r="N44" i="5"/>
  <c r="N45" i="5"/>
  <c r="N46" i="5"/>
  <c r="N47" i="5"/>
  <c r="R47" i="5" s="1"/>
  <c r="N48" i="5"/>
  <c r="N5" i="5"/>
  <c r="R5" i="5" s="1"/>
  <c r="K6" i="5"/>
  <c r="L6" i="5" s="1"/>
  <c r="K7" i="5"/>
  <c r="L7" i="5" s="1"/>
  <c r="K8" i="5"/>
  <c r="L8" i="5" s="1"/>
  <c r="K9" i="5"/>
  <c r="L9" i="5" s="1"/>
  <c r="K10" i="5"/>
  <c r="L10" i="5" s="1"/>
  <c r="K11" i="5"/>
  <c r="L11" i="5" s="1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 s="1"/>
  <c r="K18" i="5"/>
  <c r="L18" i="5" s="1"/>
  <c r="K19" i="5"/>
  <c r="L19" i="5" s="1"/>
  <c r="K20" i="5"/>
  <c r="L20" i="5" s="1"/>
  <c r="K21" i="5"/>
  <c r="L21" i="5" s="1"/>
  <c r="K22" i="5"/>
  <c r="L22" i="5" s="1"/>
  <c r="K23" i="5"/>
  <c r="L23" i="5" s="1"/>
  <c r="K24" i="5"/>
  <c r="L24" i="5" s="1"/>
  <c r="K25" i="5"/>
  <c r="L25" i="5" s="1"/>
  <c r="K26" i="5"/>
  <c r="L26" i="5" s="1"/>
  <c r="K27" i="5"/>
  <c r="L27" i="5" s="1"/>
  <c r="K28" i="5"/>
  <c r="L28" i="5" s="1"/>
  <c r="K29" i="5"/>
  <c r="L29" i="5" s="1"/>
  <c r="K30" i="5"/>
  <c r="L30" i="5" s="1"/>
  <c r="K31" i="5"/>
  <c r="L31" i="5" s="1"/>
  <c r="K32" i="5"/>
  <c r="L32" i="5" s="1"/>
  <c r="K33" i="5"/>
  <c r="L33" i="5" s="1"/>
  <c r="K34" i="5"/>
  <c r="L34" i="5" s="1"/>
  <c r="K35" i="5"/>
  <c r="L35" i="5" s="1"/>
  <c r="K36" i="5"/>
  <c r="L36" i="5" s="1"/>
  <c r="K37" i="5"/>
  <c r="L37" i="5" s="1"/>
  <c r="K38" i="5"/>
  <c r="L38" i="5" s="1"/>
  <c r="K39" i="5"/>
  <c r="L39" i="5" s="1"/>
  <c r="K40" i="5"/>
  <c r="L40" i="5" s="1"/>
  <c r="K41" i="5"/>
  <c r="L41" i="5" s="1"/>
  <c r="K42" i="5"/>
  <c r="L42" i="5" s="1"/>
  <c r="K43" i="5"/>
  <c r="L43" i="5" s="1"/>
  <c r="K44" i="5"/>
  <c r="L44" i="5" s="1"/>
  <c r="K45" i="5"/>
  <c r="L45" i="5" s="1"/>
  <c r="K46" i="5"/>
  <c r="L46" i="5" s="1"/>
  <c r="K47" i="5"/>
  <c r="L47" i="5" s="1"/>
  <c r="K48" i="5"/>
  <c r="L48" i="5" s="1"/>
  <c r="K5" i="5"/>
  <c r="L5" i="5" s="1"/>
  <c r="O78" i="4"/>
  <c r="O82" i="4" s="1"/>
  <c r="N78" i="4"/>
  <c r="N82" i="4" s="1"/>
  <c r="M78" i="4"/>
  <c r="M82" i="4" s="1"/>
  <c r="L78" i="4"/>
  <c r="L82" i="4" s="1"/>
  <c r="K78" i="4"/>
  <c r="K82" i="4" s="1"/>
  <c r="J78" i="4"/>
  <c r="J82" i="4" s="1"/>
  <c r="I78" i="4"/>
  <c r="I82" i="4" s="1"/>
  <c r="H78" i="4"/>
  <c r="H82" i="4" s="1"/>
  <c r="G78" i="4"/>
  <c r="G82" i="4" s="1"/>
  <c r="F78" i="4"/>
  <c r="F82" i="4" s="1"/>
  <c r="E78" i="4"/>
  <c r="E82" i="4" s="1"/>
  <c r="D78" i="4"/>
  <c r="D82" i="4" s="1"/>
  <c r="C78" i="4"/>
  <c r="C82" i="4" s="1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O65" i="4"/>
  <c r="O69" i="4" s="1"/>
  <c r="N65" i="4"/>
  <c r="N69" i="4" s="1"/>
  <c r="M65" i="4"/>
  <c r="M69" i="4" s="1"/>
  <c r="L65" i="4"/>
  <c r="L69" i="4" s="1"/>
  <c r="K65" i="4"/>
  <c r="K69" i="4" s="1"/>
  <c r="J65" i="4"/>
  <c r="J69" i="4" s="1"/>
  <c r="I65" i="4"/>
  <c r="I69" i="4" s="1"/>
  <c r="H65" i="4"/>
  <c r="H69" i="4" s="1"/>
  <c r="G65" i="4"/>
  <c r="G69" i="4" s="1"/>
  <c r="F65" i="4"/>
  <c r="F69" i="4" s="1"/>
  <c r="E65" i="4"/>
  <c r="E69" i="4" s="1"/>
  <c r="D65" i="4"/>
  <c r="D69" i="4" s="1"/>
  <c r="C65" i="4"/>
  <c r="C69" i="4" s="1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O52" i="4"/>
  <c r="O56" i="4" s="1"/>
  <c r="N52" i="4"/>
  <c r="N56" i="4" s="1"/>
  <c r="M52" i="4"/>
  <c r="M56" i="4" s="1"/>
  <c r="L52" i="4"/>
  <c r="L56" i="4" s="1"/>
  <c r="K52" i="4"/>
  <c r="K56" i="4" s="1"/>
  <c r="J52" i="4"/>
  <c r="J56" i="4" s="1"/>
  <c r="I52" i="4"/>
  <c r="I56" i="4" s="1"/>
  <c r="H52" i="4"/>
  <c r="H56" i="4" s="1"/>
  <c r="G52" i="4"/>
  <c r="G56" i="4" s="1"/>
  <c r="F52" i="4"/>
  <c r="F56" i="4" s="1"/>
  <c r="E52" i="4"/>
  <c r="E56" i="4" s="1"/>
  <c r="D52" i="4"/>
  <c r="D56" i="4" s="1"/>
  <c r="C52" i="4"/>
  <c r="C56" i="4" s="1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C48" i="4"/>
  <c r="C61" i="4" s="1"/>
  <c r="O39" i="4"/>
  <c r="O43" i="4" s="1"/>
  <c r="N39" i="4"/>
  <c r="N43" i="4" s="1"/>
  <c r="M39" i="4"/>
  <c r="M43" i="4" s="1"/>
  <c r="L39" i="4"/>
  <c r="L43" i="4" s="1"/>
  <c r="K39" i="4"/>
  <c r="K43" i="4" s="1"/>
  <c r="J39" i="4"/>
  <c r="J43" i="4" s="1"/>
  <c r="I39" i="4"/>
  <c r="I43" i="4" s="1"/>
  <c r="H39" i="4"/>
  <c r="H43" i="4" s="1"/>
  <c r="G39" i="4"/>
  <c r="G43" i="4" s="1"/>
  <c r="F39" i="4"/>
  <c r="F43" i="4" s="1"/>
  <c r="E39" i="4"/>
  <c r="E43" i="4" s="1"/>
  <c r="D39" i="4"/>
  <c r="D43" i="4" s="1"/>
  <c r="C39" i="4"/>
  <c r="C43" i="4" s="1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D24" i="4"/>
  <c r="B45" i="4" l="1"/>
  <c r="C40" i="4"/>
  <c r="P48" i="5"/>
  <c r="D40" i="4"/>
  <c r="P40" i="5"/>
  <c r="P36" i="5"/>
  <c r="P28" i="5"/>
  <c r="P20" i="5"/>
  <c r="P12" i="5"/>
  <c r="P43" i="5"/>
  <c r="P27" i="5"/>
  <c r="Q19" i="5"/>
  <c r="P11" i="5"/>
  <c r="P45" i="5"/>
  <c r="P37" i="5"/>
  <c r="P29" i="5"/>
  <c r="P21" i="5"/>
  <c r="P13" i="5"/>
  <c r="Q35" i="5"/>
  <c r="P44" i="5"/>
  <c r="P26" i="5"/>
  <c r="R13" i="5"/>
  <c r="R29" i="5"/>
  <c r="R10" i="5"/>
  <c r="Q7" i="5"/>
  <c r="R45" i="5"/>
  <c r="R28" i="5"/>
  <c r="R12" i="5"/>
  <c r="P46" i="5"/>
  <c r="P30" i="5"/>
  <c r="P6" i="5"/>
  <c r="R37" i="5"/>
  <c r="R21" i="5"/>
  <c r="R42" i="5"/>
  <c r="P38" i="5"/>
  <c r="P22" i="5"/>
  <c r="R36" i="5"/>
  <c r="R20" i="5"/>
  <c r="R26" i="5"/>
  <c r="P14" i="5"/>
  <c r="Q47" i="5"/>
  <c r="R34" i="5"/>
  <c r="R18" i="5"/>
  <c r="Q15" i="5"/>
  <c r="R44" i="5"/>
  <c r="P15" i="5"/>
  <c r="R43" i="5"/>
  <c r="R35" i="5"/>
  <c r="R27" i="5"/>
  <c r="R19" i="5"/>
  <c r="R11" i="5"/>
  <c r="R48" i="5"/>
  <c r="R40" i="5"/>
  <c r="R23" i="5"/>
  <c r="R46" i="5"/>
  <c r="R38" i="5"/>
  <c r="R30" i="5"/>
  <c r="R22" i="5"/>
  <c r="R14" i="5"/>
  <c r="R6" i="5"/>
  <c r="Q22" i="5"/>
  <c r="Q40" i="5"/>
  <c r="Q39" i="5"/>
  <c r="P39" i="5"/>
  <c r="Q28" i="5"/>
  <c r="Q16" i="5"/>
  <c r="P16" i="5"/>
  <c r="P24" i="5"/>
  <c r="Q24" i="5"/>
  <c r="Q32" i="5"/>
  <c r="P32" i="5"/>
  <c r="P47" i="5"/>
  <c r="Q31" i="5"/>
  <c r="Q20" i="5"/>
  <c r="P7" i="5"/>
  <c r="Q44" i="5"/>
  <c r="P31" i="5"/>
  <c r="Q6" i="5"/>
  <c r="Q36" i="5"/>
  <c r="Q23" i="5"/>
  <c r="Q14" i="5"/>
  <c r="Q5" i="5"/>
  <c r="P41" i="5"/>
  <c r="P33" i="5"/>
  <c r="P25" i="5"/>
  <c r="P17" i="5"/>
  <c r="P9" i="5"/>
  <c r="Q12" i="5"/>
  <c r="P8" i="5"/>
  <c r="Q8" i="5"/>
  <c r="Q48" i="5"/>
  <c r="Q27" i="5"/>
  <c r="P35" i="5"/>
  <c r="P19" i="5"/>
  <c r="Q46" i="5"/>
  <c r="Q42" i="5"/>
  <c r="Q38" i="5"/>
  <c r="Q34" i="5"/>
  <c r="Q30" i="5"/>
  <c r="Q26" i="5"/>
  <c r="Q18" i="5"/>
  <c r="Q10" i="5"/>
  <c r="Q43" i="5"/>
  <c r="P5" i="5"/>
  <c r="Q45" i="5"/>
  <c r="Q41" i="5"/>
  <c r="Q37" i="5"/>
  <c r="Q33" i="5"/>
  <c r="Q29" i="5"/>
  <c r="Q25" i="5"/>
  <c r="Q21" i="5"/>
  <c r="Q17" i="5"/>
  <c r="Q13" i="5"/>
  <c r="Q9" i="5"/>
  <c r="Q11" i="5"/>
  <c r="C41" i="4"/>
  <c r="C44" i="4" s="1"/>
  <c r="C74" i="4"/>
  <c r="J50" i="4"/>
  <c r="I50" i="4"/>
  <c r="O50" i="4"/>
  <c r="G50" i="4"/>
  <c r="E24" i="4"/>
  <c r="L50" i="4"/>
  <c r="D41" i="4"/>
  <c r="D44" i="4" s="1"/>
  <c r="D48" i="4"/>
  <c r="M50" i="4"/>
  <c r="C50" i="4"/>
  <c r="N50" i="4"/>
  <c r="D50" i="4"/>
  <c r="E50" i="4"/>
  <c r="F50" i="4"/>
  <c r="H50" i="4"/>
  <c r="K50" i="4"/>
  <c r="C53" i="4" l="1"/>
  <c r="B58" i="4"/>
  <c r="H25" i="4"/>
  <c r="C54" i="4"/>
  <c r="E48" i="4"/>
  <c r="E41" i="4"/>
  <c r="E40" i="4"/>
  <c r="C88" i="4"/>
  <c r="D61" i="4"/>
  <c r="D54" i="4"/>
  <c r="D53" i="4"/>
  <c r="J63" i="4"/>
  <c r="I63" i="4"/>
  <c r="O63" i="4"/>
  <c r="G63" i="4"/>
  <c r="M63" i="4"/>
  <c r="L63" i="4"/>
  <c r="K63" i="4"/>
  <c r="H63" i="4"/>
  <c r="F63" i="4"/>
  <c r="E63" i="4"/>
  <c r="D63" i="4"/>
  <c r="F24" i="4"/>
  <c r="N63" i="4"/>
  <c r="C63" i="4"/>
  <c r="B71" i="4" s="1"/>
  <c r="C57" i="4" l="1"/>
  <c r="C25" i="4"/>
  <c r="F25" i="4"/>
  <c r="E25" i="4"/>
  <c r="D25" i="4"/>
  <c r="D57" i="4"/>
  <c r="E53" i="4"/>
  <c r="E54" i="4"/>
  <c r="E61" i="4"/>
  <c r="J76" i="4"/>
  <c r="I76" i="4"/>
  <c r="O76" i="4"/>
  <c r="G76" i="4"/>
  <c r="N76" i="4"/>
  <c r="F76" i="4"/>
  <c r="M76" i="4"/>
  <c r="L76" i="4"/>
  <c r="K76" i="4"/>
  <c r="H76" i="4"/>
  <c r="E76" i="4"/>
  <c r="D76" i="4"/>
  <c r="C76" i="4"/>
  <c r="B84" i="4" s="1"/>
  <c r="F48" i="4"/>
  <c r="F41" i="4"/>
  <c r="F40" i="4"/>
  <c r="D67" i="4"/>
  <c r="D66" i="4"/>
  <c r="D74" i="4"/>
  <c r="E44" i="4"/>
  <c r="C67" i="4"/>
  <c r="C66" i="4"/>
  <c r="H42" i="4" l="1"/>
  <c r="I42" i="4"/>
  <c r="J42" i="4"/>
  <c r="C42" i="4"/>
  <c r="K42" i="4"/>
  <c r="D42" i="4"/>
  <c r="L42" i="4"/>
  <c r="E42" i="4"/>
  <c r="E45" i="4" s="1"/>
  <c r="M42" i="4"/>
  <c r="F42" i="4"/>
  <c r="N42" i="4"/>
  <c r="G42" i="4"/>
  <c r="O42" i="4"/>
  <c r="F68" i="4"/>
  <c r="N68" i="4"/>
  <c r="G68" i="4"/>
  <c r="O68" i="4"/>
  <c r="H68" i="4"/>
  <c r="I68" i="4"/>
  <c r="J68" i="4"/>
  <c r="C68" i="4"/>
  <c r="K68" i="4"/>
  <c r="D68" i="4"/>
  <c r="L68" i="4"/>
  <c r="E68" i="4"/>
  <c r="M68" i="4"/>
  <c r="E81" i="4"/>
  <c r="M81" i="4"/>
  <c r="F81" i="4"/>
  <c r="N81" i="4"/>
  <c r="G81" i="4"/>
  <c r="O81" i="4"/>
  <c r="H81" i="4"/>
  <c r="I81" i="4"/>
  <c r="J81" i="4"/>
  <c r="C81" i="4"/>
  <c r="K81" i="4"/>
  <c r="D81" i="4"/>
  <c r="L81" i="4"/>
  <c r="G55" i="4"/>
  <c r="O55" i="4"/>
  <c r="H55" i="4"/>
  <c r="I55" i="4"/>
  <c r="J55" i="4"/>
  <c r="C55" i="4"/>
  <c r="K55" i="4"/>
  <c r="D55" i="4"/>
  <c r="D58" i="4" s="1"/>
  <c r="L55" i="4"/>
  <c r="E55" i="4"/>
  <c r="M55" i="4"/>
  <c r="F55" i="4"/>
  <c r="N55" i="4"/>
  <c r="C58" i="4"/>
  <c r="E26" i="4"/>
  <c r="F26" i="4"/>
  <c r="D70" i="4"/>
  <c r="F44" i="4"/>
  <c r="F45" i="4"/>
  <c r="C70" i="4"/>
  <c r="F53" i="4"/>
  <c r="F61" i="4"/>
  <c r="F54" i="4"/>
  <c r="G48" i="4"/>
  <c r="G41" i="4"/>
  <c r="G40" i="4"/>
  <c r="C80" i="4"/>
  <c r="C79" i="4"/>
  <c r="E67" i="4"/>
  <c r="E66" i="4"/>
  <c r="E74" i="4"/>
  <c r="D88" i="4"/>
  <c r="D80" i="4"/>
  <c r="D79" i="4"/>
  <c r="E57" i="4"/>
  <c r="C71" i="4" l="1"/>
  <c r="E58" i="4"/>
  <c r="D71" i="4"/>
  <c r="E70" i="4"/>
  <c r="E71" i="4" s="1"/>
  <c r="C83" i="4"/>
  <c r="C84" i="4" s="1"/>
  <c r="F74" i="4"/>
  <c r="F67" i="4"/>
  <c r="F66" i="4"/>
  <c r="F57" i="4"/>
  <c r="F58" i="4" s="1"/>
  <c r="D83" i="4"/>
  <c r="D84" i="4" s="1"/>
  <c r="H48" i="4"/>
  <c r="H41" i="4"/>
  <c r="H40" i="4"/>
  <c r="G44" i="4"/>
  <c r="G45" i="4" s="1"/>
  <c r="E88" i="4"/>
  <c r="E80" i="4"/>
  <c r="E79" i="4"/>
  <c r="G61" i="4"/>
  <c r="G54" i="4"/>
  <c r="G53" i="4"/>
  <c r="G74" i="4" l="1"/>
  <c r="G67" i="4"/>
  <c r="G66" i="4"/>
  <c r="H44" i="4"/>
  <c r="H45" i="4" s="1"/>
  <c r="F70" i="4"/>
  <c r="F71" i="4" s="1"/>
  <c r="E83" i="4"/>
  <c r="E84" i="4" s="1"/>
  <c r="E87" i="4" s="1"/>
  <c r="E89" i="4" s="1"/>
  <c r="H61" i="4"/>
  <c r="H54" i="4"/>
  <c r="H53" i="4"/>
  <c r="F88" i="4"/>
  <c r="F80" i="4"/>
  <c r="F79" i="4"/>
  <c r="I48" i="4"/>
  <c r="I41" i="4"/>
  <c r="I40" i="4"/>
  <c r="G57" i="4"/>
  <c r="G58" i="4" s="1"/>
  <c r="I45" i="4" l="1"/>
  <c r="I44" i="4"/>
  <c r="H66" i="4"/>
  <c r="H74" i="4"/>
  <c r="H67" i="4"/>
  <c r="I61" i="4"/>
  <c r="I54" i="4"/>
  <c r="I53" i="4"/>
  <c r="G88" i="4"/>
  <c r="G80" i="4"/>
  <c r="G79" i="4"/>
  <c r="H57" i="4"/>
  <c r="H58" i="4" s="1"/>
  <c r="J48" i="4"/>
  <c r="J41" i="4"/>
  <c r="J40" i="4"/>
  <c r="F83" i="4"/>
  <c r="F84" i="4" s="1"/>
  <c r="F87" i="4" s="1"/>
  <c r="F89" i="4" s="1"/>
  <c r="G70" i="4"/>
  <c r="G71" i="4" s="1"/>
  <c r="J61" i="4" l="1"/>
  <c r="J54" i="4"/>
  <c r="J53" i="4"/>
  <c r="G83" i="4"/>
  <c r="G84" i="4" s="1"/>
  <c r="G87" i="4" s="1"/>
  <c r="G89" i="4" s="1"/>
  <c r="H70" i="4"/>
  <c r="H71" i="4" s="1"/>
  <c r="H88" i="4"/>
  <c r="H80" i="4"/>
  <c r="H79" i="4"/>
  <c r="K48" i="4"/>
  <c r="K41" i="4"/>
  <c r="K40" i="4"/>
  <c r="J45" i="4"/>
  <c r="J44" i="4"/>
  <c r="I57" i="4"/>
  <c r="I58" i="4" s="1"/>
  <c r="I74" i="4"/>
  <c r="I67" i="4"/>
  <c r="I66" i="4"/>
  <c r="K45" i="4" l="1"/>
  <c r="K44" i="4"/>
  <c r="I88" i="4"/>
  <c r="I80" i="4"/>
  <c r="I79" i="4"/>
  <c r="I70" i="4"/>
  <c r="I71" i="4" s="1"/>
  <c r="K61" i="4"/>
  <c r="K54" i="4"/>
  <c r="K53" i="4"/>
  <c r="J57" i="4"/>
  <c r="J58" i="4" s="1"/>
  <c r="H83" i="4"/>
  <c r="H84" i="4" s="1"/>
  <c r="H87" i="4" s="1"/>
  <c r="H89" i="4" s="1"/>
  <c r="J74" i="4"/>
  <c r="J67" i="4"/>
  <c r="J66" i="4"/>
  <c r="L48" i="4"/>
  <c r="L41" i="4"/>
  <c r="L40" i="4"/>
  <c r="I83" i="4" l="1"/>
  <c r="I84" i="4" s="1"/>
  <c r="I87" i="4" s="1"/>
  <c r="I89" i="4" s="1"/>
  <c r="L45" i="4"/>
  <c r="L44" i="4"/>
  <c r="L61" i="4"/>
  <c r="L54" i="4"/>
  <c r="L53" i="4"/>
  <c r="K57" i="4"/>
  <c r="K58" i="4"/>
  <c r="J88" i="4"/>
  <c r="J80" i="4"/>
  <c r="J79" i="4"/>
  <c r="M48" i="4"/>
  <c r="M41" i="4"/>
  <c r="M40" i="4"/>
  <c r="J70" i="4"/>
  <c r="J71" i="4" s="1"/>
  <c r="K66" i="4"/>
  <c r="K74" i="4"/>
  <c r="K67" i="4"/>
  <c r="M45" i="4" l="1"/>
  <c r="M44" i="4"/>
  <c r="K88" i="4"/>
  <c r="K80" i="4"/>
  <c r="K79" i="4"/>
  <c r="L74" i="4"/>
  <c r="L67" i="4"/>
  <c r="L66" i="4"/>
  <c r="J83" i="4"/>
  <c r="J84" i="4" s="1"/>
  <c r="J87" i="4" s="1"/>
  <c r="J89" i="4" s="1"/>
  <c r="M61" i="4"/>
  <c r="M54" i="4"/>
  <c r="M53" i="4"/>
  <c r="K70" i="4"/>
  <c r="K71" i="4" s="1"/>
  <c r="L58" i="4"/>
  <c r="L57" i="4"/>
  <c r="N48" i="4"/>
  <c r="N40" i="4"/>
  <c r="N41" i="4"/>
  <c r="L70" i="4" l="1"/>
  <c r="L71" i="4" s="1"/>
  <c r="N45" i="4"/>
  <c r="N44" i="4"/>
  <c r="L88" i="4"/>
  <c r="L80" i="4"/>
  <c r="L79" i="4"/>
  <c r="M58" i="4"/>
  <c r="M57" i="4"/>
  <c r="O48" i="4"/>
  <c r="O41" i="4"/>
  <c r="O40" i="4"/>
  <c r="N61" i="4"/>
  <c r="N54" i="4"/>
  <c r="N53" i="4"/>
  <c r="K83" i="4"/>
  <c r="K84" i="4" s="1"/>
  <c r="K87" i="4" s="1"/>
  <c r="K89" i="4" s="1"/>
  <c r="M74" i="4"/>
  <c r="M67" i="4"/>
  <c r="M66" i="4"/>
  <c r="N74" i="4" l="1"/>
  <c r="N67" i="4"/>
  <c r="N66" i="4"/>
  <c r="M70" i="4"/>
  <c r="M71" i="4" s="1"/>
  <c r="M88" i="4"/>
  <c r="M80" i="4"/>
  <c r="M79" i="4"/>
  <c r="O45" i="4"/>
  <c r="O44" i="4"/>
  <c r="L83" i="4"/>
  <c r="L84" i="4" s="1"/>
  <c r="L87" i="4" s="1"/>
  <c r="L89" i="4" s="1"/>
  <c r="O61" i="4"/>
  <c r="O54" i="4"/>
  <c r="O53" i="4"/>
  <c r="N58" i="4"/>
  <c r="N57" i="4"/>
  <c r="M83" i="4" l="1"/>
  <c r="M84" i="4" s="1"/>
  <c r="M87" i="4" s="1"/>
  <c r="M89" i="4" s="1"/>
  <c r="O58" i="4"/>
  <c r="O57" i="4"/>
  <c r="N71" i="4"/>
  <c r="N70" i="4"/>
  <c r="O74" i="4"/>
  <c r="O67" i="4"/>
  <c r="O66" i="4"/>
  <c r="N88" i="4"/>
  <c r="N80" i="4"/>
  <c r="N79" i="4"/>
  <c r="O71" i="4" l="1"/>
  <c r="O70" i="4"/>
  <c r="N83" i="4"/>
  <c r="N84" i="4" s="1"/>
  <c r="N87" i="4" s="1"/>
  <c r="N89" i="4" s="1"/>
  <c r="O88" i="4"/>
  <c r="O80" i="4"/>
  <c r="O79" i="4"/>
  <c r="O83" i="4" l="1"/>
  <c r="O84" i="4" s="1"/>
  <c r="O87" i="4" s="1"/>
  <c r="O89" i="4" s="1"/>
  <c r="D26" i="4" l="1"/>
  <c r="C45" i="4"/>
  <c r="C87" i="4" s="1"/>
  <c r="C89" i="4" s="1"/>
  <c r="D45" i="4"/>
  <c r="D87" i="4" s="1"/>
  <c r="D89" i="4" s="1"/>
</calcChain>
</file>

<file path=xl/connections.xml><?xml version="1.0" encoding="utf-8"?>
<connections xmlns="http://schemas.openxmlformats.org/spreadsheetml/2006/main">
  <connection id="1" name="TBAPriceQuery" type="1" refreshedVersion="4" savePassword="1" saveData="1">
    <dbPr connection="DSN=Cello SQL Server;UID=report;PWD=gm4SJDw4;APP=Microsoft Office 2010;WSID=CELLO-PC4;DATABASE=Cello" command="select d.AsOfDate, m.TickerName, m.SeriesType, d.SeriesNumValue  from TimeSeriesMeta m,TimeSeries d where m.TimeSeriesMetaId = d.TimeSeriesMetaId and m.source = 'CITI' and (m.TickerName like 'FNMA%') and SeriesType = 'Price' and AsOfDate= '2015-06-25' order by TickerName,Source,SeriesType,AsOfDate"/>
  </connection>
  <connection id="2" name="TBASettleDateQuery" type="1" refreshedVersion="4" savePassword="1" saveData="1">
    <dbPr connection="DSN=Cello SQL Server;UID=report;PWD=gm4SJDw4;APP=Microsoft Office 2010;WSID=CELLO-PC4;DATABASE=Cello" command="select d.AsOfDate, m.TickerName, m.SeriesType, d.SeriesCharValue  from TimeSeriesMeta m,TimeSeries d where m.TimeSeriesMetaId = d.TimeSeriesMetaId and m.source = 'CITI' and (m.TickerName like 'FNMA%') and SeriesType = 'SettleDate' and AsOfDate= '2015-06-25' order by TickerName,Source,SeriesType,AsOfDate"/>
  </connection>
</connections>
</file>

<file path=xl/sharedStrings.xml><?xml version="1.0" encoding="utf-8"?>
<sst xmlns="http://schemas.openxmlformats.org/spreadsheetml/2006/main" count="432" uniqueCount="108">
  <si>
    <t>Coupon</t>
  </si>
  <si>
    <t>Gfee</t>
  </si>
  <si>
    <t>Mortgage Rate</t>
  </si>
  <si>
    <t>G-fee</t>
  </si>
  <si>
    <t>G-fee Buydown</t>
  </si>
  <si>
    <t>Px: Pass-through</t>
  </si>
  <si>
    <t>Best Execution</t>
  </si>
  <si>
    <t>Price Diff</t>
  </si>
  <si>
    <t>Database Env</t>
  </si>
  <si>
    <t>PROD</t>
  </si>
  <si>
    <t>Save Data to DB</t>
  </si>
  <si>
    <t>As of Date</t>
  </si>
  <si>
    <t>Report Name</t>
  </si>
  <si>
    <t>No</t>
  </si>
  <si>
    <t>TickerName</t>
  </si>
  <si>
    <t>SeriesType</t>
  </si>
  <si>
    <t>AsOfDate</t>
  </si>
  <si>
    <t>SeriesNumValue</t>
  </si>
  <si>
    <t>SeriesCharValue</t>
  </si>
  <si>
    <t>Price</t>
  </si>
  <si>
    <t>SettleDate</t>
  </si>
  <si>
    <t>FNMA2.0-TBA-JUN</t>
  </si>
  <si>
    <t>06/11/2015</t>
  </si>
  <si>
    <t>FNMA2.5-TBA-JUN</t>
  </si>
  <si>
    <t>FNMA3.0-TBA-JUN</t>
  </si>
  <si>
    <t>FNMA3.5-TBA-JUN</t>
  </si>
  <si>
    <t>FNMA4.0-TBA-JUN</t>
  </si>
  <si>
    <t>FNMA4.5-TBA-JUN</t>
  </si>
  <si>
    <t>FNMA5.0-TBA-JUN</t>
  </si>
  <si>
    <t>FNMA5.5-TBA-JUN</t>
  </si>
  <si>
    <t>FNMA6.0-TBA-JUN</t>
  </si>
  <si>
    <t>FNMA6.5-TBA-JUN</t>
  </si>
  <si>
    <t>FNMA7.0-TBA-JUN</t>
  </si>
  <si>
    <t>TBA Prices</t>
  </si>
  <si>
    <t>TBA Gap</t>
  </si>
  <si>
    <t>choose TBA between 30 to 60 days</t>
  </si>
  <si>
    <t>TBA Combine</t>
  </si>
  <si>
    <t>TBA Settle Date Query</t>
  </si>
  <si>
    <t>TBA Price Query</t>
  </si>
  <si>
    <t>Month</t>
  </si>
  <si>
    <t>Front Month TBA</t>
  </si>
  <si>
    <t>Front Month</t>
  </si>
  <si>
    <t>FNMA2-TBA-GEN</t>
  </si>
  <si>
    <t>FNMA2.5-TBA-GEN</t>
  </si>
  <si>
    <t>FNMA3.0-TBA-GEN</t>
  </si>
  <si>
    <t>FNMA3.5-TBA-GEN</t>
  </si>
  <si>
    <t>FNMA4.0-TBA-GEN</t>
  </si>
  <si>
    <t>FNMA4.5-TBA-GEN</t>
  </si>
  <si>
    <t>FNMA5.0-TBA-GEN</t>
  </si>
  <si>
    <t>FNMA5.5-TBA-GEN</t>
  </si>
  <si>
    <t>FNMA6.0-TBA-GEN</t>
  </si>
  <si>
    <t>FNMA6.5-TBA-GEN</t>
  </si>
  <si>
    <t>FNMA7.0-TBA-GEN</t>
  </si>
  <si>
    <t>Base Servicing</t>
  </si>
  <si>
    <t>Px: Base Servicing</t>
  </si>
  <si>
    <t>(1)</t>
  </si>
  <si>
    <t>(2)</t>
  </si>
  <si>
    <t>(3)</t>
  </si>
  <si>
    <t>(4)</t>
  </si>
  <si>
    <t>(5) = (1) - (2) - (3) - (4), if (5) &gt; 0</t>
  </si>
  <si>
    <t>(6) = (1) - (2) - (3) - (4), if (6) &lt; 0</t>
  </si>
  <si>
    <t>(7)</t>
  </si>
  <si>
    <t>max (10)</t>
  </si>
  <si>
    <t>G-fee Buydown Multiple</t>
  </si>
  <si>
    <t>Base Servicing Multiple</t>
  </si>
  <si>
    <t>Max Excess Servicing</t>
  </si>
  <si>
    <t>Excess Servicing Multiple</t>
  </si>
  <si>
    <t>Excess Servicing</t>
  </si>
  <si>
    <t>Px: Excess Servicing</t>
  </si>
  <si>
    <t>2015-06-25</t>
  </si>
  <si>
    <t>FNMA2-TBA-AUG</t>
  </si>
  <si>
    <t>FNMA2-TBA-JUL</t>
  </si>
  <si>
    <t>FNMA2.0-TBA-AUG</t>
  </si>
  <si>
    <t>FNMA2.0-TBA-JUL</t>
  </si>
  <si>
    <t>FNMA2.0-TBA-SEP</t>
  </si>
  <si>
    <t>FNMA2.5-TBA-AUG</t>
  </si>
  <si>
    <t>FNMA2.5-TBA-JUL</t>
  </si>
  <si>
    <t>FNMA2.5-TBA-SEP</t>
  </si>
  <si>
    <t>FNMA3.0-TBA-AUG</t>
  </si>
  <si>
    <t>FNMA3.0-TBA-JUL</t>
  </si>
  <si>
    <t>FNMA3.0-TBA-SEP</t>
  </si>
  <si>
    <t>FNMA3.5-TBA-AUG</t>
  </si>
  <si>
    <t>FNMA3.5-TBA-JUL</t>
  </si>
  <si>
    <t>FNMA3.5-TBA-SEP</t>
  </si>
  <si>
    <t>FNMA4.0-TBA-AUG</t>
  </si>
  <si>
    <t>FNMA4.0-TBA-JUL</t>
  </si>
  <si>
    <t>FNMA4.0-TBA-SEP</t>
  </si>
  <si>
    <t>FNMA4.5-TBA-AUG</t>
  </si>
  <si>
    <t>FNMA4.5-TBA-JUL</t>
  </si>
  <si>
    <t>FNMA4.5-TBA-SEP</t>
  </si>
  <si>
    <t>FNMA5.0-TBA-AUG</t>
  </si>
  <si>
    <t>FNMA5.0-TBA-JUL</t>
  </si>
  <si>
    <t>FNMA5.0-TBA-SEP</t>
  </si>
  <si>
    <t>FNMA5.5-TBA-AUG</t>
  </si>
  <si>
    <t>FNMA5.5-TBA-JUL</t>
  </si>
  <si>
    <t>FNMA5.5-TBA-SEP</t>
  </si>
  <si>
    <t>FNMA6.0-TBA-AUG</t>
  </si>
  <si>
    <t>FNMA6.0-TBA-JUL</t>
  </si>
  <si>
    <t>FNMA6.0-TBA-SEP</t>
  </si>
  <si>
    <t>FNMA6.5-TBA-AUG</t>
  </si>
  <si>
    <t>FNMA6.5-TBA-JUL</t>
  </si>
  <si>
    <t>FNMA6.5-TBA-SEP</t>
  </si>
  <si>
    <t>FNMA7.0-TBA-AUG</t>
  </si>
  <si>
    <t>FNMA7.0-TBA-JUL</t>
  </si>
  <si>
    <t>FNMA7.0-TBA-SEP</t>
  </si>
  <si>
    <t>08/13/2015</t>
  </si>
  <si>
    <t>07/14/2015</t>
  </si>
  <si>
    <t>09/14/2015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</si>
</sst>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theme="4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8" borderId="28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6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3" borderId="0" applyNumberFormat="0" applyBorder="0" applyAlignment="0" applyProtection="0"/>
    <xf numFmtId="0" fontId="11" fillId="15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6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9" fillId="18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NumberFormat="0" applyBorder="0" applyAlignment="0" applyProtection="0"/>
    <xf numFmtId="0" fontId="9" fillId="21" borderId="0" applyNumberFormat="0" applyBorder="0" applyAlignment="0" applyProtection="0"/>
    <xf numFmtId="0" fontId="10" fillId="21" borderId="0" applyNumberFormat="0" applyBorder="0" applyAlignment="0" applyProtection="0"/>
    <xf numFmtId="0" fontId="11" fillId="21" borderId="0" applyNumberFormat="0" applyBorder="0" applyAlignment="0" applyProtection="0"/>
    <xf numFmtId="0" fontId="9" fillId="12" borderId="0" applyNumberFormat="0" applyBorder="0" applyAlignment="0" applyProtection="0"/>
    <xf numFmtId="0" fontId="10" fillId="15" borderId="0" applyNumberFormat="0" applyBorder="0" applyAlignment="0" applyProtection="0"/>
    <xf numFmtId="0" fontId="11" fillId="22" borderId="0" applyNumberFormat="0" applyBorder="0" applyAlignment="0" applyProtection="0"/>
    <xf numFmtId="0" fontId="9" fillId="18" borderId="0" applyNumberFormat="0" applyBorder="0" applyAlignment="0" applyProtection="0"/>
    <xf numFmtId="0" fontId="10" fillId="23" borderId="0" applyNumberFormat="0" applyBorder="0" applyAlignment="0" applyProtection="0"/>
    <xf numFmtId="0" fontId="11" fillId="15" borderId="0" applyNumberFormat="0" applyBorder="0" applyAlignment="0" applyProtection="0"/>
    <xf numFmtId="0" fontId="9" fillId="20" borderId="0" applyNumberFormat="0" applyBorder="0" applyAlignment="0" applyProtection="0"/>
    <xf numFmtId="0" fontId="10" fillId="17" borderId="0" applyNumberFormat="0" applyBorder="0" applyAlignment="0" applyProtection="0"/>
    <xf numFmtId="0" fontId="11" fillId="20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1" borderId="0" applyNumberFormat="0" applyBorder="0" applyAlignment="0" applyProtection="0"/>
    <xf numFmtId="0" fontId="13" fillId="21" borderId="0" applyNumberFormat="0" applyBorder="0" applyAlignment="0" applyProtection="0"/>
    <xf numFmtId="0" fontId="14" fillId="21" borderId="0" applyNumberFormat="0" applyBorder="0" applyAlignment="0" applyProtection="0"/>
    <xf numFmtId="0" fontId="12" fillId="12" borderId="0" applyNumberFormat="0" applyBorder="0" applyAlignment="0" applyProtection="0"/>
    <xf numFmtId="0" fontId="13" fillId="15" borderId="0" applyNumberFormat="0" applyBorder="0" applyAlignment="0" applyProtection="0"/>
    <xf numFmtId="0" fontId="14" fillId="22" borderId="0" applyNumberFormat="0" applyBorder="0" applyAlignment="0" applyProtection="0"/>
    <xf numFmtId="0" fontId="12" fillId="18" borderId="0" applyNumberFormat="0" applyBorder="0" applyAlignment="0" applyProtection="0"/>
    <xf numFmtId="0" fontId="13" fillId="28" borderId="0" applyNumberFormat="0" applyBorder="0" applyAlignment="0" applyProtection="0"/>
    <xf numFmtId="0" fontId="14" fillId="29" borderId="0" applyNumberFormat="0" applyBorder="0" applyAlignment="0" applyProtection="0"/>
    <xf numFmtId="0" fontId="12" fillId="25" borderId="0" applyNumberFormat="0" applyBorder="0" applyAlignment="0" applyProtection="0"/>
    <xf numFmtId="0" fontId="13" fillId="26" borderId="0" applyNumberFormat="0" applyBorder="0" applyAlignment="0" applyProtection="0"/>
    <xf numFmtId="0" fontId="14" fillId="25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30" borderId="0" applyNumberFormat="0" applyBorder="0" applyAlignment="0" applyProtection="0"/>
    <xf numFmtId="0" fontId="12" fillId="25" borderId="0" applyNumberFormat="0" applyBorder="0" applyAlignment="0" applyProtection="0"/>
    <xf numFmtId="0" fontId="13" fillId="31" borderId="0" applyNumberFormat="0" applyBorder="0" applyAlignment="0" applyProtection="0"/>
    <xf numFmtId="0" fontId="14" fillId="32" borderId="0" applyNumberFormat="0" applyBorder="0" applyAlignment="0" applyProtection="0"/>
    <xf numFmtId="0" fontId="12" fillId="33" borderId="0" applyNumberFormat="0" applyBorder="0" applyAlignment="0" applyProtection="0"/>
    <xf numFmtId="0" fontId="13" fillId="34" borderId="0" applyNumberFormat="0" applyBorder="0" applyAlignment="0" applyProtection="0"/>
    <xf numFmtId="0" fontId="14" fillId="33" borderId="0" applyNumberFormat="0" applyBorder="0" applyAlignment="0" applyProtection="0"/>
    <xf numFmtId="0" fontId="12" fillId="35" borderId="0" applyNumberFormat="0" applyBorder="0" applyAlignment="0" applyProtection="0"/>
    <xf numFmtId="0" fontId="13" fillId="34" borderId="0" applyNumberFormat="0" applyBorder="0" applyAlignment="0" applyProtection="0"/>
    <xf numFmtId="0" fontId="14" fillId="35" borderId="0" applyNumberFormat="0" applyBorder="0" applyAlignment="0" applyProtection="0"/>
    <xf numFmtId="0" fontId="12" fillId="31" borderId="0" applyNumberFormat="0" applyBorder="0" applyAlignment="0" applyProtection="0"/>
    <xf numFmtId="0" fontId="13" fillId="31" borderId="0" applyNumberFormat="0" applyBorder="0" applyAlignment="0" applyProtection="0"/>
    <xf numFmtId="0" fontId="14" fillId="29" borderId="0" applyNumberFormat="0" applyBorder="0" applyAlignment="0" applyProtection="0"/>
    <xf numFmtId="0" fontId="12" fillId="25" borderId="0" applyNumberFormat="0" applyBorder="0" applyAlignment="0" applyProtection="0"/>
    <xf numFmtId="0" fontId="13" fillId="35" borderId="0" applyNumberFormat="0" applyBorder="0" applyAlignment="0" applyProtection="0"/>
    <xf numFmtId="0" fontId="14" fillId="25" borderId="0" applyNumberFormat="0" applyBorder="0" applyAlignment="0" applyProtection="0"/>
    <xf numFmtId="0" fontId="12" fillId="36" borderId="0" applyNumberFormat="0" applyBorder="0" applyAlignment="0" applyProtection="0"/>
    <xf numFmtId="0" fontId="13" fillId="36" borderId="0" applyNumberFormat="0" applyBorder="0" applyAlignment="0" applyProtection="0"/>
    <xf numFmtId="0" fontId="14" fillId="36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11" borderId="0" applyNumberFormat="0" applyBorder="0" applyAlignment="0" applyProtection="0"/>
    <xf numFmtId="0" fontId="16" fillId="11" borderId="0" applyNumberFormat="0" applyBorder="0" applyAlignment="0" applyProtection="0"/>
    <xf numFmtId="0" fontId="17" fillId="11" borderId="0" applyNumberFormat="0" applyBorder="0" applyAlignment="0" applyProtection="0"/>
    <xf numFmtId="38" fontId="18" fillId="14" borderId="0"/>
    <xf numFmtId="0" fontId="19" fillId="0" borderId="0" applyNumberFormat="0" applyFill="0" applyBorder="0" applyAlignment="0" applyProtection="0"/>
    <xf numFmtId="0" fontId="20" fillId="37" borderId="0">
      <alignment horizontal="left"/>
    </xf>
    <xf numFmtId="2" fontId="21" fillId="38" borderId="29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9" borderId="0"/>
    <xf numFmtId="168" fontId="8" fillId="0" borderId="0" applyFont="0" applyFill="0" applyBorder="0" applyAlignment="0" applyProtection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7" fillId="0" borderId="0" applyFill="0" applyBorder="0" applyAlignment="0"/>
    <xf numFmtId="169" fontId="25" fillId="0" borderId="0" applyFill="0" applyBorder="0" applyAlignment="0"/>
    <xf numFmtId="0" fontId="7" fillId="0" borderId="0" applyFill="0" applyBorder="0" applyAlignment="0"/>
    <xf numFmtId="172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26" fillId="14" borderId="30" applyNumberFormat="0" applyAlignment="0" applyProtection="0"/>
    <xf numFmtId="0" fontId="27" fillId="16" borderId="30" applyNumberFormat="0" applyAlignment="0" applyProtection="0"/>
    <xf numFmtId="0" fontId="28" fillId="18" borderId="30" applyNumberFormat="0" applyAlignment="0" applyProtection="0"/>
    <xf numFmtId="0" fontId="29" fillId="40" borderId="31" applyNumberFormat="0"/>
    <xf numFmtId="0" fontId="30" fillId="41" borderId="32" applyBorder="0">
      <alignment horizontal="center" wrapText="1"/>
    </xf>
    <xf numFmtId="0" fontId="30" fillId="2" borderId="32" applyBorder="0">
      <alignment horizontal="center" wrapText="1"/>
    </xf>
    <xf numFmtId="0" fontId="31" fillId="42" borderId="31" applyNumberFormat="0"/>
    <xf numFmtId="0" fontId="32" fillId="43" borderId="31" applyNumberFormat="0"/>
    <xf numFmtId="0" fontId="4" fillId="43" borderId="31" applyNumberFormat="0"/>
    <xf numFmtId="0" fontId="31" fillId="42" borderId="31" applyNumberFormat="0"/>
    <xf numFmtId="0" fontId="32" fillId="42" borderId="31" applyNumberFormat="0"/>
    <xf numFmtId="0" fontId="31" fillId="40" borderId="31" applyNumberFormat="0"/>
    <xf numFmtId="0" fontId="29" fillId="40" borderId="31" applyNumberFormat="0"/>
    <xf numFmtId="0" fontId="5" fillId="8" borderId="28" applyNumberFormat="0" applyBorder="0"/>
    <xf numFmtId="0" fontId="5" fillId="8" borderId="28" applyNumberFormat="0" applyBorder="0"/>
    <xf numFmtId="0" fontId="5" fillId="8" borderId="28" applyNumberFormat="0"/>
    <xf numFmtId="0" fontId="5" fillId="8" borderId="28" applyNumberFormat="0" applyBorder="0"/>
    <xf numFmtId="14" fontId="33" fillId="42" borderId="33" applyNumberFormat="0" applyAlignment="0"/>
    <xf numFmtId="14" fontId="33" fillId="43" borderId="33" applyNumberFormat="0" applyAlignment="0"/>
    <xf numFmtId="14" fontId="34" fillId="43" borderId="33" applyNumberFormat="0" applyAlignment="0"/>
    <xf numFmtId="0" fontId="35" fillId="44" borderId="34" applyNumberFormat="0" applyAlignment="0" applyProtection="0"/>
    <xf numFmtId="0" fontId="36" fillId="44" borderId="34" applyNumberFormat="0" applyAlignment="0" applyProtection="0"/>
    <xf numFmtId="0" fontId="37" fillId="44" borderId="34" applyNumberFormat="0" applyAlignment="0" applyProtection="0"/>
    <xf numFmtId="0" fontId="38" fillId="0" borderId="0" applyNumberFormat="0" applyFill="0" applyBorder="0" applyAlignment="0" applyProtection="0"/>
    <xf numFmtId="173" fontId="39" fillId="0" borderId="0"/>
    <xf numFmtId="173" fontId="40" fillId="0" borderId="0"/>
    <xf numFmtId="173" fontId="39" fillId="0" borderId="0"/>
    <xf numFmtId="173" fontId="40" fillId="0" borderId="0"/>
    <xf numFmtId="173" fontId="39" fillId="0" borderId="0"/>
    <xf numFmtId="173" fontId="40" fillId="0" borderId="0"/>
    <xf numFmtId="173" fontId="39" fillId="0" borderId="0"/>
    <xf numFmtId="173" fontId="40" fillId="0" borderId="0"/>
    <xf numFmtId="173" fontId="39" fillId="0" borderId="0"/>
    <xf numFmtId="173" fontId="40" fillId="0" borderId="0"/>
    <xf numFmtId="173" fontId="39" fillId="0" borderId="0"/>
    <xf numFmtId="173" fontId="40" fillId="0" borderId="0"/>
    <xf numFmtId="173" fontId="39" fillId="0" borderId="0"/>
    <xf numFmtId="173" fontId="40" fillId="0" borderId="0"/>
    <xf numFmtId="173" fontId="39" fillId="0" borderId="0"/>
    <xf numFmtId="173" fontId="40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70" fontId="7" fillId="0" borderId="0" applyFont="0" applyFill="0" applyBorder="0" applyAlignment="0" applyProtection="0"/>
    <xf numFmtId="8" fontId="44" fillId="0" borderId="35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4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5" fontId="7" fillId="0" borderId="0" applyFont="0" applyFill="0" applyBorder="0" applyProtection="0"/>
    <xf numFmtId="176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7" fontId="7" fillId="0" borderId="0" applyFill="0" applyBorder="0" applyAlignment="0" applyProtection="0"/>
    <xf numFmtId="177" fontId="7" fillId="0" borderId="0" applyFill="0" applyBorder="0" applyAlignment="0" applyProtection="0"/>
    <xf numFmtId="177" fontId="7" fillId="0" borderId="0" applyFill="0" applyBorder="0" applyAlignment="0" applyProtection="0"/>
    <xf numFmtId="177" fontId="7" fillId="0" borderId="0" applyFill="0" applyBorder="0" applyAlignment="0" applyProtection="0"/>
    <xf numFmtId="177" fontId="7" fillId="0" borderId="0" applyFill="0" applyBorder="0" applyAlignment="0" applyProtection="0"/>
    <xf numFmtId="15" fontId="10" fillId="14" borderId="0"/>
    <xf numFmtId="14" fontId="10" fillId="0" borderId="0" applyFill="0" applyBorder="0" applyAlignment="0"/>
    <xf numFmtId="0" fontId="43" fillId="38" borderId="0">
      <alignment horizontal="left"/>
    </xf>
    <xf numFmtId="177" fontId="7" fillId="0" borderId="0" applyFill="0" applyBorder="0" applyAlignment="0" applyProtection="0"/>
    <xf numFmtId="14" fontId="7" fillId="0" borderId="0"/>
    <xf numFmtId="0" fontId="46" fillId="21" borderId="0">
      <alignment horizontal="left"/>
    </xf>
    <xf numFmtId="0" fontId="47" fillId="0" borderId="0">
      <alignment horizontal="left"/>
    </xf>
    <xf numFmtId="38" fontId="48" fillId="0" borderId="36">
      <alignment vertical="center"/>
    </xf>
    <xf numFmtId="178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9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27" applyNumberFormat="0" applyBorder="0" applyAlignment="0">
      <protection locked="0"/>
    </xf>
    <xf numFmtId="180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1" fontId="7" fillId="0" borderId="0" applyFont="0" applyFill="0" applyBorder="0" applyAlignment="0" applyProtection="0"/>
    <xf numFmtId="0" fontId="10" fillId="14" borderId="0"/>
    <xf numFmtId="0" fontId="54" fillId="13" borderId="0" applyNumberFormat="0" applyBorder="0" applyAlignment="0" applyProtection="0"/>
    <xf numFmtId="0" fontId="55" fillId="17" borderId="0" applyNumberFormat="0" applyBorder="0" applyAlignment="0" applyProtection="0"/>
    <xf numFmtId="0" fontId="56" fillId="13" borderId="0" applyNumberFormat="0" applyBorder="0" applyAlignment="0" applyProtection="0"/>
    <xf numFmtId="2" fontId="57" fillId="38" borderId="29" applyProtection="0">
      <alignment horizontal="left"/>
      <protection locked="0"/>
    </xf>
    <xf numFmtId="38" fontId="38" fillId="45" borderId="0" applyNumberFormat="0" applyBorder="0" applyAlignment="0" applyProtection="0"/>
    <xf numFmtId="0" fontId="58" fillId="0" borderId="37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8" borderId="27">
      <alignment horizontal="centerContinuous"/>
    </xf>
    <xf numFmtId="0" fontId="60" fillId="0" borderId="38" applyNumberFormat="0" applyFill="0" applyAlignment="0" applyProtection="0"/>
    <xf numFmtId="0" fontId="61" fillId="0" borderId="39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40" applyNumberFormat="0" applyFill="0" applyAlignment="0" applyProtection="0"/>
    <xf numFmtId="0" fontId="65" fillId="0" borderId="41" applyNumberFormat="0" applyFill="0" applyAlignment="0" applyProtection="0"/>
    <xf numFmtId="0" fontId="66" fillId="0" borderId="42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41" applyNumberFormat="0" applyFill="0" applyAlignment="0" applyProtection="0"/>
    <xf numFmtId="0" fontId="68" fillId="0" borderId="43" applyNumberFormat="0" applyFill="0" applyAlignment="0" applyProtection="0"/>
    <xf numFmtId="0" fontId="69" fillId="0" borderId="44" applyNumberFormat="0" applyFill="0" applyAlignment="0" applyProtection="0"/>
    <xf numFmtId="0" fontId="70" fillId="0" borderId="45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4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6" borderId="27" applyNumberFormat="0" applyBorder="0" applyAlignment="0" applyProtection="0"/>
    <xf numFmtId="2" fontId="73" fillId="0" borderId="46" applyNumberFormat="0" applyFill="0" applyBorder="0" applyAlignment="0">
      <alignment horizontal="center"/>
      <protection locked="0"/>
    </xf>
    <xf numFmtId="2" fontId="73" fillId="0" borderId="46" applyNumberFormat="0" applyFill="0" applyBorder="0" applyAlignment="0">
      <alignment horizontal="center"/>
      <protection locked="0"/>
    </xf>
    <xf numFmtId="0" fontId="3" fillId="5" borderId="25" applyNumberFormat="0" applyAlignment="0" applyProtection="0"/>
    <xf numFmtId="0" fontId="74" fillId="10" borderId="30" applyNumberFormat="0" applyAlignment="0" applyProtection="0"/>
    <xf numFmtId="0" fontId="74" fillId="10" borderId="30" applyNumberFormat="0" applyAlignment="0" applyProtection="0"/>
    <xf numFmtId="0" fontId="74" fillId="10" borderId="30" applyNumberFormat="0" applyAlignment="0" applyProtection="0"/>
    <xf numFmtId="0" fontId="74" fillId="10" borderId="30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77" fillId="0" borderId="47" applyNumberFormat="0" applyFill="0" applyAlignment="0" applyProtection="0"/>
    <xf numFmtId="0" fontId="78" fillId="0" borderId="47" applyNumberFormat="0" applyFill="0" applyAlignment="0" applyProtection="0"/>
    <xf numFmtId="0" fontId="79" fillId="0" borderId="47" applyNumberFormat="0" applyFill="0" applyAlignment="0" applyProtection="0"/>
    <xf numFmtId="0" fontId="7" fillId="45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4" borderId="0"/>
    <xf numFmtId="0" fontId="80" fillId="10" borderId="0" applyNumberFormat="0" applyBorder="0" applyAlignment="0" applyProtection="0"/>
    <xf numFmtId="0" fontId="81" fillId="15" borderId="0" applyNumberFormat="0" applyBorder="0" applyAlignment="0" applyProtection="0"/>
    <xf numFmtId="0" fontId="82" fillId="39" borderId="0" applyNumberFormat="0" applyBorder="0" applyAlignment="0" applyProtection="0"/>
    <xf numFmtId="37" fontId="83" fillId="0" borderId="0"/>
    <xf numFmtId="0" fontId="46" fillId="14" borderId="0" applyNumberFormat="0" applyFont="0" applyFill="0" applyBorder="0" applyAlignment="0"/>
    <xf numFmtId="10" fontId="10" fillId="14" borderId="0"/>
    <xf numFmtId="182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2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3" borderId="0"/>
    <xf numFmtId="0" fontId="7" fillId="43" borderId="0"/>
    <xf numFmtId="0" fontId="7" fillId="0" borderId="0"/>
    <xf numFmtId="0" fontId="7" fillId="0" borderId="0"/>
    <xf numFmtId="0" fontId="31" fillId="42" borderId="0"/>
    <xf numFmtId="0" fontId="31" fillId="42" borderId="0"/>
    <xf numFmtId="0" fontId="31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2" borderId="0"/>
    <xf numFmtId="0" fontId="7" fillId="0" borderId="0"/>
    <xf numFmtId="0" fontId="7" fillId="0" borderId="0"/>
    <xf numFmtId="0" fontId="31" fillId="42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6" borderId="26" applyNumberFormat="0" applyFont="0" applyAlignment="0" applyProtection="0"/>
    <xf numFmtId="0" fontId="10" fillId="12" borderId="48" applyNumberFormat="0" applyFont="0" applyAlignment="0" applyProtection="0"/>
    <xf numFmtId="0" fontId="86" fillId="12" borderId="48" applyNumberFormat="0" applyFont="0" applyAlignment="0" applyProtection="0"/>
    <xf numFmtId="0" fontId="31" fillId="6" borderId="26" applyNumberFormat="0" applyFont="0" applyAlignment="0" applyProtection="0"/>
    <xf numFmtId="0" fontId="87" fillId="0" borderId="0"/>
    <xf numFmtId="0" fontId="11" fillId="12" borderId="48" applyNumberFormat="0" applyFont="0" applyAlignment="0" applyProtection="0"/>
    <xf numFmtId="0" fontId="31" fillId="6" borderId="26" applyNumberFormat="0" applyFont="0" applyAlignment="0" applyProtection="0"/>
    <xf numFmtId="0" fontId="31" fillId="6" borderId="26" applyNumberFormat="0" applyFont="0" applyAlignment="0" applyProtection="0"/>
    <xf numFmtId="0" fontId="1" fillId="6" borderId="26" applyNumberFormat="0" applyFont="0" applyAlignment="0" applyProtection="0"/>
    <xf numFmtId="0" fontId="1" fillId="6" borderId="26" applyNumberFormat="0" applyFont="0" applyAlignment="0" applyProtection="0"/>
    <xf numFmtId="0" fontId="1" fillId="6" borderId="26" applyNumberFormat="0" applyFont="0" applyAlignment="0" applyProtection="0"/>
    <xf numFmtId="183" fontId="24" fillId="0" borderId="0">
      <alignment horizontal="center"/>
    </xf>
    <xf numFmtId="37" fontId="7" fillId="0" borderId="0"/>
    <xf numFmtId="184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5" fontId="88" fillId="0" borderId="0" applyNumberFormat="0" applyFill="0" applyBorder="0" applyAlignment="0" applyProtection="0"/>
    <xf numFmtId="165" fontId="24" fillId="0" borderId="0">
      <alignment horizontal="center"/>
    </xf>
    <xf numFmtId="0" fontId="31" fillId="9" borderId="0" applyNumberFormat="0" applyFont="0" applyBorder="0" applyAlignment="0" applyProtection="0"/>
    <xf numFmtId="0" fontId="88" fillId="0" borderId="49"/>
    <xf numFmtId="2" fontId="89" fillId="38" borderId="29">
      <alignment horizontal="left"/>
    </xf>
    <xf numFmtId="0" fontId="90" fillId="14" borderId="50" applyNumberFormat="0" applyAlignment="0" applyProtection="0"/>
    <xf numFmtId="0" fontId="91" fillId="16" borderId="50" applyNumberFormat="0" applyAlignment="0" applyProtection="0"/>
    <xf numFmtId="0" fontId="92" fillId="18" borderId="50" applyNumberFormat="0" applyAlignment="0" applyProtection="0"/>
    <xf numFmtId="40" fontId="10" fillId="38" borderId="0">
      <alignment horizontal="right"/>
    </xf>
    <xf numFmtId="0" fontId="93" fillId="46" borderId="0">
      <alignment horizontal="center"/>
    </xf>
    <xf numFmtId="0" fontId="36" fillId="47" borderId="29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6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187" fontId="24" fillId="0" borderId="0">
      <alignment horizontal="center"/>
    </xf>
    <xf numFmtId="188" fontId="24" fillId="0" borderId="27">
      <alignment horizontal="center"/>
    </xf>
    <xf numFmtId="0" fontId="97" fillId="0" borderId="51" applyAlignment="0">
      <alignment horizontal="center"/>
    </xf>
    <xf numFmtId="0" fontId="98" fillId="45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19">
      <alignment horizontal="center"/>
    </xf>
    <xf numFmtId="0" fontId="45" fillId="0" borderId="0">
      <alignment vertical="top"/>
    </xf>
    <xf numFmtId="189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29" applyNumberFormat="0" applyBorder="0" applyAlignment="0"/>
    <xf numFmtId="190" fontId="100" fillId="0" borderId="0" applyNumberFormat="0" applyFill="0" applyBorder="0" applyAlignment="0" applyProtection="0">
      <alignment horizontal="left"/>
    </xf>
    <xf numFmtId="0" fontId="46" fillId="35" borderId="0">
      <alignment horizontal="left"/>
    </xf>
    <xf numFmtId="0" fontId="101" fillId="0" borderId="52"/>
    <xf numFmtId="188" fontId="21" fillId="12" borderId="0">
      <alignment horizontal="center"/>
    </xf>
    <xf numFmtId="188" fontId="102" fillId="12" borderId="0">
      <alignment horizontal="center"/>
    </xf>
    <xf numFmtId="188" fontId="21" fillId="13" borderId="0">
      <alignment horizontal="center"/>
    </xf>
    <xf numFmtId="0" fontId="21" fillId="12" borderId="0">
      <alignment horizontal="left"/>
    </xf>
    <xf numFmtId="0" fontId="103" fillId="0" borderId="0" applyFont="0" applyFill="0" applyBorder="0" applyAlignment="0" applyProtection="0"/>
    <xf numFmtId="191" fontId="25" fillId="0" borderId="0" applyFont="0" applyFill="0" applyBorder="0" applyAlignment="0" applyProtection="0"/>
    <xf numFmtId="192" fontId="7" fillId="0" borderId="0"/>
    <xf numFmtId="0" fontId="7" fillId="0" borderId="0"/>
    <xf numFmtId="0" fontId="7" fillId="0" borderId="0">
      <alignment horizontal="left" wrapText="1"/>
    </xf>
    <xf numFmtId="0" fontId="21" fillId="12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8" borderId="48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3" fontId="24" fillId="0" borderId="0">
      <alignment horizontal="center"/>
    </xf>
    <xf numFmtId="188" fontId="24" fillId="0" borderId="0">
      <alignment horizontal="center"/>
    </xf>
    <xf numFmtId="0" fontId="107" fillId="48" borderId="0"/>
    <xf numFmtId="194" fontId="24" fillId="0" borderId="0">
      <alignment horizontal="center"/>
    </xf>
    <xf numFmtId="194" fontId="24" fillId="0" borderId="53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4" borderId="0"/>
    <xf numFmtId="49" fontId="10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72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4" borderId="0"/>
    <xf numFmtId="0" fontId="31" fillId="49" borderId="54" applyBorder="0">
      <alignment horizontal="center" wrapText="1"/>
    </xf>
    <xf numFmtId="0" fontId="30" fillId="41" borderId="32" applyBorder="0">
      <alignment horizontal="center" wrapText="1"/>
    </xf>
    <xf numFmtId="0" fontId="31" fillId="50" borderId="32" applyBorder="0">
      <alignment horizontal="center" wrapText="1"/>
    </xf>
    <xf numFmtId="0" fontId="30" fillId="2" borderId="32" applyBorder="0">
      <alignment horizontal="center" wrapText="1"/>
    </xf>
    <xf numFmtId="0" fontId="6" fillId="51" borderId="32" applyBorder="0">
      <alignment horizontal="center" wrapText="1"/>
    </xf>
    <xf numFmtId="0" fontId="30" fillId="52" borderId="32" applyBorder="0">
      <alignment horizontal="center" wrapText="1"/>
    </xf>
    <xf numFmtId="0" fontId="30" fillId="52" borderId="32" applyBorder="0">
      <alignment horizontal="center" wrapText="1"/>
    </xf>
    <xf numFmtId="0" fontId="6" fillId="51" borderId="32" applyBorder="0">
      <alignment horizontal="center" wrapText="1"/>
    </xf>
    <xf numFmtId="0" fontId="6" fillId="51" borderId="32" applyBorder="0">
      <alignment horizontal="center" wrapText="1"/>
    </xf>
    <xf numFmtId="0" fontId="6" fillId="51" borderId="32" applyBorder="0">
      <alignment horizontal="center" wrapText="1"/>
    </xf>
    <xf numFmtId="0" fontId="6" fillId="51" borderId="32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55" applyNumberFormat="0" applyFill="0" applyAlignment="0" applyProtection="0"/>
    <xf numFmtId="0" fontId="18" fillId="0" borderId="56" applyNumberFormat="0" applyFill="0" applyAlignment="0" applyProtection="0"/>
    <xf numFmtId="0" fontId="7" fillId="0" borderId="57" applyNumberFormat="0" applyFill="0" applyAlignment="0" applyProtection="0"/>
    <xf numFmtId="0" fontId="116" fillId="0" borderId="58" applyNumberFormat="0" applyFill="0" applyAlignment="0" applyProtection="0"/>
    <xf numFmtId="0" fontId="117" fillId="14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2" borderId="33"/>
    <xf numFmtId="1" fontId="121" fillId="43" borderId="33"/>
    <xf numFmtId="2" fontId="122" fillId="43" borderId="33"/>
    <xf numFmtId="0" fontId="123" fillId="42" borderId="28" applyNumberFormat="0" applyAlignment="0"/>
    <xf numFmtId="0" fontId="124" fillId="43" borderId="28" applyNumberFormat="0" applyAlignment="0"/>
    <xf numFmtId="1" fontId="125" fillId="43" borderId="33" applyNumberFormat="0"/>
    <xf numFmtId="178" fontId="126" fillId="43" borderId="33" applyNumberFormat="0"/>
    <xf numFmtId="0" fontId="7" fillId="0" borderId="0"/>
  </cellStyleXfs>
  <cellXfs count="69">
    <xf numFmtId="0" fontId="0" fillId="0" borderId="0" xfId="0"/>
    <xf numFmtId="10" fontId="0" fillId="0" borderId="1" xfId="2" applyNumberFormat="1" applyFont="1" applyBorder="1"/>
    <xf numFmtId="0" fontId="2" fillId="0" borderId="3" xfId="0" applyFont="1" applyBorder="1"/>
    <xf numFmtId="10" fontId="2" fillId="0" borderId="4" xfId="0" applyNumberFormat="1" applyFont="1" applyBorder="1"/>
    <xf numFmtId="10" fontId="2" fillId="0" borderId="5" xfId="0" applyNumberFormat="1" applyFont="1" applyBorder="1"/>
    <xf numFmtId="10" fontId="0" fillId="0" borderId="19" xfId="2" applyNumberFormat="1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10" fontId="2" fillId="4" borderId="4" xfId="0" applyNumberFormat="1" applyFont="1" applyFill="1" applyBorder="1"/>
    <xf numFmtId="0" fontId="31" fillId="42" borderId="0" xfId="351"/>
    <xf numFmtId="0" fontId="127" fillId="42" borderId="0" xfId="351" applyFont="1"/>
    <xf numFmtId="0" fontId="31" fillId="42" borderId="0" xfId="351" applyFont="1"/>
    <xf numFmtId="14" fontId="31" fillId="42" borderId="0" xfId="351" applyNumberFormat="1" applyFont="1"/>
    <xf numFmtId="0" fontId="128" fillId="42" borderId="0" xfId="351" applyFont="1"/>
    <xf numFmtId="0" fontId="31" fillId="42" borderId="59" xfId="351" applyNumberFormat="1" applyFont="1" applyFill="1" applyBorder="1" applyAlignment="1"/>
    <xf numFmtId="0" fontId="31" fillId="42" borderId="60" xfId="351" applyNumberFormat="1" applyFont="1" applyFill="1" applyBorder="1" applyAlignment="1"/>
    <xf numFmtId="14" fontId="31" fillId="42" borderId="60" xfId="351" applyNumberFormat="1" applyFont="1" applyFill="1" applyBorder="1" applyAlignment="1"/>
    <xf numFmtId="0" fontId="31" fillId="42" borderId="61" xfId="351" applyNumberFormat="1" applyFont="1" applyFill="1" applyBorder="1" applyAlignment="1"/>
    <xf numFmtId="0" fontId="31" fillId="42" borderId="62" xfId="351" applyNumberFormat="1" applyFont="1" applyFill="1" applyBorder="1" applyAlignment="1"/>
    <xf numFmtId="0" fontId="31" fillId="42" borderId="63" xfId="351" applyNumberFormat="1" applyFont="1" applyFill="1" applyBorder="1" applyAlignment="1"/>
    <xf numFmtId="0" fontId="31" fillId="42" borderId="64" xfId="351" applyNumberFormat="1" applyFont="1" applyFill="1" applyBorder="1" applyAlignment="1"/>
    <xf numFmtId="0" fontId="129" fillId="42" borderId="59" xfId="351" applyNumberFormat="1" applyFont="1" applyFill="1" applyBorder="1" applyAlignment="1">
      <alignment horizontal="center"/>
    </xf>
    <xf numFmtId="0" fontId="129" fillId="42" borderId="60" xfId="351" applyNumberFormat="1" applyFont="1" applyFill="1" applyBorder="1" applyAlignment="1">
      <alignment horizontal="center"/>
    </xf>
    <xf numFmtId="0" fontId="129" fillId="42" borderId="61" xfId="351" applyNumberFormat="1" applyFont="1" applyFill="1" applyBorder="1" applyAlignment="1">
      <alignment horizontal="center"/>
    </xf>
    <xf numFmtId="10" fontId="2" fillId="0" borderId="65" xfId="0" applyNumberFormat="1" applyFont="1" applyBorder="1" applyAlignment="1">
      <alignment horizontal="center"/>
    </xf>
    <xf numFmtId="0" fontId="130" fillId="42" borderId="0" xfId="351" applyFont="1"/>
    <xf numFmtId="14" fontId="130" fillId="42" borderId="0" xfId="351" applyNumberFormat="1" applyFont="1"/>
    <xf numFmtId="43" fontId="0" fillId="3" borderId="68" xfId="1" applyFont="1" applyFill="1" applyBorder="1"/>
    <xf numFmtId="43" fontId="0" fillId="3" borderId="69" xfId="1" applyFont="1" applyFill="1" applyBorder="1"/>
    <xf numFmtId="49" fontId="2" fillId="0" borderId="5" xfId="0" applyNumberFormat="1" applyFont="1" applyBorder="1" applyAlignment="1">
      <alignment horizontal="center"/>
    </xf>
    <xf numFmtId="49" fontId="0" fillId="0" borderId="11" xfId="2" applyNumberFormat="1" applyFont="1" applyBorder="1" applyAlignment="1">
      <alignment horizontal="center"/>
    </xf>
    <xf numFmtId="49" fontId="0" fillId="0" borderId="20" xfId="2" applyNumberFormat="1" applyFont="1" applyBorder="1" applyAlignment="1">
      <alignment horizontal="center"/>
    </xf>
    <xf numFmtId="0" fontId="0" fillId="0" borderId="0" xfId="0" applyFont="1"/>
    <xf numFmtId="0" fontId="2" fillId="0" borderId="27" xfId="0" applyFont="1" applyBorder="1"/>
    <xf numFmtId="0" fontId="131" fillId="8" borderId="27" xfId="3" applyFont="1" applyBorder="1" applyAlignment="1">
      <alignment horizontal="center"/>
    </xf>
    <xf numFmtId="14" fontId="131" fillId="8" borderId="27" xfId="3" applyNumberFormat="1" applyFont="1" applyBorder="1"/>
    <xf numFmtId="0" fontId="131" fillId="8" borderId="27" xfId="3" applyFont="1" applyBorder="1" applyAlignment="1">
      <alignment horizontal="left"/>
    </xf>
    <xf numFmtId="2" fontId="0" fillId="0" borderId="0" xfId="0" applyNumberFormat="1" applyFont="1" applyFill="1" applyBorder="1"/>
    <xf numFmtId="2" fontId="0" fillId="0" borderId="7" xfId="0" applyNumberFormat="1" applyFont="1" applyFill="1" applyBorder="1"/>
    <xf numFmtId="0" fontId="0" fillId="0" borderId="66" xfId="0" applyFont="1" applyBorder="1" applyAlignment="1">
      <alignment horizontal="center"/>
    </xf>
    <xf numFmtId="0" fontId="0" fillId="0" borderId="19" xfId="0" applyFont="1" applyBorder="1"/>
    <xf numFmtId="2" fontId="0" fillId="0" borderId="19" xfId="0" applyNumberFormat="1" applyFont="1" applyBorder="1"/>
    <xf numFmtId="2" fontId="0" fillId="0" borderId="20" xfId="0" applyNumberFormat="1" applyFont="1" applyBorder="1"/>
    <xf numFmtId="164" fontId="0" fillId="3" borderId="67" xfId="0" applyNumberFormat="1" applyFont="1" applyFill="1" applyBorder="1"/>
    <xf numFmtId="164" fontId="0" fillId="3" borderId="68" xfId="0" applyNumberFormat="1" applyFont="1" applyFill="1" applyBorder="1"/>
    <xf numFmtId="10" fontId="0" fillId="0" borderId="0" xfId="0" applyNumberFormat="1" applyFont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 applyAlignment="1">
      <alignment horizontal="center"/>
    </xf>
    <xf numFmtId="0" fontId="0" fillId="2" borderId="8" xfId="0" applyFont="1" applyFill="1" applyBorder="1"/>
    <xf numFmtId="10" fontId="0" fillId="2" borderId="2" xfId="0" applyNumberFormat="1" applyFont="1" applyFill="1" applyBorder="1"/>
    <xf numFmtId="49" fontId="0" fillId="2" borderId="9" xfId="0" applyNumberFormat="1" applyFont="1" applyFill="1" applyBorder="1" applyAlignment="1">
      <alignment horizontal="center"/>
    </xf>
    <xf numFmtId="10" fontId="0" fillId="0" borderId="0" xfId="0" applyNumberFormat="1" applyFont="1" applyBorder="1"/>
    <xf numFmtId="49" fontId="0" fillId="0" borderId="7" xfId="0" applyNumberFormat="1" applyFont="1" applyBorder="1" applyAlignment="1">
      <alignment horizontal="center"/>
    </xf>
    <xf numFmtId="0" fontId="0" fillId="0" borderId="10" xfId="0" applyFont="1" applyBorder="1"/>
    <xf numFmtId="10" fontId="0" fillId="0" borderId="1" xfId="0" applyNumberFormat="1" applyFont="1" applyBorder="1"/>
    <xf numFmtId="49" fontId="0" fillId="0" borderId="11" xfId="0" applyNumberFormat="1" applyFont="1" applyBorder="1" applyAlignment="1">
      <alignment horizontal="center"/>
    </xf>
    <xf numFmtId="0" fontId="0" fillId="0" borderId="6" xfId="0" applyFont="1" applyFill="1" applyBorder="1"/>
    <xf numFmtId="2" fontId="0" fillId="0" borderId="0" xfId="0" applyNumberFormat="1" applyFont="1" applyBorder="1"/>
    <xf numFmtId="0" fontId="0" fillId="0" borderId="7" xfId="0" applyNumberFormat="1" applyFont="1" applyBorder="1" applyAlignment="1">
      <alignment horizontal="center"/>
    </xf>
    <xf numFmtId="0" fontId="0" fillId="0" borderId="12" xfId="0" applyNumberFormat="1" applyFont="1" applyBorder="1"/>
    <xf numFmtId="2" fontId="0" fillId="0" borderId="13" xfId="0" applyNumberFormat="1" applyFont="1" applyBorder="1"/>
    <xf numFmtId="0" fontId="0" fillId="0" borderId="14" xfId="0" applyNumberFormat="1" applyFont="1" applyBorder="1" applyAlignment="1">
      <alignment horizontal="center"/>
    </xf>
    <xf numFmtId="0" fontId="0" fillId="0" borderId="15" xfId="0" applyFont="1" applyBorder="1"/>
    <xf numFmtId="2" fontId="0" fillId="0" borderId="16" xfId="0" applyNumberFormat="1" applyFont="1" applyBorder="1"/>
    <xf numFmtId="49" fontId="0" fillId="0" borderId="17" xfId="0" applyNumberFormat="1" applyFont="1" applyBorder="1" applyAlignment="1">
      <alignment horizontal="center"/>
    </xf>
    <xf numFmtId="0" fontId="0" fillId="0" borderId="18" xfId="0" applyFont="1" applyBorder="1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3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" xfId="1" builtinId="3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2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auto="1"/>
      </font>
      <fill>
        <patternFill>
          <bgColor theme="3" tint="0.7999816888943144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2E398A"/>
      <color rgb="FFC7732D"/>
      <color rgb="FF74B629"/>
      <color rgb="FFAD275C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Origination Best Execution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602407017553962"/>
          <c:y val="8.9368301892724586E-2"/>
          <c:w val="0.87064396093375218"/>
          <c:h val="0.78260700875195099"/>
        </c:manualLayout>
      </c:layout>
      <c:lineChart>
        <c:grouping val="standard"/>
        <c:varyColors val="0"/>
        <c:ser>
          <c:idx val="0"/>
          <c:order val="0"/>
          <c:tx>
            <c:strRef>
              <c:f>Report!$B$87</c:f>
              <c:strCache>
                <c:ptCount val="1"/>
                <c:pt idx="0">
                  <c:v>Best Execution</c:v>
                </c:pt>
              </c:strCache>
            </c:strRef>
          </c:tx>
          <c:spPr>
            <a:ln>
              <a:noFill/>
            </a:ln>
          </c:spPr>
          <c:marker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numRef>
              <c:f>Report!$C$35:$O$35</c:f>
              <c:numCache>
                <c:formatCode>0.00%</c:formatCode>
                <c:ptCount val="13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</c:numCache>
            </c:numRef>
          </c:cat>
          <c:val>
            <c:numRef>
              <c:f>Report!$C$87:$O$87</c:f>
              <c:numCache>
                <c:formatCode>0.00</c:formatCode>
                <c:ptCount val="13"/>
                <c:pt idx="0">
                  <c:v>94.783687999999998</c:v>
                </c:pt>
                <c:pt idx="1">
                  <c:v>96.634687999999997</c:v>
                </c:pt>
                <c:pt idx="2">
                  <c:v>98.432124999999999</c:v>
                </c:pt>
                <c:pt idx="3">
                  <c:v>100.283125</c:v>
                </c:pt>
                <c:pt idx="4">
                  <c:v>101.982906</c:v>
                </c:pt>
                <c:pt idx="5">
                  <c:v>103.833906</c:v>
                </c:pt>
                <c:pt idx="6">
                  <c:v>105.01415600000001</c:v>
                </c:pt>
                <c:pt idx="7">
                  <c:v>106.86515600000001</c:v>
                </c:pt>
                <c:pt idx="8">
                  <c:v>107.86515600000001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Report!$B$45</c:f>
              <c:strCache>
                <c:ptCount val="1"/>
                <c:pt idx="0">
                  <c:v>Execution Price (2.5%)</c:v>
                </c:pt>
              </c:strCache>
            </c:strRef>
          </c:tx>
          <c:spPr>
            <a:ln>
              <a:solidFill>
                <a:srgbClr val="C8C42D"/>
              </a:solidFill>
              <a:prstDash val="sysDash"/>
            </a:ln>
          </c:spPr>
          <c:marker>
            <c:symbol val="none"/>
          </c:marker>
          <c:cat>
            <c:numRef>
              <c:f>Report!$C$35:$O$35</c:f>
              <c:numCache>
                <c:formatCode>0.00%</c:formatCode>
                <c:ptCount val="13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</c:numCache>
            </c:numRef>
          </c:cat>
          <c:val>
            <c:numRef>
              <c:f>Report!$C$45:$O$45</c:f>
              <c:numCache>
                <c:formatCode>0.00</c:formatCode>
                <c:ptCount val="13"/>
                <c:pt idx="0">
                  <c:v>94.783687999999998</c:v>
                </c:pt>
                <c:pt idx="1">
                  <c:v>96.634687999999997</c:v>
                </c:pt>
                <c:pt idx="2">
                  <c:v>97.634687999999997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Report!$B$58</c:f>
              <c:strCache>
                <c:ptCount val="1"/>
                <c:pt idx="0">
                  <c:v>Execution Price (3.0%)</c:v>
                </c:pt>
              </c:strCache>
            </c:strRef>
          </c:tx>
          <c:spPr>
            <a:ln>
              <a:solidFill>
                <a:srgbClr val="AD275C"/>
              </a:solidFill>
              <a:prstDash val="dashDot"/>
            </a:ln>
          </c:spPr>
          <c:marker>
            <c:symbol val="none"/>
          </c:marker>
          <c:cat>
            <c:numRef>
              <c:f>Report!$C$35:$O$35</c:f>
              <c:numCache>
                <c:formatCode>0.00%</c:formatCode>
                <c:ptCount val="13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</c:numCache>
            </c:numRef>
          </c:cat>
          <c:val>
            <c:numRef>
              <c:f>Report!$C$58:$O$58</c:f>
              <c:numCache>
                <c:formatCode>0.00</c:formatCode>
                <c:ptCount val="13"/>
                <c:pt idx="0">
                  <c:v>94.582124999999991</c:v>
                </c:pt>
                <c:pt idx="1">
                  <c:v>96.507125000000002</c:v>
                </c:pt>
                <c:pt idx="2">
                  <c:v>98.432124999999999</c:v>
                </c:pt>
                <c:pt idx="3">
                  <c:v>100.283125</c:v>
                </c:pt>
                <c:pt idx="4">
                  <c:v>101.283125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Report!$B$71</c:f>
              <c:strCache>
                <c:ptCount val="1"/>
                <c:pt idx="0">
                  <c:v>Execution Price (3.5%)</c:v>
                </c:pt>
              </c:strCache>
            </c:strRef>
          </c:tx>
          <c:spPr>
            <a:ln>
              <a:solidFill>
                <a:srgbClr val="74B629"/>
              </a:solidFill>
              <a:prstDash val="lgDash"/>
            </a:ln>
          </c:spPr>
          <c:marker>
            <c:symbol val="none"/>
          </c:marker>
          <c:cat>
            <c:numRef>
              <c:f>Report!$C$35:$O$35</c:f>
              <c:numCache>
                <c:formatCode>0.00%</c:formatCode>
                <c:ptCount val="13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</c:numCache>
            </c:numRef>
          </c:cat>
          <c:val>
            <c:numRef>
              <c:f>Report!$C$71:$O$71</c:f>
              <c:numCache>
                <c:formatCode>0.00</c:formatCode>
                <c:ptCount val="13"/>
                <c:pt idx="0">
                  <c:v>94.282905999999997</c:v>
                </c:pt>
                <c:pt idx="1">
                  <c:v>96.207905999999994</c:v>
                </c:pt>
                <c:pt idx="2">
                  <c:v>98.132906000000006</c:v>
                </c:pt>
                <c:pt idx="3">
                  <c:v>100.057906</c:v>
                </c:pt>
                <c:pt idx="4">
                  <c:v>101.982906</c:v>
                </c:pt>
                <c:pt idx="5">
                  <c:v>103.833906</c:v>
                </c:pt>
                <c:pt idx="6">
                  <c:v>104.833906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Report!$B$84</c:f>
              <c:strCache>
                <c:ptCount val="1"/>
                <c:pt idx="0">
                  <c:v>Execution Price (4.0%)</c:v>
                </c:pt>
              </c:strCache>
            </c:strRef>
          </c:tx>
          <c:spPr>
            <a:ln w="28575">
              <a:solidFill>
                <a:srgbClr val="C7732D"/>
              </a:solidFill>
              <a:prstDash val="lgDashDotDot"/>
            </a:ln>
          </c:spPr>
          <c:marker>
            <c:symbol val="none"/>
          </c:marker>
          <c:cat>
            <c:numRef>
              <c:f>Report!$C$35:$O$35</c:f>
              <c:numCache>
                <c:formatCode>0.00%</c:formatCode>
                <c:ptCount val="13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</c:numCache>
            </c:numRef>
          </c:cat>
          <c:val>
            <c:numRef>
              <c:f>Report!$C$84:$O$84</c:f>
              <c:numCache>
                <c:formatCode>0.00</c:formatCode>
                <c:ptCount val="13"/>
                <c:pt idx="0">
                  <c:v>93.464156000000003</c:v>
                </c:pt>
                <c:pt idx="1">
                  <c:v>95.389156</c:v>
                </c:pt>
                <c:pt idx="2">
                  <c:v>97.314155999999997</c:v>
                </c:pt>
                <c:pt idx="3">
                  <c:v>99.239156000000008</c:v>
                </c:pt>
                <c:pt idx="4">
                  <c:v>101.16415600000001</c:v>
                </c:pt>
                <c:pt idx="5">
                  <c:v>103.089156</c:v>
                </c:pt>
                <c:pt idx="6">
                  <c:v>105.01415600000001</c:v>
                </c:pt>
                <c:pt idx="7">
                  <c:v>106.86515600000001</c:v>
                </c:pt>
                <c:pt idx="8">
                  <c:v>107.86515600000001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91968"/>
        <c:axId val="82502784"/>
      </c:lineChart>
      <c:catAx>
        <c:axId val="79091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 Mortgage Rate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82502784"/>
        <c:crosses val="autoZero"/>
        <c:auto val="1"/>
        <c:lblAlgn val="ctr"/>
        <c:lblOffset val="100"/>
        <c:noMultiLvlLbl val="0"/>
      </c:catAx>
      <c:valAx>
        <c:axId val="82502784"/>
        <c:scaling>
          <c:orientation val="minMax"/>
          <c:max val="110"/>
          <c:min val="9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Price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7909196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2652447672818443"/>
          <c:y val="0.41563939832958791"/>
          <c:w val="0.24476200051721525"/>
          <c:h val="0.1920909899670676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Execution Coupon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Report!$B$89</c:f>
              <c:strCache>
                <c:ptCount val="1"/>
                <c:pt idx="0">
                  <c:v>Coupon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numRef>
              <c:f>Report!$C$35:$O$35</c:f>
              <c:numCache>
                <c:formatCode>0.00%</c:formatCode>
                <c:ptCount val="13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</c:numCache>
            </c:numRef>
          </c:cat>
          <c:val>
            <c:numRef>
              <c:f>Report!$C$89:$O$89</c:f>
              <c:numCache>
                <c:formatCode>0.00%</c:formatCode>
                <c:ptCount val="13"/>
                <c:pt idx="0">
                  <c:v>2.5000000000000001E-2</c:v>
                </c:pt>
                <c:pt idx="1">
                  <c:v>2.5000000000000001E-2</c:v>
                </c:pt>
                <c:pt idx="2">
                  <c:v>3.0000000000000002E-2</c:v>
                </c:pt>
                <c:pt idx="3">
                  <c:v>3.0000000000000002E-2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184256"/>
        <c:axId val="233860096"/>
      </c:barChart>
      <c:catAx>
        <c:axId val="233184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</a:t>
                </a:r>
                <a:r>
                  <a:rPr lang="en-US" baseline="0"/>
                  <a:t> Mortgage Rate</a:t>
                </a:r>
                <a:endParaRPr lang="en-US"/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233860096"/>
        <c:crosses val="autoZero"/>
        <c:auto val="1"/>
        <c:lblAlgn val="ctr"/>
        <c:lblOffset val="100"/>
        <c:noMultiLvlLbl val="0"/>
      </c:catAx>
      <c:valAx>
        <c:axId val="233860096"/>
        <c:scaling>
          <c:orientation val="minMax"/>
          <c:max val="4.0000000000000008E-2"/>
          <c:min val="2.0000000000000004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Coupon</a:t>
                </a:r>
                <a:endParaRPr lang="en-US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233184256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111435</xdr:colOff>
      <xdr:row>33</xdr:row>
      <xdr:rowOff>134471</xdr:rowOff>
    </xdr:from>
    <xdr:to>
      <xdr:col>23</xdr:col>
      <xdr:colOff>593912</xdr:colOff>
      <xdr:row>63</xdr:row>
      <xdr:rowOff>72214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89023</xdr:colOff>
      <xdr:row>65</xdr:row>
      <xdr:rowOff>35052</xdr:rowOff>
    </xdr:from>
    <xdr:to>
      <xdr:col>23</xdr:col>
      <xdr:colOff>582705</xdr:colOff>
      <xdr:row>88</xdr:row>
      <xdr:rowOff>100855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1053354</xdr:colOff>
      <xdr:row>3</xdr:row>
      <xdr:rowOff>169022</xdr:rowOff>
    </xdr:from>
    <xdr:to>
      <xdr:col>18</xdr:col>
      <xdr:colOff>1580030</xdr:colOff>
      <xdr:row>5</xdr:row>
      <xdr:rowOff>112993</xdr:rowOff>
    </xdr:to>
    <xdr:sp macro="[0]!RunBestExecutionDailyReport" textlink="">
      <xdr:nvSpPr>
        <xdr:cNvPr id="6" name="Rounded Rectangle 5"/>
        <xdr:cNvSpPr/>
      </xdr:nvSpPr>
      <xdr:spPr>
        <a:xfrm>
          <a:off x="16690229" y="740522"/>
          <a:ext cx="1590301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Agency" backgroundRefresh="0" adjustColumnWidth="0" connectionId="1" autoFormatId="16" applyNumberFormats="0" applyBorderFormats="0" applyFontFormats="0" applyPatternFormats="0" applyAlignmentFormats="0" applyWidthHeightFormats="0">
  <queryTableRefresh nextId="59">
    <queryTableFields count="4">
      <queryTableField id="45" name="TickerName" tableColumnId="4"/>
      <queryTableField id="46" name="SeriesType" tableColumnId="5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6" backgroundRefresh="0" adjustColumnWidth="0" connectionId="2" autoFormatId="16" applyNumberFormats="0" applyBorderFormats="0" applyFontFormats="0" applyPatternFormats="0" applyAlignmentFormats="0" applyWidthHeightFormats="0">
  <queryTableRefresh nextId="65">
    <queryTableFields count="4">
      <queryTableField id="45" name="TickerName" tableColumnId="4"/>
      <queryTableField id="51" name="AsOfDate" tableColumnId="10"/>
      <queryTableField id="60" name="SeriesType" tableColumnId="6"/>
      <queryTableField id="64" name="SeriesCharValu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urrentMtgRatesDataTable" displayName="CurrentMtgRatesDataTable" ref="A4:D61" tableType="queryTable" totalsRowShown="0" headerRowDxfId="11" dataDxfId="10">
  <tableColumns count="4">
    <tableColumn id="4" uniqueName="4" name="TickerName" queryTableFieldId="45" dataDxfId="9" dataCellStyle="Normal 2 7"/>
    <tableColumn id="5" uniqueName="5" name="SeriesType" queryTableFieldId="46" dataDxfId="8" dataCellStyle="Normal 2 7"/>
    <tableColumn id="10" uniqueName="10" name="AsOfDate" queryTableFieldId="51" dataDxfId="7" dataCellStyle="Normal 2 7"/>
    <tableColumn id="11" uniqueName="11" name="SeriesNumValue" queryTableFieldId="52" dataDxfId="6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F4:I48" tableType="queryTable" totalsRowShown="0" headerRowDxfId="5" dataDxfId="4">
  <tableColumns count="4">
    <tableColumn id="4" uniqueName="4" name="TickerName" queryTableFieldId="45" dataDxfId="3" dataCellStyle="Normal 2 7"/>
    <tableColumn id="10" uniqueName="10" name="AsOfDate" queryTableFieldId="51" dataDxfId="2" dataCellStyle="Normal 2 7"/>
    <tableColumn id="6" uniqueName="6" name="SeriesType" queryTableFieldId="60" dataDxfId="1" dataCellStyle="Normal 2 7"/>
    <tableColumn id="11" uniqueName="11" name="SeriesCharValue" queryTableFieldId="64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B1:U89"/>
  <sheetViews>
    <sheetView tabSelected="1" zoomScale="85" zoomScaleNormal="85" workbookViewId="0">
      <selection activeCell="G29" sqref="G29"/>
    </sheetView>
  </sheetViews>
  <sheetFormatPr defaultRowHeight="15"/>
  <cols>
    <col min="1" max="1" width="9.140625" style="34"/>
    <col min="2" max="2" width="22.140625" style="34" customWidth="1"/>
    <col min="3" max="15" width="12.140625" style="34" bestFit="1" customWidth="1"/>
    <col min="16" max="16" width="31.7109375" style="34" bestFit="1" customWidth="1"/>
    <col min="17" max="17" width="9.140625" style="34"/>
    <col min="18" max="18" width="16" style="34" bestFit="1" customWidth="1"/>
    <col min="19" max="19" width="24.140625" style="34" customWidth="1"/>
    <col min="20" max="20" width="15.7109375" style="34" bestFit="1" customWidth="1"/>
    <col min="21" max="16384" width="9.140625" style="34"/>
  </cols>
  <sheetData>
    <row r="1" spans="18:21">
      <c r="R1" s="35" t="s">
        <v>8</v>
      </c>
      <c r="S1" s="36" t="s">
        <v>9</v>
      </c>
      <c r="T1" s="34" t="s">
        <v>10</v>
      </c>
      <c r="U1" s="36" t="s">
        <v>13</v>
      </c>
    </row>
    <row r="2" spans="18:21">
      <c r="R2" s="35" t="s">
        <v>11</v>
      </c>
      <c r="S2" s="37">
        <v>42180</v>
      </c>
    </row>
    <row r="3" spans="18:21">
      <c r="R3" s="35" t="s">
        <v>12</v>
      </c>
      <c r="S3" s="38" t="str">
        <f>"S:\Users\Lien\Daily Report\2.Servicer Best Execution\Servicer Execution Report " &amp; TEXT(CurrentCloseDate, "yyyy-mm-dd") &amp; ".pdf"</f>
        <v>S:\Users\Lien\Daily Report\2.Servicer Best Execution\Servicer Execution Report 2015-06-25.pdf</v>
      </c>
    </row>
    <row r="23" spans="2:8" ht="15.75" thickBot="1"/>
    <row r="24" spans="2:8">
      <c r="B24" s="6" t="s">
        <v>0</v>
      </c>
      <c r="C24" s="3">
        <v>2.5000000000000001E-2</v>
      </c>
      <c r="D24" s="3">
        <f>C24+0.5%</f>
        <v>3.0000000000000002E-2</v>
      </c>
      <c r="E24" s="3">
        <f t="shared" ref="E24:F24" si="0">D24+0.5%</f>
        <v>3.5000000000000003E-2</v>
      </c>
      <c r="F24" s="4">
        <f t="shared" si="0"/>
        <v>0.04</v>
      </c>
      <c r="H24" s="26" t="s">
        <v>41</v>
      </c>
    </row>
    <row r="25" spans="2:8" ht="15.75" thickBot="1">
      <c r="B25" s="7" t="s">
        <v>33</v>
      </c>
      <c r="C25" s="39">
        <f>VLOOKUP("FNMA"&amp;TEXT(C24*100,"0.0")&amp;"-TBA-"&amp;$H$25,'Time Series Query'!$P:$R,2,0)</f>
        <v>95.304687999999999</v>
      </c>
      <c r="D25" s="39">
        <f>VLOOKUP("FNMA"&amp;TEXT(D24*100,"0.0")&amp;"-TBA-"&amp;$H$25,'Time Series Query'!$P:$R,2,0)</f>
        <v>98.953125</v>
      </c>
      <c r="E25" s="39">
        <f>VLOOKUP("FNMA"&amp;TEXT(E24*100,"0.0")&amp;"-TBA-"&amp;$H$25,'Time Series Query'!$P:$R,2,0)</f>
        <v>102.503906</v>
      </c>
      <c r="F25" s="40">
        <f>VLOOKUP("FNMA"&amp;TEXT(F24*100,"0.0")&amp;"-TBA-"&amp;$H$25,'Time Series Query'!$P:$R,2,0)</f>
        <v>105.535156</v>
      </c>
      <c r="H25" s="41" t="str">
        <f>IF(COUNTA('Time Series Query'!R5:R48),INDEX('Time Series Query'!R5:R48,MATCH(TRUE,INDEX('Time Series Query'!R5:R48&lt;&gt;"",0),0)),"")</f>
        <v>Aug</v>
      </c>
    </row>
    <row r="26" spans="2:8" ht="15.75" thickBot="1">
      <c r="B26" s="8" t="s">
        <v>7</v>
      </c>
      <c r="C26" s="42"/>
      <c r="D26" s="43">
        <f>D25-C25</f>
        <v>3.6484370000000013</v>
      </c>
      <c r="E26" s="43">
        <f>E25-D25</f>
        <v>3.5507810000000006</v>
      </c>
      <c r="F26" s="44">
        <f>F25-E25</f>
        <v>3.03125</v>
      </c>
    </row>
    <row r="27" spans="2:8">
      <c r="B27" s="9" t="s">
        <v>1</v>
      </c>
      <c r="C27" s="45">
        <v>4.7999999999999996E-3</v>
      </c>
    </row>
    <row r="28" spans="2:8">
      <c r="B28" s="7" t="s">
        <v>53</v>
      </c>
      <c r="C28" s="46">
        <v>2.5000000000000001E-3</v>
      </c>
    </row>
    <row r="29" spans="2:8">
      <c r="B29" s="7" t="s">
        <v>65</v>
      </c>
      <c r="C29" s="46">
        <v>3.7499999999999999E-3</v>
      </c>
    </row>
    <row r="30" spans="2:8">
      <c r="B30" s="7" t="s">
        <v>63</v>
      </c>
      <c r="C30" s="29">
        <v>7.7</v>
      </c>
    </row>
    <row r="31" spans="2:8">
      <c r="B31" s="7" t="s">
        <v>64</v>
      </c>
      <c r="C31" s="29">
        <v>5</v>
      </c>
      <c r="H31" s="47"/>
    </row>
    <row r="32" spans="2:8" ht="15.75" thickBot="1">
      <c r="B32" s="8" t="s">
        <v>66</v>
      </c>
      <c r="C32" s="30">
        <v>4</v>
      </c>
    </row>
    <row r="34" spans="2:16" ht="15.75" thickBot="1"/>
    <row r="35" spans="2:16">
      <c r="B35" s="2" t="s">
        <v>2</v>
      </c>
      <c r="C35" s="10">
        <v>0.03</v>
      </c>
      <c r="D35" s="3">
        <f>C35+0.25%</f>
        <v>3.2500000000000001E-2</v>
      </c>
      <c r="E35" s="3">
        <f t="shared" ref="E35:O35" si="1">D35+0.25%</f>
        <v>3.5000000000000003E-2</v>
      </c>
      <c r="F35" s="3">
        <f t="shared" si="1"/>
        <v>3.7500000000000006E-2</v>
      </c>
      <c r="G35" s="3">
        <f t="shared" si="1"/>
        <v>4.0000000000000008E-2</v>
      </c>
      <c r="H35" s="3">
        <f t="shared" si="1"/>
        <v>4.250000000000001E-2</v>
      </c>
      <c r="I35" s="3">
        <f t="shared" si="1"/>
        <v>4.5000000000000012E-2</v>
      </c>
      <c r="J35" s="3">
        <f t="shared" si="1"/>
        <v>4.7500000000000014E-2</v>
      </c>
      <c r="K35" s="3">
        <f t="shared" si="1"/>
        <v>5.0000000000000017E-2</v>
      </c>
      <c r="L35" s="3">
        <f t="shared" si="1"/>
        <v>5.2500000000000019E-2</v>
      </c>
      <c r="M35" s="3">
        <f t="shared" si="1"/>
        <v>5.5000000000000021E-2</v>
      </c>
      <c r="N35" s="3">
        <f t="shared" si="1"/>
        <v>5.7500000000000023E-2</v>
      </c>
      <c r="O35" s="3">
        <f t="shared" si="1"/>
        <v>6.0000000000000026E-2</v>
      </c>
      <c r="P35" s="31" t="s">
        <v>55</v>
      </c>
    </row>
    <row r="36" spans="2:16">
      <c r="B36" s="48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50"/>
    </row>
    <row r="37" spans="2:16">
      <c r="B37" s="51" t="s">
        <v>0</v>
      </c>
      <c r="C37" s="52">
        <f t="shared" ref="C37:O37" si="2">$C$24</f>
        <v>2.5000000000000001E-2</v>
      </c>
      <c r="D37" s="52">
        <f t="shared" si="2"/>
        <v>2.5000000000000001E-2</v>
      </c>
      <c r="E37" s="52">
        <f t="shared" si="2"/>
        <v>2.5000000000000001E-2</v>
      </c>
      <c r="F37" s="52">
        <f t="shared" si="2"/>
        <v>2.5000000000000001E-2</v>
      </c>
      <c r="G37" s="52">
        <f t="shared" si="2"/>
        <v>2.5000000000000001E-2</v>
      </c>
      <c r="H37" s="52">
        <f t="shared" si="2"/>
        <v>2.5000000000000001E-2</v>
      </c>
      <c r="I37" s="52">
        <f t="shared" si="2"/>
        <v>2.5000000000000001E-2</v>
      </c>
      <c r="J37" s="52">
        <f t="shared" si="2"/>
        <v>2.5000000000000001E-2</v>
      </c>
      <c r="K37" s="52">
        <f t="shared" si="2"/>
        <v>2.5000000000000001E-2</v>
      </c>
      <c r="L37" s="52">
        <f t="shared" si="2"/>
        <v>2.5000000000000001E-2</v>
      </c>
      <c r="M37" s="52">
        <f t="shared" si="2"/>
        <v>2.5000000000000001E-2</v>
      </c>
      <c r="N37" s="52">
        <f t="shared" si="2"/>
        <v>2.5000000000000001E-2</v>
      </c>
      <c r="O37" s="52">
        <f t="shared" si="2"/>
        <v>2.5000000000000001E-2</v>
      </c>
      <c r="P37" s="53" t="s">
        <v>56</v>
      </c>
    </row>
    <row r="38" spans="2:16" ht="18" customHeight="1">
      <c r="B38" s="48" t="s">
        <v>3</v>
      </c>
      <c r="C38" s="54">
        <f t="shared" ref="C38:O38" si="3">$C$27</f>
        <v>4.7999999999999996E-3</v>
      </c>
      <c r="D38" s="54">
        <f t="shared" si="3"/>
        <v>4.7999999999999996E-3</v>
      </c>
      <c r="E38" s="54">
        <f t="shared" si="3"/>
        <v>4.7999999999999996E-3</v>
      </c>
      <c r="F38" s="54">
        <f t="shared" si="3"/>
        <v>4.7999999999999996E-3</v>
      </c>
      <c r="G38" s="54">
        <f t="shared" si="3"/>
        <v>4.7999999999999996E-3</v>
      </c>
      <c r="H38" s="54">
        <f t="shared" si="3"/>
        <v>4.7999999999999996E-3</v>
      </c>
      <c r="I38" s="54">
        <f t="shared" si="3"/>
        <v>4.7999999999999996E-3</v>
      </c>
      <c r="J38" s="54">
        <f t="shared" si="3"/>
        <v>4.7999999999999996E-3</v>
      </c>
      <c r="K38" s="54">
        <f t="shared" si="3"/>
        <v>4.7999999999999996E-3</v>
      </c>
      <c r="L38" s="54">
        <f t="shared" si="3"/>
        <v>4.7999999999999996E-3</v>
      </c>
      <c r="M38" s="54">
        <f t="shared" si="3"/>
        <v>4.7999999999999996E-3</v>
      </c>
      <c r="N38" s="54">
        <f t="shared" si="3"/>
        <v>4.7999999999999996E-3</v>
      </c>
      <c r="O38" s="54">
        <f t="shared" si="3"/>
        <v>4.7999999999999996E-3</v>
      </c>
      <c r="P38" s="55" t="s">
        <v>57</v>
      </c>
    </row>
    <row r="39" spans="2:16" ht="18" customHeight="1">
      <c r="B39" s="56" t="s">
        <v>53</v>
      </c>
      <c r="C39" s="57">
        <f t="shared" ref="C39:O39" si="4">$C$28</f>
        <v>2.5000000000000001E-3</v>
      </c>
      <c r="D39" s="57">
        <f t="shared" si="4"/>
        <v>2.5000000000000001E-3</v>
      </c>
      <c r="E39" s="57">
        <f t="shared" si="4"/>
        <v>2.5000000000000001E-3</v>
      </c>
      <c r="F39" s="57">
        <f t="shared" si="4"/>
        <v>2.5000000000000001E-3</v>
      </c>
      <c r="G39" s="57">
        <f t="shared" si="4"/>
        <v>2.5000000000000001E-3</v>
      </c>
      <c r="H39" s="57">
        <f t="shared" si="4"/>
        <v>2.5000000000000001E-3</v>
      </c>
      <c r="I39" s="57">
        <f t="shared" si="4"/>
        <v>2.5000000000000001E-3</v>
      </c>
      <c r="J39" s="57">
        <f t="shared" si="4"/>
        <v>2.5000000000000001E-3</v>
      </c>
      <c r="K39" s="57">
        <f t="shared" si="4"/>
        <v>2.5000000000000001E-3</v>
      </c>
      <c r="L39" s="57">
        <f t="shared" si="4"/>
        <v>2.5000000000000001E-3</v>
      </c>
      <c r="M39" s="57">
        <f t="shared" si="4"/>
        <v>2.5000000000000001E-3</v>
      </c>
      <c r="N39" s="57">
        <f t="shared" si="4"/>
        <v>2.5000000000000001E-3</v>
      </c>
      <c r="O39" s="57">
        <f t="shared" si="4"/>
        <v>2.5000000000000001E-3</v>
      </c>
      <c r="P39" s="58" t="s">
        <v>58</v>
      </c>
    </row>
    <row r="40" spans="2:16" ht="18" customHeight="1">
      <c r="B40" s="48" t="s">
        <v>67</v>
      </c>
      <c r="C40" s="54">
        <f>IF((C35-C37-C38-C39)&lt;0,0,C35-C37-C38-C39)</f>
        <v>0</v>
      </c>
      <c r="D40" s="54">
        <f t="shared" ref="D40:O40" si="5">IF((D35-D37-D38-D39)&lt;0,0,D35-D37-D38-D39)</f>
        <v>2.0000000000000009E-4</v>
      </c>
      <c r="E40" s="54">
        <f t="shared" si="5"/>
        <v>2.7000000000000023E-3</v>
      </c>
      <c r="F40" s="54">
        <f t="shared" si="5"/>
        <v>5.200000000000005E-3</v>
      </c>
      <c r="G40" s="54">
        <f t="shared" si="5"/>
        <v>7.7000000000000072E-3</v>
      </c>
      <c r="H40" s="54">
        <f t="shared" si="5"/>
        <v>1.0200000000000009E-2</v>
      </c>
      <c r="I40" s="54">
        <f t="shared" si="5"/>
        <v>1.2700000000000012E-2</v>
      </c>
      <c r="J40" s="54">
        <f t="shared" si="5"/>
        <v>1.5200000000000014E-2</v>
      </c>
      <c r="K40" s="54">
        <f t="shared" si="5"/>
        <v>1.7700000000000018E-2</v>
      </c>
      <c r="L40" s="54">
        <f t="shared" si="5"/>
        <v>2.020000000000002E-2</v>
      </c>
      <c r="M40" s="54">
        <f t="shared" si="5"/>
        <v>2.2700000000000022E-2</v>
      </c>
      <c r="N40" s="54">
        <f t="shared" si="5"/>
        <v>2.5200000000000024E-2</v>
      </c>
      <c r="O40" s="54">
        <f t="shared" si="5"/>
        <v>2.7700000000000027E-2</v>
      </c>
      <c r="P40" s="55" t="s">
        <v>59</v>
      </c>
    </row>
    <row r="41" spans="2:16" ht="18" customHeight="1">
      <c r="B41" s="56" t="s">
        <v>4</v>
      </c>
      <c r="C41" s="1">
        <f>IF((C35-C37-C39-C38)&gt;0,0,C35-C37-C38-C39)</f>
        <v>-2.3000000000000021E-3</v>
      </c>
      <c r="D41" s="1">
        <f t="shared" ref="D41:O41" si="6">IF((D35-D37-D39-D38)&gt;0,0,D35-D37-D38-D39)</f>
        <v>0</v>
      </c>
      <c r="E41" s="1">
        <f t="shared" si="6"/>
        <v>0</v>
      </c>
      <c r="F41" s="1">
        <f t="shared" si="6"/>
        <v>0</v>
      </c>
      <c r="G41" s="1">
        <f t="shared" si="6"/>
        <v>0</v>
      </c>
      <c r="H41" s="1">
        <f t="shared" si="6"/>
        <v>0</v>
      </c>
      <c r="I41" s="1">
        <f t="shared" si="6"/>
        <v>0</v>
      </c>
      <c r="J41" s="1">
        <f t="shared" si="6"/>
        <v>0</v>
      </c>
      <c r="K41" s="1">
        <f t="shared" si="6"/>
        <v>0</v>
      </c>
      <c r="L41" s="1">
        <f t="shared" si="6"/>
        <v>0</v>
      </c>
      <c r="M41" s="1">
        <f t="shared" si="6"/>
        <v>0</v>
      </c>
      <c r="N41" s="1">
        <f t="shared" si="6"/>
        <v>0</v>
      </c>
      <c r="O41" s="1">
        <f t="shared" si="6"/>
        <v>0</v>
      </c>
      <c r="P41" s="32" t="s">
        <v>60</v>
      </c>
    </row>
    <row r="42" spans="2:16" ht="18" customHeight="1">
      <c r="B42" s="59" t="s">
        <v>5</v>
      </c>
      <c r="C42" s="60">
        <f t="shared" ref="C42:O42" si="7">$C$25</f>
        <v>95.304687999999999</v>
      </c>
      <c r="D42" s="60">
        <f t="shared" si="7"/>
        <v>95.304687999999999</v>
      </c>
      <c r="E42" s="60">
        <f t="shared" si="7"/>
        <v>95.304687999999999</v>
      </c>
      <c r="F42" s="60">
        <f t="shared" si="7"/>
        <v>95.304687999999999</v>
      </c>
      <c r="G42" s="60">
        <f t="shared" si="7"/>
        <v>95.304687999999999</v>
      </c>
      <c r="H42" s="60">
        <f t="shared" si="7"/>
        <v>95.304687999999999</v>
      </c>
      <c r="I42" s="60">
        <f t="shared" si="7"/>
        <v>95.304687999999999</v>
      </c>
      <c r="J42" s="60">
        <f t="shared" si="7"/>
        <v>95.304687999999999</v>
      </c>
      <c r="K42" s="60">
        <f t="shared" si="7"/>
        <v>95.304687999999999</v>
      </c>
      <c r="L42" s="60">
        <f t="shared" si="7"/>
        <v>95.304687999999999</v>
      </c>
      <c r="M42" s="60">
        <f t="shared" si="7"/>
        <v>95.304687999999999</v>
      </c>
      <c r="N42" s="60">
        <f t="shared" si="7"/>
        <v>95.304687999999999</v>
      </c>
      <c r="O42" s="60">
        <f t="shared" si="7"/>
        <v>95.304687999999999</v>
      </c>
      <c r="P42" s="55" t="s">
        <v>61</v>
      </c>
    </row>
    <row r="43" spans="2:16" ht="18" customHeight="1">
      <c r="B43" s="59" t="s">
        <v>54</v>
      </c>
      <c r="C43" s="60">
        <f t="shared" ref="C43:O43" si="8">100*C39*$C$31</f>
        <v>1.25</v>
      </c>
      <c r="D43" s="60">
        <f t="shared" si="8"/>
        <v>1.25</v>
      </c>
      <c r="E43" s="60">
        <f t="shared" si="8"/>
        <v>1.25</v>
      </c>
      <c r="F43" s="60">
        <f t="shared" si="8"/>
        <v>1.25</v>
      </c>
      <c r="G43" s="60">
        <f t="shared" si="8"/>
        <v>1.25</v>
      </c>
      <c r="H43" s="60">
        <f t="shared" si="8"/>
        <v>1.25</v>
      </c>
      <c r="I43" s="60">
        <f t="shared" si="8"/>
        <v>1.25</v>
      </c>
      <c r="J43" s="60">
        <f t="shared" si="8"/>
        <v>1.25</v>
      </c>
      <c r="K43" s="60">
        <f t="shared" si="8"/>
        <v>1.25</v>
      </c>
      <c r="L43" s="60">
        <f t="shared" si="8"/>
        <v>1.25</v>
      </c>
      <c r="M43" s="60">
        <f t="shared" si="8"/>
        <v>1.25</v>
      </c>
      <c r="N43" s="60">
        <f t="shared" si="8"/>
        <v>1.25</v>
      </c>
      <c r="O43" s="60">
        <f t="shared" si="8"/>
        <v>1.25</v>
      </c>
      <c r="P43" s="61" t="str">
        <f>"(8) = (4) × "&amp;TEXT($C$31,"0.0")</f>
        <v>(8) = (4) × 5.0</v>
      </c>
    </row>
    <row r="44" spans="2:16">
      <c r="B44" s="59" t="s">
        <v>68</v>
      </c>
      <c r="C44" s="60">
        <f t="shared" ref="C44:O44" si="9">100*(C40*$C$32 +C41*$C$30)</f>
        <v>-1.7710000000000017</v>
      </c>
      <c r="D44" s="60">
        <f t="shared" si="9"/>
        <v>8.0000000000000043E-2</v>
      </c>
      <c r="E44" s="60">
        <f t="shared" si="9"/>
        <v>1.080000000000001</v>
      </c>
      <c r="F44" s="60">
        <f t="shared" si="9"/>
        <v>2.0800000000000018</v>
      </c>
      <c r="G44" s="60">
        <f t="shared" si="9"/>
        <v>3.0800000000000027</v>
      </c>
      <c r="H44" s="60">
        <f t="shared" si="9"/>
        <v>4.0800000000000036</v>
      </c>
      <c r="I44" s="60">
        <f t="shared" si="9"/>
        <v>5.0800000000000045</v>
      </c>
      <c r="J44" s="60">
        <f t="shared" si="9"/>
        <v>6.0800000000000054</v>
      </c>
      <c r="K44" s="60">
        <f t="shared" si="9"/>
        <v>7.0800000000000072</v>
      </c>
      <c r="L44" s="60">
        <f t="shared" si="9"/>
        <v>8.0800000000000072</v>
      </c>
      <c r="M44" s="60">
        <f t="shared" si="9"/>
        <v>9.080000000000009</v>
      </c>
      <c r="N44" s="60">
        <f t="shared" si="9"/>
        <v>10.080000000000009</v>
      </c>
      <c r="O44" s="60">
        <f t="shared" si="9"/>
        <v>11.080000000000011</v>
      </c>
      <c r="P44" s="61" t="str">
        <f>"(9) = (5) × "&amp;TEXT($C$32,"0.0") &amp;" + (5) × "&amp;TEXT($C$30,"0.0")</f>
        <v>(9) = (5) × 4.0 + (5) × 7.7</v>
      </c>
    </row>
    <row r="45" spans="2:16" ht="15.75" thickBot="1">
      <c r="B45" s="62" t="str">
        <f>"Execution Price ("&amp;TEXT(C37,"0.0%")&amp;")"</f>
        <v>Execution Price (2.5%)</v>
      </c>
      <c r="C45" s="63">
        <f>IF(C40&gt;$C$29," ",SUM(C42:C44))</f>
        <v>94.783687999999998</v>
      </c>
      <c r="D45" s="63">
        <f t="shared" ref="D45:O45" si="10">IF(D40&gt;$C$29,"NA",SUM(D42:D44))</f>
        <v>96.634687999999997</v>
      </c>
      <c r="E45" s="63">
        <f t="shared" si="10"/>
        <v>97.634687999999997</v>
      </c>
      <c r="F45" s="63" t="str">
        <f t="shared" si="10"/>
        <v>NA</v>
      </c>
      <c r="G45" s="63" t="str">
        <f t="shared" si="10"/>
        <v>NA</v>
      </c>
      <c r="H45" s="63" t="str">
        <f t="shared" si="10"/>
        <v>NA</v>
      </c>
      <c r="I45" s="63" t="str">
        <f t="shared" si="10"/>
        <v>NA</v>
      </c>
      <c r="J45" s="63" t="str">
        <f t="shared" si="10"/>
        <v>NA</v>
      </c>
      <c r="K45" s="63" t="str">
        <f t="shared" si="10"/>
        <v>NA</v>
      </c>
      <c r="L45" s="63" t="str">
        <f t="shared" si="10"/>
        <v>NA</v>
      </c>
      <c r="M45" s="63" t="str">
        <f t="shared" si="10"/>
        <v>NA</v>
      </c>
      <c r="N45" s="63" t="str">
        <f t="shared" si="10"/>
        <v>NA</v>
      </c>
      <c r="O45" s="63" t="str">
        <f t="shared" si="10"/>
        <v>NA</v>
      </c>
      <c r="P45" s="64" t="str">
        <f>"(10) = (7) + (8) + (9), if (5) &lt; "&amp;TEXT($C$29,"0.000%")</f>
        <v>(10) = (7) + (8) + (9), if (5) &lt; 0.375%</v>
      </c>
    </row>
    <row r="47" spans="2:16" ht="15.75" thickBot="1"/>
    <row r="48" spans="2:16" ht="18" customHeight="1">
      <c r="B48" s="2" t="s">
        <v>2</v>
      </c>
      <c r="C48" s="3">
        <f>C35</f>
        <v>0.03</v>
      </c>
      <c r="D48" s="3">
        <f t="shared" ref="D48:O48" si="11">D35</f>
        <v>3.2500000000000001E-2</v>
      </c>
      <c r="E48" s="3">
        <f t="shared" si="11"/>
        <v>3.5000000000000003E-2</v>
      </c>
      <c r="F48" s="3">
        <f t="shared" si="11"/>
        <v>3.7500000000000006E-2</v>
      </c>
      <c r="G48" s="3">
        <f t="shared" si="11"/>
        <v>4.0000000000000008E-2</v>
      </c>
      <c r="H48" s="3">
        <f t="shared" si="11"/>
        <v>4.250000000000001E-2</v>
      </c>
      <c r="I48" s="3">
        <f t="shared" si="11"/>
        <v>4.5000000000000012E-2</v>
      </c>
      <c r="J48" s="3">
        <f t="shared" si="11"/>
        <v>4.7500000000000014E-2</v>
      </c>
      <c r="K48" s="3">
        <f t="shared" si="11"/>
        <v>5.0000000000000017E-2</v>
      </c>
      <c r="L48" s="3">
        <f t="shared" si="11"/>
        <v>5.2500000000000019E-2</v>
      </c>
      <c r="M48" s="3">
        <f t="shared" si="11"/>
        <v>5.5000000000000021E-2</v>
      </c>
      <c r="N48" s="3">
        <f t="shared" si="11"/>
        <v>5.7500000000000023E-2</v>
      </c>
      <c r="O48" s="3">
        <f t="shared" si="11"/>
        <v>6.0000000000000026E-2</v>
      </c>
      <c r="P48" s="31" t="str">
        <f>$P$35</f>
        <v>(1)</v>
      </c>
    </row>
    <row r="49" spans="2:16" ht="18" customHeight="1">
      <c r="B49" s="48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50"/>
    </row>
    <row r="50" spans="2:16" ht="18" customHeight="1">
      <c r="B50" s="51" t="s">
        <v>0</v>
      </c>
      <c r="C50" s="52">
        <f t="shared" ref="C50:O50" si="12">$D$24</f>
        <v>3.0000000000000002E-2</v>
      </c>
      <c r="D50" s="52">
        <f t="shared" si="12"/>
        <v>3.0000000000000002E-2</v>
      </c>
      <c r="E50" s="52">
        <f t="shared" si="12"/>
        <v>3.0000000000000002E-2</v>
      </c>
      <c r="F50" s="52">
        <f t="shared" si="12"/>
        <v>3.0000000000000002E-2</v>
      </c>
      <c r="G50" s="52">
        <f t="shared" si="12"/>
        <v>3.0000000000000002E-2</v>
      </c>
      <c r="H50" s="52">
        <f t="shared" si="12"/>
        <v>3.0000000000000002E-2</v>
      </c>
      <c r="I50" s="52">
        <f t="shared" si="12"/>
        <v>3.0000000000000002E-2</v>
      </c>
      <c r="J50" s="52">
        <f t="shared" si="12"/>
        <v>3.0000000000000002E-2</v>
      </c>
      <c r="K50" s="52">
        <f t="shared" si="12"/>
        <v>3.0000000000000002E-2</v>
      </c>
      <c r="L50" s="52">
        <f t="shared" si="12"/>
        <v>3.0000000000000002E-2</v>
      </c>
      <c r="M50" s="52">
        <f t="shared" si="12"/>
        <v>3.0000000000000002E-2</v>
      </c>
      <c r="N50" s="52">
        <f t="shared" si="12"/>
        <v>3.0000000000000002E-2</v>
      </c>
      <c r="O50" s="52">
        <f t="shared" si="12"/>
        <v>3.0000000000000002E-2</v>
      </c>
      <c r="P50" s="53" t="str">
        <f>$P$37</f>
        <v>(2)</v>
      </c>
    </row>
    <row r="51" spans="2:16">
      <c r="B51" s="48" t="s">
        <v>3</v>
      </c>
      <c r="C51" s="54">
        <f t="shared" ref="C51:O51" si="13">$C$27</f>
        <v>4.7999999999999996E-3</v>
      </c>
      <c r="D51" s="54">
        <f t="shared" si="13"/>
        <v>4.7999999999999996E-3</v>
      </c>
      <c r="E51" s="54">
        <f t="shared" si="13"/>
        <v>4.7999999999999996E-3</v>
      </c>
      <c r="F51" s="54">
        <f t="shared" si="13"/>
        <v>4.7999999999999996E-3</v>
      </c>
      <c r="G51" s="54">
        <f t="shared" si="13"/>
        <v>4.7999999999999996E-3</v>
      </c>
      <c r="H51" s="54">
        <f t="shared" si="13"/>
        <v>4.7999999999999996E-3</v>
      </c>
      <c r="I51" s="54">
        <f t="shared" si="13"/>
        <v>4.7999999999999996E-3</v>
      </c>
      <c r="J51" s="54">
        <f t="shared" si="13"/>
        <v>4.7999999999999996E-3</v>
      </c>
      <c r="K51" s="54">
        <f t="shared" si="13"/>
        <v>4.7999999999999996E-3</v>
      </c>
      <c r="L51" s="54">
        <f t="shared" si="13"/>
        <v>4.7999999999999996E-3</v>
      </c>
      <c r="M51" s="54">
        <f t="shared" si="13"/>
        <v>4.7999999999999996E-3</v>
      </c>
      <c r="N51" s="54">
        <f t="shared" si="13"/>
        <v>4.7999999999999996E-3</v>
      </c>
      <c r="O51" s="54">
        <f t="shared" si="13"/>
        <v>4.7999999999999996E-3</v>
      </c>
      <c r="P51" s="55" t="str">
        <f>$P$38</f>
        <v>(3)</v>
      </c>
    </row>
    <row r="52" spans="2:16">
      <c r="B52" s="56" t="s">
        <v>53</v>
      </c>
      <c r="C52" s="57">
        <f t="shared" ref="C52:O52" si="14">$C$28</f>
        <v>2.5000000000000001E-3</v>
      </c>
      <c r="D52" s="57">
        <f t="shared" si="14"/>
        <v>2.5000000000000001E-3</v>
      </c>
      <c r="E52" s="57">
        <f t="shared" si="14"/>
        <v>2.5000000000000001E-3</v>
      </c>
      <c r="F52" s="57">
        <f t="shared" si="14"/>
        <v>2.5000000000000001E-3</v>
      </c>
      <c r="G52" s="57">
        <f t="shared" si="14"/>
        <v>2.5000000000000001E-3</v>
      </c>
      <c r="H52" s="57">
        <f t="shared" si="14"/>
        <v>2.5000000000000001E-3</v>
      </c>
      <c r="I52" s="57">
        <f t="shared" si="14"/>
        <v>2.5000000000000001E-3</v>
      </c>
      <c r="J52" s="57">
        <f t="shared" si="14"/>
        <v>2.5000000000000001E-3</v>
      </c>
      <c r="K52" s="57">
        <f t="shared" si="14"/>
        <v>2.5000000000000001E-3</v>
      </c>
      <c r="L52" s="57">
        <f t="shared" si="14"/>
        <v>2.5000000000000001E-3</v>
      </c>
      <c r="M52" s="57">
        <f t="shared" si="14"/>
        <v>2.5000000000000001E-3</v>
      </c>
      <c r="N52" s="57">
        <f t="shared" si="14"/>
        <v>2.5000000000000001E-3</v>
      </c>
      <c r="O52" s="57">
        <f t="shared" si="14"/>
        <v>2.5000000000000001E-3</v>
      </c>
      <c r="P52" s="58" t="str">
        <f>$P$39</f>
        <v>(4)</v>
      </c>
    </row>
    <row r="53" spans="2:16">
      <c r="B53" s="48" t="s">
        <v>67</v>
      </c>
      <c r="C53" s="54">
        <f>IF((C48-C50-C51-C52)&lt;0,0,C48-C50-C51-C52)</f>
        <v>0</v>
      </c>
      <c r="D53" s="54">
        <f t="shared" ref="D53:O53" si="15">IF((D48-D50-D51-D52)&lt;0,0,D48-D50-D51-D52)</f>
        <v>0</v>
      </c>
      <c r="E53" s="54">
        <f t="shared" si="15"/>
        <v>0</v>
      </c>
      <c r="F53" s="54">
        <f t="shared" si="15"/>
        <v>2.0000000000000356E-4</v>
      </c>
      <c r="G53" s="54">
        <f t="shared" si="15"/>
        <v>2.7000000000000058E-3</v>
      </c>
      <c r="H53" s="54">
        <f t="shared" si="15"/>
        <v>5.2000000000000084E-3</v>
      </c>
      <c r="I53" s="54">
        <f t="shared" si="15"/>
        <v>7.7000000000000107E-3</v>
      </c>
      <c r="J53" s="54">
        <f t="shared" si="15"/>
        <v>1.0200000000000013E-2</v>
      </c>
      <c r="K53" s="54">
        <f t="shared" si="15"/>
        <v>1.2700000000000015E-2</v>
      </c>
      <c r="L53" s="54">
        <f t="shared" si="15"/>
        <v>1.5200000000000017E-2</v>
      </c>
      <c r="M53" s="54">
        <f t="shared" si="15"/>
        <v>1.7700000000000021E-2</v>
      </c>
      <c r="N53" s="54">
        <f t="shared" si="15"/>
        <v>2.0200000000000023E-2</v>
      </c>
      <c r="O53" s="54">
        <f t="shared" si="15"/>
        <v>2.2700000000000026E-2</v>
      </c>
      <c r="P53" s="55" t="str">
        <f>$P$40</f>
        <v>(5) = (1) - (2) - (3) - (4), if (5) &gt; 0</v>
      </c>
    </row>
    <row r="54" spans="2:16">
      <c r="B54" s="56" t="s">
        <v>4</v>
      </c>
      <c r="C54" s="1">
        <f>IF((C48-C50-C52-C51)&gt;0,0,C48-C50-C51-C52)</f>
        <v>-7.3000000000000027E-3</v>
      </c>
      <c r="D54" s="1">
        <f t="shared" ref="D54:O54" si="16">IF((D48-D50-D52-D51)&gt;0,0,D48-D50-D51-D52)</f>
        <v>-4.8000000000000004E-3</v>
      </c>
      <c r="E54" s="1">
        <f t="shared" si="16"/>
        <v>-2.2999999999999987E-3</v>
      </c>
      <c r="F54" s="1">
        <f t="shared" si="16"/>
        <v>0</v>
      </c>
      <c r="G54" s="1">
        <f t="shared" si="16"/>
        <v>0</v>
      </c>
      <c r="H54" s="1">
        <f t="shared" si="16"/>
        <v>0</v>
      </c>
      <c r="I54" s="1">
        <f t="shared" si="16"/>
        <v>0</v>
      </c>
      <c r="J54" s="1">
        <f t="shared" si="16"/>
        <v>0</v>
      </c>
      <c r="K54" s="1">
        <f t="shared" si="16"/>
        <v>0</v>
      </c>
      <c r="L54" s="1">
        <f t="shared" si="16"/>
        <v>0</v>
      </c>
      <c r="M54" s="1">
        <f t="shared" si="16"/>
        <v>0</v>
      </c>
      <c r="N54" s="1">
        <f t="shared" si="16"/>
        <v>0</v>
      </c>
      <c r="O54" s="1">
        <f t="shared" si="16"/>
        <v>0</v>
      </c>
      <c r="P54" s="32" t="str">
        <f>$P$41</f>
        <v>(6) = (1) - (2) - (3) - (4), if (6) &lt; 0</v>
      </c>
    </row>
    <row r="55" spans="2:16">
      <c r="B55" s="59" t="s">
        <v>5</v>
      </c>
      <c r="C55" s="60">
        <f t="shared" ref="C55:O55" si="17">$D$25</f>
        <v>98.953125</v>
      </c>
      <c r="D55" s="60">
        <f t="shared" si="17"/>
        <v>98.953125</v>
      </c>
      <c r="E55" s="60">
        <f t="shared" si="17"/>
        <v>98.953125</v>
      </c>
      <c r="F55" s="60">
        <f t="shared" si="17"/>
        <v>98.953125</v>
      </c>
      <c r="G55" s="60">
        <f t="shared" si="17"/>
        <v>98.953125</v>
      </c>
      <c r="H55" s="60">
        <f t="shared" si="17"/>
        <v>98.953125</v>
      </c>
      <c r="I55" s="60">
        <f t="shared" si="17"/>
        <v>98.953125</v>
      </c>
      <c r="J55" s="60">
        <f t="shared" si="17"/>
        <v>98.953125</v>
      </c>
      <c r="K55" s="60">
        <f t="shared" si="17"/>
        <v>98.953125</v>
      </c>
      <c r="L55" s="60">
        <f t="shared" si="17"/>
        <v>98.953125</v>
      </c>
      <c r="M55" s="60">
        <f t="shared" si="17"/>
        <v>98.953125</v>
      </c>
      <c r="N55" s="60">
        <f t="shared" si="17"/>
        <v>98.953125</v>
      </c>
      <c r="O55" s="60">
        <f t="shared" si="17"/>
        <v>98.953125</v>
      </c>
      <c r="P55" s="55" t="str">
        <f>$P$42</f>
        <v>(7)</v>
      </c>
    </row>
    <row r="56" spans="2:16">
      <c r="B56" s="59" t="s">
        <v>54</v>
      </c>
      <c r="C56" s="60">
        <f t="shared" ref="C56:O56" si="18">100*C52*$C$31</f>
        <v>1.25</v>
      </c>
      <c r="D56" s="60">
        <f t="shared" si="18"/>
        <v>1.25</v>
      </c>
      <c r="E56" s="60">
        <f t="shared" si="18"/>
        <v>1.25</v>
      </c>
      <c r="F56" s="60">
        <f t="shared" si="18"/>
        <v>1.25</v>
      </c>
      <c r="G56" s="60">
        <f t="shared" si="18"/>
        <v>1.25</v>
      </c>
      <c r="H56" s="60">
        <f t="shared" si="18"/>
        <v>1.25</v>
      </c>
      <c r="I56" s="60">
        <f t="shared" si="18"/>
        <v>1.25</v>
      </c>
      <c r="J56" s="60">
        <f t="shared" si="18"/>
        <v>1.25</v>
      </c>
      <c r="K56" s="60">
        <f t="shared" si="18"/>
        <v>1.25</v>
      </c>
      <c r="L56" s="60">
        <f t="shared" si="18"/>
        <v>1.25</v>
      </c>
      <c r="M56" s="60">
        <f t="shared" si="18"/>
        <v>1.25</v>
      </c>
      <c r="N56" s="60">
        <f t="shared" si="18"/>
        <v>1.25</v>
      </c>
      <c r="O56" s="60">
        <f t="shared" si="18"/>
        <v>1.25</v>
      </c>
      <c r="P56" s="61" t="str">
        <f>$P$43</f>
        <v>(8) = (4) × 5.0</v>
      </c>
    </row>
    <row r="57" spans="2:16">
      <c r="B57" s="59" t="s">
        <v>68</v>
      </c>
      <c r="C57" s="60">
        <f t="shared" ref="C57:O57" si="19">100*(C53*$C$32 +C54*$C$30)</f>
        <v>-5.6210000000000022</v>
      </c>
      <c r="D57" s="60">
        <f t="shared" si="19"/>
        <v>-3.6960000000000006</v>
      </c>
      <c r="E57" s="60">
        <f t="shared" si="19"/>
        <v>-1.770999999999999</v>
      </c>
      <c r="F57" s="60">
        <f t="shared" si="19"/>
        <v>8.0000000000001431E-2</v>
      </c>
      <c r="G57" s="60">
        <f t="shared" si="19"/>
        <v>1.0800000000000023</v>
      </c>
      <c r="H57" s="60">
        <f t="shared" si="19"/>
        <v>2.0800000000000032</v>
      </c>
      <c r="I57" s="60">
        <f t="shared" si="19"/>
        <v>3.0800000000000041</v>
      </c>
      <c r="J57" s="60">
        <f t="shared" si="19"/>
        <v>4.0800000000000054</v>
      </c>
      <c r="K57" s="60">
        <f t="shared" si="19"/>
        <v>5.0800000000000063</v>
      </c>
      <c r="L57" s="60">
        <f t="shared" si="19"/>
        <v>6.0800000000000072</v>
      </c>
      <c r="M57" s="60">
        <f t="shared" si="19"/>
        <v>7.080000000000009</v>
      </c>
      <c r="N57" s="60">
        <f t="shared" si="19"/>
        <v>8.080000000000009</v>
      </c>
      <c r="O57" s="60">
        <f t="shared" si="19"/>
        <v>9.0800000000000107</v>
      </c>
      <c r="P57" s="61" t="str">
        <f>$P$44</f>
        <v>(9) = (5) × 4.0 + (5) × 7.7</v>
      </c>
    </row>
    <row r="58" spans="2:16" ht="15.75" thickBot="1">
      <c r="B58" s="62" t="str">
        <f>"Execution Price ("&amp;TEXT(C50,"0.0%")&amp;")"</f>
        <v>Execution Price (3.0%)</v>
      </c>
      <c r="C58" s="63">
        <f t="shared" ref="C58:O58" si="20">IF(C53&gt;$C$29,"NA",SUM(C55:C57))</f>
        <v>94.582124999999991</v>
      </c>
      <c r="D58" s="63">
        <f t="shared" si="20"/>
        <v>96.507125000000002</v>
      </c>
      <c r="E58" s="63">
        <f t="shared" si="20"/>
        <v>98.432124999999999</v>
      </c>
      <c r="F58" s="63">
        <f t="shared" si="20"/>
        <v>100.283125</v>
      </c>
      <c r="G58" s="63">
        <f t="shared" si="20"/>
        <v>101.283125</v>
      </c>
      <c r="H58" s="63" t="str">
        <f t="shared" si="20"/>
        <v>NA</v>
      </c>
      <c r="I58" s="63" t="str">
        <f t="shared" si="20"/>
        <v>NA</v>
      </c>
      <c r="J58" s="63" t="str">
        <f t="shared" si="20"/>
        <v>NA</v>
      </c>
      <c r="K58" s="63" t="str">
        <f t="shared" si="20"/>
        <v>NA</v>
      </c>
      <c r="L58" s="63" t="str">
        <f t="shared" si="20"/>
        <v>NA</v>
      </c>
      <c r="M58" s="63" t="str">
        <f t="shared" si="20"/>
        <v>NA</v>
      </c>
      <c r="N58" s="63" t="str">
        <f t="shared" si="20"/>
        <v>NA</v>
      </c>
      <c r="O58" s="63" t="str">
        <f t="shared" si="20"/>
        <v>NA</v>
      </c>
      <c r="P58" s="64" t="str">
        <f>$P$45</f>
        <v>(10) = (7) + (8) + (9), if (5) &lt; 0.375%</v>
      </c>
    </row>
    <row r="60" spans="2:16" ht="15.75" thickBot="1"/>
    <row r="61" spans="2:16">
      <c r="B61" s="2" t="s">
        <v>2</v>
      </c>
      <c r="C61" s="3">
        <f>C48</f>
        <v>0.03</v>
      </c>
      <c r="D61" s="3">
        <f t="shared" ref="D61:O61" si="21">D48</f>
        <v>3.2500000000000001E-2</v>
      </c>
      <c r="E61" s="3">
        <f t="shared" si="21"/>
        <v>3.5000000000000003E-2</v>
      </c>
      <c r="F61" s="3">
        <f t="shared" si="21"/>
        <v>3.7500000000000006E-2</v>
      </c>
      <c r="G61" s="3">
        <f t="shared" si="21"/>
        <v>4.0000000000000008E-2</v>
      </c>
      <c r="H61" s="3">
        <f t="shared" si="21"/>
        <v>4.250000000000001E-2</v>
      </c>
      <c r="I61" s="3">
        <f t="shared" si="21"/>
        <v>4.5000000000000012E-2</v>
      </c>
      <c r="J61" s="3">
        <f t="shared" si="21"/>
        <v>4.7500000000000014E-2</v>
      </c>
      <c r="K61" s="3">
        <f t="shared" si="21"/>
        <v>5.0000000000000017E-2</v>
      </c>
      <c r="L61" s="3">
        <f t="shared" si="21"/>
        <v>5.2500000000000019E-2</v>
      </c>
      <c r="M61" s="3">
        <f t="shared" si="21"/>
        <v>5.5000000000000021E-2</v>
      </c>
      <c r="N61" s="3">
        <f t="shared" si="21"/>
        <v>5.7500000000000023E-2</v>
      </c>
      <c r="O61" s="3">
        <f t="shared" si="21"/>
        <v>6.0000000000000026E-2</v>
      </c>
      <c r="P61" s="31" t="str">
        <f>$P$35</f>
        <v>(1)</v>
      </c>
    </row>
    <row r="62" spans="2:16">
      <c r="B62" s="48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50"/>
    </row>
    <row r="63" spans="2:16">
      <c r="B63" s="51" t="s">
        <v>0</v>
      </c>
      <c r="C63" s="52">
        <f t="shared" ref="C63:O63" si="22">$E$24</f>
        <v>3.5000000000000003E-2</v>
      </c>
      <c r="D63" s="52">
        <f t="shared" si="22"/>
        <v>3.5000000000000003E-2</v>
      </c>
      <c r="E63" s="52">
        <f t="shared" si="22"/>
        <v>3.5000000000000003E-2</v>
      </c>
      <c r="F63" s="52">
        <f t="shared" si="22"/>
        <v>3.5000000000000003E-2</v>
      </c>
      <c r="G63" s="52">
        <f t="shared" si="22"/>
        <v>3.5000000000000003E-2</v>
      </c>
      <c r="H63" s="52">
        <f t="shared" si="22"/>
        <v>3.5000000000000003E-2</v>
      </c>
      <c r="I63" s="52">
        <f t="shared" si="22"/>
        <v>3.5000000000000003E-2</v>
      </c>
      <c r="J63" s="52">
        <f t="shared" si="22"/>
        <v>3.5000000000000003E-2</v>
      </c>
      <c r="K63" s="52">
        <f t="shared" si="22"/>
        <v>3.5000000000000003E-2</v>
      </c>
      <c r="L63" s="52">
        <f t="shared" si="22"/>
        <v>3.5000000000000003E-2</v>
      </c>
      <c r="M63" s="52">
        <f t="shared" si="22"/>
        <v>3.5000000000000003E-2</v>
      </c>
      <c r="N63" s="52">
        <f t="shared" si="22"/>
        <v>3.5000000000000003E-2</v>
      </c>
      <c r="O63" s="52">
        <f t="shared" si="22"/>
        <v>3.5000000000000003E-2</v>
      </c>
      <c r="P63" s="53" t="str">
        <f>$P$37</f>
        <v>(2)</v>
      </c>
    </row>
    <row r="64" spans="2:16">
      <c r="B64" s="48" t="s">
        <v>3</v>
      </c>
      <c r="C64" s="54">
        <f t="shared" ref="C64:O64" si="23">$C$27</f>
        <v>4.7999999999999996E-3</v>
      </c>
      <c r="D64" s="54">
        <f t="shared" si="23"/>
        <v>4.7999999999999996E-3</v>
      </c>
      <c r="E64" s="54">
        <f t="shared" si="23"/>
        <v>4.7999999999999996E-3</v>
      </c>
      <c r="F64" s="54">
        <f t="shared" si="23"/>
        <v>4.7999999999999996E-3</v>
      </c>
      <c r="G64" s="54">
        <f t="shared" si="23"/>
        <v>4.7999999999999996E-3</v>
      </c>
      <c r="H64" s="54">
        <f t="shared" si="23"/>
        <v>4.7999999999999996E-3</v>
      </c>
      <c r="I64" s="54">
        <f t="shared" si="23"/>
        <v>4.7999999999999996E-3</v>
      </c>
      <c r="J64" s="54">
        <f t="shared" si="23"/>
        <v>4.7999999999999996E-3</v>
      </c>
      <c r="K64" s="54">
        <f t="shared" si="23"/>
        <v>4.7999999999999996E-3</v>
      </c>
      <c r="L64" s="54">
        <f t="shared" si="23"/>
        <v>4.7999999999999996E-3</v>
      </c>
      <c r="M64" s="54">
        <f t="shared" si="23"/>
        <v>4.7999999999999996E-3</v>
      </c>
      <c r="N64" s="54">
        <f t="shared" si="23"/>
        <v>4.7999999999999996E-3</v>
      </c>
      <c r="O64" s="54">
        <f t="shared" si="23"/>
        <v>4.7999999999999996E-3</v>
      </c>
      <c r="P64" s="55" t="str">
        <f>$P$38</f>
        <v>(3)</v>
      </c>
    </row>
    <row r="65" spans="2:16">
      <c r="B65" s="56" t="s">
        <v>53</v>
      </c>
      <c r="C65" s="57">
        <f t="shared" ref="C65:O65" si="24">$C$28</f>
        <v>2.5000000000000001E-3</v>
      </c>
      <c r="D65" s="57">
        <f t="shared" si="24"/>
        <v>2.5000000000000001E-3</v>
      </c>
      <c r="E65" s="57">
        <f t="shared" si="24"/>
        <v>2.5000000000000001E-3</v>
      </c>
      <c r="F65" s="57">
        <f t="shared" si="24"/>
        <v>2.5000000000000001E-3</v>
      </c>
      <c r="G65" s="57">
        <f t="shared" si="24"/>
        <v>2.5000000000000001E-3</v>
      </c>
      <c r="H65" s="57">
        <f t="shared" si="24"/>
        <v>2.5000000000000001E-3</v>
      </c>
      <c r="I65" s="57">
        <f t="shared" si="24"/>
        <v>2.5000000000000001E-3</v>
      </c>
      <c r="J65" s="57">
        <f t="shared" si="24"/>
        <v>2.5000000000000001E-3</v>
      </c>
      <c r="K65" s="57">
        <f t="shared" si="24"/>
        <v>2.5000000000000001E-3</v>
      </c>
      <c r="L65" s="57">
        <f t="shared" si="24"/>
        <v>2.5000000000000001E-3</v>
      </c>
      <c r="M65" s="57">
        <f t="shared" si="24"/>
        <v>2.5000000000000001E-3</v>
      </c>
      <c r="N65" s="57">
        <f t="shared" si="24"/>
        <v>2.5000000000000001E-3</v>
      </c>
      <c r="O65" s="57">
        <f t="shared" si="24"/>
        <v>2.5000000000000001E-3</v>
      </c>
      <c r="P65" s="58" t="str">
        <f>$P$39</f>
        <v>(4)</v>
      </c>
    </row>
    <row r="66" spans="2:16">
      <c r="B66" s="48" t="s">
        <v>67</v>
      </c>
      <c r="C66" s="54">
        <f>IF((C61-C63-C64-C65)&lt;0,0,C61-C63-C64-C65)</f>
        <v>0</v>
      </c>
      <c r="D66" s="54">
        <f t="shared" ref="D66:O66" si="25">IF((D61-D63-D64-D65)&lt;0,0,D61-D63-D64-D65)</f>
        <v>0</v>
      </c>
      <c r="E66" s="54">
        <f t="shared" si="25"/>
        <v>0</v>
      </c>
      <c r="F66" s="54">
        <f t="shared" si="25"/>
        <v>0</v>
      </c>
      <c r="G66" s="54">
        <f t="shared" si="25"/>
        <v>0</v>
      </c>
      <c r="H66" s="54">
        <f t="shared" si="25"/>
        <v>2.0000000000000703E-4</v>
      </c>
      <c r="I66" s="54">
        <f t="shared" si="25"/>
        <v>2.7000000000000093E-3</v>
      </c>
      <c r="J66" s="54">
        <f t="shared" si="25"/>
        <v>5.2000000000000119E-3</v>
      </c>
      <c r="K66" s="54">
        <f t="shared" si="25"/>
        <v>7.7000000000000141E-3</v>
      </c>
      <c r="L66" s="54">
        <f t="shared" si="25"/>
        <v>1.0200000000000016E-2</v>
      </c>
      <c r="M66" s="54">
        <f t="shared" si="25"/>
        <v>1.2700000000000019E-2</v>
      </c>
      <c r="N66" s="54">
        <f t="shared" si="25"/>
        <v>1.5200000000000021E-2</v>
      </c>
      <c r="O66" s="54">
        <f t="shared" si="25"/>
        <v>1.7700000000000025E-2</v>
      </c>
      <c r="P66" s="55" t="str">
        <f>$P$40</f>
        <v>(5) = (1) - (2) - (3) - (4), if (5) &gt; 0</v>
      </c>
    </row>
    <row r="67" spans="2:16">
      <c r="B67" s="56" t="s">
        <v>4</v>
      </c>
      <c r="C67" s="1">
        <f>IF((C61-C63-C65-C64)&gt;0,0,C61-C63-C64-C65)</f>
        <v>-1.2300000000000004E-2</v>
      </c>
      <c r="D67" s="1">
        <f t="shared" ref="D67:O67" si="26">IF((D61-D63-D65-D64)&gt;0,0,D61-D63-D64-D65)</f>
        <v>-9.8000000000000014E-3</v>
      </c>
      <c r="E67" s="1">
        <f t="shared" si="26"/>
        <v>-7.2999999999999992E-3</v>
      </c>
      <c r="F67" s="1">
        <f t="shared" si="26"/>
        <v>-4.799999999999997E-3</v>
      </c>
      <c r="G67" s="1">
        <f t="shared" si="26"/>
        <v>-2.2999999999999952E-3</v>
      </c>
      <c r="H67" s="1">
        <f t="shared" si="26"/>
        <v>0</v>
      </c>
      <c r="I67" s="1">
        <f t="shared" si="26"/>
        <v>0</v>
      </c>
      <c r="J67" s="1">
        <f t="shared" si="26"/>
        <v>0</v>
      </c>
      <c r="K67" s="1">
        <f t="shared" si="26"/>
        <v>0</v>
      </c>
      <c r="L67" s="1">
        <f t="shared" si="26"/>
        <v>0</v>
      </c>
      <c r="M67" s="1">
        <f t="shared" si="26"/>
        <v>0</v>
      </c>
      <c r="N67" s="1">
        <f t="shared" si="26"/>
        <v>0</v>
      </c>
      <c r="O67" s="1">
        <f t="shared" si="26"/>
        <v>0</v>
      </c>
      <c r="P67" s="32" t="str">
        <f>$P$41</f>
        <v>(6) = (1) - (2) - (3) - (4), if (6) &lt; 0</v>
      </c>
    </row>
    <row r="68" spans="2:16">
      <c r="B68" s="59" t="s">
        <v>5</v>
      </c>
      <c r="C68" s="60">
        <f t="shared" ref="C68:O68" si="27">$E$25</f>
        <v>102.503906</v>
      </c>
      <c r="D68" s="60">
        <f t="shared" si="27"/>
        <v>102.503906</v>
      </c>
      <c r="E68" s="60">
        <f t="shared" si="27"/>
        <v>102.503906</v>
      </c>
      <c r="F68" s="60">
        <f t="shared" si="27"/>
        <v>102.503906</v>
      </c>
      <c r="G68" s="60">
        <f t="shared" si="27"/>
        <v>102.503906</v>
      </c>
      <c r="H68" s="60">
        <f t="shared" si="27"/>
        <v>102.503906</v>
      </c>
      <c r="I68" s="60">
        <f t="shared" si="27"/>
        <v>102.503906</v>
      </c>
      <c r="J68" s="60">
        <f t="shared" si="27"/>
        <v>102.503906</v>
      </c>
      <c r="K68" s="60">
        <f t="shared" si="27"/>
        <v>102.503906</v>
      </c>
      <c r="L68" s="60">
        <f t="shared" si="27"/>
        <v>102.503906</v>
      </c>
      <c r="M68" s="60">
        <f t="shared" si="27"/>
        <v>102.503906</v>
      </c>
      <c r="N68" s="60">
        <f t="shared" si="27"/>
        <v>102.503906</v>
      </c>
      <c r="O68" s="60">
        <f t="shared" si="27"/>
        <v>102.503906</v>
      </c>
      <c r="P68" s="55" t="str">
        <f>$P$42</f>
        <v>(7)</v>
      </c>
    </row>
    <row r="69" spans="2:16">
      <c r="B69" s="59" t="s">
        <v>54</v>
      </c>
      <c r="C69" s="60">
        <f t="shared" ref="C69:O69" si="28">100*C65*$C$31</f>
        <v>1.25</v>
      </c>
      <c r="D69" s="60">
        <f t="shared" si="28"/>
        <v>1.25</v>
      </c>
      <c r="E69" s="60">
        <f t="shared" si="28"/>
        <v>1.25</v>
      </c>
      <c r="F69" s="60">
        <f t="shared" si="28"/>
        <v>1.25</v>
      </c>
      <c r="G69" s="60">
        <f t="shared" si="28"/>
        <v>1.25</v>
      </c>
      <c r="H69" s="60">
        <f t="shared" si="28"/>
        <v>1.25</v>
      </c>
      <c r="I69" s="60">
        <f t="shared" si="28"/>
        <v>1.25</v>
      </c>
      <c r="J69" s="60">
        <f t="shared" si="28"/>
        <v>1.25</v>
      </c>
      <c r="K69" s="60">
        <f t="shared" si="28"/>
        <v>1.25</v>
      </c>
      <c r="L69" s="60">
        <f t="shared" si="28"/>
        <v>1.25</v>
      </c>
      <c r="M69" s="60">
        <f t="shared" si="28"/>
        <v>1.25</v>
      </c>
      <c r="N69" s="60">
        <f t="shared" si="28"/>
        <v>1.25</v>
      </c>
      <c r="O69" s="60">
        <f t="shared" si="28"/>
        <v>1.25</v>
      </c>
      <c r="P69" s="61" t="str">
        <f>$P$43</f>
        <v>(8) = (4) × 5.0</v>
      </c>
    </row>
    <row r="70" spans="2:16">
      <c r="B70" s="59" t="s">
        <v>68</v>
      </c>
      <c r="C70" s="60">
        <f t="shared" ref="C70:O70" si="29">100*(C66*$C$32 +C67*$C$30)</f>
        <v>-9.4710000000000036</v>
      </c>
      <c r="D70" s="60">
        <f t="shared" si="29"/>
        <v>-7.5460000000000012</v>
      </c>
      <c r="E70" s="60">
        <f t="shared" si="29"/>
        <v>-5.6209999999999996</v>
      </c>
      <c r="F70" s="60">
        <f t="shared" si="29"/>
        <v>-3.695999999999998</v>
      </c>
      <c r="G70" s="60">
        <f t="shared" si="29"/>
        <v>-1.7709999999999961</v>
      </c>
      <c r="H70" s="60">
        <f t="shared" si="29"/>
        <v>8.0000000000002819E-2</v>
      </c>
      <c r="I70" s="60">
        <f t="shared" si="29"/>
        <v>1.0800000000000036</v>
      </c>
      <c r="J70" s="60">
        <f t="shared" si="29"/>
        <v>2.080000000000005</v>
      </c>
      <c r="K70" s="60">
        <f t="shared" si="29"/>
        <v>3.0800000000000058</v>
      </c>
      <c r="L70" s="60">
        <f t="shared" si="29"/>
        <v>4.0800000000000063</v>
      </c>
      <c r="M70" s="60">
        <f t="shared" si="29"/>
        <v>5.0800000000000072</v>
      </c>
      <c r="N70" s="60">
        <f t="shared" si="29"/>
        <v>6.0800000000000081</v>
      </c>
      <c r="O70" s="60">
        <f t="shared" si="29"/>
        <v>7.0800000000000098</v>
      </c>
      <c r="P70" s="61" t="str">
        <f>$P$44</f>
        <v>(9) = (5) × 4.0 + (5) × 7.7</v>
      </c>
    </row>
    <row r="71" spans="2:16" ht="15.75" thickBot="1">
      <c r="B71" s="62" t="str">
        <f>"Execution Price ("&amp;TEXT(C63,"0.0%")&amp;")"</f>
        <v>Execution Price (3.5%)</v>
      </c>
      <c r="C71" s="63">
        <f t="shared" ref="C71:O71" si="30">IF(C66&gt;$C$29,"NA",SUM(C68:C70))</f>
        <v>94.282905999999997</v>
      </c>
      <c r="D71" s="63">
        <f t="shared" si="30"/>
        <v>96.207905999999994</v>
      </c>
      <c r="E71" s="63">
        <f t="shared" si="30"/>
        <v>98.132906000000006</v>
      </c>
      <c r="F71" s="63">
        <f t="shared" si="30"/>
        <v>100.057906</v>
      </c>
      <c r="G71" s="63">
        <f t="shared" si="30"/>
        <v>101.982906</v>
      </c>
      <c r="H71" s="63">
        <f t="shared" si="30"/>
        <v>103.833906</v>
      </c>
      <c r="I71" s="63">
        <f t="shared" si="30"/>
        <v>104.833906</v>
      </c>
      <c r="J71" s="63" t="str">
        <f t="shared" si="30"/>
        <v>NA</v>
      </c>
      <c r="K71" s="63" t="str">
        <f t="shared" si="30"/>
        <v>NA</v>
      </c>
      <c r="L71" s="63" t="str">
        <f t="shared" si="30"/>
        <v>NA</v>
      </c>
      <c r="M71" s="63" t="str">
        <f t="shared" si="30"/>
        <v>NA</v>
      </c>
      <c r="N71" s="63" t="str">
        <f t="shared" si="30"/>
        <v>NA</v>
      </c>
      <c r="O71" s="63" t="str">
        <f t="shared" si="30"/>
        <v>NA</v>
      </c>
      <c r="P71" s="64" t="str">
        <f>$P$45</f>
        <v>(10) = (7) + (8) + (9), if (5) &lt; 0.375%</v>
      </c>
    </row>
    <row r="73" spans="2:16" ht="15.75" thickBot="1"/>
    <row r="74" spans="2:16">
      <c r="B74" s="2" t="s">
        <v>2</v>
      </c>
      <c r="C74" s="3">
        <f>C61</f>
        <v>0.03</v>
      </c>
      <c r="D74" s="3">
        <f t="shared" ref="D74:O74" si="31">D61</f>
        <v>3.2500000000000001E-2</v>
      </c>
      <c r="E74" s="3">
        <f t="shared" si="31"/>
        <v>3.5000000000000003E-2</v>
      </c>
      <c r="F74" s="3">
        <f t="shared" si="31"/>
        <v>3.7500000000000006E-2</v>
      </c>
      <c r="G74" s="3">
        <f t="shared" si="31"/>
        <v>4.0000000000000008E-2</v>
      </c>
      <c r="H74" s="3">
        <f t="shared" si="31"/>
        <v>4.250000000000001E-2</v>
      </c>
      <c r="I74" s="3">
        <f t="shared" si="31"/>
        <v>4.5000000000000012E-2</v>
      </c>
      <c r="J74" s="3">
        <f t="shared" si="31"/>
        <v>4.7500000000000014E-2</v>
      </c>
      <c r="K74" s="3">
        <f t="shared" si="31"/>
        <v>5.0000000000000017E-2</v>
      </c>
      <c r="L74" s="3">
        <f t="shared" si="31"/>
        <v>5.2500000000000019E-2</v>
      </c>
      <c r="M74" s="3">
        <f t="shared" si="31"/>
        <v>5.5000000000000021E-2</v>
      </c>
      <c r="N74" s="3">
        <f t="shared" si="31"/>
        <v>5.7500000000000023E-2</v>
      </c>
      <c r="O74" s="3">
        <f t="shared" si="31"/>
        <v>6.0000000000000026E-2</v>
      </c>
      <c r="P74" s="31" t="str">
        <f>$P$35</f>
        <v>(1)</v>
      </c>
    </row>
    <row r="75" spans="2:16">
      <c r="B75" s="48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50"/>
    </row>
    <row r="76" spans="2:16">
      <c r="B76" s="51" t="s">
        <v>0</v>
      </c>
      <c r="C76" s="52">
        <f t="shared" ref="C76:O76" si="32">$F$24</f>
        <v>0.04</v>
      </c>
      <c r="D76" s="52">
        <f t="shared" si="32"/>
        <v>0.04</v>
      </c>
      <c r="E76" s="52">
        <f t="shared" si="32"/>
        <v>0.04</v>
      </c>
      <c r="F76" s="52">
        <f t="shared" si="32"/>
        <v>0.04</v>
      </c>
      <c r="G76" s="52">
        <f t="shared" si="32"/>
        <v>0.04</v>
      </c>
      <c r="H76" s="52">
        <f t="shared" si="32"/>
        <v>0.04</v>
      </c>
      <c r="I76" s="52">
        <f t="shared" si="32"/>
        <v>0.04</v>
      </c>
      <c r="J76" s="52">
        <f t="shared" si="32"/>
        <v>0.04</v>
      </c>
      <c r="K76" s="52">
        <f t="shared" si="32"/>
        <v>0.04</v>
      </c>
      <c r="L76" s="52">
        <f t="shared" si="32"/>
        <v>0.04</v>
      </c>
      <c r="M76" s="52">
        <f t="shared" si="32"/>
        <v>0.04</v>
      </c>
      <c r="N76" s="52">
        <f t="shared" si="32"/>
        <v>0.04</v>
      </c>
      <c r="O76" s="52">
        <f t="shared" si="32"/>
        <v>0.04</v>
      </c>
      <c r="P76" s="53" t="str">
        <f>$P$37</f>
        <v>(2)</v>
      </c>
    </row>
    <row r="77" spans="2:16">
      <c r="B77" s="48" t="s">
        <v>3</v>
      </c>
      <c r="C77" s="54">
        <f t="shared" ref="C77:O77" si="33">$C$27</f>
        <v>4.7999999999999996E-3</v>
      </c>
      <c r="D77" s="54">
        <f t="shared" si="33"/>
        <v>4.7999999999999996E-3</v>
      </c>
      <c r="E77" s="54">
        <f t="shared" si="33"/>
        <v>4.7999999999999996E-3</v>
      </c>
      <c r="F77" s="54">
        <f t="shared" si="33"/>
        <v>4.7999999999999996E-3</v>
      </c>
      <c r="G77" s="54">
        <f t="shared" si="33"/>
        <v>4.7999999999999996E-3</v>
      </c>
      <c r="H77" s="54">
        <f t="shared" si="33"/>
        <v>4.7999999999999996E-3</v>
      </c>
      <c r="I77" s="54">
        <f t="shared" si="33"/>
        <v>4.7999999999999996E-3</v>
      </c>
      <c r="J77" s="54">
        <f t="shared" si="33"/>
        <v>4.7999999999999996E-3</v>
      </c>
      <c r="K77" s="54">
        <f t="shared" si="33"/>
        <v>4.7999999999999996E-3</v>
      </c>
      <c r="L77" s="54">
        <f t="shared" si="33"/>
        <v>4.7999999999999996E-3</v>
      </c>
      <c r="M77" s="54">
        <f t="shared" si="33"/>
        <v>4.7999999999999996E-3</v>
      </c>
      <c r="N77" s="54">
        <f t="shared" si="33"/>
        <v>4.7999999999999996E-3</v>
      </c>
      <c r="O77" s="54">
        <f t="shared" si="33"/>
        <v>4.7999999999999996E-3</v>
      </c>
      <c r="P77" s="55" t="str">
        <f>$P$38</f>
        <v>(3)</v>
      </c>
    </row>
    <row r="78" spans="2:16">
      <c r="B78" s="56" t="s">
        <v>53</v>
      </c>
      <c r="C78" s="57">
        <f t="shared" ref="C78:O78" si="34">$C$28</f>
        <v>2.5000000000000001E-3</v>
      </c>
      <c r="D78" s="57">
        <f t="shared" si="34"/>
        <v>2.5000000000000001E-3</v>
      </c>
      <c r="E78" s="57">
        <f t="shared" si="34"/>
        <v>2.5000000000000001E-3</v>
      </c>
      <c r="F78" s="57">
        <f t="shared" si="34"/>
        <v>2.5000000000000001E-3</v>
      </c>
      <c r="G78" s="57">
        <f t="shared" si="34"/>
        <v>2.5000000000000001E-3</v>
      </c>
      <c r="H78" s="57">
        <f t="shared" si="34"/>
        <v>2.5000000000000001E-3</v>
      </c>
      <c r="I78" s="57">
        <f t="shared" si="34"/>
        <v>2.5000000000000001E-3</v>
      </c>
      <c r="J78" s="57">
        <f t="shared" si="34"/>
        <v>2.5000000000000001E-3</v>
      </c>
      <c r="K78" s="57">
        <f t="shared" si="34"/>
        <v>2.5000000000000001E-3</v>
      </c>
      <c r="L78" s="57">
        <f t="shared" si="34"/>
        <v>2.5000000000000001E-3</v>
      </c>
      <c r="M78" s="57">
        <f t="shared" si="34"/>
        <v>2.5000000000000001E-3</v>
      </c>
      <c r="N78" s="57">
        <f t="shared" si="34"/>
        <v>2.5000000000000001E-3</v>
      </c>
      <c r="O78" s="57">
        <f t="shared" si="34"/>
        <v>2.5000000000000001E-3</v>
      </c>
      <c r="P78" s="58" t="str">
        <f>$P$39</f>
        <v>(4)</v>
      </c>
    </row>
    <row r="79" spans="2:16">
      <c r="B79" s="48" t="s">
        <v>67</v>
      </c>
      <c r="C79" s="54">
        <f>IF((C74-C76-C77-C78)&lt;0,0,C74-C76-C77-C78)</f>
        <v>0</v>
      </c>
      <c r="D79" s="54">
        <f t="shared" ref="D79:O79" si="35">IF((D74-D76-D77-D78)&lt;0,0,D74-D76-D77-D78)</f>
        <v>0</v>
      </c>
      <c r="E79" s="54">
        <f t="shared" si="35"/>
        <v>0</v>
      </c>
      <c r="F79" s="54">
        <f t="shared" si="35"/>
        <v>0</v>
      </c>
      <c r="G79" s="54">
        <f t="shared" si="35"/>
        <v>0</v>
      </c>
      <c r="H79" s="54">
        <f t="shared" si="35"/>
        <v>0</v>
      </c>
      <c r="I79" s="54">
        <f t="shared" si="35"/>
        <v>0</v>
      </c>
      <c r="J79" s="54">
        <f t="shared" si="35"/>
        <v>2.0000000000001397E-4</v>
      </c>
      <c r="K79" s="54">
        <f t="shared" si="35"/>
        <v>2.7000000000000162E-3</v>
      </c>
      <c r="L79" s="54">
        <f t="shared" si="35"/>
        <v>5.2000000000000188E-3</v>
      </c>
      <c r="M79" s="54">
        <f t="shared" si="35"/>
        <v>7.7000000000000211E-3</v>
      </c>
      <c r="N79" s="54">
        <f t="shared" si="35"/>
        <v>1.0200000000000023E-2</v>
      </c>
      <c r="O79" s="54">
        <f t="shared" si="35"/>
        <v>1.2700000000000026E-2</v>
      </c>
      <c r="P79" s="55" t="str">
        <f>$P$40</f>
        <v>(5) = (1) - (2) - (3) - (4), if (5) &gt; 0</v>
      </c>
    </row>
    <row r="80" spans="2:16">
      <c r="B80" s="56" t="s">
        <v>4</v>
      </c>
      <c r="C80" s="1">
        <f>IF((C74-C76-C78-C77)&gt;0,0,C74-C76-C77-C78)</f>
        <v>-1.7299999999999999E-2</v>
      </c>
      <c r="D80" s="1">
        <f t="shared" ref="D80:O80" si="36">IF((D74-D76-D78-D77)&gt;0,0,D74-D76-D77-D78)</f>
        <v>-1.4799999999999999E-2</v>
      </c>
      <c r="E80" s="1">
        <f t="shared" si="36"/>
        <v>-1.2299999999999997E-2</v>
      </c>
      <c r="F80" s="1">
        <f t="shared" si="36"/>
        <v>-9.7999999999999945E-3</v>
      </c>
      <c r="G80" s="1">
        <f t="shared" si="36"/>
        <v>-7.2999999999999923E-3</v>
      </c>
      <c r="H80" s="1">
        <f t="shared" si="36"/>
        <v>-4.79999999999999E-3</v>
      </c>
      <c r="I80" s="1">
        <f t="shared" si="36"/>
        <v>-2.2999999999999883E-3</v>
      </c>
      <c r="J80" s="1">
        <f t="shared" si="36"/>
        <v>0</v>
      </c>
      <c r="K80" s="1">
        <f t="shared" si="36"/>
        <v>0</v>
      </c>
      <c r="L80" s="1">
        <f t="shared" si="36"/>
        <v>0</v>
      </c>
      <c r="M80" s="1">
        <f t="shared" si="36"/>
        <v>0</v>
      </c>
      <c r="N80" s="1">
        <f t="shared" si="36"/>
        <v>0</v>
      </c>
      <c r="O80" s="1">
        <f t="shared" si="36"/>
        <v>0</v>
      </c>
      <c r="P80" s="32" t="str">
        <f>$P$41</f>
        <v>(6) = (1) - (2) - (3) - (4), if (6) &lt; 0</v>
      </c>
    </row>
    <row r="81" spans="2:16">
      <c r="B81" s="59" t="s">
        <v>5</v>
      </c>
      <c r="C81" s="60">
        <f t="shared" ref="C81:O81" si="37">$F$25</f>
        <v>105.535156</v>
      </c>
      <c r="D81" s="60">
        <f t="shared" si="37"/>
        <v>105.535156</v>
      </c>
      <c r="E81" s="60">
        <f t="shared" si="37"/>
        <v>105.535156</v>
      </c>
      <c r="F81" s="60">
        <f t="shared" si="37"/>
        <v>105.535156</v>
      </c>
      <c r="G81" s="60">
        <f t="shared" si="37"/>
        <v>105.535156</v>
      </c>
      <c r="H81" s="60">
        <f t="shared" si="37"/>
        <v>105.535156</v>
      </c>
      <c r="I81" s="60">
        <f t="shared" si="37"/>
        <v>105.535156</v>
      </c>
      <c r="J81" s="60">
        <f t="shared" si="37"/>
        <v>105.535156</v>
      </c>
      <c r="K81" s="60">
        <f t="shared" si="37"/>
        <v>105.535156</v>
      </c>
      <c r="L81" s="60">
        <f t="shared" si="37"/>
        <v>105.535156</v>
      </c>
      <c r="M81" s="60">
        <f t="shared" si="37"/>
        <v>105.535156</v>
      </c>
      <c r="N81" s="60">
        <f t="shared" si="37"/>
        <v>105.535156</v>
      </c>
      <c r="O81" s="60">
        <f t="shared" si="37"/>
        <v>105.535156</v>
      </c>
      <c r="P81" s="55" t="str">
        <f>$P$42</f>
        <v>(7)</v>
      </c>
    </row>
    <row r="82" spans="2:16">
      <c r="B82" s="59" t="s">
        <v>54</v>
      </c>
      <c r="C82" s="60">
        <f t="shared" ref="C82:O82" si="38">100*C78*$C$31</f>
        <v>1.25</v>
      </c>
      <c r="D82" s="60">
        <f t="shared" si="38"/>
        <v>1.25</v>
      </c>
      <c r="E82" s="60">
        <f t="shared" si="38"/>
        <v>1.25</v>
      </c>
      <c r="F82" s="60">
        <f t="shared" si="38"/>
        <v>1.25</v>
      </c>
      <c r="G82" s="60">
        <f t="shared" si="38"/>
        <v>1.25</v>
      </c>
      <c r="H82" s="60">
        <f t="shared" si="38"/>
        <v>1.25</v>
      </c>
      <c r="I82" s="60">
        <f t="shared" si="38"/>
        <v>1.25</v>
      </c>
      <c r="J82" s="60">
        <f t="shared" si="38"/>
        <v>1.25</v>
      </c>
      <c r="K82" s="60">
        <f t="shared" si="38"/>
        <v>1.25</v>
      </c>
      <c r="L82" s="60">
        <f t="shared" si="38"/>
        <v>1.25</v>
      </c>
      <c r="M82" s="60">
        <f t="shared" si="38"/>
        <v>1.25</v>
      </c>
      <c r="N82" s="60">
        <f t="shared" si="38"/>
        <v>1.25</v>
      </c>
      <c r="O82" s="60">
        <f t="shared" si="38"/>
        <v>1.25</v>
      </c>
      <c r="P82" s="61" t="str">
        <f>$P$43</f>
        <v>(8) = (4) × 5.0</v>
      </c>
    </row>
    <row r="83" spans="2:16">
      <c r="B83" s="59" t="s">
        <v>68</v>
      </c>
      <c r="C83" s="60">
        <f t="shared" ref="C83:O83" si="39">100*(C79*$C$32 +C80*$C$30)</f>
        <v>-13.321</v>
      </c>
      <c r="D83" s="60">
        <f t="shared" si="39"/>
        <v>-11.395999999999999</v>
      </c>
      <c r="E83" s="60">
        <f t="shared" si="39"/>
        <v>-9.4709999999999983</v>
      </c>
      <c r="F83" s="60">
        <f t="shared" si="39"/>
        <v>-7.5459999999999958</v>
      </c>
      <c r="G83" s="60">
        <f t="shared" si="39"/>
        <v>-5.6209999999999942</v>
      </c>
      <c r="H83" s="60">
        <f t="shared" si="39"/>
        <v>-3.6959999999999922</v>
      </c>
      <c r="I83" s="60">
        <f t="shared" si="39"/>
        <v>-1.770999999999991</v>
      </c>
      <c r="J83" s="60">
        <f t="shared" si="39"/>
        <v>8.0000000000005594E-2</v>
      </c>
      <c r="K83" s="60">
        <f t="shared" si="39"/>
        <v>1.0800000000000065</v>
      </c>
      <c r="L83" s="60">
        <f t="shared" si="39"/>
        <v>2.0800000000000076</v>
      </c>
      <c r="M83" s="60">
        <f t="shared" si="39"/>
        <v>3.0800000000000085</v>
      </c>
      <c r="N83" s="60">
        <f t="shared" si="39"/>
        <v>4.080000000000009</v>
      </c>
      <c r="O83" s="60">
        <f t="shared" si="39"/>
        <v>5.0800000000000098</v>
      </c>
      <c r="P83" s="61" t="str">
        <f>$P$44</f>
        <v>(9) = (5) × 4.0 + (5) × 7.7</v>
      </c>
    </row>
    <row r="84" spans="2:16" ht="15.75" thickBot="1">
      <c r="B84" s="62" t="str">
        <f>"Execution Price ("&amp;TEXT(C76,"0.0%")&amp;")"</f>
        <v>Execution Price (4.0%)</v>
      </c>
      <c r="C84" s="63">
        <f t="shared" ref="C84:O84" si="40">IF(C79&gt;$C$29,"NA",SUM(C81:C83))</f>
        <v>93.464156000000003</v>
      </c>
      <c r="D84" s="63">
        <f t="shared" si="40"/>
        <v>95.389156</v>
      </c>
      <c r="E84" s="63">
        <f t="shared" si="40"/>
        <v>97.314155999999997</v>
      </c>
      <c r="F84" s="63">
        <f t="shared" si="40"/>
        <v>99.239156000000008</v>
      </c>
      <c r="G84" s="63">
        <f t="shared" si="40"/>
        <v>101.16415600000001</v>
      </c>
      <c r="H84" s="63">
        <f t="shared" si="40"/>
        <v>103.089156</v>
      </c>
      <c r="I84" s="63">
        <f t="shared" si="40"/>
        <v>105.01415600000001</v>
      </c>
      <c r="J84" s="63">
        <f t="shared" si="40"/>
        <v>106.86515600000001</v>
      </c>
      <c r="K84" s="63">
        <f t="shared" si="40"/>
        <v>107.86515600000001</v>
      </c>
      <c r="L84" s="63" t="str">
        <f t="shared" si="40"/>
        <v>NA</v>
      </c>
      <c r="M84" s="63" t="str">
        <f t="shared" si="40"/>
        <v>NA</v>
      </c>
      <c r="N84" s="63" t="str">
        <f t="shared" si="40"/>
        <v>NA</v>
      </c>
      <c r="O84" s="63" t="str">
        <f t="shared" si="40"/>
        <v>NA</v>
      </c>
      <c r="P84" s="64" t="str">
        <f>$P$45</f>
        <v>(10) = (7) + (8) + (9), if (5) &lt; 0.375%</v>
      </c>
    </row>
    <row r="86" spans="2:16" ht="15.75" thickBot="1"/>
    <row r="87" spans="2:16">
      <c r="B87" s="65" t="s">
        <v>6</v>
      </c>
      <c r="C87" s="66">
        <f>MAX(C45,C58,C71,C84)</f>
        <v>94.783687999999998</v>
      </c>
      <c r="D87" s="66">
        <f t="shared" ref="D87:O87" si="41">MAX(D45,D58,D71,D84)</f>
        <v>96.634687999999997</v>
      </c>
      <c r="E87" s="66">
        <f t="shared" si="41"/>
        <v>98.432124999999999</v>
      </c>
      <c r="F87" s="66">
        <f t="shared" si="41"/>
        <v>100.283125</v>
      </c>
      <c r="G87" s="66">
        <f t="shared" si="41"/>
        <v>101.982906</v>
      </c>
      <c r="H87" s="66">
        <f t="shared" si="41"/>
        <v>103.833906</v>
      </c>
      <c r="I87" s="66">
        <f t="shared" si="41"/>
        <v>105.01415600000001</v>
      </c>
      <c r="J87" s="66">
        <f t="shared" si="41"/>
        <v>106.86515600000001</v>
      </c>
      <c r="K87" s="66">
        <f t="shared" si="41"/>
        <v>107.86515600000001</v>
      </c>
      <c r="L87" s="66">
        <f t="shared" si="41"/>
        <v>0</v>
      </c>
      <c r="M87" s="66">
        <f t="shared" si="41"/>
        <v>0</v>
      </c>
      <c r="N87" s="66">
        <f t="shared" si="41"/>
        <v>0</v>
      </c>
      <c r="O87" s="66">
        <f t="shared" si="41"/>
        <v>0</v>
      </c>
      <c r="P87" s="67" t="s">
        <v>62</v>
      </c>
    </row>
    <row r="88" spans="2:16">
      <c r="B88" s="48" t="s">
        <v>2</v>
      </c>
      <c r="C88" s="54">
        <f>C74</f>
        <v>0.03</v>
      </c>
      <c r="D88" s="54">
        <f t="shared" ref="D88:O88" si="42">D74</f>
        <v>3.2500000000000001E-2</v>
      </c>
      <c r="E88" s="54">
        <f t="shared" si="42"/>
        <v>3.5000000000000003E-2</v>
      </c>
      <c r="F88" s="54">
        <f t="shared" si="42"/>
        <v>3.7500000000000006E-2</v>
      </c>
      <c r="G88" s="54">
        <f t="shared" si="42"/>
        <v>4.0000000000000008E-2</v>
      </c>
      <c r="H88" s="54">
        <f t="shared" si="42"/>
        <v>4.250000000000001E-2</v>
      </c>
      <c r="I88" s="54">
        <f t="shared" si="42"/>
        <v>4.5000000000000012E-2</v>
      </c>
      <c r="J88" s="54">
        <f t="shared" si="42"/>
        <v>4.7500000000000014E-2</v>
      </c>
      <c r="K88" s="54">
        <f t="shared" si="42"/>
        <v>5.0000000000000017E-2</v>
      </c>
      <c r="L88" s="54">
        <f t="shared" si="42"/>
        <v>5.2500000000000019E-2</v>
      </c>
      <c r="M88" s="54">
        <f t="shared" si="42"/>
        <v>5.5000000000000021E-2</v>
      </c>
      <c r="N88" s="54">
        <f t="shared" si="42"/>
        <v>5.7500000000000023E-2</v>
      </c>
      <c r="O88" s="54">
        <f t="shared" si="42"/>
        <v>6.0000000000000026E-2</v>
      </c>
      <c r="P88" s="55" t="s">
        <v>55</v>
      </c>
    </row>
    <row r="89" spans="2:16" ht="15.75" thickBot="1">
      <c r="B89" s="68" t="s">
        <v>0</v>
      </c>
      <c r="C89" s="5">
        <f t="shared" ref="C89:O89" si="43">IF(C87=C45,$C$24, IF(C87=C58,$D$24,IF(C87=C71,$E$24,$F$24)))</f>
        <v>2.5000000000000001E-2</v>
      </c>
      <c r="D89" s="5">
        <f t="shared" si="43"/>
        <v>2.5000000000000001E-2</v>
      </c>
      <c r="E89" s="5">
        <f t="shared" si="43"/>
        <v>3.0000000000000002E-2</v>
      </c>
      <c r="F89" s="5">
        <f t="shared" si="43"/>
        <v>3.0000000000000002E-2</v>
      </c>
      <c r="G89" s="5">
        <f t="shared" si="43"/>
        <v>3.5000000000000003E-2</v>
      </c>
      <c r="H89" s="5">
        <f t="shared" si="43"/>
        <v>3.5000000000000003E-2</v>
      </c>
      <c r="I89" s="5">
        <f t="shared" si="43"/>
        <v>0.04</v>
      </c>
      <c r="J89" s="5">
        <f t="shared" si="43"/>
        <v>0.04</v>
      </c>
      <c r="K89" s="5">
        <f t="shared" si="43"/>
        <v>0.04</v>
      </c>
      <c r="L89" s="5">
        <f t="shared" si="43"/>
        <v>0.04</v>
      </c>
      <c r="M89" s="5">
        <f t="shared" si="43"/>
        <v>0.04</v>
      </c>
      <c r="N89" s="5">
        <f t="shared" si="43"/>
        <v>0.04</v>
      </c>
      <c r="O89" s="5">
        <f t="shared" si="43"/>
        <v>0.04</v>
      </c>
      <c r="P89" s="33" t="s">
        <v>56</v>
      </c>
    </row>
  </sheetData>
  <conditionalFormatting sqref="C35:O89">
    <cfRule type="cellIs" dxfId="14" priority="3" operator="equal">
      <formula>0</formula>
    </cfRule>
  </conditionalFormatting>
  <conditionalFormatting sqref="C35:P89">
    <cfRule type="containsText" dxfId="13" priority="1" operator="containsText" text="NA">
      <formula>NOT(ISERROR(SEARCH("NA",C35)))</formula>
    </cfRule>
    <cfRule type="containsErrors" priority="2">
      <formula>ISERROR(C35)</formula>
    </cfRule>
  </conditionalFormatting>
  <dataValidations disablePrompts="1" count="2">
    <dataValidation type="list" allowBlank="1" showInputMessage="1" showErrorMessage="1" sqref="U1">
      <formula1>"Yes, No"</formula1>
    </dataValidation>
    <dataValidation type="list" allowBlank="1" showInputMessage="1" showErrorMessage="1" sqref="S1">
      <formula1>"PROD, DEV"</formula1>
    </dataValidation>
  </dataValidations>
  <pageMargins left="0.25" right="0.25" top="0.255" bottom="0.25" header="0.1" footer="0.1"/>
  <pageSetup scale="41" orientation="landscape" horizontalDpi="1200" verticalDpi="1200" r:id="rId1"/>
  <headerFooter scaleWithDoc="0">
    <oddHeader>&amp;L&amp;G&amp;C&amp;"-,Bold"&amp;10&amp;K2E398A
&amp;15Best Execution Matrix&amp;R&amp;"-,Bold"&amp;10&amp;K2E398A
As of 6/25/2015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S175"/>
  <sheetViews>
    <sheetView topLeftCell="F1" workbookViewId="0">
      <selection activeCell="T8" sqref="T8"/>
    </sheetView>
  </sheetViews>
  <sheetFormatPr defaultRowHeight="12.75"/>
  <cols>
    <col min="1" max="1" width="15.7109375" style="11" bestFit="1" customWidth="1"/>
    <col min="2" max="2" width="9.42578125" style="11" bestFit="1" customWidth="1"/>
    <col min="3" max="3" width="10.140625" style="11" bestFit="1" customWidth="1"/>
    <col min="4" max="4" width="14.140625" style="11" bestFit="1" customWidth="1"/>
    <col min="5" max="5" width="13.85546875" style="11" bestFit="1" customWidth="1"/>
    <col min="6" max="6" width="13.85546875" style="11" customWidth="1"/>
    <col min="7" max="7" width="20.140625" style="11" customWidth="1"/>
    <col min="8" max="8" width="14.140625" style="11" bestFit="1" customWidth="1"/>
    <col min="9" max="14" width="14.140625" style="11" customWidth="1"/>
    <col min="15" max="15" width="9.7109375" style="11" bestFit="1" customWidth="1"/>
    <col min="16" max="16" width="14.140625" style="11" bestFit="1" customWidth="1"/>
    <col min="17" max="17" width="14.140625" style="11" customWidth="1"/>
    <col min="18" max="18" width="12.28515625" style="11" customWidth="1"/>
    <col min="19" max="19" width="15.7109375" style="11" bestFit="1" customWidth="1"/>
    <col min="20" max="20" width="14.140625" style="11" bestFit="1" customWidth="1"/>
    <col min="21" max="21" width="13.85546875" style="11" bestFit="1" customWidth="1"/>
    <col min="22" max="22" width="12.5703125" style="11" bestFit="1" customWidth="1"/>
    <col min="23" max="23" width="12" style="11" bestFit="1" customWidth="1"/>
    <col min="24" max="24" width="15.140625" style="11" bestFit="1" customWidth="1"/>
    <col min="25" max="25" width="14.140625" style="11" bestFit="1" customWidth="1"/>
    <col min="26" max="26" width="14.140625" style="11" customWidth="1"/>
    <col min="27" max="29" width="12" style="11" bestFit="1" customWidth="1"/>
    <col min="30" max="30" width="8" style="11" bestFit="1" customWidth="1"/>
    <col min="31" max="31" width="12" style="11" bestFit="1" customWidth="1"/>
    <col min="32" max="32" width="5.7109375" style="11" bestFit="1" customWidth="1"/>
    <col min="33" max="34" width="12" style="11" bestFit="1" customWidth="1"/>
    <col min="35" max="35" width="17.5703125" style="11" bestFit="1" customWidth="1"/>
    <col min="36" max="36" width="8.85546875" style="11" bestFit="1" customWidth="1"/>
    <col min="37" max="38" width="16" style="11" bestFit="1" customWidth="1"/>
    <col min="39" max="39" width="14.7109375" style="11" bestFit="1" customWidth="1"/>
    <col min="40" max="40" width="16" style="11" bestFit="1" customWidth="1"/>
    <col min="41" max="41" width="17.5703125" style="11" bestFit="1" customWidth="1"/>
    <col min="42" max="42" width="12.140625" style="11" bestFit="1" customWidth="1"/>
    <col min="43" max="43" width="8.5703125" style="11" bestFit="1" customWidth="1"/>
    <col min="44" max="44" width="15.28515625" style="11" customWidth="1"/>
    <col min="45" max="45" width="11.7109375" style="11" bestFit="1" customWidth="1"/>
    <col min="46" max="46" width="10.28515625" style="11" bestFit="1" customWidth="1"/>
    <col min="47" max="47" width="12" style="11" bestFit="1" customWidth="1"/>
    <col min="48" max="48" width="14.42578125" style="11" customWidth="1"/>
    <col min="49" max="49" width="18.5703125" style="11" bestFit="1" customWidth="1"/>
    <col min="50" max="50" width="10.7109375" style="11" bestFit="1" customWidth="1"/>
    <col min="51" max="51" width="16.42578125" style="11" bestFit="1" customWidth="1"/>
    <col min="52" max="52" width="16.140625" style="11" bestFit="1" customWidth="1"/>
    <col min="53" max="53" width="14.42578125" style="11" customWidth="1"/>
    <col min="54" max="54" width="12.28515625" style="11" customWidth="1"/>
    <col min="55" max="16384" width="9.140625" style="11"/>
  </cols>
  <sheetData>
    <row r="3" spans="1:18" ht="23.25">
      <c r="A3" s="12" t="s">
        <v>38</v>
      </c>
      <c r="F3" s="12" t="s">
        <v>37</v>
      </c>
      <c r="K3" s="12" t="s">
        <v>36</v>
      </c>
      <c r="N3" s="11" t="s">
        <v>35</v>
      </c>
      <c r="P3" s="12" t="s">
        <v>40</v>
      </c>
    </row>
    <row r="4" spans="1:18" s="13" customFormat="1">
      <c r="A4" s="13" t="s">
        <v>14</v>
      </c>
      <c r="B4" s="13" t="s">
        <v>15</v>
      </c>
      <c r="C4" s="13" t="s">
        <v>16</v>
      </c>
      <c r="D4" s="13" t="s">
        <v>17</v>
      </c>
      <c r="F4" s="13" t="s">
        <v>14</v>
      </c>
      <c r="G4" s="13" t="s">
        <v>16</v>
      </c>
      <c r="H4" s="13" t="s">
        <v>15</v>
      </c>
      <c r="I4" s="13" t="s">
        <v>18</v>
      </c>
      <c r="K4" s="23" t="s">
        <v>14</v>
      </c>
      <c r="L4" s="24" t="s">
        <v>17</v>
      </c>
      <c r="M4" s="24" t="s">
        <v>18</v>
      </c>
      <c r="N4" s="25" t="s">
        <v>34</v>
      </c>
      <c r="P4" s="23" t="s">
        <v>14</v>
      </c>
      <c r="Q4" s="25" t="s">
        <v>17</v>
      </c>
      <c r="R4" s="25" t="s">
        <v>39</v>
      </c>
    </row>
    <row r="5" spans="1:18" s="13" customFormat="1">
      <c r="A5" s="13" t="s">
        <v>70</v>
      </c>
      <c r="B5" s="13" t="s">
        <v>19</v>
      </c>
      <c r="C5" s="14" t="s">
        <v>69</v>
      </c>
      <c r="D5" s="13">
        <v>91.40625</v>
      </c>
      <c r="F5" s="13" t="s">
        <v>72</v>
      </c>
      <c r="G5" s="14" t="s">
        <v>69</v>
      </c>
      <c r="H5" s="28" t="s">
        <v>20</v>
      </c>
      <c r="I5" s="14" t="s">
        <v>105</v>
      </c>
      <c r="K5" s="16" t="str">
        <f>CurrentMtgRatesDataTable8[[#This Row],[TickerName]]</f>
        <v>FNMA2.0-TBA-AUG</v>
      </c>
      <c r="L5" s="17">
        <f>VLOOKUP(K5,CurrentMtgRatesDataTable[[TickerName]:[SeriesNumValue]],4,0)</f>
        <v>91.40625</v>
      </c>
      <c r="M5" s="18" t="str">
        <f>CurrentMtgRatesDataTable8[[#This Row],[SeriesCharValue]]</f>
        <v>08/13/2015</v>
      </c>
      <c r="N5" s="19">
        <f t="shared" ref="N5:N48" si="0">M5-CurrentCloseDate</f>
        <v>49</v>
      </c>
      <c r="P5" s="16" t="str">
        <f>IF(AND($N5&gt;30,$N5&lt;60),K5,"")</f>
        <v>FNMA2.0-TBA-AUG</v>
      </c>
      <c r="Q5" s="19">
        <f>IF(AND($N5&gt;30,$N5&lt;60),L5,"")</f>
        <v>91.40625</v>
      </c>
      <c r="R5" s="19" t="str">
        <f>IF(AND($N5&gt;30,$N5&lt;60),TEXT(M5,"mmm"),"")</f>
        <v>Aug</v>
      </c>
    </row>
    <row r="6" spans="1:18" s="13" customFormat="1">
      <c r="A6" s="27" t="s">
        <v>42</v>
      </c>
      <c r="B6" s="27" t="s">
        <v>19</v>
      </c>
      <c r="C6" s="28" t="s">
        <v>69</v>
      </c>
      <c r="D6" s="27">
        <v>91.5625</v>
      </c>
      <c r="F6" s="27" t="s">
        <v>73</v>
      </c>
      <c r="G6" s="28" t="s">
        <v>69</v>
      </c>
      <c r="H6" s="28" t="s">
        <v>20</v>
      </c>
      <c r="I6" s="28" t="s">
        <v>106</v>
      </c>
      <c r="K6" s="16" t="str">
        <f>CurrentMtgRatesDataTable8[[#This Row],[TickerName]]</f>
        <v>FNMA2.0-TBA-JUL</v>
      </c>
      <c r="L6" s="17">
        <f>VLOOKUP(K6,CurrentMtgRatesDataTable[[TickerName]:[SeriesNumValue]],4,0)</f>
        <v>91.5625</v>
      </c>
      <c r="M6" s="18" t="str">
        <f>CurrentMtgRatesDataTable8[[#This Row],[SeriesCharValue]]</f>
        <v>07/14/2015</v>
      </c>
      <c r="N6" s="19">
        <f t="shared" si="0"/>
        <v>19</v>
      </c>
      <c r="P6" s="16" t="str">
        <f t="shared" ref="P6:P48" si="1">IF(AND($N6&gt;30,$N6&lt;60),K6,"")</f>
        <v/>
      </c>
      <c r="Q6" s="19" t="str">
        <f t="shared" ref="Q6:Q48" si="2">IF(AND($N6&gt;30,$N6&lt;60),L6,"")</f>
        <v/>
      </c>
      <c r="R6" s="19" t="str">
        <f t="shared" ref="R6:R48" si="3">IF(AND($N6&gt;30,$N6&lt;60),TEXT(M6,"mmm"),"")</f>
        <v/>
      </c>
    </row>
    <row r="7" spans="1:18" s="13" customFormat="1">
      <c r="A7" s="27" t="s">
        <v>71</v>
      </c>
      <c r="B7" s="27" t="s">
        <v>19</v>
      </c>
      <c r="C7" s="28" t="s">
        <v>69</v>
      </c>
      <c r="D7" s="27">
        <v>91.5625</v>
      </c>
      <c r="F7" s="27" t="s">
        <v>21</v>
      </c>
      <c r="G7" s="28" t="s">
        <v>69</v>
      </c>
      <c r="H7" s="28" t="s">
        <v>20</v>
      </c>
      <c r="I7" s="28" t="s">
        <v>22</v>
      </c>
      <c r="K7" s="16" t="str">
        <f>CurrentMtgRatesDataTable8[[#This Row],[TickerName]]</f>
        <v>FNMA2.0-TBA-JUN</v>
      </c>
      <c r="L7" s="17">
        <f>VLOOKUP(K7,CurrentMtgRatesDataTable[[TickerName]:[SeriesNumValue]],4,0)</f>
        <v>91.679687999999999</v>
      </c>
      <c r="M7" s="18" t="str">
        <f>CurrentMtgRatesDataTable8[[#This Row],[SeriesCharValue]]</f>
        <v>06/11/2015</v>
      </c>
      <c r="N7" s="19">
        <f t="shared" si="0"/>
        <v>-14</v>
      </c>
      <c r="P7" s="16" t="str">
        <f t="shared" si="1"/>
        <v/>
      </c>
      <c r="Q7" s="19" t="str">
        <f t="shared" si="2"/>
        <v/>
      </c>
      <c r="R7" s="19" t="str">
        <f t="shared" si="3"/>
        <v/>
      </c>
    </row>
    <row r="8" spans="1:18" s="13" customFormat="1">
      <c r="A8" s="27" t="s">
        <v>72</v>
      </c>
      <c r="B8" s="27" t="s">
        <v>19</v>
      </c>
      <c r="C8" s="28" t="s">
        <v>69</v>
      </c>
      <c r="D8" s="27">
        <v>91.40625</v>
      </c>
      <c r="F8" s="27" t="s">
        <v>74</v>
      </c>
      <c r="G8" s="28" t="s">
        <v>69</v>
      </c>
      <c r="H8" s="28" t="s">
        <v>20</v>
      </c>
      <c r="I8" s="28" t="s">
        <v>107</v>
      </c>
      <c r="K8" s="16" t="str">
        <f>CurrentMtgRatesDataTable8[[#This Row],[TickerName]]</f>
        <v>FNMA2.0-TBA-SEP</v>
      </c>
      <c r="L8" s="17">
        <f>VLOOKUP(K8,CurrentMtgRatesDataTable[[TickerName]:[SeriesNumValue]],4,0)</f>
        <v>91.25</v>
      </c>
      <c r="M8" s="18" t="str">
        <f>CurrentMtgRatesDataTable8[[#This Row],[SeriesCharValue]]</f>
        <v>09/14/2015</v>
      </c>
      <c r="N8" s="19">
        <f t="shared" si="0"/>
        <v>81</v>
      </c>
      <c r="P8" s="16" t="str">
        <f t="shared" si="1"/>
        <v/>
      </c>
      <c r="Q8" s="19" t="str">
        <f t="shared" si="2"/>
        <v/>
      </c>
      <c r="R8" s="19" t="str">
        <f t="shared" si="3"/>
        <v/>
      </c>
    </row>
    <row r="9" spans="1:18" s="13" customFormat="1">
      <c r="A9" s="27" t="s">
        <v>73</v>
      </c>
      <c r="B9" s="27" t="s">
        <v>19</v>
      </c>
      <c r="C9" s="28" t="s">
        <v>69</v>
      </c>
      <c r="D9" s="27">
        <v>91.5625</v>
      </c>
      <c r="F9" s="27" t="s">
        <v>75</v>
      </c>
      <c r="G9" s="28" t="s">
        <v>69</v>
      </c>
      <c r="H9" s="28" t="s">
        <v>20</v>
      </c>
      <c r="I9" s="28" t="s">
        <v>105</v>
      </c>
      <c r="K9" s="16" t="str">
        <f>CurrentMtgRatesDataTable8[[#This Row],[TickerName]]</f>
        <v>FNMA2.5-TBA-AUG</v>
      </c>
      <c r="L9" s="17">
        <f>VLOOKUP(K9,CurrentMtgRatesDataTable[[TickerName]:[SeriesNumValue]],4,0)</f>
        <v>95.304687999999999</v>
      </c>
      <c r="M9" s="18" t="str">
        <f>CurrentMtgRatesDataTable8[[#This Row],[SeriesCharValue]]</f>
        <v>08/13/2015</v>
      </c>
      <c r="N9" s="19">
        <f t="shared" si="0"/>
        <v>49</v>
      </c>
      <c r="P9" s="16" t="str">
        <f t="shared" si="1"/>
        <v>FNMA2.5-TBA-AUG</v>
      </c>
      <c r="Q9" s="19">
        <f t="shared" si="2"/>
        <v>95.304687999999999</v>
      </c>
      <c r="R9" s="19" t="str">
        <f t="shared" si="3"/>
        <v>Aug</v>
      </c>
    </row>
    <row r="10" spans="1:18" s="13" customFormat="1">
      <c r="A10" s="27" t="s">
        <v>21</v>
      </c>
      <c r="B10" s="27" t="s">
        <v>19</v>
      </c>
      <c r="C10" s="28" t="s">
        <v>69</v>
      </c>
      <c r="D10" s="27">
        <v>91.679687999999999</v>
      </c>
      <c r="F10" s="27" t="s">
        <v>76</v>
      </c>
      <c r="G10" s="28" t="s">
        <v>69</v>
      </c>
      <c r="H10" s="28" t="s">
        <v>20</v>
      </c>
      <c r="I10" s="28" t="s">
        <v>106</v>
      </c>
      <c r="K10" s="16" t="str">
        <f>CurrentMtgRatesDataTable8[[#This Row],[TickerName]]</f>
        <v>FNMA2.5-TBA-JUL</v>
      </c>
      <c r="L10" s="17">
        <f>VLOOKUP(K10,CurrentMtgRatesDataTable[[TickerName]:[SeriesNumValue]],4,0)</f>
        <v>95.515625</v>
      </c>
      <c r="M10" s="18" t="str">
        <f>CurrentMtgRatesDataTable8[[#This Row],[SeriesCharValue]]</f>
        <v>07/14/2015</v>
      </c>
      <c r="N10" s="19">
        <f t="shared" si="0"/>
        <v>19</v>
      </c>
      <c r="P10" s="16" t="str">
        <f t="shared" si="1"/>
        <v/>
      </c>
      <c r="Q10" s="19" t="str">
        <f t="shared" si="2"/>
        <v/>
      </c>
      <c r="R10" s="19" t="str">
        <f t="shared" si="3"/>
        <v/>
      </c>
    </row>
    <row r="11" spans="1:18" s="13" customFormat="1">
      <c r="A11" s="27" t="s">
        <v>74</v>
      </c>
      <c r="B11" s="27" t="s">
        <v>19</v>
      </c>
      <c r="C11" s="28" t="s">
        <v>69</v>
      </c>
      <c r="D11" s="27">
        <v>91.25</v>
      </c>
      <c r="F11" s="27" t="s">
        <v>23</v>
      </c>
      <c r="G11" s="28" t="s">
        <v>69</v>
      </c>
      <c r="H11" s="28" t="s">
        <v>20</v>
      </c>
      <c r="I11" s="28" t="s">
        <v>22</v>
      </c>
      <c r="K11" s="16" t="str">
        <f>CurrentMtgRatesDataTable8[[#This Row],[TickerName]]</f>
        <v>FNMA2.5-TBA-JUN</v>
      </c>
      <c r="L11" s="17">
        <f>VLOOKUP(K11,CurrentMtgRatesDataTable[[TickerName]:[SeriesNumValue]],4,0)</f>
        <v>95.652343999999999</v>
      </c>
      <c r="M11" s="18" t="str">
        <f>CurrentMtgRatesDataTable8[[#This Row],[SeriesCharValue]]</f>
        <v>06/11/2015</v>
      </c>
      <c r="N11" s="19">
        <f t="shared" si="0"/>
        <v>-14</v>
      </c>
      <c r="P11" s="16" t="str">
        <f t="shared" si="1"/>
        <v/>
      </c>
      <c r="Q11" s="19" t="str">
        <f t="shared" si="2"/>
        <v/>
      </c>
      <c r="R11" s="19" t="str">
        <f t="shared" si="3"/>
        <v/>
      </c>
    </row>
    <row r="12" spans="1:18" s="13" customFormat="1">
      <c r="A12" s="27" t="s">
        <v>75</v>
      </c>
      <c r="B12" s="27" t="s">
        <v>19</v>
      </c>
      <c r="C12" s="28" t="s">
        <v>69</v>
      </c>
      <c r="D12" s="27">
        <v>95.304687999999999</v>
      </c>
      <c r="F12" s="27" t="s">
        <v>77</v>
      </c>
      <c r="G12" s="28" t="s">
        <v>69</v>
      </c>
      <c r="H12" s="28" t="s">
        <v>20</v>
      </c>
      <c r="I12" s="28" t="s">
        <v>107</v>
      </c>
      <c r="K12" s="16" t="str">
        <f>CurrentMtgRatesDataTable8[[#This Row],[TickerName]]</f>
        <v>FNMA2.5-TBA-SEP</v>
      </c>
      <c r="L12" s="17">
        <f>VLOOKUP(K12,CurrentMtgRatesDataTable[[TickerName]:[SeriesNumValue]],4,0)</f>
        <v>95.054687999999999</v>
      </c>
      <c r="M12" s="18" t="str">
        <f>CurrentMtgRatesDataTable8[[#This Row],[SeriesCharValue]]</f>
        <v>09/14/2015</v>
      </c>
      <c r="N12" s="19">
        <f t="shared" si="0"/>
        <v>81</v>
      </c>
      <c r="P12" s="16" t="str">
        <f t="shared" si="1"/>
        <v/>
      </c>
      <c r="Q12" s="19" t="str">
        <f t="shared" si="2"/>
        <v/>
      </c>
      <c r="R12" s="19" t="str">
        <f t="shared" si="3"/>
        <v/>
      </c>
    </row>
    <row r="13" spans="1:18" s="13" customFormat="1">
      <c r="A13" s="27" t="s">
        <v>43</v>
      </c>
      <c r="B13" s="27" t="s">
        <v>19</v>
      </c>
      <c r="C13" s="28" t="s">
        <v>69</v>
      </c>
      <c r="D13" s="27">
        <v>95.515625</v>
      </c>
      <c r="F13" s="27" t="s">
        <v>78</v>
      </c>
      <c r="G13" s="28" t="s">
        <v>69</v>
      </c>
      <c r="H13" s="28" t="s">
        <v>20</v>
      </c>
      <c r="I13" s="28" t="s">
        <v>105</v>
      </c>
      <c r="K13" s="16" t="str">
        <f>CurrentMtgRatesDataTable8[[#This Row],[TickerName]]</f>
        <v>FNMA3.0-TBA-AUG</v>
      </c>
      <c r="L13" s="17">
        <f>VLOOKUP(K13,CurrentMtgRatesDataTable[[TickerName]:[SeriesNumValue]],4,0)</f>
        <v>98.953125</v>
      </c>
      <c r="M13" s="18" t="str">
        <f>CurrentMtgRatesDataTable8[[#This Row],[SeriesCharValue]]</f>
        <v>08/13/2015</v>
      </c>
      <c r="N13" s="19">
        <f t="shared" si="0"/>
        <v>49</v>
      </c>
      <c r="P13" s="16" t="str">
        <f t="shared" si="1"/>
        <v>FNMA3.0-TBA-AUG</v>
      </c>
      <c r="Q13" s="19">
        <f t="shared" si="2"/>
        <v>98.953125</v>
      </c>
      <c r="R13" s="19" t="str">
        <f t="shared" si="3"/>
        <v>Aug</v>
      </c>
    </row>
    <row r="14" spans="1:18" s="13" customFormat="1">
      <c r="A14" s="27" t="s">
        <v>76</v>
      </c>
      <c r="B14" s="27" t="s">
        <v>19</v>
      </c>
      <c r="C14" s="28" t="s">
        <v>69</v>
      </c>
      <c r="D14" s="27">
        <v>95.515625</v>
      </c>
      <c r="F14" s="27" t="s">
        <v>79</v>
      </c>
      <c r="G14" s="28" t="s">
        <v>69</v>
      </c>
      <c r="H14" s="28" t="s">
        <v>20</v>
      </c>
      <c r="I14" s="28" t="s">
        <v>106</v>
      </c>
      <c r="K14" s="16" t="str">
        <f>CurrentMtgRatesDataTable8[[#This Row],[TickerName]]</f>
        <v>FNMA3.0-TBA-JUL</v>
      </c>
      <c r="L14" s="17">
        <f>VLOOKUP(K14,CurrentMtgRatesDataTable[[TickerName]:[SeriesNumValue]],4,0)</f>
        <v>99.203125</v>
      </c>
      <c r="M14" s="18" t="str">
        <f>CurrentMtgRatesDataTable8[[#This Row],[SeriesCharValue]]</f>
        <v>07/14/2015</v>
      </c>
      <c r="N14" s="19">
        <f t="shared" si="0"/>
        <v>19</v>
      </c>
      <c r="P14" s="16" t="str">
        <f t="shared" si="1"/>
        <v/>
      </c>
      <c r="Q14" s="19" t="str">
        <f t="shared" si="2"/>
        <v/>
      </c>
      <c r="R14" s="19" t="str">
        <f t="shared" si="3"/>
        <v/>
      </c>
    </row>
    <row r="15" spans="1:18" s="13" customFormat="1">
      <c r="A15" s="27" t="s">
        <v>23</v>
      </c>
      <c r="B15" s="27" t="s">
        <v>19</v>
      </c>
      <c r="C15" s="28" t="s">
        <v>69</v>
      </c>
      <c r="D15" s="27">
        <v>95.652343999999999</v>
      </c>
      <c r="F15" s="27" t="s">
        <v>24</v>
      </c>
      <c r="G15" s="28" t="s">
        <v>69</v>
      </c>
      <c r="H15" s="28" t="s">
        <v>20</v>
      </c>
      <c r="I15" s="28" t="s">
        <v>22</v>
      </c>
      <c r="K15" s="16" t="str">
        <f>CurrentMtgRatesDataTable8[[#This Row],[TickerName]]</f>
        <v>FNMA3.0-TBA-JUN</v>
      </c>
      <c r="L15" s="17">
        <f>VLOOKUP(K15,CurrentMtgRatesDataTable[[TickerName]:[SeriesNumValue]],4,0)</f>
        <v>99.351562000000001</v>
      </c>
      <c r="M15" s="18" t="str">
        <f>CurrentMtgRatesDataTable8[[#This Row],[SeriesCharValue]]</f>
        <v>06/11/2015</v>
      </c>
      <c r="N15" s="19">
        <f t="shared" si="0"/>
        <v>-14</v>
      </c>
      <c r="P15" s="16" t="str">
        <f t="shared" si="1"/>
        <v/>
      </c>
      <c r="Q15" s="19" t="str">
        <f t="shared" si="2"/>
        <v/>
      </c>
      <c r="R15" s="19" t="str">
        <f t="shared" si="3"/>
        <v/>
      </c>
    </row>
    <row r="16" spans="1:18" s="13" customFormat="1">
      <c r="A16" s="27" t="s">
        <v>77</v>
      </c>
      <c r="B16" s="27" t="s">
        <v>19</v>
      </c>
      <c r="C16" s="28" t="s">
        <v>69</v>
      </c>
      <c r="D16" s="27">
        <v>95.054687999999999</v>
      </c>
      <c r="F16" s="27" t="s">
        <v>80</v>
      </c>
      <c r="G16" s="28" t="s">
        <v>69</v>
      </c>
      <c r="H16" s="28" t="s">
        <v>20</v>
      </c>
      <c r="I16" s="28" t="s">
        <v>107</v>
      </c>
      <c r="K16" s="16" t="str">
        <f>CurrentMtgRatesDataTable8[[#This Row],[TickerName]]</f>
        <v>FNMA3.0-TBA-SEP</v>
      </c>
      <c r="L16" s="17">
        <f>VLOOKUP(K16,CurrentMtgRatesDataTable[[TickerName]:[SeriesNumValue]],4,0)</f>
        <v>98.683593999999999</v>
      </c>
      <c r="M16" s="18" t="str">
        <f>CurrentMtgRatesDataTable8[[#This Row],[SeriesCharValue]]</f>
        <v>09/14/2015</v>
      </c>
      <c r="N16" s="19">
        <f t="shared" si="0"/>
        <v>81</v>
      </c>
      <c r="P16" s="16" t="str">
        <f t="shared" si="1"/>
        <v/>
      </c>
      <c r="Q16" s="19" t="str">
        <f t="shared" si="2"/>
        <v/>
      </c>
      <c r="R16" s="19" t="str">
        <f t="shared" si="3"/>
        <v/>
      </c>
    </row>
    <row r="17" spans="1:18" s="13" customFormat="1">
      <c r="A17" s="27" t="s">
        <v>78</v>
      </c>
      <c r="B17" s="27" t="s">
        <v>19</v>
      </c>
      <c r="C17" s="28" t="s">
        <v>69</v>
      </c>
      <c r="D17" s="27">
        <v>98.953125</v>
      </c>
      <c r="F17" s="27" t="s">
        <v>81</v>
      </c>
      <c r="G17" s="28" t="s">
        <v>69</v>
      </c>
      <c r="H17" s="28" t="s">
        <v>20</v>
      </c>
      <c r="I17" s="28" t="s">
        <v>105</v>
      </c>
      <c r="K17" s="16" t="str">
        <f>CurrentMtgRatesDataTable8[[#This Row],[TickerName]]</f>
        <v>FNMA3.5-TBA-AUG</v>
      </c>
      <c r="L17" s="17">
        <f>VLOOKUP(K17,CurrentMtgRatesDataTable[[TickerName]:[SeriesNumValue]],4,0)</f>
        <v>102.503906</v>
      </c>
      <c r="M17" s="18" t="str">
        <f>CurrentMtgRatesDataTable8[[#This Row],[SeriesCharValue]]</f>
        <v>08/13/2015</v>
      </c>
      <c r="N17" s="19">
        <f t="shared" si="0"/>
        <v>49</v>
      </c>
      <c r="P17" s="16" t="str">
        <f t="shared" si="1"/>
        <v>FNMA3.5-TBA-AUG</v>
      </c>
      <c r="Q17" s="19">
        <f t="shared" si="2"/>
        <v>102.503906</v>
      </c>
      <c r="R17" s="19" t="str">
        <f t="shared" si="3"/>
        <v>Aug</v>
      </c>
    </row>
    <row r="18" spans="1:18" s="13" customFormat="1">
      <c r="A18" s="27" t="s">
        <v>44</v>
      </c>
      <c r="B18" s="27" t="s">
        <v>19</v>
      </c>
      <c r="C18" s="28" t="s">
        <v>69</v>
      </c>
      <c r="D18" s="27">
        <v>99.203125</v>
      </c>
      <c r="F18" s="27" t="s">
        <v>82</v>
      </c>
      <c r="G18" s="28" t="s">
        <v>69</v>
      </c>
      <c r="H18" s="28" t="s">
        <v>20</v>
      </c>
      <c r="I18" s="28" t="s">
        <v>106</v>
      </c>
      <c r="K18" s="16" t="str">
        <f>CurrentMtgRatesDataTable8[[#This Row],[TickerName]]</f>
        <v>FNMA3.5-TBA-JUL</v>
      </c>
      <c r="L18" s="17">
        <f>VLOOKUP(K18,CurrentMtgRatesDataTable[[TickerName]:[SeriesNumValue]],4,0)</f>
        <v>102.765625</v>
      </c>
      <c r="M18" s="18" t="str">
        <f>CurrentMtgRatesDataTable8[[#This Row],[SeriesCharValue]]</f>
        <v>07/14/2015</v>
      </c>
      <c r="N18" s="19">
        <f t="shared" si="0"/>
        <v>19</v>
      </c>
      <c r="P18" s="16" t="str">
        <f t="shared" si="1"/>
        <v/>
      </c>
      <c r="Q18" s="19" t="str">
        <f t="shared" si="2"/>
        <v/>
      </c>
      <c r="R18" s="19" t="str">
        <f t="shared" si="3"/>
        <v/>
      </c>
    </row>
    <row r="19" spans="1:18" s="13" customFormat="1">
      <c r="A19" s="27" t="s">
        <v>79</v>
      </c>
      <c r="B19" s="27" t="s">
        <v>19</v>
      </c>
      <c r="C19" s="28" t="s">
        <v>69</v>
      </c>
      <c r="D19" s="27">
        <v>99.203125</v>
      </c>
      <c r="F19" s="27" t="s">
        <v>25</v>
      </c>
      <c r="G19" s="28" t="s">
        <v>69</v>
      </c>
      <c r="H19" s="28" t="s">
        <v>20</v>
      </c>
      <c r="I19" s="28" t="s">
        <v>22</v>
      </c>
      <c r="K19" s="16" t="str">
        <f>CurrentMtgRatesDataTable8[[#This Row],[TickerName]]</f>
        <v>FNMA3.5-TBA-JUN</v>
      </c>
      <c r="L19" s="17">
        <f>VLOOKUP(K19,CurrentMtgRatesDataTable[[TickerName]:[SeriesNumValue]],4,0)</f>
        <v>102.921875</v>
      </c>
      <c r="M19" s="18" t="str">
        <f>CurrentMtgRatesDataTable8[[#This Row],[SeriesCharValue]]</f>
        <v>06/11/2015</v>
      </c>
      <c r="N19" s="19">
        <f t="shared" si="0"/>
        <v>-14</v>
      </c>
      <c r="P19" s="16" t="str">
        <f t="shared" si="1"/>
        <v/>
      </c>
      <c r="Q19" s="19" t="str">
        <f t="shared" si="2"/>
        <v/>
      </c>
      <c r="R19" s="19" t="str">
        <f t="shared" si="3"/>
        <v/>
      </c>
    </row>
    <row r="20" spans="1:18" s="13" customFormat="1">
      <c r="A20" s="27" t="s">
        <v>24</v>
      </c>
      <c r="B20" s="27" t="s">
        <v>19</v>
      </c>
      <c r="C20" s="28" t="s">
        <v>69</v>
      </c>
      <c r="D20" s="27">
        <v>99.351562000000001</v>
      </c>
      <c r="F20" s="27" t="s">
        <v>83</v>
      </c>
      <c r="G20" s="28" t="s">
        <v>69</v>
      </c>
      <c r="H20" s="28" t="s">
        <v>20</v>
      </c>
      <c r="I20" s="28" t="s">
        <v>107</v>
      </c>
      <c r="K20" s="16" t="str">
        <f>CurrentMtgRatesDataTable8[[#This Row],[TickerName]]</f>
        <v>FNMA3.5-TBA-SEP</v>
      </c>
      <c r="L20" s="17">
        <f>VLOOKUP(K20,CurrentMtgRatesDataTable[[TickerName]:[SeriesNumValue]],4,0)</f>
        <v>102.21875</v>
      </c>
      <c r="M20" s="18" t="str">
        <f>CurrentMtgRatesDataTable8[[#This Row],[SeriesCharValue]]</f>
        <v>09/14/2015</v>
      </c>
      <c r="N20" s="19">
        <f t="shared" si="0"/>
        <v>81</v>
      </c>
      <c r="P20" s="16" t="str">
        <f t="shared" si="1"/>
        <v/>
      </c>
      <c r="Q20" s="19" t="str">
        <f t="shared" si="2"/>
        <v/>
      </c>
      <c r="R20" s="19" t="str">
        <f t="shared" si="3"/>
        <v/>
      </c>
    </row>
    <row r="21" spans="1:18" s="13" customFormat="1">
      <c r="A21" s="27" t="s">
        <v>80</v>
      </c>
      <c r="B21" s="27" t="s">
        <v>19</v>
      </c>
      <c r="C21" s="28" t="s">
        <v>69</v>
      </c>
      <c r="D21" s="27">
        <v>98.683593999999999</v>
      </c>
      <c r="F21" s="27" t="s">
        <v>84</v>
      </c>
      <c r="G21" s="28" t="s">
        <v>69</v>
      </c>
      <c r="H21" s="28" t="s">
        <v>20</v>
      </c>
      <c r="I21" s="28" t="s">
        <v>105</v>
      </c>
      <c r="K21" s="16" t="str">
        <f>CurrentMtgRatesDataTable8[[#This Row],[TickerName]]</f>
        <v>FNMA4.0-TBA-AUG</v>
      </c>
      <c r="L21" s="17">
        <f>VLOOKUP(K21,CurrentMtgRatesDataTable[[TickerName]:[SeriesNumValue]],4,0)</f>
        <v>105.535156</v>
      </c>
      <c r="M21" s="18" t="str">
        <f>CurrentMtgRatesDataTable8[[#This Row],[SeriesCharValue]]</f>
        <v>08/13/2015</v>
      </c>
      <c r="N21" s="19">
        <f t="shared" si="0"/>
        <v>49</v>
      </c>
      <c r="P21" s="16" t="str">
        <f t="shared" si="1"/>
        <v>FNMA4.0-TBA-AUG</v>
      </c>
      <c r="Q21" s="19">
        <f t="shared" si="2"/>
        <v>105.535156</v>
      </c>
      <c r="R21" s="19" t="str">
        <f t="shared" si="3"/>
        <v>Aug</v>
      </c>
    </row>
    <row r="22" spans="1:18" s="13" customFormat="1">
      <c r="A22" s="27" t="s">
        <v>81</v>
      </c>
      <c r="B22" s="27" t="s">
        <v>19</v>
      </c>
      <c r="C22" s="28" t="s">
        <v>69</v>
      </c>
      <c r="D22" s="27">
        <v>102.503906</v>
      </c>
      <c r="F22" s="27" t="s">
        <v>85</v>
      </c>
      <c r="G22" s="28" t="s">
        <v>69</v>
      </c>
      <c r="H22" s="28" t="s">
        <v>20</v>
      </c>
      <c r="I22" s="28" t="s">
        <v>106</v>
      </c>
      <c r="K22" s="16" t="str">
        <f>CurrentMtgRatesDataTable8[[#This Row],[TickerName]]</f>
        <v>FNMA4.0-TBA-JUL</v>
      </c>
      <c r="L22" s="17">
        <f>VLOOKUP(K22,CurrentMtgRatesDataTable[[TickerName]:[SeriesNumValue]],4,0)</f>
        <v>105.765625</v>
      </c>
      <c r="M22" s="18" t="str">
        <f>CurrentMtgRatesDataTable8[[#This Row],[SeriesCharValue]]</f>
        <v>07/14/2015</v>
      </c>
      <c r="N22" s="19">
        <f t="shared" si="0"/>
        <v>19</v>
      </c>
      <c r="P22" s="16" t="str">
        <f t="shared" si="1"/>
        <v/>
      </c>
      <c r="Q22" s="19" t="str">
        <f t="shared" si="2"/>
        <v/>
      </c>
      <c r="R22" s="19" t="str">
        <f t="shared" si="3"/>
        <v/>
      </c>
    </row>
    <row r="23" spans="1:18" s="13" customFormat="1">
      <c r="A23" s="27" t="s">
        <v>45</v>
      </c>
      <c r="B23" s="27" t="s">
        <v>19</v>
      </c>
      <c r="C23" s="28" t="s">
        <v>69</v>
      </c>
      <c r="D23" s="27">
        <v>102.765625</v>
      </c>
      <c r="F23" s="27" t="s">
        <v>26</v>
      </c>
      <c r="G23" s="28" t="s">
        <v>69</v>
      </c>
      <c r="H23" s="28" t="s">
        <v>20</v>
      </c>
      <c r="I23" s="28" t="s">
        <v>22</v>
      </c>
      <c r="K23" s="16" t="str">
        <f>CurrentMtgRatesDataTable8[[#This Row],[TickerName]]</f>
        <v>FNMA4.0-TBA-JUN</v>
      </c>
      <c r="L23" s="17">
        <f>VLOOKUP(K23,CurrentMtgRatesDataTable[[TickerName]:[SeriesNumValue]],4,0)</f>
        <v>105.875</v>
      </c>
      <c r="M23" s="18" t="str">
        <f>CurrentMtgRatesDataTable8[[#This Row],[SeriesCharValue]]</f>
        <v>06/11/2015</v>
      </c>
      <c r="N23" s="19">
        <f t="shared" si="0"/>
        <v>-14</v>
      </c>
      <c r="P23" s="16" t="str">
        <f t="shared" si="1"/>
        <v/>
      </c>
      <c r="Q23" s="19" t="str">
        <f t="shared" si="2"/>
        <v/>
      </c>
      <c r="R23" s="19" t="str">
        <f t="shared" si="3"/>
        <v/>
      </c>
    </row>
    <row r="24" spans="1:18" s="13" customFormat="1">
      <c r="A24" s="27" t="s">
        <v>82</v>
      </c>
      <c r="B24" s="27" t="s">
        <v>19</v>
      </c>
      <c r="C24" s="28" t="s">
        <v>69</v>
      </c>
      <c r="D24" s="27">
        <v>102.765625</v>
      </c>
      <c r="F24" s="27" t="s">
        <v>86</v>
      </c>
      <c r="G24" s="28" t="s">
        <v>69</v>
      </c>
      <c r="H24" s="28" t="s">
        <v>20</v>
      </c>
      <c r="I24" s="28" t="s">
        <v>107</v>
      </c>
      <c r="K24" s="16" t="str">
        <f>CurrentMtgRatesDataTable8[[#This Row],[TickerName]]</f>
        <v>FNMA4.0-TBA-SEP</v>
      </c>
      <c r="L24" s="17">
        <f>VLOOKUP(K24,CurrentMtgRatesDataTable[[TickerName]:[SeriesNumValue]],4,0)</f>
        <v>105.261719</v>
      </c>
      <c r="M24" s="18" t="str">
        <f>CurrentMtgRatesDataTable8[[#This Row],[SeriesCharValue]]</f>
        <v>09/14/2015</v>
      </c>
      <c r="N24" s="19">
        <f t="shared" si="0"/>
        <v>81</v>
      </c>
      <c r="P24" s="16" t="str">
        <f t="shared" si="1"/>
        <v/>
      </c>
      <c r="Q24" s="19" t="str">
        <f t="shared" si="2"/>
        <v/>
      </c>
      <c r="R24" s="19" t="str">
        <f t="shared" si="3"/>
        <v/>
      </c>
    </row>
    <row r="25" spans="1:18" s="13" customFormat="1">
      <c r="A25" s="27" t="s">
        <v>25</v>
      </c>
      <c r="B25" s="27" t="s">
        <v>19</v>
      </c>
      <c r="C25" s="28" t="s">
        <v>69</v>
      </c>
      <c r="D25" s="27">
        <v>102.921875</v>
      </c>
      <c r="F25" s="27" t="s">
        <v>87</v>
      </c>
      <c r="G25" s="28" t="s">
        <v>69</v>
      </c>
      <c r="H25" s="28" t="s">
        <v>20</v>
      </c>
      <c r="I25" s="28" t="s">
        <v>105</v>
      </c>
      <c r="K25" s="16" t="str">
        <f>CurrentMtgRatesDataTable8[[#This Row],[TickerName]]</f>
        <v>FNMA4.5-TBA-AUG</v>
      </c>
      <c r="L25" s="17">
        <f>VLOOKUP(K25,CurrentMtgRatesDataTable[[TickerName]:[SeriesNumValue]],4,0)</f>
        <v>107.925781</v>
      </c>
      <c r="M25" s="18" t="str">
        <f>CurrentMtgRatesDataTable8[[#This Row],[SeriesCharValue]]</f>
        <v>08/13/2015</v>
      </c>
      <c r="N25" s="19">
        <f t="shared" si="0"/>
        <v>49</v>
      </c>
      <c r="P25" s="16" t="str">
        <f t="shared" si="1"/>
        <v>FNMA4.5-TBA-AUG</v>
      </c>
      <c r="Q25" s="19">
        <f t="shared" si="2"/>
        <v>107.925781</v>
      </c>
      <c r="R25" s="19" t="str">
        <f t="shared" si="3"/>
        <v>Aug</v>
      </c>
    </row>
    <row r="26" spans="1:18" s="13" customFormat="1">
      <c r="A26" s="27" t="s">
        <v>83</v>
      </c>
      <c r="B26" s="27" t="s">
        <v>19</v>
      </c>
      <c r="C26" s="28" t="s">
        <v>69</v>
      </c>
      <c r="D26" s="27">
        <v>102.21875</v>
      </c>
      <c r="F26" s="27" t="s">
        <v>88</v>
      </c>
      <c r="G26" s="28" t="s">
        <v>69</v>
      </c>
      <c r="H26" s="28" t="s">
        <v>20</v>
      </c>
      <c r="I26" s="28" t="s">
        <v>106</v>
      </c>
      <c r="K26" s="16" t="str">
        <f>CurrentMtgRatesDataTable8[[#This Row],[TickerName]]</f>
        <v>FNMA4.5-TBA-JUL</v>
      </c>
      <c r="L26" s="17">
        <f>VLOOKUP(K26,CurrentMtgRatesDataTable[[TickerName]:[SeriesNumValue]],4,0)</f>
        <v>108.078125</v>
      </c>
      <c r="M26" s="18" t="str">
        <f>CurrentMtgRatesDataTable8[[#This Row],[SeriesCharValue]]</f>
        <v>07/14/2015</v>
      </c>
      <c r="N26" s="19">
        <f t="shared" si="0"/>
        <v>19</v>
      </c>
      <c r="P26" s="16" t="str">
        <f t="shared" si="1"/>
        <v/>
      </c>
      <c r="Q26" s="19" t="str">
        <f t="shared" si="2"/>
        <v/>
      </c>
      <c r="R26" s="19" t="str">
        <f t="shared" si="3"/>
        <v/>
      </c>
    </row>
    <row r="27" spans="1:18" s="13" customFormat="1">
      <c r="A27" s="27" t="s">
        <v>84</v>
      </c>
      <c r="B27" s="27" t="s">
        <v>19</v>
      </c>
      <c r="C27" s="28" t="s">
        <v>69</v>
      </c>
      <c r="D27" s="27">
        <v>105.535156</v>
      </c>
      <c r="F27" s="27" t="s">
        <v>27</v>
      </c>
      <c r="G27" s="28" t="s">
        <v>69</v>
      </c>
      <c r="H27" s="28" t="s">
        <v>20</v>
      </c>
      <c r="I27" s="28" t="s">
        <v>22</v>
      </c>
      <c r="K27" s="16" t="str">
        <f>CurrentMtgRatesDataTable8[[#This Row],[TickerName]]</f>
        <v>FNMA4.5-TBA-JUN</v>
      </c>
      <c r="L27" s="17">
        <f>VLOOKUP(K27,CurrentMtgRatesDataTable[[TickerName]:[SeriesNumValue]],4,0)</f>
        <v>108.097656</v>
      </c>
      <c r="M27" s="18" t="str">
        <f>CurrentMtgRatesDataTable8[[#This Row],[SeriesCharValue]]</f>
        <v>06/11/2015</v>
      </c>
      <c r="N27" s="19">
        <f t="shared" si="0"/>
        <v>-14</v>
      </c>
      <c r="P27" s="16" t="str">
        <f t="shared" si="1"/>
        <v/>
      </c>
      <c r="Q27" s="19" t="str">
        <f t="shared" si="2"/>
        <v/>
      </c>
      <c r="R27" s="19" t="str">
        <f t="shared" si="3"/>
        <v/>
      </c>
    </row>
    <row r="28" spans="1:18" s="13" customFormat="1">
      <c r="A28" s="27" t="s">
        <v>46</v>
      </c>
      <c r="B28" s="27" t="s">
        <v>19</v>
      </c>
      <c r="C28" s="28" t="s">
        <v>69</v>
      </c>
      <c r="D28" s="27">
        <v>105.765625</v>
      </c>
      <c r="F28" s="27" t="s">
        <v>89</v>
      </c>
      <c r="G28" s="28" t="s">
        <v>69</v>
      </c>
      <c r="H28" s="28" t="s">
        <v>20</v>
      </c>
      <c r="I28" s="28" t="s">
        <v>107</v>
      </c>
      <c r="K28" s="16" t="str">
        <f>CurrentMtgRatesDataTable8[[#This Row],[TickerName]]</f>
        <v>FNMA4.5-TBA-SEP</v>
      </c>
      <c r="L28" s="17">
        <f>VLOOKUP(K28,CurrentMtgRatesDataTable[[TickerName]:[SeriesNumValue]],4,0)</f>
        <v>107.71875</v>
      </c>
      <c r="M28" s="18" t="str">
        <f>CurrentMtgRatesDataTable8[[#This Row],[SeriesCharValue]]</f>
        <v>09/14/2015</v>
      </c>
      <c r="N28" s="19">
        <f t="shared" si="0"/>
        <v>81</v>
      </c>
      <c r="P28" s="16" t="str">
        <f t="shared" si="1"/>
        <v/>
      </c>
      <c r="Q28" s="19" t="str">
        <f t="shared" si="2"/>
        <v/>
      </c>
      <c r="R28" s="19" t="str">
        <f t="shared" si="3"/>
        <v/>
      </c>
    </row>
    <row r="29" spans="1:18" s="13" customFormat="1">
      <c r="A29" s="27" t="s">
        <v>85</v>
      </c>
      <c r="B29" s="27" t="s">
        <v>19</v>
      </c>
      <c r="C29" s="28" t="s">
        <v>69</v>
      </c>
      <c r="D29" s="27">
        <v>105.765625</v>
      </c>
      <c r="F29" s="27" t="s">
        <v>90</v>
      </c>
      <c r="G29" s="28" t="s">
        <v>69</v>
      </c>
      <c r="H29" s="28" t="s">
        <v>20</v>
      </c>
      <c r="I29" s="28" t="s">
        <v>105</v>
      </c>
      <c r="K29" s="16" t="str">
        <f>CurrentMtgRatesDataTable8[[#This Row],[TickerName]]</f>
        <v>FNMA5.0-TBA-AUG</v>
      </c>
      <c r="L29" s="17">
        <f>VLOOKUP(K29,CurrentMtgRatesDataTable[[TickerName]:[SeriesNumValue]],4,0)</f>
        <v>110.34375</v>
      </c>
      <c r="M29" s="18" t="str">
        <f>CurrentMtgRatesDataTable8[[#This Row],[SeriesCharValue]]</f>
        <v>08/13/2015</v>
      </c>
      <c r="N29" s="19">
        <f t="shared" si="0"/>
        <v>49</v>
      </c>
      <c r="P29" s="16" t="str">
        <f t="shared" si="1"/>
        <v>FNMA5.0-TBA-AUG</v>
      </c>
      <c r="Q29" s="19">
        <f t="shared" si="2"/>
        <v>110.34375</v>
      </c>
      <c r="R29" s="19" t="str">
        <f t="shared" si="3"/>
        <v>Aug</v>
      </c>
    </row>
    <row r="30" spans="1:18" s="13" customFormat="1">
      <c r="A30" s="27" t="s">
        <v>26</v>
      </c>
      <c r="B30" s="27" t="s">
        <v>19</v>
      </c>
      <c r="C30" s="28" t="s">
        <v>69</v>
      </c>
      <c r="D30" s="27">
        <v>105.875</v>
      </c>
      <c r="F30" s="27" t="s">
        <v>91</v>
      </c>
      <c r="G30" s="28" t="s">
        <v>69</v>
      </c>
      <c r="H30" s="28" t="s">
        <v>20</v>
      </c>
      <c r="I30" s="28" t="s">
        <v>106</v>
      </c>
      <c r="K30" s="16" t="str">
        <f>CurrentMtgRatesDataTable8[[#This Row],[TickerName]]</f>
        <v>FNMA5.0-TBA-JUL</v>
      </c>
      <c r="L30" s="17">
        <f>VLOOKUP(K30,CurrentMtgRatesDataTable[[TickerName]:[SeriesNumValue]],4,0)</f>
        <v>110.4375</v>
      </c>
      <c r="M30" s="18" t="str">
        <f>CurrentMtgRatesDataTable8[[#This Row],[SeriesCharValue]]</f>
        <v>07/14/2015</v>
      </c>
      <c r="N30" s="19">
        <f t="shared" si="0"/>
        <v>19</v>
      </c>
      <c r="P30" s="16" t="str">
        <f t="shared" si="1"/>
        <v/>
      </c>
      <c r="Q30" s="19" t="str">
        <f t="shared" si="2"/>
        <v/>
      </c>
      <c r="R30" s="19" t="str">
        <f t="shared" si="3"/>
        <v/>
      </c>
    </row>
    <row r="31" spans="1:18" s="13" customFormat="1">
      <c r="A31" s="27" t="s">
        <v>86</v>
      </c>
      <c r="B31" s="27" t="s">
        <v>19</v>
      </c>
      <c r="C31" s="28" t="s">
        <v>69</v>
      </c>
      <c r="D31" s="27">
        <v>105.261719</v>
      </c>
      <c r="F31" s="27" t="s">
        <v>28</v>
      </c>
      <c r="G31" s="28" t="s">
        <v>69</v>
      </c>
      <c r="H31" s="28" t="s">
        <v>20</v>
      </c>
      <c r="I31" s="28" t="s">
        <v>22</v>
      </c>
      <c r="K31" s="16" t="str">
        <f>CurrentMtgRatesDataTable8[[#This Row],[TickerName]]</f>
        <v>FNMA5.0-TBA-JUN</v>
      </c>
      <c r="L31" s="17">
        <f>VLOOKUP(K31,CurrentMtgRatesDataTable[[TickerName]:[SeriesNumValue]],4,0)</f>
        <v>110.421875</v>
      </c>
      <c r="M31" s="18" t="str">
        <f>CurrentMtgRatesDataTable8[[#This Row],[SeriesCharValue]]</f>
        <v>06/11/2015</v>
      </c>
      <c r="N31" s="19">
        <f t="shared" si="0"/>
        <v>-14</v>
      </c>
      <c r="P31" s="16" t="str">
        <f t="shared" si="1"/>
        <v/>
      </c>
      <c r="Q31" s="19" t="str">
        <f t="shared" si="2"/>
        <v/>
      </c>
      <c r="R31" s="19" t="str">
        <f t="shared" si="3"/>
        <v/>
      </c>
    </row>
    <row r="32" spans="1:18" s="13" customFormat="1">
      <c r="A32" s="27" t="s">
        <v>87</v>
      </c>
      <c r="B32" s="27" t="s">
        <v>19</v>
      </c>
      <c r="C32" s="28" t="s">
        <v>69</v>
      </c>
      <c r="D32" s="27">
        <v>107.925781</v>
      </c>
      <c r="F32" s="27" t="s">
        <v>92</v>
      </c>
      <c r="G32" s="28" t="s">
        <v>69</v>
      </c>
      <c r="H32" s="28" t="s">
        <v>20</v>
      </c>
      <c r="I32" s="28" t="s">
        <v>107</v>
      </c>
      <c r="K32" s="16" t="str">
        <f>CurrentMtgRatesDataTable8[[#This Row],[TickerName]]</f>
        <v>FNMA5.0-TBA-SEP</v>
      </c>
      <c r="L32" s="17">
        <f>VLOOKUP(K32,CurrentMtgRatesDataTable[[TickerName]:[SeriesNumValue]],4,0)</f>
        <v>110.15625</v>
      </c>
      <c r="M32" s="18" t="str">
        <f>CurrentMtgRatesDataTable8[[#This Row],[SeriesCharValue]]</f>
        <v>09/14/2015</v>
      </c>
      <c r="N32" s="19">
        <f t="shared" si="0"/>
        <v>81</v>
      </c>
      <c r="P32" s="16" t="str">
        <f t="shared" si="1"/>
        <v/>
      </c>
      <c r="Q32" s="19" t="str">
        <f t="shared" si="2"/>
        <v/>
      </c>
      <c r="R32" s="19" t="str">
        <f t="shared" si="3"/>
        <v/>
      </c>
    </row>
    <row r="33" spans="1:18" s="13" customFormat="1">
      <c r="A33" s="27" t="s">
        <v>47</v>
      </c>
      <c r="B33" s="27" t="s">
        <v>19</v>
      </c>
      <c r="C33" s="28" t="s">
        <v>69</v>
      </c>
      <c r="D33" s="27">
        <v>108.078125</v>
      </c>
      <c r="F33" s="27" t="s">
        <v>93</v>
      </c>
      <c r="G33" s="28" t="s">
        <v>69</v>
      </c>
      <c r="H33" s="28" t="s">
        <v>20</v>
      </c>
      <c r="I33" s="28" t="s">
        <v>105</v>
      </c>
      <c r="K33" s="16" t="str">
        <f>CurrentMtgRatesDataTable8[[#This Row],[TickerName]]</f>
        <v>FNMA5.5-TBA-AUG</v>
      </c>
      <c r="L33" s="17">
        <f>VLOOKUP(K33,CurrentMtgRatesDataTable[[TickerName]:[SeriesNumValue]],4,0)</f>
        <v>112.351562</v>
      </c>
      <c r="M33" s="18" t="str">
        <f>CurrentMtgRatesDataTable8[[#This Row],[SeriesCharValue]]</f>
        <v>08/13/2015</v>
      </c>
      <c r="N33" s="19">
        <f t="shared" si="0"/>
        <v>49</v>
      </c>
      <c r="P33" s="16" t="str">
        <f t="shared" si="1"/>
        <v>FNMA5.5-TBA-AUG</v>
      </c>
      <c r="Q33" s="19">
        <f t="shared" si="2"/>
        <v>112.351562</v>
      </c>
      <c r="R33" s="19" t="str">
        <f t="shared" si="3"/>
        <v>Aug</v>
      </c>
    </row>
    <row r="34" spans="1:18" s="13" customFormat="1">
      <c r="A34" s="27" t="s">
        <v>88</v>
      </c>
      <c r="B34" s="27" t="s">
        <v>19</v>
      </c>
      <c r="C34" s="28" t="s">
        <v>69</v>
      </c>
      <c r="D34" s="27">
        <v>108.078125</v>
      </c>
      <c r="F34" s="27" t="s">
        <v>94</v>
      </c>
      <c r="G34" s="28" t="s">
        <v>69</v>
      </c>
      <c r="H34" s="28" t="s">
        <v>20</v>
      </c>
      <c r="I34" s="28" t="s">
        <v>106</v>
      </c>
      <c r="K34" s="16" t="str">
        <f>CurrentMtgRatesDataTable8[[#This Row],[TickerName]]</f>
        <v>FNMA5.5-TBA-JUL</v>
      </c>
      <c r="L34" s="17">
        <f>VLOOKUP(K34,CurrentMtgRatesDataTable[[TickerName]:[SeriesNumValue]],4,0)</f>
        <v>112.4375</v>
      </c>
      <c r="M34" s="18" t="str">
        <f>CurrentMtgRatesDataTable8[[#This Row],[SeriesCharValue]]</f>
        <v>07/14/2015</v>
      </c>
      <c r="N34" s="19">
        <f t="shared" si="0"/>
        <v>19</v>
      </c>
      <c r="P34" s="16" t="str">
        <f t="shared" si="1"/>
        <v/>
      </c>
      <c r="Q34" s="19" t="str">
        <f t="shared" si="2"/>
        <v/>
      </c>
      <c r="R34" s="19" t="str">
        <f t="shared" si="3"/>
        <v/>
      </c>
    </row>
    <row r="35" spans="1:18" s="13" customFormat="1">
      <c r="A35" s="27" t="s">
        <v>27</v>
      </c>
      <c r="B35" s="27" t="s">
        <v>19</v>
      </c>
      <c r="C35" s="28" t="s">
        <v>69</v>
      </c>
      <c r="D35" s="27">
        <v>108.097656</v>
      </c>
      <c r="F35" s="27" t="s">
        <v>29</v>
      </c>
      <c r="G35" s="28" t="s">
        <v>69</v>
      </c>
      <c r="H35" s="28" t="s">
        <v>20</v>
      </c>
      <c r="I35" s="28" t="s">
        <v>22</v>
      </c>
      <c r="K35" s="16" t="str">
        <f>CurrentMtgRatesDataTable8[[#This Row],[TickerName]]</f>
        <v>FNMA5.5-TBA-JUN</v>
      </c>
      <c r="L35" s="17">
        <f>VLOOKUP(K35,CurrentMtgRatesDataTable[[TickerName]:[SeriesNumValue]],4,0)</f>
        <v>112.402344</v>
      </c>
      <c r="M35" s="18" t="str">
        <f>CurrentMtgRatesDataTable8[[#This Row],[SeriesCharValue]]</f>
        <v>06/11/2015</v>
      </c>
      <c r="N35" s="19">
        <f t="shared" si="0"/>
        <v>-14</v>
      </c>
      <c r="P35" s="16" t="str">
        <f t="shared" si="1"/>
        <v/>
      </c>
      <c r="Q35" s="19" t="str">
        <f t="shared" si="2"/>
        <v/>
      </c>
      <c r="R35" s="19" t="str">
        <f t="shared" si="3"/>
        <v/>
      </c>
    </row>
    <row r="36" spans="1:18" s="13" customFormat="1">
      <c r="A36" s="27" t="s">
        <v>89</v>
      </c>
      <c r="B36" s="27" t="s">
        <v>19</v>
      </c>
      <c r="C36" s="28" t="s">
        <v>69</v>
      </c>
      <c r="D36" s="27">
        <v>107.71875</v>
      </c>
      <c r="F36" s="27" t="s">
        <v>95</v>
      </c>
      <c r="G36" s="28" t="s">
        <v>69</v>
      </c>
      <c r="H36" s="28" t="s">
        <v>20</v>
      </c>
      <c r="I36" s="28" t="s">
        <v>107</v>
      </c>
      <c r="K36" s="16" t="str">
        <f>CurrentMtgRatesDataTable8[[#This Row],[TickerName]]</f>
        <v>FNMA5.5-TBA-SEP</v>
      </c>
      <c r="L36" s="17">
        <f>VLOOKUP(K36,CurrentMtgRatesDataTable[[TickerName]:[SeriesNumValue]],4,0)</f>
        <v>112.164062</v>
      </c>
      <c r="M36" s="18" t="str">
        <f>CurrentMtgRatesDataTable8[[#This Row],[SeriesCharValue]]</f>
        <v>09/14/2015</v>
      </c>
      <c r="N36" s="19">
        <f t="shared" si="0"/>
        <v>81</v>
      </c>
      <c r="P36" s="16" t="str">
        <f t="shared" si="1"/>
        <v/>
      </c>
      <c r="Q36" s="19" t="str">
        <f t="shared" si="2"/>
        <v/>
      </c>
      <c r="R36" s="19" t="str">
        <f t="shared" si="3"/>
        <v/>
      </c>
    </row>
    <row r="37" spans="1:18" s="13" customFormat="1">
      <c r="A37" s="27" t="s">
        <v>90</v>
      </c>
      <c r="B37" s="27" t="s">
        <v>19</v>
      </c>
      <c r="C37" s="28" t="s">
        <v>69</v>
      </c>
      <c r="D37" s="27">
        <v>110.34375</v>
      </c>
      <c r="F37" s="27" t="s">
        <v>96</v>
      </c>
      <c r="G37" s="28" t="s">
        <v>69</v>
      </c>
      <c r="H37" s="28" t="s">
        <v>20</v>
      </c>
      <c r="I37" s="28" t="s">
        <v>105</v>
      </c>
      <c r="K37" s="16" t="str">
        <f>CurrentMtgRatesDataTable8[[#This Row],[TickerName]]</f>
        <v>FNMA6.0-TBA-AUG</v>
      </c>
      <c r="L37" s="17">
        <f>VLOOKUP(K37,CurrentMtgRatesDataTable[[TickerName]:[SeriesNumValue]],4,0)</f>
        <v>113.59375</v>
      </c>
      <c r="M37" s="18" t="str">
        <f>CurrentMtgRatesDataTable8[[#This Row],[SeriesCharValue]]</f>
        <v>08/13/2015</v>
      </c>
      <c r="N37" s="19">
        <f t="shared" si="0"/>
        <v>49</v>
      </c>
      <c r="P37" s="16" t="str">
        <f t="shared" si="1"/>
        <v>FNMA6.0-TBA-AUG</v>
      </c>
      <c r="Q37" s="19">
        <f t="shared" si="2"/>
        <v>113.59375</v>
      </c>
      <c r="R37" s="19" t="str">
        <f t="shared" si="3"/>
        <v>Aug</v>
      </c>
    </row>
    <row r="38" spans="1:18" s="13" customFormat="1">
      <c r="A38" s="27" t="s">
        <v>48</v>
      </c>
      <c r="B38" s="27" t="s">
        <v>19</v>
      </c>
      <c r="C38" s="28" t="s">
        <v>69</v>
      </c>
      <c r="D38" s="27">
        <v>110.4375</v>
      </c>
      <c r="F38" s="27" t="s">
        <v>97</v>
      </c>
      <c r="G38" s="28" t="s">
        <v>69</v>
      </c>
      <c r="H38" s="28" t="s">
        <v>20</v>
      </c>
      <c r="I38" s="28" t="s">
        <v>106</v>
      </c>
      <c r="K38" s="16" t="str">
        <f>CurrentMtgRatesDataTable8[[#This Row],[TickerName]]</f>
        <v>FNMA6.0-TBA-JUL</v>
      </c>
      <c r="L38" s="17">
        <f>VLOOKUP(K38,CurrentMtgRatesDataTable[[TickerName]:[SeriesNumValue]],4,0)</f>
        <v>113.6875</v>
      </c>
      <c r="M38" s="18" t="str">
        <f>CurrentMtgRatesDataTable8[[#This Row],[SeriesCharValue]]</f>
        <v>07/14/2015</v>
      </c>
      <c r="N38" s="19">
        <f t="shared" si="0"/>
        <v>19</v>
      </c>
      <c r="P38" s="16" t="str">
        <f t="shared" si="1"/>
        <v/>
      </c>
      <c r="Q38" s="19" t="str">
        <f t="shared" si="2"/>
        <v/>
      </c>
      <c r="R38" s="19" t="str">
        <f t="shared" si="3"/>
        <v/>
      </c>
    </row>
    <row r="39" spans="1:18" s="13" customFormat="1">
      <c r="A39" s="27" t="s">
        <v>91</v>
      </c>
      <c r="B39" s="27" t="s">
        <v>19</v>
      </c>
      <c r="C39" s="28" t="s">
        <v>69</v>
      </c>
      <c r="D39" s="27">
        <v>110.4375</v>
      </c>
      <c r="F39" s="27" t="s">
        <v>30</v>
      </c>
      <c r="G39" s="28" t="s">
        <v>69</v>
      </c>
      <c r="H39" s="28" t="s">
        <v>20</v>
      </c>
      <c r="I39" s="28" t="s">
        <v>22</v>
      </c>
      <c r="K39" s="16" t="str">
        <f>CurrentMtgRatesDataTable8[[#This Row],[TickerName]]</f>
        <v>FNMA6.0-TBA-JUN</v>
      </c>
      <c r="L39" s="17">
        <f>VLOOKUP(K39,CurrentMtgRatesDataTable[[TickerName]:[SeriesNumValue]],4,0)</f>
        <v>113.648438</v>
      </c>
      <c r="M39" s="18" t="str">
        <f>CurrentMtgRatesDataTable8[[#This Row],[SeriesCharValue]]</f>
        <v>06/11/2015</v>
      </c>
      <c r="N39" s="19">
        <f t="shared" si="0"/>
        <v>-14</v>
      </c>
      <c r="P39" s="16" t="str">
        <f t="shared" si="1"/>
        <v/>
      </c>
      <c r="Q39" s="19" t="str">
        <f t="shared" si="2"/>
        <v/>
      </c>
      <c r="R39" s="19" t="str">
        <f t="shared" si="3"/>
        <v/>
      </c>
    </row>
    <row r="40" spans="1:18" s="13" customFormat="1">
      <c r="A40" s="27" t="s">
        <v>28</v>
      </c>
      <c r="B40" s="27" t="s">
        <v>19</v>
      </c>
      <c r="C40" s="28" t="s">
        <v>69</v>
      </c>
      <c r="D40" s="27">
        <v>110.421875</v>
      </c>
      <c r="F40" s="27" t="s">
        <v>98</v>
      </c>
      <c r="G40" s="28" t="s">
        <v>69</v>
      </c>
      <c r="H40" s="28" t="s">
        <v>20</v>
      </c>
      <c r="I40" s="28" t="s">
        <v>107</v>
      </c>
      <c r="K40" s="16" t="str">
        <f>CurrentMtgRatesDataTable8[[#This Row],[TickerName]]</f>
        <v>FNMA6.0-TBA-SEP</v>
      </c>
      <c r="L40" s="17">
        <f>VLOOKUP(K40,CurrentMtgRatesDataTable[[TickerName]:[SeriesNumValue]],4,0)</f>
        <v>113.40625</v>
      </c>
      <c r="M40" s="18" t="str">
        <f>CurrentMtgRatesDataTable8[[#This Row],[SeriesCharValue]]</f>
        <v>09/14/2015</v>
      </c>
      <c r="N40" s="19">
        <f t="shared" si="0"/>
        <v>81</v>
      </c>
      <c r="P40" s="16" t="str">
        <f t="shared" si="1"/>
        <v/>
      </c>
      <c r="Q40" s="19" t="str">
        <f t="shared" si="2"/>
        <v/>
      </c>
      <c r="R40" s="19" t="str">
        <f t="shared" si="3"/>
        <v/>
      </c>
    </row>
    <row r="41" spans="1:18" s="13" customFormat="1">
      <c r="A41" s="27" t="s">
        <v>92</v>
      </c>
      <c r="B41" s="27" t="s">
        <v>19</v>
      </c>
      <c r="C41" s="28" t="s">
        <v>69</v>
      </c>
      <c r="D41" s="27">
        <v>110.15625</v>
      </c>
      <c r="F41" s="27" t="s">
        <v>99</v>
      </c>
      <c r="G41" s="28" t="s">
        <v>69</v>
      </c>
      <c r="H41" s="28" t="s">
        <v>20</v>
      </c>
      <c r="I41" s="28" t="s">
        <v>105</v>
      </c>
      <c r="K41" s="16" t="str">
        <f>CurrentMtgRatesDataTable8[[#This Row],[TickerName]]</f>
        <v>FNMA6.5-TBA-AUG</v>
      </c>
      <c r="L41" s="17">
        <f>VLOOKUP(K41,CurrentMtgRatesDataTable[[TickerName]:[SeriesNumValue]],4,0)</f>
        <v>114.96875</v>
      </c>
      <c r="M41" s="18" t="str">
        <f>CurrentMtgRatesDataTable8[[#This Row],[SeriesCharValue]]</f>
        <v>08/13/2015</v>
      </c>
      <c r="N41" s="19">
        <f t="shared" si="0"/>
        <v>49</v>
      </c>
      <c r="P41" s="16" t="str">
        <f t="shared" si="1"/>
        <v>FNMA6.5-TBA-AUG</v>
      </c>
      <c r="Q41" s="19">
        <f t="shared" si="2"/>
        <v>114.96875</v>
      </c>
      <c r="R41" s="19" t="str">
        <f t="shared" si="3"/>
        <v>Aug</v>
      </c>
    </row>
    <row r="42" spans="1:18" s="13" customFormat="1">
      <c r="A42" s="27" t="s">
        <v>93</v>
      </c>
      <c r="B42" s="27" t="s">
        <v>19</v>
      </c>
      <c r="C42" s="28" t="s">
        <v>69</v>
      </c>
      <c r="D42" s="27">
        <v>112.351562</v>
      </c>
      <c r="F42" s="27" t="s">
        <v>100</v>
      </c>
      <c r="G42" s="28" t="s">
        <v>69</v>
      </c>
      <c r="H42" s="28" t="s">
        <v>20</v>
      </c>
      <c r="I42" s="28" t="s">
        <v>106</v>
      </c>
      <c r="K42" s="16" t="str">
        <f>CurrentMtgRatesDataTable8[[#This Row],[TickerName]]</f>
        <v>FNMA6.5-TBA-JUL</v>
      </c>
      <c r="L42" s="17">
        <f>VLOOKUP(K42,CurrentMtgRatesDataTable[[TickerName]:[SeriesNumValue]],4,0)</f>
        <v>115.0625</v>
      </c>
      <c r="M42" s="18" t="str">
        <f>CurrentMtgRatesDataTable8[[#This Row],[SeriesCharValue]]</f>
        <v>07/14/2015</v>
      </c>
      <c r="N42" s="19">
        <f t="shared" si="0"/>
        <v>19</v>
      </c>
      <c r="P42" s="16" t="str">
        <f t="shared" si="1"/>
        <v/>
      </c>
      <c r="Q42" s="19" t="str">
        <f t="shared" si="2"/>
        <v/>
      </c>
      <c r="R42" s="19" t="str">
        <f t="shared" si="3"/>
        <v/>
      </c>
    </row>
    <row r="43" spans="1:18" s="13" customFormat="1">
      <c r="A43" s="27" t="s">
        <v>49</v>
      </c>
      <c r="B43" s="27" t="s">
        <v>19</v>
      </c>
      <c r="C43" s="28" t="s">
        <v>69</v>
      </c>
      <c r="D43" s="27">
        <v>112.4375</v>
      </c>
      <c r="F43" s="27" t="s">
        <v>31</v>
      </c>
      <c r="G43" s="28" t="s">
        <v>69</v>
      </c>
      <c r="H43" s="28" t="s">
        <v>20</v>
      </c>
      <c r="I43" s="28" t="s">
        <v>22</v>
      </c>
      <c r="K43" s="16" t="str">
        <f>CurrentMtgRatesDataTable8[[#This Row],[TickerName]]</f>
        <v>FNMA6.5-TBA-JUN</v>
      </c>
      <c r="L43" s="17">
        <f>VLOOKUP(K43,CurrentMtgRatesDataTable[[TickerName]:[SeriesNumValue]],4,0)</f>
        <v>115.015625</v>
      </c>
      <c r="M43" s="18" t="str">
        <f>CurrentMtgRatesDataTable8[[#This Row],[SeriesCharValue]]</f>
        <v>06/11/2015</v>
      </c>
      <c r="N43" s="19">
        <f t="shared" si="0"/>
        <v>-14</v>
      </c>
      <c r="P43" s="16" t="str">
        <f t="shared" si="1"/>
        <v/>
      </c>
      <c r="Q43" s="19" t="str">
        <f t="shared" si="2"/>
        <v/>
      </c>
      <c r="R43" s="19" t="str">
        <f t="shared" si="3"/>
        <v/>
      </c>
    </row>
    <row r="44" spans="1:18" s="13" customFormat="1">
      <c r="A44" s="27" t="s">
        <v>94</v>
      </c>
      <c r="B44" s="27" t="s">
        <v>19</v>
      </c>
      <c r="C44" s="28" t="s">
        <v>69</v>
      </c>
      <c r="D44" s="27">
        <v>112.4375</v>
      </c>
      <c r="F44" s="27" t="s">
        <v>101</v>
      </c>
      <c r="G44" s="28" t="s">
        <v>69</v>
      </c>
      <c r="H44" s="28" t="s">
        <v>20</v>
      </c>
      <c r="I44" s="28" t="s">
        <v>107</v>
      </c>
      <c r="K44" s="16" t="str">
        <f>CurrentMtgRatesDataTable8[[#This Row],[TickerName]]</f>
        <v>FNMA6.5-TBA-SEP</v>
      </c>
      <c r="L44" s="17">
        <f>VLOOKUP(K44,CurrentMtgRatesDataTable[[TickerName]:[SeriesNumValue]],4,0)</f>
        <v>114.78125</v>
      </c>
      <c r="M44" s="18" t="str">
        <f>CurrentMtgRatesDataTable8[[#This Row],[SeriesCharValue]]</f>
        <v>09/14/2015</v>
      </c>
      <c r="N44" s="19">
        <f t="shared" si="0"/>
        <v>81</v>
      </c>
      <c r="P44" s="16" t="str">
        <f t="shared" si="1"/>
        <v/>
      </c>
      <c r="Q44" s="19" t="str">
        <f t="shared" si="2"/>
        <v/>
      </c>
      <c r="R44" s="19" t="str">
        <f t="shared" si="3"/>
        <v/>
      </c>
    </row>
    <row r="45" spans="1:18" s="13" customFormat="1">
      <c r="A45" s="27" t="s">
        <v>29</v>
      </c>
      <c r="B45" s="27" t="s">
        <v>19</v>
      </c>
      <c r="C45" s="28" t="s">
        <v>69</v>
      </c>
      <c r="D45" s="27">
        <v>112.402344</v>
      </c>
      <c r="F45" s="27" t="s">
        <v>102</v>
      </c>
      <c r="G45" s="28" t="s">
        <v>69</v>
      </c>
      <c r="H45" s="28" t="s">
        <v>20</v>
      </c>
      <c r="I45" s="28" t="s">
        <v>105</v>
      </c>
      <c r="K45" s="16" t="str">
        <f>CurrentMtgRatesDataTable8[[#This Row],[TickerName]]</f>
        <v>FNMA7.0-TBA-AUG</v>
      </c>
      <c r="L45" s="17">
        <f>VLOOKUP(K45,CurrentMtgRatesDataTable[[TickerName]:[SeriesNumValue]],4,0)</f>
        <v>115.25</v>
      </c>
      <c r="M45" s="18" t="str">
        <f>CurrentMtgRatesDataTable8[[#This Row],[SeriesCharValue]]</f>
        <v>08/13/2015</v>
      </c>
      <c r="N45" s="19">
        <f t="shared" si="0"/>
        <v>49</v>
      </c>
      <c r="P45" s="16" t="str">
        <f t="shared" si="1"/>
        <v>FNMA7.0-TBA-AUG</v>
      </c>
      <c r="Q45" s="19">
        <f t="shared" si="2"/>
        <v>115.25</v>
      </c>
      <c r="R45" s="19" t="str">
        <f t="shared" si="3"/>
        <v>Aug</v>
      </c>
    </row>
    <row r="46" spans="1:18" s="13" customFormat="1">
      <c r="A46" s="27" t="s">
        <v>95</v>
      </c>
      <c r="B46" s="27" t="s">
        <v>19</v>
      </c>
      <c r="C46" s="28" t="s">
        <v>69</v>
      </c>
      <c r="D46" s="27">
        <v>112.164062</v>
      </c>
      <c r="F46" s="27" t="s">
        <v>103</v>
      </c>
      <c r="G46" s="28" t="s">
        <v>69</v>
      </c>
      <c r="H46" s="28" t="s">
        <v>20</v>
      </c>
      <c r="I46" s="28" t="s">
        <v>106</v>
      </c>
      <c r="K46" s="16" t="str">
        <f>CurrentMtgRatesDataTable8[[#This Row],[TickerName]]</f>
        <v>FNMA7.0-TBA-JUL</v>
      </c>
      <c r="L46" s="17">
        <f>VLOOKUP(K46,CurrentMtgRatesDataTable[[TickerName]:[SeriesNumValue]],4,0)</f>
        <v>115.28125</v>
      </c>
      <c r="M46" s="18" t="str">
        <f>CurrentMtgRatesDataTable8[[#This Row],[SeriesCharValue]]</f>
        <v>07/14/2015</v>
      </c>
      <c r="N46" s="19">
        <f t="shared" si="0"/>
        <v>19</v>
      </c>
      <c r="P46" s="16" t="str">
        <f t="shared" si="1"/>
        <v/>
      </c>
      <c r="Q46" s="19" t="str">
        <f t="shared" si="2"/>
        <v/>
      </c>
      <c r="R46" s="19" t="str">
        <f t="shared" si="3"/>
        <v/>
      </c>
    </row>
    <row r="47" spans="1:18" s="13" customFormat="1">
      <c r="A47" s="27" t="s">
        <v>96</v>
      </c>
      <c r="B47" s="27" t="s">
        <v>19</v>
      </c>
      <c r="C47" s="28" t="s">
        <v>69</v>
      </c>
      <c r="D47" s="27">
        <v>113.59375</v>
      </c>
      <c r="F47" s="13" t="s">
        <v>32</v>
      </c>
      <c r="G47" s="14" t="s">
        <v>69</v>
      </c>
      <c r="H47" s="14" t="s">
        <v>20</v>
      </c>
      <c r="I47" s="14" t="s">
        <v>22</v>
      </c>
      <c r="K47" s="16" t="str">
        <f>CurrentMtgRatesDataTable8[[#This Row],[TickerName]]</f>
        <v>FNMA7.0-TBA-JUN</v>
      </c>
      <c r="L47" s="17">
        <f>VLOOKUP(K47,CurrentMtgRatesDataTable[[TickerName]:[SeriesNumValue]],4,0)</f>
        <v>115.257812</v>
      </c>
      <c r="M47" s="18" t="str">
        <f>CurrentMtgRatesDataTable8[[#This Row],[SeriesCharValue]]</f>
        <v>06/11/2015</v>
      </c>
      <c r="N47" s="19">
        <f t="shared" si="0"/>
        <v>-14</v>
      </c>
      <c r="P47" s="16" t="str">
        <f t="shared" si="1"/>
        <v/>
      </c>
      <c r="Q47" s="19" t="str">
        <f t="shared" si="2"/>
        <v/>
      </c>
      <c r="R47" s="19" t="str">
        <f t="shared" si="3"/>
        <v/>
      </c>
    </row>
    <row r="48" spans="1:18" s="13" customFormat="1">
      <c r="A48" s="27" t="s">
        <v>50</v>
      </c>
      <c r="B48" s="27" t="s">
        <v>19</v>
      </c>
      <c r="C48" s="28" t="s">
        <v>69</v>
      </c>
      <c r="D48" s="27">
        <v>113.6875</v>
      </c>
      <c r="F48" s="13" t="s">
        <v>104</v>
      </c>
      <c r="G48" s="14" t="s">
        <v>69</v>
      </c>
      <c r="H48" s="14" t="s">
        <v>20</v>
      </c>
      <c r="I48" s="14" t="s">
        <v>107</v>
      </c>
      <c r="K48" s="20" t="str">
        <f>CurrentMtgRatesDataTable8[[#This Row],[TickerName]]</f>
        <v>FNMA7.0-TBA-SEP</v>
      </c>
      <c r="L48" s="21">
        <f>VLOOKUP(K48,CurrentMtgRatesDataTable[[TickerName]:[SeriesNumValue]],4,0)</f>
        <v>115.21875</v>
      </c>
      <c r="M48" s="18" t="str">
        <f>CurrentMtgRatesDataTable8[[#This Row],[SeriesCharValue]]</f>
        <v>09/14/2015</v>
      </c>
      <c r="N48" s="22">
        <f t="shared" si="0"/>
        <v>81</v>
      </c>
      <c r="P48" s="20" t="str">
        <f t="shared" si="1"/>
        <v/>
      </c>
      <c r="Q48" s="22" t="str">
        <f t="shared" si="2"/>
        <v/>
      </c>
      <c r="R48" s="22" t="str">
        <f t="shared" si="3"/>
        <v/>
      </c>
    </row>
    <row r="49" spans="1:18" s="13" customFormat="1">
      <c r="A49" s="27" t="s">
        <v>97</v>
      </c>
      <c r="B49" s="27" t="s">
        <v>19</v>
      </c>
      <c r="C49" s="28" t="s">
        <v>69</v>
      </c>
      <c r="D49" s="27">
        <v>113.6875</v>
      </c>
      <c r="F49" s="15"/>
      <c r="G49" s="15"/>
      <c r="H49" s="15"/>
      <c r="I49" s="15"/>
      <c r="J49" s="15"/>
      <c r="K49" s="15"/>
      <c r="L49" s="15"/>
      <c r="M49" s="15"/>
      <c r="N49" s="15"/>
    </row>
    <row r="50" spans="1:18" s="13" customFormat="1">
      <c r="A50" s="27" t="s">
        <v>30</v>
      </c>
      <c r="B50" s="27" t="s">
        <v>19</v>
      </c>
      <c r="C50" s="28" t="s">
        <v>69</v>
      </c>
      <c r="D50" s="27">
        <v>113.648438</v>
      </c>
      <c r="F50" s="15"/>
      <c r="G50" s="15"/>
      <c r="H50" s="15"/>
      <c r="I50" s="15"/>
      <c r="J50" s="15"/>
      <c r="K50" s="15"/>
      <c r="L50" s="15"/>
      <c r="M50" s="15"/>
      <c r="N50" s="15"/>
    </row>
    <row r="51" spans="1:18" s="13" customFormat="1">
      <c r="A51" s="27" t="s">
        <v>98</v>
      </c>
      <c r="B51" s="27" t="s">
        <v>19</v>
      </c>
      <c r="C51" s="28" t="s">
        <v>69</v>
      </c>
      <c r="D51" s="27">
        <v>113.40625</v>
      </c>
      <c r="H51" s="15"/>
      <c r="I51" s="15"/>
      <c r="J51" s="15"/>
      <c r="K51" s="15"/>
      <c r="L51" s="15"/>
      <c r="M51" s="15"/>
      <c r="N51" s="15"/>
      <c r="O51" s="15"/>
    </row>
    <row r="52" spans="1:18" s="13" customFormat="1">
      <c r="A52" s="27" t="s">
        <v>99</v>
      </c>
      <c r="B52" s="27" t="s">
        <v>19</v>
      </c>
      <c r="C52" s="28" t="s">
        <v>69</v>
      </c>
      <c r="D52" s="27">
        <v>114.96875</v>
      </c>
      <c r="H52" s="15"/>
      <c r="I52" s="15"/>
      <c r="J52" s="15"/>
      <c r="K52" s="15"/>
      <c r="L52" s="15"/>
      <c r="M52" s="15"/>
      <c r="N52" s="15"/>
      <c r="O52" s="15"/>
    </row>
    <row r="53" spans="1:18" s="13" customFormat="1">
      <c r="A53" s="27" t="s">
        <v>51</v>
      </c>
      <c r="B53" s="27" t="s">
        <v>19</v>
      </c>
      <c r="C53" s="28" t="s">
        <v>69</v>
      </c>
      <c r="D53" s="27">
        <v>115.0625</v>
      </c>
      <c r="H53" s="15"/>
      <c r="I53" s="15"/>
      <c r="J53" s="15"/>
      <c r="K53" s="15"/>
      <c r="L53" s="15"/>
      <c r="M53" s="15"/>
      <c r="N53" s="15"/>
      <c r="O53" s="15"/>
    </row>
    <row r="54" spans="1:18" s="13" customFormat="1">
      <c r="A54" s="27" t="s">
        <v>100</v>
      </c>
      <c r="B54" s="27" t="s">
        <v>19</v>
      </c>
      <c r="C54" s="28" t="s">
        <v>69</v>
      </c>
      <c r="D54" s="27">
        <v>115.0625</v>
      </c>
      <c r="H54" s="15"/>
      <c r="I54" s="15"/>
      <c r="J54" s="15"/>
      <c r="K54" s="15"/>
      <c r="L54" s="15"/>
      <c r="M54" s="15"/>
      <c r="N54" s="15"/>
      <c r="O54" s="15"/>
    </row>
    <row r="55" spans="1:18" s="13" customFormat="1">
      <c r="A55" s="27" t="s">
        <v>31</v>
      </c>
      <c r="B55" s="27" t="s">
        <v>19</v>
      </c>
      <c r="C55" s="28" t="s">
        <v>69</v>
      </c>
      <c r="D55" s="27">
        <v>115.015625</v>
      </c>
      <c r="H55" s="15"/>
      <c r="I55" s="15"/>
      <c r="J55" s="15"/>
      <c r="K55" s="15"/>
      <c r="L55" s="15"/>
      <c r="M55" s="15"/>
      <c r="N55" s="15"/>
      <c r="O55" s="15"/>
    </row>
    <row r="56" spans="1:18" s="13" customFormat="1">
      <c r="A56" s="27" t="s">
        <v>101</v>
      </c>
      <c r="B56" s="27" t="s">
        <v>19</v>
      </c>
      <c r="C56" s="28" t="s">
        <v>69</v>
      </c>
      <c r="D56" s="27">
        <v>114.78125</v>
      </c>
      <c r="H56" s="15"/>
      <c r="I56" s="15"/>
      <c r="J56" s="15"/>
      <c r="K56" s="15"/>
      <c r="L56" s="15"/>
      <c r="M56" s="15"/>
      <c r="N56" s="15"/>
      <c r="O56" s="15"/>
    </row>
    <row r="57" spans="1:18" s="13" customFormat="1">
      <c r="A57" s="27" t="s">
        <v>102</v>
      </c>
      <c r="B57" s="27" t="s">
        <v>19</v>
      </c>
      <c r="C57" s="28" t="s">
        <v>69</v>
      </c>
      <c r="D57" s="27">
        <v>115.25</v>
      </c>
      <c r="H57" s="15"/>
      <c r="I57" s="15"/>
      <c r="J57" s="15"/>
      <c r="K57" s="15"/>
      <c r="L57" s="15"/>
      <c r="M57" s="15"/>
      <c r="N57" s="15"/>
      <c r="O57" s="15"/>
    </row>
    <row r="58" spans="1:18" s="13" customFormat="1">
      <c r="A58" s="13" t="s">
        <v>52</v>
      </c>
      <c r="B58" s="13" t="s">
        <v>19</v>
      </c>
      <c r="C58" s="14" t="s">
        <v>69</v>
      </c>
      <c r="D58" s="13">
        <v>115.28125</v>
      </c>
      <c r="H58" s="15"/>
      <c r="I58" s="15"/>
      <c r="J58" s="15"/>
      <c r="K58" s="15"/>
      <c r="L58" s="15"/>
      <c r="M58" s="15"/>
      <c r="N58" s="15"/>
      <c r="O58" s="15"/>
    </row>
    <row r="59" spans="1:18" s="13" customFormat="1">
      <c r="A59" s="13" t="s">
        <v>103</v>
      </c>
      <c r="B59" s="13" t="s">
        <v>19</v>
      </c>
      <c r="C59" s="14" t="s">
        <v>69</v>
      </c>
      <c r="D59" s="13">
        <v>115.28125</v>
      </c>
      <c r="H59" s="15"/>
      <c r="I59" s="15"/>
      <c r="J59" s="15"/>
      <c r="K59" s="15"/>
      <c r="L59" s="15"/>
      <c r="M59" s="15"/>
      <c r="N59" s="15"/>
      <c r="O59" s="15"/>
    </row>
    <row r="60" spans="1:18" s="13" customFormat="1">
      <c r="A60" s="13" t="s">
        <v>32</v>
      </c>
      <c r="B60" s="13" t="s">
        <v>19</v>
      </c>
      <c r="C60" s="14" t="s">
        <v>69</v>
      </c>
      <c r="D60" s="13">
        <v>115.257812</v>
      </c>
      <c r="H60" s="15"/>
      <c r="I60" s="15"/>
      <c r="J60" s="15"/>
      <c r="K60" s="15"/>
      <c r="L60" s="15"/>
      <c r="M60" s="15"/>
      <c r="N60" s="15"/>
      <c r="O60" s="15"/>
    </row>
    <row r="61" spans="1:18" s="13" customFormat="1">
      <c r="A61" s="13" t="s">
        <v>104</v>
      </c>
      <c r="B61" s="13" t="s">
        <v>19</v>
      </c>
      <c r="C61" s="14" t="s">
        <v>69</v>
      </c>
      <c r="D61" s="13">
        <v>115.21875</v>
      </c>
      <c r="H61" s="15"/>
      <c r="I61" s="15"/>
      <c r="J61" s="15"/>
      <c r="K61" s="15"/>
      <c r="L61" s="15"/>
      <c r="M61" s="15"/>
      <c r="N61" s="15"/>
      <c r="O61" s="15"/>
    </row>
    <row r="62" spans="1:18" s="13" customFormat="1"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</row>
    <row r="63" spans="1:18" s="13" customFormat="1"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</row>
    <row r="64" spans="1:18" s="13" customFormat="1"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</row>
    <row r="65" spans="1:18" s="13" customFormat="1"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</row>
    <row r="66" spans="1:18" s="13" customFormat="1"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</row>
    <row r="67" spans="1:18" s="13" customFormat="1"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</row>
    <row r="68" spans="1:18" s="13" customFormat="1"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</row>
    <row r="69" spans="1:18" s="13" customFormat="1"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</row>
    <row r="70" spans="1:18" s="13" customFormat="1"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</row>
    <row r="71" spans="1:18" s="13" customFormat="1"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</row>
    <row r="72" spans="1:18" s="13" customFormat="1"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</row>
    <row r="73" spans="1:18" s="13" customFormat="1"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</row>
    <row r="74" spans="1:18" s="13" customFormat="1"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</row>
    <row r="75" spans="1:18" s="13" customFormat="1"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</row>
    <row r="76" spans="1:18" s="13" customFormat="1"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</row>
    <row r="77" spans="1:18" s="13" customFormat="1"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</row>
    <row r="78" spans="1:18" s="13" customFormat="1"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</row>
    <row r="79" spans="1:18" s="15" customFormat="1">
      <c r="A79" s="13"/>
      <c r="B79" s="13"/>
      <c r="C79" s="13"/>
      <c r="D79" s="13"/>
      <c r="E79" s="13"/>
      <c r="F79" s="13"/>
    </row>
    <row r="80" spans="1:18" s="15" customFormat="1">
      <c r="A80" s="13"/>
      <c r="B80" s="13"/>
      <c r="C80" s="13"/>
      <c r="D80" s="13"/>
      <c r="E80" s="13"/>
      <c r="F80" s="13"/>
    </row>
    <row r="81" spans="1:6" s="15" customFormat="1">
      <c r="A81" s="13"/>
      <c r="B81" s="13"/>
      <c r="C81" s="13"/>
      <c r="D81" s="13"/>
      <c r="E81" s="13"/>
      <c r="F81" s="13"/>
    </row>
    <row r="82" spans="1:6" s="15" customFormat="1">
      <c r="A82" s="13"/>
      <c r="B82" s="13"/>
      <c r="C82" s="13"/>
      <c r="D82" s="13"/>
      <c r="E82" s="13"/>
      <c r="F82" s="13"/>
    </row>
    <row r="83" spans="1:6" s="15" customFormat="1">
      <c r="A83" s="13"/>
      <c r="B83" s="13"/>
      <c r="C83" s="13"/>
      <c r="D83" s="13"/>
      <c r="E83" s="13"/>
      <c r="F83" s="13"/>
    </row>
    <row r="84" spans="1:6" s="15" customFormat="1">
      <c r="A84" s="13"/>
      <c r="B84" s="13"/>
      <c r="C84" s="13"/>
      <c r="D84" s="13"/>
      <c r="E84" s="13"/>
      <c r="F84" s="13"/>
    </row>
    <row r="85" spans="1:6" s="15" customFormat="1">
      <c r="A85" s="13"/>
      <c r="B85" s="13"/>
      <c r="C85" s="13"/>
      <c r="D85" s="13"/>
      <c r="E85" s="13"/>
      <c r="F85" s="13"/>
    </row>
    <row r="86" spans="1:6" s="15" customFormat="1">
      <c r="A86" s="13"/>
      <c r="B86" s="13"/>
      <c r="C86" s="13"/>
      <c r="D86" s="13"/>
      <c r="E86" s="13"/>
      <c r="F86" s="13"/>
    </row>
    <row r="87" spans="1:6" s="15" customFormat="1">
      <c r="A87" s="13"/>
      <c r="B87" s="13"/>
      <c r="C87" s="13"/>
      <c r="D87" s="13"/>
      <c r="E87" s="13"/>
      <c r="F87" s="13"/>
    </row>
    <row r="88" spans="1:6" s="15" customFormat="1">
      <c r="A88" s="13"/>
      <c r="B88" s="13"/>
      <c r="C88" s="13"/>
      <c r="D88" s="13"/>
      <c r="E88" s="13"/>
      <c r="F88" s="13"/>
    </row>
    <row r="89" spans="1:6" s="15" customFormat="1">
      <c r="A89" s="13"/>
      <c r="B89" s="13"/>
      <c r="C89" s="13"/>
      <c r="D89" s="13"/>
      <c r="E89" s="13"/>
      <c r="F89" s="13"/>
    </row>
    <row r="90" spans="1:6" s="15" customFormat="1">
      <c r="A90" s="13"/>
      <c r="B90" s="13"/>
      <c r="C90" s="13"/>
      <c r="D90" s="13"/>
      <c r="E90" s="13"/>
      <c r="F90" s="13"/>
    </row>
    <row r="91" spans="1:6" s="15" customFormat="1">
      <c r="A91" s="13"/>
      <c r="B91" s="13"/>
      <c r="C91" s="13"/>
      <c r="D91" s="13"/>
      <c r="E91" s="13"/>
      <c r="F91" s="13"/>
    </row>
    <row r="92" spans="1:6" s="15" customFormat="1">
      <c r="A92" s="13"/>
      <c r="B92" s="13"/>
      <c r="C92" s="13"/>
      <c r="D92" s="13"/>
    </row>
    <row r="93" spans="1:6" s="15" customFormat="1">
      <c r="A93" s="13"/>
      <c r="B93" s="13"/>
      <c r="C93" s="13"/>
      <c r="D93" s="13"/>
    </row>
    <row r="94" spans="1:6" s="15" customFormat="1">
      <c r="A94" s="13"/>
      <c r="B94" s="13"/>
      <c r="C94" s="13"/>
      <c r="D94" s="13"/>
    </row>
    <row r="95" spans="1:6" s="15" customFormat="1">
      <c r="A95" s="13"/>
      <c r="B95" s="13"/>
      <c r="C95" s="13"/>
      <c r="D95" s="13"/>
    </row>
    <row r="96" spans="1:6" s="15" customFormat="1">
      <c r="A96" s="13"/>
      <c r="B96" s="13"/>
      <c r="C96" s="13"/>
      <c r="D96" s="13"/>
    </row>
    <row r="97" spans="1:19" s="15" customFormat="1">
      <c r="A97" s="13"/>
      <c r="B97" s="13"/>
      <c r="C97" s="13"/>
      <c r="D97" s="13"/>
    </row>
    <row r="98" spans="1:19" s="15" customFormat="1">
      <c r="A98" s="13"/>
      <c r="B98" s="13"/>
      <c r="C98" s="13"/>
      <c r="D98" s="13"/>
    </row>
    <row r="99" spans="1:19" s="15" customFormat="1">
      <c r="A99" s="13"/>
      <c r="B99" s="13"/>
      <c r="C99" s="13"/>
      <c r="D99" s="13"/>
    </row>
    <row r="100" spans="1:19" s="15" customFormat="1">
      <c r="A100" s="13"/>
      <c r="B100" s="13"/>
      <c r="C100" s="13"/>
      <c r="D100" s="13"/>
    </row>
    <row r="101" spans="1:19" s="15" customFormat="1">
      <c r="A101" s="13"/>
      <c r="B101" s="13"/>
      <c r="C101" s="13"/>
      <c r="D101" s="13"/>
    </row>
    <row r="102" spans="1:19" s="15" customFormat="1">
      <c r="A102" s="13"/>
      <c r="B102" s="13"/>
      <c r="C102" s="13"/>
      <c r="D102" s="13"/>
    </row>
    <row r="103" spans="1:19" s="15" customFormat="1" ht="12"/>
    <row r="104" spans="1:19" s="15" customFormat="1" ht="12"/>
    <row r="105" spans="1:19" s="15" customFormat="1" ht="12"/>
    <row r="106" spans="1:19" s="15" customFormat="1">
      <c r="H106" s="11"/>
      <c r="I106" s="11"/>
      <c r="J106" s="11"/>
      <c r="L106" s="11"/>
      <c r="N106" s="11"/>
      <c r="P106" s="11"/>
      <c r="Q106" s="11"/>
      <c r="R106" s="11"/>
      <c r="S106" s="11"/>
    </row>
    <row r="107" spans="1:19" s="15" customFormat="1">
      <c r="H107" s="11"/>
      <c r="I107" s="11"/>
      <c r="J107" s="11"/>
      <c r="L107" s="11"/>
      <c r="N107" s="11"/>
      <c r="P107" s="11"/>
      <c r="Q107" s="11"/>
      <c r="R107" s="11"/>
      <c r="S107" s="11"/>
    </row>
    <row r="108" spans="1:19" s="15" customFormat="1">
      <c r="H108" s="11"/>
      <c r="I108" s="11"/>
      <c r="J108" s="11"/>
      <c r="L108" s="11"/>
      <c r="N108" s="11"/>
      <c r="P108" s="11"/>
      <c r="Q108" s="11"/>
      <c r="R108" s="11"/>
      <c r="S108" s="11"/>
    </row>
    <row r="109" spans="1:19" s="15" customFormat="1">
      <c r="H109" s="11"/>
      <c r="I109" s="11"/>
      <c r="J109" s="11"/>
      <c r="L109" s="11"/>
      <c r="N109" s="11"/>
      <c r="P109" s="11"/>
      <c r="Q109" s="11"/>
      <c r="R109" s="11"/>
      <c r="S109" s="11"/>
    </row>
    <row r="110" spans="1:19" s="15" customFormat="1">
      <c r="H110" s="11"/>
      <c r="I110" s="11"/>
      <c r="J110" s="11"/>
      <c r="L110" s="11"/>
      <c r="N110" s="11"/>
      <c r="P110" s="11"/>
      <c r="Q110" s="11"/>
      <c r="R110" s="11"/>
      <c r="S110" s="11"/>
    </row>
    <row r="111" spans="1:19" s="15" customFormat="1">
      <c r="H111" s="11"/>
      <c r="I111" s="11"/>
      <c r="J111" s="11"/>
      <c r="L111" s="11"/>
      <c r="N111" s="11"/>
      <c r="P111" s="11"/>
      <c r="Q111" s="11"/>
      <c r="R111" s="11"/>
      <c r="S111" s="11"/>
    </row>
    <row r="112" spans="1:19" s="15" customFormat="1">
      <c r="H112" s="11"/>
      <c r="I112" s="11"/>
      <c r="J112" s="11"/>
      <c r="L112" s="11"/>
      <c r="N112" s="11"/>
      <c r="P112" s="11"/>
      <c r="Q112" s="11"/>
      <c r="R112" s="11"/>
      <c r="S112" s="11"/>
    </row>
    <row r="113" spans="8:19" s="15" customFormat="1">
      <c r="H113" s="11"/>
      <c r="I113" s="11"/>
      <c r="J113" s="11"/>
      <c r="L113" s="11"/>
      <c r="N113" s="11"/>
      <c r="P113" s="11"/>
      <c r="Q113" s="11"/>
      <c r="R113" s="11"/>
      <c r="S113" s="11"/>
    </row>
    <row r="114" spans="8:19" s="15" customFormat="1">
      <c r="H114" s="11"/>
      <c r="I114" s="11"/>
      <c r="J114" s="11"/>
      <c r="L114" s="11"/>
      <c r="N114" s="11"/>
      <c r="P114" s="11"/>
      <c r="Q114" s="11"/>
      <c r="R114" s="11"/>
      <c r="S114" s="11"/>
    </row>
    <row r="115" spans="8:19" s="15" customFormat="1">
      <c r="H115" s="11"/>
      <c r="I115" s="11"/>
      <c r="J115" s="11"/>
      <c r="L115" s="11"/>
      <c r="N115" s="11"/>
      <c r="P115" s="11"/>
      <c r="Q115" s="11"/>
      <c r="R115" s="11"/>
      <c r="S115" s="11"/>
    </row>
    <row r="116" spans="8:19" s="15" customFormat="1">
      <c r="H116" s="11"/>
      <c r="I116" s="11"/>
      <c r="J116" s="11"/>
      <c r="L116" s="11"/>
      <c r="N116" s="11"/>
      <c r="P116" s="11"/>
      <c r="Q116" s="11"/>
      <c r="R116" s="11"/>
      <c r="S116" s="11"/>
    </row>
    <row r="117" spans="8:19" s="15" customFormat="1">
      <c r="H117" s="11"/>
      <c r="I117" s="11"/>
      <c r="J117" s="11"/>
      <c r="L117" s="11"/>
      <c r="N117" s="11"/>
      <c r="P117" s="11"/>
      <c r="Q117" s="11"/>
      <c r="R117" s="11"/>
      <c r="S117" s="11"/>
    </row>
    <row r="118" spans="8:19" s="15" customFormat="1">
      <c r="H118" s="11"/>
      <c r="I118" s="11"/>
      <c r="J118" s="11"/>
      <c r="L118" s="11"/>
      <c r="N118" s="11"/>
      <c r="P118" s="11"/>
      <c r="Q118" s="11"/>
      <c r="R118" s="11"/>
      <c r="S118" s="11"/>
    </row>
    <row r="119" spans="8:19" s="15" customFormat="1"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</row>
    <row r="120" spans="8:19" s="15" customFormat="1"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</row>
    <row r="121" spans="8:19" s="15" customFormat="1"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</row>
    <row r="122" spans="8:19" s="15" customFormat="1"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</row>
    <row r="123" spans="8:19" s="15" customFormat="1"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</row>
    <row r="124" spans="8:19" s="15" customFormat="1"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</row>
    <row r="125" spans="8:19" s="15" customFormat="1"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</row>
    <row r="126" spans="8:19" s="15" customFormat="1"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</row>
    <row r="127" spans="8:19" s="15" customFormat="1"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</row>
    <row r="128" spans="8:19" s="15" customFormat="1"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</row>
    <row r="129" spans="8:19" s="15" customFormat="1"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</row>
    <row r="130" spans="8:19" s="15" customFormat="1"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</row>
    <row r="131" spans="8:19" s="15" customFormat="1"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</row>
    <row r="132" spans="8:19" s="15" customFormat="1"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</row>
    <row r="133" spans="8:19" s="15" customFormat="1"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</row>
    <row r="134" spans="8:19" s="15" customFormat="1"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</row>
    <row r="135" spans="8:19" s="15" customFormat="1"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</row>
    <row r="136" spans="8:19" s="15" customFormat="1"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</row>
    <row r="137" spans="8:19" s="15" customFormat="1"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</row>
    <row r="138" spans="8:19" s="15" customFormat="1"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</row>
    <row r="139" spans="8:19" s="15" customFormat="1"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</row>
    <row r="140" spans="8:19" s="15" customFormat="1"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</row>
    <row r="141" spans="8:19" s="15" customFormat="1"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</row>
    <row r="142" spans="8:19" s="15" customFormat="1"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</row>
    <row r="143" spans="8:19" s="15" customFormat="1"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</row>
    <row r="144" spans="8:19" s="15" customFormat="1"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</row>
    <row r="145" spans="1:19" s="15" customFormat="1"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</row>
    <row r="146" spans="1:19" s="15" customFormat="1"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</row>
    <row r="147" spans="1:19" s="15" customFormat="1"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</row>
    <row r="148" spans="1:19" s="15" customFormat="1"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</row>
    <row r="149" spans="1:19" s="15" customFormat="1"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</row>
    <row r="150" spans="1:19" s="15" customFormat="1"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</row>
    <row r="151" spans="1:19" s="15" customFormat="1"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</row>
    <row r="152" spans="1:19">
      <c r="A152" s="15"/>
      <c r="B152" s="15"/>
      <c r="C152" s="15"/>
      <c r="D152" s="15"/>
      <c r="E152" s="15"/>
      <c r="F152" s="15"/>
    </row>
    <row r="153" spans="1:19">
      <c r="A153" s="15"/>
      <c r="B153" s="15"/>
      <c r="C153" s="15"/>
      <c r="D153" s="15"/>
      <c r="E153" s="15"/>
      <c r="F153" s="15"/>
    </row>
    <row r="154" spans="1:19">
      <c r="A154" s="15"/>
      <c r="B154" s="15"/>
      <c r="C154" s="15"/>
      <c r="D154" s="15"/>
      <c r="E154" s="15"/>
      <c r="F154" s="15"/>
    </row>
    <row r="155" spans="1:19">
      <c r="A155" s="15"/>
      <c r="B155" s="15"/>
      <c r="C155" s="15"/>
      <c r="D155" s="15"/>
      <c r="E155" s="15"/>
      <c r="F155" s="15"/>
    </row>
    <row r="156" spans="1:19">
      <c r="A156" s="15"/>
      <c r="B156" s="15"/>
      <c r="C156" s="15"/>
      <c r="D156" s="15"/>
      <c r="E156" s="15"/>
      <c r="F156" s="15"/>
    </row>
    <row r="157" spans="1:19">
      <c r="A157" s="15"/>
      <c r="B157" s="15"/>
      <c r="C157" s="15"/>
      <c r="D157" s="15"/>
      <c r="E157" s="15"/>
      <c r="F157" s="15"/>
    </row>
    <row r="158" spans="1:19">
      <c r="A158" s="15"/>
      <c r="B158" s="15"/>
      <c r="C158" s="15"/>
      <c r="D158" s="15"/>
      <c r="E158" s="15"/>
      <c r="F158" s="15"/>
    </row>
    <row r="159" spans="1:19">
      <c r="A159" s="15"/>
      <c r="B159" s="15"/>
      <c r="C159" s="15"/>
      <c r="D159" s="15"/>
      <c r="E159" s="15"/>
      <c r="F159" s="15"/>
    </row>
    <row r="160" spans="1:19">
      <c r="A160" s="15"/>
      <c r="B160" s="15"/>
      <c r="C160" s="15"/>
      <c r="D160" s="15"/>
      <c r="E160" s="15"/>
      <c r="F160" s="15"/>
    </row>
    <row r="161" spans="1:6">
      <c r="A161" s="15"/>
      <c r="B161" s="15"/>
      <c r="C161" s="15"/>
      <c r="D161" s="15"/>
      <c r="E161" s="15"/>
      <c r="F161" s="15"/>
    </row>
    <row r="162" spans="1:6">
      <c r="A162" s="15"/>
      <c r="B162" s="15"/>
      <c r="C162" s="15"/>
      <c r="D162" s="15"/>
      <c r="E162" s="15"/>
      <c r="F162" s="15"/>
    </row>
    <row r="163" spans="1:6">
      <c r="A163" s="15"/>
      <c r="B163" s="15"/>
      <c r="C163" s="15"/>
      <c r="D163" s="15"/>
      <c r="E163" s="15"/>
      <c r="F163" s="15"/>
    </row>
    <row r="164" spans="1:6">
      <c r="A164" s="15"/>
      <c r="B164" s="15"/>
      <c r="C164" s="15"/>
      <c r="D164" s="15"/>
      <c r="E164" s="15"/>
      <c r="F164" s="15"/>
    </row>
    <row r="165" spans="1:6">
      <c r="A165" s="15"/>
      <c r="B165" s="15"/>
      <c r="C165" s="15"/>
      <c r="D165" s="15"/>
    </row>
    <row r="166" spans="1:6">
      <c r="A166" s="15"/>
      <c r="B166" s="15"/>
      <c r="C166" s="15"/>
      <c r="D166" s="15"/>
    </row>
    <row r="167" spans="1:6">
      <c r="A167" s="15"/>
      <c r="B167" s="15"/>
      <c r="C167" s="15"/>
      <c r="D167" s="15"/>
    </row>
    <row r="168" spans="1:6">
      <c r="A168" s="15"/>
      <c r="B168" s="15"/>
      <c r="C168" s="15"/>
      <c r="D168" s="15"/>
    </row>
    <row r="169" spans="1:6">
      <c r="A169" s="15"/>
      <c r="B169" s="15"/>
      <c r="C169" s="15"/>
      <c r="D169" s="15"/>
    </row>
    <row r="170" spans="1:6">
      <c r="A170" s="15"/>
      <c r="B170" s="15"/>
      <c r="C170" s="15"/>
      <c r="D170" s="15"/>
    </row>
    <row r="171" spans="1:6">
      <c r="A171" s="15"/>
      <c r="B171" s="15"/>
      <c r="C171" s="15"/>
      <c r="D171" s="15"/>
    </row>
    <row r="172" spans="1:6">
      <c r="A172" s="15"/>
      <c r="B172" s="15"/>
      <c r="C172" s="15"/>
      <c r="D172" s="15"/>
    </row>
    <row r="173" spans="1:6">
      <c r="A173" s="15"/>
      <c r="B173" s="15"/>
      <c r="C173" s="15"/>
      <c r="D173" s="15"/>
    </row>
    <row r="174" spans="1:6">
      <c r="A174" s="15"/>
      <c r="B174" s="15"/>
      <c r="C174" s="15"/>
      <c r="D174" s="15"/>
    </row>
    <row r="175" spans="1:6">
      <c r="A175" s="15"/>
      <c r="B175" s="15"/>
      <c r="C175" s="15"/>
      <c r="D175" s="15"/>
    </row>
  </sheetData>
  <conditionalFormatting sqref="N5:N48 V62:V92 S51:S61 R49:R50">
    <cfRule type="cellIs" dxfId="12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Report</vt:lpstr>
      <vt:lpstr>Time Series Query</vt:lpstr>
      <vt:lpstr>CurrentCloseDate</vt:lpstr>
      <vt:lpstr>DatabaseEnv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Hongzhuo Zhang</cp:lastModifiedBy>
  <cp:lastPrinted>2015-06-26T21:49:08Z</cp:lastPrinted>
  <dcterms:created xsi:type="dcterms:W3CDTF">2013-04-04T19:42:48Z</dcterms:created>
  <dcterms:modified xsi:type="dcterms:W3CDTF">2016-03-04T20:13:03Z</dcterms:modified>
</cp:coreProperties>
</file>