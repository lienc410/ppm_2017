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IT\Production\Daily Reports\Primary Market\"/>
    </mc:Choice>
  </mc:AlternateContent>
  <bookViews>
    <workbookView xWindow="240" yWindow="60" windowWidth="27795" windowHeight="17175"/>
  </bookViews>
  <sheets>
    <sheet name="Report" sheetId="7" r:id="rId1"/>
    <sheet name="Report Page1" sheetId="4" state="hidden" r:id="rId2"/>
    <sheet name="Report Page2" sheetId="6" state="hidden" r:id="rId3"/>
    <sheet name="Input" sheetId="1" r:id="rId4"/>
    <sheet name="Purchase" sheetId="3" r:id="rId5"/>
    <sheet name="Refinance" sheetId="5" r:id="rId6"/>
  </sheets>
  <functionGroups builtInGroupCount="18"/>
  <externalReferences>
    <externalReference r:id="rId7"/>
    <externalReference r:id="rId8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 localSheetId="0">Report!$W$2</definedName>
    <definedName name="CurrentCloseDate" localSheetId="2">'Report Page2'!$W$2</definedName>
    <definedName name="CurrentCloseDate">'Report Page1'!$W$2</definedName>
    <definedName name="DatabaseEnv" localSheetId="0">Report!$W$1</definedName>
    <definedName name="DatabaseEnv" localSheetId="2">'Report Page2'!$W$1</definedName>
    <definedName name="DatabaseEnv">'Report Page1'!$W$1</definedName>
    <definedName name="HistoricalMtgRatesDataTable">[1]!OneWeekMtgRatesDataTable9[#Data]</definedName>
    <definedName name="IR" localSheetId="0">#REF!</definedName>
    <definedName name="IR" localSheetId="2">#REF!</definedName>
    <definedName name="IR">#REF!</definedName>
    <definedName name="MmExcelLinker_D5EFE7B8_A5AE_4CC6_B628_05FDC84CBEA4" localSheetId="0">Early Market [2]Data!$C$44:$C$44</definedName>
    <definedName name="MmExcelLinker_D5EFE7B8_A5AE_4CC6_B628_05FDC84CBEA4" localSheetId="2">Early Market [2]Data!$C$44:$C$44</definedName>
    <definedName name="MmExcelLinker_D5EFE7B8_A5AE_4CC6_B628_05FDC84CBEA4">Early Market [2]Data!$C$44:$C$44</definedName>
    <definedName name="OneDayBusDate">[1]!TimeSeriesDataTable34[Column1]</definedName>
    <definedName name="OneMonthBusDate">[1]!TimeSeriesDataTable310[Column1]</definedName>
    <definedName name="OneWeekBusDate">[1]!TimeSeriesDataTable3[Column1]</definedName>
    <definedName name="PDFReportDir" localSheetId="0">Report!$W$3</definedName>
    <definedName name="PDFReportDir" localSheetId="2">'Report Page2'!$W$3</definedName>
    <definedName name="PDFReportDir">'Report Page1'!$W$3</definedName>
    <definedName name="PDFReportName" localSheetId="0">Report!$W$4</definedName>
    <definedName name="PDFReportName" localSheetId="2">'Report Page2'!$W$4</definedName>
    <definedName name="PDFReportName">'Report Page1'!$W$4</definedName>
    <definedName name="_xlnm.Print_Area" localSheetId="0">Report!$A$1:$S$65</definedName>
    <definedName name="_xlnm.Print_Area" localSheetId="1">'Report Page1'!$C$1:$U$59</definedName>
    <definedName name="_xlnm.Print_Area" localSheetId="2">'Report Page2'!$B$1:$L$37</definedName>
    <definedName name="SaveRatesToDB" localSheetId="0">Report!$Y$1</definedName>
    <definedName name="SaveRatesToDB" localSheetId="2">'Report Page2'!$Y$1</definedName>
    <definedName name="SaveRatesToDB">'Report Page1'!$Y$1</definedName>
  </definedNames>
  <calcPr calcId="152511"/>
</workbook>
</file>

<file path=xl/calcChain.xml><?xml version="1.0" encoding="utf-8"?>
<calcChain xmlns="http://schemas.openxmlformats.org/spreadsheetml/2006/main">
  <c r="I16" i="3" l="1"/>
  <c r="I17" i="3"/>
  <c r="F64" i="5"/>
  <c r="G64" i="5"/>
  <c r="H64" i="5"/>
  <c r="I64" i="5"/>
  <c r="F65" i="5"/>
  <c r="G65" i="5"/>
  <c r="H65" i="5"/>
  <c r="I65" i="5"/>
  <c r="O59" i="7"/>
  <c r="P59" i="7"/>
  <c r="Q59" i="7"/>
  <c r="R59" i="7"/>
  <c r="O60" i="7"/>
  <c r="P60" i="7"/>
  <c r="Q60" i="7"/>
  <c r="R60" i="7"/>
  <c r="N59" i="7"/>
  <c r="N60" i="7"/>
  <c r="M59" i="7"/>
  <c r="M60" i="7"/>
  <c r="L65" i="1"/>
  <c r="T65" i="1"/>
  <c r="S65" i="1"/>
  <c r="L64" i="1"/>
  <c r="T64" i="1"/>
  <c r="S64" i="1"/>
  <c r="R66" i="1"/>
  <c r="R65" i="1"/>
  <c r="R64" i="1"/>
  <c r="L57" i="7" l="1"/>
  <c r="M57" i="7"/>
  <c r="N57" i="7"/>
  <c r="O57" i="7"/>
  <c r="P57" i="7"/>
  <c r="Q57" i="7"/>
  <c r="R57" i="7"/>
  <c r="L58" i="7"/>
  <c r="M58" i="7"/>
  <c r="N58" i="7"/>
  <c r="O58" i="7"/>
  <c r="P58" i="7"/>
  <c r="Q58" i="7"/>
  <c r="R58" i="7"/>
  <c r="L54" i="7"/>
  <c r="M54" i="7"/>
  <c r="N54" i="7"/>
  <c r="O54" i="7"/>
  <c r="P54" i="7"/>
  <c r="Q54" i="7"/>
  <c r="R54" i="7"/>
  <c r="L55" i="7"/>
  <c r="M55" i="7"/>
  <c r="N55" i="7"/>
  <c r="O55" i="7"/>
  <c r="P55" i="7"/>
  <c r="Q55" i="7"/>
  <c r="R55" i="7"/>
  <c r="L56" i="7"/>
  <c r="M56" i="7"/>
  <c r="N56" i="7"/>
  <c r="O56" i="7"/>
  <c r="P56" i="7"/>
  <c r="Q56" i="7"/>
  <c r="R56" i="7"/>
  <c r="L52" i="7"/>
  <c r="M52" i="7"/>
  <c r="N52" i="7"/>
  <c r="O52" i="7"/>
  <c r="P52" i="7"/>
  <c r="Q52" i="7"/>
  <c r="R52" i="7"/>
  <c r="L53" i="7"/>
  <c r="M53" i="7"/>
  <c r="N53" i="7"/>
  <c r="O53" i="7"/>
  <c r="P53" i="7"/>
  <c r="Q53" i="7"/>
  <c r="R53" i="7"/>
  <c r="E57" i="5"/>
  <c r="F57" i="5"/>
  <c r="G57" i="5"/>
  <c r="H57" i="5"/>
  <c r="I57" i="5"/>
  <c r="E58" i="5"/>
  <c r="F58" i="5"/>
  <c r="G58" i="5"/>
  <c r="H58" i="5"/>
  <c r="I58" i="5"/>
  <c r="E59" i="5"/>
  <c r="F59" i="5"/>
  <c r="G59" i="5"/>
  <c r="H59" i="5"/>
  <c r="I59" i="5"/>
  <c r="E60" i="5"/>
  <c r="F60" i="5"/>
  <c r="G60" i="5"/>
  <c r="H60" i="5"/>
  <c r="I60" i="5"/>
  <c r="E61" i="5"/>
  <c r="F61" i="5"/>
  <c r="G61" i="5"/>
  <c r="H61" i="5"/>
  <c r="I61" i="5"/>
  <c r="E62" i="5"/>
  <c r="F62" i="5"/>
  <c r="G62" i="5"/>
  <c r="H62" i="5"/>
  <c r="I62" i="5"/>
  <c r="E63" i="5"/>
  <c r="F63" i="5"/>
  <c r="G63" i="5"/>
  <c r="H63" i="5"/>
  <c r="I63" i="5"/>
  <c r="R63" i="1"/>
  <c r="S63" i="1"/>
  <c r="R57" i="1"/>
  <c r="S57" i="1"/>
  <c r="R58" i="1"/>
  <c r="S58" i="1"/>
  <c r="T58" i="1"/>
  <c r="R59" i="1"/>
  <c r="S59" i="1"/>
  <c r="R60" i="1"/>
  <c r="S60" i="1"/>
  <c r="R61" i="1"/>
  <c r="S61" i="1"/>
  <c r="R62" i="1"/>
  <c r="S62" i="1"/>
  <c r="L57" i="1"/>
  <c r="T57" i="1" s="1"/>
  <c r="L58" i="1"/>
  <c r="L59" i="1"/>
  <c r="T59" i="1" s="1"/>
  <c r="L60" i="1"/>
  <c r="T60" i="1" s="1"/>
  <c r="L61" i="1"/>
  <c r="T61" i="1" s="1"/>
  <c r="L62" i="1"/>
  <c r="T62" i="1" s="1"/>
  <c r="L63" i="1"/>
  <c r="T63" i="1" s="1"/>
  <c r="L49" i="7" l="1"/>
  <c r="M49" i="7"/>
  <c r="N49" i="7"/>
  <c r="O49" i="7"/>
  <c r="P49" i="7"/>
  <c r="Q49" i="7"/>
  <c r="R49" i="7"/>
  <c r="L50" i="7"/>
  <c r="M50" i="7"/>
  <c r="N50" i="7"/>
  <c r="O50" i="7"/>
  <c r="P50" i="7"/>
  <c r="Q50" i="7"/>
  <c r="R50" i="7"/>
  <c r="L51" i="7"/>
  <c r="M51" i="7"/>
  <c r="N51" i="7"/>
  <c r="O51" i="7"/>
  <c r="P51" i="7"/>
  <c r="Q51" i="7"/>
  <c r="R51" i="7"/>
  <c r="E54" i="5"/>
  <c r="F54" i="5"/>
  <c r="G54" i="5"/>
  <c r="H54" i="5"/>
  <c r="I54" i="5"/>
  <c r="E55" i="5"/>
  <c r="F55" i="5"/>
  <c r="G55" i="5"/>
  <c r="H55" i="5"/>
  <c r="I55" i="5"/>
  <c r="E56" i="5"/>
  <c r="F56" i="5"/>
  <c r="G56" i="5"/>
  <c r="H56" i="5"/>
  <c r="I56" i="5"/>
  <c r="I6" i="3"/>
  <c r="I7" i="3" s="1"/>
  <c r="I8" i="3" s="1"/>
  <c r="I9" i="3" s="1"/>
  <c r="I10" i="3" s="1"/>
  <c r="I11" i="3" s="1"/>
  <c r="I12" i="3" s="1"/>
  <c r="I13" i="3" s="1"/>
  <c r="I14" i="3" s="1"/>
  <c r="I15" i="3" s="1"/>
  <c r="R54" i="1"/>
  <c r="S54" i="1"/>
  <c r="R55" i="1"/>
  <c r="S55" i="1"/>
  <c r="T55" i="1"/>
  <c r="R56" i="1"/>
  <c r="S56" i="1"/>
  <c r="T56" i="1"/>
  <c r="L54" i="1"/>
  <c r="T54" i="1" s="1"/>
  <c r="L55" i="1"/>
  <c r="L56" i="1"/>
  <c r="L45" i="7" l="1"/>
  <c r="M45" i="7"/>
  <c r="N45" i="7"/>
  <c r="O45" i="7"/>
  <c r="P45" i="7"/>
  <c r="Q45" i="7"/>
  <c r="R45" i="7"/>
  <c r="L46" i="7"/>
  <c r="M46" i="7"/>
  <c r="N46" i="7"/>
  <c r="O46" i="7"/>
  <c r="P46" i="7"/>
  <c r="Q46" i="7"/>
  <c r="R46" i="7"/>
  <c r="L47" i="7"/>
  <c r="M47" i="7"/>
  <c r="N47" i="7"/>
  <c r="O47" i="7"/>
  <c r="P47" i="7"/>
  <c r="Q47" i="7"/>
  <c r="R47" i="7"/>
  <c r="L48" i="7"/>
  <c r="M48" i="7"/>
  <c r="N48" i="7"/>
  <c r="O48" i="7"/>
  <c r="P48" i="7"/>
  <c r="Q48" i="7"/>
  <c r="R48" i="7"/>
  <c r="E50" i="5"/>
  <c r="F50" i="5"/>
  <c r="G50" i="5"/>
  <c r="H50" i="5"/>
  <c r="I50" i="5"/>
  <c r="E51" i="5"/>
  <c r="F51" i="5"/>
  <c r="G51" i="5"/>
  <c r="H51" i="5"/>
  <c r="I51" i="5"/>
  <c r="E52" i="5"/>
  <c r="F52" i="5"/>
  <c r="G52" i="5"/>
  <c r="H52" i="5"/>
  <c r="I52" i="5"/>
  <c r="E53" i="5"/>
  <c r="F53" i="5"/>
  <c r="G53" i="5"/>
  <c r="H53" i="5"/>
  <c r="I53" i="5"/>
  <c r="R50" i="1"/>
  <c r="S50" i="1"/>
  <c r="R51" i="1"/>
  <c r="S51" i="1"/>
  <c r="R52" i="1"/>
  <c r="S52" i="1"/>
  <c r="R53" i="1"/>
  <c r="S53" i="1"/>
  <c r="L50" i="1"/>
  <c r="T50" i="1" s="1"/>
  <c r="L51" i="1"/>
  <c r="T51" i="1" s="1"/>
  <c r="L52" i="1"/>
  <c r="T52" i="1" s="1"/>
  <c r="L53" i="1"/>
  <c r="T53" i="1" s="1"/>
  <c r="L42" i="7" l="1"/>
  <c r="M42" i="7"/>
  <c r="N42" i="7"/>
  <c r="O42" i="7"/>
  <c r="P42" i="7"/>
  <c r="Q42" i="7"/>
  <c r="R42" i="7"/>
  <c r="L43" i="7"/>
  <c r="M43" i="7"/>
  <c r="N43" i="7"/>
  <c r="O43" i="7"/>
  <c r="P43" i="7"/>
  <c r="Q43" i="7"/>
  <c r="R43" i="7"/>
  <c r="L44" i="7"/>
  <c r="M44" i="7"/>
  <c r="N44" i="7"/>
  <c r="O44" i="7"/>
  <c r="P44" i="7"/>
  <c r="Q44" i="7"/>
  <c r="R44" i="7"/>
  <c r="E47" i="5"/>
  <c r="F47" i="5"/>
  <c r="G47" i="5"/>
  <c r="H47" i="5"/>
  <c r="I47" i="5"/>
  <c r="E48" i="5"/>
  <c r="F48" i="5"/>
  <c r="G48" i="5"/>
  <c r="H48" i="5"/>
  <c r="I48" i="5"/>
  <c r="E49" i="5"/>
  <c r="F49" i="5"/>
  <c r="G49" i="5"/>
  <c r="H49" i="5"/>
  <c r="I49" i="5"/>
  <c r="R47" i="1"/>
  <c r="S47" i="1"/>
  <c r="R48" i="1"/>
  <c r="S48" i="1"/>
  <c r="T48" i="1"/>
  <c r="R49" i="1"/>
  <c r="S49" i="1"/>
  <c r="T49" i="1"/>
  <c r="L45" i="1"/>
  <c r="L46" i="1"/>
  <c r="L47" i="1"/>
  <c r="T47" i="1" s="1"/>
  <c r="L48" i="1"/>
  <c r="L49" i="1"/>
  <c r="L44" i="1"/>
  <c r="L41" i="7" l="1"/>
  <c r="M41" i="7"/>
  <c r="N41" i="7"/>
  <c r="O41" i="7"/>
  <c r="P41" i="7"/>
  <c r="Q41" i="7"/>
  <c r="R41" i="7"/>
  <c r="E46" i="5"/>
  <c r="F46" i="5"/>
  <c r="G46" i="5"/>
  <c r="H46" i="5"/>
  <c r="I46" i="5"/>
  <c r="R46" i="1"/>
  <c r="S46" i="1"/>
  <c r="T46" i="1"/>
  <c r="L38" i="7" l="1"/>
  <c r="M38" i="7"/>
  <c r="N38" i="7"/>
  <c r="O38" i="7"/>
  <c r="P38" i="7"/>
  <c r="Q38" i="7"/>
  <c r="R38" i="7"/>
  <c r="L39" i="7"/>
  <c r="M39" i="7"/>
  <c r="N39" i="7"/>
  <c r="O39" i="7"/>
  <c r="P39" i="7"/>
  <c r="Q39" i="7"/>
  <c r="R39" i="7"/>
  <c r="L40" i="7"/>
  <c r="M40" i="7"/>
  <c r="N40" i="7"/>
  <c r="O40" i="7"/>
  <c r="P40" i="7"/>
  <c r="Q40" i="7"/>
  <c r="R40" i="7"/>
  <c r="E43" i="5"/>
  <c r="F43" i="5"/>
  <c r="G43" i="5"/>
  <c r="H43" i="5"/>
  <c r="I43" i="5"/>
  <c r="E44" i="5"/>
  <c r="F44" i="5"/>
  <c r="G44" i="5"/>
  <c r="H44" i="5"/>
  <c r="I44" i="5"/>
  <c r="E45" i="5"/>
  <c r="F45" i="5"/>
  <c r="G45" i="5"/>
  <c r="H45" i="5"/>
  <c r="I45" i="5"/>
  <c r="R43" i="1"/>
  <c r="S43" i="1"/>
  <c r="R44" i="1"/>
  <c r="S44" i="1"/>
  <c r="T44" i="1"/>
  <c r="R45" i="1"/>
  <c r="S45" i="1"/>
  <c r="T45" i="1"/>
  <c r="L43" i="1"/>
  <c r="T43" i="1" s="1"/>
  <c r="L37" i="7" l="1"/>
  <c r="M37" i="7"/>
  <c r="N37" i="7"/>
  <c r="O37" i="7"/>
  <c r="P37" i="7"/>
  <c r="Q37" i="7"/>
  <c r="R37" i="7"/>
  <c r="L35" i="7"/>
  <c r="M35" i="7"/>
  <c r="N35" i="7"/>
  <c r="O35" i="7"/>
  <c r="P35" i="7"/>
  <c r="Q35" i="7"/>
  <c r="R35" i="7"/>
  <c r="L36" i="7"/>
  <c r="M36" i="7"/>
  <c r="N36" i="7"/>
  <c r="O36" i="7"/>
  <c r="P36" i="7"/>
  <c r="Q36" i="7"/>
  <c r="R36" i="7"/>
  <c r="E41" i="5"/>
  <c r="F41" i="5"/>
  <c r="G41" i="5"/>
  <c r="H41" i="5"/>
  <c r="I41" i="5"/>
  <c r="E42" i="5"/>
  <c r="F42" i="5"/>
  <c r="G42" i="5"/>
  <c r="H42" i="5"/>
  <c r="I42" i="5"/>
  <c r="H6" i="3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R41" i="1"/>
  <c r="S41" i="1"/>
  <c r="R42" i="1"/>
  <c r="S42" i="1"/>
  <c r="L41" i="1"/>
  <c r="T41" i="1" s="1"/>
  <c r="L42" i="1"/>
  <c r="T42" i="1" s="1"/>
  <c r="E40" i="5" l="1"/>
  <c r="F40" i="5"/>
  <c r="G40" i="5"/>
  <c r="H40" i="5"/>
  <c r="I40" i="5"/>
  <c r="S40" i="1"/>
  <c r="L40" i="1"/>
  <c r="T40" i="1" s="1"/>
  <c r="R40" i="1"/>
  <c r="L34" i="7" l="1"/>
  <c r="M34" i="7"/>
  <c r="N34" i="7"/>
  <c r="O34" i="7"/>
  <c r="P34" i="7"/>
  <c r="Q34" i="7"/>
  <c r="R34" i="7"/>
  <c r="E39" i="5"/>
  <c r="F39" i="5"/>
  <c r="G39" i="5"/>
  <c r="H39" i="5"/>
  <c r="I39" i="5"/>
  <c r="R39" i="1"/>
  <c r="S39" i="1"/>
  <c r="L39" i="1"/>
  <c r="T39" i="1" s="1"/>
  <c r="L38" i="1"/>
  <c r="R33" i="7" l="1"/>
  <c r="Q33" i="7"/>
  <c r="P33" i="7"/>
  <c r="O33" i="7"/>
  <c r="N33" i="7"/>
  <c r="M33" i="7"/>
  <c r="L33" i="7"/>
  <c r="R32" i="7"/>
  <c r="Q32" i="7"/>
  <c r="P32" i="7"/>
  <c r="O32" i="7"/>
  <c r="N32" i="7"/>
  <c r="M32" i="7"/>
  <c r="L32" i="7"/>
  <c r="R31" i="7"/>
  <c r="Q31" i="7"/>
  <c r="P31" i="7"/>
  <c r="O31" i="7"/>
  <c r="N31" i="7"/>
  <c r="M31" i="7"/>
  <c r="L31" i="7"/>
  <c r="R30" i="7"/>
  <c r="Q30" i="7"/>
  <c r="P30" i="7"/>
  <c r="O30" i="7"/>
  <c r="N30" i="7"/>
  <c r="M30" i="7"/>
  <c r="L30" i="7"/>
  <c r="E38" i="5"/>
  <c r="F38" i="5"/>
  <c r="G38" i="5"/>
  <c r="H38" i="5"/>
  <c r="I38" i="5"/>
  <c r="S38" i="1"/>
  <c r="T38" i="1"/>
  <c r="R38" i="1"/>
  <c r="E37" i="5" l="1"/>
  <c r="F37" i="5"/>
  <c r="G37" i="5"/>
  <c r="H37" i="5"/>
  <c r="I37" i="5"/>
  <c r="S37" i="1"/>
  <c r="T37" i="1"/>
  <c r="R37" i="1"/>
  <c r="E36" i="5" l="1"/>
  <c r="F36" i="5"/>
  <c r="G36" i="5"/>
  <c r="H36" i="5"/>
  <c r="I36" i="5"/>
  <c r="R36" i="1"/>
  <c r="S36" i="1"/>
  <c r="T36" i="1"/>
  <c r="T5" i="1" l="1"/>
  <c r="S30" i="1"/>
  <c r="S31" i="1"/>
  <c r="S32" i="1"/>
  <c r="S33" i="1"/>
  <c r="S34" i="1"/>
  <c r="S35" i="1"/>
  <c r="R30" i="1"/>
  <c r="R31" i="1"/>
  <c r="R32" i="1"/>
  <c r="R33" i="1"/>
  <c r="R34" i="1"/>
  <c r="R35" i="1"/>
  <c r="E35" i="5"/>
  <c r="F35" i="5"/>
  <c r="G35" i="5"/>
  <c r="H35" i="5"/>
  <c r="I35" i="5"/>
  <c r="T35" i="1"/>
  <c r="E34" i="5" l="1"/>
  <c r="F34" i="5"/>
  <c r="G34" i="5"/>
  <c r="H34" i="5"/>
  <c r="I34" i="5"/>
  <c r="T34" i="1"/>
  <c r="G33" i="5" l="1"/>
  <c r="H33" i="5"/>
  <c r="I33" i="5"/>
  <c r="F33" i="5"/>
  <c r="E33" i="5"/>
  <c r="T33" i="1"/>
  <c r="T32" i="1" l="1"/>
  <c r="T31" i="1" l="1"/>
  <c r="W4" i="7" l="1"/>
  <c r="R7" i="1"/>
  <c r="S7" i="1"/>
  <c r="R8" i="1"/>
  <c r="S8" i="1"/>
  <c r="R9" i="1"/>
  <c r="S9" i="1"/>
  <c r="R10" i="1"/>
  <c r="S10" i="1"/>
  <c r="R11" i="1"/>
  <c r="S11" i="1"/>
  <c r="R12" i="1"/>
  <c r="S12" i="1"/>
  <c r="R13" i="1"/>
  <c r="S13" i="1"/>
  <c r="R14" i="1"/>
  <c r="S14" i="1"/>
  <c r="R15" i="1"/>
  <c r="S15" i="1"/>
  <c r="R16" i="1"/>
  <c r="S16" i="1"/>
  <c r="R17" i="1"/>
  <c r="S17" i="1"/>
  <c r="R18" i="1"/>
  <c r="R19" i="1"/>
  <c r="S19" i="1"/>
  <c r="R20" i="1"/>
  <c r="S20" i="1"/>
  <c r="R21" i="1"/>
  <c r="S21" i="1"/>
  <c r="R22" i="1"/>
  <c r="S22" i="1"/>
  <c r="R23" i="1"/>
  <c r="S23" i="1"/>
  <c r="R24" i="1"/>
  <c r="S24" i="1"/>
  <c r="R25" i="1"/>
  <c r="S25" i="1"/>
  <c r="R26" i="1"/>
  <c r="S26" i="1"/>
  <c r="R27" i="1"/>
  <c r="S27" i="1"/>
  <c r="R28" i="1"/>
  <c r="S28" i="1"/>
  <c r="R29" i="1"/>
  <c r="S29" i="1"/>
  <c r="G6" i="3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S6" i="1"/>
  <c r="R6" i="1"/>
  <c r="E5" i="1"/>
  <c r="R5" i="1" s="1"/>
  <c r="F5" i="1"/>
  <c r="G5" i="1"/>
  <c r="S5" i="1" s="1"/>
  <c r="H5" i="1"/>
  <c r="I5" i="1"/>
  <c r="J5" i="1"/>
  <c r="K5" i="1"/>
  <c r="D5" i="1"/>
  <c r="Q5" i="1" s="1"/>
  <c r="F6" i="3" l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S18" i="1"/>
  <c r="W4" i="6"/>
  <c r="E6" i="3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6" i="1"/>
  <c r="W4" i="4" l="1"/>
</calcChain>
</file>

<file path=xl/sharedStrings.xml><?xml version="1.0" encoding="utf-8"?>
<sst xmlns="http://schemas.openxmlformats.org/spreadsheetml/2006/main" count="184" uniqueCount="38">
  <si>
    <t>Jan</t>
  </si>
  <si>
    <t>Dec</t>
  </si>
  <si>
    <t>Nov</t>
  </si>
  <si>
    <t>Oct</t>
  </si>
  <si>
    <t>Sep</t>
  </si>
  <si>
    <t>Aug</t>
  </si>
  <si>
    <t>Jul</t>
  </si>
  <si>
    <t>Jun</t>
  </si>
  <si>
    <t>May</t>
  </si>
  <si>
    <t>Apr</t>
  </si>
  <si>
    <t>Mar</t>
  </si>
  <si>
    <t>Feb</t>
  </si>
  <si>
    <t>Database Env</t>
  </si>
  <si>
    <t>Save Data to DB</t>
  </si>
  <si>
    <t>As of Date</t>
  </si>
  <si>
    <t>Report Name</t>
  </si>
  <si>
    <t>No</t>
  </si>
  <si>
    <t>Time To Close (Days)</t>
  </si>
  <si>
    <t>Report Folder</t>
  </si>
  <si>
    <t>PROD</t>
  </si>
  <si>
    <t>S:\IT\Production\Daily Reports\Primary Market\tmp\</t>
  </si>
  <si>
    <t>calender Year</t>
  </si>
  <si>
    <t>Month</t>
  </si>
  <si>
    <t>Home Purchase</t>
  </si>
  <si>
    <t>Conventionla-to-FHA Refinance</t>
  </si>
  <si>
    <t>FHA Non-Streamline Refinance</t>
  </si>
  <si>
    <t>FHA Streamline Standard MIP</t>
  </si>
  <si>
    <t>FHA Streamline Low MIP</t>
  </si>
  <si>
    <t>Refinance</t>
  </si>
  <si>
    <t xml:space="preserve">Total Application Received </t>
  </si>
  <si>
    <t>Check Update:</t>
  </si>
  <si>
    <t>http://portal.hud.gov/hudportal/HUD?src=/program_offices/housing/hsgrroom/fhaprodrpt</t>
  </si>
  <si>
    <t>Appication Received Volume</t>
  </si>
  <si>
    <t>Note:</t>
  </si>
  <si>
    <t>Does not include Home Equity Conversion Mortgage (HECM)</t>
  </si>
  <si>
    <t>Calender Year</t>
  </si>
  <si>
    <t>MIP decreased on June 11, 2012 for targeted streamline refinance loans to 1/55 bps</t>
  </si>
  <si>
    <t xml:space="preserve">Jul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</si>
</sst>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5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_(* #,##0_);_(* \(#,##0\);_(* &quot;-&quot;??_);_(@_)"/>
  </numFmts>
  <fonts count="1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rgb="FFAD275C"/>
      <name val="Calibri"/>
      <family val="2"/>
      <scheme val="minor"/>
    </font>
    <font>
      <b/>
      <sz val="11"/>
      <color rgb="FFAD275C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indexed="64"/>
      </patternFill>
    </fill>
  </fills>
  <borders count="4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/>
      <diagonal/>
    </border>
    <border>
      <left style="thin">
        <color rgb="FF2E398A"/>
      </left>
      <right style="thin">
        <color rgb="FF2E398A"/>
      </right>
      <top/>
      <bottom/>
      <diagonal/>
    </border>
    <border>
      <left style="thin">
        <color rgb="FF2E398A"/>
      </left>
      <right style="thin">
        <color rgb="FF2E398A"/>
      </right>
      <top/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27">
    <xf numFmtId="0" fontId="0" fillId="0" borderId="0"/>
    <xf numFmtId="0" fontId="6" fillId="5" borderId="4" applyNumberFormat="0"/>
    <xf numFmtId="0" fontId="9" fillId="0" borderId="0" applyNumberFormat="0" applyFill="0" applyBorder="0" applyAlignment="0" applyProtection="0"/>
    <xf numFmtId="0" fontId="11" fillId="0" borderId="0" applyNumberFormat="0" applyFill="0" applyBorder="0" applyAlignment="0" applyProtection="0">
      <alignment horizontal="left" wrapText="1"/>
    </xf>
    <xf numFmtId="0" fontId="11" fillId="0" borderId="0" applyNumberFormat="0" applyFill="0" applyBorder="0" applyAlignment="0" applyProtection="0">
      <alignment horizontal="left" wrapText="1"/>
    </xf>
    <xf numFmtId="0" fontId="11" fillId="0" borderId="0" applyNumberFormat="0" applyFill="0" applyBorder="0" applyAlignment="0" applyProtection="0">
      <alignment horizontal="left" wrapText="1"/>
    </xf>
    <xf numFmtId="0" fontId="11" fillId="0" borderId="0" applyNumberFormat="0" applyFill="0" applyBorder="0" applyAlignment="0" applyProtection="0">
      <alignment horizontal="left" wrapText="1"/>
    </xf>
    <xf numFmtId="165" fontId="12" fillId="0" borderId="0" applyFont="0" applyFill="0" applyBorder="0" applyAlignment="0" applyProtection="0"/>
    <xf numFmtId="166" fontId="12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3" fillId="7" borderId="0" applyNumberFormat="0" applyBorder="0" applyAlignment="0" applyProtection="0"/>
    <xf numFmtId="0" fontId="14" fillId="7" borderId="0" applyNumberFormat="0" applyBorder="0" applyAlignment="0" applyProtection="0"/>
    <xf numFmtId="0" fontId="15" fillId="8" borderId="0" applyNumberFormat="0" applyBorder="0" applyAlignment="0" applyProtection="0"/>
    <xf numFmtId="0" fontId="13" fillId="9" borderId="0" applyNumberFormat="0" applyBorder="0" applyAlignment="0" applyProtection="0"/>
    <xf numFmtId="0" fontId="14" fillId="9" borderId="0" applyNumberFormat="0" applyBorder="0" applyAlignment="0" applyProtection="0"/>
    <xf numFmtId="0" fontId="15" fillId="10" borderId="0" applyNumberFormat="0" applyBorder="0" applyAlignment="0" applyProtection="0"/>
    <xf numFmtId="0" fontId="13" fillId="11" borderId="0" applyNumberFormat="0" applyBorder="0" applyAlignment="0" applyProtection="0"/>
    <xf numFmtId="0" fontId="14" fillId="10" borderId="0" applyNumberFormat="0" applyBorder="0" applyAlignment="0" applyProtection="0"/>
    <xf numFmtId="0" fontId="15" fillId="12" borderId="0" applyNumberFormat="0" applyBorder="0" applyAlignment="0" applyProtection="0"/>
    <xf numFmtId="0" fontId="13" fillId="13" borderId="0" applyNumberFormat="0" applyBorder="0" applyAlignment="0" applyProtection="0"/>
    <xf numFmtId="0" fontId="14" fillId="14" borderId="0" applyNumberFormat="0" applyBorder="0" applyAlignment="0" applyProtection="0"/>
    <xf numFmtId="0" fontId="15" fillId="13" borderId="0" applyNumberFormat="0" applyBorder="0" applyAlignment="0" applyProtection="0"/>
    <xf numFmtId="0" fontId="13" fillId="7" borderId="0" applyNumberFormat="0" applyBorder="0" applyAlignment="0" applyProtection="0"/>
    <xf numFmtId="0" fontId="14" fillId="7" borderId="0" applyNumberFormat="0" applyBorder="0" applyAlignment="0" applyProtection="0"/>
    <xf numFmtId="0" fontId="15" fillId="7" borderId="0" applyNumberFormat="0" applyBorder="0" applyAlignment="0" applyProtection="0"/>
    <xf numFmtId="0" fontId="13" fillId="15" borderId="0" applyNumberFormat="0" applyBorder="0" applyAlignment="0" applyProtection="0"/>
    <xf numFmtId="0" fontId="14" fillId="16" borderId="0" applyNumberFormat="0" applyBorder="0" applyAlignment="0" applyProtection="0"/>
    <xf numFmtId="0" fontId="15" fillId="17" borderId="0" applyNumberFormat="0" applyBorder="0" applyAlignment="0" applyProtection="0"/>
    <xf numFmtId="0" fontId="13" fillId="18" borderId="0" applyNumberFormat="0" applyBorder="0" applyAlignment="0" applyProtection="0"/>
    <xf numFmtId="0" fontId="14" fillId="18" borderId="0" applyNumberFormat="0" applyBorder="0" applyAlignment="0" applyProtection="0"/>
    <xf numFmtId="0" fontId="15" fillId="18" borderId="0" applyNumberFormat="0" applyBorder="0" applyAlignment="0" applyProtection="0"/>
    <xf numFmtId="0" fontId="13" fillId="9" borderId="0" applyNumberFormat="0" applyBorder="0" applyAlignment="0" applyProtection="0"/>
    <xf numFmtId="0" fontId="14" fillId="12" borderId="0" applyNumberFormat="0" applyBorder="0" applyAlignment="0" applyProtection="0"/>
    <xf numFmtId="0" fontId="15" fillId="19" borderId="0" applyNumberFormat="0" applyBorder="0" applyAlignment="0" applyProtection="0"/>
    <xf numFmtId="0" fontId="13" fillId="15" borderId="0" applyNumberFormat="0" applyBorder="0" applyAlignment="0" applyProtection="0"/>
    <xf numFmtId="0" fontId="14" fillId="20" borderId="0" applyNumberFormat="0" applyBorder="0" applyAlignment="0" applyProtection="0"/>
    <xf numFmtId="0" fontId="15" fillId="12" borderId="0" applyNumberFormat="0" applyBorder="0" applyAlignment="0" applyProtection="0"/>
    <xf numFmtId="0" fontId="13" fillId="17" borderId="0" applyNumberFormat="0" applyBorder="0" applyAlignment="0" applyProtection="0"/>
    <xf numFmtId="0" fontId="14" fillId="14" borderId="0" applyNumberFormat="0" applyBorder="0" applyAlignment="0" applyProtection="0"/>
    <xf numFmtId="0" fontId="15" fillId="17" borderId="0" applyNumberFormat="0" applyBorder="0" applyAlignment="0" applyProtection="0"/>
    <xf numFmtId="0" fontId="13" fillId="7" borderId="0" applyNumberFormat="0" applyBorder="0" applyAlignment="0" applyProtection="0"/>
    <xf numFmtId="0" fontId="14" fillId="7" borderId="0" applyNumberFormat="0" applyBorder="0" applyAlignment="0" applyProtection="0"/>
    <xf numFmtId="0" fontId="15" fillId="21" borderId="0" applyNumberFormat="0" applyBorder="0" applyAlignment="0" applyProtection="0"/>
    <xf numFmtId="0" fontId="16" fillId="22" borderId="0" applyNumberFormat="0" applyBorder="0" applyAlignment="0" applyProtection="0"/>
    <xf numFmtId="0" fontId="17" fillId="23" borderId="0" applyNumberFormat="0" applyBorder="0" applyAlignment="0" applyProtection="0"/>
    <xf numFmtId="0" fontId="18" fillId="24" borderId="0" applyNumberFormat="0" applyBorder="0" applyAlignment="0" applyProtection="0"/>
    <xf numFmtId="0" fontId="16" fillId="18" borderId="0" applyNumberFormat="0" applyBorder="0" applyAlignment="0" applyProtection="0"/>
    <xf numFmtId="0" fontId="17" fillId="18" borderId="0" applyNumberFormat="0" applyBorder="0" applyAlignment="0" applyProtection="0"/>
    <xf numFmtId="0" fontId="18" fillId="18" borderId="0" applyNumberFormat="0" applyBorder="0" applyAlignment="0" applyProtection="0"/>
    <xf numFmtId="0" fontId="16" fillId="9" borderId="0" applyNumberFormat="0" applyBorder="0" applyAlignment="0" applyProtection="0"/>
    <xf numFmtId="0" fontId="17" fillId="12" borderId="0" applyNumberFormat="0" applyBorder="0" applyAlignment="0" applyProtection="0"/>
    <xf numFmtId="0" fontId="18" fillId="19" borderId="0" applyNumberFormat="0" applyBorder="0" applyAlignment="0" applyProtection="0"/>
    <xf numFmtId="0" fontId="16" fillId="15" borderId="0" applyNumberFormat="0" applyBorder="0" applyAlignment="0" applyProtection="0"/>
    <xf numFmtId="0" fontId="17" fillId="25" borderId="0" applyNumberFormat="0" applyBorder="0" applyAlignment="0" applyProtection="0"/>
    <xf numFmtId="0" fontId="18" fillId="26" borderId="0" applyNumberFormat="0" applyBorder="0" applyAlignment="0" applyProtection="0"/>
    <xf numFmtId="0" fontId="16" fillId="22" borderId="0" applyNumberFormat="0" applyBorder="0" applyAlignment="0" applyProtection="0"/>
    <xf numFmtId="0" fontId="17" fillId="23" borderId="0" applyNumberFormat="0" applyBorder="0" applyAlignment="0" applyProtection="0"/>
    <xf numFmtId="0" fontId="18" fillId="22" borderId="0" applyNumberFormat="0" applyBorder="0" applyAlignment="0" applyProtection="0"/>
    <xf numFmtId="0" fontId="16" fillId="7" borderId="0" applyNumberFormat="0" applyBorder="0" applyAlignment="0" applyProtection="0"/>
    <xf numFmtId="0" fontId="17" fillId="7" borderId="0" applyNumberFormat="0" applyBorder="0" applyAlignment="0" applyProtection="0"/>
    <xf numFmtId="0" fontId="18" fillId="27" borderId="0" applyNumberFormat="0" applyBorder="0" applyAlignment="0" applyProtection="0"/>
    <xf numFmtId="0" fontId="16" fillId="22" borderId="0" applyNumberFormat="0" applyBorder="0" applyAlignment="0" applyProtection="0"/>
    <xf numFmtId="0" fontId="17" fillId="28" borderId="0" applyNumberFormat="0" applyBorder="0" applyAlignment="0" applyProtection="0"/>
    <xf numFmtId="0" fontId="18" fillId="29" borderId="0" applyNumberFormat="0" applyBorder="0" applyAlignment="0" applyProtection="0"/>
    <xf numFmtId="0" fontId="16" fillId="30" borderId="0" applyNumberFormat="0" applyBorder="0" applyAlignment="0" applyProtection="0"/>
    <xf numFmtId="0" fontId="17" fillId="31" borderId="0" applyNumberFormat="0" applyBorder="0" applyAlignment="0" applyProtection="0"/>
    <xf numFmtId="0" fontId="18" fillId="30" borderId="0" applyNumberFormat="0" applyBorder="0" applyAlignment="0" applyProtection="0"/>
    <xf numFmtId="0" fontId="16" fillId="32" borderId="0" applyNumberFormat="0" applyBorder="0" applyAlignment="0" applyProtection="0"/>
    <xf numFmtId="0" fontId="17" fillId="31" borderId="0" applyNumberFormat="0" applyBorder="0" applyAlignment="0" applyProtection="0"/>
    <xf numFmtId="0" fontId="18" fillId="32" borderId="0" applyNumberFormat="0" applyBorder="0" applyAlignment="0" applyProtection="0"/>
    <xf numFmtId="0" fontId="16" fillId="28" borderId="0" applyNumberFormat="0" applyBorder="0" applyAlignment="0" applyProtection="0"/>
    <xf numFmtId="0" fontId="17" fillId="28" borderId="0" applyNumberFormat="0" applyBorder="0" applyAlignment="0" applyProtection="0"/>
    <xf numFmtId="0" fontId="18" fillId="26" borderId="0" applyNumberFormat="0" applyBorder="0" applyAlignment="0" applyProtection="0"/>
    <xf numFmtId="0" fontId="16" fillId="22" borderId="0" applyNumberFormat="0" applyBorder="0" applyAlignment="0" applyProtection="0"/>
    <xf numFmtId="0" fontId="17" fillId="32" borderId="0" applyNumberFormat="0" applyBorder="0" applyAlignment="0" applyProtection="0"/>
    <xf numFmtId="0" fontId="18" fillId="22" borderId="0" applyNumberFormat="0" applyBorder="0" applyAlignment="0" applyProtection="0"/>
    <xf numFmtId="0" fontId="16" fillId="33" borderId="0" applyNumberFormat="0" applyBorder="0" applyAlignment="0" applyProtection="0"/>
    <xf numFmtId="0" fontId="17" fillId="33" borderId="0" applyNumberFormat="0" applyBorder="0" applyAlignment="0" applyProtection="0"/>
    <xf numFmtId="0" fontId="18" fillId="33" borderId="0" applyNumberFormat="0" applyBorder="0" applyAlignment="0" applyProtection="0"/>
    <xf numFmtId="0" fontId="11" fillId="0" borderId="0"/>
    <xf numFmtId="17" fontId="11" fillId="0" borderId="0" applyFont="0" applyFill="0" applyBorder="0" applyProtection="0">
      <alignment horizontal="left"/>
    </xf>
    <xf numFmtId="0" fontId="11" fillId="0" borderId="0" applyFont="0" applyFill="0" applyBorder="0" applyProtection="0">
      <alignment horizontal="left"/>
    </xf>
    <xf numFmtId="0" fontId="19" fillId="8" borderId="0" applyNumberFormat="0" applyBorder="0" applyAlignment="0" applyProtection="0"/>
    <xf numFmtId="0" fontId="20" fillId="8" borderId="0" applyNumberFormat="0" applyBorder="0" applyAlignment="0" applyProtection="0"/>
    <xf numFmtId="0" fontId="21" fillId="8" borderId="0" applyNumberFormat="0" applyBorder="0" applyAlignment="0" applyProtection="0"/>
    <xf numFmtId="38" fontId="22" fillId="11" borderId="0"/>
    <xf numFmtId="0" fontId="23" fillId="0" borderId="0" applyNumberFormat="0" applyFill="0" applyBorder="0" applyAlignment="0" applyProtection="0"/>
    <xf numFmtId="0" fontId="24" fillId="34" borderId="0">
      <alignment horizontal="left"/>
    </xf>
    <xf numFmtId="2" fontId="25" fillId="35" borderId="6" applyProtection="0">
      <alignment horizontal="left"/>
      <protection locked="0"/>
    </xf>
    <xf numFmtId="0" fontId="26" fillId="0" borderId="0" applyNumberFormat="0" applyFill="0" applyBorder="0" applyAlignment="0" applyProtection="0"/>
    <xf numFmtId="0" fontId="27" fillId="0" borderId="5" applyNumberFormat="0" applyFill="0" applyAlignment="0" applyProtection="0"/>
    <xf numFmtId="0" fontId="11" fillId="36" borderId="0"/>
    <xf numFmtId="167" fontId="12" fillId="0" borderId="0" applyFont="0" applyFill="0" applyBorder="0" applyAlignment="0" applyProtection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11" fillId="0" borderId="0" applyFill="0" applyBorder="0" applyAlignment="0"/>
    <xf numFmtId="170" fontId="11" fillId="0" borderId="0" applyFill="0" applyBorder="0" applyAlignment="0"/>
    <xf numFmtId="0" fontId="11" fillId="0" borderId="0" applyFill="0" applyBorder="0" applyAlignment="0"/>
    <xf numFmtId="168" fontId="29" fillId="0" borderId="0" applyFill="0" applyBorder="0" applyAlignment="0"/>
    <xf numFmtId="0" fontId="11" fillId="0" borderId="0" applyFill="0" applyBorder="0" applyAlignment="0"/>
    <xf numFmtId="171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30" fillId="11" borderId="7" applyNumberFormat="0" applyAlignment="0" applyProtection="0"/>
    <xf numFmtId="0" fontId="31" fillId="13" borderId="7" applyNumberFormat="0" applyAlignment="0" applyProtection="0"/>
    <xf numFmtId="0" fontId="32" fillId="15" borderId="7" applyNumberFormat="0" applyAlignment="0" applyProtection="0"/>
    <xf numFmtId="0" fontId="33" fillId="37" borderId="8" applyNumberFormat="0"/>
    <xf numFmtId="0" fontId="34" fillId="38" borderId="9" applyBorder="0">
      <alignment horizontal="center" wrapText="1"/>
    </xf>
    <xf numFmtId="0" fontId="34" fillId="39" borderId="9" applyBorder="0">
      <alignment horizontal="center" wrapText="1"/>
    </xf>
    <xf numFmtId="0" fontId="35" fillId="40" borderId="8" applyNumberFormat="0"/>
    <xf numFmtId="0" fontId="36" fillId="41" borderId="8" applyNumberFormat="0"/>
    <xf numFmtId="0" fontId="3" fillId="41" borderId="8" applyNumberFormat="0"/>
    <xf numFmtId="0" fontId="35" fillId="40" borderId="8" applyNumberFormat="0"/>
    <xf numFmtId="0" fontId="36" fillId="40" borderId="8" applyNumberFormat="0"/>
    <xf numFmtId="0" fontId="35" fillId="37" borderId="8" applyNumberFormat="0"/>
    <xf numFmtId="0" fontId="33" fillId="37" borderId="8" applyNumberFormat="0"/>
    <xf numFmtId="0" fontId="6" fillId="5" borderId="4" applyNumberFormat="0" applyBorder="0"/>
    <xf numFmtId="0" fontId="6" fillId="5" borderId="4" applyNumberFormat="0" applyBorder="0"/>
    <xf numFmtId="0" fontId="6" fillId="5" borderId="4" applyNumberFormat="0"/>
    <xf numFmtId="0" fontId="6" fillId="5" borderId="4" applyNumberFormat="0" applyBorder="0"/>
    <xf numFmtId="14" fontId="37" fillId="40" borderId="10" applyNumberFormat="0" applyAlignment="0"/>
    <xf numFmtId="14" fontId="37" fillId="41" borderId="10" applyNumberFormat="0" applyAlignment="0"/>
    <xf numFmtId="14" fontId="38" fillId="41" borderId="10" applyNumberFormat="0" applyAlignment="0"/>
    <xf numFmtId="0" fontId="39" fillId="42" borderId="11" applyNumberFormat="0" applyAlignment="0" applyProtection="0"/>
    <xf numFmtId="0" fontId="40" fillId="42" borderId="11" applyNumberFormat="0" applyAlignment="0" applyProtection="0"/>
    <xf numFmtId="0" fontId="41" fillId="42" borderId="11" applyNumberFormat="0" applyAlignment="0" applyProtection="0"/>
    <xf numFmtId="0" fontId="42" fillId="0" borderId="0" applyNumberFormat="0" applyFill="0" applyBorder="0" applyAlignment="0" applyProtection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0" fontId="28" fillId="0" borderId="0" applyFont="0" applyFill="0" applyBorder="0" applyAlignment="0" applyProtection="0"/>
    <xf numFmtId="168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3" fontId="11" fillId="0" borderId="0" applyFill="0" applyBorder="0" applyAlignment="0" applyProtection="0"/>
    <xf numFmtId="0" fontId="45" fillId="0" borderId="0"/>
    <xf numFmtId="0" fontId="46" fillId="0" borderId="0" applyNumberFormat="0" applyAlignment="0">
      <alignment horizontal="left"/>
    </xf>
    <xf numFmtId="0" fontId="47" fillId="0" borderId="0">
      <alignment horizontal="center"/>
    </xf>
    <xf numFmtId="0" fontId="45" fillId="0" borderId="0"/>
    <xf numFmtId="0" fontId="28" fillId="0" borderId="0" applyFont="0" applyFill="0" applyBorder="0" applyAlignment="0" applyProtection="0"/>
    <xf numFmtId="169" fontId="11" fillId="0" borderId="0" applyFont="0" applyFill="0" applyBorder="0" applyAlignment="0" applyProtection="0"/>
    <xf numFmtId="8" fontId="48" fillId="0" borderId="12">
      <protection locked="0"/>
    </xf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5" fontId="11" fillId="0" borderId="0" applyFill="0" applyBorder="0" applyAlignment="0" applyProtection="0"/>
    <xf numFmtId="173" fontId="12" fillId="0" borderId="0" applyFont="0" applyFill="0" applyBorder="0" applyAlignment="0" applyProtection="0"/>
    <xf numFmtId="10" fontId="11" fillId="0" borderId="0" applyFont="0" applyFill="0" applyBorder="0" applyProtection="0">
      <alignment horizontal="center"/>
    </xf>
    <xf numFmtId="174" fontId="11" fillId="0" borderId="0" applyFont="0" applyFill="0" applyBorder="0" applyProtection="0"/>
    <xf numFmtId="175" fontId="11" fillId="0" borderId="0" applyFont="0" applyFill="0" applyBorder="0" applyProtection="0"/>
    <xf numFmtId="15" fontId="49" fillId="0" borderId="0" applyFont="0" applyFill="0" applyBorder="0" applyAlignment="0" applyProtection="0"/>
    <xf numFmtId="0" fontId="45" fillId="0" borderId="0"/>
    <xf numFmtId="176" fontId="11" fillId="0" borderId="0" applyFill="0" applyBorder="0" applyAlignment="0" applyProtection="0"/>
    <xf numFmtId="176" fontId="11" fillId="0" borderId="0" applyFill="0" applyBorder="0" applyAlignment="0" applyProtection="0"/>
    <xf numFmtId="176" fontId="11" fillId="0" borderId="0" applyFill="0" applyBorder="0" applyAlignment="0" applyProtection="0"/>
    <xf numFmtId="176" fontId="11" fillId="0" borderId="0" applyFill="0" applyBorder="0" applyAlignment="0" applyProtection="0"/>
    <xf numFmtId="176" fontId="11" fillId="0" borderId="0" applyFill="0" applyBorder="0" applyAlignment="0" applyProtection="0"/>
    <xf numFmtId="15" fontId="14" fillId="11" borderId="0"/>
    <xf numFmtId="14" fontId="14" fillId="0" borderId="0" applyFill="0" applyBorder="0" applyAlignment="0"/>
    <xf numFmtId="0" fontId="47" fillId="35" borderId="0">
      <alignment horizontal="left"/>
    </xf>
    <xf numFmtId="176" fontId="11" fillId="0" borderId="0" applyFill="0" applyBorder="0" applyAlignment="0" applyProtection="0"/>
    <xf numFmtId="14" fontId="11" fillId="0" borderId="0"/>
    <xf numFmtId="0" fontId="50" fillId="18" borderId="0">
      <alignment horizontal="left"/>
    </xf>
    <xf numFmtId="0" fontId="51" fillId="0" borderId="0">
      <alignment horizontal="left"/>
    </xf>
    <xf numFmtId="38" fontId="52" fillId="0" borderId="13">
      <alignment vertical="center"/>
    </xf>
    <xf numFmtId="177" fontId="11" fillId="0" borderId="0">
      <alignment horizontal="right"/>
    </xf>
    <xf numFmtId="1" fontId="11" fillId="0" borderId="0">
      <alignment horizontal="right"/>
    </xf>
    <xf numFmtId="1" fontId="11" fillId="0" borderId="0">
      <alignment horizontal="right"/>
    </xf>
    <xf numFmtId="178" fontId="11" fillId="0" borderId="0">
      <alignment horizontal="right"/>
    </xf>
    <xf numFmtId="49" fontId="11" fillId="0" borderId="0">
      <alignment horizontal="left"/>
    </xf>
    <xf numFmtId="49" fontId="11" fillId="0" borderId="0">
      <alignment horizontal="left"/>
    </xf>
    <xf numFmtId="49" fontId="11" fillId="0" borderId="0">
      <alignment horizontal="right"/>
    </xf>
    <xf numFmtId="14" fontId="11" fillId="0" borderId="0">
      <alignment horizontal="left"/>
    </xf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53" fillId="0" borderId="0" applyNumberFormat="0" applyAlignment="0">
      <alignment horizontal="left"/>
    </xf>
    <xf numFmtId="9" fontId="54" fillId="0" borderId="3" applyNumberFormat="0" applyBorder="0" applyAlignment="0">
      <protection locked="0"/>
    </xf>
    <xf numFmtId="179" fontId="11" fillId="0" borderId="0" applyFon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2" fontId="11" fillId="0" borderId="0" applyFill="0" applyBorder="0" applyAlignment="0" applyProtection="0"/>
    <xf numFmtId="180" fontId="11" fillId="0" borderId="0" applyFont="0" applyFill="0" applyBorder="0" applyAlignment="0" applyProtection="0"/>
    <xf numFmtId="0" fontId="14" fillId="11" borderId="0"/>
    <xf numFmtId="0" fontId="58" fillId="10" borderId="0" applyNumberFormat="0" applyBorder="0" applyAlignment="0" applyProtection="0"/>
    <xf numFmtId="0" fontId="59" fillId="14" borderId="0" applyNumberFormat="0" applyBorder="0" applyAlignment="0" applyProtection="0"/>
    <xf numFmtId="0" fontId="60" fillId="10" borderId="0" applyNumberFormat="0" applyBorder="0" applyAlignment="0" applyProtection="0"/>
    <xf numFmtId="2" fontId="61" fillId="35" borderId="6" applyProtection="0">
      <alignment horizontal="left"/>
      <protection locked="0"/>
    </xf>
    <xf numFmtId="38" fontId="42" fillId="43" borderId="0" applyNumberFormat="0" applyBorder="0" applyAlignment="0" applyProtection="0"/>
    <xf numFmtId="0" fontId="62" fillId="0" borderId="14" applyNumberFormat="0" applyAlignment="0" applyProtection="0">
      <alignment horizontal="left" vertical="center"/>
    </xf>
    <xf numFmtId="0" fontId="62" fillId="0" borderId="15">
      <alignment horizontal="left" vertical="center"/>
    </xf>
    <xf numFmtId="0" fontId="63" fillId="15" borderId="3">
      <alignment horizontal="centerContinuous"/>
    </xf>
    <xf numFmtId="0" fontId="64" fillId="0" borderId="16" applyNumberFormat="0" applyFill="0" applyAlignment="0" applyProtection="0"/>
    <xf numFmtId="0" fontId="65" fillId="0" borderId="17" applyNumberFormat="0" applyFill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18" applyNumberFormat="0" applyFill="0" applyAlignment="0" applyProtection="0"/>
    <xf numFmtId="0" fontId="69" fillId="0" borderId="19" applyNumberFormat="0" applyFill="0" applyAlignment="0" applyProtection="0"/>
    <xf numFmtId="0" fontId="70" fillId="0" borderId="20" applyNumberFormat="0" applyFill="0" applyAlignment="0" applyProtection="0"/>
    <xf numFmtId="0" fontId="50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71" fillId="0" borderId="19" applyNumberFormat="0" applyFill="0" applyAlignment="0" applyProtection="0"/>
    <xf numFmtId="0" fontId="72" fillId="0" borderId="21" applyNumberFormat="0" applyFill="0" applyAlignment="0" applyProtection="0"/>
    <xf numFmtId="0" fontId="73" fillId="0" borderId="22" applyNumberFormat="0" applyFill="0" applyAlignment="0" applyProtection="0"/>
    <xf numFmtId="0" fontId="74" fillId="0" borderId="23" applyNumberFormat="0" applyFill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11" borderId="0"/>
    <xf numFmtId="0" fontId="67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76" fillId="0" borderId="0" applyNumberFormat="0" applyFill="0" applyBorder="0" applyAlignment="0" applyProtection="0">
      <alignment vertical="top"/>
      <protection locked="0"/>
    </xf>
    <xf numFmtId="10" fontId="42" fillId="44" borderId="3" applyNumberFormat="0" applyBorder="0" applyAlignment="0" applyProtection="0"/>
    <xf numFmtId="2" fontId="77" fillId="0" borderId="24" applyNumberFormat="0" applyFill="0" applyBorder="0" applyAlignment="0">
      <alignment horizontal="center"/>
      <protection locked="0"/>
    </xf>
    <xf numFmtId="2" fontId="77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8" fillId="7" borderId="7" applyNumberFormat="0" applyAlignment="0" applyProtection="0"/>
    <xf numFmtId="0" fontId="78" fillId="7" borderId="7" applyNumberFormat="0" applyAlignment="0" applyProtection="0"/>
    <xf numFmtId="0" fontId="78" fillId="7" borderId="7" applyNumberFormat="0" applyAlignment="0" applyProtection="0"/>
    <xf numFmtId="0" fontId="78" fillId="7" borderId="7" applyNumberFormat="0" applyAlignment="0" applyProtection="0"/>
    <xf numFmtId="37" fontId="79" fillId="0" borderId="0" applyNumberFormat="0" applyAlignment="0">
      <protection locked="0"/>
    </xf>
    <xf numFmtId="0" fontId="80" fillId="0" borderId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83" fillId="0" borderId="25" applyNumberFormat="0" applyFill="0" applyAlignment="0" applyProtection="0"/>
    <xf numFmtId="0" fontId="11" fillId="43" borderId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38" fontId="14" fillId="11" borderId="0"/>
    <xf numFmtId="0" fontId="84" fillId="7" borderId="0" applyNumberFormat="0" applyBorder="0" applyAlignment="0" applyProtection="0"/>
    <xf numFmtId="0" fontId="85" fillId="12" borderId="0" applyNumberFormat="0" applyBorder="0" applyAlignment="0" applyProtection="0"/>
    <xf numFmtId="0" fontId="86" fillId="36" borderId="0" applyNumberFormat="0" applyBorder="0" applyAlignment="0" applyProtection="0"/>
    <xf numFmtId="37" fontId="87" fillId="0" borderId="0"/>
    <xf numFmtId="0" fontId="50" fillId="11" borderId="0" applyNumberFormat="0" applyFont="0" applyFill="0" applyBorder="0" applyAlignment="0"/>
    <xf numFmtId="10" fontId="14" fillId="11" borderId="0"/>
    <xf numFmtId="181" fontId="88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5" fillId="4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0" fontId="11" fillId="0" borderId="0"/>
    <xf numFmtId="0" fontId="11" fillId="41" borderId="0"/>
    <xf numFmtId="0" fontId="11" fillId="41" borderId="0"/>
    <xf numFmtId="0" fontId="11" fillId="0" borderId="0"/>
    <xf numFmtId="0" fontId="11" fillId="0" borderId="0"/>
    <xf numFmtId="0" fontId="35" fillId="40" borderId="0"/>
    <xf numFmtId="0" fontId="35" fillId="40" borderId="0"/>
    <xf numFmtId="0" fontId="35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5" fillId="40" borderId="0"/>
    <xf numFmtId="0" fontId="11" fillId="0" borderId="0"/>
    <xf numFmtId="0" fontId="11" fillId="0" borderId="0"/>
    <xf numFmtId="0" fontId="35" fillId="40" borderId="0"/>
    <xf numFmtId="0" fontId="1" fillId="0" borderId="0"/>
    <xf numFmtId="0" fontId="1" fillId="0" borderId="0"/>
    <xf numFmtId="0" fontId="11" fillId="0" borderId="0">
      <alignment vertical="top"/>
    </xf>
    <xf numFmtId="0" fontId="11" fillId="0" borderId="0">
      <alignment vertical="top"/>
    </xf>
    <xf numFmtId="0" fontId="15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9" fillId="0" borderId="0"/>
    <xf numFmtId="0" fontId="11" fillId="0" borderId="0"/>
    <xf numFmtId="0" fontId="11" fillId="0" borderId="0"/>
    <xf numFmtId="0" fontId="35" fillId="3" borderId="2" applyNumberFormat="0" applyFont="0" applyAlignment="0" applyProtection="0"/>
    <xf numFmtId="0" fontId="14" fillId="9" borderId="26" applyNumberFormat="0" applyFont="0" applyAlignment="0" applyProtection="0"/>
    <xf numFmtId="0" fontId="90" fillId="9" borderId="26" applyNumberFormat="0" applyFont="0" applyAlignment="0" applyProtection="0"/>
    <xf numFmtId="0" fontId="35" fillId="3" borderId="2" applyNumberFormat="0" applyFont="0" applyAlignment="0" applyProtection="0"/>
    <xf numFmtId="0" fontId="91" fillId="0" borderId="0"/>
    <xf numFmtId="0" fontId="15" fillId="9" borderId="26" applyNumberFormat="0" applyFont="0" applyAlignment="0" applyProtection="0"/>
    <xf numFmtId="0" fontId="35" fillId="3" borderId="2" applyNumberFormat="0" applyFont="0" applyAlignment="0" applyProtection="0"/>
    <xf numFmtId="0" fontId="35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8" fillId="0" borderId="0">
      <alignment horizontal="center"/>
    </xf>
    <xf numFmtId="37" fontId="11" fillId="0" borderId="0"/>
    <xf numFmtId="183" fontId="42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184" fontId="92" fillId="0" borderId="0" applyNumberFormat="0" applyFill="0" applyBorder="0" applyAlignment="0" applyProtection="0"/>
    <xf numFmtId="164" fontId="28" fillId="0" borderId="0">
      <alignment horizontal="center"/>
    </xf>
    <xf numFmtId="0" fontId="35" fillId="6" borderId="0" applyNumberFormat="0" applyFont="0" applyBorder="0" applyAlignment="0" applyProtection="0"/>
    <xf numFmtId="0" fontId="92" fillId="0" borderId="27"/>
    <xf numFmtId="2" fontId="93" fillId="35" borderId="6">
      <alignment horizontal="left"/>
    </xf>
    <xf numFmtId="0" fontId="94" fillId="11" borderId="28" applyNumberFormat="0" applyAlignment="0" applyProtection="0"/>
    <xf numFmtId="0" fontId="95" fillId="13" borderId="28" applyNumberFormat="0" applyAlignment="0" applyProtection="0"/>
    <xf numFmtId="0" fontId="96" fillId="15" borderId="28" applyNumberFormat="0" applyAlignment="0" applyProtection="0"/>
    <xf numFmtId="40" fontId="14" fillId="35" borderId="0">
      <alignment horizontal="right"/>
    </xf>
    <xf numFmtId="0" fontId="97" fillId="44" borderId="0">
      <alignment horizontal="center"/>
    </xf>
    <xf numFmtId="0" fontId="40" fillId="45" borderId="6"/>
    <xf numFmtId="0" fontId="98" fillId="0" borderId="0" applyBorder="0">
      <alignment horizontal="centerContinuous"/>
    </xf>
    <xf numFmtId="0" fontId="99" fillId="0" borderId="0" applyBorder="0">
      <alignment horizontal="centerContinuous"/>
    </xf>
    <xf numFmtId="0" fontId="62" fillId="0" borderId="0"/>
    <xf numFmtId="0" fontId="11" fillId="0" borderId="0" applyFont="0" applyFill="0" applyBorder="0" applyAlignment="0" applyProtection="0"/>
    <xf numFmtId="171" fontId="11" fillId="0" borderId="0" applyFont="0" applyFill="0" applyBorder="0" applyAlignment="0" applyProtection="0"/>
    <xf numFmtId="0" fontId="100" fillId="0" borderId="0" applyFont="0" applyFill="0" applyBorder="0" applyAlignment="0" applyProtection="0"/>
    <xf numFmtId="185" fontId="29" fillId="0" borderId="0" applyFont="0" applyFill="0" applyBorder="0" applyAlignment="0" applyProtection="0"/>
    <xf numFmtId="10" fontId="11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2" fillId="0" borderId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186" fontId="28" fillId="0" borderId="0">
      <alignment horizontal="center"/>
    </xf>
    <xf numFmtId="187" fontId="28" fillId="0" borderId="3">
      <alignment horizontal="center"/>
    </xf>
    <xf numFmtId="0" fontId="101" fillId="0" borderId="29" applyAlignment="0">
      <alignment horizontal="center"/>
    </xf>
    <xf numFmtId="0" fontId="102" fillId="43" borderId="0"/>
    <xf numFmtId="0" fontId="52" fillId="0" borderId="0" applyNumberFormat="0" applyFont="0" applyFill="0" applyBorder="0" applyAlignment="0" applyProtection="0">
      <alignment horizontal="left"/>
    </xf>
    <xf numFmtId="0" fontId="103" fillId="0" borderId="30">
      <alignment horizontal="center"/>
    </xf>
    <xf numFmtId="0" fontId="49" fillId="0" borderId="0">
      <alignment vertical="top"/>
    </xf>
    <xf numFmtId="188" fontId="49" fillId="0" borderId="0">
      <alignment vertical="top"/>
    </xf>
    <xf numFmtId="0" fontId="101" fillId="0" borderId="0">
      <alignment horizontal="left"/>
    </xf>
    <xf numFmtId="0" fontId="101" fillId="0" borderId="0">
      <alignment horizontal="right"/>
    </xf>
    <xf numFmtId="0" fontId="14" fillId="0" borderId="6" applyNumberFormat="0" applyBorder="0" applyAlignment="0"/>
    <xf numFmtId="189" fontId="104" fillId="0" borderId="0" applyNumberFormat="0" applyFill="0" applyBorder="0" applyAlignment="0" applyProtection="0">
      <alignment horizontal="left"/>
    </xf>
    <xf numFmtId="0" fontId="50" fillId="32" borderId="0">
      <alignment horizontal="left"/>
    </xf>
    <xf numFmtId="0" fontId="105" fillId="0" borderId="31"/>
    <xf numFmtId="187" fontId="25" fillId="9" borderId="0">
      <alignment horizontal="center"/>
    </xf>
    <xf numFmtId="187" fontId="106" fillId="9" borderId="0">
      <alignment horizontal="center"/>
    </xf>
    <xf numFmtId="187" fontId="25" fillId="10" borderId="0">
      <alignment horizontal="center"/>
    </xf>
    <xf numFmtId="0" fontId="25" fillId="9" borderId="0">
      <alignment horizontal="left"/>
    </xf>
    <xf numFmtId="0" fontId="107" fillId="0" borderId="0" applyFont="0" applyFill="0" applyBorder="0" applyAlignment="0" applyProtection="0"/>
    <xf numFmtId="190" fontId="29" fillId="0" borderId="0" applyFont="0" applyFill="0" applyBorder="0" applyAlignment="0" applyProtection="0"/>
    <xf numFmtId="191" fontId="11" fillId="0" borderId="0"/>
    <xf numFmtId="0" fontId="11" fillId="0" borderId="0"/>
    <xf numFmtId="0" fontId="11" fillId="0" borderId="0">
      <alignment horizontal="left" wrapText="1"/>
    </xf>
    <xf numFmtId="0" fontId="25" fillId="9" borderId="0">
      <alignment horizontal="center"/>
    </xf>
    <xf numFmtId="0" fontId="101" fillId="0" borderId="0"/>
    <xf numFmtId="0" fontId="108" fillId="0" borderId="0"/>
    <xf numFmtId="40" fontId="109" fillId="0" borderId="0" applyBorder="0">
      <alignment horizontal="right"/>
    </xf>
    <xf numFmtId="0" fontId="11" fillId="35" borderId="26"/>
    <xf numFmtId="0" fontId="28" fillId="0" borderId="0">
      <alignment horizontal="center"/>
    </xf>
    <xf numFmtId="15" fontId="28" fillId="0" borderId="0">
      <alignment horizontal="center"/>
    </xf>
    <xf numFmtId="0" fontId="110" fillId="0" borderId="0">
      <alignment horizontal="center"/>
    </xf>
    <xf numFmtId="3" fontId="28" fillId="0" borderId="0">
      <alignment horizontal="center"/>
    </xf>
    <xf numFmtId="192" fontId="28" fillId="0" borderId="0">
      <alignment horizontal="center"/>
    </xf>
    <xf numFmtId="187" fontId="28" fillId="0" borderId="0">
      <alignment horizontal="center"/>
    </xf>
    <xf numFmtId="0" fontId="111" fillId="46" borderId="0"/>
    <xf numFmtId="193" fontId="28" fillId="0" borderId="0">
      <alignment horizontal="center"/>
    </xf>
    <xf numFmtId="193" fontId="28" fillId="0" borderId="32">
      <alignment horizontal="center"/>
    </xf>
    <xf numFmtId="0" fontId="28" fillId="0" borderId="0">
      <alignment horizontal="left"/>
    </xf>
    <xf numFmtId="0" fontId="112" fillId="0" borderId="0">
      <alignment horizontal="center"/>
    </xf>
    <xf numFmtId="0" fontId="113" fillId="0" borderId="0" applyNumberFormat="0" applyFill="0" applyBorder="0"/>
    <xf numFmtId="0" fontId="14" fillId="11" borderId="0"/>
    <xf numFmtId="49" fontId="14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11" fillId="0" borderId="0" applyFill="0" applyBorder="0" applyAlignment="0"/>
    <xf numFmtId="171" fontId="11" fillId="0" borderId="0" applyFill="0" applyBorder="0" applyAlignment="0"/>
    <xf numFmtId="49" fontId="11" fillId="0" borderId="0"/>
    <xf numFmtId="0" fontId="114" fillId="0" borderId="0">
      <alignment horizontal="right"/>
    </xf>
    <xf numFmtId="0" fontId="115" fillId="0" borderId="0">
      <alignment horizontal="right"/>
      <protection locked="0"/>
    </xf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22" fillId="11" borderId="0"/>
    <xf numFmtId="0" fontId="35" fillId="47" borderId="33" applyBorder="0">
      <alignment horizontal="center" wrapText="1"/>
    </xf>
    <xf numFmtId="0" fontId="34" fillId="38" borderId="9" applyBorder="0">
      <alignment horizontal="center" wrapText="1"/>
    </xf>
    <xf numFmtId="0" fontId="35" fillId="48" borderId="9" applyBorder="0">
      <alignment horizontal="center" wrapText="1"/>
    </xf>
    <xf numFmtId="0" fontId="34" fillId="39" borderId="9" applyBorder="0">
      <alignment horizontal="center" wrapText="1"/>
    </xf>
    <xf numFmtId="0" fontId="7" fillId="49" borderId="9" applyBorder="0">
      <alignment horizontal="center" wrapText="1"/>
    </xf>
    <xf numFmtId="0" fontId="34" fillId="50" borderId="9" applyBorder="0">
      <alignment horizontal="center" wrapText="1"/>
    </xf>
    <xf numFmtId="0" fontId="34" fillId="50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101" fillId="0" borderId="0" applyNumberFormat="0" applyFill="0" applyBorder="0" applyAlignment="0" applyProtection="0"/>
    <xf numFmtId="0" fontId="119" fillId="0" borderId="34" applyNumberFormat="0" applyFill="0" applyAlignment="0" applyProtection="0"/>
    <xf numFmtId="0" fontId="22" fillId="0" borderId="35" applyNumberFormat="0" applyFill="0" applyAlignment="0" applyProtection="0"/>
    <xf numFmtId="0" fontId="11" fillId="0" borderId="36" applyNumberFormat="0" applyFill="0" applyAlignment="0" applyProtection="0"/>
    <xf numFmtId="0" fontId="120" fillId="0" borderId="37" applyNumberFormat="0" applyFill="0" applyAlignment="0" applyProtection="0"/>
    <xf numFmtId="0" fontId="121" fillId="11" borderId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1" fontId="125" fillId="40" borderId="10"/>
    <xf numFmtId="1" fontId="125" fillId="41" borderId="10"/>
    <xf numFmtId="2" fontId="126" fillId="41" borderId="10"/>
    <xf numFmtId="0" fontId="127" fillId="40" borderId="4" applyNumberFormat="0" applyAlignment="0"/>
    <xf numFmtId="0" fontId="128" fillId="41" borderId="4" applyNumberFormat="0" applyAlignment="0"/>
    <xf numFmtId="1" fontId="129" fillId="41" borderId="10" applyNumberFormat="0"/>
    <xf numFmtId="177" fontId="130" fillId="41" borderId="10" applyNumberFormat="0"/>
    <xf numFmtId="0" fontId="11" fillId="0" borderId="0"/>
    <xf numFmtId="43" fontId="1" fillId="0" borderId="0" applyFon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0" fontId="5" fillId="0" borderId="3" xfId="0" applyFont="1" applyBorder="1"/>
    <xf numFmtId="0" fontId="6" fillId="5" borderId="3" xfId="1" applyFont="1" applyBorder="1" applyAlignment="1">
      <alignment horizontal="center"/>
    </xf>
    <xf numFmtId="14" fontId="6" fillId="5" borderId="3" xfId="1" applyNumberFormat="1" applyFont="1" applyBorder="1"/>
    <xf numFmtId="0" fontId="4" fillId="0" borderId="0" xfId="0" applyFont="1" applyBorder="1"/>
    <xf numFmtId="0" fontId="8" fillId="0" borderId="0" xfId="0" applyFont="1" applyAlignment="1">
      <alignment horizontal="right"/>
    </xf>
    <xf numFmtId="0" fontId="10" fillId="0" borderId="0" xfId="2" applyFont="1"/>
    <xf numFmtId="0" fontId="8" fillId="0" borderId="0" xfId="0" applyFont="1"/>
    <xf numFmtId="0" fontId="10" fillId="0" borderId="0" xfId="2" applyFont="1" applyAlignment="1">
      <alignment vertical="top"/>
    </xf>
    <xf numFmtId="0" fontId="131" fillId="0" borderId="0" xfId="0" applyFont="1"/>
    <xf numFmtId="0" fontId="132" fillId="0" borderId="0" xfId="0" applyFont="1"/>
    <xf numFmtId="0" fontId="7" fillId="0" borderId="0" xfId="0" applyFont="1"/>
    <xf numFmtId="0" fontId="6" fillId="5" borderId="3" xfId="1" applyFont="1" applyBorder="1" applyAlignment="1">
      <alignment horizontal="left"/>
    </xf>
    <xf numFmtId="3" fontId="0" fillId="0" borderId="0" xfId="0" applyNumberFormat="1"/>
    <xf numFmtId="0" fontId="7" fillId="6" borderId="38" xfId="0" applyFont="1" applyFill="1" applyBorder="1" applyAlignment="1">
      <alignment wrapText="1"/>
    </xf>
    <xf numFmtId="0" fontId="7" fillId="6" borderId="38" xfId="0" applyFont="1" applyFill="1" applyBorder="1" applyAlignment="1">
      <alignment vertical="center"/>
    </xf>
    <xf numFmtId="3" fontId="0" fillId="0" borderId="38" xfId="0" applyNumberFormat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9" fillId="0" borderId="0" xfId="2"/>
    <xf numFmtId="0" fontId="7" fillId="6" borderId="38" xfId="0" applyFont="1" applyFill="1" applyBorder="1" applyAlignment="1">
      <alignment horizontal="center" vertical="center" wrapText="1"/>
    </xf>
    <xf numFmtId="3" fontId="7" fillId="0" borderId="38" xfId="0" applyNumberFormat="1" applyFont="1" applyBorder="1" applyAlignment="1">
      <alignment vertical="center"/>
    </xf>
    <xf numFmtId="0" fontId="133" fillId="0" borderId="0" xfId="0" applyFont="1"/>
    <xf numFmtId="0" fontId="7" fillId="51" borderId="38" xfId="0" applyFont="1" applyFill="1" applyBorder="1" applyAlignment="1">
      <alignment vertical="center"/>
    </xf>
    <xf numFmtId="0" fontId="5" fillId="0" borderId="0" xfId="0" applyFont="1"/>
    <xf numFmtId="0" fontId="7" fillId="51" borderId="39" xfId="0" applyFont="1" applyFill="1" applyBorder="1" applyAlignment="1">
      <alignment horizontal="center" vertical="center"/>
    </xf>
    <xf numFmtId="0" fontId="7" fillId="51" borderId="40" xfId="0" applyFont="1" applyFill="1" applyBorder="1" applyAlignment="1">
      <alignment horizontal="center" vertical="center"/>
    </xf>
    <xf numFmtId="0" fontId="7" fillId="51" borderId="42" xfId="0" applyFont="1" applyFill="1" applyBorder="1" applyAlignment="1">
      <alignment vertical="center"/>
    </xf>
    <xf numFmtId="194" fontId="0" fillId="0" borderId="0" xfId="526" applyNumberFormat="1" applyFont="1"/>
    <xf numFmtId="0" fontId="7" fillId="51" borderId="43" xfId="0" applyFont="1" applyFill="1" applyBorder="1" applyAlignment="1">
      <alignment horizontal="center" vertical="center"/>
    </xf>
    <xf numFmtId="0" fontId="7" fillId="6" borderId="39" xfId="0" applyFont="1" applyFill="1" applyBorder="1" applyAlignment="1">
      <alignment horizontal="right" vertical="center"/>
    </xf>
    <xf numFmtId="0" fontId="7" fillId="6" borderId="40" xfId="0" applyFont="1" applyFill="1" applyBorder="1" applyAlignment="1">
      <alignment horizontal="right" vertical="center"/>
    </xf>
    <xf numFmtId="0" fontId="7" fillId="6" borderId="41" xfId="0" applyFont="1" applyFill="1" applyBorder="1" applyAlignment="1">
      <alignment horizontal="right" vertical="center"/>
    </xf>
    <xf numFmtId="0" fontId="7" fillId="51" borderId="44" xfId="0" applyFont="1" applyFill="1" applyBorder="1" applyAlignment="1">
      <alignment horizontal="center" vertical="center"/>
    </xf>
    <xf numFmtId="0" fontId="0" fillId="0" borderId="44" xfId="0" applyBorder="1"/>
    <xf numFmtId="0" fontId="0" fillId="0" borderId="45" xfId="0" applyBorder="1"/>
  </cellXfs>
  <cellStyles count="527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1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" xfId="526" builtinId="3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" xfId="2" builtinId="8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0"/>
  <tableStyles count="0" defaultTableStyle="TableStyleMedium2" defaultPivotStyle="PivotStyleLight16"/>
  <colors>
    <mruColors>
      <color rgb="FFFFFFFF"/>
      <color rgb="FFF6F4F0"/>
      <color rgb="FFC7732D"/>
      <color rgb="FF1B7A76"/>
      <color rgb="FFB3275C"/>
      <color rgb="FF2E398A"/>
      <color rgb="FF74B629"/>
      <color rgb="FFEFEB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Total Application Received</a:t>
            </a:r>
          </a:p>
        </c:rich>
      </c:tx>
      <c:layout/>
      <c:overlay val="0"/>
    </c:title>
    <c:autoTitleDeleted val="0"/>
    <c:plotArea>
      <c:layout/>
      <c:areaChart>
        <c:grouping val="stacked"/>
        <c:varyColors val="0"/>
        <c:ser>
          <c:idx val="2"/>
          <c:order val="0"/>
          <c:tx>
            <c:strRef>
              <c:f>Input!$S$5</c:f>
              <c:strCache>
                <c:ptCount val="1"/>
                <c:pt idx="0">
                  <c:v>Home Purchase</c:v>
                </c:pt>
              </c:strCache>
            </c:strRef>
          </c:tx>
          <c:spPr>
            <a:ln w="25400">
              <a:noFill/>
            </a:ln>
          </c:spPr>
          <c:cat>
            <c:multiLvlStrRef>
              <c:f>Input!$Q$6:$R$65</c:f>
              <c:multiLvlStrCache>
                <c:ptCount val="60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 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  <c:pt idx="44">
                    <c:v>Sep</c:v>
                  </c:pt>
                  <c:pt idx="45">
                    <c:v>Oct</c:v>
                  </c:pt>
                  <c:pt idx="46">
                    <c:v>Nov</c:v>
                  </c:pt>
                  <c:pt idx="47">
                    <c:v>Dec</c:v>
                  </c:pt>
                  <c:pt idx="48">
                    <c:v>Jan</c:v>
                  </c:pt>
                  <c:pt idx="49">
                    <c:v>Feb</c:v>
                  </c:pt>
                  <c:pt idx="50">
                    <c:v>Mar</c:v>
                  </c:pt>
                  <c:pt idx="51">
                    <c:v>Apr</c:v>
                  </c:pt>
                  <c:pt idx="52">
                    <c:v>May</c:v>
                  </c:pt>
                  <c:pt idx="53">
                    <c:v>Jun</c:v>
                  </c:pt>
                  <c:pt idx="54">
                    <c:v>Jul</c:v>
                  </c:pt>
                  <c:pt idx="55">
                    <c:v>Aug</c:v>
                  </c:pt>
                  <c:pt idx="56">
                    <c:v>Sep</c:v>
                  </c:pt>
                  <c:pt idx="57">
                    <c:v>Oct</c:v>
                  </c:pt>
                  <c:pt idx="58">
                    <c:v>Nov</c:v>
                  </c:pt>
                  <c:pt idx="59">
                    <c:v>Dec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  <c:pt idx="24">
                    <c:v>2015</c:v>
                  </c:pt>
                  <c:pt idx="36">
                    <c:v>2016</c:v>
                  </c:pt>
                  <c:pt idx="48">
                    <c:v>2017</c:v>
                  </c:pt>
                </c:lvl>
              </c:multiLvlStrCache>
            </c:multiLvlStrRef>
          </c:cat>
          <c:val>
            <c:numRef>
              <c:f>Input!$S$6:$S$65</c:f>
              <c:numCache>
                <c:formatCode>General</c:formatCode>
                <c:ptCount val="60"/>
                <c:pt idx="0">
                  <c:v>58933</c:v>
                </c:pt>
                <c:pt idx="1">
                  <c:v>66498</c:v>
                </c:pt>
                <c:pt idx="2">
                  <c:v>113900</c:v>
                </c:pt>
                <c:pt idx="3">
                  <c:v>62897</c:v>
                </c:pt>
                <c:pt idx="4">
                  <c:v>101178</c:v>
                </c:pt>
                <c:pt idx="5">
                  <c:v>57633</c:v>
                </c:pt>
                <c:pt idx="6">
                  <c:v>68994</c:v>
                </c:pt>
                <c:pt idx="7">
                  <c:v>64203</c:v>
                </c:pt>
                <c:pt idx="8">
                  <c:v>58541</c:v>
                </c:pt>
                <c:pt idx="9">
                  <c:v>62332</c:v>
                </c:pt>
                <c:pt idx="10">
                  <c:v>49838</c:v>
                </c:pt>
                <c:pt idx="11">
                  <c:v>46331</c:v>
                </c:pt>
                <c:pt idx="12">
                  <c:v>45860</c:v>
                </c:pt>
                <c:pt idx="13">
                  <c:v>51701</c:v>
                </c:pt>
                <c:pt idx="14">
                  <c:v>66273</c:v>
                </c:pt>
                <c:pt idx="15">
                  <c:v>74816</c:v>
                </c:pt>
                <c:pt idx="16">
                  <c:v>73371</c:v>
                </c:pt>
                <c:pt idx="17">
                  <c:v>72450</c:v>
                </c:pt>
                <c:pt idx="18">
                  <c:v>71543</c:v>
                </c:pt>
                <c:pt idx="19">
                  <c:v>63962</c:v>
                </c:pt>
                <c:pt idx="20">
                  <c:v>62210</c:v>
                </c:pt>
                <c:pt idx="21">
                  <c:v>64344</c:v>
                </c:pt>
                <c:pt idx="22">
                  <c:v>50489</c:v>
                </c:pt>
                <c:pt idx="23">
                  <c:v>48105</c:v>
                </c:pt>
                <c:pt idx="24">
                  <c:v>71046</c:v>
                </c:pt>
                <c:pt idx="25">
                  <c:v>85181</c:v>
                </c:pt>
                <c:pt idx="26">
                  <c:v>98870</c:v>
                </c:pt>
                <c:pt idx="27">
                  <c:v>106180</c:v>
                </c:pt>
                <c:pt idx="28">
                  <c:v>101088</c:v>
                </c:pt>
                <c:pt idx="29">
                  <c:v>107893</c:v>
                </c:pt>
                <c:pt idx="30">
                  <c:v>102089</c:v>
                </c:pt>
                <c:pt idx="31">
                  <c:v>92704</c:v>
                </c:pt>
                <c:pt idx="32">
                  <c:v>92435</c:v>
                </c:pt>
                <c:pt idx="33">
                  <c:v>77735</c:v>
                </c:pt>
                <c:pt idx="34">
                  <c:v>69391</c:v>
                </c:pt>
                <c:pt idx="35">
                  <c:v>64073</c:v>
                </c:pt>
                <c:pt idx="36">
                  <c:v>63029</c:v>
                </c:pt>
                <c:pt idx="37">
                  <c:v>84351</c:v>
                </c:pt>
                <c:pt idx="38">
                  <c:v>109358</c:v>
                </c:pt>
                <c:pt idx="39">
                  <c:v>107312</c:v>
                </c:pt>
                <c:pt idx="40">
                  <c:v>109836</c:v>
                </c:pt>
                <c:pt idx="41">
                  <c:v>110412</c:v>
                </c:pt>
                <c:pt idx="42">
                  <c:v>92341</c:v>
                </c:pt>
                <c:pt idx="43">
                  <c:v>99321</c:v>
                </c:pt>
                <c:pt idx="44">
                  <c:v>86060</c:v>
                </c:pt>
                <c:pt idx="45">
                  <c:v>78132</c:v>
                </c:pt>
                <c:pt idx="46">
                  <c:v>75915</c:v>
                </c:pt>
                <c:pt idx="47">
                  <c:v>62305</c:v>
                </c:pt>
                <c:pt idx="48">
                  <c:v>68703</c:v>
                </c:pt>
                <c:pt idx="49">
                  <c:v>80349</c:v>
                </c:pt>
                <c:pt idx="50">
                  <c:v>107545</c:v>
                </c:pt>
                <c:pt idx="51">
                  <c:v>95345</c:v>
                </c:pt>
                <c:pt idx="52">
                  <c:v>107072</c:v>
                </c:pt>
                <c:pt idx="53">
                  <c:v>102751</c:v>
                </c:pt>
                <c:pt idx="54">
                  <c:v>87483</c:v>
                </c:pt>
                <c:pt idx="55">
                  <c:v>92177</c:v>
                </c:pt>
                <c:pt idx="56">
                  <c:v>72631</c:v>
                </c:pt>
                <c:pt idx="57">
                  <c:v>77224</c:v>
                </c:pt>
                <c:pt idx="58">
                  <c:v>69684</c:v>
                </c:pt>
                <c:pt idx="59">
                  <c:v>53897</c:v>
                </c:pt>
              </c:numCache>
            </c:numRef>
          </c:val>
        </c:ser>
        <c:ser>
          <c:idx val="3"/>
          <c:order val="1"/>
          <c:tx>
            <c:strRef>
              <c:f>Input!$T$5</c:f>
              <c:strCache>
                <c:ptCount val="1"/>
                <c:pt idx="0">
                  <c:v>Refinance</c:v>
                </c:pt>
              </c:strCache>
            </c:strRef>
          </c:tx>
          <c:spPr>
            <a:ln w="25400">
              <a:noFill/>
            </a:ln>
          </c:spPr>
          <c:cat>
            <c:multiLvlStrRef>
              <c:f>Input!$Q$6:$R$65</c:f>
              <c:multiLvlStrCache>
                <c:ptCount val="60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 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  <c:pt idx="44">
                    <c:v>Sep</c:v>
                  </c:pt>
                  <c:pt idx="45">
                    <c:v>Oct</c:v>
                  </c:pt>
                  <c:pt idx="46">
                    <c:v>Nov</c:v>
                  </c:pt>
                  <c:pt idx="47">
                    <c:v>Dec</c:v>
                  </c:pt>
                  <c:pt idx="48">
                    <c:v>Jan</c:v>
                  </c:pt>
                  <c:pt idx="49">
                    <c:v>Feb</c:v>
                  </c:pt>
                  <c:pt idx="50">
                    <c:v>Mar</c:v>
                  </c:pt>
                  <c:pt idx="51">
                    <c:v>Apr</c:v>
                  </c:pt>
                  <c:pt idx="52">
                    <c:v>May</c:v>
                  </c:pt>
                  <c:pt idx="53">
                    <c:v>Jun</c:v>
                  </c:pt>
                  <c:pt idx="54">
                    <c:v>Jul</c:v>
                  </c:pt>
                  <c:pt idx="55">
                    <c:v>Aug</c:v>
                  </c:pt>
                  <c:pt idx="56">
                    <c:v>Sep</c:v>
                  </c:pt>
                  <c:pt idx="57">
                    <c:v>Oct</c:v>
                  </c:pt>
                  <c:pt idx="58">
                    <c:v>Nov</c:v>
                  </c:pt>
                  <c:pt idx="59">
                    <c:v>Dec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  <c:pt idx="24">
                    <c:v>2015</c:v>
                  </c:pt>
                  <c:pt idx="36">
                    <c:v>2016</c:v>
                  </c:pt>
                  <c:pt idx="48">
                    <c:v>2017</c:v>
                  </c:pt>
                </c:lvl>
              </c:multiLvlStrCache>
            </c:multiLvlStrRef>
          </c:cat>
          <c:val>
            <c:numRef>
              <c:f>Input!$T$6:$T$65</c:f>
              <c:numCache>
                <c:formatCode>General</c:formatCode>
                <c:ptCount val="60"/>
                <c:pt idx="0">
                  <c:v>79996</c:v>
                </c:pt>
                <c:pt idx="1">
                  <c:v>71427</c:v>
                </c:pt>
                <c:pt idx="2">
                  <c:v>107698</c:v>
                </c:pt>
                <c:pt idx="3">
                  <c:v>55276</c:v>
                </c:pt>
                <c:pt idx="4">
                  <c:v>81253</c:v>
                </c:pt>
                <c:pt idx="5">
                  <c:v>36113</c:v>
                </c:pt>
                <c:pt idx="6">
                  <c:v>39202</c:v>
                </c:pt>
                <c:pt idx="7">
                  <c:v>33120</c:v>
                </c:pt>
                <c:pt idx="8">
                  <c:v>24904</c:v>
                </c:pt>
                <c:pt idx="9">
                  <c:v>31184</c:v>
                </c:pt>
                <c:pt idx="10">
                  <c:v>25533</c:v>
                </c:pt>
                <c:pt idx="11">
                  <c:v>22108</c:v>
                </c:pt>
                <c:pt idx="12">
                  <c:v>25270</c:v>
                </c:pt>
                <c:pt idx="13">
                  <c:v>25162</c:v>
                </c:pt>
                <c:pt idx="14">
                  <c:v>28355</c:v>
                </c:pt>
                <c:pt idx="15">
                  <c:v>28279</c:v>
                </c:pt>
                <c:pt idx="16">
                  <c:v>26075</c:v>
                </c:pt>
                <c:pt idx="17">
                  <c:v>27001</c:v>
                </c:pt>
                <c:pt idx="18">
                  <c:v>26350</c:v>
                </c:pt>
                <c:pt idx="19">
                  <c:v>25313</c:v>
                </c:pt>
                <c:pt idx="20">
                  <c:v>24956</c:v>
                </c:pt>
                <c:pt idx="21">
                  <c:v>28862</c:v>
                </c:pt>
                <c:pt idx="22">
                  <c:v>23797</c:v>
                </c:pt>
                <c:pt idx="23">
                  <c:v>23649</c:v>
                </c:pt>
                <c:pt idx="24">
                  <c:v>57089</c:v>
                </c:pt>
                <c:pt idx="25">
                  <c:v>94355</c:v>
                </c:pt>
                <c:pt idx="26">
                  <c:v>76022</c:v>
                </c:pt>
                <c:pt idx="27">
                  <c:v>69257</c:v>
                </c:pt>
                <c:pt idx="28">
                  <c:v>55888</c:v>
                </c:pt>
                <c:pt idx="29">
                  <c:v>51315</c:v>
                </c:pt>
                <c:pt idx="30">
                  <c:v>48394</c:v>
                </c:pt>
                <c:pt idx="31">
                  <c:v>49964</c:v>
                </c:pt>
                <c:pt idx="32">
                  <c:v>51008</c:v>
                </c:pt>
                <c:pt idx="33">
                  <c:v>49798</c:v>
                </c:pt>
                <c:pt idx="34">
                  <c:v>44026</c:v>
                </c:pt>
                <c:pt idx="35">
                  <c:v>44817</c:v>
                </c:pt>
                <c:pt idx="36">
                  <c:v>43729</c:v>
                </c:pt>
                <c:pt idx="37">
                  <c:v>56269</c:v>
                </c:pt>
                <c:pt idx="38">
                  <c:v>58807</c:v>
                </c:pt>
                <c:pt idx="39">
                  <c:v>55826</c:v>
                </c:pt>
                <c:pt idx="40">
                  <c:v>57389</c:v>
                </c:pt>
                <c:pt idx="41">
                  <c:v>57587</c:v>
                </c:pt>
                <c:pt idx="42">
                  <c:v>58160</c:v>
                </c:pt>
                <c:pt idx="43">
                  <c:v>65166</c:v>
                </c:pt>
                <c:pt idx="44">
                  <c:v>58934</c:v>
                </c:pt>
                <c:pt idx="45">
                  <c:v>60416</c:v>
                </c:pt>
                <c:pt idx="46">
                  <c:v>55128</c:v>
                </c:pt>
                <c:pt idx="47">
                  <c:v>40979</c:v>
                </c:pt>
                <c:pt idx="48">
                  <c:v>43935</c:v>
                </c:pt>
                <c:pt idx="49">
                  <c:v>40094</c:v>
                </c:pt>
                <c:pt idx="50">
                  <c:v>44458</c:v>
                </c:pt>
                <c:pt idx="51">
                  <c:v>37110</c:v>
                </c:pt>
                <c:pt idx="52">
                  <c:v>40922</c:v>
                </c:pt>
                <c:pt idx="53">
                  <c:v>44024</c:v>
                </c:pt>
                <c:pt idx="54">
                  <c:v>36812</c:v>
                </c:pt>
                <c:pt idx="55">
                  <c:v>44040</c:v>
                </c:pt>
                <c:pt idx="56">
                  <c:v>37777</c:v>
                </c:pt>
                <c:pt idx="57">
                  <c:v>42097</c:v>
                </c:pt>
                <c:pt idx="58">
                  <c:v>39888</c:v>
                </c:pt>
                <c:pt idx="59">
                  <c:v>34279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726560"/>
        <c:axId val="430726944"/>
      </c:areaChart>
      <c:catAx>
        <c:axId val="430726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0726944"/>
        <c:crosses val="autoZero"/>
        <c:auto val="1"/>
        <c:lblAlgn val="ctr"/>
        <c:lblOffset val="100"/>
        <c:noMultiLvlLbl val="0"/>
      </c:catAx>
      <c:valAx>
        <c:axId val="430726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0726560"/>
        <c:crosses val="autoZero"/>
        <c:crossBetween val="midCat"/>
        <c:dispUnits>
          <c:builtInUnit val="thousands"/>
          <c:dispUnitsLbl>
            <c:layout/>
          </c:dispUnitsLbl>
        </c:dispUnits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Purchase Application - Annual Cumulative Volume 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Purchase!$E$5</c:f>
              <c:strCache>
                <c:ptCount val="1"/>
                <c:pt idx="0">
                  <c:v>2013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pPr>
              <a:solidFill>
                <a:srgbClr val="2E398A"/>
              </a:solidFill>
              <a:ln>
                <a:noFill/>
              </a:ln>
            </c:spPr>
          </c:marker>
          <c:cat>
            <c:strRef>
              <c:f>Purchase!$D$6:$D$17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Purchase!$E$6:$E$17</c:f>
              <c:numCache>
                <c:formatCode>#,##0</c:formatCode>
                <c:ptCount val="12"/>
                <c:pt idx="0">
                  <c:v>58933</c:v>
                </c:pt>
                <c:pt idx="1">
                  <c:v>125431</c:v>
                </c:pt>
                <c:pt idx="2">
                  <c:v>239331</c:v>
                </c:pt>
                <c:pt idx="3">
                  <c:v>302228</c:v>
                </c:pt>
                <c:pt idx="4">
                  <c:v>403406</c:v>
                </c:pt>
                <c:pt idx="5">
                  <c:v>461039</c:v>
                </c:pt>
                <c:pt idx="6">
                  <c:v>530033</c:v>
                </c:pt>
                <c:pt idx="7">
                  <c:v>594236</c:v>
                </c:pt>
                <c:pt idx="8">
                  <c:v>652777</c:v>
                </c:pt>
                <c:pt idx="9">
                  <c:v>715109</c:v>
                </c:pt>
                <c:pt idx="10">
                  <c:v>764947</c:v>
                </c:pt>
                <c:pt idx="11">
                  <c:v>811278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Purchase!$F$5</c:f>
              <c:strCache>
                <c:ptCount val="1"/>
                <c:pt idx="0">
                  <c:v>2014</c:v>
                </c:pt>
              </c:strCache>
            </c:strRef>
          </c:tx>
          <c:spPr>
            <a:ln>
              <a:solidFill>
                <a:srgbClr val="B3275C"/>
              </a:solidFill>
            </a:ln>
          </c:spPr>
          <c:marker>
            <c:spPr>
              <a:ln>
                <a:noFill/>
              </a:ln>
            </c:spPr>
          </c:marker>
          <c:cat>
            <c:strRef>
              <c:f>Purchase!$D$6:$D$17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Purchase!$F$6:$F$17</c:f>
              <c:numCache>
                <c:formatCode>#,##0</c:formatCode>
                <c:ptCount val="12"/>
                <c:pt idx="0">
                  <c:v>45860</c:v>
                </c:pt>
                <c:pt idx="1">
                  <c:v>97561</c:v>
                </c:pt>
                <c:pt idx="2">
                  <c:v>163834</c:v>
                </c:pt>
                <c:pt idx="3">
                  <c:v>238650</c:v>
                </c:pt>
                <c:pt idx="4">
                  <c:v>312021</c:v>
                </c:pt>
                <c:pt idx="5">
                  <c:v>384471</c:v>
                </c:pt>
                <c:pt idx="6">
                  <c:v>456014</c:v>
                </c:pt>
                <c:pt idx="7">
                  <c:v>519976</c:v>
                </c:pt>
                <c:pt idx="8">
                  <c:v>582186</c:v>
                </c:pt>
                <c:pt idx="9">
                  <c:v>646530</c:v>
                </c:pt>
                <c:pt idx="10">
                  <c:v>697019</c:v>
                </c:pt>
                <c:pt idx="11">
                  <c:v>745124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Purchase!$G$5</c:f>
              <c:strCache>
                <c:ptCount val="1"/>
                <c:pt idx="0">
                  <c:v>2015</c:v>
                </c:pt>
              </c:strCache>
            </c:strRef>
          </c:tx>
          <c:spPr>
            <a:ln>
              <a:solidFill>
                <a:srgbClr val="1B7A76"/>
              </a:solidFill>
            </a:ln>
          </c:spPr>
          <c:marker>
            <c:spPr>
              <a:solidFill>
                <a:srgbClr val="1B7A76"/>
              </a:solidFill>
              <a:ln>
                <a:noFill/>
              </a:ln>
            </c:spPr>
          </c:marker>
          <c:cat>
            <c:strRef>
              <c:f>Purchase!$D$6:$D$17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Purchase!$G$6:$G$17</c:f>
              <c:numCache>
                <c:formatCode>#,##0</c:formatCode>
                <c:ptCount val="12"/>
                <c:pt idx="0">
                  <c:v>71046</c:v>
                </c:pt>
                <c:pt idx="1">
                  <c:v>156227</c:v>
                </c:pt>
                <c:pt idx="2">
                  <c:v>255097</c:v>
                </c:pt>
                <c:pt idx="3">
                  <c:v>361277</c:v>
                </c:pt>
                <c:pt idx="4">
                  <c:v>462365</c:v>
                </c:pt>
                <c:pt idx="5">
                  <c:v>570258</c:v>
                </c:pt>
                <c:pt idx="6">
                  <c:v>672347</c:v>
                </c:pt>
                <c:pt idx="7">
                  <c:v>765051</c:v>
                </c:pt>
                <c:pt idx="8">
                  <c:v>857486</c:v>
                </c:pt>
                <c:pt idx="9">
                  <c:v>935221</c:v>
                </c:pt>
                <c:pt idx="10">
                  <c:v>1004612</c:v>
                </c:pt>
                <c:pt idx="11">
                  <c:v>1068685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Purchase!$H$5</c:f>
              <c:strCache>
                <c:ptCount val="1"/>
                <c:pt idx="0">
                  <c:v>2016</c:v>
                </c:pt>
              </c:strCache>
            </c:strRef>
          </c:tx>
          <c:cat>
            <c:strRef>
              <c:f>Purchase!$D$6:$D$17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Purchase!$H$6:$H$17</c:f>
              <c:numCache>
                <c:formatCode>#,##0</c:formatCode>
                <c:ptCount val="12"/>
                <c:pt idx="0">
                  <c:v>63029</c:v>
                </c:pt>
                <c:pt idx="1">
                  <c:v>147380</c:v>
                </c:pt>
                <c:pt idx="2">
                  <c:v>256738</c:v>
                </c:pt>
                <c:pt idx="3">
                  <c:v>364050</c:v>
                </c:pt>
                <c:pt idx="4">
                  <c:v>473886</c:v>
                </c:pt>
                <c:pt idx="5">
                  <c:v>584298</c:v>
                </c:pt>
                <c:pt idx="6">
                  <c:v>676639</c:v>
                </c:pt>
                <c:pt idx="7">
                  <c:v>775960</c:v>
                </c:pt>
                <c:pt idx="8">
                  <c:v>862020</c:v>
                </c:pt>
                <c:pt idx="9">
                  <c:v>940152</c:v>
                </c:pt>
                <c:pt idx="10">
                  <c:v>1016067</c:v>
                </c:pt>
                <c:pt idx="11">
                  <c:v>1078372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Purchase!$I$5</c:f>
              <c:strCache>
                <c:ptCount val="1"/>
                <c:pt idx="0">
                  <c:v>2017</c:v>
                </c:pt>
              </c:strCache>
            </c:strRef>
          </c:tx>
          <c:cat>
            <c:strRef>
              <c:f>Purchase!$D$6:$D$17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Purchase!$I$6:$I$17</c:f>
              <c:numCache>
                <c:formatCode>General</c:formatCode>
                <c:ptCount val="12"/>
                <c:pt idx="0">
                  <c:v>68703</c:v>
                </c:pt>
                <c:pt idx="1">
                  <c:v>149052</c:v>
                </c:pt>
                <c:pt idx="2">
                  <c:v>256597</c:v>
                </c:pt>
                <c:pt idx="3">
                  <c:v>351942</c:v>
                </c:pt>
                <c:pt idx="4">
                  <c:v>459014</c:v>
                </c:pt>
                <c:pt idx="5">
                  <c:v>561765</c:v>
                </c:pt>
                <c:pt idx="6">
                  <c:v>649248</c:v>
                </c:pt>
                <c:pt idx="7">
                  <c:v>741425</c:v>
                </c:pt>
                <c:pt idx="8">
                  <c:v>814056</c:v>
                </c:pt>
                <c:pt idx="9">
                  <c:v>891280</c:v>
                </c:pt>
                <c:pt idx="10">
                  <c:v>960964</c:v>
                </c:pt>
                <c:pt idx="11">
                  <c:v>1014861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018152"/>
        <c:axId val="431018536"/>
      </c:lineChart>
      <c:catAx>
        <c:axId val="4310181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31018536"/>
        <c:crosses val="autoZero"/>
        <c:auto val="1"/>
        <c:lblAlgn val="ctr"/>
        <c:lblOffset val="100"/>
        <c:noMultiLvlLbl val="0"/>
      </c:catAx>
      <c:valAx>
        <c:axId val="43101853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31018152"/>
        <c:crosses val="autoZero"/>
        <c:crossBetween val="between"/>
        <c:dispUnits>
          <c:builtInUnit val="thousands"/>
          <c:dispUnitsLbl>
            <c:layout/>
          </c:dispUnitsLbl>
        </c:dispUnits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Refinance Application Volume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Refinance!$F$5</c:f>
              <c:strCache>
                <c:ptCount val="1"/>
                <c:pt idx="0">
                  <c:v>Conventionla-to-FHA Refinance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none"/>
          </c:marker>
          <c:cat>
            <c:multiLvlStrRef>
              <c:f>Refinance!$D$6:$E$65</c:f>
              <c:multiLvlStrCache>
                <c:ptCount val="60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 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  <c:pt idx="44">
                    <c:v>Sep</c:v>
                  </c:pt>
                  <c:pt idx="45">
                    <c:v>Oct</c:v>
                  </c:pt>
                  <c:pt idx="46">
                    <c:v>Nov</c:v>
                  </c:pt>
                  <c:pt idx="47">
                    <c:v>Dec</c:v>
                  </c:pt>
                  <c:pt idx="48">
                    <c:v>Jan</c:v>
                  </c:pt>
                  <c:pt idx="49">
                    <c:v>Feb</c:v>
                  </c:pt>
                  <c:pt idx="50">
                    <c:v>Mar</c:v>
                  </c:pt>
                  <c:pt idx="51">
                    <c:v>Apr</c:v>
                  </c:pt>
                  <c:pt idx="52">
                    <c:v>May</c:v>
                  </c:pt>
                  <c:pt idx="53">
                    <c:v>Jun</c:v>
                  </c:pt>
                  <c:pt idx="54">
                    <c:v>Jul</c:v>
                  </c:pt>
                  <c:pt idx="55">
                    <c:v>Aug</c:v>
                  </c:pt>
                  <c:pt idx="56">
                    <c:v>Sep</c:v>
                  </c:pt>
                  <c:pt idx="57">
                    <c:v>Oct</c:v>
                  </c:pt>
                  <c:pt idx="58">
                    <c:v>Nov</c:v>
                  </c:pt>
                  <c:pt idx="59">
                    <c:v>Dec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  <c:pt idx="24">
                    <c:v>2015</c:v>
                  </c:pt>
                  <c:pt idx="36">
                    <c:v>2016</c:v>
                  </c:pt>
                  <c:pt idx="48">
                    <c:v>2017</c:v>
                  </c:pt>
                </c:lvl>
              </c:multiLvlStrCache>
            </c:multiLvlStrRef>
          </c:cat>
          <c:val>
            <c:numRef>
              <c:f>Refinance!$F$6:$F$65</c:f>
              <c:numCache>
                <c:formatCode>#,##0</c:formatCode>
                <c:ptCount val="60"/>
                <c:pt idx="0">
                  <c:v>16039</c:v>
                </c:pt>
                <c:pt idx="1">
                  <c:v>15393</c:v>
                </c:pt>
                <c:pt idx="2">
                  <c:v>25683</c:v>
                </c:pt>
                <c:pt idx="3">
                  <c:v>12675</c:v>
                </c:pt>
                <c:pt idx="4">
                  <c:v>18957</c:v>
                </c:pt>
                <c:pt idx="5">
                  <c:v>9929</c:v>
                </c:pt>
                <c:pt idx="6">
                  <c:v>11085</c:v>
                </c:pt>
                <c:pt idx="7">
                  <c:v>10916</c:v>
                </c:pt>
                <c:pt idx="8">
                  <c:v>9743</c:v>
                </c:pt>
                <c:pt idx="9">
                  <c:v>12131</c:v>
                </c:pt>
                <c:pt idx="10">
                  <c:v>9664</c:v>
                </c:pt>
                <c:pt idx="11">
                  <c:v>8534</c:v>
                </c:pt>
                <c:pt idx="12">
                  <c:v>9609</c:v>
                </c:pt>
                <c:pt idx="13">
                  <c:v>9287</c:v>
                </c:pt>
                <c:pt idx="14">
                  <c:v>10910</c:v>
                </c:pt>
                <c:pt idx="15">
                  <c:v>11511</c:v>
                </c:pt>
                <c:pt idx="16">
                  <c:v>10850</c:v>
                </c:pt>
                <c:pt idx="17">
                  <c:v>10225</c:v>
                </c:pt>
                <c:pt idx="18">
                  <c:v>10370</c:v>
                </c:pt>
                <c:pt idx="19">
                  <c:v>10419</c:v>
                </c:pt>
                <c:pt idx="20">
                  <c:v>10474</c:v>
                </c:pt>
                <c:pt idx="21">
                  <c:v>11776</c:v>
                </c:pt>
                <c:pt idx="22">
                  <c:v>9428</c:v>
                </c:pt>
                <c:pt idx="23">
                  <c:v>9516</c:v>
                </c:pt>
                <c:pt idx="24">
                  <c:v>16889</c:v>
                </c:pt>
                <c:pt idx="25">
                  <c:v>19581</c:v>
                </c:pt>
                <c:pt idx="26">
                  <c:v>19064</c:v>
                </c:pt>
                <c:pt idx="27">
                  <c:v>17676</c:v>
                </c:pt>
                <c:pt idx="28">
                  <c:v>15946</c:v>
                </c:pt>
                <c:pt idx="29">
                  <c:v>18836</c:v>
                </c:pt>
                <c:pt idx="30">
                  <c:v>19235</c:v>
                </c:pt>
                <c:pt idx="31">
                  <c:v>19280</c:v>
                </c:pt>
                <c:pt idx="32">
                  <c:v>19474</c:v>
                </c:pt>
                <c:pt idx="33">
                  <c:v>18302</c:v>
                </c:pt>
                <c:pt idx="34">
                  <c:v>17283</c:v>
                </c:pt>
                <c:pt idx="35">
                  <c:v>16989</c:v>
                </c:pt>
                <c:pt idx="36">
                  <c:v>16723</c:v>
                </c:pt>
                <c:pt idx="37">
                  <c:v>19463</c:v>
                </c:pt>
                <c:pt idx="38">
                  <c:v>22097</c:v>
                </c:pt>
                <c:pt idx="39">
                  <c:v>19535</c:v>
                </c:pt>
                <c:pt idx="40">
                  <c:v>19050</c:v>
                </c:pt>
                <c:pt idx="41">
                  <c:v>20401</c:v>
                </c:pt>
                <c:pt idx="42">
                  <c:v>18861</c:v>
                </c:pt>
                <c:pt idx="43">
                  <c:v>22785</c:v>
                </c:pt>
                <c:pt idx="44">
                  <c:v>18759</c:v>
                </c:pt>
                <c:pt idx="45">
                  <c:v>19651</c:v>
                </c:pt>
                <c:pt idx="46">
                  <c:v>20657</c:v>
                </c:pt>
                <c:pt idx="47">
                  <c:v>18637</c:v>
                </c:pt>
                <c:pt idx="48">
                  <c:v>20828</c:v>
                </c:pt>
                <c:pt idx="49">
                  <c:v>19935</c:v>
                </c:pt>
                <c:pt idx="50">
                  <c:v>24467</c:v>
                </c:pt>
                <c:pt idx="51">
                  <c:v>19322</c:v>
                </c:pt>
                <c:pt idx="52">
                  <c:v>21006</c:v>
                </c:pt>
                <c:pt idx="53">
                  <c:v>22154</c:v>
                </c:pt>
                <c:pt idx="54">
                  <c:v>19705</c:v>
                </c:pt>
                <c:pt idx="55">
                  <c:v>22556</c:v>
                </c:pt>
                <c:pt idx="56">
                  <c:v>19037</c:v>
                </c:pt>
                <c:pt idx="57">
                  <c:v>21134</c:v>
                </c:pt>
                <c:pt idx="58">
                  <c:v>19960</c:v>
                </c:pt>
                <c:pt idx="59">
                  <c:v>17066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Refinance!$G$5</c:f>
              <c:strCache>
                <c:ptCount val="1"/>
                <c:pt idx="0">
                  <c:v>FHA Non-Streamline Refinance</c:v>
                </c:pt>
              </c:strCache>
            </c:strRef>
          </c:tx>
          <c:spPr>
            <a:ln>
              <a:solidFill>
                <a:srgbClr val="B3275C"/>
              </a:solidFill>
            </a:ln>
          </c:spPr>
          <c:marker>
            <c:symbol val="none"/>
          </c:marker>
          <c:cat>
            <c:multiLvlStrRef>
              <c:f>Refinance!$D$6:$E$65</c:f>
              <c:multiLvlStrCache>
                <c:ptCount val="60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 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  <c:pt idx="44">
                    <c:v>Sep</c:v>
                  </c:pt>
                  <c:pt idx="45">
                    <c:v>Oct</c:v>
                  </c:pt>
                  <c:pt idx="46">
                    <c:v>Nov</c:v>
                  </c:pt>
                  <c:pt idx="47">
                    <c:v>Dec</c:v>
                  </c:pt>
                  <c:pt idx="48">
                    <c:v>Jan</c:v>
                  </c:pt>
                  <c:pt idx="49">
                    <c:v>Feb</c:v>
                  </c:pt>
                  <c:pt idx="50">
                    <c:v>Mar</c:v>
                  </c:pt>
                  <c:pt idx="51">
                    <c:v>Apr</c:v>
                  </c:pt>
                  <c:pt idx="52">
                    <c:v>May</c:v>
                  </c:pt>
                  <c:pt idx="53">
                    <c:v>Jun</c:v>
                  </c:pt>
                  <c:pt idx="54">
                    <c:v>Jul</c:v>
                  </c:pt>
                  <c:pt idx="55">
                    <c:v>Aug</c:v>
                  </c:pt>
                  <c:pt idx="56">
                    <c:v>Sep</c:v>
                  </c:pt>
                  <c:pt idx="57">
                    <c:v>Oct</c:v>
                  </c:pt>
                  <c:pt idx="58">
                    <c:v>Nov</c:v>
                  </c:pt>
                  <c:pt idx="59">
                    <c:v>Dec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  <c:pt idx="24">
                    <c:v>2015</c:v>
                  </c:pt>
                  <c:pt idx="36">
                    <c:v>2016</c:v>
                  </c:pt>
                  <c:pt idx="48">
                    <c:v>2017</c:v>
                  </c:pt>
                </c:lvl>
              </c:multiLvlStrCache>
            </c:multiLvlStrRef>
          </c:cat>
          <c:val>
            <c:numRef>
              <c:f>Refinance!$G$6:$G$65</c:f>
              <c:numCache>
                <c:formatCode>#,##0</c:formatCode>
                <c:ptCount val="60"/>
                <c:pt idx="0">
                  <c:v>5044</c:v>
                </c:pt>
                <c:pt idx="1">
                  <c:v>4646</c:v>
                </c:pt>
                <c:pt idx="2">
                  <c:v>7274</c:v>
                </c:pt>
                <c:pt idx="3">
                  <c:v>3468</c:v>
                </c:pt>
                <c:pt idx="4">
                  <c:v>5219</c:v>
                </c:pt>
                <c:pt idx="5">
                  <c:v>2279</c:v>
                </c:pt>
                <c:pt idx="6">
                  <c:v>2229</c:v>
                </c:pt>
                <c:pt idx="7">
                  <c:v>2286</c:v>
                </c:pt>
                <c:pt idx="8">
                  <c:v>2083</c:v>
                </c:pt>
                <c:pt idx="9">
                  <c:v>2664</c:v>
                </c:pt>
                <c:pt idx="10">
                  <c:v>2340</c:v>
                </c:pt>
                <c:pt idx="11">
                  <c:v>2168</c:v>
                </c:pt>
                <c:pt idx="12">
                  <c:v>2376</c:v>
                </c:pt>
                <c:pt idx="13">
                  <c:v>2329</c:v>
                </c:pt>
                <c:pt idx="14">
                  <c:v>2833</c:v>
                </c:pt>
                <c:pt idx="15">
                  <c:v>3018</c:v>
                </c:pt>
                <c:pt idx="16">
                  <c:v>3207</c:v>
                </c:pt>
                <c:pt idx="17">
                  <c:v>3349</c:v>
                </c:pt>
                <c:pt idx="18">
                  <c:v>3178</c:v>
                </c:pt>
                <c:pt idx="19">
                  <c:v>3318</c:v>
                </c:pt>
                <c:pt idx="20">
                  <c:v>3405</c:v>
                </c:pt>
                <c:pt idx="21">
                  <c:v>4130</c:v>
                </c:pt>
                <c:pt idx="22">
                  <c:v>3128</c:v>
                </c:pt>
                <c:pt idx="23">
                  <c:v>3084</c:v>
                </c:pt>
                <c:pt idx="24">
                  <c:v>6875</c:v>
                </c:pt>
                <c:pt idx="25">
                  <c:v>10196</c:v>
                </c:pt>
                <c:pt idx="26">
                  <c:v>7558</c:v>
                </c:pt>
                <c:pt idx="27">
                  <c:v>8310</c:v>
                </c:pt>
                <c:pt idx="28">
                  <c:v>6387</c:v>
                </c:pt>
                <c:pt idx="29">
                  <c:v>5390</c:v>
                </c:pt>
                <c:pt idx="30">
                  <c:v>5633</c:v>
                </c:pt>
                <c:pt idx="31">
                  <c:v>5722</c:v>
                </c:pt>
                <c:pt idx="32">
                  <c:v>5806</c:v>
                </c:pt>
                <c:pt idx="33">
                  <c:v>5711</c:v>
                </c:pt>
                <c:pt idx="34">
                  <c:v>5148</c:v>
                </c:pt>
                <c:pt idx="35">
                  <c:v>6153</c:v>
                </c:pt>
                <c:pt idx="36">
                  <c:v>6229</c:v>
                </c:pt>
                <c:pt idx="37">
                  <c:v>8008</c:v>
                </c:pt>
                <c:pt idx="38">
                  <c:v>9016</c:v>
                </c:pt>
                <c:pt idx="39">
                  <c:v>8037</c:v>
                </c:pt>
                <c:pt idx="40">
                  <c:v>8123</c:v>
                </c:pt>
                <c:pt idx="41">
                  <c:v>8614</c:v>
                </c:pt>
                <c:pt idx="42">
                  <c:v>8550</c:v>
                </c:pt>
                <c:pt idx="43">
                  <c:v>8215</c:v>
                </c:pt>
                <c:pt idx="44">
                  <c:v>9099</c:v>
                </c:pt>
                <c:pt idx="45">
                  <c:v>8847</c:v>
                </c:pt>
                <c:pt idx="46">
                  <c:v>8226</c:v>
                </c:pt>
                <c:pt idx="47">
                  <c:v>7075</c:v>
                </c:pt>
                <c:pt idx="48">
                  <c:v>7962</c:v>
                </c:pt>
                <c:pt idx="49">
                  <c:v>7741</c:v>
                </c:pt>
                <c:pt idx="50">
                  <c:v>7934</c:v>
                </c:pt>
                <c:pt idx="51">
                  <c:v>8482</c:v>
                </c:pt>
                <c:pt idx="52">
                  <c:v>9909</c:v>
                </c:pt>
                <c:pt idx="53">
                  <c:v>10483</c:v>
                </c:pt>
                <c:pt idx="54">
                  <c:v>9304</c:v>
                </c:pt>
                <c:pt idx="55">
                  <c:v>11166</c:v>
                </c:pt>
                <c:pt idx="56">
                  <c:v>9635</c:v>
                </c:pt>
                <c:pt idx="57">
                  <c:v>10983</c:v>
                </c:pt>
                <c:pt idx="58">
                  <c:v>9764</c:v>
                </c:pt>
                <c:pt idx="59">
                  <c:v>7399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Refinance!$H$5</c:f>
              <c:strCache>
                <c:ptCount val="1"/>
                <c:pt idx="0">
                  <c:v>FHA Streamline Standard MIP</c:v>
                </c:pt>
              </c:strCache>
            </c:strRef>
          </c:tx>
          <c:spPr>
            <a:ln>
              <a:solidFill>
                <a:srgbClr val="1B7A76"/>
              </a:solidFill>
            </a:ln>
          </c:spPr>
          <c:marker>
            <c:symbol val="none"/>
          </c:marker>
          <c:cat>
            <c:multiLvlStrRef>
              <c:f>Refinance!$D$6:$E$65</c:f>
              <c:multiLvlStrCache>
                <c:ptCount val="60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 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  <c:pt idx="44">
                    <c:v>Sep</c:v>
                  </c:pt>
                  <c:pt idx="45">
                    <c:v>Oct</c:v>
                  </c:pt>
                  <c:pt idx="46">
                    <c:v>Nov</c:v>
                  </c:pt>
                  <c:pt idx="47">
                    <c:v>Dec</c:v>
                  </c:pt>
                  <c:pt idx="48">
                    <c:v>Jan</c:v>
                  </c:pt>
                  <c:pt idx="49">
                    <c:v>Feb</c:v>
                  </c:pt>
                  <c:pt idx="50">
                    <c:v>Mar</c:v>
                  </c:pt>
                  <c:pt idx="51">
                    <c:v>Apr</c:v>
                  </c:pt>
                  <c:pt idx="52">
                    <c:v>May</c:v>
                  </c:pt>
                  <c:pt idx="53">
                    <c:v>Jun</c:v>
                  </c:pt>
                  <c:pt idx="54">
                    <c:v>Jul</c:v>
                  </c:pt>
                  <c:pt idx="55">
                    <c:v>Aug</c:v>
                  </c:pt>
                  <c:pt idx="56">
                    <c:v>Sep</c:v>
                  </c:pt>
                  <c:pt idx="57">
                    <c:v>Oct</c:v>
                  </c:pt>
                  <c:pt idx="58">
                    <c:v>Nov</c:v>
                  </c:pt>
                  <c:pt idx="59">
                    <c:v>Dec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  <c:pt idx="24">
                    <c:v>2015</c:v>
                  </c:pt>
                  <c:pt idx="36">
                    <c:v>2016</c:v>
                  </c:pt>
                  <c:pt idx="48">
                    <c:v>2017</c:v>
                  </c:pt>
                </c:lvl>
              </c:multiLvlStrCache>
            </c:multiLvlStrRef>
          </c:cat>
          <c:val>
            <c:numRef>
              <c:f>Refinance!$H$6:$H$65</c:f>
              <c:numCache>
                <c:formatCode>#,##0</c:formatCode>
                <c:ptCount val="60"/>
                <c:pt idx="0">
                  <c:v>28274</c:v>
                </c:pt>
                <c:pt idx="1">
                  <c:v>22521</c:v>
                </c:pt>
                <c:pt idx="2">
                  <c:v>38948</c:v>
                </c:pt>
                <c:pt idx="3">
                  <c:v>14106</c:v>
                </c:pt>
                <c:pt idx="4">
                  <c:v>22913</c:v>
                </c:pt>
                <c:pt idx="5">
                  <c:v>4798</c:v>
                </c:pt>
                <c:pt idx="6">
                  <c:v>3478</c:v>
                </c:pt>
                <c:pt idx="7">
                  <c:v>3227</c:v>
                </c:pt>
                <c:pt idx="8">
                  <c:v>1767</c:v>
                </c:pt>
                <c:pt idx="9">
                  <c:v>2260</c:v>
                </c:pt>
                <c:pt idx="10">
                  <c:v>2696</c:v>
                </c:pt>
                <c:pt idx="11">
                  <c:v>2156</c:v>
                </c:pt>
                <c:pt idx="12">
                  <c:v>1941</c:v>
                </c:pt>
                <c:pt idx="13">
                  <c:v>2595</c:v>
                </c:pt>
                <c:pt idx="14">
                  <c:v>3726</c:v>
                </c:pt>
                <c:pt idx="15">
                  <c:v>2503</c:v>
                </c:pt>
                <c:pt idx="16">
                  <c:v>2922</c:v>
                </c:pt>
                <c:pt idx="17">
                  <c:v>3464</c:v>
                </c:pt>
                <c:pt idx="18">
                  <c:v>3424</c:v>
                </c:pt>
                <c:pt idx="19">
                  <c:v>3806</c:v>
                </c:pt>
                <c:pt idx="20">
                  <c:v>3012</c:v>
                </c:pt>
                <c:pt idx="21">
                  <c:v>5273</c:v>
                </c:pt>
                <c:pt idx="22">
                  <c:v>5621</c:v>
                </c:pt>
                <c:pt idx="23">
                  <c:v>5796</c:v>
                </c:pt>
                <c:pt idx="24">
                  <c:v>27779</c:v>
                </c:pt>
                <c:pt idx="25">
                  <c:v>58143</c:v>
                </c:pt>
                <c:pt idx="26">
                  <c:v>43127</c:v>
                </c:pt>
                <c:pt idx="27">
                  <c:v>37770</c:v>
                </c:pt>
                <c:pt idx="28">
                  <c:v>28891</c:v>
                </c:pt>
                <c:pt idx="29">
                  <c:v>22360</c:v>
                </c:pt>
                <c:pt idx="30">
                  <c:v>18336</c:v>
                </c:pt>
                <c:pt idx="31">
                  <c:v>19737</c:v>
                </c:pt>
                <c:pt idx="32">
                  <c:v>20220</c:v>
                </c:pt>
                <c:pt idx="33">
                  <c:v>20432</c:v>
                </c:pt>
                <c:pt idx="34">
                  <c:v>17148</c:v>
                </c:pt>
                <c:pt idx="35">
                  <c:v>17444</c:v>
                </c:pt>
                <c:pt idx="36">
                  <c:v>16573</c:v>
                </c:pt>
                <c:pt idx="37">
                  <c:v>24068</c:v>
                </c:pt>
                <c:pt idx="38">
                  <c:v>23026</c:v>
                </c:pt>
                <c:pt idx="39">
                  <c:v>24505</c:v>
                </c:pt>
                <c:pt idx="40">
                  <c:v>26768</c:v>
                </c:pt>
                <c:pt idx="41">
                  <c:v>25337</c:v>
                </c:pt>
                <c:pt idx="42">
                  <c:v>27879</c:v>
                </c:pt>
                <c:pt idx="43">
                  <c:v>30756</c:v>
                </c:pt>
                <c:pt idx="44">
                  <c:v>27765</c:v>
                </c:pt>
                <c:pt idx="45">
                  <c:v>28527</c:v>
                </c:pt>
                <c:pt idx="46">
                  <c:v>22633</c:v>
                </c:pt>
                <c:pt idx="47">
                  <c:v>11692</c:v>
                </c:pt>
                <c:pt idx="48">
                  <c:v>12388</c:v>
                </c:pt>
                <c:pt idx="49">
                  <c:v>9527</c:v>
                </c:pt>
                <c:pt idx="50">
                  <c:v>8606</c:v>
                </c:pt>
                <c:pt idx="51">
                  <c:v>6874</c:v>
                </c:pt>
                <c:pt idx="52">
                  <c:v>7670</c:v>
                </c:pt>
                <c:pt idx="53">
                  <c:v>8952</c:v>
                </c:pt>
                <c:pt idx="54">
                  <c:v>6102</c:v>
                </c:pt>
                <c:pt idx="55">
                  <c:v>8132</c:v>
                </c:pt>
                <c:pt idx="56">
                  <c:v>7753</c:v>
                </c:pt>
                <c:pt idx="57">
                  <c:v>8356</c:v>
                </c:pt>
                <c:pt idx="58">
                  <c:v>8695</c:v>
                </c:pt>
                <c:pt idx="59">
                  <c:v>8411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Refinance!$I$5</c:f>
              <c:strCache>
                <c:ptCount val="1"/>
                <c:pt idx="0">
                  <c:v>FHA Streamline Low MIP</c:v>
                </c:pt>
              </c:strCache>
            </c:strRef>
          </c:tx>
          <c:spPr>
            <a:ln>
              <a:solidFill>
                <a:srgbClr val="C7732D"/>
              </a:solidFill>
            </a:ln>
          </c:spPr>
          <c:marker>
            <c:symbol val="none"/>
          </c:marker>
          <c:cat>
            <c:multiLvlStrRef>
              <c:f>Refinance!$D$6:$E$65</c:f>
              <c:multiLvlStrCache>
                <c:ptCount val="60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 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  <c:pt idx="44">
                    <c:v>Sep</c:v>
                  </c:pt>
                  <c:pt idx="45">
                    <c:v>Oct</c:v>
                  </c:pt>
                  <c:pt idx="46">
                    <c:v>Nov</c:v>
                  </c:pt>
                  <c:pt idx="47">
                    <c:v>Dec</c:v>
                  </c:pt>
                  <c:pt idx="48">
                    <c:v>Jan</c:v>
                  </c:pt>
                  <c:pt idx="49">
                    <c:v>Feb</c:v>
                  </c:pt>
                  <c:pt idx="50">
                    <c:v>Mar</c:v>
                  </c:pt>
                  <c:pt idx="51">
                    <c:v>Apr</c:v>
                  </c:pt>
                  <c:pt idx="52">
                    <c:v>May</c:v>
                  </c:pt>
                  <c:pt idx="53">
                    <c:v>Jun</c:v>
                  </c:pt>
                  <c:pt idx="54">
                    <c:v>Jul</c:v>
                  </c:pt>
                  <c:pt idx="55">
                    <c:v>Aug</c:v>
                  </c:pt>
                  <c:pt idx="56">
                    <c:v>Sep</c:v>
                  </c:pt>
                  <c:pt idx="57">
                    <c:v>Oct</c:v>
                  </c:pt>
                  <c:pt idx="58">
                    <c:v>Nov</c:v>
                  </c:pt>
                  <c:pt idx="59">
                    <c:v>Dec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  <c:pt idx="24">
                    <c:v>2015</c:v>
                  </c:pt>
                  <c:pt idx="36">
                    <c:v>2016</c:v>
                  </c:pt>
                  <c:pt idx="48">
                    <c:v>2017</c:v>
                  </c:pt>
                </c:lvl>
              </c:multiLvlStrCache>
            </c:multiLvlStrRef>
          </c:cat>
          <c:val>
            <c:numRef>
              <c:f>Refinance!$I$6:$I$65</c:f>
              <c:numCache>
                <c:formatCode>#,##0</c:formatCode>
                <c:ptCount val="60"/>
                <c:pt idx="0">
                  <c:v>30639</c:v>
                </c:pt>
                <c:pt idx="1">
                  <c:v>28867</c:v>
                </c:pt>
                <c:pt idx="2">
                  <c:v>35793</c:v>
                </c:pt>
                <c:pt idx="3">
                  <c:v>25027</c:v>
                </c:pt>
                <c:pt idx="4">
                  <c:v>34164</c:v>
                </c:pt>
                <c:pt idx="5">
                  <c:v>19107</c:v>
                </c:pt>
                <c:pt idx="6">
                  <c:v>22410</c:v>
                </c:pt>
                <c:pt idx="7">
                  <c:v>16691</c:v>
                </c:pt>
                <c:pt idx="8">
                  <c:v>11311</c:v>
                </c:pt>
                <c:pt idx="9">
                  <c:v>14129</c:v>
                </c:pt>
                <c:pt idx="10">
                  <c:v>10833</c:v>
                </c:pt>
                <c:pt idx="11">
                  <c:v>9250</c:v>
                </c:pt>
                <c:pt idx="12">
                  <c:v>11344</c:v>
                </c:pt>
                <c:pt idx="13">
                  <c:v>10951</c:v>
                </c:pt>
                <c:pt idx="14">
                  <c:v>10886</c:v>
                </c:pt>
                <c:pt idx="15">
                  <c:v>11247</c:v>
                </c:pt>
                <c:pt idx="16">
                  <c:v>9096</c:v>
                </c:pt>
                <c:pt idx="17">
                  <c:v>9963</c:v>
                </c:pt>
                <c:pt idx="18">
                  <c:v>9378</c:v>
                </c:pt>
                <c:pt idx="19">
                  <c:v>7770</c:v>
                </c:pt>
                <c:pt idx="20">
                  <c:v>8065</c:v>
                </c:pt>
                <c:pt idx="21">
                  <c:v>7683</c:v>
                </c:pt>
                <c:pt idx="22">
                  <c:v>5620</c:v>
                </c:pt>
                <c:pt idx="23">
                  <c:v>5253</c:v>
                </c:pt>
                <c:pt idx="24">
                  <c:v>5336</c:v>
                </c:pt>
                <c:pt idx="25">
                  <c:v>6248</c:v>
                </c:pt>
                <c:pt idx="26">
                  <c:v>6089</c:v>
                </c:pt>
                <c:pt idx="27">
                  <c:v>5501</c:v>
                </c:pt>
                <c:pt idx="28">
                  <c:v>4664</c:v>
                </c:pt>
                <c:pt idx="29">
                  <c:v>4729</c:v>
                </c:pt>
                <c:pt idx="30">
                  <c:v>5190</c:v>
                </c:pt>
                <c:pt idx="31">
                  <c:v>5225</c:v>
                </c:pt>
                <c:pt idx="32">
                  <c:v>5508</c:v>
                </c:pt>
                <c:pt idx="33">
                  <c:v>5353</c:v>
                </c:pt>
                <c:pt idx="34">
                  <c:v>4447</c:v>
                </c:pt>
                <c:pt idx="35">
                  <c:v>4231</c:v>
                </c:pt>
                <c:pt idx="36">
                  <c:v>4204</c:v>
                </c:pt>
                <c:pt idx="37">
                  <c:v>4730</c:v>
                </c:pt>
                <c:pt idx="38">
                  <c:v>4668</c:v>
                </c:pt>
                <c:pt idx="39">
                  <c:v>3749</c:v>
                </c:pt>
                <c:pt idx="40">
                  <c:v>3448</c:v>
                </c:pt>
                <c:pt idx="41">
                  <c:v>3235</c:v>
                </c:pt>
                <c:pt idx="42">
                  <c:v>2870</c:v>
                </c:pt>
                <c:pt idx="43">
                  <c:v>3410</c:v>
                </c:pt>
                <c:pt idx="44">
                  <c:v>3311</c:v>
                </c:pt>
                <c:pt idx="45">
                  <c:v>3391</c:v>
                </c:pt>
                <c:pt idx="46">
                  <c:v>3612</c:v>
                </c:pt>
                <c:pt idx="47">
                  <c:v>3575</c:v>
                </c:pt>
                <c:pt idx="48">
                  <c:v>2757</c:v>
                </c:pt>
                <c:pt idx="49">
                  <c:v>2891</c:v>
                </c:pt>
                <c:pt idx="50">
                  <c:v>3451</c:v>
                </c:pt>
                <c:pt idx="51">
                  <c:v>2432</c:v>
                </c:pt>
                <c:pt idx="52">
                  <c:v>2337</c:v>
                </c:pt>
                <c:pt idx="53">
                  <c:v>2435</c:v>
                </c:pt>
                <c:pt idx="54">
                  <c:v>1701</c:v>
                </c:pt>
                <c:pt idx="55">
                  <c:v>2186</c:v>
                </c:pt>
                <c:pt idx="56">
                  <c:v>1352</c:v>
                </c:pt>
                <c:pt idx="57">
                  <c:v>1624</c:v>
                </c:pt>
                <c:pt idx="58">
                  <c:v>1469</c:v>
                </c:pt>
                <c:pt idx="59">
                  <c:v>1403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1676952"/>
        <c:axId val="431624560"/>
      </c:lineChart>
      <c:catAx>
        <c:axId val="4316769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31624560"/>
        <c:crosses val="autoZero"/>
        <c:auto val="1"/>
        <c:lblAlgn val="ctr"/>
        <c:lblOffset val="100"/>
        <c:noMultiLvlLbl val="0"/>
      </c:catAx>
      <c:valAx>
        <c:axId val="43162456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31676952"/>
        <c:crosses val="autoZero"/>
        <c:crossBetween val="between"/>
        <c:majorUnit val="10000"/>
        <c:dispUnits>
          <c:builtInUnit val="thousands"/>
          <c:dispUnitsLbl>
            <c:layout/>
          </c:dispUnitsLbl>
        </c:dispUnits>
      </c:valAx>
      <c:spPr>
        <a:ln>
          <a:solidFill>
            <a:schemeClr val="tx1"/>
          </a:solidFill>
        </a:ln>
      </c:spPr>
    </c:plotArea>
    <c:legend>
      <c:legendPos val="b"/>
      <c:layout/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Total Application Received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Input!$G$5</c:f>
              <c:strCache>
                <c:ptCount val="1"/>
                <c:pt idx="0">
                  <c:v>Home Purchase</c:v>
                </c:pt>
              </c:strCache>
            </c:strRef>
          </c:tx>
          <c:cat>
            <c:multiLvlStrRef>
              <c:f>Input!$D$6:$E$30</c:f>
              <c:multiLvlStrCache>
                <c:ptCount val="2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  <c:pt idx="24">
                    <c:v>2015</c:v>
                  </c:pt>
                </c:lvl>
              </c:multiLvlStrCache>
            </c:multiLvlStrRef>
          </c:cat>
          <c:val>
            <c:numRef>
              <c:f>Input!$G$6:$G$30</c:f>
              <c:numCache>
                <c:formatCode>_(* #,##0_);_(* \(#,##0\);_(* "-"??_);_(@_)</c:formatCode>
                <c:ptCount val="25"/>
                <c:pt idx="0">
                  <c:v>58933</c:v>
                </c:pt>
                <c:pt idx="1">
                  <c:v>66498</c:v>
                </c:pt>
                <c:pt idx="2">
                  <c:v>113900</c:v>
                </c:pt>
                <c:pt idx="3">
                  <c:v>62897</c:v>
                </c:pt>
                <c:pt idx="4">
                  <c:v>101178</c:v>
                </c:pt>
                <c:pt idx="5">
                  <c:v>57633</c:v>
                </c:pt>
                <c:pt idx="6">
                  <c:v>68994</c:v>
                </c:pt>
                <c:pt idx="7">
                  <c:v>64203</c:v>
                </c:pt>
                <c:pt idx="8">
                  <c:v>58541</c:v>
                </c:pt>
                <c:pt idx="9">
                  <c:v>62332</c:v>
                </c:pt>
                <c:pt idx="10">
                  <c:v>49838</c:v>
                </c:pt>
                <c:pt idx="11">
                  <c:v>46331</c:v>
                </c:pt>
                <c:pt idx="12">
                  <c:v>45860</c:v>
                </c:pt>
                <c:pt idx="13">
                  <c:v>51701</c:v>
                </c:pt>
                <c:pt idx="14">
                  <c:v>66273</c:v>
                </c:pt>
                <c:pt idx="15">
                  <c:v>74816</c:v>
                </c:pt>
                <c:pt idx="16">
                  <c:v>73371</c:v>
                </c:pt>
                <c:pt idx="17">
                  <c:v>72450</c:v>
                </c:pt>
                <c:pt idx="18">
                  <c:v>71543</c:v>
                </c:pt>
                <c:pt idx="19">
                  <c:v>63962</c:v>
                </c:pt>
                <c:pt idx="20">
                  <c:v>62210</c:v>
                </c:pt>
                <c:pt idx="21">
                  <c:v>64344</c:v>
                </c:pt>
                <c:pt idx="22">
                  <c:v>50489</c:v>
                </c:pt>
                <c:pt idx="23">
                  <c:v>48105</c:v>
                </c:pt>
                <c:pt idx="24">
                  <c:v>71046</c:v>
                </c:pt>
              </c:numCache>
            </c:numRef>
          </c:val>
        </c:ser>
        <c:ser>
          <c:idx val="2"/>
          <c:order val="1"/>
          <c:tx>
            <c:strRef>
              <c:f>Input!$L$5</c:f>
              <c:strCache>
                <c:ptCount val="1"/>
                <c:pt idx="0">
                  <c:v>Refinance</c:v>
                </c:pt>
              </c:strCache>
            </c:strRef>
          </c:tx>
          <c:cat>
            <c:multiLvlStrRef>
              <c:f>Input!$D$6:$E$30</c:f>
              <c:multiLvlStrCache>
                <c:ptCount val="2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  <c:pt idx="24">
                    <c:v>2015</c:v>
                  </c:pt>
                </c:lvl>
              </c:multiLvlStrCache>
            </c:multiLvlStrRef>
          </c:cat>
          <c:val>
            <c:numRef>
              <c:f>Input!$L$6:$L$30</c:f>
              <c:numCache>
                <c:formatCode>_(* #,##0_);_(* \(#,##0\);_(* "-"??_);_(@_)</c:formatCode>
                <c:ptCount val="25"/>
                <c:pt idx="0">
                  <c:v>79996</c:v>
                </c:pt>
                <c:pt idx="1">
                  <c:v>71427</c:v>
                </c:pt>
                <c:pt idx="2">
                  <c:v>107698</c:v>
                </c:pt>
                <c:pt idx="3">
                  <c:v>55276</c:v>
                </c:pt>
                <c:pt idx="4">
                  <c:v>81253</c:v>
                </c:pt>
                <c:pt idx="5">
                  <c:v>36113</c:v>
                </c:pt>
                <c:pt idx="6">
                  <c:v>39202</c:v>
                </c:pt>
                <c:pt idx="7">
                  <c:v>33120</c:v>
                </c:pt>
                <c:pt idx="8">
                  <c:v>24904</c:v>
                </c:pt>
                <c:pt idx="9">
                  <c:v>31184</c:v>
                </c:pt>
                <c:pt idx="10">
                  <c:v>25533</c:v>
                </c:pt>
                <c:pt idx="11">
                  <c:v>22108</c:v>
                </c:pt>
                <c:pt idx="12">
                  <c:v>25270</c:v>
                </c:pt>
                <c:pt idx="13">
                  <c:v>25162</c:v>
                </c:pt>
                <c:pt idx="14">
                  <c:v>28355</c:v>
                </c:pt>
                <c:pt idx="15">
                  <c:v>28279</c:v>
                </c:pt>
                <c:pt idx="16">
                  <c:v>26075</c:v>
                </c:pt>
                <c:pt idx="17">
                  <c:v>27001</c:v>
                </c:pt>
                <c:pt idx="18">
                  <c:v>26350</c:v>
                </c:pt>
                <c:pt idx="19">
                  <c:v>25313</c:v>
                </c:pt>
                <c:pt idx="20">
                  <c:v>24956</c:v>
                </c:pt>
                <c:pt idx="21">
                  <c:v>28862</c:v>
                </c:pt>
                <c:pt idx="22">
                  <c:v>23797</c:v>
                </c:pt>
                <c:pt idx="23">
                  <c:v>23649</c:v>
                </c:pt>
                <c:pt idx="24">
                  <c:v>57089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915152"/>
        <c:axId val="429915544"/>
      </c:areaChart>
      <c:catAx>
        <c:axId val="4299151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29915544"/>
        <c:crosses val="autoZero"/>
        <c:auto val="1"/>
        <c:lblAlgn val="ctr"/>
        <c:lblOffset val="100"/>
        <c:noMultiLvlLbl val="0"/>
      </c:catAx>
      <c:valAx>
        <c:axId val="429915544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crossAx val="429915152"/>
        <c:crosses val="autoZero"/>
        <c:crossBetween val="midCat"/>
        <c:dispUnits>
          <c:builtInUnit val="thousands"/>
          <c:dispUnitsLbl/>
        </c:dispUnits>
      </c:valAx>
      <c:spPr>
        <a:ln>
          <a:solidFill>
            <a:schemeClr val="tx1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Purchase Application Volume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Purchase!$E$5</c:f>
              <c:strCache>
                <c:ptCount val="1"/>
                <c:pt idx="0">
                  <c:v>2013</c:v>
                </c:pt>
              </c:strCache>
            </c:strRef>
          </c:tx>
          <c:cat>
            <c:strRef>
              <c:f>Purchase!$D$6:$D$17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Purchase!$E$6:$E$17</c:f>
              <c:numCache>
                <c:formatCode>#,##0</c:formatCode>
                <c:ptCount val="12"/>
                <c:pt idx="0">
                  <c:v>58933</c:v>
                </c:pt>
                <c:pt idx="1">
                  <c:v>125431</c:v>
                </c:pt>
                <c:pt idx="2">
                  <c:v>239331</c:v>
                </c:pt>
                <c:pt idx="3">
                  <c:v>302228</c:v>
                </c:pt>
                <c:pt idx="4">
                  <c:v>403406</c:v>
                </c:pt>
                <c:pt idx="5">
                  <c:v>461039</c:v>
                </c:pt>
                <c:pt idx="6">
                  <c:v>530033</c:v>
                </c:pt>
                <c:pt idx="7">
                  <c:v>594236</c:v>
                </c:pt>
                <c:pt idx="8">
                  <c:v>652777</c:v>
                </c:pt>
                <c:pt idx="9">
                  <c:v>715109</c:v>
                </c:pt>
                <c:pt idx="10">
                  <c:v>764947</c:v>
                </c:pt>
                <c:pt idx="11">
                  <c:v>811278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Purchase!$F$5</c:f>
              <c:strCache>
                <c:ptCount val="1"/>
                <c:pt idx="0">
                  <c:v>2014</c:v>
                </c:pt>
              </c:strCache>
            </c:strRef>
          </c:tx>
          <c:cat>
            <c:strRef>
              <c:f>Purchase!$D$6:$D$17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Purchase!$F$6:$F$17</c:f>
              <c:numCache>
                <c:formatCode>#,##0</c:formatCode>
                <c:ptCount val="12"/>
                <c:pt idx="0">
                  <c:v>45860</c:v>
                </c:pt>
                <c:pt idx="1">
                  <c:v>97561</c:v>
                </c:pt>
                <c:pt idx="2">
                  <c:v>163834</c:v>
                </c:pt>
                <c:pt idx="3">
                  <c:v>238650</c:v>
                </c:pt>
                <c:pt idx="4">
                  <c:v>312021</c:v>
                </c:pt>
                <c:pt idx="5">
                  <c:v>384471</c:v>
                </c:pt>
                <c:pt idx="6">
                  <c:v>456014</c:v>
                </c:pt>
                <c:pt idx="7">
                  <c:v>519976</c:v>
                </c:pt>
                <c:pt idx="8">
                  <c:v>582186</c:v>
                </c:pt>
                <c:pt idx="9">
                  <c:v>646530</c:v>
                </c:pt>
                <c:pt idx="10">
                  <c:v>697019</c:v>
                </c:pt>
                <c:pt idx="11">
                  <c:v>745124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Purchase!$G$5</c:f>
              <c:strCache>
                <c:ptCount val="1"/>
                <c:pt idx="0">
                  <c:v>2015</c:v>
                </c:pt>
              </c:strCache>
            </c:strRef>
          </c:tx>
          <c:cat>
            <c:strRef>
              <c:f>Purchase!$D$6:$D$17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Purchase!$G$6:$G$17</c:f>
              <c:numCache>
                <c:formatCode>#,##0</c:formatCode>
                <c:ptCount val="12"/>
                <c:pt idx="0">
                  <c:v>71046</c:v>
                </c:pt>
                <c:pt idx="1">
                  <c:v>156227</c:v>
                </c:pt>
                <c:pt idx="2">
                  <c:v>255097</c:v>
                </c:pt>
                <c:pt idx="3">
                  <c:v>361277</c:v>
                </c:pt>
                <c:pt idx="4">
                  <c:v>462365</c:v>
                </c:pt>
                <c:pt idx="5">
                  <c:v>570258</c:v>
                </c:pt>
                <c:pt idx="6">
                  <c:v>672347</c:v>
                </c:pt>
                <c:pt idx="7">
                  <c:v>765051</c:v>
                </c:pt>
                <c:pt idx="8">
                  <c:v>857486</c:v>
                </c:pt>
                <c:pt idx="9">
                  <c:v>935221</c:v>
                </c:pt>
                <c:pt idx="10">
                  <c:v>1004612</c:v>
                </c:pt>
                <c:pt idx="11">
                  <c:v>1068685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9917896"/>
        <c:axId val="429918288"/>
      </c:lineChart>
      <c:catAx>
        <c:axId val="4299178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29918288"/>
        <c:crosses val="autoZero"/>
        <c:auto val="1"/>
        <c:lblAlgn val="ctr"/>
        <c:lblOffset val="100"/>
        <c:noMultiLvlLbl val="0"/>
      </c:catAx>
      <c:valAx>
        <c:axId val="42991828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29917896"/>
        <c:crosses val="autoZero"/>
        <c:crossBetween val="between"/>
        <c:dispUnits>
          <c:builtInUnit val="thousands"/>
          <c:dispUnitsLbl/>
        </c:dispUnits>
      </c:valAx>
      <c:spPr>
        <a:ln>
          <a:solidFill>
            <a:schemeClr val="tx1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Refinance Application Volume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Refinance!$F$5</c:f>
              <c:strCache>
                <c:ptCount val="1"/>
                <c:pt idx="0">
                  <c:v>Conventionla-to-FHA Refinance</c:v>
                </c:pt>
              </c:strCache>
            </c:strRef>
          </c:tx>
          <c:marker>
            <c:symbol val="none"/>
          </c:marker>
          <c:cat>
            <c:multiLvlStrRef>
              <c:f>Refinance!$D$6:$E$30</c:f>
              <c:multiLvlStrCache>
                <c:ptCount val="2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  <c:pt idx="24">
                    <c:v>2015</c:v>
                  </c:pt>
                </c:lvl>
              </c:multiLvlStrCache>
            </c:multiLvlStrRef>
          </c:cat>
          <c:val>
            <c:numRef>
              <c:f>Refinance!$F$6:$F$30</c:f>
              <c:numCache>
                <c:formatCode>#,##0</c:formatCode>
                <c:ptCount val="25"/>
                <c:pt idx="0">
                  <c:v>16039</c:v>
                </c:pt>
                <c:pt idx="1">
                  <c:v>15393</c:v>
                </c:pt>
                <c:pt idx="2">
                  <c:v>25683</c:v>
                </c:pt>
                <c:pt idx="3">
                  <c:v>12675</c:v>
                </c:pt>
                <c:pt idx="4">
                  <c:v>18957</c:v>
                </c:pt>
                <c:pt idx="5">
                  <c:v>9929</c:v>
                </c:pt>
                <c:pt idx="6">
                  <c:v>11085</c:v>
                </c:pt>
                <c:pt idx="7">
                  <c:v>10916</c:v>
                </c:pt>
                <c:pt idx="8">
                  <c:v>9743</c:v>
                </c:pt>
                <c:pt idx="9">
                  <c:v>12131</c:v>
                </c:pt>
                <c:pt idx="10">
                  <c:v>9664</c:v>
                </c:pt>
                <c:pt idx="11">
                  <c:v>8534</c:v>
                </c:pt>
                <c:pt idx="12">
                  <c:v>9609</c:v>
                </c:pt>
                <c:pt idx="13">
                  <c:v>9287</c:v>
                </c:pt>
                <c:pt idx="14">
                  <c:v>10910</c:v>
                </c:pt>
                <c:pt idx="15">
                  <c:v>11511</c:v>
                </c:pt>
                <c:pt idx="16">
                  <c:v>10850</c:v>
                </c:pt>
                <c:pt idx="17">
                  <c:v>10225</c:v>
                </c:pt>
                <c:pt idx="18">
                  <c:v>10370</c:v>
                </c:pt>
                <c:pt idx="19">
                  <c:v>10419</c:v>
                </c:pt>
                <c:pt idx="20">
                  <c:v>10474</c:v>
                </c:pt>
                <c:pt idx="21">
                  <c:v>11776</c:v>
                </c:pt>
                <c:pt idx="22">
                  <c:v>9428</c:v>
                </c:pt>
                <c:pt idx="23">
                  <c:v>9516</c:v>
                </c:pt>
                <c:pt idx="24">
                  <c:v>16889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Refinance!$G$5</c:f>
              <c:strCache>
                <c:ptCount val="1"/>
                <c:pt idx="0">
                  <c:v>FHA Non-Streamline Refinance</c:v>
                </c:pt>
              </c:strCache>
            </c:strRef>
          </c:tx>
          <c:marker>
            <c:symbol val="none"/>
          </c:marker>
          <c:cat>
            <c:multiLvlStrRef>
              <c:f>Refinance!$D$6:$E$30</c:f>
              <c:multiLvlStrCache>
                <c:ptCount val="2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  <c:pt idx="24">
                    <c:v>2015</c:v>
                  </c:pt>
                </c:lvl>
              </c:multiLvlStrCache>
            </c:multiLvlStrRef>
          </c:cat>
          <c:val>
            <c:numRef>
              <c:f>Refinance!$G$6:$G$30</c:f>
              <c:numCache>
                <c:formatCode>#,##0</c:formatCode>
                <c:ptCount val="25"/>
                <c:pt idx="0">
                  <c:v>5044</c:v>
                </c:pt>
                <c:pt idx="1">
                  <c:v>4646</c:v>
                </c:pt>
                <c:pt idx="2">
                  <c:v>7274</c:v>
                </c:pt>
                <c:pt idx="3">
                  <c:v>3468</c:v>
                </c:pt>
                <c:pt idx="4">
                  <c:v>5219</c:v>
                </c:pt>
                <c:pt idx="5">
                  <c:v>2279</c:v>
                </c:pt>
                <c:pt idx="6">
                  <c:v>2229</c:v>
                </c:pt>
                <c:pt idx="7">
                  <c:v>2286</c:v>
                </c:pt>
                <c:pt idx="8">
                  <c:v>2083</c:v>
                </c:pt>
                <c:pt idx="9">
                  <c:v>2664</c:v>
                </c:pt>
                <c:pt idx="10">
                  <c:v>2340</c:v>
                </c:pt>
                <c:pt idx="11">
                  <c:v>2168</c:v>
                </c:pt>
                <c:pt idx="12">
                  <c:v>2376</c:v>
                </c:pt>
                <c:pt idx="13">
                  <c:v>2329</c:v>
                </c:pt>
                <c:pt idx="14">
                  <c:v>2833</c:v>
                </c:pt>
                <c:pt idx="15">
                  <c:v>3018</c:v>
                </c:pt>
                <c:pt idx="16">
                  <c:v>3207</c:v>
                </c:pt>
                <c:pt idx="17">
                  <c:v>3349</c:v>
                </c:pt>
                <c:pt idx="18">
                  <c:v>3178</c:v>
                </c:pt>
                <c:pt idx="19">
                  <c:v>3318</c:v>
                </c:pt>
                <c:pt idx="20">
                  <c:v>3405</c:v>
                </c:pt>
                <c:pt idx="21">
                  <c:v>4130</c:v>
                </c:pt>
                <c:pt idx="22">
                  <c:v>3128</c:v>
                </c:pt>
                <c:pt idx="23">
                  <c:v>3084</c:v>
                </c:pt>
                <c:pt idx="24">
                  <c:v>6875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Refinance!$H$5</c:f>
              <c:strCache>
                <c:ptCount val="1"/>
                <c:pt idx="0">
                  <c:v>FHA Streamline Standard MIP</c:v>
                </c:pt>
              </c:strCache>
            </c:strRef>
          </c:tx>
          <c:marker>
            <c:symbol val="none"/>
          </c:marker>
          <c:cat>
            <c:multiLvlStrRef>
              <c:f>Refinance!$D$6:$E$30</c:f>
              <c:multiLvlStrCache>
                <c:ptCount val="2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  <c:pt idx="24">
                    <c:v>2015</c:v>
                  </c:pt>
                </c:lvl>
              </c:multiLvlStrCache>
            </c:multiLvlStrRef>
          </c:cat>
          <c:val>
            <c:numRef>
              <c:f>Refinance!$H$6:$H$30</c:f>
              <c:numCache>
                <c:formatCode>#,##0</c:formatCode>
                <c:ptCount val="25"/>
                <c:pt idx="0">
                  <c:v>28274</c:v>
                </c:pt>
                <c:pt idx="1">
                  <c:v>22521</c:v>
                </c:pt>
                <c:pt idx="2">
                  <c:v>38948</c:v>
                </c:pt>
                <c:pt idx="3">
                  <c:v>14106</c:v>
                </c:pt>
                <c:pt idx="4">
                  <c:v>22913</c:v>
                </c:pt>
                <c:pt idx="5">
                  <c:v>4798</c:v>
                </c:pt>
                <c:pt idx="6">
                  <c:v>3478</c:v>
                </c:pt>
                <c:pt idx="7">
                  <c:v>3227</c:v>
                </c:pt>
                <c:pt idx="8">
                  <c:v>1767</c:v>
                </c:pt>
                <c:pt idx="9">
                  <c:v>2260</c:v>
                </c:pt>
                <c:pt idx="10">
                  <c:v>2696</c:v>
                </c:pt>
                <c:pt idx="11">
                  <c:v>2156</c:v>
                </c:pt>
                <c:pt idx="12">
                  <c:v>1941</c:v>
                </c:pt>
                <c:pt idx="13">
                  <c:v>2595</c:v>
                </c:pt>
                <c:pt idx="14">
                  <c:v>3726</c:v>
                </c:pt>
                <c:pt idx="15">
                  <c:v>2503</c:v>
                </c:pt>
                <c:pt idx="16">
                  <c:v>2922</c:v>
                </c:pt>
                <c:pt idx="17">
                  <c:v>3464</c:v>
                </c:pt>
                <c:pt idx="18">
                  <c:v>3424</c:v>
                </c:pt>
                <c:pt idx="19">
                  <c:v>3806</c:v>
                </c:pt>
                <c:pt idx="20">
                  <c:v>3012</c:v>
                </c:pt>
                <c:pt idx="21">
                  <c:v>5273</c:v>
                </c:pt>
                <c:pt idx="22">
                  <c:v>5621</c:v>
                </c:pt>
                <c:pt idx="23">
                  <c:v>5796</c:v>
                </c:pt>
                <c:pt idx="24">
                  <c:v>27779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Refinance!$I$5</c:f>
              <c:strCache>
                <c:ptCount val="1"/>
                <c:pt idx="0">
                  <c:v>FHA Streamline Low MIP</c:v>
                </c:pt>
              </c:strCache>
            </c:strRef>
          </c:tx>
          <c:marker>
            <c:symbol val="none"/>
          </c:marker>
          <c:cat>
            <c:multiLvlStrRef>
              <c:f>Refinance!$D$6:$E$30</c:f>
              <c:multiLvlStrCache>
                <c:ptCount val="25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</c:lvl>
                <c:lvl>
                  <c:pt idx="0">
                    <c:v>2013</c:v>
                  </c:pt>
                  <c:pt idx="12">
                    <c:v>2014</c:v>
                  </c:pt>
                  <c:pt idx="24">
                    <c:v>2015</c:v>
                  </c:pt>
                </c:lvl>
              </c:multiLvlStrCache>
            </c:multiLvlStrRef>
          </c:cat>
          <c:val>
            <c:numRef>
              <c:f>Refinance!$I$6:$I$30</c:f>
              <c:numCache>
                <c:formatCode>#,##0</c:formatCode>
                <c:ptCount val="25"/>
                <c:pt idx="0">
                  <c:v>30639</c:v>
                </c:pt>
                <c:pt idx="1">
                  <c:v>28867</c:v>
                </c:pt>
                <c:pt idx="2">
                  <c:v>35793</c:v>
                </c:pt>
                <c:pt idx="3">
                  <c:v>25027</c:v>
                </c:pt>
                <c:pt idx="4">
                  <c:v>34164</c:v>
                </c:pt>
                <c:pt idx="5">
                  <c:v>19107</c:v>
                </c:pt>
                <c:pt idx="6">
                  <c:v>22410</c:v>
                </c:pt>
                <c:pt idx="7">
                  <c:v>16691</c:v>
                </c:pt>
                <c:pt idx="8">
                  <c:v>11311</c:v>
                </c:pt>
                <c:pt idx="9">
                  <c:v>14129</c:v>
                </c:pt>
                <c:pt idx="10">
                  <c:v>10833</c:v>
                </c:pt>
                <c:pt idx="11">
                  <c:v>9250</c:v>
                </c:pt>
                <c:pt idx="12">
                  <c:v>11344</c:v>
                </c:pt>
                <c:pt idx="13">
                  <c:v>10951</c:v>
                </c:pt>
                <c:pt idx="14">
                  <c:v>10886</c:v>
                </c:pt>
                <c:pt idx="15">
                  <c:v>11247</c:v>
                </c:pt>
                <c:pt idx="16">
                  <c:v>9096</c:v>
                </c:pt>
                <c:pt idx="17">
                  <c:v>9963</c:v>
                </c:pt>
                <c:pt idx="18">
                  <c:v>9378</c:v>
                </c:pt>
                <c:pt idx="19">
                  <c:v>7770</c:v>
                </c:pt>
                <c:pt idx="20">
                  <c:v>8065</c:v>
                </c:pt>
                <c:pt idx="21">
                  <c:v>7683</c:v>
                </c:pt>
                <c:pt idx="22">
                  <c:v>5620</c:v>
                </c:pt>
                <c:pt idx="23">
                  <c:v>5253</c:v>
                </c:pt>
                <c:pt idx="24">
                  <c:v>5336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9919464"/>
        <c:axId val="429919856"/>
      </c:lineChart>
      <c:catAx>
        <c:axId val="4299194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29919856"/>
        <c:crosses val="autoZero"/>
        <c:auto val="1"/>
        <c:lblAlgn val="ctr"/>
        <c:lblOffset val="100"/>
        <c:noMultiLvlLbl val="0"/>
      </c:catAx>
      <c:valAx>
        <c:axId val="42991985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29919464"/>
        <c:crosses val="autoZero"/>
        <c:crossBetween val="between"/>
        <c:majorUnit val="10000"/>
        <c:dispUnits>
          <c:builtInUnit val="thousands"/>
          <c:dispUnitsLbl/>
        </c:dispUnits>
      </c:valAx>
      <c:spPr>
        <a:ln>
          <a:solidFill>
            <a:schemeClr val="tx1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57150</xdr:colOff>
      <xdr:row>5</xdr:row>
      <xdr:rowOff>28576</xdr:rowOff>
    </xdr:from>
    <xdr:to>
      <xdr:col>23</xdr:col>
      <xdr:colOff>0</xdr:colOff>
      <xdr:row>7</xdr:row>
      <xdr:rowOff>13336</xdr:rowOff>
    </xdr:to>
    <xdr:sp macro="[0]!RunApplicationActivityReport" textlink="">
      <xdr:nvSpPr>
        <xdr:cNvPr id="2" name="Rounded Rectangle 1"/>
        <xdr:cNvSpPr/>
      </xdr:nvSpPr>
      <xdr:spPr>
        <a:xfrm>
          <a:off x="16649700" y="981076"/>
          <a:ext cx="1247775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23</xdr:col>
      <xdr:colOff>276226</xdr:colOff>
      <xdr:row>5</xdr:row>
      <xdr:rowOff>28576</xdr:rowOff>
    </xdr:from>
    <xdr:to>
      <xdr:col>25</xdr:col>
      <xdr:colOff>47626</xdr:colOff>
      <xdr:row>7</xdr:row>
      <xdr:rowOff>13336</xdr:rowOff>
    </xdr:to>
    <xdr:sp macro="[1]!CreatePDFReport" textlink="">
      <xdr:nvSpPr>
        <xdr:cNvPr id="3" name="Rounded Rectangle 2"/>
        <xdr:cNvSpPr/>
      </xdr:nvSpPr>
      <xdr:spPr>
        <a:xfrm>
          <a:off x="18173701" y="981076"/>
          <a:ext cx="348615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1</xdr:col>
      <xdr:colOff>190500</xdr:colOff>
      <xdr:row>9</xdr:row>
      <xdr:rowOff>190497</xdr:rowOff>
    </xdr:from>
    <xdr:to>
      <xdr:col>17</xdr:col>
      <xdr:colOff>821532</xdr:colOff>
      <xdr:row>25</xdr:row>
      <xdr:rowOff>142874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127001</xdr:colOff>
      <xdr:row>25</xdr:row>
      <xdr:rowOff>121046</xdr:rowOff>
    </xdr:from>
    <xdr:to>
      <xdr:col>9</xdr:col>
      <xdr:colOff>464344</xdr:colOff>
      <xdr:row>40</xdr:row>
      <xdr:rowOff>177720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127001</xdr:colOff>
      <xdr:row>41</xdr:row>
      <xdr:rowOff>47625</xdr:rowOff>
    </xdr:from>
    <xdr:to>
      <xdr:col>9</xdr:col>
      <xdr:colOff>464344</xdr:colOff>
      <xdr:row>59</xdr:row>
      <xdr:rowOff>79375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57150</xdr:colOff>
      <xdr:row>5</xdr:row>
      <xdr:rowOff>28576</xdr:rowOff>
    </xdr:from>
    <xdr:to>
      <xdr:col>23</xdr:col>
      <xdr:colOff>0</xdr:colOff>
      <xdr:row>7</xdr:row>
      <xdr:rowOff>13336</xdr:rowOff>
    </xdr:to>
    <xdr:sp macro="[0]!RunFundingTimeWeeklyReport" textlink="">
      <xdr:nvSpPr>
        <xdr:cNvPr id="2" name="Rounded Rectangle 1"/>
        <xdr:cNvSpPr/>
      </xdr:nvSpPr>
      <xdr:spPr>
        <a:xfrm>
          <a:off x="16468725" y="981076"/>
          <a:ext cx="1247775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23</xdr:col>
      <xdr:colOff>276226</xdr:colOff>
      <xdr:row>5</xdr:row>
      <xdr:rowOff>28576</xdr:rowOff>
    </xdr:from>
    <xdr:to>
      <xdr:col>25</xdr:col>
      <xdr:colOff>47626</xdr:colOff>
      <xdr:row>7</xdr:row>
      <xdr:rowOff>13336</xdr:rowOff>
    </xdr:to>
    <xdr:sp macro="[1]!CreatePDFReport" textlink="">
      <xdr:nvSpPr>
        <xdr:cNvPr id="3" name="Rounded Rectangle 2"/>
        <xdr:cNvSpPr/>
      </xdr:nvSpPr>
      <xdr:spPr>
        <a:xfrm>
          <a:off x="17992726" y="981076"/>
          <a:ext cx="348615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3</xdr:col>
      <xdr:colOff>0</xdr:colOff>
      <xdr:row>9</xdr:row>
      <xdr:rowOff>190498</xdr:rowOff>
    </xdr:from>
    <xdr:to>
      <xdr:col>18</xdr:col>
      <xdr:colOff>521493</xdr:colOff>
      <xdr:row>24</xdr:row>
      <xdr:rowOff>187640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</xdr:row>
      <xdr:rowOff>89296</xdr:rowOff>
    </xdr:from>
    <xdr:to>
      <xdr:col>18</xdr:col>
      <xdr:colOff>521493</xdr:colOff>
      <xdr:row>40</xdr:row>
      <xdr:rowOff>145970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41</xdr:row>
      <xdr:rowOff>47625</xdr:rowOff>
    </xdr:from>
    <xdr:to>
      <xdr:col>18</xdr:col>
      <xdr:colOff>521493</xdr:colOff>
      <xdr:row>56</xdr:row>
      <xdr:rowOff>116205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57150</xdr:colOff>
      <xdr:row>5</xdr:row>
      <xdr:rowOff>28576</xdr:rowOff>
    </xdr:from>
    <xdr:to>
      <xdr:col>23</xdr:col>
      <xdr:colOff>0</xdr:colOff>
      <xdr:row>7</xdr:row>
      <xdr:rowOff>0</xdr:rowOff>
    </xdr:to>
    <xdr:sp macro="[0]!RunFundingTimeWeeklyReport" textlink="">
      <xdr:nvSpPr>
        <xdr:cNvPr id="2" name="Rounded Rectangle 1"/>
        <xdr:cNvSpPr/>
      </xdr:nvSpPr>
      <xdr:spPr>
        <a:xfrm>
          <a:off x="16649700" y="981076"/>
          <a:ext cx="1247775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23</xdr:col>
      <xdr:colOff>276226</xdr:colOff>
      <xdr:row>5</xdr:row>
      <xdr:rowOff>28576</xdr:rowOff>
    </xdr:from>
    <xdr:to>
      <xdr:col>25</xdr:col>
      <xdr:colOff>47626</xdr:colOff>
      <xdr:row>7</xdr:row>
      <xdr:rowOff>0</xdr:rowOff>
    </xdr:to>
    <xdr:sp macro="[1]!CreatePDFReport" textlink="">
      <xdr:nvSpPr>
        <xdr:cNvPr id="3" name="Rounded Rectangle 2"/>
        <xdr:cNvSpPr/>
      </xdr:nvSpPr>
      <xdr:spPr>
        <a:xfrm>
          <a:off x="18173701" y="981076"/>
          <a:ext cx="348615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-%20template%20-%200311%20-%20with%20char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- template "/>
    </sheetNames>
    <definedNames>
      <definedName name="CreatePDFRepor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4.1250000000000002E-2</v>
          </cell>
        </row>
        <row r="5">
          <cell r="C5">
            <v>4.147E-2</v>
          </cell>
        </row>
        <row r="6">
          <cell r="C6">
            <v>200000</v>
          </cell>
        </row>
      </sheetData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portal.hud.gov/hudportal/HUD?src=/program_offices/housing/hsgrroom/fhaprodrpt" TargetMode="Externa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59999389629810485"/>
    <pageSetUpPr fitToPage="1"/>
  </sheetPr>
  <dimension ref="I1:Y64"/>
  <sheetViews>
    <sheetView showGridLines="0" tabSelected="1" zoomScale="80" zoomScaleNormal="80" workbookViewId="0">
      <selection activeCell="X36" sqref="X36"/>
    </sheetView>
  </sheetViews>
  <sheetFormatPr defaultRowHeight="15"/>
  <cols>
    <col min="1" max="1" width="9.140625" customWidth="1"/>
    <col min="3" max="3" width="9.140625" customWidth="1"/>
    <col min="4" max="4" width="19.5703125" bestFit="1" customWidth="1"/>
    <col min="5" max="5" width="12.140625" customWidth="1"/>
    <col min="6" max="10" width="11" customWidth="1"/>
    <col min="11" max="18" width="12.85546875" customWidth="1"/>
    <col min="19" max="20" width="12.7109375" customWidth="1"/>
    <col min="21" max="21" width="7.7109375" customWidth="1"/>
    <col min="22" max="22" width="11.85546875" bestFit="1" customWidth="1"/>
    <col min="23" max="23" width="19.5703125" customWidth="1"/>
    <col min="24" max="24" width="40.85546875" bestFit="1" customWidth="1"/>
    <col min="25" max="25" width="14.85546875" bestFit="1" customWidth="1"/>
  </cols>
  <sheetData>
    <row r="1" spans="9:25">
      <c r="V1" s="3" t="s">
        <v>12</v>
      </c>
      <c r="W1" s="14" t="s">
        <v>19</v>
      </c>
      <c r="X1" t="s">
        <v>13</v>
      </c>
      <c r="Y1" s="4" t="s">
        <v>16</v>
      </c>
    </row>
    <row r="2" spans="9:25">
      <c r="V2" s="3" t="s">
        <v>14</v>
      </c>
      <c r="W2" s="5">
        <v>42599</v>
      </c>
    </row>
    <row r="3" spans="9:25">
      <c r="V3" s="3" t="s">
        <v>18</v>
      </c>
      <c r="W3" s="14" t="s">
        <v>20</v>
      </c>
    </row>
    <row r="4" spans="9:25">
      <c r="V4" s="3" t="s">
        <v>15</v>
      </c>
      <c r="W4" s="14" t="str">
        <f>PDFReportDir &amp; "\Application Activity " &amp; TEXT(CurrentCloseDate, "yyyy-mm-dd") &amp; ".pdf"</f>
        <v>S:\IT\Production\Daily Reports\Primary Market\tmp\\Application Activity 2016-08-17.pdf</v>
      </c>
    </row>
    <row r="5" spans="9:25">
      <c r="V5" s="6"/>
    </row>
    <row r="6" spans="9:25">
      <c r="V6" s="6"/>
    </row>
    <row r="7" spans="9:25">
      <c r="V7" s="6"/>
    </row>
    <row r="8" spans="9:25">
      <c r="V8" s="6"/>
    </row>
    <row r="9" spans="9:25">
      <c r="V9" s="6"/>
    </row>
    <row r="10" spans="9:25">
      <c r="V10" s="6"/>
    </row>
    <row r="11" spans="9:25">
      <c r="W11" t="s">
        <v>30</v>
      </c>
      <c r="X11" s="21" t="s">
        <v>31</v>
      </c>
    </row>
    <row r="12" spans="9:25" ht="13.5" customHeight="1"/>
    <row r="14" spans="9:25" s="1" customFormat="1" ht="18" customHeight="1">
      <c r="I14"/>
      <c r="J14"/>
      <c r="K14"/>
      <c r="L14"/>
      <c r="M14"/>
      <c r="N14"/>
      <c r="O14"/>
      <c r="P14"/>
      <c r="Q14"/>
      <c r="R14"/>
      <c r="S14"/>
    </row>
    <row r="15" spans="9:25" s="2" customFormat="1" ht="19.5" customHeight="1">
      <c r="I15"/>
      <c r="J15"/>
      <c r="K15"/>
      <c r="L15"/>
      <c r="M15"/>
      <c r="N15"/>
      <c r="O15"/>
      <c r="P15"/>
      <c r="Q15"/>
      <c r="R15"/>
      <c r="S15"/>
    </row>
    <row r="16" spans="9:25" s="2" customFormat="1">
      <c r="I16"/>
      <c r="J16"/>
      <c r="K16"/>
      <c r="L16"/>
      <c r="M16"/>
      <c r="N16"/>
      <c r="O16"/>
      <c r="P16"/>
      <c r="Q16"/>
      <c r="R16"/>
      <c r="S16"/>
    </row>
    <row r="17" spans="9:19" s="2" customFormat="1">
      <c r="I17"/>
      <c r="J17"/>
      <c r="K17"/>
      <c r="L17"/>
      <c r="M17"/>
      <c r="N17"/>
      <c r="O17"/>
      <c r="P17"/>
      <c r="Q17"/>
      <c r="R17"/>
      <c r="S17"/>
    </row>
    <row r="18" spans="9:19" s="2" customFormat="1">
      <c r="I18"/>
      <c r="J18"/>
      <c r="K18"/>
      <c r="L18"/>
      <c r="M18"/>
      <c r="N18"/>
      <c r="O18"/>
      <c r="P18"/>
      <c r="Q18"/>
      <c r="R18"/>
      <c r="S18"/>
    </row>
    <row r="19" spans="9:19" s="2" customFormat="1">
      <c r="I19"/>
      <c r="J19"/>
      <c r="K19"/>
      <c r="L19"/>
      <c r="M19"/>
      <c r="N19"/>
      <c r="O19"/>
      <c r="P19"/>
      <c r="Q19"/>
      <c r="R19"/>
      <c r="S19"/>
    </row>
    <row r="20" spans="9:19" s="2" customFormat="1">
      <c r="I20"/>
      <c r="J20"/>
      <c r="K20"/>
      <c r="L20"/>
      <c r="M20"/>
      <c r="N20"/>
      <c r="O20"/>
      <c r="P20"/>
      <c r="Q20"/>
      <c r="R20"/>
      <c r="S20"/>
    </row>
    <row r="21" spans="9:19" s="2" customFormat="1">
      <c r="I21"/>
      <c r="J21"/>
      <c r="K21"/>
      <c r="L21"/>
      <c r="M21"/>
      <c r="N21"/>
      <c r="O21"/>
      <c r="P21"/>
      <c r="Q21"/>
      <c r="R21"/>
      <c r="S21"/>
    </row>
    <row r="22" spans="9:19" s="2" customFormat="1">
      <c r="I22"/>
      <c r="J22"/>
      <c r="K22"/>
      <c r="L22"/>
      <c r="M22"/>
      <c r="N22"/>
      <c r="O22"/>
      <c r="P22"/>
      <c r="Q22"/>
      <c r="R22"/>
      <c r="S22"/>
    </row>
    <row r="23" spans="9:19" s="2" customFormat="1">
      <c r="I23"/>
      <c r="J23"/>
      <c r="K23"/>
      <c r="L23"/>
      <c r="M23"/>
      <c r="N23"/>
      <c r="O23"/>
      <c r="P23"/>
      <c r="Q23"/>
      <c r="R23"/>
      <c r="S23"/>
    </row>
    <row r="24" spans="9:19" s="2" customFormat="1">
      <c r="I24"/>
      <c r="J24"/>
      <c r="K24"/>
      <c r="L24"/>
      <c r="M24"/>
      <c r="N24"/>
      <c r="O24"/>
      <c r="P24"/>
      <c r="Q24"/>
      <c r="R24"/>
      <c r="S24"/>
    </row>
    <row r="25" spans="9:19" s="2" customFormat="1">
      <c r="I25"/>
      <c r="J25"/>
      <c r="K25"/>
      <c r="L25"/>
      <c r="M25"/>
      <c r="N25"/>
      <c r="O25"/>
      <c r="P25"/>
      <c r="Q25"/>
      <c r="R25"/>
      <c r="S25"/>
    </row>
    <row r="28" spans="9:19">
      <c r="K28" s="24" t="s">
        <v>32</v>
      </c>
    </row>
    <row r="29" spans="9:19" ht="42" customHeight="1">
      <c r="K29" s="22" t="s">
        <v>35</v>
      </c>
      <c r="L29" s="22" t="s">
        <v>22</v>
      </c>
      <c r="M29" s="22" t="s">
        <v>29</v>
      </c>
      <c r="N29" s="22" t="s">
        <v>23</v>
      </c>
      <c r="O29" s="22" t="s">
        <v>24</v>
      </c>
      <c r="P29" s="22" t="s">
        <v>25</v>
      </c>
      <c r="Q29" s="22" t="s">
        <v>26</v>
      </c>
      <c r="R29" s="22" t="s">
        <v>27</v>
      </c>
    </row>
    <row r="30" spans="9:19" ht="17.25" customHeight="1">
      <c r="K30" s="28">
        <v>2015</v>
      </c>
      <c r="L30" s="25" t="str">
        <f>Input!E35</f>
        <v>Jun</v>
      </c>
      <c r="M30" s="23">
        <f>Input!F35</f>
        <v>159208</v>
      </c>
      <c r="N30" s="23">
        <f>Input!G35</f>
        <v>107893</v>
      </c>
      <c r="O30" s="23">
        <f>Input!H35</f>
        <v>18836</v>
      </c>
      <c r="P30" s="23">
        <f>Input!I35</f>
        <v>5390</v>
      </c>
      <c r="Q30" s="23">
        <f>Input!J35</f>
        <v>22360</v>
      </c>
      <c r="R30" s="23">
        <f>Input!K35</f>
        <v>4729</v>
      </c>
    </row>
    <row r="31" spans="9:19" ht="17.25" customHeight="1">
      <c r="K31" s="28"/>
      <c r="L31" s="25" t="str">
        <f>Input!E36</f>
        <v xml:space="preserve">Jul </v>
      </c>
      <c r="M31" s="23">
        <f>Input!F36</f>
        <v>150483</v>
      </c>
      <c r="N31" s="23">
        <f>Input!G36</f>
        <v>102089</v>
      </c>
      <c r="O31" s="23">
        <f>Input!H36</f>
        <v>19235</v>
      </c>
      <c r="P31" s="23">
        <f>Input!I36</f>
        <v>5633</v>
      </c>
      <c r="Q31" s="23">
        <f>Input!J36</f>
        <v>18336</v>
      </c>
      <c r="R31" s="23">
        <f>Input!K36</f>
        <v>5190</v>
      </c>
    </row>
    <row r="32" spans="9:19" ht="17.25" customHeight="1">
      <c r="K32" s="28"/>
      <c r="L32" s="25" t="str">
        <f>Input!E37</f>
        <v>Aug</v>
      </c>
      <c r="M32" s="23">
        <f>Input!F37</f>
        <v>142668</v>
      </c>
      <c r="N32" s="23">
        <f>Input!G37</f>
        <v>92704</v>
      </c>
      <c r="O32" s="23">
        <f>Input!H37</f>
        <v>19280</v>
      </c>
      <c r="P32" s="23">
        <f>Input!I37</f>
        <v>5722</v>
      </c>
      <c r="Q32" s="23">
        <f>Input!J37</f>
        <v>19737</v>
      </c>
      <c r="R32" s="23">
        <f>Input!K37</f>
        <v>5225</v>
      </c>
    </row>
    <row r="33" spans="11:19" ht="17.25" customHeight="1">
      <c r="K33" s="28"/>
      <c r="L33" s="25" t="str">
        <f>Input!E38</f>
        <v>Sep</v>
      </c>
      <c r="M33" s="23">
        <f>Input!F38</f>
        <v>143443</v>
      </c>
      <c r="N33" s="23">
        <f>Input!G38</f>
        <v>92435</v>
      </c>
      <c r="O33" s="23">
        <f>Input!H38</f>
        <v>19474</v>
      </c>
      <c r="P33" s="23">
        <f>Input!I38</f>
        <v>5806</v>
      </c>
      <c r="Q33" s="23">
        <f>Input!J38</f>
        <v>20220</v>
      </c>
      <c r="R33" s="23">
        <f>Input!K38</f>
        <v>5508</v>
      </c>
    </row>
    <row r="34" spans="11:19" ht="17.25" customHeight="1">
      <c r="K34" s="28"/>
      <c r="L34" s="25" t="str">
        <f>Input!E39</f>
        <v>Oct</v>
      </c>
      <c r="M34" s="23">
        <f>Input!F39</f>
        <v>127533</v>
      </c>
      <c r="N34" s="23">
        <f>Input!G39</f>
        <v>77735</v>
      </c>
      <c r="O34" s="23">
        <f>Input!H39</f>
        <v>18302</v>
      </c>
      <c r="P34" s="23">
        <f>Input!I39</f>
        <v>5711</v>
      </c>
      <c r="Q34" s="23">
        <f>Input!J39</f>
        <v>20432</v>
      </c>
      <c r="R34" s="23">
        <f>Input!K39</f>
        <v>5353</v>
      </c>
    </row>
    <row r="35" spans="11:19" ht="17.25" customHeight="1">
      <c r="K35" s="28"/>
      <c r="L35" s="25" t="str">
        <f>Input!E40</f>
        <v>Nov</v>
      </c>
      <c r="M35" s="23">
        <f>Input!F40</f>
        <v>113417</v>
      </c>
      <c r="N35" s="23">
        <f>Input!G40</f>
        <v>69391</v>
      </c>
      <c r="O35" s="23">
        <f>Input!H40</f>
        <v>17283</v>
      </c>
      <c r="P35" s="23">
        <f>Input!I40</f>
        <v>5148</v>
      </c>
      <c r="Q35" s="23">
        <f>Input!J40</f>
        <v>17148</v>
      </c>
      <c r="R35" s="23">
        <f>Input!K40</f>
        <v>4447</v>
      </c>
    </row>
    <row r="36" spans="11:19" ht="17.25" customHeight="1">
      <c r="K36" s="28"/>
      <c r="L36" s="25" t="str">
        <f>Input!E41</f>
        <v>Dec</v>
      </c>
      <c r="M36" s="23">
        <f>Input!F41</f>
        <v>108890</v>
      </c>
      <c r="N36" s="23">
        <f>Input!G41</f>
        <v>64073</v>
      </c>
      <c r="O36" s="23">
        <f>Input!H41</f>
        <v>16989</v>
      </c>
      <c r="P36" s="23">
        <f>Input!I41</f>
        <v>6153</v>
      </c>
      <c r="Q36" s="23">
        <f>Input!J41</f>
        <v>17444</v>
      </c>
      <c r="R36" s="23">
        <f>Input!K41</f>
        <v>4231</v>
      </c>
    </row>
    <row r="37" spans="11:19" ht="17.25" customHeight="1">
      <c r="K37" s="27">
        <v>2016</v>
      </c>
      <c r="L37" s="29" t="str">
        <f>Input!E42</f>
        <v>Jan</v>
      </c>
      <c r="M37" s="23">
        <f>Input!F42</f>
        <v>106758</v>
      </c>
      <c r="N37" s="23">
        <f>Input!G42</f>
        <v>63029</v>
      </c>
      <c r="O37" s="23">
        <f>Input!H42</f>
        <v>16723</v>
      </c>
      <c r="P37" s="23">
        <f>Input!I42</f>
        <v>6229</v>
      </c>
      <c r="Q37" s="23">
        <f>Input!J42</f>
        <v>16573</v>
      </c>
      <c r="R37" s="23">
        <f>Input!K42</f>
        <v>4204</v>
      </c>
    </row>
    <row r="38" spans="11:19" ht="17.25" customHeight="1">
      <c r="K38" s="28"/>
      <c r="L38" s="29" t="str">
        <f>Input!E43</f>
        <v>Feb</v>
      </c>
      <c r="M38" s="23">
        <f>Input!F43</f>
        <v>140620</v>
      </c>
      <c r="N38" s="23">
        <f>Input!G43</f>
        <v>84351</v>
      </c>
      <c r="O38" s="23">
        <f>Input!H43</f>
        <v>19463</v>
      </c>
      <c r="P38" s="23">
        <f>Input!I43</f>
        <v>8008</v>
      </c>
      <c r="Q38" s="23">
        <f>Input!J43</f>
        <v>24068</v>
      </c>
      <c r="R38" s="23">
        <f>Input!K43</f>
        <v>4730</v>
      </c>
      <c r="S38" s="11"/>
    </row>
    <row r="39" spans="11:19" ht="17.25" customHeight="1">
      <c r="K39" s="28"/>
      <c r="L39" s="29" t="str">
        <f>Input!E44</f>
        <v>Mar</v>
      </c>
      <c r="M39" s="23">
        <f>Input!F44</f>
        <v>168165</v>
      </c>
      <c r="N39" s="23">
        <f>Input!G44</f>
        <v>109358</v>
      </c>
      <c r="O39" s="23">
        <f>Input!H44</f>
        <v>22097</v>
      </c>
      <c r="P39" s="23">
        <f>Input!I44</f>
        <v>9016</v>
      </c>
      <c r="Q39" s="23">
        <f>Input!J44</f>
        <v>23026</v>
      </c>
      <c r="R39" s="23">
        <f>Input!K44</f>
        <v>4668</v>
      </c>
    </row>
    <row r="40" spans="11:19" ht="17.25" customHeight="1">
      <c r="K40" s="28"/>
      <c r="L40" s="29" t="str">
        <f>Input!E45</f>
        <v>Apr</v>
      </c>
      <c r="M40" s="23">
        <f>Input!F45</f>
        <v>163138</v>
      </c>
      <c r="N40" s="23">
        <f>Input!G45</f>
        <v>107312</v>
      </c>
      <c r="O40" s="23">
        <f>Input!H45</f>
        <v>19535</v>
      </c>
      <c r="P40" s="23">
        <f>Input!I45</f>
        <v>8037</v>
      </c>
      <c r="Q40" s="23">
        <f>Input!J45</f>
        <v>24505</v>
      </c>
      <c r="R40" s="23">
        <f>Input!K45</f>
        <v>3749</v>
      </c>
    </row>
    <row r="41" spans="11:19" ht="17.25" customHeight="1">
      <c r="K41" s="28"/>
      <c r="L41" s="29" t="str">
        <f>Input!E46</f>
        <v>May</v>
      </c>
      <c r="M41" s="23">
        <f>Input!F46</f>
        <v>167225</v>
      </c>
      <c r="N41" s="23">
        <f>Input!G46</f>
        <v>109836</v>
      </c>
      <c r="O41" s="23">
        <f>Input!H46</f>
        <v>19050</v>
      </c>
      <c r="P41" s="23">
        <f>Input!I46</f>
        <v>8123</v>
      </c>
      <c r="Q41" s="23">
        <f>Input!J46</f>
        <v>26768</v>
      </c>
      <c r="R41" s="23">
        <f>Input!K46</f>
        <v>3448</v>
      </c>
    </row>
    <row r="42" spans="11:19" ht="17.25" customHeight="1">
      <c r="K42" s="28"/>
      <c r="L42" s="29" t="str">
        <f>Input!E47</f>
        <v>Jun</v>
      </c>
      <c r="M42" s="23">
        <f>Input!F47</f>
        <v>167999</v>
      </c>
      <c r="N42" s="23">
        <f>Input!G47</f>
        <v>110412</v>
      </c>
      <c r="O42" s="23">
        <f>Input!H47</f>
        <v>20401</v>
      </c>
      <c r="P42" s="23">
        <f>Input!I47</f>
        <v>8614</v>
      </c>
      <c r="Q42" s="23">
        <f>Input!J47</f>
        <v>25337</v>
      </c>
      <c r="R42" s="23">
        <f>Input!K47</f>
        <v>3235</v>
      </c>
    </row>
    <row r="43" spans="11:19" ht="17.25" customHeight="1">
      <c r="K43" s="28"/>
      <c r="L43" s="29" t="str">
        <f>Input!E48</f>
        <v>Jul</v>
      </c>
      <c r="M43" s="23">
        <f>Input!F48</f>
        <v>150501</v>
      </c>
      <c r="N43" s="23">
        <f>Input!G48</f>
        <v>92341</v>
      </c>
      <c r="O43" s="23">
        <f>Input!H48</f>
        <v>18861</v>
      </c>
      <c r="P43" s="23">
        <f>Input!I48</f>
        <v>8550</v>
      </c>
      <c r="Q43" s="23">
        <f>Input!J48</f>
        <v>27879</v>
      </c>
      <c r="R43" s="23">
        <f>Input!K48</f>
        <v>2870</v>
      </c>
    </row>
    <row r="44" spans="11:19" ht="17.25" customHeight="1">
      <c r="K44" s="28"/>
      <c r="L44" s="29" t="str">
        <f>Input!E49</f>
        <v>Aug</v>
      </c>
      <c r="M44" s="23">
        <f>Input!F49</f>
        <v>164487</v>
      </c>
      <c r="N44" s="23">
        <f>Input!G49</f>
        <v>99321</v>
      </c>
      <c r="O44" s="23">
        <f>Input!H49</f>
        <v>22785</v>
      </c>
      <c r="P44" s="23">
        <f>Input!I49</f>
        <v>8215</v>
      </c>
      <c r="Q44" s="23">
        <f>Input!J49</f>
        <v>30756</v>
      </c>
      <c r="R44" s="23">
        <f>Input!K49</f>
        <v>3410</v>
      </c>
    </row>
    <row r="45" spans="11:19" ht="17.25" customHeight="1">
      <c r="K45" s="28"/>
      <c r="L45" s="29" t="str">
        <f>Input!E50</f>
        <v>Sep</v>
      </c>
      <c r="M45" s="23">
        <f>Input!F50</f>
        <v>144994</v>
      </c>
      <c r="N45" s="23">
        <f>Input!G50</f>
        <v>86060</v>
      </c>
      <c r="O45" s="23">
        <f>Input!H50</f>
        <v>18759</v>
      </c>
      <c r="P45" s="23">
        <f>Input!I50</f>
        <v>9099</v>
      </c>
      <c r="Q45" s="23">
        <f>Input!J50</f>
        <v>27765</v>
      </c>
      <c r="R45" s="23">
        <f>Input!K50</f>
        <v>3311</v>
      </c>
    </row>
    <row r="46" spans="11:19" ht="17.25" customHeight="1">
      <c r="K46" s="28"/>
      <c r="L46" s="29" t="str">
        <f>Input!E51</f>
        <v>Oct</v>
      </c>
      <c r="M46" s="23">
        <f>Input!F51</f>
        <v>138548</v>
      </c>
      <c r="N46" s="23">
        <f>Input!G51</f>
        <v>78132</v>
      </c>
      <c r="O46" s="23">
        <f>Input!H51</f>
        <v>19651</v>
      </c>
      <c r="P46" s="23">
        <f>Input!I51</f>
        <v>8847</v>
      </c>
      <c r="Q46" s="23">
        <f>Input!J51</f>
        <v>28527</v>
      </c>
      <c r="R46" s="23">
        <f>Input!K51</f>
        <v>3391</v>
      </c>
    </row>
    <row r="47" spans="11:19" ht="17.25" customHeight="1">
      <c r="K47" s="28"/>
      <c r="L47" s="29" t="str">
        <f>Input!E52</f>
        <v>Nov</v>
      </c>
      <c r="M47" s="23">
        <f>Input!F52</f>
        <v>131043</v>
      </c>
      <c r="N47" s="23">
        <f>Input!G52</f>
        <v>75915</v>
      </c>
      <c r="O47" s="23">
        <f>Input!H52</f>
        <v>20657</v>
      </c>
      <c r="P47" s="23">
        <f>Input!I52</f>
        <v>8226</v>
      </c>
      <c r="Q47" s="23">
        <f>Input!J52</f>
        <v>22633</v>
      </c>
      <c r="R47" s="23">
        <f>Input!K52</f>
        <v>3612</v>
      </c>
    </row>
    <row r="48" spans="11:19" ht="17.25" customHeight="1">
      <c r="K48" s="31"/>
      <c r="L48" s="29" t="str">
        <f>Input!E53</f>
        <v>Dec</v>
      </c>
      <c r="M48" s="23">
        <f>Input!F53</f>
        <v>103284</v>
      </c>
      <c r="N48" s="23">
        <f>Input!G53</f>
        <v>62305</v>
      </c>
      <c r="O48" s="23">
        <f>Input!H53</f>
        <v>18637</v>
      </c>
      <c r="P48" s="23">
        <f>Input!I53</f>
        <v>7075</v>
      </c>
      <c r="Q48" s="23">
        <f>Input!J53</f>
        <v>11692</v>
      </c>
      <c r="R48" s="23">
        <f>Input!K53</f>
        <v>3575</v>
      </c>
    </row>
    <row r="49" spans="11:20" ht="17.25" customHeight="1">
      <c r="K49" s="27">
        <v>2017</v>
      </c>
      <c r="L49" s="29" t="str">
        <f>Input!E54</f>
        <v>Jan</v>
      </c>
      <c r="M49" s="23">
        <f>Input!F54</f>
        <v>112638</v>
      </c>
      <c r="N49" s="23">
        <f>Input!G54</f>
        <v>68703</v>
      </c>
      <c r="O49" s="23">
        <f>Input!H54</f>
        <v>20828</v>
      </c>
      <c r="P49" s="23">
        <f>Input!I54</f>
        <v>7962</v>
      </c>
      <c r="Q49" s="23">
        <f>Input!J54</f>
        <v>12388</v>
      </c>
      <c r="R49" s="23">
        <f>Input!K54</f>
        <v>2757</v>
      </c>
    </row>
    <row r="50" spans="11:20" ht="17.25" customHeight="1">
      <c r="K50" s="28"/>
      <c r="L50" s="29" t="str">
        <f>Input!E55</f>
        <v>Feb</v>
      </c>
      <c r="M50" s="23">
        <f>Input!F55</f>
        <v>120443</v>
      </c>
      <c r="N50" s="23">
        <f>Input!G55</f>
        <v>80349</v>
      </c>
      <c r="O50" s="23">
        <f>Input!H55</f>
        <v>19935</v>
      </c>
      <c r="P50" s="23">
        <f>Input!I55</f>
        <v>7741</v>
      </c>
      <c r="Q50" s="23">
        <f>Input!J55</f>
        <v>9527</v>
      </c>
      <c r="R50" s="23">
        <f>Input!K55</f>
        <v>2891</v>
      </c>
    </row>
    <row r="51" spans="11:20" ht="17.25" customHeight="1">
      <c r="K51" s="28"/>
      <c r="L51" s="29" t="str">
        <f>Input!E56</f>
        <v>Mar</v>
      </c>
      <c r="M51" s="23">
        <f>Input!F56</f>
        <v>152003</v>
      </c>
      <c r="N51" s="23">
        <f>Input!G56</f>
        <v>107545</v>
      </c>
      <c r="O51" s="23">
        <f>Input!H56</f>
        <v>24467</v>
      </c>
      <c r="P51" s="23">
        <f>Input!I56</f>
        <v>7934</v>
      </c>
      <c r="Q51" s="23">
        <f>Input!J56</f>
        <v>8606</v>
      </c>
      <c r="R51" s="23">
        <f>Input!K56</f>
        <v>3451</v>
      </c>
    </row>
    <row r="52" spans="11:20" ht="17.25" customHeight="1">
      <c r="K52" s="28"/>
      <c r="L52" s="29" t="str">
        <f>Input!E57</f>
        <v>Apr</v>
      </c>
      <c r="M52" s="23">
        <f>Input!F57</f>
        <v>132455</v>
      </c>
      <c r="N52" s="23">
        <f>Input!G57</f>
        <v>95345</v>
      </c>
      <c r="O52" s="23">
        <f>Input!H57</f>
        <v>19322</v>
      </c>
      <c r="P52" s="23">
        <f>Input!I57</f>
        <v>8482</v>
      </c>
      <c r="Q52" s="23">
        <f>Input!J57</f>
        <v>6874</v>
      </c>
      <c r="R52" s="23">
        <f>Input!K57</f>
        <v>2432</v>
      </c>
    </row>
    <row r="53" spans="11:20" ht="17.25" customHeight="1">
      <c r="K53" s="28"/>
      <c r="L53" s="29" t="str">
        <f>Input!E58</f>
        <v>May</v>
      </c>
      <c r="M53" s="23">
        <f>Input!F58</f>
        <v>147994</v>
      </c>
      <c r="N53" s="23">
        <f>Input!G58</f>
        <v>107072</v>
      </c>
      <c r="O53" s="23">
        <f>Input!H58</f>
        <v>21006</v>
      </c>
      <c r="P53" s="23">
        <f>Input!I58</f>
        <v>9909</v>
      </c>
      <c r="Q53" s="23">
        <f>Input!J58</f>
        <v>7670</v>
      </c>
      <c r="R53" s="23">
        <f>Input!K58</f>
        <v>2337</v>
      </c>
    </row>
    <row r="54" spans="11:20" ht="17.25" customHeight="1">
      <c r="K54" s="28"/>
      <c r="L54" s="29" t="str">
        <f>Input!E59</f>
        <v>Jun</v>
      </c>
      <c r="M54" s="23">
        <f>Input!F59</f>
        <v>146775</v>
      </c>
      <c r="N54" s="23">
        <f>Input!G59</f>
        <v>102751</v>
      </c>
      <c r="O54" s="23">
        <f>Input!H59</f>
        <v>22154</v>
      </c>
      <c r="P54" s="23">
        <f>Input!I59</f>
        <v>10483</v>
      </c>
      <c r="Q54" s="23">
        <f>Input!J59</f>
        <v>8952</v>
      </c>
      <c r="R54" s="23">
        <f>Input!K59</f>
        <v>2435</v>
      </c>
    </row>
    <row r="55" spans="11:20">
      <c r="K55" s="28"/>
      <c r="L55" s="29" t="str">
        <f>Input!E60</f>
        <v>Jul</v>
      </c>
      <c r="M55" s="23">
        <f>Input!F60</f>
        <v>124295</v>
      </c>
      <c r="N55" s="23">
        <f>Input!G60</f>
        <v>87483</v>
      </c>
      <c r="O55" s="23">
        <f>Input!H60</f>
        <v>19705</v>
      </c>
      <c r="P55" s="23">
        <f>Input!I60</f>
        <v>9304</v>
      </c>
      <c r="Q55" s="23">
        <f>Input!J60</f>
        <v>6102</v>
      </c>
      <c r="R55" s="23">
        <f>Input!K60</f>
        <v>1701</v>
      </c>
    </row>
    <row r="56" spans="11:20">
      <c r="K56" s="28"/>
      <c r="L56" s="29" t="str">
        <f>Input!E61</f>
        <v>Aug</v>
      </c>
      <c r="M56" s="23">
        <f>Input!F61</f>
        <v>136217</v>
      </c>
      <c r="N56" s="23">
        <f>Input!G61</f>
        <v>92177</v>
      </c>
      <c r="O56" s="23">
        <f>Input!H61</f>
        <v>22556</v>
      </c>
      <c r="P56" s="23">
        <f>Input!I61</f>
        <v>11166</v>
      </c>
      <c r="Q56" s="23">
        <f>Input!J61</f>
        <v>8132</v>
      </c>
      <c r="R56" s="23">
        <f>Input!K61</f>
        <v>2186</v>
      </c>
    </row>
    <row r="57" spans="11:20">
      <c r="K57" s="28"/>
      <c r="L57" s="29" t="str">
        <f>Input!E62</f>
        <v>Sep</v>
      </c>
      <c r="M57" s="23">
        <f>Input!F62</f>
        <v>110408</v>
      </c>
      <c r="N57" s="23">
        <f>Input!G62</f>
        <v>72631</v>
      </c>
      <c r="O57" s="23">
        <f>Input!H62</f>
        <v>19037</v>
      </c>
      <c r="P57" s="23">
        <f>Input!I62</f>
        <v>9635</v>
      </c>
      <c r="Q57" s="23">
        <f>Input!J62</f>
        <v>7753</v>
      </c>
      <c r="R57" s="23">
        <f>Input!K62</f>
        <v>1352</v>
      </c>
    </row>
    <row r="58" spans="11:20">
      <c r="K58" s="35"/>
      <c r="L58" s="29" t="str">
        <f>Input!E63</f>
        <v>Oct</v>
      </c>
      <c r="M58" s="23">
        <f>Input!F63</f>
        <v>119321</v>
      </c>
      <c r="N58" s="23">
        <f>Input!G63</f>
        <v>77224</v>
      </c>
      <c r="O58" s="23">
        <f>Input!H63</f>
        <v>21134</v>
      </c>
      <c r="P58" s="23">
        <f>Input!I63</f>
        <v>10983</v>
      </c>
      <c r="Q58" s="23">
        <f>Input!J63</f>
        <v>8356</v>
      </c>
      <c r="R58" s="23">
        <f>Input!K63</f>
        <v>1624</v>
      </c>
    </row>
    <row r="59" spans="11:20">
      <c r="K59" s="36"/>
      <c r="L59" s="29" t="s">
        <v>2</v>
      </c>
      <c r="M59" s="23">
        <f>Input!F64</f>
        <v>109572</v>
      </c>
      <c r="N59" s="23">
        <f>Input!G64</f>
        <v>69684</v>
      </c>
      <c r="O59" s="23">
        <f>Input!H64</f>
        <v>19960</v>
      </c>
      <c r="P59" s="23">
        <f>Input!I64</f>
        <v>9764</v>
      </c>
      <c r="Q59" s="23">
        <f>Input!J64</f>
        <v>8695</v>
      </c>
      <c r="R59" s="23">
        <f>Input!K64</f>
        <v>1469</v>
      </c>
      <c r="S59" s="8"/>
    </row>
    <row r="60" spans="11:20">
      <c r="K60" s="37"/>
      <c r="L60" s="29" t="s">
        <v>1</v>
      </c>
      <c r="M60" s="23">
        <f>Input!F65</f>
        <v>88176</v>
      </c>
      <c r="N60" s="23">
        <f>Input!G65</f>
        <v>53897</v>
      </c>
      <c r="O60" s="23">
        <f>Input!H65</f>
        <v>17066</v>
      </c>
      <c r="P60" s="23">
        <f>Input!I65</f>
        <v>7399</v>
      </c>
      <c r="Q60" s="23">
        <f>Input!J65</f>
        <v>8411</v>
      </c>
      <c r="R60" s="23">
        <f>Input!K65</f>
        <v>1403</v>
      </c>
      <c r="S60" s="9"/>
      <c r="T60" s="8"/>
    </row>
    <row r="61" spans="11:20">
      <c r="S61" s="9"/>
      <c r="T61" s="8"/>
    </row>
    <row r="62" spans="11:20">
      <c r="S62" s="9"/>
      <c r="T62" s="10"/>
    </row>
    <row r="63" spans="11:20">
      <c r="K63" s="26" t="s">
        <v>33</v>
      </c>
      <c r="L63" s="13" t="s">
        <v>34</v>
      </c>
    </row>
    <row r="64" spans="11:20">
      <c r="K64" s="13"/>
      <c r="L64" s="13" t="s">
        <v>36</v>
      </c>
    </row>
  </sheetData>
  <conditionalFormatting sqref="M30:M60">
    <cfRule type="colorScale" priority="16">
      <colorScale>
        <cfvo type="min"/>
        <cfvo type="max"/>
        <color theme="0"/>
        <color theme="4" tint="0.39997558519241921"/>
      </colorScale>
    </cfRule>
  </conditionalFormatting>
  <conditionalFormatting sqref="N30:N60">
    <cfRule type="colorScale" priority="15">
      <colorScale>
        <cfvo type="min"/>
        <cfvo type="max"/>
        <color theme="0"/>
        <color theme="4" tint="0.39997558519241921"/>
      </colorScale>
    </cfRule>
  </conditionalFormatting>
  <conditionalFormatting sqref="O30:O60">
    <cfRule type="colorScale" priority="10">
      <colorScale>
        <cfvo type="min"/>
        <cfvo type="max"/>
        <color theme="0"/>
        <color theme="4" tint="0.39997558519241921"/>
      </colorScale>
    </cfRule>
  </conditionalFormatting>
  <conditionalFormatting sqref="P30:P60">
    <cfRule type="colorScale" priority="9">
      <colorScale>
        <cfvo type="min"/>
        <cfvo type="max"/>
        <color theme="0"/>
        <color theme="4" tint="0.39997558519241921"/>
      </colorScale>
    </cfRule>
  </conditionalFormatting>
  <conditionalFormatting sqref="Q30:Q60">
    <cfRule type="colorScale" priority="8">
      <colorScale>
        <cfvo type="min"/>
        <cfvo type="max"/>
        <color theme="0"/>
        <color theme="4" tint="0.39997558519241921"/>
      </colorScale>
    </cfRule>
  </conditionalFormatting>
  <conditionalFormatting sqref="R30:R60">
    <cfRule type="colorScale" priority="7">
      <colorScale>
        <cfvo type="min"/>
        <cfvo type="max"/>
        <color theme="0"/>
        <color theme="4" tint="0.39997558519241921"/>
      </colorScale>
    </cfRule>
  </conditionalFormatting>
  <dataValidations disablePrompts="1" count="2">
    <dataValidation type="list" allowBlank="1" showInputMessage="1" showErrorMessage="1" sqref="W1">
      <formula1>"PROD, DEV"</formula1>
    </dataValidation>
    <dataValidation type="list" allowBlank="1" showInputMessage="1" showErrorMessage="1" sqref="Y1">
      <formula1>"Yes, No"</formula1>
    </dataValidation>
  </dataValidations>
  <hyperlinks>
    <hyperlink ref="X11" r:id="rId1"/>
  </hyperlinks>
  <pageMargins left="0.25" right="0.25" top="0.255" bottom="0.25" header="0.1" footer="0.1"/>
  <pageSetup scale="56" orientation="landscape" horizontalDpi="1200" verticalDpi="1200" r:id="rId2"/>
  <headerFooter scaleWithDoc="0">
    <oddHeader>&amp;L&amp;G&amp;C&amp;"-,Bold"&amp;10&amp;K2E398A
&amp;15FHA Single-Family Application Activity&amp;R&amp;"-,Bold"&amp;10&amp;K2E398A
As of 08/17/2016</oddHeader>
    <oddFooter>&amp;L&amp;10&amp;K2E398AReport created on &amp;D &amp;T&amp;C&amp;G
&amp;8&amp;K2E398APage &amp;P of &amp;N</oddFooter>
  </headerFooter>
  <colBreaks count="1" manualBreakCount="1">
    <brk id="21" max="1048575" man="1"/>
  </colBreaks>
  <drawing r:id="rId3"/>
  <legacyDrawingHF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I1:Y60"/>
  <sheetViews>
    <sheetView showGridLines="0" zoomScale="80" zoomScaleNormal="80" workbookViewId="0">
      <selection activeCell="E69" sqref="E69"/>
    </sheetView>
  </sheetViews>
  <sheetFormatPr defaultRowHeight="15"/>
  <cols>
    <col min="1" max="1" width="9.140625" customWidth="1"/>
    <col min="3" max="3" width="9.140625" customWidth="1"/>
    <col min="4" max="4" width="19.5703125" bestFit="1" customWidth="1"/>
    <col min="5" max="5" width="12.140625" customWidth="1"/>
    <col min="6" max="17" width="11" customWidth="1"/>
    <col min="18" max="20" width="12.7109375" customWidth="1"/>
    <col min="21" max="21" width="7.7109375" customWidth="1"/>
    <col min="22" max="22" width="11.85546875" bestFit="1" customWidth="1"/>
    <col min="23" max="23" width="19.5703125" customWidth="1"/>
    <col min="24" max="24" width="40.85546875" bestFit="1" customWidth="1"/>
    <col min="25" max="25" width="14.85546875" bestFit="1" customWidth="1"/>
  </cols>
  <sheetData>
    <row r="1" spans="9:25">
      <c r="V1" s="3" t="s">
        <v>12</v>
      </c>
      <c r="W1" s="14" t="s">
        <v>19</v>
      </c>
      <c r="X1" t="s">
        <v>13</v>
      </c>
      <c r="Y1" s="4" t="s">
        <v>16</v>
      </c>
    </row>
    <row r="2" spans="9:25">
      <c r="V2" s="3" t="s">
        <v>14</v>
      </c>
      <c r="W2" s="5">
        <v>42081</v>
      </c>
    </row>
    <row r="3" spans="9:25">
      <c r="V3" s="3" t="s">
        <v>18</v>
      </c>
      <c r="W3" s="14" t="s">
        <v>20</v>
      </c>
    </row>
    <row r="4" spans="9:25">
      <c r="V4" s="3" t="s">
        <v>15</v>
      </c>
      <c r="W4" s="14" t="str">
        <f>PDFReportDir &amp; "\Time from Refinancing Application to Funding " &amp; TEXT(CurrentCloseDate, "yyyy-mm-dd") &amp; ".pdf"</f>
        <v>S:\IT\Production\Daily Reports\Primary Market\tmp\\Time from Refinancing Application to Funding 2015-03-18.pdf</v>
      </c>
    </row>
    <row r="5" spans="9:25">
      <c r="V5" s="6"/>
    </row>
    <row r="6" spans="9:25">
      <c r="V6" s="6"/>
    </row>
    <row r="7" spans="9:25">
      <c r="V7" s="6"/>
    </row>
    <row r="8" spans="9:25">
      <c r="V8" s="6"/>
    </row>
    <row r="9" spans="9:25">
      <c r="V9" s="6"/>
    </row>
    <row r="10" spans="9:25">
      <c r="V10" s="6"/>
    </row>
    <row r="12" spans="9:25" ht="13.5" customHeight="1"/>
    <row r="14" spans="9:25" s="1" customFormat="1" ht="18" customHeight="1">
      <c r="I14"/>
      <c r="J14"/>
      <c r="K14"/>
      <c r="L14"/>
      <c r="M14"/>
      <c r="N14"/>
      <c r="O14"/>
      <c r="P14"/>
      <c r="Q14"/>
      <c r="R14"/>
      <c r="S14"/>
    </row>
    <row r="15" spans="9:25" s="2" customFormat="1" ht="19.5" customHeight="1">
      <c r="I15"/>
      <c r="J15"/>
      <c r="K15"/>
      <c r="L15"/>
      <c r="M15"/>
      <c r="N15"/>
      <c r="O15"/>
      <c r="P15"/>
      <c r="Q15"/>
      <c r="R15"/>
      <c r="S15"/>
    </row>
    <row r="16" spans="9:25" s="2" customFormat="1">
      <c r="I16"/>
      <c r="J16"/>
      <c r="K16"/>
      <c r="L16"/>
      <c r="M16"/>
      <c r="N16"/>
      <c r="O16"/>
      <c r="P16"/>
      <c r="Q16"/>
      <c r="R16"/>
      <c r="S16"/>
    </row>
    <row r="17" spans="9:19" s="2" customFormat="1">
      <c r="I17"/>
      <c r="J17"/>
      <c r="K17"/>
      <c r="L17"/>
      <c r="M17"/>
      <c r="N17"/>
      <c r="O17"/>
      <c r="P17"/>
      <c r="Q17"/>
      <c r="R17"/>
      <c r="S17"/>
    </row>
    <row r="18" spans="9:19" s="2" customFormat="1">
      <c r="I18"/>
      <c r="J18"/>
      <c r="K18"/>
      <c r="L18"/>
      <c r="M18"/>
      <c r="N18"/>
      <c r="O18"/>
      <c r="P18"/>
      <c r="Q18"/>
      <c r="R18"/>
      <c r="S18"/>
    </row>
    <row r="19" spans="9:19" s="2" customFormat="1">
      <c r="I19"/>
      <c r="J19"/>
      <c r="K19"/>
      <c r="L19"/>
      <c r="M19"/>
      <c r="N19"/>
      <c r="O19"/>
      <c r="P19"/>
      <c r="Q19"/>
      <c r="R19"/>
      <c r="S19"/>
    </row>
    <row r="20" spans="9:19" s="2" customFormat="1">
      <c r="I20"/>
      <c r="J20"/>
      <c r="K20"/>
      <c r="L20"/>
      <c r="M20"/>
      <c r="N20"/>
      <c r="O20"/>
      <c r="P20"/>
      <c r="Q20"/>
      <c r="R20"/>
      <c r="S20"/>
    </row>
    <row r="21" spans="9:19" s="2" customFormat="1">
      <c r="I21"/>
      <c r="J21"/>
      <c r="K21"/>
      <c r="L21"/>
      <c r="M21"/>
      <c r="N21"/>
      <c r="O21"/>
      <c r="P21"/>
      <c r="Q21"/>
      <c r="R21"/>
      <c r="S21"/>
    </row>
    <row r="22" spans="9:19" s="2" customFormat="1">
      <c r="I22"/>
      <c r="J22"/>
      <c r="K22"/>
      <c r="L22"/>
      <c r="M22"/>
      <c r="N22"/>
      <c r="O22"/>
      <c r="P22"/>
      <c r="Q22"/>
      <c r="R22"/>
      <c r="S22"/>
    </row>
    <row r="23" spans="9:19" s="2" customFormat="1">
      <c r="I23"/>
      <c r="J23"/>
      <c r="K23"/>
      <c r="L23"/>
      <c r="M23"/>
      <c r="N23"/>
      <c r="O23"/>
      <c r="P23"/>
      <c r="Q23"/>
      <c r="R23"/>
      <c r="S23"/>
    </row>
    <row r="24" spans="9:19" s="2" customFormat="1">
      <c r="I24"/>
      <c r="J24"/>
      <c r="K24"/>
      <c r="L24"/>
      <c r="M24"/>
      <c r="N24"/>
      <c r="O24"/>
      <c r="P24"/>
      <c r="Q24"/>
      <c r="R24"/>
      <c r="S24"/>
    </row>
    <row r="25" spans="9:19" s="2" customFormat="1">
      <c r="I25"/>
      <c r="J25"/>
      <c r="K25"/>
      <c r="L25"/>
      <c r="M25"/>
      <c r="N25"/>
      <c r="O25"/>
      <c r="P25"/>
      <c r="Q25"/>
      <c r="R25"/>
      <c r="S25"/>
    </row>
    <row r="38" spans="11:19">
      <c r="K38" s="11"/>
      <c r="P38" s="11"/>
      <c r="S38" s="11"/>
    </row>
    <row r="40" spans="11:19" ht="15.75" customHeight="1"/>
    <row r="57" spans="18:20">
      <c r="R57" s="7"/>
      <c r="S57" s="8"/>
    </row>
    <row r="58" spans="18:20">
      <c r="S58" s="9"/>
      <c r="T58" s="8"/>
    </row>
    <row r="59" spans="18:20">
      <c r="S59" s="9"/>
      <c r="T59" s="8"/>
    </row>
    <row r="60" spans="18:20">
      <c r="S60" s="9"/>
      <c r="T60" s="10"/>
    </row>
  </sheetData>
  <dataValidations count="2">
    <dataValidation type="list" allowBlank="1" showInputMessage="1" showErrorMessage="1" sqref="Y1">
      <formula1>"Yes, No"</formula1>
    </dataValidation>
    <dataValidation type="list" allowBlank="1" showInputMessage="1" showErrorMessage="1" sqref="W1">
      <formula1>"PROD, DEV"</formula1>
    </dataValidation>
  </dataValidations>
  <pageMargins left="0.25" right="0.25" top="0.255" bottom="0.25" header="0.1" footer="0.1"/>
  <pageSetup scale="61" orientation="landscape" horizontalDpi="1200" verticalDpi="1200" r:id="rId1"/>
  <headerFooter scaleWithDoc="0">
    <oddHeader>&amp;L&amp;G&amp;C&amp;"-,Bold"&amp;10&amp;K2E398A
&amp;15Time from Refinancing Application to Funding &amp;R&amp;"-,Bold"&amp;10&amp;K2E398A
As of 2015-03-20</oddHeader>
    <oddFooter>&amp;L&amp;10&amp;K2E398AReport created on &amp;D &amp;T&amp;C&amp;G
&amp;8&amp;K2E398APage &amp;P of &amp;N</oddFooter>
  </headerFooter>
  <colBreaks count="1" manualBreakCount="1">
    <brk id="21" max="1048575" man="1"/>
  </colBreaks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D1:Y42"/>
  <sheetViews>
    <sheetView showGridLines="0" zoomScale="80" zoomScaleNormal="80" workbookViewId="0">
      <selection activeCell="E69" sqref="E69"/>
    </sheetView>
  </sheetViews>
  <sheetFormatPr defaultRowHeight="15"/>
  <cols>
    <col min="1" max="1" width="9.140625" customWidth="1"/>
    <col min="2" max="2" width="12" customWidth="1"/>
    <col min="3" max="3" width="9.140625" customWidth="1"/>
    <col min="4" max="11" width="12.140625" customWidth="1"/>
    <col min="12" max="12" width="11.85546875" customWidth="1"/>
    <col min="13" max="17" width="11" customWidth="1"/>
    <col min="18" max="20" width="12.7109375" customWidth="1"/>
    <col min="21" max="21" width="7.7109375" customWidth="1"/>
    <col min="22" max="22" width="11.85546875" bestFit="1" customWidth="1"/>
    <col min="23" max="23" width="19.5703125" customWidth="1"/>
    <col min="24" max="24" width="40.85546875" bestFit="1" customWidth="1"/>
    <col min="25" max="25" width="14.85546875" bestFit="1" customWidth="1"/>
  </cols>
  <sheetData>
    <row r="1" spans="4:25">
      <c r="V1" s="3" t="s">
        <v>12</v>
      </c>
      <c r="W1" s="14" t="s">
        <v>19</v>
      </c>
      <c r="X1" t="s">
        <v>13</v>
      </c>
      <c r="Y1" s="4" t="s">
        <v>16</v>
      </c>
    </row>
    <row r="2" spans="4:25">
      <c r="V2" s="3" t="s">
        <v>14</v>
      </c>
      <c r="W2" s="5">
        <v>42081</v>
      </c>
    </row>
    <row r="3" spans="4:25">
      <c r="V3" s="3" t="s">
        <v>18</v>
      </c>
      <c r="W3" s="14" t="s">
        <v>20</v>
      </c>
    </row>
    <row r="4" spans="4:25">
      <c r="V4" s="3" t="s">
        <v>15</v>
      </c>
      <c r="W4" s="14" t="str">
        <f>PDFReportDir &amp; "\Time from Refinancing Application to Funding " &amp; TEXT(CurrentCloseDate, "yyyy-mm-dd") &amp; ".pdf"</f>
        <v>S:\IT\Production\Daily Reports\Primary Market\tmp\\Time from Refinancing Application to Funding 2015-03-18.pdf</v>
      </c>
    </row>
    <row r="5" spans="4:25">
      <c r="V5" s="6"/>
    </row>
    <row r="6" spans="4:25">
      <c r="V6" s="6"/>
    </row>
    <row r="7" spans="4:25">
      <c r="V7" s="6"/>
    </row>
    <row r="8" spans="4:25">
      <c r="D8" s="12" t="s">
        <v>17</v>
      </c>
    </row>
    <row r="9" spans="4:25" ht="39">
      <c r="D9" s="16" t="s">
        <v>21</v>
      </c>
      <c r="E9" s="16" t="s">
        <v>22</v>
      </c>
      <c r="F9" s="16" t="s">
        <v>29</v>
      </c>
      <c r="G9" s="16" t="s">
        <v>23</v>
      </c>
      <c r="H9" s="16" t="s">
        <v>24</v>
      </c>
      <c r="I9" s="16" t="s">
        <v>25</v>
      </c>
      <c r="J9" s="16" t="s">
        <v>26</v>
      </c>
      <c r="K9" s="16" t="s">
        <v>27</v>
      </c>
      <c r="L9" s="1"/>
    </row>
    <row r="10" spans="4:25" s="19" customFormat="1" ht="15.75" customHeight="1">
      <c r="D10" s="32">
        <v>2013</v>
      </c>
      <c r="E10" s="17" t="s">
        <v>0</v>
      </c>
      <c r="F10" s="18">
        <v>138929</v>
      </c>
      <c r="G10" s="18">
        <v>58933</v>
      </c>
      <c r="H10" s="18">
        <v>16039</v>
      </c>
      <c r="I10" s="18">
        <v>5044</v>
      </c>
      <c r="J10" s="18">
        <v>28274</v>
      </c>
      <c r="K10" s="18">
        <v>30639</v>
      </c>
    </row>
    <row r="11" spans="4:25" s="20" customFormat="1" ht="15.75" customHeight="1">
      <c r="D11" s="33"/>
      <c r="E11" s="17" t="s">
        <v>11</v>
      </c>
      <c r="F11" s="18">
        <v>137925</v>
      </c>
      <c r="G11" s="18">
        <v>66498</v>
      </c>
      <c r="H11" s="18">
        <v>15393</v>
      </c>
      <c r="I11" s="18">
        <v>4646</v>
      </c>
      <c r="J11" s="18">
        <v>22521</v>
      </c>
      <c r="K11" s="18">
        <v>28867</v>
      </c>
      <c r="L11" s="19"/>
      <c r="M11" s="19"/>
      <c r="N11" s="19"/>
      <c r="O11" s="19"/>
      <c r="P11" s="19"/>
      <c r="Q11" s="19"/>
      <c r="R11" s="19"/>
      <c r="S11" s="19"/>
    </row>
    <row r="12" spans="4:25" s="19" customFormat="1" ht="15.75" customHeight="1">
      <c r="D12" s="33"/>
      <c r="E12" s="17" t="s">
        <v>10</v>
      </c>
      <c r="F12" s="18">
        <v>221598</v>
      </c>
      <c r="G12" s="18">
        <v>113900</v>
      </c>
      <c r="H12" s="18">
        <v>25683</v>
      </c>
      <c r="I12" s="18">
        <v>7274</v>
      </c>
      <c r="J12" s="18">
        <v>38948</v>
      </c>
      <c r="K12" s="18">
        <v>35793</v>
      </c>
    </row>
    <row r="13" spans="4:25" s="19" customFormat="1" ht="15.75" customHeight="1">
      <c r="D13" s="33"/>
      <c r="E13" s="17" t="s">
        <v>9</v>
      </c>
      <c r="F13" s="18">
        <v>118173</v>
      </c>
      <c r="G13" s="18">
        <v>62897</v>
      </c>
      <c r="H13" s="18">
        <v>12675</v>
      </c>
      <c r="I13" s="18">
        <v>3468</v>
      </c>
      <c r="J13" s="18">
        <v>14106</v>
      </c>
      <c r="K13" s="18">
        <v>25027</v>
      </c>
    </row>
    <row r="14" spans="4:25" s="19" customFormat="1" ht="15.75" customHeight="1">
      <c r="D14" s="33"/>
      <c r="E14" s="17" t="s">
        <v>8</v>
      </c>
      <c r="F14" s="18">
        <v>182431</v>
      </c>
      <c r="G14" s="18">
        <v>101178</v>
      </c>
      <c r="H14" s="18">
        <v>18957</v>
      </c>
      <c r="I14" s="18">
        <v>5219</v>
      </c>
      <c r="J14" s="18">
        <v>22913</v>
      </c>
      <c r="K14" s="18">
        <v>34164</v>
      </c>
    </row>
    <row r="15" spans="4:25" s="19" customFormat="1" ht="15.75" customHeight="1">
      <c r="D15" s="33"/>
      <c r="E15" s="17" t="s">
        <v>7</v>
      </c>
      <c r="F15" s="18">
        <v>93746</v>
      </c>
      <c r="G15" s="18">
        <v>57633</v>
      </c>
      <c r="H15" s="18">
        <v>9929</v>
      </c>
      <c r="I15" s="18">
        <v>2279</v>
      </c>
      <c r="J15" s="18">
        <v>4798</v>
      </c>
      <c r="K15" s="18">
        <v>19107</v>
      </c>
    </row>
    <row r="16" spans="4:25" s="19" customFormat="1" ht="15.75" customHeight="1">
      <c r="D16" s="33"/>
      <c r="E16" s="17" t="s">
        <v>6</v>
      </c>
      <c r="F16" s="18">
        <v>108196</v>
      </c>
      <c r="G16" s="18">
        <v>68994</v>
      </c>
      <c r="H16" s="18">
        <v>11085</v>
      </c>
      <c r="I16" s="18">
        <v>2229</v>
      </c>
      <c r="J16" s="18">
        <v>3478</v>
      </c>
      <c r="K16" s="18">
        <v>22410</v>
      </c>
    </row>
    <row r="17" spans="4:11" s="19" customFormat="1" ht="15.75" customHeight="1">
      <c r="D17" s="33"/>
      <c r="E17" s="17" t="s">
        <v>5</v>
      </c>
      <c r="F17" s="18">
        <v>97323</v>
      </c>
      <c r="G17" s="18">
        <v>64203</v>
      </c>
      <c r="H17" s="18">
        <v>10916</v>
      </c>
      <c r="I17" s="18">
        <v>2286</v>
      </c>
      <c r="J17" s="18">
        <v>3227</v>
      </c>
      <c r="K17" s="18">
        <v>16691</v>
      </c>
    </row>
    <row r="18" spans="4:11" s="19" customFormat="1" ht="15.75" customHeight="1">
      <c r="D18" s="33"/>
      <c r="E18" s="17" t="s">
        <v>4</v>
      </c>
      <c r="F18" s="18">
        <v>83445</v>
      </c>
      <c r="G18" s="18">
        <v>58541</v>
      </c>
      <c r="H18" s="18">
        <v>9743</v>
      </c>
      <c r="I18" s="18">
        <v>2083</v>
      </c>
      <c r="J18" s="18">
        <v>1767</v>
      </c>
      <c r="K18" s="18">
        <v>11311</v>
      </c>
    </row>
    <row r="19" spans="4:11" s="19" customFormat="1" ht="15.75" customHeight="1">
      <c r="D19" s="33"/>
      <c r="E19" s="17" t="s">
        <v>3</v>
      </c>
      <c r="F19" s="18">
        <v>93516</v>
      </c>
      <c r="G19" s="18">
        <v>62332</v>
      </c>
      <c r="H19" s="18">
        <v>12131</v>
      </c>
      <c r="I19" s="18">
        <v>2664</v>
      </c>
      <c r="J19" s="18">
        <v>2260</v>
      </c>
      <c r="K19" s="18">
        <v>14129</v>
      </c>
    </row>
    <row r="20" spans="4:11" s="19" customFormat="1" ht="15.75" customHeight="1">
      <c r="D20" s="33"/>
      <c r="E20" s="17" t="s">
        <v>2</v>
      </c>
      <c r="F20" s="18">
        <v>75371</v>
      </c>
      <c r="G20" s="18">
        <v>49838</v>
      </c>
      <c r="H20" s="18">
        <v>9664</v>
      </c>
      <c r="I20" s="18">
        <v>2340</v>
      </c>
      <c r="J20" s="18">
        <v>2696</v>
      </c>
      <c r="K20" s="18">
        <v>10833</v>
      </c>
    </row>
    <row r="21" spans="4:11" s="19" customFormat="1" ht="15.75" customHeight="1">
      <c r="D21" s="34"/>
      <c r="E21" s="17" t="s">
        <v>1</v>
      </c>
      <c r="F21" s="18">
        <v>68439</v>
      </c>
      <c r="G21" s="18">
        <v>46331</v>
      </c>
      <c r="H21" s="18">
        <v>8534</v>
      </c>
      <c r="I21" s="18">
        <v>2168</v>
      </c>
      <c r="J21" s="18">
        <v>2156</v>
      </c>
      <c r="K21" s="18">
        <v>9250</v>
      </c>
    </row>
    <row r="22" spans="4:11" s="19" customFormat="1" ht="15.75" customHeight="1">
      <c r="D22" s="32">
        <v>2014</v>
      </c>
      <c r="E22" s="17" t="s">
        <v>0</v>
      </c>
      <c r="F22" s="18">
        <v>71130</v>
      </c>
      <c r="G22" s="18">
        <v>45860</v>
      </c>
      <c r="H22" s="18">
        <v>9609</v>
      </c>
      <c r="I22" s="18">
        <v>2376</v>
      </c>
      <c r="J22" s="18">
        <v>1941</v>
      </c>
      <c r="K22" s="18">
        <v>11344</v>
      </c>
    </row>
    <row r="23" spans="4:11" s="19" customFormat="1" ht="15.75" customHeight="1">
      <c r="D23" s="33"/>
      <c r="E23" s="17" t="s">
        <v>11</v>
      </c>
      <c r="F23" s="18">
        <v>76863</v>
      </c>
      <c r="G23" s="18">
        <v>51701</v>
      </c>
      <c r="H23" s="18">
        <v>9287</v>
      </c>
      <c r="I23" s="18">
        <v>2329</v>
      </c>
      <c r="J23" s="18">
        <v>2595</v>
      </c>
      <c r="K23" s="18">
        <v>10951</v>
      </c>
    </row>
    <row r="24" spans="4:11" s="19" customFormat="1" ht="15.75" customHeight="1">
      <c r="D24" s="33"/>
      <c r="E24" s="17" t="s">
        <v>10</v>
      </c>
      <c r="F24" s="18">
        <v>94628</v>
      </c>
      <c r="G24" s="18">
        <v>66273</v>
      </c>
      <c r="H24" s="18">
        <v>10910</v>
      </c>
      <c r="I24" s="18">
        <v>2833</v>
      </c>
      <c r="J24" s="18">
        <v>3726</v>
      </c>
      <c r="K24" s="18">
        <v>10886</v>
      </c>
    </row>
    <row r="25" spans="4:11" s="19" customFormat="1" ht="15.75" customHeight="1">
      <c r="D25" s="33"/>
      <c r="E25" s="17" t="s">
        <v>9</v>
      </c>
      <c r="F25" s="18">
        <v>103095</v>
      </c>
      <c r="G25" s="18">
        <v>74816</v>
      </c>
      <c r="H25" s="18">
        <v>11511</v>
      </c>
      <c r="I25" s="18">
        <v>3018</v>
      </c>
      <c r="J25" s="18">
        <v>2503</v>
      </c>
      <c r="K25" s="18">
        <v>11247</v>
      </c>
    </row>
    <row r="26" spans="4:11" s="19" customFormat="1" ht="15.75" customHeight="1">
      <c r="D26" s="33"/>
      <c r="E26" s="17" t="s">
        <v>8</v>
      </c>
      <c r="F26" s="18">
        <v>99446</v>
      </c>
      <c r="G26" s="18">
        <v>73371</v>
      </c>
      <c r="H26" s="18">
        <v>10850</v>
      </c>
      <c r="I26" s="18">
        <v>3207</v>
      </c>
      <c r="J26" s="18">
        <v>2922</v>
      </c>
      <c r="K26" s="18">
        <v>9096</v>
      </c>
    </row>
    <row r="27" spans="4:11" s="19" customFormat="1" ht="15.75" customHeight="1">
      <c r="D27" s="33"/>
      <c r="E27" s="17" t="s">
        <v>7</v>
      </c>
      <c r="F27" s="18">
        <v>99451</v>
      </c>
      <c r="G27" s="18">
        <v>72450</v>
      </c>
      <c r="H27" s="18">
        <v>10225</v>
      </c>
      <c r="I27" s="18">
        <v>3349</v>
      </c>
      <c r="J27" s="18">
        <v>3464</v>
      </c>
      <c r="K27" s="18">
        <v>9963</v>
      </c>
    </row>
    <row r="28" spans="4:11" s="19" customFormat="1" ht="15.75" customHeight="1">
      <c r="D28" s="33"/>
      <c r="E28" s="17" t="s">
        <v>6</v>
      </c>
      <c r="F28" s="18">
        <v>97893</v>
      </c>
      <c r="G28" s="18">
        <v>71543</v>
      </c>
      <c r="H28" s="18">
        <v>10370</v>
      </c>
      <c r="I28" s="18">
        <v>3178</v>
      </c>
      <c r="J28" s="18">
        <v>3424</v>
      </c>
      <c r="K28" s="18">
        <v>9378</v>
      </c>
    </row>
    <row r="29" spans="4:11" s="19" customFormat="1" ht="15.75" customHeight="1">
      <c r="D29" s="33"/>
      <c r="E29" s="17" t="s">
        <v>5</v>
      </c>
      <c r="F29" s="18">
        <v>89275</v>
      </c>
      <c r="G29" s="18">
        <v>63962</v>
      </c>
      <c r="H29" s="18">
        <v>10419</v>
      </c>
      <c r="I29" s="18">
        <v>3318</v>
      </c>
      <c r="J29" s="18">
        <v>3806</v>
      </c>
      <c r="K29" s="18">
        <v>7770</v>
      </c>
    </row>
    <row r="30" spans="4:11" s="19" customFormat="1" ht="15.75" customHeight="1">
      <c r="D30" s="33"/>
      <c r="E30" s="17" t="s">
        <v>4</v>
      </c>
      <c r="F30" s="18">
        <v>87166</v>
      </c>
      <c r="G30" s="18">
        <v>62210</v>
      </c>
      <c r="H30" s="18">
        <v>10474</v>
      </c>
      <c r="I30" s="18">
        <v>3405</v>
      </c>
      <c r="J30" s="18">
        <v>3012</v>
      </c>
      <c r="K30" s="18">
        <v>8065</v>
      </c>
    </row>
    <row r="31" spans="4:11" s="19" customFormat="1" ht="15.75" customHeight="1">
      <c r="D31" s="33"/>
      <c r="E31" s="17" t="s">
        <v>3</v>
      </c>
      <c r="F31" s="18">
        <v>93206</v>
      </c>
      <c r="G31" s="18">
        <v>64344</v>
      </c>
      <c r="H31" s="18">
        <v>11776</v>
      </c>
      <c r="I31" s="18">
        <v>4130</v>
      </c>
      <c r="J31" s="18">
        <v>5273</v>
      </c>
      <c r="K31" s="18">
        <v>7683</v>
      </c>
    </row>
    <row r="32" spans="4:11" s="19" customFormat="1" ht="15.75" customHeight="1">
      <c r="D32" s="33"/>
      <c r="E32" s="17" t="s">
        <v>2</v>
      </c>
      <c r="F32" s="18">
        <v>74286</v>
      </c>
      <c r="G32" s="18">
        <v>50489</v>
      </c>
      <c r="H32" s="18">
        <v>9428</v>
      </c>
      <c r="I32" s="18">
        <v>3128</v>
      </c>
      <c r="J32" s="18">
        <v>5621</v>
      </c>
      <c r="K32" s="18">
        <v>5620</v>
      </c>
    </row>
    <row r="33" spans="4:20" s="19" customFormat="1" ht="15.75" customHeight="1">
      <c r="D33" s="34"/>
      <c r="E33" s="17" t="s">
        <v>1</v>
      </c>
      <c r="F33" s="18">
        <v>71754</v>
      </c>
      <c r="G33" s="18">
        <v>48105</v>
      </c>
      <c r="H33" s="18">
        <v>9516</v>
      </c>
      <c r="I33" s="18">
        <v>3084</v>
      </c>
      <c r="J33" s="18">
        <v>5796</v>
      </c>
      <c r="K33" s="18">
        <v>5253</v>
      </c>
    </row>
    <row r="34" spans="4:20" s="19" customFormat="1" ht="15.75" customHeight="1">
      <c r="D34" s="17">
        <v>2015</v>
      </c>
      <c r="E34" s="17" t="s">
        <v>0</v>
      </c>
      <c r="F34" s="18">
        <v>128133</v>
      </c>
      <c r="G34" s="18">
        <v>71254</v>
      </c>
      <c r="H34" s="18">
        <v>16889</v>
      </c>
      <c r="I34" s="18">
        <v>6875</v>
      </c>
      <c r="J34" s="18">
        <v>27779</v>
      </c>
      <c r="K34" s="18">
        <v>5336</v>
      </c>
    </row>
    <row r="35" spans="4:20">
      <c r="K35" s="11"/>
      <c r="P35" s="11"/>
      <c r="S35" s="11"/>
    </row>
    <row r="39" spans="4:20">
      <c r="R39" s="7"/>
      <c r="S39" s="8"/>
    </row>
    <row r="40" spans="4:20">
      <c r="S40" s="9"/>
      <c r="T40" s="8"/>
    </row>
    <row r="41" spans="4:20">
      <c r="S41" s="9"/>
      <c r="T41" s="8"/>
    </row>
    <row r="42" spans="4:20">
      <c r="S42" s="9"/>
      <c r="T42" s="10"/>
    </row>
  </sheetData>
  <mergeCells count="2">
    <mergeCell ref="D10:D21"/>
    <mergeCell ref="D22:D33"/>
  </mergeCells>
  <conditionalFormatting sqref="F10:F34">
    <cfRule type="colorScale" priority="6">
      <colorScale>
        <cfvo type="min"/>
        <cfvo type="max"/>
        <color theme="0"/>
        <color theme="4" tint="0.39997558519241921"/>
      </colorScale>
    </cfRule>
  </conditionalFormatting>
  <conditionalFormatting sqref="G10:G34">
    <cfRule type="colorScale" priority="5">
      <colorScale>
        <cfvo type="min"/>
        <cfvo type="max"/>
        <color theme="0"/>
        <color theme="4" tint="0.39997558519241921"/>
      </colorScale>
    </cfRule>
  </conditionalFormatting>
  <conditionalFormatting sqref="H10:H34">
    <cfRule type="colorScale" priority="4">
      <colorScale>
        <cfvo type="min"/>
        <cfvo type="max"/>
        <color theme="0"/>
        <color theme="4" tint="0.39997558519241921"/>
      </colorScale>
    </cfRule>
  </conditionalFormatting>
  <conditionalFormatting sqref="I10:I34">
    <cfRule type="colorScale" priority="3">
      <colorScale>
        <cfvo type="min"/>
        <cfvo type="max"/>
        <color theme="0"/>
        <color theme="4" tint="0.39997558519241921"/>
      </colorScale>
    </cfRule>
  </conditionalFormatting>
  <conditionalFormatting sqref="J10:J34">
    <cfRule type="colorScale" priority="2">
      <colorScale>
        <cfvo type="min"/>
        <cfvo type="max"/>
        <color theme="0"/>
        <color theme="4" tint="0.39997558519241921"/>
      </colorScale>
    </cfRule>
  </conditionalFormatting>
  <conditionalFormatting sqref="K10:K34">
    <cfRule type="colorScale" priority="1">
      <colorScale>
        <cfvo type="min"/>
        <cfvo type="max"/>
        <color theme="0"/>
        <color theme="4" tint="0.39997558519241921"/>
      </colorScale>
    </cfRule>
  </conditionalFormatting>
  <dataValidations count="2">
    <dataValidation type="list" allowBlank="1" showInputMessage="1" showErrorMessage="1" sqref="W1">
      <formula1>"PROD, DEV"</formula1>
    </dataValidation>
    <dataValidation type="list" allowBlank="1" showInputMessage="1" showErrorMessage="1" sqref="Y1">
      <formula1>"Yes, No"</formula1>
    </dataValidation>
  </dataValidations>
  <pageMargins left="0.25" right="0.25" top="0.255" bottom="0.25" header="0.1" footer="0.1"/>
  <pageSetup orientation="landscape" horizontalDpi="1200" verticalDpi="1200" r:id="rId1"/>
  <headerFooter scaleWithDoc="0">
    <oddHeader>&amp;L&amp;G&amp;C&amp;"-,Bold"&amp;10&amp;K2E398A
&amp;15Time from Refinancing Application to Funding &amp;R&amp;"-,Bold"&amp;10&amp;K2E398A
As of 2015-03-20</oddHeader>
    <oddFooter>&amp;L&amp;10&amp;K2E398AReport created on &amp;D &amp;T&amp;C&amp;G
&amp;8&amp;K2E398APage &amp;P of &amp;N</oddFooter>
  </headerFooter>
  <colBreaks count="1" manualBreakCount="1">
    <brk id="21" max="1048575" man="1"/>
  </colBreaks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5:T66"/>
  <sheetViews>
    <sheetView topLeftCell="A13" workbookViewId="0">
      <selection activeCell="K62" sqref="K62"/>
    </sheetView>
  </sheetViews>
  <sheetFormatPr defaultRowHeight="15"/>
  <cols>
    <col min="2" max="2" width="10.28515625" customWidth="1"/>
    <col min="4" max="11" width="12.28515625" customWidth="1"/>
    <col min="12" max="12" width="11.5703125" customWidth="1"/>
  </cols>
  <sheetData>
    <row r="5" spans="4:20" ht="60">
      <c r="D5" s="1" t="str">
        <f>Report!K29</f>
        <v>Calender Year</v>
      </c>
      <c r="E5" s="1" t="str">
        <f>Report!L29</f>
        <v>Month</v>
      </c>
      <c r="F5" s="1" t="str">
        <f>Report!M29</f>
        <v xml:space="preserve">Total Application Received </v>
      </c>
      <c r="G5" s="1" t="str">
        <f>Report!N29</f>
        <v>Home Purchase</v>
      </c>
      <c r="H5" s="1" t="str">
        <f>Report!O29</f>
        <v>Conventionla-to-FHA Refinance</v>
      </c>
      <c r="I5" s="1" t="str">
        <f>Report!P29</f>
        <v>FHA Non-Streamline Refinance</v>
      </c>
      <c r="J5" s="1" t="str">
        <f>Report!Q29</f>
        <v>FHA Streamline Standard MIP</v>
      </c>
      <c r="K5" s="1" t="str">
        <f>Report!R29</f>
        <v>FHA Streamline Low MIP</v>
      </c>
      <c r="L5" s="1" t="s">
        <v>28</v>
      </c>
      <c r="Q5" s="1" t="str">
        <f>D5</f>
        <v>Calender Year</v>
      </c>
      <c r="R5" s="1" t="str">
        <f>E5</f>
        <v>Month</v>
      </c>
      <c r="S5" t="str">
        <f>G5</f>
        <v>Home Purchase</v>
      </c>
      <c r="T5" t="str">
        <f>L5</f>
        <v>Refinance</v>
      </c>
    </row>
    <row r="6" spans="4:20">
      <c r="D6">
        <v>2013</v>
      </c>
      <c r="E6" t="s">
        <v>0</v>
      </c>
      <c r="F6" s="30">
        <v>138929</v>
      </c>
      <c r="G6" s="30">
        <v>58933</v>
      </c>
      <c r="H6" s="30">
        <v>16039</v>
      </c>
      <c r="I6" s="30">
        <v>5044</v>
      </c>
      <c r="J6" s="30">
        <v>28274</v>
      </c>
      <c r="K6" s="30">
        <v>30639</v>
      </c>
      <c r="L6" s="30">
        <v>79996</v>
      </c>
      <c r="Q6">
        <v>2013</v>
      </c>
      <c r="R6" s="1" t="str">
        <f t="shared" ref="R6:R35" si="0">E6</f>
        <v>Jan</v>
      </c>
      <c r="S6">
        <f t="shared" ref="S6:S35" si="1">G6</f>
        <v>58933</v>
      </c>
      <c r="T6">
        <f t="shared" ref="T6:T35" si="2">L6</f>
        <v>79996</v>
      </c>
    </row>
    <row r="7" spans="4:20">
      <c r="E7" t="s">
        <v>11</v>
      </c>
      <c r="F7" s="30">
        <v>137925</v>
      </c>
      <c r="G7" s="30">
        <v>66498</v>
      </c>
      <c r="H7" s="30">
        <v>15393</v>
      </c>
      <c r="I7" s="30">
        <v>4646</v>
      </c>
      <c r="J7" s="30">
        <v>22521</v>
      </c>
      <c r="K7" s="30">
        <v>28867</v>
      </c>
      <c r="L7" s="30">
        <v>71427</v>
      </c>
      <c r="R7" s="1" t="str">
        <f t="shared" si="0"/>
        <v>Feb</v>
      </c>
      <c r="S7">
        <f t="shared" si="1"/>
        <v>66498</v>
      </c>
      <c r="T7">
        <f t="shared" si="2"/>
        <v>71427</v>
      </c>
    </row>
    <row r="8" spans="4:20">
      <c r="E8" t="s">
        <v>10</v>
      </c>
      <c r="F8" s="30">
        <v>221598</v>
      </c>
      <c r="G8" s="30">
        <v>113900</v>
      </c>
      <c r="H8" s="30">
        <v>25683</v>
      </c>
      <c r="I8" s="30">
        <v>7274</v>
      </c>
      <c r="J8" s="30">
        <v>38948</v>
      </c>
      <c r="K8" s="30">
        <v>35793</v>
      </c>
      <c r="L8" s="30">
        <v>107698</v>
      </c>
      <c r="R8" s="1" t="str">
        <f t="shared" si="0"/>
        <v>Mar</v>
      </c>
      <c r="S8">
        <f t="shared" si="1"/>
        <v>113900</v>
      </c>
      <c r="T8">
        <f t="shared" si="2"/>
        <v>107698</v>
      </c>
    </row>
    <row r="9" spans="4:20">
      <c r="E9" t="s">
        <v>9</v>
      </c>
      <c r="F9" s="30">
        <v>118173</v>
      </c>
      <c r="G9" s="30">
        <v>62897</v>
      </c>
      <c r="H9" s="30">
        <v>12675</v>
      </c>
      <c r="I9" s="30">
        <v>3468</v>
      </c>
      <c r="J9" s="30">
        <v>14106</v>
      </c>
      <c r="K9" s="30">
        <v>25027</v>
      </c>
      <c r="L9" s="30">
        <v>55276</v>
      </c>
      <c r="R9" s="1" t="str">
        <f t="shared" si="0"/>
        <v>Apr</v>
      </c>
      <c r="S9">
        <f t="shared" si="1"/>
        <v>62897</v>
      </c>
      <c r="T9">
        <f t="shared" si="2"/>
        <v>55276</v>
      </c>
    </row>
    <row r="10" spans="4:20">
      <c r="E10" t="s">
        <v>8</v>
      </c>
      <c r="F10" s="30">
        <v>182431</v>
      </c>
      <c r="G10" s="30">
        <v>101178</v>
      </c>
      <c r="H10" s="30">
        <v>18957</v>
      </c>
      <c r="I10" s="30">
        <v>5219</v>
      </c>
      <c r="J10" s="30">
        <v>22913</v>
      </c>
      <c r="K10" s="30">
        <v>34164</v>
      </c>
      <c r="L10" s="30">
        <v>81253</v>
      </c>
      <c r="R10" s="1" t="str">
        <f t="shared" si="0"/>
        <v>May</v>
      </c>
      <c r="S10">
        <f t="shared" si="1"/>
        <v>101178</v>
      </c>
      <c r="T10">
        <f t="shared" si="2"/>
        <v>81253</v>
      </c>
    </row>
    <row r="11" spans="4:20">
      <c r="E11" t="s">
        <v>7</v>
      </c>
      <c r="F11" s="30">
        <v>93746</v>
      </c>
      <c r="G11" s="30">
        <v>57633</v>
      </c>
      <c r="H11" s="30">
        <v>9929</v>
      </c>
      <c r="I11" s="30">
        <v>2279</v>
      </c>
      <c r="J11" s="30">
        <v>4798</v>
      </c>
      <c r="K11" s="30">
        <v>19107</v>
      </c>
      <c r="L11" s="30">
        <v>36113</v>
      </c>
      <c r="R11" s="1" t="str">
        <f t="shared" si="0"/>
        <v>Jun</v>
      </c>
      <c r="S11">
        <f t="shared" si="1"/>
        <v>57633</v>
      </c>
      <c r="T11">
        <f t="shared" si="2"/>
        <v>36113</v>
      </c>
    </row>
    <row r="12" spans="4:20">
      <c r="E12" t="s">
        <v>6</v>
      </c>
      <c r="F12" s="30">
        <v>108196</v>
      </c>
      <c r="G12" s="30">
        <v>68994</v>
      </c>
      <c r="H12" s="30">
        <v>11085</v>
      </c>
      <c r="I12" s="30">
        <v>2229</v>
      </c>
      <c r="J12" s="30">
        <v>3478</v>
      </c>
      <c r="K12" s="30">
        <v>22410</v>
      </c>
      <c r="L12" s="30">
        <v>39202</v>
      </c>
      <c r="R12" s="1" t="str">
        <f t="shared" si="0"/>
        <v>Jul</v>
      </c>
      <c r="S12">
        <f t="shared" si="1"/>
        <v>68994</v>
      </c>
      <c r="T12">
        <f t="shared" si="2"/>
        <v>39202</v>
      </c>
    </row>
    <row r="13" spans="4:20">
      <c r="E13" t="s">
        <v>5</v>
      </c>
      <c r="F13" s="30">
        <v>97323</v>
      </c>
      <c r="G13" s="30">
        <v>64203</v>
      </c>
      <c r="H13" s="30">
        <v>10916</v>
      </c>
      <c r="I13" s="30">
        <v>2286</v>
      </c>
      <c r="J13" s="30">
        <v>3227</v>
      </c>
      <c r="K13" s="30">
        <v>16691</v>
      </c>
      <c r="L13" s="30">
        <v>33120</v>
      </c>
      <c r="R13" s="1" t="str">
        <f t="shared" si="0"/>
        <v>Aug</v>
      </c>
      <c r="S13">
        <f t="shared" si="1"/>
        <v>64203</v>
      </c>
      <c r="T13">
        <f t="shared" si="2"/>
        <v>33120</v>
      </c>
    </row>
    <row r="14" spans="4:20">
      <c r="E14" t="s">
        <v>4</v>
      </c>
      <c r="F14" s="30">
        <v>83445</v>
      </c>
      <c r="G14" s="30">
        <v>58541</v>
      </c>
      <c r="H14" s="30">
        <v>9743</v>
      </c>
      <c r="I14" s="30">
        <v>2083</v>
      </c>
      <c r="J14" s="30">
        <v>1767</v>
      </c>
      <c r="K14" s="30">
        <v>11311</v>
      </c>
      <c r="L14" s="30">
        <v>24904</v>
      </c>
      <c r="R14" s="1" t="str">
        <f t="shared" si="0"/>
        <v>Sep</v>
      </c>
      <c r="S14">
        <f t="shared" si="1"/>
        <v>58541</v>
      </c>
      <c r="T14">
        <f t="shared" si="2"/>
        <v>24904</v>
      </c>
    </row>
    <row r="15" spans="4:20">
      <c r="E15" t="s">
        <v>3</v>
      </c>
      <c r="F15" s="30">
        <v>93516</v>
      </c>
      <c r="G15" s="30">
        <v>62332</v>
      </c>
      <c r="H15" s="30">
        <v>12131</v>
      </c>
      <c r="I15" s="30">
        <v>2664</v>
      </c>
      <c r="J15" s="30">
        <v>2260</v>
      </c>
      <c r="K15" s="30">
        <v>14129</v>
      </c>
      <c r="L15" s="30">
        <v>31184</v>
      </c>
      <c r="R15" s="1" t="str">
        <f t="shared" si="0"/>
        <v>Oct</v>
      </c>
      <c r="S15">
        <f t="shared" si="1"/>
        <v>62332</v>
      </c>
      <c r="T15">
        <f t="shared" si="2"/>
        <v>31184</v>
      </c>
    </row>
    <row r="16" spans="4:20">
      <c r="E16" t="s">
        <v>2</v>
      </c>
      <c r="F16" s="30">
        <v>75371</v>
      </c>
      <c r="G16" s="30">
        <v>49838</v>
      </c>
      <c r="H16" s="30">
        <v>9664</v>
      </c>
      <c r="I16" s="30">
        <v>2340</v>
      </c>
      <c r="J16" s="30">
        <v>2696</v>
      </c>
      <c r="K16" s="30">
        <v>10833</v>
      </c>
      <c r="L16" s="30">
        <v>25533</v>
      </c>
      <c r="R16" s="1" t="str">
        <f t="shared" si="0"/>
        <v>Nov</v>
      </c>
      <c r="S16">
        <f t="shared" si="1"/>
        <v>49838</v>
      </c>
      <c r="T16">
        <f t="shared" si="2"/>
        <v>25533</v>
      </c>
    </row>
    <row r="17" spans="4:20">
      <c r="E17" t="s">
        <v>1</v>
      </c>
      <c r="F17" s="30">
        <v>68439</v>
      </c>
      <c r="G17" s="30">
        <v>46331</v>
      </c>
      <c r="H17" s="30">
        <v>8534</v>
      </c>
      <c r="I17" s="30">
        <v>2168</v>
      </c>
      <c r="J17" s="30">
        <v>2156</v>
      </c>
      <c r="K17" s="30">
        <v>9250</v>
      </c>
      <c r="L17" s="30">
        <v>22108</v>
      </c>
      <c r="R17" s="1" t="str">
        <f t="shared" si="0"/>
        <v>Dec</v>
      </c>
      <c r="S17">
        <f t="shared" si="1"/>
        <v>46331</v>
      </c>
      <c r="T17">
        <f t="shared" si="2"/>
        <v>22108</v>
      </c>
    </row>
    <row r="18" spans="4:20">
      <c r="D18">
        <v>2014</v>
      </c>
      <c r="E18" t="s">
        <v>0</v>
      </c>
      <c r="F18" s="30">
        <v>71130</v>
      </c>
      <c r="G18" s="30">
        <v>45860</v>
      </c>
      <c r="H18" s="30">
        <v>9609</v>
      </c>
      <c r="I18" s="30">
        <v>2376</v>
      </c>
      <c r="J18" s="30">
        <v>1941</v>
      </c>
      <c r="K18" s="30">
        <v>11344</v>
      </c>
      <c r="L18" s="30">
        <v>25270</v>
      </c>
      <c r="Q18">
        <v>2014</v>
      </c>
      <c r="R18" s="1" t="str">
        <f t="shared" si="0"/>
        <v>Jan</v>
      </c>
      <c r="S18">
        <f t="shared" si="1"/>
        <v>45860</v>
      </c>
      <c r="T18">
        <f t="shared" si="2"/>
        <v>25270</v>
      </c>
    </row>
    <row r="19" spans="4:20">
      <c r="E19" t="s">
        <v>11</v>
      </c>
      <c r="F19" s="30">
        <v>76863</v>
      </c>
      <c r="G19" s="30">
        <v>51701</v>
      </c>
      <c r="H19" s="30">
        <v>9287</v>
      </c>
      <c r="I19" s="30">
        <v>2329</v>
      </c>
      <c r="J19" s="30">
        <v>2595</v>
      </c>
      <c r="K19" s="30">
        <v>10951</v>
      </c>
      <c r="L19" s="30">
        <v>25162</v>
      </c>
      <c r="R19" s="1" t="str">
        <f t="shared" si="0"/>
        <v>Feb</v>
      </c>
      <c r="S19">
        <f t="shared" si="1"/>
        <v>51701</v>
      </c>
      <c r="T19">
        <f t="shared" si="2"/>
        <v>25162</v>
      </c>
    </row>
    <row r="20" spans="4:20">
      <c r="E20" t="s">
        <v>10</v>
      </c>
      <c r="F20" s="30">
        <v>94628</v>
      </c>
      <c r="G20" s="30">
        <v>66273</v>
      </c>
      <c r="H20" s="30">
        <v>10910</v>
      </c>
      <c r="I20" s="30">
        <v>2833</v>
      </c>
      <c r="J20" s="30">
        <v>3726</v>
      </c>
      <c r="K20" s="30">
        <v>10886</v>
      </c>
      <c r="L20" s="30">
        <v>28355</v>
      </c>
      <c r="R20" s="1" t="str">
        <f t="shared" si="0"/>
        <v>Mar</v>
      </c>
      <c r="S20">
        <f t="shared" si="1"/>
        <v>66273</v>
      </c>
      <c r="T20">
        <f t="shared" si="2"/>
        <v>28355</v>
      </c>
    </row>
    <row r="21" spans="4:20">
      <c r="E21" t="s">
        <v>9</v>
      </c>
      <c r="F21" s="30">
        <v>103095</v>
      </c>
      <c r="G21" s="30">
        <v>74816</v>
      </c>
      <c r="H21" s="30">
        <v>11511</v>
      </c>
      <c r="I21" s="30">
        <v>3018</v>
      </c>
      <c r="J21" s="30">
        <v>2503</v>
      </c>
      <c r="K21" s="30">
        <v>11247</v>
      </c>
      <c r="L21" s="30">
        <v>28279</v>
      </c>
      <c r="R21" s="1" t="str">
        <f t="shared" si="0"/>
        <v>Apr</v>
      </c>
      <c r="S21">
        <f t="shared" si="1"/>
        <v>74816</v>
      </c>
      <c r="T21">
        <f t="shared" si="2"/>
        <v>28279</v>
      </c>
    </row>
    <row r="22" spans="4:20">
      <c r="E22" t="s">
        <v>8</v>
      </c>
      <c r="F22" s="30">
        <v>99446</v>
      </c>
      <c r="G22" s="30">
        <v>73371</v>
      </c>
      <c r="H22" s="30">
        <v>10850</v>
      </c>
      <c r="I22" s="30">
        <v>3207</v>
      </c>
      <c r="J22" s="30">
        <v>2922</v>
      </c>
      <c r="K22" s="30">
        <v>9096</v>
      </c>
      <c r="L22" s="30">
        <v>26075</v>
      </c>
      <c r="R22" s="1" t="str">
        <f t="shared" si="0"/>
        <v>May</v>
      </c>
      <c r="S22">
        <f t="shared" si="1"/>
        <v>73371</v>
      </c>
      <c r="T22">
        <f t="shared" si="2"/>
        <v>26075</v>
      </c>
    </row>
    <row r="23" spans="4:20">
      <c r="E23" t="s">
        <v>7</v>
      </c>
      <c r="F23" s="30">
        <v>99451</v>
      </c>
      <c r="G23" s="30">
        <v>72450</v>
      </c>
      <c r="H23" s="30">
        <v>10225</v>
      </c>
      <c r="I23" s="30">
        <v>3349</v>
      </c>
      <c r="J23" s="30">
        <v>3464</v>
      </c>
      <c r="K23" s="30">
        <v>9963</v>
      </c>
      <c r="L23" s="30">
        <v>27001</v>
      </c>
      <c r="R23" s="1" t="str">
        <f t="shared" si="0"/>
        <v>Jun</v>
      </c>
      <c r="S23">
        <f t="shared" si="1"/>
        <v>72450</v>
      </c>
      <c r="T23">
        <f t="shared" si="2"/>
        <v>27001</v>
      </c>
    </row>
    <row r="24" spans="4:20">
      <c r="E24" t="s">
        <v>6</v>
      </c>
      <c r="F24" s="30">
        <v>97893</v>
      </c>
      <c r="G24" s="30">
        <v>71543</v>
      </c>
      <c r="H24" s="30">
        <v>10370</v>
      </c>
      <c r="I24" s="30">
        <v>3178</v>
      </c>
      <c r="J24" s="30">
        <v>3424</v>
      </c>
      <c r="K24" s="30">
        <v>9378</v>
      </c>
      <c r="L24" s="30">
        <v>26350</v>
      </c>
      <c r="R24" s="1" t="str">
        <f t="shared" si="0"/>
        <v>Jul</v>
      </c>
      <c r="S24">
        <f t="shared" si="1"/>
        <v>71543</v>
      </c>
      <c r="T24">
        <f t="shared" si="2"/>
        <v>26350</v>
      </c>
    </row>
    <row r="25" spans="4:20">
      <c r="E25" t="s">
        <v>5</v>
      </c>
      <c r="F25" s="30">
        <v>89275</v>
      </c>
      <c r="G25" s="30">
        <v>63962</v>
      </c>
      <c r="H25" s="30">
        <v>10419</v>
      </c>
      <c r="I25" s="30">
        <v>3318</v>
      </c>
      <c r="J25" s="30">
        <v>3806</v>
      </c>
      <c r="K25" s="30">
        <v>7770</v>
      </c>
      <c r="L25" s="30">
        <v>25313</v>
      </c>
      <c r="R25" s="1" t="str">
        <f t="shared" si="0"/>
        <v>Aug</v>
      </c>
      <c r="S25">
        <f t="shared" si="1"/>
        <v>63962</v>
      </c>
      <c r="T25">
        <f t="shared" si="2"/>
        <v>25313</v>
      </c>
    </row>
    <row r="26" spans="4:20">
      <c r="E26" t="s">
        <v>4</v>
      </c>
      <c r="F26" s="30">
        <v>87166</v>
      </c>
      <c r="G26" s="30">
        <v>62210</v>
      </c>
      <c r="H26" s="30">
        <v>10474</v>
      </c>
      <c r="I26" s="30">
        <v>3405</v>
      </c>
      <c r="J26" s="30">
        <v>3012</v>
      </c>
      <c r="K26" s="30">
        <v>8065</v>
      </c>
      <c r="L26" s="30">
        <v>24956</v>
      </c>
      <c r="R26" s="1" t="str">
        <f t="shared" si="0"/>
        <v>Sep</v>
      </c>
      <c r="S26">
        <f t="shared" si="1"/>
        <v>62210</v>
      </c>
      <c r="T26">
        <f t="shared" si="2"/>
        <v>24956</v>
      </c>
    </row>
    <row r="27" spans="4:20">
      <c r="E27" t="s">
        <v>3</v>
      </c>
      <c r="F27" s="30">
        <v>93206</v>
      </c>
      <c r="G27" s="30">
        <v>64344</v>
      </c>
      <c r="H27" s="30">
        <v>11776</v>
      </c>
      <c r="I27" s="30">
        <v>4130</v>
      </c>
      <c r="J27" s="30">
        <v>5273</v>
      </c>
      <c r="K27" s="30">
        <v>7683</v>
      </c>
      <c r="L27" s="30">
        <v>28862</v>
      </c>
      <c r="R27" s="1" t="str">
        <f t="shared" si="0"/>
        <v>Oct</v>
      </c>
      <c r="S27">
        <f t="shared" si="1"/>
        <v>64344</v>
      </c>
      <c r="T27">
        <f t="shared" si="2"/>
        <v>28862</v>
      </c>
    </row>
    <row r="28" spans="4:20">
      <c r="E28" t="s">
        <v>2</v>
      </c>
      <c r="F28" s="30">
        <v>74286</v>
      </c>
      <c r="G28" s="30">
        <v>50489</v>
      </c>
      <c r="H28" s="30">
        <v>9428</v>
      </c>
      <c r="I28" s="30">
        <v>3128</v>
      </c>
      <c r="J28" s="30">
        <v>5621</v>
      </c>
      <c r="K28" s="30">
        <v>5620</v>
      </c>
      <c r="L28" s="30">
        <v>23797</v>
      </c>
      <c r="R28" s="1" t="str">
        <f t="shared" si="0"/>
        <v>Nov</v>
      </c>
      <c r="S28">
        <f t="shared" si="1"/>
        <v>50489</v>
      </c>
      <c r="T28">
        <f t="shared" si="2"/>
        <v>23797</v>
      </c>
    </row>
    <row r="29" spans="4:20">
      <c r="E29" t="s">
        <v>1</v>
      </c>
      <c r="F29" s="30">
        <v>71754</v>
      </c>
      <c r="G29" s="30">
        <v>48105</v>
      </c>
      <c r="H29" s="30">
        <v>9516</v>
      </c>
      <c r="I29" s="30">
        <v>3084</v>
      </c>
      <c r="J29" s="30">
        <v>5796</v>
      </c>
      <c r="K29" s="30">
        <v>5253</v>
      </c>
      <c r="L29" s="30">
        <v>23649</v>
      </c>
      <c r="R29" s="1" t="str">
        <f t="shared" si="0"/>
        <v>Dec</v>
      </c>
      <c r="S29">
        <f t="shared" si="1"/>
        <v>48105</v>
      </c>
      <c r="T29">
        <f t="shared" si="2"/>
        <v>23649</v>
      </c>
    </row>
    <row r="30" spans="4:20">
      <c r="D30">
        <v>2015</v>
      </c>
      <c r="E30" t="s">
        <v>0</v>
      </c>
      <c r="F30" s="30">
        <v>128135</v>
      </c>
      <c r="G30" s="30">
        <v>71046</v>
      </c>
      <c r="H30" s="30">
        <v>15226</v>
      </c>
      <c r="I30" s="30">
        <v>7931</v>
      </c>
      <c r="J30" s="30">
        <v>28596</v>
      </c>
      <c r="K30" s="30">
        <v>5336</v>
      </c>
      <c r="L30" s="30">
        <v>57089</v>
      </c>
      <c r="Q30">
        <v>2015</v>
      </c>
      <c r="R30" s="1" t="str">
        <f t="shared" si="0"/>
        <v>Jan</v>
      </c>
      <c r="S30">
        <f t="shared" si="1"/>
        <v>71046</v>
      </c>
      <c r="T30">
        <f t="shared" si="2"/>
        <v>57089</v>
      </c>
    </row>
    <row r="31" spans="4:20">
      <c r="E31" t="s">
        <v>11</v>
      </c>
      <c r="F31" s="30">
        <v>179536</v>
      </c>
      <c r="G31" s="30">
        <v>85181</v>
      </c>
      <c r="H31" s="30">
        <v>17860</v>
      </c>
      <c r="I31" s="30">
        <v>11451</v>
      </c>
      <c r="J31" s="30">
        <v>58796</v>
      </c>
      <c r="K31" s="30">
        <v>6248</v>
      </c>
      <c r="L31" s="30">
        <v>94355</v>
      </c>
      <c r="R31" s="1" t="str">
        <f t="shared" si="0"/>
        <v>Feb</v>
      </c>
      <c r="S31">
        <f t="shared" si="1"/>
        <v>85181</v>
      </c>
      <c r="T31">
        <f t="shared" si="2"/>
        <v>94355</v>
      </c>
    </row>
    <row r="32" spans="4:20">
      <c r="E32" t="s">
        <v>10</v>
      </c>
      <c r="F32" s="30">
        <v>174892</v>
      </c>
      <c r="G32" s="30">
        <v>98870</v>
      </c>
      <c r="H32" s="30">
        <v>17299</v>
      </c>
      <c r="I32" s="30">
        <v>8990</v>
      </c>
      <c r="J32" s="30">
        <v>43644</v>
      </c>
      <c r="K32" s="30">
        <v>6089</v>
      </c>
      <c r="L32" s="30">
        <v>76022</v>
      </c>
      <c r="R32" s="1" t="str">
        <f t="shared" si="0"/>
        <v>Mar</v>
      </c>
      <c r="S32">
        <f t="shared" si="1"/>
        <v>98870</v>
      </c>
      <c r="T32">
        <f t="shared" si="2"/>
        <v>76022</v>
      </c>
    </row>
    <row r="33" spans="4:20">
      <c r="E33" t="s">
        <v>9</v>
      </c>
      <c r="F33" s="30">
        <v>175437</v>
      </c>
      <c r="G33" s="30">
        <v>106180</v>
      </c>
      <c r="H33" s="30">
        <v>17676</v>
      </c>
      <c r="I33" s="30">
        <v>8310</v>
      </c>
      <c r="J33" s="30">
        <v>37770</v>
      </c>
      <c r="K33" s="30">
        <v>5501</v>
      </c>
      <c r="L33" s="30">
        <v>69257</v>
      </c>
      <c r="R33" s="1" t="str">
        <f t="shared" si="0"/>
        <v>Apr</v>
      </c>
      <c r="S33">
        <f t="shared" si="1"/>
        <v>106180</v>
      </c>
      <c r="T33">
        <f t="shared" si="2"/>
        <v>69257</v>
      </c>
    </row>
    <row r="34" spans="4:20">
      <c r="E34" t="s">
        <v>8</v>
      </c>
      <c r="F34" s="30">
        <v>156976</v>
      </c>
      <c r="G34" s="30">
        <v>101088</v>
      </c>
      <c r="H34" s="30">
        <v>15946</v>
      </c>
      <c r="I34" s="30">
        <v>6387</v>
      </c>
      <c r="J34" s="30">
        <v>28891</v>
      </c>
      <c r="K34" s="30">
        <v>4664</v>
      </c>
      <c r="L34" s="30">
        <v>55888</v>
      </c>
      <c r="R34" s="1" t="str">
        <f t="shared" si="0"/>
        <v>May</v>
      </c>
      <c r="S34">
        <f t="shared" si="1"/>
        <v>101088</v>
      </c>
      <c r="T34">
        <f t="shared" si="2"/>
        <v>55888</v>
      </c>
    </row>
    <row r="35" spans="4:20">
      <c r="E35" t="s">
        <v>7</v>
      </c>
      <c r="F35" s="30">
        <v>159208</v>
      </c>
      <c r="G35" s="30">
        <v>107893</v>
      </c>
      <c r="H35" s="30">
        <v>18836</v>
      </c>
      <c r="I35" s="30">
        <v>5390</v>
      </c>
      <c r="J35" s="30">
        <v>22360</v>
      </c>
      <c r="K35" s="30">
        <v>4729</v>
      </c>
      <c r="L35" s="30">
        <v>51315</v>
      </c>
      <c r="R35" s="1" t="str">
        <f t="shared" si="0"/>
        <v>Jun</v>
      </c>
      <c r="S35">
        <f t="shared" si="1"/>
        <v>107893</v>
      </c>
      <c r="T35">
        <f t="shared" si="2"/>
        <v>51315</v>
      </c>
    </row>
    <row r="36" spans="4:20">
      <c r="E36" t="s">
        <v>37</v>
      </c>
      <c r="F36" s="30">
        <v>150483</v>
      </c>
      <c r="G36" s="30">
        <v>102089</v>
      </c>
      <c r="H36" s="30">
        <v>19235</v>
      </c>
      <c r="I36" s="30">
        <v>5633</v>
      </c>
      <c r="J36" s="30">
        <v>18336</v>
      </c>
      <c r="K36" s="30">
        <v>5190</v>
      </c>
      <c r="L36" s="30">
        <v>48394</v>
      </c>
      <c r="M36" s="15"/>
      <c r="R36" s="1" t="str">
        <f t="shared" ref="R36:R38" si="3">E36</f>
        <v xml:space="preserve">Jul </v>
      </c>
      <c r="S36">
        <f t="shared" ref="S36" si="4">G36</f>
        <v>102089</v>
      </c>
      <c r="T36">
        <f t="shared" ref="T36" si="5">L36</f>
        <v>48394</v>
      </c>
    </row>
    <row r="37" spans="4:20">
      <c r="E37" t="s">
        <v>5</v>
      </c>
      <c r="F37" s="30">
        <v>142668</v>
      </c>
      <c r="G37" s="30">
        <v>92704</v>
      </c>
      <c r="H37" s="30">
        <v>19280</v>
      </c>
      <c r="I37" s="30">
        <v>5722</v>
      </c>
      <c r="J37" s="30">
        <v>19737</v>
      </c>
      <c r="K37" s="30">
        <v>5225</v>
      </c>
      <c r="L37" s="30">
        <v>49964</v>
      </c>
      <c r="R37" s="1" t="str">
        <f t="shared" si="3"/>
        <v>Aug</v>
      </c>
      <c r="S37">
        <f t="shared" ref="S37" si="6">G37</f>
        <v>92704</v>
      </c>
      <c r="T37">
        <f t="shared" ref="T37" si="7">L37</f>
        <v>49964</v>
      </c>
    </row>
    <row r="38" spans="4:20">
      <c r="E38" t="s">
        <v>4</v>
      </c>
      <c r="F38" s="30">
        <v>143443</v>
      </c>
      <c r="G38" s="30">
        <v>92435</v>
      </c>
      <c r="H38" s="30">
        <v>19474</v>
      </c>
      <c r="I38" s="30">
        <v>5806</v>
      </c>
      <c r="J38" s="30">
        <v>20220</v>
      </c>
      <c r="K38" s="30">
        <v>5508</v>
      </c>
      <c r="L38" s="30">
        <f>SUM(H38:K38)</f>
        <v>51008</v>
      </c>
      <c r="R38" s="1" t="str">
        <f t="shared" si="3"/>
        <v>Sep</v>
      </c>
      <c r="S38">
        <f t="shared" ref="S38" si="8">G38</f>
        <v>92435</v>
      </c>
      <c r="T38">
        <f t="shared" ref="T38" si="9">L38</f>
        <v>51008</v>
      </c>
    </row>
    <row r="39" spans="4:20">
      <c r="E39" t="s">
        <v>3</v>
      </c>
      <c r="F39" s="30">
        <v>127533</v>
      </c>
      <c r="G39" s="30">
        <v>77735</v>
      </c>
      <c r="H39" s="30">
        <v>18302</v>
      </c>
      <c r="I39" s="30">
        <v>5711</v>
      </c>
      <c r="J39" s="30">
        <v>20432</v>
      </c>
      <c r="K39" s="30">
        <v>5353</v>
      </c>
      <c r="L39" s="30">
        <f>SUM(H39:K39)</f>
        <v>49798</v>
      </c>
      <c r="R39" s="1" t="str">
        <f t="shared" ref="R39:R40" si="10">E39</f>
        <v>Oct</v>
      </c>
      <c r="S39">
        <f t="shared" ref="S39" si="11">G39</f>
        <v>77735</v>
      </c>
      <c r="T39">
        <f t="shared" ref="T39" si="12">L39</f>
        <v>49798</v>
      </c>
    </row>
    <row r="40" spans="4:20">
      <c r="E40" t="s">
        <v>2</v>
      </c>
      <c r="F40" s="30">
        <v>113417</v>
      </c>
      <c r="G40" s="30">
        <v>69391</v>
      </c>
      <c r="H40" s="30">
        <v>17283</v>
      </c>
      <c r="I40" s="30">
        <v>5148</v>
      </c>
      <c r="J40" s="30">
        <v>17148</v>
      </c>
      <c r="K40" s="30">
        <v>4447</v>
      </c>
      <c r="L40" s="30">
        <f>SUM(H40:K40)</f>
        <v>44026</v>
      </c>
      <c r="R40" s="1" t="str">
        <f t="shared" si="10"/>
        <v>Nov</v>
      </c>
      <c r="S40">
        <f t="shared" ref="S40" si="13">G40</f>
        <v>69391</v>
      </c>
      <c r="T40">
        <f t="shared" ref="T40" si="14">L40</f>
        <v>44026</v>
      </c>
    </row>
    <row r="41" spans="4:20">
      <c r="E41" t="s">
        <v>1</v>
      </c>
      <c r="F41" s="30">
        <v>108890</v>
      </c>
      <c r="G41" s="30">
        <v>64073</v>
      </c>
      <c r="H41" s="30">
        <v>16989</v>
      </c>
      <c r="I41" s="30">
        <v>6153</v>
      </c>
      <c r="J41" s="30">
        <v>17444</v>
      </c>
      <c r="K41" s="30">
        <v>4231</v>
      </c>
      <c r="L41" s="30">
        <f t="shared" ref="L41:L65" si="15">SUM(H41:K41)</f>
        <v>44817</v>
      </c>
      <c r="R41" s="1" t="str">
        <f t="shared" ref="R41:R42" si="16">E41</f>
        <v>Dec</v>
      </c>
      <c r="S41">
        <f t="shared" ref="S41:S42" si="17">G41</f>
        <v>64073</v>
      </c>
      <c r="T41">
        <f t="shared" ref="T41:T42" si="18">L41</f>
        <v>44817</v>
      </c>
    </row>
    <row r="42" spans="4:20">
      <c r="D42">
        <v>2016</v>
      </c>
      <c r="E42" t="s">
        <v>0</v>
      </c>
      <c r="F42" s="30">
        <v>106758</v>
      </c>
      <c r="G42" s="30">
        <v>63029</v>
      </c>
      <c r="H42" s="30">
        <v>16723</v>
      </c>
      <c r="I42" s="30">
        <v>6229</v>
      </c>
      <c r="J42" s="30">
        <v>16573</v>
      </c>
      <c r="K42" s="30">
        <v>4204</v>
      </c>
      <c r="L42" s="30">
        <f t="shared" si="15"/>
        <v>43729</v>
      </c>
      <c r="Q42">
        <v>2016</v>
      </c>
      <c r="R42" s="1" t="str">
        <f t="shared" si="16"/>
        <v>Jan</v>
      </c>
      <c r="S42">
        <f t="shared" si="17"/>
        <v>63029</v>
      </c>
      <c r="T42">
        <f t="shared" si="18"/>
        <v>43729</v>
      </c>
    </row>
    <row r="43" spans="4:20">
      <c r="E43" t="s">
        <v>11</v>
      </c>
      <c r="F43" s="30">
        <v>140620</v>
      </c>
      <c r="G43" s="30">
        <v>84351</v>
      </c>
      <c r="H43" s="30">
        <v>19463</v>
      </c>
      <c r="I43" s="30">
        <v>8008</v>
      </c>
      <c r="J43" s="30">
        <v>24068</v>
      </c>
      <c r="K43" s="30">
        <v>4730</v>
      </c>
      <c r="L43" s="30">
        <f t="shared" si="15"/>
        <v>56269</v>
      </c>
      <c r="R43" s="1" t="str">
        <f t="shared" ref="R43:R45" si="19">E43</f>
        <v>Feb</v>
      </c>
      <c r="S43">
        <f t="shared" ref="S43:S45" si="20">G43</f>
        <v>84351</v>
      </c>
      <c r="T43">
        <f t="shared" ref="T43:T45" si="21">L43</f>
        <v>56269</v>
      </c>
    </row>
    <row r="44" spans="4:20">
      <c r="E44" t="s">
        <v>10</v>
      </c>
      <c r="F44" s="30">
        <v>168165</v>
      </c>
      <c r="G44" s="30">
        <v>109358</v>
      </c>
      <c r="H44" s="30">
        <v>22097</v>
      </c>
      <c r="I44" s="30">
        <v>9016</v>
      </c>
      <c r="J44" s="30">
        <v>23026</v>
      </c>
      <c r="K44" s="30">
        <v>4668</v>
      </c>
      <c r="L44" s="30">
        <f t="shared" si="15"/>
        <v>58807</v>
      </c>
      <c r="R44" s="1" t="str">
        <f t="shared" si="19"/>
        <v>Mar</v>
      </c>
      <c r="S44">
        <f t="shared" si="20"/>
        <v>109358</v>
      </c>
      <c r="T44">
        <f t="shared" si="21"/>
        <v>58807</v>
      </c>
    </row>
    <row r="45" spans="4:20">
      <c r="E45" t="s">
        <v>9</v>
      </c>
      <c r="F45" s="30">
        <v>163138</v>
      </c>
      <c r="G45" s="30">
        <v>107312</v>
      </c>
      <c r="H45" s="30">
        <v>19535</v>
      </c>
      <c r="I45" s="30">
        <v>8037</v>
      </c>
      <c r="J45" s="30">
        <v>24505</v>
      </c>
      <c r="K45" s="30">
        <v>3749</v>
      </c>
      <c r="L45" s="30">
        <f t="shared" si="15"/>
        <v>55826</v>
      </c>
      <c r="R45" s="1" t="str">
        <f t="shared" si="19"/>
        <v>Apr</v>
      </c>
      <c r="S45">
        <f t="shared" si="20"/>
        <v>107312</v>
      </c>
      <c r="T45">
        <f t="shared" si="21"/>
        <v>55826</v>
      </c>
    </row>
    <row r="46" spans="4:20">
      <c r="E46" t="s">
        <v>8</v>
      </c>
      <c r="F46" s="30">
        <v>167225</v>
      </c>
      <c r="G46" s="30">
        <v>109836</v>
      </c>
      <c r="H46" s="30">
        <v>19050</v>
      </c>
      <c r="I46" s="30">
        <v>8123</v>
      </c>
      <c r="J46" s="30">
        <v>26768</v>
      </c>
      <c r="K46" s="30">
        <v>3448</v>
      </c>
      <c r="L46" s="30">
        <f t="shared" si="15"/>
        <v>57389</v>
      </c>
      <c r="R46" s="1" t="str">
        <f t="shared" ref="R46" si="22">E46</f>
        <v>May</v>
      </c>
      <c r="S46">
        <f t="shared" ref="S46" si="23">G46</f>
        <v>109836</v>
      </c>
      <c r="T46">
        <f t="shared" ref="T46" si="24">L46</f>
        <v>57389</v>
      </c>
    </row>
    <row r="47" spans="4:20">
      <c r="E47" t="s">
        <v>7</v>
      </c>
      <c r="F47" s="30">
        <v>167999</v>
      </c>
      <c r="G47" s="30">
        <v>110412</v>
      </c>
      <c r="H47" s="30">
        <v>20401</v>
      </c>
      <c r="I47" s="30">
        <v>8614</v>
      </c>
      <c r="J47" s="30">
        <v>25337</v>
      </c>
      <c r="K47" s="30">
        <v>3235</v>
      </c>
      <c r="L47" s="30">
        <f t="shared" si="15"/>
        <v>57587</v>
      </c>
      <c r="R47" s="1" t="str">
        <f t="shared" ref="R47:R49" si="25">E47</f>
        <v>Jun</v>
      </c>
      <c r="S47">
        <f t="shared" ref="S47:S49" si="26">G47</f>
        <v>110412</v>
      </c>
      <c r="T47">
        <f t="shared" ref="T47:T49" si="27">L47</f>
        <v>57587</v>
      </c>
    </row>
    <row r="48" spans="4:20">
      <c r="E48" t="s">
        <v>6</v>
      </c>
      <c r="F48" s="30">
        <v>150501</v>
      </c>
      <c r="G48" s="30">
        <v>92341</v>
      </c>
      <c r="H48" s="30">
        <v>18861</v>
      </c>
      <c r="I48" s="30">
        <v>8550</v>
      </c>
      <c r="J48" s="30">
        <v>27879</v>
      </c>
      <c r="K48" s="30">
        <v>2870</v>
      </c>
      <c r="L48" s="30">
        <f t="shared" si="15"/>
        <v>58160</v>
      </c>
      <c r="R48" s="1" t="str">
        <f t="shared" si="25"/>
        <v>Jul</v>
      </c>
      <c r="S48">
        <f t="shared" si="26"/>
        <v>92341</v>
      </c>
      <c r="T48">
        <f t="shared" si="27"/>
        <v>58160</v>
      </c>
    </row>
    <row r="49" spans="4:20">
      <c r="E49" t="s">
        <v>5</v>
      </c>
      <c r="F49" s="30">
        <v>164487</v>
      </c>
      <c r="G49" s="30">
        <v>99321</v>
      </c>
      <c r="H49" s="30">
        <v>22785</v>
      </c>
      <c r="I49" s="30">
        <v>8215</v>
      </c>
      <c r="J49" s="30">
        <v>30756</v>
      </c>
      <c r="K49" s="30">
        <v>3410</v>
      </c>
      <c r="L49" s="30">
        <f t="shared" si="15"/>
        <v>65166</v>
      </c>
      <c r="R49" s="1" t="str">
        <f t="shared" si="25"/>
        <v>Aug</v>
      </c>
      <c r="S49">
        <f t="shared" si="26"/>
        <v>99321</v>
      </c>
      <c r="T49">
        <f t="shared" si="27"/>
        <v>65166</v>
      </c>
    </row>
    <row r="50" spans="4:20">
      <c r="E50" t="s">
        <v>4</v>
      </c>
      <c r="F50" s="30">
        <v>144994</v>
      </c>
      <c r="G50" s="30">
        <v>86060</v>
      </c>
      <c r="H50" s="30">
        <v>18759</v>
      </c>
      <c r="I50" s="30">
        <v>9099</v>
      </c>
      <c r="J50" s="30">
        <v>27765</v>
      </c>
      <c r="K50" s="30">
        <v>3311</v>
      </c>
      <c r="L50" s="30">
        <f t="shared" si="15"/>
        <v>58934</v>
      </c>
      <c r="R50" s="1" t="str">
        <f t="shared" ref="R50:R53" si="28">E50</f>
        <v>Sep</v>
      </c>
      <c r="S50">
        <f t="shared" ref="S50:S53" si="29">G50</f>
        <v>86060</v>
      </c>
      <c r="T50">
        <f t="shared" ref="T50:T53" si="30">L50</f>
        <v>58934</v>
      </c>
    </row>
    <row r="51" spans="4:20">
      <c r="E51" t="s">
        <v>3</v>
      </c>
      <c r="F51" s="30">
        <v>138548</v>
      </c>
      <c r="G51" s="30">
        <v>78132</v>
      </c>
      <c r="H51" s="30">
        <v>19651</v>
      </c>
      <c r="I51" s="30">
        <v>8847</v>
      </c>
      <c r="J51" s="30">
        <v>28527</v>
      </c>
      <c r="K51" s="30">
        <v>3391</v>
      </c>
      <c r="L51" s="30">
        <f t="shared" si="15"/>
        <v>60416</v>
      </c>
      <c r="R51" s="1" t="str">
        <f t="shared" si="28"/>
        <v>Oct</v>
      </c>
      <c r="S51">
        <f t="shared" si="29"/>
        <v>78132</v>
      </c>
      <c r="T51">
        <f t="shared" si="30"/>
        <v>60416</v>
      </c>
    </row>
    <row r="52" spans="4:20">
      <c r="E52" t="s">
        <v>2</v>
      </c>
      <c r="F52" s="30">
        <v>131043</v>
      </c>
      <c r="G52" s="30">
        <v>75915</v>
      </c>
      <c r="H52" s="30">
        <v>20657</v>
      </c>
      <c r="I52" s="30">
        <v>8226</v>
      </c>
      <c r="J52" s="30">
        <v>22633</v>
      </c>
      <c r="K52" s="30">
        <v>3612</v>
      </c>
      <c r="L52" s="30">
        <f t="shared" si="15"/>
        <v>55128</v>
      </c>
      <c r="R52" s="1" t="str">
        <f t="shared" si="28"/>
        <v>Nov</v>
      </c>
      <c r="S52">
        <f t="shared" si="29"/>
        <v>75915</v>
      </c>
      <c r="T52">
        <f t="shared" si="30"/>
        <v>55128</v>
      </c>
    </row>
    <row r="53" spans="4:20">
      <c r="E53" t="s">
        <v>1</v>
      </c>
      <c r="F53" s="30">
        <v>103284</v>
      </c>
      <c r="G53" s="30">
        <v>62305</v>
      </c>
      <c r="H53" s="30">
        <v>18637</v>
      </c>
      <c r="I53" s="30">
        <v>7075</v>
      </c>
      <c r="J53" s="30">
        <v>11692</v>
      </c>
      <c r="K53" s="30">
        <v>3575</v>
      </c>
      <c r="L53" s="30">
        <f t="shared" si="15"/>
        <v>40979</v>
      </c>
      <c r="R53" s="1" t="str">
        <f t="shared" si="28"/>
        <v>Dec</v>
      </c>
      <c r="S53">
        <f t="shared" si="29"/>
        <v>62305</v>
      </c>
      <c r="T53">
        <f t="shared" si="30"/>
        <v>40979</v>
      </c>
    </row>
    <row r="54" spans="4:20">
      <c r="D54">
        <v>2017</v>
      </c>
      <c r="E54" t="s">
        <v>0</v>
      </c>
      <c r="F54">
        <v>112638</v>
      </c>
      <c r="G54" s="30">
        <v>68703</v>
      </c>
      <c r="H54" s="30">
        <v>20828</v>
      </c>
      <c r="I54" s="30">
        <v>7962</v>
      </c>
      <c r="J54" s="30">
        <v>12388</v>
      </c>
      <c r="K54" s="30">
        <v>2757</v>
      </c>
      <c r="L54" s="30">
        <f t="shared" si="15"/>
        <v>43935</v>
      </c>
      <c r="Q54">
        <v>2017</v>
      </c>
      <c r="R54" s="1" t="str">
        <f t="shared" ref="R54:R56" si="31">E54</f>
        <v>Jan</v>
      </c>
      <c r="S54">
        <f t="shared" ref="S54:S56" si="32">G54</f>
        <v>68703</v>
      </c>
      <c r="T54">
        <f t="shared" ref="T54:T56" si="33">L54</f>
        <v>43935</v>
      </c>
    </row>
    <row r="55" spans="4:20">
      <c r="E55" t="s">
        <v>11</v>
      </c>
      <c r="F55">
        <v>120443</v>
      </c>
      <c r="G55" s="30">
        <v>80349</v>
      </c>
      <c r="H55" s="30">
        <v>19935</v>
      </c>
      <c r="I55" s="30">
        <v>7741</v>
      </c>
      <c r="J55" s="30">
        <v>9527</v>
      </c>
      <c r="K55" s="30">
        <v>2891</v>
      </c>
      <c r="L55" s="30">
        <f t="shared" si="15"/>
        <v>40094</v>
      </c>
      <c r="R55" s="1" t="str">
        <f t="shared" si="31"/>
        <v>Feb</v>
      </c>
      <c r="S55">
        <f t="shared" si="32"/>
        <v>80349</v>
      </c>
      <c r="T55">
        <f t="shared" si="33"/>
        <v>40094</v>
      </c>
    </row>
    <row r="56" spans="4:20">
      <c r="E56" t="s">
        <v>10</v>
      </c>
      <c r="F56">
        <v>152003</v>
      </c>
      <c r="G56" s="30">
        <v>107545</v>
      </c>
      <c r="H56" s="30">
        <v>24467</v>
      </c>
      <c r="I56" s="30">
        <v>7934</v>
      </c>
      <c r="J56" s="30">
        <v>8606</v>
      </c>
      <c r="K56" s="30">
        <v>3451</v>
      </c>
      <c r="L56" s="30">
        <f t="shared" si="15"/>
        <v>44458</v>
      </c>
      <c r="R56" s="1" t="str">
        <f t="shared" si="31"/>
        <v>Mar</v>
      </c>
      <c r="S56">
        <f t="shared" si="32"/>
        <v>107545</v>
      </c>
      <c r="T56">
        <f t="shared" si="33"/>
        <v>44458</v>
      </c>
    </row>
    <row r="57" spans="4:20">
      <c r="E57" t="s">
        <v>9</v>
      </c>
      <c r="F57">
        <v>132455</v>
      </c>
      <c r="G57">
        <v>95345</v>
      </c>
      <c r="H57">
        <v>19322</v>
      </c>
      <c r="I57">
        <v>8482</v>
      </c>
      <c r="J57">
        <v>6874</v>
      </c>
      <c r="K57">
        <v>2432</v>
      </c>
      <c r="L57" s="30">
        <f t="shared" si="15"/>
        <v>37110</v>
      </c>
      <c r="R57" s="1" t="str">
        <f t="shared" ref="R57:R62" si="34">E57</f>
        <v>Apr</v>
      </c>
      <c r="S57">
        <f t="shared" ref="S57:S62" si="35">G57</f>
        <v>95345</v>
      </c>
      <c r="T57">
        <f t="shared" ref="T57:T62" si="36">L57</f>
        <v>37110</v>
      </c>
    </row>
    <row r="58" spans="4:20">
      <c r="E58" t="s">
        <v>8</v>
      </c>
      <c r="F58">
        <v>147994</v>
      </c>
      <c r="G58">
        <v>107072</v>
      </c>
      <c r="H58">
        <v>21006</v>
      </c>
      <c r="I58">
        <v>9909</v>
      </c>
      <c r="J58">
        <v>7670</v>
      </c>
      <c r="K58">
        <v>2337</v>
      </c>
      <c r="L58" s="30">
        <f t="shared" si="15"/>
        <v>40922</v>
      </c>
      <c r="R58" s="1" t="str">
        <f t="shared" si="34"/>
        <v>May</v>
      </c>
      <c r="S58">
        <f t="shared" si="35"/>
        <v>107072</v>
      </c>
      <c r="T58">
        <f t="shared" si="36"/>
        <v>40922</v>
      </c>
    </row>
    <row r="59" spans="4:20">
      <c r="E59" t="s">
        <v>7</v>
      </c>
      <c r="F59">
        <v>146775</v>
      </c>
      <c r="G59">
        <v>102751</v>
      </c>
      <c r="H59">
        <v>22154</v>
      </c>
      <c r="I59">
        <v>10483</v>
      </c>
      <c r="J59">
        <v>8952</v>
      </c>
      <c r="K59">
        <v>2435</v>
      </c>
      <c r="L59" s="30">
        <f t="shared" si="15"/>
        <v>44024</v>
      </c>
      <c r="R59" s="1" t="str">
        <f t="shared" si="34"/>
        <v>Jun</v>
      </c>
      <c r="S59">
        <f t="shared" si="35"/>
        <v>102751</v>
      </c>
      <c r="T59">
        <f t="shared" si="36"/>
        <v>44024</v>
      </c>
    </row>
    <row r="60" spans="4:20">
      <c r="E60" t="s">
        <v>6</v>
      </c>
      <c r="F60">
        <v>124295</v>
      </c>
      <c r="G60">
        <v>87483</v>
      </c>
      <c r="H60">
        <v>19705</v>
      </c>
      <c r="I60">
        <v>9304</v>
      </c>
      <c r="J60">
        <v>6102</v>
      </c>
      <c r="K60">
        <v>1701</v>
      </c>
      <c r="L60" s="30">
        <f t="shared" si="15"/>
        <v>36812</v>
      </c>
      <c r="R60" s="1" t="str">
        <f t="shared" si="34"/>
        <v>Jul</v>
      </c>
      <c r="S60">
        <f t="shared" si="35"/>
        <v>87483</v>
      </c>
      <c r="T60">
        <f t="shared" si="36"/>
        <v>36812</v>
      </c>
    </row>
    <row r="61" spans="4:20">
      <c r="E61" t="s">
        <v>5</v>
      </c>
      <c r="F61">
        <v>136217</v>
      </c>
      <c r="G61">
        <v>92177</v>
      </c>
      <c r="H61">
        <v>22556</v>
      </c>
      <c r="I61">
        <v>11166</v>
      </c>
      <c r="J61">
        <v>8132</v>
      </c>
      <c r="K61">
        <v>2186</v>
      </c>
      <c r="L61" s="30">
        <f t="shared" si="15"/>
        <v>44040</v>
      </c>
      <c r="R61" s="1" t="str">
        <f t="shared" si="34"/>
        <v>Aug</v>
      </c>
      <c r="S61">
        <f t="shared" si="35"/>
        <v>92177</v>
      </c>
      <c r="T61">
        <f t="shared" si="36"/>
        <v>44040</v>
      </c>
    </row>
    <row r="62" spans="4:20">
      <c r="E62" t="s">
        <v>4</v>
      </c>
      <c r="F62">
        <v>110408</v>
      </c>
      <c r="G62">
        <v>72631</v>
      </c>
      <c r="H62">
        <v>19037</v>
      </c>
      <c r="I62">
        <v>9635</v>
      </c>
      <c r="J62">
        <v>7753</v>
      </c>
      <c r="K62">
        <v>1352</v>
      </c>
      <c r="L62" s="30">
        <f t="shared" si="15"/>
        <v>37777</v>
      </c>
      <c r="R62" s="1" t="str">
        <f t="shared" si="34"/>
        <v>Sep</v>
      </c>
      <c r="S62">
        <f t="shared" si="35"/>
        <v>72631</v>
      </c>
      <c r="T62">
        <f t="shared" si="36"/>
        <v>37777</v>
      </c>
    </row>
    <row r="63" spans="4:20">
      <c r="E63" t="s">
        <v>3</v>
      </c>
      <c r="F63">
        <v>119321</v>
      </c>
      <c r="G63">
        <v>77224</v>
      </c>
      <c r="H63">
        <v>21134</v>
      </c>
      <c r="I63">
        <v>10983</v>
      </c>
      <c r="J63">
        <v>8356</v>
      </c>
      <c r="K63">
        <v>1624</v>
      </c>
      <c r="L63" s="30">
        <f t="shared" si="15"/>
        <v>42097</v>
      </c>
      <c r="R63" s="1" t="str">
        <f t="shared" ref="R63:R66" si="37">E63</f>
        <v>Oct</v>
      </c>
      <c r="S63">
        <f t="shared" ref="S63:S65" si="38">G63</f>
        <v>77224</v>
      </c>
      <c r="T63">
        <f t="shared" ref="T63:T65" si="39">L63</f>
        <v>42097</v>
      </c>
    </row>
    <row r="64" spans="4:20">
      <c r="E64" t="s">
        <v>2</v>
      </c>
      <c r="F64">
        <v>109572</v>
      </c>
      <c r="G64">
        <v>69684</v>
      </c>
      <c r="H64">
        <v>19960</v>
      </c>
      <c r="I64">
        <v>9764</v>
      </c>
      <c r="J64">
        <v>8695</v>
      </c>
      <c r="K64">
        <v>1469</v>
      </c>
      <c r="L64" s="30">
        <f t="shared" si="15"/>
        <v>39888</v>
      </c>
      <c r="R64" s="1" t="str">
        <f t="shared" si="37"/>
        <v>Nov</v>
      </c>
      <c r="S64">
        <f t="shared" si="38"/>
        <v>69684</v>
      </c>
      <c r="T64">
        <f t="shared" si="39"/>
        <v>39888</v>
      </c>
    </row>
    <row r="65" spans="4:20">
      <c r="E65" t="s">
        <v>1</v>
      </c>
      <c r="F65">
        <v>88176</v>
      </c>
      <c r="G65">
        <v>53897</v>
      </c>
      <c r="H65">
        <v>17066</v>
      </c>
      <c r="I65">
        <v>7399</v>
      </c>
      <c r="J65">
        <v>8411</v>
      </c>
      <c r="K65">
        <v>1403</v>
      </c>
      <c r="L65" s="30">
        <f t="shared" si="15"/>
        <v>34279</v>
      </c>
      <c r="R65" s="1" t="str">
        <f t="shared" si="37"/>
        <v>Dec</v>
      </c>
      <c r="S65">
        <f t="shared" si="38"/>
        <v>53897</v>
      </c>
      <c r="T65">
        <f t="shared" si="39"/>
        <v>34279</v>
      </c>
    </row>
    <row r="66" spans="4:20">
      <c r="D66">
        <v>2018</v>
      </c>
      <c r="E66" t="s">
        <v>0</v>
      </c>
      <c r="R66" s="1" t="str">
        <f t="shared" si="37"/>
        <v>Jan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4:I17"/>
  <sheetViews>
    <sheetView workbookViewId="0">
      <selection activeCell="I17" sqref="I17"/>
    </sheetView>
  </sheetViews>
  <sheetFormatPr defaultRowHeight="15"/>
  <sheetData>
    <row r="4" spans="4:9">
      <c r="D4" s="2" t="s">
        <v>23</v>
      </c>
    </row>
    <row r="5" spans="4:9">
      <c r="D5" s="1"/>
      <c r="E5">
        <v>2013</v>
      </c>
      <c r="F5">
        <v>2014</v>
      </c>
      <c r="G5">
        <v>2015</v>
      </c>
      <c r="H5">
        <v>2016</v>
      </c>
      <c r="I5">
        <v>2017</v>
      </c>
    </row>
    <row r="6" spans="4:9">
      <c r="D6" t="s">
        <v>0</v>
      </c>
      <c r="E6" s="15">
        <f>Input!G6</f>
        <v>58933</v>
      </c>
      <c r="F6" s="15">
        <f>Input!G18</f>
        <v>45860</v>
      </c>
      <c r="G6" s="15">
        <f>Input!G30</f>
        <v>71046</v>
      </c>
      <c r="H6" s="15">
        <f>Input!G42</f>
        <v>63029</v>
      </c>
      <c r="I6">
        <f>Input!G54</f>
        <v>68703</v>
      </c>
    </row>
    <row r="7" spans="4:9">
      <c r="D7" t="s">
        <v>11</v>
      </c>
      <c r="E7" s="15">
        <f>Input!G7+E6</f>
        <v>125431</v>
      </c>
      <c r="F7" s="15">
        <f>Input!G19+F6</f>
        <v>97561</v>
      </c>
      <c r="G7" s="15">
        <f>Input!G31+G6</f>
        <v>156227</v>
      </c>
      <c r="H7" s="15">
        <f>Input!G43+H6</f>
        <v>147380</v>
      </c>
      <c r="I7">
        <f>I6+Input!G55</f>
        <v>149052</v>
      </c>
    </row>
    <row r="8" spans="4:9">
      <c r="D8" t="s">
        <v>10</v>
      </c>
      <c r="E8" s="15">
        <f>Input!G8+E7</f>
        <v>239331</v>
      </c>
      <c r="F8" s="15">
        <f>Input!G20+F7</f>
        <v>163834</v>
      </c>
      <c r="G8" s="15">
        <f>Input!G32+G7</f>
        <v>255097</v>
      </c>
      <c r="H8" s="15">
        <f>Input!G44+H7</f>
        <v>256738</v>
      </c>
      <c r="I8">
        <f>I7+Input!G56</f>
        <v>256597</v>
      </c>
    </row>
    <row r="9" spans="4:9">
      <c r="D9" t="s">
        <v>9</v>
      </c>
      <c r="E9" s="15">
        <f>Input!G9+E8</f>
        <v>302228</v>
      </c>
      <c r="F9" s="15">
        <f>Input!G21+F8</f>
        <v>238650</v>
      </c>
      <c r="G9" s="15">
        <f>Input!G33+G8</f>
        <v>361277</v>
      </c>
      <c r="H9" s="15">
        <f>Input!G45+H8</f>
        <v>364050</v>
      </c>
      <c r="I9">
        <f>I8+Input!G57</f>
        <v>351942</v>
      </c>
    </row>
    <row r="10" spans="4:9">
      <c r="D10" t="s">
        <v>8</v>
      </c>
      <c r="E10" s="15">
        <f>Input!G10+E9</f>
        <v>403406</v>
      </c>
      <c r="F10" s="15">
        <f>Input!G22+F9</f>
        <v>312021</v>
      </c>
      <c r="G10" s="15">
        <f>Input!G34+G9</f>
        <v>462365</v>
      </c>
      <c r="H10" s="15">
        <f>Input!G46+H9</f>
        <v>473886</v>
      </c>
      <c r="I10">
        <f>I9+Input!G58</f>
        <v>459014</v>
      </c>
    </row>
    <row r="11" spans="4:9">
      <c r="D11" t="s">
        <v>7</v>
      </c>
      <c r="E11" s="15">
        <f>Input!G11+E10</f>
        <v>461039</v>
      </c>
      <c r="F11" s="15">
        <f>Input!G23+F10</f>
        <v>384471</v>
      </c>
      <c r="G11" s="15">
        <f>Input!G35+G10</f>
        <v>570258</v>
      </c>
      <c r="H11" s="15">
        <f>Input!G47+H10</f>
        <v>584298</v>
      </c>
      <c r="I11">
        <f>I10+Input!G59</f>
        <v>561765</v>
      </c>
    </row>
    <row r="12" spans="4:9">
      <c r="D12" t="s">
        <v>6</v>
      </c>
      <c r="E12" s="15">
        <f>Input!G12+E11</f>
        <v>530033</v>
      </c>
      <c r="F12" s="15">
        <f>Input!G24+F11</f>
        <v>456014</v>
      </c>
      <c r="G12" s="15">
        <f>Input!G36+G11</f>
        <v>672347</v>
      </c>
      <c r="H12" s="15">
        <f>Input!G48+H11</f>
        <v>676639</v>
      </c>
      <c r="I12">
        <f>I11+Input!G60</f>
        <v>649248</v>
      </c>
    </row>
    <row r="13" spans="4:9">
      <c r="D13" t="s">
        <v>5</v>
      </c>
      <c r="E13" s="15">
        <f>Input!G13+E12</f>
        <v>594236</v>
      </c>
      <c r="F13" s="15">
        <f>Input!G25+F12</f>
        <v>519976</v>
      </c>
      <c r="G13" s="15">
        <f>Input!G37+G12</f>
        <v>765051</v>
      </c>
      <c r="H13" s="15">
        <f>Input!G49+H12</f>
        <v>775960</v>
      </c>
      <c r="I13">
        <f>I12+Input!G61</f>
        <v>741425</v>
      </c>
    </row>
    <row r="14" spans="4:9">
      <c r="D14" t="s">
        <v>4</v>
      </c>
      <c r="E14" s="15">
        <f>Input!G14+E13</f>
        <v>652777</v>
      </c>
      <c r="F14" s="15">
        <f>Input!G26+F13</f>
        <v>582186</v>
      </c>
      <c r="G14" s="15">
        <f>Input!G38+G13</f>
        <v>857486</v>
      </c>
      <c r="H14" s="15">
        <f>Input!G50+H13</f>
        <v>862020</v>
      </c>
      <c r="I14">
        <f>I13+Input!G62</f>
        <v>814056</v>
      </c>
    </row>
    <row r="15" spans="4:9">
      <c r="D15" t="s">
        <v>3</v>
      </c>
      <c r="E15" s="15">
        <f>Input!G15+E14</f>
        <v>715109</v>
      </c>
      <c r="F15" s="15">
        <f>Input!G27+F14</f>
        <v>646530</v>
      </c>
      <c r="G15" s="15">
        <f>Input!G39+G14</f>
        <v>935221</v>
      </c>
      <c r="H15" s="15">
        <f>Input!G51+H14</f>
        <v>940152</v>
      </c>
      <c r="I15">
        <f>I14+Input!G63</f>
        <v>891280</v>
      </c>
    </row>
    <row r="16" spans="4:9">
      <c r="D16" t="s">
        <v>2</v>
      </c>
      <c r="E16" s="15">
        <f>Input!G16+E15</f>
        <v>764947</v>
      </c>
      <c r="F16" s="15">
        <f>Input!G28+F15</f>
        <v>697019</v>
      </c>
      <c r="G16" s="15">
        <f>Input!G40+G15</f>
        <v>1004612</v>
      </c>
      <c r="H16" s="15">
        <f>Input!G52+H15</f>
        <v>1016067</v>
      </c>
      <c r="I16">
        <f>I15+Input!G64</f>
        <v>960964</v>
      </c>
    </row>
    <row r="17" spans="4:9">
      <c r="D17" t="s">
        <v>1</v>
      </c>
      <c r="E17" s="15">
        <f>Input!G17+E16</f>
        <v>811278</v>
      </c>
      <c r="F17" s="15">
        <f>Input!G29+F16</f>
        <v>745124</v>
      </c>
      <c r="G17" s="15">
        <f>Input!G41+G16</f>
        <v>1068685</v>
      </c>
      <c r="H17" s="15">
        <f>Input!G53+H16</f>
        <v>1078372</v>
      </c>
      <c r="I17">
        <f>I16+Input!G65</f>
        <v>1014861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D5:K65"/>
  <sheetViews>
    <sheetView topLeftCell="A13" workbookViewId="0">
      <selection activeCell="F65" sqref="F65"/>
    </sheetView>
  </sheetViews>
  <sheetFormatPr defaultRowHeight="15"/>
  <sheetData>
    <row r="5" spans="4:9" ht="75">
      <c r="D5" s="1" t="s">
        <v>21</v>
      </c>
      <c r="E5" s="1" t="s">
        <v>22</v>
      </c>
      <c r="F5" s="1" t="s">
        <v>24</v>
      </c>
      <c r="G5" s="1" t="s">
        <v>25</v>
      </c>
      <c r="H5" s="1" t="s">
        <v>26</v>
      </c>
      <c r="I5" s="1" t="s">
        <v>27</v>
      </c>
    </row>
    <row r="6" spans="4:9">
      <c r="D6">
        <v>2013</v>
      </c>
      <c r="E6" t="s">
        <v>0</v>
      </c>
      <c r="F6" s="15">
        <v>16039</v>
      </c>
      <c r="G6" s="15">
        <v>5044</v>
      </c>
      <c r="H6" s="15">
        <v>28274</v>
      </c>
      <c r="I6" s="15">
        <v>30639</v>
      </c>
    </row>
    <row r="7" spans="4:9">
      <c r="E7" t="s">
        <v>11</v>
      </c>
      <c r="F7" s="15">
        <v>15393</v>
      </c>
      <c r="G7" s="15">
        <v>4646</v>
      </c>
      <c r="H7" s="15">
        <v>22521</v>
      </c>
      <c r="I7" s="15">
        <v>28867</v>
      </c>
    </row>
    <row r="8" spans="4:9">
      <c r="E8" t="s">
        <v>10</v>
      </c>
      <c r="F8" s="15">
        <v>25683</v>
      </c>
      <c r="G8" s="15">
        <v>7274</v>
      </c>
      <c r="H8" s="15">
        <v>38948</v>
      </c>
      <c r="I8" s="15">
        <v>35793</v>
      </c>
    </row>
    <row r="9" spans="4:9">
      <c r="E9" t="s">
        <v>9</v>
      </c>
      <c r="F9" s="15">
        <v>12675</v>
      </c>
      <c r="G9" s="15">
        <v>3468</v>
      </c>
      <c r="H9" s="15">
        <v>14106</v>
      </c>
      <c r="I9" s="15">
        <v>25027</v>
      </c>
    </row>
    <row r="10" spans="4:9">
      <c r="E10" t="s">
        <v>8</v>
      </c>
      <c r="F10" s="15">
        <v>18957</v>
      </c>
      <c r="G10" s="15">
        <v>5219</v>
      </c>
      <c r="H10" s="15">
        <v>22913</v>
      </c>
      <c r="I10" s="15">
        <v>34164</v>
      </c>
    </row>
    <row r="11" spans="4:9">
      <c r="E11" t="s">
        <v>7</v>
      </c>
      <c r="F11" s="15">
        <v>9929</v>
      </c>
      <c r="G11" s="15">
        <v>2279</v>
      </c>
      <c r="H11" s="15">
        <v>4798</v>
      </c>
      <c r="I11" s="15">
        <v>19107</v>
      </c>
    </row>
    <row r="12" spans="4:9">
      <c r="E12" t="s">
        <v>6</v>
      </c>
      <c r="F12" s="15">
        <v>11085</v>
      </c>
      <c r="G12" s="15">
        <v>2229</v>
      </c>
      <c r="H12" s="15">
        <v>3478</v>
      </c>
      <c r="I12" s="15">
        <v>22410</v>
      </c>
    </row>
    <row r="13" spans="4:9">
      <c r="E13" t="s">
        <v>5</v>
      </c>
      <c r="F13" s="15">
        <v>10916</v>
      </c>
      <c r="G13" s="15">
        <v>2286</v>
      </c>
      <c r="H13" s="15">
        <v>3227</v>
      </c>
      <c r="I13" s="15">
        <v>16691</v>
      </c>
    </row>
    <row r="14" spans="4:9">
      <c r="E14" t="s">
        <v>4</v>
      </c>
      <c r="F14" s="15">
        <v>9743</v>
      </c>
      <c r="G14" s="15">
        <v>2083</v>
      </c>
      <c r="H14" s="15">
        <v>1767</v>
      </c>
      <c r="I14" s="15">
        <v>11311</v>
      </c>
    </row>
    <row r="15" spans="4:9">
      <c r="E15" t="s">
        <v>3</v>
      </c>
      <c r="F15" s="15">
        <v>12131</v>
      </c>
      <c r="G15" s="15">
        <v>2664</v>
      </c>
      <c r="H15" s="15">
        <v>2260</v>
      </c>
      <c r="I15" s="15">
        <v>14129</v>
      </c>
    </row>
    <row r="16" spans="4:9">
      <c r="E16" t="s">
        <v>2</v>
      </c>
      <c r="F16" s="15">
        <v>9664</v>
      </c>
      <c r="G16" s="15">
        <v>2340</v>
      </c>
      <c r="H16" s="15">
        <v>2696</v>
      </c>
      <c r="I16" s="15">
        <v>10833</v>
      </c>
    </row>
    <row r="17" spans="4:9">
      <c r="E17" t="s">
        <v>1</v>
      </c>
      <c r="F17" s="15">
        <v>8534</v>
      </c>
      <c r="G17" s="15">
        <v>2168</v>
      </c>
      <c r="H17" s="15">
        <v>2156</v>
      </c>
      <c r="I17" s="15">
        <v>9250</v>
      </c>
    </row>
    <row r="18" spans="4:9">
      <c r="D18">
        <v>2014</v>
      </c>
      <c r="E18" t="s">
        <v>0</v>
      </c>
      <c r="F18" s="15">
        <v>9609</v>
      </c>
      <c r="G18" s="15">
        <v>2376</v>
      </c>
      <c r="H18" s="15">
        <v>1941</v>
      </c>
      <c r="I18" s="15">
        <v>11344</v>
      </c>
    </row>
    <row r="19" spans="4:9">
      <c r="E19" t="s">
        <v>11</v>
      </c>
      <c r="F19" s="15">
        <v>9287</v>
      </c>
      <c r="G19" s="15">
        <v>2329</v>
      </c>
      <c r="H19" s="15">
        <v>2595</v>
      </c>
      <c r="I19" s="15">
        <v>10951</v>
      </c>
    </row>
    <row r="20" spans="4:9">
      <c r="E20" t="s">
        <v>10</v>
      </c>
      <c r="F20" s="15">
        <v>10910</v>
      </c>
      <c r="G20" s="15">
        <v>2833</v>
      </c>
      <c r="H20" s="15">
        <v>3726</v>
      </c>
      <c r="I20" s="15">
        <v>10886</v>
      </c>
    </row>
    <row r="21" spans="4:9">
      <c r="E21" t="s">
        <v>9</v>
      </c>
      <c r="F21" s="15">
        <v>11511</v>
      </c>
      <c r="G21" s="15">
        <v>3018</v>
      </c>
      <c r="H21" s="15">
        <v>2503</v>
      </c>
      <c r="I21" s="15">
        <v>11247</v>
      </c>
    </row>
    <row r="22" spans="4:9">
      <c r="E22" t="s">
        <v>8</v>
      </c>
      <c r="F22" s="15">
        <v>10850</v>
      </c>
      <c r="G22" s="15">
        <v>3207</v>
      </c>
      <c r="H22" s="15">
        <v>2922</v>
      </c>
      <c r="I22" s="15">
        <v>9096</v>
      </c>
    </row>
    <row r="23" spans="4:9">
      <c r="E23" t="s">
        <v>7</v>
      </c>
      <c r="F23" s="15">
        <v>10225</v>
      </c>
      <c r="G23" s="15">
        <v>3349</v>
      </c>
      <c r="H23" s="15">
        <v>3464</v>
      </c>
      <c r="I23" s="15">
        <v>9963</v>
      </c>
    </row>
    <row r="24" spans="4:9">
      <c r="E24" t="s">
        <v>6</v>
      </c>
      <c r="F24" s="15">
        <v>10370</v>
      </c>
      <c r="G24" s="15">
        <v>3178</v>
      </c>
      <c r="H24" s="15">
        <v>3424</v>
      </c>
      <c r="I24" s="15">
        <v>9378</v>
      </c>
    </row>
    <row r="25" spans="4:9">
      <c r="E25" t="s">
        <v>5</v>
      </c>
      <c r="F25" s="15">
        <v>10419</v>
      </c>
      <c r="G25" s="15">
        <v>3318</v>
      </c>
      <c r="H25" s="15">
        <v>3806</v>
      </c>
      <c r="I25" s="15">
        <v>7770</v>
      </c>
    </row>
    <row r="26" spans="4:9">
      <c r="E26" t="s">
        <v>4</v>
      </c>
      <c r="F26" s="15">
        <v>10474</v>
      </c>
      <c r="G26" s="15">
        <v>3405</v>
      </c>
      <c r="H26" s="15">
        <v>3012</v>
      </c>
      <c r="I26" s="15">
        <v>8065</v>
      </c>
    </row>
    <row r="27" spans="4:9">
      <c r="E27" t="s">
        <v>3</v>
      </c>
      <c r="F27" s="15">
        <v>11776</v>
      </c>
      <c r="G27" s="15">
        <v>4130</v>
      </c>
      <c r="H27" s="15">
        <v>5273</v>
      </c>
      <c r="I27" s="15">
        <v>7683</v>
      </c>
    </row>
    <row r="28" spans="4:9">
      <c r="E28" t="s">
        <v>2</v>
      </c>
      <c r="F28" s="15">
        <v>9428</v>
      </c>
      <c r="G28" s="15">
        <v>3128</v>
      </c>
      <c r="H28" s="15">
        <v>5621</v>
      </c>
      <c r="I28" s="15">
        <v>5620</v>
      </c>
    </row>
    <row r="29" spans="4:9">
      <c r="E29" t="s">
        <v>1</v>
      </c>
      <c r="F29" s="15">
        <v>9516</v>
      </c>
      <c r="G29" s="15">
        <v>3084</v>
      </c>
      <c r="H29" s="15">
        <v>5796</v>
      </c>
      <c r="I29" s="15">
        <v>5253</v>
      </c>
    </row>
    <row r="30" spans="4:9">
      <c r="D30">
        <v>2015</v>
      </c>
      <c r="E30" t="s">
        <v>0</v>
      </c>
      <c r="F30" s="15">
        <v>16889</v>
      </c>
      <c r="G30" s="15">
        <v>6875</v>
      </c>
      <c r="H30" s="15">
        <v>27779</v>
      </c>
      <c r="I30" s="15">
        <v>5336</v>
      </c>
    </row>
    <row r="31" spans="4:9">
      <c r="E31" t="s">
        <v>11</v>
      </c>
      <c r="F31" s="15">
        <v>19581</v>
      </c>
      <c r="G31" s="15">
        <v>10196</v>
      </c>
      <c r="H31" s="15">
        <v>58143</v>
      </c>
      <c r="I31" s="15">
        <v>6248</v>
      </c>
    </row>
    <row r="32" spans="4:9">
      <c r="E32" t="s">
        <v>10</v>
      </c>
      <c r="F32" s="15">
        <v>19064</v>
      </c>
      <c r="G32" s="15">
        <v>7558</v>
      </c>
      <c r="H32" s="15">
        <v>43127</v>
      </c>
      <c r="I32" s="15">
        <v>6089</v>
      </c>
    </row>
    <row r="33" spans="4:11">
      <c r="E33" t="str">
        <f>Input!E33</f>
        <v>Apr</v>
      </c>
      <c r="F33" s="15">
        <f>Input!H33</f>
        <v>17676</v>
      </c>
      <c r="G33" s="15">
        <f>Input!I33</f>
        <v>8310</v>
      </c>
      <c r="H33" s="15">
        <f>Input!J33</f>
        <v>37770</v>
      </c>
      <c r="I33" s="15">
        <f>Input!K33</f>
        <v>5501</v>
      </c>
    </row>
    <row r="34" spans="4:11">
      <c r="E34" t="str">
        <f>Input!E34</f>
        <v>May</v>
      </c>
      <c r="F34" s="15">
        <f>Input!H34</f>
        <v>15946</v>
      </c>
      <c r="G34" s="15">
        <f>Input!I34</f>
        <v>6387</v>
      </c>
      <c r="H34" s="15">
        <f>Input!J34</f>
        <v>28891</v>
      </c>
      <c r="I34" s="15">
        <f>Input!K34</f>
        <v>4664</v>
      </c>
      <c r="K34" s="15"/>
    </row>
    <row r="35" spans="4:11">
      <c r="E35" t="str">
        <f>Input!E35</f>
        <v>Jun</v>
      </c>
      <c r="F35" s="15">
        <f>Input!H35</f>
        <v>18836</v>
      </c>
      <c r="G35" s="15">
        <f>Input!I35</f>
        <v>5390</v>
      </c>
      <c r="H35" s="15">
        <f>Input!J35</f>
        <v>22360</v>
      </c>
      <c r="I35" s="15">
        <f>Input!K35</f>
        <v>4729</v>
      </c>
    </row>
    <row r="36" spans="4:11">
      <c r="E36" t="str">
        <f>Input!E36</f>
        <v xml:space="preserve">Jul </v>
      </c>
      <c r="F36" s="15">
        <f>Input!H36</f>
        <v>19235</v>
      </c>
      <c r="G36" s="15">
        <f>Input!I36</f>
        <v>5633</v>
      </c>
      <c r="H36" s="15">
        <f>Input!J36</f>
        <v>18336</v>
      </c>
      <c r="I36" s="15">
        <f>Input!K36</f>
        <v>5190</v>
      </c>
    </row>
    <row r="37" spans="4:11">
      <c r="E37" t="str">
        <f>Input!E37</f>
        <v>Aug</v>
      </c>
      <c r="F37" s="15">
        <f>Input!H37</f>
        <v>19280</v>
      </c>
      <c r="G37" s="15">
        <f>Input!I37</f>
        <v>5722</v>
      </c>
      <c r="H37" s="15">
        <f>Input!J37</f>
        <v>19737</v>
      </c>
      <c r="I37" s="15">
        <f>Input!K37</f>
        <v>5225</v>
      </c>
    </row>
    <row r="38" spans="4:11">
      <c r="E38" t="str">
        <f>Input!E38</f>
        <v>Sep</v>
      </c>
      <c r="F38" s="15">
        <f>Input!H38</f>
        <v>19474</v>
      </c>
      <c r="G38" s="15">
        <f>Input!I38</f>
        <v>5806</v>
      </c>
      <c r="H38" s="15">
        <f>Input!J38</f>
        <v>20220</v>
      </c>
      <c r="I38" s="15">
        <f>Input!K38</f>
        <v>5508</v>
      </c>
    </row>
    <row r="39" spans="4:11">
      <c r="E39" t="str">
        <f>Input!E39</f>
        <v>Oct</v>
      </c>
      <c r="F39" s="15">
        <f>Input!H39</f>
        <v>18302</v>
      </c>
      <c r="G39" s="15">
        <f>Input!I39</f>
        <v>5711</v>
      </c>
      <c r="H39" s="15">
        <f>Input!J39</f>
        <v>20432</v>
      </c>
      <c r="I39" s="15">
        <f>Input!K39</f>
        <v>5353</v>
      </c>
    </row>
    <row r="40" spans="4:11">
      <c r="E40" t="str">
        <f>Input!E40</f>
        <v>Nov</v>
      </c>
      <c r="F40" s="15">
        <f>Input!H40</f>
        <v>17283</v>
      </c>
      <c r="G40" s="15">
        <f>Input!I40</f>
        <v>5148</v>
      </c>
      <c r="H40" s="15">
        <f>Input!J40</f>
        <v>17148</v>
      </c>
      <c r="I40" s="15">
        <f>Input!K40</f>
        <v>4447</v>
      </c>
    </row>
    <row r="41" spans="4:11">
      <c r="E41" t="str">
        <f>Input!E41</f>
        <v>Dec</v>
      </c>
      <c r="F41" s="15">
        <f>Input!H41</f>
        <v>16989</v>
      </c>
      <c r="G41" s="15">
        <f>Input!I41</f>
        <v>6153</v>
      </c>
      <c r="H41" s="15">
        <f>Input!J41</f>
        <v>17444</v>
      </c>
      <c r="I41" s="15">
        <f>Input!K41</f>
        <v>4231</v>
      </c>
    </row>
    <row r="42" spans="4:11">
      <c r="D42">
        <v>2016</v>
      </c>
      <c r="E42" t="str">
        <f>Input!E42</f>
        <v>Jan</v>
      </c>
      <c r="F42" s="15">
        <f>Input!H42</f>
        <v>16723</v>
      </c>
      <c r="G42" s="15">
        <f>Input!I42</f>
        <v>6229</v>
      </c>
      <c r="H42" s="15">
        <f>Input!J42</f>
        <v>16573</v>
      </c>
      <c r="I42" s="15">
        <f>Input!K42</f>
        <v>4204</v>
      </c>
    </row>
    <row r="43" spans="4:11">
      <c r="E43" t="str">
        <f>Input!E43</f>
        <v>Feb</v>
      </c>
      <c r="F43" s="15">
        <f>Input!H43</f>
        <v>19463</v>
      </c>
      <c r="G43" s="15">
        <f>Input!I43</f>
        <v>8008</v>
      </c>
      <c r="H43" s="15">
        <f>Input!J43</f>
        <v>24068</v>
      </c>
      <c r="I43" s="15">
        <f>Input!K43</f>
        <v>4730</v>
      </c>
    </row>
    <row r="44" spans="4:11">
      <c r="E44" t="str">
        <f>Input!E44</f>
        <v>Mar</v>
      </c>
      <c r="F44" s="15">
        <f>Input!H44</f>
        <v>22097</v>
      </c>
      <c r="G44" s="15">
        <f>Input!I44</f>
        <v>9016</v>
      </c>
      <c r="H44" s="15">
        <f>Input!J44</f>
        <v>23026</v>
      </c>
      <c r="I44" s="15">
        <f>Input!K44</f>
        <v>4668</v>
      </c>
    </row>
    <row r="45" spans="4:11">
      <c r="E45" t="str">
        <f>Input!E45</f>
        <v>Apr</v>
      </c>
      <c r="F45" s="15">
        <f>Input!H45</f>
        <v>19535</v>
      </c>
      <c r="G45" s="15">
        <f>Input!I45</f>
        <v>8037</v>
      </c>
      <c r="H45" s="15">
        <f>Input!J45</f>
        <v>24505</v>
      </c>
      <c r="I45" s="15">
        <f>Input!K45</f>
        <v>3749</v>
      </c>
    </row>
    <row r="46" spans="4:11">
      <c r="E46" t="str">
        <f>Input!E46</f>
        <v>May</v>
      </c>
      <c r="F46" s="15">
        <f>Input!H46</f>
        <v>19050</v>
      </c>
      <c r="G46" s="15">
        <f>Input!I46</f>
        <v>8123</v>
      </c>
      <c r="H46" s="15">
        <f>Input!J46</f>
        <v>26768</v>
      </c>
      <c r="I46" s="15">
        <f>Input!K46</f>
        <v>3448</v>
      </c>
    </row>
    <row r="47" spans="4:11">
      <c r="E47" t="str">
        <f>Input!E47</f>
        <v>Jun</v>
      </c>
      <c r="F47" s="15">
        <f>Input!H47</f>
        <v>20401</v>
      </c>
      <c r="G47" s="15">
        <f>Input!I47</f>
        <v>8614</v>
      </c>
      <c r="H47" s="15">
        <f>Input!J47</f>
        <v>25337</v>
      </c>
      <c r="I47" s="15">
        <f>Input!K47</f>
        <v>3235</v>
      </c>
    </row>
    <row r="48" spans="4:11">
      <c r="E48" t="str">
        <f>Input!E48</f>
        <v>Jul</v>
      </c>
      <c r="F48" s="15">
        <f>Input!H48</f>
        <v>18861</v>
      </c>
      <c r="G48" s="15">
        <f>Input!I48</f>
        <v>8550</v>
      </c>
      <c r="H48" s="15">
        <f>Input!J48</f>
        <v>27879</v>
      </c>
      <c r="I48" s="15">
        <f>Input!K48</f>
        <v>2870</v>
      </c>
    </row>
    <row r="49" spans="4:9">
      <c r="E49" t="str">
        <f>Input!E49</f>
        <v>Aug</v>
      </c>
      <c r="F49" s="15">
        <f>Input!H49</f>
        <v>22785</v>
      </c>
      <c r="G49" s="15">
        <f>Input!I49</f>
        <v>8215</v>
      </c>
      <c r="H49" s="15">
        <f>Input!J49</f>
        <v>30756</v>
      </c>
      <c r="I49" s="15">
        <f>Input!K49</f>
        <v>3410</v>
      </c>
    </row>
    <row r="50" spans="4:9">
      <c r="E50" t="str">
        <f>Input!E50</f>
        <v>Sep</v>
      </c>
      <c r="F50" s="15">
        <f>Input!H50</f>
        <v>18759</v>
      </c>
      <c r="G50" s="15">
        <f>Input!I50</f>
        <v>9099</v>
      </c>
      <c r="H50" s="15">
        <f>Input!J50</f>
        <v>27765</v>
      </c>
      <c r="I50" s="15">
        <f>Input!K50</f>
        <v>3311</v>
      </c>
    </row>
    <row r="51" spans="4:9">
      <c r="E51" t="str">
        <f>Input!E51</f>
        <v>Oct</v>
      </c>
      <c r="F51" s="15">
        <f>Input!H51</f>
        <v>19651</v>
      </c>
      <c r="G51" s="15">
        <f>Input!I51</f>
        <v>8847</v>
      </c>
      <c r="H51" s="15">
        <f>Input!J51</f>
        <v>28527</v>
      </c>
      <c r="I51" s="15">
        <f>Input!K51</f>
        <v>3391</v>
      </c>
    </row>
    <row r="52" spans="4:9">
      <c r="E52" t="str">
        <f>Input!E52</f>
        <v>Nov</v>
      </c>
      <c r="F52" s="15">
        <f>Input!H52</f>
        <v>20657</v>
      </c>
      <c r="G52" s="15">
        <f>Input!I52</f>
        <v>8226</v>
      </c>
      <c r="H52" s="15">
        <f>Input!J52</f>
        <v>22633</v>
      </c>
      <c r="I52" s="15">
        <f>Input!K52</f>
        <v>3612</v>
      </c>
    </row>
    <row r="53" spans="4:9">
      <c r="E53" t="str">
        <f>Input!E53</f>
        <v>Dec</v>
      </c>
      <c r="F53" s="15">
        <f>Input!H53</f>
        <v>18637</v>
      </c>
      <c r="G53" s="15">
        <f>Input!I53</f>
        <v>7075</v>
      </c>
      <c r="H53" s="15">
        <f>Input!J53</f>
        <v>11692</v>
      </c>
      <c r="I53" s="15">
        <f>Input!K53</f>
        <v>3575</v>
      </c>
    </row>
    <row r="54" spans="4:9">
      <c r="D54">
        <v>2017</v>
      </c>
      <c r="E54" t="str">
        <f>Input!E54</f>
        <v>Jan</v>
      </c>
      <c r="F54" s="15">
        <f>Input!H54</f>
        <v>20828</v>
      </c>
      <c r="G54" s="15">
        <f>Input!I54</f>
        <v>7962</v>
      </c>
      <c r="H54" s="15">
        <f>Input!J54</f>
        <v>12388</v>
      </c>
      <c r="I54" s="15">
        <f>Input!K54</f>
        <v>2757</v>
      </c>
    </row>
    <row r="55" spans="4:9">
      <c r="E55" t="str">
        <f>Input!E55</f>
        <v>Feb</v>
      </c>
      <c r="F55" s="15">
        <f>Input!H55</f>
        <v>19935</v>
      </c>
      <c r="G55" s="15">
        <f>Input!I55</f>
        <v>7741</v>
      </c>
      <c r="H55" s="15">
        <f>Input!J55</f>
        <v>9527</v>
      </c>
      <c r="I55" s="15">
        <f>Input!K55</f>
        <v>2891</v>
      </c>
    </row>
    <row r="56" spans="4:9">
      <c r="E56" t="str">
        <f>Input!E56</f>
        <v>Mar</v>
      </c>
      <c r="F56" s="15">
        <f>Input!H56</f>
        <v>24467</v>
      </c>
      <c r="G56" s="15">
        <f>Input!I56</f>
        <v>7934</v>
      </c>
      <c r="H56" s="15">
        <f>Input!J56</f>
        <v>8606</v>
      </c>
      <c r="I56" s="15">
        <f>Input!K56</f>
        <v>3451</v>
      </c>
    </row>
    <row r="57" spans="4:9">
      <c r="E57" t="str">
        <f>Input!E57</f>
        <v>Apr</v>
      </c>
      <c r="F57" s="15">
        <f>Input!H57</f>
        <v>19322</v>
      </c>
      <c r="G57" s="15">
        <f>Input!I57</f>
        <v>8482</v>
      </c>
      <c r="H57" s="15">
        <f>Input!J57</f>
        <v>6874</v>
      </c>
      <c r="I57" s="15">
        <f>Input!K57</f>
        <v>2432</v>
      </c>
    </row>
    <row r="58" spans="4:9">
      <c r="E58" t="str">
        <f>Input!E58</f>
        <v>May</v>
      </c>
      <c r="F58" s="15">
        <f>Input!H58</f>
        <v>21006</v>
      </c>
      <c r="G58" s="15">
        <f>Input!I58</f>
        <v>9909</v>
      </c>
      <c r="H58" s="15">
        <f>Input!J58</f>
        <v>7670</v>
      </c>
      <c r="I58" s="15">
        <f>Input!K58</f>
        <v>2337</v>
      </c>
    </row>
    <row r="59" spans="4:9">
      <c r="E59" t="str">
        <f>Input!E59</f>
        <v>Jun</v>
      </c>
      <c r="F59" s="15">
        <f>Input!H59</f>
        <v>22154</v>
      </c>
      <c r="G59" s="15">
        <f>Input!I59</f>
        <v>10483</v>
      </c>
      <c r="H59" s="15">
        <f>Input!J59</f>
        <v>8952</v>
      </c>
      <c r="I59" s="15">
        <f>Input!K59</f>
        <v>2435</v>
      </c>
    </row>
    <row r="60" spans="4:9">
      <c r="E60" t="str">
        <f>Input!E60</f>
        <v>Jul</v>
      </c>
      <c r="F60" s="15">
        <f>Input!H60</f>
        <v>19705</v>
      </c>
      <c r="G60" s="15">
        <f>Input!I60</f>
        <v>9304</v>
      </c>
      <c r="H60" s="15">
        <f>Input!J60</f>
        <v>6102</v>
      </c>
      <c r="I60" s="15">
        <f>Input!K60</f>
        <v>1701</v>
      </c>
    </row>
    <row r="61" spans="4:9">
      <c r="E61" t="str">
        <f>Input!E61</f>
        <v>Aug</v>
      </c>
      <c r="F61" s="15">
        <f>Input!H61</f>
        <v>22556</v>
      </c>
      <c r="G61" s="15">
        <f>Input!I61</f>
        <v>11166</v>
      </c>
      <c r="H61" s="15">
        <f>Input!J61</f>
        <v>8132</v>
      </c>
      <c r="I61" s="15">
        <f>Input!K61</f>
        <v>2186</v>
      </c>
    </row>
    <row r="62" spans="4:9">
      <c r="E62" t="str">
        <f>Input!E62</f>
        <v>Sep</v>
      </c>
      <c r="F62" s="15">
        <f>Input!H62</f>
        <v>19037</v>
      </c>
      <c r="G62" s="15">
        <f>Input!I62</f>
        <v>9635</v>
      </c>
      <c r="H62" s="15">
        <f>Input!J62</f>
        <v>7753</v>
      </c>
      <c r="I62" s="15">
        <f>Input!K62</f>
        <v>1352</v>
      </c>
    </row>
    <row r="63" spans="4:9">
      <c r="E63" t="str">
        <f>Input!E63</f>
        <v>Oct</v>
      </c>
      <c r="F63" s="15">
        <f>Input!H63</f>
        <v>21134</v>
      </c>
      <c r="G63" s="15">
        <f>Input!I63</f>
        <v>10983</v>
      </c>
      <c r="H63" s="15">
        <f>Input!J63</f>
        <v>8356</v>
      </c>
      <c r="I63" s="15">
        <f>Input!K63</f>
        <v>1624</v>
      </c>
    </row>
    <row r="64" spans="4:9">
      <c r="E64" t="s">
        <v>2</v>
      </c>
      <c r="F64" s="15">
        <f>Input!H64</f>
        <v>19960</v>
      </c>
      <c r="G64" s="15">
        <f>Input!I64</f>
        <v>9764</v>
      </c>
      <c r="H64" s="15">
        <f>Input!J64</f>
        <v>8695</v>
      </c>
      <c r="I64" s="15">
        <f>Input!K64</f>
        <v>1469</v>
      </c>
    </row>
    <row r="65" spans="5:9">
      <c r="E65" t="s">
        <v>1</v>
      </c>
      <c r="F65" s="15">
        <f>Input!H65</f>
        <v>17066</v>
      </c>
      <c r="G65" s="15">
        <f>Input!I65</f>
        <v>7399</v>
      </c>
      <c r="H65" s="15">
        <f>Input!J65</f>
        <v>8411</v>
      </c>
      <c r="I65" s="15">
        <f>Input!K65</f>
        <v>1403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18</vt:i4>
      </vt:variant>
    </vt:vector>
  </HeadingPairs>
  <TitlesOfParts>
    <vt:vector size="24" baseType="lpstr">
      <vt:lpstr>Report</vt:lpstr>
      <vt:lpstr>Report Page1</vt:lpstr>
      <vt:lpstr>Report Page2</vt:lpstr>
      <vt:lpstr>Input</vt:lpstr>
      <vt:lpstr>Purchase</vt:lpstr>
      <vt:lpstr>Refinance</vt:lpstr>
      <vt:lpstr>Report!CurrentCloseDate</vt:lpstr>
      <vt:lpstr>'Report Page2'!CurrentCloseDate</vt:lpstr>
      <vt:lpstr>CurrentCloseDate</vt:lpstr>
      <vt:lpstr>Report!DatabaseEnv</vt:lpstr>
      <vt:lpstr>'Report Page2'!DatabaseEnv</vt:lpstr>
      <vt:lpstr>DatabaseEnv</vt:lpstr>
      <vt:lpstr>Report!PDFReportDir</vt:lpstr>
      <vt:lpstr>'Report Page2'!PDFReportDir</vt:lpstr>
      <vt:lpstr>PDFReportDir</vt:lpstr>
      <vt:lpstr>Report!PDFReportName</vt:lpstr>
      <vt:lpstr>'Report Page2'!PDFReportName</vt:lpstr>
      <vt:lpstr>PDFReportName</vt:lpstr>
      <vt:lpstr>Report!Print_Area</vt:lpstr>
      <vt:lpstr>'Report Page1'!Print_Area</vt:lpstr>
      <vt:lpstr>'Report Page2'!Print_Area</vt:lpstr>
      <vt:lpstr>Report!SaveRatesToDB</vt:lpstr>
      <vt:lpstr>'Report Page2'!SaveRatesToDB</vt:lpstr>
      <vt:lpstr>SaveRatesToDB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Chen Yang</cp:lastModifiedBy>
  <cp:lastPrinted>2018-03-09T20:55:13Z</cp:lastPrinted>
  <dcterms:created xsi:type="dcterms:W3CDTF">2015-03-12T13:39:23Z</dcterms:created>
  <dcterms:modified xsi:type="dcterms:W3CDTF">2018-03-09T20:55:26Z</dcterms:modified>
</cp:coreProperties>
</file>