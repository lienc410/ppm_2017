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 Page2" sheetId="21" r:id="rId1"/>
    <sheet name="Report" sheetId="16" r:id="rId2"/>
    <sheet name="Historical" sheetId="19" state="hidden" r:id="rId3"/>
    <sheet name="Input-Non TBA" sheetId="9" state="hidden" r:id="rId4"/>
    <sheet name="Input-TBA LS" sheetId="20" state="hidden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 localSheetId="0">'Report Page2'!#REF!</definedName>
    <definedName name="CurrentCloseDate">Report!$U$2</definedName>
    <definedName name="CurrentMonth">Report!$U$9</definedName>
    <definedName name="CurrentMonth2">Report!$U$11</definedName>
    <definedName name="DatabaseEnv" localSheetId="0">'Report Page2'!#REF!</definedName>
    <definedName name="DatabaseEnv">Report!$U$1</definedName>
    <definedName name="DateToChangeLag" localSheetId="0">'Report Page2'!#REF!</definedName>
    <definedName name="DateToChangeLag">Report!$U$12</definedName>
    <definedName name="HistoricalMtgRatesDataTable" localSheetId="4">#REF!</definedName>
    <definedName name="HistoricalMtgRatesDataTable" localSheetId="0">#REF!</definedName>
    <definedName name="HistoricalMtgRatesDataTable">#REF!</definedName>
    <definedName name="IR" localSheetId="4">#REF!</definedName>
    <definedName name="IR" localSheetId="0">#REF!</definedName>
    <definedName name="IR">#REF!</definedName>
    <definedName name="MmExcelLinker_D5EFE7B8_A5AE_4CC6_B628_05FDC84CBEA4" localSheetId="4">Early Market [2]Data!$C$44:$C$44</definedName>
    <definedName name="MmExcelLinker_D5EFE7B8_A5AE_4CC6_B628_05FDC84CBEA4" localSheetId="0">Early Market [2]Data!$C$44:$C$44</definedName>
    <definedName name="MmExcelLinker_D5EFE7B8_A5AE_4CC6_B628_05FDC84CBEA4">Early Market [2]Data!$C$44:$C$44</definedName>
    <definedName name="NoLagTopTenDataTable" localSheetId="4">#REF!</definedName>
    <definedName name="NoLagTopTenDataTable" localSheetId="0">#REF!</definedName>
    <definedName name="NoLagTopTenDataTable">#REF!</definedName>
    <definedName name="OneDayBusDate" localSheetId="4">#REF!</definedName>
    <definedName name="OneDayBusDate" localSheetId="0">#REF!</definedName>
    <definedName name="OneDayBusDate">#REF!</definedName>
    <definedName name="OneMonthBusDate" localSheetId="4">#REF!</definedName>
    <definedName name="OneMonthBusDate" localSheetId="0">#REF!</definedName>
    <definedName name="OneMonthBusDate">#REF!</definedName>
    <definedName name="OneWeekBusDate" localSheetId="4">#REF!</definedName>
    <definedName name="OneWeekBusDate" localSheetId="0">#REF!</definedName>
    <definedName name="OneWeekBusDate">#REF!</definedName>
    <definedName name="PDFReportDir" localSheetId="0">'Report Page2'!#REF!</definedName>
    <definedName name="PDFReportDir">Report!$U$3</definedName>
    <definedName name="PDFReportName" localSheetId="0">'Report Page2'!#REF!</definedName>
    <definedName name="PDFReportName">Report!$U$4</definedName>
    <definedName name="PivotTable10" localSheetId="4">#REF!</definedName>
    <definedName name="PivotTable10" localSheetId="0">#REF!</definedName>
    <definedName name="PivotTable10">#REF!</definedName>
    <definedName name="PivotTable11" localSheetId="4">#REF!</definedName>
    <definedName name="PivotTable11" localSheetId="0">#REF!</definedName>
    <definedName name="PivotTable11">#REF!</definedName>
    <definedName name="PivotTable12" localSheetId="4">#REF!</definedName>
    <definedName name="PivotTable12" localSheetId="0">#REF!</definedName>
    <definedName name="PivotTable12">#REF!</definedName>
    <definedName name="_xlnm.Print_Area" localSheetId="1">Report!$C$1:$Q$58</definedName>
    <definedName name="_xlnm.Print_Area" localSheetId="0">'Report Page2'!$C$1:$Q$65</definedName>
    <definedName name="Query_from_Agency" localSheetId="3" hidden="1">'Input-Non TBA'!#REF!</definedName>
    <definedName name="Query_from_Agency" localSheetId="4" hidden="1">'Input-TBA LS'!#REF!</definedName>
    <definedName name="Query_from_Agency_1" localSheetId="3" hidden="1">'Input-Non TBA'!#REF!</definedName>
    <definedName name="Query_from_Agency_1" localSheetId="4" hidden="1">'Input-TBA LS'!#REF!</definedName>
    <definedName name="Query_from_Agency_10" localSheetId="3" hidden="1">'Input-Non TBA'!$O$3:$R$40</definedName>
    <definedName name="Query_from_Agency_10" localSheetId="4" hidden="1">'Input-TBA LS'!$I$3:$J$62</definedName>
    <definedName name="Query_from_Agency_11" localSheetId="4" hidden="1">'Input-TBA LS'!$M$3:$N$62</definedName>
    <definedName name="Query_from_Agency_12" localSheetId="4" hidden="1">'Input-TBA LS'!$Q$3:$R$62</definedName>
    <definedName name="Query_from_Agency_13" localSheetId="4" hidden="1">'Input-TBA LS'!$AC$3:$AD$62</definedName>
    <definedName name="Query_from_Agency_14" localSheetId="4" hidden="1">'Input-TBA LS'!$AG$3:$AH$61</definedName>
    <definedName name="Query_from_Agency_15" localSheetId="4" hidden="1">'Input-TBA LS'!$AJ$3:$AK$62</definedName>
    <definedName name="Query_from_Agency_16" localSheetId="4" hidden="1">'Input-TBA LS'!$AM$3:$AN$62</definedName>
    <definedName name="Query_from_Agency_4" localSheetId="3" hidden="1">'Input-Non TBA'!#REF!</definedName>
    <definedName name="Query_from_Agency_4" localSheetId="4" hidden="1">'Input-TBA LS'!#REF!</definedName>
    <definedName name="Query_from_Agency_5" localSheetId="3" hidden="1">'Input-Non TBA'!#REF!</definedName>
    <definedName name="Query_from_Agency_5" localSheetId="4" hidden="1">'Input-TBA LS'!#REF!</definedName>
    <definedName name="Query_from_Agency_6" localSheetId="3" hidden="1">'Input-Non TBA'!$B$3:$E$59</definedName>
    <definedName name="Query_from_Agency_6" localSheetId="4" hidden="1">'Input-TBA LS'!$B$3:$C$62</definedName>
    <definedName name="Query_from_Agency_7" localSheetId="3" hidden="1">'Input-Non TBA'!#REF!</definedName>
    <definedName name="Query_from_Agency_7" localSheetId="4" hidden="1">'Input-TBA LS'!#REF!</definedName>
    <definedName name="Query_from_Agency_8" localSheetId="3" hidden="1">'Input-Non TBA'!#REF!</definedName>
    <definedName name="Query_from_Agency_8" localSheetId="4" hidden="1">'Input-TBA LS'!#REF!</definedName>
    <definedName name="Query_from_Agency_9" localSheetId="3" hidden="1">'Input-Non TBA'!$I$3:$L$62</definedName>
    <definedName name="Query_from_Agency_9" localSheetId="4" hidden="1">'Input-TBA LS'!$E$3:$F$62</definedName>
    <definedName name="SaveRatesToDB" localSheetId="0">'Report Page2'!$U$1</definedName>
    <definedName name="SaveRatesToDB">Report!$W$1</definedName>
    <definedName name="temp_13" localSheetId="3">'Input-Non TBA'!#REF!</definedName>
    <definedName name="temp_13" localSheetId="4">'Input-TBA LS'!#REF!</definedName>
    <definedName name="temp_14" localSheetId="3">'Input-Non TBA'!#REF!</definedName>
    <definedName name="temp_14" localSheetId="4">'Input-TBA LS'!#REF!</definedName>
    <definedName name="temp_17" localSheetId="4">#REF!</definedName>
    <definedName name="temp_17" localSheetId="0">#REF!</definedName>
    <definedName name="temp_17">#REF!</definedName>
    <definedName name="temp_8" localSheetId="4">#REF!</definedName>
    <definedName name="temp_8" localSheetId="0">#REF!</definedName>
    <definedName name="temp_8">#REF!</definedName>
    <definedName name="temp_9" localSheetId="3">'Input-Non TBA'!#REF!</definedName>
    <definedName name="temp_9" localSheetId="4">'Input-TBA LS'!#REF!</definedName>
  </definedNames>
  <calcPr calcId="145621"/>
</workbook>
</file>

<file path=xl/calcChain.xml><?xml version="1.0" encoding="utf-8"?>
<calcChain xmlns="http://schemas.openxmlformats.org/spreadsheetml/2006/main">
  <c r="S4" i="20" l="1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S62" i="20"/>
  <c r="T4" i="20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T25" i="20"/>
  <c r="T26" i="20"/>
  <c r="T27" i="20"/>
  <c r="T28" i="20"/>
  <c r="T29" i="20"/>
  <c r="T30" i="20"/>
  <c r="T31" i="20"/>
  <c r="T32" i="20"/>
  <c r="T33" i="20"/>
  <c r="T34" i="20"/>
  <c r="T35" i="20"/>
  <c r="T36" i="20"/>
  <c r="T37" i="20"/>
  <c r="T38" i="20"/>
  <c r="T39" i="20"/>
  <c r="T40" i="20"/>
  <c r="T41" i="20"/>
  <c r="T42" i="20"/>
  <c r="T43" i="20"/>
  <c r="T44" i="20"/>
  <c r="T45" i="20"/>
  <c r="T46" i="20"/>
  <c r="T47" i="20"/>
  <c r="T48" i="20"/>
  <c r="T49" i="20"/>
  <c r="T50" i="20"/>
  <c r="T51" i="20"/>
  <c r="T52" i="20"/>
  <c r="T53" i="20"/>
  <c r="T54" i="20"/>
  <c r="T55" i="20"/>
  <c r="T56" i="20"/>
  <c r="T57" i="20"/>
  <c r="Z57" i="20" s="1"/>
  <c r="T58" i="20"/>
  <c r="T59" i="20"/>
  <c r="T60" i="20"/>
  <c r="T61" i="20"/>
  <c r="T62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V4" i="20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V31" i="20"/>
  <c r="V32" i="20"/>
  <c r="V33" i="20"/>
  <c r="V34" i="20"/>
  <c r="V35" i="20"/>
  <c r="V36" i="20"/>
  <c r="V37" i="20"/>
  <c r="V38" i="20"/>
  <c r="V39" i="20"/>
  <c r="V40" i="20"/>
  <c r="V41" i="20"/>
  <c r="V42" i="20"/>
  <c r="V43" i="20"/>
  <c r="V44" i="20"/>
  <c r="V45" i="20"/>
  <c r="V46" i="20"/>
  <c r="V47" i="20"/>
  <c r="V48" i="20"/>
  <c r="V49" i="20"/>
  <c r="V50" i="20"/>
  <c r="V51" i="20"/>
  <c r="V52" i="20"/>
  <c r="V53" i="20"/>
  <c r="V54" i="20"/>
  <c r="V55" i="20"/>
  <c r="V56" i="20"/>
  <c r="V57" i="20"/>
  <c r="V58" i="20"/>
  <c r="V59" i="20"/>
  <c r="V60" i="20"/>
  <c r="V61" i="20"/>
  <c r="V62" i="20"/>
  <c r="W4" i="20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Z31" i="20" s="1"/>
  <c r="W32" i="20"/>
  <c r="W33" i="20"/>
  <c r="W34" i="20"/>
  <c r="W35" i="20"/>
  <c r="W36" i="20"/>
  <c r="W37" i="20"/>
  <c r="W38" i="20"/>
  <c r="W39" i="20"/>
  <c r="W40" i="20"/>
  <c r="W41" i="20"/>
  <c r="W42" i="20"/>
  <c r="W43" i="20"/>
  <c r="W44" i="20"/>
  <c r="W45" i="20"/>
  <c r="W46" i="20"/>
  <c r="W47" i="20"/>
  <c r="Z47" i="20" s="1"/>
  <c r="W48" i="20"/>
  <c r="W49" i="20"/>
  <c r="W50" i="20"/>
  <c r="W51" i="20"/>
  <c r="W52" i="20"/>
  <c r="W53" i="20"/>
  <c r="W54" i="20"/>
  <c r="W55" i="20"/>
  <c r="W56" i="20"/>
  <c r="W57" i="20"/>
  <c r="W58" i="20"/>
  <c r="W59" i="20"/>
  <c r="W60" i="20"/>
  <c r="W61" i="20"/>
  <c r="W62" i="20"/>
  <c r="X4" i="20"/>
  <c r="X5" i="20"/>
  <c r="X6" i="20"/>
  <c r="X7" i="20"/>
  <c r="X8" i="20"/>
  <c r="X9" i="20"/>
  <c r="X10" i="20"/>
  <c r="X11" i="20"/>
  <c r="X12" i="20"/>
  <c r="X13" i="20"/>
  <c r="X14" i="20"/>
  <c r="X15" i="20"/>
  <c r="X16" i="20"/>
  <c r="X17" i="20"/>
  <c r="X18" i="20"/>
  <c r="X19" i="20"/>
  <c r="X20" i="20"/>
  <c r="X21" i="20"/>
  <c r="X22" i="20"/>
  <c r="X23" i="20"/>
  <c r="X24" i="20"/>
  <c r="X25" i="20"/>
  <c r="X26" i="20"/>
  <c r="X27" i="20"/>
  <c r="X28" i="20"/>
  <c r="X29" i="20"/>
  <c r="X30" i="20"/>
  <c r="X31" i="20"/>
  <c r="X32" i="20"/>
  <c r="X33" i="20"/>
  <c r="X34" i="20"/>
  <c r="X35" i="20"/>
  <c r="X36" i="20"/>
  <c r="X37" i="20"/>
  <c r="X38" i="20"/>
  <c r="X39" i="20"/>
  <c r="X40" i="20"/>
  <c r="X41" i="20"/>
  <c r="X42" i="20"/>
  <c r="X43" i="20"/>
  <c r="X44" i="20"/>
  <c r="X45" i="20"/>
  <c r="X46" i="20"/>
  <c r="X47" i="20"/>
  <c r="X48" i="20"/>
  <c r="X49" i="20"/>
  <c r="X50" i="20"/>
  <c r="X51" i="20"/>
  <c r="X52" i="20"/>
  <c r="X53" i="20"/>
  <c r="X54" i="20"/>
  <c r="X55" i="20"/>
  <c r="X56" i="20"/>
  <c r="X57" i="20"/>
  <c r="X58" i="20"/>
  <c r="X59" i="20"/>
  <c r="X60" i="20"/>
  <c r="X61" i="20"/>
  <c r="X62" i="20"/>
  <c r="Y4" i="20"/>
  <c r="Y5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Z55" i="20" l="1"/>
  <c r="Z51" i="20"/>
  <c r="Z27" i="20"/>
  <c r="Z15" i="20"/>
  <c r="Z43" i="20"/>
  <c r="Z59" i="20"/>
  <c r="Z35" i="20"/>
  <c r="Z19" i="20"/>
  <c r="Z23" i="20"/>
  <c r="Z7" i="20"/>
  <c r="Z39" i="20"/>
  <c r="Z11" i="20"/>
  <c r="Z62" i="20"/>
  <c r="Z54" i="20"/>
  <c r="Z46" i="20"/>
  <c r="Z38" i="20"/>
  <c r="Z30" i="20"/>
  <c r="Z22" i="20"/>
  <c r="Z14" i="20"/>
  <c r="Z6" i="20"/>
  <c r="Z49" i="20"/>
  <c r="Z41" i="20"/>
  <c r="Z33" i="20"/>
  <c r="Z25" i="20"/>
  <c r="Z17" i="20"/>
  <c r="Z9" i="20"/>
  <c r="Z60" i="20"/>
  <c r="Z52" i="20"/>
  <c r="Z44" i="20"/>
  <c r="Z36" i="20"/>
  <c r="Z28" i="20"/>
  <c r="Z20" i="20"/>
  <c r="Z12" i="20"/>
  <c r="Z4" i="20"/>
  <c r="Z58" i="20"/>
  <c r="Z34" i="20"/>
  <c r="Z10" i="20"/>
  <c r="Z45" i="20"/>
  <c r="Z21" i="20"/>
  <c r="Z56" i="20"/>
  <c r="Z32" i="20"/>
  <c r="Z8" i="20"/>
  <c r="Z50" i="20"/>
  <c r="Z26" i="20"/>
  <c r="Z61" i="20"/>
  <c r="Z37" i="20"/>
  <c r="Z13" i="20"/>
  <c r="Z48" i="20"/>
  <c r="Z24" i="20"/>
  <c r="Z42" i="20"/>
  <c r="Z18" i="20"/>
  <c r="Z53" i="20"/>
  <c r="Z29" i="20"/>
  <c r="Z5" i="20"/>
  <c r="Z40" i="20"/>
  <c r="Z16" i="20"/>
  <c r="U11" i="16" l="1"/>
  <c r="U4" i="16" l="1"/>
  <c r="U9" i="16" l="1"/>
  <c r="U10" i="16" l="1"/>
  <c r="D3" i="19" l="1"/>
  <c r="E44" i="16" l="1"/>
  <c r="D19" i="19"/>
  <c r="E51" i="21" s="1"/>
  <c r="E43" i="21"/>
  <c r="E55" i="21" s="1"/>
  <c r="D15" i="19"/>
  <c r="E47" i="21" s="1"/>
  <c r="D18" i="19"/>
  <c r="E50" i="21" s="1"/>
  <c r="D14" i="19"/>
  <c r="E46" i="21" s="1"/>
  <c r="D17" i="19"/>
  <c r="E49" i="21" s="1"/>
  <c r="D13" i="19"/>
  <c r="E45" i="21" s="1"/>
  <c r="D12" i="19"/>
  <c r="E44" i="21" s="1"/>
  <c r="D16" i="19"/>
  <c r="E48" i="21" s="1"/>
  <c r="D11" i="19"/>
  <c r="E11" i="19" s="1"/>
  <c r="F11" i="19" s="1"/>
  <c r="G11" i="19" s="1"/>
  <c r="H11" i="19" s="1"/>
  <c r="I11" i="19" s="1"/>
  <c r="J11" i="19" s="1"/>
  <c r="K11" i="19" s="1"/>
  <c r="L11" i="19" s="1"/>
  <c r="M11" i="19" s="1"/>
  <c r="N11" i="19" s="1"/>
  <c r="O11" i="19" s="1"/>
  <c r="D5" i="19"/>
  <c r="E46" i="16" s="1"/>
  <c r="D6" i="19"/>
  <c r="E47" i="16" s="1"/>
  <c r="D4" i="19"/>
  <c r="E45" i="16" s="1"/>
  <c r="E3" i="19"/>
  <c r="E19" i="19" s="1"/>
  <c r="F51" i="21" s="1"/>
  <c r="F44" i="16" l="1"/>
  <c r="G44" i="16" s="1"/>
  <c r="H44" i="16" s="1"/>
  <c r="I44" i="16" s="1"/>
  <c r="J44" i="16" s="1"/>
  <c r="K44" i="16" s="1"/>
  <c r="L44" i="16" s="1"/>
  <c r="M44" i="16" s="1"/>
  <c r="N44" i="16" s="1"/>
  <c r="O44" i="16" s="1"/>
  <c r="P44" i="16" s="1"/>
  <c r="E53" i="16"/>
  <c r="P43" i="16"/>
  <c r="E63" i="21"/>
  <c r="F63" i="21"/>
  <c r="M63" i="21" s="1"/>
  <c r="E52" i="21"/>
  <c r="F43" i="21"/>
  <c r="G43" i="21" s="1"/>
  <c r="H43" i="21" s="1"/>
  <c r="I43" i="21" s="1"/>
  <c r="J43" i="21" s="1"/>
  <c r="K43" i="21" s="1"/>
  <c r="L43" i="21" s="1"/>
  <c r="M43" i="21" s="1"/>
  <c r="N43" i="21" s="1"/>
  <c r="O43" i="21" s="1"/>
  <c r="P43" i="21" s="1"/>
  <c r="P42" i="21"/>
  <c r="E60" i="21"/>
  <c r="E59" i="21"/>
  <c r="E57" i="21"/>
  <c r="E61" i="21"/>
  <c r="E58" i="21"/>
  <c r="E62" i="21"/>
  <c r="E48" i="16"/>
  <c r="E12" i="19"/>
  <c r="F44" i="21" s="1"/>
  <c r="E14" i="19"/>
  <c r="E17" i="19"/>
  <c r="E15" i="19"/>
  <c r="E18" i="19"/>
  <c r="E13" i="19"/>
  <c r="E16" i="19"/>
  <c r="E55" i="16"/>
  <c r="E56" i="21"/>
  <c r="E6" i="19"/>
  <c r="F47" i="16" s="1"/>
  <c r="E4" i="19"/>
  <c r="F45" i="16" s="1"/>
  <c r="E5" i="19"/>
  <c r="F46" i="16" s="1"/>
  <c r="F3" i="19"/>
  <c r="F19" i="19" s="1"/>
  <c r="G51" i="21" s="1"/>
  <c r="D7" i="19"/>
  <c r="E56" i="16"/>
  <c r="F46" i="21" l="1"/>
  <c r="F58" i="21" s="1"/>
  <c r="M58" i="21" s="1"/>
  <c r="F49" i="21"/>
  <c r="F61" i="21" s="1"/>
  <c r="M61" i="21" s="1"/>
  <c r="F48" i="21"/>
  <c r="F60" i="21" s="1"/>
  <c r="M60" i="21" s="1"/>
  <c r="F45" i="21"/>
  <c r="F50" i="21"/>
  <c r="F62" i="21" s="1"/>
  <c r="M62" i="21" s="1"/>
  <c r="F47" i="21"/>
  <c r="F59" i="21" s="1"/>
  <c r="M59" i="21" s="1"/>
  <c r="E64" i="21"/>
  <c r="F56" i="21"/>
  <c r="F48" i="16"/>
  <c r="F17" i="19"/>
  <c r="G49" i="21" s="1"/>
  <c r="F12" i="19"/>
  <c r="G44" i="21" s="1"/>
  <c r="F16" i="19"/>
  <c r="G48" i="21" s="1"/>
  <c r="F15" i="19"/>
  <c r="G47" i="21" s="1"/>
  <c r="F18" i="19"/>
  <c r="G50" i="21" s="1"/>
  <c r="F14" i="19"/>
  <c r="G46" i="21" s="1"/>
  <c r="F13" i="19"/>
  <c r="G45" i="21" s="1"/>
  <c r="F55" i="16"/>
  <c r="M55" i="16" s="1"/>
  <c r="G3" i="19"/>
  <c r="G19" i="19" s="1"/>
  <c r="F6" i="19"/>
  <c r="G47" i="16" s="1"/>
  <c r="F5" i="19"/>
  <c r="G46" i="16" s="1"/>
  <c r="F4" i="19"/>
  <c r="E54" i="16"/>
  <c r="E7" i="19"/>
  <c r="F52" i="21" l="1"/>
  <c r="F57" i="21"/>
  <c r="M57" i="21" s="1"/>
  <c r="H51" i="21"/>
  <c r="G63" i="21" s="1"/>
  <c r="N63" i="21" s="1"/>
  <c r="G52" i="21"/>
  <c r="M56" i="21"/>
  <c r="G45" i="16"/>
  <c r="G48" i="16" s="1"/>
  <c r="E57" i="16"/>
  <c r="F56" i="16"/>
  <c r="M56" i="16" s="1"/>
  <c r="G14" i="19"/>
  <c r="G17" i="19"/>
  <c r="G12" i="19"/>
  <c r="H44" i="21" s="1"/>
  <c r="G13" i="19"/>
  <c r="G15" i="19"/>
  <c r="G16" i="19"/>
  <c r="G18" i="19"/>
  <c r="F54" i="16"/>
  <c r="M54" i="16" s="1"/>
  <c r="F7" i="19"/>
  <c r="G5" i="19"/>
  <c r="H46" i="16" s="1"/>
  <c r="H3" i="19"/>
  <c r="H19" i="19" s="1"/>
  <c r="I51" i="21" s="1"/>
  <c r="G4" i="19"/>
  <c r="G6" i="19"/>
  <c r="H47" i="16" s="1"/>
  <c r="H49" i="21" l="1"/>
  <c r="G61" i="21" s="1"/>
  <c r="N61" i="21" s="1"/>
  <c r="H50" i="21"/>
  <c r="G62" i="21" s="1"/>
  <c r="N62" i="21" s="1"/>
  <c r="F64" i="21"/>
  <c r="M64" i="21" s="1"/>
  <c r="H48" i="21"/>
  <c r="G60" i="21" s="1"/>
  <c r="N60" i="21" s="1"/>
  <c r="H47" i="21"/>
  <c r="G59" i="21" s="1"/>
  <c r="N59" i="21" s="1"/>
  <c r="H45" i="21"/>
  <c r="G57" i="21" s="1"/>
  <c r="N57" i="21" s="1"/>
  <c r="H46" i="21"/>
  <c r="G58" i="21" s="1"/>
  <c r="N58" i="21" s="1"/>
  <c r="H45" i="16"/>
  <c r="H48" i="16" s="1"/>
  <c r="F57" i="16"/>
  <c r="M57" i="16" s="1"/>
  <c r="H14" i="19"/>
  <c r="I46" i="21" s="1"/>
  <c r="H17" i="19"/>
  <c r="I49" i="21" s="1"/>
  <c r="H16" i="19"/>
  <c r="I48" i="21" s="1"/>
  <c r="H12" i="19"/>
  <c r="I44" i="21" s="1"/>
  <c r="H18" i="19"/>
  <c r="I50" i="21" s="1"/>
  <c r="H13" i="19"/>
  <c r="I45" i="21" s="1"/>
  <c r="H15" i="19"/>
  <c r="I47" i="21" s="1"/>
  <c r="G56" i="21"/>
  <c r="G56" i="16"/>
  <c r="N56" i="16" s="1"/>
  <c r="G55" i="16"/>
  <c r="N55" i="16" s="1"/>
  <c r="G7" i="19"/>
  <c r="I3" i="19"/>
  <c r="I19" i="19" s="1"/>
  <c r="J51" i="21" s="1"/>
  <c r="H6" i="19"/>
  <c r="I47" i="16" s="1"/>
  <c r="H5" i="19"/>
  <c r="I46" i="16" s="1"/>
  <c r="H4" i="19"/>
  <c r="H52" i="21" l="1"/>
  <c r="G64" i="21"/>
  <c r="I52" i="21"/>
  <c r="N56" i="21"/>
  <c r="I45" i="16"/>
  <c r="I48" i="16" s="1"/>
  <c r="I16" i="19"/>
  <c r="J48" i="21" s="1"/>
  <c r="I15" i="19"/>
  <c r="J47" i="21" s="1"/>
  <c r="I14" i="19"/>
  <c r="J46" i="21" s="1"/>
  <c r="I13" i="19"/>
  <c r="J45" i="21" s="1"/>
  <c r="I17" i="19"/>
  <c r="J49" i="21" s="1"/>
  <c r="I18" i="19"/>
  <c r="J50" i="21" s="1"/>
  <c r="I12" i="19"/>
  <c r="J44" i="21" s="1"/>
  <c r="H7" i="19"/>
  <c r="I5" i="19"/>
  <c r="J46" i="16" s="1"/>
  <c r="J3" i="19"/>
  <c r="J19" i="19" s="1"/>
  <c r="I4" i="19"/>
  <c r="I6" i="19"/>
  <c r="J47" i="16" s="1"/>
  <c r="G54" i="16"/>
  <c r="N54" i="16" s="1"/>
  <c r="N64" i="21" l="1"/>
  <c r="K51" i="21"/>
  <c r="H63" i="21" s="1"/>
  <c r="O63" i="21" s="1"/>
  <c r="J52" i="21"/>
  <c r="J45" i="16"/>
  <c r="J48" i="16" s="1"/>
  <c r="G57" i="16"/>
  <c r="N57" i="16" s="1"/>
  <c r="J13" i="19"/>
  <c r="J16" i="19"/>
  <c r="J18" i="19"/>
  <c r="J14" i="19"/>
  <c r="J17" i="19"/>
  <c r="J12" i="19"/>
  <c r="K44" i="21" s="1"/>
  <c r="J15" i="19"/>
  <c r="I7" i="19"/>
  <c r="J6" i="19"/>
  <c r="K47" i="16" s="1"/>
  <c r="J4" i="19"/>
  <c r="J5" i="19"/>
  <c r="K46" i="16" s="1"/>
  <c r="K3" i="19"/>
  <c r="K19" i="19" s="1"/>
  <c r="L51" i="21" s="1"/>
  <c r="K45" i="21" l="1"/>
  <c r="H57" i="21" s="1"/>
  <c r="O57" i="21" s="1"/>
  <c r="K50" i="21"/>
  <c r="H62" i="21" s="1"/>
  <c r="O62" i="21" s="1"/>
  <c r="K47" i="21"/>
  <c r="K49" i="21"/>
  <c r="H61" i="21" s="1"/>
  <c r="O61" i="21" s="1"/>
  <c r="K48" i="21"/>
  <c r="H60" i="21" s="1"/>
  <c r="O60" i="21" s="1"/>
  <c r="K46" i="21"/>
  <c r="H58" i="21" s="1"/>
  <c r="O58" i="21" s="1"/>
  <c r="K45" i="16"/>
  <c r="K48" i="16" s="1"/>
  <c r="K18" i="19"/>
  <c r="L50" i="21" s="1"/>
  <c r="K13" i="19"/>
  <c r="L45" i="21" s="1"/>
  <c r="K16" i="19"/>
  <c r="L48" i="21" s="1"/>
  <c r="K17" i="19"/>
  <c r="L49" i="21" s="1"/>
  <c r="K12" i="19"/>
  <c r="L44" i="21" s="1"/>
  <c r="K14" i="19"/>
  <c r="L46" i="21" s="1"/>
  <c r="K15" i="19"/>
  <c r="L47" i="21" s="1"/>
  <c r="H56" i="21"/>
  <c r="H55" i="16"/>
  <c r="O55" i="16" s="1"/>
  <c r="H56" i="16"/>
  <c r="O56" i="16" s="1"/>
  <c r="L3" i="19"/>
  <c r="L19" i="19" s="1"/>
  <c r="M51" i="21" s="1"/>
  <c r="K5" i="19"/>
  <c r="L46" i="16" s="1"/>
  <c r="K6" i="19"/>
  <c r="L47" i="16" s="1"/>
  <c r="K4" i="19"/>
  <c r="J7" i="19"/>
  <c r="K52" i="21" l="1"/>
  <c r="H59" i="21"/>
  <c r="O59" i="21" s="1"/>
  <c r="L52" i="21"/>
  <c r="L45" i="16"/>
  <c r="L48" i="16" s="1"/>
  <c r="O56" i="21"/>
  <c r="L15" i="19"/>
  <c r="M47" i="21" s="1"/>
  <c r="L17" i="19"/>
  <c r="M49" i="21" s="1"/>
  <c r="L12" i="19"/>
  <c r="M44" i="21" s="1"/>
  <c r="L18" i="19"/>
  <c r="M50" i="21" s="1"/>
  <c r="L13" i="19"/>
  <c r="M45" i="21" s="1"/>
  <c r="L16" i="19"/>
  <c r="M48" i="21" s="1"/>
  <c r="L14" i="19"/>
  <c r="M46" i="21" s="1"/>
  <c r="H54" i="16"/>
  <c r="O54" i="16" s="1"/>
  <c r="K7" i="19"/>
  <c r="L5" i="19"/>
  <c r="M46" i="16" s="1"/>
  <c r="L4" i="19"/>
  <c r="M3" i="19"/>
  <c r="M19" i="19" s="1"/>
  <c r="N51" i="21" s="1"/>
  <c r="L6" i="19"/>
  <c r="M47" i="16" s="1"/>
  <c r="H64" i="21" l="1"/>
  <c r="O64" i="21" s="1"/>
  <c r="M52" i="21"/>
  <c r="M45" i="16"/>
  <c r="M48" i="16" s="1"/>
  <c r="H57" i="16"/>
  <c r="O57" i="16" s="1"/>
  <c r="M12" i="19"/>
  <c r="N44" i="21" s="1"/>
  <c r="M15" i="19"/>
  <c r="N47" i="21" s="1"/>
  <c r="M14" i="19"/>
  <c r="N46" i="21" s="1"/>
  <c r="M18" i="19"/>
  <c r="N50" i="21" s="1"/>
  <c r="M13" i="19"/>
  <c r="N45" i="21" s="1"/>
  <c r="M17" i="19"/>
  <c r="N49" i="21" s="1"/>
  <c r="M16" i="19"/>
  <c r="N48" i="21" s="1"/>
  <c r="M5" i="19"/>
  <c r="N46" i="16" s="1"/>
  <c r="N3" i="19"/>
  <c r="N19" i="19" s="1"/>
  <c r="O51" i="21" s="1"/>
  <c r="M6" i="19"/>
  <c r="N47" i="16" s="1"/>
  <c r="M4" i="19"/>
  <c r="L7" i="19"/>
  <c r="N52" i="21" l="1"/>
  <c r="N45" i="16"/>
  <c r="N48" i="16" s="1"/>
  <c r="N17" i="19"/>
  <c r="O49" i="21" s="1"/>
  <c r="N12" i="19"/>
  <c r="O44" i="21" s="1"/>
  <c r="N14" i="19"/>
  <c r="O46" i="21" s="1"/>
  <c r="N15" i="19"/>
  <c r="O47" i="21" s="1"/>
  <c r="N18" i="19"/>
  <c r="O50" i="21" s="1"/>
  <c r="N13" i="19"/>
  <c r="O45" i="21" s="1"/>
  <c r="N16" i="19"/>
  <c r="O48" i="21" s="1"/>
  <c r="O3" i="19"/>
  <c r="O19" i="19" s="1"/>
  <c r="N4" i="19"/>
  <c r="N5" i="19"/>
  <c r="O46" i="16" s="1"/>
  <c r="N6" i="19"/>
  <c r="O47" i="16" s="1"/>
  <c r="M7" i="19"/>
  <c r="P51" i="21" l="1"/>
  <c r="I63" i="21" s="1"/>
  <c r="P63" i="21" s="1"/>
  <c r="O52" i="21"/>
  <c r="O45" i="16"/>
  <c r="O14" i="19"/>
  <c r="O17" i="19"/>
  <c r="O13" i="19"/>
  <c r="O12" i="19"/>
  <c r="P44" i="21" s="1"/>
  <c r="O16" i="19"/>
  <c r="O15" i="19"/>
  <c r="O18" i="19"/>
  <c r="N7" i="19"/>
  <c r="O5" i="19"/>
  <c r="P46" i="16" s="1"/>
  <c r="O6" i="19"/>
  <c r="P47" i="16" s="1"/>
  <c r="O4" i="19"/>
  <c r="P50" i="21" l="1"/>
  <c r="I62" i="21" s="1"/>
  <c r="P62" i="21" s="1"/>
  <c r="P49" i="21"/>
  <c r="I61" i="21" s="1"/>
  <c r="P61" i="21" s="1"/>
  <c r="P47" i="21"/>
  <c r="I59" i="21" s="1"/>
  <c r="P59" i="21" s="1"/>
  <c r="P45" i="21"/>
  <c r="P46" i="21"/>
  <c r="I58" i="21" s="1"/>
  <c r="P58" i="21" s="1"/>
  <c r="P48" i="21"/>
  <c r="I60" i="21" s="1"/>
  <c r="P60" i="21" s="1"/>
  <c r="O48" i="16"/>
  <c r="P45" i="16"/>
  <c r="P48" i="16" s="1"/>
  <c r="I56" i="16"/>
  <c r="P56" i="16" s="1"/>
  <c r="I56" i="21"/>
  <c r="I55" i="16"/>
  <c r="P55" i="16" s="1"/>
  <c r="O7" i="19"/>
  <c r="P52" i="21" l="1"/>
  <c r="I57" i="21"/>
  <c r="P57" i="21" s="1"/>
  <c r="P56" i="21"/>
  <c r="I54" i="16"/>
  <c r="I64" i="21" l="1"/>
  <c r="P64" i="21" s="1"/>
  <c r="I57" i="16"/>
  <c r="P57" i="16" s="1"/>
  <c r="P54" i="16"/>
</calcChain>
</file>

<file path=xl/connections.xml><?xml version="1.0" encoding="utf-8"?>
<connections xmlns="http://schemas.openxmlformats.org/spreadsheetml/2006/main">
  <connection id="1" name="175KQuery" type="1" refreshedVersion="4" savePassword="1" saveData="1">
    <dbPr connection="DSN=Agency" command="select b.issueDate, IssueAmount = sum(issueAmount) from fhl.sec b, fhl.aolsquartile q where b.issueid = q.issueid and Collateraltype = 'LOAN' and b.marketTicker = 'FGLMC' and q.q4max &gt; 150000 and q.q4Max &lt;= 175000 and q.asOf = b.issueDate and b.issueDate &gt;= '20100801' and b.issueDate &lt;= '20150601' group by b.issueDate order by issuedate "/>
  </connection>
  <connection id="2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01' and AsOf &gt;= '20070101' and AsOf not in (  '20090501','20090601', '20090701', '20070601', '20070701')Group by Asof order by asof desc"/>
  </connection>
  <connection id="3" name="CQQuery1" type="1" refreshedVersion="4" savePassword="1" saveData="1">
    <dbPr connection="DSN=Agency" command="select b.marketTicker, issueDate, description, issueAmount = Sum(issueAmount) from fhl.Sec b join (select marketTicker,description from fhl.ReportPrefix  group by  marketTicker,description) r on b.marketTicker = r.marketTicker where b.marketTicker = 'FGU6' and b.issueDate &gt;= '20100801' and b.issueDate &lt;= '20150601' Group by b.marketTicker, issueDate, Description order by b.marketTicker, issueDate, Description "/>
  </connection>
  <connection id="4" name="CRQuery1" type="1" refreshedVersion="4" savePassword="1" saveData="1">
    <dbPr connection="DSN=Agency" command="select b.marketTicker, issueDate, description, issueAmount = Sum(issueAmount) from fhl.Sec b join (select marketTicker,description from fhl.ReportPrefix  group by  marketTicker,description) r on b.marketTicker = r.marketTicker where b.marketTicker = 'FGU9' and b.issueDate &gt;= '20100801' and b.issueDate &lt;= '20150601' Group by b.marketTicker, issueDate, Description order by b.marketTicker, issueDate, Description "/>
  </connection>
  <connection id="5" name="GeoQuery1" type="1" refreshedVersion="4" savePassword="1" saveData="1">
    <dbPr connection="DSN=Agency" command="select b.issueDate, IssueAmount = sum(b.issueAmount) from fhl.sec b, fhl.Geodist di where b.issueid = di.issueid And di.asOf = b.issueDate and b.Collateraltype = 'LOAN' and b.marketTicker = 'FGLMC' and di.state in ('NY','PR') and di.percentRpb &gt;= 100 and b.issueDate &gt;= '20100801' and b.issueDate &lt;= '20150601' group by b.issueDate order by issuedate "/>
  </connection>
  <connection id="6" name="HLBQuery11" type="1" refreshedVersion="4" savePassword="1" saveData="1">
    <dbPr connection="DSN=Agency" command="select b.issueDate, IssueAmount = sum(issueAmount) from fhl.sec b, fhl.aolsquartile q where b.issueid = q.issueid and Collateraltype = 'LOAN' and b.marketTicker = 'FGLMC' and q.q4max &gt; 110000 and q.q4Max &lt;= 150000 and q.asOf = b.issueDate and b.issueDate &gt;= '20100801' and b.issueDate &lt;= '20150601' group by b.issueDate order by issuedate "/>
  </connection>
  <connection id="7" name="InvestorQuery1" type="1" refreshedVersion="4" savePassword="1" saveData="1">
    <dbPr connection="DSN=Agency" command="select b.issueDate, IssueAmount = sum(b.issueAmount)  from fhl.sec b,  fhl.OccupancyDist op where b.issueid = op.issueid And op.asOf = b.issueDate and b.Collateraltype = 'LOAN' and b.marketTicker = 'FGLMC' and op.distributionType = 'INV' and op.percentRpb &gt;= 99.5 and b.issueDate &gt;= '20100801' and b.issueDate &lt;= '20150601' group by b.issueDate order by issuedate "/>
  </connection>
  <connection id="8" name="JumboQuery" type="1" refreshedVersion="4" savePassword="1" saveData="1">
    <dbPr connection="DSN=Agency" command="select b.marketTicker, issueDate, description, issueAmount = Sum(issueAmount) from fnm.Sec b join (select marketTicker,description from fnm.ReportPrefix  group by  marketTicker,description) r on b.marketTicker = r.marketTicker where b.marketTicker in ('FNCK','FNCJ','FNCQ30','FNCR') Group by b.marketTicker, issueDate, Description order by b.marketTicker, issueDate, Description "/>
  </connection>
  <connection id="9" name="JumboQuery1" type="1" refreshedVersion="4" savePassword="1" saveData="1">
    <dbPr connection="DSN=Agency" command="select b.marketTicker, issueDate, description, issueAmount = Sum(issueAmount) from fhl.Sec b join (select marketTicker,description from fhl.ReportPrefix  group by  marketTicker,description) r on b.marketTicker = r.marketTicker where b.marketTicker = 'FGT6' and b.issueDate &gt;= '20100801' and b.issueDate &lt;= '20150601' Group by b.marketTicker, issueDate, Description order by b.marketTicker, issueDate, Description "/>
  </connection>
  <connection id="10" name="LLBQuery111" type="1" refreshedVersion="4" savePassword="1" saveData="1">
    <dbPr connection="DSN=Agency" command="select b.issueDate, IssueAmount = sum(issueAmount) from fhl.sec b, fhl.aolsquartile q where b.issueid = q.issueid and Collateraltype = 'LOAN' and b.marketTicker = 'FGLMC' and q.q4max &gt; 0 and q.q4Max &lt;= 85000 and q.asOf = b.issueDate and b.issueDate &gt;= '20100801' and b.issueDate &lt;= '20150601' group by b.issueDate order by issuedate "/>
  </connection>
  <connection id="11" name="LowFICOQuery1" type="1" refreshedVersion="4" savePassword="1" saveData="1">
    <dbPr connection="DSN=Agency" command="select b.issueDate, LowFICO = sum(b.issueAmount) from fhl.sec b,  fhl.WAOCSQuartile cs where b.issueid = cs.issueid And cs.asOf = b.issueDate  and b.Collateraltype = 'LOAN' and b.marketTicker = 'FGLMC' and cs.q4Max &lt; 700 and cs.q4Max &gt; 350 and b.issueDate &gt;= '20100801' and b.issueDate &lt;= '20150601' group by b.issueDate order by issuedate "/>
  </connection>
  <connection id="12" name="MHAQuery1" type="1" refreshedVersion="4" savePassword="1" saveData="1">
    <dbPr connection="DSN=Agency" command="select b.issueDate, di.issueid, IssueAmount = sum(b.issueAmount) into #tempREFI from fhl.sec b,  fhl.loanpurposeDist di where b.issueid = di.issueid and di.asOf = b.issueDate and b.Collateraltype = 'LOAN' and b.marketTicker = 'FGLMC' and di.distributionType = 'RE-FI' and di.percentRpb &gt;= 100 and b.issueDate &gt;= '20100801' and b.issueDate &lt;= '20150601' group by b.issueDate, di.issueid select b.issueDate, IssueAmount = sum(t.issueAmount) from fhl.sec b,  fhl.WAOLTVQuartile q, #tempREFI t where b.issueid = q.issueid And t.issueid = q.issueid And b.issueDate = t.issueDate And q.asOf = b.issueDate and b.Collateraltype = 'LOAN' and b.marketTicker = 'FGLMC' and q.q4Max &lt;= 105 and q.q1Min &gt; 80 and b.issueDate &gt;= '20100801' and b.issueDate &lt;= '20150601' group by b.issueDate order by b.issuedate "/>
  </connection>
  <connection id="13" name="MLBQuery11" type="1" refreshedVersion="4" savePassword="1" saveData="1">
    <dbPr connection="DSN=Agency" command="select b.issueDate, IssueAmount = sum(issueAmount) from fhl.sec b, fhl.aolsquartile q where b.issueid = q.issueid and Collateraltype = 'LOAN' and b.marketTicker = 'FGLMC' and q.q4max &gt; 85000 and q.q4Max &lt;= 110000 and q.asOf = b.issueDate and b.issueDate &gt;= '20100801' and b.issueDate &lt;= '20150601' group by b.issueDate order by issuedate "/>
  </connection>
  <connection id="14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6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8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1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22" name="TotalQuery1" type="1" refreshedVersion="4" savePassword="1" saveData="1">
    <dbPr connection="DSN=Agency" command="select b.issueDate, IssueAmount = sum(b.issueAmount) from fhl.sec b where b.Collateraltype = 'LOAN' and b.marketTicker = 'FGLMC' and b.issueDate &gt;= '20100801' and b.issueDate &lt;= '20150601' group by b.issueDate order by issuedate "/>
  </connection>
</connections>
</file>

<file path=xl/sharedStrings.xml><?xml version="1.0" encoding="utf-8"?>
<sst xmlns="http://schemas.openxmlformats.org/spreadsheetml/2006/main" count="448" uniqueCount="48">
  <si>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</si>
  <si>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</si>
  <si>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</si>
  <si>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</si>
  <si>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</si>
  <si>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</si>
  <si>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</si>
  <si>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</si>
  <si>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</si>
  <si>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</si>
  <si>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</si>
  <si>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</si>
  <si>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</si>
  <si>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6M Chg</t>
  </si>
  <si>
    <t>1Y Chg</t>
  </si>
  <si>
    <t>Month</t>
  </si>
  <si>
    <t>Last Month</t>
  </si>
  <si>
    <t>Report Folder</t>
  </si>
  <si>
    <t>S:\IT\Production\Daily Reports\Primary Market\tmp\</t>
  </si>
  <si>
    <t>marketTicker</t>
  </si>
  <si>
    <t>issueDate</t>
  </si>
  <si>
    <t>description</t>
  </si>
  <si>
    <t>issueAmount</t>
  </si>
  <si>
    <t>CQ</t>
  </si>
  <si>
    <t>CR</t>
  </si>
  <si>
    <t>Jumbo</t>
  </si>
  <si>
    <t>Total</t>
  </si>
  <si>
    <t>Issuance Volume (Million)</t>
  </si>
  <si>
    <t>Changes (Million)</t>
  </si>
  <si>
    <t>IssueAmount</t>
  </si>
  <si>
    <t>175K</t>
  </si>
  <si>
    <t>HLB</t>
  </si>
  <si>
    <t>MLB</t>
  </si>
  <si>
    <t>LLB</t>
  </si>
  <si>
    <t>Low FICO</t>
  </si>
  <si>
    <t>MHA</t>
  </si>
  <si>
    <t>Investor</t>
  </si>
  <si>
    <t>LowFICO</t>
  </si>
  <si>
    <t>Percentage Changes (%)</t>
  </si>
  <si>
    <t>Geo</t>
  </si>
  <si>
    <t>Last Month:</t>
  </si>
  <si>
    <t>%All</t>
  </si>
  <si>
    <t>FGT6</t>
  </si>
  <si>
    <t>Freddie Mac 30 Year Fixed Rate Jumbo Conforming Mortgages</t>
  </si>
  <si>
    <t>FGU6</t>
  </si>
  <si>
    <t>FHLMC GOLD 30YR LTV &gt;105 &lt;= 125</t>
  </si>
  <si>
    <t>FGU9</t>
  </si>
  <si>
    <t>FHLMC GOLD 30YR LTV &gt; 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</si>
</sst>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</font>
    <font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</cellStyleXfs>
  <cellXfs count="50">
    <xf numFmtId="0" fontId="0" fillId="0" borderId="0" xfId="0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164" fontId="8" fillId="7" borderId="38" xfId="0" applyNumberFormat="1" applyFont="1" applyFill="1" applyBorder="1" applyAlignment="1">
      <alignment horizontal="left"/>
    </xf>
    <xf numFmtId="164" fontId="8" fillId="7" borderId="38" xfId="0" applyNumberFormat="1" applyFont="1" applyFill="1" applyBorder="1" applyAlignment="1">
      <alignment horizontal="center"/>
    </xf>
    <xf numFmtId="164" fontId="8" fillId="7" borderId="39" xfId="0" applyNumberFormat="1" applyFont="1" applyFill="1" applyBorder="1" applyAlignment="1">
      <alignment horizontal="center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0" fontId="5" fillId="5" borderId="3" xfId="2" applyFont="1" applyBorder="1" applyAlignment="1">
      <alignment horizontal="left"/>
    </xf>
    <xf numFmtId="14" fontId="131" fillId="0" borderId="0" xfId="0" applyNumberFormat="1" applyFont="1"/>
    <xf numFmtId="0" fontId="131" fillId="0" borderId="0" xfId="0" applyFont="1"/>
    <xf numFmtId="164" fontId="8" fillId="7" borderId="3" xfId="0" applyNumberFormat="1" applyFont="1" applyFill="1" applyBorder="1" applyAlignment="1">
      <alignment horizontal="left"/>
    </xf>
    <xf numFmtId="14" fontId="8" fillId="7" borderId="3" xfId="0" applyNumberFormat="1" applyFont="1" applyFill="1" applyBorder="1" applyAlignment="1">
      <alignment horizontal="center"/>
    </xf>
    <xf numFmtId="164" fontId="7" fillId="0" borderId="3" xfId="1" applyNumberFormat="1" applyFont="1" applyBorder="1" applyAlignment="1">
      <alignment horizontal="left"/>
    </xf>
    <xf numFmtId="2" fontId="4" fillId="0" borderId="3" xfId="1" applyNumberFormat="1" applyFont="1" applyBorder="1" applyAlignment="1">
      <alignment horizontal="center"/>
    </xf>
    <xf numFmtId="2" fontId="7" fillId="0" borderId="3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left"/>
    </xf>
    <xf numFmtId="164" fontId="4" fillId="0" borderId="0" xfId="1" applyNumberFormat="1" applyFont="1" applyBorder="1" applyAlignment="1">
      <alignment horizontal="left"/>
    </xf>
    <xf numFmtId="2" fontId="4" fillId="0" borderId="0" xfId="1" applyNumberFormat="1" applyFont="1" applyBorder="1" applyAlignment="1">
      <alignment horizontal="center"/>
    </xf>
    <xf numFmtId="164" fontId="4" fillId="0" borderId="3" xfId="1" applyNumberFormat="1" applyFont="1" applyBorder="1" applyAlignment="1">
      <alignment horizontal="right"/>
    </xf>
    <xf numFmtId="164" fontId="4" fillId="0" borderId="0" xfId="1" applyNumberFormat="1" applyFont="1" applyBorder="1" applyAlignment="1">
      <alignment horizontal="right"/>
    </xf>
    <xf numFmtId="14" fontId="7" fillId="0" borderId="0" xfId="0" applyNumberFormat="1" applyFont="1"/>
    <xf numFmtId="0" fontId="132" fillId="0" borderId="0" xfId="0" applyFont="1"/>
    <xf numFmtId="0" fontId="131" fillId="0" borderId="0" xfId="0" applyFont="1" applyAlignment="1">
      <alignment horizontal="center"/>
    </xf>
    <xf numFmtId="0" fontId="131" fillId="0" borderId="0" xfId="0" applyNumberFormat="1" applyFont="1"/>
    <xf numFmtId="0" fontId="132" fillId="0" borderId="0" xfId="0" applyNumberFormat="1" applyFont="1"/>
    <xf numFmtId="0" fontId="7" fillId="0" borderId="0" xfId="0" applyNumberFormat="1" applyFont="1"/>
    <xf numFmtId="0" fontId="7" fillId="0" borderId="3" xfId="1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left"/>
    </xf>
    <xf numFmtId="4" fontId="7" fillId="0" borderId="3" xfId="1" applyNumberFormat="1" applyFont="1" applyBorder="1" applyAlignment="1">
      <alignment horizontal="right"/>
    </xf>
    <xf numFmtId="4" fontId="4" fillId="0" borderId="3" xfId="1" applyNumberFormat="1" applyFont="1" applyBorder="1" applyAlignment="1">
      <alignment horizontal="right"/>
    </xf>
    <xf numFmtId="14" fontId="134" fillId="0" borderId="0" xfId="0" applyNumberFormat="1" applyFont="1" applyAlignment="1">
      <alignment horizontal="center"/>
    </xf>
    <xf numFmtId="0" fontId="133" fillId="0" borderId="0" xfId="0" applyNumberFormat="1" applyFont="1"/>
    <xf numFmtId="0" fontId="7" fillId="0" borderId="0" xfId="0" applyFont="1" applyAlignment="1">
      <alignment horizontal="center"/>
    </xf>
    <xf numFmtId="0" fontId="134" fillId="0" borderId="0" xfId="0" applyFont="1" applyAlignment="1">
      <alignment horizontal="right"/>
    </xf>
    <xf numFmtId="9" fontId="132" fillId="0" borderId="0" xfId="1" applyFont="1"/>
    <xf numFmtId="14" fontId="135" fillId="0" borderId="0" xfId="0" applyNumberFormat="1" applyFont="1"/>
    <xf numFmtId="0" fontId="135" fillId="0" borderId="0" xfId="0" applyFont="1"/>
    <xf numFmtId="0" fontId="135" fillId="0" borderId="0" xfId="0" applyNumberFormat="1" applyFont="1"/>
    <xf numFmtId="0" fontId="136" fillId="0" borderId="0" xfId="0" applyNumberFormat="1" applyFont="1"/>
    <xf numFmtId="9" fontId="136" fillId="0" borderId="0" xfId="1" applyFont="1"/>
  </cellXfs>
  <cellStyles count="527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5" xfId="17"/>
    <cellStyle name="20% - Accent2 2" xfId="18"/>
    <cellStyle name="20% - Accent2 3" xfId="19"/>
    <cellStyle name="20% - Accent2 4" xfId="20"/>
    <cellStyle name="20% - Accent3 2" xfId="21"/>
    <cellStyle name="20% - Accent3 3" xfId="22"/>
    <cellStyle name="20% - Accent3 4" xfId="23"/>
    <cellStyle name="20% - Accent4 2" xfId="24"/>
    <cellStyle name="20% - Accent4 3" xfId="25"/>
    <cellStyle name="20% - Accent4 4" xfId="26"/>
    <cellStyle name="20% - Accent5 2" xfId="27"/>
    <cellStyle name="20% - Accent5 3" xfId="28"/>
    <cellStyle name="20% - Accent5 4" xfId="29"/>
    <cellStyle name="20% - Accent6 2" xfId="30"/>
    <cellStyle name="20% - Accent6 3" xfId="31"/>
    <cellStyle name="20% - Accent6 4" xfId="32"/>
    <cellStyle name="40% - Accent1 2" xfId="33"/>
    <cellStyle name="40% - Accent1 3" xfId="34"/>
    <cellStyle name="40% - Accent1 4" xfId="35"/>
    <cellStyle name="40% - Accent2 2" xfId="36"/>
    <cellStyle name="40% - Accent2 3" xfId="37"/>
    <cellStyle name="40% - Accent2 4" xfId="38"/>
    <cellStyle name="40% - Accent3 2" xfId="39"/>
    <cellStyle name="40% - Accent3 3" xfId="40"/>
    <cellStyle name="40% - Accent3 4" xfId="41"/>
    <cellStyle name="40% - Accent4 2" xfId="42"/>
    <cellStyle name="40% - Accent4 3" xfId="43"/>
    <cellStyle name="40% - Accent4 4" xfId="44"/>
    <cellStyle name="40% - Accent5 2" xfId="45"/>
    <cellStyle name="40% - Accent5 3" xfId="46"/>
    <cellStyle name="40% - Accent5 4" xfId="47"/>
    <cellStyle name="40% - Accent6 2" xfId="48"/>
    <cellStyle name="40% - Accent6 3" xfId="49"/>
    <cellStyle name="40% - Accent6 4" xfId="50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3" xfId="126"/>
    <cellStyle name="Cello Calculation 4" xfId="127"/>
    <cellStyle name="Cello Input" xfId="2"/>
    <cellStyle name="Cello Input 2" xfId="128"/>
    <cellStyle name="Cello Input 2 2" xfId="129"/>
    <cellStyle name="Cello Input 2 3" xfId="130"/>
    <cellStyle name="Cello Input 2 5" xfId="131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3" xfId="182"/>
    <cellStyle name="Comma 30" xfId="183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2" xfId="205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Input [yellow]" xfId="288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3" xfId="340"/>
    <cellStyle name="Normal 2 3 2" xfId="341"/>
    <cellStyle name="Normal 2 3 2 2" xfId="342"/>
    <cellStyle name="Normal 2 3 3" xfId="343"/>
    <cellStyle name="Normal 2 4" xfId="344"/>
    <cellStyle name="Normal 2 4 2" xfId="345"/>
    <cellStyle name="Normal 2 4 2 2" xfId="346"/>
    <cellStyle name="Normal 2 4 3" xfId="347"/>
    <cellStyle name="Normal 2 5" xfId="348"/>
    <cellStyle name="Normal 2 5 2" xfId="349"/>
    <cellStyle name="Normal 2 6" xfId="350"/>
    <cellStyle name="Normal 2 7" xfId="351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9" xfId="377"/>
    <cellStyle name="Normal 4" xfId="378"/>
    <cellStyle name="Normal 4 2" xfId="379"/>
    <cellStyle name="Normal 4 3" xfId="380"/>
    <cellStyle name="Normal 4 4" xfId="381"/>
    <cellStyle name="Normal 40" xfId="382"/>
    <cellStyle name="Normal 41" xfId="383"/>
    <cellStyle name="Normal 42" xfId="384"/>
    <cellStyle name="Normal 42 2" xfId="385"/>
    <cellStyle name="Normal 5" xfId="386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5" xfId="401"/>
    <cellStyle name="Note 6" xfId="402"/>
    <cellStyle name="Note 7" xfId="403"/>
    <cellStyle name="Note 7 2" xfId="404"/>
    <cellStyle name="Note 8" xfId="405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ption" xfId="413"/>
    <cellStyle name="orange text cell" xfId="414"/>
    <cellStyle name="Output 2" xfId="415"/>
    <cellStyle name="Output 3" xfId="416"/>
    <cellStyle name="Output 4" xfId="417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3" xfId="431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Indicative" xfId="501"/>
    <cellStyle name="Title Indicative 2" xfId="502"/>
    <cellStyle name="Title Pricing Assumptions" xfId="503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2 8" xfId="508"/>
    <cellStyle name="Title Pricing Assumptions 3 6 4 2 8" xfId="509"/>
    <cellStyle name="Titles - Other" xfId="510"/>
    <cellStyle name="Total 2" xfId="511"/>
    <cellStyle name="Total 2 2" xfId="512"/>
    <cellStyle name="Total 3" xfId="513"/>
    <cellStyle name="Total 4" xfId="514"/>
    <cellStyle name="Warning" xfId="515"/>
    <cellStyle name="Warning Text 2" xfId="516"/>
    <cellStyle name="Warning Text 3" xfId="517"/>
    <cellStyle name="Warning Text 4" xfId="518"/>
    <cellStyle name="YB Calculations" xfId="519"/>
    <cellStyle name="YB Calculations 2" xfId="520"/>
    <cellStyle name="YB Curve" xfId="521"/>
    <cellStyle name="YB Indicative" xfId="522"/>
    <cellStyle name="YBINDIC" xfId="523"/>
    <cellStyle name="YBIOPOBE" xfId="524"/>
    <cellStyle name="YBPRICE" xfId="525"/>
    <cellStyle name="一般_原始檔案" xfId="526"/>
  </cellStyles>
  <dxfs count="57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colors>
    <mruColors>
      <color rgb="FFB5CA92"/>
      <color rgb="FF1B7A76"/>
      <color rgb="FFAD275C"/>
      <color rgb="FF2E398A"/>
      <color rgb="FFC8A52D"/>
      <color rgb="FF8C52E8"/>
      <color rgb="FF2E8A60"/>
      <color rgb="FFC6642E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TBA-Eligible Specified Pool Issuance Volume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'Input-TBA LS'!$Y$3</c:f>
              <c:strCache>
                <c:ptCount val="1"/>
                <c:pt idx="0">
                  <c:v>Geo</c:v>
                </c:pt>
              </c:strCache>
            </c:strRef>
          </c:tx>
          <c:invertIfNegative val="0"/>
          <c:val>
            <c:numRef>
              <c:f>'Input-TBA LS'!$Y$4:$Y$62</c:f>
              <c:numCache>
                <c:formatCode>General</c:formatCode>
                <c:ptCount val="59"/>
                <c:pt idx="0">
                  <c:v>2679074</c:v>
                </c:pt>
                <c:pt idx="1">
                  <c:v>34976553</c:v>
                </c:pt>
                <c:pt idx="2">
                  <c:v>61120484</c:v>
                </c:pt>
                <c:pt idx="3">
                  <c:v>22252476</c:v>
                </c:pt>
                <c:pt idx="4">
                  <c:v>33506820</c:v>
                </c:pt>
                <c:pt idx="5">
                  <c:v>24961146</c:v>
                </c:pt>
                <c:pt idx="6">
                  <c:v>151790281</c:v>
                </c:pt>
                <c:pt idx="7">
                  <c:v>61190158</c:v>
                </c:pt>
                <c:pt idx="8">
                  <c:v>58044117</c:v>
                </c:pt>
                <c:pt idx="9">
                  <c:v>45746541</c:v>
                </c:pt>
                <c:pt idx="10">
                  <c:v>30893711</c:v>
                </c:pt>
                <c:pt idx="11">
                  <c:v>48782137</c:v>
                </c:pt>
                <c:pt idx="12">
                  <c:v>99959670</c:v>
                </c:pt>
                <c:pt idx="13">
                  <c:v>90194724</c:v>
                </c:pt>
                <c:pt idx="14">
                  <c:v>8272911</c:v>
                </c:pt>
                <c:pt idx="15">
                  <c:v>1131000</c:v>
                </c:pt>
                <c:pt idx="16">
                  <c:v>12412740</c:v>
                </c:pt>
                <c:pt idx="17">
                  <c:v>54291644</c:v>
                </c:pt>
                <c:pt idx="18">
                  <c:v>52269782</c:v>
                </c:pt>
                <c:pt idx="19">
                  <c:v>63014008</c:v>
                </c:pt>
                <c:pt idx="20">
                  <c:v>124205849</c:v>
                </c:pt>
                <c:pt idx="21">
                  <c:v>161897985</c:v>
                </c:pt>
                <c:pt idx="22">
                  <c:v>199607036</c:v>
                </c:pt>
                <c:pt idx="23">
                  <c:v>106646749</c:v>
                </c:pt>
                <c:pt idx="24">
                  <c:v>276583347</c:v>
                </c:pt>
                <c:pt idx="25">
                  <c:v>71275658</c:v>
                </c:pt>
                <c:pt idx="26">
                  <c:v>88198188</c:v>
                </c:pt>
                <c:pt idx="27">
                  <c:v>156033740</c:v>
                </c:pt>
                <c:pt idx="28">
                  <c:v>10477615</c:v>
                </c:pt>
                <c:pt idx="29">
                  <c:v>130670077</c:v>
                </c:pt>
                <c:pt idx="30">
                  <c:v>120473845</c:v>
                </c:pt>
                <c:pt idx="31">
                  <c:v>163596203</c:v>
                </c:pt>
                <c:pt idx="32">
                  <c:v>372954455</c:v>
                </c:pt>
                <c:pt idx="33">
                  <c:v>207838058</c:v>
                </c:pt>
                <c:pt idx="34">
                  <c:v>456057803</c:v>
                </c:pt>
                <c:pt idx="35">
                  <c:v>91036077</c:v>
                </c:pt>
                <c:pt idx="36">
                  <c:v>234150216</c:v>
                </c:pt>
                <c:pt idx="37">
                  <c:v>81738741</c:v>
                </c:pt>
                <c:pt idx="38">
                  <c:v>113660465</c:v>
                </c:pt>
                <c:pt idx="39">
                  <c:v>66541224</c:v>
                </c:pt>
                <c:pt idx="40">
                  <c:v>58135544</c:v>
                </c:pt>
                <c:pt idx="41">
                  <c:v>20225038</c:v>
                </c:pt>
                <c:pt idx="42">
                  <c:v>47859600</c:v>
                </c:pt>
                <c:pt idx="43">
                  <c:v>70509868</c:v>
                </c:pt>
                <c:pt idx="44">
                  <c:v>106473700.59</c:v>
                </c:pt>
                <c:pt idx="45">
                  <c:v>88291140</c:v>
                </c:pt>
                <c:pt idx="46">
                  <c:v>89205110</c:v>
                </c:pt>
                <c:pt idx="47">
                  <c:v>71448247</c:v>
                </c:pt>
                <c:pt idx="48">
                  <c:v>170905632</c:v>
                </c:pt>
                <c:pt idx="49">
                  <c:v>176952546</c:v>
                </c:pt>
                <c:pt idx="50">
                  <c:v>258879798</c:v>
                </c:pt>
                <c:pt idx="51">
                  <c:v>264019745</c:v>
                </c:pt>
                <c:pt idx="52">
                  <c:v>161550163</c:v>
                </c:pt>
                <c:pt idx="53">
                  <c:v>257435826</c:v>
                </c:pt>
                <c:pt idx="54">
                  <c:v>388870081</c:v>
                </c:pt>
                <c:pt idx="55">
                  <c:v>142631546</c:v>
                </c:pt>
                <c:pt idx="56">
                  <c:v>255815470</c:v>
                </c:pt>
                <c:pt idx="57">
                  <c:v>318697472</c:v>
                </c:pt>
                <c:pt idx="58">
                  <c:v>251741215</c:v>
                </c:pt>
              </c:numCache>
            </c:numRef>
          </c:val>
        </c:ser>
        <c:ser>
          <c:idx val="6"/>
          <c:order val="1"/>
          <c:tx>
            <c:strRef>
              <c:f>'Input-TBA LS'!$X$3</c:f>
              <c:strCache>
                <c:ptCount val="1"/>
                <c:pt idx="0">
                  <c:v>LLB</c:v>
                </c:pt>
              </c:strCache>
            </c:strRef>
          </c:tx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LS'!$X$4:$X$62</c:f>
              <c:numCache>
                <c:formatCode>General</c:formatCode>
                <c:ptCount val="59"/>
                <c:pt idx="0">
                  <c:v>538132547</c:v>
                </c:pt>
                <c:pt idx="1">
                  <c:v>568131644</c:v>
                </c:pt>
                <c:pt idx="2">
                  <c:v>647447684</c:v>
                </c:pt>
                <c:pt idx="3">
                  <c:v>375675695</c:v>
                </c:pt>
                <c:pt idx="4">
                  <c:v>386859579</c:v>
                </c:pt>
                <c:pt idx="5">
                  <c:v>511749154</c:v>
                </c:pt>
                <c:pt idx="6">
                  <c:v>436017555</c:v>
                </c:pt>
                <c:pt idx="7">
                  <c:v>274367066</c:v>
                </c:pt>
                <c:pt idx="8">
                  <c:v>293420233</c:v>
                </c:pt>
                <c:pt idx="9">
                  <c:v>277021884</c:v>
                </c:pt>
                <c:pt idx="10">
                  <c:v>311686727</c:v>
                </c:pt>
                <c:pt idx="11">
                  <c:v>229451564</c:v>
                </c:pt>
                <c:pt idx="12">
                  <c:v>304644779</c:v>
                </c:pt>
                <c:pt idx="13">
                  <c:v>305750053</c:v>
                </c:pt>
                <c:pt idx="14">
                  <c:v>215380504</c:v>
                </c:pt>
                <c:pt idx="15">
                  <c:v>241883440</c:v>
                </c:pt>
                <c:pt idx="16">
                  <c:v>171759786</c:v>
                </c:pt>
                <c:pt idx="17">
                  <c:v>352145415</c:v>
                </c:pt>
                <c:pt idx="18">
                  <c:v>235521397</c:v>
                </c:pt>
                <c:pt idx="19">
                  <c:v>284751576</c:v>
                </c:pt>
                <c:pt idx="20">
                  <c:v>901244847</c:v>
                </c:pt>
                <c:pt idx="21">
                  <c:v>537905137</c:v>
                </c:pt>
                <c:pt idx="22">
                  <c:v>555820133</c:v>
                </c:pt>
                <c:pt idx="23">
                  <c:v>285310235</c:v>
                </c:pt>
                <c:pt idx="24">
                  <c:v>556871423</c:v>
                </c:pt>
                <c:pt idx="25">
                  <c:v>276309118</c:v>
                </c:pt>
                <c:pt idx="26">
                  <c:v>520579495</c:v>
                </c:pt>
                <c:pt idx="27">
                  <c:v>1067979219</c:v>
                </c:pt>
                <c:pt idx="28">
                  <c:v>328333635</c:v>
                </c:pt>
                <c:pt idx="29">
                  <c:v>649508055</c:v>
                </c:pt>
                <c:pt idx="30">
                  <c:v>576476973</c:v>
                </c:pt>
                <c:pt idx="31">
                  <c:v>511360508</c:v>
                </c:pt>
                <c:pt idx="32">
                  <c:v>669261175</c:v>
                </c:pt>
                <c:pt idx="33">
                  <c:v>572072635</c:v>
                </c:pt>
                <c:pt idx="34">
                  <c:v>618395717</c:v>
                </c:pt>
                <c:pt idx="35">
                  <c:v>307366675</c:v>
                </c:pt>
                <c:pt idx="36">
                  <c:v>482384748</c:v>
                </c:pt>
                <c:pt idx="37">
                  <c:v>337814511</c:v>
                </c:pt>
                <c:pt idx="38">
                  <c:v>339396119</c:v>
                </c:pt>
                <c:pt idx="39">
                  <c:v>496993173.5</c:v>
                </c:pt>
                <c:pt idx="40">
                  <c:v>349665431</c:v>
                </c:pt>
                <c:pt idx="41">
                  <c:v>325439666</c:v>
                </c:pt>
                <c:pt idx="42">
                  <c:v>321211004.85000002</c:v>
                </c:pt>
                <c:pt idx="43">
                  <c:v>221056705</c:v>
                </c:pt>
                <c:pt idx="44">
                  <c:v>294155735</c:v>
                </c:pt>
                <c:pt idx="45">
                  <c:v>280383733</c:v>
                </c:pt>
                <c:pt idx="46">
                  <c:v>307384309</c:v>
                </c:pt>
                <c:pt idx="47">
                  <c:v>296544130</c:v>
                </c:pt>
                <c:pt idx="48">
                  <c:v>442026318</c:v>
                </c:pt>
                <c:pt idx="49">
                  <c:v>342793029</c:v>
                </c:pt>
                <c:pt idx="50">
                  <c:v>372933423</c:v>
                </c:pt>
                <c:pt idx="51">
                  <c:v>378704515</c:v>
                </c:pt>
                <c:pt idx="52">
                  <c:v>353340336</c:v>
                </c:pt>
                <c:pt idx="53">
                  <c:v>316813037</c:v>
                </c:pt>
                <c:pt idx="54">
                  <c:v>421658084</c:v>
                </c:pt>
                <c:pt idx="55">
                  <c:v>265267495</c:v>
                </c:pt>
                <c:pt idx="56">
                  <c:v>332545654</c:v>
                </c:pt>
                <c:pt idx="57">
                  <c:v>366253720</c:v>
                </c:pt>
                <c:pt idx="58">
                  <c:v>355570784</c:v>
                </c:pt>
              </c:numCache>
            </c:numRef>
          </c:val>
        </c:ser>
        <c:ser>
          <c:idx val="5"/>
          <c:order val="2"/>
          <c:tx>
            <c:strRef>
              <c:f>'Input-TBA LS'!$W$3</c:f>
              <c:strCache>
                <c:ptCount val="1"/>
                <c:pt idx="0">
                  <c:v>MLB</c:v>
                </c:pt>
              </c:strCache>
            </c:strRef>
          </c:tx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LS'!$W$4:$W$62</c:f>
              <c:numCache>
                <c:formatCode>General</c:formatCode>
                <c:ptCount val="59"/>
                <c:pt idx="0">
                  <c:v>833371392</c:v>
                </c:pt>
                <c:pt idx="1">
                  <c:v>656164994</c:v>
                </c:pt>
                <c:pt idx="2">
                  <c:v>1099729776</c:v>
                </c:pt>
                <c:pt idx="3">
                  <c:v>781233296</c:v>
                </c:pt>
                <c:pt idx="4">
                  <c:v>703999585</c:v>
                </c:pt>
                <c:pt idx="5">
                  <c:v>842784592</c:v>
                </c:pt>
                <c:pt idx="6">
                  <c:v>837436708</c:v>
                </c:pt>
                <c:pt idx="7">
                  <c:v>428898046</c:v>
                </c:pt>
                <c:pt idx="8">
                  <c:v>453248230</c:v>
                </c:pt>
                <c:pt idx="9">
                  <c:v>425303823</c:v>
                </c:pt>
                <c:pt idx="10">
                  <c:v>442643313</c:v>
                </c:pt>
                <c:pt idx="11">
                  <c:v>352928869</c:v>
                </c:pt>
                <c:pt idx="12">
                  <c:v>453180070</c:v>
                </c:pt>
                <c:pt idx="13">
                  <c:v>532456651</c:v>
                </c:pt>
                <c:pt idx="14">
                  <c:v>388173290</c:v>
                </c:pt>
                <c:pt idx="15">
                  <c:v>365840956</c:v>
                </c:pt>
                <c:pt idx="16">
                  <c:v>295318597</c:v>
                </c:pt>
                <c:pt idx="17">
                  <c:v>624561765</c:v>
                </c:pt>
                <c:pt idx="18">
                  <c:v>439284952</c:v>
                </c:pt>
                <c:pt idx="19">
                  <c:v>496209850</c:v>
                </c:pt>
                <c:pt idx="20">
                  <c:v>840588831</c:v>
                </c:pt>
                <c:pt idx="21">
                  <c:v>899273747</c:v>
                </c:pt>
                <c:pt idx="22">
                  <c:v>563647435</c:v>
                </c:pt>
                <c:pt idx="23">
                  <c:v>1168688144</c:v>
                </c:pt>
                <c:pt idx="24">
                  <c:v>761129869</c:v>
                </c:pt>
                <c:pt idx="25">
                  <c:v>506787994</c:v>
                </c:pt>
                <c:pt idx="26">
                  <c:v>753599550</c:v>
                </c:pt>
                <c:pt idx="27">
                  <c:v>1414282538</c:v>
                </c:pt>
                <c:pt idx="28">
                  <c:v>446521761</c:v>
                </c:pt>
                <c:pt idx="29">
                  <c:v>1032419961</c:v>
                </c:pt>
                <c:pt idx="30">
                  <c:v>934649695</c:v>
                </c:pt>
                <c:pt idx="31">
                  <c:v>772513720</c:v>
                </c:pt>
                <c:pt idx="32">
                  <c:v>1025557151</c:v>
                </c:pt>
                <c:pt idx="33">
                  <c:v>885264199</c:v>
                </c:pt>
                <c:pt idx="34">
                  <c:v>974814228</c:v>
                </c:pt>
                <c:pt idx="35">
                  <c:v>473494457</c:v>
                </c:pt>
                <c:pt idx="36">
                  <c:v>718466297</c:v>
                </c:pt>
                <c:pt idx="37">
                  <c:v>496634805</c:v>
                </c:pt>
                <c:pt idx="38">
                  <c:v>518565474</c:v>
                </c:pt>
                <c:pt idx="39">
                  <c:v>600081537.82000005</c:v>
                </c:pt>
                <c:pt idx="40">
                  <c:v>447863769</c:v>
                </c:pt>
                <c:pt idx="41">
                  <c:v>463773413</c:v>
                </c:pt>
                <c:pt idx="42">
                  <c:v>505220309.32999998</c:v>
                </c:pt>
                <c:pt idx="43">
                  <c:v>342763248</c:v>
                </c:pt>
                <c:pt idx="44">
                  <c:v>452004799</c:v>
                </c:pt>
                <c:pt idx="45">
                  <c:v>448350415</c:v>
                </c:pt>
                <c:pt idx="46">
                  <c:v>494635465</c:v>
                </c:pt>
                <c:pt idx="47">
                  <c:v>483862093</c:v>
                </c:pt>
                <c:pt idx="48">
                  <c:v>747836119</c:v>
                </c:pt>
                <c:pt idx="49">
                  <c:v>583306192</c:v>
                </c:pt>
                <c:pt idx="50">
                  <c:v>633552111</c:v>
                </c:pt>
                <c:pt idx="51">
                  <c:v>594163662</c:v>
                </c:pt>
                <c:pt idx="52">
                  <c:v>538296342</c:v>
                </c:pt>
                <c:pt idx="53">
                  <c:v>510097346</c:v>
                </c:pt>
                <c:pt idx="54">
                  <c:v>622204846</c:v>
                </c:pt>
                <c:pt idx="55">
                  <c:v>430862628</c:v>
                </c:pt>
                <c:pt idx="56">
                  <c:v>539455749</c:v>
                </c:pt>
                <c:pt idx="57">
                  <c:v>598672127</c:v>
                </c:pt>
                <c:pt idx="58">
                  <c:v>703681321</c:v>
                </c:pt>
              </c:numCache>
            </c:numRef>
          </c:val>
        </c:ser>
        <c:ser>
          <c:idx val="4"/>
          <c:order val="3"/>
          <c:tx>
            <c:strRef>
              <c:f>'Input-TBA LS'!$V$3</c:f>
              <c:strCache>
                <c:ptCount val="1"/>
                <c:pt idx="0">
                  <c:v>HLB</c:v>
                </c:pt>
              </c:strCache>
            </c:strRef>
          </c:tx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LS'!$V$4:$V$62</c:f>
              <c:numCache>
                <c:formatCode>General</c:formatCode>
                <c:ptCount val="59"/>
                <c:pt idx="0">
                  <c:v>1839628039</c:v>
                </c:pt>
                <c:pt idx="1">
                  <c:v>1512328422</c:v>
                </c:pt>
                <c:pt idx="2">
                  <c:v>2629248097</c:v>
                </c:pt>
                <c:pt idx="3">
                  <c:v>1693526342</c:v>
                </c:pt>
                <c:pt idx="4">
                  <c:v>1552009978</c:v>
                </c:pt>
                <c:pt idx="5">
                  <c:v>1731756103</c:v>
                </c:pt>
                <c:pt idx="6">
                  <c:v>1749479977</c:v>
                </c:pt>
                <c:pt idx="7">
                  <c:v>864305097</c:v>
                </c:pt>
                <c:pt idx="8">
                  <c:v>915921974</c:v>
                </c:pt>
                <c:pt idx="9">
                  <c:v>795771594</c:v>
                </c:pt>
                <c:pt idx="10">
                  <c:v>817697822</c:v>
                </c:pt>
                <c:pt idx="11">
                  <c:v>733290953</c:v>
                </c:pt>
                <c:pt idx="12">
                  <c:v>1048477086</c:v>
                </c:pt>
                <c:pt idx="13">
                  <c:v>1194944689</c:v>
                </c:pt>
                <c:pt idx="14">
                  <c:v>983326905</c:v>
                </c:pt>
                <c:pt idx="15">
                  <c:v>571770572</c:v>
                </c:pt>
                <c:pt idx="16">
                  <c:v>510636535</c:v>
                </c:pt>
                <c:pt idx="17">
                  <c:v>921049221</c:v>
                </c:pt>
                <c:pt idx="18">
                  <c:v>939561221</c:v>
                </c:pt>
                <c:pt idx="19">
                  <c:v>1110916153</c:v>
                </c:pt>
                <c:pt idx="20">
                  <c:v>2599076923</c:v>
                </c:pt>
                <c:pt idx="21">
                  <c:v>1516431503</c:v>
                </c:pt>
                <c:pt idx="22">
                  <c:v>1487524472</c:v>
                </c:pt>
                <c:pt idx="23">
                  <c:v>1903998845</c:v>
                </c:pt>
                <c:pt idx="24">
                  <c:v>1849037123</c:v>
                </c:pt>
                <c:pt idx="25">
                  <c:v>1100396501</c:v>
                </c:pt>
                <c:pt idx="26">
                  <c:v>1099206035</c:v>
                </c:pt>
                <c:pt idx="27">
                  <c:v>2870346254</c:v>
                </c:pt>
                <c:pt idx="28">
                  <c:v>919314440</c:v>
                </c:pt>
                <c:pt idx="29">
                  <c:v>2188580792</c:v>
                </c:pt>
                <c:pt idx="30">
                  <c:v>1761491330</c:v>
                </c:pt>
                <c:pt idx="31">
                  <c:v>1740173965</c:v>
                </c:pt>
                <c:pt idx="32">
                  <c:v>2177048004</c:v>
                </c:pt>
                <c:pt idx="33">
                  <c:v>1604123728</c:v>
                </c:pt>
                <c:pt idx="34">
                  <c:v>1872625551</c:v>
                </c:pt>
                <c:pt idx="35">
                  <c:v>724839754</c:v>
                </c:pt>
                <c:pt idx="36">
                  <c:v>1222228346</c:v>
                </c:pt>
                <c:pt idx="37">
                  <c:v>969494279</c:v>
                </c:pt>
                <c:pt idx="38">
                  <c:v>1033080312</c:v>
                </c:pt>
                <c:pt idx="39">
                  <c:v>1112618776.6199999</c:v>
                </c:pt>
                <c:pt idx="40">
                  <c:v>971802304</c:v>
                </c:pt>
                <c:pt idx="41">
                  <c:v>851993681</c:v>
                </c:pt>
                <c:pt idx="42">
                  <c:v>946979755.24000001</c:v>
                </c:pt>
                <c:pt idx="43">
                  <c:v>763448064.29999995</c:v>
                </c:pt>
                <c:pt idx="44">
                  <c:v>904052628</c:v>
                </c:pt>
                <c:pt idx="45">
                  <c:v>1026314664</c:v>
                </c:pt>
                <c:pt idx="46">
                  <c:v>1053594219</c:v>
                </c:pt>
                <c:pt idx="47">
                  <c:v>1097667429</c:v>
                </c:pt>
                <c:pt idx="48">
                  <c:v>1633736025</c:v>
                </c:pt>
                <c:pt idx="49">
                  <c:v>1477981822</c:v>
                </c:pt>
                <c:pt idx="50">
                  <c:v>1458767037</c:v>
                </c:pt>
                <c:pt idx="51">
                  <c:v>1450209816</c:v>
                </c:pt>
                <c:pt idx="52">
                  <c:v>1098463911</c:v>
                </c:pt>
                <c:pt idx="53">
                  <c:v>1072190687</c:v>
                </c:pt>
                <c:pt idx="54">
                  <c:v>1643279437.05</c:v>
                </c:pt>
                <c:pt idx="55">
                  <c:v>1017694674.42</c:v>
                </c:pt>
                <c:pt idx="56">
                  <c:v>1449516451</c:v>
                </c:pt>
                <c:pt idx="57">
                  <c:v>1463906020.5699999</c:v>
                </c:pt>
                <c:pt idx="58">
                  <c:v>1611748910</c:v>
                </c:pt>
              </c:numCache>
            </c:numRef>
          </c:val>
        </c:ser>
        <c:ser>
          <c:idx val="3"/>
          <c:order val="4"/>
          <c:tx>
            <c:strRef>
              <c:f>'Input-TBA LS'!$U$3</c:f>
              <c:strCache>
                <c:ptCount val="1"/>
                <c:pt idx="0">
                  <c:v>175K</c:v>
                </c:pt>
              </c:strCache>
            </c:strRef>
          </c:tx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LS'!$U$4:$U$62</c:f>
              <c:numCache>
                <c:formatCode>General</c:formatCode>
                <c:ptCount val="59"/>
                <c:pt idx="0">
                  <c:v>608742932</c:v>
                </c:pt>
                <c:pt idx="1">
                  <c:v>685557740</c:v>
                </c:pt>
                <c:pt idx="2">
                  <c:v>1078988082</c:v>
                </c:pt>
                <c:pt idx="3">
                  <c:v>890183967</c:v>
                </c:pt>
                <c:pt idx="4">
                  <c:v>829317597</c:v>
                </c:pt>
                <c:pt idx="5">
                  <c:v>419371046</c:v>
                </c:pt>
                <c:pt idx="6">
                  <c:v>789292662</c:v>
                </c:pt>
                <c:pt idx="7">
                  <c:v>506629638</c:v>
                </c:pt>
                <c:pt idx="8">
                  <c:v>505184626</c:v>
                </c:pt>
                <c:pt idx="9">
                  <c:v>405966316</c:v>
                </c:pt>
                <c:pt idx="10">
                  <c:v>451810379</c:v>
                </c:pt>
                <c:pt idx="11">
                  <c:v>398581944</c:v>
                </c:pt>
                <c:pt idx="12">
                  <c:v>394159172</c:v>
                </c:pt>
                <c:pt idx="13">
                  <c:v>539816484</c:v>
                </c:pt>
                <c:pt idx="14">
                  <c:v>479584127</c:v>
                </c:pt>
                <c:pt idx="15">
                  <c:v>283902111</c:v>
                </c:pt>
                <c:pt idx="16">
                  <c:v>322327551</c:v>
                </c:pt>
                <c:pt idx="17">
                  <c:v>481024962</c:v>
                </c:pt>
                <c:pt idx="18">
                  <c:v>694514376</c:v>
                </c:pt>
                <c:pt idx="19">
                  <c:v>1432567702</c:v>
                </c:pt>
                <c:pt idx="20">
                  <c:v>783181099</c:v>
                </c:pt>
                <c:pt idx="21">
                  <c:v>431813007</c:v>
                </c:pt>
                <c:pt idx="22">
                  <c:v>924148053</c:v>
                </c:pt>
                <c:pt idx="23">
                  <c:v>422568274</c:v>
                </c:pt>
                <c:pt idx="24">
                  <c:v>1280099553</c:v>
                </c:pt>
                <c:pt idx="25">
                  <c:v>650094432</c:v>
                </c:pt>
                <c:pt idx="26">
                  <c:v>766751420</c:v>
                </c:pt>
                <c:pt idx="27">
                  <c:v>1079953024</c:v>
                </c:pt>
                <c:pt idx="28">
                  <c:v>323067643</c:v>
                </c:pt>
                <c:pt idx="29">
                  <c:v>1153694950</c:v>
                </c:pt>
                <c:pt idx="30">
                  <c:v>965876477</c:v>
                </c:pt>
                <c:pt idx="31">
                  <c:v>1040016439</c:v>
                </c:pt>
                <c:pt idx="32">
                  <c:v>1274427398</c:v>
                </c:pt>
                <c:pt idx="33">
                  <c:v>749272498</c:v>
                </c:pt>
                <c:pt idx="34">
                  <c:v>823694027</c:v>
                </c:pt>
                <c:pt idx="35">
                  <c:v>294929685</c:v>
                </c:pt>
                <c:pt idx="36">
                  <c:v>527418474</c:v>
                </c:pt>
                <c:pt idx="37">
                  <c:v>339118027</c:v>
                </c:pt>
                <c:pt idx="38">
                  <c:v>533602047</c:v>
                </c:pt>
                <c:pt idx="39">
                  <c:v>517808774.26999998</c:v>
                </c:pt>
                <c:pt idx="40">
                  <c:v>473670403</c:v>
                </c:pt>
                <c:pt idx="41">
                  <c:v>392185452.11000001</c:v>
                </c:pt>
                <c:pt idx="42">
                  <c:v>550404607.47000003</c:v>
                </c:pt>
                <c:pt idx="43">
                  <c:v>375249069</c:v>
                </c:pt>
                <c:pt idx="44">
                  <c:v>416415432</c:v>
                </c:pt>
                <c:pt idx="45">
                  <c:v>564864283</c:v>
                </c:pt>
                <c:pt idx="46">
                  <c:v>644674710</c:v>
                </c:pt>
                <c:pt idx="47">
                  <c:v>618421383</c:v>
                </c:pt>
                <c:pt idx="48">
                  <c:v>890806947</c:v>
                </c:pt>
                <c:pt idx="49">
                  <c:v>811054149</c:v>
                </c:pt>
                <c:pt idx="50">
                  <c:v>834289293</c:v>
                </c:pt>
                <c:pt idx="51">
                  <c:v>841223651</c:v>
                </c:pt>
                <c:pt idx="52">
                  <c:v>476097149</c:v>
                </c:pt>
                <c:pt idx="53">
                  <c:v>630714003</c:v>
                </c:pt>
                <c:pt idx="54">
                  <c:v>911241795</c:v>
                </c:pt>
                <c:pt idx="55">
                  <c:v>564532496</c:v>
                </c:pt>
                <c:pt idx="56">
                  <c:v>752547968</c:v>
                </c:pt>
                <c:pt idx="57">
                  <c:v>855524212</c:v>
                </c:pt>
                <c:pt idx="58">
                  <c:v>764811297</c:v>
                </c:pt>
              </c:numCache>
            </c:numRef>
          </c:val>
        </c:ser>
        <c:ser>
          <c:idx val="2"/>
          <c:order val="5"/>
          <c:tx>
            <c:strRef>
              <c:f>'Input-TBA LS'!$T$3</c:f>
              <c:strCache>
                <c:ptCount val="1"/>
                <c:pt idx="0">
                  <c:v>Investor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LS'!$T$4:$T$62</c:f>
              <c:numCache>
                <c:formatCode>General</c:formatCode>
                <c:ptCount val="59"/>
                <c:pt idx="0">
                  <c:v>443967577</c:v>
                </c:pt>
                <c:pt idx="1">
                  <c:v>507318592</c:v>
                </c:pt>
                <c:pt idx="2">
                  <c:v>407545960</c:v>
                </c:pt>
                <c:pt idx="3">
                  <c:v>444979096</c:v>
                </c:pt>
                <c:pt idx="4">
                  <c:v>447457903</c:v>
                </c:pt>
                <c:pt idx="5">
                  <c:v>493967704</c:v>
                </c:pt>
                <c:pt idx="6">
                  <c:v>483170368</c:v>
                </c:pt>
                <c:pt idx="7">
                  <c:v>388691396</c:v>
                </c:pt>
                <c:pt idx="8">
                  <c:v>360565672</c:v>
                </c:pt>
                <c:pt idx="9">
                  <c:v>411813798</c:v>
                </c:pt>
                <c:pt idx="10">
                  <c:v>487397439</c:v>
                </c:pt>
                <c:pt idx="11">
                  <c:v>463132709</c:v>
                </c:pt>
                <c:pt idx="12">
                  <c:v>321185221</c:v>
                </c:pt>
                <c:pt idx="13">
                  <c:v>309575291</c:v>
                </c:pt>
                <c:pt idx="14">
                  <c:v>262874044</c:v>
                </c:pt>
                <c:pt idx="15">
                  <c:v>217455356</c:v>
                </c:pt>
                <c:pt idx="16">
                  <c:v>105100026</c:v>
                </c:pt>
                <c:pt idx="17">
                  <c:v>364965834</c:v>
                </c:pt>
                <c:pt idx="18">
                  <c:v>392505292</c:v>
                </c:pt>
                <c:pt idx="19">
                  <c:v>221491311</c:v>
                </c:pt>
                <c:pt idx="20">
                  <c:v>79251770</c:v>
                </c:pt>
                <c:pt idx="21">
                  <c:v>158143994</c:v>
                </c:pt>
                <c:pt idx="22">
                  <c:v>165727950</c:v>
                </c:pt>
                <c:pt idx="23">
                  <c:v>102241861</c:v>
                </c:pt>
                <c:pt idx="24">
                  <c:v>300232858</c:v>
                </c:pt>
                <c:pt idx="25">
                  <c:v>319794876</c:v>
                </c:pt>
                <c:pt idx="26">
                  <c:v>201954271</c:v>
                </c:pt>
                <c:pt idx="27">
                  <c:v>341683957</c:v>
                </c:pt>
                <c:pt idx="28">
                  <c:v>74308382</c:v>
                </c:pt>
                <c:pt idx="29">
                  <c:v>484538977</c:v>
                </c:pt>
                <c:pt idx="30">
                  <c:v>667689851</c:v>
                </c:pt>
                <c:pt idx="31">
                  <c:v>347026218</c:v>
                </c:pt>
                <c:pt idx="32">
                  <c:v>673479406</c:v>
                </c:pt>
                <c:pt idx="33">
                  <c:v>708919283</c:v>
                </c:pt>
                <c:pt idx="34">
                  <c:v>748460873</c:v>
                </c:pt>
                <c:pt idx="35">
                  <c:v>325931943</c:v>
                </c:pt>
                <c:pt idx="36">
                  <c:v>244543132</c:v>
                </c:pt>
                <c:pt idx="37">
                  <c:v>129615075</c:v>
                </c:pt>
                <c:pt idx="38">
                  <c:v>107752807</c:v>
                </c:pt>
                <c:pt idx="39">
                  <c:v>195748557</c:v>
                </c:pt>
                <c:pt idx="40">
                  <c:v>125770526</c:v>
                </c:pt>
                <c:pt idx="41">
                  <c:v>63334259</c:v>
                </c:pt>
                <c:pt idx="42">
                  <c:v>142803561</c:v>
                </c:pt>
                <c:pt idx="43">
                  <c:v>108037656</c:v>
                </c:pt>
                <c:pt idx="44">
                  <c:v>149413778</c:v>
                </c:pt>
                <c:pt idx="45">
                  <c:v>149306791</c:v>
                </c:pt>
                <c:pt idx="46">
                  <c:v>134169623</c:v>
                </c:pt>
                <c:pt idx="47">
                  <c:v>179061576</c:v>
                </c:pt>
                <c:pt idx="48">
                  <c:v>146726747</c:v>
                </c:pt>
                <c:pt idx="49">
                  <c:v>105197408</c:v>
                </c:pt>
                <c:pt idx="50">
                  <c:v>131710850</c:v>
                </c:pt>
                <c:pt idx="51">
                  <c:v>195083845</c:v>
                </c:pt>
                <c:pt idx="52">
                  <c:v>54314673</c:v>
                </c:pt>
                <c:pt idx="53">
                  <c:v>#N/A</c:v>
                </c:pt>
                <c:pt idx="54">
                  <c:v>25151732</c:v>
                </c:pt>
                <c:pt idx="55">
                  <c:v>19009106.420000002</c:v>
                </c:pt>
                <c:pt idx="56">
                  <c:v>11152526</c:v>
                </c:pt>
                <c:pt idx="57">
                  <c:v>52180960</c:v>
                </c:pt>
                <c:pt idx="58">
                  <c:v>113426215</c:v>
                </c:pt>
              </c:numCache>
            </c:numRef>
          </c:val>
        </c:ser>
        <c:ser>
          <c:idx val="1"/>
          <c:order val="6"/>
          <c:tx>
            <c:strRef>
              <c:f>'Input-TBA LS'!$S$3</c:f>
              <c:strCache>
                <c:ptCount val="1"/>
                <c:pt idx="0">
                  <c:v>MHA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LS'!$S$4:$S$62</c:f>
              <c:numCache>
                <c:formatCode>General</c:formatCode>
                <c:ptCount val="59"/>
                <c:pt idx="0">
                  <c:v>28057952</c:v>
                </c:pt>
                <c:pt idx="1">
                  <c:v>1429719934</c:v>
                </c:pt>
                <c:pt idx="2">
                  <c:v>1728511358</c:v>
                </c:pt>
                <c:pt idx="3">
                  <c:v>1711944367</c:v>
                </c:pt>
                <c:pt idx="4">
                  <c:v>1684345087</c:v>
                </c:pt>
                <c:pt idx="5">
                  <c:v>1064948699</c:v>
                </c:pt>
                <c:pt idx="6">
                  <c:v>2192462176</c:v>
                </c:pt>
                <c:pt idx="7">
                  <c:v>1193980671</c:v>
                </c:pt>
                <c:pt idx="8">
                  <c:v>1044047253</c:v>
                </c:pt>
                <c:pt idx="9">
                  <c:v>719795195</c:v>
                </c:pt>
                <c:pt idx="10">
                  <c:v>825039209</c:v>
                </c:pt>
                <c:pt idx="11">
                  <c:v>942288882</c:v>
                </c:pt>
                <c:pt idx="12">
                  <c:v>911699750</c:v>
                </c:pt>
                <c:pt idx="13">
                  <c:v>803374118</c:v>
                </c:pt>
                <c:pt idx="14">
                  <c:v>688670409</c:v>
                </c:pt>
                <c:pt idx="15">
                  <c:v>959163020</c:v>
                </c:pt>
                <c:pt idx="16">
                  <c:v>610731567</c:v>
                </c:pt>
                <c:pt idx="17">
                  <c:v>1703727528</c:v>
                </c:pt>
                <c:pt idx="18">
                  <c:v>1209232918</c:v>
                </c:pt>
                <c:pt idx="19">
                  <c:v>2573661013</c:v>
                </c:pt>
                <c:pt idx="20">
                  <c:v>2338105456</c:v>
                </c:pt>
                <c:pt idx="21">
                  <c:v>1681103162</c:v>
                </c:pt>
                <c:pt idx="22">
                  <c:v>2796071939</c:v>
                </c:pt>
                <c:pt idx="23">
                  <c:v>2016891803</c:v>
                </c:pt>
                <c:pt idx="24">
                  <c:v>1840398841</c:v>
                </c:pt>
                <c:pt idx="25">
                  <c:v>1571080929</c:v>
                </c:pt>
                <c:pt idx="26">
                  <c:v>1870149685</c:v>
                </c:pt>
                <c:pt idx="27">
                  <c:v>2677244239</c:v>
                </c:pt>
                <c:pt idx="28">
                  <c:v>2462748002</c:v>
                </c:pt>
                <c:pt idx="29">
                  <c:v>5777830632</c:v>
                </c:pt>
                <c:pt idx="30">
                  <c:v>4094575194</c:v>
                </c:pt>
                <c:pt idx="31">
                  <c:v>3704381214</c:v>
                </c:pt>
                <c:pt idx="32">
                  <c:v>4370178626</c:v>
                </c:pt>
                <c:pt idx="33">
                  <c:v>3258601922</c:v>
                </c:pt>
                <c:pt idx="34">
                  <c:v>3304624510</c:v>
                </c:pt>
                <c:pt idx="35">
                  <c:v>1897384414</c:v>
                </c:pt>
                <c:pt idx="36">
                  <c:v>1679370438</c:v>
                </c:pt>
                <c:pt idx="37">
                  <c:v>856762504</c:v>
                </c:pt>
                <c:pt idx="38">
                  <c:v>659821602</c:v>
                </c:pt>
                <c:pt idx="39">
                  <c:v>711255870</c:v>
                </c:pt>
                <c:pt idx="40">
                  <c:v>281150652</c:v>
                </c:pt>
                <c:pt idx="41">
                  <c:v>516748166</c:v>
                </c:pt>
                <c:pt idx="42">
                  <c:v>256772916</c:v>
                </c:pt>
                <c:pt idx="43">
                  <c:v>177267766</c:v>
                </c:pt>
                <c:pt idx="44">
                  <c:v>234272608.52000001</c:v>
                </c:pt>
                <c:pt idx="45">
                  <c:v>184593704</c:v>
                </c:pt>
                <c:pt idx="46">
                  <c:v>205033146</c:v>
                </c:pt>
                <c:pt idx="47">
                  <c:v>189865416</c:v>
                </c:pt>
                <c:pt idx="48">
                  <c:v>100658496</c:v>
                </c:pt>
                <c:pt idx="49">
                  <c:v>162015500.34</c:v>
                </c:pt>
                <c:pt idx="50">
                  <c:v>83894888</c:v>
                </c:pt>
                <c:pt idx="51">
                  <c:v>117827108</c:v>
                </c:pt>
                <c:pt idx="52">
                  <c:v>132196732</c:v>
                </c:pt>
                <c:pt idx="53">
                  <c:v>86808654</c:v>
                </c:pt>
                <c:pt idx="54">
                  <c:v>124034750</c:v>
                </c:pt>
                <c:pt idx="55">
                  <c:v>168440368</c:v>
                </c:pt>
                <c:pt idx="56">
                  <c:v>148890112</c:v>
                </c:pt>
                <c:pt idx="57">
                  <c:v>122286810.81999999</c:v>
                </c:pt>
                <c:pt idx="58">
                  <c:v>170308762</c:v>
                </c:pt>
              </c:numCache>
            </c:numRef>
          </c:val>
        </c:ser>
        <c:ser>
          <c:idx val="0"/>
          <c:order val="7"/>
          <c:tx>
            <c:strRef>
              <c:f>'Input-TBA LS'!$R$3</c:f>
              <c:strCache>
                <c:ptCount val="1"/>
                <c:pt idx="0">
                  <c:v>LowFICO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cat>
            <c:numRef>
              <c:f>'Input-TBA LS'!$Q$4:$Q$62</c:f>
              <c:numCache>
                <c:formatCode>m/d/yyyy</c:formatCode>
                <c:ptCount val="59"/>
                <c:pt idx="0">
                  <c:v>40391</c:v>
                </c:pt>
                <c:pt idx="1">
                  <c:v>40422</c:v>
                </c:pt>
                <c:pt idx="2">
                  <c:v>40452</c:v>
                </c:pt>
                <c:pt idx="3">
                  <c:v>40483</c:v>
                </c:pt>
                <c:pt idx="4">
                  <c:v>40513</c:v>
                </c:pt>
                <c:pt idx="5">
                  <c:v>40544</c:v>
                </c:pt>
                <c:pt idx="6">
                  <c:v>40575</c:v>
                </c:pt>
                <c:pt idx="7">
                  <c:v>40603</c:v>
                </c:pt>
                <c:pt idx="8">
                  <c:v>40634</c:v>
                </c:pt>
                <c:pt idx="9">
                  <c:v>40664</c:v>
                </c:pt>
                <c:pt idx="10">
                  <c:v>40695</c:v>
                </c:pt>
                <c:pt idx="11">
                  <c:v>40725</c:v>
                </c:pt>
                <c:pt idx="12">
                  <c:v>40756</c:v>
                </c:pt>
                <c:pt idx="13">
                  <c:v>40787</c:v>
                </c:pt>
                <c:pt idx="14">
                  <c:v>40817</c:v>
                </c:pt>
                <c:pt idx="15">
                  <c:v>40848</c:v>
                </c:pt>
                <c:pt idx="16">
                  <c:v>40878</c:v>
                </c:pt>
                <c:pt idx="17">
                  <c:v>40909</c:v>
                </c:pt>
                <c:pt idx="18">
                  <c:v>40940</c:v>
                </c:pt>
                <c:pt idx="19">
                  <c:v>40969</c:v>
                </c:pt>
                <c:pt idx="20">
                  <c:v>41000</c:v>
                </c:pt>
                <c:pt idx="21">
                  <c:v>41030</c:v>
                </c:pt>
                <c:pt idx="22">
                  <c:v>41061</c:v>
                </c:pt>
                <c:pt idx="23">
                  <c:v>41091</c:v>
                </c:pt>
                <c:pt idx="24">
                  <c:v>41122</c:v>
                </c:pt>
                <c:pt idx="25">
                  <c:v>41153</c:v>
                </c:pt>
                <c:pt idx="26">
                  <c:v>41183</c:v>
                </c:pt>
                <c:pt idx="27">
                  <c:v>41214</c:v>
                </c:pt>
                <c:pt idx="28">
                  <c:v>41244</c:v>
                </c:pt>
                <c:pt idx="29">
                  <c:v>41275</c:v>
                </c:pt>
                <c:pt idx="30">
                  <c:v>41306</c:v>
                </c:pt>
                <c:pt idx="31">
                  <c:v>41334</c:v>
                </c:pt>
                <c:pt idx="32">
                  <c:v>41365</c:v>
                </c:pt>
                <c:pt idx="33">
                  <c:v>41395</c:v>
                </c:pt>
                <c:pt idx="34">
                  <c:v>41426</c:v>
                </c:pt>
                <c:pt idx="35">
                  <c:v>41456</c:v>
                </c:pt>
                <c:pt idx="36">
                  <c:v>41487</c:v>
                </c:pt>
                <c:pt idx="37">
                  <c:v>41518</c:v>
                </c:pt>
                <c:pt idx="38">
                  <c:v>41548</c:v>
                </c:pt>
                <c:pt idx="39">
                  <c:v>41579</c:v>
                </c:pt>
                <c:pt idx="40">
                  <c:v>41609</c:v>
                </c:pt>
                <c:pt idx="41">
                  <c:v>41640</c:v>
                </c:pt>
                <c:pt idx="42">
                  <c:v>41671</c:v>
                </c:pt>
                <c:pt idx="43">
                  <c:v>41699</c:v>
                </c:pt>
                <c:pt idx="44">
                  <c:v>41730</c:v>
                </c:pt>
                <c:pt idx="45">
                  <c:v>41760</c:v>
                </c:pt>
                <c:pt idx="46">
                  <c:v>41791</c:v>
                </c:pt>
                <c:pt idx="47">
                  <c:v>41821</c:v>
                </c:pt>
                <c:pt idx="48">
                  <c:v>41852</c:v>
                </c:pt>
                <c:pt idx="49">
                  <c:v>41883</c:v>
                </c:pt>
                <c:pt idx="50">
                  <c:v>41913</c:v>
                </c:pt>
                <c:pt idx="51">
                  <c:v>41944</c:v>
                </c:pt>
                <c:pt idx="52">
                  <c:v>41974</c:v>
                </c:pt>
                <c:pt idx="53">
                  <c:v>42005</c:v>
                </c:pt>
                <c:pt idx="54">
                  <c:v>42036</c:v>
                </c:pt>
                <c:pt idx="55">
                  <c:v>42064</c:v>
                </c:pt>
                <c:pt idx="56">
                  <c:v>42095</c:v>
                </c:pt>
                <c:pt idx="57">
                  <c:v>42125</c:v>
                </c:pt>
                <c:pt idx="58">
                  <c:v>42156</c:v>
                </c:pt>
              </c:numCache>
            </c:numRef>
          </c:cat>
          <c:val>
            <c:numRef>
              <c:f>'Input-TBA LS'!$R$4:$R$62</c:f>
              <c:numCache>
                <c:formatCode>General</c:formatCode>
                <c:ptCount val="59"/>
                <c:pt idx="0">
                  <c:v>2874667</c:v>
                </c:pt>
                <c:pt idx="1">
                  <c:v>123021843</c:v>
                </c:pt>
                <c:pt idx="2">
                  <c:v>116478623</c:v>
                </c:pt>
                <c:pt idx="3">
                  <c:v>52470256</c:v>
                </c:pt>
                <c:pt idx="4">
                  <c:v>61236975</c:v>
                </c:pt>
                <c:pt idx="5">
                  <c:v>76645614</c:v>
                </c:pt>
                <c:pt idx="6">
                  <c:v>187651555</c:v>
                </c:pt>
                <c:pt idx="7">
                  <c:v>131490986</c:v>
                </c:pt>
                <c:pt idx="8">
                  <c:v>216448066</c:v>
                </c:pt>
                <c:pt idx="9">
                  <c:v>192717192</c:v>
                </c:pt>
                <c:pt idx="10">
                  <c:v>425026112</c:v>
                </c:pt>
                <c:pt idx="11">
                  <c:v>303715661</c:v>
                </c:pt>
                <c:pt idx="12">
                  <c:v>600496848</c:v>
                </c:pt>
                <c:pt idx="13">
                  <c:v>442732853</c:v>
                </c:pt>
                <c:pt idx="14">
                  <c:v>419829760</c:v>
                </c:pt>
                <c:pt idx="15">
                  <c:v>274250057</c:v>
                </c:pt>
                <c:pt idx="16">
                  <c:v>105045152</c:v>
                </c:pt>
                <c:pt idx="17">
                  <c:v>249584825</c:v>
                </c:pt>
                <c:pt idx="18">
                  <c:v>424478328</c:v>
                </c:pt>
                <c:pt idx="19">
                  <c:v>211033753</c:v>
                </c:pt>
                <c:pt idx="20">
                  <c:v>176166417</c:v>
                </c:pt>
                <c:pt idx="21">
                  <c:v>300581951</c:v>
                </c:pt>
                <c:pt idx="22">
                  <c:v>754235041</c:v>
                </c:pt>
                <c:pt idx="23">
                  <c:v>216811738</c:v>
                </c:pt>
                <c:pt idx="24">
                  <c:v>957106174</c:v>
                </c:pt>
                <c:pt idx="25">
                  <c:v>157536828</c:v>
                </c:pt>
                <c:pt idx="26">
                  <c:v>218074638</c:v>
                </c:pt>
                <c:pt idx="27">
                  <c:v>425684827</c:v>
                </c:pt>
                <c:pt idx="28">
                  <c:v>65279143</c:v>
                </c:pt>
                <c:pt idx="29">
                  <c:v>302688070</c:v>
                </c:pt>
                <c:pt idx="30">
                  <c:v>391369531</c:v>
                </c:pt>
                <c:pt idx="31">
                  <c:v>346705946</c:v>
                </c:pt>
                <c:pt idx="32">
                  <c:v>629333996</c:v>
                </c:pt>
                <c:pt idx="33">
                  <c:v>685828126</c:v>
                </c:pt>
                <c:pt idx="34">
                  <c:v>958510729</c:v>
                </c:pt>
                <c:pt idx="35">
                  <c:v>342006726</c:v>
                </c:pt>
                <c:pt idx="36">
                  <c:v>600863761</c:v>
                </c:pt>
                <c:pt idx="37">
                  <c:v>378113874</c:v>
                </c:pt>
                <c:pt idx="38">
                  <c:v>297823567</c:v>
                </c:pt>
                <c:pt idx="39">
                  <c:v>367282582.73000002</c:v>
                </c:pt>
                <c:pt idx="40">
                  <c:v>444587468</c:v>
                </c:pt>
                <c:pt idx="41">
                  <c:v>192639413</c:v>
                </c:pt>
                <c:pt idx="42">
                  <c:v>184507290.03999999</c:v>
                </c:pt>
                <c:pt idx="43">
                  <c:v>344045665</c:v>
                </c:pt>
                <c:pt idx="44">
                  <c:v>382621473</c:v>
                </c:pt>
                <c:pt idx="45">
                  <c:v>644950246</c:v>
                </c:pt>
                <c:pt idx="46">
                  <c:v>615273408.40999997</c:v>
                </c:pt>
                <c:pt idx="47">
                  <c:v>580549312</c:v>
                </c:pt>
                <c:pt idx="48">
                  <c:v>450249237</c:v>
                </c:pt>
                <c:pt idx="49">
                  <c:v>516557571</c:v>
                </c:pt>
                <c:pt idx="50">
                  <c:v>487769169</c:v>
                </c:pt>
                <c:pt idx="51">
                  <c:v>758619029</c:v>
                </c:pt>
                <c:pt idx="52">
                  <c:v>298160983</c:v>
                </c:pt>
                <c:pt idx="53">
                  <c:v>293156633</c:v>
                </c:pt>
                <c:pt idx="54">
                  <c:v>374573676.05000001</c:v>
                </c:pt>
                <c:pt idx="55">
                  <c:v>252444607</c:v>
                </c:pt>
                <c:pt idx="56">
                  <c:v>396322252</c:v>
                </c:pt>
                <c:pt idx="57">
                  <c:v>369385558.66000003</c:v>
                </c:pt>
                <c:pt idx="58">
                  <c:v>426536208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459648"/>
        <c:axId val="82502784"/>
      </c:barChart>
      <c:lineChart>
        <c:grouping val="standard"/>
        <c:varyColors val="0"/>
        <c:ser>
          <c:idx val="8"/>
          <c:order val="8"/>
          <c:tx>
            <c:strRef>
              <c:f>'Input-TBA LS'!$Z$3</c:f>
              <c:strCache>
                <c:ptCount val="1"/>
                <c:pt idx="0">
                  <c:v>%All</c:v>
                </c:pt>
              </c:strCache>
            </c:strRef>
          </c:tx>
          <c:spPr>
            <a:ln w="21590">
              <a:solidFill>
                <a:srgbClr val="B5CA92">
                  <a:alpha val="94118"/>
                </a:srgbClr>
              </a:solidFill>
            </a:ln>
          </c:spPr>
          <c:marker>
            <c:symbol val="none"/>
          </c:marker>
          <c:dPt>
            <c:idx val="56"/>
            <c:bubble3D val="0"/>
          </c:dPt>
          <c:val>
            <c:numRef>
              <c:f>'Input-TBA LS'!$Z$4:$Z$62</c:f>
              <c:numCache>
                <c:formatCode>0%</c:formatCode>
                <c:ptCount val="59"/>
                <c:pt idx="0">
                  <c:v>0.24467496486452958</c:v>
                </c:pt>
                <c:pt idx="1">
                  <c:v>0.22984988524118724</c:v>
                </c:pt>
                <c:pt idx="2">
                  <c:v>0.35495255328251601</c:v>
                </c:pt>
                <c:pt idx="3">
                  <c:v>0.26095117649764371</c:v>
                </c:pt>
                <c:pt idx="4">
                  <c:v>0.22815425891229657</c:v>
                </c:pt>
                <c:pt idx="5">
                  <c:v>0.22039781211130927</c:v>
                </c:pt>
                <c:pt idx="6">
                  <c:v>0.30955542475965858</c:v>
                </c:pt>
                <c:pt idx="7">
                  <c:v>0.31503542674922141</c:v>
                </c:pt>
                <c:pt idx="8">
                  <c:v>0.33894726009441328</c:v>
                </c:pt>
                <c:pt idx="9">
                  <c:v>0.32769830791735699</c:v>
                </c:pt>
                <c:pt idx="10">
                  <c:v>0.33903620102000465</c:v>
                </c:pt>
                <c:pt idx="11">
                  <c:v>0.38607225335123507</c:v>
                </c:pt>
                <c:pt idx="12">
                  <c:v>0.33244571201584056</c:v>
                </c:pt>
                <c:pt idx="13">
                  <c:v>0.32368568228104039</c:v>
                </c:pt>
                <c:pt idx="14">
                  <c:v>0.24430501594062229</c:v>
                </c:pt>
                <c:pt idx="15">
                  <c:v>0.22793338417167577</c:v>
                </c:pt>
                <c:pt idx="16">
                  <c:v>0.21063783147555359</c:v>
                </c:pt>
                <c:pt idx="17">
                  <c:v>0.30273059749044867</c:v>
                </c:pt>
                <c:pt idx="18">
                  <c:v>0.1957321648705441</c:v>
                </c:pt>
                <c:pt idx="19">
                  <c:v>0.3391056041443602</c:v>
                </c:pt>
                <c:pt idx="20">
                  <c:v>0.49783647245419138</c:v>
                </c:pt>
                <c:pt idx="21">
                  <c:v>0.46110076508478132</c:v>
                </c:pt>
                <c:pt idx="22">
                  <c:v>0.3393538581078071</c:v>
                </c:pt>
                <c:pt idx="23">
                  <c:v>0.39790547713328239</c:v>
                </c:pt>
                <c:pt idx="24">
                  <c:v>0.35412146157341229</c:v>
                </c:pt>
                <c:pt idx="25">
                  <c:v>0.25654469739358637</c:v>
                </c:pt>
                <c:pt idx="26">
                  <c:v>0.21503699671489773</c:v>
                </c:pt>
                <c:pt idx="27">
                  <c:v>0.29835799140107755</c:v>
                </c:pt>
                <c:pt idx="28">
                  <c:v>0.30593065467658487</c:v>
                </c:pt>
                <c:pt idx="29">
                  <c:v>0.48860036889260761</c:v>
                </c:pt>
                <c:pt idx="30">
                  <c:v>0.40304422055183664</c:v>
                </c:pt>
                <c:pt idx="31">
                  <c:v>0.29929784005709248</c:v>
                </c:pt>
                <c:pt idx="32">
                  <c:v>0.41882471701145801</c:v>
                </c:pt>
                <c:pt idx="33">
                  <c:v>0.39377600914853517</c:v>
                </c:pt>
                <c:pt idx="34">
                  <c:v>0.35999748341511623</c:v>
                </c:pt>
                <c:pt idx="35">
                  <c:v>0.19181334576097661</c:v>
                </c:pt>
                <c:pt idx="36">
                  <c:v>0.24985863059502511</c:v>
                </c:pt>
                <c:pt idx="37">
                  <c:v>0.22537018838973341</c:v>
                </c:pt>
                <c:pt idx="38">
                  <c:v>0.27284594011771762</c:v>
                </c:pt>
                <c:pt idx="39">
                  <c:v>0.27401002985482742</c:v>
                </c:pt>
                <c:pt idx="40">
                  <c:v>0.21088650686060187</c:v>
                </c:pt>
                <c:pt idx="41">
                  <c:v>0.21262372464391849</c:v>
                </c:pt>
                <c:pt idx="42">
                  <c:v>0.23875330637289291</c:v>
                </c:pt>
                <c:pt idx="43">
                  <c:v>0.25479812660752793</c:v>
                </c:pt>
                <c:pt idx="44">
                  <c:v>0.24741404247025611</c:v>
                </c:pt>
                <c:pt idx="45">
                  <c:v>0.27060326594187079</c:v>
                </c:pt>
                <c:pt idx="46">
                  <c:v>0.24106049747461797</c:v>
                </c:pt>
                <c:pt idx="47">
                  <c:v>0.23106650614581878</c:v>
                </c:pt>
                <c:pt idx="48">
                  <c:v>0.22006805005256536</c:v>
                </c:pt>
                <c:pt idx="49">
                  <c:v>0.22717658868982915</c:v>
                </c:pt>
                <c:pt idx="50">
                  <c:v>0.2310376077840498</c:v>
                </c:pt>
                <c:pt idx="51">
                  <c:v>0.26914285762916884</c:v>
                </c:pt>
                <c:pt idx="52">
                  <c:v>0.20443472645088934</c:v>
                </c:pt>
                <c:pt idx="53">
                  <c:v>#N/A</c:v>
                </c:pt>
                <c:pt idx="54">
                  <c:v>0.20559445936542084</c:v>
                </c:pt>
                <c:pt idx="55">
                  <c:v>0.16766138483751672</c:v>
                </c:pt>
                <c:pt idx="56">
                  <c:v>0.16826001735509516</c:v>
                </c:pt>
                <c:pt idx="57">
                  <c:v>0.18309220866455581</c:v>
                </c:pt>
                <c:pt idx="58">
                  <c:v>0.17525383875741452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748928"/>
        <c:axId val="82747392"/>
      </c:lineChart>
      <c:catAx>
        <c:axId val="82459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2502784"/>
        <c:crosses val="autoZero"/>
        <c:auto val="1"/>
        <c:lblAlgn val="ctr"/>
        <c:lblOffset val="100"/>
        <c:tickLblSkip val="2"/>
        <c:noMultiLvlLbl val="0"/>
      </c:catAx>
      <c:valAx>
        <c:axId val="82502784"/>
        <c:scaling>
          <c:orientation val="minMax"/>
          <c:max val="200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Billions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2459648"/>
        <c:crosses val="autoZero"/>
        <c:crossBetween val="between"/>
        <c:dispUnits>
          <c:builtInUnit val="billions"/>
        </c:dispUnits>
      </c:valAx>
      <c:valAx>
        <c:axId val="82747392"/>
        <c:scaling>
          <c:orientation val="minMax"/>
          <c:max val="0.55000000000000004"/>
        </c:scaling>
        <c:delete val="0"/>
        <c:axPos val="r"/>
        <c:numFmt formatCode="0%" sourceLinked="1"/>
        <c:majorTickMark val="out"/>
        <c:minorTickMark val="none"/>
        <c:tickLblPos val="nextTo"/>
        <c:crossAx val="82748928"/>
        <c:crosses val="max"/>
        <c:crossBetween val="between"/>
      </c:valAx>
      <c:catAx>
        <c:axId val="82748928"/>
        <c:scaling>
          <c:orientation val="minMax"/>
        </c:scaling>
        <c:delete val="1"/>
        <c:axPos val="b"/>
        <c:majorTickMark val="out"/>
        <c:minorTickMark val="none"/>
        <c:tickLblPos val="nextTo"/>
        <c:crossAx val="82747392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>
      <c:oddHeader>&amp;L&amp;G&amp;C&amp;"-,Bold"&amp;10&amp;K2E398A
&amp;15&amp;K2E398ATrends In Specified Pool Issuance&amp;R&amp;"-,Bold"&amp;10&amp;K2E398A
As of 02/07/2014</c:oddHeader>
    </c:headerFooter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Non-TBA-Eligible  Specified Pool Issuance Volume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Jumbo</c:v>
          </c:tx>
          <c:spPr>
            <a:solidFill>
              <a:srgbClr val="2E398A"/>
            </a:solidFill>
          </c:spPr>
          <c:invertIfNegative val="0"/>
          <c:cat>
            <c:numRef>
              <c:f>'Input-Non TBA'!$C$4:$C$59</c:f>
              <c:numCache>
                <c:formatCode>m/d/yyyy</c:formatCode>
                <c:ptCount val="56"/>
                <c:pt idx="0">
                  <c:v>40391</c:v>
                </c:pt>
                <c:pt idx="1">
                  <c:v>40513</c:v>
                </c:pt>
                <c:pt idx="2">
                  <c:v>40544</c:v>
                </c:pt>
                <c:pt idx="3">
                  <c:v>40575</c:v>
                </c:pt>
                <c:pt idx="4">
                  <c:v>40603</c:v>
                </c:pt>
                <c:pt idx="5">
                  <c:v>40634</c:v>
                </c:pt>
                <c:pt idx="6">
                  <c:v>40664</c:v>
                </c:pt>
                <c:pt idx="7">
                  <c:v>40695</c:v>
                </c:pt>
                <c:pt idx="8">
                  <c:v>40725</c:v>
                </c:pt>
                <c:pt idx="9">
                  <c:v>40756</c:v>
                </c:pt>
                <c:pt idx="10">
                  <c:v>40787</c:v>
                </c:pt>
                <c:pt idx="11">
                  <c:v>40817</c:v>
                </c:pt>
                <c:pt idx="12">
                  <c:v>40848</c:v>
                </c:pt>
                <c:pt idx="13">
                  <c:v>40878</c:v>
                </c:pt>
                <c:pt idx="14">
                  <c:v>40909</c:v>
                </c:pt>
                <c:pt idx="15">
                  <c:v>40940</c:v>
                </c:pt>
                <c:pt idx="16">
                  <c:v>40969</c:v>
                </c:pt>
                <c:pt idx="17">
                  <c:v>41000</c:v>
                </c:pt>
                <c:pt idx="18">
                  <c:v>41030</c:v>
                </c:pt>
                <c:pt idx="19">
                  <c:v>41061</c:v>
                </c:pt>
                <c:pt idx="20">
                  <c:v>41091</c:v>
                </c:pt>
                <c:pt idx="21">
                  <c:v>41122</c:v>
                </c:pt>
                <c:pt idx="22">
                  <c:v>41153</c:v>
                </c:pt>
                <c:pt idx="23">
                  <c:v>41183</c:v>
                </c:pt>
                <c:pt idx="24">
                  <c:v>41214</c:v>
                </c:pt>
                <c:pt idx="25">
                  <c:v>41244</c:v>
                </c:pt>
                <c:pt idx="26">
                  <c:v>41275</c:v>
                </c:pt>
                <c:pt idx="27">
                  <c:v>41306</c:v>
                </c:pt>
                <c:pt idx="28">
                  <c:v>41334</c:v>
                </c:pt>
                <c:pt idx="29">
                  <c:v>41365</c:v>
                </c:pt>
                <c:pt idx="30">
                  <c:v>41395</c:v>
                </c:pt>
                <c:pt idx="31">
                  <c:v>41426</c:v>
                </c:pt>
                <c:pt idx="32">
                  <c:v>41456</c:v>
                </c:pt>
                <c:pt idx="33">
                  <c:v>41487</c:v>
                </c:pt>
                <c:pt idx="34">
                  <c:v>41518</c:v>
                </c:pt>
                <c:pt idx="35">
                  <c:v>41548</c:v>
                </c:pt>
                <c:pt idx="36">
                  <c:v>41579</c:v>
                </c:pt>
                <c:pt idx="37">
                  <c:v>41609</c:v>
                </c:pt>
                <c:pt idx="38">
                  <c:v>41640</c:v>
                </c:pt>
                <c:pt idx="39">
                  <c:v>41671</c:v>
                </c:pt>
                <c:pt idx="40">
                  <c:v>41699</c:v>
                </c:pt>
                <c:pt idx="41">
                  <c:v>41730</c:v>
                </c:pt>
                <c:pt idx="42">
                  <c:v>41760</c:v>
                </c:pt>
                <c:pt idx="43">
                  <c:v>41791</c:v>
                </c:pt>
                <c:pt idx="44">
                  <c:v>41821</c:v>
                </c:pt>
                <c:pt idx="45">
                  <c:v>41852</c:v>
                </c:pt>
                <c:pt idx="46">
                  <c:v>41883</c:v>
                </c:pt>
                <c:pt idx="47">
                  <c:v>41913</c:v>
                </c:pt>
                <c:pt idx="48">
                  <c:v>41944</c:v>
                </c:pt>
                <c:pt idx="49">
                  <c:v>41974</c:v>
                </c:pt>
                <c:pt idx="50">
                  <c:v>42005</c:v>
                </c:pt>
                <c:pt idx="51">
                  <c:v>42036</c:v>
                </c:pt>
                <c:pt idx="52">
                  <c:v>42064</c:v>
                </c:pt>
                <c:pt idx="53">
                  <c:v>42095</c:v>
                </c:pt>
                <c:pt idx="54">
                  <c:v>42125</c:v>
                </c:pt>
                <c:pt idx="55">
                  <c:v>42156</c:v>
                </c:pt>
              </c:numCache>
            </c:numRef>
          </c:cat>
          <c:val>
            <c:numRef>
              <c:f>'Input-Non TBA'!$E$4:$E$59</c:f>
              <c:numCache>
                <c:formatCode>General</c:formatCode>
                <c:ptCount val="56"/>
                <c:pt idx="0">
                  <c:v>376538761</c:v>
                </c:pt>
                <c:pt idx="1">
                  <c:v>609590848</c:v>
                </c:pt>
                <c:pt idx="2">
                  <c:v>551461855</c:v>
                </c:pt>
                <c:pt idx="3">
                  <c:v>1335521889</c:v>
                </c:pt>
                <c:pt idx="4">
                  <c:v>377524535</c:v>
                </c:pt>
                <c:pt idx="5">
                  <c:v>584684655</c:v>
                </c:pt>
                <c:pt idx="6">
                  <c:v>707681152</c:v>
                </c:pt>
                <c:pt idx="7">
                  <c:v>834030449</c:v>
                </c:pt>
                <c:pt idx="8">
                  <c:v>575524118</c:v>
                </c:pt>
                <c:pt idx="9">
                  <c:v>542674722</c:v>
                </c:pt>
                <c:pt idx="10">
                  <c:v>1040718870</c:v>
                </c:pt>
                <c:pt idx="11">
                  <c:v>1039284560</c:v>
                </c:pt>
                <c:pt idx="12">
                  <c:v>1178419117</c:v>
                </c:pt>
                <c:pt idx="13">
                  <c:v>559044204</c:v>
                </c:pt>
                <c:pt idx="14">
                  <c:v>1186639951</c:v>
                </c:pt>
                <c:pt idx="15">
                  <c:v>969022603</c:v>
                </c:pt>
                <c:pt idx="16">
                  <c:v>1345247215</c:v>
                </c:pt>
                <c:pt idx="17">
                  <c:v>460225823</c:v>
                </c:pt>
                <c:pt idx="18">
                  <c:v>732754366</c:v>
                </c:pt>
                <c:pt idx="19">
                  <c:v>998214819</c:v>
                </c:pt>
                <c:pt idx="20">
                  <c:v>793255169</c:v>
                </c:pt>
                <c:pt idx="21">
                  <c:v>821034142</c:v>
                </c:pt>
                <c:pt idx="22">
                  <c:v>1419685074</c:v>
                </c:pt>
                <c:pt idx="23">
                  <c:v>2093242687</c:v>
                </c:pt>
                <c:pt idx="24">
                  <c:v>1985902678</c:v>
                </c:pt>
                <c:pt idx="25">
                  <c:v>534995529</c:v>
                </c:pt>
                <c:pt idx="26">
                  <c:v>1316862267</c:v>
                </c:pt>
                <c:pt idx="27">
                  <c:v>1049844756</c:v>
                </c:pt>
                <c:pt idx="28">
                  <c:v>1360650783</c:v>
                </c:pt>
                <c:pt idx="29">
                  <c:v>572080201</c:v>
                </c:pt>
                <c:pt idx="30">
                  <c:v>996700124</c:v>
                </c:pt>
                <c:pt idx="31">
                  <c:v>967441711</c:v>
                </c:pt>
                <c:pt idx="32">
                  <c:v>721976326</c:v>
                </c:pt>
                <c:pt idx="33">
                  <c:v>641241462</c:v>
                </c:pt>
                <c:pt idx="34">
                  <c:v>443927753</c:v>
                </c:pt>
                <c:pt idx="35">
                  <c:v>433529377</c:v>
                </c:pt>
                <c:pt idx="36">
                  <c:v>357879442</c:v>
                </c:pt>
                <c:pt idx="37">
                  <c:v>508428906</c:v>
                </c:pt>
                <c:pt idx="38">
                  <c:v>332733709</c:v>
                </c:pt>
                <c:pt idx="39">
                  <c:v>210404602</c:v>
                </c:pt>
                <c:pt idx="40">
                  <c:v>561179499</c:v>
                </c:pt>
                <c:pt idx="41">
                  <c:v>369549485</c:v>
                </c:pt>
                <c:pt idx="42">
                  <c:v>384764910</c:v>
                </c:pt>
                <c:pt idx="43">
                  <c:v>378705401.22000003</c:v>
                </c:pt>
                <c:pt idx="44">
                  <c:v>501697215</c:v>
                </c:pt>
                <c:pt idx="45">
                  <c:v>529454302</c:v>
                </c:pt>
                <c:pt idx="46">
                  <c:v>620805243</c:v>
                </c:pt>
                <c:pt idx="47">
                  <c:v>552953735</c:v>
                </c:pt>
                <c:pt idx="48">
                  <c:v>577623000</c:v>
                </c:pt>
                <c:pt idx="49">
                  <c:v>718752753</c:v>
                </c:pt>
                <c:pt idx="50">
                  <c:v>650432561</c:v>
                </c:pt>
                <c:pt idx="51">
                  <c:v>1027497907</c:v>
                </c:pt>
                <c:pt idx="52">
                  <c:v>1090958642</c:v>
                </c:pt>
                <c:pt idx="53">
                  <c:v>910424729</c:v>
                </c:pt>
                <c:pt idx="54">
                  <c:v>1204601372</c:v>
                </c:pt>
                <c:pt idx="55">
                  <c:v>1174796032</c:v>
                </c:pt>
              </c:numCache>
            </c:numRef>
          </c:val>
        </c:ser>
        <c:ser>
          <c:idx val="1"/>
          <c:order val="1"/>
          <c:tx>
            <c:strRef>
              <c:f>'Input-Non TBA'!$F$3</c:f>
              <c:strCache>
                <c:ptCount val="1"/>
                <c:pt idx="0">
                  <c:v>CQ</c:v>
                </c:pt>
              </c:strCache>
            </c:strRef>
          </c:tx>
          <c:spPr>
            <a:solidFill>
              <a:srgbClr val="AD275C"/>
            </a:solidFill>
          </c:spPr>
          <c:invertIfNegative val="0"/>
          <c:cat>
            <c:numRef>
              <c:f>'Input-Non TBA'!$C$4:$C$59</c:f>
              <c:numCache>
                <c:formatCode>m/d/yyyy</c:formatCode>
                <c:ptCount val="56"/>
                <c:pt idx="0">
                  <c:v>40391</c:v>
                </c:pt>
                <c:pt idx="1">
                  <c:v>40513</c:v>
                </c:pt>
                <c:pt idx="2">
                  <c:v>40544</c:v>
                </c:pt>
                <c:pt idx="3">
                  <c:v>40575</c:v>
                </c:pt>
                <c:pt idx="4">
                  <c:v>40603</c:v>
                </c:pt>
                <c:pt idx="5">
                  <c:v>40634</c:v>
                </c:pt>
                <c:pt idx="6">
                  <c:v>40664</c:v>
                </c:pt>
                <c:pt idx="7">
                  <c:v>40695</c:v>
                </c:pt>
                <c:pt idx="8">
                  <c:v>40725</c:v>
                </c:pt>
                <c:pt idx="9">
                  <c:v>40756</c:v>
                </c:pt>
                <c:pt idx="10">
                  <c:v>40787</c:v>
                </c:pt>
                <c:pt idx="11">
                  <c:v>40817</c:v>
                </c:pt>
                <c:pt idx="12">
                  <c:v>40848</c:v>
                </c:pt>
                <c:pt idx="13">
                  <c:v>40878</c:v>
                </c:pt>
                <c:pt idx="14">
                  <c:v>40909</c:v>
                </c:pt>
                <c:pt idx="15">
                  <c:v>40940</c:v>
                </c:pt>
                <c:pt idx="16">
                  <c:v>40969</c:v>
                </c:pt>
                <c:pt idx="17">
                  <c:v>41000</c:v>
                </c:pt>
                <c:pt idx="18">
                  <c:v>41030</c:v>
                </c:pt>
                <c:pt idx="19">
                  <c:v>41061</c:v>
                </c:pt>
                <c:pt idx="20">
                  <c:v>41091</c:v>
                </c:pt>
                <c:pt idx="21">
                  <c:v>41122</c:v>
                </c:pt>
                <c:pt idx="22">
                  <c:v>41153</c:v>
                </c:pt>
                <c:pt idx="23">
                  <c:v>41183</c:v>
                </c:pt>
                <c:pt idx="24">
                  <c:v>41214</c:v>
                </c:pt>
                <c:pt idx="25">
                  <c:v>41244</c:v>
                </c:pt>
                <c:pt idx="26">
                  <c:v>41275</c:v>
                </c:pt>
                <c:pt idx="27">
                  <c:v>41306</c:v>
                </c:pt>
                <c:pt idx="28">
                  <c:v>41334</c:v>
                </c:pt>
                <c:pt idx="29">
                  <c:v>41365</c:v>
                </c:pt>
                <c:pt idx="30">
                  <c:v>41395</c:v>
                </c:pt>
                <c:pt idx="31">
                  <c:v>41426</c:v>
                </c:pt>
                <c:pt idx="32">
                  <c:v>41456</c:v>
                </c:pt>
                <c:pt idx="33">
                  <c:v>41487</c:v>
                </c:pt>
                <c:pt idx="34">
                  <c:v>41518</c:v>
                </c:pt>
                <c:pt idx="35">
                  <c:v>41548</c:v>
                </c:pt>
                <c:pt idx="36">
                  <c:v>41579</c:v>
                </c:pt>
                <c:pt idx="37">
                  <c:v>41609</c:v>
                </c:pt>
                <c:pt idx="38">
                  <c:v>41640</c:v>
                </c:pt>
                <c:pt idx="39">
                  <c:v>41671</c:v>
                </c:pt>
                <c:pt idx="40">
                  <c:v>41699</c:v>
                </c:pt>
                <c:pt idx="41">
                  <c:v>41730</c:v>
                </c:pt>
                <c:pt idx="42">
                  <c:v>41760</c:v>
                </c:pt>
                <c:pt idx="43">
                  <c:v>41791</c:v>
                </c:pt>
                <c:pt idx="44">
                  <c:v>41821</c:v>
                </c:pt>
                <c:pt idx="45">
                  <c:v>41852</c:v>
                </c:pt>
                <c:pt idx="46">
                  <c:v>41883</c:v>
                </c:pt>
                <c:pt idx="47">
                  <c:v>41913</c:v>
                </c:pt>
                <c:pt idx="48">
                  <c:v>41944</c:v>
                </c:pt>
                <c:pt idx="49">
                  <c:v>41974</c:v>
                </c:pt>
                <c:pt idx="50">
                  <c:v>42005</c:v>
                </c:pt>
                <c:pt idx="51">
                  <c:v>42036</c:v>
                </c:pt>
                <c:pt idx="52">
                  <c:v>42064</c:v>
                </c:pt>
                <c:pt idx="53">
                  <c:v>42095</c:v>
                </c:pt>
                <c:pt idx="54">
                  <c:v>42125</c:v>
                </c:pt>
                <c:pt idx="55">
                  <c:v>42156</c:v>
                </c:pt>
              </c:numCache>
            </c:numRef>
          </c:cat>
          <c:val>
            <c:numRef>
              <c:f>'Input-Non TBA'!$F$4:$F$59</c:f>
              <c:numCache>
                <c:formatCode>General</c:formatCode>
                <c:ptCount val="56"/>
                <c:pt idx="0">
                  <c:v>397459219</c:v>
                </c:pt>
                <c:pt idx="1">
                  <c:v>866628804</c:v>
                </c:pt>
                <c:pt idx="2">
                  <c:v>504190671</c:v>
                </c:pt>
                <c:pt idx="3">
                  <c:v>879483263</c:v>
                </c:pt>
                <c:pt idx="4">
                  <c:v>1061122937</c:v>
                </c:pt>
                <c:pt idx="5">
                  <c:v>727617873</c:v>
                </c:pt>
                <c:pt idx="6">
                  <c:v>512312016</c:v>
                </c:pt>
                <c:pt idx="7">
                  <c:v>663195956</c:v>
                </c:pt>
                <c:pt idx="8">
                  <c:v>521943787</c:v>
                </c:pt>
                <c:pt idx="9">
                  <c:v>572312154</c:v>
                </c:pt>
                <c:pt idx="10">
                  <c:v>597280626</c:v>
                </c:pt>
                <c:pt idx="11">
                  <c:v>553124235</c:v>
                </c:pt>
                <c:pt idx="12">
                  <c:v>506345173</c:v>
                </c:pt>
                <c:pt idx="13">
                  <c:v>233313974</c:v>
                </c:pt>
                <c:pt idx="14">
                  <c:v>990209712</c:v>
                </c:pt>
                <c:pt idx="15">
                  <c:v>768143064</c:v>
                </c:pt>
                <c:pt idx="16">
                  <c:v>1878154875</c:v>
                </c:pt>
                <c:pt idx="17">
                  <c:v>1051540050</c:v>
                </c:pt>
                <c:pt idx="18">
                  <c:v>1402748200</c:v>
                </c:pt>
                <c:pt idx="19">
                  <c:v>2296553364</c:v>
                </c:pt>
                <c:pt idx="20">
                  <c:v>1765293492</c:v>
                </c:pt>
                <c:pt idx="21">
                  <c:v>1659409519</c:v>
                </c:pt>
                <c:pt idx="22">
                  <c:v>1525702772</c:v>
                </c:pt>
                <c:pt idx="23">
                  <c:v>1375209169</c:v>
                </c:pt>
                <c:pt idx="24">
                  <c:v>1890358548</c:v>
                </c:pt>
                <c:pt idx="25">
                  <c:v>928026468</c:v>
                </c:pt>
                <c:pt idx="26">
                  <c:v>1330059404</c:v>
                </c:pt>
                <c:pt idx="27">
                  <c:v>1433552396</c:v>
                </c:pt>
                <c:pt idx="28">
                  <c:v>1643683288</c:v>
                </c:pt>
                <c:pt idx="29">
                  <c:v>1590893843</c:v>
                </c:pt>
                <c:pt idx="30">
                  <c:v>1288149530</c:v>
                </c:pt>
                <c:pt idx="31">
                  <c:v>1177527630</c:v>
                </c:pt>
                <c:pt idx="32">
                  <c:v>1117331788</c:v>
                </c:pt>
                <c:pt idx="33">
                  <c:v>747994649</c:v>
                </c:pt>
                <c:pt idx="34">
                  <c:v>731850534</c:v>
                </c:pt>
                <c:pt idx="35">
                  <c:v>623097961.07000005</c:v>
                </c:pt>
                <c:pt idx="36">
                  <c:v>552569406</c:v>
                </c:pt>
                <c:pt idx="37">
                  <c:v>329287211</c:v>
                </c:pt>
                <c:pt idx="38">
                  <c:v>348965969</c:v>
                </c:pt>
                <c:pt idx="39">
                  <c:v>373245789.81</c:v>
                </c:pt>
                <c:pt idx="40">
                  <c:v>244945050</c:v>
                </c:pt>
                <c:pt idx="41">
                  <c:v>203971958</c:v>
                </c:pt>
                <c:pt idx="42">
                  <c:v>174655034</c:v>
                </c:pt>
                <c:pt idx="43">
                  <c:v>158920562</c:v>
                </c:pt>
                <c:pt idx="44">
                  <c:v>125117072</c:v>
                </c:pt>
                <c:pt idx="45">
                  <c:v>139896376</c:v>
                </c:pt>
                <c:pt idx="46">
                  <c:v>134660900</c:v>
                </c:pt>
                <c:pt idx="47">
                  <c:v>114786327</c:v>
                </c:pt>
                <c:pt idx="48">
                  <c:v>140605492</c:v>
                </c:pt>
                <c:pt idx="49">
                  <c:v>104194909</c:v>
                </c:pt>
                <c:pt idx="50">
                  <c:v>96811284</c:v>
                </c:pt>
                <c:pt idx="51">
                  <c:v>113001202</c:v>
                </c:pt>
                <c:pt idx="52">
                  <c:v>109682639</c:v>
                </c:pt>
                <c:pt idx="53">
                  <c:v>118194843</c:v>
                </c:pt>
                <c:pt idx="54">
                  <c:v>124598583</c:v>
                </c:pt>
                <c:pt idx="55">
                  <c:v>78116924</c:v>
                </c:pt>
              </c:numCache>
            </c:numRef>
          </c:val>
        </c:ser>
        <c:ser>
          <c:idx val="2"/>
          <c:order val="2"/>
          <c:tx>
            <c:strRef>
              <c:f>'Input-Non TBA'!$G$3</c:f>
              <c:strCache>
                <c:ptCount val="1"/>
                <c:pt idx="0">
                  <c:v>CR</c:v>
                </c:pt>
              </c:strCache>
            </c:strRef>
          </c:tx>
          <c:spPr>
            <a:solidFill>
              <a:srgbClr val="1B7A76"/>
            </a:solidFill>
          </c:spPr>
          <c:invertIfNegative val="0"/>
          <c:cat>
            <c:numRef>
              <c:f>'Input-Non TBA'!$C$4:$C$59</c:f>
              <c:numCache>
                <c:formatCode>m/d/yyyy</c:formatCode>
                <c:ptCount val="56"/>
                <c:pt idx="0">
                  <c:v>40391</c:v>
                </c:pt>
                <c:pt idx="1">
                  <c:v>40513</c:v>
                </c:pt>
                <c:pt idx="2">
                  <c:v>40544</c:v>
                </c:pt>
                <c:pt idx="3">
                  <c:v>40575</c:v>
                </c:pt>
                <c:pt idx="4">
                  <c:v>40603</c:v>
                </c:pt>
                <c:pt idx="5">
                  <c:v>40634</c:v>
                </c:pt>
                <c:pt idx="6">
                  <c:v>40664</c:v>
                </c:pt>
                <c:pt idx="7">
                  <c:v>40695</c:v>
                </c:pt>
                <c:pt idx="8">
                  <c:v>40725</c:v>
                </c:pt>
                <c:pt idx="9">
                  <c:v>40756</c:v>
                </c:pt>
                <c:pt idx="10">
                  <c:v>40787</c:v>
                </c:pt>
                <c:pt idx="11">
                  <c:v>40817</c:v>
                </c:pt>
                <c:pt idx="12">
                  <c:v>40848</c:v>
                </c:pt>
                <c:pt idx="13">
                  <c:v>40878</c:v>
                </c:pt>
                <c:pt idx="14">
                  <c:v>40909</c:v>
                </c:pt>
                <c:pt idx="15">
                  <c:v>40940</c:v>
                </c:pt>
                <c:pt idx="16">
                  <c:v>40969</c:v>
                </c:pt>
                <c:pt idx="17">
                  <c:v>41000</c:v>
                </c:pt>
                <c:pt idx="18">
                  <c:v>41030</c:v>
                </c:pt>
                <c:pt idx="19">
                  <c:v>41061</c:v>
                </c:pt>
                <c:pt idx="20">
                  <c:v>41091</c:v>
                </c:pt>
                <c:pt idx="21">
                  <c:v>41122</c:v>
                </c:pt>
                <c:pt idx="22">
                  <c:v>41153</c:v>
                </c:pt>
                <c:pt idx="23">
                  <c:v>41183</c:v>
                </c:pt>
                <c:pt idx="24">
                  <c:v>41214</c:v>
                </c:pt>
                <c:pt idx="25">
                  <c:v>41244</c:v>
                </c:pt>
                <c:pt idx="26">
                  <c:v>41275</c:v>
                </c:pt>
                <c:pt idx="27">
                  <c:v>41306</c:v>
                </c:pt>
                <c:pt idx="28">
                  <c:v>41334</c:v>
                </c:pt>
                <c:pt idx="29">
                  <c:v>41365</c:v>
                </c:pt>
                <c:pt idx="30">
                  <c:v>41395</c:v>
                </c:pt>
                <c:pt idx="31">
                  <c:v>41426</c:v>
                </c:pt>
                <c:pt idx="32">
                  <c:v>41456</c:v>
                </c:pt>
                <c:pt idx="33">
                  <c:v>41487</c:v>
                </c:pt>
                <c:pt idx="34">
                  <c:v>41518</c:v>
                </c:pt>
                <c:pt idx="35">
                  <c:v>41548</c:v>
                </c:pt>
                <c:pt idx="36">
                  <c:v>41579</c:v>
                </c:pt>
                <c:pt idx="37">
                  <c:v>41609</c:v>
                </c:pt>
                <c:pt idx="38">
                  <c:v>41640</c:v>
                </c:pt>
                <c:pt idx="39">
                  <c:v>41671</c:v>
                </c:pt>
                <c:pt idx="40">
                  <c:v>41699</c:v>
                </c:pt>
                <c:pt idx="41">
                  <c:v>41730</c:v>
                </c:pt>
                <c:pt idx="42">
                  <c:v>41760</c:v>
                </c:pt>
                <c:pt idx="43">
                  <c:v>41791</c:v>
                </c:pt>
                <c:pt idx="44">
                  <c:v>41821</c:v>
                </c:pt>
                <c:pt idx="45">
                  <c:v>41852</c:v>
                </c:pt>
                <c:pt idx="46">
                  <c:v>41883</c:v>
                </c:pt>
                <c:pt idx="47">
                  <c:v>41913</c:v>
                </c:pt>
                <c:pt idx="48">
                  <c:v>41944</c:v>
                </c:pt>
                <c:pt idx="49">
                  <c:v>41974</c:v>
                </c:pt>
                <c:pt idx="50">
                  <c:v>42005</c:v>
                </c:pt>
                <c:pt idx="51">
                  <c:v>42036</c:v>
                </c:pt>
                <c:pt idx="52">
                  <c:v>42064</c:v>
                </c:pt>
                <c:pt idx="53">
                  <c:v>42095</c:v>
                </c:pt>
                <c:pt idx="54">
                  <c:v>42125</c:v>
                </c:pt>
                <c:pt idx="55">
                  <c:v>42156</c:v>
                </c:pt>
              </c:numCache>
            </c:numRef>
          </c:cat>
          <c:val>
            <c:numRef>
              <c:f>'Input-Non TBA'!$G$4:$G$59</c:f>
              <c:numCache>
                <c:formatCode>General</c:formatCode>
                <c:ptCount val="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6769095429</c:v>
                </c:pt>
                <c:pt idx="20">
                  <c:v>3218261741</c:v>
                </c:pt>
                <c:pt idx="21">
                  <c:v>4157890179</c:v>
                </c:pt>
                <c:pt idx="22">
                  <c:v>3031643526</c:v>
                </c:pt>
                <c:pt idx="23">
                  <c:v>2142244765</c:v>
                </c:pt>
                <c:pt idx="24">
                  <c:v>1991616641</c:v>
                </c:pt>
                <c:pt idx="25">
                  <c:v>1221295318</c:v>
                </c:pt>
                <c:pt idx="26">
                  <c:v>2039610246</c:v>
                </c:pt>
                <c:pt idx="27">
                  <c:v>1308290440</c:v>
                </c:pt>
                <c:pt idx="28">
                  <c:v>1665562210</c:v>
                </c:pt>
                <c:pt idx="29">
                  <c:v>1552604213</c:v>
                </c:pt>
                <c:pt idx="30">
                  <c:v>1323430656</c:v>
                </c:pt>
                <c:pt idx="31">
                  <c:v>1179149045</c:v>
                </c:pt>
                <c:pt idx="32">
                  <c:v>1152808217</c:v>
                </c:pt>
                <c:pt idx="33">
                  <c:v>997857516</c:v>
                </c:pt>
                <c:pt idx="34">
                  <c:v>1353432524</c:v>
                </c:pt>
                <c:pt idx="35">
                  <c:v>468148310.94</c:v>
                </c:pt>
                <c:pt idx="36">
                  <c:v>1125987642</c:v>
                </c:pt>
                <c:pt idx="37">
                  <c:v>653317932</c:v>
                </c:pt>
                <c:pt idx="38">
                  <c:v>365851602</c:v>
                </c:pt>
                <c:pt idx="39">
                  <c:v>633665022.11000001</c:v>
                </c:pt>
                <c:pt idx="40">
                  <c:v>2169893191</c:v>
                </c:pt>
                <c:pt idx="41">
                  <c:v>125649286</c:v>
                </c:pt>
                <c:pt idx="42">
                  <c:v>116190481</c:v>
                </c:pt>
                <c:pt idx="43">
                  <c:v>174591578</c:v>
                </c:pt>
                <c:pt idx="44">
                  <c:v>277697406</c:v>
                </c:pt>
                <c:pt idx="45">
                  <c:v>753088397</c:v>
                </c:pt>
                <c:pt idx="46">
                  <c:v>770420147</c:v>
                </c:pt>
                <c:pt idx="47">
                  <c:v>1560208228</c:v>
                </c:pt>
                <c:pt idx="48">
                  <c:v>2628594452</c:v>
                </c:pt>
                <c:pt idx="49">
                  <c:v>54617004</c:v>
                </c:pt>
                <c:pt idx="50">
                  <c:v>42472903</c:v>
                </c:pt>
                <c:pt idx="51">
                  <c:v>1094775764</c:v>
                </c:pt>
                <c:pt idx="52">
                  <c:v>179486542</c:v>
                </c:pt>
                <c:pt idx="53">
                  <c:v>601906252</c:v>
                </c:pt>
                <c:pt idx="54">
                  <c:v>95110431</c:v>
                </c:pt>
                <c:pt idx="55">
                  <c:v>53243907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6450944"/>
        <c:axId val="236452864"/>
      </c:barChart>
      <c:dateAx>
        <c:axId val="236450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6452864"/>
        <c:crosses val="autoZero"/>
        <c:auto val="1"/>
        <c:lblOffset val="100"/>
        <c:baseTimeUnit val="months"/>
        <c:majorUnit val="2"/>
        <c:majorTimeUnit val="months"/>
      </c:dateAx>
      <c:valAx>
        <c:axId val="236452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Billions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6450944"/>
        <c:crosses val="autoZero"/>
        <c:crossBetween val="between"/>
        <c:dispUnits>
          <c:builtInUnit val="billions"/>
        </c:dispUnits>
      </c:valAx>
      <c:spPr>
        <a:noFill/>
        <a:ln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'Input-Non TBA'!$E$3</c:f>
              <c:strCache>
                <c:ptCount val="1"/>
                <c:pt idx="0">
                  <c:v>issueAmount</c:v>
                </c:pt>
              </c:strCache>
            </c:strRef>
          </c:tx>
          <c:invertIfNegative val="0"/>
          <c:cat>
            <c:numRef>
              <c:f>'Input-Non TBA'!$C$4:$C$59</c:f>
              <c:numCache>
                <c:formatCode>m/d/yyyy</c:formatCode>
                <c:ptCount val="56"/>
                <c:pt idx="0">
                  <c:v>40391</c:v>
                </c:pt>
                <c:pt idx="1">
                  <c:v>40513</c:v>
                </c:pt>
                <c:pt idx="2">
                  <c:v>40544</c:v>
                </c:pt>
                <c:pt idx="3">
                  <c:v>40575</c:v>
                </c:pt>
                <c:pt idx="4">
                  <c:v>40603</c:v>
                </c:pt>
                <c:pt idx="5">
                  <c:v>40634</c:v>
                </c:pt>
                <c:pt idx="6">
                  <c:v>40664</c:v>
                </c:pt>
                <c:pt idx="7">
                  <c:v>40695</c:v>
                </c:pt>
                <c:pt idx="8">
                  <c:v>40725</c:v>
                </c:pt>
                <c:pt idx="9">
                  <c:v>40756</c:v>
                </c:pt>
                <c:pt idx="10">
                  <c:v>40787</c:v>
                </c:pt>
                <c:pt idx="11">
                  <c:v>40817</c:v>
                </c:pt>
                <c:pt idx="12">
                  <c:v>40848</c:v>
                </c:pt>
                <c:pt idx="13">
                  <c:v>40878</c:v>
                </c:pt>
                <c:pt idx="14">
                  <c:v>40909</c:v>
                </c:pt>
                <c:pt idx="15">
                  <c:v>40940</c:v>
                </c:pt>
                <c:pt idx="16">
                  <c:v>40969</c:v>
                </c:pt>
                <c:pt idx="17">
                  <c:v>41000</c:v>
                </c:pt>
                <c:pt idx="18">
                  <c:v>41030</c:v>
                </c:pt>
                <c:pt idx="19">
                  <c:v>41061</c:v>
                </c:pt>
                <c:pt idx="20">
                  <c:v>41091</c:v>
                </c:pt>
                <c:pt idx="21">
                  <c:v>41122</c:v>
                </c:pt>
                <c:pt idx="22">
                  <c:v>41153</c:v>
                </c:pt>
                <c:pt idx="23">
                  <c:v>41183</c:v>
                </c:pt>
                <c:pt idx="24">
                  <c:v>41214</c:v>
                </c:pt>
                <c:pt idx="25">
                  <c:v>41244</c:v>
                </c:pt>
                <c:pt idx="26">
                  <c:v>41275</c:v>
                </c:pt>
                <c:pt idx="27">
                  <c:v>41306</c:v>
                </c:pt>
                <c:pt idx="28">
                  <c:v>41334</c:v>
                </c:pt>
                <c:pt idx="29">
                  <c:v>41365</c:v>
                </c:pt>
                <c:pt idx="30">
                  <c:v>41395</c:v>
                </c:pt>
                <c:pt idx="31">
                  <c:v>41426</c:v>
                </c:pt>
                <c:pt idx="32">
                  <c:v>41456</c:v>
                </c:pt>
                <c:pt idx="33">
                  <c:v>41487</c:v>
                </c:pt>
                <c:pt idx="34">
                  <c:v>41518</c:v>
                </c:pt>
                <c:pt idx="35">
                  <c:v>41548</c:v>
                </c:pt>
                <c:pt idx="36">
                  <c:v>41579</c:v>
                </c:pt>
                <c:pt idx="37">
                  <c:v>41609</c:v>
                </c:pt>
                <c:pt idx="38">
                  <c:v>41640</c:v>
                </c:pt>
                <c:pt idx="39">
                  <c:v>41671</c:v>
                </c:pt>
                <c:pt idx="40">
                  <c:v>41699</c:v>
                </c:pt>
                <c:pt idx="41">
                  <c:v>41730</c:v>
                </c:pt>
                <c:pt idx="42">
                  <c:v>41760</c:v>
                </c:pt>
                <c:pt idx="43">
                  <c:v>41791</c:v>
                </c:pt>
                <c:pt idx="44">
                  <c:v>41821</c:v>
                </c:pt>
                <c:pt idx="45">
                  <c:v>41852</c:v>
                </c:pt>
                <c:pt idx="46">
                  <c:v>41883</c:v>
                </c:pt>
                <c:pt idx="47">
                  <c:v>41913</c:v>
                </c:pt>
                <c:pt idx="48">
                  <c:v>41944</c:v>
                </c:pt>
                <c:pt idx="49">
                  <c:v>41974</c:v>
                </c:pt>
                <c:pt idx="50">
                  <c:v>42005</c:v>
                </c:pt>
                <c:pt idx="51">
                  <c:v>42036</c:v>
                </c:pt>
                <c:pt idx="52">
                  <c:v>42064</c:v>
                </c:pt>
                <c:pt idx="53">
                  <c:v>42095</c:v>
                </c:pt>
                <c:pt idx="54">
                  <c:v>42125</c:v>
                </c:pt>
                <c:pt idx="55">
                  <c:v>42156</c:v>
                </c:pt>
              </c:numCache>
            </c:numRef>
          </c:cat>
          <c:val>
            <c:numRef>
              <c:f>'Input-Non TBA'!$E$4:$E$59</c:f>
              <c:numCache>
                <c:formatCode>General</c:formatCode>
                <c:ptCount val="56"/>
                <c:pt idx="0">
                  <c:v>376538761</c:v>
                </c:pt>
                <c:pt idx="1">
                  <c:v>609590848</c:v>
                </c:pt>
                <c:pt idx="2">
                  <c:v>551461855</c:v>
                </c:pt>
                <c:pt idx="3">
                  <c:v>1335521889</c:v>
                </c:pt>
                <c:pt idx="4">
                  <c:v>377524535</c:v>
                </c:pt>
                <c:pt idx="5">
                  <c:v>584684655</c:v>
                </c:pt>
                <c:pt idx="6">
                  <c:v>707681152</c:v>
                </c:pt>
                <c:pt idx="7">
                  <c:v>834030449</c:v>
                </c:pt>
                <c:pt idx="8">
                  <c:v>575524118</c:v>
                </c:pt>
                <c:pt idx="9">
                  <c:v>542674722</c:v>
                </c:pt>
                <c:pt idx="10">
                  <c:v>1040718870</c:v>
                </c:pt>
                <c:pt idx="11">
                  <c:v>1039284560</c:v>
                </c:pt>
                <c:pt idx="12">
                  <c:v>1178419117</c:v>
                </c:pt>
                <c:pt idx="13">
                  <c:v>559044204</c:v>
                </c:pt>
                <c:pt idx="14">
                  <c:v>1186639951</c:v>
                </c:pt>
                <c:pt idx="15">
                  <c:v>969022603</c:v>
                </c:pt>
                <c:pt idx="16">
                  <c:v>1345247215</c:v>
                </c:pt>
                <c:pt idx="17">
                  <c:v>460225823</c:v>
                </c:pt>
                <c:pt idx="18">
                  <c:v>732754366</c:v>
                </c:pt>
                <c:pt idx="19">
                  <c:v>998214819</c:v>
                </c:pt>
                <c:pt idx="20">
                  <c:v>793255169</c:v>
                </c:pt>
                <c:pt idx="21">
                  <c:v>821034142</c:v>
                </c:pt>
                <c:pt idx="22">
                  <c:v>1419685074</c:v>
                </c:pt>
                <c:pt idx="23">
                  <c:v>2093242687</c:v>
                </c:pt>
                <c:pt idx="24">
                  <c:v>1985902678</c:v>
                </c:pt>
                <c:pt idx="25">
                  <c:v>534995529</c:v>
                </c:pt>
                <c:pt idx="26">
                  <c:v>1316862267</c:v>
                </c:pt>
                <c:pt idx="27">
                  <c:v>1049844756</c:v>
                </c:pt>
                <c:pt idx="28">
                  <c:v>1360650783</c:v>
                </c:pt>
                <c:pt idx="29">
                  <c:v>572080201</c:v>
                </c:pt>
                <c:pt idx="30">
                  <c:v>996700124</c:v>
                </c:pt>
                <c:pt idx="31">
                  <c:v>967441711</c:v>
                </c:pt>
                <c:pt idx="32">
                  <c:v>721976326</c:v>
                </c:pt>
                <c:pt idx="33">
                  <c:v>641241462</c:v>
                </c:pt>
                <c:pt idx="34">
                  <c:v>443927753</c:v>
                </c:pt>
                <c:pt idx="35">
                  <c:v>433529377</c:v>
                </c:pt>
                <c:pt idx="36">
                  <c:v>357879442</c:v>
                </c:pt>
                <c:pt idx="37">
                  <c:v>508428906</c:v>
                </c:pt>
                <c:pt idx="38">
                  <c:v>332733709</c:v>
                </c:pt>
                <c:pt idx="39">
                  <c:v>210404602</c:v>
                </c:pt>
                <c:pt idx="40">
                  <c:v>561179499</c:v>
                </c:pt>
                <c:pt idx="41">
                  <c:v>369549485</c:v>
                </c:pt>
                <c:pt idx="42">
                  <c:v>384764910</c:v>
                </c:pt>
                <c:pt idx="43">
                  <c:v>378705401.22000003</c:v>
                </c:pt>
                <c:pt idx="44">
                  <c:v>501697215</c:v>
                </c:pt>
                <c:pt idx="45">
                  <c:v>529454302</c:v>
                </c:pt>
                <c:pt idx="46">
                  <c:v>620805243</c:v>
                </c:pt>
                <c:pt idx="47">
                  <c:v>552953735</c:v>
                </c:pt>
                <c:pt idx="48">
                  <c:v>577623000</c:v>
                </c:pt>
                <c:pt idx="49">
                  <c:v>718752753</c:v>
                </c:pt>
                <c:pt idx="50">
                  <c:v>650432561</c:v>
                </c:pt>
                <c:pt idx="51">
                  <c:v>1027497907</c:v>
                </c:pt>
                <c:pt idx="52">
                  <c:v>1090958642</c:v>
                </c:pt>
                <c:pt idx="53">
                  <c:v>910424729</c:v>
                </c:pt>
                <c:pt idx="54">
                  <c:v>1204601372</c:v>
                </c:pt>
                <c:pt idx="55">
                  <c:v>1174796032</c:v>
                </c:pt>
              </c:numCache>
            </c:numRef>
          </c:val>
        </c:ser>
        <c:ser>
          <c:idx val="1"/>
          <c:order val="1"/>
          <c:tx>
            <c:strRef>
              <c:f>'Input-Non TBA'!$F$3</c:f>
              <c:strCache>
                <c:ptCount val="1"/>
                <c:pt idx="0">
                  <c:v>CQ</c:v>
                </c:pt>
              </c:strCache>
            </c:strRef>
          </c:tx>
          <c:invertIfNegative val="0"/>
          <c:cat>
            <c:numRef>
              <c:f>'Input-Non TBA'!$C$4:$C$59</c:f>
              <c:numCache>
                <c:formatCode>m/d/yyyy</c:formatCode>
                <c:ptCount val="56"/>
                <c:pt idx="0">
                  <c:v>40391</c:v>
                </c:pt>
                <c:pt idx="1">
                  <c:v>40513</c:v>
                </c:pt>
                <c:pt idx="2">
                  <c:v>40544</c:v>
                </c:pt>
                <c:pt idx="3">
                  <c:v>40575</c:v>
                </c:pt>
                <c:pt idx="4">
                  <c:v>40603</c:v>
                </c:pt>
                <c:pt idx="5">
                  <c:v>40634</c:v>
                </c:pt>
                <c:pt idx="6">
                  <c:v>40664</c:v>
                </c:pt>
                <c:pt idx="7">
                  <c:v>40695</c:v>
                </c:pt>
                <c:pt idx="8">
                  <c:v>40725</c:v>
                </c:pt>
                <c:pt idx="9">
                  <c:v>40756</c:v>
                </c:pt>
                <c:pt idx="10">
                  <c:v>40787</c:v>
                </c:pt>
                <c:pt idx="11">
                  <c:v>40817</c:v>
                </c:pt>
                <c:pt idx="12">
                  <c:v>40848</c:v>
                </c:pt>
                <c:pt idx="13">
                  <c:v>40878</c:v>
                </c:pt>
                <c:pt idx="14">
                  <c:v>40909</c:v>
                </c:pt>
                <c:pt idx="15">
                  <c:v>40940</c:v>
                </c:pt>
                <c:pt idx="16">
                  <c:v>40969</c:v>
                </c:pt>
                <c:pt idx="17">
                  <c:v>41000</c:v>
                </c:pt>
                <c:pt idx="18">
                  <c:v>41030</c:v>
                </c:pt>
                <c:pt idx="19">
                  <c:v>41061</c:v>
                </c:pt>
                <c:pt idx="20">
                  <c:v>41091</c:v>
                </c:pt>
                <c:pt idx="21">
                  <c:v>41122</c:v>
                </c:pt>
                <c:pt idx="22">
                  <c:v>41153</c:v>
                </c:pt>
                <c:pt idx="23">
                  <c:v>41183</c:v>
                </c:pt>
                <c:pt idx="24">
                  <c:v>41214</c:v>
                </c:pt>
                <c:pt idx="25">
                  <c:v>41244</c:v>
                </c:pt>
                <c:pt idx="26">
                  <c:v>41275</c:v>
                </c:pt>
                <c:pt idx="27">
                  <c:v>41306</c:v>
                </c:pt>
                <c:pt idx="28">
                  <c:v>41334</c:v>
                </c:pt>
                <c:pt idx="29">
                  <c:v>41365</c:v>
                </c:pt>
                <c:pt idx="30">
                  <c:v>41395</c:v>
                </c:pt>
                <c:pt idx="31">
                  <c:v>41426</c:v>
                </c:pt>
                <c:pt idx="32">
                  <c:v>41456</c:v>
                </c:pt>
                <c:pt idx="33">
                  <c:v>41487</c:v>
                </c:pt>
                <c:pt idx="34">
                  <c:v>41518</c:v>
                </c:pt>
                <c:pt idx="35">
                  <c:v>41548</c:v>
                </c:pt>
                <c:pt idx="36">
                  <c:v>41579</c:v>
                </c:pt>
                <c:pt idx="37">
                  <c:v>41609</c:v>
                </c:pt>
                <c:pt idx="38">
                  <c:v>41640</c:v>
                </c:pt>
                <c:pt idx="39">
                  <c:v>41671</c:v>
                </c:pt>
                <c:pt idx="40">
                  <c:v>41699</c:v>
                </c:pt>
                <c:pt idx="41">
                  <c:v>41730</c:v>
                </c:pt>
                <c:pt idx="42">
                  <c:v>41760</c:v>
                </c:pt>
                <c:pt idx="43">
                  <c:v>41791</c:v>
                </c:pt>
                <c:pt idx="44">
                  <c:v>41821</c:v>
                </c:pt>
                <c:pt idx="45">
                  <c:v>41852</c:v>
                </c:pt>
                <c:pt idx="46">
                  <c:v>41883</c:v>
                </c:pt>
                <c:pt idx="47">
                  <c:v>41913</c:v>
                </c:pt>
                <c:pt idx="48">
                  <c:v>41944</c:v>
                </c:pt>
                <c:pt idx="49">
                  <c:v>41974</c:v>
                </c:pt>
                <c:pt idx="50">
                  <c:v>42005</c:v>
                </c:pt>
                <c:pt idx="51">
                  <c:v>42036</c:v>
                </c:pt>
                <c:pt idx="52">
                  <c:v>42064</c:v>
                </c:pt>
                <c:pt idx="53">
                  <c:v>42095</c:v>
                </c:pt>
                <c:pt idx="54">
                  <c:v>42125</c:v>
                </c:pt>
                <c:pt idx="55">
                  <c:v>42156</c:v>
                </c:pt>
              </c:numCache>
            </c:numRef>
          </c:cat>
          <c:val>
            <c:numRef>
              <c:f>'Input-Non TBA'!$F$4:$F$59</c:f>
              <c:numCache>
                <c:formatCode>General</c:formatCode>
                <c:ptCount val="56"/>
                <c:pt idx="0">
                  <c:v>397459219</c:v>
                </c:pt>
                <c:pt idx="1">
                  <c:v>866628804</c:v>
                </c:pt>
                <c:pt idx="2">
                  <c:v>504190671</c:v>
                </c:pt>
                <c:pt idx="3">
                  <c:v>879483263</c:v>
                </c:pt>
                <c:pt idx="4">
                  <c:v>1061122937</c:v>
                </c:pt>
                <c:pt idx="5">
                  <c:v>727617873</c:v>
                </c:pt>
                <c:pt idx="6">
                  <c:v>512312016</c:v>
                </c:pt>
                <c:pt idx="7">
                  <c:v>663195956</c:v>
                </c:pt>
                <c:pt idx="8">
                  <c:v>521943787</c:v>
                </c:pt>
                <c:pt idx="9">
                  <c:v>572312154</c:v>
                </c:pt>
                <c:pt idx="10">
                  <c:v>597280626</c:v>
                </c:pt>
                <c:pt idx="11">
                  <c:v>553124235</c:v>
                </c:pt>
                <c:pt idx="12">
                  <c:v>506345173</c:v>
                </c:pt>
                <c:pt idx="13">
                  <c:v>233313974</c:v>
                </c:pt>
                <c:pt idx="14">
                  <c:v>990209712</c:v>
                </c:pt>
                <c:pt idx="15">
                  <c:v>768143064</c:v>
                </c:pt>
                <c:pt idx="16">
                  <c:v>1878154875</c:v>
                </c:pt>
                <c:pt idx="17">
                  <c:v>1051540050</c:v>
                </c:pt>
                <c:pt idx="18">
                  <c:v>1402748200</c:v>
                </c:pt>
                <c:pt idx="19">
                  <c:v>2296553364</c:v>
                </c:pt>
                <c:pt idx="20">
                  <c:v>1765293492</c:v>
                </c:pt>
                <c:pt idx="21">
                  <c:v>1659409519</c:v>
                </c:pt>
                <c:pt idx="22">
                  <c:v>1525702772</c:v>
                </c:pt>
                <c:pt idx="23">
                  <c:v>1375209169</c:v>
                </c:pt>
                <c:pt idx="24">
                  <c:v>1890358548</c:v>
                </c:pt>
                <c:pt idx="25">
                  <c:v>928026468</c:v>
                </c:pt>
                <c:pt idx="26">
                  <c:v>1330059404</c:v>
                </c:pt>
                <c:pt idx="27">
                  <c:v>1433552396</c:v>
                </c:pt>
                <c:pt idx="28">
                  <c:v>1643683288</c:v>
                </c:pt>
                <c:pt idx="29">
                  <c:v>1590893843</c:v>
                </c:pt>
                <c:pt idx="30">
                  <c:v>1288149530</c:v>
                </c:pt>
                <c:pt idx="31">
                  <c:v>1177527630</c:v>
                </c:pt>
                <c:pt idx="32">
                  <c:v>1117331788</c:v>
                </c:pt>
                <c:pt idx="33">
                  <c:v>747994649</c:v>
                </c:pt>
                <c:pt idx="34">
                  <c:v>731850534</c:v>
                </c:pt>
                <c:pt idx="35">
                  <c:v>623097961.07000005</c:v>
                </c:pt>
                <c:pt idx="36">
                  <c:v>552569406</c:v>
                </c:pt>
                <c:pt idx="37">
                  <c:v>329287211</c:v>
                </c:pt>
                <c:pt idx="38">
                  <c:v>348965969</c:v>
                </c:pt>
                <c:pt idx="39">
                  <c:v>373245789.81</c:v>
                </c:pt>
                <c:pt idx="40">
                  <c:v>244945050</c:v>
                </c:pt>
                <c:pt idx="41">
                  <c:v>203971958</c:v>
                </c:pt>
                <c:pt idx="42">
                  <c:v>174655034</c:v>
                </c:pt>
                <c:pt idx="43">
                  <c:v>158920562</c:v>
                </c:pt>
                <c:pt idx="44">
                  <c:v>125117072</c:v>
                </c:pt>
                <c:pt idx="45">
                  <c:v>139896376</c:v>
                </c:pt>
                <c:pt idx="46">
                  <c:v>134660900</c:v>
                </c:pt>
                <c:pt idx="47">
                  <c:v>114786327</c:v>
                </c:pt>
                <c:pt idx="48">
                  <c:v>140605492</c:v>
                </c:pt>
                <c:pt idx="49">
                  <c:v>104194909</c:v>
                </c:pt>
                <c:pt idx="50">
                  <c:v>96811284</c:v>
                </c:pt>
                <c:pt idx="51">
                  <c:v>113001202</c:v>
                </c:pt>
                <c:pt idx="52">
                  <c:v>109682639</c:v>
                </c:pt>
                <c:pt idx="53">
                  <c:v>118194843</c:v>
                </c:pt>
                <c:pt idx="54">
                  <c:v>124598583</c:v>
                </c:pt>
                <c:pt idx="55">
                  <c:v>78116924</c:v>
                </c:pt>
              </c:numCache>
            </c:numRef>
          </c:val>
        </c:ser>
        <c:ser>
          <c:idx val="2"/>
          <c:order val="2"/>
          <c:tx>
            <c:strRef>
              <c:f>'Input-Non TBA'!$G$3</c:f>
              <c:strCache>
                <c:ptCount val="1"/>
                <c:pt idx="0">
                  <c:v>CR</c:v>
                </c:pt>
              </c:strCache>
            </c:strRef>
          </c:tx>
          <c:invertIfNegative val="0"/>
          <c:cat>
            <c:numRef>
              <c:f>'Input-Non TBA'!$C$4:$C$59</c:f>
              <c:numCache>
                <c:formatCode>m/d/yyyy</c:formatCode>
                <c:ptCount val="56"/>
                <c:pt idx="0">
                  <c:v>40391</c:v>
                </c:pt>
                <c:pt idx="1">
                  <c:v>40513</c:v>
                </c:pt>
                <c:pt idx="2">
                  <c:v>40544</c:v>
                </c:pt>
                <c:pt idx="3">
                  <c:v>40575</c:v>
                </c:pt>
                <c:pt idx="4">
                  <c:v>40603</c:v>
                </c:pt>
                <c:pt idx="5">
                  <c:v>40634</c:v>
                </c:pt>
                <c:pt idx="6">
                  <c:v>40664</c:v>
                </c:pt>
                <c:pt idx="7">
                  <c:v>40695</c:v>
                </c:pt>
                <c:pt idx="8">
                  <c:v>40725</c:v>
                </c:pt>
                <c:pt idx="9">
                  <c:v>40756</c:v>
                </c:pt>
                <c:pt idx="10">
                  <c:v>40787</c:v>
                </c:pt>
                <c:pt idx="11">
                  <c:v>40817</c:v>
                </c:pt>
                <c:pt idx="12">
                  <c:v>40848</c:v>
                </c:pt>
                <c:pt idx="13">
                  <c:v>40878</c:v>
                </c:pt>
                <c:pt idx="14">
                  <c:v>40909</c:v>
                </c:pt>
                <c:pt idx="15">
                  <c:v>40940</c:v>
                </c:pt>
                <c:pt idx="16">
                  <c:v>40969</c:v>
                </c:pt>
                <c:pt idx="17">
                  <c:v>41000</c:v>
                </c:pt>
                <c:pt idx="18">
                  <c:v>41030</c:v>
                </c:pt>
                <c:pt idx="19">
                  <c:v>41061</c:v>
                </c:pt>
                <c:pt idx="20">
                  <c:v>41091</c:v>
                </c:pt>
                <c:pt idx="21">
                  <c:v>41122</c:v>
                </c:pt>
                <c:pt idx="22">
                  <c:v>41153</c:v>
                </c:pt>
                <c:pt idx="23">
                  <c:v>41183</c:v>
                </c:pt>
                <c:pt idx="24">
                  <c:v>41214</c:v>
                </c:pt>
                <c:pt idx="25">
                  <c:v>41244</c:v>
                </c:pt>
                <c:pt idx="26">
                  <c:v>41275</c:v>
                </c:pt>
                <c:pt idx="27">
                  <c:v>41306</c:v>
                </c:pt>
                <c:pt idx="28">
                  <c:v>41334</c:v>
                </c:pt>
                <c:pt idx="29">
                  <c:v>41365</c:v>
                </c:pt>
                <c:pt idx="30">
                  <c:v>41395</c:v>
                </c:pt>
                <c:pt idx="31">
                  <c:v>41426</c:v>
                </c:pt>
                <c:pt idx="32">
                  <c:v>41456</c:v>
                </c:pt>
                <c:pt idx="33">
                  <c:v>41487</c:v>
                </c:pt>
                <c:pt idx="34">
                  <c:v>41518</c:v>
                </c:pt>
                <c:pt idx="35">
                  <c:v>41548</c:v>
                </c:pt>
                <c:pt idx="36">
                  <c:v>41579</c:v>
                </c:pt>
                <c:pt idx="37">
                  <c:v>41609</c:v>
                </c:pt>
                <c:pt idx="38">
                  <c:v>41640</c:v>
                </c:pt>
                <c:pt idx="39">
                  <c:v>41671</c:v>
                </c:pt>
                <c:pt idx="40">
                  <c:v>41699</c:v>
                </c:pt>
                <c:pt idx="41">
                  <c:v>41730</c:v>
                </c:pt>
                <c:pt idx="42">
                  <c:v>41760</c:v>
                </c:pt>
                <c:pt idx="43">
                  <c:v>41791</c:v>
                </c:pt>
                <c:pt idx="44">
                  <c:v>41821</c:v>
                </c:pt>
                <c:pt idx="45">
                  <c:v>41852</c:v>
                </c:pt>
                <c:pt idx="46">
                  <c:v>41883</c:v>
                </c:pt>
                <c:pt idx="47">
                  <c:v>41913</c:v>
                </c:pt>
                <c:pt idx="48">
                  <c:v>41944</c:v>
                </c:pt>
                <c:pt idx="49">
                  <c:v>41974</c:v>
                </c:pt>
                <c:pt idx="50">
                  <c:v>42005</c:v>
                </c:pt>
                <c:pt idx="51">
                  <c:v>42036</c:v>
                </c:pt>
                <c:pt idx="52">
                  <c:v>42064</c:v>
                </c:pt>
                <c:pt idx="53">
                  <c:v>42095</c:v>
                </c:pt>
                <c:pt idx="54">
                  <c:v>42125</c:v>
                </c:pt>
                <c:pt idx="55">
                  <c:v>42156</c:v>
                </c:pt>
              </c:numCache>
            </c:numRef>
          </c:cat>
          <c:val>
            <c:numRef>
              <c:f>'Input-Non TBA'!$G$4:$G$59</c:f>
              <c:numCache>
                <c:formatCode>General</c:formatCode>
                <c:ptCount val="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6769095429</c:v>
                </c:pt>
                <c:pt idx="20">
                  <c:v>3218261741</c:v>
                </c:pt>
                <c:pt idx="21">
                  <c:v>4157890179</c:v>
                </c:pt>
                <c:pt idx="22">
                  <c:v>3031643526</c:v>
                </c:pt>
                <c:pt idx="23">
                  <c:v>2142244765</c:v>
                </c:pt>
                <c:pt idx="24">
                  <c:v>1991616641</c:v>
                </c:pt>
                <c:pt idx="25">
                  <c:v>1221295318</c:v>
                </c:pt>
                <c:pt idx="26">
                  <c:v>2039610246</c:v>
                </c:pt>
                <c:pt idx="27">
                  <c:v>1308290440</c:v>
                </c:pt>
                <c:pt idx="28">
                  <c:v>1665562210</c:v>
                </c:pt>
                <c:pt idx="29">
                  <c:v>1552604213</c:v>
                </c:pt>
                <c:pt idx="30">
                  <c:v>1323430656</c:v>
                </c:pt>
                <c:pt idx="31">
                  <c:v>1179149045</c:v>
                </c:pt>
                <c:pt idx="32">
                  <c:v>1152808217</c:v>
                </c:pt>
                <c:pt idx="33">
                  <c:v>997857516</c:v>
                </c:pt>
                <c:pt idx="34">
                  <c:v>1353432524</c:v>
                </c:pt>
                <c:pt idx="35">
                  <c:v>468148310.94</c:v>
                </c:pt>
                <c:pt idx="36">
                  <c:v>1125987642</c:v>
                </c:pt>
                <c:pt idx="37">
                  <c:v>653317932</c:v>
                </c:pt>
                <c:pt idx="38">
                  <c:v>365851602</c:v>
                </c:pt>
                <c:pt idx="39">
                  <c:v>633665022.11000001</c:v>
                </c:pt>
                <c:pt idx="40">
                  <c:v>2169893191</c:v>
                </c:pt>
                <c:pt idx="41">
                  <c:v>125649286</c:v>
                </c:pt>
                <c:pt idx="42">
                  <c:v>116190481</c:v>
                </c:pt>
                <c:pt idx="43">
                  <c:v>174591578</c:v>
                </c:pt>
                <c:pt idx="44">
                  <c:v>277697406</c:v>
                </c:pt>
                <c:pt idx="45">
                  <c:v>753088397</c:v>
                </c:pt>
                <c:pt idx="46">
                  <c:v>770420147</c:v>
                </c:pt>
                <c:pt idx="47">
                  <c:v>1560208228</c:v>
                </c:pt>
                <c:pt idx="48">
                  <c:v>2628594452</c:v>
                </c:pt>
                <c:pt idx="49">
                  <c:v>54617004</c:v>
                </c:pt>
                <c:pt idx="50">
                  <c:v>42472903</c:v>
                </c:pt>
                <c:pt idx="51">
                  <c:v>1094775764</c:v>
                </c:pt>
                <c:pt idx="52">
                  <c:v>179486542</c:v>
                </c:pt>
                <c:pt idx="53">
                  <c:v>601906252</c:v>
                </c:pt>
                <c:pt idx="54">
                  <c:v>95110431</c:v>
                </c:pt>
                <c:pt idx="55">
                  <c:v>53243907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9390464"/>
        <c:axId val="261513984"/>
      </c:barChart>
      <c:dateAx>
        <c:axId val="259390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61513984"/>
        <c:crosses val="autoZero"/>
        <c:auto val="1"/>
        <c:lblOffset val="100"/>
        <c:baseTimeUnit val="months"/>
      </c:dateAx>
      <c:valAx>
        <c:axId val="26151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390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6"/>
          <c:order val="0"/>
          <c:tx>
            <c:strRef>
              <c:f>'Input-TBA LS'!$X$3</c:f>
              <c:strCache>
                <c:ptCount val="1"/>
                <c:pt idx="0">
                  <c:v>LLB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LS'!$X$28:$X$39</c:f>
              <c:numCache>
                <c:formatCode>General</c:formatCode>
                <c:ptCount val="12"/>
                <c:pt idx="0">
                  <c:v>556871423</c:v>
                </c:pt>
                <c:pt idx="1">
                  <c:v>276309118</c:v>
                </c:pt>
                <c:pt idx="2">
                  <c:v>520579495</c:v>
                </c:pt>
                <c:pt idx="3">
                  <c:v>1067979219</c:v>
                </c:pt>
                <c:pt idx="4">
                  <c:v>328333635</c:v>
                </c:pt>
                <c:pt idx="5">
                  <c:v>649508055</c:v>
                </c:pt>
                <c:pt idx="6">
                  <c:v>576476973</c:v>
                </c:pt>
                <c:pt idx="7">
                  <c:v>511360508</c:v>
                </c:pt>
                <c:pt idx="8">
                  <c:v>669261175</c:v>
                </c:pt>
                <c:pt idx="9">
                  <c:v>572072635</c:v>
                </c:pt>
                <c:pt idx="10">
                  <c:v>618395717</c:v>
                </c:pt>
                <c:pt idx="11">
                  <c:v>307366675</c:v>
                </c:pt>
              </c:numCache>
            </c:numRef>
          </c:val>
        </c:ser>
        <c:ser>
          <c:idx val="5"/>
          <c:order val="1"/>
          <c:tx>
            <c:strRef>
              <c:f>'Input-TBA LS'!$W$3</c:f>
              <c:strCache>
                <c:ptCount val="1"/>
                <c:pt idx="0">
                  <c:v>MLB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LS'!$W$28:$W$39</c:f>
              <c:numCache>
                <c:formatCode>General</c:formatCode>
                <c:ptCount val="12"/>
                <c:pt idx="0">
                  <c:v>761129869</c:v>
                </c:pt>
                <c:pt idx="1">
                  <c:v>506787994</c:v>
                </c:pt>
                <c:pt idx="2">
                  <c:v>753599550</c:v>
                </c:pt>
                <c:pt idx="3">
                  <c:v>1414282538</c:v>
                </c:pt>
                <c:pt idx="4">
                  <c:v>446521761</c:v>
                </c:pt>
                <c:pt idx="5">
                  <c:v>1032419961</c:v>
                </c:pt>
                <c:pt idx="6">
                  <c:v>934649695</c:v>
                </c:pt>
                <c:pt idx="7">
                  <c:v>772513720</c:v>
                </c:pt>
                <c:pt idx="8">
                  <c:v>1025557151</c:v>
                </c:pt>
                <c:pt idx="9">
                  <c:v>885264199</c:v>
                </c:pt>
                <c:pt idx="10">
                  <c:v>974814228</c:v>
                </c:pt>
                <c:pt idx="11">
                  <c:v>473494457</c:v>
                </c:pt>
              </c:numCache>
            </c:numRef>
          </c:val>
        </c:ser>
        <c:ser>
          <c:idx val="4"/>
          <c:order val="2"/>
          <c:tx>
            <c:strRef>
              <c:f>'Input-TBA LS'!$V$3</c:f>
              <c:strCache>
                <c:ptCount val="1"/>
                <c:pt idx="0">
                  <c:v>HLB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LS'!$V$28:$V$39</c:f>
              <c:numCache>
                <c:formatCode>General</c:formatCode>
                <c:ptCount val="12"/>
                <c:pt idx="0">
                  <c:v>1849037123</c:v>
                </c:pt>
                <c:pt idx="1">
                  <c:v>1100396501</c:v>
                </c:pt>
                <c:pt idx="2">
                  <c:v>1099206035</c:v>
                </c:pt>
                <c:pt idx="3">
                  <c:v>2870346254</c:v>
                </c:pt>
                <c:pt idx="4">
                  <c:v>919314440</c:v>
                </c:pt>
                <c:pt idx="5">
                  <c:v>2188580792</c:v>
                </c:pt>
                <c:pt idx="6">
                  <c:v>1761491330</c:v>
                </c:pt>
                <c:pt idx="7">
                  <c:v>1740173965</c:v>
                </c:pt>
                <c:pt idx="8">
                  <c:v>2177048004</c:v>
                </c:pt>
                <c:pt idx="9">
                  <c:v>1604123728</c:v>
                </c:pt>
                <c:pt idx="10">
                  <c:v>1872625551</c:v>
                </c:pt>
                <c:pt idx="11">
                  <c:v>724839754</c:v>
                </c:pt>
              </c:numCache>
            </c:numRef>
          </c:val>
        </c:ser>
        <c:ser>
          <c:idx val="3"/>
          <c:order val="3"/>
          <c:tx>
            <c:strRef>
              <c:f>'Input-TBA LS'!$U$3</c:f>
              <c:strCache>
                <c:ptCount val="1"/>
                <c:pt idx="0">
                  <c:v>175K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LS'!$U$28:$U$39</c:f>
              <c:numCache>
                <c:formatCode>General</c:formatCode>
                <c:ptCount val="12"/>
                <c:pt idx="0">
                  <c:v>1280099553</c:v>
                </c:pt>
                <c:pt idx="1">
                  <c:v>650094432</c:v>
                </c:pt>
                <c:pt idx="2">
                  <c:v>766751420</c:v>
                </c:pt>
                <c:pt idx="3">
                  <c:v>1079953024</c:v>
                </c:pt>
                <c:pt idx="4">
                  <c:v>323067643</c:v>
                </c:pt>
                <c:pt idx="5">
                  <c:v>1153694950</c:v>
                </c:pt>
                <c:pt idx="6">
                  <c:v>965876477</c:v>
                </c:pt>
                <c:pt idx="7">
                  <c:v>1040016439</c:v>
                </c:pt>
                <c:pt idx="8">
                  <c:v>1274427398</c:v>
                </c:pt>
                <c:pt idx="9">
                  <c:v>749272498</c:v>
                </c:pt>
                <c:pt idx="10">
                  <c:v>823694027</c:v>
                </c:pt>
                <c:pt idx="11">
                  <c:v>294929685</c:v>
                </c:pt>
              </c:numCache>
            </c:numRef>
          </c:val>
        </c:ser>
        <c:ser>
          <c:idx val="2"/>
          <c:order val="4"/>
          <c:tx>
            <c:strRef>
              <c:f>'Input-TBA LS'!$T$3</c:f>
              <c:strCache>
                <c:ptCount val="1"/>
                <c:pt idx="0">
                  <c:v>Investor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LS'!$T$28:$T$39</c:f>
              <c:numCache>
                <c:formatCode>General</c:formatCode>
                <c:ptCount val="12"/>
                <c:pt idx="0">
                  <c:v>300232858</c:v>
                </c:pt>
                <c:pt idx="1">
                  <c:v>319794876</c:v>
                </c:pt>
                <c:pt idx="2">
                  <c:v>201954271</c:v>
                </c:pt>
                <c:pt idx="3">
                  <c:v>341683957</c:v>
                </c:pt>
                <c:pt idx="4">
                  <c:v>74308382</c:v>
                </c:pt>
                <c:pt idx="5">
                  <c:v>484538977</c:v>
                </c:pt>
                <c:pt idx="6">
                  <c:v>667689851</c:v>
                </c:pt>
                <c:pt idx="7">
                  <c:v>347026218</c:v>
                </c:pt>
                <c:pt idx="8">
                  <c:v>673479406</c:v>
                </c:pt>
                <c:pt idx="9">
                  <c:v>708919283</c:v>
                </c:pt>
                <c:pt idx="10">
                  <c:v>748460873</c:v>
                </c:pt>
                <c:pt idx="11">
                  <c:v>325931943</c:v>
                </c:pt>
              </c:numCache>
            </c:numRef>
          </c:val>
        </c:ser>
        <c:ser>
          <c:idx val="1"/>
          <c:order val="5"/>
          <c:tx>
            <c:strRef>
              <c:f>'Input-TBA LS'!$S$3</c:f>
              <c:strCache>
                <c:ptCount val="1"/>
                <c:pt idx="0">
                  <c:v>MHA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LS'!$S$28:$S$39</c:f>
              <c:numCache>
                <c:formatCode>General</c:formatCode>
                <c:ptCount val="12"/>
                <c:pt idx="0">
                  <c:v>1840398841</c:v>
                </c:pt>
                <c:pt idx="1">
                  <c:v>1571080929</c:v>
                </c:pt>
                <c:pt idx="2">
                  <c:v>1870149685</c:v>
                </c:pt>
                <c:pt idx="3">
                  <c:v>2677244239</c:v>
                </c:pt>
                <c:pt idx="4">
                  <c:v>2462748002</c:v>
                </c:pt>
                <c:pt idx="5">
                  <c:v>5777830632</c:v>
                </c:pt>
                <c:pt idx="6">
                  <c:v>4094575194</c:v>
                </c:pt>
                <c:pt idx="7">
                  <c:v>3704381214</c:v>
                </c:pt>
                <c:pt idx="8">
                  <c:v>4370178626</c:v>
                </c:pt>
                <c:pt idx="9">
                  <c:v>3258601922</c:v>
                </c:pt>
                <c:pt idx="10">
                  <c:v>3304624510</c:v>
                </c:pt>
                <c:pt idx="11">
                  <c:v>1897384414</c:v>
                </c:pt>
              </c:numCache>
            </c:numRef>
          </c:val>
        </c:ser>
        <c:ser>
          <c:idx val="0"/>
          <c:order val="6"/>
          <c:tx>
            <c:strRef>
              <c:f>'Input-TBA LS'!$R$3</c:f>
              <c:strCache>
                <c:ptCount val="1"/>
                <c:pt idx="0">
                  <c:v>LowFICO</c:v>
                </c:pt>
              </c:strCache>
            </c:strRef>
          </c:tx>
          <c:invertIfNegative val="0"/>
          <c:cat>
            <c:numRef>
              <c:f>'Input-TBA LS'!$Q$28:$Q$39</c:f>
              <c:numCache>
                <c:formatCode>m/d/yyyy</c:formatCode>
                <c:ptCount val="12"/>
                <c:pt idx="0">
                  <c:v>41122</c:v>
                </c:pt>
                <c:pt idx="1">
                  <c:v>41153</c:v>
                </c:pt>
                <c:pt idx="2">
                  <c:v>41183</c:v>
                </c:pt>
                <c:pt idx="3">
                  <c:v>41214</c:v>
                </c:pt>
                <c:pt idx="4">
                  <c:v>41244</c:v>
                </c:pt>
                <c:pt idx="5">
                  <c:v>41275</c:v>
                </c:pt>
                <c:pt idx="6">
                  <c:v>41306</c:v>
                </c:pt>
                <c:pt idx="7">
                  <c:v>41334</c:v>
                </c:pt>
                <c:pt idx="8">
                  <c:v>41365</c:v>
                </c:pt>
                <c:pt idx="9">
                  <c:v>41395</c:v>
                </c:pt>
                <c:pt idx="10">
                  <c:v>41426</c:v>
                </c:pt>
                <c:pt idx="11">
                  <c:v>41456</c:v>
                </c:pt>
              </c:numCache>
            </c:numRef>
          </c:cat>
          <c:val>
            <c:numRef>
              <c:f>'Input-TBA LS'!$R$28:$R$39</c:f>
              <c:numCache>
                <c:formatCode>General</c:formatCode>
                <c:ptCount val="12"/>
                <c:pt idx="0">
                  <c:v>957106174</c:v>
                </c:pt>
                <c:pt idx="1">
                  <c:v>157536828</c:v>
                </c:pt>
                <c:pt idx="2">
                  <c:v>218074638</c:v>
                </c:pt>
                <c:pt idx="3">
                  <c:v>425684827</c:v>
                </c:pt>
                <c:pt idx="4">
                  <c:v>65279143</c:v>
                </c:pt>
                <c:pt idx="5">
                  <c:v>302688070</c:v>
                </c:pt>
                <c:pt idx="6">
                  <c:v>391369531</c:v>
                </c:pt>
                <c:pt idx="7">
                  <c:v>346705946</c:v>
                </c:pt>
                <c:pt idx="8">
                  <c:v>629333996</c:v>
                </c:pt>
                <c:pt idx="9">
                  <c:v>685828126</c:v>
                </c:pt>
                <c:pt idx="10">
                  <c:v>958510729</c:v>
                </c:pt>
                <c:pt idx="11">
                  <c:v>342006726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7236992"/>
        <c:axId val="237238528"/>
      </c:barChart>
      <c:dateAx>
        <c:axId val="237236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7238528"/>
        <c:crosses val="autoZero"/>
        <c:auto val="1"/>
        <c:lblOffset val="100"/>
        <c:baseTimeUnit val="months"/>
      </c:dateAx>
      <c:valAx>
        <c:axId val="23723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236992"/>
        <c:crosses val="autoZero"/>
        <c:crossBetween val="between"/>
        <c:dispUnits>
          <c:builtInUnit val="billions"/>
          <c:dispUnitsLbl/>
        </c:dispUnits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9</xdr:row>
      <xdr:rowOff>63500</xdr:rowOff>
    </xdr:from>
    <xdr:to>
      <xdr:col>16</xdr:col>
      <xdr:colOff>676276</xdr:colOff>
      <xdr:row>39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847724</xdr:colOff>
      <xdr:row>38</xdr:row>
      <xdr:rowOff>152400</xdr:rowOff>
    </xdr:from>
    <xdr:to>
      <xdr:col>16</xdr:col>
      <xdr:colOff>609600</xdr:colOff>
      <xdr:row>40</xdr:row>
      <xdr:rowOff>0</xdr:rowOff>
    </xdr:to>
    <xdr:sp macro="" textlink="">
      <xdr:nvSpPr>
        <xdr:cNvPr id="5" name="TextBox 4"/>
        <xdr:cNvSpPr txBox="1"/>
      </xdr:nvSpPr>
      <xdr:spPr>
        <a:xfrm>
          <a:off x="12877799" y="6534150"/>
          <a:ext cx="1590676" cy="171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Cello Database</a:t>
          </a:r>
        </a:p>
      </xdr:txBody>
    </xdr:sp>
    <xdr:clientData/>
  </xdr:twoCellAnchor>
  <xdr:twoCellAnchor>
    <xdr:from>
      <xdr:col>3</xdr:col>
      <xdr:colOff>76199</xdr:colOff>
      <xdr:row>39</xdr:row>
      <xdr:rowOff>38099</xdr:rowOff>
    </xdr:from>
    <xdr:to>
      <xdr:col>5</xdr:col>
      <xdr:colOff>180974</xdr:colOff>
      <xdr:row>41</xdr:row>
      <xdr:rowOff>0</xdr:rowOff>
    </xdr:to>
    <xdr:sp macro="" textlink="">
      <xdr:nvSpPr>
        <xdr:cNvPr id="4" name="TextBox 3"/>
        <xdr:cNvSpPr txBox="1"/>
      </xdr:nvSpPr>
      <xdr:spPr>
        <a:xfrm>
          <a:off x="2047874" y="6581774"/>
          <a:ext cx="1933575" cy="2857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Data only includes FHLMC 30-Yr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SpecifiedPool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561974</xdr:colOff>
      <xdr:row>11</xdr:row>
      <xdr:rowOff>0</xdr:rowOff>
    </xdr:from>
    <xdr:to>
      <xdr:col>16</xdr:col>
      <xdr:colOff>561974</xdr:colOff>
      <xdr:row>39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847724</xdr:colOff>
      <xdr:row>38</xdr:row>
      <xdr:rowOff>152400</xdr:rowOff>
    </xdr:from>
    <xdr:to>
      <xdr:col>16</xdr:col>
      <xdr:colOff>609600</xdr:colOff>
      <xdr:row>40</xdr:row>
      <xdr:rowOff>123825</xdr:rowOff>
    </xdr:to>
    <xdr:sp macro="" textlink="">
      <xdr:nvSpPr>
        <xdr:cNvPr id="5" name="TextBox 4"/>
        <xdr:cNvSpPr txBox="1"/>
      </xdr:nvSpPr>
      <xdr:spPr>
        <a:xfrm>
          <a:off x="12877799" y="6305550"/>
          <a:ext cx="1590676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Cello Database</a:t>
          </a:r>
        </a:p>
      </xdr:txBody>
    </xdr:sp>
    <xdr:clientData/>
  </xdr:twoCellAnchor>
  <xdr:twoCellAnchor>
    <xdr:from>
      <xdr:col>3</xdr:col>
      <xdr:colOff>47625</xdr:colOff>
      <xdr:row>39</xdr:row>
      <xdr:rowOff>85725</xdr:rowOff>
    </xdr:from>
    <xdr:to>
      <xdr:col>5</xdr:col>
      <xdr:colOff>152400</xdr:colOff>
      <xdr:row>41</xdr:row>
      <xdr:rowOff>47625</xdr:rowOff>
    </xdr:to>
    <xdr:sp macro="" textlink="">
      <xdr:nvSpPr>
        <xdr:cNvPr id="6" name="TextBox 5"/>
        <xdr:cNvSpPr txBox="1"/>
      </xdr:nvSpPr>
      <xdr:spPr>
        <a:xfrm>
          <a:off x="2019300" y="6400800"/>
          <a:ext cx="1933575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Data only includes FHLMC</a:t>
          </a:r>
          <a:r>
            <a:rPr lang="en-US" sz="1000" b="1" baseline="0"/>
            <a:t> 30-Yr</a:t>
          </a:r>
          <a:endParaRPr lang="en-US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409575</xdr:colOff>
      <xdr:row>40</xdr:row>
      <xdr:rowOff>23812</xdr:rowOff>
    </xdr:from>
    <xdr:to>
      <xdr:col>25</xdr:col>
      <xdr:colOff>104775</xdr:colOff>
      <xdr:row>54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600074</xdr:colOff>
      <xdr:row>12</xdr:row>
      <xdr:rowOff>128586</xdr:rowOff>
    </xdr:from>
    <xdr:to>
      <xdr:col>13</xdr:col>
      <xdr:colOff>400050</xdr:colOff>
      <xdr:row>29</xdr:row>
      <xdr:rowOff>57150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9" autoFormatId="16" applyNumberFormats="0" applyBorderFormats="0" applyFontFormats="0" applyPatternFormats="0" applyAlignmentFormats="0" applyWidthHeightFormats="0">
  <queryTableRefresh nextId="68" unboundColumnsRight="2">
    <queryTableFields count="6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  <queryTableField id="66" dataBound="0" tableColumnId="5"/>
      <queryTableField id="67" dataBound="0" tableColumnId="6"/>
    </queryTableFields>
  </queryTableRefresh>
</queryTable>
</file>

<file path=xl/queryTables/queryTable2.xml><?xml version="1.0" encoding="utf-8"?>
<queryTable xmlns="http://schemas.openxmlformats.org/spreadsheetml/2006/main" name="Query from Agency_9" backgroundRefresh="0" adjustColumnWidth="0" connectionId="3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queryTables/queryTable3.xml><?xml version="1.0" encoding="utf-8"?>
<queryTable xmlns="http://schemas.openxmlformats.org/spreadsheetml/2006/main" name="Query from Agency_10" backgroundRefresh="0" adjustColumnWidth="0" connectionId="4" autoFormatId="16" applyNumberFormats="0" applyBorderFormats="0" applyFontFormats="0" applyPatternFormats="0" applyAlignmentFormats="0" applyWidthHeightFormats="0">
  <queryTableRefresh nextId="66">
    <queryTableFields count="4">
      <queryTableField id="62" name="marketTicker" tableColumnId="1"/>
      <queryTableField id="63" name="issueDate" tableColumnId="2"/>
      <queryTableField id="64" name="description" tableColumnId="3"/>
      <queryTableField id="65" name="issueAmount" tableColumnId="4"/>
    </queryTableFields>
  </queryTableRefresh>
</queryTable>
</file>

<file path=xl/queryTables/queryTable4.xml><?xml version="1.0" encoding="utf-8"?>
<queryTable xmlns="http://schemas.openxmlformats.org/spreadsheetml/2006/main" name="Query from Agency_6" backgroundRefresh="0" adjustColumnWidth="0" connectionId="1" autoFormatId="16" applyNumberFormats="0" applyBorderFormats="0" applyFontFormats="0" applyPatternFormats="0" applyAlignmentFormats="0" applyWidthHeightFormats="0">
  <queryTableRefresh nextId="71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5.xml><?xml version="1.0" encoding="utf-8"?>
<queryTable xmlns="http://schemas.openxmlformats.org/spreadsheetml/2006/main" name="Query from Agency_9" backgroundRefresh="0" adjustColumnWidth="0" connectionId="6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6.xml><?xml version="1.0" encoding="utf-8"?>
<queryTable xmlns="http://schemas.openxmlformats.org/spreadsheetml/2006/main" name="Query from Agency_10" backgroundRefresh="0" adjustColumnWidth="0" connectionId="13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7.xml><?xml version="1.0" encoding="utf-8"?>
<queryTable xmlns="http://schemas.openxmlformats.org/spreadsheetml/2006/main" name="Query from Agency_11" backgroundRefresh="0" adjustColumnWidth="0" connectionId="10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8.xml><?xml version="1.0" encoding="utf-8"?>
<queryTable xmlns="http://schemas.openxmlformats.org/spreadsheetml/2006/main" name="Query from Agency_12" backgroundRefresh="0" adjustColumnWidth="0" connectionId="11" autoFormatId="16" applyNumberFormats="0" applyBorderFormats="0" applyFontFormats="0" applyPatternFormats="0" applyAlignmentFormats="0" applyWidthHeightFormats="0">
  <queryTableRefresh nextId="75" unboundColumnsRight="8">
    <queryTableFields count="10">
      <queryTableField id="63" name="issueDate" tableColumnId="2"/>
      <queryTableField id="72" name="LowFICO" tableColumnId="9"/>
      <queryTableField id="66" dataBound="0" tableColumnId="1"/>
      <queryTableField id="67" dataBound="0" tableColumnId="3"/>
      <queryTableField id="68" dataBound="0" tableColumnId="5"/>
      <queryTableField id="69" dataBound="0" tableColumnId="6"/>
      <queryTableField id="70" dataBound="0" tableColumnId="7"/>
      <queryTableField id="71" dataBound="0" tableColumnId="8"/>
      <queryTableField id="73" dataBound="0" tableColumnId="10"/>
      <queryTableField id="74" dataBound="0" tableColumnId="4"/>
    </queryTableFields>
  </queryTableRefresh>
</queryTable>
</file>

<file path=xl/queryTables/queryTable9.xml><?xml version="1.0" encoding="utf-8"?>
<queryTable xmlns="http://schemas.openxmlformats.org/spreadsheetml/2006/main" name="Query from Agency_13" backgroundRefresh="0" adjustColumnWidth="0" connectionId="12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10.xml><?xml version="1.0" encoding="utf-8"?>
<queryTable xmlns="http://schemas.openxmlformats.org/spreadsheetml/2006/main" name="Query from Agency_14" backgroundRefresh="0" adjustColumnWidth="0" connectionId="7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11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queryTables/queryTable12.xml><?xml version="1.0" encoding="utf-8"?>
<queryTable xmlns="http://schemas.openxmlformats.org/spreadsheetml/2006/main" name="Query from Agency_16" backgroundRefresh="0" adjustColumnWidth="0" connectionId="22" autoFormatId="16" applyNumberFormats="0" applyBorderFormats="0" applyFontFormats="0" applyPatternFormats="0" applyAlignmentFormats="0" applyWidthHeightFormats="0">
  <queryTableRefresh nextId="66">
    <queryTableFields count="2">
      <queryTableField id="63" name="issueDate" tableColumnId="2"/>
      <queryTableField id="65" name="issueAmoun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" name="CurrentMtgRatesDataTable826" displayName="CurrentMtgRatesDataTable826" ref="B3:G59" tableType="queryTable" totalsRowShown="0" headerRowDxfId="54" dataDxfId="53">
  <tableColumns count="6">
    <tableColumn id="1" uniqueName="1" name="marketTicker" queryTableFieldId="62"/>
    <tableColumn id="2" uniqueName="2" name="issueDate" queryTableFieldId="63" dataDxfId="52"/>
    <tableColumn id="3" uniqueName="3" name="description" queryTableFieldId="64"/>
    <tableColumn id="4" uniqueName="4" name="issueAmount" queryTableFieldId="65"/>
    <tableColumn id="5" uniqueName="5" name="CQ" queryTableFieldId="66" dataDxfId="51">
      <calculatedColumnFormula>VLOOKUP(CurrentMtgRatesDataTable826[[#This Row],[issueDate]],CurrentMtgRatesDataTable8267[[issueDate]:[issueAmount]],3,0)</calculatedColumnFormula>
    </tableColumn>
    <tableColumn id="6" uniqueName="6" name="CR" queryTableFieldId="67" dataDxfId="50">
      <calculatedColumnFormula>VLOOKUP(CurrentMtgRatesDataTable826[[#This Row],[issueDate]],CurrentMtgRatesDataTable8268[[issueDate]:[issueAmount]],3,0)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CurrentMtgRatesDataTable8267" displayName="CurrentMtgRatesDataTable8267" ref="I3:L62" tableType="queryTable" totalsRowShown="0" headerRowDxfId="49" dataDxfId="48">
  <tableColumns count="4">
    <tableColumn id="1" uniqueName="1" name="marketTicker" queryTableFieldId="62"/>
    <tableColumn id="2" uniqueName="2" name="issueDate" queryTableFieldId="63" dataDxfId="47"/>
    <tableColumn id="3" uniqueName="3" name="description" queryTableFieldId="64"/>
    <tableColumn id="4" uniqueName="4" name="issueAmount" queryTableFieldId="65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7" name="CurrentMtgRatesDataTable8268" displayName="CurrentMtgRatesDataTable8268" ref="O3:R40" tableType="queryTable" totalsRowShown="0" headerRowDxfId="46" dataDxfId="45">
  <tableColumns count="4">
    <tableColumn id="1" uniqueName="1" name="marketTicker" queryTableFieldId="62"/>
    <tableColumn id="2" uniqueName="2" name="issueDate" queryTableFieldId="63" dataDxfId="44"/>
    <tableColumn id="3" uniqueName="3" name="description" queryTableFieldId="64"/>
    <tableColumn id="4" uniqueName="4" name="issueAmount" queryTableFieldId="6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62" displayName="CurrentMtgRatesDataTable8262" ref="B3:C62" tableType="queryTable" totalsRowShown="0" headerRowDxfId="43" dataDxfId="42">
  <tableColumns count="2">
    <tableColumn id="2" uniqueName="2" name="issueDate" queryTableFieldId="63" dataDxfId="41"/>
    <tableColumn id="4" uniqueName="4" name="IssueAmount" queryTableFieldId="65" dataDxfId="4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82673" displayName="CurrentMtgRatesDataTable82673" ref="E3:F62" tableType="queryTable" totalsRowShown="0" headerRowDxfId="39" dataDxfId="38">
  <tableColumns count="2">
    <tableColumn id="2" uniqueName="2" name="issueDate" queryTableFieldId="63" dataDxfId="37"/>
    <tableColumn id="4" uniqueName="4" name="IssueAmount" queryTableFieldId="65" dataDxfId="3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CurrentMtgRatesDataTable82684" displayName="CurrentMtgRatesDataTable82684" ref="I3:J62" tableType="queryTable" totalsRowShown="0" headerRowDxfId="35" dataDxfId="34">
  <tableColumns count="2">
    <tableColumn id="2" uniqueName="2" name="issueDate" queryTableFieldId="63" dataDxfId="33"/>
    <tableColumn id="4" uniqueName="4" name="IssueAmount" queryTableFieldId="65" dataDxfId="3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4" name="CurrentMtgRatesDataTable826845" displayName="CurrentMtgRatesDataTable826845" ref="M3:N62" tableType="queryTable" totalsRowShown="0" headerRowDxfId="31" dataDxfId="30">
  <tableColumns count="2">
    <tableColumn id="2" uniqueName="2" name="issueDate" queryTableFieldId="63" dataDxfId="29"/>
    <tableColumn id="4" uniqueName="4" name="IssueAmount" queryTableFieldId="65" dataDxfId="2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268459" displayName="CurrentMtgRatesDataTable8268459" ref="Q3:Z62" tableType="queryTable" totalsRowShown="0" headerRowDxfId="27" dataDxfId="26">
  <tableColumns count="10">
    <tableColumn id="2" uniqueName="2" name="issueDate" queryTableFieldId="63" dataDxfId="25"/>
    <tableColumn id="9" uniqueName="9" name="LowFICO" queryTableFieldId="72" dataDxfId="24"/>
    <tableColumn id="1" uniqueName="1" name="MHA" queryTableFieldId="66" dataDxfId="23">
      <calculatedColumnFormula>VLOOKUP(CurrentMtgRatesDataTable8268459[[#This Row],[issueDate]],CurrentMtgRatesDataTable82684510[#All],2,0)</calculatedColumnFormula>
    </tableColumn>
    <tableColumn id="3" uniqueName="3" name="Investor" queryTableFieldId="67" dataDxfId="22">
      <calculatedColumnFormula>VLOOKUP(CurrentMtgRatesDataTable8268459[[#This Row],[issueDate]],CurrentMtgRatesDataTable82684511[#All],2,0)</calculatedColumnFormula>
    </tableColumn>
    <tableColumn id="5" uniqueName="5" name="175K" queryTableFieldId="68" dataDxfId="21">
      <calculatedColumnFormula>VLOOKUP(CurrentMtgRatesDataTable8268459[[#This Row],[issueDate]],CurrentMtgRatesDataTable8262[#All],2,0)</calculatedColumnFormula>
    </tableColumn>
    <tableColumn id="6" uniqueName="6" name="HLB" queryTableFieldId="69" dataDxfId="20">
      <calculatedColumnFormula>VLOOKUP(CurrentMtgRatesDataTable8268459[[#This Row],[issueDate]],CurrentMtgRatesDataTable82673[#All],2,0)</calculatedColumnFormula>
    </tableColumn>
    <tableColumn id="7" uniqueName="7" name="MLB" queryTableFieldId="70" dataDxfId="19">
      <calculatedColumnFormula>VLOOKUP(CurrentMtgRatesDataTable8268459[[#This Row],[issueDate]],CurrentMtgRatesDataTable82684[#All],2,0)</calculatedColumnFormula>
    </tableColumn>
    <tableColumn id="8" uniqueName="8" name="LLB" queryTableFieldId="71" dataDxfId="18">
      <calculatedColumnFormula>VLOOKUP(CurrentMtgRatesDataTable8268459[[#This Row],[issueDate]],CurrentMtgRatesDataTable826845[#All],2,0)</calculatedColumnFormula>
    </tableColumn>
    <tableColumn id="10" uniqueName="10" name="Geo" queryTableFieldId="73" dataDxfId="17">
      <calculatedColumnFormula>VLOOKUP(CurrentMtgRatesDataTable8268459[[#This Row],[issueDate]],CurrentMtgRatesDataTable8268451112[#All],2,0)</calculatedColumnFormula>
    </tableColumn>
    <tableColumn id="4" uniqueName="4" name="%All" queryTableFieldId="74" dataDxfId="16" dataCellStyle="Percent">
      <calculatedColumnFormula>SUM(CurrentMtgRatesDataTable8268459[[#This Row],[LowFICO]:[Geo]])/VLOOKUP(CurrentMtgRatesDataTable8268459[[#This Row],[issueDate]],CurrentMtgRatesDataTable826845111213[#All],2,0)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CurrentMtgRatesDataTable82684510" displayName="CurrentMtgRatesDataTable82684510" ref="AC3:AD62" tableType="queryTable" totalsRowShown="0" headerRowDxfId="15" dataDxfId="14">
  <tableColumns count="2">
    <tableColumn id="2" uniqueName="2" name="issueDate" queryTableFieldId="63" dataDxfId="13"/>
    <tableColumn id="4" uniqueName="4" name="IssueAmount" queryTableFieldId="65" dataDxfId="1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10" name="CurrentMtgRatesDataTable82684511" displayName="CurrentMtgRatesDataTable82684511" ref="AG3:AH61" tableType="queryTable" totalsRowShown="0" headerRowDxfId="11" dataDxfId="10">
  <tableColumns count="2">
    <tableColumn id="2" uniqueName="2" name="issueDate" queryTableFieldId="63" dataDxfId="9"/>
    <tableColumn id="4" uniqueName="4" name="IssueAmount" queryTableFieldId="65" dataDxfId="8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1" name="CurrentMtgRatesDataTable8268451112" displayName="CurrentMtgRatesDataTable8268451112" ref="AJ3:AK62" tableType="queryTable" totalsRowShown="0" headerRowDxfId="7" dataDxfId="6">
  <tableColumns count="2">
    <tableColumn id="2" uniqueName="2" name="issueDate" queryTableFieldId="63" dataDxfId="5"/>
    <tableColumn id="4" uniqueName="4" name="IssueAmount" queryTableFieldId="65" dataDxfId="4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id="12" name="CurrentMtgRatesDataTable826845111213" displayName="CurrentMtgRatesDataTable826845111213" ref="AM3:AN62" tableType="queryTable" totalsRowShown="0" headerRowDxfId="3" dataDxfId="2">
  <tableColumns count="2">
    <tableColumn id="2" uniqueName="2" name="issueDate" queryTableFieldId="63" dataDxfId="1"/>
    <tableColumn id="4" uniqueName="4" name="IssueAmount" queryTableFieldId="65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www.quickenloans.com/home-loans/30-year-fixe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C1:U97"/>
  <sheetViews>
    <sheetView showGridLines="0" tabSelected="1" topLeftCell="A7" zoomScaleNormal="100" workbookViewId="0">
      <selection activeCell="B24" sqref="B24"/>
    </sheetView>
  </sheetViews>
  <sheetFormatPr defaultRowHeight="12.75"/>
  <cols>
    <col min="1" max="1" width="9.140625" style="5" customWidth="1"/>
    <col min="2" max="2" width="9.140625" style="5"/>
    <col min="3" max="3" width="11.28515625" style="5" customWidth="1"/>
    <col min="4" max="16" width="13.7109375" style="5" customWidth="1"/>
    <col min="17" max="17" width="12.5703125" style="5" customWidth="1"/>
    <col min="18" max="18" width="11.28515625" style="5" customWidth="1"/>
    <col min="19" max="19" width="9.140625" style="5"/>
    <col min="20" max="20" width="14.140625" style="5" customWidth="1"/>
    <col min="21" max="16384" width="9.140625" style="5"/>
  </cols>
  <sheetData>
    <row r="1" spans="3:21" ht="15">
      <c r="T1"/>
      <c r="U1"/>
    </row>
    <row r="2" spans="3:21" ht="15">
      <c r="T2"/>
      <c r="U2"/>
    </row>
    <row r="3" spans="3:21" ht="15">
      <c r="T3"/>
      <c r="U3"/>
    </row>
    <row r="4" spans="3:21" ht="15">
      <c r="T4"/>
      <c r="U4"/>
    </row>
    <row r="5" spans="3:21" ht="15">
      <c r="T5"/>
      <c r="U5"/>
    </row>
    <row r="6" spans="3:21" ht="15">
      <c r="T6"/>
      <c r="U6"/>
    </row>
    <row r="7" spans="3:21" ht="15">
      <c r="T7"/>
      <c r="U7"/>
    </row>
    <row r="8" spans="3:21" ht="15">
      <c r="T8"/>
      <c r="U8"/>
    </row>
    <row r="9" spans="3:21" s="10" customFormat="1">
      <c r="C9" s="5"/>
      <c r="D9" s="5"/>
      <c r="E9" s="5"/>
      <c r="F9" s="5"/>
      <c r="G9" s="5"/>
      <c r="H9" s="5"/>
      <c r="I9" s="5"/>
      <c r="J9" s="5"/>
      <c r="K9" s="5"/>
      <c r="L9" s="5"/>
      <c r="M9" s="5"/>
      <c r="Q9" s="5"/>
      <c r="R9" s="5"/>
    </row>
    <row r="10" spans="3:21" s="11" customFormat="1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Q10" s="5"/>
      <c r="R10" s="5"/>
    </row>
    <row r="11" spans="3:21" s="11" customFormat="1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Q11" s="5"/>
      <c r="R11" s="5"/>
    </row>
    <row r="12" spans="3:21" s="11" customForma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Q12" s="5"/>
      <c r="R12" s="5"/>
    </row>
    <row r="13" spans="3:21" s="11" customFormat="1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Q13" s="5"/>
      <c r="R13" s="5"/>
    </row>
    <row r="14" spans="3:21" s="11" customFormat="1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Q14" s="5"/>
      <c r="R14" s="5"/>
    </row>
    <row r="15" spans="3:21" s="11" customFormat="1"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Q15" s="5"/>
      <c r="R15" s="5"/>
    </row>
    <row r="16" spans="3:21" s="11" customFormat="1"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Q16" s="5"/>
      <c r="R16" s="5"/>
    </row>
    <row r="17" spans="3:18" s="11" customFormat="1"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Q17" s="5"/>
      <c r="R17" s="5"/>
    </row>
    <row r="18" spans="3:18" s="11" customFormat="1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Q18" s="5"/>
      <c r="R18" s="5"/>
    </row>
    <row r="19" spans="3:18" s="11" customFormat="1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Q19" s="5"/>
      <c r="R19" s="5"/>
    </row>
    <row r="20" spans="3:18" s="11" customForma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Q20" s="5"/>
      <c r="R20" s="5"/>
    </row>
    <row r="21" spans="3:18" s="11" customFormat="1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Q21" s="5"/>
      <c r="R21" s="5"/>
    </row>
    <row r="42" spans="4:16" ht="15">
      <c r="D42" s="4" t="s">
        <v>27</v>
      </c>
      <c r="O42" s="43" t="s">
        <v>40</v>
      </c>
      <c r="P42" s="40">
        <f>E43</f>
        <v>42156</v>
      </c>
    </row>
    <row r="43" spans="4:16">
      <c r="D43" s="20"/>
      <c r="E43" s="21">
        <f>Historical!D3</f>
        <v>42156</v>
      </c>
      <c r="F43" s="21">
        <f>E43-DAY(E43-1)</f>
        <v>42125</v>
      </c>
      <c r="G43" s="21">
        <f t="shared" ref="G43:P43" si="0">F43-DAY(F43-1)</f>
        <v>42095</v>
      </c>
      <c r="H43" s="21">
        <f t="shared" si="0"/>
        <v>42064</v>
      </c>
      <c r="I43" s="21">
        <f t="shared" si="0"/>
        <v>42036</v>
      </c>
      <c r="J43" s="21">
        <f t="shared" si="0"/>
        <v>42005</v>
      </c>
      <c r="K43" s="21">
        <f t="shared" si="0"/>
        <v>41974</v>
      </c>
      <c r="L43" s="21">
        <f t="shared" si="0"/>
        <v>41944</v>
      </c>
      <c r="M43" s="21">
        <f t="shared" si="0"/>
        <v>41913</v>
      </c>
      <c r="N43" s="21">
        <f t="shared" si="0"/>
        <v>41883</v>
      </c>
      <c r="O43" s="21">
        <f t="shared" si="0"/>
        <v>41852</v>
      </c>
      <c r="P43" s="21">
        <f t="shared" si="0"/>
        <v>41821</v>
      </c>
    </row>
    <row r="44" spans="4:16">
      <c r="D44" s="25" t="s">
        <v>34</v>
      </c>
      <c r="E44" s="38">
        <f>IF(ISNA(Historical!D12),0,Historical!D12)</f>
        <v>426.53620799999999</v>
      </c>
      <c r="F44" s="38">
        <f>IF(ISNA(Historical!E12),0,Historical!E12)</f>
        <v>369.38555866000002</v>
      </c>
      <c r="G44" s="38">
        <f>IF(ISNA(Historical!F12),0,Historical!F12)</f>
        <v>396.32225199999999</v>
      </c>
      <c r="H44" s="38">
        <f>IF(ISNA(Historical!G12),0,Historical!G12)</f>
        <v>252.44460699999999</v>
      </c>
      <c r="I44" s="38">
        <f>IF(ISNA(Historical!H12),0,Historical!H12)</f>
        <v>374.57367605000002</v>
      </c>
      <c r="J44" s="38">
        <f>IF(ISNA(Historical!I12),0,Historical!I12)</f>
        <v>293.156633</v>
      </c>
      <c r="K44" s="38">
        <f>IF(ISNA(Historical!J12),0,Historical!J12)</f>
        <v>298.16098299999999</v>
      </c>
      <c r="L44" s="38">
        <f>IF(ISNA(Historical!K12),0,Historical!K12)</f>
        <v>758.61902899999995</v>
      </c>
      <c r="M44" s="38">
        <f>IF(ISNA(Historical!L12),0,Historical!L12)</f>
        <v>487.76916899999998</v>
      </c>
      <c r="N44" s="38">
        <f>IF(ISNA(Historical!M12),0,Historical!M12)</f>
        <v>516.55757100000005</v>
      </c>
      <c r="O44" s="38">
        <f>IF(ISNA(Historical!N12),0,Historical!N12)</f>
        <v>450.24923699999999</v>
      </c>
      <c r="P44" s="38">
        <f>IF(ISNA(Historical!O12),0,Historical!O12)</f>
        <v>580.54931199999999</v>
      </c>
    </row>
    <row r="45" spans="4:16">
      <c r="D45" s="25" t="s">
        <v>35</v>
      </c>
      <c r="E45" s="38">
        <f>IF(ISNA(Historical!D13),0,Historical!D13)</f>
        <v>170.308762</v>
      </c>
      <c r="F45" s="38">
        <f>IF(ISNA(Historical!E13),0,Historical!E13)</f>
        <v>122.28681082</v>
      </c>
      <c r="G45" s="38">
        <f>IF(ISNA(Historical!F13),0,Historical!F13)</f>
        <v>148.89011199999999</v>
      </c>
      <c r="H45" s="38">
        <f>IF(ISNA(Historical!G13),0,Historical!G13)</f>
        <v>168.44036800000001</v>
      </c>
      <c r="I45" s="38">
        <f>IF(ISNA(Historical!H13),0,Historical!H13)</f>
        <v>124.03475</v>
      </c>
      <c r="J45" s="38">
        <f>IF(ISNA(Historical!I13),0,Historical!I13)</f>
        <v>86.808654000000004</v>
      </c>
      <c r="K45" s="38">
        <f>IF(ISNA(Historical!J13),0,Historical!J13)</f>
        <v>132.196732</v>
      </c>
      <c r="L45" s="38">
        <f>IF(ISNA(Historical!K13),0,Historical!K13)</f>
        <v>117.827108</v>
      </c>
      <c r="M45" s="38">
        <f>IF(ISNA(Historical!L13),0,Historical!L13)</f>
        <v>83.894887999999995</v>
      </c>
      <c r="N45" s="38">
        <f>IF(ISNA(Historical!M13),0,Historical!M13)</f>
        <v>162.01550034000002</v>
      </c>
      <c r="O45" s="38">
        <f>IF(ISNA(Historical!N13),0,Historical!N13)</f>
        <v>100.658496</v>
      </c>
      <c r="P45" s="38">
        <f>IF(ISNA(Historical!O13),0,Historical!O13)</f>
        <v>189.86541600000001</v>
      </c>
    </row>
    <row r="46" spans="4:16">
      <c r="D46" s="25" t="s">
        <v>36</v>
      </c>
      <c r="E46" s="38">
        <f>IF(ISNA(Historical!D14),0,Historical!D14)</f>
        <v>113.426215</v>
      </c>
      <c r="F46" s="38">
        <f>IF(ISNA(Historical!E14),0,Historical!E14)</f>
        <v>52.180959999999999</v>
      </c>
      <c r="G46" s="38">
        <f>IF(ISNA(Historical!F14),0,Historical!F14)</f>
        <v>11.152526</v>
      </c>
      <c r="H46" s="38">
        <f>IF(ISNA(Historical!G14),0,Historical!G14)</f>
        <v>19.009106420000002</v>
      </c>
      <c r="I46" s="38">
        <f>IF(ISNA(Historical!H14),0,Historical!H14)</f>
        <v>25.151731999999999</v>
      </c>
      <c r="J46" s="38">
        <f>IF(ISNA(Historical!I14),0,Historical!I14)</f>
        <v>0</v>
      </c>
      <c r="K46" s="38">
        <f>IF(ISNA(Historical!J14),0,Historical!J14)</f>
        <v>54.314672999999999</v>
      </c>
      <c r="L46" s="38">
        <f>IF(ISNA(Historical!K14),0,Historical!K14)</f>
        <v>195.083845</v>
      </c>
      <c r="M46" s="38">
        <f>IF(ISNA(Historical!L14),0,Historical!L14)</f>
        <v>131.71084999999999</v>
      </c>
      <c r="N46" s="38">
        <f>IF(ISNA(Historical!M14),0,Historical!M14)</f>
        <v>105.197408</v>
      </c>
      <c r="O46" s="38">
        <f>IF(ISNA(Historical!N14),0,Historical!N14)</f>
        <v>146.72674699999999</v>
      </c>
      <c r="P46" s="38">
        <f>IF(ISNA(Historical!O14),0,Historical!O14)</f>
        <v>179.061576</v>
      </c>
    </row>
    <row r="47" spans="4:16">
      <c r="D47" s="25" t="s">
        <v>30</v>
      </c>
      <c r="E47" s="38">
        <f>IF(ISNA(Historical!D15),0,Historical!D15)</f>
        <v>764.81129699999997</v>
      </c>
      <c r="F47" s="38">
        <f>IF(ISNA(Historical!E15),0,Historical!E15)</f>
        <v>855.52421200000003</v>
      </c>
      <c r="G47" s="38">
        <f>IF(ISNA(Historical!F15),0,Historical!F15)</f>
        <v>752.54796799999997</v>
      </c>
      <c r="H47" s="38">
        <f>IF(ISNA(Historical!G15),0,Historical!G15)</f>
        <v>564.53249600000004</v>
      </c>
      <c r="I47" s="38">
        <f>IF(ISNA(Historical!H15),0,Historical!H15)</f>
        <v>911.24179500000002</v>
      </c>
      <c r="J47" s="38">
        <f>IF(ISNA(Historical!I15),0,Historical!I15)</f>
        <v>630.71400300000005</v>
      </c>
      <c r="K47" s="38">
        <f>IF(ISNA(Historical!J15),0,Historical!J15)</f>
        <v>476.097149</v>
      </c>
      <c r="L47" s="38">
        <f>IF(ISNA(Historical!K15),0,Historical!K15)</f>
        <v>841.22365100000002</v>
      </c>
      <c r="M47" s="38">
        <f>IF(ISNA(Historical!L15),0,Historical!L15)</f>
        <v>834.28929300000004</v>
      </c>
      <c r="N47" s="38">
        <f>IF(ISNA(Historical!M15),0,Historical!M15)</f>
        <v>811.05414900000005</v>
      </c>
      <c r="O47" s="38">
        <f>IF(ISNA(Historical!N15),0,Historical!N15)</f>
        <v>890.80694700000004</v>
      </c>
      <c r="P47" s="38">
        <f>IF(ISNA(Historical!O15),0,Historical!O15)</f>
        <v>618.42138299999999</v>
      </c>
    </row>
    <row r="48" spans="4:16">
      <c r="D48" s="25" t="s">
        <v>31</v>
      </c>
      <c r="E48" s="38">
        <f>IF(ISNA(Historical!D16),0,Historical!D16)</f>
        <v>1611.74891</v>
      </c>
      <c r="F48" s="38">
        <f>IF(ISNA(Historical!E16),0,Historical!E16)</f>
        <v>1463.90602057</v>
      </c>
      <c r="G48" s="38">
        <f>IF(ISNA(Historical!F16),0,Historical!F16)</f>
        <v>1449.516451</v>
      </c>
      <c r="H48" s="38">
        <f>IF(ISNA(Historical!G16),0,Historical!G16)</f>
        <v>1017.69467442</v>
      </c>
      <c r="I48" s="38">
        <f>IF(ISNA(Historical!H16),0,Historical!H16)</f>
        <v>1643.2794370499998</v>
      </c>
      <c r="J48" s="38">
        <f>IF(ISNA(Historical!I16),0,Historical!I16)</f>
        <v>1072.190687</v>
      </c>
      <c r="K48" s="38">
        <f>IF(ISNA(Historical!J16),0,Historical!J16)</f>
        <v>1098.4639110000001</v>
      </c>
      <c r="L48" s="38">
        <f>IF(ISNA(Historical!K16),0,Historical!K16)</f>
        <v>1450.209816</v>
      </c>
      <c r="M48" s="38">
        <f>IF(ISNA(Historical!L16),0,Historical!L16)</f>
        <v>1458.7670370000001</v>
      </c>
      <c r="N48" s="38">
        <f>IF(ISNA(Historical!M16),0,Historical!M16)</f>
        <v>1477.981822</v>
      </c>
      <c r="O48" s="38">
        <f>IF(ISNA(Historical!N16),0,Historical!N16)</f>
        <v>1633.7360249999999</v>
      </c>
      <c r="P48" s="38">
        <f>IF(ISNA(Historical!O16),0,Historical!O16)</f>
        <v>1097.6674290000001</v>
      </c>
    </row>
    <row r="49" spans="4:16">
      <c r="D49" s="25" t="s">
        <v>32</v>
      </c>
      <c r="E49" s="38">
        <f>IF(ISNA(Historical!D17),0,Historical!D17)</f>
        <v>703.68132100000003</v>
      </c>
      <c r="F49" s="38">
        <f>IF(ISNA(Historical!E17),0,Historical!E17)</f>
        <v>598.67212700000005</v>
      </c>
      <c r="G49" s="38">
        <f>IF(ISNA(Historical!F17),0,Historical!F17)</f>
        <v>539.45574899999997</v>
      </c>
      <c r="H49" s="38">
        <f>IF(ISNA(Historical!G17),0,Historical!G17)</f>
        <v>430.86262799999997</v>
      </c>
      <c r="I49" s="38">
        <f>IF(ISNA(Historical!H17),0,Historical!H17)</f>
        <v>622.20484599999997</v>
      </c>
      <c r="J49" s="38">
        <f>IF(ISNA(Historical!I17),0,Historical!I17)</f>
        <v>510.09734600000002</v>
      </c>
      <c r="K49" s="38">
        <f>IF(ISNA(Historical!J17),0,Historical!J17)</f>
        <v>538.29634199999998</v>
      </c>
      <c r="L49" s="38">
        <f>IF(ISNA(Historical!K17),0,Historical!K17)</f>
        <v>594.16366200000004</v>
      </c>
      <c r="M49" s="38">
        <f>IF(ISNA(Historical!L17),0,Historical!L17)</f>
        <v>633.55211099999997</v>
      </c>
      <c r="N49" s="38">
        <f>IF(ISNA(Historical!M17),0,Historical!M17)</f>
        <v>583.30619200000001</v>
      </c>
      <c r="O49" s="38">
        <f>IF(ISNA(Historical!N17),0,Historical!N17)</f>
        <v>747.83611900000005</v>
      </c>
      <c r="P49" s="38">
        <f>IF(ISNA(Historical!O17),0,Historical!O17)</f>
        <v>483.86209300000002</v>
      </c>
    </row>
    <row r="50" spans="4:16">
      <c r="D50" s="25" t="s">
        <v>33</v>
      </c>
      <c r="E50" s="38">
        <f>IF(ISNA(Historical!D18),0,Historical!D18)</f>
        <v>355.570784</v>
      </c>
      <c r="F50" s="38">
        <f>IF(ISNA(Historical!E18),0,Historical!E18)</f>
        <v>366.25371999999999</v>
      </c>
      <c r="G50" s="38">
        <f>IF(ISNA(Historical!F18),0,Historical!F18)</f>
        <v>332.54565400000001</v>
      </c>
      <c r="H50" s="38">
        <f>IF(ISNA(Historical!G18),0,Historical!G18)</f>
        <v>265.267495</v>
      </c>
      <c r="I50" s="38">
        <f>IF(ISNA(Historical!H18),0,Historical!H18)</f>
        <v>421.65808399999997</v>
      </c>
      <c r="J50" s="38">
        <f>IF(ISNA(Historical!I18),0,Historical!I18)</f>
        <v>316.81303700000001</v>
      </c>
      <c r="K50" s="38">
        <f>IF(ISNA(Historical!J18),0,Historical!J18)</f>
        <v>353.34033599999998</v>
      </c>
      <c r="L50" s="38">
        <f>IF(ISNA(Historical!K18),0,Historical!K18)</f>
        <v>378.70451500000001</v>
      </c>
      <c r="M50" s="38">
        <f>IF(ISNA(Historical!L18),0,Historical!L18)</f>
        <v>372.933423</v>
      </c>
      <c r="N50" s="38">
        <f>IF(ISNA(Historical!M18),0,Historical!M18)</f>
        <v>342.79302899999999</v>
      </c>
      <c r="O50" s="38">
        <f>IF(ISNA(Historical!N18),0,Historical!N18)</f>
        <v>442.026318</v>
      </c>
      <c r="P50" s="38">
        <f>IF(ISNA(Historical!O18),0,Historical!O18)</f>
        <v>296.54413</v>
      </c>
    </row>
    <row r="51" spans="4:16">
      <c r="D51" s="25" t="s">
        <v>39</v>
      </c>
      <c r="E51" s="38">
        <f>IF(ISNA(Historical!D19),0,Historical!D19)</f>
        <v>251.74121500000001</v>
      </c>
      <c r="F51" s="38">
        <f>IF(ISNA(Historical!E19),0,Historical!E19)</f>
        <v>318.697472</v>
      </c>
      <c r="G51" s="38">
        <f>IF(ISNA(Historical!F19),0,Historical!F19)</f>
        <v>255.81547</v>
      </c>
      <c r="H51" s="38">
        <f>IF(ISNA(Historical!G19),0,Historical!G19)</f>
        <v>142.63154599999999</v>
      </c>
      <c r="I51" s="38">
        <f>IF(ISNA(Historical!H19),0,Historical!H19)</f>
        <v>388.87008100000003</v>
      </c>
      <c r="J51" s="38">
        <f>IF(ISNA(Historical!I19),0,Historical!I19)</f>
        <v>257.43582600000002</v>
      </c>
      <c r="K51" s="38">
        <f>IF(ISNA(Historical!J19),0,Historical!J19)</f>
        <v>161.550163</v>
      </c>
      <c r="L51" s="38">
        <f>IF(ISNA(Historical!K19),0,Historical!K19)</f>
        <v>264.019745</v>
      </c>
      <c r="M51" s="38">
        <f>IF(ISNA(Historical!L19),0,Historical!L19)</f>
        <v>258.87979799999999</v>
      </c>
      <c r="N51" s="38">
        <f>IF(ISNA(Historical!M19),0,Historical!M19)</f>
        <v>176.95254600000001</v>
      </c>
      <c r="O51" s="38">
        <f>IF(ISNA(Historical!N19),0,Historical!N19)</f>
        <v>170.905632</v>
      </c>
      <c r="P51" s="38">
        <f>IF(ISNA(Historical!O19),0,Historical!O19)</f>
        <v>71.448246999999995</v>
      </c>
    </row>
    <row r="52" spans="4:16">
      <c r="D52" s="28" t="s">
        <v>26</v>
      </c>
      <c r="E52" s="39">
        <f>SUM(E44:E51)</f>
        <v>4397.8247119999996</v>
      </c>
      <c r="F52" s="39">
        <f t="shared" ref="F52:P52" si="1">SUM(F44:F51)</f>
        <v>4146.9068810500003</v>
      </c>
      <c r="G52" s="39">
        <f t="shared" si="1"/>
        <v>3886.2461819999999</v>
      </c>
      <c r="H52" s="39">
        <f t="shared" si="1"/>
        <v>2860.8829208400002</v>
      </c>
      <c r="I52" s="39">
        <f t="shared" si="1"/>
        <v>4511.0144011000002</v>
      </c>
      <c r="J52" s="39">
        <f t="shared" si="1"/>
        <v>3167.2161860000001</v>
      </c>
      <c r="K52" s="39">
        <f t="shared" si="1"/>
        <v>3112.4202889999997</v>
      </c>
      <c r="L52" s="39">
        <f t="shared" si="1"/>
        <v>4599.8513709999997</v>
      </c>
      <c r="M52" s="39">
        <f t="shared" si="1"/>
        <v>4261.7965690000001</v>
      </c>
      <c r="N52" s="39">
        <f t="shared" si="1"/>
        <v>4175.85821734</v>
      </c>
      <c r="O52" s="39">
        <f t="shared" si="1"/>
        <v>4582.9455209999996</v>
      </c>
      <c r="P52" s="39">
        <f t="shared" si="1"/>
        <v>3517.4195860000004</v>
      </c>
    </row>
    <row r="53" spans="4:16">
      <c r="D53" s="26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</row>
    <row r="54" spans="4:16" ht="15">
      <c r="D54" s="4" t="s">
        <v>28</v>
      </c>
      <c r="L54" s="4" t="s">
        <v>38</v>
      </c>
    </row>
    <row r="55" spans="4:16" customFormat="1" ht="15">
      <c r="D55" s="6"/>
      <c r="E55" s="7" t="str">
        <f>TEXT(E43,"mm/yyyy")&amp;" Balance"</f>
        <v>06/2015 Balance</v>
      </c>
      <c r="F55" s="8" t="s">
        <v>11</v>
      </c>
      <c r="G55" s="8" t="s">
        <v>12</v>
      </c>
      <c r="H55" s="8" t="s">
        <v>13</v>
      </c>
      <c r="I55" s="8" t="s">
        <v>14</v>
      </c>
      <c r="K55" s="5"/>
      <c r="L55" s="6"/>
      <c r="M55" s="8" t="s">
        <v>11</v>
      </c>
      <c r="N55" s="8" t="s">
        <v>12</v>
      </c>
      <c r="O55" s="8" t="s">
        <v>13</v>
      </c>
      <c r="P55" s="8" t="s">
        <v>14</v>
      </c>
    </row>
    <row r="56" spans="4:16" customFormat="1" ht="15">
      <c r="D56" s="25" t="s">
        <v>34</v>
      </c>
      <c r="E56" s="38">
        <f>E44</f>
        <v>426.53620799999999</v>
      </c>
      <c r="F56" s="38">
        <f>E44-F44</f>
        <v>57.150649339999973</v>
      </c>
      <c r="G56" s="38">
        <f>E44-H44</f>
        <v>174.091601</v>
      </c>
      <c r="H56" s="38">
        <f>E44-K44</f>
        <v>128.375225</v>
      </c>
      <c r="I56" s="38">
        <f>E44-P44</f>
        <v>-154.013104</v>
      </c>
      <c r="K56" s="5"/>
      <c r="L56" s="25" t="s">
        <v>34</v>
      </c>
      <c r="M56" s="38">
        <f t="shared" ref="M56:M63" si="2">F56/F44*100</f>
        <v>15.471814747528919</v>
      </c>
      <c r="N56" s="38">
        <f t="shared" ref="N56:N63" si="3">G56/H44*100</f>
        <v>68.962297538802247</v>
      </c>
      <c r="O56" s="38">
        <f t="shared" ref="O56:O63" si="4">H56/K44*100</f>
        <v>43.055675396669862</v>
      </c>
      <c r="P56" s="38">
        <f t="shared" ref="P56:P63" si="5">I56/P44*100</f>
        <v>-26.528858241072207</v>
      </c>
    </row>
    <row r="57" spans="4:16" customFormat="1" ht="15">
      <c r="D57" s="25" t="s">
        <v>35</v>
      </c>
      <c r="E57" s="38">
        <f t="shared" ref="E57:E63" si="6">E45</f>
        <v>170.308762</v>
      </c>
      <c r="F57" s="38">
        <f t="shared" ref="F57:F63" si="7">E45-F45</f>
        <v>48.021951180000002</v>
      </c>
      <c r="G57" s="38">
        <f t="shared" ref="G57:G62" si="8">E45-H45</f>
        <v>1.868393999999995</v>
      </c>
      <c r="H57" s="38">
        <f t="shared" ref="H57:H62" si="9">E45-K45</f>
        <v>38.112030000000004</v>
      </c>
      <c r="I57" s="38">
        <f t="shared" ref="I57:I62" si="10">E45-P45</f>
        <v>-19.556654000000009</v>
      </c>
      <c r="K57" s="5"/>
      <c r="L57" s="25" t="s">
        <v>35</v>
      </c>
      <c r="M57" s="38">
        <f t="shared" si="2"/>
        <v>39.269935046949492</v>
      </c>
      <c r="N57" s="38">
        <f t="shared" si="3"/>
        <v>1.1092317252595856</v>
      </c>
      <c r="O57" s="38">
        <f t="shared" si="4"/>
        <v>28.829782267234872</v>
      </c>
      <c r="P57" s="38">
        <f t="shared" si="5"/>
        <v>-10.300271851509812</v>
      </c>
    </row>
    <row r="58" spans="4:16" customFormat="1" ht="15">
      <c r="D58" s="25" t="s">
        <v>36</v>
      </c>
      <c r="E58" s="38">
        <f t="shared" si="6"/>
        <v>113.426215</v>
      </c>
      <c r="F58" s="38">
        <f t="shared" si="7"/>
        <v>61.245255</v>
      </c>
      <c r="G58" s="38">
        <f t="shared" si="8"/>
        <v>94.41710857999999</v>
      </c>
      <c r="H58" s="38">
        <f t="shared" si="9"/>
        <v>59.111542</v>
      </c>
      <c r="I58" s="38">
        <f t="shared" si="10"/>
        <v>-65.635361000000003</v>
      </c>
      <c r="K58" s="5"/>
      <c r="L58" s="25" t="s">
        <v>36</v>
      </c>
      <c r="M58" s="38">
        <f t="shared" si="2"/>
        <v>117.37088585568375</v>
      </c>
      <c r="N58" s="38">
        <f t="shared" si="3"/>
        <v>496.69409226233358</v>
      </c>
      <c r="O58" s="38">
        <f t="shared" si="4"/>
        <v>108.83162640047561</v>
      </c>
      <c r="P58" s="38">
        <f t="shared" si="5"/>
        <v>-36.655190055961533</v>
      </c>
    </row>
    <row r="59" spans="4:16" customFormat="1" ht="15">
      <c r="D59" s="25" t="s">
        <v>30</v>
      </c>
      <c r="E59" s="38">
        <f t="shared" si="6"/>
        <v>764.81129699999997</v>
      </c>
      <c r="F59" s="38">
        <f t="shared" si="7"/>
        <v>-90.712915000000066</v>
      </c>
      <c r="G59" s="38">
        <f t="shared" si="8"/>
        <v>200.27880099999993</v>
      </c>
      <c r="H59" s="38">
        <f t="shared" si="9"/>
        <v>288.71414799999997</v>
      </c>
      <c r="I59" s="38">
        <f t="shared" si="10"/>
        <v>146.38991399999998</v>
      </c>
      <c r="K59" s="5"/>
      <c r="L59" s="25" t="s">
        <v>30</v>
      </c>
      <c r="M59" s="38">
        <f t="shared" si="2"/>
        <v>-10.603196698306892</v>
      </c>
      <c r="N59" s="38">
        <f t="shared" si="3"/>
        <v>35.476930454681906</v>
      </c>
      <c r="O59" s="38">
        <f t="shared" si="4"/>
        <v>60.641856101515948</v>
      </c>
      <c r="P59" s="38">
        <f t="shared" si="5"/>
        <v>23.671547916059037</v>
      </c>
    </row>
    <row r="60" spans="4:16" customFormat="1" ht="15">
      <c r="D60" s="25" t="s">
        <v>31</v>
      </c>
      <c r="E60" s="38">
        <f t="shared" si="6"/>
        <v>1611.74891</v>
      </c>
      <c r="F60" s="38">
        <f t="shared" si="7"/>
        <v>147.84288943000001</v>
      </c>
      <c r="G60" s="38">
        <f t="shared" si="8"/>
        <v>594.05423558000007</v>
      </c>
      <c r="H60" s="38">
        <f t="shared" si="9"/>
        <v>513.28499899999997</v>
      </c>
      <c r="I60" s="38">
        <f t="shared" si="10"/>
        <v>514.08148099999994</v>
      </c>
      <c r="K60" s="5"/>
      <c r="L60" s="25" t="s">
        <v>31</v>
      </c>
      <c r="M60" s="38">
        <f t="shared" si="2"/>
        <v>10.099206325583287</v>
      </c>
      <c r="N60" s="38">
        <f t="shared" si="3"/>
        <v>58.372540459500868</v>
      </c>
      <c r="O60" s="38">
        <f t="shared" si="4"/>
        <v>46.727525033819703</v>
      </c>
      <c r="P60" s="38">
        <f t="shared" si="5"/>
        <v>46.833992466036804</v>
      </c>
    </row>
    <row r="61" spans="4:16" customFormat="1" ht="15">
      <c r="D61" s="25" t="s">
        <v>32</v>
      </c>
      <c r="E61" s="38">
        <f t="shared" si="6"/>
        <v>703.68132100000003</v>
      </c>
      <c r="F61" s="38">
        <f t="shared" si="7"/>
        <v>105.00919399999998</v>
      </c>
      <c r="G61" s="38">
        <f t="shared" si="8"/>
        <v>272.81869300000005</v>
      </c>
      <c r="H61" s="38">
        <f t="shared" si="9"/>
        <v>165.38497900000004</v>
      </c>
      <c r="I61" s="38">
        <f t="shared" si="10"/>
        <v>219.81922800000001</v>
      </c>
      <c r="K61" s="5"/>
      <c r="L61" s="25" t="s">
        <v>32</v>
      </c>
      <c r="M61" s="38">
        <f t="shared" si="2"/>
        <v>17.540351264758307</v>
      </c>
      <c r="N61" s="38">
        <f t="shared" si="3"/>
        <v>63.319182326483904</v>
      </c>
      <c r="O61" s="38">
        <f t="shared" si="4"/>
        <v>30.723779096384803</v>
      </c>
      <c r="P61" s="38">
        <f t="shared" si="5"/>
        <v>45.430140360261703</v>
      </c>
    </row>
    <row r="62" spans="4:16" customFormat="1" ht="15">
      <c r="D62" s="25" t="s">
        <v>33</v>
      </c>
      <c r="E62" s="38">
        <f t="shared" si="6"/>
        <v>355.570784</v>
      </c>
      <c r="F62" s="38">
        <f t="shared" si="7"/>
        <v>-10.682935999999984</v>
      </c>
      <c r="G62" s="38">
        <f t="shared" si="8"/>
        <v>90.303289000000007</v>
      </c>
      <c r="H62" s="38">
        <f t="shared" si="9"/>
        <v>2.230448000000024</v>
      </c>
      <c r="I62" s="38">
        <f t="shared" si="10"/>
        <v>59.026654000000008</v>
      </c>
      <c r="K62" s="5"/>
      <c r="L62" s="25" t="s">
        <v>33</v>
      </c>
      <c r="M62" s="38">
        <f t="shared" si="2"/>
        <v>-2.9168129677972923</v>
      </c>
      <c r="N62" s="38">
        <f t="shared" si="3"/>
        <v>34.042349968283901</v>
      </c>
      <c r="O62" s="38">
        <f t="shared" si="4"/>
        <v>0.63124635733635115</v>
      </c>
      <c r="P62" s="38">
        <f t="shared" si="5"/>
        <v>19.90484654004111</v>
      </c>
    </row>
    <row r="63" spans="4:16" customFormat="1" ht="15">
      <c r="D63" s="25" t="s">
        <v>39</v>
      </c>
      <c r="E63" s="38">
        <f t="shared" si="6"/>
        <v>251.74121500000001</v>
      </c>
      <c r="F63" s="38">
        <f t="shared" si="7"/>
        <v>-66.956256999999994</v>
      </c>
      <c r="G63" s="38">
        <f t="shared" ref="G63" si="11">E51-H51</f>
        <v>109.10966900000003</v>
      </c>
      <c r="H63" s="38">
        <f t="shared" ref="H63" si="12">E51-K51</f>
        <v>90.191052000000013</v>
      </c>
      <c r="I63" s="38">
        <f t="shared" ref="I63" si="13">E51-P51</f>
        <v>180.29296800000003</v>
      </c>
      <c r="K63" s="5"/>
      <c r="L63" s="25" t="s">
        <v>39</v>
      </c>
      <c r="M63" s="38">
        <f t="shared" si="2"/>
        <v>-21.009346757541898</v>
      </c>
      <c r="N63" s="38">
        <f t="shared" si="3"/>
        <v>76.497571582095887</v>
      </c>
      <c r="O63" s="38">
        <f t="shared" si="4"/>
        <v>55.828511915521872</v>
      </c>
      <c r="P63" s="38">
        <f t="shared" si="5"/>
        <v>252.34064595034789</v>
      </c>
    </row>
    <row r="64" spans="4:16" customFormat="1" ht="15">
      <c r="D64" s="28" t="s">
        <v>26</v>
      </c>
      <c r="E64" s="39">
        <f>SUM(E56:E63)</f>
        <v>4397.8247119999996</v>
      </c>
      <c r="F64" s="39">
        <f t="shared" ref="F64:I64" si="14">SUM(F56:F63)</f>
        <v>250.91783094999994</v>
      </c>
      <c r="G64" s="39">
        <f t="shared" si="14"/>
        <v>1536.9417911599999</v>
      </c>
      <c r="H64" s="39">
        <f t="shared" si="14"/>
        <v>1285.404423</v>
      </c>
      <c r="I64" s="39">
        <f t="shared" si="14"/>
        <v>880.40512599999988</v>
      </c>
      <c r="K64" s="5"/>
      <c r="L64" s="28" t="s">
        <v>26</v>
      </c>
      <c r="M64" s="39">
        <f t="shared" ref="M64" si="15">F64/F52*100</f>
        <v>6.0507225782332332</v>
      </c>
      <c r="N64" s="39">
        <f t="shared" ref="N64" si="16">G64/H52*100</f>
        <v>53.722638559033712</v>
      </c>
      <c r="O64" s="39">
        <f t="shared" ref="O64" si="17">H64/K52*100</f>
        <v>41.299191742931093</v>
      </c>
      <c r="P64" s="39">
        <f t="shared" ref="P64" si="18">I64/P52*100</f>
        <v>25.029857953375252</v>
      </c>
    </row>
    <row r="65" customFormat="1" ht="15"/>
    <row r="66" customFormat="1" ht="15"/>
    <row r="67" customFormat="1" ht="15"/>
    <row r="68" customFormat="1" ht="15"/>
    <row r="69" customFormat="1" ht="15"/>
    <row r="70" customFormat="1" ht="15"/>
    <row r="94" spans="16:17">
      <c r="P94" s="12" t="s">
        <v>10</v>
      </c>
      <c r="Q94" s="13" t="s">
        <v>6</v>
      </c>
    </row>
    <row r="95" spans="16:17">
      <c r="Q95" s="13" t="s">
        <v>7</v>
      </c>
    </row>
    <row r="96" spans="16:17">
      <c r="Q96" s="13" t="s">
        <v>8</v>
      </c>
    </row>
    <row r="97" spans="17:17">
      <c r="Q97" s="14" t="s">
        <v>9</v>
      </c>
    </row>
  </sheetData>
  <conditionalFormatting sqref="E56:I64 M56:P64">
    <cfRule type="cellIs" dxfId="56" priority="1" operator="lessThan">
      <formula>0</formula>
    </cfRule>
  </conditionalFormatting>
  <hyperlinks>
    <hyperlink ref="Q94" r:id="rId1" location="closeModal"/>
    <hyperlink ref="Q95" r:id="rId2"/>
    <hyperlink ref="Q97" r:id="rId3"/>
    <hyperlink ref="Q96" r:id="rId4" location="key-benefits"/>
  </hyperlinks>
  <pageMargins left="0.25" right="0.25" top="0.255" bottom="0.25" header="0.1" footer="0.1"/>
  <pageSetup scale="66" orientation="landscape" horizontalDpi="300" verticalDpi="300" r:id="rId5"/>
  <headerFooter scaleWithDoc="0">
    <oddHeader>&amp;L&amp;G&amp;C&amp;"-,Bold"&amp;10&amp;K2E398A
&amp;15Trends In Specified Pool Issuance - FHLMC&amp;R&amp;"-,Bold"&amp;10&amp;K2E398A
As of 07/23/2015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94"/>
  <sheetViews>
    <sheetView showGridLines="0" topLeftCell="B1" zoomScaleNormal="100" workbookViewId="0">
      <selection activeCell="Q59" sqref="Q59"/>
    </sheetView>
  </sheetViews>
  <sheetFormatPr defaultRowHeight="12.75"/>
  <cols>
    <col min="1" max="1" width="9.140625" style="5" customWidth="1"/>
    <col min="2" max="2" width="9.140625" style="5"/>
    <col min="3" max="3" width="11.28515625" style="5" customWidth="1"/>
    <col min="4" max="16" width="13.7109375" style="5" customWidth="1"/>
    <col min="17" max="17" width="12.5703125" style="5" customWidth="1"/>
    <col min="18" max="18" width="11.28515625" style="5" customWidth="1"/>
    <col min="19" max="19" width="9.140625" style="5"/>
    <col min="20" max="20" width="14.140625" style="5" customWidth="1"/>
    <col min="21" max="21" width="40.85546875" style="5" bestFit="1" customWidth="1"/>
    <col min="22" max="22" width="14.85546875" style="5" bestFit="1" customWidth="1"/>
    <col min="23" max="16384" width="9.140625" style="5"/>
  </cols>
  <sheetData>
    <row r="1" spans="3:23">
      <c r="T1" s="1" t="s">
        <v>0</v>
      </c>
      <c r="U1" s="2" t="s">
        <v>1</v>
      </c>
      <c r="V1" s="5" t="s">
        <v>2</v>
      </c>
      <c r="W1" s="2" t="s">
        <v>3</v>
      </c>
    </row>
    <row r="2" spans="3:23">
      <c r="T2" s="1" t="s">
        <v>4</v>
      </c>
      <c r="U2" s="3">
        <v>42208</v>
      </c>
    </row>
    <row r="3" spans="3:23">
      <c r="T3" s="1" t="s">
        <v>17</v>
      </c>
      <c r="U3" s="17" t="s">
        <v>18</v>
      </c>
    </row>
    <row r="4" spans="3:23">
      <c r="T4" s="1" t="s">
        <v>5</v>
      </c>
      <c r="U4" s="17" t="str">
        <f>PDFReportDir&amp;"Specified Pool - Freddie " &amp; TEXT(CurrentCloseDate, "yyyy-mm-dd") &amp; ".pdf"</f>
        <v>S:\IT\Production\Daily Reports\Primary Market\tmp\Specified Pool - Freddie 2015-07-23.pdf</v>
      </c>
    </row>
    <row r="5" spans="3:23">
      <c r="T5" s="9"/>
    </row>
    <row r="6" spans="3:23">
      <c r="T6" s="9"/>
    </row>
    <row r="9" spans="3:23" s="10" customFormat="1">
      <c r="C9" s="5"/>
      <c r="D9" s="5"/>
      <c r="E9" s="5"/>
      <c r="F9" s="5"/>
      <c r="G9" s="5"/>
      <c r="H9" s="5"/>
      <c r="I9" s="5"/>
      <c r="J9" s="5"/>
      <c r="K9" s="5"/>
      <c r="L9" s="5"/>
      <c r="M9" s="5"/>
      <c r="Q9" s="5"/>
      <c r="R9" s="5"/>
      <c r="T9" s="10" t="s">
        <v>15</v>
      </c>
      <c r="U9" s="15">
        <f>IF(DAY(CurrentCloseDate)&lt;31,(CurrentCloseDate-DAY(CurrentCloseDate))-DAY((CurrentCloseDate-DAY(CurrentCloseDate)))+1,CurrentCloseDate-DAY(CurrentCloseDate)+1)</f>
        <v>42156</v>
      </c>
    </row>
    <row r="10" spans="3:23" s="11" customFormat="1"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Q10" s="5"/>
      <c r="R10" s="5"/>
      <c r="T10" s="11" t="s">
        <v>16</v>
      </c>
      <c r="U10" s="16">
        <f>(U9-1)-DAY((U9-1))+1</f>
        <v>42125</v>
      </c>
    </row>
    <row r="11" spans="3:23" s="11" customFormat="1"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Q11" s="5"/>
      <c r="R11" s="5"/>
      <c r="U11" s="15">
        <f>IF(DAY(CurrentCloseDate)&lt;31,(CurrentCloseDate-DAY(CurrentCloseDate))-DAY((CurrentCloseDate-DAY(CurrentCloseDate)))+1,CurrentCloseDate-DAY(CurrentCloseDate)+1)</f>
        <v>42156</v>
      </c>
    </row>
    <row r="12" spans="3:23" s="11" customForma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Q12" s="5"/>
      <c r="R12" s="5"/>
      <c r="U12" s="16"/>
    </row>
    <row r="13" spans="3:23" s="11" customFormat="1"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Q13" s="5"/>
      <c r="R13" s="5"/>
    </row>
    <row r="14" spans="3:23" s="11" customFormat="1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Q14" s="5"/>
      <c r="R14" s="5"/>
    </row>
    <row r="15" spans="3:23" s="11" customFormat="1"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Q15" s="5"/>
      <c r="R15" s="5"/>
    </row>
    <row r="16" spans="3:23" s="11" customFormat="1"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Q16" s="5"/>
      <c r="R16" s="5"/>
    </row>
    <row r="17" spans="3:18" s="11" customFormat="1"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Q17" s="5"/>
      <c r="R17" s="5"/>
    </row>
    <row r="18" spans="3:18" s="11" customFormat="1"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Q18" s="5"/>
      <c r="R18" s="5"/>
    </row>
    <row r="19" spans="3:18" s="11" customFormat="1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Q19" s="5"/>
      <c r="R19" s="5"/>
    </row>
    <row r="20" spans="3:18" s="11" customForma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Q20" s="5"/>
      <c r="R20" s="5"/>
    </row>
    <row r="21" spans="3:18" s="11" customFormat="1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Q21" s="5"/>
      <c r="R21" s="5"/>
    </row>
    <row r="43" spans="4:16" ht="15">
      <c r="D43" s="4" t="s">
        <v>27</v>
      </c>
      <c r="O43" s="43" t="s">
        <v>40</v>
      </c>
      <c r="P43" s="40">
        <f>E44</f>
        <v>42156</v>
      </c>
    </row>
    <row r="44" spans="4:16">
      <c r="D44" s="20"/>
      <c r="E44" s="21">
        <f>Historical!D3</f>
        <v>42156</v>
      </c>
      <c r="F44" s="21">
        <f>E44-DAY(E44-1)</f>
        <v>42125</v>
      </c>
      <c r="G44" s="21">
        <f t="shared" ref="G44:P44" si="0">F44-DAY(F44-1)</f>
        <v>42095</v>
      </c>
      <c r="H44" s="21">
        <f t="shared" si="0"/>
        <v>42064</v>
      </c>
      <c r="I44" s="21">
        <f t="shared" si="0"/>
        <v>42036</v>
      </c>
      <c r="J44" s="21">
        <f t="shared" si="0"/>
        <v>42005</v>
      </c>
      <c r="K44" s="21">
        <f t="shared" si="0"/>
        <v>41974</v>
      </c>
      <c r="L44" s="21">
        <f t="shared" si="0"/>
        <v>41944</v>
      </c>
      <c r="M44" s="21">
        <f t="shared" si="0"/>
        <v>41913</v>
      </c>
      <c r="N44" s="21">
        <f t="shared" si="0"/>
        <v>41883</v>
      </c>
      <c r="O44" s="21">
        <f t="shared" si="0"/>
        <v>41852</v>
      </c>
      <c r="P44" s="21">
        <f t="shared" si="0"/>
        <v>41821</v>
      </c>
    </row>
    <row r="45" spans="4:16">
      <c r="D45" s="25" t="s">
        <v>25</v>
      </c>
      <c r="E45" s="38">
        <f>Historical!D4</f>
        <v>1174.796032</v>
      </c>
      <c r="F45" s="38">
        <f>Historical!E4</f>
        <v>1204.6013720000001</v>
      </c>
      <c r="G45" s="38">
        <f>Historical!F4</f>
        <v>910.42472899999996</v>
      </c>
      <c r="H45" s="38">
        <f>Historical!G4</f>
        <v>1090.9586420000001</v>
      </c>
      <c r="I45" s="38">
        <f>Historical!H4</f>
        <v>1027.4979069999999</v>
      </c>
      <c r="J45" s="38">
        <f>Historical!I4</f>
        <v>650.43256099999996</v>
      </c>
      <c r="K45" s="38">
        <f>Historical!J4</f>
        <v>718.75275299999998</v>
      </c>
      <c r="L45" s="38">
        <f>Historical!K4</f>
        <v>577.62300000000005</v>
      </c>
      <c r="M45" s="38">
        <f>Historical!L4</f>
        <v>552.95373500000005</v>
      </c>
      <c r="N45" s="38">
        <f>Historical!M4</f>
        <v>620.80524300000002</v>
      </c>
      <c r="O45" s="38">
        <f>Historical!N4</f>
        <v>529.45430199999998</v>
      </c>
      <c r="P45" s="38">
        <f>Historical!O4</f>
        <v>501.69721500000003</v>
      </c>
    </row>
    <row r="46" spans="4:16">
      <c r="D46" s="25" t="s">
        <v>23</v>
      </c>
      <c r="E46" s="38">
        <f>Historical!D5</f>
        <v>78.116923999999997</v>
      </c>
      <c r="F46" s="38">
        <f>Historical!E5</f>
        <v>124.598583</v>
      </c>
      <c r="G46" s="38">
        <f>Historical!F5</f>
        <v>118.19484300000001</v>
      </c>
      <c r="H46" s="38">
        <f>Historical!G5</f>
        <v>109.68263899999999</v>
      </c>
      <c r="I46" s="38">
        <f>Historical!H5</f>
        <v>113.00120200000001</v>
      </c>
      <c r="J46" s="38">
        <f>Historical!I5</f>
        <v>96.811284000000001</v>
      </c>
      <c r="K46" s="38">
        <f>Historical!J5</f>
        <v>104.194909</v>
      </c>
      <c r="L46" s="38">
        <f>Historical!K5</f>
        <v>140.605492</v>
      </c>
      <c r="M46" s="38">
        <f>Historical!L5</f>
        <v>114.786327</v>
      </c>
      <c r="N46" s="38">
        <f>Historical!M5</f>
        <v>134.6609</v>
      </c>
      <c r="O46" s="38">
        <f>Historical!N5</f>
        <v>139.896376</v>
      </c>
      <c r="P46" s="38">
        <f>Historical!O5</f>
        <v>125.11707199999999</v>
      </c>
    </row>
    <row r="47" spans="4:16">
      <c r="D47" s="25" t="s">
        <v>24</v>
      </c>
      <c r="E47" s="38">
        <f>Historical!D6</f>
        <v>53.243907</v>
      </c>
      <c r="F47" s="38">
        <f>Historical!E6</f>
        <v>95.110431000000005</v>
      </c>
      <c r="G47" s="38">
        <f>Historical!F6</f>
        <v>601.90625199999999</v>
      </c>
      <c r="H47" s="38">
        <f>Historical!G6</f>
        <v>179.48654199999999</v>
      </c>
      <c r="I47" s="38">
        <f>Historical!H6</f>
        <v>1094.775764</v>
      </c>
      <c r="J47" s="38">
        <f>Historical!I6</f>
        <v>42.472903000000002</v>
      </c>
      <c r="K47" s="38">
        <f>Historical!J6</f>
        <v>54.617004000000001</v>
      </c>
      <c r="L47" s="38">
        <f>Historical!K6</f>
        <v>2628.5944519999998</v>
      </c>
      <c r="M47" s="38">
        <f>Historical!L6</f>
        <v>1560.208228</v>
      </c>
      <c r="N47" s="38">
        <f>Historical!M6</f>
        <v>770.42014700000004</v>
      </c>
      <c r="O47" s="38">
        <f>Historical!N6</f>
        <v>753.08839699999999</v>
      </c>
      <c r="P47" s="38">
        <f>Historical!O6</f>
        <v>277.697406</v>
      </c>
    </row>
    <row r="48" spans="4:16">
      <c r="D48" s="28" t="s">
        <v>26</v>
      </c>
      <c r="E48" s="39">
        <f>SUM(E45:E47)</f>
        <v>1306.1568629999999</v>
      </c>
      <c r="F48" s="39">
        <f t="shared" ref="F48:P48" si="1">SUM(F45:F47)</f>
        <v>1424.3103860000001</v>
      </c>
      <c r="G48" s="39">
        <f t="shared" si="1"/>
        <v>1630.5258240000001</v>
      </c>
      <c r="H48" s="39">
        <f t="shared" si="1"/>
        <v>1380.1278230000003</v>
      </c>
      <c r="I48" s="39">
        <f t="shared" si="1"/>
        <v>2235.2748729999998</v>
      </c>
      <c r="J48" s="39">
        <f t="shared" si="1"/>
        <v>789.71674799999994</v>
      </c>
      <c r="K48" s="39">
        <f t="shared" si="1"/>
        <v>877.56466599999999</v>
      </c>
      <c r="L48" s="39">
        <f t="shared" si="1"/>
        <v>3346.822944</v>
      </c>
      <c r="M48" s="39">
        <f t="shared" si="1"/>
        <v>2227.9482900000003</v>
      </c>
      <c r="N48" s="39">
        <f t="shared" si="1"/>
        <v>1525.8862899999999</v>
      </c>
      <c r="O48" s="39">
        <f t="shared" si="1"/>
        <v>1422.439075</v>
      </c>
      <c r="P48" s="39">
        <f t="shared" si="1"/>
        <v>904.51169300000004</v>
      </c>
    </row>
    <row r="49" spans="4:16">
      <c r="D49" s="29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</row>
    <row r="50" spans="4:16">
      <c r="D50" s="29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</row>
    <row r="51" spans="4:16">
      <c r="D51" s="3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</row>
    <row r="52" spans="4:16" ht="15">
      <c r="D52" s="4" t="s">
        <v>28</v>
      </c>
      <c r="L52" s="4" t="s">
        <v>38</v>
      </c>
    </row>
    <row r="53" spans="4:16" customFormat="1" ht="15">
      <c r="D53" s="6"/>
      <c r="E53" s="7" t="str">
        <f>TEXT(E44,"mm/yyyy")&amp;" Balance"</f>
        <v>06/2015 Balance</v>
      </c>
      <c r="F53" s="8" t="s">
        <v>11</v>
      </c>
      <c r="G53" s="8" t="s">
        <v>12</v>
      </c>
      <c r="H53" s="8" t="s">
        <v>13</v>
      </c>
      <c r="I53" s="8" t="s">
        <v>14</v>
      </c>
      <c r="K53" s="5"/>
      <c r="L53" s="6"/>
      <c r="M53" s="8" t="s">
        <v>11</v>
      </c>
      <c r="N53" s="8" t="s">
        <v>12</v>
      </c>
      <c r="O53" s="8" t="s">
        <v>13</v>
      </c>
      <c r="P53" s="8" t="s">
        <v>14</v>
      </c>
    </row>
    <row r="54" spans="4:16" customFormat="1" ht="15">
      <c r="D54" s="25" t="s">
        <v>25</v>
      </c>
      <c r="E54" s="38">
        <f>E45</f>
        <v>1174.796032</v>
      </c>
      <c r="F54" s="38">
        <f>E45-F45</f>
        <v>-29.805340000000115</v>
      </c>
      <c r="G54" s="38">
        <f>E45-H45</f>
        <v>83.837389999999914</v>
      </c>
      <c r="H54" s="38">
        <f>E45-K45</f>
        <v>456.04327899999998</v>
      </c>
      <c r="I54" s="38">
        <f>E45-P45</f>
        <v>673.09881699999994</v>
      </c>
      <c r="K54" s="5"/>
      <c r="L54" s="25" t="s">
        <v>25</v>
      </c>
      <c r="M54" s="38">
        <f>F54/F45*100</f>
        <v>-2.4742907232883438</v>
      </c>
      <c r="N54" s="38">
        <f>G54/H45*100</f>
        <v>7.684745028125449</v>
      </c>
      <c r="O54" s="38">
        <f>H54/K45*100</f>
        <v>63.449256659751526</v>
      </c>
      <c r="P54" s="38">
        <f>I54/P45*100</f>
        <v>134.16435189898351</v>
      </c>
    </row>
    <row r="55" spans="4:16" customFormat="1" ht="15">
      <c r="D55" s="25" t="s">
        <v>23</v>
      </c>
      <c r="E55" s="38">
        <f>E46</f>
        <v>78.116923999999997</v>
      </c>
      <c r="F55" s="38">
        <f>E46-F46</f>
        <v>-46.481659000000008</v>
      </c>
      <c r="G55" s="38">
        <f>E46-H46</f>
        <v>-31.565714999999997</v>
      </c>
      <c r="H55" s="38">
        <f>E46-K46</f>
        <v>-26.077984999999998</v>
      </c>
      <c r="I55" s="38">
        <f>E46-P46</f>
        <v>-47.000147999999996</v>
      </c>
      <c r="K55" s="5"/>
      <c r="L55" s="25" t="s">
        <v>23</v>
      </c>
      <c r="M55" s="38">
        <f t="shared" ref="M55:M56" si="2">F55/F46*100</f>
        <v>-37.3051264957002</v>
      </c>
      <c r="N55" s="38">
        <f t="shared" ref="N55:N56" si="3">G55/H46*100</f>
        <v>-28.779135228502295</v>
      </c>
      <c r="O55" s="38">
        <f t="shared" ref="O55:O56" si="4">H55/K46*100</f>
        <v>-25.028079826817638</v>
      </c>
      <c r="P55" s="38">
        <f t="shared" ref="P55:P56" si="5">I55/P46*100</f>
        <v>-37.564935982517241</v>
      </c>
    </row>
    <row r="56" spans="4:16" customFormat="1" ht="15">
      <c r="D56" s="25" t="s">
        <v>24</v>
      </c>
      <c r="E56" s="38">
        <f>E47</f>
        <v>53.243907</v>
      </c>
      <c r="F56" s="38">
        <f>E47-F47</f>
        <v>-41.866524000000005</v>
      </c>
      <c r="G56" s="38">
        <f>E47-H47</f>
        <v>-126.24263499999998</v>
      </c>
      <c r="H56" s="38">
        <f>E47-K47</f>
        <v>-1.3730970000000013</v>
      </c>
      <c r="I56" s="38">
        <f>E47-P47</f>
        <v>-224.45349899999999</v>
      </c>
      <c r="K56" s="5"/>
      <c r="L56" s="25" t="s">
        <v>24</v>
      </c>
      <c r="M56" s="38">
        <f t="shared" si="2"/>
        <v>-44.018856354462322</v>
      </c>
      <c r="N56" s="38">
        <f t="shared" si="3"/>
        <v>-70.335432168502081</v>
      </c>
      <c r="O56" s="38">
        <f t="shared" si="4"/>
        <v>-2.5140467243498037</v>
      </c>
      <c r="P56" s="38">
        <f t="shared" si="5"/>
        <v>-80.826645892399867</v>
      </c>
    </row>
    <row r="57" spans="4:16" customFormat="1" ht="15">
      <c r="D57" s="28" t="s">
        <v>26</v>
      </c>
      <c r="E57" s="39">
        <f>SUM(E54:E56)</f>
        <v>1306.1568629999999</v>
      </c>
      <c r="F57" s="39">
        <f t="shared" ref="F57" si="6">SUM(F54:F56)</f>
        <v>-118.15352300000012</v>
      </c>
      <c r="G57" s="39">
        <f t="shared" ref="G57" si="7">SUM(G54:G56)</f>
        <v>-73.970960000000062</v>
      </c>
      <c r="H57" s="39">
        <f t="shared" ref="H57" si="8">SUM(H54:H56)</f>
        <v>428.59219699999994</v>
      </c>
      <c r="I57" s="39">
        <f t="shared" ref="I57" si="9">SUM(I54:I56)</f>
        <v>401.64517000000001</v>
      </c>
      <c r="L57" s="28" t="s">
        <v>26</v>
      </c>
      <c r="M57" s="39">
        <f t="shared" ref="M57" si="10">F57/F48*100</f>
        <v>-8.2954898146758378</v>
      </c>
      <c r="N57" s="39">
        <f t="shared" ref="N57" si="11">G57/H48*100</f>
        <v>-5.3597180469276031</v>
      </c>
      <c r="O57" s="39">
        <f t="shared" ref="O57" si="12">H57/K48*100</f>
        <v>48.838816511785119</v>
      </c>
      <c r="P57" s="39">
        <f t="shared" ref="P57" si="13">I57/P48*100</f>
        <v>44.404640991191698</v>
      </c>
    </row>
    <row r="58" spans="4:16" customFormat="1" ht="15"/>
    <row r="59" spans="4:16" customFormat="1" ht="15"/>
    <row r="60" spans="4:16" customFormat="1" ht="15"/>
    <row r="61" spans="4:16" customFormat="1" ht="15"/>
    <row r="62" spans="4:16" customFormat="1" ht="15"/>
    <row r="63" spans="4:16" customFormat="1" ht="15"/>
    <row r="64" spans="4:16" customFormat="1" ht="15"/>
    <row r="65" customFormat="1" ht="15"/>
    <row r="66" customFormat="1" ht="15"/>
    <row r="67" customFormat="1" ht="15"/>
    <row r="91" spans="16:17">
      <c r="P91" s="12" t="s">
        <v>10</v>
      </c>
      <c r="Q91" s="13" t="s">
        <v>6</v>
      </c>
    </row>
    <row r="92" spans="16:17">
      <c r="Q92" s="13" t="s">
        <v>7</v>
      </c>
    </row>
    <row r="93" spans="16:17">
      <c r="Q93" s="13" t="s">
        <v>8</v>
      </c>
    </row>
    <row r="94" spans="16:17">
      <c r="Q94" s="14" t="s">
        <v>9</v>
      </c>
    </row>
  </sheetData>
  <conditionalFormatting sqref="E54:I57 M54:P57">
    <cfRule type="cellIs" dxfId="55" priority="1" operator="lessThan">
      <formula>0</formula>
    </cfRule>
  </conditionalFormatting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91" r:id="rId1" location="closeModal"/>
    <hyperlink ref="Q92" r:id="rId2"/>
    <hyperlink ref="Q94" r:id="rId3"/>
    <hyperlink ref="Q93" r:id="rId4" location="key-benefits"/>
  </hyperlinks>
  <pageMargins left="0.25" right="0.25" top="0.255" bottom="0.25" header="0.1" footer="0.1"/>
  <pageSetup scale="66" orientation="landscape" horizontalDpi="1200" verticalDpi="1200" r:id="rId5"/>
  <headerFooter scaleWithDoc="0">
    <oddHeader>&amp;L&amp;G&amp;C&amp;"-,Bold"&amp;10&amp;K2E398A
&amp;15Trends In Specified Pool Issuance - FHLMC&amp;R&amp;"-,Bold"&amp;10&amp;K2E398A
As of 07/23/2015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O19"/>
  <sheetViews>
    <sheetView workbookViewId="0">
      <selection activeCell="K25" sqref="K25"/>
    </sheetView>
  </sheetViews>
  <sheetFormatPr defaultRowHeight="15"/>
  <cols>
    <col min="3" max="3" width="12.7109375" bestFit="1" customWidth="1"/>
    <col min="4" max="4" width="15.85546875" bestFit="1" customWidth="1"/>
    <col min="7" max="9" width="9.7109375" bestFit="1" customWidth="1"/>
  </cols>
  <sheetData>
    <row r="3" spans="3:15">
      <c r="C3" s="20"/>
      <c r="D3" s="21">
        <f>Report!U9</f>
        <v>42156</v>
      </c>
      <c r="E3" s="21">
        <f>D3-DAY(D3-1)</f>
        <v>42125</v>
      </c>
      <c r="F3" s="21">
        <f t="shared" ref="F3:O3" si="0">E3-DAY(E3-1)</f>
        <v>42095</v>
      </c>
      <c r="G3" s="21">
        <f t="shared" si="0"/>
        <v>42064</v>
      </c>
      <c r="H3" s="21">
        <f t="shared" si="0"/>
        <v>42036</v>
      </c>
      <c r="I3" s="21">
        <f t="shared" si="0"/>
        <v>42005</v>
      </c>
      <c r="J3" s="21">
        <f t="shared" si="0"/>
        <v>41974</v>
      </c>
      <c r="K3" s="21">
        <f t="shared" si="0"/>
        <v>41944</v>
      </c>
      <c r="L3" s="21">
        <f t="shared" si="0"/>
        <v>41913</v>
      </c>
      <c r="M3" s="21">
        <f t="shared" si="0"/>
        <v>41883</v>
      </c>
      <c r="N3" s="21">
        <f t="shared" si="0"/>
        <v>41852</v>
      </c>
      <c r="O3" s="21">
        <f t="shared" si="0"/>
        <v>41821</v>
      </c>
    </row>
    <row r="4" spans="3:15">
      <c r="C4" s="22" t="s">
        <v>25</v>
      </c>
      <c r="D4" s="24">
        <f>VLOOKUP(D$3,CurrentMtgRatesDataTable826[[issueDate]:[CR]],3,0)/1000000</f>
        <v>1174.796032</v>
      </c>
      <c r="E4" s="24">
        <f>VLOOKUP(E$3,CurrentMtgRatesDataTable826[[issueDate]:[CR]],3,0)/1000000</f>
        <v>1204.6013720000001</v>
      </c>
      <c r="F4" s="24">
        <f>VLOOKUP(F$3,CurrentMtgRatesDataTable826[[issueDate]:[CR]],3,0)/1000000</f>
        <v>910.42472899999996</v>
      </c>
      <c r="G4" s="24">
        <f>VLOOKUP(G$3,CurrentMtgRatesDataTable826[[issueDate]:[CR]],3,0)/1000000</f>
        <v>1090.9586420000001</v>
      </c>
      <c r="H4" s="24">
        <f>VLOOKUP(H$3,CurrentMtgRatesDataTable826[[issueDate]:[CR]],3,0)/1000000</f>
        <v>1027.4979069999999</v>
      </c>
      <c r="I4" s="24">
        <f>VLOOKUP(I$3,CurrentMtgRatesDataTable826[[issueDate]:[CR]],3,0)/1000000</f>
        <v>650.43256099999996</v>
      </c>
      <c r="J4" s="24">
        <f>VLOOKUP(J$3,CurrentMtgRatesDataTable826[[issueDate]:[CR]],3,0)/1000000</f>
        <v>718.75275299999998</v>
      </c>
      <c r="K4" s="24">
        <f>VLOOKUP(K$3,CurrentMtgRatesDataTable826[[issueDate]:[CR]],3,0)/1000000</f>
        <v>577.62300000000005</v>
      </c>
      <c r="L4" s="24">
        <f>VLOOKUP(L$3,CurrentMtgRatesDataTable826[[issueDate]:[CR]],3,0)/1000000</f>
        <v>552.95373500000005</v>
      </c>
      <c r="M4" s="24">
        <f>VLOOKUP(M$3,CurrentMtgRatesDataTable826[[issueDate]:[CR]],3,0)/1000000</f>
        <v>620.80524300000002</v>
      </c>
      <c r="N4" s="24">
        <f>VLOOKUP(N$3,CurrentMtgRatesDataTable826[[issueDate]:[CR]],3,0)/1000000</f>
        <v>529.45430199999998</v>
      </c>
      <c r="O4" s="24">
        <f>VLOOKUP(O$3,CurrentMtgRatesDataTable826[[issueDate]:[CR]],3,0)/1000000</f>
        <v>501.69721500000003</v>
      </c>
    </row>
    <row r="5" spans="3:15">
      <c r="C5" s="22" t="s">
        <v>23</v>
      </c>
      <c r="D5" s="24">
        <f>VLOOKUP(D$3,CurrentMtgRatesDataTable826[[issueDate]:[CR]],4,0)/1000000</f>
        <v>78.116923999999997</v>
      </c>
      <c r="E5" s="24">
        <f>VLOOKUP(E$3,CurrentMtgRatesDataTable826[[issueDate]:[CR]],4,0)/1000000</f>
        <v>124.598583</v>
      </c>
      <c r="F5" s="24">
        <f>VLOOKUP(F$3,CurrentMtgRatesDataTable826[[issueDate]:[CR]],4,0)/1000000</f>
        <v>118.19484300000001</v>
      </c>
      <c r="G5" s="24">
        <f>VLOOKUP(G$3,CurrentMtgRatesDataTable826[[issueDate]:[CR]],4,0)/1000000</f>
        <v>109.68263899999999</v>
      </c>
      <c r="H5" s="24">
        <f>VLOOKUP(H$3,CurrentMtgRatesDataTable826[[issueDate]:[CR]],4,0)/1000000</f>
        <v>113.00120200000001</v>
      </c>
      <c r="I5" s="24">
        <f>VLOOKUP(I$3,CurrentMtgRatesDataTable826[[issueDate]:[CR]],4,0)/1000000</f>
        <v>96.811284000000001</v>
      </c>
      <c r="J5" s="24">
        <f>VLOOKUP(J$3,CurrentMtgRatesDataTable826[[issueDate]:[CR]],4,0)/1000000</f>
        <v>104.194909</v>
      </c>
      <c r="K5" s="24">
        <f>VLOOKUP(K$3,CurrentMtgRatesDataTable826[[issueDate]:[CR]],4,0)/1000000</f>
        <v>140.605492</v>
      </c>
      <c r="L5" s="24">
        <f>VLOOKUP(L$3,CurrentMtgRatesDataTable826[[issueDate]:[CR]],4,0)/1000000</f>
        <v>114.786327</v>
      </c>
      <c r="M5" s="24">
        <f>VLOOKUP(M$3,CurrentMtgRatesDataTable826[[issueDate]:[CR]],4,0)/1000000</f>
        <v>134.6609</v>
      </c>
      <c r="N5" s="24">
        <f>VLOOKUP(N$3,CurrentMtgRatesDataTable826[[issueDate]:[CR]],4,0)/1000000</f>
        <v>139.896376</v>
      </c>
      <c r="O5" s="24">
        <f>VLOOKUP(O$3,CurrentMtgRatesDataTable826[[issueDate]:[CR]],4,0)/1000000</f>
        <v>125.11707199999999</v>
      </c>
    </row>
    <row r="6" spans="3:15">
      <c r="C6" s="22" t="s">
        <v>24</v>
      </c>
      <c r="D6" s="24">
        <f>VLOOKUP(D$3,CurrentMtgRatesDataTable826[[issueDate]:[CR]],5,0)/1000000</f>
        <v>53.243907</v>
      </c>
      <c r="E6" s="24">
        <f>VLOOKUP(E$3,CurrentMtgRatesDataTable826[[issueDate]:[CR]],5,0)/1000000</f>
        <v>95.110431000000005</v>
      </c>
      <c r="F6" s="24">
        <f>VLOOKUP(F$3,CurrentMtgRatesDataTable826[[issueDate]:[CR]],5,0)/1000000</f>
        <v>601.90625199999999</v>
      </c>
      <c r="G6" s="24">
        <f>VLOOKUP(G$3,CurrentMtgRatesDataTable826[[issueDate]:[CR]],5,0)/1000000</f>
        <v>179.48654199999999</v>
      </c>
      <c r="H6" s="24">
        <f>VLOOKUP(H$3,CurrentMtgRatesDataTable826[[issueDate]:[CR]],5,0)/1000000</f>
        <v>1094.775764</v>
      </c>
      <c r="I6" s="24">
        <f>VLOOKUP(I$3,CurrentMtgRatesDataTable826[[issueDate]:[CR]],5,0)/1000000</f>
        <v>42.472903000000002</v>
      </c>
      <c r="J6" s="24">
        <f>VLOOKUP(J$3,CurrentMtgRatesDataTable826[[issueDate]:[CR]],5,0)/1000000</f>
        <v>54.617004000000001</v>
      </c>
      <c r="K6" s="24">
        <f>VLOOKUP(K$3,CurrentMtgRatesDataTable826[[issueDate]:[CR]],5,0)/1000000</f>
        <v>2628.5944519999998</v>
      </c>
      <c r="L6" s="24">
        <f>VLOOKUP(L$3,CurrentMtgRatesDataTable826[[issueDate]:[CR]],5,0)/1000000</f>
        <v>1560.208228</v>
      </c>
      <c r="M6" s="24">
        <f>VLOOKUP(M$3,CurrentMtgRatesDataTable826[[issueDate]:[CR]],5,0)/1000000</f>
        <v>770.42014700000004</v>
      </c>
      <c r="N6" s="24">
        <f>VLOOKUP(N$3,CurrentMtgRatesDataTable826[[issueDate]:[CR]],5,0)/1000000</f>
        <v>753.08839699999999</v>
      </c>
      <c r="O6" s="24">
        <f>VLOOKUP(O$3,CurrentMtgRatesDataTable826[[issueDate]:[CR]],5,0)/1000000</f>
        <v>277.697406</v>
      </c>
    </row>
    <row r="7" spans="3:15">
      <c r="C7" s="22" t="s">
        <v>26</v>
      </c>
      <c r="D7" s="23">
        <f>SUM(D4:D6)</f>
        <v>1306.1568629999999</v>
      </c>
      <c r="E7" s="23">
        <f t="shared" ref="E7:O7" si="1">SUM(E4:E6)</f>
        <v>1424.3103860000001</v>
      </c>
      <c r="F7" s="23">
        <f t="shared" si="1"/>
        <v>1630.5258240000001</v>
      </c>
      <c r="G7" s="23">
        <f t="shared" si="1"/>
        <v>1380.1278230000003</v>
      </c>
      <c r="H7" s="23">
        <f t="shared" si="1"/>
        <v>2235.2748729999998</v>
      </c>
      <c r="I7" s="23">
        <f t="shared" si="1"/>
        <v>789.71674799999994</v>
      </c>
      <c r="J7" s="23">
        <f t="shared" si="1"/>
        <v>877.56466599999999</v>
      </c>
      <c r="K7" s="23">
        <f t="shared" si="1"/>
        <v>3346.822944</v>
      </c>
      <c r="L7" s="23">
        <f t="shared" si="1"/>
        <v>2227.9482900000003</v>
      </c>
      <c r="M7" s="23">
        <f t="shared" si="1"/>
        <v>1525.8862899999999</v>
      </c>
      <c r="N7" s="23">
        <f t="shared" si="1"/>
        <v>1422.439075</v>
      </c>
      <c r="O7" s="23">
        <f t="shared" si="1"/>
        <v>904.51169300000004</v>
      </c>
    </row>
    <row r="11" spans="3:15">
      <c r="C11" s="20"/>
      <c r="D11" s="21">
        <f>D3</f>
        <v>42156</v>
      </c>
      <c r="E11" s="21">
        <f>D11-DAY(D11-1)</f>
        <v>42125</v>
      </c>
      <c r="F11" s="21">
        <f t="shared" ref="F11" si="2">E11-DAY(E11-1)</f>
        <v>42095</v>
      </c>
      <c r="G11" s="21">
        <f t="shared" ref="G11" si="3">F11-DAY(F11-1)</f>
        <v>42064</v>
      </c>
      <c r="H11" s="21">
        <f t="shared" ref="H11" si="4">G11-DAY(G11-1)</f>
        <v>42036</v>
      </c>
      <c r="I11" s="21">
        <f t="shared" ref="I11" si="5">H11-DAY(H11-1)</f>
        <v>42005</v>
      </c>
      <c r="J11" s="21">
        <f t="shared" ref="J11" si="6">I11-DAY(I11-1)</f>
        <v>41974</v>
      </c>
      <c r="K11" s="21">
        <f t="shared" ref="K11" si="7">J11-DAY(J11-1)</f>
        <v>41944</v>
      </c>
      <c r="L11" s="21">
        <f t="shared" ref="L11" si="8">K11-DAY(K11-1)</f>
        <v>41913</v>
      </c>
      <c r="M11" s="21">
        <f t="shared" ref="M11" si="9">L11-DAY(L11-1)</f>
        <v>41883</v>
      </c>
      <c r="N11" s="21">
        <f t="shared" ref="N11" si="10">M11-DAY(M11-1)</f>
        <v>41852</v>
      </c>
      <c r="O11" s="21">
        <f t="shared" ref="O11" si="11">N11-DAY(N11-1)</f>
        <v>41821</v>
      </c>
    </row>
    <row r="12" spans="3:15">
      <c r="C12" s="22" t="s">
        <v>34</v>
      </c>
      <c r="D12" s="36">
        <f>VLOOKUP(D$3,CurrentMtgRatesDataTable8268459[#All],2,0)/1000000</f>
        <v>426.53620799999999</v>
      </c>
      <c r="E12" s="36">
        <f>VLOOKUP(E$3,CurrentMtgRatesDataTable8268459[#All],2,0)/1000000</f>
        <v>369.38555866000002</v>
      </c>
      <c r="F12" s="36">
        <f>VLOOKUP(F$3,CurrentMtgRatesDataTable8268459[#All],2,0)/1000000</f>
        <v>396.32225199999999</v>
      </c>
      <c r="G12" s="36">
        <f>VLOOKUP(G$3,CurrentMtgRatesDataTable8268459[#All],2,0)/1000000</f>
        <v>252.44460699999999</v>
      </c>
      <c r="H12" s="36">
        <f>VLOOKUP(H$3,CurrentMtgRatesDataTable8268459[#All],2,0)/1000000</f>
        <v>374.57367605000002</v>
      </c>
      <c r="I12" s="36">
        <f>VLOOKUP(I$3,CurrentMtgRatesDataTable8268459[#All],2,0)/1000000</f>
        <v>293.156633</v>
      </c>
      <c r="J12" s="36">
        <f>VLOOKUP(J$3,CurrentMtgRatesDataTable8268459[#All],2,0)/1000000</f>
        <v>298.16098299999999</v>
      </c>
      <c r="K12" s="36">
        <f>VLOOKUP(K$3,CurrentMtgRatesDataTable8268459[#All],2,0)/1000000</f>
        <v>758.61902899999995</v>
      </c>
      <c r="L12" s="36">
        <f>VLOOKUP(L$3,CurrentMtgRatesDataTable8268459[#All],2,0)/1000000</f>
        <v>487.76916899999998</v>
      </c>
      <c r="M12" s="36">
        <f>VLOOKUP(M$3,CurrentMtgRatesDataTable8268459[#All],2,0)/1000000</f>
        <v>516.55757100000005</v>
      </c>
      <c r="N12" s="36">
        <f>VLOOKUP(N$3,CurrentMtgRatesDataTable8268459[#All],2,0)/1000000</f>
        <v>450.24923699999999</v>
      </c>
      <c r="O12" s="36">
        <f>VLOOKUP(O$3,CurrentMtgRatesDataTable8268459[#All],2,0)/1000000</f>
        <v>580.54931199999999</v>
      </c>
    </row>
    <row r="13" spans="3:15">
      <c r="C13" s="22" t="s">
        <v>35</v>
      </c>
      <c r="D13" s="36">
        <f>VLOOKUP(D$3,CurrentMtgRatesDataTable8268459[#All],3,0)/1000000</f>
        <v>170.308762</v>
      </c>
      <c r="E13" s="36">
        <f>VLOOKUP(E$3,CurrentMtgRatesDataTable8268459[#All],3,0)/1000000</f>
        <v>122.28681082</v>
      </c>
      <c r="F13" s="36">
        <f>VLOOKUP(F$3,CurrentMtgRatesDataTable8268459[#All],3,0)/1000000</f>
        <v>148.89011199999999</v>
      </c>
      <c r="G13" s="36">
        <f>VLOOKUP(G$3,CurrentMtgRatesDataTable8268459[#All],3,0)/1000000</f>
        <v>168.44036800000001</v>
      </c>
      <c r="H13" s="36">
        <f>VLOOKUP(H$3,CurrentMtgRatesDataTable8268459[#All],3,0)/1000000</f>
        <v>124.03475</v>
      </c>
      <c r="I13" s="36">
        <f>VLOOKUP(I$3,CurrentMtgRatesDataTable8268459[#All],3,0)/1000000</f>
        <v>86.808654000000004</v>
      </c>
      <c r="J13" s="36">
        <f>VLOOKUP(J$3,CurrentMtgRatesDataTable8268459[#All],3,0)/1000000</f>
        <v>132.196732</v>
      </c>
      <c r="K13" s="36">
        <f>VLOOKUP(K$3,CurrentMtgRatesDataTable8268459[#All],3,0)/1000000</f>
        <v>117.827108</v>
      </c>
      <c r="L13" s="36">
        <f>VLOOKUP(L$3,CurrentMtgRatesDataTable8268459[#All],3,0)/1000000</f>
        <v>83.894887999999995</v>
      </c>
      <c r="M13" s="36">
        <f>VLOOKUP(M$3,CurrentMtgRatesDataTable8268459[#All],3,0)/1000000</f>
        <v>162.01550034000002</v>
      </c>
      <c r="N13" s="36">
        <f>VLOOKUP(N$3,CurrentMtgRatesDataTable8268459[#All],3,0)/1000000</f>
        <v>100.658496</v>
      </c>
      <c r="O13" s="36">
        <f>VLOOKUP(O$3,CurrentMtgRatesDataTable8268459[#All],3,0)/1000000</f>
        <v>189.86541600000001</v>
      </c>
    </row>
    <row r="14" spans="3:15">
      <c r="C14" s="22" t="s">
        <v>36</v>
      </c>
      <c r="D14" s="36">
        <f>VLOOKUP(D$3,CurrentMtgRatesDataTable8268459[#All],4,0)/1000000</f>
        <v>113.426215</v>
      </c>
      <c r="E14" s="36">
        <f>VLOOKUP(E$3,CurrentMtgRatesDataTable8268459[#All],4,0)/1000000</f>
        <v>52.180959999999999</v>
      </c>
      <c r="F14" s="36">
        <f>VLOOKUP(F$3,CurrentMtgRatesDataTable8268459[#All],4,0)/1000000</f>
        <v>11.152526</v>
      </c>
      <c r="G14" s="36">
        <f>VLOOKUP(G$3,CurrentMtgRatesDataTable8268459[#All],4,0)/1000000</f>
        <v>19.009106420000002</v>
      </c>
      <c r="H14" s="36">
        <f>VLOOKUP(H$3,CurrentMtgRatesDataTable8268459[#All],4,0)/1000000</f>
        <v>25.151731999999999</v>
      </c>
      <c r="I14" s="36" t="e">
        <f>VLOOKUP(I$3,CurrentMtgRatesDataTable8268459[#All],4,0)/1000000</f>
        <v>#N/A</v>
      </c>
      <c r="J14" s="36">
        <f>VLOOKUP(J$3,CurrentMtgRatesDataTable8268459[#All],4,0)/1000000</f>
        <v>54.314672999999999</v>
      </c>
      <c r="K14" s="36">
        <f>VLOOKUP(K$3,CurrentMtgRatesDataTable8268459[#All],4,0)/1000000</f>
        <v>195.083845</v>
      </c>
      <c r="L14" s="36">
        <f>VLOOKUP(L$3,CurrentMtgRatesDataTable8268459[#All],4,0)/1000000</f>
        <v>131.71084999999999</v>
      </c>
      <c r="M14" s="36">
        <f>VLOOKUP(M$3,CurrentMtgRatesDataTable8268459[#All],4,0)/1000000</f>
        <v>105.197408</v>
      </c>
      <c r="N14" s="36">
        <f>VLOOKUP(N$3,CurrentMtgRatesDataTable8268459[#All],4,0)/1000000</f>
        <v>146.72674699999999</v>
      </c>
      <c r="O14" s="36">
        <f>VLOOKUP(O$3,CurrentMtgRatesDataTable8268459[#All],4,0)/1000000</f>
        <v>179.061576</v>
      </c>
    </row>
    <row r="15" spans="3:15">
      <c r="C15" s="22" t="s">
        <v>30</v>
      </c>
      <c r="D15" s="36">
        <f>VLOOKUP(D$3,CurrentMtgRatesDataTable8268459[#All],5,0)/1000000</f>
        <v>764.81129699999997</v>
      </c>
      <c r="E15" s="36">
        <f>VLOOKUP(E$3,CurrentMtgRatesDataTable8268459[#All],5,0)/1000000</f>
        <v>855.52421200000003</v>
      </c>
      <c r="F15" s="36">
        <f>VLOOKUP(F$3,CurrentMtgRatesDataTable8268459[#All],5,0)/1000000</f>
        <v>752.54796799999997</v>
      </c>
      <c r="G15" s="36">
        <f>VLOOKUP(G$3,CurrentMtgRatesDataTable8268459[#All],5,0)/1000000</f>
        <v>564.53249600000004</v>
      </c>
      <c r="H15" s="36">
        <f>VLOOKUP(H$3,CurrentMtgRatesDataTable8268459[#All],5,0)/1000000</f>
        <v>911.24179500000002</v>
      </c>
      <c r="I15" s="36">
        <f>VLOOKUP(I$3,CurrentMtgRatesDataTable8268459[#All],5,0)/1000000</f>
        <v>630.71400300000005</v>
      </c>
      <c r="J15" s="36">
        <f>VLOOKUP(J$3,CurrentMtgRatesDataTable8268459[#All],5,0)/1000000</f>
        <v>476.097149</v>
      </c>
      <c r="K15" s="36">
        <f>VLOOKUP(K$3,CurrentMtgRatesDataTable8268459[#All],5,0)/1000000</f>
        <v>841.22365100000002</v>
      </c>
      <c r="L15" s="36">
        <f>VLOOKUP(L$3,CurrentMtgRatesDataTable8268459[#All],5,0)/1000000</f>
        <v>834.28929300000004</v>
      </c>
      <c r="M15" s="36">
        <f>VLOOKUP(M$3,CurrentMtgRatesDataTable8268459[#All],5,0)/1000000</f>
        <v>811.05414900000005</v>
      </c>
      <c r="N15" s="36">
        <f>VLOOKUP(N$3,CurrentMtgRatesDataTable8268459[#All],5,0)/1000000</f>
        <v>890.80694700000004</v>
      </c>
      <c r="O15" s="36">
        <f>VLOOKUP(O$3,CurrentMtgRatesDataTable8268459[#All],5,0)/1000000</f>
        <v>618.42138299999999</v>
      </c>
    </row>
    <row r="16" spans="3:15">
      <c r="C16" s="22" t="s">
        <v>31</v>
      </c>
      <c r="D16" s="36">
        <f>VLOOKUP(D$3,CurrentMtgRatesDataTable8268459[#All],6,0)/1000000</f>
        <v>1611.74891</v>
      </c>
      <c r="E16" s="36">
        <f>VLOOKUP(E$3,CurrentMtgRatesDataTable8268459[#All],6,0)/1000000</f>
        <v>1463.90602057</v>
      </c>
      <c r="F16" s="36">
        <f>VLOOKUP(F$3,CurrentMtgRatesDataTable8268459[#All],6,0)/1000000</f>
        <v>1449.516451</v>
      </c>
      <c r="G16" s="36">
        <f>VLOOKUP(G$3,CurrentMtgRatesDataTable8268459[#All],6,0)/1000000</f>
        <v>1017.69467442</v>
      </c>
      <c r="H16" s="36">
        <f>VLOOKUP(H$3,CurrentMtgRatesDataTable8268459[#All],6,0)/1000000</f>
        <v>1643.2794370499998</v>
      </c>
      <c r="I16" s="36">
        <f>VLOOKUP(I$3,CurrentMtgRatesDataTable8268459[#All],6,0)/1000000</f>
        <v>1072.190687</v>
      </c>
      <c r="J16" s="36">
        <f>VLOOKUP(J$3,CurrentMtgRatesDataTable8268459[#All],6,0)/1000000</f>
        <v>1098.4639110000001</v>
      </c>
      <c r="K16" s="36">
        <f>VLOOKUP(K$3,CurrentMtgRatesDataTable8268459[#All],6,0)/1000000</f>
        <v>1450.209816</v>
      </c>
      <c r="L16" s="36">
        <f>VLOOKUP(L$3,CurrentMtgRatesDataTable8268459[#All],6,0)/1000000</f>
        <v>1458.7670370000001</v>
      </c>
      <c r="M16" s="36">
        <f>VLOOKUP(M$3,CurrentMtgRatesDataTable8268459[#All],6,0)/1000000</f>
        <v>1477.981822</v>
      </c>
      <c r="N16" s="36">
        <f>VLOOKUP(N$3,CurrentMtgRatesDataTable8268459[#All],6,0)/1000000</f>
        <v>1633.7360249999999</v>
      </c>
      <c r="O16" s="36">
        <f>VLOOKUP(O$3,CurrentMtgRatesDataTable8268459[#All],6,0)/1000000</f>
        <v>1097.6674290000001</v>
      </c>
    </row>
    <row r="17" spans="3:15">
      <c r="C17" s="22" t="s">
        <v>32</v>
      </c>
      <c r="D17" s="36">
        <f>VLOOKUP(D$3,CurrentMtgRatesDataTable8268459[#All],7,0)/1000000</f>
        <v>703.68132100000003</v>
      </c>
      <c r="E17" s="36">
        <f>VLOOKUP(E$3,CurrentMtgRatesDataTable8268459[#All],7,0)/1000000</f>
        <v>598.67212700000005</v>
      </c>
      <c r="F17" s="36">
        <f>VLOOKUP(F$3,CurrentMtgRatesDataTable8268459[#All],7,0)/1000000</f>
        <v>539.45574899999997</v>
      </c>
      <c r="G17" s="36">
        <f>VLOOKUP(G$3,CurrentMtgRatesDataTable8268459[#All],7,0)/1000000</f>
        <v>430.86262799999997</v>
      </c>
      <c r="H17" s="36">
        <f>VLOOKUP(H$3,CurrentMtgRatesDataTable8268459[#All],7,0)/1000000</f>
        <v>622.20484599999997</v>
      </c>
      <c r="I17" s="36">
        <f>VLOOKUP(I$3,CurrentMtgRatesDataTable8268459[#All],7,0)/1000000</f>
        <v>510.09734600000002</v>
      </c>
      <c r="J17" s="36">
        <f>VLOOKUP(J$3,CurrentMtgRatesDataTable8268459[#All],7,0)/1000000</f>
        <v>538.29634199999998</v>
      </c>
      <c r="K17" s="36">
        <f>VLOOKUP(K$3,CurrentMtgRatesDataTable8268459[#All],7,0)/1000000</f>
        <v>594.16366200000004</v>
      </c>
      <c r="L17" s="36">
        <f>VLOOKUP(L$3,CurrentMtgRatesDataTable8268459[#All],7,0)/1000000</f>
        <v>633.55211099999997</v>
      </c>
      <c r="M17" s="36">
        <f>VLOOKUP(M$3,CurrentMtgRatesDataTable8268459[#All],7,0)/1000000</f>
        <v>583.30619200000001</v>
      </c>
      <c r="N17" s="36">
        <f>VLOOKUP(N$3,CurrentMtgRatesDataTable8268459[#All],7,0)/1000000</f>
        <v>747.83611900000005</v>
      </c>
      <c r="O17" s="36">
        <f>VLOOKUP(O$3,CurrentMtgRatesDataTable8268459[#All],7,0)/1000000</f>
        <v>483.86209300000002</v>
      </c>
    </row>
    <row r="18" spans="3:15">
      <c r="C18" s="22" t="s">
        <v>33</v>
      </c>
      <c r="D18" s="36">
        <f>VLOOKUP(D$3,CurrentMtgRatesDataTable8268459[#All],8,0)/1000000</f>
        <v>355.570784</v>
      </c>
      <c r="E18" s="36">
        <f>VLOOKUP(E$3,CurrentMtgRatesDataTable8268459[#All],8,0)/1000000</f>
        <v>366.25371999999999</v>
      </c>
      <c r="F18" s="36">
        <f>VLOOKUP(F$3,CurrentMtgRatesDataTable8268459[#All],8,0)/1000000</f>
        <v>332.54565400000001</v>
      </c>
      <c r="G18" s="36">
        <f>VLOOKUP(G$3,CurrentMtgRatesDataTable8268459[#All],8,0)/1000000</f>
        <v>265.267495</v>
      </c>
      <c r="H18" s="36">
        <f>VLOOKUP(H$3,CurrentMtgRatesDataTable8268459[#All],8,0)/1000000</f>
        <v>421.65808399999997</v>
      </c>
      <c r="I18" s="36">
        <f>VLOOKUP(I$3,CurrentMtgRatesDataTable8268459[#All],8,0)/1000000</f>
        <v>316.81303700000001</v>
      </c>
      <c r="J18" s="36">
        <f>VLOOKUP(J$3,CurrentMtgRatesDataTable8268459[#All],8,0)/1000000</f>
        <v>353.34033599999998</v>
      </c>
      <c r="K18" s="36">
        <f>VLOOKUP(K$3,CurrentMtgRatesDataTable8268459[#All],8,0)/1000000</f>
        <v>378.70451500000001</v>
      </c>
      <c r="L18" s="36">
        <f>VLOOKUP(L$3,CurrentMtgRatesDataTable8268459[#All],8,0)/1000000</f>
        <v>372.933423</v>
      </c>
      <c r="M18" s="36">
        <f>VLOOKUP(M$3,CurrentMtgRatesDataTable8268459[#All],8,0)/1000000</f>
        <v>342.79302899999999</v>
      </c>
      <c r="N18" s="36">
        <f>VLOOKUP(N$3,CurrentMtgRatesDataTable8268459[#All],8,0)/1000000</f>
        <v>442.026318</v>
      </c>
      <c r="O18" s="36">
        <f>VLOOKUP(O$3,CurrentMtgRatesDataTable8268459[#All],8,0)/1000000</f>
        <v>296.54413</v>
      </c>
    </row>
    <row r="19" spans="3:15">
      <c r="C19" s="22" t="s">
        <v>39</v>
      </c>
      <c r="D19" s="36">
        <f>VLOOKUP(D$3,CurrentMtgRatesDataTable8268459[#All],9,0)/1000000</f>
        <v>251.74121500000001</v>
      </c>
      <c r="E19" s="36">
        <f>VLOOKUP(E$3,CurrentMtgRatesDataTable8268459[#All],9,0)/1000000</f>
        <v>318.697472</v>
      </c>
      <c r="F19" s="36">
        <f>VLOOKUP(F$3,CurrentMtgRatesDataTable8268459[#All],9,0)/1000000</f>
        <v>255.81547</v>
      </c>
      <c r="G19" s="36">
        <f>VLOOKUP(G$3,CurrentMtgRatesDataTable8268459[#All],9,0)/1000000</f>
        <v>142.63154599999999</v>
      </c>
      <c r="H19" s="36">
        <f>VLOOKUP(H$3,CurrentMtgRatesDataTable8268459[#All],9,0)/1000000</f>
        <v>388.87008100000003</v>
      </c>
      <c r="I19" s="36">
        <f>VLOOKUP(I$3,CurrentMtgRatesDataTable8268459[#All],9,0)/1000000</f>
        <v>257.43582600000002</v>
      </c>
      <c r="J19" s="36">
        <f>VLOOKUP(J$3,CurrentMtgRatesDataTable8268459[#All],9,0)/1000000</f>
        <v>161.550163</v>
      </c>
      <c r="K19" s="36">
        <f>VLOOKUP(K$3,CurrentMtgRatesDataTable8268459[#All],9,0)/1000000</f>
        <v>264.019745</v>
      </c>
      <c r="L19" s="36">
        <f>VLOOKUP(L$3,CurrentMtgRatesDataTable8268459[#All],9,0)/1000000</f>
        <v>258.87979799999999</v>
      </c>
      <c r="M19" s="36">
        <f>VLOOKUP(M$3,CurrentMtgRatesDataTable8268459[#All],9,0)/1000000</f>
        <v>176.95254600000001</v>
      </c>
      <c r="N19" s="36">
        <f>VLOOKUP(N$3,CurrentMtgRatesDataTable8268459[#All],9,0)/1000000</f>
        <v>170.905632</v>
      </c>
      <c r="O19" s="36">
        <f>VLOOKUP(O$3,CurrentMtgRatesDataTable8268459[#All],9,0)/1000000</f>
        <v>71.448246999999995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3:R62"/>
  <sheetViews>
    <sheetView showGridLines="0" topLeftCell="A10" workbookViewId="0">
      <selection activeCell="K25" sqref="K25"/>
    </sheetView>
  </sheetViews>
  <sheetFormatPr defaultRowHeight="15"/>
  <cols>
    <col min="12" max="12" width="12.28515625" customWidth="1"/>
  </cols>
  <sheetData>
    <row r="3" spans="2:18">
      <c r="B3" s="19" t="s">
        <v>19</v>
      </c>
      <c r="C3" s="19" t="s">
        <v>20</v>
      </c>
      <c r="D3" s="19" t="s">
        <v>21</v>
      </c>
      <c r="E3" s="19" t="s">
        <v>22</v>
      </c>
      <c r="F3" s="19" t="s">
        <v>23</v>
      </c>
      <c r="G3" s="19" t="s">
        <v>24</v>
      </c>
      <c r="I3" s="19" t="s">
        <v>19</v>
      </c>
      <c r="J3" s="19" t="s">
        <v>20</v>
      </c>
      <c r="K3" s="19" t="s">
        <v>21</v>
      </c>
      <c r="L3" s="19" t="s">
        <v>22</v>
      </c>
      <c r="O3" s="19" t="s">
        <v>19</v>
      </c>
      <c r="P3" s="19" t="s">
        <v>20</v>
      </c>
      <c r="Q3" s="19" t="s">
        <v>21</v>
      </c>
      <c r="R3" s="19" t="s">
        <v>22</v>
      </c>
    </row>
    <row r="4" spans="2:18">
      <c r="B4" t="s">
        <v>42</v>
      </c>
      <c r="C4" s="18">
        <v>40391</v>
      </c>
      <c r="D4" t="s">
        <v>43</v>
      </c>
      <c r="E4">
        <v>376538761</v>
      </c>
      <c r="F4" s="19">
        <f>VLOOKUP(CurrentMtgRatesDataTable826[[#This Row],[issueDate]],CurrentMtgRatesDataTable8267[[issueDate]:[issueAmount]],3,0)</f>
        <v>397459219</v>
      </c>
      <c r="G4" s="19" t="e">
        <f>VLOOKUP(CurrentMtgRatesDataTable826[[#This Row],[issueDate]],CurrentMtgRatesDataTable8268[[issueDate]:[issueAmount]],3,0)</f>
        <v>#N/A</v>
      </c>
      <c r="I4" t="s">
        <v>44</v>
      </c>
      <c r="J4" s="18">
        <v>40391</v>
      </c>
      <c r="K4" t="s">
        <v>45</v>
      </c>
      <c r="L4">
        <v>397459219</v>
      </c>
      <c r="O4" t="s">
        <v>46</v>
      </c>
      <c r="P4" s="18">
        <v>41061</v>
      </c>
      <c r="Q4" t="s">
        <v>47</v>
      </c>
      <c r="R4">
        <v>6769095429</v>
      </c>
    </row>
    <row r="5" spans="2:18">
      <c r="B5" t="s">
        <v>42</v>
      </c>
      <c r="C5" s="30">
        <v>40513</v>
      </c>
      <c r="D5" t="s">
        <v>43</v>
      </c>
      <c r="E5">
        <v>609590848</v>
      </c>
      <c r="F5" s="5">
        <f>VLOOKUP(CurrentMtgRatesDataTable826[[#This Row],[issueDate]],CurrentMtgRatesDataTable8267[[issueDate]:[issueAmount]],3,0)</f>
        <v>866628804</v>
      </c>
      <c r="G5" s="5" t="e">
        <f>VLOOKUP(CurrentMtgRatesDataTable826[[#This Row],[issueDate]],CurrentMtgRatesDataTable8268[[issueDate]:[issueAmount]],3,0)</f>
        <v>#N/A</v>
      </c>
      <c r="I5" t="s">
        <v>44</v>
      </c>
      <c r="J5" s="30">
        <v>40422</v>
      </c>
      <c r="K5" t="s">
        <v>45</v>
      </c>
      <c r="L5">
        <v>554142851</v>
      </c>
      <c r="O5" t="s">
        <v>46</v>
      </c>
      <c r="P5" s="30">
        <v>41091</v>
      </c>
      <c r="Q5" t="s">
        <v>47</v>
      </c>
      <c r="R5">
        <v>3218261741</v>
      </c>
    </row>
    <row r="6" spans="2:18">
      <c r="B6" t="s">
        <v>42</v>
      </c>
      <c r="C6" s="30">
        <v>40544</v>
      </c>
      <c r="D6" t="s">
        <v>43</v>
      </c>
      <c r="E6">
        <v>551461855</v>
      </c>
      <c r="F6" s="5">
        <f>VLOOKUP(CurrentMtgRatesDataTable826[[#This Row],[issueDate]],CurrentMtgRatesDataTable8267[[issueDate]:[issueAmount]],3,0)</f>
        <v>504190671</v>
      </c>
      <c r="G6" s="5" t="e">
        <f>VLOOKUP(CurrentMtgRatesDataTable826[[#This Row],[issueDate]],CurrentMtgRatesDataTable8268[[issueDate]:[issueAmount]],3,0)</f>
        <v>#N/A</v>
      </c>
      <c r="I6" t="s">
        <v>44</v>
      </c>
      <c r="J6" s="30">
        <v>40452</v>
      </c>
      <c r="K6" t="s">
        <v>45</v>
      </c>
      <c r="L6">
        <v>246984055</v>
      </c>
      <c r="O6" t="s">
        <v>46</v>
      </c>
      <c r="P6" s="30">
        <v>41122</v>
      </c>
      <c r="Q6" t="s">
        <v>47</v>
      </c>
      <c r="R6">
        <v>4157890179</v>
      </c>
    </row>
    <row r="7" spans="2:18">
      <c r="B7" t="s">
        <v>42</v>
      </c>
      <c r="C7" s="30">
        <v>40575</v>
      </c>
      <c r="D7" t="s">
        <v>43</v>
      </c>
      <c r="E7">
        <v>1335521889</v>
      </c>
      <c r="F7" s="5">
        <f>VLOOKUP(CurrentMtgRatesDataTable826[[#This Row],[issueDate]],CurrentMtgRatesDataTable8267[[issueDate]:[issueAmount]],3,0)</f>
        <v>879483263</v>
      </c>
      <c r="G7" s="5" t="e">
        <f>VLOOKUP(CurrentMtgRatesDataTable826[[#This Row],[issueDate]],CurrentMtgRatesDataTable8268[[issueDate]:[issueAmount]],3,0)</f>
        <v>#N/A</v>
      </c>
      <c r="I7" t="s">
        <v>44</v>
      </c>
      <c r="J7" s="30">
        <v>40483</v>
      </c>
      <c r="K7" t="s">
        <v>45</v>
      </c>
      <c r="L7">
        <v>590901658</v>
      </c>
      <c r="O7" t="s">
        <v>46</v>
      </c>
      <c r="P7" s="30">
        <v>41153</v>
      </c>
      <c r="Q7" t="s">
        <v>47</v>
      </c>
      <c r="R7">
        <v>3031643526</v>
      </c>
    </row>
    <row r="8" spans="2:18">
      <c r="B8" t="s">
        <v>42</v>
      </c>
      <c r="C8" s="30">
        <v>40603</v>
      </c>
      <c r="D8" t="s">
        <v>43</v>
      </c>
      <c r="E8">
        <v>377524535</v>
      </c>
      <c r="F8" s="5">
        <f>VLOOKUP(CurrentMtgRatesDataTable826[[#This Row],[issueDate]],CurrentMtgRatesDataTable8267[[issueDate]:[issueAmount]],3,0)</f>
        <v>1061122937</v>
      </c>
      <c r="G8" s="5" t="e">
        <f>VLOOKUP(CurrentMtgRatesDataTable826[[#This Row],[issueDate]],CurrentMtgRatesDataTable8268[[issueDate]:[issueAmount]],3,0)</f>
        <v>#N/A</v>
      </c>
      <c r="I8" t="s">
        <v>44</v>
      </c>
      <c r="J8" s="30">
        <v>40513</v>
      </c>
      <c r="K8" t="s">
        <v>45</v>
      </c>
      <c r="L8">
        <v>866628804</v>
      </c>
      <c r="O8" t="s">
        <v>46</v>
      </c>
      <c r="P8" s="30">
        <v>41183</v>
      </c>
      <c r="Q8" t="s">
        <v>47</v>
      </c>
      <c r="R8">
        <v>2142244765</v>
      </c>
    </row>
    <row r="9" spans="2:18">
      <c r="B9" t="s">
        <v>42</v>
      </c>
      <c r="C9" s="30">
        <v>40634</v>
      </c>
      <c r="D9" t="s">
        <v>43</v>
      </c>
      <c r="E9">
        <v>584684655</v>
      </c>
      <c r="F9" s="5">
        <f>VLOOKUP(CurrentMtgRatesDataTable826[[#This Row],[issueDate]],CurrentMtgRatesDataTable8267[[issueDate]:[issueAmount]],3,0)</f>
        <v>727617873</v>
      </c>
      <c r="G9" s="5" t="e">
        <f>VLOOKUP(CurrentMtgRatesDataTable826[[#This Row],[issueDate]],CurrentMtgRatesDataTable8268[[issueDate]:[issueAmount]],3,0)</f>
        <v>#N/A</v>
      </c>
      <c r="I9" t="s">
        <v>44</v>
      </c>
      <c r="J9" s="30">
        <v>40544</v>
      </c>
      <c r="K9" t="s">
        <v>45</v>
      </c>
      <c r="L9">
        <v>504190671</v>
      </c>
      <c r="O9" t="s">
        <v>46</v>
      </c>
      <c r="P9" s="30">
        <v>41214</v>
      </c>
      <c r="Q9" t="s">
        <v>47</v>
      </c>
      <c r="R9">
        <v>1991616641</v>
      </c>
    </row>
    <row r="10" spans="2:18">
      <c r="B10" t="s">
        <v>42</v>
      </c>
      <c r="C10" s="30">
        <v>40664</v>
      </c>
      <c r="D10" t="s">
        <v>43</v>
      </c>
      <c r="E10">
        <v>707681152</v>
      </c>
      <c r="F10" s="5">
        <f>VLOOKUP(CurrentMtgRatesDataTable826[[#This Row],[issueDate]],CurrentMtgRatesDataTable8267[[issueDate]:[issueAmount]],3,0)</f>
        <v>512312016</v>
      </c>
      <c r="G10" s="5" t="e">
        <f>VLOOKUP(CurrentMtgRatesDataTable826[[#This Row],[issueDate]],CurrentMtgRatesDataTable8268[[issueDate]:[issueAmount]],3,0)</f>
        <v>#N/A</v>
      </c>
      <c r="I10" t="s">
        <v>44</v>
      </c>
      <c r="J10" s="30">
        <v>40575</v>
      </c>
      <c r="K10" t="s">
        <v>45</v>
      </c>
      <c r="L10">
        <v>879483263</v>
      </c>
      <c r="O10" t="s">
        <v>46</v>
      </c>
      <c r="P10" s="30">
        <v>41244</v>
      </c>
      <c r="Q10" t="s">
        <v>47</v>
      </c>
      <c r="R10">
        <v>1221295318</v>
      </c>
    </row>
    <row r="11" spans="2:18">
      <c r="B11" t="s">
        <v>42</v>
      </c>
      <c r="C11" s="30">
        <v>40695</v>
      </c>
      <c r="D11" t="s">
        <v>43</v>
      </c>
      <c r="E11">
        <v>834030449</v>
      </c>
      <c r="F11" s="5">
        <f>VLOOKUP(CurrentMtgRatesDataTable826[[#This Row],[issueDate]],CurrentMtgRatesDataTable8267[[issueDate]:[issueAmount]],3,0)</f>
        <v>663195956</v>
      </c>
      <c r="G11" s="5" t="e">
        <f>VLOOKUP(CurrentMtgRatesDataTable826[[#This Row],[issueDate]],CurrentMtgRatesDataTable8268[[issueDate]:[issueAmount]],3,0)</f>
        <v>#N/A</v>
      </c>
      <c r="I11" t="s">
        <v>44</v>
      </c>
      <c r="J11" s="30">
        <v>40603</v>
      </c>
      <c r="K11" t="s">
        <v>45</v>
      </c>
      <c r="L11">
        <v>1061122937</v>
      </c>
      <c r="O11" t="s">
        <v>46</v>
      </c>
      <c r="P11" s="30">
        <v>41275</v>
      </c>
      <c r="Q11" t="s">
        <v>47</v>
      </c>
      <c r="R11">
        <v>2039610246</v>
      </c>
    </row>
    <row r="12" spans="2:18">
      <c r="B12" t="s">
        <v>42</v>
      </c>
      <c r="C12" s="30">
        <v>40725</v>
      </c>
      <c r="D12" t="s">
        <v>43</v>
      </c>
      <c r="E12">
        <v>575524118</v>
      </c>
      <c r="F12" s="5">
        <f>VLOOKUP(CurrentMtgRatesDataTable826[[#This Row],[issueDate]],CurrentMtgRatesDataTable8267[[issueDate]:[issueAmount]],3,0)</f>
        <v>521943787</v>
      </c>
      <c r="G12" s="5" t="e">
        <f>VLOOKUP(CurrentMtgRatesDataTable826[[#This Row],[issueDate]],CurrentMtgRatesDataTable8268[[issueDate]:[issueAmount]],3,0)</f>
        <v>#N/A</v>
      </c>
      <c r="I12" t="s">
        <v>44</v>
      </c>
      <c r="J12" s="30">
        <v>40634</v>
      </c>
      <c r="K12" t="s">
        <v>45</v>
      </c>
      <c r="L12">
        <v>727617873</v>
      </c>
      <c r="O12" t="s">
        <v>46</v>
      </c>
      <c r="P12" s="30">
        <v>41306</v>
      </c>
      <c r="Q12" t="s">
        <v>47</v>
      </c>
      <c r="R12">
        <v>1308290440</v>
      </c>
    </row>
    <row r="13" spans="2:18">
      <c r="B13" t="s">
        <v>42</v>
      </c>
      <c r="C13" s="30">
        <v>40756</v>
      </c>
      <c r="D13" t="s">
        <v>43</v>
      </c>
      <c r="E13">
        <v>542674722</v>
      </c>
      <c r="F13" s="5">
        <f>VLOOKUP(CurrentMtgRatesDataTable826[[#This Row],[issueDate]],CurrentMtgRatesDataTable8267[[issueDate]:[issueAmount]],3,0)</f>
        <v>572312154</v>
      </c>
      <c r="G13" s="5" t="e">
        <f>VLOOKUP(CurrentMtgRatesDataTable826[[#This Row],[issueDate]],CurrentMtgRatesDataTable8268[[issueDate]:[issueAmount]],3,0)</f>
        <v>#N/A</v>
      </c>
      <c r="I13" t="s">
        <v>44</v>
      </c>
      <c r="J13" s="30">
        <v>40664</v>
      </c>
      <c r="K13" t="s">
        <v>45</v>
      </c>
      <c r="L13">
        <v>512312016</v>
      </c>
      <c r="O13" t="s">
        <v>46</v>
      </c>
      <c r="P13" s="30">
        <v>41334</v>
      </c>
      <c r="Q13" t="s">
        <v>47</v>
      </c>
      <c r="R13">
        <v>1665562210</v>
      </c>
    </row>
    <row r="14" spans="2:18">
      <c r="B14" t="s">
        <v>42</v>
      </c>
      <c r="C14" s="30">
        <v>40787</v>
      </c>
      <c r="D14" t="s">
        <v>43</v>
      </c>
      <c r="E14">
        <v>1040718870</v>
      </c>
      <c r="F14" s="5">
        <f>VLOOKUP(CurrentMtgRatesDataTable826[[#This Row],[issueDate]],CurrentMtgRatesDataTable8267[[issueDate]:[issueAmount]],3,0)</f>
        <v>597280626</v>
      </c>
      <c r="G14" s="5" t="e">
        <f>VLOOKUP(CurrentMtgRatesDataTable826[[#This Row],[issueDate]],CurrentMtgRatesDataTable8268[[issueDate]:[issueAmount]],3,0)</f>
        <v>#N/A</v>
      </c>
      <c r="I14" t="s">
        <v>44</v>
      </c>
      <c r="J14" s="30">
        <v>40695</v>
      </c>
      <c r="K14" t="s">
        <v>45</v>
      </c>
      <c r="L14">
        <v>663195956</v>
      </c>
      <c r="O14" t="s">
        <v>46</v>
      </c>
      <c r="P14" s="30">
        <v>41365</v>
      </c>
      <c r="Q14" t="s">
        <v>47</v>
      </c>
      <c r="R14">
        <v>1552604213</v>
      </c>
    </row>
    <row r="15" spans="2:18">
      <c r="B15" t="s">
        <v>42</v>
      </c>
      <c r="C15" s="30">
        <v>40817</v>
      </c>
      <c r="D15" t="s">
        <v>43</v>
      </c>
      <c r="E15">
        <v>1039284560</v>
      </c>
      <c r="F15" s="5">
        <f>VLOOKUP(CurrentMtgRatesDataTable826[[#This Row],[issueDate]],CurrentMtgRatesDataTable8267[[issueDate]:[issueAmount]],3,0)</f>
        <v>553124235</v>
      </c>
      <c r="G15" s="5" t="e">
        <f>VLOOKUP(CurrentMtgRatesDataTable826[[#This Row],[issueDate]],CurrentMtgRatesDataTable8268[[issueDate]:[issueAmount]],3,0)</f>
        <v>#N/A</v>
      </c>
      <c r="I15" t="s">
        <v>44</v>
      </c>
      <c r="J15" s="30">
        <v>40725</v>
      </c>
      <c r="K15" t="s">
        <v>45</v>
      </c>
      <c r="L15">
        <v>521943787</v>
      </c>
      <c r="O15" t="s">
        <v>46</v>
      </c>
      <c r="P15" s="30">
        <v>41395</v>
      </c>
      <c r="Q15" t="s">
        <v>47</v>
      </c>
      <c r="R15">
        <v>1323430656</v>
      </c>
    </row>
    <row r="16" spans="2:18">
      <c r="B16" t="s">
        <v>42</v>
      </c>
      <c r="C16" s="30">
        <v>40848</v>
      </c>
      <c r="D16" t="s">
        <v>43</v>
      </c>
      <c r="E16">
        <v>1178419117</v>
      </c>
      <c r="F16" s="5">
        <f>VLOOKUP(CurrentMtgRatesDataTable826[[#This Row],[issueDate]],CurrentMtgRatesDataTable8267[[issueDate]:[issueAmount]],3,0)</f>
        <v>506345173</v>
      </c>
      <c r="G16" s="5" t="e">
        <f>VLOOKUP(CurrentMtgRatesDataTable826[[#This Row],[issueDate]],CurrentMtgRatesDataTable8268[[issueDate]:[issueAmount]],3,0)</f>
        <v>#N/A</v>
      </c>
      <c r="I16" t="s">
        <v>44</v>
      </c>
      <c r="J16" s="30">
        <v>40756</v>
      </c>
      <c r="K16" t="s">
        <v>45</v>
      </c>
      <c r="L16">
        <v>572312154</v>
      </c>
      <c r="O16" t="s">
        <v>46</v>
      </c>
      <c r="P16" s="30">
        <v>41426</v>
      </c>
      <c r="Q16" t="s">
        <v>47</v>
      </c>
      <c r="R16">
        <v>1179149045</v>
      </c>
    </row>
    <row r="17" spans="2:18">
      <c r="B17" t="s">
        <v>42</v>
      </c>
      <c r="C17" s="30">
        <v>40878</v>
      </c>
      <c r="D17" t="s">
        <v>43</v>
      </c>
      <c r="E17">
        <v>559044204</v>
      </c>
      <c r="F17" s="5">
        <f>VLOOKUP(CurrentMtgRatesDataTable826[[#This Row],[issueDate]],CurrentMtgRatesDataTable8267[[issueDate]:[issueAmount]],3,0)</f>
        <v>233313974</v>
      </c>
      <c r="G17" s="5" t="e">
        <f>VLOOKUP(CurrentMtgRatesDataTable826[[#This Row],[issueDate]],CurrentMtgRatesDataTable8268[[issueDate]:[issueAmount]],3,0)</f>
        <v>#N/A</v>
      </c>
      <c r="I17" t="s">
        <v>44</v>
      </c>
      <c r="J17" s="30">
        <v>40787</v>
      </c>
      <c r="K17" t="s">
        <v>45</v>
      </c>
      <c r="L17">
        <v>597280626</v>
      </c>
      <c r="O17" t="s">
        <v>46</v>
      </c>
      <c r="P17" s="30">
        <v>41456</v>
      </c>
      <c r="Q17" t="s">
        <v>47</v>
      </c>
      <c r="R17">
        <v>1152808217</v>
      </c>
    </row>
    <row r="18" spans="2:18">
      <c r="B18" t="s">
        <v>42</v>
      </c>
      <c r="C18" s="30">
        <v>40909</v>
      </c>
      <c r="D18" t="s">
        <v>43</v>
      </c>
      <c r="E18">
        <v>1186639951</v>
      </c>
      <c r="F18" s="5">
        <f>VLOOKUP(CurrentMtgRatesDataTable826[[#This Row],[issueDate]],CurrentMtgRatesDataTable8267[[issueDate]:[issueAmount]],3,0)</f>
        <v>990209712</v>
      </c>
      <c r="G18" s="5" t="e">
        <f>VLOOKUP(CurrentMtgRatesDataTable826[[#This Row],[issueDate]],CurrentMtgRatesDataTable8268[[issueDate]:[issueAmount]],3,0)</f>
        <v>#N/A</v>
      </c>
      <c r="I18" t="s">
        <v>44</v>
      </c>
      <c r="J18" s="30">
        <v>40817</v>
      </c>
      <c r="K18" t="s">
        <v>45</v>
      </c>
      <c r="L18">
        <v>553124235</v>
      </c>
      <c r="O18" t="s">
        <v>46</v>
      </c>
      <c r="P18" s="30">
        <v>41487</v>
      </c>
      <c r="Q18" t="s">
        <v>47</v>
      </c>
      <c r="R18">
        <v>997857516</v>
      </c>
    </row>
    <row r="19" spans="2:18">
      <c r="B19" t="s">
        <v>42</v>
      </c>
      <c r="C19" s="30">
        <v>40940</v>
      </c>
      <c r="D19" t="s">
        <v>43</v>
      </c>
      <c r="E19">
        <v>969022603</v>
      </c>
      <c r="F19" s="5">
        <f>VLOOKUP(CurrentMtgRatesDataTable826[[#This Row],[issueDate]],CurrentMtgRatesDataTable8267[[issueDate]:[issueAmount]],3,0)</f>
        <v>768143064</v>
      </c>
      <c r="G19" s="5" t="e">
        <f>VLOOKUP(CurrentMtgRatesDataTable826[[#This Row],[issueDate]],CurrentMtgRatesDataTable8268[[issueDate]:[issueAmount]],3,0)</f>
        <v>#N/A</v>
      </c>
      <c r="I19" t="s">
        <v>44</v>
      </c>
      <c r="J19" s="30">
        <v>40848</v>
      </c>
      <c r="K19" t="s">
        <v>45</v>
      </c>
      <c r="L19">
        <v>506345173</v>
      </c>
      <c r="O19" t="s">
        <v>46</v>
      </c>
      <c r="P19" s="30">
        <v>41518</v>
      </c>
      <c r="Q19" t="s">
        <v>47</v>
      </c>
      <c r="R19">
        <v>1353432524</v>
      </c>
    </row>
    <row r="20" spans="2:18">
      <c r="B20" t="s">
        <v>42</v>
      </c>
      <c r="C20" s="30">
        <v>40969</v>
      </c>
      <c r="D20" t="s">
        <v>43</v>
      </c>
      <c r="E20">
        <v>1345247215</v>
      </c>
      <c r="F20" s="5">
        <f>VLOOKUP(CurrentMtgRatesDataTable826[[#This Row],[issueDate]],CurrentMtgRatesDataTable8267[[issueDate]:[issueAmount]],3,0)</f>
        <v>1878154875</v>
      </c>
      <c r="G20" s="5" t="e">
        <f>VLOOKUP(CurrentMtgRatesDataTable826[[#This Row],[issueDate]],CurrentMtgRatesDataTable8268[[issueDate]:[issueAmount]],3,0)</f>
        <v>#N/A</v>
      </c>
      <c r="I20" t="s">
        <v>44</v>
      </c>
      <c r="J20" s="30">
        <v>40878</v>
      </c>
      <c r="K20" t="s">
        <v>45</v>
      </c>
      <c r="L20">
        <v>233313974</v>
      </c>
      <c r="O20" t="s">
        <v>46</v>
      </c>
      <c r="P20" s="30">
        <v>41548</v>
      </c>
      <c r="Q20" t="s">
        <v>47</v>
      </c>
      <c r="R20">
        <v>468148310.94</v>
      </c>
    </row>
    <row r="21" spans="2:18">
      <c r="B21" t="s">
        <v>42</v>
      </c>
      <c r="C21" s="30">
        <v>41000</v>
      </c>
      <c r="D21" t="s">
        <v>43</v>
      </c>
      <c r="E21">
        <v>460225823</v>
      </c>
      <c r="F21" s="5">
        <f>VLOOKUP(CurrentMtgRatesDataTable826[[#This Row],[issueDate]],CurrentMtgRatesDataTable8267[[issueDate]:[issueAmount]],3,0)</f>
        <v>1051540050</v>
      </c>
      <c r="G21" s="5" t="e">
        <f>VLOOKUP(CurrentMtgRatesDataTable826[[#This Row],[issueDate]],CurrentMtgRatesDataTable8268[[issueDate]:[issueAmount]],3,0)</f>
        <v>#N/A</v>
      </c>
      <c r="I21" t="s">
        <v>44</v>
      </c>
      <c r="J21" s="30">
        <v>40909</v>
      </c>
      <c r="K21" t="s">
        <v>45</v>
      </c>
      <c r="L21">
        <v>990209712</v>
      </c>
      <c r="O21" t="s">
        <v>46</v>
      </c>
      <c r="P21" s="30">
        <v>41579</v>
      </c>
      <c r="Q21" t="s">
        <v>47</v>
      </c>
      <c r="R21">
        <v>1125987642</v>
      </c>
    </row>
    <row r="22" spans="2:18">
      <c r="B22" t="s">
        <v>42</v>
      </c>
      <c r="C22" s="30">
        <v>41030</v>
      </c>
      <c r="D22" t="s">
        <v>43</v>
      </c>
      <c r="E22">
        <v>732754366</v>
      </c>
      <c r="F22" s="5">
        <f>VLOOKUP(CurrentMtgRatesDataTable826[[#This Row],[issueDate]],CurrentMtgRatesDataTable8267[[issueDate]:[issueAmount]],3,0)</f>
        <v>1402748200</v>
      </c>
      <c r="G22" s="5" t="e">
        <f>VLOOKUP(CurrentMtgRatesDataTable826[[#This Row],[issueDate]],CurrentMtgRatesDataTable8268[[issueDate]:[issueAmount]],3,0)</f>
        <v>#N/A</v>
      </c>
      <c r="I22" t="s">
        <v>44</v>
      </c>
      <c r="J22" s="30">
        <v>40940</v>
      </c>
      <c r="K22" t="s">
        <v>45</v>
      </c>
      <c r="L22">
        <v>768143064</v>
      </c>
      <c r="O22" t="s">
        <v>46</v>
      </c>
      <c r="P22" s="30">
        <v>41609</v>
      </c>
      <c r="Q22" t="s">
        <v>47</v>
      </c>
      <c r="R22">
        <v>653317932</v>
      </c>
    </row>
    <row r="23" spans="2:18">
      <c r="B23" t="s">
        <v>42</v>
      </c>
      <c r="C23" s="30">
        <v>41061</v>
      </c>
      <c r="D23" t="s">
        <v>43</v>
      </c>
      <c r="E23">
        <v>998214819</v>
      </c>
      <c r="F23" s="5">
        <f>VLOOKUP(CurrentMtgRatesDataTable826[[#This Row],[issueDate]],CurrentMtgRatesDataTable8267[[issueDate]:[issueAmount]],3,0)</f>
        <v>2296553364</v>
      </c>
      <c r="G23" s="5">
        <f>VLOOKUP(CurrentMtgRatesDataTable826[[#This Row],[issueDate]],CurrentMtgRatesDataTable8268[[issueDate]:[issueAmount]],3,0)</f>
        <v>6769095429</v>
      </c>
      <c r="I23" t="s">
        <v>44</v>
      </c>
      <c r="J23" s="30">
        <v>40969</v>
      </c>
      <c r="K23" t="s">
        <v>45</v>
      </c>
      <c r="L23">
        <v>1878154875</v>
      </c>
      <c r="O23" t="s">
        <v>46</v>
      </c>
      <c r="P23" s="30">
        <v>41640</v>
      </c>
      <c r="Q23" t="s">
        <v>47</v>
      </c>
      <c r="R23">
        <v>365851602</v>
      </c>
    </row>
    <row r="24" spans="2:18">
      <c r="B24" t="s">
        <v>42</v>
      </c>
      <c r="C24" s="30">
        <v>41091</v>
      </c>
      <c r="D24" t="s">
        <v>43</v>
      </c>
      <c r="E24">
        <v>793255169</v>
      </c>
      <c r="F24" s="5">
        <f>VLOOKUP(CurrentMtgRatesDataTable826[[#This Row],[issueDate]],CurrentMtgRatesDataTable8267[[issueDate]:[issueAmount]],3,0)</f>
        <v>1765293492</v>
      </c>
      <c r="G24" s="5">
        <f>VLOOKUP(CurrentMtgRatesDataTable826[[#This Row],[issueDate]],CurrentMtgRatesDataTable8268[[issueDate]:[issueAmount]],3,0)</f>
        <v>3218261741</v>
      </c>
      <c r="I24" t="s">
        <v>44</v>
      </c>
      <c r="J24" s="30">
        <v>41000</v>
      </c>
      <c r="K24" t="s">
        <v>45</v>
      </c>
      <c r="L24">
        <v>1051540050</v>
      </c>
      <c r="O24" t="s">
        <v>46</v>
      </c>
      <c r="P24" s="30">
        <v>41671</v>
      </c>
      <c r="Q24" t="s">
        <v>47</v>
      </c>
      <c r="R24">
        <v>633665022.11000001</v>
      </c>
    </row>
    <row r="25" spans="2:18">
      <c r="B25" t="s">
        <v>42</v>
      </c>
      <c r="C25" s="30">
        <v>41122</v>
      </c>
      <c r="D25" t="s">
        <v>43</v>
      </c>
      <c r="E25">
        <v>821034142</v>
      </c>
      <c r="F25" s="5">
        <f>VLOOKUP(CurrentMtgRatesDataTable826[[#This Row],[issueDate]],CurrentMtgRatesDataTable8267[[issueDate]:[issueAmount]],3,0)</f>
        <v>1659409519</v>
      </c>
      <c r="G25" s="5">
        <f>VLOOKUP(CurrentMtgRatesDataTable826[[#This Row],[issueDate]],CurrentMtgRatesDataTable8268[[issueDate]:[issueAmount]],3,0)</f>
        <v>4157890179</v>
      </c>
      <c r="I25" t="s">
        <v>44</v>
      </c>
      <c r="J25" s="30">
        <v>41030</v>
      </c>
      <c r="K25" t="s">
        <v>45</v>
      </c>
      <c r="L25">
        <v>1402748200</v>
      </c>
      <c r="O25" t="s">
        <v>46</v>
      </c>
      <c r="P25" s="30">
        <v>41699</v>
      </c>
      <c r="Q25" t="s">
        <v>47</v>
      </c>
      <c r="R25">
        <v>2169893191</v>
      </c>
    </row>
    <row r="26" spans="2:18">
      <c r="B26" t="s">
        <v>42</v>
      </c>
      <c r="C26" s="30">
        <v>41153</v>
      </c>
      <c r="D26" t="s">
        <v>43</v>
      </c>
      <c r="E26">
        <v>1419685074</v>
      </c>
      <c r="F26" s="5">
        <f>VLOOKUP(CurrentMtgRatesDataTable826[[#This Row],[issueDate]],CurrentMtgRatesDataTable8267[[issueDate]:[issueAmount]],3,0)</f>
        <v>1525702772</v>
      </c>
      <c r="G26" s="5">
        <f>VLOOKUP(CurrentMtgRatesDataTable826[[#This Row],[issueDate]],CurrentMtgRatesDataTable8268[[issueDate]:[issueAmount]],3,0)</f>
        <v>3031643526</v>
      </c>
      <c r="I26" t="s">
        <v>44</v>
      </c>
      <c r="J26" s="30">
        <v>41061</v>
      </c>
      <c r="K26" t="s">
        <v>45</v>
      </c>
      <c r="L26">
        <v>2296553364</v>
      </c>
      <c r="O26" t="s">
        <v>46</v>
      </c>
      <c r="P26" s="30">
        <v>41730</v>
      </c>
      <c r="Q26" t="s">
        <v>47</v>
      </c>
      <c r="R26">
        <v>125649286</v>
      </c>
    </row>
    <row r="27" spans="2:18">
      <c r="B27" t="s">
        <v>42</v>
      </c>
      <c r="C27" s="30">
        <v>41183</v>
      </c>
      <c r="D27" t="s">
        <v>43</v>
      </c>
      <c r="E27">
        <v>2093242687</v>
      </c>
      <c r="F27" s="5">
        <f>VLOOKUP(CurrentMtgRatesDataTable826[[#This Row],[issueDate]],CurrentMtgRatesDataTable8267[[issueDate]:[issueAmount]],3,0)</f>
        <v>1375209169</v>
      </c>
      <c r="G27" s="5">
        <f>VLOOKUP(CurrentMtgRatesDataTable826[[#This Row],[issueDate]],CurrentMtgRatesDataTable8268[[issueDate]:[issueAmount]],3,0)</f>
        <v>2142244765</v>
      </c>
      <c r="I27" t="s">
        <v>44</v>
      </c>
      <c r="J27" s="30">
        <v>41091</v>
      </c>
      <c r="K27" t="s">
        <v>45</v>
      </c>
      <c r="L27">
        <v>1765293492</v>
      </c>
      <c r="O27" t="s">
        <v>46</v>
      </c>
      <c r="P27" s="30">
        <v>41760</v>
      </c>
      <c r="Q27" t="s">
        <v>47</v>
      </c>
      <c r="R27">
        <v>116190481</v>
      </c>
    </row>
    <row r="28" spans="2:18">
      <c r="B28" t="s">
        <v>42</v>
      </c>
      <c r="C28" s="30">
        <v>41214</v>
      </c>
      <c r="D28" t="s">
        <v>43</v>
      </c>
      <c r="E28">
        <v>1985902678</v>
      </c>
      <c r="F28" s="5">
        <f>VLOOKUP(CurrentMtgRatesDataTable826[[#This Row],[issueDate]],CurrentMtgRatesDataTable8267[[issueDate]:[issueAmount]],3,0)</f>
        <v>1890358548</v>
      </c>
      <c r="G28" s="5">
        <f>VLOOKUP(CurrentMtgRatesDataTable826[[#This Row],[issueDate]],CurrentMtgRatesDataTable8268[[issueDate]:[issueAmount]],3,0)</f>
        <v>1991616641</v>
      </c>
      <c r="I28" t="s">
        <v>44</v>
      </c>
      <c r="J28" s="30">
        <v>41122</v>
      </c>
      <c r="K28" t="s">
        <v>45</v>
      </c>
      <c r="L28">
        <v>1659409519</v>
      </c>
      <c r="O28" t="s">
        <v>46</v>
      </c>
      <c r="P28" s="30">
        <v>41791</v>
      </c>
      <c r="Q28" t="s">
        <v>47</v>
      </c>
      <c r="R28">
        <v>174591578</v>
      </c>
    </row>
    <row r="29" spans="2:18">
      <c r="B29" t="s">
        <v>42</v>
      </c>
      <c r="C29" s="30">
        <v>41244</v>
      </c>
      <c r="D29" t="s">
        <v>43</v>
      </c>
      <c r="E29">
        <v>534995529</v>
      </c>
      <c r="F29" s="5">
        <f>VLOOKUP(CurrentMtgRatesDataTable826[[#This Row],[issueDate]],CurrentMtgRatesDataTable8267[[issueDate]:[issueAmount]],3,0)</f>
        <v>928026468</v>
      </c>
      <c r="G29" s="5">
        <f>VLOOKUP(CurrentMtgRatesDataTable826[[#This Row],[issueDate]],CurrentMtgRatesDataTable8268[[issueDate]:[issueAmount]],3,0)</f>
        <v>1221295318</v>
      </c>
      <c r="I29" t="s">
        <v>44</v>
      </c>
      <c r="J29" s="30">
        <v>41153</v>
      </c>
      <c r="K29" t="s">
        <v>45</v>
      </c>
      <c r="L29">
        <v>1525702772</v>
      </c>
      <c r="O29" t="s">
        <v>46</v>
      </c>
      <c r="P29" s="30">
        <v>41821</v>
      </c>
      <c r="Q29" t="s">
        <v>47</v>
      </c>
      <c r="R29">
        <v>277697406</v>
      </c>
    </row>
    <row r="30" spans="2:18">
      <c r="B30" t="s">
        <v>42</v>
      </c>
      <c r="C30" s="30">
        <v>41275</v>
      </c>
      <c r="D30" t="s">
        <v>43</v>
      </c>
      <c r="E30">
        <v>1316862267</v>
      </c>
      <c r="F30" s="5">
        <f>VLOOKUP(CurrentMtgRatesDataTable826[[#This Row],[issueDate]],CurrentMtgRatesDataTable8267[[issueDate]:[issueAmount]],3,0)</f>
        <v>1330059404</v>
      </c>
      <c r="G30" s="5">
        <f>VLOOKUP(CurrentMtgRatesDataTable826[[#This Row],[issueDate]],CurrentMtgRatesDataTable8268[[issueDate]:[issueAmount]],3,0)</f>
        <v>2039610246</v>
      </c>
      <c r="I30" t="s">
        <v>44</v>
      </c>
      <c r="J30" s="30">
        <v>41183</v>
      </c>
      <c r="K30" t="s">
        <v>45</v>
      </c>
      <c r="L30">
        <v>1375209169</v>
      </c>
      <c r="O30" t="s">
        <v>46</v>
      </c>
      <c r="P30" s="30">
        <v>41852</v>
      </c>
      <c r="Q30" t="s">
        <v>47</v>
      </c>
      <c r="R30">
        <v>753088397</v>
      </c>
    </row>
    <row r="31" spans="2:18">
      <c r="B31" t="s">
        <v>42</v>
      </c>
      <c r="C31" s="30">
        <v>41306</v>
      </c>
      <c r="D31" t="s">
        <v>43</v>
      </c>
      <c r="E31">
        <v>1049844756</v>
      </c>
      <c r="F31" s="5">
        <f>VLOOKUP(CurrentMtgRatesDataTable826[[#This Row],[issueDate]],CurrentMtgRatesDataTable8267[[issueDate]:[issueAmount]],3,0)</f>
        <v>1433552396</v>
      </c>
      <c r="G31" s="5">
        <f>VLOOKUP(CurrentMtgRatesDataTable826[[#This Row],[issueDate]],CurrentMtgRatesDataTable8268[[issueDate]:[issueAmount]],3,0)</f>
        <v>1308290440</v>
      </c>
      <c r="I31" t="s">
        <v>44</v>
      </c>
      <c r="J31" s="30">
        <v>41214</v>
      </c>
      <c r="K31" t="s">
        <v>45</v>
      </c>
      <c r="L31">
        <v>1890358548</v>
      </c>
      <c r="O31" t="s">
        <v>46</v>
      </c>
      <c r="P31" s="30">
        <v>41883</v>
      </c>
      <c r="Q31" t="s">
        <v>47</v>
      </c>
      <c r="R31">
        <v>770420147</v>
      </c>
    </row>
    <row r="32" spans="2:18">
      <c r="B32" t="s">
        <v>42</v>
      </c>
      <c r="C32" s="30">
        <v>41334</v>
      </c>
      <c r="D32" t="s">
        <v>43</v>
      </c>
      <c r="E32">
        <v>1360650783</v>
      </c>
      <c r="F32" s="5">
        <f>VLOOKUP(CurrentMtgRatesDataTable826[[#This Row],[issueDate]],CurrentMtgRatesDataTable8267[[issueDate]:[issueAmount]],3,0)</f>
        <v>1643683288</v>
      </c>
      <c r="G32" s="5">
        <f>VLOOKUP(CurrentMtgRatesDataTable826[[#This Row],[issueDate]],CurrentMtgRatesDataTable8268[[issueDate]:[issueAmount]],3,0)</f>
        <v>1665562210</v>
      </c>
      <c r="I32" t="s">
        <v>44</v>
      </c>
      <c r="J32" s="30">
        <v>41244</v>
      </c>
      <c r="K32" t="s">
        <v>45</v>
      </c>
      <c r="L32">
        <v>928026468</v>
      </c>
      <c r="O32" t="s">
        <v>46</v>
      </c>
      <c r="P32" s="30">
        <v>41913</v>
      </c>
      <c r="Q32" t="s">
        <v>47</v>
      </c>
      <c r="R32">
        <v>1560208228</v>
      </c>
    </row>
    <row r="33" spans="2:18">
      <c r="B33" t="s">
        <v>42</v>
      </c>
      <c r="C33" s="30">
        <v>41365</v>
      </c>
      <c r="D33" t="s">
        <v>43</v>
      </c>
      <c r="E33">
        <v>572080201</v>
      </c>
      <c r="F33" s="5">
        <f>VLOOKUP(CurrentMtgRatesDataTable826[[#This Row],[issueDate]],CurrentMtgRatesDataTable8267[[issueDate]:[issueAmount]],3,0)</f>
        <v>1590893843</v>
      </c>
      <c r="G33" s="5">
        <f>VLOOKUP(CurrentMtgRatesDataTable826[[#This Row],[issueDate]],CurrentMtgRatesDataTable8268[[issueDate]:[issueAmount]],3,0)</f>
        <v>1552604213</v>
      </c>
      <c r="I33" t="s">
        <v>44</v>
      </c>
      <c r="J33" s="30">
        <v>41275</v>
      </c>
      <c r="K33" t="s">
        <v>45</v>
      </c>
      <c r="L33">
        <v>1330059404</v>
      </c>
      <c r="O33" t="s">
        <v>46</v>
      </c>
      <c r="P33" s="30">
        <v>41944</v>
      </c>
      <c r="Q33" t="s">
        <v>47</v>
      </c>
      <c r="R33">
        <v>2628594452</v>
      </c>
    </row>
    <row r="34" spans="2:18">
      <c r="B34" t="s">
        <v>42</v>
      </c>
      <c r="C34" s="30">
        <v>41395</v>
      </c>
      <c r="D34" t="s">
        <v>43</v>
      </c>
      <c r="E34">
        <v>996700124</v>
      </c>
      <c r="F34" s="5">
        <f>VLOOKUP(CurrentMtgRatesDataTable826[[#This Row],[issueDate]],CurrentMtgRatesDataTable8267[[issueDate]:[issueAmount]],3,0)</f>
        <v>1288149530</v>
      </c>
      <c r="G34" s="5">
        <f>VLOOKUP(CurrentMtgRatesDataTable826[[#This Row],[issueDate]],CurrentMtgRatesDataTable8268[[issueDate]:[issueAmount]],3,0)</f>
        <v>1323430656</v>
      </c>
      <c r="I34" t="s">
        <v>44</v>
      </c>
      <c r="J34" s="30">
        <v>41306</v>
      </c>
      <c r="K34" t="s">
        <v>45</v>
      </c>
      <c r="L34">
        <v>1433552396</v>
      </c>
      <c r="O34" t="s">
        <v>46</v>
      </c>
      <c r="P34" s="30">
        <v>41974</v>
      </c>
      <c r="Q34" t="s">
        <v>47</v>
      </c>
      <c r="R34">
        <v>54617004</v>
      </c>
    </row>
    <row r="35" spans="2:18">
      <c r="B35" t="s">
        <v>42</v>
      </c>
      <c r="C35" s="30">
        <v>41426</v>
      </c>
      <c r="D35" t="s">
        <v>43</v>
      </c>
      <c r="E35">
        <v>967441711</v>
      </c>
      <c r="F35" s="5">
        <f>VLOOKUP(CurrentMtgRatesDataTable826[[#This Row],[issueDate]],CurrentMtgRatesDataTable8267[[issueDate]:[issueAmount]],3,0)</f>
        <v>1177527630</v>
      </c>
      <c r="G35" s="5">
        <f>VLOOKUP(CurrentMtgRatesDataTable826[[#This Row],[issueDate]],CurrentMtgRatesDataTable8268[[issueDate]:[issueAmount]],3,0)</f>
        <v>1179149045</v>
      </c>
      <c r="I35" t="s">
        <v>44</v>
      </c>
      <c r="J35" s="30">
        <v>41334</v>
      </c>
      <c r="K35" t="s">
        <v>45</v>
      </c>
      <c r="L35">
        <v>1643683288</v>
      </c>
      <c r="O35" t="s">
        <v>46</v>
      </c>
      <c r="P35" s="30">
        <v>42005</v>
      </c>
      <c r="Q35" t="s">
        <v>47</v>
      </c>
      <c r="R35">
        <v>42472903</v>
      </c>
    </row>
    <row r="36" spans="2:18">
      <c r="B36" t="s">
        <v>42</v>
      </c>
      <c r="C36" s="30">
        <v>41456</v>
      </c>
      <c r="D36" t="s">
        <v>43</v>
      </c>
      <c r="E36">
        <v>721976326</v>
      </c>
      <c r="F36" s="5">
        <f>VLOOKUP(CurrentMtgRatesDataTable826[[#This Row],[issueDate]],CurrentMtgRatesDataTable8267[[issueDate]:[issueAmount]],3,0)</f>
        <v>1117331788</v>
      </c>
      <c r="G36" s="5">
        <f>VLOOKUP(CurrentMtgRatesDataTable826[[#This Row],[issueDate]],CurrentMtgRatesDataTable8268[[issueDate]:[issueAmount]],3,0)</f>
        <v>1152808217</v>
      </c>
      <c r="I36" t="s">
        <v>44</v>
      </c>
      <c r="J36" s="30">
        <v>41365</v>
      </c>
      <c r="K36" t="s">
        <v>45</v>
      </c>
      <c r="L36">
        <v>1590893843</v>
      </c>
      <c r="O36" t="s">
        <v>46</v>
      </c>
      <c r="P36" s="30">
        <v>42036</v>
      </c>
      <c r="Q36" t="s">
        <v>47</v>
      </c>
      <c r="R36">
        <v>1094775764</v>
      </c>
    </row>
    <row r="37" spans="2:18">
      <c r="B37" t="s">
        <v>42</v>
      </c>
      <c r="C37" s="30">
        <v>41487</v>
      </c>
      <c r="D37" t="s">
        <v>43</v>
      </c>
      <c r="E37">
        <v>641241462</v>
      </c>
      <c r="F37" s="5">
        <f>VLOOKUP(CurrentMtgRatesDataTable826[[#This Row],[issueDate]],CurrentMtgRatesDataTable8267[[issueDate]:[issueAmount]],3,0)</f>
        <v>747994649</v>
      </c>
      <c r="G37" s="5">
        <f>VLOOKUP(CurrentMtgRatesDataTable826[[#This Row],[issueDate]],CurrentMtgRatesDataTable8268[[issueDate]:[issueAmount]],3,0)</f>
        <v>997857516</v>
      </c>
      <c r="I37" t="s">
        <v>44</v>
      </c>
      <c r="J37" s="30">
        <v>41395</v>
      </c>
      <c r="K37" t="s">
        <v>45</v>
      </c>
      <c r="L37">
        <v>1288149530</v>
      </c>
      <c r="O37" t="s">
        <v>46</v>
      </c>
      <c r="P37" s="30">
        <v>42064</v>
      </c>
      <c r="Q37" t="s">
        <v>47</v>
      </c>
      <c r="R37">
        <v>179486542</v>
      </c>
    </row>
    <row r="38" spans="2:18">
      <c r="B38" t="s">
        <v>42</v>
      </c>
      <c r="C38" s="30">
        <v>41518</v>
      </c>
      <c r="D38" t="s">
        <v>43</v>
      </c>
      <c r="E38">
        <v>443927753</v>
      </c>
      <c r="F38" s="5">
        <f>VLOOKUP(CurrentMtgRatesDataTable826[[#This Row],[issueDate]],CurrentMtgRatesDataTable8267[[issueDate]:[issueAmount]],3,0)</f>
        <v>731850534</v>
      </c>
      <c r="G38" s="5">
        <f>VLOOKUP(CurrentMtgRatesDataTable826[[#This Row],[issueDate]],CurrentMtgRatesDataTable8268[[issueDate]:[issueAmount]],3,0)</f>
        <v>1353432524</v>
      </c>
      <c r="I38" t="s">
        <v>44</v>
      </c>
      <c r="J38" s="30">
        <v>41426</v>
      </c>
      <c r="K38" t="s">
        <v>45</v>
      </c>
      <c r="L38">
        <v>1177527630</v>
      </c>
      <c r="O38" t="s">
        <v>46</v>
      </c>
      <c r="P38" s="30">
        <v>42095</v>
      </c>
      <c r="Q38" t="s">
        <v>47</v>
      </c>
      <c r="R38">
        <v>601906252</v>
      </c>
    </row>
    <row r="39" spans="2:18">
      <c r="B39" t="s">
        <v>42</v>
      </c>
      <c r="C39" s="30">
        <v>41548</v>
      </c>
      <c r="D39" t="s">
        <v>43</v>
      </c>
      <c r="E39">
        <v>433529377</v>
      </c>
      <c r="F39" s="5">
        <f>VLOOKUP(CurrentMtgRatesDataTable826[[#This Row],[issueDate]],CurrentMtgRatesDataTable8267[[issueDate]:[issueAmount]],3,0)</f>
        <v>623097961.07000005</v>
      </c>
      <c r="G39" s="5">
        <f>VLOOKUP(CurrentMtgRatesDataTable826[[#This Row],[issueDate]],CurrentMtgRatesDataTable8268[[issueDate]:[issueAmount]],3,0)</f>
        <v>468148310.94</v>
      </c>
      <c r="I39" t="s">
        <v>44</v>
      </c>
      <c r="J39" s="30">
        <v>41456</v>
      </c>
      <c r="K39" t="s">
        <v>45</v>
      </c>
      <c r="L39">
        <v>1117331788</v>
      </c>
      <c r="O39" t="s">
        <v>46</v>
      </c>
      <c r="P39" s="45">
        <v>42125</v>
      </c>
      <c r="Q39" t="s">
        <v>47</v>
      </c>
      <c r="R39">
        <v>95110431</v>
      </c>
    </row>
    <row r="40" spans="2:18">
      <c r="B40" t="s">
        <v>42</v>
      </c>
      <c r="C40" s="30">
        <v>41579</v>
      </c>
      <c r="D40" t="s">
        <v>43</v>
      </c>
      <c r="E40">
        <v>357879442</v>
      </c>
      <c r="F40" s="5">
        <f>VLOOKUP(CurrentMtgRatesDataTable826[[#This Row],[issueDate]],CurrentMtgRatesDataTable8267[[issueDate]:[issueAmount]],3,0)</f>
        <v>552569406</v>
      </c>
      <c r="G40" s="5">
        <f>VLOOKUP(CurrentMtgRatesDataTable826[[#This Row],[issueDate]],CurrentMtgRatesDataTable8268[[issueDate]:[issueAmount]],3,0)</f>
        <v>1125987642</v>
      </c>
      <c r="I40" t="s">
        <v>44</v>
      </c>
      <c r="J40" s="30">
        <v>41487</v>
      </c>
      <c r="K40" t="s">
        <v>45</v>
      </c>
      <c r="L40">
        <v>747994649</v>
      </c>
      <c r="O40" t="s">
        <v>46</v>
      </c>
      <c r="P40" s="45">
        <v>42156</v>
      </c>
      <c r="Q40" t="s">
        <v>47</v>
      </c>
      <c r="R40">
        <v>53243907</v>
      </c>
    </row>
    <row r="41" spans="2:18">
      <c r="B41" t="s">
        <v>42</v>
      </c>
      <c r="C41" s="30">
        <v>41609</v>
      </c>
      <c r="D41" t="s">
        <v>43</v>
      </c>
      <c r="E41">
        <v>508428906</v>
      </c>
      <c r="F41" s="5">
        <f>VLOOKUP(CurrentMtgRatesDataTable826[[#This Row],[issueDate]],CurrentMtgRatesDataTable8267[[issueDate]:[issueAmount]],3,0)</f>
        <v>329287211</v>
      </c>
      <c r="G41" s="5">
        <f>VLOOKUP(CurrentMtgRatesDataTable826[[#This Row],[issueDate]],CurrentMtgRatesDataTable8268[[issueDate]:[issueAmount]],3,0)</f>
        <v>653317932</v>
      </c>
      <c r="I41" t="s">
        <v>44</v>
      </c>
      <c r="J41" s="30">
        <v>41518</v>
      </c>
      <c r="K41" t="s">
        <v>45</v>
      </c>
      <c r="L41">
        <v>731850534</v>
      </c>
    </row>
    <row r="42" spans="2:18">
      <c r="B42" t="s">
        <v>42</v>
      </c>
      <c r="C42" s="30">
        <v>41640</v>
      </c>
      <c r="D42" t="s">
        <v>43</v>
      </c>
      <c r="E42">
        <v>332733709</v>
      </c>
      <c r="F42" s="5">
        <f>VLOOKUP(CurrentMtgRatesDataTable826[[#This Row],[issueDate]],CurrentMtgRatesDataTable8267[[issueDate]:[issueAmount]],3,0)</f>
        <v>348965969</v>
      </c>
      <c r="G42" s="5">
        <f>VLOOKUP(CurrentMtgRatesDataTable826[[#This Row],[issueDate]],CurrentMtgRatesDataTable8268[[issueDate]:[issueAmount]],3,0)</f>
        <v>365851602</v>
      </c>
      <c r="I42" t="s">
        <v>44</v>
      </c>
      <c r="J42" s="30">
        <v>41548</v>
      </c>
      <c r="K42" t="s">
        <v>45</v>
      </c>
      <c r="L42">
        <v>623097961.07000005</v>
      </c>
    </row>
    <row r="43" spans="2:18">
      <c r="B43" t="s">
        <v>42</v>
      </c>
      <c r="C43" s="30">
        <v>41671</v>
      </c>
      <c r="D43" t="s">
        <v>43</v>
      </c>
      <c r="E43">
        <v>210404602</v>
      </c>
      <c r="F43" s="5">
        <f>VLOOKUP(CurrentMtgRatesDataTable826[[#This Row],[issueDate]],CurrentMtgRatesDataTable8267[[issueDate]:[issueAmount]],3,0)</f>
        <v>373245789.81</v>
      </c>
      <c r="G43" s="5">
        <f>VLOOKUP(CurrentMtgRatesDataTable826[[#This Row],[issueDate]],CurrentMtgRatesDataTable8268[[issueDate]:[issueAmount]],3,0)</f>
        <v>633665022.11000001</v>
      </c>
      <c r="I43" t="s">
        <v>44</v>
      </c>
      <c r="J43" s="30">
        <v>41579</v>
      </c>
      <c r="K43" t="s">
        <v>45</v>
      </c>
      <c r="L43">
        <v>552569406</v>
      </c>
    </row>
    <row r="44" spans="2:18">
      <c r="B44" t="s">
        <v>42</v>
      </c>
      <c r="C44" s="30">
        <v>41699</v>
      </c>
      <c r="D44" t="s">
        <v>43</v>
      </c>
      <c r="E44">
        <v>561179499</v>
      </c>
      <c r="F44" s="5">
        <f>VLOOKUP(CurrentMtgRatesDataTable826[[#This Row],[issueDate]],CurrentMtgRatesDataTable8267[[issueDate]:[issueAmount]],3,0)</f>
        <v>244945050</v>
      </c>
      <c r="G44" s="5">
        <f>VLOOKUP(CurrentMtgRatesDataTable826[[#This Row],[issueDate]],CurrentMtgRatesDataTable8268[[issueDate]:[issueAmount]],3,0)</f>
        <v>2169893191</v>
      </c>
      <c r="I44" t="s">
        <v>44</v>
      </c>
      <c r="J44" s="30">
        <v>41609</v>
      </c>
      <c r="K44" t="s">
        <v>45</v>
      </c>
      <c r="L44">
        <v>329287211</v>
      </c>
    </row>
    <row r="45" spans="2:18">
      <c r="B45" t="s">
        <v>42</v>
      </c>
      <c r="C45" s="30">
        <v>41730</v>
      </c>
      <c r="D45" t="s">
        <v>43</v>
      </c>
      <c r="E45">
        <v>369549485</v>
      </c>
      <c r="F45" s="5">
        <f>VLOOKUP(CurrentMtgRatesDataTable826[[#This Row],[issueDate]],CurrentMtgRatesDataTable8267[[issueDate]:[issueAmount]],3,0)</f>
        <v>203971958</v>
      </c>
      <c r="G45" s="5">
        <f>VLOOKUP(CurrentMtgRatesDataTable826[[#This Row],[issueDate]],CurrentMtgRatesDataTable8268[[issueDate]:[issueAmount]],3,0)</f>
        <v>125649286</v>
      </c>
      <c r="I45" t="s">
        <v>44</v>
      </c>
      <c r="J45" s="30">
        <v>41640</v>
      </c>
      <c r="K45" t="s">
        <v>45</v>
      </c>
      <c r="L45">
        <v>348965969</v>
      </c>
    </row>
    <row r="46" spans="2:18">
      <c r="B46" t="s">
        <v>42</v>
      </c>
      <c r="C46" s="30">
        <v>41760</v>
      </c>
      <c r="D46" t="s">
        <v>43</v>
      </c>
      <c r="E46">
        <v>384764910</v>
      </c>
      <c r="F46" s="5">
        <f>VLOOKUP(CurrentMtgRatesDataTable826[[#This Row],[issueDate]],CurrentMtgRatesDataTable8267[[issueDate]:[issueAmount]],3,0)</f>
        <v>174655034</v>
      </c>
      <c r="G46" s="5">
        <f>VLOOKUP(CurrentMtgRatesDataTable826[[#This Row],[issueDate]],CurrentMtgRatesDataTable8268[[issueDate]:[issueAmount]],3,0)</f>
        <v>116190481</v>
      </c>
      <c r="I46" t="s">
        <v>44</v>
      </c>
      <c r="J46" s="30">
        <v>41671</v>
      </c>
      <c r="K46" t="s">
        <v>45</v>
      </c>
      <c r="L46">
        <v>373245789.81</v>
      </c>
    </row>
    <row r="47" spans="2:18">
      <c r="B47" t="s">
        <v>42</v>
      </c>
      <c r="C47" s="30">
        <v>41791</v>
      </c>
      <c r="D47" t="s">
        <v>43</v>
      </c>
      <c r="E47">
        <v>378705401.22000003</v>
      </c>
      <c r="F47" s="5">
        <f>VLOOKUP(CurrentMtgRatesDataTable826[[#This Row],[issueDate]],CurrentMtgRatesDataTable8267[[issueDate]:[issueAmount]],3,0)</f>
        <v>158920562</v>
      </c>
      <c r="G47" s="5">
        <f>VLOOKUP(CurrentMtgRatesDataTable826[[#This Row],[issueDate]],CurrentMtgRatesDataTable8268[[issueDate]:[issueAmount]],3,0)</f>
        <v>174591578</v>
      </c>
      <c r="I47" t="s">
        <v>44</v>
      </c>
      <c r="J47" s="30">
        <v>41699</v>
      </c>
      <c r="K47" t="s">
        <v>45</v>
      </c>
      <c r="L47">
        <v>244945050</v>
      </c>
    </row>
    <row r="48" spans="2:18">
      <c r="B48" t="s">
        <v>42</v>
      </c>
      <c r="C48" s="30">
        <v>41821</v>
      </c>
      <c r="D48" t="s">
        <v>43</v>
      </c>
      <c r="E48">
        <v>501697215</v>
      </c>
      <c r="F48" s="5">
        <f>VLOOKUP(CurrentMtgRatesDataTable826[[#This Row],[issueDate]],CurrentMtgRatesDataTable8267[[issueDate]:[issueAmount]],3,0)</f>
        <v>125117072</v>
      </c>
      <c r="G48" s="5">
        <f>VLOOKUP(CurrentMtgRatesDataTable826[[#This Row],[issueDate]],CurrentMtgRatesDataTable8268[[issueDate]:[issueAmount]],3,0)</f>
        <v>277697406</v>
      </c>
      <c r="I48" t="s">
        <v>44</v>
      </c>
      <c r="J48" s="30">
        <v>41730</v>
      </c>
      <c r="K48" t="s">
        <v>45</v>
      </c>
      <c r="L48">
        <v>203971958</v>
      </c>
    </row>
    <row r="49" spans="2:12">
      <c r="B49" t="s">
        <v>42</v>
      </c>
      <c r="C49" s="30">
        <v>41852</v>
      </c>
      <c r="D49" t="s">
        <v>43</v>
      </c>
      <c r="E49">
        <v>529454302</v>
      </c>
      <c r="F49" s="5">
        <f>VLOOKUP(CurrentMtgRatesDataTable826[[#This Row],[issueDate]],CurrentMtgRatesDataTable8267[[issueDate]:[issueAmount]],3,0)</f>
        <v>139896376</v>
      </c>
      <c r="G49" s="5">
        <f>VLOOKUP(CurrentMtgRatesDataTable826[[#This Row],[issueDate]],CurrentMtgRatesDataTable8268[[issueDate]:[issueAmount]],3,0)</f>
        <v>753088397</v>
      </c>
      <c r="I49" t="s">
        <v>44</v>
      </c>
      <c r="J49" s="30">
        <v>41760</v>
      </c>
      <c r="K49" t="s">
        <v>45</v>
      </c>
      <c r="L49">
        <v>174655034</v>
      </c>
    </row>
    <row r="50" spans="2:12">
      <c r="B50" t="s">
        <v>42</v>
      </c>
      <c r="C50" s="30">
        <v>41883</v>
      </c>
      <c r="D50" t="s">
        <v>43</v>
      </c>
      <c r="E50">
        <v>620805243</v>
      </c>
      <c r="F50" s="5">
        <f>VLOOKUP(CurrentMtgRatesDataTable826[[#This Row],[issueDate]],CurrentMtgRatesDataTable8267[[issueDate]:[issueAmount]],3,0)</f>
        <v>134660900</v>
      </c>
      <c r="G50" s="5">
        <f>VLOOKUP(CurrentMtgRatesDataTable826[[#This Row],[issueDate]],CurrentMtgRatesDataTable8268[[issueDate]:[issueAmount]],3,0)</f>
        <v>770420147</v>
      </c>
      <c r="I50" t="s">
        <v>44</v>
      </c>
      <c r="J50" s="30">
        <v>41791</v>
      </c>
      <c r="K50" t="s">
        <v>45</v>
      </c>
      <c r="L50">
        <v>158920562</v>
      </c>
    </row>
    <row r="51" spans="2:12">
      <c r="B51" t="s">
        <v>42</v>
      </c>
      <c r="C51" s="30">
        <v>41913</v>
      </c>
      <c r="D51" t="s">
        <v>43</v>
      </c>
      <c r="E51">
        <v>552953735</v>
      </c>
      <c r="F51" s="5">
        <f>VLOOKUP(CurrentMtgRatesDataTable826[[#This Row],[issueDate]],CurrentMtgRatesDataTable8267[[issueDate]:[issueAmount]],3,0)</f>
        <v>114786327</v>
      </c>
      <c r="G51" s="5">
        <f>VLOOKUP(CurrentMtgRatesDataTable826[[#This Row],[issueDate]],CurrentMtgRatesDataTable8268[[issueDate]:[issueAmount]],3,0)</f>
        <v>1560208228</v>
      </c>
      <c r="I51" t="s">
        <v>44</v>
      </c>
      <c r="J51" s="30">
        <v>41821</v>
      </c>
      <c r="K51" t="s">
        <v>45</v>
      </c>
      <c r="L51">
        <v>125117072</v>
      </c>
    </row>
    <row r="52" spans="2:12">
      <c r="B52" t="s">
        <v>42</v>
      </c>
      <c r="C52" s="30">
        <v>41944</v>
      </c>
      <c r="D52" t="s">
        <v>43</v>
      </c>
      <c r="E52">
        <v>577623000</v>
      </c>
      <c r="F52" s="5">
        <f>VLOOKUP(CurrentMtgRatesDataTable826[[#This Row],[issueDate]],CurrentMtgRatesDataTable8267[[issueDate]:[issueAmount]],3,0)</f>
        <v>140605492</v>
      </c>
      <c r="G52" s="5">
        <f>VLOOKUP(CurrentMtgRatesDataTable826[[#This Row],[issueDate]],CurrentMtgRatesDataTable8268[[issueDate]:[issueAmount]],3,0)</f>
        <v>2628594452</v>
      </c>
      <c r="I52" t="s">
        <v>44</v>
      </c>
      <c r="J52" s="30">
        <v>41852</v>
      </c>
      <c r="K52" t="s">
        <v>45</v>
      </c>
      <c r="L52">
        <v>139896376</v>
      </c>
    </row>
    <row r="53" spans="2:12">
      <c r="B53" t="s">
        <v>42</v>
      </c>
      <c r="C53" s="30">
        <v>41974</v>
      </c>
      <c r="D53" t="s">
        <v>43</v>
      </c>
      <c r="E53">
        <v>718752753</v>
      </c>
      <c r="F53" s="5">
        <f>VLOOKUP(CurrentMtgRatesDataTable826[[#This Row],[issueDate]],CurrentMtgRatesDataTable8267[[issueDate]:[issueAmount]],3,0)</f>
        <v>104194909</v>
      </c>
      <c r="G53" s="5">
        <f>VLOOKUP(CurrentMtgRatesDataTable826[[#This Row],[issueDate]],CurrentMtgRatesDataTable8268[[issueDate]:[issueAmount]],3,0)</f>
        <v>54617004</v>
      </c>
      <c r="I53" t="s">
        <v>44</v>
      </c>
      <c r="J53" s="30">
        <v>41883</v>
      </c>
      <c r="K53" t="s">
        <v>45</v>
      </c>
      <c r="L53">
        <v>134660900</v>
      </c>
    </row>
    <row r="54" spans="2:12">
      <c r="B54" t="s">
        <v>42</v>
      </c>
      <c r="C54" s="30">
        <v>42005</v>
      </c>
      <c r="D54" t="s">
        <v>43</v>
      </c>
      <c r="E54">
        <v>650432561</v>
      </c>
      <c r="F54" s="5">
        <f>VLOOKUP(CurrentMtgRatesDataTable826[[#This Row],[issueDate]],CurrentMtgRatesDataTable8267[[issueDate]:[issueAmount]],3,0)</f>
        <v>96811284</v>
      </c>
      <c r="G54" s="5">
        <f>VLOOKUP(CurrentMtgRatesDataTable826[[#This Row],[issueDate]],CurrentMtgRatesDataTable8268[[issueDate]:[issueAmount]],3,0)</f>
        <v>42472903</v>
      </c>
      <c r="I54" t="s">
        <v>44</v>
      </c>
      <c r="J54" s="30">
        <v>41913</v>
      </c>
      <c r="K54" t="s">
        <v>45</v>
      </c>
      <c r="L54">
        <v>114786327</v>
      </c>
    </row>
    <row r="55" spans="2:12">
      <c r="B55" t="s">
        <v>42</v>
      </c>
      <c r="C55" s="30">
        <v>42036</v>
      </c>
      <c r="D55" t="s">
        <v>43</v>
      </c>
      <c r="E55">
        <v>1027497907</v>
      </c>
      <c r="F55" s="5">
        <f>VLOOKUP(CurrentMtgRatesDataTable826[[#This Row],[issueDate]],CurrentMtgRatesDataTable8267[[issueDate]:[issueAmount]],3,0)</f>
        <v>113001202</v>
      </c>
      <c r="G55" s="5">
        <f>VLOOKUP(CurrentMtgRatesDataTable826[[#This Row],[issueDate]],CurrentMtgRatesDataTable8268[[issueDate]:[issueAmount]],3,0)</f>
        <v>1094775764</v>
      </c>
      <c r="I55" t="s">
        <v>44</v>
      </c>
      <c r="J55" s="30">
        <v>41944</v>
      </c>
      <c r="K55" t="s">
        <v>45</v>
      </c>
      <c r="L55">
        <v>140605492</v>
      </c>
    </row>
    <row r="56" spans="2:12">
      <c r="B56" t="s">
        <v>42</v>
      </c>
      <c r="C56" s="30">
        <v>42064</v>
      </c>
      <c r="D56" t="s">
        <v>43</v>
      </c>
      <c r="E56">
        <v>1090958642</v>
      </c>
      <c r="F56" s="5">
        <f>VLOOKUP(CurrentMtgRatesDataTable826[[#This Row],[issueDate]],CurrentMtgRatesDataTable8267[[issueDate]:[issueAmount]],3,0)</f>
        <v>109682639</v>
      </c>
      <c r="G56" s="5">
        <f>VLOOKUP(CurrentMtgRatesDataTable826[[#This Row],[issueDate]],CurrentMtgRatesDataTable8268[[issueDate]:[issueAmount]],3,0)</f>
        <v>179486542</v>
      </c>
      <c r="I56" t="s">
        <v>44</v>
      </c>
      <c r="J56" s="30">
        <v>41974</v>
      </c>
      <c r="K56" t="s">
        <v>45</v>
      </c>
      <c r="L56">
        <v>104194909</v>
      </c>
    </row>
    <row r="57" spans="2:12">
      <c r="B57" t="s">
        <v>42</v>
      </c>
      <c r="C57" s="30">
        <v>42095</v>
      </c>
      <c r="D57" t="s">
        <v>43</v>
      </c>
      <c r="E57">
        <v>910424729</v>
      </c>
      <c r="F57" s="5">
        <f>VLOOKUP(CurrentMtgRatesDataTable826[[#This Row],[issueDate]],CurrentMtgRatesDataTable8267[[issueDate]:[issueAmount]],3,0)</f>
        <v>118194843</v>
      </c>
      <c r="G57" s="5">
        <f>VLOOKUP(CurrentMtgRatesDataTable826[[#This Row],[issueDate]],CurrentMtgRatesDataTable8268[[issueDate]:[issueAmount]],3,0)</f>
        <v>601906252</v>
      </c>
      <c r="I57" t="s">
        <v>44</v>
      </c>
      <c r="J57" s="30">
        <v>42005</v>
      </c>
      <c r="K57" t="s">
        <v>45</v>
      </c>
      <c r="L57">
        <v>96811284</v>
      </c>
    </row>
    <row r="58" spans="2:12">
      <c r="B58" t="s">
        <v>42</v>
      </c>
      <c r="C58" s="30">
        <v>42125</v>
      </c>
      <c r="D58" t="s">
        <v>43</v>
      </c>
      <c r="E58">
        <v>1204601372</v>
      </c>
      <c r="F58" s="5">
        <f>VLOOKUP(CurrentMtgRatesDataTable826[[#This Row],[issueDate]],CurrentMtgRatesDataTable8267[[issueDate]:[issueAmount]],3,0)</f>
        <v>124598583</v>
      </c>
      <c r="G58" s="5">
        <f>VLOOKUP(CurrentMtgRatesDataTable826[[#This Row],[issueDate]],CurrentMtgRatesDataTable8268[[issueDate]:[issueAmount]],3,0)</f>
        <v>95110431</v>
      </c>
      <c r="I58" t="s">
        <v>44</v>
      </c>
      <c r="J58" s="30">
        <v>42036</v>
      </c>
      <c r="K58" t="s">
        <v>45</v>
      </c>
      <c r="L58">
        <v>113001202</v>
      </c>
    </row>
    <row r="59" spans="2:12">
      <c r="B59" t="s">
        <v>42</v>
      </c>
      <c r="C59" s="45">
        <v>42156</v>
      </c>
      <c r="D59" t="s">
        <v>43</v>
      </c>
      <c r="E59">
        <v>1174796032</v>
      </c>
      <c r="F59" s="46">
        <f>VLOOKUP(CurrentMtgRatesDataTable826[[#This Row],[issueDate]],CurrentMtgRatesDataTable8267[[issueDate]:[issueAmount]],3,0)</f>
        <v>78116924</v>
      </c>
      <c r="G59" s="46">
        <f>VLOOKUP(CurrentMtgRatesDataTable826[[#This Row],[issueDate]],CurrentMtgRatesDataTable8268[[issueDate]:[issueAmount]],3,0)</f>
        <v>53243907</v>
      </c>
      <c r="I59" t="s">
        <v>44</v>
      </c>
      <c r="J59" s="30">
        <v>42064</v>
      </c>
      <c r="K59" t="s">
        <v>45</v>
      </c>
      <c r="L59">
        <v>109682639</v>
      </c>
    </row>
    <row r="60" spans="2:12">
      <c r="I60" t="s">
        <v>44</v>
      </c>
      <c r="J60" s="30">
        <v>42095</v>
      </c>
      <c r="K60" t="s">
        <v>45</v>
      </c>
      <c r="L60">
        <v>118194843</v>
      </c>
    </row>
    <row r="61" spans="2:12">
      <c r="I61" t="s">
        <v>44</v>
      </c>
      <c r="J61" s="30">
        <v>42125</v>
      </c>
      <c r="K61" t="s">
        <v>45</v>
      </c>
      <c r="L61">
        <v>124598583</v>
      </c>
    </row>
    <row r="62" spans="2:12">
      <c r="I62" t="s">
        <v>44</v>
      </c>
      <c r="J62" s="45">
        <v>42156</v>
      </c>
      <c r="K62" t="s">
        <v>45</v>
      </c>
      <c r="L62">
        <v>78116924</v>
      </c>
    </row>
  </sheetData>
  <pageMargins left="0.7" right="0.7" top="0.75" bottom="0.75" header="0.3" footer="0.3"/>
  <pageSetup orientation="portrait" horizontalDpi="300" verticalDpi="300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0.59999389629810485"/>
  </sheetPr>
  <dimension ref="B2:AN67"/>
  <sheetViews>
    <sheetView showGridLines="0" topLeftCell="K5" workbookViewId="0">
      <selection activeCell="K25" sqref="K25"/>
    </sheetView>
  </sheetViews>
  <sheetFormatPr defaultRowHeight="15"/>
  <cols>
    <col min="10" max="10" width="12.28515625" customWidth="1"/>
    <col min="13" max="13" width="10.42578125" bestFit="1" customWidth="1"/>
    <col min="18" max="18" width="11" bestFit="1" customWidth="1"/>
    <col min="20" max="22" width="10" bestFit="1" customWidth="1"/>
    <col min="23" max="23" width="11" bestFit="1" customWidth="1"/>
    <col min="24" max="24" width="10" bestFit="1" customWidth="1"/>
    <col min="25" max="27" width="10" customWidth="1"/>
    <col min="28" max="28" width="10" bestFit="1" customWidth="1"/>
  </cols>
  <sheetData>
    <row r="2" spans="2:40">
      <c r="B2" t="s">
        <v>30</v>
      </c>
      <c r="E2" t="s">
        <v>31</v>
      </c>
      <c r="I2" t="s">
        <v>32</v>
      </c>
      <c r="M2" t="s">
        <v>33</v>
      </c>
      <c r="Q2" t="s">
        <v>34</v>
      </c>
      <c r="AC2" t="s">
        <v>35</v>
      </c>
      <c r="AG2" t="s">
        <v>36</v>
      </c>
      <c r="AJ2" t="s">
        <v>39</v>
      </c>
      <c r="AM2" t="s">
        <v>26</v>
      </c>
    </row>
    <row r="3" spans="2:40">
      <c r="B3" s="19" t="s">
        <v>20</v>
      </c>
      <c r="C3" s="19" t="s">
        <v>29</v>
      </c>
      <c r="E3" s="19" t="s">
        <v>20</v>
      </c>
      <c r="F3" s="19" t="s">
        <v>29</v>
      </c>
      <c r="I3" s="19" t="s">
        <v>20</v>
      </c>
      <c r="J3" s="19" t="s">
        <v>29</v>
      </c>
      <c r="M3" s="19" t="s">
        <v>20</v>
      </c>
      <c r="N3" s="19" t="s">
        <v>29</v>
      </c>
      <c r="Q3" s="32" t="s">
        <v>20</v>
      </c>
      <c r="R3" s="32" t="s">
        <v>37</v>
      </c>
      <c r="S3" s="32" t="s">
        <v>35</v>
      </c>
      <c r="T3" s="32" t="s">
        <v>36</v>
      </c>
      <c r="U3" s="32" t="s">
        <v>30</v>
      </c>
      <c r="V3" s="32" t="s">
        <v>31</v>
      </c>
      <c r="W3" s="32" t="s">
        <v>32</v>
      </c>
      <c r="X3" s="32" t="s">
        <v>33</v>
      </c>
      <c r="Y3" s="42" t="s">
        <v>39</v>
      </c>
      <c r="Z3" s="32" t="s">
        <v>41</v>
      </c>
      <c r="AA3" s="42"/>
      <c r="AC3" s="19" t="s">
        <v>20</v>
      </c>
      <c r="AD3" s="19" t="s">
        <v>29</v>
      </c>
      <c r="AE3" s="19"/>
      <c r="AG3" s="19" t="s">
        <v>20</v>
      </c>
      <c r="AH3" s="19" t="s">
        <v>29</v>
      </c>
      <c r="AJ3" s="19" t="s">
        <v>20</v>
      </c>
      <c r="AK3" s="19" t="s">
        <v>29</v>
      </c>
      <c r="AM3" s="19" t="s">
        <v>20</v>
      </c>
      <c r="AN3" s="19" t="s">
        <v>29</v>
      </c>
    </row>
    <row r="4" spans="2:40">
      <c r="B4" s="18">
        <v>40391</v>
      </c>
      <c r="C4">
        <v>608742932</v>
      </c>
      <c r="E4" s="18">
        <v>40391</v>
      </c>
      <c r="F4">
        <v>1839628039</v>
      </c>
      <c r="I4" s="18">
        <v>40391</v>
      </c>
      <c r="J4">
        <v>833371392</v>
      </c>
      <c r="M4" s="18">
        <v>40391</v>
      </c>
      <c r="N4">
        <v>538132547</v>
      </c>
      <c r="Q4" s="18">
        <v>40391</v>
      </c>
      <c r="R4" s="33">
        <v>2874667</v>
      </c>
      <c r="S4" s="31">
        <f>VLOOKUP(CurrentMtgRatesDataTable8268459[[#This Row],[issueDate]],CurrentMtgRatesDataTable82684510[#All],2,0)</f>
        <v>28057952</v>
      </c>
      <c r="T4" s="31">
        <f>VLOOKUP(CurrentMtgRatesDataTable8268459[[#This Row],[issueDate]],CurrentMtgRatesDataTable82684511[#All],2,0)</f>
        <v>443967577</v>
      </c>
      <c r="U4" s="31">
        <f>VLOOKUP(CurrentMtgRatesDataTable8268459[[#This Row],[issueDate]],CurrentMtgRatesDataTable8262[#All],2,0)</f>
        <v>608742932</v>
      </c>
      <c r="V4" s="34">
        <f>VLOOKUP(CurrentMtgRatesDataTable8268459[[#This Row],[issueDate]],CurrentMtgRatesDataTable82673[#All],2,0)</f>
        <v>1839628039</v>
      </c>
      <c r="W4" s="34">
        <f>VLOOKUP(CurrentMtgRatesDataTable8268459[[#This Row],[issueDate]],CurrentMtgRatesDataTable82684[#All],2,0)</f>
        <v>833371392</v>
      </c>
      <c r="X4" s="34">
        <f>VLOOKUP(CurrentMtgRatesDataTable8268459[[#This Row],[issueDate]],CurrentMtgRatesDataTable826845[#All],2,0)</f>
        <v>538132547</v>
      </c>
      <c r="Y4" s="41">
        <f>VLOOKUP(CurrentMtgRatesDataTable8268459[[#This Row],[issueDate]],CurrentMtgRatesDataTable8268451112[#All],2,0)</f>
        <v>2679074</v>
      </c>
      <c r="Z4" s="44">
        <f>SUM(CurrentMtgRatesDataTable8268459[[#This Row],[LowFICO]:[Geo]])/VLOOKUP(CurrentMtgRatesDataTable8268459[[#This Row],[issueDate]],CurrentMtgRatesDataTable826845111213[#All],2,0)</f>
        <v>0.24467496486452958</v>
      </c>
      <c r="AA4" s="41"/>
      <c r="AC4" s="18">
        <v>40391</v>
      </c>
      <c r="AD4">
        <v>28057952</v>
      </c>
      <c r="AG4" s="18">
        <v>40391</v>
      </c>
      <c r="AH4">
        <v>443967577</v>
      </c>
      <c r="AJ4" s="18">
        <v>40391</v>
      </c>
      <c r="AK4">
        <v>2679074</v>
      </c>
      <c r="AM4" s="18">
        <v>40391</v>
      </c>
      <c r="AN4">
        <v>17563930917</v>
      </c>
    </row>
    <row r="5" spans="2:40">
      <c r="B5" s="18">
        <v>40422</v>
      </c>
      <c r="C5">
        <v>685557740</v>
      </c>
      <c r="E5" s="18">
        <v>40422</v>
      </c>
      <c r="F5">
        <v>1512328422</v>
      </c>
      <c r="I5" s="18">
        <v>40422</v>
      </c>
      <c r="J5">
        <v>656164994</v>
      </c>
      <c r="M5" s="18">
        <v>40422</v>
      </c>
      <c r="N5">
        <v>568131644</v>
      </c>
      <c r="Q5" s="18">
        <v>40422</v>
      </c>
      <c r="R5" s="33">
        <v>123021843</v>
      </c>
      <c r="S5" s="31">
        <f>VLOOKUP(CurrentMtgRatesDataTable8268459[[#This Row],[issueDate]],CurrentMtgRatesDataTable82684510[#All],2,0)</f>
        <v>1429719934</v>
      </c>
      <c r="T5" s="31">
        <f>VLOOKUP(CurrentMtgRatesDataTable8268459[[#This Row],[issueDate]],CurrentMtgRatesDataTable82684511[#All],2,0)</f>
        <v>507318592</v>
      </c>
      <c r="U5" s="31">
        <f>VLOOKUP(CurrentMtgRatesDataTable8268459[[#This Row],[issueDate]],CurrentMtgRatesDataTable8262[#All],2,0)</f>
        <v>685557740</v>
      </c>
      <c r="V5" s="34">
        <f>VLOOKUP(CurrentMtgRatesDataTable8268459[[#This Row],[issueDate]],CurrentMtgRatesDataTable82673[#All],2,0)</f>
        <v>1512328422</v>
      </c>
      <c r="W5" s="34">
        <f>VLOOKUP(CurrentMtgRatesDataTable8268459[[#This Row],[issueDate]],CurrentMtgRatesDataTable82684[#All],2,0)</f>
        <v>656164994</v>
      </c>
      <c r="X5" s="34">
        <f>VLOOKUP(CurrentMtgRatesDataTable8268459[[#This Row],[issueDate]],CurrentMtgRatesDataTable826845[#All],2,0)</f>
        <v>568131644</v>
      </c>
      <c r="Y5" s="41">
        <f>VLOOKUP(CurrentMtgRatesDataTable8268459[[#This Row],[issueDate]],CurrentMtgRatesDataTable8268451112[#All],2,0)</f>
        <v>34976553</v>
      </c>
      <c r="Z5" s="44">
        <f>SUM(CurrentMtgRatesDataTable8268459[[#This Row],[LowFICO]:[Geo]])/VLOOKUP(CurrentMtgRatesDataTable8268459[[#This Row],[issueDate]],CurrentMtgRatesDataTable826845111213[#All],2,0)</f>
        <v>0.22984988524118724</v>
      </c>
      <c r="AA5" s="41"/>
      <c r="AC5" s="18">
        <v>40422</v>
      </c>
      <c r="AD5">
        <v>1429719934</v>
      </c>
      <c r="AG5" s="18">
        <v>40422</v>
      </c>
      <c r="AH5">
        <v>507318592</v>
      </c>
      <c r="AJ5" s="18">
        <v>40422</v>
      </c>
      <c r="AK5">
        <v>34976553</v>
      </c>
      <c r="AM5" s="18">
        <v>40422</v>
      </c>
      <c r="AN5">
        <v>24003578319</v>
      </c>
    </row>
    <row r="6" spans="2:40">
      <c r="B6" s="18">
        <v>40452</v>
      </c>
      <c r="C6">
        <v>1078988082</v>
      </c>
      <c r="E6" s="18">
        <v>40452</v>
      </c>
      <c r="F6">
        <v>2629248097</v>
      </c>
      <c r="I6" s="18">
        <v>40452</v>
      </c>
      <c r="J6">
        <v>1099729776</v>
      </c>
      <c r="M6" s="18">
        <v>40452</v>
      </c>
      <c r="N6">
        <v>647447684</v>
      </c>
      <c r="Q6" s="18">
        <v>40452</v>
      </c>
      <c r="R6" s="33">
        <v>116478623</v>
      </c>
      <c r="S6" s="31">
        <f>VLOOKUP(CurrentMtgRatesDataTable8268459[[#This Row],[issueDate]],CurrentMtgRatesDataTable82684510[#All],2,0)</f>
        <v>1728511358</v>
      </c>
      <c r="T6" s="31">
        <f>VLOOKUP(CurrentMtgRatesDataTable8268459[[#This Row],[issueDate]],CurrentMtgRatesDataTable82684511[#All],2,0)</f>
        <v>407545960</v>
      </c>
      <c r="U6" s="31">
        <f>VLOOKUP(CurrentMtgRatesDataTable8268459[[#This Row],[issueDate]],CurrentMtgRatesDataTable8262[#All],2,0)</f>
        <v>1078988082</v>
      </c>
      <c r="V6" s="34">
        <f>VLOOKUP(CurrentMtgRatesDataTable8268459[[#This Row],[issueDate]],CurrentMtgRatesDataTable82673[#All],2,0)</f>
        <v>2629248097</v>
      </c>
      <c r="W6" s="34">
        <f>VLOOKUP(CurrentMtgRatesDataTable8268459[[#This Row],[issueDate]],CurrentMtgRatesDataTable82684[#All],2,0)</f>
        <v>1099729776</v>
      </c>
      <c r="X6" s="34">
        <f>VLOOKUP(CurrentMtgRatesDataTable8268459[[#This Row],[issueDate]],CurrentMtgRatesDataTable826845[#All],2,0)</f>
        <v>647447684</v>
      </c>
      <c r="Y6" s="41">
        <f>VLOOKUP(CurrentMtgRatesDataTable8268459[[#This Row],[issueDate]],CurrentMtgRatesDataTable8268451112[#All],2,0)</f>
        <v>61120484</v>
      </c>
      <c r="Z6" s="44">
        <f>SUM(CurrentMtgRatesDataTable8268459[[#This Row],[LowFICO]:[Geo]])/VLOOKUP(CurrentMtgRatesDataTable8268459[[#This Row],[issueDate]],CurrentMtgRatesDataTable826845111213[#All],2,0)</f>
        <v>0.35495255328251601</v>
      </c>
      <c r="AA6" s="41"/>
      <c r="AC6" s="18">
        <v>40452</v>
      </c>
      <c r="AD6">
        <v>1728511358</v>
      </c>
      <c r="AG6" s="18">
        <v>40452</v>
      </c>
      <c r="AH6">
        <v>407545960</v>
      </c>
      <c r="AJ6" s="18">
        <v>40452</v>
      </c>
      <c r="AK6">
        <v>61120484</v>
      </c>
      <c r="AM6" s="18">
        <v>40452</v>
      </c>
      <c r="AN6">
        <v>21887629747</v>
      </c>
    </row>
    <row r="7" spans="2:40">
      <c r="B7" s="18">
        <v>40483</v>
      </c>
      <c r="C7">
        <v>890183967</v>
      </c>
      <c r="E7" s="18">
        <v>40483</v>
      </c>
      <c r="F7">
        <v>1693526342</v>
      </c>
      <c r="I7" s="18">
        <v>40483</v>
      </c>
      <c r="J7">
        <v>781233296</v>
      </c>
      <c r="M7" s="18">
        <v>40483</v>
      </c>
      <c r="N7">
        <v>375675695</v>
      </c>
      <c r="Q7" s="18">
        <v>40483</v>
      </c>
      <c r="R7" s="33">
        <v>52470256</v>
      </c>
      <c r="S7" s="31">
        <f>VLOOKUP(CurrentMtgRatesDataTable8268459[[#This Row],[issueDate]],CurrentMtgRatesDataTable82684510[#All],2,0)</f>
        <v>1711944367</v>
      </c>
      <c r="T7" s="31">
        <f>VLOOKUP(CurrentMtgRatesDataTable8268459[[#This Row],[issueDate]],CurrentMtgRatesDataTable82684511[#All],2,0)</f>
        <v>444979096</v>
      </c>
      <c r="U7" s="31">
        <f>VLOOKUP(CurrentMtgRatesDataTable8268459[[#This Row],[issueDate]],CurrentMtgRatesDataTable8262[#All],2,0)</f>
        <v>890183967</v>
      </c>
      <c r="V7" s="34">
        <f>VLOOKUP(CurrentMtgRatesDataTable8268459[[#This Row],[issueDate]],CurrentMtgRatesDataTable82673[#All],2,0)</f>
        <v>1693526342</v>
      </c>
      <c r="W7" s="34">
        <f>VLOOKUP(CurrentMtgRatesDataTable8268459[[#This Row],[issueDate]],CurrentMtgRatesDataTable82684[#All],2,0)</f>
        <v>781233296</v>
      </c>
      <c r="X7" s="34">
        <f>VLOOKUP(CurrentMtgRatesDataTable8268459[[#This Row],[issueDate]],CurrentMtgRatesDataTable826845[#All],2,0)</f>
        <v>375675695</v>
      </c>
      <c r="Y7" s="41">
        <f>VLOOKUP(CurrentMtgRatesDataTable8268459[[#This Row],[issueDate]],CurrentMtgRatesDataTable8268451112[#All],2,0)</f>
        <v>22252476</v>
      </c>
      <c r="Z7" s="44">
        <f>SUM(CurrentMtgRatesDataTable8268459[[#This Row],[LowFICO]:[Geo]])/VLOOKUP(CurrentMtgRatesDataTable8268459[[#This Row],[issueDate]],CurrentMtgRatesDataTable826845111213[#All],2,0)</f>
        <v>0.26095117649764371</v>
      </c>
      <c r="AA7" s="41"/>
      <c r="AC7" s="18">
        <v>40483</v>
      </c>
      <c r="AD7">
        <v>1711944367</v>
      </c>
      <c r="AG7" s="18">
        <v>40483</v>
      </c>
      <c r="AH7">
        <v>444979096</v>
      </c>
      <c r="AJ7" s="18">
        <v>40483</v>
      </c>
      <c r="AK7">
        <v>22252476</v>
      </c>
      <c r="AM7" s="18">
        <v>40483</v>
      </c>
      <c r="AN7">
        <v>22886524503</v>
      </c>
    </row>
    <row r="8" spans="2:40">
      <c r="B8" s="18">
        <v>40513</v>
      </c>
      <c r="C8">
        <v>829317597</v>
      </c>
      <c r="E8" s="18">
        <v>40513</v>
      </c>
      <c r="F8">
        <v>1552009978</v>
      </c>
      <c r="I8" s="18">
        <v>40513</v>
      </c>
      <c r="J8">
        <v>703999585</v>
      </c>
      <c r="M8" s="18">
        <v>40513</v>
      </c>
      <c r="N8">
        <v>386859579</v>
      </c>
      <c r="Q8" s="18">
        <v>40513</v>
      </c>
      <c r="R8" s="33">
        <v>61236975</v>
      </c>
      <c r="S8" s="31">
        <f>VLOOKUP(CurrentMtgRatesDataTable8268459[[#This Row],[issueDate]],CurrentMtgRatesDataTable82684510[#All],2,0)</f>
        <v>1684345087</v>
      </c>
      <c r="T8" s="31">
        <f>VLOOKUP(CurrentMtgRatesDataTable8268459[[#This Row],[issueDate]],CurrentMtgRatesDataTable82684511[#All],2,0)</f>
        <v>447457903</v>
      </c>
      <c r="U8" s="31">
        <f>VLOOKUP(CurrentMtgRatesDataTable8268459[[#This Row],[issueDate]],CurrentMtgRatesDataTable8262[#All],2,0)</f>
        <v>829317597</v>
      </c>
      <c r="V8" s="34">
        <f>VLOOKUP(CurrentMtgRatesDataTable8268459[[#This Row],[issueDate]],CurrentMtgRatesDataTable82673[#All],2,0)</f>
        <v>1552009978</v>
      </c>
      <c r="W8" s="34">
        <f>VLOOKUP(CurrentMtgRatesDataTable8268459[[#This Row],[issueDate]],CurrentMtgRatesDataTable82684[#All],2,0)</f>
        <v>703999585</v>
      </c>
      <c r="X8" s="34">
        <f>VLOOKUP(CurrentMtgRatesDataTable8268459[[#This Row],[issueDate]],CurrentMtgRatesDataTable826845[#All],2,0)</f>
        <v>386859579</v>
      </c>
      <c r="Y8" s="41">
        <f>VLOOKUP(CurrentMtgRatesDataTable8268459[[#This Row],[issueDate]],CurrentMtgRatesDataTable8268451112[#All],2,0)</f>
        <v>33506820</v>
      </c>
      <c r="Z8" s="44">
        <f>SUM(CurrentMtgRatesDataTable8268459[[#This Row],[LowFICO]:[Geo]])/VLOOKUP(CurrentMtgRatesDataTable8268459[[#This Row],[issueDate]],CurrentMtgRatesDataTable826845111213[#All],2,0)</f>
        <v>0.22815425891229657</v>
      </c>
      <c r="AA8" s="41"/>
      <c r="AC8" s="18">
        <v>40513</v>
      </c>
      <c r="AD8">
        <v>1684345087</v>
      </c>
      <c r="AG8" s="18">
        <v>40513</v>
      </c>
      <c r="AH8">
        <v>447457903</v>
      </c>
      <c r="AJ8" s="18">
        <v>40513</v>
      </c>
      <c r="AK8">
        <v>33506820</v>
      </c>
      <c r="AM8" s="18">
        <v>40513</v>
      </c>
      <c r="AN8">
        <v>24977546118</v>
      </c>
    </row>
    <row r="9" spans="2:40">
      <c r="B9" s="18">
        <v>40544</v>
      </c>
      <c r="C9">
        <v>419371046</v>
      </c>
      <c r="E9" s="18">
        <v>40544</v>
      </c>
      <c r="F9">
        <v>1731756103</v>
      </c>
      <c r="I9" s="18">
        <v>40544</v>
      </c>
      <c r="J9">
        <v>842784592</v>
      </c>
      <c r="M9" s="18">
        <v>40544</v>
      </c>
      <c r="N9">
        <v>511749154</v>
      </c>
      <c r="Q9" s="18">
        <v>40544</v>
      </c>
      <c r="R9" s="33">
        <v>76645614</v>
      </c>
      <c r="S9" s="31">
        <f>VLOOKUP(CurrentMtgRatesDataTable8268459[[#This Row],[issueDate]],CurrentMtgRatesDataTable82684510[#All],2,0)</f>
        <v>1064948699</v>
      </c>
      <c r="T9" s="31">
        <f>VLOOKUP(CurrentMtgRatesDataTable8268459[[#This Row],[issueDate]],CurrentMtgRatesDataTable82684511[#All],2,0)</f>
        <v>493967704</v>
      </c>
      <c r="U9" s="31">
        <f>VLOOKUP(CurrentMtgRatesDataTable8268459[[#This Row],[issueDate]],CurrentMtgRatesDataTable8262[#All],2,0)</f>
        <v>419371046</v>
      </c>
      <c r="V9" s="34">
        <f>VLOOKUP(CurrentMtgRatesDataTable8268459[[#This Row],[issueDate]],CurrentMtgRatesDataTable82673[#All],2,0)</f>
        <v>1731756103</v>
      </c>
      <c r="W9" s="34">
        <f>VLOOKUP(CurrentMtgRatesDataTable8268459[[#This Row],[issueDate]],CurrentMtgRatesDataTable82684[#All],2,0)</f>
        <v>842784592</v>
      </c>
      <c r="X9" s="34">
        <f>VLOOKUP(CurrentMtgRatesDataTable8268459[[#This Row],[issueDate]],CurrentMtgRatesDataTable826845[#All],2,0)</f>
        <v>511749154</v>
      </c>
      <c r="Y9" s="41">
        <f>VLOOKUP(CurrentMtgRatesDataTable8268459[[#This Row],[issueDate]],CurrentMtgRatesDataTable8268451112[#All],2,0)</f>
        <v>24961146</v>
      </c>
      <c r="Z9" s="44">
        <f>SUM(CurrentMtgRatesDataTable8268459[[#This Row],[LowFICO]:[Geo]])/VLOOKUP(CurrentMtgRatesDataTable8268459[[#This Row],[issueDate]],CurrentMtgRatesDataTable826845111213[#All],2,0)</f>
        <v>0.22039781211130927</v>
      </c>
      <c r="AA9" s="41"/>
      <c r="AC9" s="18">
        <v>40544</v>
      </c>
      <c r="AD9">
        <v>1064948699</v>
      </c>
      <c r="AG9" s="18">
        <v>40544</v>
      </c>
      <c r="AH9">
        <v>493967704</v>
      </c>
      <c r="AJ9" s="18">
        <v>40544</v>
      </c>
      <c r="AK9">
        <v>24961146</v>
      </c>
      <c r="AM9" s="18">
        <v>40544</v>
      </c>
      <c r="AN9">
        <v>23440269250</v>
      </c>
    </row>
    <row r="10" spans="2:40">
      <c r="B10" s="18">
        <v>40575</v>
      </c>
      <c r="C10">
        <v>789292662</v>
      </c>
      <c r="E10" s="18">
        <v>40575</v>
      </c>
      <c r="F10">
        <v>1749479977</v>
      </c>
      <c r="I10" s="18">
        <v>40575</v>
      </c>
      <c r="J10">
        <v>837436708</v>
      </c>
      <c r="M10" s="18">
        <v>40575</v>
      </c>
      <c r="N10">
        <v>436017555</v>
      </c>
      <c r="Q10" s="18">
        <v>40575</v>
      </c>
      <c r="R10" s="33">
        <v>187651555</v>
      </c>
      <c r="S10" s="31">
        <f>VLOOKUP(CurrentMtgRatesDataTable8268459[[#This Row],[issueDate]],CurrentMtgRatesDataTable82684510[#All],2,0)</f>
        <v>2192462176</v>
      </c>
      <c r="T10" s="31">
        <f>VLOOKUP(CurrentMtgRatesDataTable8268459[[#This Row],[issueDate]],CurrentMtgRatesDataTable82684511[#All],2,0)</f>
        <v>483170368</v>
      </c>
      <c r="U10" s="31">
        <f>VLOOKUP(CurrentMtgRatesDataTable8268459[[#This Row],[issueDate]],CurrentMtgRatesDataTable8262[#All],2,0)</f>
        <v>789292662</v>
      </c>
      <c r="V10" s="34">
        <f>VLOOKUP(CurrentMtgRatesDataTable8268459[[#This Row],[issueDate]],CurrentMtgRatesDataTable82673[#All],2,0)</f>
        <v>1749479977</v>
      </c>
      <c r="W10" s="34">
        <f>VLOOKUP(CurrentMtgRatesDataTable8268459[[#This Row],[issueDate]],CurrentMtgRatesDataTable82684[#All],2,0)</f>
        <v>837436708</v>
      </c>
      <c r="X10" s="34">
        <f>VLOOKUP(CurrentMtgRatesDataTable8268459[[#This Row],[issueDate]],CurrentMtgRatesDataTable826845[#All],2,0)</f>
        <v>436017555</v>
      </c>
      <c r="Y10" s="41">
        <f>VLOOKUP(CurrentMtgRatesDataTable8268459[[#This Row],[issueDate]],CurrentMtgRatesDataTable8268451112[#All],2,0)</f>
        <v>151790281</v>
      </c>
      <c r="Z10" s="44">
        <f>SUM(CurrentMtgRatesDataTable8268459[[#This Row],[LowFICO]:[Geo]])/VLOOKUP(CurrentMtgRatesDataTable8268459[[#This Row],[issueDate]],CurrentMtgRatesDataTable826845111213[#All],2,0)</f>
        <v>0.30955542475965858</v>
      </c>
      <c r="AA10" s="41"/>
      <c r="AC10" s="18">
        <v>40575</v>
      </c>
      <c r="AD10">
        <v>2192462176</v>
      </c>
      <c r="AG10" s="18">
        <v>40575</v>
      </c>
      <c r="AH10">
        <v>483170368</v>
      </c>
      <c r="AJ10" s="18">
        <v>40575</v>
      </c>
      <c r="AK10">
        <v>151790281</v>
      </c>
      <c r="AM10" s="18">
        <v>40575</v>
      </c>
      <c r="AN10">
        <v>22055182161</v>
      </c>
    </row>
    <row r="11" spans="2:40">
      <c r="B11" s="18">
        <v>40603</v>
      </c>
      <c r="C11">
        <v>506629638</v>
      </c>
      <c r="E11" s="18">
        <v>40603</v>
      </c>
      <c r="F11">
        <v>864305097</v>
      </c>
      <c r="I11" s="18">
        <v>40603</v>
      </c>
      <c r="J11">
        <v>428898046</v>
      </c>
      <c r="M11" s="18">
        <v>40603</v>
      </c>
      <c r="N11">
        <v>274367066</v>
      </c>
      <c r="Q11" s="18">
        <v>40603</v>
      </c>
      <c r="R11" s="33">
        <v>131490986</v>
      </c>
      <c r="S11" s="31">
        <f>VLOOKUP(CurrentMtgRatesDataTable8268459[[#This Row],[issueDate]],CurrentMtgRatesDataTable82684510[#All],2,0)</f>
        <v>1193980671</v>
      </c>
      <c r="T11" s="31">
        <f>VLOOKUP(CurrentMtgRatesDataTable8268459[[#This Row],[issueDate]],CurrentMtgRatesDataTable82684511[#All],2,0)</f>
        <v>388691396</v>
      </c>
      <c r="U11" s="31">
        <f>VLOOKUP(CurrentMtgRatesDataTable8268459[[#This Row],[issueDate]],CurrentMtgRatesDataTable8262[#All],2,0)</f>
        <v>506629638</v>
      </c>
      <c r="V11" s="34">
        <f>VLOOKUP(CurrentMtgRatesDataTable8268459[[#This Row],[issueDate]],CurrentMtgRatesDataTable82673[#All],2,0)</f>
        <v>864305097</v>
      </c>
      <c r="W11" s="34">
        <f>VLOOKUP(CurrentMtgRatesDataTable8268459[[#This Row],[issueDate]],CurrentMtgRatesDataTable82684[#All],2,0)</f>
        <v>428898046</v>
      </c>
      <c r="X11" s="34">
        <f>VLOOKUP(CurrentMtgRatesDataTable8268459[[#This Row],[issueDate]],CurrentMtgRatesDataTable826845[#All],2,0)</f>
        <v>274367066</v>
      </c>
      <c r="Y11" s="41">
        <f>VLOOKUP(CurrentMtgRatesDataTable8268459[[#This Row],[issueDate]],CurrentMtgRatesDataTable8268451112[#All],2,0)</f>
        <v>61190158</v>
      </c>
      <c r="Z11" s="44">
        <f>SUM(CurrentMtgRatesDataTable8268459[[#This Row],[LowFICO]:[Geo]])/VLOOKUP(CurrentMtgRatesDataTable8268459[[#This Row],[issueDate]],CurrentMtgRatesDataTable826845111213[#All],2,0)</f>
        <v>0.31503542674922141</v>
      </c>
      <c r="AA11" s="41"/>
      <c r="AC11" s="18">
        <v>40603</v>
      </c>
      <c r="AD11">
        <v>1193980671</v>
      </c>
      <c r="AG11" s="18">
        <v>40603</v>
      </c>
      <c r="AH11">
        <v>388691396</v>
      </c>
      <c r="AJ11" s="18">
        <v>40603</v>
      </c>
      <c r="AK11">
        <v>61190158</v>
      </c>
      <c r="AM11" s="18">
        <v>40603</v>
      </c>
      <c r="AN11">
        <v>12219429090</v>
      </c>
    </row>
    <row r="12" spans="2:40">
      <c r="B12" s="18">
        <v>40634</v>
      </c>
      <c r="C12">
        <v>505184626</v>
      </c>
      <c r="E12" s="18">
        <v>40634</v>
      </c>
      <c r="F12">
        <v>915921974</v>
      </c>
      <c r="I12" s="18">
        <v>40634</v>
      </c>
      <c r="J12">
        <v>453248230</v>
      </c>
      <c r="M12" s="18">
        <v>40634</v>
      </c>
      <c r="N12">
        <v>293420233</v>
      </c>
      <c r="Q12" s="18">
        <v>40634</v>
      </c>
      <c r="R12" s="33">
        <v>216448066</v>
      </c>
      <c r="S12" s="31">
        <f>VLOOKUP(CurrentMtgRatesDataTable8268459[[#This Row],[issueDate]],CurrentMtgRatesDataTable82684510[#All],2,0)</f>
        <v>1044047253</v>
      </c>
      <c r="T12" s="31">
        <f>VLOOKUP(CurrentMtgRatesDataTable8268459[[#This Row],[issueDate]],CurrentMtgRatesDataTable82684511[#All],2,0)</f>
        <v>360565672</v>
      </c>
      <c r="U12" s="31">
        <f>VLOOKUP(CurrentMtgRatesDataTable8268459[[#This Row],[issueDate]],CurrentMtgRatesDataTable8262[#All],2,0)</f>
        <v>505184626</v>
      </c>
      <c r="V12" s="34">
        <f>VLOOKUP(CurrentMtgRatesDataTable8268459[[#This Row],[issueDate]],CurrentMtgRatesDataTable82673[#All],2,0)</f>
        <v>915921974</v>
      </c>
      <c r="W12" s="34">
        <f>VLOOKUP(CurrentMtgRatesDataTable8268459[[#This Row],[issueDate]],CurrentMtgRatesDataTable82684[#All],2,0)</f>
        <v>453248230</v>
      </c>
      <c r="X12" s="34">
        <f>VLOOKUP(CurrentMtgRatesDataTable8268459[[#This Row],[issueDate]],CurrentMtgRatesDataTable826845[#All],2,0)</f>
        <v>293420233</v>
      </c>
      <c r="Y12" s="41">
        <f>VLOOKUP(CurrentMtgRatesDataTable8268459[[#This Row],[issueDate]],CurrentMtgRatesDataTable8268451112[#All],2,0)</f>
        <v>58044117</v>
      </c>
      <c r="Z12" s="44">
        <f>SUM(CurrentMtgRatesDataTable8268459[[#This Row],[LowFICO]:[Geo]])/VLOOKUP(CurrentMtgRatesDataTable8268459[[#This Row],[issueDate]],CurrentMtgRatesDataTable826845111213[#All],2,0)</f>
        <v>0.33894726009441328</v>
      </c>
      <c r="AA12" s="41"/>
      <c r="AC12" s="18">
        <v>40634</v>
      </c>
      <c r="AD12">
        <v>1044047253</v>
      </c>
      <c r="AG12" s="18">
        <v>40634</v>
      </c>
      <c r="AH12">
        <v>360565672</v>
      </c>
      <c r="AJ12" s="18">
        <v>40634</v>
      </c>
      <c r="AK12">
        <v>58044117</v>
      </c>
      <c r="AM12" s="18">
        <v>40634</v>
      </c>
      <c r="AN12">
        <v>11349494815</v>
      </c>
    </row>
    <row r="13" spans="2:40">
      <c r="B13" s="18">
        <v>40664</v>
      </c>
      <c r="C13">
        <v>405966316</v>
      </c>
      <c r="E13" s="18">
        <v>40664</v>
      </c>
      <c r="F13">
        <v>795771594</v>
      </c>
      <c r="I13" s="18">
        <v>40664</v>
      </c>
      <c r="J13">
        <v>425303823</v>
      </c>
      <c r="M13" s="18">
        <v>40664</v>
      </c>
      <c r="N13">
        <v>277021884</v>
      </c>
      <c r="Q13" s="18">
        <v>40664</v>
      </c>
      <c r="R13" s="33">
        <v>192717192</v>
      </c>
      <c r="S13" s="31">
        <f>VLOOKUP(CurrentMtgRatesDataTable8268459[[#This Row],[issueDate]],CurrentMtgRatesDataTable82684510[#All],2,0)</f>
        <v>719795195</v>
      </c>
      <c r="T13" s="31">
        <f>VLOOKUP(CurrentMtgRatesDataTable8268459[[#This Row],[issueDate]],CurrentMtgRatesDataTable82684511[#All],2,0)</f>
        <v>411813798</v>
      </c>
      <c r="U13" s="31">
        <f>VLOOKUP(CurrentMtgRatesDataTable8268459[[#This Row],[issueDate]],CurrentMtgRatesDataTable8262[#All],2,0)</f>
        <v>405966316</v>
      </c>
      <c r="V13" s="34">
        <f>VLOOKUP(CurrentMtgRatesDataTable8268459[[#This Row],[issueDate]],CurrentMtgRatesDataTable82673[#All],2,0)</f>
        <v>795771594</v>
      </c>
      <c r="W13" s="34">
        <f>VLOOKUP(CurrentMtgRatesDataTable8268459[[#This Row],[issueDate]],CurrentMtgRatesDataTable82684[#All],2,0)</f>
        <v>425303823</v>
      </c>
      <c r="X13" s="34">
        <f>VLOOKUP(CurrentMtgRatesDataTable8268459[[#This Row],[issueDate]],CurrentMtgRatesDataTable826845[#All],2,0)</f>
        <v>277021884</v>
      </c>
      <c r="Y13" s="41">
        <f>VLOOKUP(CurrentMtgRatesDataTable8268459[[#This Row],[issueDate]],CurrentMtgRatesDataTable8268451112[#All],2,0)</f>
        <v>45746541</v>
      </c>
      <c r="Z13" s="44">
        <f>SUM(CurrentMtgRatesDataTable8268459[[#This Row],[LowFICO]:[Geo]])/VLOOKUP(CurrentMtgRatesDataTable8268459[[#This Row],[issueDate]],CurrentMtgRatesDataTable826845111213[#All],2,0)</f>
        <v>0.32769830791735699</v>
      </c>
      <c r="AA13" s="41"/>
      <c r="AC13" s="18">
        <v>40664</v>
      </c>
      <c r="AD13">
        <v>719795195</v>
      </c>
      <c r="AG13" s="18">
        <v>40664</v>
      </c>
      <c r="AH13">
        <v>411813798</v>
      </c>
      <c r="AJ13" s="18">
        <v>40664</v>
      </c>
      <c r="AK13">
        <v>45746541</v>
      </c>
      <c r="AM13" s="18">
        <v>40664</v>
      </c>
      <c r="AN13">
        <v>9991312936</v>
      </c>
    </row>
    <row r="14" spans="2:40">
      <c r="B14" s="18">
        <v>40695</v>
      </c>
      <c r="C14">
        <v>451810379</v>
      </c>
      <c r="E14" s="18">
        <v>40695</v>
      </c>
      <c r="F14">
        <v>817697822</v>
      </c>
      <c r="I14" s="18">
        <v>40695</v>
      </c>
      <c r="J14">
        <v>442643313</v>
      </c>
      <c r="M14" s="18">
        <v>40695</v>
      </c>
      <c r="N14">
        <v>311686727</v>
      </c>
      <c r="Q14" s="18">
        <v>40695</v>
      </c>
      <c r="R14" s="33">
        <v>425026112</v>
      </c>
      <c r="S14" s="31">
        <f>VLOOKUP(CurrentMtgRatesDataTable8268459[[#This Row],[issueDate]],CurrentMtgRatesDataTable82684510[#All],2,0)</f>
        <v>825039209</v>
      </c>
      <c r="T14" s="31">
        <f>VLOOKUP(CurrentMtgRatesDataTable8268459[[#This Row],[issueDate]],CurrentMtgRatesDataTable82684511[#All],2,0)</f>
        <v>487397439</v>
      </c>
      <c r="U14" s="31">
        <f>VLOOKUP(CurrentMtgRatesDataTable8268459[[#This Row],[issueDate]],CurrentMtgRatesDataTable8262[#All],2,0)</f>
        <v>451810379</v>
      </c>
      <c r="V14" s="34">
        <f>VLOOKUP(CurrentMtgRatesDataTable8268459[[#This Row],[issueDate]],CurrentMtgRatesDataTable82673[#All],2,0)</f>
        <v>817697822</v>
      </c>
      <c r="W14" s="34">
        <f>VLOOKUP(CurrentMtgRatesDataTable8268459[[#This Row],[issueDate]],CurrentMtgRatesDataTable82684[#All],2,0)</f>
        <v>442643313</v>
      </c>
      <c r="X14" s="34">
        <f>VLOOKUP(CurrentMtgRatesDataTable8268459[[#This Row],[issueDate]],CurrentMtgRatesDataTable826845[#All],2,0)</f>
        <v>311686727</v>
      </c>
      <c r="Y14" s="41">
        <f>VLOOKUP(CurrentMtgRatesDataTable8268459[[#This Row],[issueDate]],CurrentMtgRatesDataTable8268451112[#All],2,0)</f>
        <v>30893711</v>
      </c>
      <c r="Z14" s="44">
        <f>SUM(CurrentMtgRatesDataTable8268459[[#This Row],[LowFICO]:[Geo]])/VLOOKUP(CurrentMtgRatesDataTable8268459[[#This Row],[issueDate]],CurrentMtgRatesDataTable826845111213[#All],2,0)</f>
        <v>0.33903620102000465</v>
      </c>
      <c r="AA14" s="41"/>
      <c r="AC14" s="18">
        <v>40695</v>
      </c>
      <c r="AD14">
        <v>825039209</v>
      </c>
      <c r="AG14" s="18">
        <v>40695</v>
      </c>
      <c r="AH14">
        <v>487397439</v>
      </c>
      <c r="AJ14" s="18">
        <v>40695</v>
      </c>
      <c r="AK14">
        <v>30893711</v>
      </c>
      <c r="AM14" s="18">
        <v>40695</v>
      </c>
      <c r="AN14">
        <v>11185220636</v>
      </c>
    </row>
    <row r="15" spans="2:40">
      <c r="B15" s="18">
        <v>40725</v>
      </c>
      <c r="C15">
        <v>398581944</v>
      </c>
      <c r="E15" s="18">
        <v>40725</v>
      </c>
      <c r="F15">
        <v>733290953</v>
      </c>
      <c r="I15" s="18">
        <v>40725</v>
      </c>
      <c r="J15">
        <v>352928869</v>
      </c>
      <c r="M15" s="18">
        <v>40725</v>
      </c>
      <c r="N15">
        <v>229451564</v>
      </c>
      <c r="Q15" s="18">
        <v>40725</v>
      </c>
      <c r="R15" s="33">
        <v>303715661</v>
      </c>
      <c r="S15" s="31">
        <f>VLOOKUP(CurrentMtgRatesDataTable8268459[[#This Row],[issueDate]],CurrentMtgRatesDataTable82684510[#All],2,0)</f>
        <v>942288882</v>
      </c>
      <c r="T15" s="31">
        <f>VLOOKUP(CurrentMtgRatesDataTable8268459[[#This Row],[issueDate]],CurrentMtgRatesDataTable82684511[#All],2,0)</f>
        <v>463132709</v>
      </c>
      <c r="U15" s="31">
        <f>VLOOKUP(CurrentMtgRatesDataTable8268459[[#This Row],[issueDate]],CurrentMtgRatesDataTable8262[#All],2,0)</f>
        <v>398581944</v>
      </c>
      <c r="V15" s="34">
        <f>VLOOKUP(CurrentMtgRatesDataTable8268459[[#This Row],[issueDate]],CurrentMtgRatesDataTable82673[#All],2,0)</f>
        <v>733290953</v>
      </c>
      <c r="W15" s="34">
        <f>VLOOKUP(CurrentMtgRatesDataTable8268459[[#This Row],[issueDate]],CurrentMtgRatesDataTable82684[#All],2,0)</f>
        <v>352928869</v>
      </c>
      <c r="X15" s="34">
        <f>VLOOKUP(CurrentMtgRatesDataTable8268459[[#This Row],[issueDate]],CurrentMtgRatesDataTable826845[#All],2,0)</f>
        <v>229451564</v>
      </c>
      <c r="Y15" s="41">
        <f>VLOOKUP(CurrentMtgRatesDataTable8268459[[#This Row],[issueDate]],CurrentMtgRatesDataTable8268451112[#All],2,0)</f>
        <v>48782137</v>
      </c>
      <c r="Z15" s="44">
        <f>SUM(CurrentMtgRatesDataTable8268459[[#This Row],[LowFICO]:[Geo]])/VLOOKUP(CurrentMtgRatesDataTable8268459[[#This Row],[issueDate]],CurrentMtgRatesDataTable826845111213[#All],2,0)</f>
        <v>0.38607225335123507</v>
      </c>
      <c r="AA15" s="41"/>
      <c r="AC15" s="18">
        <v>40725</v>
      </c>
      <c r="AD15">
        <v>942288882</v>
      </c>
      <c r="AG15" s="18">
        <v>40725</v>
      </c>
      <c r="AH15">
        <v>463132709</v>
      </c>
      <c r="AJ15" s="18">
        <v>40725</v>
      </c>
      <c r="AK15">
        <v>48782137</v>
      </c>
      <c r="AM15" s="18">
        <v>40725</v>
      </c>
      <c r="AN15">
        <v>8993582649</v>
      </c>
    </row>
    <row r="16" spans="2:40">
      <c r="B16" s="18">
        <v>40756</v>
      </c>
      <c r="C16">
        <v>394159172</v>
      </c>
      <c r="E16" s="18">
        <v>40756</v>
      </c>
      <c r="F16">
        <v>1048477086</v>
      </c>
      <c r="I16" s="18">
        <v>40756</v>
      </c>
      <c r="J16">
        <v>453180070</v>
      </c>
      <c r="M16" s="18">
        <v>40756</v>
      </c>
      <c r="N16">
        <v>304644779</v>
      </c>
      <c r="Q16" s="18">
        <v>40756</v>
      </c>
      <c r="R16" s="33">
        <v>600496848</v>
      </c>
      <c r="S16" s="31">
        <f>VLOOKUP(CurrentMtgRatesDataTable8268459[[#This Row],[issueDate]],CurrentMtgRatesDataTable82684510[#All],2,0)</f>
        <v>911699750</v>
      </c>
      <c r="T16" s="31">
        <f>VLOOKUP(CurrentMtgRatesDataTable8268459[[#This Row],[issueDate]],CurrentMtgRatesDataTable82684511[#All],2,0)</f>
        <v>321185221</v>
      </c>
      <c r="U16" s="31">
        <f>VLOOKUP(CurrentMtgRatesDataTable8268459[[#This Row],[issueDate]],CurrentMtgRatesDataTable8262[#All],2,0)</f>
        <v>394159172</v>
      </c>
      <c r="V16" s="34">
        <f>VLOOKUP(CurrentMtgRatesDataTable8268459[[#This Row],[issueDate]],CurrentMtgRatesDataTable82673[#All],2,0)</f>
        <v>1048477086</v>
      </c>
      <c r="W16" s="34">
        <f>VLOOKUP(CurrentMtgRatesDataTable8268459[[#This Row],[issueDate]],CurrentMtgRatesDataTable82684[#All],2,0)</f>
        <v>453180070</v>
      </c>
      <c r="X16" s="34">
        <f>VLOOKUP(CurrentMtgRatesDataTable8268459[[#This Row],[issueDate]],CurrentMtgRatesDataTable826845[#All],2,0)</f>
        <v>304644779</v>
      </c>
      <c r="Y16" s="41">
        <f>VLOOKUP(CurrentMtgRatesDataTable8268459[[#This Row],[issueDate]],CurrentMtgRatesDataTable8268451112[#All],2,0)</f>
        <v>99959670</v>
      </c>
      <c r="Z16" s="44">
        <f>SUM(CurrentMtgRatesDataTable8268459[[#This Row],[LowFICO]:[Geo]])/VLOOKUP(CurrentMtgRatesDataTable8268459[[#This Row],[issueDate]],CurrentMtgRatesDataTable826845111213[#All],2,0)</f>
        <v>0.33244571201584056</v>
      </c>
      <c r="AA16" s="41"/>
      <c r="AC16" s="18">
        <v>40756</v>
      </c>
      <c r="AD16">
        <v>911699750</v>
      </c>
      <c r="AG16" s="18">
        <v>40756</v>
      </c>
      <c r="AH16">
        <v>321185221</v>
      </c>
      <c r="AJ16" s="18">
        <v>40756</v>
      </c>
      <c r="AK16">
        <v>99959670</v>
      </c>
      <c r="AM16" s="18">
        <v>40756</v>
      </c>
      <c r="AN16">
        <v>12434519221</v>
      </c>
    </row>
    <row r="17" spans="2:40">
      <c r="B17" s="18">
        <v>40787</v>
      </c>
      <c r="C17">
        <v>539816484</v>
      </c>
      <c r="E17" s="18">
        <v>40787</v>
      </c>
      <c r="F17">
        <v>1194944689</v>
      </c>
      <c r="I17" s="18">
        <v>40787</v>
      </c>
      <c r="J17">
        <v>532456651</v>
      </c>
      <c r="M17" s="18">
        <v>40787</v>
      </c>
      <c r="N17">
        <v>305750053</v>
      </c>
      <c r="Q17" s="18">
        <v>40787</v>
      </c>
      <c r="R17" s="33">
        <v>442732853</v>
      </c>
      <c r="S17" s="31">
        <f>VLOOKUP(CurrentMtgRatesDataTable8268459[[#This Row],[issueDate]],CurrentMtgRatesDataTable82684510[#All],2,0)</f>
        <v>803374118</v>
      </c>
      <c r="T17" s="31">
        <f>VLOOKUP(CurrentMtgRatesDataTable8268459[[#This Row],[issueDate]],CurrentMtgRatesDataTable82684511[#All],2,0)</f>
        <v>309575291</v>
      </c>
      <c r="U17" s="31">
        <f>VLOOKUP(CurrentMtgRatesDataTable8268459[[#This Row],[issueDate]],CurrentMtgRatesDataTable8262[#All],2,0)</f>
        <v>539816484</v>
      </c>
      <c r="V17" s="34">
        <f>VLOOKUP(CurrentMtgRatesDataTable8268459[[#This Row],[issueDate]],CurrentMtgRatesDataTable82673[#All],2,0)</f>
        <v>1194944689</v>
      </c>
      <c r="W17" s="34">
        <f>VLOOKUP(CurrentMtgRatesDataTable8268459[[#This Row],[issueDate]],CurrentMtgRatesDataTable82684[#All],2,0)</f>
        <v>532456651</v>
      </c>
      <c r="X17" s="34">
        <f>VLOOKUP(CurrentMtgRatesDataTable8268459[[#This Row],[issueDate]],CurrentMtgRatesDataTable826845[#All],2,0)</f>
        <v>305750053</v>
      </c>
      <c r="Y17" s="41">
        <f>VLOOKUP(CurrentMtgRatesDataTable8268459[[#This Row],[issueDate]],CurrentMtgRatesDataTable8268451112[#All],2,0)</f>
        <v>90194724</v>
      </c>
      <c r="Z17" s="44">
        <f>SUM(CurrentMtgRatesDataTable8268459[[#This Row],[LowFICO]:[Geo]])/VLOOKUP(CurrentMtgRatesDataTable8268459[[#This Row],[issueDate]],CurrentMtgRatesDataTable826845111213[#All],2,0)</f>
        <v>0.32368568228104039</v>
      </c>
      <c r="AA17" s="41"/>
      <c r="AC17" s="18">
        <v>40787</v>
      </c>
      <c r="AD17">
        <v>803374118</v>
      </c>
      <c r="AG17" s="18">
        <v>40787</v>
      </c>
      <c r="AH17">
        <v>309575291</v>
      </c>
      <c r="AJ17" s="18">
        <v>40787</v>
      </c>
      <c r="AK17">
        <v>90194724</v>
      </c>
      <c r="AM17" s="18">
        <v>40787</v>
      </c>
      <c r="AN17">
        <v>13033770395</v>
      </c>
    </row>
    <row r="18" spans="2:40">
      <c r="B18" s="18">
        <v>40817</v>
      </c>
      <c r="C18">
        <v>479584127</v>
      </c>
      <c r="E18" s="18">
        <v>40817</v>
      </c>
      <c r="F18">
        <v>983326905</v>
      </c>
      <c r="I18" s="18">
        <v>40817</v>
      </c>
      <c r="J18">
        <v>388173290</v>
      </c>
      <c r="M18" s="18">
        <v>40817</v>
      </c>
      <c r="N18">
        <v>215380504</v>
      </c>
      <c r="Q18" s="18">
        <v>40817</v>
      </c>
      <c r="R18" s="33">
        <v>419829760</v>
      </c>
      <c r="S18" s="31">
        <f>VLOOKUP(CurrentMtgRatesDataTable8268459[[#This Row],[issueDate]],CurrentMtgRatesDataTable82684510[#All],2,0)</f>
        <v>688670409</v>
      </c>
      <c r="T18" s="31">
        <f>VLOOKUP(CurrentMtgRatesDataTable8268459[[#This Row],[issueDate]],CurrentMtgRatesDataTable82684511[#All],2,0)</f>
        <v>262874044</v>
      </c>
      <c r="U18" s="31">
        <f>VLOOKUP(CurrentMtgRatesDataTable8268459[[#This Row],[issueDate]],CurrentMtgRatesDataTable8262[#All],2,0)</f>
        <v>479584127</v>
      </c>
      <c r="V18" s="34">
        <f>VLOOKUP(CurrentMtgRatesDataTable8268459[[#This Row],[issueDate]],CurrentMtgRatesDataTable82673[#All],2,0)</f>
        <v>983326905</v>
      </c>
      <c r="W18" s="34">
        <f>VLOOKUP(CurrentMtgRatesDataTable8268459[[#This Row],[issueDate]],CurrentMtgRatesDataTable82684[#All],2,0)</f>
        <v>388173290</v>
      </c>
      <c r="X18" s="34">
        <f>VLOOKUP(CurrentMtgRatesDataTable8268459[[#This Row],[issueDate]],CurrentMtgRatesDataTable826845[#All],2,0)</f>
        <v>215380504</v>
      </c>
      <c r="Y18" s="41">
        <f>VLOOKUP(CurrentMtgRatesDataTable8268459[[#This Row],[issueDate]],CurrentMtgRatesDataTable8268451112[#All],2,0)</f>
        <v>8272911</v>
      </c>
      <c r="Z18" s="44">
        <f>SUM(CurrentMtgRatesDataTable8268459[[#This Row],[LowFICO]:[Geo]])/VLOOKUP(CurrentMtgRatesDataTable8268459[[#This Row],[issueDate]],CurrentMtgRatesDataTable826845111213[#All],2,0)</f>
        <v>0.24430501594062229</v>
      </c>
      <c r="AA18" s="41"/>
      <c r="AC18" s="18">
        <v>40817</v>
      </c>
      <c r="AD18">
        <v>688670409</v>
      </c>
      <c r="AG18" s="18">
        <v>40817</v>
      </c>
      <c r="AH18">
        <v>262874044</v>
      </c>
      <c r="AJ18" s="18">
        <v>40817</v>
      </c>
      <c r="AK18">
        <v>8272911</v>
      </c>
      <c r="AM18" s="18">
        <v>40817</v>
      </c>
      <c r="AN18">
        <v>14105776489</v>
      </c>
    </row>
    <row r="19" spans="2:40">
      <c r="B19" s="18">
        <v>40848</v>
      </c>
      <c r="C19">
        <v>283902111</v>
      </c>
      <c r="E19" s="18">
        <v>40848</v>
      </c>
      <c r="F19">
        <v>571770572</v>
      </c>
      <c r="I19" s="18">
        <v>40848</v>
      </c>
      <c r="J19">
        <v>365840956</v>
      </c>
      <c r="M19" s="18">
        <v>40848</v>
      </c>
      <c r="N19">
        <v>241883440</v>
      </c>
      <c r="Q19" s="18">
        <v>40848</v>
      </c>
      <c r="R19" s="33">
        <v>274250057</v>
      </c>
      <c r="S19" s="31">
        <f>VLOOKUP(CurrentMtgRatesDataTable8268459[[#This Row],[issueDate]],CurrentMtgRatesDataTable82684510[#All],2,0)</f>
        <v>959163020</v>
      </c>
      <c r="T19" s="31">
        <f>VLOOKUP(CurrentMtgRatesDataTable8268459[[#This Row],[issueDate]],CurrentMtgRatesDataTable82684511[#All],2,0)</f>
        <v>217455356</v>
      </c>
      <c r="U19" s="31">
        <f>VLOOKUP(CurrentMtgRatesDataTable8268459[[#This Row],[issueDate]],CurrentMtgRatesDataTable8262[#All],2,0)</f>
        <v>283902111</v>
      </c>
      <c r="V19" s="34">
        <f>VLOOKUP(CurrentMtgRatesDataTable8268459[[#This Row],[issueDate]],CurrentMtgRatesDataTable82673[#All],2,0)</f>
        <v>571770572</v>
      </c>
      <c r="W19" s="34">
        <f>VLOOKUP(CurrentMtgRatesDataTable8268459[[#This Row],[issueDate]],CurrentMtgRatesDataTable82684[#All],2,0)</f>
        <v>365840956</v>
      </c>
      <c r="X19" s="34">
        <f>VLOOKUP(CurrentMtgRatesDataTable8268459[[#This Row],[issueDate]],CurrentMtgRatesDataTable826845[#All],2,0)</f>
        <v>241883440</v>
      </c>
      <c r="Y19" s="41">
        <f>VLOOKUP(CurrentMtgRatesDataTable8268459[[#This Row],[issueDate]],CurrentMtgRatesDataTable8268451112[#All],2,0)</f>
        <v>1131000</v>
      </c>
      <c r="Z19" s="44">
        <f>SUM(CurrentMtgRatesDataTable8268459[[#This Row],[LowFICO]:[Geo]])/VLOOKUP(CurrentMtgRatesDataTable8268459[[#This Row],[issueDate]],CurrentMtgRatesDataTable826845111213[#All],2,0)</f>
        <v>0.22793338417167577</v>
      </c>
      <c r="AA19" s="41"/>
      <c r="AC19" s="18">
        <v>40848</v>
      </c>
      <c r="AD19">
        <v>959163020</v>
      </c>
      <c r="AG19" s="18">
        <v>40848</v>
      </c>
      <c r="AH19">
        <v>217455356</v>
      </c>
      <c r="AJ19" s="18">
        <v>40848</v>
      </c>
      <c r="AK19">
        <v>1131000</v>
      </c>
      <c r="AM19" s="18">
        <v>40848</v>
      </c>
      <c r="AN19">
        <v>12790563886</v>
      </c>
    </row>
    <row r="20" spans="2:40">
      <c r="B20" s="18">
        <v>40878</v>
      </c>
      <c r="C20">
        <v>322327551</v>
      </c>
      <c r="E20" s="18">
        <v>40878</v>
      </c>
      <c r="F20">
        <v>510636535</v>
      </c>
      <c r="I20" s="18">
        <v>40878</v>
      </c>
      <c r="J20">
        <v>295318597</v>
      </c>
      <c r="M20" s="18">
        <v>40878</v>
      </c>
      <c r="N20">
        <v>171759786</v>
      </c>
      <c r="Q20" s="18">
        <v>40878</v>
      </c>
      <c r="R20" s="33">
        <v>105045152</v>
      </c>
      <c r="S20" s="31">
        <f>VLOOKUP(CurrentMtgRatesDataTable8268459[[#This Row],[issueDate]],CurrentMtgRatesDataTable82684510[#All],2,0)</f>
        <v>610731567</v>
      </c>
      <c r="T20" s="31">
        <f>VLOOKUP(CurrentMtgRatesDataTable8268459[[#This Row],[issueDate]],CurrentMtgRatesDataTable82684511[#All],2,0)</f>
        <v>105100026</v>
      </c>
      <c r="U20" s="31">
        <f>VLOOKUP(CurrentMtgRatesDataTable8268459[[#This Row],[issueDate]],CurrentMtgRatesDataTable8262[#All],2,0)</f>
        <v>322327551</v>
      </c>
      <c r="V20" s="34">
        <f>VLOOKUP(CurrentMtgRatesDataTable8268459[[#This Row],[issueDate]],CurrentMtgRatesDataTable82673[#All],2,0)</f>
        <v>510636535</v>
      </c>
      <c r="W20" s="34">
        <f>VLOOKUP(CurrentMtgRatesDataTable8268459[[#This Row],[issueDate]],CurrentMtgRatesDataTable82684[#All],2,0)</f>
        <v>295318597</v>
      </c>
      <c r="X20" s="34">
        <f>VLOOKUP(CurrentMtgRatesDataTable8268459[[#This Row],[issueDate]],CurrentMtgRatesDataTable826845[#All],2,0)</f>
        <v>171759786</v>
      </c>
      <c r="Y20" s="41">
        <f>VLOOKUP(CurrentMtgRatesDataTable8268459[[#This Row],[issueDate]],CurrentMtgRatesDataTable8268451112[#All],2,0)</f>
        <v>12412740</v>
      </c>
      <c r="Z20" s="44">
        <f>SUM(CurrentMtgRatesDataTable8268459[[#This Row],[LowFICO]:[Geo]])/VLOOKUP(CurrentMtgRatesDataTable8268459[[#This Row],[issueDate]],CurrentMtgRatesDataTable826845111213[#All],2,0)</f>
        <v>0.21063783147555359</v>
      </c>
      <c r="AA20" s="41"/>
      <c r="AC20" s="18">
        <v>40878</v>
      </c>
      <c r="AD20">
        <v>610731567</v>
      </c>
      <c r="AG20" s="18">
        <v>40878</v>
      </c>
      <c r="AH20">
        <v>105100026</v>
      </c>
      <c r="AJ20" s="18">
        <v>40878</v>
      </c>
      <c r="AK20">
        <v>12412740</v>
      </c>
      <c r="AM20" s="18">
        <v>40878</v>
      </c>
      <c r="AN20">
        <v>10127962005</v>
      </c>
    </row>
    <row r="21" spans="2:40">
      <c r="B21" s="18">
        <v>40909</v>
      </c>
      <c r="C21">
        <v>481024962</v>
      </c>
      <c r="E21" s="18">
        <v>40909</v>
      </c>
      <c r="F21">
        <v>921049221</v>
      </c>
      <c r="I21" s="18">
        <v>40909</v>
      </c>
      <c r="J21">
        <v>624561765</v>
      </c>
      <c r="M21" s="18">
        <v>40909</v>
      </c>
      <c r="N21">
        <v>352145415</v>
      </c>
      <c r="Q21" s="18">
        <v>40909</v>
      </c>
      <c r="R21" s="33">
        <v>249584825</v>
      </c>
      <c r="S21" s="31">
        <f>VLOOKUP(CurrentMtgRatesDataTable8268459[[#This Row],[issueDate]],CurrentMtgRatesDataTable82684510[#All],2,0)</f>
        <v>1703727528</v>
      </c>
      <c r="T21" s="31">
        <f>VLOOKUP(CurrentMtgRatesDataTable8268459[[#This Row],[issueDate]],CurrentMtgRatesDataTable82684511[#All],2,0)</f>
        <v>364965834</v>
      </c>
      <c r="U21" s="31">
        <f>VLOOKUP(CurrentMtgRatesDataTable8268459[[#This Row],[issueDate]],CurrentMtgRatesDataTable8262[#All],2,0)</f>
        <v>481024962</v>
      </c>
      <c r="V21" s="34">
        <f>VLOOKUP(CurrentMtgRatesDataTable8268459[[#This Row],[issueDate]],CurrentMtgRatesDataTable82673[#All],2,0)</f>
        <v>921049221</v>
      </c>
      <c r="W21" s="34">
        <f>VLOOKUP(CurrentMtgRatesDataTable8268459[[#This Row],[issueDate]],CurrentMtgRatesDataTable82684[#All],2,0)</f>
        <v>624561765</v>
      </c>
      <c r="X21" s="34">
        <f>VLOOKUP(CurrentMtgRatesDataTable8268459[[#This Row],[issueDate]],CurrentMtgRatesDataTable826845[#All],2,0)</f>
        <v>352145415</v>
      </c>
      <c r="Y21" s="41">
        <f>VLOOKUP(CurrentMtgRatesDataTable8268459[[#This Row],[issueDate]],CurrentMtgRatesDataTable8268451112[#All],2,0)</f>
        <v>54291644</v>
      </c>
      <c r="Z21" s="44">
        <f>SUM(CurrentMtgRatesDataTable8268459[[#This Row],[LowFICO]:[Geo]])/VLOOKUP(CurrentMtgRatesDataTable8268459[[#This Row],[issueDate]],CurrentMtgRatesDataTable826845111213[#All],2,0)</f>
        <v>0.30273059749044867</v>
      </c>
      <c r="AA21" s="41"/>
      <c r="AC21" s="18">
        <v>40909</v>
      </c>
      <c r="AD21">
        <v>1703727528</v>
      </c>
      <c r="AG21" s="18">
        <v>40909</v>
      </c>
      <c r="AH21">
        <v>364965834</v>
      </c>
      <c r="AJ21" s="18">
        <v>40909</v>
      </c>
      <c r="AK21">
        <v>54291644</v>
      </c>
      <c r="AM21" s="18">
        <v>40909</v>
      </c>
      <c r="AN21">
        <v>15694981721</v>
      </c>
    </row>
    <row r="22" spans="2:40">
      <c r="B22" s="18">
        <v>40940</v>
      </c>
      <c r="C22">
        <v>694514376</v>
      </c>
      <c r="E22" s="18">
        <v>40940</v>
      </c>
      <c r="F22">
        <v>939561221</v>
      </c>
      <c r="I22" s="18">
        <v>40940</v>
      </c>
      <c r="J22">
        <v>439284952</v>
      </c>
      <c r="M22" s="18">
        <v>40940</v>
      </c>
      <c r="N22">
        <v>235521397</v>
      </c>
      <c r="Q22" s="18">
        <v>40940</v>
      </c>
      <c r="R22" s="33">
        <v>424478328</v>
      </c>
      <c r="S22" s="31">
        <f>VLOOKUP(CurrentMtgRatesDataTable8268459[[#This Row],[issueDate]],CurrentMtgRatesDataTable82684510[#All],2,0)</f>
        <v>1209232918</v>
      </c>
      <c r="T22" s="31">
        <f>VLOOKUP(CurrentMtgRatesDataTable8268459[[#This Row],[issueDate]],CurrentMtgRatesDataTable82684511[#All],2,0)</f>
        <v>392505292</v>
      </c>
      <c r="U22" s="31">
        <f>VLOOKUP(CurrentMtgRatesDataTable8268459[[#This Row],[issueDate]],CurrentMtgRatesDataTable8262[#All],2,0)</f>
        <v>694514376</v>
      </c>
      <c r="V22" s="34">
        <f>VLOOKUP(CurrentMtgRatesDataTable8268459[[#This Row],[issueDate]],CurrentMtgRatesDataTable82673[#All],2,0)</f>
        <v>939561221</v>
      </c>
      <c r="W22" s="34">
        <f>VLOOKUP(CurrentMtgRatesDataTable8268459[[#This Row],[issueDate]],CurrentMtgRatesDataTable82684[#All],2,0)</f>
        <v>439284952</v>
      </c>
      <c r="X22" s="34">
        <f>VLOOKUP(CurrentMtgRatesDataTable8268459[[#This Row],[issueDate]],CurrentMtgRatesDataTable826845[#All],2,0)</f>
        <v>235521397</v>
      </c>
      <c r="Y22" s="41">
        <f>VLOOKUP(CurrentMtgRatesDataTable8268459[[#This Row],[issueDate]],CurrentMtgRatesDataTable8268451112[#All],2,0)</f>
        <v>52269782</v>
      </c>
      <c r="Z22" s="44">
        <f>SUM(CurrentMtgRatesDataTable8268459[[#This Row],[LowFICO]:[Geo]])/VLOOKUP(CurrentMtgRatesDataTable8268459[[#This Row],[issueDate]],CurrentMtgRatesDataTable826845111213[#All],2,0)</f>
        <v>0.1957321648705441</v>
      </c>
      <c r="AA22" s="41"/>
      <c r="AC22" s="18">
        <v>40940</v>
      </c>
      <c r="AD22">
        <v>1209232918</v>
      </c>
      <c r="AG22" s="18">
        <v>40940</v>
      </c>
      <c r="AH22">
        <v>392505292</v>
      </c>
      <c r="AJ22" s="18">
        <v>40940</v>
      </c>
      <c r="AK22">
        <v>52269782</v>
      </c>
      <c r="AM22" s="18">
        <v>40940</v>
      </c>
      <c r="AN22">
        <v>22415162418</v>
      </c>
    </row>
    <row r="23" spans="2:40">
      <c r="B23" s="18">
        <v>40969</v>
      </c>
      <c r="C23">
        <v>1432567702</v>
      </c>
      <c r="E23" s="18">
        <v>40969</v>
      </c>
      <c r="F23">
        <v>1110916153</v>
      </c>
      <c r="I23" s="18">
        <v>40969</v>
      </c>
      <c r="J23">
        <v>496209850</v>
      </c>
      <c r="M23" s="18">
        <v>40969</v>
      </c>
      <c r="N23">
        <v>284751576</v>
      </c>
      <c r="Q23" s="18">
        <v>40969</v>
      </c>
      <c r="R23" s="33">
        <v>211033753</v>
      </c>
      <c r="S23" s="31">
        <f>VLOOKUP(CurrentMtgRatesDataTable8268459[[#This Row],[issueDate]],CurrentMtgRatesDataTable82684510[#All],2,0)</f>
        <v>2573661013</v>
      </c>
      <c r="T23" s="31">
        <f>VLOOKUP(CurrentMtgRatesDataTable8268459[[#This Row],[issueDate]],CurrentMtgRatesDataTable82684511[#All],2,0)</f>
        <v>221491311</v>
      </c>
      <c r="U23" s="31">
        <f>VLOOKUP(CurrentMtgRatesDataTable8268459[[#This Row],[issueDate]],CurrentMtgRatesDataTable8262[#All],2,0)</f>
        <v>1432567702</v>
      </c>
      <c r="V23" s="34">
        <f>VLOOKUP(CurrentMtgRatesDataTable8268459[[#This Row],[issueDate]],CurrentMtgRatesDataTable82673[#All],2,0)</f>
        <v>1110916153</v>
      </c>
      <c r="W23" s="34">
        <f>VLOOKUP(CurrentMtgRatesDataTable8268459[[#This Row],[issueDate]],CurrentMtgRatesDataTable82684[#All],2,0)</f>
        <v>496209850</v>
      </c>
      <c r="X23" s="34">
        <f>VLOOKUP(CurrentMtgRatesDataTable8268459[[#This Row],[issueDate]],CurrentMtgRatesDataTable826845[#All],2,0)</f>
        <v>284751576</v>
      </c>
      <c r="Y23" s="41">
        <f>VLOOKUP(CurrentMtgRatesDataTable8268459[[#This Row],[issueDate]],CurrentMtgRatesDataTable8268451112[#All],2,0)</f>
        <v>63014008</v>
      </c>
      <c r="Z23" s="44">
        <f>SUM(CurrentMtgRatesDataTable8268459[[#This Row],[LowFICO]:[Geo]])/VLOOKUP(CurrentMtgRatesDataTable8268459[[#This Row],[issueDate]],CurrentMtgRatesDataTable826845111213[#All],2,0)</f>
        <v>0.3391056041443602</v>
      </c>
      <c r="AA23" s="41"/>
      <c r="AC23" s="18">
        <v>40969</v>
      </c>
      <c r="AD23">
        <v>2573661013</v>
      </c>
      <c r="AG23" s="18">
        <v>40969</v>
      </c>
      <c r="AH23">
        <v>221491311</v>
      </c>
      <c r="AJ23" s="18">
        <v>40969</v>
      </c>
      <c r="AK23">
        <v>63014008</v>
      </c>
      <c r="AM23" s="18">
        <v>40969</v>
      </c>
      <c r="AN23">
        <v>18854437343</v>
      </c>
    </row>
    <row r="24" spans="2:40">
      <c r="B24" s="18">
        <v>41000</v>
      </c>
      <c r="C24">
        <v>783181099</v>
      </c>
      <c r="E24" s="18">
        <v>41000</v>
      </c>
      <c r="F24">
        <v>2599076923</v>
      </c>
      <c r="I24" s="18">
        <v>41000</v>
      </c>
      <c r="J24">
        <v>840588831</v>
      </c>
      <c r="M24" s="18">
        <v>41000</v>
      </c>
      <c r="N24">
        <v>901244847</v>
      </c>
      <c r="Q24" s="18">
        <v>41000</v>
      </c>
      <c r="R24" s="33">
        <v>176166417</v>
      </c>
      <c r="S24" s="31">
        <f>VLOOKUP(CurrentMtgRatesDataTable8268459[[#This Row],[issueDate]],CurrentMtgRatesDataTable82684510[#All],2,0)</f>
        <v>2338105456</v>
      </c>
      <c r="T24" s="31">
        <f>VLOOKUP(CurrentMtgRatesDataTable8268459[[#This Row],[issueDate]],CurrentMtgRatesDataTable82684511[#All],2,0)</f>
        <v>79251770</v>
      </c>
      <c r="U24" s="31">
        <f>VLOOKUP(CurrentMtgRatesDataTable8268459[[#This Row],[issueDate]],CurrentMtgRatesDataTable8262[#All],2,0)</f>
        <v>783181099</v>
      </c>
      <c r="V24" s="34">
        <f>VLOOKUP(CurrentMtgRatesDataTable8268459[[#This Row],[issueDate]],CurrentMtgRatesDataTable82673[#All],2,0)</f>
        <v>2599076923</v>
      </c>
      <c r="W24" s="34">
        <f>VLOOKUP(CurrentMtgRatesDataTable8268459[[#This Row],[issueDate]],CurrentMtgRatesDataTable82684[#All],2,0)</f>
        <v>840588831</v>
      </c>
      <c r="X24" s="34">
        <f>VLOOKUP(CurrentMtgRatesDataTable8268459[[#This Row],[issueDate]],CurrentMtgRatesDataTable826845[#All],2,0)</f>
        <v>901244847</v>
      </c>
      <c r="Y24" s="41">
        <f>VLOOKUP(CurrentMtgRatesDataTable8268459[[#This Row],[issueDate]],CurrentMtgRatesDataTable8268451112[#All],2,0)</f>
        <v>124205849</v>
      </c>
      <c r="Z24" s="44">
        <f>SUM(CurrentMtgRatesDataTable8268459[[#This Row],[LowFICO]:[Geo]])/VLOOKUP(CurrentMtgRatesDataTable8268459[[#This Row],[issueDate]],CurrentMtgRatesDataTable826845111213[#All],2,0)</f>
        <v>0.49783647245419138</v>
      </c>
      <c r="AA24" s="41"/>
      <c r="AC24" s="18">
        <v>41000</v>
      </c>
      <c r="AD24">
        <v>2338105456</v>
      </c>
      <c r="AG24" s="18">
        <v>41000</v>
      </c>
      <c r="AH24">
        <v>79251770</v>
      </c>
      <c r="AJ24" s="18">
        <v>41000</v>
      </c>
      <c r="AK24">
        <v>124205849</v>
      </c>
      <c r="AM24" s="18">
        <v>41000</v>
      </c>
      <c r="AN24">
        <v>15751801296</v>
      </c>
    </row>
    <row r="25" spans="2:40">
      <c r="B25" s="18">
        <v>41030</v>
      </c>
      <c r="C25">
        <v>431813007</v>
      </c>
      <c r="E25" s="18">
        <v>41030</v>
      </c>
      <c r="F25">
        <v>1516431503</v>
      </c>
      <c r="I25" s="18">
        <v>41030</v>
      </c>
      <c r="J25">
        <v>899273747</v>
      </c>
      <c r="M25" s="18">
        <v>41030</v>
      </c>
      <c r="N25">
        <v>537905137</v>
      </c>
      <c r="Q25" s="18">
        <v>41030</v>
      </c>
      <c r="R25" s="33">
        <v>300581951</v>
      </c>
      <c r="S25" s="31">
        <f>VLOOKUP(CurrentMtgRatesDataTable8268459[[#This Row],[issueDate]],CurrentMtgRatesDataTable82684510[#All],2,0)</f>
        <v>1681103162</v>
      </c>
      <c r="T25" s="31">
        <f>VLOOKUP(CurrentMtgRatesDataTable8268459[[#This Row],[issueDate]],CurrentMtgRatesDataTable82684511[#All],2,0)</f>
        <v>158143994</v>
      </c>
      <c r="U25" s="31">
        <f>VLOOKUP(CurrentMtgRatesDataTable8268459[[#This Row],[issueDate]],CurrentMtgRatesDataTable8262[#All],2,0)</f>
        <v>431813007</v>
      </c>
      <c r="V25" s="34">
        <f>VLOOKUP(CurrentMtgRatesDataTable8268459[[#This Row],[issueDate]],CurrentMtgRatesDataTable82673[#All],2,0)</f>
        <v>1516431503</v>
      </c>
      <c r="W25" s="34">
        <f>VLOOKUP(CurrentMtgRatesDataTable8268459[[#This Row],[issueDate]],CurrentMtgRatesDataTable82684[#All],2,0)</f>
        <v>899273747</v>
      </c>
      <c r="X25" s="34">
        <f>VLOOKUP(CurrentMtgRatesDataTable8268459[[#This Row],[issueDate]],CurrentMtgRatesDataTable826845[#All],2,0)</f>
        <v>537905137</v>
      </c>
      <c r="Y25" s="41">
        <f>VLOOKUP(CurrentMtgRatesDataTable8268459[[#This Row],[issueDate]],CurrentMtgRatesDataTable8268451112[#All],2,0)</f>
        <v>161897985</v>
      </c>
      <c r="Z25" s="44">
        <f>SUM(CurrentMtgRatesDataTable8268459[[#This Row],[LowFICO]:[Geo]])/VLOOKUP(CurrentMtgRatesDataTable8268459[[#This Row],[issueDate]],CurrentMtgRatesDataTable826845111213[#All],2,0)</f>
        <v>0.46110076508478132</v>
      </c>
      <c r="AA25" s="41"/>
      <c r="AC25" s="18">
        <v>41030</v>
      </c>
      <c r="AD25">
        <v>1681103162</v>
      </c>
      <c r="AG25" s="18">
        <v>41030</v>
      </c>
      <c r="AH25">
        <v>158143994</v>
      </c>
      <c r="AJ25" s="18">
        <v>41030</v>
      </c>
      <c r="AK25">
        <v>161897985</v>
      </c>
      <c r="AM25" s="18">
        <v>41030</v>
      </c>
      <c r="AN25">
        <v>12333856104</v>
      </c>
    </row>
    <row r="26" spans="2:40">
      <c r="B26" s="18">
        <v>41061</v>
      </c>
      <c r="C26">
        <v>924148053</v>
      </c>
      <c r="E26" s="18">
        <v>41061</v>
      </c>
      <c r="F26">
        <v>1487524472</v>
      </c>
      <c r="I26" s="18">
        <v>41061</v>
      </c>
      <c r="J26">
        <v>563647435</v>
      </c>
      <c r="M26" s="18">
        <v>41061</v>
      </c>
      <c r="N26">
        <v>555820133</v>
      </c>
      <c r="Q26" s="18">
        <v>41061</v>
      </c>
      <c r="R26" s="33">
        <v>754235041</v>
      </c>
      <c r="S26" s="31">
        <f>VLOOKUP(CurrentMtgRatesDataTable8268459[[#This Row],[issueDate]],CurrentMtgRatesDataTable82684510[#All],2,0)</f>
        <v>2796071939</v>
      </c>
      <c r="T26" s="31">
        <f>VLOOKUP(CurrentMtgRatesDataTable8268459[[#This Row],[issueDate]],CurrentMtgRatesDataTable82684511[#All],2,0)</f>
        <v>165727950</v>
      </c>
      <c r="U26" s="31">
        <f>VLOOKUP(CurrentMtgRatesDataTable8268459[[#This Row],[issueDate]],CurrentMtgRatesDataTable8262[#All],2,0)</f>
        <v>924148053</v>
      </c>
      <c r="V26" s="34">
        <f>VLOOKUP(CurrentMtgRatesDataTable8268459[[#This Row],[issueDate]],CurrentMtgRatesDataTable82673[#All],2,0)</f>
        <v>1487524472</v>
      </c>
      <c r="W26" s="34">
        <f>VLOOKUP(CurrentMtgRatesDataTable8268459[[#This Row],[issueDate]],CurrentMtgRatesDataTable82684[#All],2,0)</f>
        <v>563647435</v>
      </c>
      <c r="X26" s="34">
        <f>VLOOKUP(CurrentMtgRatesDataTable8268459[[#This Row],[issueDate]],CurrentMtgRatesDataTable826845[#All],2,0)</f>
        <v>555820133</v>
      </c>
      <c r="Y26" s="41">
        <f>VLOOKUP(CurrentMtgRatesDataTable8268459[[#This Row],[issueDate]],CurrentMtgRatesDataTable8268451112[#All],2,0)</f>
        <v>199607036</v>
      </c>
      <c r="Z26" s="44">
        <f>SUM(CurrentMtgRatesDataTable8268459[[#This Row],[LowFICO]:[Geo]])/VLOOKUP(CurrentMtgRatesDataTable8268459[[#This Row],[issueDate]],CurrentMtgRatesDataTable826845111213[#All],2,0)</f>
        <v>0.3393538581078071</v>
      </c>
      <c r="AA26" s="41"/>
      <c r="AC26" s="18">
        <v>41061</v>
      </c>
      <c r="AD26">
        <v>2796071939</v>
      </c>
      <c r="AG26" s="18">
        <v>41061</v>
      </c>
      <c r="AH26">
        <v>165727950</v>
      </c>
      <c r="AJ26" s="18">
        <v>41061</v>
      </c>
      <c r="AK26">
        <v>199607036</v>
      </c>
      <c r="AM26" s="18">
        <v>41061</v>
      </c>
      <c r="AN26">
        <v>21944002937</v>
      </c>
    </row>
    <row r="27" spans="2:40">
      <c r="B27" s="18">
        <v>41091</v>
      </c>
      <c r="C27">
        <v>422568274</v>
      </c>
      <c r="E27" s="18">
        <v>41091</v>
      </c>
      <c r="F27">
        <v>1903998845</v>
      </c>
      <c r="I27" s="18">
        <v>41091</v>
      </c>
      <c r="J27">
        <v>1168688144</v>
      </c>
      <c r="M27" s="18">
        <v>41091</v>
      </c>
      <c r="N27">
        <v>285310235</v>
      </c>
      <c r="Q27" s="18">
        <v>41091</v>
      </c>
      <c r="R27" s="33">
        <v>216811738</v>
      </c>
      <c r="S27" s="31">
        <f>VLOOKUP(CurrentMtgRatesDataTable8268459[[#This Row],[issueDate]],CurrentMtgRatesDataTable82684510[#All],2,0)</f>
        <v>2016891803</v>
      </c>
      <c r="T27" s="31">
        <f>VLOOKUP(CurrentMtgRatesDataTable8268459[[#This Row],[issueDate]],CurrentMtgRatesDataTable82684511[#All],2,0)</f>
        <v>102241861</v>
      </c>
      <c r="U27" s="31">
        <f>VLOOKUP(CurrentMtgRatesDataTable8268459[[#This Row],[issueDate]],CurrentMtgRatesDataTable8262[#All],2,0)</f>
        <v>422568274</v>
      </c>
      <c r="V27" s="34">
        <f>VLOOKUP(CurrentMtgRatesDataTable8268459[[#This Row],[issueDate]],CurrentMtgRatesDataTable82673[#All],2,0)</f>
        <v>1903998845</v>
      </c>
      <c r="W27" s="34">
        <f>VLOOKUP(CurrentMtgRatesDataTable8268459[[#This Row],[issueDate]],CurrentMtgRatesDataTable82684[#All],2,0)</f>
        <v>1168688144</v>
      </c>
      <c r="X27" s="34">
        <f>VLOOKUP(CurrentMtgRatesDataTable8268459[[#This Row],[issueDate]],CurrentMtgRatesDataTable826845[#All],2,0)</f>
        <v>285310235</v>
      </c>
      <c r="Y27" s="41">
        <f>VLOOKUP(CurrentMtgRatesDataTable8268459[[#This Row],[issueDate]],CurrentMtgRatesDataTable8268451112[#All],2,0)</f>
        <v>106646749</v>
      </c>
      <c r="Z27" s="44">
        <f>SUM(CurrentMtgRatesDataTable8268459[[#This Row],[LowFICO]:[Geo]])/VLOOKUP(CurrentMtgRatesDataTable8268459[[#This Row],[issueDate]],CurrentMtgRatesDataTable826845111213[#All],2,0)</f>
        <v>0.39790547713328239</v>
      </c>
      <c r="AA27" s="41"/>
      <c r="AC27" s="18">
        <v>41091</v>
      </c>
      <c r="AD27">
        <v>2016891803</v>
      </c>
      <c r="AG27" s="18">
        <v>41091</v>
      </c>
      <c r="AH27">
        <v>102241861</v>
      </c>
      <c r="AJ27" s="18">
        <v>41091</v>
      </c>
      <c r="AK27">
        <v>106646749</v>
      </c>
      <c r="AM27" s="18">
        <v>41091</v>
      </c>
      <c r="AN27">
        <v>15639788861</v>
      </c>
    </row>
    <row r="28" spans="2:40">
      <c r="B28" s="18">
        <v>41122</v>
      </c>
      <c r="C28">
        <v>1280099553</v>
      </c>
      <c r="E28" s="18">
        <v>41122</v>
      </c>
      <c r="F28">
        <v>1849037123</v>
      </c>
      <c r="I28" s="18">
        <v>41122</v>
      </c>
      <c r="J28">
        <v>761129869</v>
      </c>
      <c r="M28" s="18">
        <v>41122</v>
      </c>
      <c r="N28">
        <v>556871423</v>
      </c>
      <c r="Q28" s="18">
        <v>41122</v>
      </c>
      <c r="R28" s="33">
        <v>957106174</v>
      </c>
      <c r="S28" s="31">
        <f>VLOOKUP(CurrentMtgRatesDataTable8268459[[#This Row],[issueDate]],CurrentMtgRatesDataTable82684510[#All],2,0)</f>
        <v>1840398841</v>
      </c>
      <c r="T28" s="31">
        <f>VLOOKUP(CurrentMtgRatesDataTable8268459[[#This Row],[issueDate]],CurrentMtgRatesDataTable82684511[#All],2,0)</f>
        <v>300232858</v>
      </c>
      <c r="U28" s="31">
        <f>VLOOKUP(CurrentMtgRatesDataTable8268459[[#This Row],[issueDate]],CurrentMtgRatesDataTable8262[#All],2,0)</f>
        <v>1280099553</v>
      </c>
      <c r="V28" s="34">
        <f>VLOOKUP(CurrentMtgRatesDataTable8268459[[#This Row],[issueDate]],CurrentMtgRatesDataTable82673[#All],2,0)</f>
        <v>1849037123</v>
      </c>
      <c r="W28" s="34">
        <f>VLOOKUP(CurrentMtgRatesDataTable8268459[[#This Row],[issueDate]],CurrentMtgRatesDataTable82684[#All],2,0)</f>
        <v>761129869</v>
      </c>
      <c r="X28" s="34">
        <f>VLOOKUP(CurrentMtgRatesDataTable8268459[[#This Row],[issueDate]],CurrentMtgRatesDataTable826845[#All],2,0)</f>
        <v>556871423</v>
      </c>
      <c r="Y28" s="41">
        <f>VLOOKUP(CurrentMtgRatesDataTable8268459[[#This Row],[issueDate]],CurrentMtgRatesDataTable8268451112[#All],2,0)</f>
        <v>276583347</v>
      </c>
      <c r="Z28" s="44">
        <f>SUM(CurrentMtgRatesDataTable8268459[[#This Row],[LowFICO]:[Geo]])/VLOOKUP(CurrentMtgRatesDataTable8268459[[#This Row],[issueDate]],CurrentMtgRatesDataTable826845111213[#All],2,0)</f>
        <v>0.35412146157341229</v>
      </c>
      <c r="AA28" s="41"/>
      <c r="AC28" s="18">
        <v>41122</v>
      </c>
      <c r="AD28">
        <v>1840398841</v>
      </c>
      <c r="AG28" s="18">
        <v>41122</v>
      </c>
      <c r="AH28">
        <v>300232858</v>
      </c>
      <c r="AJ28" s="18">
        <v>41122</v>
      </c>
      <c r="AK28">
        <v>276583347</v>
      </c>
      <c r="AM28" s="18">
        <v>41122</v>
      </c>
      <c r="AN28">
        <v>22086939191</v>
      </c>
    </row>
    <row r="29" spans="2:40">
      <c r="B29" s="18">
        <v>41153</v>
      </c>
      <c r="C29">
        <v>650094432</v>
      </c>
      <c r="E29" s="18">
        <v>41153</v>
      </c>
      <c r="F29">
        <v>1100396501</v>
      </c>
      <c r="I29" s="18">
        <v>41153</v>
      </c>
      <c r="J29">
        <v>506787994</v>
      </c>
      <c r="M29" s="18">
        <v>41153</v>
      </c>
      <c r="N29">
        <v>276309118</v>
      </c>
      <c r="Q29" s="18">
        <v>41153</v>
      </c>
      <c r="R29" s="33">
        <v>157536828</v>
      </c>
      <c r="S29" s="31">
        <f>VLOOKUP(CurrentMtgRatesDataTable8268459[[#This Row],[issueDate]],CurrentMtgRatesDataTable82684510[#All],2,0)</f>
        <v>1571080929</v>
      </c>
      <c r="T29" s="31">
        <f>VLOOKUP(CurrentMtgRatesDataTable8268459[[#This Row],[issueDate]],CurrentMtgRatesDataTable82684511[#All],2,0)</f>
        <v>319794876</v>
      </c>
      <c r="U29" s="31">
        <f>VLOOKUP(CurrentMtgRatesDataTable8268459[[#This Row],[issueDate]],CurrentMtgRatesDataTable8262[#All],2,0)</f>
        <v>650094432</v>
      </c>
      <c r="V29" s="34">
        <f>VLOOKUP(CurrentMtgRatesDataTable8268459[[#This Row],[issueDate]],CurrentMtgRatesDataTable82673[#All],2,0)</f>
        <v>1100396501</v>
      </c>
      <c r="W29" s="34">
        <f>VLOOKUP(CurrentMtgRatesDataTable8268459[[#This Row],[issueDate]],CurrentMtgRatesDataTable82684[#All],2,0)</f>
        <v>506787994</v>
      </c>
      <c r="X29" s="34">
        <f>VLOOKUP(CurrentMtgRatesDataTable8268459[[#This Row],[issueDate]],CurrentMtgRatesDataTable826845[#All],2,0)</f>
        <v>276309118</v>
      </c>
      <c r="Y29" s="41">
        <f>VLOOKUP(CurrentMtgRatesDataTable8268459[[#This Row],[issueDate]],CurrentMtgRatesDataTable8268451112[#All],2,0)</f>
        <v>71275658</v>
      </c>
      <c r="Z29" s="44">
        <f>SUM(CurrentMtgRatesDataTable8268459[[#This Row],[LowFICO]:[Geo]])/VLOOKUP(CurrentMtgRatesDataTable8268459[[#This Row],[issueDate]],CurrentMtgRatesDataTable826845111213[#All],2,0)</f>
        <v>0.25654469739358637</v>
      </c>
      <c r="AA29" s="41"/>
      <c r="AC29" s="18">
        <v>41153</v>
      </c>
      <c r="AD29">
        <v>1571080929</v>
      </c>
      <c r="AG29" s="18">
        <v>41153</v>
      </c>
      <c r="AH29">
        <v>319794876</v>
      </c>
      <c r="AJ29" s="18">
        <v>41153</v>
      </c>
      <c r="AK29">
        <v>71275658</v>
      </c>
      <c r="AM29" s="18">
        <v>41153</v>
      </c>
      <c r="AN29">
        <v>18138267457</v>
      </c>
    </row>
    <row r="30" spans="2:40">
      <c r="B30" s="18">
        <v>41183</v>
      </c>
      <c r="C30">
        <v>766751420</v>
      </c>
      <c r="E30" s="18">
        <v>41183</v>
      </c>
      <c r="F30">
        <v>1099206035</v>
      </c>
      <c r="I30" s="18">
        <v>41183</v>
      </c>
      <c r="J30">
        <v>753599550</v>
      </c>
      <c r="M30" s="18">
        <v>41183</v>
      </c>
      <c r="N30">
        <v>520579495</v>
      </c>
      <c r="Q30" s="18">
        <v>41183</v>
      </c>
      <c r="R30" s="33">
        <v>218074638</v>
      </c>
      <c r="S30" s="31">
        <f>VLOOKUP(CurrentMtgRatesDataTable8268459[[#This Row],[issueDate]],CurrentMtgRatesDataTable82684510[#All],2,0)</f>
        <v>1870149685</v>
      </c>
      <c r="T30" s="31">
        <f>VLOOKUP(CurrentMtgRatesDataTable8268459[[#This Row],[issueDate]],CurrentMtgRatesDataTable82684511[#All],2,0)</f>
        <v>201954271</v>
      </c>
      <c r="U30" s="31">
        <f>VLOOKUP(CurrentMtgRatesDataTable8268459[[#This Row],[issueDate]],CurrentMtgRatesDataTable8262[#All],2,0)</f>
        <v>766751420</v>
      </c>
      <c r="V30" s="34">
        <f>VLOOKUP(CurrentMtgRatesDataTable8268459[[#This Row],[issueDate]],CurrentMtgRatesDataTable82673[#All],2,0)</f>
        <v>1099206035</v>
      </c>
      <c r="W30" s="34">
        <f>VLOOKUP(CurrentMtgRatesDataTable8268459[[#This Row],[issueDate]],CurrentMtgRatesDataTable82684[#All],2,0)</f>
        <v>753599550</v>
      </c>
      <c r="X30" s="34">
        <f>VLOOKUP(CurrentMtgRatesDataTable8268459[[#This Row],[issueDate]],CurrentMtgRatesDataTable826845[#All],2,0)</f>
        <v>520579495</v>
      </c>
      <c r="Y30" s="41">
        <f>VLOOKUP(CurrentMtgRatesDataTable8268459[[#This Row],[issueDate]],CurrentMtgRatesDataTable8268451112[#All],2,0)</f>
        <v>88198188</v>
      </c>
      <c r="Z30" s="44">
        <f>SUM(CurrentMtgRatesDataTable8268459[[#This Row],[LowFICO]:[Geo]])/VLOOKUP(CurrentMtgRatesDataTable8268459[[#This Row],[issueDate]],CurrentMtgRatesDataTable826845111213[#All],2,0)</f>
        <v>0.21503699671489773</v>
      </c>
      <c r="AA30" s="41"/>
      <c r="AC30" s="18">
        <v>41183</v>
      </c>
      <c r="AD30">
        <v>1870149685</v>
      </c>
      <c r="AG30" s="18">
        <v>41183</v>
      </c>
      <c r="AH30">
        <v>201954271</v>
      </c>
      <c r="AJ30" s="18">
        <v>41183</v>
      </c>
      <c r="AK30">
        <v>88198188</v>
      </c>
      <c r="AM30" s="18">
        <v>41183</v>
      </c>
      <c r="AN30">
        <v>25663087591</v>
      </c>
    </row>
    <row r="31" spans="2:40">
      <c r="B31" s="18">
        <v>41214</v>
      </c>
      <c r="C31">
        <v>1079953024</v>
      </c>
      <c r="E31" s="18">
        <v>41214</v>
      </c>
      <c r="F31">
        <v>2870346254</v>
      </c>
      <c r="I31" s="18">
        <v>41214</v>
      </c>
      <c r="J31">
        <v>1414282538</v>
      </c>
      <c r="M31" s="18">
        <v>41214</v>
      </c>
      <c r="N31">
        <v>1067979219</v>
      </c>
      <c r="Q31" s="18">
        <v>41214</v>
      </c>
      <c r="R31" s="33">
        <v>425684827</v>
      </c>
      <c r="S31" s="31">
        <f>VLOOKUP(CurrentMtgRatesDataTable8268459[[#This Row],[issueDate]],CurrentMtgRatesDataTable82684510[#All],2,0)</f>
        <v>2677244239</v>
      </c>
      <c r="T31" s="31">
        <f>VLOOKUP(CurrentMtgRatesDataTable8268459[[#This Row],[issueDate]],CurrentMtgRatesDataTable82684511[#All],2,0)</f>
        <v>341683957</v>
      </c>
      <c r="U31" s="31">
        <f>VLOOKUP(CurrentMtgRatesDataTable8268459[[#This Row],[issueDate]],CurrentMtgRatesDataTable8262[#All],2,0)</f>
        <v>1079953024</v>
      </c>
      <c r="V31" s="34">
        <f>VLOOKUP(CurrentMtgRatesDataTable8268459[[#This Row],[issueDate]],CurrentMtgRatesDataTable82673[#All],2,0)</f>
        <v>2870346254</v>
      </c>
      <c r="W31" s="34">
        <f>VLOOKUP(CurrentMtgRatesDataTable8268459[[#This Row],[issueDate]],CurrentMtgRatesDataTable82684[#All],2,0)</f>
        <v>1414282538</v>
      </c>
      <c r="X31" s="34">
        <f>VLOOKUP(CurrentMtgRatesDataTable8268459[[#This Row],[issueDate]],CurrentMtgRatesDataTable826845[#All],2,0)</f>
        <v>1067979219</v>
      </c>
      <c r="Y31" s="41">
        <f>VLOOKUP(CurrentMtgRatesDataTable8268459[[#This Row],[issueDate]],CurrentMtgRatesDataTable8268451112[#All],2,0)</f>
        <v>156033740</v>
      </c>
      <c r="Z31" s="44">
        <f>SUM(CurrentMtgRatesDataTable8268459[[#This Row],[LowFICO]:[Geo]])/VLOOKUP(CurrentMtgRatesDataTable8268459[[#This Row],[issueDate]],CurrentMtgRatesDataTable826845111213[#All],2,0)</f>
        <v>0.29835799140107755</v>
      </c>
      <c r="AA31" s="41"/>
      <c r="AC31" s="18">
        <v>41214</v>
      </c>
      <c r="AD31">
        <v>2677244239</v>
      </c>
      <c r="AG31" s="18">
        <v>41214</v>
      </c>
      <c r="AH31">
        <v>341683957</v>
      </c>
      <c r="AJ31" s="18">
        <v>41214</v>
      </c>
      <c r="AK31">
        <v>156033740</v>
      </c>
      <c r="AM31" s="18">
        <v>41214</v>
      </c>
      <c r="AN31">
        <v>33628084674</v>
      </c>
    </row>
    <row r="32" spans="2:40">
      <c r="B32" s="18">
        <v>41244</v>
      </c>
      <c r="C32">
        <v>323067643</v>
      </c>
      <c r="E32" s="18">
        <v>41244</v>
      </c>
      <c r="F32">
        <v>919314440</v>
      </c>
      <c r="I32" s="18">
        <v>41244</v>
      </c>
      <c r="J32">
        <v>446521761</v>
      </c>
      <c r="M32" s="18">
        <v>41244</v>
      </c>
      <c r="N32">
        <v>328333635</v>
      </c>
      <c r="Q32" s="18">
        <v>41244</v>
      </c>
      <c r="R32" s="33">
        <v>65279143</v>
      </c>
      <c r="S32" s="31">
        <f>VLOOKUP(CurrentMtgRatesDataTable8268459[[#This Row],[issueDate]],CurrentMtgRatesDataTable82684510[#All],2,0)</f>
        <v>2462748002</v>
      </c>
      <c r="T32" s="31">
        <f>VLOOKUP(CurrentMtgRatesDataTable8268459[[#This Row],[issueDate]],CurrentMtgRatesDataTable82684511[#All],2,0)</f>
        <v>74308382</v>
      </c>
      <c r="U32" s="31">
        <f>VLOOKUP(CurrentMtgRatesDataTable8268459[[#This Row],[issueDate]],CurrentMtgRatesDataTable8262[#All],2,0)</f>
        <v>323067643</v>
      </c>
      <c r="V32" s="34">
        <f>VLOOKUP(CurrentMtgRatesDataTable8268459[[#This Row],[issueDate]],CurrentMtgRatesDataTable82673[#All],2,0)</f>
        <v>919314440</v>
      </c>
      <c r="W32" s="34">
        <f>VLOOKUP(CurrentMtgRatesDataTable8268459[[#This Row],[issueDate]],CurrentMtgRatesDataTable82684[#All],2,0)</f>
        <v>446521761</v>
      </c>
      <c r="X32" s="34">
        <f>VLOOKUP(CurrentMtgRatesDataTable8268459[[#This Row],[issueDate]],CurrentMtgRatesDataTable826845[#All],2,0)</f>
        <v>328333635</v>
      </c>
      <c r="Y32" s="41">
        <f>VLOOKUP(CurrentMtgRatesDataTable8268459[[#This Row],[issueDate]],CurrentMtgRatesDataTable8268451112[#All],2,0)</f>
        <v>10477615</v>
      </c>
      <c r="Z32" s="44">
        <f>SUM(CurrentMtgRatesDataTable8268459[[#This Row],[LowFICO]:[Geo]])/VLOOKUP(CurrentMtgRatesDataTable8268459[[#This Row],[issueDate]],CurrentMtgRatesDataTable826845111213[#All],2,0)</f>
        <v>0.30593065467658487</v>
      </c>
      <c r="AA32" s="41"/>
      <c r="AC32" s="18">
        <v>41244</v>
      </c>
      <c r="AD32">
        <v>2462748002</v>
      </c>
      <c r="AG32" s="18">
        <v>41244</v>
      </c>
      <c r="AH32">
        <v>74308382</v>
      </c>
      <c r="AJ32" s="18">
        <v>41244</v>
      </c>
      <c r="AK32">
        <v>10477615</v>
      </c>
      <c r="AM32" s="18">
        <v>41244</v>
      </c>
      <c r="AN32">
        <v>15134314101</v>
      </c>
    </row>
    <row r="33" spans="2:40">
      <c r="B33" s="18">
        <v>41275</v>
      </c>
      <c r="C33">
        <v>1153694950</v>
      </c>
      <c r="E33" s="18">
        <v>41275</v>
      </c>
      <c r="F33">
        <v>2188580792</v>
      </c>
      <c r="I33" s="18">
        <v>41275</v>
      </c>
      <c r="J33">
        <v>1032419961</v>
      </c>
      <c r="M33" s="18">
        <v>41275</v>
      </c>
      <c r="N33">
        <v>649508055</v>
      </c>
      <c r="Q33" s="18">
        <v>41275</v>
      </c>
      <c r="R33" s="33">
        <v>302688070</v>
      </c>
      <c r="S33" s="31">
        <f>VLOOKUP(CurrentMtgRatesDataTable8268459[[#This Row],[issueDate]],CurrentMtgRatesDataTable82684510[#All],2,0)</f>
        <v>5777830632</v>
      </c>
      <c r="T33" s="31">
        <f>VLOOKUP(CurrentMtgRatesDataTable8268459[[#This Row],[issueDate]],CurrentMtgRatesDataTable82684511[#All],2,0)</f>
        <v>484538977</v>
      </c>
      <c r="U33" s="31">
        <f>VLOOKUP(CurrentMtgRatesDataTable8268459[[#This Row],[issueDate]],CurrentMtgRatesDataTable8262[#All],2,0)</f>
        <v>1153694950</v>
      </c>
      <c r="V33" s="34">
        <f>VLOOKUP(CurrentMtgRatesDataTable8268459[[#This Row],[issueDate]],CurrentMtgRatesDataTable82673[#All],2,0)</f>
        <v>2188580792</v>
      </c>
      <c r="W33" s="34">
        <f>VLOOKUP(CurrentMtgRatesDataTable8268459[[#This Row],[issueDate]],CurrentMtgRatesDataTable82684[#All],2,0)</f>
        <v>1032419961</v>
      </c>
      <c r="X33" s="34">
        <f>VLOOKUP(CurrentMtgRatesDataTable8268459[[#This Row],[issueDate]],CurrentMtgRatesDataTable826845[#All],2,0)</f>
        <v>649508055</v>
      </c>
      <c r="Y33" s="41">
        <f>VLOOKUP(CurrentMtgRatesDataTable8268459[[#This Row],[issueDate]],CurrentMtgRatesDataTable8268451112[#All],2,0)</f>
        <v>130670077</v>
      </c>
      <c r="Z33" s="44">
        <f>SUM(CurrentMtgRatesDataTable8268459[[#This Row],[LowFICO]:[Geo]])/VLOOKUP(CurrentMtgRatesDataTable8268459[[#This Row],[issueDate]],CurrentMtgRatesDataTable826845111213[#All],2,0)</f>
        <v>0.48860036889260761</v>
      </c>
      <c r="AA33" s="41"/>
      <c r="AC33" s="18">
        <v>41275</v>
      </c>
      <c r="AD33">
        <v>5777830632</v>
      </c>
      <c r="AG33" s="18">
        <v>41275</v>
      </c>
      <c r="AH33">
        <v>484538977</v>
      </c>
      <c r="AJ33" s="18">
        <v>41275</v>
      </c>
      <c r="AK33">
        <v>130670077</v>
      </c>
      <c r="AM33" s="18">
        <v>41275</v>
      </c>
      <c r="AN33">
        <v>23986743073</v>
      </c>
    </row>
    <row r="34" spans="2:40">
      <c r="B34" s="18">
        <v>41306</v>
      </c>
      <c r="C34">
        <v>965876477</v>
      </c>
      <c r="E34" s="18">
        <v>41306</v>
      </c>
      <c r="F34">
        <v>1761491330</v>
      </c>
      <c r="I34" s="18">
        <v>41306</v>
      </c>
      <c r="J34">
        <v>934649695</v>
      </c>
      <c r="M34" s="18">
        <v>41306</v>
      </c>
      <c r="N34">
        <v>576476973</v>
      </c>
      <c r="Q34" s="18">
        <v>41306</v>
      </c>
      <c r="R34" s="33">
        <v>391369531</v>
      </c>
      <c r="S34" s="31">
        <f>VLOOKUP(CurrentMtgRatesDataTable8268459[[#This Row],[issueDate]],CurrentMtgRatesDataTable82684510[#All],2,0)</f>
        <v>4094575194</v>
      </c>
      <c r="T34" s="31">
        <f>VLOOKUP(CurrentMtgRatesDataTable8268459[[#This Row],[issueDate]],CurrentMtgRatesDataTable82684511[#All],2,0)</f>
        <v>667689851</v>
      </c>
      <c r="U34" s="31">
        <f>VLOOKUP(CurrentMtgRatesDataTable8268459[[#This Row],[issueDate]],CurrentMtgRatesDataTable8262[#All],2,0)</f>
        <v>965876477</v>
      </c>
      <c r="V34" s="34">
        <f>VLOOKUP(CurrentMtgRatesDataTable8268459[[#This Row],[issueDate]],CurrentMtgRatesDataTable82673[#All],2,0)</f>
        <v>1761491330</v>
      </c>
      <c r="W34" s="34">
        <f>VLOOKUP(CurrentMtgRatesDataTable8268459[[#This Row],[issueDate]],CurrentMtgRatesDataTable82684[#All],2,0)</f>
        <v>934649695</v>
      </c>
      <c r="X34" s="34">
        <f>VLOOKUP(CurrentMtgRatesDataTable8268459[[#This Row],[issueDate]],CurrentMtgRatesDataTable826845[#All],2,0)</f>
        <v>576476973</v>
      </c>
      <c r="Y34" s="41">
        <f>VLOOKUP(CurrentMtgRatesDataTable8268459[[#This Row],[issueDate]],CurrentMtgRatesDataTable8268451112[#All],2,0)</f>
        <v>120473845</v>
      </c>
      <c r="Z34" s="44">
        <f>SUM(CurrentMtgRatesDataTable8268459[[#This Row],[LowFICO]:[Geo]])/VLOOKUP(CurrentMtgRatesDataTable8268459[[#This Row],[issueDate]],CurrentMtgRatesDataTable826845111213[#All],2,0)</f>
        <v>0.40304422055183664</v>
      </c>
      <c r="AA34" s="41"/>
      <c r="AC34" s="18">
        <v>41306</v>
      </c>
      <c r="AD34">
        <v>4094575194</v>
      </c>
      <c r="AG34" s="18">
        <v>41306</v>
      </c>
      <c r="AH34">
        <v>667689851</v>
      </c>
      <c r="AJ34" s="18">
        <v>41306</v>
      </c>
      <c r="AK34">
        <v>120473845</v>
      </c>
      <c r="AM34" s="18">
        <v>41306</v>
      </c>
      <c r="AN34">
        <v>23601883890</v>
      </c>
    </row>
    <row r="35" spans="2:40">
      <c r="B35" s="18">
        <v>41334</v>
      </c>
      <c r="C35">
        <v>1040016439</v>
      </c>
      <c r="E35" s="18">
        <v>41334</v>
      </c>
      <c r="F35">
        <v>1740173965</v>
      </c>
      <c r="I35" s="18">
        <v>41334</v>
      </c>
      <c r="J35">
        <v>772513720</v>
      </c>
      <c r="M35" s="18">
        <v>41334</v>
      </c>
      <c r="N35">
        <v>511360508</v>
      </c>
      <c r="Q35" s="18">
        <v>41334</v>
      </c>
      <c r="R35" s="33">
        <v>346705946</v>
      </c>
      <c r="S35" s="31">
        <f>VLOOKUP(CurrentMtgRatesDataTable8268459[[#This Row],[issueDate]],CurrentMtgRatesDataTable82684510[#All],2,0)</f>
        <v>3704381214</v>
      </c>
      <c r="T35" s="31">
        <f>VLOOKUP(CurrentMtgRatesDataTable8268459[[#This Row],[issueDate]],CurrentMtgRatesDataTable82684511[#All],2,0)</f>
        <v>347026218</v>
      </c>
      <c r="U35" s="31">
        <f>VLOOKUP(CurrentMtgRatesDataTable8268459[[#This Row],[issueDate]],CurrentMtgRatesDataTable8262[#All],2,0)</f>
        <v>1040016439</v>
      </c>
      <c r="V35" s="34">
        <f>VLOOKUP(CurrentMtgRatesDataTable8268459[[#This Row],[issueDate]],CurrentMtgRatesDataTable82673[#All],2,0)</f>
        <v>1740173965</v>
      </c>
      <c r="W35" s="34">
        <f>VLOOKUP(CurrentMtgRatesDataTable8268459[[#This Row],[issueDate]],CurrentMtgRatesDataTable82684[#All],2,0)</f>
        <v>772513720</v>
      </c>
      <c r="X35" s="34">
        <f>VLOOKUP(CurrentMtgRatesDataTable8268459[[#This Row],[issueDate]],CurrentMtgRatesDataTable826845[#All],2,0)</f>
        <v>511360508</v>
      </c>
      <c r="Y35" s="41">
        <f>VLOOKUP(CurrentMtgRatesDataTable8268459[[#This Row],[issueDate]],CurrentMtgRatesDataTable8268451112[#All],2,0)</f>
        <v>163596203</v>
      </c>
      <c r="Z35" s="44">
        <f>SUM(CurrentMtgRatesDataTable8268459[[#This Row],[LowFICO]:[Geo]])/VLOOKUP(CurrentMtgRatesDataTable8268459[[#This Row],[issueDate]],CurrentMtgRatesDataTable826845111213[#All],2,0)</f>
        <v>0.29929784005709248</v>
      </c>
      <c r="AA35" s="41"/>
      <c r="AC35" s="18">
        <v>41334</v>
      </c>
      <c r="AD35">
        <v>3704381214</v>
      </c>
      <c r="AG35" s="18">
        <v>41334</v>
      </c>
      <c r="AH35">
        <v>347026218</v>
      </c>
      <c r="AJ35" s="18">
        <v>41334</v>
      </c>
      <c r="AK35">
        <v>163596203</v>
      </c>
      <c r="AM35" s="18">
        <v>41334</v>
      </c>
      <c r="AN35">
        <v>28820034957</v>
      </c>
    </row>
    <row r="36" spans="2:40">
      <c r="B36" s="18">
        <v>41365</v>
      </c>
      <c r="C36">
        <v>1274427398</v>
      </c>
      <c r="E36" s="18">
        <v>41365</v>
      </c>
      <c r="F36">
        <v>2177048004</v>
      </c>
      <c r="I36" s="18">
        <v>41365</v>
      </c>
      <c r="J36">
        <v>1025557151</v>
      </c>
      <c r="M36" s="18">
        <v>41365</v>
      </c>
      <c r="N36">
        <v>669261175</v>
      </c>
      <c r="Q36" s="18">
        <v>41365</v>
      </c>
      <c r="R36" s="33">
        <v>629333996</v>
      </c>
      <c r="S36" s="31">
        <f>VLOOKUP(CurrentMtgRatesDataTable8268459[[#This Row],[issueDate]],CurrentMtgRatesDataTable82684510[#All],2,0)</f>
        <v>4370178626</v>
      </c>
      <c r="T36" s="31">
        <f>VLOOKUP(CurrentMtgRatesDataTable8268459[[#This Row],[issueDate]],CurrentMtgRatesDataTable82684511[#All],2,0)</f>
        <v>673479406</v>
      </c>
      <c r="U36" s="31">
        <f>VLOOKUP(CurrentMtgRatesDataTable8268459[[#This Row],[issueDate]],CurrentMtgRatesDataTable8262[#All],2,0)</f>
        <v>1274427398</v>
      </c>
      <c r="V36" s="34">
        <f>VLOOKUP(CurrentMtgRatesDataTable8268459[[#This Row],[issueDate]],CurrentMtgRatesDataTable82673[#All],2,0)</f>
        <v>2177048004</v>
      </c>
      <c r="W36" s="34">
        <f>VLOOKUP(CurrentMtgRatesDataTable8268459[[#This Row],[issueDate]],CurrentMtgRatesDataTable82684[#All],2,0)</f>
        <v>1025557151</v>
      </c>
      <c r="X36" s="34">
        <f>VLOOKUP(CurrentMtgRatesDataTable8268459[[#This Row],[issueDate]],CurrentMtgRatesDataTable826845[#All],2,0)</f>
        <v>669261175</v>
      </c>
      <c r="Y36" s="41">
        <f>VLOOKUP(CurrentMtgRatesDataTable8268459[[#This Row],[issueDate]],CurrentMtgRatesDataTable8268451112[#All],2,0)</f>
        <v>372954455</v>
      </c>
      <c r="Z36" s="44">
        <f>SUM(CurrentMtgRatesDataTable8268459[[#This Row],[LowFICO]:[Geo]])/VLOOKUP(CurrentMtgRatesDataTable8268459[[#This Row],[issueDate]],CurrentMtgRatesDataTable826845111213[#All],2,0)</f>
        <v>0.41882471701145801</v>
      </c>
      <c r="AA36" s="41"/>
      <c r="AC36" s="18">
        <v>41365</v>
      </c>
      <c r="AD36">
        <v>4370178626</v>
      </c>
      <c r="AG36" s="18">
        <v>41365</v>
      </c>
      <c r="AH36">
        <v>673479406</v>
      </c>
      <c r="AJ36" s="18">
        <v>41365</v>
      </c>
      <c r="AK36">
        <v>372954455</v>
      </c>
      <c r="AM36" s="18">
        <v>41365</v>
      </c>
      <c r="AN36">
        <v>26722969673</v>
      </c>
    </row>
    <row r="37" spans="2:40">
      <c r="B37" s="18">
        <v>41395</v>
      </c>
      <c r="C37">
        <v>749272498</v>
      </c>
      <c r="E37" s="18">
        <v>41395</v>
      </c>
      <c r="F37">
        <v>1604123728</v>
      </c>
      <c r="I37" s="18">
        <v>41395</v>
      </c>
      <c r="J37">
        <v>885264199</v>
      </c>
      <c r="M37" s="18">
        <v>41395</v>
      </c>
      <c r="N37">
        <v>572072635</v>
      </c>
      <c r="Q37" s="18">
        <v>41395</v>
      </c>
      <c r="R37" s="33">
        <v>685828126</v>
      </c>
      <c r="S37" s="31">
        <f>VLOOKUP(CurrentMtgRatesDataTable8268459[[#This Row],[issueDate]],CurrentMtgRatesDataTable82684510[#All],2,0)</f>
        <v>3258601922</v>
      </c>
      <c r="T37" s="31">
        <f>VLOOKUP(CurrentMtgRatesDataTable8268459[[#This Row],[issueDate]],CurrentMtgRatesDataTable82684511[#All],2,0)</f>
        <v>708919283</v>
      </c>
      <c r="U37" s="31">
        <f>VLOOKUP(CurrentMtgRatesDataTable8268459[[#This Row],[issueDate]],CurrentMtgRatesDataTable8262[#All],2,0)</f>
        <v>749272498</v>
      </c>
      <c r="V37" s="34">
        <f>VLOOKUP(CurrentMtgRatesDataTable8268459[[#This Row],[issueDate]],CurrentMtgRatesDataTable82673[#All],2,0)</f>
        <v>1604123728</v>
      </c>
      <c r="W37" s="34">
        <f>VLOOKUP(CurrentMtgRatesDataTable8268459[[#This Row],[issueDate]],CurrentMtgRatesDataTable82684[#All],2,0)</f>
        <v>885264199</v>
      </c>
      <c r="X37" s="34">
        <f>VLOOKUP(CurrentMtgRatesDataTable8268459[[#This Row],[issueDate]],CurrentMtgRatesDataTable826845[#All],2,0)</f>
        <v>572072635</v>
      </c>
      <c r="Y37" s="41">
        <f>VLOOKUP(CurrentMtgRatesDataTable8268459[[#This Row],[issueDate]],CurrentMtgRatesDataTable8268451112[#All],2,0)</f>
        <v>207838058</v>
      </c>
      <c r="Z37" s="44">
        <f>SUM(CurrentMtgRatesDataTable8268459[[#This Row],[LowFICO]:[Geo]])/VLOOKUP(CurrentMtgRatesDataTable8268459[[#This Row],[issueDate]],CurrentMtgRatesDataTable826845111213[#All],2,0)</f>
        <v>0.39377600914853517</v>
      </c>
      <c r="AA37" s="41"/>
      <c r="AC37" s="18">
        <v>41395</v>
      </c>
      <c r="AD37">
        <v>3258601922</v>
      </c>
      <c r="AG37" s="18">
        <v>41395</v>
      </c>
      <c r="AH37">
        <v>708919283</v>
      </c>
      <c r="AJ37" s="18">
        <v>41395</v>
      </c>
      <c r="AK37">
        <v>207838058</v>
      </c>
      <c r="AM37" s="18">
        <v>41395</v>
      </c>
      <c r="AN37">
        <v>22022470256</v>
      </c>
    </row>
    <row r="38" spans="2:40">
      <c r="B38" s="18">
        <v>41426</v>
      </c>
      <c r="C38">
        <v>823694027</v>
      </c>
      <c r="E38" s="18">
        <v>41426</v>
      </c>
      <c r="F38">
        <v>1872625551</v>
      </c>
      <c r="I38" s="18">
        <v>41426</v>
      </c>
      <c r="J38">
        <v>974814228</v>
      </c>
      <c r="M38" s="18">
        <v>41426</v>
      </c>
      <c r="N38">
        <v>618395717</v>
      </c>
      <c r="Q38" s="18">
        <v>41426</v>
      </c>
      <c r="R38" s="33">
        <v>958510729</v>
      </c>
      <c r="S38" s="31">
        <f>VLOOKUP(CurrentMtgRatesDataTable8268459[[#This Row],[issueDate]],CurrentMtgRatesDataTable82684510[#All],2,0)</f>
        <v>3304624510</v>
      </c>
      <c r="T38" s="31">
        <f>VLOOKUP(CurrentMtgRatesDataTable8268459[[#This Row],[issueDate]],CurrentMtgRatesDataTable82684511[#All],2,0)</f>
        <v>748460873</v>
      </c>
      <c r="U38" s="31">
        <f>VLOOKUP(CurrentMtgRatesDataTable8268459[[#This Row],[issueDate]],CurrentMtgRatesDataTable8262[#All],2,0)</f>
        <v>823694027</v>
      </c>
      <c r="V38" s="34">
        <f>VLOOKUP(CurrentMtgRatesDataTable8268459[[#This Row],[issueDate]],CurrentMtgRatesDataTable82673[#All],2,0)</f>
        <v>1872625551</v>
      </c>
      <c r="W38" s="34">
        <f>VLOOKUP(CurrentMtgRatesDataTable8268459[[#This Row],[issueDate]],CurrentMtgRatesDataTable82684[#All],2,0)</f>
        <v>974814228</v>
      </c>
      <c r="X38" s="34">
        <f>VLOOKUP(CurrentMtgRatesDataTable8268459[[#This Row],[issueDate]],CurrentMtgRatesDataTable826845[#All],2,0)</f>
        <v>618395717</v>
      </c>
      <c r="Y38" s="41">
        <f>VLOOKUP(CurrentMtgRatesDataTable8268459[[#This Row],[issueDate]],CurrentMtgRatesDataTable8268451112[#All],2,0)</f>
        <v>456057803</v>
      </c>
      <c r="Z38" s="44">
        <f>SUM(CurrentMtgRatesDataTable8268459[[#This Row],[LowFICO]:[Geo]])/VLOOKUP(CurrentMtgRatesDataTable8268459[[#This Row],[issueDate]],CurrentMtgRatesDataTable826845111213[#All],2,0)</f>
        <v>0.35999748341511623</v>
      </c>
      <c r="AA38" s="41"/>
      <c r="AC38" s="18">
        <v>41426</v>
      </c>
      <c r="AD38">
        <v>3304624510</v>
      </c>
      <c r="AG38" s="18">
        <v>41426</v>
      </c>
      <c r="AH38">
        <v>748460873</v>
      </c>
      <c r="AJ38" s="18">
        <v>41426</v>
      </c>
      <c r="AK38">
        <v>456057803</v>
      </c>
      <c r="AM38" s="18">
        <v>41426</v>
      </c>
      <c r="AN38">
        <v>27103476795</v>
      </c>
    </row>
    <row r="39" spans="2:40">
      <c r="B39" s="18">
        <v>41456</v>
      </c>
      <c r="C39">
        <v>294929685</v>
      </c>
      <c r="E39" s="18">
        <v>41456</v>
      </c>
      <c r="F39">
        <v>724839754</v>
      </c>
      <c r="I39" s="30">
        <v>41456</v>
      </c>
      <c r="J39" s="5">
        <v>473494457</v>
      </c>
      <c r="M39" s="30">
        <v>41456</v>
      </c>
      <c r="N39" s="5">
        <v>307366675</v>
      </c>
      <c r="Q39" s="30">
        <v>41456</v>
      </c>
      <c r="R39" s="35">
        <v>342006726</v>
      </c>
      <c r="S39" s="31">
        <f>VLOOKUP(CurrentMtgRatesDataTable8268459[[#This Row],[issueDate]],CurrentMtgRatesDataTable82684510[#All],2,0)</f>
        <v>1897384414</v>
      </c>
      <c r="T39" s="31">
        <f>VLOOKUP(CurrentMtgRatesDataTable8268459[[#This Row],[issueDate]],CurrentMtgRatesDataTable82684511[#All],2,0)</f>
        <v>325931943</v>
      </c>
      <c r="U39" s="31">
        <f>VLOOKUP(CurrentMtgRatesDataTable8268459[[#This Row],[issueDate]],CurrentMtgRatesDataTable8262[#All],2,0)</f>
        <v>294929685</v>
      </c>
      <c r="V39" s="34">
        <f>VLOOKUP(CurrentMtgRatesDataTable8268459[[#This Row],[issueDate]],CurrentMtgRatesDataTable82673[#All],2,0)</f>
        <v>724839754</v>
      </c>
      <c r="W39" s="34">
        <f>VLOOKUP(CurrentMtgRatesDataTable8268459[[#This Row],[issueDate]],CurrentMtgRatesDataTable82684[#All],2,0)</f>
        <v>473494457</v>
      </c>
      <c r="X39" s="34">
        <f>VLOOKUP(CurrentMtgRatesDataTable8268459[[#This Row],[issueDate]],CurrentMtgRatesDataTable826845[#All],2,0)</f>
        <v>307366675</v>
      </c>
      <c r="Y39" s="41">
        <f>VLOOKUP(CurrentMtgRatesDataTable8268459[[#This Row],[issueDate]],CurrentMtgRatesDataTable8268451112[#All],2,0)</f>
        <v>91036077</v>
      </c>
      <c r="Z39" s="44">
        <f>SUM(CurrentMtgRatesDataTable8268459[[#This Row],[LowFICO]:[Geo]])/VLOOKUP(CurrentMtgRatesDataTable8268459[[#This Row],[issueDate]],CurrentMtgRatesDataTable826845111213[#All],2,0)</f>
        <v>0.19181334576097661</v>
      </c>
      <c r="AA39" s="41"/>
      <c r="AC39" s="30">
        <v>41456</v>
      </c>
      <c r="AD39" s="5">
        <v>1897384414</v>
      </c>
      <c r="AE39" s="5"/>
      <c r="AG39" s="30">
        <v>41456</v>
      </c>
      <c r="AH39" s="5">
        <v>325931943</v>
      </c>
      <c r="AJ39" s="30">
        <v>41456</v>
      </c>
      <c r="AK39" s="5">
        <v>91036077</v>
      </c>
      <c r="AM39" s="30">
        <v>41456</v>
      </c>
      <c r="AN39" s="5">
        <v>23236077309</v>
      </c>
    </row>
    <row r="40" spans="2:40">
      <c r="B40" s="18">
        <v>41487</v>
      </c>
      <c r="C40" s="19">
        <v>527418474</v>
      </c>
      <c r="E40" s="18">
        <v>41487</v>
      </c>
      <c r="F40" s="19">
        <v>1222228346</v>
      </c>
      <c r="I40" s="18">
        <v>41487</v>
      </c>
      <c r="J40" s="19">
        <v>718466297</v>
      </c>
      <c r="M40" s="18">
        <v>41487</v>
      </c>
      <c r="N40" s="19">
        <v>482384748</v>
      </c>
      <c r="Q40" s="18">
        <v>41487</v>
      </c>
      <c r="R40" s="33">
        <v>600863761</v>
      </c>
      <c r="S40" s="31">
        <f>VLOOKUP(CurrentMtgRatesDataTable8268459[[#This Row],[issueDate]],CurrentMtgRatesDataTable82684510[#All],2,0)</f>
        <v>1679370438</v>
      </c>
      <c r="T40" s="31">
        <f>VLOOKUP(CurrentMtgRatesDataTable8268459[[#This Row],[issueDate]],CurrentMtgRatesDataTable82684511[#All],2,0)</f>
        <v>244543132</v>
      </c>
      <c r="U40" s="31">
        <f>VLOOKUP(CurrentMtgRatesDataTable8268459[[#This Row],[issueDate]],CurrentMtgRatesDataTable8262[#All],2,0)</f>
        <v>527418474</v>
      </c>
      <c r="V40" s="34">
        <f>VLOOKUP(CurrentMtgRatesDataTable8268459[[#This Row],[issueDate]],CurrentMtgRatesDataTable82673[#All],2,0)</f>
        <v>1222228346</v>
      </c>
      <c r="W40" s="34">
        <f>VLOOKUP(CurrentMtgRatesDataTable8268459[[#This Row],[issueDate]],CurrentMtgRatesDataTable82684[#All],2,0)</f>
        <v>718466297</v>
      </c>
      <c r="X40" s="34">
        <f>VLOOKUP(CurrentMtgRatesDataTable8268459[[#This Row],[issueDate]],CurrentMtgRatesDataTable826845[#All],2,0)</f>
        <v>482384748</v>
      </c>
      <c r="Y40" s="41">
        <f>VLOOKUP(CurrentMtgRatesDataTable8268459[[#This Row],[issueDate]],CurrentMtgRatesDataTable8268451112[#All],2,0)</f>
        <v>234150216</v>
      </c>
      <c r="Z40" s="44">
        <f>SUM(CurrentMtgRatesDataTable8268459[[#This Row],[LowFICO]:[Geo]])/VLOOKUP(CurrentMtgRatesDataTable8268459[[#This Row],[issueDate]],CurrentMtgRatesDataTable826845111213[#All],2,0)</f>
        <v>0.24985863059502511</v>
      </c>
      <c r="AA40" s="41"/>
      <c r="AC40" s="18">
        <v>41487</v>
      </c>
      <c r="AD40" s="19">
        <v>1679370438</v>
      </c>
      <c r="AE40" s="19"/>
      <c r="AG40" s="18">
        <v>41487</v>
      </c>
      <c r="AH40" s="19">
        <v>244543132</v>
      </c>
      <c r="AJ40" s="18">
        <v>41487</v>
      </c>
      <c r="AK40" s="19">
        <v>234150216</v>
      </c>
      <c r="AM40" s="18">
        <v>41487</v>
      </c>
      <c r="AN40" s="19">
        <v>22850623164</v>
      </c>
    </row>
    <row r="41" spans="2:40">
      <c r="B41" s="18">
        <v>41518</v>
      </c>
      <c r="C41" s="19">
        <v>339118027</v>
      </c>
      <c r="E41" s="18">
        <v>41518</v>
      </c>
      <c r="F41" s="19">
        <v>969494279</v>
      </c>
      <c r="I41" s="18">
        <v>41518</v>
      </c>
      <c r="J41" s="19">
        <v>496634805</v>
      </c>
      <c r="M41" s="18">
        <v>41518</v>
      </c>
      <c r="N41" s="19">
        <v>337814511</v>
      </c>
      <c r="Q41" s="18">
        <v>41518</v>
      </c>
      <c r="R41" s="33">
        <v>378113874</v>
      </c>
      <c r="S41" s="31">
        <f>VLOOKUP(CurrentMtgRatesDataTable8268459[[#This Row],[issueDate]],CurrentMtgRatesDataTable82684510[#All],2,0)</f>
        <v>856762504</v>
      </c>
      <c r="T41" s="31">
        <f>VLOOKUP(CurrentMtgRatesDataTable8268459[[#This Row],[issueDate]],CurrentMtgRatesDataTable82684511[#All],2,0)</f>
        <v>129615075</v>
      </c>
      <c r="U41" s="31">
        <f>VLOOKUP(CurrentMtgRatesDataTable8268459[[#This Row],[issueDate]],CurrentMtgRatesDataTable8262[#All],2,0)</f>
        <v>339118027</v>
      </c>
      <c r="V41" s="34">
        <f>VLOOKUP(CurrentMtgRatesDataTable8268459[[#This Row],[issueDate]],CurrentMtgRatesDataTable82673[#All],2,0)</f>
        <v>969494279</v>
      </c>
      <c r="W41" s="34">
        <f>VLOOKUP(CurrentMtgRatesDataTable8268459[[#This Row],[issueDate]],CurrentMtgRatesDataTable82684[#All],2,0)</f>
        <v>496634805</v>
      </c>
      <c r="X41" s="34">
        <f>VLOOKUP(CurrentMtgRatesDataTable8268459[[#This Row],[issueDate]],CurrentMtgRatesDataTable826845[#All],2,0)</f>
        <v>337814511</v>
      </c>
      <c r="Y41" s="41">
        <f>VLOOKUP(CurrentMtgRatesDataTable8268459[[#This Row],[issueDate]],CurrentMtgRatesDataTable8268451112[#All],2,0)</f>
        <v>81738741</v>
      </c>
      <c r="Z41" s="44">
        <f>SUM(CurrentMtgRatesDataTable8268459[[#This Row],[LowFICO]:[Geo]])/VLOOKUP(CurrentMtgRatesDataTable8268459[[#This Row],[issueDate]],CurrentMtgRatesDataTable826845111213[#All],2,0)</f>
        <v>0.22537018838973341</v>
      </c>
      <c r="AA41" s="41"/>
      <c r="AC41" s="18">
        <v>41518</v>
      </c>
      <c r="AD41" s="19">
        <v>856762504</v>
      </c>
      <c r="AE41" s="19"/>
      <c r="AG41" s="18">
        <v>41518</v>
      </c>
      <c r="AH41" s="19">
        <v>129615075</v>
      </c>
      <c r="AJ41" s="18">
        <v>41518</v>
      </c>
      <c r="AK41" s="19">
        <v>81738741</v>
      </c>
      <c r="AM41" s="18">
        <v>41518</v>
      </c>
      <c r="AN41" s="19">
        <v>15926204977</v>
      </c>
    </row>
    <row r="42" spans="2:40">
      <c r="B42" s="18">
        <v>41548</v>
      </c>
      <c r="C42" s="19">
        <v>533602047</v>
      </c>
      <c r="E42" s="18">
        <v>41548</v>
      </c>
      <c r="F42" s="19">
        <v>1033080312</v>
      </c>
      <c r="I42" s="18">
        <v>41548</v>
      </c>
      <c r="J42" s="19">
        <v>518565474</v>
      </c>
      <c r="M42" s="18">
        <v>41548</v>
      </c>
      <c r="N42" s="19">
        <v>339396119</v>
      </c>
      <c r="Q42" s="18">
        <v>41548</v>
      </c>
      <c r="R42" s="33">
        <v>297823567</v>
      </c>
      <c r="S42" s="31">
        <f>VLOOKUP(CurrentMtgRatesDataTable8268459[[#This Row],[issueDate]],CurrentMtgRatesDataTable82684510[#All],2,0)</f>
        <v>659821602</v>
      </c>
      <c r="T42" s="31">
        <f>VLOOKUP(CurrentMtgRatesDataTable8268459[[#This Row],[issueDate]],CurrentMtgRatesDataTable82684511[#All],2,0)</f>
        <v>107752807</v>
      </c>
      <c r="U42" s="31">
        <f>VLOOKUP(CurrentMtgRatesDataTable8268459[[#This Row],[issueDate]],CurrentMtgRatesDataTable8262[#All],2,0)</f>
        <v>533602047</v>
      </c>
      <c r="V42" s="34">
        <f>VLOOKUP(CurrentMtgRatesDataTable8268459[[#This Row],[issueDate]],CurrentMtgRatesDataTable82673[#All],2,0)</f>
        <v>1033080312</v>
      </c>
      <c r="W42" s="34">
        <f>VLOOKUP(CurrentMtgRatesDataTable8268459[[#This Row],[issueDate]],CurrentMtgRatesDataTable82684[#All],2,0)</f>
        <v>518565474</v>
      </c>
      <c r="X42" s="34">
        <f>VLOOKUP(CurrentMtgRatesDataTable8268459[[#This Row],[issueDate]],CurrentMtgRatesDataTable826845[#All],2,0)</f>
        <v>339396119</v>
      </c>
      <c r="Y42" s="41">
        <f>VLOOKUP(CurrentMtgRatesDataTable8268459[[#This Row],[issueDate]],CurrentMtgRatesDataTable8268451112[#All],2,0)</f>
        <v>113660465</v>
      </c>
      <c r="Z42" s="44">
        <f>SUM(CurrentMtgRatesDataTable8268459[[#This Row],[LowFICO]:[Geo]])/VLOOKUP(CurrentMtgRatesDataTable8268459[[#This Row],[issueDate]],CurrentMtgRatesDataTable826845111213[#All],2,0)</f>
        <v>0.27284594011771762</v>
      </c>
      <c r="AA42" s="41"/>
      <c r="AC42" s="18">
        <v>41548</v>
      </c>
      <c r="AD42" s="19">
        <v>659821602</v>
      </c>
      <c r="AE42" s="19"/>
      <c r="AG42" s="18">
        <v>41548</v>
      </c>
      <c r="AH42" s="19">
        <v>107752807</v>
      </c>
      <c r="AJ42" s="18">
        <v>41548</v>
      </c>
      <c r="AK42" s="19">
        <v>113660465</v>
      </c>
      <c r="AM42" s="18">
        <v>41548</v>
      </c>
      <c r="AN42" s="19">
        <v>13207828533</v>
      </c>
    </row>
    <row r="43" spans="2:40">
      <c r="B43" s="18">
        <v>41579</v>
      </c>
      <c r="C43" s="19">
        <v>517808774.26999998</v>
      </c>
      <c r="E43" s="18">
        <v>41579</v>
      </c>
      <c r="F43" s="19">
        <v>1112618776.6199999</v>
      </c>
      <c r="I43" s="18">
        <v>41579</v>
      </c>
      <c r="J43" s="19">
        <v>600081537.82000005</v>
      </c>
      <c r="M43" s="18">
        <v>41579</v>
      </c>
      <c r="N43" s="19">
        <v>496993173.5</v>
      </c>
      <c r="Q43" s="18">
        <v>41579</v>
      </c>
      <c r="R43" s="33">
        <v>367282582.73000002</v>
      </c>
      <c r="S43" s="31">
        <f>VLOOKUP(CurrentMtgRatesDataTable8268459[[#This Row],[issueDate]],CurrentMtgRatesDataTable82684510[#All],2,0)</f>
        <v>711255870</v>
      </c>
      <c r="T43" s="31">
        <f>VLOOKUP(CurrentMtgRatesDataTable8268459[[#This Row],[issueDate]],CurrentMtgRatesDataTable82684511[#All],2,0)</f>
        <v>195748557</v>
      </c>
      <c r="U43" s="31">
        <f>VLOOKUP(CurrentMtgRatesDataTable8268459[[#This Row],[issueDate]],CurrentMtgRatesDataTable8262[#All],2,0)</f>
        <v>517808774.26999998</v>
      </c>
      <c r="V43" s="34">
        <f>VLOOKUP(CurrentMtgRatesDataTable8268459[[#This Row],[issueDate]],CurrentMtgRatesDataTable82673[#All],2,0)</f>
        <v>1112618776.6199999</v>
      </c>
      <c r="W43" s="34">
        <f>VLOOKUP(CurrentMtgRatesDataTable8268459[[#This Row],[issueDate]],CurrentMtgRatesDataTable82684[#All],2,0)</f>
        <v>600081537.82000005</v>
      </c>
      <c r="X43" s="34">
        <f>VLOOKUP(CurrentMtgRatesDataTable8268459[[#This Row],[issueDate]],CurrentMtgRatesDataTable826845[#All],2,0)</f>
        <v>496993173.5</v>
      </c>
      <c r="Y43" s="41">
        <f>VLOOKUP(CurrentMtgRatesDataTable8268459[[#This Row],[issueDate]],CurrentMtgRatesDataTable8268451112[#All],2,0)</f>
        <v>66541224</v>
      </c>
      <c r="Z43" s="44">
        <f>SUM(CurrentMtgRatesDataTable8268459[[#This Row],[LowFICO]:[Geo]])/VLOOKUP(CurrentMtgRatesDataTable8268459[[#This Row],[issueDate]],CurrentMtgRatesDataTable826845111213[#All],2,0)</f>
        <v>0.27401002985482742</v>
      </c>
      <c r="AA43" s="41"/>
      <c r="AC43" s="18">
        <v>41579</v>
      </c>
      <c r="AD43" s="19">
        <v>711255870</v>
      </c>
      <c r="AE43" s="19"/>
      <c r="AG43" s="18">
        <v>41579</v>
      </c>
      <c r="AH43" s="19">
        <v>195748557</v>
      </c>
      <c r="AJ43" s="18">
        <v>41579</v>
      </c>
      <c r="AK43" s="19">
        <v>66541224</v>
      </c>
      <c r="AM43" s="18">
        <v>41579</v>
      </c>
      <c r="AN43" s="19">
        <v>14847378025.16</v>
      </c>
    </row>
    <row r="44" spans="2:40">
      <c r="B44" s="18">
        <v>41609</v>
      </c>
      <c r="C44" s="19">
        <v>473670403</v>
      </c>
      <c r="E44" s="18">
        <v>41609</v>
      </c>
      <c r="F44" s="19">
        <v>971802304</v>
      </c>
      <c r="I44" s="18">
        <v>41609</v>
      </c>
      <c r="J44" s="19">
        <v>447863769</v>
      </c>
      <c r="M44" s="18">
        <v>41609</v>
      </c>
      <c r="N44" s="19">
        <v>349665431</v>
      </c>
      <c r="Q44" s="18">
        <v>41609</v>
      </c>
      <c r="R44" s="33">
        <v>444587468</v>
      </c>
      <c r="S44" s="31">
        <f>VLOOKUP(CurrentMtgRatesDataTable8268459[[#This Row],[issueDate]],CurrentMtgRatesDataTable82684510[#All],2,0)</f>
        <v>281150652</v>
      </c>
      <c r="T44" s="31">
        <f>VLOOKUP(CurrentMtgRatesDataTable8268459[[#This Row],[issueDate]],CurrentMtgRatesDataTable82684511[#All],2,0)</f>
        <v>125770526</v>
      </c>
      <c r="U44" s="31">
        <f>VLOOKUP(CurrentMtgRatesDataTable8268459[[#This Row],[issueDate]],CurrentMtgRatesDataTable8262[#All],2,0)</f>
        <v>473670403</v>
      </c>
      <c r="V44" s="34">
        <f>VLOOKUP(CurrentMtgRatesDataTable8268459[[#This Row],[issueDate]],CurrentMtgRatesDataTable82673[#All],2,0)</f>
        <v>971802304</v>
      </c>
      <c r="W44" s="34">
        <f>VLOOKUP(CurrentMtgRatesDataTable8268459[[#This Row],[issueDate]],CurrentMtgRatesDataTable82684[#All],2,0)</f>
        <v>447863769</v>
      </c>
      <c r="X44" s="34">
        <f>VLOOKUP(CurrentMtgRatesDataTable8268459[[#This Row],[issueDate]],CurrentMtgRatesDataTable826845[#All],2,0)</f>
        <v>349665431</v>
      </c>
      <c r="Y44" s="41">
        <f>VLOOKUP(CurrentMtgRatesDataTable8268459[[#This Row],[issueDate]],CurrentMtgRatesDataTable8268451112[#All],2,0)</f>
        <v>58135544</v>
      </c>
      <c r="Z44" s="44">
        <f>SUM(CurrentMtgRatesDataTable8268459[[#This Row],[LowFICO]:[Geo]])/VLOOKUP(CurrentMtgRatesDataTable8268459[[#This Row],[issueDate]],CurrentMtgRatesDataTable826845111213[#All],2,0)</f>
        <v>0.21088650686060187</v>
      </c>
      <c r="AA44" s="41"/>
      <c r="AC44" s="18">
        <v>41609</v>
      </c>
      <c r="AD44" s="19">
        <v>281150652</v>
      </c>
      <c r="AE44" s="19"/>
      <c r="AG44" s="18">
        <v>41609</v>
      </c>
      <c r="AH44" s="19">
        <v>125770526</v>
      </c>
      <c r="AJ44" s="18">
        <v>41609</v>
      </c>
      <c r="AK44" s="19">
        <v>58135544</v>
      </c>
      <c r="AM44" s="18">
        <v>41609</v>
      </c>
      <c r="AN44" s="19">
        <v>14949491761.860001</v>
      </c>
    </row>
    <row r="45" spans="2:40">
      <c r="B45" s="18">
        <v>41640</v>
      </c>
      <c r="C45" s="19">
        <v>392185452.11000001</v>
      </c>
      <c r="E45" s="18">
        <v>41640</v>
      </c>
      <c r="F45" s="19">
        <v>851993681</v>
      </c>
      <c r="I45" s="18">
        <v>41640</v>
      </c>
      <c r="J45" s="19">
        <v>463773413</v>
      </c>
      <c r="M45" s="18">
        <v>41640</v>
      </c>
      <c r="N45" s="19">
        <v>325439666</v>
      </c>
      <c r="Q45" s="18">
        <v>41640</v>
      </c>
      <c r="R45" s="33">
        <v>192639413</v>
      </c>
      <c r="S45" s="31">
        <f>VLOOKUP(CurrentMtgRatesDataTable8268459[[#This Row],[issueDate]],CurrentMtgRatesDataTable82684510[#All],2,0)</f>
        <v>516748166</v>
      </c>
      <c r="T45" s="31">
        <f>VLOOKUP(CurrentMtgRatesDataTable8268459[[#This Row],[issueDate]],CurrentMtgRatesDataTable82684511[#All],2,0)</f>
        <v>63334259</v>
      </c>
      <c r="U45" s="31">
        <f>VLOOKUP(CurrentMtgRatesDataTable8268459[[#This Row],[issueDate]],CurrentMtgRatesDataTable8262[#All],2,0)</f>
        <v>392185452.11000001</v>
      </c>
      <c r="V45" s="34">
        <f>VLOOKUP(CurrentMtgRatesDataTable8268459[[#This Row],[issueDate]],CurrentMtgRatesDataTable82673[#All],2,0)</f>
        <v>851993681</v>
      </c>
      <c r="W45" s="34">
        <f>VLOOKUP(CurrentMtgRatesDataTable8268459[[#This Row],[issueDate]],CurrentMtgRatesDataTable82684[#All],2,0)</f>
        <v>463773413</v>
      </c>
      <c r="X45" s="34">
        <f>VLOOKUP(CurrentMtgRatesDataTable8268459[[#This Row],[issueDate]],CurrentMtgRatesDataTable826845[#All],2,0)</f>
        <v>325439666</v>
      </c>
      <c r="Y45" s="41">
        <f>VLOOKUP(CurrentMtgRatesDataTable8268459[[#This Row],[issueDate]],CurrentMtgRatesDataTable8268451112[#All],2,0)</f>
        <v>20225038</v>
      </c>
      <c r="Z45" s="44">
        <f>SUM(CurrentMtgRatesDataTable8268459[[#This Row],[LowFICO]:[Geo]])/VLOOKUP(CurrentMtgRatesDataTable8268459[[#This Row],[issueDate]],CurrentMtgRatesDataTable826845111213[#All],2,0)</f>
        <v>0.21262372464391849</v>
      </c>
      <c r="AA45" s="41"/>
      <c r="AC45" s="18">
        <v>41640</v>
      </c>
      <c r="AD45" s="19">
        <v>516748166</v>
      </c>
      <c r="AE45" s="19"/>
      <c r="AG45" s="18">
        <v>41640</v>
      </c>
      <c r="AH45" s="19">
        <v>63334259</v>
      </c>
      <c r="AJ45" s="18">
        <v>41640</v>
      </c>
      <c r="AK45" s="19">
        <v>20225038</v>
      </c>
      <c r="AM45" s="18">
        <v>41640</v>
      </c>
      <c r="AN45" s="19">
        <v>13292679793.110001</v>
      </c>
    </row>
    <row r="46" spans="2:40">
      <c r="B46" s="18">
        <v>41671</v>
      </c>
      <c r="C46" s="19">
        <v>550404607.47000003</v>
      </c>
      <c r="E46" s="18">
        <v>41671</v>
      </c>
      <c r="F46" s="19">
        <v>946979755.24000001</v>
      </c>
      <c r="I46" s="18">
        <v>41671</v>
      </c>
      <c r="J46" s="19">
        <v>505220309.32999998</v>
      </c>
      <c r="M46" s="18">
        <v>41671</v>
      </c>
      <c r="N46" s="19">
        <v>321211004.85000002</v>
      </c>
      <c r="Q46" s="18">
        <v>41671</v>
      </c>
      <c r="R46" s="33">
        <v>184507290.03999999</v>
      </c>
      <c r="S46" s="31">
        <f>VLOOKUP(CurrentMtgRatesDataTable8268459[[#This Row],[issueDate]],CurrentMtgRatesDataTable82684510[#All],2,0)</f>
        <v>256772916</v>
      </c>
      <c r="T46" s="31">
        <f>VLOOKUP(CurrentMtgRatesDataTable8268459[[#This Row],[issueDate]],CurrentMtgRatesDataTable82684511[#All],2,0)</f>
        <v>142803561</v>
      </c>
      <c r="U46" s="31">
        <f>VLOOKUP(CurrentMtgRatesDataTable8268459[[#This Row],[issueDate]],CurrentMtgRatesDataTable8262[#All],2,0)</f>
        <v>550404607.47000003</v>
      </c>
      <c r="V46" s="34">
        <f>VLOOKUP(CurrentMtgRatesDataTable8268459[[#This Row],[issueDate]],CurrentMtgRatesDataTable82673[#All],2,0)</f>
        <v>946979755.24000001</v>
      </c>
      <c r="W46" s="34">
        <f>VLOOKUP(CurrentMtgRatesDataTable8268459[[#This Row],[issueDate]],CurrentMtgRatesDataTable82684[#All],2,0)</f>
        <v>505220309.32999998</v>
      </c>
      <c r="X46" s="34">
        <f>VLOOKUP(CurrentMtgRatesDataTable8268459[[#This Row],[issueDate]],CurrentMtgRatesDataTable826845[#All],2,0)</f>
        <v>321211004.85000002</v>
      </c>
      <c r="Y46" s="41">
        <f>VLOOKUP(CurrentMtgRatesDataTable8268459[[#This Row],[issueDate]],CurrentMtgRatesDataTable8268451112[#All],2,0)</f>
        <v>47859600</v>
      </c>
      <c r="Z46" s="44">
        <f>SUM(CurrentMtgRatesDataTable8268459[[#This Row],[LowFICO]:[Geo]])/VLOOKUP(CurrentMtgRatesDataTable8268459[[#This Row],[issueDate]],CurrentMtgRatesDataTable826845111213[#All],2,0)</f>
        <v>0.23875330637289291</v>
      </c>
      <c r="AA46" s="41"/>
      <c r="AC46" s="18">
        <v>41671</v>
      </c>
      <c r="AD46" s="19">
        <v>256772916</v>
      </c>
      <c r="AE46" s="19"/>
      <c r="AG46" s="18">
        <v>41671</v>
      </c>
      <c r="AH46" s="19">
        <v>142803561</v>
      </c>
      <c r="AJ46" s="18">
        <v>41671</v>
      </c>
      <c r="AK46" s="19">
        <v>47859600</v>
      </c>
      <c r="AM46" s="18">
        <v>41671</v>
      </c>
      <c r="AN46" s="19">
        <v>12379971146.09</v>
      </c>
    </row>
    <row r="47" spans="2:40">
      <c r="B47" s="18">
        <v>41699</v>
      </c>
      <c r="C47" s="19">
        <v>375249069</v>
      </c>
      <c r="E47" s="18">
        <v>41699</v>
      </c>
      <c r="F47" s="19">
        <v>763448064.29999995</v>
      </c>
      <c r="I47" s="18">
        <v>41699</v>
      </c>
      <c r="J47" s="19">
        <v>342763248</v>
      </c>
      <c r="M47" s="18">
        <v>41699</v>
      </c>
      <c r="N47" s="19">
        <v>221056705</v>
      </c>
      <c r="Q47" s="30">
        <v>41699</v>
      </c>
      <c r="R47" s="35">
        <v>344045665</v>
      </c>
      <c r="S47" s="34">
        <f>VLOOKUP(CurrentMtgRatesDataTable8268459[[#This Row],[issueDate]],CurrentMtgRatesDataTable82684510[#All],2,0)</f>
        <v>177267766</v>
      </c>
      <c r="T47" s="34">
        <f>VLOOKUP(CurrentMtgRatesDataTable8268459[[#This Row],[issueDate]],CurrentMtgRatesDataTable82684511[#All],2,0)</f>
        <v>108037656</v>
      </c>
      <c r="U47" s="34">
        <f>VLOOKUP(CurrentMtgRatesDataTable8268459[[#This Row],[issueDate]],CurrentMtgRatesDataTable8262[#All],2,0)</f>
        <v>375249069</v>
      </c>
      <c r="V47" s="34">
        <f>VLOOKUP(CurrentMtgRatesDataTable8268459[[#This Row],[issueDate]],CurrentMtgRatesDataTable82673[#All],2,0)</f>
        <v>763448064.29999995</v>
      </c>
      <c r="W47" s="34">
        <f>VLOOKUP(CurrentMtgRatesDataTable8268459[[#This Row],[issueDate]],CurrentMtgRatesDataTable82684[#All],2,0)</f>
        <v>342763248</v>
      </c>
      <c r="X47" s="34">
        <f>VLOOKUP(CurrentMtgRatesDataTable8268459[[#This Row],[issueDate]],CurrentMtgRatesDataTable826845[#All],2,0)</f>
        <v>221056705</v>
      </c>
      <c r="Y47" s="34">
        <f>VLOOKUP(CurrentMtgRatesDataTable8268459[[#This Row],[issueDate]],CurrentMtgRatesDataTable8268451112[#All],2,0)</f>
        <v>70509868</v>
      </c>
      <c r="Z47" s="44">
        <f>SUM(CurrentMtgRatesDataTable8268459[[#This Row],[LowFICO]:[Geo]])/VLOOKUP(CurrentMtgRatesDataTable8268459[[#This Row],[issueDate]],CurrentMtgRatesDataTable826845111213[#All],2,0)</f>
        <v>0.25479812660752793</v>
      </c>
      <c r="AA47" s="41"/>
      <c r="AC47" s="18">
        <v>41699</v>
      </c>
      <c r="AD47" s="19">
        <v>177267766</v>
      </c>
      <c r="AE47" s="19"/>
      <c r="AG47" s="18">
        <v>41699</v>
      </c>
      <c r="AH47" s="19">
        <v>108037656</v>
      </c>
      <c r="AJ47" s="18">
        <v>41699</v>
      </c>
      <c r="AK47" s="19">
        <v>70509868</v>
      </c>
      <c r="AM47" s="18">
        <v>41699</v>
      </c>
      <c r="AN47" s="19">
        <v>9428554570.9699993</v>
      </c>
    </row>
    <row r="48" spans="2:40">
      <c r="B48" s="18">
        <v>41730</v>
      </c>
      <c r="C48" s="19">
        <v>416415432</v>
      </c>
      <c r="E48" s="18">
        <v>41730</v>
      </c>
      <c r="F48" s="19">
        <v>904052628</v>
      </c>
      <c r="I48" s="18">
        <v>41730</v>
      </c>
      <c r="J48" s="19">
        <v>452004799</v>
      </c>
      <c r="M48" s="18">
        <v>41730</v>
      </c>
      <c r="N48" s="19">
        <v>294155735</v>
      </c>
      <c r="Q48" s="30">
        <v>41730</v>
      </c>
      <c r="R48" s="35">
        <v>382621473</v>
      </c>
      <c r="S48" s="34">
        <f>VLOOKUP(CurrentMtgRatesDataTable8268459[[#This Row],[issueDate]],CurrentMtgRatesDataTable82684510[#All],2,0)</f>
        <v>234272608.52000001</v>
      </c>
      <c r="T48" s="34">
        <f>VLOOKUP(CurrentMtgRatesDataTable8268459[[#This Row],[issueDate]],CurrentMtgRatesDataTable82684511[#All],2,0)</f>
        <v>149413778</v>
      </c>
      <c r="U48" s="34">
        <f>VLOOKUP(CurrentMtgRatesDataTable8268459[[#This Row],[issueDate]],CurrentMtgRatesDataTable8262[#All],2,0)</f>
        <v>416415432</v>
      </c>
      <c r="V48" s="34">
        <f>VLOOKUP(CurrentMtgRatesDataTable8268459[[#This Row],[issueDate]],CurrentMtgRatesDataTable82673[#All],2,0)</f>
        <v>904052628</v>
      </c>
      <c r="W48" s="34">
        <f>VLOOKUP(CurrentMtgRatesDataTable8268459[[#This Row],[issueDate]],CurrentMtgRatesDataTable82684[#All],2,0)</f>
        <v>452004799</v>
      </c>
      <c r="X48" s="34">
        <f>VLOOKUP(CurrentMtgRatesDataTable8268459[[#This Row],[issueDate]],CurrentMtgRatesDataTable826845[#All],2,0)</f>
        <v>294155735</v>
      </c>
      <c r="Y48" s="34">
        <f>VLOOKUP(CurrentMtgRatesDataTable8268459[[#This Row],[issueDate]],CurrentMtgRatesDataTable8268451112[#All],2,0)</f>
        <v>106473700.59</v>
      </c>
      <c r="Z48" s="44">
        <f>SUM(CurrentMtgRatesDataTable8268459[[#This Row],[LowFICO]:[Geo]])/VLOOKUP(CurrentMtgRatesDataTable8268459[[#This Row],[issueDate]],CurrentMtgRatesDataTable826845111213[#All],2,0)</f>
        <v>0.24741404247025611</v>
      </c>
      <c r="AA48" s="41"/>
      <c r="AC48" s="18">
        <v>41730</v>
      </c>
      <c r="AD48" s="19">
        <v>234272608.52000001</v>
      </c>
      <c r="AE48" s="19"/>
      <c r="AG48" s="18">
        <v>41730</v>
      </c>
      <c r="AH48" s="19">
        <v>149413778</v>
      </c>
      <c r="AJ48" s="18">
        <v>41730</v>
      </c>
      <c r="AK48" s="19">
        <v>106473700.59</v>
      </c>
      <c r="AM48" s="18">
        <v>41730</v>
      </c>
      <c r="AN48" s="19">
        <v>11880530808.85</v>
      </c>
    </row>
    <row r="49" spans="2:40">
      <c r="B49" s="30">
        <v>41760</v>
      </c>
      <c r="C49" s="5">
        <v>564864283</v>
      </c>
      <c r="E49" s="18">
        <v>41760</v>
      </c>
      <c r="F49" s="19">
        <v>1026314664</v>
      </c>
      <c r="I49" s="18">
        <v>41760</v>
      </c>
      <c r="J49" s="19">
        <v>448350415</v>
      </c>
      <c r="M49" s="18">
        <v>41760</v>
      </c>
      <c r="N49" s="19">
        <v>280383733</v>
      </c>
      <c r="Q49" s="30">
        <v>41760</v>
      </c>
      <c r="R49" s="35">
        <v>644950246</v>
      </c>
      <c r="S49" s="34">
        <f>VLOOKUP(CurrentMtgRatesDataTable8268459[[#This Row],[issueDate]],CurrentMtgRatesDataTable82684510[#All],2,0)</f>
        <v>184593704</v>
      </c>
      <c r="T49" s="34">
        <f>VLOOKUP(CurrentMtgRatesDataTable8268459[[#This Row],[issueDate]],CurrentMtgRatesDataTable82684511[#All],2,0)</f>
        <v>149306791</v>
      </c>
      <c r="U49" s="34">
        <f>VLOOKUP(CurrentMtgRatesDataTable8268459[[#This Row],[issueDate]],CurrentMtgRatesDataTable8262[#All],2,0)</f>
        <v>564864283</v>
      </c>
      <c r="V49" s="34">
        <f>VLOOKUP(CurrentMtgRatesDataTable8268459[[#This Row],[issueDate]],CurrentMtgRatesDataTable82673[#All],2,0)</f>
        <v>1026314664</v>
      </c>
      <c r="W49" s="34">
        <f>VLOOKUP(CurrentMtgRatesDataTable8268459[[#This Row],[issueDate]],CurrentMtgRatesDataTable82684[#All],2,0)</f>
        <v>448350415</v>
      </c>
      <c r="X49" s="34">
        <f>VLOOKUP(CurrentMtgRatesDataTable8268459[[#This Row],[issueDate]],CurrentMtgRatesDataTable826845[#All],2,0)</f>
        <v>280383733</v>
      </c>
      <c r="Y49" s="34">
        <f>VLOOKUP(CurrentMtgRatesDataTable8268459[[#This Row],[issueDate]],CurrentMtgRatesDataTable8268451112[#All],2,0)</f>
        <v>88291140</v>
      </c>
      <c r="Z49" s="44">
        <f>SUM(CurrentMtgRatesDataTable8268459[[#This Row],[LowFICO]:[Geo]])/VLOOKUP(CurrentMtgRatesDataTable8268459[[#This Row],[issueDate]],CurrentMtgRatesDataTable826845111213[#All],2,0)</f>
        <v>0.27060326594187079</v>
      </c>
      <c r="AA49" s="41"/>
      <c r="AC49" s="30">
        <v>41760</v>
      </c>
      <c r="AD49" s="5">
        <v>184593704</v>
      </c>
      <c r="AE49" s="19"/>
      <c r="AG49" s="18">
        <v>41760</v>
      </c>
      <c r="AH49" s="19">
        <v>149306791</v>
      </c>
      <c r="AJ49" s="30">
        <v>41760</v>
      </c>
      <c r="AK49" s="5">
        <v>88291140</v>
      </c>
      <c r="AM49" s="18">
        <v>41760</v>
      </c>
      <c r="AN49" s="19">
        <v>12516681808</v>
      </c>
    </row>
    <row r="50" spans="2:40">
      <c r="B50" s="30">
        <v>41791</v>
      </c>
      <c r="C50" s="5">
        <v>644674710</v>
      </c>
      <c r="E50" s="30">
        <v>41791</v>
      </c>
      <c r="F50" s="5">
        <v>1053594219</v>
      </c>
      <c r="I50" s="18">
        <v>41791</v>
      </c>
      <c r="J50" s="19">
        <v>494635465</v>
      </c>
      <c r="M50" s="30">
        <v>41791</v>
      </c>
      <c r="N50" s="5">
        <v>307384309</v>
      </c>
      <c r="Q50" s="30">
        <v>41791</v>
      </c>
      <c r="R50" s="35">
        <v>615273408.40999997</v>
      </c>
      <c r="S50" s="34">
        <f>VLOOKUP(CurrentMtgRatesDataTable8268459[[#This Row],[issueDate]],CurrentMtgRatesDataTable82684510[#All],2,0)</f>
        <v>205033146</v>
      </c>
      <c r="T50" s="34">
        <f>VLOOKUP(CurrentMtgRatesDataTable8268459[[#This Row],[issueDate]],CurrentMtgRatesDataTable82684511[#All],2,0)</f>
        <v>134169623</v>
      </c>
      <c r="U50" s="34">
        <f>VLOOKUP(CurrentMtgRatesDataTable8268459[[#This Row],[issueDate]],CurrentMtgRatesDataTable8262[#All],2,0)</f>
        <v>644674710</v>
      </c>
      <c r="V50" s="34">
        <f>VLOOKUP(CurrentMtgRatesDataTable8268459[[#This Row],[issueDate]],CurrentMtgRatesDataTable82673[#All],2,0)</f>
        <v>1053594219</v>
      </c>
      <c r="W50" s="34">
        <f>VLOOKUP(CurrentMtgRatesDataTable8268459[[#This Row],[issueDate]],CurrentMtgRatesDataTable82684[#All],2,0)</f>
        <v>494635465</v>
      </c>
      <c r="X50" s="34">
        <f>VLOOKUP(CurrentMtgRatesDataTable8268459[[#This Row],[issueDate]],CurrentMtgRatesDataTable826845[#All],2,0)</f>
        <v>307384309</v>
      </c>
      <c r="Y50" s="34">
        <f>VLOOKUP(CurrentMtgRatesDataTable8268459[[#This Row],[issueDate]],CurrentMtgRatesDataTable8268451112[#All],2,0)</f>
        <v>89205110</v>
      </c>
      <c r="Z50" s="44">
        <f>SUM(CurrentMtgRatesDataTable8268459[[#This Row],[LowFICO]:[Geo]])/VLOOKUP(CurrentMtgRatesDataTable8268459[[#This Row],[issueDate]],CurrentMtgRatesDataTable826845111213[#All],2,0)</f>
        <v>0.24106049747461797</v>
      </c>
      <c r="AA50" s="41"/>
      <c r="AC50" s="30">
        <v>41791</v>
      </c>
      <c r="AD50" s="5">
        <v>205033146</v>
      </c>
      <c r="AE50" s="19"/>
      <c r="AG50" s="18">
        <v>41791</v>
      </c>
      <c r="AH50" s="19">
        <v>134169623</v>
      </c>
      <c r="AJ50" s="30">
        <v>41791</v>
      </c>
      <c r="AK50" s="5">
        <v>89205110</v>
      </c>
      <c r="AM50" s="18">
        <v>41791</v>
      </c>
      <c r="AN50" s="19">
        <v>14701579178.41</v>
      </c>
    </row>
    <row r="51" spans="2:40">
      <c r="B51" s="30">
        <v>41821</v>
      </c>
      <c r="C51" s="5">
        <v>618421383</v>
      </c>
      <c r="E51" s="30">
        <v>41821</v>
      </c>
      <c r="F51" s="5">
        <v>1097667429</v>
      </c>
      <c r="I51" s="18">
        <v>41821</v>
      </c>
      <c r="J51" s="19">
        <v>483862093</v>
      </c>
      <c r="M51" s="30">
        <v>41821</v>
      </c>
      <c r="N51" s="5">
        <v>296544130</v>
      </c>
      <c r="Q51" s="30">
        <v>41821</v>
      </c>
      <c r="R51" s="35">
        <v>580549312</v>
      </c>
      <c r="S51" s="34">
        <f>VLOOKUP(CurrentMtgRatesDataTable8268459[[#This Row],[issueDate]],CurrentMtgRatesDataTable82684510[#All],2,0)</f>
        <v>189865416</v>
      </c>
      <c r="T51" s="34">
        <f>VLOOKUP(CurrentMtgRatesDataTable8268459[[#This Row],[issueDate]],CurrentMtgRatesDataTable82684511[#All],2,0)</f>
        <v>179061576</v>
      </c>
      <c r="U51" s="34">
        <f>VLOOKUP(CurrentMtgRatesDataTable8268459[[#This Row],[issueDate]],CurrentMtgRatesDataTable8262[#All],2,0)</f>
        <v>618421383</v>
      </c>
      <c r="V51" s="34">
        <f>VLOOKUP(CurrentMtgRatesDataTable8268459[[#This Row],[issueDate]],CurrentMtgRatesDataTable82673[#All],2,0)</f>
        <v>1097667429</v>
      </c>
      <c r="W51" s="34">
        <f>VLOOKUP(CurrentMtgRatesDataTable8268459[[#This Row],[issueDate]],CurrentMtgRatesDataTable82684[#All],2,0)</f>
        <v>483862093</v>
      </c>
      <c r="X51" s="34">
        <f>VLOOKUP(CurrentMtgRatesDataTable8268459[[#This Row],[issueDate]],CurrentMtgRatesDataTable826845[#All],2,0)</f>
        <v>296544130</v>
      </c>
      <c r="Y51" s="34">
        <f>VLOOKUP(CurrentMtgRatesDataTable8268459[[#This Row],[issueDate]],CurrentMtgRatesDataTable8268451112[#All],2,0)</f>
        <v>71448247</v>
      </c>
      <c r="Z51" s="44">
        <f>SUM(CurrentMtgRatesDataTable8268459[[#This Row],[LowFICO]:[Geo]])/VLOOKUP(CurrentMtgRatesDataTable8268459[[#This Row],[issueDate]],CurrentMtgRatesDataTable826845111213[#All],2,0)</f>
        <v>0.23106650614581878</v>
      </c>
      <c r="AA51" s="41"/>
      <c r="AC51" s="30">
        <v>41821</v>
      </c>
      <c r="AD51" s="5">
        <v>189865416</v>
      </c>
      <c r="AE51" s="19"/>
      <c r="AG51" s="18">
        <v>41821</v>
      </c>
      <c r="AH51" s="19">
        <v>179061576</v>
      </c>
      <c r="AJ51" s="30">
        <v>41821</v>
      </c>
      <c r="AK51" s="5">
        <v>71448247</v>
      </c>
      <c r="AM51" s="18">
        <v>41821</v>
      </c>
      <c r="AN51" s="19">
        <v>15222541962.790001</v>
      </c>
    </row>
    <row r="52" spans="2:40">
      <c r="B52" s="30">
        <v>41852</v>
      </c>
      <c r="C52" s="5">
        <v>890806947</v>
      </c>
      <c r="E52" s="30">
        <v>41852</v>
      </c>
      <c r="F52" s="5">
        <v>1633736025</v>
      </c>
      <c r="I52" s="18">
        <v>41852</v>
      </c>
      <c r="J52" s="19">
        <v>747836119</v>
      </c>
      <c r="M52" s="30">
        <v>41852</v>
      </c>
      <c r="N52" s="5">
        <v>442026318</v>
      </c>
      <c r="Q52" s="30">
        <v>41852</v>
      </c>
      <c r="R52" s="35">
        <v>450249237</v>
      </c>
      <c r="S52" s="34">
        <f>VLOOKUP(CurrentMtgRatesDataTable8268459[[#This Row],[issueDate]],CurrentMtgRatesDataTable82684510[#All],2,0)</f>
        <v>100658496</v>
      </c>
      <c r="T52" s="34">
        <f>VLOOKUP(CurrentMtgRatesDataTable8268459[[#This Row],[issueDate]],CurrentMtgRatesDataTable82684511[#All],2,0)</f>
        <v>146726747</v>
      </c>
      <c r="U52" s="34">
        <f>VLOOKUP(CurrentMtgRatesDataTable8268459[[#This Row],[issueDate]],CurrentMtgRatesDataTable8262[#All],2,0)</f>
        <v>890806947</v>
      </c>
      <c r="V52" s="34">
        <f>VLOOKUP(CurrentMtgRatesDataTable8268459[[#This Row],[issueDate]],CurrentMtgRatesDataTable82673[#All],2,0)</f>
        <v>1633736025</v>
      </c>
      <c r="W52" s="34">
        <f>VLOOKUP(CurrentMtgRatesDataTable8268459[[#This Row],[issueDate]],CurrentMtgRatesDataTable82684[#All],2,0)</f>
        <v>747836119</v>
      </c>
      <c r="X52" s="34">
        <f>VLOOKUP(CurrentMtgRatesDataTable8268459[[#This Row],[issueDate]],CurrentMtgRatesDataTable826845[#All],2,0)</f>
        <v>442026318</v>
      </c>
      <c r="Y52" s="34">
        <f>VLOOKUP(CurrentMtgRatesDataTable8268459[[#This Row],[issueDate]],CurrentMtgRatesDataTable8268451112[#All],2,0)</f>
        <v>170905632</v>
      </c>
      <c r="Z52" s="44">
        <f>SUM(CurrentMtgRatesDataTable8268459[[#This Row],[LowFICO]:[Geo]])/VLOOKUP(CurrentMtgRatesDataTable8268459[[#This Row],[issueDate]],CurrentMtgRatesDataTable826845111213[#All],2,0)</f>
        <v>0.22006805005256536</v>
      </c>
      <c r="AA52" s="41"/>
      <c r="AC52" s="30">
        <v>41852</v>
      </c>
      <c r="AD52" s="5">
        <v>100658496</v>
      </c>
      <c r="AE52" s="19"/>
      <c r="AG52" s="18">
        <v>41852</v>
      </c>
      <c r="AH52" s="19">
        <v>146726747</v>
      </c>
      <c r="AJ52" s="30">
        <v>41852</v>
      </c>
      <c r="AK52" s="5">
        <v>170905632</v>
      </c>
      <c r="AM52" s="18">
        <v>41852</v>
      </c>
      <c r="AN52" s="19">
        <v>20825128954</v>
      </c>
    </row>
    <row r="53" spans="2:40">
      <c r="B53" s="30">
        <v>41883</v>
      </c>
      <c r="C53" s="5">
        <v>811054149</v>
      </c>
      <c r="E53" s="30">
        <v>41883</v>
      </c>
      <c r="F53" s="5">
        <v>1477981822</v>
      </c>
      <c r="I53" s="18">
        <v>41883</v>
      </c>
      <c r="J53" s="19">
        <v>583306192</v>
      </c>
      <c r="M53" s="30">
        <v>41883</v>
      </c>
      <c r="N53" s="5">
        <v>342793029</v>
      </c>
      <c r="Q53" s="30">
        <v>41883</v>
      </c>
      <c r="R53" s="35">
        <v>516557571</v>
      </c>
      <c r="S53" s="34">
        <f>VLOOKUP(CurrentMtgRatesDataTable8268459[[#This Row],[issueDate]],CurrentMtgRatesDataTable82684510[#All],2,0)</f>
        <v>162015500.34</v>
      </c>
      <c r="T53" s="34">
        <f>VLOOKUP(CurrentMtgRatesDataTable8268459[[#This Row],[issueDate]],CurrentMtgRatesDataTable82684511[#All],2,0)</f>
        <v>105197408</v>
      </c>
      <c r="U53" s="34">
        <f>VLOOKUP(CurrentMtgRatesDataTable8268459[[#This Row],[issueDate]],CurrentMtgRatesDataTable8262[#All],2,0)</f>
        <v>811054149</v>
      </c>
      <c r="V53" s="34">
        <f>VLOOKUP(CurrentMtgRatesDataTable8268459[[#This Row],[issueDate]],CurrentMtgRatesDataTable82673[#All],2,0)</f>
        <v>1477981822</v>
      </c>
      <c r="W53" s="34">
        <f>VLOOKUP(CurrentMtgRatesDataTable8268459[[#This Row],[issueDate]],CurrentMtgRatesDataTable82684[#All],2,0)</f>
        <v>583306192</v>
      </c>
      <c r="X53" s="34">
        <f>VLOOKUP(CurrentMtgRatesDataTable8268459[[#This Row],[issueDate]],CurrentMtgRatesDataTable826845[#All],2,0)</f>
        <v>342793029</v>
      </c>
      <c r="Y53" s="34">
        <f>VLOOKUP(CurrentMtgRatesDataTable8268459[[#This Row],[issueDate]],CurrentMtgRatesDataTable8268451112[#All],2,0)</f>
        <v>176952546</v>
      </c>
      <c r="Z53" s="44">
        <f>SUM(CurrentMtgRatesDataTable8268459[[#This Row],[LowFICO]:[Geo]])/VLOOKUP(CurrentMtgRatesDataTable8268459[[#This Row],[issueDate]],CurrentMtgRatesDataTable826845111213[#All],2,0)</f>
        <v>0.22717658868982915</v>
      </c>
      <c r="AA53" s="41"/>
      <c r="AC53" s="30">
        <v>41883</v>
      </c>
      <c r="AD53" s="5">
        <v>162015500.34</v>
      </c>
      <c r="AE53" s="19"/>
      <c r="AG53" s="18">
        <v>41883</v>
      </c>
      <c r="AH53" s="19">
        <v>105197408</v>
      </c>
      <c r="AJ53" s="30">
        <v>41883</v>
      </c>
      <c r="AK53" s="5">
        <v>176952546</v>
      </c>
      <c r="AM53" s="18">
        <v>41883</v>
      </c>
      <c r="AN53" s="19">
        <v>18381551732.169998</v>
      </c>
    </row>
    <row r="54" spans="2:40">
      <c r="B54" s="30">
        <v>41913</v>
      </c>
      <c r="C54" s="5">
        <v>834289293</v>
      </c>
      <c r="E54" s="30">
        <v>41913</v>
      </c>
      <c r="F54" s="5">
        <v>1458767037</v>
      </c>
      <c r="I54" s="18">
        <v>41913</v>
      </c>
      <c r="J54" s="19">
        <v>633552111</v>
      </c>
      <c r="M54" s="30">
        <v>41913</v>
      </c>
      <c r="N54" s="5">
        <v>372933423</v>
      </c>
      <c r="Q54" s="30">
        <v>41913</v>
      </c>
      <c r="R54" s="35">
        <v>487769169</v>
      </c>
      <c r="S54" s="34">
        <f>VLOOKUP(CurrentMtgRatesDataTable8268459[[#This Row],[issueDate]],CurrentMtgRatesDataTable82684510[#All],2,0)</f>
        <v>83894888</v>
      </c>
      <c r="T54" s="34">
        <f>VLOOKUP(CurrentMtgRatesDataTable8268459[[#This Row],[issueDate]],CurrentMtgRatesDataTable82684511[#All],2,0)</f>
        <v>131710850</v>
      </c>
      <c r="U54" s="34">
        <f>VLOOKUP(CurrentMtgRatesDataTable8268459[[#This Row],[issueDate]],CurrentMtgRatesDataTable8262[#All],2,0)</f>
        <v>834289293</v>
      </c>
      <c r="V54" s="34">
        <f>VLOOKUP(CurrentMtgRatesDataTable8268459[[#This Row],[issueDate]],CurrentMtgRatesDataTable82673[#All],2,0)</f>
        <v>1458767037</v>
      </c>
      <c r="W54" s="34">
        <f>VLOOKUP(CurrentMtgRatesDataTable8268459[[#This Row],[issueDate]],CurrentMtgRatesDataTable82684[#All],2,0)</f>
        <v>633552111</v>
      </c>
      <c r="X54" s="34">
        <f>VLOOKUP(CurrentMtgRatesDataTable8268459[[#This Row],[issueDate]],CurrentMtgRatesDataTable826845[#All],2,0)</f>
        <v>372933423</v>
      </c>
      <c r="Y54" s="34">
        <f>VLOOKUP(CurrentMtgRatesDataTable8268459[[#This Row],[issueDate]],CurrentMtgRatesDataTable8268451112[#All],2,0)</f>
        <v>258879798</v>
      </c>
      <c r="Z54" s="44">
        <f>SUM(CurrentMtgRatesDataTable8268459[[#This Row],[LowFICO]:[Geo]])/VLOOKUP(CurrentMtgRatesDataTable8268459[[#This Row],[issueDate]],CurrentMtgRatesDataTable826845111213[#All],2,0)</f>
        <v>0.2310376077840498</v>
      </c>
      <c r="AA54" s="41"/>
      <c r="AC54" s="30">
        <v>41913</v>
      </c>
      <c r="AD54" s="5">
        <v>83894888</v>
      </c>
      <c r="AE54" s="19"/>
      <c r="AG54" s="30">
        <v>41913</v>
      </c>
      <c r="AH54" s="5">
        <v>131710850</v>
      </c>
      <c r="AJ54" s="30">
        <v>41913</v>
      </c>
      <c r="AK54" s="5">
        <v>258879798</v>
      </c>
      <c r="AM54" s="30">
        <v>41913</v>
      </c>
      <c r="AN54" s="5">
        <v>18446332655</v>
      </c>
    </row>
    <row r="55" spans="2:40">
      <c r="B55" s="30">
        <v>41944</v>
      </c>
      <c r="C55" s="5">
        <v>841223651</v>
      </c>
      <c r="E55" s="30">
        <v>41944</v>
      </c>
      <c r="F55" s="5">
        <v>1450209816</v>
      </c>
      <c r="I55" s="18">
        <v>41944</v>
      </c>
      <c r="J55" s="19">
        <v>594163662</v>
      </c>
      <c r="M55" s="30">
        <v>41944</v>
      </c>
      <c r="N55" s="5">
        <v>378704515</v>
      </c>
      <c r="Q55" s="30">
        <v>41944</v>
      </c>
      <c r="R55" s="35">
        <v>758619029</v>
      </c>
      <c r="S55" s="34">
        <f>VLOOKUP(CurrentMtgRatesDataTable8268459[[#This Row],[issueDate]],CurrentMtgRatesDataTable82684510[#All],2,0)</f>
        <v>117827108</v>
      </c>
      <c r="T55" s="34">
        <f>VLOOKUP(CurrentMtgRatesDataTable8268459[[#This Row],[issueDate]],CurrentMtgRatesDataTable82684511[#All],2,0)</f>
        <v>195083845</v>
      </c>
      <c r="U55" s="34">
        <f>VLOOKUP(CurrentMtgRatesDataTable8268459[[#This Row],[issueDate]],CurrentMtgRatesDataTable8262[#All],2,0)</f>
        <v>841223651</v>
      </c>
      <c r="V55" s="34">
        <f>VLOOKUP(CurrentMtgRatesDataTable8268459[[#This Row],[issueDate]],CurrentMtgRatesDataTable82673[#All],2,0)</f>
        <v>1450209816</v>
      </c>
      <c r="W55" s="34">
        <f>VLOOKUP(CurrentMtgRatesDataTable8268459[[#This Row],[issueDate]],CurrentMtgRatesDataTable82684[#All],2,0)</f>
        <v>594163662</v>
      </c>
      <c r="X55" s="34">
        <f>VLOOKUP(CurrentMtgRatesDataTable8268459[[#This Row],[issueDate]],CurrentMtgRatesDataTable826845[#All],2,0)</f>
        <v>378704515</v>
      </c>
      <c r="Y55" s="34">
        <f>VLOOKUP(CurrentMtgRatesDataTable8268459[[#This Row],[issueDate]],CurrentMtgRatesDataTable8268451112[#All],2,0)</f>
        <v>264019745</v>
      </c>
      <c r="Z55" s="44">
        <f>SUM(CurrentMtgRatesDataTable8268459[[#This Row],[LowFICO]:[Geo]])/VLOOKUP(CurrentMtgRatesDataTable8268459[[#This Row],[issueDate]],CurrentMtgRatesDataTable826845111213[#All],2,0)</f>
        <v>0.26914285762916884</v>
      </c>
      <c r="AA55" s="41"/>
      <c r="AC55" s="30">
        <v>41944</v>
      </c>
      <c r="AD55" s="5">
        <v>117827108</v>
      </c>
      <c r="AE55" s="19"/>
      <c r="AG55" s="30">
        <v>41944</v>
      </c>
      <c r="AH55" s="5">
        <v>195083845</v>
      </c>
      <c r="AJ55" s="30">
        <v>41944</v>
      </c>
      <c r="AK55" s="5">
        <v>264019745</v>
      </c>
      <c r="AM55" s="30">
        <v>41944</v>
      </c>
      <c r="AN55" s="5">
        <v>17090742855</v>
      </c>
    </row>
    <row r="56" spans="2:40">
      <c r="B56" s="30">
        <v>41974</v>
      </c>
      <c r="C56" s="5">
        <v>476097149</v>
      </c>
      <c r="E56" s="30">
        <v>41974</v>
      </c>
      <c r="F56" s="5">
        <v>1098463911</v>
      </c>
      <c r="I56" s="18">
        <v>41974</v>
      </c>
      <c r="J56" s="19">
        <v>538296342</v>
      </c>
      <c r="M56" s="30">
        <v>41974</v>
      </c>
      <c r="N56" s="5">
        <v>353340336</v>
      </c>
      <c r="Q56" s="30">
        <v>41974</v>
      </c>
      <c r="R56" s="35">
        <v>298160983</v>
      </c>
      <c r="S56" s="34">
        <f>VLOOKUP(CurrentMtgRatesDataTable8268459[[#This Row],[issueDate]],CurrentMtgRatesDataTable82684510[#All],2,0)</f>
        <v>132196732</v>
      </c>
      <c r="T56" s="34">
        <f>VLOOKUP(CurrentMtgRatesDataTable8268459[[#This Row],[issueDate]],CurrentMtgRatesDataTable82684511[#All],2,0)</f>
        <v>54314673</v>
      </c>
      <c r="U56" s="34">
        <f>VLOOKUP(CurrentMtgRatesDataTable8268459[[#This Row],[issueDate]],CurrentMtgRatesDataTable8262[#All],2,0)</f>
        <v>476097149</v>
      </c>
      <c r="V56" s="34">
        <f>VLOOKUP(CurrentMtgRatesDataTable8268459[[#This Row],[issueDate]],CurrentMtgRatesDataTable82673[#All],2,0)</f>
        <v>1098463911</v>
      </c>
      <c r="W56" s="34">
        <f>VLOOKUP(CurrentMtgRatesDataTable8268459[[#This Row],[issueDate]],CurrentMtgRatesDataTable82684[#All],2,0)</f>
        <v>538296342</v>
      </c>
      <c r="X56" s="34">
        <f>VLOOKUP(CurrentMtgRatesDataTable8268459[[#This Row],[issueDate]],CurrentMtgRatesDataTable826845[#All],2,0)</f>
        <v>353340336</v>
      </c>
      <c r="Y56" s="34">
        <f>VLOOKUP(CurrentMtgRatesDataTable8268459[[#This Row],[issueDate]],CurrentMtgRatesDataTable8268451112[#All],2,0)</f>
        <v>161550163</v>
      </c>
      <c r="Z56" s="44">
        <f>SUM(CurrentMtgRatesDataTable8268459[[#This Row],[LowFICO]:[Geo]])/VLOOKUP(CurrentMtgRatesDataTable8268459[[#This Row],[issueDate]],CurrentMtgRatesDataTable826845111213[#All],2,0)</f>
        <v>0.20443472645088934</v>
      </c>
      <c r="AA56" s="41"/>
      <c r="AC56" s="30">
        <v>41974</v>
      </c>
      <c r="AD56" s="5">
        <v>132196732</v>
      </c>
      <c r="AE56" s="19"/>
      <c r="AG56" s="30">
        <v>41974</v>
      </c>
      <c r="AH56" s="5">
        <v>54314673</v>
      </c>
      <c r="AJ56" s="30">
        <v>41974</v>
      </c>
      <c r="AK56" s="5">
        <v>161550163</v>
      </c>
      <c r="AM56" s="30">
        <v>41974</v>
      </c>
      <c r="AN56" s="5">
        <v>15224518569</v>
      </c>
    </row>
    <row r="57" spans="2:40">
      <c r="B57" s="30">
        <v>42005</v>
      </c>
      <c r="C57" s="5">
        <v>630714003</v>
      </c>
      <c r="E57" s="30">
        <v>42005</v>
      </c>
      <c r="F57" s="5">
        <v>1072190687</v>
      </c>
      <c r="I57" s="18">
        <v>42005</v>
      </c>
      <c r="J57" s="19">
        <v>510097346</v>
      </c>
      <c r="M57" s="30">
        <v>42005</v>
      </c>
      <c r="N57" s="5">
        <v>316813037</v>
      </c>
      <c r="Q57" s="30">
        <v>42005</v>
      </c>
      <c r="R57" s="35">
        <v>293156633</v>
      </c>
      <c r="S57" s="34">
        <f>VLOOKUP(CurrentMtgRatesDataTable8268459[[#This Row],[issueDate]],CurrentMtgRatesDataTable82684510[#All],2,0)</f>
        <v>86808654</v>
      </c>
      <c r="T57" s="34" t="e">
        <f>VLOOKUP(CurrentMtgRatesDataTable8268459[[#This Row],[issueDate]],CurrentMtgRatesDataTable82684511[#All],2,0)</f>
        <v>#N/A</v>
      </c>
      <c r="U57" s="34">
        <f>VLOOKUP(CurrentMtgRatesDataTable8268459[[#This Row],[issueDate]],CurrentMtgRatesDataTable8262[#All],2,0)</f>
        <v>630714003</v>
      </c>
      <c r="V57" s="34">
        <f>VLOOKUP(CurrentMtgRatesDataTable8268459[[#This Row],[issueDate]],CurrentMtgRatesDataTable82673[#All],2,0)</f>
        <v>1072190687</v>
      </c>
      <c r="W57" s="34">
        <f>VLOOKUP(CurrentMtgRatesDataTable8268459[[#This Row],[issueDate]],CurrentMtgRatesDataTable82684[#All],2,0)</f>
        <v>510097346</v>
      </c>
      <c r="X57" s="34">
        <f>VLOOKUP(CurrentMtgRatesDataTable8268459[[#This Row],[issueDate]],CurrentMtgRatesDataTable826845[#All],2,0)</f>
        <v>316813037</v>
      </c>
      <c r="Y57" s="34">
        <f>VLOOKUP(CurrentMtgRatesDataTable8268459[[#This Row],[issueDate]],CurrentMtgRatesDataTable8268451112[#All],2,0)</f>
        <v>257435826</v>
      </c>
      <c r="Z57" s="44" t="e">
        <f>SUM(CurrentMtgRatesDataTable8268459[[#This Row],[LowFICO]:[Geo]])/VLOOKUP(CurrentMtgRatesDataTable8268459[[#This Row],[issueDate]],CurrentMtgRatesDataTable826845111213[#All],2,0)</f>
        <v>#N/A</v>
      </c>
      <c r="AA57" s="41"/>
      <c r="AC57" s="30">
        <v>42005</v>
      </c>
      <c r="AD57" s="5">
        <v>86808654</v>
      </c>
      <c r="AE57" s="19"/>
      <c r="AG57" s="30">
        <v>42036</v>
      </c>
      <c r="AH57" s="5">
        <v>25151732</v>
      </c>
      <c r="AJ57" s="30">
        <v>42005</v>
      </c>
      <c r="AK57" s="5">
        <v>257435826</v>
      </c>
      <c r="AM57" s="30">
        <v>42005</v>
      </c>
      <c r="AN57" s="5">
        <v>15748417227</v>
      </c>
    </row>
    <row r="58" spans="2:40">
      <c r="B58" s="30">
        <v>42036</v>
      </c>
      <c r="C58" s="5">
        <v>911241795</v>
      </c>
      <c r="E58" s="30">
        <v>42036</v>
      </c>
      <c r="F58" s="5">
        <v>1643279437.05</v>
      </c>
      <c r="I58" s="18">
        <v>42036</v>
      </c>
      <c r="J58" s="19">
        <v>622204846</v>
      </c>
      <c r="M58" s="30">
        <v>42036</v>
      </c>
      <c r="N58" s="5">
        <v>421658084</v>
      </c>
      <c r="Q58" s="30">
        <v>42036</v>
      </c>
      <c r="R58" s="35">
        <v>374573676.05000001</v>
      </c>
      <c r="S58" s="34">
        <f>VLOOKUP(CurrentMtgRatesDataTable8268459[[#This Row],[issueDate]],CurrentMtgRatesDataTable82684510[#All],2,0)</f>
        <v>124034750</v>
      </c>
      <c r="T58" s="34">
        <f>VLOOKUP(CurrentMtgRatesDataTable8268459[[#This Row],[issueDate]],CurrentMtgRatesDataTable82684511[#All],2,0)</f>
        <v>25151732</v>
      </c>
      <c r="U58" s="34">
        <f>VLOOKUP(CurrentMtgRatesDataTable8268459[[#This Row],[issueDate]],CurrentMtgRatesDataTable8262[#All],2,0)</f>
        <v>911241795</v>
      </c>
      <c r="V58" s="34">
        <f>VLOOKUP(CurrentMtgRatesDataTable8268459[[#This Row],[issueDate]],CurrentMtgRatesDataTable82673[#All],2,0)</f>
        <v>1643279437.05</v>
      </c>
      <c r="W58" s="34">
        <f>VLOOKUP(CurrentMtgRatesDataTable8268459[[#This Row],[issueDate]],CurrentMtgRatesDataTable82684[#All],2,0)</f>
        <v>622204846</v>
      </c>
      <c r="X58" s="34">
        <f>VLOOKUP(CurrentMtgRatesDataTable8268459[[#This Row],[issueDate]],CurrentMtgRatesDataTable826845[#All],2,0)</f>
        <v>421658084</v>
      </c>
      <c r="Y58" s="34">
        <f>VLOOKUP(CurrentMtgRatesDataTable8268459[[#This Row],[issueDate]],CurrentMtgRatesDataTable8268451112[#All],2,0)</f>
        <v>388870081</v>
      </c>
      <c r="Z58" s="44">
        <f>SUM(CurrentMtgRatesDataTable8268459[[#This Row],[LowFICO]:[Geo]])/VLOOKUP(CurrentMtgRatesDataTable8268459[[#This Row],[issueDate]],CurrentMtgRatesDataTable826845111213[#All],2,0)</f>
        <v>0.20559445936542084</v>
      </c>
      <c r="AA58" s="41"/>
      <c r="AC58" s="30">
        <v>42036</v>
      </c>
      <c r="AD58" s="5">
        <v>124034750</v>
      </c>
      <c r="AE58" s="19"/>
      <c r="AG58" s="30">
        <v>42064</v>
      </c>
      <c r="AH58" s="5">
        <v>19009106.420000002</v>
      </c>
      <c r="AJ58" s="30">
        <v>42036</v>
      </c>
      <c r="AK58" s="5">
        <v>388870081</v>
      </c>
      <c r="AM58" s="30">
        <v>42036</v>
      </c>
      <c r="AN58" s="5">
        <v>21941322811.049999</v>
      </c>
    </row>
    <row r="59" spans="2:40">
      <c r="B59" s="30">
        <v>42064</v>
      </c>
      <c r="C59" s="5">
        <v>564532496</v>
      </c>
      <c r="E59" s="30">
        <v>42064</v>
      </c>
      <c r="F59" s="5">
        <v>1017694674.42</v>
      </c>
      <c r="I59" s="18">
        <v>42064</v>
      </c>
      <c r="J59" s="19">
        <v>430862628</v>
      </c>
      <c r="M59" s="30">
        <v>42064</v>
      </c>
      <c r="N59" s="5">
        <v>265267495</v>
      </c>
      <c r="Q59" s="30">
        <v>42064</v>
      </c>
      <c r="R59" s="35">
        <v>252444607</v>
      </c>
      <c r="S59" s="34">
        <f>VLOOKUP(CurrentMtgRatesDataTable8268459[[#This Row],[issueDate]],CurrentMtgRatesDataTable82684510[#All],2,0)</f>
        <v>168440368</v>
      </c>
      <c r="T59" s="34">
        <f>VLOOKUP(CurrentMtgRatesDataTable8268459[[#This Row],[issueDate]],CurrentMtgRatesDataTable82684511[#All],2,0)</f>
        <v>19009106.420000002</v>
      </c>
      <c r="U59" s="34">
        <f>VLOOKUP(CurrentMtgRatesDataTable8268459[[#This Row],[issueDate]],CurrentMtgRatesDataTable8262[#All],2,0)</f>
        <v>564532496</v>
      </c>
      <c r="V59" s="34">
        <f>VLOOKUP(CurrentMtgRatesDataTable8268459[[#This Row],[issueDate]],CurrentMtgRatesDataTable82673[#All],2,0)</f>
        <v>1017694674.42</v>
      </c>
      <c r="W59" s="34">
        <f>VLOOKUP(CurrentMtgRatesDataTable8268459[[#This Row],[issueDate]],CurrentMtgRatesDataTable82684[#All],2,0)</f>
        <v>430862628</v>
      </c>
      <c r="X59" s="34">
        <f>VLOOKUP(CurrentMtgRatesDataTable8268459[[#This Row],[issueDate]],CurrentMtgRatesDataTable826845[#All],2,0)</f>
        <v>265267495</v>
      </c>
      <c r="Y59" s="34">
        <f>VLOOKUP(CurrentMtgRatesDataTable8268459[[#This Row],[issueDate]],CurrentMtgRatesDataTable8268451112[#All],2,0)</f>
        <v>142631546</v>
      </c>
      <c r="Z59" s="44">
        <f>SUM(CurrentMtgRatesDataTable8268459[[#This Row],[LowFICO]:[Geo]])/VLOOKUP(CurrentMtgRatesDataTable8268459[[#This Row],[issueDate]],CurrentMtgRatesDataTable826845111213[#All],2,0)</f>
        <v>0.16766138483751672</v>
      </c>
      <c r="AA59" s="41"/>
      <c r="AC59" s="30">
        <v>42064</v>
      </c>
      <c r="AD59" s="5">
        <v>168440368</v>
      </c>
      <c r="AE59" s="19"/>
      <c r="AG59" s="30">
        <v>42095</v>
      </c>
      <c r="AH59" s="5">
        <v>11152526</v>
      </c>
      <c r="AJ59" s="30">
        <v>42064</v>
      </c>
      <c r="AK59" s="5">
        <v>142631546</v>
      </c>
      <c r="AM59" s="30">
        <v>42064</v>
      </c>
      <c r="AN59" s="5">
        <v>17063457537.42</v>
      </c>
    </row>
    <row r="60" spans="2:40">
      <c r="B60" s="30">
        <v>42095</v>
      </c>
      <c r="C60" s="5">
        <v>752547968</v>
      </c>
      <c r="E60" s="30">
        <v>42095</v>
      </c>
      <c r="F60" s="5">
        <v>1449516451</v>
      </c>
      <c r="I60" s="18">
        <v>42095</v>
      </c>
      <c r="J60" s="19">
        <v>539455749</v>
      </c>
      <c r="M60" s="30">
        <v>42095</v>
      </c>
      <c r="N60" s="5">
        <v>332545654</v>
      </c>
      <c r="Q60" s="30">
        <v>42095</v>
      </c>
      <c r="R60" s="35">
        <v>396322252</v>
      </c>
      <c r="S60" s="34">
        <f>VLOOKUP(CurrentMtgRatesDataTable8268459[[#This Row],[issueDate]],CurrentMtgRatesDataTable82684510[#All],2,0)</f>
        <v>148890112</v>
      </c>
      <c r="T60" s="34">
        <f>VLOOKUP(CurrentMtgRatesDataTable8268459[[#This Row],[issueDate]],CurrentMtgRatesDataTable82684511[#All],2,0)</f>
        <v>11152526</v>
      </c>
      <c r="U60" s="34">
        <f>VLOOKUP(CurrentMtgRatesDataTable8268459[[#This Row],[issueDate]],CurrentMtgRatesDataTable8262[#All],2,0)</f>
        <v>752547968</v>
      </c>
      <c r="V60" s="34">
        <f>VLOOKUP(CurrentMtgRatesDataTable8268459[[#This Row],[issueDate]],CurrentMtgRatesDataTable82673[#All],2,0)</f>
        <v>1449516451</v>
      </c>
      <c r="W60" s="34">
        <f>VLOOKUP(CurrentMtgRatesDataTable8268459[[#This Row],[issueDate]],CurrentMtgRatesDataTable82684[#All],2,0)</f>
        <v>539455749</v>
      </c>
      <c r="X60" s="34">
        <f>VLOOKUP(CurrentMtgRatesDataTable8268459[[#This Row],[issueDate]],CurrentMtgRatesDataTable826845[#All],2,0)</f>
        <v>332545654</v>
      </c>
      <c r="Y60" s="34">
        <f>VLOOKUP(CurrentMtgRatesDataTable8268459[[#This Row],[issueDate]],CurrentMtgRatesDataTable8268451112[#All],2,0)</f>
        <v>255815470</v>
      </c>
      <c r="Z60" s="44">
        <f>SUM(CurrentMtgRatesDataTable8268459[[#This Row],[LowFICO]:[Geo]])/VLOOKUP(CurrentMtgRatesDataTable8268459[[#This Row],[issueDate]],CurrentMtgRatesDataTable826845111213[#All],2,0)</f>
        <v>0.16826001735509516</v>
      </c>
      <c r="AA60" s="41"/>
      <c r="AC60" s="30">
        <v>42095</v>
      </c>
      <c r="AD60" s="5">
        <v>148890112</v>
      </c>
      <c r="AE60" s="19"/>
      <c r="AG60" s="30">
        <v>42125</v>
      </c>
      <c r="AH60" s="5">
        <v>52180960</v>
      </c>
      <c r="AJ60" s="30">
        <v>42095</v>
      </c>
      <c r="AK60" s="5">
        <v>255815470</v>
      </c>
      <c r="AM60" s="30">
        <v>42095</v>
      </c>
      <c r="AN60" s="5">
        <v>23096670516.790001</v>
      </c>
    </row>
    <row r="61" spans="2:40">
      <c r="B61" s="30">
        <v>42125</v>
      </c>
      <c r="C61" s="5">
        <v>855524212</v>
      </c>
      <c r="E61" s="30">
        <v>42125</v>
      </c>
      <c r="F61" s="5">
        <v>1463906020.5699999</v>
      </c>
      <c r="I61" s="30">
        <v>42125</v>
      </c>
      <c r="J61" s="5">
        <v>598672127</v>
      </c>
      <c r="M61" s="30">
        <v>42125</v>
      </c>
      <c r="N61" s="5">
        <v>366253720</v>
      </c>
      <c r="Q61" s="30">
        <v>42125</v>
      </c>
      <c r="R61" s="35">
        <v>369385558.66000003</v>
      </c>
      <c r="S61" s="34">
        <f>VLOOKUP(CurrentMtgRatesDataTable8268459[[#This Row],[issueDate]],CurrentMtgRatesDataTable82684510[#All],2,0)</f>
        <v>122286810.81999999</v>
      </c>
      <c r="T61" s="34">
        <f>VLOOKUP(CurrentMtgRatesDataTable8268459[[#This Row],[issueDate]],CurrentMtgRatesDataTable82684511[#All],2,0)</f>
        <v>52180960</v>
      </c>
      <c r="U61" s="34">
        <f>VLOOKUP(CurrentMtgRatesDataTable8268459[[#This Row],[issueDate]],CurrentMtgRatesDataTable8262[#All],2,0)</f>
        <v>855524212</v>
      </c>
      <c r="V61" s="34">
        <f>VLOOKUP(CurrentMtgRatesDataTable8268459[[#This Row],[issueDate]],CurrentMtgRatesDataTable82673[#All],2,0)</f>
        <v>1463906020.5699999</v>
      </c>
      <c r="W61" s="34">
        <f>VLOOKUP(CurrentMtgRatesDataTable8268459[[#This Row],[issueDate]],CurrentMtgRatesDataTable82684[#All],2,0)</f>
        <v>598672127</v>
      </c>
      <c r="X61" s="34">
        <f>VLOOKUP(CurrentMtgRatesDataTable8268459[[#This Row],[issueDate]],CurrentMtgRatesDataTable826845[#All],2,0)</f>
        <v>366253720</v>
      </c>
      <c r="Y61" s="34">
        <f>VLOOKUP(CurrentMtgRatesDataTable8268459[[#This Row],[issueDate]],CurrentMtgRatesDataTable8268451112[#All],2,0)</f>
        <v>318697472</v>
      </c>
      <c r="Z61" s="44">
        <f>SUM(CurrentMtgRatesDataTable8268459[[#This Row],[LowFICO]:[Geo]])/VLOOKUP(CurrentMtgRatesDataTable8268459[[#This Row],[issueDate]],CurrentMtgRatesDataTable826845111213[#All],2,0)</f>
        <v>0.18309220866455581</v>
      </c>
      <c r="AA61" s="41"/>
      <c r="AC61" s="30">
        <v>42125</v>
      </c>
      <c r="AD61" s="5">
        <v>122286810.81999999</v>
      </c>
      <c r="AE61" s="19"/>
      <c r="AG61" s="45">
        <v>42156</v>
      </c>
      <c r="AH61" s="46">
        <v>113426215</v>
      </c>
      <c r="AJ61" s="30">
        <v>42125</v>
      </c>
      <c r="AK61" s="5">
        <v>318697472</v>
      </c>
      <c r="AM61" s="30">
        <v>42125</v>
      </c>
      <c r="AN61" s="5">
        <v>22649280989.599998</v>
      </c>
    </row>
    <row r="62" spans="2:40">
      <c r="B62" s="45">
        <v>42156</v>
      </c>
      <c r="C62" s="46">
        <v>764811297</v>
      </c>
      <c r="E62" s="45">
        <v>42156</v>
      </c>
      <c r="F62" s="46">
        <v>1611748910</v>
      </c>
      <c r="I62" s="45">
        <v>42156</v>
      </c>
      <c r="J62" s="46">
        <v>703681321</v>
      </c>
      <c r="M62" s="45">
        <v>42156</v>
      </c>
      <c r="N62" s="46">
        <v>355570784</v>
      </c>
      <c r="Q62" s="45">
        <v>42156</v>
      </c>
      <c r="R62" s="47">
        <v>426536208</v>
      </c>
      <c r="S62" s="48">
        <f>VLOOKUP(CurrentMtgRatesDataTable8268459[[#This Row],[issueDate]],CurrentMtgRatesDataTable82684510[#All],2,0)</f>
        <v>170308762</v>
      </c>
      <c r="T62" s="48">
        <f>VLOOKUP(CurrentMtgRatesDataTable8268459[[#This Row],[issueDate]],CurrentMtgRatesDataTable82684511[#All],2,0)</f>
        <v>113426215</v>
      </c>
      <c r="U62" s="48">
        <f>VLOOKUP(CurrentMtgRatesDataTable8268459[[#This Row],[issueDate]],CurrentMtgRatesDataTable8262[#All],2,0)</f>
        <v>764811297</v>
      </c>
      <c r="V62" s="48">
        <f>VLOOKUP(CurrentMtgRatesDataTable8268459[[#This Row],[issueDate]],CurrentMtgRatesDataTable82673[#All],2,0)</f>
        <v>1611748910</v>
      </c>
      <c r="W62" s="48">
        <f>VLOOKUP(CurrentMtgRatesDataTable8268459[[#This Row],[issueDate]],CurrentMtgRatesDataTable82684[#All],2,0)</f>
        <v>703681321</v>
      </c>
      <c r="X62" s="48">
        <f>VLOOKUP(CurrentMtgRatesDataTable8268459[[#This Row],[issueDate]],CurrentMtgRatesDataTable826845[#All],2,0)</f>
        <v>355570784</v>
      </c>
      <c r="Y62" s="48">
        <f>VLOOKUP(CurrentMtgRatesDataTable8268459[[#This Row],[issueDate]],CurrentMtgRatesDataTable8268451112[#All],2,0)</f>
        <v>251741215</v>
      </c>
      <c r="Z62" s="49">
        <f>SUM(CurrentMtgRatesDataTable8268459[[#This Row],[LowFICO]:[Geo]])/VLOOKUP(CurrentMtgRatesDataTable8268459[[#This Row],[issueDate]],CurrentMtgRatesDataTable826845111213[#All],2,0)</f>
        <v>0.17525383875741452</v>
      </c>
      <c r="AA62" s="41"/>
      <c r="AC62" s="45">
        <v>42156</v>
      </c>
      <c r="AD62" s="46">
        <v>170308762</v>
      </c>
      <c r="AE62" s="19"/>
      <c r="AJ62" s="45">
        <v>42156</v>
      </c>
      <c r="AK62" s="46">
        <v>251741215</v>
      </c>
      <c r="AM62" s="45">
        <v>42156</v>
      </c>
      <c r="AN62" s="46">
        <v>25094027858</v>
      </c>
    </row>
    <row r="63" spans="2:40">
      <c r="AA63" s="41"/>
      <c r="AE63" s="19"/>
    </row>
    <row r="64" spans="2:40">
      <c r="AA64" s="41"/>
      <c r="AE64" s="19"/>
    </row>
    <row r="65" spans="27:31">
      <c r="AA65" s="41"/>
      <c r="AE65" s="19"/>
    </row>
    <row r="66" spans="27:31">
      <c r="AA66" s="41"/>
      <c r="AE66" s="19"/>
    </row>
    <row r="67" spans="27:31">
      <c r="AA67" s="41"/>
      <c r="AE67" s="19"/>
    </row>
  </sheetData>
  <pageMargins left="0.7" right="0.7" top="0.75" bottom="0.75" header="0.3" footer="0.3"/>
  <pageSetup orientation="portrait" horizontalDpi="300" verticalDpi="300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Report Page2</vt:lpstr>
      <vt:lpstr>Report</vt:lpstr>
      <vt:lpstr>Historical</vt:lpstr>
      <vt:lpstr>Input-Non TBA</vt:lpstr>
      <vt:lpstr>Input-TBA LS</vt:lpstr>
      <vt:lpstr>CurrentCloseDate</vt:lpstr>
      <vt:lpstr>CurrentMonth</vt:lpstr>
      <vt:lpstr>CurrentMonth2</vt:lpstr>
      <vt:lpstr>DatabaseEnv</vt:lpstr>
      <vt:lpstr>DateToChangeLag</vt:lpstr>
      <vt:lpstr>PDFReportDir</vt:lpstr>
      <vt:lpstr>PDFReportName</vt:lpstr>
      <vt:lpstr>Report!Print_Area</vt:lpstr>
      <vt:lpstr>'Report Page2'!Print_Area</vt:lpstr>
      <vt:lpstr>'Report Page2'!SaveRatesToDB</vt:lpstr>
      <vt:lpstr>SaveRatesToDB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Hongzhuo Zhang</cp:lastModifiedBy>
  <cp:lastPrinted>2015-07-24T14:09:28Z</cp:lastPrinted>
  <dcterms:created xsi:type="dcterms:W3CDTF">2006-09-16T00:00:00Z</dcterms:created>
  <dcterms:modified xsi:type="dcterms:W3CDTF">2016-03-04T20:15:56Z</dcterms:modified>
</cp:coreProperties>
</file>